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2-10-2026/"/>
    </mc:Choice>
  </mc:AlternateContent>
  <xr:revisionPtr revIDLastSave="0" documentId="8_{7B3E442B-C2C9-4EA4-9642-0494167CF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DESPACHOS'!$A$1:$I$120</definedName>
  </definedNames>
  <calcPr calcId="191029"/>
</workbook>
</file>

<file path=xl/calcChain.xml><?xml version="1.0" encoding="utf-8"?>
<calcChain xmlns="http://schemas.openxmlformats.org/spreadsheetml/2006/main">
  <c r="H106" i="1" l="1"/>
  <c r="I106" i="1" s="1"/>
  <c r="H95" i="1"/>
  <c r="I95" i="1" s="1"/>
  <c r="H99" i="1"/>
  <c r="I99" i="1" s="1"/>
  <c r="H114" i="1"/>
  <c r="I114" i="1" s="1"/>
  <c r="H5" i="1"/>
  <c r="I5" i="1" s="1"/>
  <c r="H6" i="1"/>
  <c r="I6" i="1" s="1"/>
  <c r="H7" i="1"/>
  <c r="I7" i="1" s="1"/>
  <c r="H8" i="1"/>
  <c r="I8" i="1" s="1"/>
  <c r="H9" i="1"/>
  <c r="I9" i="1" s="1"/>
  <c r="H48" i="1"/>
  <c r="I48" i="1" s="1"/>
  <c r="H120" i="1"/>
  <c r="I120" i="1" s="1"/>
  <c r="H12" i="1"/>
  <c r="I12" i="1" s="1"/>
  <c r="H22" i="1"/>
  <c r="I22" i="1" s="1"/>
  <c r="H80" i="1"/>
  <c r="I80" i="1" s="1"/>
  <c r="H15" i="1"/>
  <c r="I15" i="1" s="1"/>
  <c r="H79" i="1"/>
  <c r="I79" i="1" s="1"/>
  <c r="H100" i="1"/>
  <c r="I100" i="1" s="1"/>
  <c r="H18" i="1"/>
  <c r="I18" i="1" s="1"/>
  <c r="H19" i="1"/>
  <c r="I19" i="1" s="1"/>
  <c r="H20" i="1"/>
  <c r="I20" i="1" s="1"/>
  <c r="H56" i="1"/>
  <c r="I56" i="1" s="1"/>
  <c r="H40" i="1"/>
  <c r="I40" i="1" s="1"/>
  <c r="H13" i="1"/>
  <c r="I13" i="1" s="1"/>
  <c r="H41" i="1"/>
  <c r="I41" i="1" s="1"/>
  <c r="H96" i="1"/>
  <c r="I96" i="1" s="1"/>
  <c r="H26" i="1"/>
  <c r="I26" i="1" s="1"/>
  <c r="H27" i="1"/>
  <c r="I27" i="1" s="1"/>
  <c r="H28" i="1"/>
  <c r="I28" i="1" s="1"/>
  <c r="H29" i="1"/>
  <c r="I29" i="1" s="1"/>
  <c r="H37" i="1"/>
  <c r="I37" i="1" s="1"/>
  <c r="H31" i="1"/>
  <c r="I31" i="1" s="1"/>
  <c r="H32" i="1"/>
  <c r="I32" i="1" s="1"/>
  <c r="H33" i="1"/>
  <c r="I33" i="1" s="1"/>
  <c r="H54" i="1"/>
  <c r="I54" i="1" s="1"/>
  <c r="H97" i="1"/>
  <c r="I97" i="1" s="1"/>
  <c r="H2" i="1"/>
  <c r="I2" i="1" s="1"/>
  <c r="H83" i="1"/>
  <c r="I83" i="1" s="1"/>
  <c r="H81" i="1"/>
  <c r="I81" i="1" s="1"/>
  <c r="H44" i="1"/>
  <c r="I44" i="1" s="1"/>
  <c r="H65" i="1"/>
  <c r="I65" i="1" s="1"/>
  <c r="H119" i="1"/>
  <c r="I119" i="1" s="1"/>
  <c r="H42" i="1"/>
  <c r="I42" i="1" s="1"/>
  <c r="H43" i="1"/>
  <c r="I43" i="1" s="1"/>
  <c r="H107" i="1"/>
  <c r="I107" i="1" s="1"/>
  <c r="H45" i="1"/>
  <c r="I45" i="1" s="1"/>
  <c r="H35" i="1"/>
  <c r="I35" i="1" s="1"/>
  <c r="H47" i="1"/>
  <c r="I47" i="1" s="1"/>
  <c r="H11" i="1"/>
  <c r="I11" i="1" s="1"/>
  <c r="H117" i="1"/>
  <c r="I117" i="1" s="1"/>
  <c r="H50" i="1"/>
  <c r="I50" i="1" s="1"/>
  <c r="H3" i="1"/>
  <c r="I3" i="1" s="1"/>
  <c r="H63" i="1"/>
  <c r="I63" i="1" s="1"/>
  <c r="H53" i="1"/>
  <c r="I53" i="1" s="1"/>
  <c r="H76" i="1"/>
  <c r="I76" i="1" s="1"/>
  <c r="H55" i="1"/>
  <c r="I55" i="1" s="1"/>
  <c r="H36" i="1"/>
  <c r="I36" i="1" s="1"/>
  <c r="H57" i="1"/>
  <c r="I57" i="1" s="1"/>
  <c r="H30" i="1"/>
  <c r="I30" i="1" s="1"/>
  <c r="H59" i="1"/>
  <c r="I59" i="1" s="1"/>
  <c r="H60" i="1"/>
  <c r="I60" i="1" s="1"/>
  <c r="H61" i="1"/>
  <c r="I61" i="1" s="1"/>
  <c r="H73" i="1"/>
  <c r="I73" i="1" s="1"/>
  <c r="H21" i="1"/>
  <c r="I21" i="1" s="1"/>
  <c r="H116" i="1"/>
  <c r="I116" i="1" s="1"/>
  <c r="H51" i="1"/>
  <c r="I51" i="1" s="1"/>
  <c r="H93" i="1"/>
  <c r="I93" i="1" s="1"/>
  <c r="H67" i="1"/>
  <c r="I67" i="1" s="1"/>
  <c r="H101" i="1"/>
  <c r="I101" i="1" s="1"/>
  <c r="H69" i="1"/>
  <c r="I69" i="1" s="1"/>
  <c r="H70" i="1"/>
  <c r="I70" i="1" s="1"/>
  <c r="H39" i="1"/>
  <c r="I39" i="1" s="1"/>
  <c r="H23" i="1"/>
  <c r="I23" i="1" s="1"/>
  <c r="H38" i="1"/>
  <c r="I38" i="1" s="1"/>
  <c r="H58" i="1"/>
  <c r="I58" i="1" s="1"/>
  <c r="H75" i="1"/>
  <c r="I75" i="1" s="1"/>
  <c r="H71" i="1"/>
  <c r="I71" i="1" s="1"/>
  <c r="H66" i="1"/>
  <c r="I66" i="1" s="1"/>
  <c r="H78" i="1"/>
  <c r="I78" i="1" s="1"/>
  <c r="H4" i="1"/>
  <c r="I4" i="1" s="1"/>
  <c r="H89" i="1"/>
  <c r="I89" i="1" s="1"/>
  <c r="H82" i="1"/>
  <c r="I82" i="1" s="1"/>
  <c r="H64" i="1"/>
  <c r="I64" i="1" s="1"/>
  <c r="H84" i="1"/>
  <c r="I84" i="1" s="1"/>
  <c r="H108" i="1"/>
  <c r="I108" i="1" s="1"/>
  <c r="H86" i="1"/>
  <c r="I86" i="1" s="1"/>
  <c r="H104" i="1"/>
  <c r="I104" i="1" s="1"/>
  <c r="H88" i="1"/>
  <c r="I88" i="1" s="1"/>
  <c r="H16" i="1"/>
  <c r="I16" i="1" s="1"/>
  <c r="H115" i="1"/>
  <c r="I115" i="1" s="1"/>
  <c r="H91" i="1"/>
  <c r="I91" i="1" s="1"/>
  <c r="H49" i="1"/>
  <c r="I49" i="1" s="1"/>
  <c r="H68" i="1"/>
  <c r="I68" i="1" s="1"/>
  <c r="H94" i="1"/>
  <c r="I94" i="1" s="1"/>
  <c r="H77" i="1"/>
  <c r="I77" i="1" s="1"/>
  <c r="H90" i="1"/>
  <c r="I90" i="1" s="1"/>
  <c r="H62" i="1"/>
  <c r="I62" i="1" s="1"/>
  <c r="H46" i="1"/>
  <c r="I46" i="1" s="1"/>
  <c r="H17" i="1"/>
  <c r="I17" i="1" s="1"/>
  <c r="H10" i="1"/>
  <c r="I10" i="1" s="1"/>
  <c r="H87" i="1"/>
  <c r="I87" i="1" s="1"/>
  <c r="H102" i="1"/>
  <c r="I102" i="1" s="1"/>
  <c r="H103" i="1"/>
  <c r="I103" i="1" s="1"/>
  <c r="H14" i="1"/>
  <c r="I14" i="1" s="1"/>
  <c r="H25" i="1"/>
  <c r="I25" i="1" s="1"/>
  <c r="H98" i="1"/>
  <c r="I98" i="1" s="1"/>
  <c r="H74" i="1"/>
  <c r="I74" i="1" s="1"/>
  <c r="H34" i="1"/>
  <c r="I34" i="1" s="1"/>
  <c r="H109" i="1"/>
  <c r="I109" i="1" s="1"/>
  <c r="H110" i="1"/>
  <c r="I110" i="1" s="1"/>
  <c r="H111" i="1"/>
  <c r="I111" i="1" s="1"/>
  <c r="H112" i="1"/>
  <c r="I112" i="1" s="1"/>
  <c r="H113" i="1"/>
  <c r="I113" i="1" s="1"/>
  <c r="H105" i="1"/>
  <c r="I105" i="1" s="1"/>
  <c r="H72" i="1"/>
  <c r="I72" i="1" s="1"/>
  <c r="H85" i="1"/>
  <c r="I85" i="1" s="1"/>
  <c r="H52" i="1"/>
  <c r="I52" i="1" s="1"/>
  <c r="H118" i="1"/>
  <c r="I118" i="1" s="1"/>
  <c r="H24" i="1"/>
  <c r="I24" i="1" s="1"/>
  <c r="H92" i="1"/>
  <c r="I92" i="1" s="1"/>
  <c r="G106" i="1"/>
  <c r="G95" i="1"/>
  <c r="G99" i="1"/>
  <c r="G114" i="1"/>
  <c r="G5" i="1"/>
  <c r="G6" i="1"/>
  <c r="G7" i="1"/>
  <c r="G8" i="1"/>
  <c r="G9" i="1"/>
  <c r="G48" i="1"/>
  <c r="G120" i="1"/>
  <c r="G12" i="1"/>
  <c r="G22" i="1"/>
  <c r="G80" i="1"/>
  <c r="G15" i="1"/>
  <c r="G79" i="1"/>
  <c r="G100" i="1"/>
  <c r="G18" i="1"/>
  <c r="G19" i="1"/>
  <c r="G20" i="1"/>
  <c r="G56" i="1"/>
  <c r="G40" i="1"/>
  <c r="G13" i="1"/>
  <c r="G41" i="1"/>
  <c r="G96" i="1"/>
  <c r="G26" i="1"/>
  <c r="G27" i="1"/>
  <c r="G28" i="1"/>
  <c r="G29" i="1"/>
  <c r="G37" i="1"/>
  <c r="G31" i="1"/>
  <c r="G32" i="1"/>
  <c r="G33" i="1"/>
  <c r="G54" i="1"/>
  <c r="G97" i="1"/>
  <c r="G2" i="1"/>
  <c r="G83" i="1"/>
  <c r="G81" i="1"/>
  <c r="G44" i="1"/>
  <c r="G65" i="1"/>
  <c r="G119" i="1"/>
  <c r="G42" i="1"/>
  <c r="G43" i="1"/>
  <c r="G107" i="1"/>
  <c r="G45" i="1"/>
  <c r="G35" i="1"/>
  <c r="G47" i="1"/>
  <c r="G11" i="1"/>
  <c r="G117" i="1"/>
  <c r="G50" i="1"/>
  <c r="G3" i="1"/>
  <c r="G63" i="1"/>
  <c r="G53" i="1"/>
  <c r="G76" i="1"/>
  <c r="G55" i="1"/>
  <c r="G36" i="1"/>
  <c r="G57" i="1"/>
  <c r="G30" i="1"/>
  <c r="G59" i="1"/>
  <c r="G60" i="1"/>
  <c r="G61" i="1"/>
  <c r="G73" i="1"/>
  <c r="G21" i="1"/>
  <c r="G116" i="1"/>
  <c r="G51" i="1"/>
  <c r="G93" i="1"/>
  <c r="G67" i="1"/>
  <c r="G101" i="1"/>
  <c r="G69" i="1"/>
  <c r="G70" i="1"/>
  <c r="G39" i="1"/>
  <c r="G23" i="1"/>
  <c r="G38" i="1"/>
  <c r="G58" i="1"/>
  <c r="G75" i="1"/>
  <c r="G71" i="1"/>
  <c r="G66" i="1"/>
  <c r="G78" i="1"/>
  <c r="G4" i="1"/>
  <c r="G89" i="1"/>
  <c r="G82" i="1"/>
  <c r="G64" i="1"/>
  <c r="G84" i="1"/>
  <c r="G108" i="1"/>
  <c r="G86" i="1"/>
  <c r="G104" i="1"/>
  <c r="G88" i="1"/>
  <c r="G16" i="1"/>
  <c r="G115" i="1"/>
  <c r="G91" i="1"/>
  <c r="G49" i="1"/>
  <c r="G68" i="1"/>
  <c r="G94" i="1"/>
  <c r="G77" i="1"/>
  <c r="G90" i="1"/>
  <c r="G62" i="1"/>
  <c r="G46" i="1"/>
  <c r="G17" i="1"/>
  <c r="G10" i="1"/>
  <c r="G87" i="1"/>
  <c r="G102" i="1"/>
  <c r="G103" i="1"/>
  <c r="G14" i="1"/>
  <c r="G25" i="1"/>
  <c r="G98" i="1"/>
  <c r="G74" i="1"/>
  <c r="G34" i="1"/>
  <c r="G109" i="1"/>
  <c r="G110" i="1"/>
  <c r="G111" i="1"/>
  <c r="G112" i="1"/>
  <c r="G113" i="1"/>
  <c r="G105" i="1"/>
  <c r="G72" i="1"/>
  <c r="G85" i="1"/>
  <c r="G52" i="1"/>
  <c r="G118" i="1"/>
  <c r="G24" i="1"/>
  <c r="G92" i="1"/>
</calcChain>
</file>

<file path=xl/sharedStrings.xml><?xml version="1.0" encoding="utf-8"?>
<sst xmlns="http://schemas.openxmlformats.org/spreadsheetml/2006/main" count="478" uniqueCount="226">
  <si>
    <t>ID DESPACHO</t>
  </si>
  <si>
    <t>SALA</t>
  </si>
  <si>
    <t>ESTADO DESPACHO</t>
  </si>
  <si>
    <t>FECHA GENERACION</t>
  </si>
  <si>
    <t>BULTOS PEDIDOS</t>
  </si>
  <si>
    <t>BULTOS SERVIR</t>
  </si>
  <si>
    <t>2026/10/11 17:00:49</t>
  </si>
  <si>
    <t>2026/10/10 08:54:48</t>
  </si>
  <si>
    <t>Con Incidencias</t>
  </si>
  <si>
    <t>2026/10/11 16:59:49</t>
  </si>
  <si>
    <t>2026/10/11 17:02:04</t>
  </si>
  <si>
    <t>2026/10/11 17:03:21</t>
  </si>
  <si>
    <t>2026/10/11 17:03:28</t>
  </si>
  <si>
    <t>2026/10/11 17:13:04</t>
  </si>
  <si>
    <t>2026/10/11 17:17:40</t>
  </si>
  <si>
    <t>2026/10/11 17:17:48</t>
  </si>
  <si>
    <t>2026/10/11 17:19:12</t>
  </si>
  <si>
    <t>2026/10/11 17:20:12</t>
  </si>
  <si>
    <t>2026/10/11 17:28:32</t>
  </si>
  <si>
    <t>2026/10/11 17:29:18</t>
  </si>
  <si>
    <t>2026/10/11 17:30:20</t>
  </si>
  <si>
    <t>2026/10/11 17:00:59</t>
  </si>
  <si>
    <t>2026/10/11 17:33:07</t>
  </si>
  <si>
    <t>2026/10/11 17:45:51</t>
  </si>
  <si>
    <t>2026/10/11 16:59:58</t>
  </si>
  <si>
    <t>2026/10/11 17:08:51</t>
  </si>
  <si>
    <t>2026/10/11 17:03:36</t>
  </si>
  <si>
    <t>2026/10/11 17:11:09</t>
  </si>
  <si>
    <t>2026/10/11 17:15:29</t>
  </si>
  <si>
    <t>2026/10/11 17:21:48</t>
  </si>
  <si>
    <t>2026/10/11 17:23:14</t>
  </si>
  <si>
    <t>2026/10/11 17:26:58</t>
  </si>
  <si>
    <t>2026/10/11 17:28:44</t>
  </si>
  <si>
    <t>2026/10/11 17:28:52</t>
  </si>
  <si>
    <t>2026/10/11 17:31:33</t>
  </si>
  <si>
    <t>2026/10/11 17:31:52</t>
  </si>
  <si>
    <t>2026/10/11 17:27:50</t>
  </si>
  <si>
    <t>2026/10/11 17:02:29</t>
  </si>
  <si>
    <t>2026/10/11 17:19:37</t>
  </si>
  <si>
    <t>2026/10/11 17:21:25</t>
  </si>
  <si>
    <t>2026/10/11 17:22:58</t>
  </si>
  <si>
    <t>2026/10/11 17:26:51</t>
  </si>
  <si>
    <t>2026/10/11 17:28:10</t>
  </si>
  <si>
    <t>2026/10/11 17:32:35</t>
  </si>
  <si>
    <t>2026/10/11 17:00:19</t>
  </si>
  <si>
    <t>2026/10/11 17:01:07</t>
  </si>
  <si>
    <t>2026/10/11 17:01:26</t>
  </si>
  <si>
    <t>2026/10/11 17:02:51</t>
  </si>
  <si>
    <t>2026/10/11 17:10:29</t>
  </si>
  <si>
    <t>2026/10/11 17:13:17</t>
  </si>
  <si>
    <t>2026/10/11 17:13:46</t>
  </si>
  <si>
    <t>2026/10/11 17:14:47</t>
  </si>
  <si>
    <t>2026/10/11 17:16:32</t>
  </si>
  <si>
    <t>2026/10/11 17:14:52</t>
  </si>
  <si>
    <t>2026/10/11 17:19:49</t>
  </si>
  <si>
    <t>2026/10/11 17:26:36</t>
  </si>
  <si>
    <t>2026/10/11 17:29:05</t>
  </si>
  <si>
    <t>2026/10/11 17:31:16</t>
  </si>
  <si>
    <t>2026/10/11 17:45:36</t>
  </si>
  <si>
    <t>2026/10/11 17:46:03</t>
  </si>
  <si>
    <t>2026/10/11 17:32:52</t>
  </si>
  <si>
    <t>2026/10/11 17:03:05</t>
  </si>
  <si>
    <t>2026/10/11 17:04:19</t>
  </si>
  <si>
    <t>2026/10/11 17:08:23</t>
  </si>
  <si>
    <t>2026/10/11 17:10:39</t>
  </si>
  <si>
    <t>2026/10/11 17:13:55</t>
  </si>
  <si>
    <t>2026/10/11 17:14:02</t>
  </si>
  <si>
    <t>2026/10/11 17:16:40</t>
  </si>
  <si>
    <t>2026/10/11 17:16:56</t>
  </si>
  <si>
    <t>2026/10/11 17:22:33</t>
  </si>
  <si>
    <t>2026/10/11 17:23:48</t>
  </si>
  <si>
    <t>2026/10/11 17:29:54</t>
  </si>
  <si>
    <t>2026/10/11 17:30:08</t>
  </si>
  <si>
    <t>2026/10/11 17:20:23</t>
  </si>
  <si>
    <t>2026/10/11 17:22:46</t>
  </si>
  <si>
    <t>2026/10/11 17:23:59</t>
  </si>
  <si>
    <t>2026/10/11 17:24:32</t>
  </si>
  <si>
    <t>2026/10/11 17:24:38</t>
  </si>
  <si>
    <t>2026/10/11 17:27:08</t>
  </si>
  <si>
    <t>2026/10/11 17:27:22</t>
  </si>
  <si>
    <t>2026/10/11 17:29:40</t>
  </si>
  <si>
    <t>2026/10/11 17:31:26</t>
  </si>
  <si>
    <t>2026/10/11 17:32:14</t>
  </si>
  <si>
    <t>2026/10/11 17:45:45</t>
  </si>
  <si>
    <t>2026/10/11 17:04:04</t>
  </si>
  <si>
    <t>2026/10/11 17:05:23</t>
  </si>
  <si>
    <t>2026/10/11 17:08:41</t>
  </si>
  <si>
    <t>2026/10/11 17:17:30</t>
  </si>
  <si>
    <t>2026/10/11 17:19:19</t>
  </si>
  <si>
    <t>2026/10/11 17:20:03</t>
  </si>
  <si>
    <t>2026/10/11 17:21:19</t>
  </si>
  <si>
    <t>2026/10/11 17:23:42</t>
  </si>
  <si>
    <t>2026/10/11 17:25:17</t>
  </si>
  <si>
    <t>2026/10/11 17:45:30</t>
  </si>
  <si>
    <t>2026/10/11 17:04:33</t>
  </si>
  <si>
    <t>2026/10/11 17:05:11</t>
  </si>
  <si>
    <t>2026/10/11 17:05:44</t>
  </si>
  <si>
    <t>2026/10/11 17:13:11</t>
  </si>
  <si>
    <t>2026/10/11 17:14:20</t>
  </si>
  <si>
    <t>2026/10/11 17:17:06</t>
  </si>
  <si>
    <t>2026/10/11 17:19:24</t>
  </si>
  <si>
    <t>2026/10/11 17:19:56</t>
  </si>
  <si>
    <t>2026/10/11 17:22:08</t>
  </si>
  <si>
    <t>2026/10/11 17:28:24</t>
  </si>
  <si>
    <t>2026/10/11 17:32:44</t>
  </si>
  <si>
    <t xml:space="preserve">ESTADO </t>
  </si>
  <si>
    <t>TOTAL</t>
  </si>
  <si>
    <t>ECONO SUPER MAGNOLIA</t>
  </si>
  <si>
    <t>ECONOSUPER BOULEVARD SUR</t>
  </si>
  <si>
    <t>ECONOSUPER LO DE FUENTES</t>
  </si>
  <si>
    <t>ECONOSUPER NIMAJUYU</t>
  </si>
  <si>
    <t>ECONOSUPER XELA</t>
  </si>
  <si>
    <t>ECONOSUPER ZONA 2</t>
  </si>
  <si>
    <t>ECONOSUPER ZONA 6</t>
  </si>
  <si>
    <t>LA TORRE 20 CALLE</t>
  </si>
  <si>
    <t>LA TORRE AMATITLAN</t>
  </si>
  <si>
    <t>LA TORRE AMATITLAN2</t>
  </si>
  <si>
    <t>LA TORRE ANTIGUA 2</t>
  </si>
  <si>
    <t>LA TORRE ANTIGUA 3</t>
  </si>
  <si>
    <t>LA TORRE ARRAZOLA</t>
  </si>
  <si>
    <t>LA TORRE ATANACIO</t>
  </si>
  <si>
    <t>LA TORRE BARBERENA</t>
  </si>
  <si>
    <t>LA TORRE BARCENAS</t>
  </si>
  <si>
    <t>LA TORRE BOCA DEL MONTE</t>
  </si>
  <si>
    <t>LA TORRE CARCHA</t>
  </si>
  <si>
    <t>LA TORRE CAYALA</t>
  </si>
  <si>
    <t>LA TORRE CAYALA 2</t>
  </si>
  <si>
    <t>LA TORRE CENTRANORTE</t>
  </si>
  <si>
    <t>LA TORRE CENTRICO Z5</t>
  </si>
  <si>
    <t>LA TORRE CENTRO</t>
  </si>
  <si>
    <t>LA TORRE CHIMALTENANGO</t>
  </si>
  <si>
    <t>LA TORRE COATEPEQUE 2</t>
  </si>
  <si>
    <t>LA TORRE COBAN</t>
  </si>
  <si>
    <t>LA TORRE EL FRUTAL</t>
  </si>
  <si>
    <t>LA TORRE EL NARANJO</t>
  </si>
  <si>
    <t>LA TORRE EL RODEO</t>
  </si>
  <si>
    <t>LA TORRE ESCALA</t>
  </si>
  <si>
    <t>LA TORRE ESCUINTLA 2</t>
  </si>
  <si>
    <t>LA TORRE FRAIJANES</t>
  </si>
  <si>
    <t>LA TORRE FUTECA Z14</t>
  </si>
  <si>
    <t>LA TORRE GUASTATOYA</t>
  </si>
  <si>
    <t>LA TORRE HUEHUETENANGO</t>
  </si>
  <si>
    <t>LA TORRE HUEHUETENANGO 2</t>
  </si>
  <si>
    <t>LA TORRE INDEPENDENCIA</t>
  </si>
  <si>
    <t>LA TORRE JALAPA</t>
  </si>
  <si>
    <t>LA TORRE JALAPA 2</t>
  </si>
  <si>
    <t>LA TORRE JALAPA 3</t>
  </si>
  <si>
    <t>LA TORRE JUTIAPA</t>
  </si>
  <si>
    <t>LA TORRE LA GOMERA</t>
  </si>
  <si>
    <t>LA TORRE LA QUINTA</t>
  </si>
  <si>
    <t>LA TORRE LA RADIAL</t>
  </si>
  <si>
    <t>LA TORRE LIKIN</t>
  </si>
  <si>
    <t>LA TORRE LINDAMAR</t>
  </si>
  <si>
    <t>LA TORRE LOS AMATES</t>
  </si>
  <si>
    <t>LA TORRE MADERO</t>
  </si>
  <si>
    <t>LA TORRE MALACATAN</t>
  </si>
  <si>
    <t>LA TORRE MARISCAL</t>
  </si>
  <si>
    <t>LA TORRE MAZATENANGO</t>
  </si>
  <si>
    <t>LA TORRE METROCENTRO</t>
  </si>
  <si>
    <t>LA TORRE METRONORTE</t>
  </si>
  <si>
    <t>LA TORRE MILPAS ALTAS</t>
  </si>
  <si>
    <t>LA TORRE MIRAFLORES</t>
  </si>
  <si>
    <t>LA TORRE MITA</t>
  </si>
  <si>
    <t>LA TORRE MIXCO ZONA 1</t>
  </si>
  <si>
    <t>LA TORRE MORALES</t>
  </si>
  <si>
    <t>LA TORRE MUXBAL</t>
  </si>
  <si>
    <t>LA TORRE OAKLAND</t>
  </si>
  <si>
    <t>LA TORRE PALIN</t>
  </si>
  <si>
    <t>LA TORRE PALMERAS</t>
  </si>
  <si>
    <t>LA TORRE PANAJACHEL</t>
  </si>
  <si>
    <t>LA TORRE PETAPA</t>
  </si>
  <si>
    <t>LA TORRE PETAPOLIS</t>
  </si>
  <si>
    <t>LA TORRE PETEN</t>
  </si>
  <si>
    <t>LA TORRE PINARES</t>
  </si>
  <si>
    <t>LA TORRE POPTUN</t>
  </si>
  <si>
    <t>LA TORRE PORTALES</t>
  </si>
  <si>
    <t>LA TORRE PROCERES</t>
  </si>
  <si>
    <t>LA TORRE PUERTO BARRIOS</t>
  </si>
  <si>
    <t>LA TORRE PUERTO SAN JOSE</t>
  </si>
  <si>
    <t>LA TORRE QUICHE</t>
  </si>
  <si>
    <t>LA TORRE QUICHE 2</t>
  </si>
  <si>
    <t>LA TORRE REFORMA</t>
  </si>
  <si>
    <t>LA TORRE RETALHULEU</t>
  </si>
  <si>
    <t>LA TORRE RIO DULCE</t>
  </si>
  <si>
    <t>LA TORRE ROOSEVELT</t>
  </si>
  <si>
    <t>LA TORRE SALAMA</t>
  </si>
  <si>
    <t>LA TORRE SAN BENITO</t>
  </si>
  <si>
    <t>LA TORRE SAN CRISTOBAL</t>
  </si>
  <si>
    <t>LA TORRE SAN FRANCISCO</t>
  </si>
  <si>
    <t>LA TORRE SAN ISIDRO</t>
  </si>
  <si>
    <t>LA TORRE SAN JOSE PINULA</t>
  </si>
  <si>
    <t>LA TORRE SAN JOSE PINULA 2</t>
  </si>
  <si>
    <t>LA TORRE SAN JUAN</t>
  </si>
  <si>
    <t>LA TORRE SAN MARCOS</t>
  </si>
  <si>
    <t>LA TORRE SAN MIGUEL PETAPA</t>
  </si>
  <si>
    <t>LA TORRE SAN NICOLAS</t>
  </si>
  <si>
    <t>LA TORRE SAN RAFAEL</t>
  </si>
  <si>
    <t>LA TORRE SANARATE</t>
  </si>
  <si>
    <t>LA TORRE SANKRIS</t>
  </si>
  <si>
    <t>LA TORRE SANTA LUCIA</t>
  </si>
  <si>
    <t>LA TORRE SANTALU</t>
  </si>
  <si>
    <t>LA TORRE TECULUTAN</t>
  </si>
  <si>
    <t>LA TORRE TIQUISATE</t>
  </si>
  <si>
    <t>LA TORRE TOTONICAPAN</t>
  </si>
  <si>
    <t>LA TORRE TRINIDAD</t>
  </si>
  <si>
    <t>LA TORRE VILLA CANALES</t>
  </si>
  <si>
    <t>LA TORRE VILLA HERMOSA</t>
  </si>
  <si>
    <t>LA TORRE VISTA HERMOSA 1</t>
  </si>
  <si>
    <t>LA TORRE XELA</t>
  </si>
  <si>
    <t>LA TORRE XELA 3</t>
  </si>
  <si>
    <t>LA TORRE XELA 5</t>
  </si>
  <si>
    <t>LA TORRE ZACAPA</t>
  </si>
  <si>
    <t>LA TORRE ZACAPA 2</t>
  </si>
  <si>
    <t>LA TORRE ZONA 10</t>
  </si>
  <si>
    <t>LA TORRE ZONA 11</t>
  </si>
  <si>
    <t>LA TORRE ZONA 13 AMERICAS</t>
  </si>
  <si>
    <t>LA TORRE ZONA 14</t>
  </si>
  <si>
    <t>LA TORRE ZONA 15</t>
  </si>
  <si>
    <t>LA TORRE ZONA 2</t>
  </si>
  <si>
    <t>LA TORRE ZONA 4</t>
  </si>
  <si>
    <t>LA TORRE ZONA 5</t>
  </si>
  <si>
    <t>LT ANTIGUA 1</t>
  </si>
  <si>
    <t>LT SAN JOSE PINULA 3</t>
  </si>
  <si>
    <t>LT XELA 4</t>
  </si>
  <si>
    <t>LA TORRE MARISCAL 2</t>
  </si>
  <si>
    <t>LA TORRE SAN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</si>
</sst>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;\(0.00\)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8"/>
      <color rgb="FF000000"/>
      <name val="Tahoma"/>
    </font>
    <font>
      <sz val="8"/>
      <color rgb="FF696969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  <xf numFmtId="14" fontId="2" fillId="2" borderId="1" xfId="0" applyNumberFormat="1" applyFont="1" applyFill="1" applyBorder="1" applyAlignment="1">
      <alignment vertical="top" wrapText="1" readingOrder="1"/>
    </xf>
    <xf numFmtId="164" fontId="1" fillId="0" borderId="0" xfId="0" applyNumberFormat="1" applyFont="1"/>
    <xf numFmtId="0" fontId="3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2-10-2026/APROBADOS%2012-10-2026.xlsx" TargetMode="External"/><Relationship Id="rId1" Type="http://schemas.openxmlformats.org/officeDocument/2006/relationships/externalLinkPath" Target="APROBADOS%2012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2-10-2026"/>
    </sheetNames>
    <sheetDataSet>
      <sheetData sheetId="0">
        <row r="5">
          <cell r="A5" t="str">
            <v>ECONO SUPER MAGNOLIA</v>
          </cell>
          <cell r="B5">
            <v>73</v>
          </cell>
        </row>
        <row r="6">
          <cell r="A6" t="str">
            <v>ECONOSUPER BOULEVARD SUR</v>
          </cell>
          <cell r="B6">
            <v>80</v>
          </cell>
        </row>
        <row r="7">
          <cell r="A7" t="str">
            <v>ECONOSUPER LA BRIGADA</v>
          </cell>
          <cell r="B7">
            <v>133</v>
          </cell>
        </row>
        <row r="8">
          <cell r="A8" t="str">
            <v>ECONOSUPER LO DE FUENTES</v>
          </cell>
          <cell r="B8">
            <v>141</v>
          </cell>
        </row>
        <row r="9">
          <cell r="A9" t="str">
            <v>ECONOSUPER MILPAS ALTAS</v>
          </cell>
          <cell r="B9">
            <v>89</v>
          </cell>
        </row>
        <row r="10">
          <cell r="A10" t="str">
            <v>ECONOSUPER NIMAJUYU</v>
          </cell>
          <cell r="B10">
            <v>104</v>
          </cell>
        </row>
        <row r="11">
          <cell r="A11" t="str">
            <v>ECONOSUPER XELA</v>
          </cell>
          <cell r="B11">
            <v>107</v>
          </cell>
        </row>
        <row r="12">
          <cell r="A12" t="str">
            <v>ECONOSUPER ZONA 2</v>
          </cell>
          <cell r="B12">
            <v>118</v>
          </cell>
        </row>
        <row r="13">
          <cell r="A13" t="str">
            <v>ECONOSUPER ZONA 6</v>
          </cell>
          <cell r="B13">
            <v>153</v>
          </cell>
        </row>
        <row r="14">
          <cell r="A14" t="str">
            <v>LA TORRE 20 CALLE</v>
          </cell>
          <cell r="B14">
            <v>266</v>
          </cell>
        </row>
        <row r="15">
          <cell r="A15" t="str">
            <v>LA TORRE AMATITLAN</v>
          </cell>
          <cell r="B15">
            <v>153</v>
          </cell>
        </row>
        <row r="16">
          <cell r="A16" t="str">
            <v>LA TORRE AMATITLAN2</v>
          </cell>
          <cell r="B16">
            <v>162</v>
          </cell>
        </row>
        <row r="17">
          <cell r="A17" t="str">
            <v>LA TORRE ANTIGUA 2</v>
          </cell>
          <cell r="B17">
            <v>271</v>
          </cell>
        </row>
        <row r="18">
          <cell r="A18" t="str">
            <v>LA TORRE ANTIGUA 3</v>
          </cell>
          <cell r="B18">
            <v>95</v>
          </cell>
        </row>
        <row r="19">
          <cell r="A19" t="str">
            <v>LA TORRE ARRAZOLA</v>
          </cell>
          <cell r="B19">
            <v>242</v>
          </cell>
        </row>
        <row r="20">
          <cell r="A20" t="str">
            <v>LA TORRE ATANACIO</v>
          </cell>
          <cell r="B20">
            <v>199</v>
          </cell>
        </row>
        <row r="21">
          <cell r="A21" t="str">
            <v>LA TORRE BARBERENA</v>
          </cell>
          <cell r="B21">
            <v>121</v>
          </cell>
        </row>
        <row r="22">
          <cell r="A22" t="str">
            <v>LA TORRE BARCENAS</v>
          </cell>
          <cell r="B22">
            <v>187</v>
          </cell>
        </row>
        <row r="23">
          <cell r="A23" t="str">
            <v>LA TORRE BOCA DEL MONTE</v>
          </cell>
          <cell r="B23">
            <v>244</v>
          </cell>
        </row>
        <row r="24">
          <cell r="A24" t="str">
            <v>LA TORRE CARCHA</v>
          </cell>
          <cell r="B24">
            <v>151</v>
          </cell>
        </row>
        <row r="25">
          <cell r="A25" t="str">
            <v>LA TORRE CAYALA</v>
          </cell>
          <cell r="B25">
            <v>397</v>
          </cell>
        </row>
        <row r="26">
          <cell r="A26" t="str">
            <v>LA TORRE CAYALA 2</v>
          </cell>
          <cell r="B26">
            <v>201</v>
          </cell>
        </row>
        <row r="27">
          <cell r="A27" t="str">
            <v>LA TORRE CENTRANORTE</v>
          </cell>
          <cell r="B27">
            <v>212</v>
          </cell>
        </row>
        <row r="28">
          <cell r="A28" t="str">
            <v>LA TORRE CENTRASUR</v>
          </cell>
          <cell r="B28">
            <v>222</v>
          </cell>
        </row>
        <row r="29">
          <cell r="A29" t="str">
            <v>LA TORRE CENTRICO Z5</v>
          </cell>
          <cell r="B29">
            <v>180</v>
          </cell>
        </row>
        <row r="30">
          <cell r="A30" t="str">
            <v>LA TORRE CENTRO</v>
          </cell>
          <cell r="B30">
            <v>147</v>
          </cell>
        </row>
        <row r="31">
          <cell r="A31" t="str">
            <v>LA TORRE CHIMALTENANGO</v>
          </cell>
          <cell r="B31">
            <v>312</v>
          </cell>
        </row>
        <row r="32">
          <cell r="A32" t="str">
            <v>LA TORRE CIUDAD VIEJA</v>
          </cell>
          <cell r="B32">
            <v>230</v>
          </cell>
        </row>
        <row r="33">
          <cell r="A33" t="str">
            <v>LA TORRE COATEPEQUE 2</v>
          </cell>
          <cell r="B33">
            <v>170</v>
          </cell>
        </row>
        <row r="34">
          <cell r="A34" t="str">
            <v>LA TORRE COBAN</v>
          </cell>
          <cell r="B34">
            <v>189</v>
          </cell>
        </row>
        <row r="35">
          <cell r="A35" t="str">
            <v>LA TORRE EL FRUTAL</v>
          </cell>
          <cell r="B35">
            <v>280</v>
          </cell>
        </row>
        <row r="36">
          <cell r="A36" t="str">
            <v>LA TORRE EL NARANJO</v>
          </cell>
          <cell r="B36">
            <v>370</v>
          </cell>
        </row>
        <row r="37">
          <cell r="A37" t="str">
            <v>LA TORRE EL RODEO</v>
          </cell>
          <cell r="B37">
            <v>118</v>
          </cell>
        </row>
        <row r="38">
          <cell r="A38" t="str">
            <v>LA TORRE ENCINAL</v>
          </cell>
          <cell r="B38">
            <v>322</v>
          </cell>
        </row>
        <row r="39">
          <cell r="A39" t="str">
            <v>LA TORRE ESCALA</v>
          </cell>
          <cell r="B39">
            <v>129</v>
          </cell>
        </row>
        <row r="40">
          <cell r="A40" t="str">
            <v>LA TORRE ESCUINTLA 2</v>
          </cell>
          <cell r="B40">
            <v>161</v>
          </cell>
        </row>
        <row r="41">
          <cell r="A41" t="str">
            <v>LA TORRE ESCUINTLA 3</v>
          </cell>
          <cell r="B41">
            <v>319</v>
          </cell>
        </row>
        <row r="42">
          <cell r="A42" t="str">
            <v>LA TORRE ESQUIPULAS</v>
          </cell>
          <cell r="B42">
            <v>334</v>
          </cell>
        </row>
        <row r="43">
          <cell r="A43" t="str">
            <v>LA TORRE FRAIJANES</v>
          </cell>
          <cell r="B43">
            <v>157</v>
          </cell>
        </row>
        <row r="44">
          <cell r="A44" t="str">
            <v>LA TORRE FUTECA Z14</v>
          </cell>
          <cell r="B44">
            <v>155</v>
          </cell>
        </row>
        <row r="45">
          <cell r="A45" t="str">
            <v>LA TORRE GUASTATOYA</v>
          </cell>
          <cell r="B45">
            <v>196</v>
          </cell>
        </row>
        <row r="46">
          <cell r="A46" t="str">
            <v>LA TORRE HUEHUETENANGO</v>
          </cell>
          <cell r="B46">
            <v>222</v>
          </cell>
        </row>
        <row r="47">
          <cell r="A47" t="str">
            <v>LA TORRE HUEHUETENANGO 2</v>
          </cell>
          <cell r="B47">
            <v>135</v>
          </cell>
        </row>
        <row r="48">
          <cell r="A48" t="str">
            <v>LA TORRE INDEPENDENCIA</v>
          </cell>
          <cell r="B48">
            <v>166</v>
          </cell>
        </row>
        <row r="49">
          <cell r="A49" t="str">
            <v>LA TORRE JALAPA</v>
          </cell>
          <cell r="B49">
            <v>118</v>
          </cell>
        </row>
        <row r="50">
          <cell r="A50" t="str">
            <v>LA TORRE JALAPA 2</v>
          </cell>
          <cell r="B50">
            <v>168</v>
          </cell>
        </row>
        <row r="51">
          <cell r="A51" t="str">
            <v>LA TORRE JALAPA 3</v>
          </cell>
          <cell r="B51">
            <v>101</v>
          </cell>
        </row>
        <row r="52">
          <cell r="A52" t="str">
            <v>LA TORRE JOCOTENANGO</v>
          </cell>
          <cell r="B52">
            <v>177</v>
          </cell>
        </row>
        <row r="53">
          <cell r="A53" t="str">
            <v>LA TORRE JUTIAPA</v>
          </cell>
          <cell r="B53">
            <v>217</v>
          </cell>
        </row>
        <row r="54">
          <cell r="A54" t="str">
            <v>LA TORRE LA GOMERA</v>
          </cell>
          <cell r="B54">
            <v>76</v>
          </cell>
        </row>
        <row r="55">
          <cell r="A55" t="str">
            <v>LA TORRE LA QUINTA</v>
          </cell>
          <cell r="B55">
            <v>131</v>
          </cell>
        </row>
        <row r="56">
          <cell r="A56" t="str">
            <v>LA TORRE LA RADIAL</v>
          </cell>
          <cell r="B56">
            <v>102</v>
          </cell>
        </row>
        <row r="57">
          <cell r="A57" t="str">
            <v>LA TORRE LIKIN</v>
          </cell>
          <cell r="B57">
            <v>157</v>
          </cell>
        </row>
        <row r="58">
          <cell r="A58" t="str">
            <v>LA TORRE LINDAMAR</v>
          </cell>
          <cell r="B58">
            <v>64</v>
          </cell>
        </row>
        <row r="59">
          <cell r="A59" t="str">
            <v>LA TORRE LOS AMATES</v>
          </cell>
          <cell r="B59">
            <v>74</v>
          </cell>
        </row>
        <row r="60">
          <cell r="A60" t="str">
            <v>LA TORRE MADERO</v>
          </cell>
          <cell r="B60">
            <v>239</v>
          </cell>
        </row>
        <row r="61">
          <cell r="A61" t="str">
            <v>LA TORRE MALACATAN</v>
          </cell>
          <cell r="B61">
            <v>196</v>
          </cell>
        </row>
        <row r="62">
          <cell r="A62" t="str">
            <v>LA TORRE MARISCAL</v>
          </cell>
          <cell r="B62">
            <v>42</v>
          </cell>
        </row>
        <row r="63">
          <cell r="A63" t="str">
            <v>LA TORRE MARISCAL 2</v>
          </cell>
          <cell r="B63">
            <v>395</v>
          </cell>
        </row>
        <row r="64">
          <cell r="A64" t="str">
            <v>LA TORRE MAZATENANGO</v>
          </cell>
          <cell r="B64">
            <v>210</v>
          </cell>
        </row>
        <row r="65">
          <cell r="A65" t="str">
            <v>LA TORRE METROCENTRO</v>
          </cell>
          <cell r="B65">
            <v>185</v>
          </cell>
        </row>
        <row r="66">
          <cell r="A66" t="str">
            <v>LA TORRE METRONORTE</v>
          </cell>
          <cell r="B66">
            <v>322</v>
          </cell>
        </row>
        <row r="67">
          <cell r="A67" t="str">
            <v>LA TORRE MILPAS ALTAS</v>
          </cell>
          <cell r="B67">
            <v>243</v>
          </cell>
        </row>
        <row r="68">
          <cell r="A68" t="str">
            <v>LA TORRE MIRAFLORES</v>
          </cell>
          <cell r="B68">
            <v>262</v>
          </cell>
        </row>
        <row r="69">
          <cell r="A69" t="str">
            <v>LA TORRE MITA</v>
          </cell>
          <cell r="B69">
            <v>219</v>
          </cell>
        </row>
        <row r="70">
          <cell r="A70" t="str">
            <v>LA TORRE MIXCO ZONA 1</v>
          </cell>
          <cell r="B70">
            <v>121</v>
          </cell>
        </row>
        <row r="71">
          <cell r="A71" t="str">
            <v>LA TORRE MORALES</v>
          </cell>
          <cell r="B71">
            <v>104</v>
          </cell>
        </row>
        <row r="72">
          <cell r="A72" t="str">
            <v>LA TORRE MUXBAL</v>
          </cell>
          <cell r="B72">
            <v>139</v>
          </cell>
        </row>
        <row r="73">
          <cell r="A73" t="str">
            <v>LA TORRE OAKLAND</v>
          </cell>
          <cell r="B73">
            <v>300</v>
          </cell>
        </row>
        <row r="74">
          <cell r="A74" t="str">
            <v>LA TORRE PALIN</v>
          </cell>
          <cell r="B74">
            <v>141</v>
          </cell>
        </row>
        <row r="75">
          <cell r="A75" t="str">
            <v>LA TORRE PALMERAS</v>
          </cell>
          <cell r="B75">
            <v>180</v>
          </cell>
        </row>
        <row r="76">
          <cell r="A76" t="str">
            <v>LA TORRE PANAJACHEL</v>
          </cell>
          <cell r="B76">
            <v>197</v>
          </cell>
        </row>
        <row r="77">
          <cell r="A77" t="str">
            <v>LA TORRE PETAPA</v>
          </cell>
          <cell r="B77">
            <v>112</v>
          </cell>
        </row>
        <row r="78">
          <cell r="A78" t="str">
            <v>LA TORRE PETAPOLIS</v>
          </cell>
          <cell r="B78">
            <v>151</v>
          </cell>
        </row>
        <row r="79">
          <cell r="A79" t="str">
            <v>LA TORRE PETEN</v>
          </cell>
          <cell r="B79">
            <v>196</v>
          </cell>
        </row>
        <row r="80">
          <cell r="A80" t="str">
            <v>LA TORRE PINARES</v>
          </cell>
          <cell r="B80">
            <v>293</v>
          </cell>
        </row>
        <row r="81">
          <cell r="A81" t="str">
            <v>LA TORRE POPTUN</v>
          </cell>
          <cell r="B81">
            <v>197</v>
          </cell>
        </row>
        <row r="82">
          <cell r="A82" t="str">
            <v>LA TORRE PORTALES</v>
          </cell>
          <cell r="B82">
            <v>299</v>
          </cell>
        </row>
        <row r="83">
          <cell r="A83" t="str">
            <v>LA TORRE PROCERES</v>
          </cell>
          <cell r="B83">
            <v>187</v>
          </cell>
        </row>
        <row r="84">
          <cell r="A84" t="str">
            <v>LA TORRE PUERTO BARRIOS</v>
          </cell>
          <cell r="B84">
            <v>166</v>
          </cell>
        </row>
        <row r="85">
          <cell r="A85" t="str">
            <v>LA TORRE PUERTO SAN JOSE</v>
          </cell>
          <cell r="B85">
            <v>242</v>
          </cell>
        </row>
        <row r="86">
          <cell r="A86" t="str">
            <v>LA TORRE QUICHE</v>
          </cell>
          <cell r="B86">
            <v>159</v>
          </cell>
        </row>
        <row r="87">
          <cell r="A87" t="str">
            <v>LA TORRE QUICHE 2</v>
          </cell>
          <cell r="B87">
            <v>65</v>
          </cell>
        </row>
        <row r="88">
          <cell r="A88" t="str">
            <v>LA TORRE REFORMA</v>
          </cell>
          <cell r="B88">
            <v>97</v>
          </cell>
        </row>
        <row r="89">
          <cell r="A89" t="str">
            <v>LA TORRE RETALHULEU</v>
          </cell>
          <cell r="B89">
            <v>160</v>
          </cell>
        </row>
        <row r="90">
          <cell r="A90" t="str">
            <v>LA TORRE RIO DULCE</v>
          </cell>
          <cell r="B90">
            <v>237</v>
          </cell>
        </row>
        <row r="91">
          <cell r="A91" t="str">
            <v>LA TORRE ROOSEVELT</v>
          </cell>
          <cell r="B91">
            <v>180</v>
          </cell>
        </row>
        <row r="92">
          <cell r="A92" t="str">
            <v>LA TORRE SALAMA</v>
          </cell>
          <cell r="B92">
            <v>250</v>
          </cell>
        </row>
        <row r="93">
          <cell r="A93" t="str">
            <v>LA TORRE SAN BENITO</v>
          </cell>
          <cell r="B93">
            <v>186</v>
          </cell>
        </row>
        <row r="94">
          <cell r="A94" t="str">
            <v>LA TORRE SAN CRISTOBAL</v>
          </cell>
          <cell r="B94">
            <v>138</v>
          </cell>
        </row>
        <row r="95">
          <cell r="A95" t="str">
            <v>LA TORRE SAN FRANCISCO</v>
          </cell>
          <cell r="B95">
            <v>121</v>
          </cell>
        </row>
        <row r="96">
          <cell r="A96" t="str">
            <v>LA TORRE SAN IGNACIO</v>
          </cell>
          <cell r="B96">
            <v>279</v>
          </cell>
        </row>
        <row r="97">
          <cell r="A97" t="str">
            <v>LA TORRE SAN ISIDRO</v>
          </cell>
          <cell r="B97">
            <v>243</v>
          </cell>
        </row>
        <row r="98">
          <cell r="A98" t="str">
            <v>LA TORRE SAN JOSE PINULA</v>
          </cell>
          <cell r="B98">
            <v>181</v>
          </cell>
        </row>
        <row r="99">
          <cell r="A99" t="str">
            <v>LA TORRE SAN JOSE PINULA 2</v>
          </cell>
          <cell r="B99">
            <v>206</v>
          </cell>
        </row>
        <row r="100">
          <cell r="A100" t="str">
            <v>LA TORRE SAN JUAN</v>
          </cell>
          <cell r="B100">
            <v>147</v>
          </cell>
        </row>
        <row r="101">
          <cell r="A101" t="str">
            <v>LA TORRE SAN LUCAS</v>
          </cell>
          <cell r="B101">
            <v>338</v>
          </cell>
        </row>
        <row r="102">
          <cell r="A102" t="str">
            <v>LA TORRE SAN MARCOS</v>
          </cell>
          <cell r="B102">
            <v>302</v>
          </cell>
        </row>
        <row r="103">
          <cell r="A103" t="str">
            <v>LA TORRE SAN MIGUEL PETAPA</v>
          </cell>
          <cell r="B103">
            <v>155</v>
          </cell>
        </row>
        <row r="104">
          <cell r="A104" t="str">
            <v>LA TORRE SAN MIGUEL PETAPA 2</v>
          </cell>
          <cell r="B104">
            <v>194</v>
          </cell>
        </row>
        <row r="105">
          <cell r="A105" t="str">
            <v>LA TORRE SAN NICOLAS</v>
          </cell>
          <cell r="B105">
            <v>151</v>
          </cell>
        </row>
        <row r="106">
          <cell r="A106" t="str">
            <v>LA TORRE SAN RAFAEL</v>
          </cell>
          <cell r="B106">
            <v>180</v>
          </cell>
        </row>
        <row r="107">
          <cell r="A107" t="str">
            <v>LA TORRE SANARATE</v>
          </cell>
          <cell r="B107">
            <v>106</v>
          </cell>
        </row>
        <row r="108">
          <cell r="A108" t="str">
            <v>LA TORRE SANKRIS</v>
          </cell>
          <cell r="B108">
            <v>364</v>
          </cell>
        </row>
        <row r="109">
          <cell r="A109" t="str">
            <v>LA TORRE SANTA LUCIA</v>
          </cell>
          <cell r="B109">
            <v>123</v>
          </cell>
        </row>
        <row r="110">
          <cell r="A110" t="str">
            <v>LA TORRE SANTALU</v>
          </cell>
          <cell r="B110">
            <v>147</v>
          </cell>
        </row>
        <row r="111">
          <cell r="A111" t="str">
            <v>LA TORRE TECULUTAN</v>
          </cell>
          <cell r="B111">
            <v>121</v>
          </cell>
        </row>
        <row r="112">
          <cell r="A112" t="str">
            <v>LA TORRE TIQUISATE</v>
          </cell>
          <cell r="B112">
            <v>210</v>
          </cell>
        </row>
        <row r="113">
          <cell r="A113" t="str">
            <v>LA TORRE TOTONICAPAN</v>
          </cell>
          <cell r="B113">
            <v>63</v>
          </cell>
        </row>
        <row r="114">
          <cell r="A114" t="str">
            <v>LA TORRE TRINIDAD</v>
          </cell>
          <cell r="B114">
            <v>220</v>
          </cell>
        </row>
        <row r="115">
          <cell r="A115" t="str">
            <v>LA TORRE TULAM TZU</v>
          </cell>
          <cell r="B115">
            <v>185</v>
          </cell>
        </row>
        <row r="116">
          <cell r="A116" t="str">
            <v>LA TORRE VILLA CANALES</v>
          </cell>
          <cell r="B116">
            <v>192</v>
          </cell>
        </row>
        <row r="117">
          <cell r="A117" t="str">
            <v>LA TORRE VILLA HERMOSA</v>
          </cell>
          <cell r="B117">
            <v>215</v>
          </cell>
        </row>
        <row r="118">
          <cell r="A118" t="str">
            <v>LA TORRE VILLA NUEVA</v>
          </cell>
          <cell r="B118">
            <v>223</v>
          </cell>
        </row>
        <row r="119">
          <cell r="A119" t="str">
            <v>LA TORRE VISTA HERMOSA 1</v>
          </cell>
          <cell r="B119">
            <v>64</v>
          </cell>
        </row>
        <row r="120">
          <cell r="A120" t="str">
            <v>LA TORRE XELA</v>
          </cell>
          <cell r="B120">
            <v>228</v>
          </cell>
        </row>
        <row r="121">
          <cell r="A121" t="str">
            <v>LA TORRE XELA 3</v>
          </cell>
          <cell r="B121">
            <v>306</v>
          </cell>
        </row>
        <row r="122">
          <cell r="A122" t="str">
            <v>LA TORRE XELA 5</v>
          </cell>
          <cell r="B122">
            <v>167</v>
          </cell>
        </row>
        <row r="123">
          <cell r="A123" t="str">
            <v>LA TORRE ZACAPA</v>
          </cell>
          <cell r="B123">
            <v>121</v>
          </cell>
        </row>
        <row r="124">
          <cell r="A124" t="str">
            <v>LA TORRE ZACAPA 2</v>
          </cell>
          <cell r="B124">
            <v>214</v>
          </cell>
        </row>
        <row r="125">
          <cell r="A125" t="str">
            <v>LA TORRE ZONA 10</v>
          </cell>
          <cell r="B125">
            <v>149</v>
          </cell>
        </row>
        <row r="126">
          <cell r="A126" t="str">
            <v>LA TORRE ZONA 11</v>
          </cell>
          <cell r="B126">
            <v>128</v>
          </cell>
        </row>
        <row r="127">
          <cell r="A127" t="str">
            <v>LA TORRE ZONA 13 AMERICAS</v>
          </cell>
          <cell r="B127">
            <v>212</v>
          </cell>
        </row>
        <row r="128">
          <cell r="A128" t="str">
            <v>LA TORRE ZONA 14</v>
          </cell>
          <cell r="B128">
            <v>180</v>
          </cell>
        </row>
        <row r="129">
          <cell r="A129" t="str">
            <v>LA TORRE ZONA 15</v>
          </cell>
          <cell r="B129">
            <v>389</v>
          </cell>
        </row>
        <row r="130">
          <cell r="A130" t="str">
            <v>LA TORRE ZONA 16</v>
          </cell>
          <cell r="B130">
            <v>241</v>
          </cell>
        </row>
        <row r="131">
          <cell r="A131" t="str">
            <v>LA TORRE ZONA 19</v>
          </cell>
          <cell r="B131">
            <v>173</v>
          </cell>
        </row>
        <row r="132">
          <cell r="A132" t="str">
            <v>LA TORRE ZONA 2</v>
          </cell>
          <cell r="B132">
            <v>148</v>
          </cell>
        </row>
        <row r="133">
          <cell r="A133" t="str">
            <v>LA TORRE ZONA 3</v>
          </cell>
          <cell r="B133">
            <v>334</v>
          </cell>
        </row>
        <row r="134">
          <cell r="A134" t="str">
            <v>LA TORRE ZONA 4</v>
          </cell>
          <cell r="B134">
            <v>74</v>
          </cell>
        </row>
        <row r="135">
          <cell r="A135" t="str">
            <v>LA TORRE ZONA 5</v>
          </cell>
          <cell r="B135">
            <v>208</v>
          </cell>
        </row>
        <row r="136">
          <cell r="A136" t="str">
            <v>LT ANTIGUA 1</v>
          </cell>
          <cell r="B136">
            <v>202</v>
          </cell>
        </row>
        <row r="137">
          <cell r="A137" t="str">
            <v>LT SAN JOSE PINULA 3</v>
          </cell>
          <cell r="B137">
            <v>221</v>
          </cell>
        </row>
        <row r="138">
          <cell r="A138" t="str">
            <v>LT XELA 4</v>
          </cell>
          <cell r="B138">
            <v>166</v>
          </cell>
        </row>
        <row r="139">
          <cell r="A139" t="str">
            <v>Total general</v>
          </cell>
          <cell r="B139">
            <v>25199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/>
  <dimension ref="A1:I245"/>
  <sheetViews>
    <sheetView showGridLines="0" tabSelected="1" topLeftCell="A231" workbookViewId="0">
      <selection activeCell="D245" sqref="D133:D245"/>
    </sheetView>
  </sheetViews>
  <sheetFormatPr baseColWidth="10" defaultRowHeight="14.4"/>
  <cols>
    <col min="1" max="1" width="19" customWidth="1"/>
    <col min="2" max="2" width="21.21875" bestFit="1" customWidth="1"/>
    <col min="3" max="3" width="24.33203125" customWidth="1"/>
    <col min="4" max="4" width="23.5546875" customWidth="1"/>
    <col min="5" max="6" width="13.6640625" customWidth="1"/>
  </cols>
  <sheetData>
    <row r="1" spans="1:9" ht="26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7">
        <v>46307</v>
      </c>
      <c r="I1" s="1" t="s">
        <v>106</v>
      </c>
    </row>
    <row r="2" spans="1:9" ht="14.4" customHeight="1">
      <c r="A2" s="2">
        <v>800385</v>
      </c>
      <c r="B2" s="2" t="s">
        <v>143</v>
      </c>
      <c r="C2" s="2" t="s">
        <v>8</v>
      </c>
      <c r="D2" s="3" t="s">
        <v>50</v>
      </c>
      <c r="E2" s="4">
        <v>1032</v>
      </c>
      <c r="F2" s="5">
        <v>998</v>
      </c>
      <c r="G2" t="str">
        <f>+VLOOKUP(B2,'[1]TIENDAS 2025'!$A$1:$C$143,3,0)</f>
        <v>departamental</v>
      </c>
      <c r="H2">
        <f>+VLOOKUP(B2,[2]Hoja1!$A$5:$B$139,2,0)</f>
        <v>166</v>
      </c>
      <c r="I2" s="8">
        <f>+E2+H2</f>
        <v>1198</v>
      </c>
    </row>
    <row r="3" spans="1:9" ht="14.4" customHeight="1">
      <c r="A3" s="2">
        <v>800400</v>
      </c>
      <c r="B3" s="2" t="s">
        <v>157</v>
      </c>
      <c r="C3" s="2" t="s">
        <v>8</v>
      </c>
      <c r="D3" s="3" t="s">
        <v>87</v>
      </c>
      <c r="E3" s="4">
        <v>873</v>
      </c>
      <c r="F3" s="5">
        <v>849</v>
      </c>
      <c r="G3" t="str">
        <f>+VLOOKUP(B3,'[1]TIENDAS 2025'!$A$1:$C$143,3,0)</f>
        <v>departamental</v>
      </c>
      <c r="H3">
        <f>+VLOOKUP(B3,[2]Hoja1!$A$5:$B$139,2,0)</f>
        <v>210</v>
      </c>
      <c r="I3" s="8">
        <f>+E3+H3</f>
        <v>1083</v>
      </c>
    </row>
    <row r="4" spans="1:9" ht="14.4" customHeight="1">
      <c r="A4" s="2">
        <v>800428</v>
      </c>
      <c r="B4" s="2" t="s">
        <v>185</v>
      </c>
      <c r="C4" s="2" t="s">
        <v>8</v>
      </c>
      <c r="D4" s="3" t="s">
        <v>76</v>
      </c>
      <c r="E4" s="4">
        <v>833</v>
      </c>
      <c r="F4" s="5">
        <v>816</v>
      </c>
      <c r="G4" t="str">
        <f>+VLOOKUP(B4,'[1]TIENDAS 2025'!$A$1:$C$143,3,0)</f>
        <v>departamental</v>
      </c>
      <c r="H4">
        <f>+VLOOKUP(B4,[2]Hoja1!$A$5:$B$139,2,0)</f>
        <v>250</v>
      </c>
      <c r="I4" s="8">
        <f>+E4+H4</f>
        <v>1083</v>
      </c>
    </row>
    <row r="5" spans="1:9" ht="14.4" hidden="1" customHeight="1">
      <c r="A5" s="2">
        <v>800350</v>
      </c>
      <c r="B5" s="2" t="s">
        <v>112</v>
      </c>
      <c r="C5" s="2" t="s">
        <v>8</v>
      </c>
      <c r="D5" s="3" t="s">
        <v>44</v>
      </c>
      <c r="E5" s="4">
        <v>149</v>
      </c>
      <c r="F5" s="5">
        <v>148</v>
      </c>
      <c r="G5" t="str">
        <f>+VLOOKUP(B5,'[1]TIENDAS 2025'!$A$1:$C$143,3,0)</f>
        <v>prioridad</v>
      </c>
      <c r="H5">
        <f>+VLOOKUP(B5,[2]Hoja1!$A$5:$B$139,2,0)</f>
        <v>118</v>
      </c>
      <c r="I5" s="8">
        <f>+E5+H5</f>
        <v>267</v>
      </c>
    </row>
    <row r="6" spans="1:9" ht="14.4" hidden="1" customHeight="1">
      <c r="A6" s="2">
        <v>800351</v>
      </c>
      <c r="B6" s="2" t="s">
        <v>113</v>
      </c>
      <c r="C6" s="2" t="s">
        <v>8</v>
      </c>
      <c r="D6" s="3" t="s">
        <v>46</v>
      </c>
      <c r="E6" s="4">
        <v>224</v>
      </c>
      <c r="F6" s="5">
        <v>222</v>
      </c>
      <c r="G6" t="str">
        <f>+VLOOKUP(B6,'[1]TIENDAS 2025'!$A$1:$C$143,3,0)</f>
        <v>prioridad</v>
      </c>
      <c r="H6">
        <f>+VLOOKUP(B6,[2]Hoja1!$A$5:$B$139,2,0)</f>
        <v>153</v>
      </c>
      <c r="I6" s="8">
        <f>+E6+H6</f>
        <v>377</v>
      </c>
    </row>
    <row r="7" spans="1:9" ht="14.4" hidden="1" customHeight="1">
      <c r="A7" s="2">
        <v>800352</v>
      </c>
      <c r="B7" s="2" t="s">
        <v>114</v>
      </c>
      <c r="C7" s="2" t="s">
        <v>8</v>
      </c>
      <c r="D7" s="3" t="s">
        <v>10</v>
      </c>
      <c r="E7" s="4">
        <v>375</v>
      </c>
      <c r="F7" s="5">
        <v>358</v>
      </c>
      <c r="G7" t="str">
        <f>+VLOOKUP(B7,'[1]TIENDAS 2025'!$A$1:$C$143,3,0)</f>
        <v>nocturna</v>
      </c>
      <c r="H7">
        <f>+VLOOKUP(B7,[2]Hoja1!$A$5:$B$139,2,0)</f>
        <v>266</v>
      </c>
      <c r="I7" s="8">
        <f>+E7+H7</f>
        <v>641</v>
      </c>
    </row>
    <row r="8" spans="1:9" ht="14.4" hidden="1" customHeight="1">
      <c r="A8" s="2">
        <v>800353</v>
      </c>
      <c r="B8" s="2" t="s">
        <v>115</v>
      </c>
      <c r="C8" s="2" t="s">
        <v>8</v>
      </c>
      <c r="D8" s="3" t="s">
        <v>45</v>
      </c>
      <c r="E8" s="4">
        <v>168</v>
      </c>
      <c r="F8" s="5">
        <v>168</v>
      </c>
      <c r="G8" t="str">
        <f>+VLOOKUP(B8,'[1]TIENDAS 2025'!$A$1:$C$143,3,0)</f>
        <v>prioridad</v>
      </c>
      <c r="H8">
        <f>+VLOOKUP(B8,[2]Hoja1!$A$5:$B$139,2,0)</f>
        <v>153</v>
      </c>
      <c r="I8" s="8">
        <f>+E8+H8</f>
        <v>321</v>
      </c>
    </row>
    <row r="9" spans="1:9" ht="14.4" hidden="1" customHeight="1">
      <c r="A9" s="2">
        <v>800354</v>
      </c>
      <c r="B9" s="2" t="s">
        <v>116</v>
      </c>
      <c r="C9" s="2" t="s">
        <v>8</v>
      </c>
      <c r="D9" s="3" t="s">
        <v>46</v>
      </c>
      <c r="E9" s="4">
        <v>169</v>
      </c>
      <c r="F9" s="5">
        <v>169</v>
      </c>
      <c r="G9" t="str">
        <f>+VLOOKUP(B9,'[1]TIENDAS 2025'!$A$1:$C$143,3,0)</f>
        <v>nocturna</v>
      </c>
      <c r="H9">
        <f>+VLOOKUP(B9,[2]Hoja1!$A$5:$B$139,2,0)</f>
        <v>162</v>
      </c>
      <c r="I9" s="8">
        <f>+E9+H9</f>
        <v>331</v>
      </c>
    </row>
    <row r="10" spans="1:9" ht="14.4" customHeight="1">
      <c r="A10" s="2">
        <v>800450</v>
      </c>
      <c r="B10" s="2" t="s">
        <v>204</v>
      </c>
      <c r="C10" s="2" t="s">
        <v>8</v>
      </c>
      <c r="D10" s="3" t="s">
        <v>71</v>
      </c>
      <c r="E10" s="4">
        <v>771</v>
      </c>
      <c r="F10" s="5">
        <v>762</v>
      </c>
      <c r="G10" t="str">
        <f>+VLOOKUP(B10,'[1]TIENDAS 2025'!$A$1:$C$143,3,0)</f>
        <v>departamental</v>
      </c>
      <c r="H10">
        <f>+VLOOKUP(B10,[2]Hoja1!$A$5:$B$139,2,0)</f>
        <v>220</v>
      </c>
      <c r="I10" s="8">
        <f>+E10+H10</f>
        <v>991</v>
      </c>
    </row>
    <row r="11" spans="1:9" ht="14.4" customHeight="1">
      <c r="A11" s="2">
        <v>800397</v>
      </c>
      <c r="B11" s="2" t="s">
        <v>155</v>
      </c>
      <c r="C11" s="2" t="s">
        <v>8</v>
      </c>
      <c r="D11" s="3" t="s">
        <v>68</v>
      </c>
      <c r="E11" s="4">
        <v>778</v>
      </c>
      <c r="F11" s="5">
        <v>757</v>
      </c>
      <c r="G11" t="str">
        <f>+VLOOKUP(B11,'[1]TIENDAS 2025'!$A$1:$C$143,3,0)</f>
        <v>departamental</v>
      </c>
      <c r="H11">
        <f>+VLOOKUP(B11,[2]Hoja1!$A$5:$B$139,2,0)</f>
        <v>196</v>
      </c>
      <c r="I11" s="8">
        <f>+E11+H11</f>
        <v>974</v>
      </c>
    </row>
    <row r="12" spans="1:9" ht="14.4" hidden="1" customHeight="1">
      <c r="A12" s="2">
        <v>800357</v>
      </c>
      <c r="B12" s="2" t="s">
        <v>119</v>
      </c>
      <c r="C12" s="2" t="s">
        <v>8</v>
      </c>
      <c r="D12" s="3" t="s">
        <v>47</v>
      </c>
      <c r="E12" s="4">
        <v>261</v>
      </c>
      <c r="F12" s="5">
        <v>255</v>
      </c>
      <c r="G12" t="str">
        <f>+VLOOKUP(B12,'[1]TIENDAS 2025'!$A$1:$C$143,3,0)</f>
        <v>nocturna</v>
      </c>
      <c r="H12">
        <f>+VLOOKUP(B12,[2]Hoja1!$A$5:$B$139,2,0)</f>
        <v>242</v>
      </c>
      <c r="I12" s="8">
        <f>+E12+H12</f>
        <v>503</v>
      </c>
    </row>
    <row r="13" spans="1:9" ht="14.4" customHeight="1">
      <c r="A13" s="2">
        <v>800369</v>
      </c>
      <c r="B13" s="2" t="s">
        <v>130</v>
      </c>
      <c r="C13" s="2" t="s">
        <v>8</v>
      </c>
      <c r="D13" s="3" t="s">
        <v>96</v>
      </c>
      <c r="E13" s="4">
        <v>491</v>
      </c>
      <c r="F13" s="5">
        <v>485</v>
      </c>
      <c r="G13" t="str">
        <f>+VLOOKUP(B13,'[1]TIENDAS 2025'!$A$1:$C$143,3,0)</f>
        <v>departamental</v>
      </c>
      <c r="H13">
        <f>+VLOOKUP(B13,[2]Hoja1!$A$5:$B$139,2,0)</f>
        <v>312</v>
      </c>
      <c r="I13" s="8">
        <f>+E13+H13</f>
        <v>803</v>
      </c>
    </row>
    <row r="14" spans="1:9" ht="14.4" customHeight="1">
      <c r="A14" s="2">
        <v>800457</v>
      </c>
      <c r="B14" s="2" t="s">
        <v>208</v>
      </c>
      <c r="C14" s="2" t="s">
        <v>8</v>
      </c>
      <c r="D14" s="3" t="s">
        <v>57</v>
      </c>
      <c r="E14" s="4">
        <v>570</v>
      </c>
      <c r="F14" s="5">
        <v>561</v>
      </c>
      <c r="G14" t="str">
        <f>+VLOOKUP(B14,'[1]TIENDAS 2025'!$A$1:$C$143,3,0)</f>
        <v>departamental</v>
      </c>
      <c r="H14">
        <f>+VLOOKUP(B14,[2]Hoja1!$A$5:$B$139,2,0)</f>
        <v>228</v>
      </c>
      <c r="I14" s="8">
        <f>+E14+H14</f>
        <v>798</v>
      </c>
    </row>
    <row r="15" spans="1:9" ht="14.4" hidden="1" customHeight="1">
      <c r="A15" s="2">
        <v>800360</v>
      </c>
      <c r="B15" s="2" t="s">
        <v>122</v>
      </c>
      <c r="C15" s="2" t="s">
        <v>8</v>
      </c>
      <c r="D15" s="3" t="s">
        <v>12</v>
      </c>
      <c r="E15" s="4">
        <v>191</v>
      </c>
      <c r="F15" s="5">
        <v>189</v>
      </c>
      <c r="G15" t="str">
        <f>+VLOOKUP(B15,'[1]TIENDAS 2025'!$A$1:$C$143,3,0)</f>
        <v>nocturna</v>
      </c>
      <c r="H15">
        <f>+VLOOKUP(B15,[2]Hoja1!$A$5:$B$139,2,0)</f>
        <v>187</v>
      </c>
      <c r="I15" s="8">
        <f>+E15+H15</f>
        <v>378</v>
      </c>
    </row>
    <row r="16" spans="1:9" ht="14.4" customHeight="1">
      <c r="A16" s="2">
        <v>800438</v>
      </c>
      <c r="B16" s="2" t="s">
        <v>193</v>
      </c>
      <c r="C16" s="2" t="s">
        <v>8</v>
      </c>
      <c r="D16" s="3" t="s">
        <v>79</v>
      </c>
      <c r="E16" s="4">
        <v>492</v>
      </c>
      <c r="F16" s="5">
        <v>487</v>
      </c>
      <c r="G16" t="str">
        <f>+VLOOKUP(B16,'[1]TIENDAS 2025'!$A$1:$C$143,3,0)</f>
        <v>departamental</v>
      </c>
      <c r="H16">
        <f>+VLOOKUP(B16,[2]Hoja1!$A$5:$B$139,2,0)</f>
        <v>302</v>
      </c>
      <c r="I16" s="8">
        <f>+E16+H16</f>
        <v>794</v>
      </c>
    </row>
    <row r="17" spans="1:9" ht="14.4" customHeight="1">
      <c r="A17" s="2">
        <v>800449</v>
      </c>
      <c r="B17" s="2" t="s">
        <v>203</v>
      </c>
      <c r="C17" s="2" t="s">
        <v>8</v>
      </c>
      <c r="D17" s="3" t="s">
        <v>80</v>
      </c>
      <c r="E17" s="4">
        <v>716</v>
      </c>
      <c r="F17" s="5">
        <v>684</v>
      </c>
      <c r="G17" t="str">
        <f>+VLOOKUP(B17,'[1]TIENDAS 2025'!$A$1:$C$143,3,0)</f>
        <v>departamental</v>
      </c>
      <c r="H17">
        <f>+VLOOKUP(B17,[2]Hoja1!$A$5:$B$139,2,0)</f>
        <v>63</v>
      </c>
      <c r="I17" s="8">
        <f>+E17+H17</f>
        <v>779</v>
      </c>
    </row>
    <row r="18" spans="1:9" ht="14.4" hidden="1" customHeight="1">
      <c r="A18" s="2">
        <v>800363</v>
      </c>
      <c r="B18" s="2" t="s">
        <v>125</v>
      </c>
      <c r="C18" s="2" t="s">
        <v>8</v>
      </c>
      <c r="D18" s="3" t="s">
        <v>84</v>
      </c>
      <c r="E18" s="4">
        <v>401</v>
      </c>
      <c r="F18" s="5">
        <v>395</v>
      </c>
      <c r="G18" t="str">
        <f>+VLOOKUP(B18,'[1]TIENDAS 2025'!$A$1:$C$143,3,0)</f>
        <v>prioridad</v>
      </c>
      <c r="H18">
        <f>+VLOOKUP(B18,[2]Hoja1!$A$5:$B$139,2,0)</f>
        <v>397</v>
      </c>
      <c r="I18" s="8">
        <f>+E18+H18</f>
        <v>798</v>
      </c>
    </row>
    <row r="19" spans="1:9" ht="14.4" hidden="1" customHeight="1">
      <c r="A19" s="2">
        <v>800364</v>
      </c>
      <c r="B19" s="2" t="s">
        <v>126</v>
      </c>
      <c r="C19" s="2" t="s">
        <v>8</v>
      </c>
      <c r="D19" s="3" t="s">
        <v>62</v>
      </c>
      <c r="E19" s="4">
        <v>224</v>
      </c>
      <c r="F19" s="5">
        <v>220</v>
      </c>
      <c r="G19" t="str">
        <f>+VLOOKUP(B19,'[1]TIENDAS 2025'!$A$1:$C$143,3,0)</f>
        <v>prioridad</v>
      </c>
      <c r="H19">
        <f>+VLOOKUP(B19,[2]Hoja1!$A$5:$B$139,2,0)</f>
        <v>201</v>
      </c>
      <c r="I19" s="8">
        <f>+E19+H19</f>
        <v>425</v>
      </c>
    </row>
    <row r="20" spans="1:9" ht="14.4" hidden="1" customHeight="1">
      <c r="A20" s="2">
        <v>800365</v>
      </c>
      <c r="B20" s="2" t="s">
        <v>127</v>
      </c>
      <c r="C20" s="2" t="s">
        <v>8</v>
      </c>
      <c r="D20" s="3" t="s">
        <v>94</v>
      </c>
      <c r="E20" s="4">
        <v>199</v>
      </c>
      <c r="F20" s="5">
        <v>198</v>
      </c>
      <c r="G20" t="str">
        <f>+VLOOKUP(B20,'[1]TIENDAS 2025'!$A$1:$C$143,3,0)</f>
        <v>nocturna</v>
      </c>
      <c r="H20">
        <f>+VLOOKUP(B20,[2]Hoja1!$A$5:$B$139,2,0)</f>
        <v>212</v>
      </c>
      <c r="I20" s="8">
        <f>+E20+H20</f>
        <v>411</v>
      </c>
    </row>
    <row r="21" spans="1:9" ht="14.4" customHeight="1">
      <c r="A21" s="2">
        <v>800412</v>
      </c>
      <c r="B21" s="2" t="s">
        <v>169</v>
      </c>
      <c r="C21" s="2" t="s">
        <v>8</v>
      </c>
      <c r="D21" s="3" t="s">
        <v>73</v>
      </c>
      <c r="E21" s="4">
        <v>537</v>
      </c>
      <c r="F21" s="5">
        <v>520</v>
      </c>
      <c r="G21" t="str">
        <f>+VLOOKUP(B21,'[1]TIENDAS 2025'!$A$1:$C$143,3,0)</f>
        <v>departamental</v>
      </c>
      <c r="H21">
        <f>+VLOOKUP(B21,[2]Hoja1!$A$5:$B$139,2,0)</f>
        <v>197</v>
      </c>
      <c r="I21" s="8">
        <f>+E21+H21</f>
        <v>734</v>
      </c>
    </row>
    <row r="22" spans="1:9" ht="14.4" customHeight="1">
      <c r="A22" s="2">
        <v>800358</v>
      </c>
      <c r="B22" s="2" t="s">
        <v>120</v>
      </c>
      <c r="C22" s="2" t="s">
        <v>8</v>
      </c>
      <c r="D22" s="3" t="s">
        <v>61</v>
      </c>
      <c r="E22" s="4">
        <v>517</v>
      </c>
      <c r="F22" s="5">
        <v>513</v>
      </c>
      <c r="G22" t="str">
        <f>+VLOOKUP(B22,'[1]TIENDAS 2025'!$A$1:$C$143,3,0)</f>
        <v>local</v>
      </c>
      <c r="H22">
        <f>+VLOOKUP(B22,[2]Hoja1!$A$5:$B$139,2,0)</f>
        <v>199</v>
      </c>
      <c r="I22" s="8">
        <f>+E22+H22</f>
        <v>716</v>
      </c>
    </row>
    <row r="23" spans="1:9" ht="14.4" customHeight="1">
      <c r="A23" s="2">
        <v>800421</v>
      </c>
      <c r="B23" s="2" t="s">
        <v>178</v>
      </c>
      <c r="C23" s="2" t="s">
        <v>8</v>
      </c>
      <c r="D23" s="3" t="s">
        <v>74</v>
      </c>
      <c r="E23" s="4">
        <v>468</v>
      </c>
      <c r="F23" s="5">
        <v>462</v>
      </c>
      <c r="G23" t="str">
        <f>+VLOOKUP(B23,'[1]TIENDAS 2025'!$A$1:$C$143,3,0)</f>
        <v>departamental</v>
      </c>
      <c r="H23">
        <f>+VLOOKUP(B23,[2]Hoja1!$A$5:$B$139,2,0)</f>
        <v>242</v>
      </c>
      <c r="I23" s="8">
        <f>+E23+H23</f>
        <v>710</v>
      </c>
    </row>
    <row r="24" spans="1:9" ht="14.4" customHeight="1">
      <c r="A24" s="2">
        <v>800470</v>
      </c>
      <c r="B24" s="2" t="s">
        <v>223</v>
      </c>
      <c r="C24" s="2" t="s">
        <v>8</v>
      </c>
      <c r="D24" s="3" t="s">
        <v>93</v>
      </c>
      <c r="E24" s="4">
        <v>537</v>
      </c>
      <c r="F24" s="5">
        <v>510</v>
      </c>
      <c r="G24" t="str">
        <f>+VLOOKUP(B24,'[1]TIENDAS 2025'!$A$1:$C$143,3,0)</f>
        <v>departamental</v>
      </c>
      <c r="H24">
        <f>+VLOOKUP(B24,[2]Hoja1!$A$5:$B$139,2,0)</f>
        <v>166</v>
      </c>
      <c r="I24" s="8">
        <f>+E24+H24</f>
        <v>703</v>
      </c>
    </row>
    <row r="25" spans="1:9" ht="14.4" customHeight="1">
      <c r="A25" s="2">
        <v>800458</v>
      </c>
      <c r="B25" s="2" t="s">
        <v>209</v>
      </c>
      <c r="C25" s="2" t="s">
        <v>8</v>
      </c>
      <c r="D25" s="3" t="s">
        <v>81</v>
      </c>
      <c r="E25" s="4">
        <v>396</v>
      </c>
      <c r="F25" s="5">
        <v>388</v>
      </c>
      <c r="G25" t="str">
        <f>+VLOOKUP(B25,'[1]TIENDAS 2025'!$A$1:$C$143,3,0)</f>
        <v>departamental</v>
      </c>
      <c r="H25">
        <f>+VLOOKUP(B25,[2]Hoja1!$A$5:$B$139,2,0)</f>
        <v>306</v>
      </c>
      <c r="I25" s="8">
        <f>+E25+H25</f>
        <v>702</v>
      </c>
    </row>
    <row r="26" spans="1:9" ht="14.4" hidden="1" customHeight="1">
      <c r="A26" s="2">
        <v>800373</v>
      </c>
      <c r="B26" s="2" t="s">
        <v>133</v>
      </c>
      <c r="C26" s="2" t="s">
        <v>8</v>
      </c>
      <c r="D26" s="3" t="s">
        <v>86</v>
      </c>
      <c r="E26" s="4">
        <v>331</v>
      </c>
      <c r="F26" s="5">
        <v>328</v>
      </c>
      <c r="G26" t="str">
        <f>+VLOOKUP(B26,'[1]TIENDAS 2025'!$A$1:$C$143,3,0)</f>
        <v>nocturna</v>
      </c>
      <c r="H26">
        <f>+VLOOKUP(B26,[2]Hoja1!$A$5:$B$139,2,0)</f>
        <v>280</v>
      </c>
      <c r="I26" s="8">
        <f>+E26+H26</f>
        <v>611</v>
      </c>
    </row>
    <row r="27" spans="1:9" ht="14.4" hidden="1" customHeight="1">
      <c r="A27" s="2">
        <v>800374</v>
      </c>
      <c r="B27" s="2" t="s">
        <v>134</v>
      </c>
      <c r="C27" s="2" t="s">
        <v>8</v>
      </c>
      <c r="D27" s="3" t="s">
        <v>25</v>
      </c>
      <c r="E27" s="4">
        <v>411</v>
      </c>
      <c r="F27" s="5">
        <v>393</v>
      </c>
      <c r="G27" t="str">
        <f>+VLOOKUP(B27,'[1]TIENDAS 2025'!$A$1:$C$143,3,0)</f>
        <v>nocturna</v>
      </c>
      <c r="H27">
        <f>+VLOOKUP(B27,[2]Hoja1!$A$5:$B$139,2,0)</f>
        <v>370</v>
      </c>
      <c r="I27" s="8">
        <f>+E27+H27</f>
        <v>781</v>
      </c>
    </row>
    <row r="28" spans="1:9" ht="14.4" hidden="1" customHeight="1">
      <c r="A28" s="2">
        <v>800375</v>
      </c>
      <c r="B28" s="2" t="s">
        <v>135</v>
      </c>
      <c r="C28" s="2" t="s">
        <v>8</v>
      </c>
      <c r="D28" s="3" t="s">
        <v>26</v>
      </c>
      <c r="E28" s="4">
        <v>133</v>
      </c>
      <c r="F28" s="5">
        <v>133</v>
      </c>
      <c r="G28" t="str">
        <f>+VLOOKUP(B28,'[1]TIENDAS 2025'!$A$1:$C$143,3,0)</f>
        <v>nocturna</v>
      </c>
      <c r="H28">
        <f>+VLOOKUP(B28,[2]Hoja1!$A$5:$B$139,2,0)</f>
        <v>118</v>
      </c>
      <c r="I28" s="8">
        <f>+E28+H28</f>
        <v>251</v>
      </c>
    </row>
    <row r="29" spans="1:9" ht="14.4" hidden="1" customHeight="1">
      <c r="A29" s="2">
        <v>800377</v>
      </c>
      <c r="B29" s="2" t="s">
        <v>136</v>
      </c>
      <c r="C29" s="2" t="s">
        <v>8</v>
      </c>
      <c r="D29" s="3" t="s">
        <v>48</v>
      </c>
      <c r="E29" s="4">
        <v>414</v>
      </c>
      <c r="F29" s="5">
        <v>406</v>
      </c>
      <c r="G29" t="str">
        <f>+VLOOKUP(B29,'[1]TIENDAS 2025'!$A$1:$C$143,3,0)</f>
        <v>prioridad</v>
      </c>
      <c r="H29">
        <f>+VLOOKUP(B29,[2]Hoja1!$A$5:$B$139,2,0)</f>
        <v>129</v>
      </c>
      <c r="I29" s="8">
        <f>+E29+H29</f>
        <v>543</v>
      </c>
    </row>
    <row r="30" spans="1:9" ht="14.4" customHeight="1">
      <c r="A30" s="2">
        <v>800406</v>
      </c>
      <c r="B30" s="2" t="s">
        <v>164</v>
      </c>
      <c r="C30" s="2" t="s">
        <v>8</v>
      </c>
      <c r="D30" s="3" t="s">
        <v>38</v>
      </c>
      <c r="E30" s="4">
        <v>570</v>
      </c>
      <c r="F30" s="5">
        <v>548</v>
      </c>
      <c r="G30" t="str">
        <f>+VLOOKUP(B30,'[1]TIENDAS 2025'!$A$1:$C$143,3,0)</f>
        <v>departamental</v>
      </c>
      <c r="H30">
        <f>+VLOOKUP(B30,[2]Hoja1!$A$5:$B$139,2,0)</f>
        <v>104</v>
      </c>
      <c r="I30" s="8">
        <f>+E30+H30</f>
        <v>674</v>
      </c>
    </row>
    <row r="31" spans="1:9" ht="14.4" hidden="1" customHeight="1">
      <c r="A31" s="2">
        <v>800380</v>
      </c>
      <c r="B31" s="2" t="s">
        <v>138</v>
      </c>
      <c r="C31" s="2" t="s">
        <v>8</v>
      </c>
      <c r="D31" s="3" t="s">
        <v>27</v>
      </c>
      <c r="E31" s="4">
        <v>262</v>
      </c>
      <c r="F31" s="5">
        <v>258</v>
      </c>
      <c r="G31" t="str">
        <f>+VLOOKUP(B31,'[1]TIENDAS 2025'!$A$1:$C$143,3,0)</f>
        <v>prioridad</v>
      </c>
      <c r="H31">
        <f>+VLOOKUP(B31,[2]Hoja1!$A$5:$B$139,2,0)</f>
        <v>157</v>
      </c>
      <c r="I31" s="8">
        <f>+E31+H31</f>
        <v>419</v>
      </c>
    </row>
    <row r="32" spans="1:9" ht="14.4" hidden="1" customHeight="1">
      <c r="A32" s="2">
        <v>800381</v>
      </c>
      <c r="B32" s="2" t="s">
        <v>139</v>
      </c>
      <c r="C32" s="2" t="s">
        <v>8</v>
      </c>
      <c r="D32" s="3" t="s">
        <v>62</v>
      </c>
      <c r="E32" s="4">
        <v>193</v>
      </c>
      <c r="F32" s="5">
        <v>179</v>
      </c>
      <c r="G32" t="str">
        <f>+VLOOKUP(B32,'[1]TIENDAS 2025'!$A$1:$C$143,3,0)</f>
        <v>nocturna</v>
      </c>
      <c r="H32">
        <f>+VLOOKUP(B32,[2]Hoja1!$A$5:$B$139,2,0)</f>
        <v>155</v>
      </c>
      <c r="I32" s="8">
        <f>+E32+H32</f>
        <v>348</v>
      </c>
    </row>
    <row r="33" spans="1:9" ht="14.4" customHeight="1">
      <c r="A33" s="2">
        <v>800382</v>
      </c>
      <c r="B33" s="2" t="s">
        <v>140</v>
      </c>
      <c r="C33" s="2" t="s">
        <v>8</v>
      </c>
      <c r="D33" s="3" t="s">
        <v>13</v>
      </c>
      <c r="E33" s="4">
        <v>468</v>
      </c>
      <c r="F33" s="5">
        <v>460</v>
      </c>
      <c r="G33" t="str">
        <f>+VLOOKUP(B33,'[1]TIENDAS 2025'!$A$1:$C$143,3,0)</f>
        <v>departamental</v>
      </c>
      <c r="H33">
        <f>+VLOOKUP(B33,[2]Hoja1!$A$5:$B$139,2,0)</f>
        <v>196</v>
      </c>
      <c r="I33" s="8">
        <f>+E33+H33</f>
        <v>664</v>
      </c>
    </row>
    <row r="34" spans="1:9" ht="14.4" customHeight="1">
      <c r="A34" s="2">
        <v>800461</v>
      </c>
      <c r="B34" s="2" t="s">
        <v>212</v>
      </c>
      <c r="C34" s="2" t="s">
        <v>8</v>
      </c>
      <c r="D34" s="3" t="s">
        <v>82</v>
      </c>
      <c r="E34" s="4">
        <v>439</v>
      </c>
      <c r="F34" s="5">
        <v>434</v>
      </c>
      <c r="G34" t="str">
        <f>+VLOOKUP(B34,'[1]TIENDAS 2025'!$A$1:$C$143,3,0)</f>
        <v>departamental</v>
      </c>
      <c r="H34">
        <f>+VLOOKUP(B34,[2]Hoja1!$A$5:$B$139,2,0)</f>
        <v>214</v>
      </c>
      <c r="I34" s="8">
        <f>+E34+H34</f>
        <v>653</v>
      </c>
    </row>
    <row r="35" spans="1:9" ht="14.4" customHeight="1">
      <c r="A35" s="2">
        <v>800395</v>
      </c>
      <c r="B35" s="2" t="s">
        <v>153</v>
      </c>
      <c r="C35" s="2" t="s">
        <v>8</v>
      </c>
      <c r="D35" s="3" t="s">
        <v>52</v>
      </c>
      <c r="E35" s="4">
        <v>573</v>
      </c>
      <c r="F35" s="5">
        <v>552</v>
      </c>
      <c r="G35" t="str">
        <f>+VLOOKUP(B35,'[1]TIENDAS 2025'!$A$1:$C$143,3,0)</f>
        <v>departamental</v>
      </c>
      <c r="H35">
        <f>+VLOOKUP(B35,[2]Hoja1!$A$5:$B$139,2,0)</f>
        <v>74</v>
      </c>
      <c r="I35" s="8">
        <f>+E35+H35</f>
        <v>647</v>
      </c>
    </row>
    <row r="36" spans="1:9" ht="14.4" customHeight="1">
      <c r="A36" s="2">
        <v>800408</v>
      </c>
      <c r="B36" s="2" t="s">
        <v>162</v>
      </c>
      <c r="C36" s="2" t="s">
        <v>8</v>
      </c>
      <c r="D36" s="3" t="s">
        <v>54</v>
      </c>
      <c r="E36" s="4">
        <v>422</v>
      </c>
      <c r="F36" s="5">
        <v>412</v>
      </c>
      <c r="G36" t="str">
        <f>+VLOOKUP(B36,'[1]TIENDAS 2025'!$A$1:$C$143,3,0)</f>
        <v>departamental</v>
      </c>
      <c r="H36">
        <f>+VLOOKUP(B36,[2]Hoja1!$A$5:$B$139,2,0)</f>
        <v>219</v>
      </c>
      <c r="I36" s="8">
        <f>+E36+H36</f>
        <v>641</v>
      </c>
    </row>
    <row r="37" spans="1:9" ht="14.4" customHeight="1">
      <c r="A37" s="2">
        <v>800378</v>
      </c>
      <c r="B37" s="2" t="s">
        <v>137</v>
      </c>
      <c r="C37" s="2" t="s">
        <v>8</v>
      </c>
      <c r="D37" s="3" t="s">
        <v>64</v>
      </c>
      <c r="E37" s="4">
        <v>470</v>
      </c>
      <c r="F37" s="5">
        <v>464</v>
      </c>
      <c r="G37" t="str">
        <f>+VLOOKUP(B37,'[1]TIENDAS 2025'!$A$1:$C$143,3,0)</f>
        <v>departamental</v>
      </c>
      <c r="H37">
        <f>+VLOOKUP(B37,[2]Hoja1!$A$5:$B$139,2,0)</f>
        <v>161</v>
      </c>
      <c r="I37" s="8">
        <f>+E37+H37</f>
        <v>631</v>
      </c>
    </row>
    <row r="38" spans="1:9" ht="14.4" customHeight="1">
      <c r="A38" s="2">
        <v>800422</v>
      </c>
      <c r="B38" s="2" t="s">
        <v>179</v>
      </c>
      <c r="C38" s="2" t="s">
        <v>8</v>
      </c>
      <c r="D38" s="3" t="s">
        <v>40</v>
      </c>
      <c r="E38" s="4">
        <v>471</v>
      </c>
      <c r="F38" s="5">
        <v>445</v>
      </c>
      <c r="G38" t="str">
        <f>+VLOOKUP(B38,'[1]TIENDAS 2025'!$A$1:$C$143,3,0)</f>
        <v>departamental</v>
      </c>
      <c r="H38">
        <f>+VLOOKUP(B38,[2]Hoja1!$A$5:$B$139,2,0)</f>
        <v>159</v>
      </c>
      <c r="I38" s="8">
        <f>+E38+H38</f>
        <v>630</v>
      </c>
    </row>
    <row r="39" spans="1:9" ht="14.4" customHeight="1">
      <c r="A39" s="2">
        <v>800420</v>
      </c>
      <c r="B39" s="2" t="s">
        <v>177</v>
      </c>
      <c r="C39" s="2" t="s">
        <v>8</v>
      </c>
      <c r="D39" s="3" t="s">
        <v>69</v>
      </c>
      <c r="E39" s="4">
        <v>458</v>
      </c>
      <c r="F39" s="5">
        <v>451</v>
      </c>
      <c r="G39" t="str">
        <f>+VLOOKUP(B39,'[1]TIENDAS 2025'!$A$1:$C$143,3,0)</f>
        <v>departamental</v>
      </c>
      <c r="H39">
        <f>+VLOOKUP(B39,[2]Hoja1!$A$5:$B$139,2,0)</f>
        <v>166</v>
      </c>
      <c r="I39" s="8">
        <f>+E39+H39</f>
        <v>624</v>
      </c>
    </row>
    <row r="40" spans="1:9" ht="14.4" customHeight="1">
      <c r="A40" s="2">
        <v>800368</v>
      </c>
      <c r="B40" s="2" t="s">
        <v>129</v>
      </c>
      <c r="C40" s="2" t="s">
        <v>8</v>
      </c>
      <c r="D40" s="3" t="s">
        <v>85</v>
      </c>
      <c r="E40" s="4">
        <v>476</v>
      </c>
      <c r="F40" s="5">
        <v>467</v>
      </c>
      <c r="G40" t="str">
        <f>+VLOOKUP(B40,'[1]TIENDAS 2025'!$A$1:$C$143,3,0)</f>
        <v>local</v>
      </c>
      <c r="H40">
        <f>+VLOOKUP(B40,[2]Hoja1!$A$5:$B$139,2,0)</f>
        <v>147</v>
      </c>
      <c r="I40" s="8">
        <f>+E40+H40</f>
        <v>623</v>
      </c>
    </row>
    <row r="41" spans="1:9" ht="14.4" customHeight="1">
      <c r="A41" s="2">
        <v>800371</v>
      </c>
      <c r="B41" s="2" t="s">
        <v>131</v>
      </c>
      <c r="C41" s="2" t="s">
        <v>8</v>
      </c>
      <c r="D41" s="3" t="s">
        <v>63</v>
      </c>
      <c r="E41" s="4">
        <v>438</v>
      </c>
      <c r="F41" s="5">
        <v>420</v>
      </c>
      <c r="G41" t="str">
        <f>+VLOOKUP(B41,'[1]TIENDAS 2025'!$A$1:$C$143,3,0)</f>
        <v>departamental</v>
      </c>
      <c r="H41">
        <f>+VLOOKUP(B41,[2]Hoja1!$A$5:$B$139,2,0)</f>
        <v>170</v>
      </c>
      <c r="I41" s="8">
        <f>+E41+H41</f>
        <v>608</v>
      </c>
    </row>
    <row r="42" spans="1:9" ht="14.4" hidden="1" customHeight="1">
      <c r="A42" s="2">
        <v>800391</v>
      </c>
      <c r="B42" s="2" t="s">
        <v>149</v>
      </c>
      <c r="C42" s="2" t="s">
        <v>8</v>
      </c>
      <c r="D42" s="3" t="s">
        <v>53</v>
      </c>
      <c r="E42" s="4">
        <v>251</v>
      </c>
      <c r="F42" s="5">
        <v>247</v>
      </c>
      <c r="G42" t="str">
        <f>+VLOOKUP(B42,'[1]TIENDAS 2025'!$A$1:$C$143,3,0)</f>
        <v>prioridad</v>
      </c>
      <c r="H42">
        <f>+VLOOKUP(B42,[2]Hoja1!$A$5:$B$139,2,0)</f>
        <v>131</v>
      </c>
      <c r="I42" s="8">
        <f>+E42+H42</f>
        <v>382</v>
      </c>
    </row>
    <row r="43" spans="1:9" ht="14.4" hidden="1" customHeight="1">
      <c r="A43" s="2">
        <v>800392</v>
      </c>
      <c r="B43" s="2" t="s">
        <v>150</v>
      </c>
      <c r="C43" s="2" t="s">
        <v>8</v>
      </c>
      <c r="D43" s="3" t="s">
        <v>94</v>
      </c>
      <c r="E43" s="4">
        <v>162</v>
      </c>
      <c r="F43" s="5">
        <v>162</v>
      </c>
      <c r="G43" t="str">
        <f>+VLOOKUP(B43,'[1]TIENDAS 2025'!$A$1:$C$143,3,0)</f>
        <v>nocturna</v>
      </c>
      <c r="H43">
        <f>+VLOOKUP(B43,[2]Hoja1!$A$5:$B$139,2,0)</f>
        <v>102</v>
      </c>
      <c r="I43" s="8">
        <f>+E43+H43</f>
        <v>264</v>
      </c>
    </row>
    <row r="44" spans="1:9" ht="14.4" customHeight="1">
      <c r="A44" s="2">
        <v>800388</v>
      </c>
      <c r="B44" s="2" t="s">
        <v>146</v>
      </c>
      <c r="C44" s="2" t="s">
        <v>8</v>
      </c>
      <c r="D44" s="3" t="s">
        <v>98</v>
      </c>
      <c r="E44" s="4">
        <v>505</v>
      </c>
      <c r="F44" s="5">
        <v>487</v>
      </c>
      <c r="G44" t="str">
        <f>+VLOOKUP(B44,'[1]TIENDAS 2025'!$A$1:$C$143,3,0)</f>
        <v>departamental</v>
      </c>
      <c r="H44">
        <f>+VLOOKUP(B44,[2]Hoja1!$A$5:$B$139,2,0)</f>
        <v>101</v>
      </c>
      <c r="I44" s="8">
        <f>+E44+H44</f>
        <v>606</v>
      </c>
    </row>
    <row r="45" spans="1:9" ht="14.4" customHeight="1">
      <c r="A45" s="2">
        <v>800394</v>
      </c>
      <c r="B45" s="2" t="s">
        <v>152</v>
      </c>
      <c r="C45" s="2" t="s">
        <v>8</v>
      </c>
      <c r="D45" s="3" t="s">
        <v>28</v>
      </c>
      <c r="E45" s="4">
        <v>542</v>
      </c>
      <c r="F45" s="5">
        <v>525</v>
      </c>
      <c r="G45" t="str">
        <f>+VLOOKUP(B45,'[1]TIENDAS 2025'!$A$1:$C$143,3,0)</f>
        <v xml:space="preserve">departamental </v>
      </c>
      <c r="H45">
        <f>+VLOOKUP(B45,[2]Hoja1!$A$5:$B$139,2,0)</f>
        <v>64</v>
      </c>
      <c r="I45" s="8">
        <f>+E45+H45</f>
        <v>606</v>
      </c>
    </row>
    <row r="46" spans="1:9" ht="14.4" customHeight="1">
      <c r="A46" s="2">
        <v>800448</v>
      </c>
      <c r="B46" s="2" t="s">
        <v>202</v>
      </c>
      <c r="C46" s="2" t="s">
        <v>8</v>
      </c>
      <c r="D46" s="3" t="s">
        <v>19</v>
      </c>
      <c r="E46" s="4">
        <v>396</v>
      </c>
      <c r="F46" s="5">
        <v>394</v>
      </c>
      <c r="G46" t="str">
        <f>+VLOOKUP(B46,'[1]TIENDAS 2025'!$A$1:$C$143,3,0)</f>
        <v>departamental</v>
      </c>
      <c r="H46">
        <f>+VLOOKUP(B46,[2]Hoja1!$A$5:$B$139,2,0)</f>
        <v>210</v>
      </c>
      <c r="I46" s="8">
        <f>+E46+H46</f>
        <v>606</v>
      </c>
    </row>
    <row r="47" spans="1:9" ht="14.4" hidden="1" customHeight="1">
      <c r="A47" s="2">
        <v>800396</v>
      </c>
      <c r="B47" s="2" t="s">
        <v>154</v>
      </c>
      <c r="C47" s="2" t="s">
        <v>8</v>
      </c>
      <c r="D47" s="3" t="s">
        <v>67</v>
      </c>
      <c r="E47" s="4">
        <v>347</v>
      </c>
      <c r="F47" s="5">
        <v>339</v>
      </c>
      <c r="G47" t="str">
        <f>+VLOOKUP(B47,'[1]TIENDAS 2025'!$A$1:$C$143,3,0)</f>
        <v>prioridad</v>
      </c>
      <c r="H47">
        <f>+VLOOKUP(B47,[2]Hoja1!$A$5:$B$139,2,0)</f>
        <v>239</v>
      </c>
      <c r="I47" s="8">
        <f>+E47+H47</f>
        <v>586</v>
      </c>
    </row>
    <row r="48" spans="1:9" ht="14.4" customHeight="1">
      <c r="A48" s="2">
        <v>800355</v>
      </c>
      <c r="B48" s="2" t="s">
        <v>117</v>
      </c>
      <c r="C48" s="2" t="s">
        <v>8</v>
      </c>
      <c r="D48" s="3" t="s">
        <v>37</v>
      </c>
      <c r="E48" s="4">
        <v>333</v>
      </c>
      <c r="F48" s="5">
        <v>326</v>
      </c>
      <c r="G48" t="str">
        <f>+VLOOKUP(B48,'[1]TIENDAS 2025'!$A$1:$C$143,3,0)</f>
        <v>local</v>
      </c>
      <c r="H48">
        <f>+VLOOKUP(B48,[2]Hoja1!$A$5:$B$139,2,0)</f>
        <v>271</v>
      </c>
      <c r="I48" s="8">
        <f>+E48+H48</f>
        <v>604</v>
      </c>
    </row>
    <row r="49" spans="1:9" ht="14.4" customHeight="1">
      <c r="A49" s="2">
        <v>800442</v>
      </c>
      <c r="B49" s="2" t="s">
        <v>196</v>
      </c>
      <c r="C49" s="2" t="s">
        <v>8</v>
      </c>
      <c r="D49" s="3" t="s">
        <v>42</v>
      </c>
      <c r="E49" s="4">
        <v>410</v>
      </c>
      <c r="F49" s="5">
        <v>406</v>
      </c>
      <c r="G49" t="str">
        <f>+VLOOKUP(B49,'[1]TIENDAS 2025'!$A$1:$C$143,3,0)</f>
        <v>local</v>
      </c>
      <c r="H49">
        <f>+VLOOKUP(B49,[2]Hoja1!$A$5:$B$139,2,0)</f>
        <v>180</v>
      </c>
      <c r="I49" s="8">
        <f>+E49+H49</f>
        <v>590</v>
      </c>
    </row>
    <row r="50" spans="1:9" ht="14.4" hidden="1" customHeight="1">
      <c r="A50" s="2">
        <v>800398</v>
      </c>
      <c r="B50" s="2" t="s">
        <v>224</v>
      </c>
      <c r="C50" s="2" t="s">
        <v>8</v>
      </c>
      <c r="D50" s="3" t="s">
        <v>99</v>
      </c>
      <c r="E50" s="4">
        <v>387</v>
      </c>
      <c r="F50" s="5">
        <v>374</v>
      </c>
      <c r="G50" t="str">
        <f>+VLOOKUP(B50,'[1]TIENDAS 2025'!$A$1:$C$143,3,0)</f>
        <v>prioridad</v>
      </c>
      <c r="H50">
        <f>+VLOOKUP(B50,[2]Hoja1!$A$5:$B$139,2,0)</f>
        <v>395</v>
      </c>
      <c r="I50" s="8">
        <f>+E50+H50</f>
        <v>782</v>
      </c>
    </row>
    <row r="51" spans="1:9" ht="14.4" customHeight="1">
      <c r="A51" s="2">
        <v>800414</v>
      </c>
      <c r="B51" s="2" t="s">
        <v>171</v>
      </c>
      <c r="C51" s="2" t="s">
        <v>8</v>
      </c>
      <c r="D51" s="3" t="s">
        <v>90</v>
      </c>
      <c r="E51" s="4">
        <v>435</v>
      </c>
      <c r="F51" s="5">
        <v>432</v>
      </c>
      <c r="G51" t="str">
        <f>+VLOOKUP(B51,'[1]TIENDAS 2025'!$A$1:$C$143,3,0)</f>
        <v>local</v>
      </c>
      <c r="H51">
        <f>+VLOOKUP(B51,[2]Hoja1!$A$5:$B$139,2,0)</f>
        <v>151</v>
      </c>
      <c r="I51" s="8">
        <f>+E51+H51</f>
        <v>586</v>
      </c>
    </row>
    <row r="52" spans="1:9" ht="14.4" customHeight="1">
      <c r="A52" s="2">
        <v>800472</v>
      </c>
      <c r="B52" s="2" t="s">
        <v>221</v>
      </c>
      <c r="C52" s="2" t="s">
        <v>8</v>
      </c>
      <c r="D52" s="3" t="s">
        <v>83</v>
      </c>
      <c r="E52" s="4">
        <v>382</v>
      </c>
      <c r="F52" s="5">
        <v>374</v>
      </c>
      <c r="G52" t="str">
        <f>+VLOOKUP(B52,'[1]TIENDAS 2025'!$A$1:$C$143,3,0)</f>
        <v>local</v>
      </c>
      <c r="H52">
        <f>+VLOOKUP(B52,[2]Hoja1!$A$5:$B$139,2,0)</f>
        <v>202</v>
      </c>
      <c r="I52" s="8">
        <f>+E52+H52</f>
        <v>584</v>
      </c>
    </row>
    <row r="53" spans="1:9" ht="14.4" hidden="1" customHeight="1">
      <c r="A53" s="2">
        <v>800401</v>
      </c>
      <c r="B53" s="2" t="s">
        <v>159</v>
      </c>
      <c r="C53" s="2" t="s">
        <v>8</v>
      </c>
      <c r="D53" s="3" t="s">
        <v>14</v>
      </c>
      <c r="E53" s="4">
        <v>353</v>
      </c>
      <c r="F53" s="5">
        <v>340</v>
      </c>
      <c r="G53" t="str">
        <f>+VLOOKUP(B53,'[1]TIENDAS 2025'!$A$1:$C$143,3,0)</f>
        <v>nocturna</v>
      </c>
      <c r="H53">
        <f>+VLOOKUP(B53,[2]Hoja1!$A$5:$B$139,2,0)</f>
        <v>322</v>
      </c>
      <c r="I53" s="8">
        <f>+E53+H53</f>
        <v>675</v>
      </c>
    </row>
    <row r="54" spans="1:9" ht="14.4" customHeight="1">
      <c r="A54" s="2">
        <v>800383</v>
      </c>
      <c r="B54" s="2" t="s">
        <v>141</v>
      </c>
      <c r="C54" s="2" t="s">
        <v>8</v>
      </c>
      <c r="D54" s="3" t="s">
        <v>97</v>
      </c>
      <c r="E54" s="4">
        <v>361</v>
      </c>
      <c r="F54" s="5">
        <v>348</v>
      </c>
      <c r="G54" t="str">
        <f>+VLOOKUP(B54,'[1]TIENDAS 2025'!$A$1:$C$143,3,0)</f>
        <v>departamental</v>
      </c>
      <c r="H54">
        <f>+VLOOKUP(B54,[2]Hoja1!$A$5:$B$139,2,0)</f>
        <v>222</v>
      </c>
      <c r="I54" s="8">
        <f>+E54+H54</f>
        <v>583</v>
      </c>
    </row>
    <row r="55" spans="1:9" ht="14.4" hidden="1" customHeight="1">
      <c r="A55" s="2">
        <v>800409</v>
      </c>
      <c r="B55" s="2" t="s">
        <v>161</v>
      </c>
      <c r="C55" s="2" t="s">
        <v>8</v>
      </c>
      <c r="D55" s="3" t="s">
        <v>101</v>
      </c>
      <c r="E55" s="4">
        <v>378</v>
      </c>
      <c r="F55" s="5">
        <v>365</v>
      </c>
      <c r="G55" t="str">
        <f>+VLOOKUP(B55,'[1]TIENDAS 2025'!$A$1:$C$143,3,0)</f>
        <v>nocturna</v>
      </c>
      <c r="H55">
        <f>+VLOOKUP(B55,[2]Hoja1!$A$5:$B$139,2,0)</f>
        <v>262</v>
      </c>
      <c r="I55" s="8">
        <f>+E55+H55</f>
        <v>640</v>
      </c>
    </row>
    <row r="56" spans="1:9" ht="14.4" customHeight="1">
      <c r="A56" s="2">
        <v>800367</v>
      </c>
      <c r="B56" s="2" t="s">
        <v>128</v>
      </c>
      <c r="C56" s="2" t="s">
        <v>8</v>
      </c>
      <c r="D56" s="3" t="s">
        <v>95</v>
      </c>
      <c r="E56" s="4">
        <v>380</v>
      </c>
      <c r="F56" s="5">
        <v>380</v>
      </c>
      <c r="G56" t="str">
        <f>+VLOOKUP(B56,'[1]TIENDAS 2025'!$A$1:$C$143,3,0)</f>
        <v>local</v>
      </c>
      <c r="H56">
        <f>+VLOOKUP(B56,[2]Hoja1!$A$5:$B$139,2,0)</f>
        <v>180</v>
      </c>
      <c r="I56" s="8">
        <f>+E56+H56</f>
        <v>560</v>
      </c>
    </row>
    <row r="57" spans="1:9" ht="14.4" hidden="1" customHeight="1">
      <c r="A57" s="2">
        <v>800407</v>
      </c>
      <c r="B57" s="2" t="s">
        <v>163</v>
      </c>
      <c r="C57" s="2" t="s">
        <v>8</v>
      </c>
      <c r="D57" s="3" t="s">
        <v>53</v>
      </c>
      <c r="E57" s="4">
        <v>141</v>
      </c>
      <c r="F57" s="5">
        <v>141</v>
      </c>
      <c r="G57" t="str">
        <f>+VLOOKUP(B57,'[1]TIENDAS 2025'!$A$1:$C$143,3,0)</f>
        <v>nocturna</v>
      </c>
      <c r="H57">
        <f>+VLOOKUP(B57,[2]Hoja1!$A$5:$B$139,2,0)</f>
        <v>121</v>
      </c>
      <c r="I57" s="8">
        <f>+E57+H57</f>
        <v>262</v>
      </c>
    </row>
    <row r="58" spans="1:9" ht="14.4" customHeight="1">
      <c r="A58" s="2">
        <v>800423</v>
      </c>
      <c r="B58" s="2" t="s">
        <v>180</v>
      </c>
      <c r="C58" s="2" t="s">
        <v>8</v>
      </c>
      <c r="D58" s="3" t="s">
        <v>30</v>
      </c>
      <c r="E58" s="4">
        <v>494</v>
      </c>
      <c r="F58" s="5">
        <v>472</v>
      </c>
      <c r="G58" t="str">
        <f>+VLOOKUP(B58,'[1]TIENDAS 2025'!$A$1:$C$143,3,0)</f>
        <v>departamental</v>
      </c>
      <c r="H58">
        <f>+VLOOKUP(B58,[2]Hoja1!$A$5:$B$139,2,0)</f>
        <v>65</v>
      </c>
      <c r="I58" s="8">
        <f>+E58+H58</f>
        <v>559</v>
      </c>
    </row>
    <row r="59" spans="1:9" ht="14.4" hidden="1" customHeight="1">
      <c r="A59" s="2">
        <v>800405</v>
      </c>
      <c r="B59" s="2" t="s">
        <v>165</v>
      </c>
      <c r="C59" s="2" t="s">
        <v>8</v>
      </c>
      <c r="D59" s="3" t="s">
        <v>100</v>
      </c>
      <c r="E59" s="4">
        <v>200</v>
      </c>
      <c r="F59" s="5">
        <v>199</v>
      </c>
      <c r="G59" t="str">
        <f>+VLOOKUP(B59,'[1]TIENDAS 2025'!$A$1:$C$143,3,0)</f>
        <v>prioridad</v>
      </c>
      <c r="H59">
        <f>+VLOOKUP(B59,[2]Hoja1!$A$5:$B$139,2,0)</f>
        <v>139</v>
      </c>
      <c r="I59" s="8">
        <f>+E59+H59</f>
        <v>339</v>
      </c>
    </row>
    <row r="60" spans="1:9" ht="14.4" hidden="1" customHeight="1">
      <c r="A60" s="2">
        <v>800404</v>
      </c>
      <c r="B60" s="2" t="s">
        <v>166</v>
      </c>
      <c r="C60" s="2" t="s">
        <v>8</v>
      </c>
      <c r="D60" s="3" t="s">
        <v>88</v>
      </c>
      <c r="E60" s="4">
        <v>338</v>
      </c>
      <c r="F60" s="5">
        <v>326</v>
      </c>
      <c r="G60" t="str">
        <f>+VLOOKUP(B60,'[1]TIENDAS 2025'!$A$1:$C$143,3,0)</f>
        <v>prioridad</v>
      </c>
      <c r="H60">
        <f>+VLOOKUP(B60,[2]Hoja1!$A$5:$B$139,2,0)</f>
        <v>300</v>
      </c>
      <c r="I60" s="8">
        <f>+E60+H60</f>
        <v>638</v>
      </c>
    </row>
    <row r="61" spans="1:9" ht="14.4" hidden="1" customHeight="1">
      <c r="A61" s="2">
        <v>800411</v>
      </c>
      <c r="B61" s="2" t="s">
        <v>167</v>
      </c>
      <c r="C61" s="2" t="s">
        <v>8</v>
      </c>
      <c r="D61" s="3" t="s">
        <v>17</v>
      </c>
      <c r="E61" s="4">
        <v>403</v>
      </c>
      <c r="F61" s="5">
        <v>398</v>
      </c>
      <c r="G61" t="str">
        <f>+VLOOKUP(B61,'[1]TIENDAS 2025'!$A$1:$C$143,3,0)</f>
        <v>nocturna</v>
      </c>
      <c r="H61">
        <f>+VLOOKUP(B61,[2]Hoja1!$A$5:$B$139,2,0)</f>
        <v>141</v>
      </c>
      <c r="I61" s="8">
        <f>+E61+H61</f>
        <v>544</v>
      </c>
    </row>
    <row r="62" spans="1:9" ht="14.4" customHeight="1">
      <c r="A62" s="2">
        <v>800447</v>
      </c>
      <c r="B62" s="2" t="s">
        <v>201</v>
      </c>
      <c r="C62" s="2" t="s">
        <v>8</v>
      </c>
      <c r="D62" s="3" t="s">
        <v>56</v>
      </c>
      <c r="E62" s="4">
        <v>436</v>
      </c>
      <c r="F62" s="5">
        <v>424</v>
      </c>
      <c r="G62" t="str">
        <f>+VLOOKUP(B62,'[1]TIENDAS 2025'!$A$1:$C$143,3,0)</f>
        <v>departamental</v>
      </c>
      <c r="H62">
        <f>+VLOOKUP(B62,[2]Hoja1!$A$5:$B$139,2,0)</f>
        <v>121</v>
      </c>
      <c r="I62" s="8">
        <f>+E62+H62</f>
        <v>557</v>
      </c>
    </row>
    <row r="63" spans="1:9" ht="14.4" customHeight="1">
      <c r="A63" s="2">
        <v>800402</v>
      </c>
      <c r="B63" s="2" t="s">
        <v>158</v>
      </c>
      <c r="C63" s="2" t="s">
        <v>8</v>
      </c>
      <c r="D63" s="3" t="s">
        <v>15</v>
      </c>
      <c r="E63" s="4">
        <v>363</v>
      </c>
      <c r="F63" s="5">
        <v>362</v>
      </c>
      <c r="G63" t="str">
        <f>+VLOOKUP(B63,'[1]TIENDAS 2025'!$A$1:$C$143,3,0)</f>
        <v>local</v>
      </c>
      <c r="H63">
        <f>+VLOOKUP(B63,[2]Hoja1!$A$5:$B$139,2,0)</f>
        <v>185</v>
      </c>
      <c r="I63" s="8">
        <f>+E63+H63</f>
        <v>548</v>
      </c>
    </row>
    <row r="64" spans="1:9" ht="14.4" customHeight="1">
      <c r="A64" s="2">
        <v>800431</v>
      </c>
      <c r="B64" s="2" t="s">
        <v>188</v>
      </c>
      <c r="C64" s="2" t="s">
        <v>8</v>
      </c>
      <c r="D64" s="3" t="s">
        <v>92</v>
      </c>
      <c r="E64" s="4">
        <v>421</v>
      </c>
      <c r="F64" s="5">
        <v>417</v>
      </c>
      <c r="G64" t="str">
        <f>+VLOOKUP(B64,'[1]TIENDAS 2025'!$A$1:$C$143,3,0)</f>
        <v>local</v>
      </c>
      <c r="H64">
        <f>+VLOOKUP(B64,[2]Hoja1!$A$5:$B$139,2,0)</f>
        <v>121</v>
      </c>
      <c r="I64" s="8">
        <f>+E64+H64</f>
        <v>542</v>
      </c>
    </row>
    <row r="65" spans="1:9" ht="14.4" customHeight="1">
      <c r="A65" s="2">
        <v>800390</v>
      </c>
      <c r="B65" s="2" t="s">
        <v>147</v>
      </c>
      <c r="C65" s="2" t="s">
        <v>8</v>
      </c>
      <c r="D65" s="3" t="s">
        <v>51</v>
      </c>
      <c r="E65" s="4">
        <v>318</v>
      </c>
      <c r="F65" s="5">
        <v>316</v>
      </c>
      <c r="G65" t="str">
        <f>+VLOOKUP(B65,'[1]TIENDAS 2025'!$A$1:$C$143,3,0)</f>
        <v>departamental</v>
      </c>
      <c r="H65">
        <f>+VLOOKUP(B65,[2]Hoja1!$A$5:$B$139,2,0)</f>
        <v>217</v>
      </c>
      <c r="I65" s="8">
        <f>+E65+H65</f>
        <v>535</v>
      </c>
    </row>
    <row r="66" spans="1:9" ht="14.4" customHeight="1">
      <c r="A66" s="2">
        <v>800426</v>
      </c>
      <c r="B66" s="2" t="s">
        <v>183</v>
      </c>
      <c r="C66" s="2" t="s">
        <v>8</v>
      </c>
      <c r="D66" s="3" t="s">
        <v>70</v>
      </c>
      <c r="E66" s="4">
        <v>297</v>
      </c>
      <c r="F66" s="5">
        <v>294</v>
      </c>
      <c r="G66" t="str">
        <f>+VLOOKUP(B66,'[1]TIENDAS 2025'!$A$1:$C$143,3,0)</f>
        <v>departamental</v>
      </c>
      <c r="H66">
        <f>+VLOOKUP(B66,[2]Hoja1!$A$5:$B$139,2,0)</f>
        <v>237</v>
      </c>
      <c r="I66" s="8">
        <f>+E66+H66</f>
        <v>534</v>
      </c>
    </row>
    <row r="67" spans="1:9" ht="14.4" customHeight="1">
      <c r="A67" s="2">
        <v>800416</v>
      </c>
      <c r="B67" s="2" t="s">
        <v>173</v>
      </c>
      <c r="C67" s="2" t="s">
        <v>8</v>
      </c>
      <c r="D67" s="3" t="s">
        <v>39</v>
      </c>
      <c r="E67" s="4">
        <v>239</v>
      </c>
      <c r="F67" s="5">
        <v>235</v>
      </c>
      <c r="G67" t="str">
        <f>+VLOOKUP(B67,'[1]TIENDAS 2025'!$A$1:$C$143,3,0)</f>
        <v>local</v>
      </c>
      <c r="H67">
        <f>+VLOOKUP(B67,[2]Hoja1!$A$5:$B$139,2,0)</f>
        <v>293</v>
      </c>
      <c r="I67" s="8">
        <f>+E67+H67</f>
        <v>532</v>
      </c>
    </row>
    <row r="68" spans="1:9" ht="14.4" customHeight="1">
      <c r="A68" s="2">
        <v>800443</v>
      </c>
      <c r="B68" s="2" t="s">
        <v>197</v>
      </c>
      <c r="C68" s="2" t="s">
        <v>8</v>
      </c>
      <c r="D68" s="3" t="s">
        <v>103</v>
      </c>
      <c r="E68" s="4">
        <v>404</v>
      </c>
      <c r="F68" s="5">
        <v>394</v>
      </c>
      <c r="G68" t="str">
        <f>+VLOOKUP(B68,'[1]TIENDAS 2025'!$A$1:$C$143,3,0)</f>
        <v>departamental</v>
      </c>
      <c r="H68">
        <f>+VLOOKUP(B68,[2]Hoja1!$A$5:$B$139,2,0)</f>
        <v>106</v>
      </c>
      <c r="I68" s="8">
        <f>+E68+H68</f>
        <v>510</v>
      </c>
    </row>
    <row r="69" spans="1:9" ht="14.4" hidden="1" customHeight="1">
      <c r="A69" s="2">
        <v>800418</v>
      </c>
      <c r="B69" s="2" t="s">
        <v>175</v>
      </c>
      <c r="C69" s="2" t="s">
        <v>8</v>
      </c>
      <c r="D69" s="3" t="s">
        <v>102</v>
      </c>
      <c r="E69" s="4">
        <v>362</v>
      </c>
      <c r="F69" s="5">
        <v>362</v>
      </c>
      <c r="G69" t="str">
        <f>+VLOOKUP(B69,'[1]TIENDAS 2025'!$A$1:$C$143,3,0)</f>
        <v>nocturna</v>
      </c>
      <c r="H69">
        <f>+VLOOKUP(B69,[2]Hoja1!$A$5:$B$139,2,0)</f>
        <v>299</v>
      </c>
      <c r="I69" s="8">
        <f>+E69+H69</f>
        <v>661</v>
      </c>
    </row>
    <row r="70" spans="1:9" ht="14.4" hidden="1" customHeight="1">
      <c r="A70" s="2">
        <v>800419</v>
      </c>
      <c r="B70" s="2" t="s">
        <v>176</v>
      </c>
      <c r="C70" s="2" t="s">
        <v>8</v>
      </c>
      <c r="D70" s="3" t="s">
        <v>29</v>
      </c>
      <c r="E70" s="4">
        <v>248</v>
      </c>
      <c r="F70" s="5">
        <v>243</v>
      </c>
      <c r="G70" t="str">
        <f>+VLOOKUP(B70,'[1]TIENDAS 2025'!$A$1:$C$143,3,0)</f>
        <v>prioridad</v>
      </c>
      <c r="H70">
        <f>+VLOOKUP(B70,[2]Hoja1!$A$5:$B$139,2,0)</f>
        <v>187</v>
      </c>
      <c r="I70" s="8">
        <f>+E70+H70</f>
        <v>435</v>
      </c>
    </row>
    <row r="71" spans="1:9" ht="14.4" customHeight="1">
      <c r="A71" s="2">
        <v>800425</v>
      </c>
      <c r="B71" s="2" t="s">
        <v>182</v>
      </c>
      <c r="C71" s="2" t="s">
        <v>8</v>
      </c>
      <c r="D71" s="3" t="s">
        <v>91</v>
      </c>
      <c r="E71" s="4">
        <v>349</v>
      </c>
      <c r="F71" s="5">
        <v>348</v>
      </c>
      <c r="G71" t="str">
        <f>+VLOOKUP(B71,'[1]TIENDAS 2025'!$A$1:$C$143,3,0)</f>
        <v>departamental</v>
      </c>
      <c r="H71">
        <f>+VLOOKUP(B71,[2]Hoja1!$A$5:$B$139,2,0)</f>
        <v>160</v>
      </c>
      <c r="I71" s="8">
        <f>+E71+H71</f>
        <v>509</v>
      </c>
    </row>
    <row r="72" spans="1:9" ht="14.4" customHeight="1">
      <c r="A72" s="2">
        <v>800474</v>
      </c>
      <c r="B72" s="2" t="s">
        <v>219</v>
      </c>
      <c r="C72" s="2" t="s">
        <v>8</v>
      </c>
      <c r="D72" s="3" t="s">
        <v>59</v>
      </c>
      <c r="E72" s="4">
        <v>430</v>
      </c>
      <c r="F72" s="5">
        <v>421</v>
      </c>
      <c r="G72" t="str">
        <f>+VLOOKUP(B72,'[1]TIENDAS 2025'!$A$1:$C$143,3,0)</f>
        <v>local</v>
      </c>
      <c r="H72">
        <f>+VLOOKUP(B72,[2]Hoja1!$A$5:$B$139,2,0)</f>
        <v>74</v>
      </c>
      <c r="I72" s="8">
        <f>+E72+H72</f>
        <v>504</v>
      </c>
    </row>
    <row r="73" spans="1:9" ht="14.4" customHeight="1">
      <c r="A73" s="2">
        <v>800410</v>
      </c>
      <c r="B73" s="2" t="s">
        <v>168</v>
      </c>
      <c r="C73" s="2" t="s">
        <v>8</v>
      </c>
      <c r="D73" s="3" t="s">
        <v>89</v>
      </c>
      <c r="E73" s="4">
        <v>320</v>
      </c>
      <c r="F73" s="5">
        <v>319</v>
      </c>
      <c r="G73" t="str">
        <f>+VLOOKUP(B73,'[1]TIENDAS 2025'!$A$1:$C$143,3,0)</f>
        <v>departamental</v>
      </c>
      <c r="H73">
        <f>+VLOOKUP(B73,[2]Hoja1!$A$5:$B$139,2,0)</f>
        <v>180</v>
      </c>
      <c r="I73" s="8">
        <f>+E73+H73</f>
        <v>500</v>
      </c>
    </row>
    <row r="74" spans="1:9" ht="14.4" customHeight="1">
      <c r="A74" s="2">
        <v>800460</v>
      </c>
      <c r="B74" s="2" t="s">
        <v>211</v>
      </c>
      <c r="C74" s="2" t="s">
        <v>8</v>
      </c>
      <c r="D74" s="3" t="s">
        <v>35</v>
      </c>
      <c r="E74" s="4">
        <v>376</v>
      </c>
      <c r="F74" s="5">
        <v>373</v>
      </c>
      <c r="G74" t="str">
        <f>+VLOOKUP(B74,'[1]TIENDAS 2025'!$A$1:$C$143,3,0)</f>
        <v>departamental</v>
      </c>
      <c r="H74">
        <f>+VLOOKUP(B74,[2]Hoja1!$A$5:$B$139,2,0)</f>
        <v>121</v>
      </c>
      <c r="I74" s="8">
        <f>+E74+H74</f>
        <v>497</v>
      </c>
    </row>
    <row r="75" spans="1:9" ht="14.4" hidden="1" customHeight="1">
      <c r="A75" s="2">
        <v>800424</v>
      </c>
      <c r="B75" s="2" t="s">
        <v>181</v>
      </c>
      <c r="C75" s="2" t="s">
        <v>8</v>
      </c>
      <c r="D75" s="3" t="s">
        <v>6</v>
      </c>
      <c r="E75" s="4">
        <v>114</v>
      </c>
      <c r="F75" s="5">
        <v>113</v>
      </c>
      <c r="G75" t="str">
        <f>+VLOOKUP(B75,'[1]TIENDAS 2025'!$A$1:$C$143,3,0)</f>
        <v>prioridad</v>
      </c>
      <c r="H75">
        <f>+VLOOKUP(B75,[2]Hoja1!$A$5:$B$139,2,0)</f>
        <v>97</v>
      </c>
      <c r="I75" s="8">
        <f>+E75+H75</f>
        <v>211</v>
      </c>
    </row>
    <row r="76" spans="1:9" ht="14.4" customHeight="1">
      <c r="A76" s="2">
        <v>800403</v>
      </c>
      <c r="B76" s="2" t="s">
        <v>160</v>
      </c>
      <c r="C76" s="2" t="s">
        <v>8</v>
      </c>
      <c r="D76" s="3" t="s">
        <v>16</v>
      </c>
      <c r="E76" s="4">
        <v>253</v>
      </c>
      <c r="F76" s="5">
        <v>252</v>
      </c>
      <c r="G76" t="str">
        <f>+VLOOKUP(B76,'[1]TIENDAS 2025'!$A$1:$C$143,3,0)</f>
        <v>local</v>
      </c>
      <c r="H76">
        <f>+VLOOKUP(B76,[2]Hoja1!$A$5:$B$139,2,0)</f>
        <v>243</v>
      </c>
      <c r="I76" s="8">
        <f>+E76+H76</f>
        <v>496</v>
      </c>
    </row>
    <row r="77" spans="1:9" ht="14.4" customHeight="1">
      <c r="A77" s="2">
        <v>800445</v>
      </c>
      <c r="B77" s="2" t="s">
        <v>199</v>
      </c>
      <c r="C77" s="2" t="s">
        <v>8</v>
      </c>
      <c r="D77" s="3" t="s">
        <v>32</v>
      </c>
      <c r="E77" s="4">
        <v>367</v>
      </c>
      <c r="F77" s="5">
        <v>359</v>
      </c>
      <c r="G77" t="str">
        <f>+VLOOKUP(B77,'[1]TIENDAS 2025'!$A$1:$C$143,3,0)</f>
        <v>departamental</v>
      </c>
      <c r="H77">
        <f>+VLOOKUP(B77,[2]Hoja1!$A$5:$B$139,2,0)</f>
        <v>123</v>
      </c>
      <c r="I77" s="8">
        <f>+E77+H77</f>
        <v>490</v>
      </c>
    </row>
    <row r="78" spans="1:9" ht="14.4" hidden="1" customHeight="1">
      <c r="A78" s="2">
        <v>800427</v>
      </c>
      <c r="B78" s="2" t="s">
        <v>184</v>
      </c>
      <c r="C78" s="2" t="s">
        <v>8</v>
      </c>
      <c r="D78" s="3" t="s">
        <v>75</v>
      </c>
      <c r="E78" s="4">
        <v>252</v>
      </c>
      <c r="F78" s="5">
        <v>250</v>
      </c>
      <c r="G78" t="str">
        <f>+VLOOKUP(B78,'[1]TIENDAS 2025'!$A$1:$C$143,3,0)</f>
        <v>nocturna</v>
      </c>
      <c r="H78">
        <f>+VLOOKUP(B78,[2]Hoja1!$A$5:$B$139,2,0)</f>
        <v>180</v>
      </c>
      <c r="I78" s="8">
        <f>+E78+H78</f>
        <v>432</v>
      </c>
    </row>
    <row r="79" spans="1:9" ht="14.4" customHeight="1">
      <c r="A79" s="2">
        <v>800361</v>
      </c>
      <c r="B79" s="2" t="s">
        <v>123</v>
      </c>
      <c r="C79" s="2" t="s">
        <v>8</v>
      </c>
      <c r="D79" s="3" t="s">
        <v>26</v>
      </c>
      <c r="E79" s="4">
        <v>242</v>
      </c>
      <c r="F79" s="5">
        <v>241</v>
      </c>
      <c r="G79" t="str">
        <f>+VLOOKUP(B79,'[1]TIENDAS 2025'!$A$1:$C$143,3,0)</f>
        <v>local</v>
      </c>
      <c r="H79">
        <f>+VLOOKUP(B79,[2]Hoja1!$A$5:$B$139,2,0)</f>
        <v>244</v>
      </c>
      <c r="I79" s="8">
        <f>+E79+H79</f>
        <v>486</v>
      </c>
    </row>
    <row r="80" spans="1:9" ht="14.4" customHeight="1">
      <c r="A80" s="2">
        <v>800359</v>
      </c>
      <c r="B80" s="2" t="s">
        <v>121</v>
      </c>
      <c r="C80" s="2" t="s">
        <v>8</v>
      </c>
      <c r="D80" s="3" t="s">
        <v>11</v>
      </c>
      <c r="E80" s="4">
        <v>358</v>
      </c>
      <c r="F80" s="5">
        <v>353</v>
      </c>
      <c r="G80" t="str">
        <f>+VLOOKUP(B80,'[1]TIENDAS 2025'!$A$1:$C$143,3,0)</f>
        <v>departamental</v>
      </c>
      <c r="H80">
        <f>+VLOOKUP(B80,[2]Hoja1!$A$5:$B$139,2,0)</f>
        <v>121</v>
      </c>
      <c r="I80" s="8">
        <f>+E80+H80</f>
        <v>479</v>
      </c>
    </row>
    <row r="81" spans="1:9" ht="14.4" customHeight="1">
      <c r="A81" s="2">
        <v>800387</v>
      </c>
      <c r="B81" s="2" t="s">
        <v>145</v>
      </c>
      <c r="C81" s="2" t="s">
        <v>8</v>
      </c>
      <c r="D81" s="3" t="s">
        <v>66</v>
      </c>
      <c r="E81" s="4">
        <v>295</v>
      </c>
      <c r="F81" s="5">
        <v>294</v>
      </c>
      <c r="G81" t="str">
        <f>+VLOOKUP(B81,'[1]TIENDAS 2025'!$A$1:$C$143,3,0)</f>
        <v>departamental</v>
      </c>
      <c r="H81">
        <f>+VLOOKUP(B81,[2]Hoja1!$A$5:$B$139,2,0)</f>
        <v>168</v>
      </c>
      <c r="I81" s="8">
        <f>+E81+H81</f>
        <v>463</v>
      </c>
    </row>
    <row r="82" spans="1:9" ht="14.4" hidden="1" customHeight="1">
      <c r="A82" s="2">
        <v>800430</v>
      </c>
      <c r="B82" s="2" t="s">
        <v>187</v>
      </c>
      <c r="C82" s="2" t="s">
        <v>8</v>
      </c>
      <c r="D82" s="3" t="s">
        <v>75</v>
      </c>
      <c r="E82" s="4">
        <v>161</v>
      </c>
      <c r="F82" s="5">
        <v>161</v>
      </c>
      <c r="G82" t="str">
        <f>+VLOOKUP(B82,'[1]TIENDAS 2025'!$A$1:$C$143,3,0)</f>
        <v>prioridad</v>
      </c>
      <c r="H82">
        <f>+VLOOKUP(B82,[2]Hoja1!$A$5:$B$139,2,0)</f>
        <v>138</v>
      </c>
      <c r="I82" s="8">
        <f>+E82+H82</f>
        <v>299</v>
      </c>
    </row>
    <row r="83" spans="1:9" ht="14.4" customHeight="1">
      <c r="A83" s="2">
        <v>800386</v>
      </c>
      <c r="B83" s="2" t="s">
        <v>144</v>
      </c>
      <c r="C83" s="2" t="s">
        <v>8</v>
      </c>
      <c r="D83" s="3" t="s">
        <v>65</v>
      </c>
      <c r="E83" s="4">
        <v>334</v>
      </c>
      <c r="F83" s="5">
        <v>332</v>
      </c>
      <c r="G83" t="str">
        <f>+VLOOKUP(B83,'[1]TIENDAS 2025'!$A$1:$C$143,3,0)</f>
        <v>departamental</v>
      </c>
      <c r="H83">
        <f>+VLOOKUP(B83,[2]Hoja1!$A$5:$B$139,2,0)</f>
        <v>118</v>
      </c>
      <c r="I83" s="8">
        <f>+E83+H83</f>
        <v>452</v>
      </c>
    </row>
    <row r="84" spans="1:9" ht="14.4" hidden="1" customHeight="1">
      <c r="A84" s="2">
        <v>800433</v>
      </c>
      <c r="B84" s="2" t="s">
        <v>189</v>
      </c>
      <c r="C84" s="2" t="s">
        <v>8</v>
      </c>
      <c r="D84" s="3" t="s">
        <v>55</v>
      </c>
      <c r="E84" s="4">
        <v>442</v>
      </c>
      <c r="F84" s="5">
        <v>435</v>
      </c>
      <c r="G84" t="str">
        <f>+VLOOKUP(B84,'[1]TIENDAS 2025'!$A$1:$C$143,3,0)</f>
        <v>prioridad</v>
      </c>
      <c r="H84">
        <f>+VLOOKUP(B84,[2]Hoja1!$A$5:$B$139,2,0)</f>
        <v>243</v>
      </c>
      <c r="I84" s="8">
        <f>+E84+H84</f>
        <v>685</v>
      </c>
    </row>
    <row r="85" spans="1:9" ht="14.4" customHeight="1">
      <c r="A85" s="2">
        <v>800473</v>
      </c>
      <c r="B85" s="2" t="s">
        <v>220</v>
      </c>
      <c r="C85" s="2" t="s">
        <v>8</v>
      </c>
      <c r="D85" s="3" t="s">
        <v>23</v>
      </c>
      <c r="E85" s="4">
        <v>244</v>
      </c>
      <c r="F85" s="5">
        <v>244</v>
      </c>
      <c r="G85" t="str">
        <f>+VLOOKUP(B85,'[1]TIENDAS 2025'!$A$1:$C$143,3,0)</f>
        <v>local</v>
      </c>
      <c r="H85">
        <f>+VLOOKUP(B85,[2]Hoja1!$A$5:$B$139,2,0)</f>
        <v>208</v>
      </c>
      <c r="I85" s="8">
        <f>+E85+H85</f>
        <v>452</v>
      </c>
    </row>
    <row r="86" spans="1:9" ht="14.4" hidden="1" customHeight="1">
      <c r="A86" s="2">
        <v>800435</v>
      </c>
      <c r="B86" s="2" t="s">
        <v>191</v>
      </c>
      <c r="C86" s="2" t="s">
        <v>8</v>
      </c>
      <c r="D86" s="3" t="s">
        <v>41</v>
      </c>
      <c r="E86" s="4">
        <v>321</v>
      </c>
      <c r="F86" s="5">
        <v>314</v>
      </c>
      <c r="G86" t="str">
        <f>+VLOOKUP(B86,'[1]TIENDAS 2025'!$A$1:$C$143,3,0)</f>
        <v>prioridad</v>
      </c>
      <c r="H86">
        <f>+VLOOKUP(B86,[2]Hoja1!$A$5:$B$139,2,0)</f>
        <v>206</v>
      </c>
      <c r="I86" s="8">
        <f>+E86+H86</f>
        <v>527</v>
      </c>
    </row>
    <row r="87" spans="1:9" ht="14.4" customHeight="1">
      <c r="A87" s="2">
        <v>800452</v>
      </c>
      <c r="B87" s="2" t="s">
        <v>205</v>
      </c>
      <c r="C87" s="2" t="s">
        <v>8</v>
      </c>
      <c r="D87" s="3" t="s">
        <v>72</v>
      </c>
      <c r="E87" s="4">
        <v>249</v>
      </c>
      <c r="F87" s="5">
        <v>248</v>
      </c>
      <c r="G87" t="str">
        <f>+VLOOKUP(B87,'[1]TIENDAS 2025'!$A$1:$C$143,3,0)</f>
        <v>local</v>
      </c>
      <c r="H87">
        <f>+VLOOKUP(B87,[2]Hoja1!$A$5:$B$139,2,0)</f>
        <v>192</v>
      </c>
      <c r="I87" s="8">
        <f>+E87+H87</f>
        <v>441</v>
      </c>
    </row>
    <row r="88" spans="1:9" ht="14.4" hidden="1" customHeight="1">
      <c r="A88" s="2">
        <v>800437</v>
      </c>
      <c r="B88" s="2" t="s">
        <v>225</v>
      </c>
      <c r="C88" s="2" t="s">
        <v>8</v>
      </c>
      <c r="D88" s="3" t="s">
        <v>78</v>
      </c>
      <c r="E88" s="4">
        <v>378</v>
      </c>
      <c r="F88" s="5">
        <v>373</v>
      </c>
      <c r="G88" t="str">
        <f>+VLOOKUP(B88,'[1]TIENDAS 2025'!$A$1:$C$143,3,0)</f>
        <v>prioridad</v>
      </c>
      <c r="H88">
        <f>+VLOOKUP(B88,[2]Hoja1!$A$5:$B$139,2,0)</f>
        <v>338</v>
      </c>
      <c r="I88" s="8">
        <f>+E88+H88</f>
        <v>716</v>
      </c>
    </row>
    <row r="89" spans="1:9" ht="14.4" customHeight="1">
      <c r="A89" s="2">
        <v>800429</v>
      </c>
      <c r="B89" s="2" t="s">
        <v>186</v>
      </c>
      <c r="C89" s="2" t="s">
        <v>8</v>
      </c>
      <c r="D89" s="3" t="s">
        <v>77</v>
      </c>
      <c r="E89" s="4">
        <v>239</v>
      </c>
      <c r="F89" s="5">
        <v>235</v>
      </c>
      <c r="G89" t="str">
        <f>+VLOOKUP(B89,'[1]TIENDAS 2025'!$A$1:$C$143,3,0)</f>
        <v>departamental</v>
      </c>
      <c r="H89">
        <f>+VLOOKUP(B89,[2]Hoja1!$A$5:$B$139,2,0)</f>
        <v>186</v>
      </c>
      <c r="I89" s="8">
        <f>+E89+H89</f>
        <v>425</v>
      </c>
    </row>
    <row r="90" spans="1:9" ht="14.4" customHeight="1">
      <c r="A90" s="2">
        <v>800446</v>
      </c>
      <c r="B90" s="2" t="s">
        <v>200</v>
      </c>
      <c r="C90" s="2" t="s">
        <v>8</v>
      </c>
      <c r="D90" s="3" t="s">
        <v>33</v>
      </c>
      <c r="E90" s="4">
        <v>273</v>
      </c>
      <c r="F90" s="5">
        <v>269</v>
      </c>
      <c r="G90" t="str">
        <f>+VLOOKUP(B90,'[1]TIENDAS 2025'!$A$1:$C$143,3,0)</f>
        <v xml:space="preserve">departamental </v>
      </c>
      <c r="H90">
        <f>+VLOOKUP(B90,[2]Hoja1!$A$5:$B$139,2,0)</f>
        <v>147</v>
      </c>
      <c r="I90" s="8">
        <f>+E90+H90</f>
        <v>420</v>
      </c>
    </row>
    <row r="91" spans="1:9" ht="14.4" hidden="1" customHeight="1">
      <c r="A91" s="2">
        <v>800441</v>
      </c>
      <c r="B91" s="2" t="s">
        <v>195</v>
      </c>
      <c r="C91" s="2" t="s">
        <v>8</v>
      </c>
      <c r="D91" s="3" t="s">
        <v>36</v>
      </c>
      <c r="E91" s="4">
        <v>207</v>
      </c>
      <c r="F91" s="5">
        <v>200</v>
      </c>
      <c r="G91" t="str">
        <f>+VLOOKUP(B91,'[1]TIENDAS 2025'!$A$1:$C$143,3,0)</f>
        <v>nocturna</v>
      </c>
      <c r="H91">
        <f>+VLOOKUP(B91,[2]Hoja1!$A$5:$B$139,2,0)</f>
        <v>151</v>
      </c>
      <c r="I91" s="8">
        <f>+E91+H91</f>
        <v>358</v>
      </c>
    </row>
    <row r="92" spans="1:9" ht="14.4" customHeight="1">
      <c r="A92" s="2">
        <v>800343</v>
      </c>
      <c r="B92" s="2" t="s">
        <v>107</v>
      </c>
      <c r="C92" s="2" t="s">
        <v>8</v>
      </c>
      <c r="D92" s="3" t="s">
        <v>9</v>
      </c>
      <c r="E92" s="4">
        <v>338</v>
      </c>
      <c r="F92" s="5">
        <v>337</v>
      </c>
      <c r="G92" t="str">
        <f>+VLOOKUP(B92,'[1]TIENDAS 2025'!$A$1:$C$143,3,0)</f>
        <v>local</v>
      </c>
      <c r="H92">
        <f>+VLOOKUP(B92,[2]Hoja1!$A$5:$B$139,2,0)</f>
        <v>73</v>
      </c>
      <c r="I92" s="8">
        <f>+E92+H92</f>
        <v>411</v>
      </c>
    </row>
    <row r="93" spans="1:9" ht="14.4" customHeight="1">
      <c r="A93" s="2">
        <v>800415</v>
      </c>
      <c r="B93" s="2" t="s">
        <v>172</v>
      </c>
      <c r="C93" s="2" t="s">
        <v>8</v>
      </c>
      <c r="D93" s="3" t="s">
        <v>39</v>
      </c>
      <c r="E93" s="4">
        <v>202</v>
      </c>
      <c r="F93" s="5">
        <v>199</v>
      </c>
      <c r="G93" t="str">
        <f>+VLOOKUP(B93,'[1]TIENDAS 2025'!$A$1:$C$143,3,0)</f>
        <v>departamental</v>
      </c>
      <c r="H93">
        <f>+VLOOKUP(B93,[2]Hoja1!$A$5:$B$139,2,0)</f>
        <v>196</v>
      </c>
      <c r="I93" s="8">
        <f>+E93+H93</f>
        <v>398</v>
      </c>
    </row>
    <row r="94" spans="1:9" ht="14.4" hidden="1" customHeight="1">
      <c r="A94" s="2">
        <v>800444</v>
      </c>
      <c r="B94" s="2" t="s">
        <v>198</v>
      </c>
      <c r="C94" s="2" t="s">
        <v>8</v>
      </c>
      <c r="D94" s="3" t="s">
        <v>18</v>
      </c>
      <c r="E94" s="4">
        <v>336</v>
      </c>
      <c r="F94" s="5">
        <v>333</v>
      </c>
      <c r="G94" t="str">
        <f>+VLOOKUP(B94,'[1]TIENDAS 2025'!$A$1:$C$143,3,0)</f>
        <v>nocturna</v>
      </c>
      <c r="H94">
        <f>+VLOOKUP(B94,[2]Hoja1!$A$5:$B$139,2,0)</f>
        <v>364</v>
      </c>
      <c r="I94" s="8">
        <f>+E94+H94</f>
        <v>700</v>
      </c>
    </row>
    <row r="95" spans="1:9" ht="14.4" customHeight="1">
      <c r="A95" s="2">
        <v>800346</v>
      </c>
      <c r="B95" s="2" t="s">
        <v>109</v>
      </c>
      <c r="C95" s="2" t="s">
        <v>8</v>
      </c>
      <c r="D95" s="3" t="s">
        <v>44</v>
      </c>
      <c r="E95" s="4">
        <v>237</v>
      </c>
      <c r="F95" s="5">
        <v>232</v>
      </c>
      <c r="G95" t="str">
        <f>+VLOOKUP(B95,'[1]TIENDAS 2025'!$A$1:$C$143,3,0)</f>
        <v>local</v>
      </c>
      <c r="H95">
        <f>+VLOOKUP(B95,[2]Hoja1!$A$5:$B$139,2,0)</f>
        <v>141</v>
      </c>
      <c r="I95" s="8">
        <f>+E95+H95</f>
        <v>378</v>
      </c>
    </row>
    <row r="96" spans="1:9" ht="14.4" customHeight="1">
      <c r="A96" s="2">
        <v>800372</v>
      </c>
      <c r="B96" s="2" t="s">
        <v>132</v>
      </c>
      <c r="C96" s="2" t="s">
        <v>8</v>
      </c>
      <c r="D96" s="3" t="s">
        <v>47</v>
      </c>
      <c r="E96" s="4">
        <v>188</v>
      </c>
      <c r="F96" s="5">
        <v>187</v>
      </c>
      <c r="G96" t="str">
        <f>+VLOOKUP(B96,'[1]TIENDAS 2025'!$A$1:$C$143,3,0)</f>
        <v>departamental</v>
      </c>
      <c r="H96">
        <f>+VLOOKUP(B96,[2]Hoja1!$A$5:$B$139,2,0)</f>
        <v>189</v>
      </c>
      <c r="I96" s="8">
        <f>+E96+H96</f>
        <v>377</v>
      </c>
    </row>
    <row r="97" spans="1:9" ht="14.4" customHeight="1">
      <c r="A97" s="2">
        <v>800384</v>
      </c>
      <c r="B97" s="2" t="s">
        <v>142</v>
      </c>
      <c r="C97" s="2" t="s">
        <v>8</v>
      </c>
      <c r="D97" s="3" t="s">
        <v>49</v>
      </c>
      <c r="E97" s="4">
        <v>238</v>
      </c>
      <c r="F97" s="5">
        <v>237</v>
      </c>
      <c r="G97" t="str">
        <f>+VLOOKUP(B97,'[1]TIENDAS 2025'!$A$1:$C$143,3,0)</f>
        <v>departamental</v>
      </c>
      <c r="H97">
        <f>+VLOOKUP(B97,[2]Hoja1!$A$5:$B$139,2,0)</f>
        <v>135</v>
      </c>
      <c r="I97" s="8">
        <f>+E97+H97</f>
        <v>373</v>
      </c>
    </row>
    <row r="98" spans="1:9" ht="14.4" customHeight="1">
      <c r="A98" s="2">
        <v>800459</v>
      </c>
      <c r="B98" s="2" t="s">
        <v>210</v>
      </c>
      <c r="C98" s="2" t="s">
        <v>8</v>
      </c>
      <c r="D98" s="3" t="s">
        <v>34</v>
      </c>
      <c r="E98" s="4">
        <v>202</v>
      </c>
      <c r="F98" s="5">
        <v>201</v>
      </c>
      <c r="G98" t="str">
        <f>+VLOOKUP(B98,'[1]TIENDAS 2025'!$A$1:$C$143,3,0)</f>
        <v>departamental</v>
      </c>
      <c r="H98">
        <f>+VLOOKUP(B98,[2]Hoja1!$A$5:$B$139,2,0)</f>
        <v>167</v>
      </c>
      <c r="I98" s="8">
        <f>+E98+H98</f>
        <v>369</v>
      </c>
    </row>
    <row r="99" spans="1:9" ht="14.4" customHeight="1">
      <c r="A99" s="2">
        <v>800348</v>
      </c>
      <c r="B99" s="2" t="s">
        <v>110</v>
      </c>
      <c r="C99" s="2" t="s">
        <v>8</v>
      </c>
      <c r="D99" s="3" t="s">
        <v>21</v>
      </c>
      <c r="E99" s="4">
        <v>257</v>
      </c>
      <c r="F99" s="5">
        <v>253</v>
      </c>
      <c r="G99" t="str">
        <f>+VLOOKUP(B99,'[1]TIENDAS 2025'!$A$1:$C$143,3,0)</f>
        <v>local</v>
      </c>
      <c r="H99">
        <f>+VLOOKUP(B99,[2]Hoja1!$A$5:$B$139,2,0)</f>
        <v>104</v>
      </c>
      <c r="I99" s="8">
        <f>+E99+H99</f>
        <v>361</v>
      </c>
    </row>
    <row r="100" spans="1:9" ht="14.4" customHeight="1">
      <c r="A100" s="2">
        <v>800362</v>
      </c>
      <c r="B100" s="2" t="s">
        <v>124</v>
      </c>
      <c r="C100" s="2" t="s">
        <v>8</v>
      </c>
      <c r="D100" s="3" t="s">
        <v>12</v>
      </c>
      <c r="E100" s="4">
        <v>189</v>
      </c>
      <c r="F100" s="5">
        <v>189</v>
      </c>
      <c r="G100" t="str">
        <f>+VLOOKUP(B100,'[1]TIENDAS 2025'!$A$1:$C$143,3,0)</f>
        <v>departamental</v>
      </c>
      <c r="H100">
        <f>+VLOOKUP(B100,[2]Hoja1!$A$5:$B$139,2,0)</f>
        <v>151</v>
      </c>
      <c r="I100" s="8">
        <f>+E100+H100</f>
        <v>340</v>
      </c>
    </row>
    <row r="101" spans="1:9" ht="14.4" customHeight="1">
      <c r="A101" s="2">
        <v>800417</v>
      </c>
      <c r="B101" s="2" t="s">
        <v>174</v>
      </c>
      <c r="C101" s="2" t="s">
        <v>8</v>
      </c>
      <c r="D101" s="3" t="s">
        <v>29</v>
      </c>
      <c r="E101" s="4">
        <v>141</v>
      </c>
      <c r="F101" s="5">
        <v>140</v>
      </c>
      <c r="G101" t="str">
        <f>+VLOOKUP(B101,'[1]TIENDAS 2025'!$A$1:$C$143,3,0)</f>
        <v>departamental</v>
      </c>
      <c r="H101">
        <f>+VLOOKUP(B101,[2]Hoja1!$A$5:$B$139,2,0)</f>
        <v>197</v>
      </c>
      <c r="I101" s="8">
        <f>+E101+H101</f>
        <v>338</v>
      </c>
    </row>
    <row r="102" spans="1:9" ht="14.4" hidden="1" customHeight="1">
      <c r="A102" s="2">
        <v>800453</v>
      </c>
      <c r="B102" s="2" t="s">
        <v>206</v>
      </c>
      <c r="C102" s="2" t="s">
        <v>8</v>
      </c>
      <c r="D102" s="3" t="s">
        <v>20</v>
      </c>
      <c r="E102" s="4">
        <v>280</v>
      </c>
      <c r="F102" s="5">
        <v>275</v>
      </c>
      <c r="G102" t="str">
        <f>+VLOOKUP(B102,'[1]TIENDAS 2025'!$A$1:$C$143,3,0)</f>
        <v>prioridad</v>
      </c>
      <c r="H102">
        <f>+VLOOKUP(B102,[2]Hoja1!$A$5:$B$139,2,0)</f>
        <v>215</v>
      </c>
      <c r="I102" s="8">
        <f>+E102+H102</f>
        <v>495</v>
      </c>
    </row>
    <row r="103" spans="1:9" ht="14.4" hidden="1" customHeight="1">
      <c r="A103" s="2">
        <v>800456</v>
      </c>
      <c r="B103" s="2" t="s">
        <v>207</v>
      </c>
      <c r="C103" s="2" t="s">
        <v>8</v>
      </c>
      <c r="D103" s="3" t="s">
        <v>21</v>
      </c>
      <c r="E103" s="4">
        <v>79</v>
      </c>
      <c r="F103" s="5">
        <v>79</v>
      </c>
      <c r="G103" t="str">
        <f>+VLOOKUP(B103,'[1]TIENDAS 2025'!$A$1:$C$143,3,0)</f>
        <v>prioridad</v>
      </c>
      <c r="H103">
        <f>+VLOOKUP(B103,[2]Hoja1!$A$5:$B$139,2,0)</f>
        <v>64</v>
      </c>
      <c r="I103" s="8">
        <f>+E103+H103</f>
        <v>143</v>
      </c>
    </row>
    <row r="104" spans="1:9" ht="14.4" customHeight="1">
      <c r="A104" s="2">
        <v>800436</v>
      </c>
      <c r="B104" s="2" t="s">
        <v>192</v>
      </c>
      <c r="C104" s="2" t="s">
        <v>8</v>
      </c>
      <c r="D104" s="3" t="s">
        <v>31</v>
      </c>
      <c r="E104" s="4">
        <v>188</v>
      </c>
      <c r="F104" s="5">
        <v>184</v>
      </c>
      <c r="G104" t="str">
        <f>+VLOOKUP(B104,'[1]TIENDAS 2025'!$A$1:$C$143,3,0)</f>
        <v>local</v>
      </c>
      <c r="H104">
        <f>+VLOOKUP(B104,[2]Hoja1!$A$5:$B$139,2,0)</f>
        <v>147</v>
      </c>
      <c r="I104" s="8">
        <f>+E104+H104</f>
        <v>335</v>
      </c>
    </row>
    <row r="105" spans="1:9" ht="14.4" customHeight="1">
      <c r="A105" s="2">
        <v>800475</v>
      </c>
      <c r="B105" s="2" t="s">
        <v>218</v>
      </c>
      <c r="C105" s="2" t="s">
        <v>8</v>
      </c>
      <c r="D105" s="3" t="s">
        <v>60</v>
      </c>
      <c r="E105" s="4">
        <v>187</v>
      </c>
      <c r="F105" s="5">
        <v>183</v>
      </c>
      <c r="G105" t="str">
        <f>+VLOOKUP(B105,'[1]TIENDAS 2025'!$A$1:$C$143,3,0)</f>
        <v>local</v>
      </c>
      <c r="H105">
        <f>+VLOOKUP(B105,[2]Hoja1!$A$5:$B$139,2,0)</f>
        <v>148</v>
      </c>
      <c r="I105" s="8">
        <f>+E105+H105</f>
        <v>335</v>
      </c>
    </row>
    <row r="106" spans="1:9" ht="14.4" customHeight="1">
      <c r="A106" s="2">
        <v>800344</v>
      </c>
      <c r="B106" s="2" t="s">
        <v>108</v>
      </c>
      <c r="C106" s="2" t="s">
        <v>8</v>
      </c>
      <c r="D106" s="3" t="s">
        <v>24</v>
      </c>
      <c r="E106" s="4">
        <v>248</v>
      </c>
      <c r="F106" s="5">
        <v>245</v>
      </c>
      <c r="G106" t="str">
        <f>+VLOOKUP(B106,'[1]TIENDAS 2025'!$A$1:$C$143,3,0)</f>
        <v>local</v>
      </c>
      <c r="H106">
        <f>+VLOOKUP(B106,[2]Hoja1!$A$5:$B$139,2,0)</f>
        <v>80</v>
      </c>
      <c r="I106" s="8">
        <f>+E106+H106</f>
        <v>328</v>
      </c>
    </row>
    <row r="107" spans="1:9" ht="14.4" customHeight="1">
      <c r="A107" s="2">
        <v>800393</v>
      </c>
      <c r="B107" s="2" t="s">
        <v>151</v>
      </c>
      <c r="C107" s="2" t="s">
        <v>8</v>
      </c>
      <c r="D107" s="3" t="s">
        <v>27</v>
      </c>
      <c r="E107" s="4">
        <v>169</v>
      </c>
      <c r="F107" s="5">
        <v>169</v>
      </c>
      <c r="G107" t="str">
        <f>+VLOOKUP(B107,'[1]TIENDAS 2025'!$A$1:$C$143,3,0)</f>
        <v>departamental</v>
      </c>
      <c r="H107">
        <f>+VLOOKUP(B107,[2]Hoja1!$A$5:$B$139,2,0)</f>
        <v>157</v>
      </c>
      <c r="I107" s="8">
        <f>+E107+H107</f>
        <v>326</v>
      </c>
    </row>
    <row r="108" spans="1:9" ht="14.4" customHeight="1">
      <c r="A108" s="2">
        <v>800434</v>
      </c>
      <c r="B108" s="2" t="s">
        <v>190</v>
      </c>
      <c r="C108" s="2" t="s">
        <v>8</v>
      </c>
      <c r="D108" s="3" t="s">
        <v>77</v>
      </c>
      <c r="E108" s="4">
        <v>140</v>
      </c>
      <c r="F108" s="5">
        <v>139</v>
      </c>
      <c r="G108" t="str">
        <f>+VLOOKUP(B108,'[1]TIENDAS 2025'!$A$1:$C$143,3,0)</f>
        <v>local</v>
      </c>
      <c r="H108">
        <f>+VLOOKUP(B108,[2]Hoja1!$A$5:$B$139,2,0)</f>
        <v>181</v>
      </c>
      <c r="I108" s="8">
        <f>+E108+H108</f>
        <v>321</v>
      </c>
    </row>
    <row r="109" spans="1:9" ht="14.4" hidden="1" customHeight="1">
      <c r="A109" s="2">
        <v>800462</v>
      </c>
      <c r="B109" s="2" t="s">
        <v>213</v>
      </c>
      <c r="C109" s="2" t="s">
        <v>8</v>
      </c>
      <c r="D109" s="3" t="s">
        <v>36</v>
      </c>
      <c r="E109" s="4">
        <v>164</v>
      </c>
      <c r="F109" s="5">
        <v>163</v>
      </c>
      <c r="G109" t="str">
        <f>+VLOOKUP(B109,'[1]TIENDAS 2025'!$A$1:$C$143,3,0)</f>
        <v>prioridad</v>
      </c>
      <c r="H109">
        <f>+VLOOKUP(B109,[2]Hoja1!$A$5:$B$139,2,0)</f>
        <v>149</v>
      </c>
      <c r="I109" s="8">
        <f>+E109+H109</f>
        <v>313</v>
      </c>
    </row>
    <row r="110" spans="1:9" ht="14.4" hidden="1" customHeight="1">
      <c r="A110" s="2">
        <v>800463</v>
      </c>
      <c r="B110" s="2" t="s">
        <v>214</v>
      </c>
      <c r="C110" s="2" t="s">
        <v>8</v>
      </c>
      <c r="D110" s="3" t="s">
        <v>43</v>
      </c>
      <c r="E110" s="4">
        <v>291</v>
      </c>
      <c r="F110" s="5">
        <v>286</v>
      </c>
      <c r="G110" t="str">
        <f>+VLOOKUP(B110,'[1]TIENDAS 2025'!$A$1:$C$143,3,0)</f>
        <v>prioridad</v>
      </c>
      <c r="H110">
        <f>+VLOOKUP(B110,[2]Hoja1!$A$5:$B$139,2,0)</f>
        <v>128</v>
      </c>
      <c r="I110" s="8">
        <f>+E110+H110</f>
        <v>419</v>
      </c>
    </row>
    <row r="111" spans="1:9" ht="14.4" hidden="1" customHeight="1">
      <c r="A111" s="2">
        <v>800464</v>
      </c>
      <c r="B111" s="2" t="s">
        <v>215</v>
      </c>
      <c r="C111" s="2" t="s">
        <v>8</v>
      </c>
      <c r="D111" s="3" t="s">
        <v>104</v>
      </c>
      <c r="E111" s="4">
        <v>394</v>
      </c>
      <c r="F111" s="5">
        <v>382</v>
      </c>
      <c r="G111" t="str">
        <f>+VLOOKUP(B111,'[1]TIENDAS 2025'!$A$1:$C$143,3,0)</f>
        <v>nocturna</v>
      </c>
      <c r="H111">
        <f>+VLOOKUP(B111,[2]Hoja1!$A$5:$B$139,2,0)</f>
        <v>212</v>
      </c>
      <c r="I111" s="8">
        <f>+E111+H111</f>
        <v>606</v>
      </c>
    </row>
    <row r="112" spans="1:9" ht="14.4" hidden="1" customHeight="1">
      <c r="A112" s="2">
        <v>800465</v>
      </c>
      <c r="B112" s="2" t="s">
        <v>216</v>
      </c>
      <c r="C112" s="2" t="s">
        <v>8</v>
      </c>
      <c r="D112" s="3" t="s">
        <v>60</v>
      </c>
      <c r="E112" s="4">
        <v>216</v>
      </c>
      <c r="F112" s="5">
        <v>210</v>
      </c>
      <c r="G112" t="str">
        <f>+VLOOKUP(B112,'[1]TIENDAS 2025'!$A$1:$C$143,3,0)</f>
        <v>prioridad</v>
      </c>
      <c r="H112">
        <f>+VLOOKUP(B112,[2]Hoja1!$A$5:$B$139,2,0)</f>
        <v>180</v>
      </c>
      <c r="I112" s="8">
        <f>+E112+H112</f>
        <v>396</v>
      </c>
    </row>
    <row r="113" spans="1:9" ht="14.4" hidden="1" customHeight="1">
      <c r="A113" s="2">
        <v>800466</v>
      </c>
      <c r="B113" s="2" t="s">
        <v>217</v>
      </c>
      <c r="C113" s="2" t="s">
        <v>8</v>
      </c>
      <c r="D113" s="3" t="s">
        <v>22</v>
      </c>
      <c r="E113" s="4">
        <v>475</v>
      </c>
      <c r="F113" s="5">
        <v>461</v>
      </c>
      <c r="G113" t="str">
        <f>+VLOOKUP(B113,'[1]TIENDAS 2025'!$A$1:$C$143,3,0)</f>
        <v>prioridad</v>
      </c>
      <c r="H113">
        <f>+VLOOKUP(B113,[2]Hoja1!$A$5:$B$139,2,0)</f>
        <v>389</v>
      </c>
      <c r="I113" s="8">
        <f>+E113+H113</f>
        <v>864</v>
      </c>
    </row>
    <row r="114" spans="1:9" ht="14.4" customHeight="1">
      <c r="A114" s="2">
        <v>800349</v>
      </c>
      <c r="B114" s="2" t="s">
        <v>111</v>
      </c>
      <c r="C114" s="2" t="s">
        <v>8</v>
      </c>
      <c r="D114" s="3" t="s">
        <v>45</v>
      </c>
      <c r="E114" s="4">
        <v>207</v>
      </c>
      <c r="F114" s="5">
        <v>204</v>
      </c>
      <c r="G114" t="str">
        <f>+VLOOKUP(B114,'[1]TIENDAS 2025'!$A$1:$C$143,3,0)</f>
        <v>departamental</v>
      </c>
      <c r="H114">
        <f>+VLOOKUP(B114,[2]Hoja1!$A$5:$B$139,2,0)</f>
        <v>107</v>
      </c>
      <c r="I114" s="8">
        <f>+E114+H114</f>
        <v>314</v>
      </c>
    </row>
    <row r="115" spans="1:9" ht="14.4" customHeight="1">
      <c r="A115" s="2">
        <v>800439</v>
      </c>
      <c r="B115" s="2" t="s">
        <v>194</v>
      </c>
      <c r="C115" s="2" t="s">
        <v>8</v>
      </c>
      <c r="D115" s="3" t="s">
        <v>31</v>
      </c>
      <c r="E115" s="4">
        <v>151</v>
      </c>
      <c r="F115" s="5">
        <v>151</v>
      </c>
      <c r="G115" t="str">
        <f>+VLOOKUP(B115,'[1]TIENDAS 2025'!$A$1:$C$143,3,0)</f>
        <v>local</v>
      </c>
      <c r="H115">
        <f>+VLOOKUP(B115,[2]Hoja1!$A$5:$B$139,2,0)</f>
        <v>155</v>
      </c>
      <c r="I115" s="8">
        <f>+E115+H115</f>
        <v>306</v>
      </c>
    </row>
    <row r="116" spans="1:9" ht="14.4" customHeight="1">
      <c r="A116" s="2">
        <v>800413</v>
      </c>
      <c r="B116" s="2" t="s">
        <v>170</v>
      </c>
      <c r="C116" s="2" t="s">
        <v>8</v>
      </c>
      <c r="D116" s="3" t="s">
        <v>100</v>
      </c>
      <c r="E116" s="4">
        <v>179</v>
      </c>
      <c r="F116" s="5">
        <v>179</v>
      </c>
      <c r="G116" t="str">
        <f>+VLOOKUP(B116,'[1]TIENDAS 2025'!$A$1:$C$143,3,0)</f>
        <v>local</v>
      </c>
      <c r="H116">
        <f>+VLOOKUP(B116,[2]Hoja1!$A$5:$B$139,2,0)</f>
        <v>112</v>
      </c>
      <c r="I116" s="8">
        <f>+E116+H116</f>
        <v>291</v>
      </c>
    </row>
    <row r="117" spans="1:9" ht="14.4" customHeight="1">
      <c r="A117" s="2">
        <v>800399</v>
      </c>
      <c r="B117" s="2" t="s">
        <v>156</v>
      </c>
      <c r="C117" s="2" t="s">
        <v>8</v>
      </c>
      <c r="D117" s="3" t="s">
        <v>66</v>
      </c>
      <c r="E117" s="4">
        <v>188</v>
      </c>
      <c r="F117" s="5">
        <v>180</v>
      </c>
      <c r="G117" t="str">
        <f>+VLOOKUP(B117,'[1]TIENDAS 2025'!$A$1:$C$143,3,0)</f>
        <v>local</v>
      </c>
      <c r="H117">
        <f>+VLOOKUP(B117,[2]Hoja1!$A$5:$B$139,2,0)</f>
        <v>42</v>
      </c>
      <c r="I117" s="8">
        <f>+E117+H117</f>
        <v>230</v>
      </c>
    </row>
    <row r="118" spans="1:9" ht="14.4" hidden="1" customHeight="1">
      <c r="A118" s="2">
        <v>800471</v>
      </c>
      <c r="B118" s="2" t="s">
        <v>222</v>
      </c>
      <c r="C118" s="2" t="s">
        <v>8</v>
      </c>
      <c r="D118" s="3" t="s">
        <v>58</v>
      </c>
      <c r="E118" s="4">
        <v>271</v>
      </c>
      <c r="F118" s="5">
        <v>269</v>
      </c>
      <c r="G118" t="str">
        <f>+VLOOKUP(B118,'[1]TIENDAS 2025'!$A$1:$C$143,3,0)</f>
        <v>nocturna</v>
      </c>
      <c r="H118">
        <f>+VLOOKUP(B118,[2]Hoja1!$A$5:$B$139,2,0)</f>
        <v>221</v>
      </c>
      <c r="I118" s="8">
        <f>+E118+H118</f>
        <v>492</v>
      </c>
    </row>
    <row r="119" spans="1:9" ht="14.4" customHeight="1">
      <c r="A119" s="2">
        <v>800259</v>
      </c>
      <c r="B119" s="2" t="s">
        <v>148</v>
      </c>
      <c r="C119" s="2" t="s">
        <v>8</v>
      </c>
      <c r="D119" s="6" t="s">
        <v>7</v>
      </c>
      <c r="E119" s="4">
        <v>146</v>
      </c>
      <c r="F119" s="5">
        <v>143</v>
      </c>
      <c r="G119" t="str">
        <f>+VLOOKUP(B119,'[1]TIENDAS 2025'!$A$1:$C$143,3,0)</f>
        <v>departamental</v>
      </c>
      <c r="H119">
        <f>+VLOOKUP(B119,[2]Hoja1!$A$5:$B$139,2,0)</f>
        <v>76</v>
      </c>
      <c r="I119" s="8">
        <f>+E119+H119</f>
        <v>222</v>
      </c>
    </row>
    <row r="120" spans="1:9" ht="14.4" customHeight="1">
      <c r="A120" s="2">
        <v>800356</v>
      </c>
      <c r="B120" s="2" t="s">
        <v>118</v>
      </c>
      <c r="C120" s="2" t="s">
        <v>8</v>
      </c>
      <c r="D120" s="3" t="s">
        <v>24</v>
      </c>
      <c r="E120" s="4">
        <v>120</v>
      </c>
      <c r="F120" s="5">
        <v>120</v>
      </c>
      <c r="G120" t="str">
        <f>+VLOOKUP(B120,'[1]TIENDAS 2025'!$A$1:$C$143,3,0)</f>
        <v>local</v>
      </c>
      <c r="H120">
        <f>+VLOOKUP(B120,[2]Hoja1!$A$5:$B$139,2,0)</f>
        <v>95</v>
      </c>
      <c r="I120" s="8">
        <f>+E120+H120</f>
        <v>215</v>
      </c>
    </row>
    <row r="121" spans="1:9" ht="0" hidden="1" customHeight="1"/>
    <row r="133" spans="3:4">
      <c r="C133" s="2" t="s">
        <v>112</v>
      </c>
      <c r="D133" s="9">
        <v>800350</v>
      </c>
    </row>
    <row r="134" spans="3:4">
      <c r="C134" s="2" t="s">
        <v>113</v>
      </c>
      <c r="D134" s="9">
        <v>800351</v>
      </c>
    </row>
    <row r="135" spans="3:4">
      <c r="C135" s="2" t="s">
        <v>114</v>
      </c>
      <c r="D135" s="9">
        <v>800352</v>
      </c>
    </row>
    <row r="136" spans="3:4">
      <c r="C136" s="2" t="s">
        <v>115</v>
      </c>
      <c r="D136" s="9">
        <v>800353</v>
      </c>
    </row>
    <row r="137" spans="3:4">
      <c r="C137" s="2" t="s">
        <v>116</v>
      </c>
      <c r="D137" s="9">
        <v>800354</v>
      </c>
    </row>
    <row r="138" spans="3:4">
      <c r="C138" s="2" t="s">
        <v>119</v>
      </c>
      <c r="D138" s="9">
        <v>800357</v>
      </c>
    </row>
    <row r="139" spans="3:4">
      <c r="C139" s="2" t="s">
        <v>122</v>
      </c>
      <c r="D139" s="9">
        <v>800360</v>
      </c>
    </row>
    <row r="140" spans="3:4">
      <c r="C140" s="2" t="s">
        <v>125</v>
      </c>
      <c r="D140" s="9">
        <v>800363</v>
      </c>
    </row>
    <row r="141" spans="3:4">
      <c r="C141" s="2" t="s">
        <v>126</v>
      </c>
      <c r="D141" s="9">
        <v>800364</v>
      </c>
    </row>
    <row r="142" spans="3:4">
      <c r="C142" s="2" t="s">
        <v>127</v>
      </c>
      <c r="D142" s="9">
        <v>800365</v>
      </c>
    </row>
    <row r="143" spans="3:4">
      <c r="C143" s="2" t="s">
        <v>133</v>
      </c>
      <c r="D143" s="9">
        <v>800373</v>
      </c>
    </row>
    <row r="144" spans="3:4">
      <c r="C144" s="2" t="s">
        <v>134</v>
      </c>
      <c r="D144" s="9">
        <v>800374</v>
      </c>
    </row>
    <row r="145" spans="3:4">
      <c r="C145" s="2" t="s">
        <v>135</v>
      </c>
      <c r="D145" s="9">
        <v>800375</v>
      </c>
    </row>
    <row r="146" spans="3:4">
      <c r="C146" s="2" t="s">
        <v>136</v>
      </c>
      <c r="D146" s="9">
        <v>800377</v>
      </c>
    </row>
    <row r="147" spans="3:4">
      <c r="C147" s="2" t="s">
        <v>138</v>
      </c>
      <c r="D147" s="9">
        <v>800380</v>
      </c>
    </row>
    <row r="148" spans="3:4">
      <c r="C148" s="2" t="s">
        <v>139</v>
      </c>
      <c r="D148" s="9">
        <v>800381</v>
      </c>
    </row>
    <row r="149" spans="3:4">
      <c r="C149" s="2" t="s">
        <v>149</v>
      </c>
      <c r="D149" s="9">
        <v>800391</v>
      </c>
    </row>
    <row r="150" spans="3:4">
      <c r="C150" s="2" t="s">
        <v>150</v>
      </c>
      <c r="D150" s="9">
        <v>800392</v>
      </c>
    </row>
    <row r="151" spans="3:4">
      <c r="C151" s="2" t="s">
        <v>154</v>
      </c>
      <c r="D151" s="9">
        <v>800396</v>
      </c>
    </row>
    <row r="152" spans="3:4">
      <c r="C152" s="2" t="s">
        <v>224</v>
      </c>
      <c r="D152" s="9">
        <v>800398</v>
      </c>
    </row>
    <row r="153" spans="3:4">
      <c r="C153" s="2" t="s">
        <v>159</v>
      </c>
      <c r="D153" s="9">
        <v>800401</v>
      </c>
    </row>
    <row r="154" spans="3:4">
      <c r="C154" s="2" t="s">
        <v>161</v>
      </c>
      <c r="D154" s="9">
        <v>800409</v>
      </c>
    </row>
    <row r="155" spans="3:4">
      <c r="C155" s="2" t="s">
        <v>163</v>
      </c>
      <c r="D155" s="9">
        <v>800407</v>
      </c>
    </row>
    <row r="156" spans="3:4">
      <c r="C156" s="2" t="s">
        <v>165</v>
      </c>
      <c r="D156" s="9">
        <v>800405</v>
      </c>
    </row>
    <row r="157" spans="3:4">
      <c r="C157" s="2" t="s">
        <v>166</v>
      </c>
      <c r="D157" s="9">
        <v>800404</v>
      </c>
    </row>
    <row r="158" spans="3:4">
      <c r="C158" s="2" t="s">
        <v>167</v>
      </c>
      <c r="D158" s="9">
        <v>800411</v>
      </c>
    </row>
    <row r="159" spans="3:4">
      <c r="C159" s="2" t="s">
        <v>175</v>
      </c>
      <c r="D159" s="9">
        <v>800418</v>
      </c>
    </row>
    <row r="160" spans="3:4">
      <c r="C160" s="2" t="s">
        <v>176</v>
      </c>
      <c r="D160" s="9">
        <v>800419</v>
      </c>
    </row>
    <row r="161" spans="3:4">
      <c r="C161" s="2" t="s">
        <v>181</v>
      </c>
      <c r="D161" s="9">
        <v>800424</v>
      </c>
    </row>
    <row r="162" spans="3:4">
      <c r="C162" s="2" t="s">
        <v>184</v>
      </c>
      <c r="D162" s="9">
        <v>800427</v>
      </c>
    </row>
    <row r="163" spans="3:4">
      <c r="C163" s="2" t="s">
        <v>187</v>
      </c>
      <c r="D163" s="9">
        <v>800430</v>
      </c>
    </row>
    <row r="164" spans="3:4">
      <c r="C164" s="2" t="s">
        <v>189</v>
      </c>
      <c r="D164" s="9">
        <v>800433</v>
      </c>
    </row>
    <row r="165" spans="3:4">
      <c r="C165" s="2" t="s">
        <v>191</v>
      </c>
      <c r="D165" s="9">
        <v>800435</v>
      </c>
    </row>
    <row r="166" spans="3:4">
      <c r="C166" s="2" t="s">
        <v>225</v>
      </c>
      <c r="D166" s="9">
        <v>800437</v>
      </c>
    </row>
    <row r="167" spans="3:4">
      <c r="C167" s="2" t="s">
        <v>195</v>
      </c>
      <c r="D167" s="9">
        <v>800441</v>
      </c>
    </row>
    <row r="168" spans="3:4">
      <c r="C168" s="2" t="s">
        <v>198</v>
      </c>
      <c r="D168" s="9">
        <v>800444</v>
      </c>
    </row>
    <row r="169" spans="3:4">
      <c r="C169" s="2" t="s">
        <v>206</v>
      </c>
      <c r="D169" s="9">
        <v>800453</v>
      </c>
    </row>
    <row r="170" spans="3:4">
      <c r="C170" s="2" t="s">
        <v>207</v>
      </c>
      <c r="D170" s="9">
        <v>800456</v>
      </c>
    </row>
    <row r="171" spans="3:4">
      <c r="C171" s="2" t="s">
        <v>213</v>
      </c>
      <c r="D171" s="9">
        <v>800462</v>
      </c>
    </row>
    <row r="172" spans="3:4">
      <c r="C172" s="2" t="s">
        <v>214</v>
      </c>
      <c r="D172" s="9">
        <v>800463</v>
      </c>
    </row>
    <row r="173" spans="3:4">
      <c r="C173" s="2" t="s">
        <v>215</v>
      </c>
      <c r="D173" s="9">
        <v>800464</v>
      </c>
    </row>
    <row r="174" spans="3:4">
      <c r="C174" s="2" t="s">
        <v>216</v>
      </c>
      <c r="D174" s="9">
        <v>800465</v>
      </c>
    </row>
    <row r="175" spans="3:4">
      <c r="C175" s="2" t="s">
        <v>217</v>
      </c>
      <c r="D175" s="9">
        <v>800466</v>
      </c>
    </row>
    <row r="176" spans="3:4">
      <c r="C176" s="2" t="s">
        <v>222</v>
      </c>
      <c r="D176" s="9">
        <v>800471</v>
      </c>
    </row>
    <row r="177" spans="3:4">
      <c r="C177" s="2" t="s">
        <v>143</v>
      </c>
      <c r="D177" s="9">
        <v>800385</v>
      </c>
    </row>
    <row r="178" spans="3:4">
      <c r="C178" s="2" t="s">
        <v>185</v>
      </c>
      <c r="D178" s="9">
        <v>800428</v>
      </c>
    </row>
    <row r="179" spans="3:4">
      <c r="C179" s="2" t="s">
        <v>204</v>
      </c>
      <c r="D179" s="9">
        <v>800450</v>
      </c>
    </row>
    <row r="180" spans="3:4">
      <c r="C180" s="2" t="s">
        <v>130</v>
      </c>
      <c r="D180" s="9">
        <v>800369</v>
      </c>
    </row>
    <row r="181" spans="3:4">
      <c r="C181" s="2" t="s">
        <v>208</v>
      </c>
      <c r="D181" s="9">
        <v>800457</v>
      </c>
    </row>
    <row r="182" spans="3:4">
      <c r="C182" s="2" t="s">
        <v>193</v>
      </c>
      <c r="D182" s="9">
        <v>800438</v>
      </c>
    </row>
    <row r="183" spans="3:4">
      <c r="C183" s="2" t="s">
        <v>203</v>
      </c>
      <c r="D183" s="9">
        <v>800449</v>
      </c>
    </row>
    <row r="184" spans="3:4">
      <c r="C184" s="2" t="s">
        <v>169</v>
      </c>
      <c r="D184" s="9">
        <v>800412</v>
      </c>
    </row>
    <row r="185" spans="3:4">
      <c r="C185" s="2" t="s">
        <v>178</v>
      </c>
      <c r="D185" s="9">
        <v>800421</v>
      </c>
    </row>
    <row r="186" spans="3:4">
      <c r="C186" s="2" t="s">
        <v>223</v>
      </c>
      <c r="D186" s="9">
        <v>800470</v>
      </c>
    </row>
    <row r="187" spans="3:4">
      <c r="C187" s="2" t="s">
        <v>209</v>
      </c>
      <c r="D187" s="9">
        <v>800458</v>
      </c>
    </row>
    <row r="188" spans="3:4">
      <c r="C188" s="2" t="s">
        <v>164</v>
      </c>
      <c r="D188" s="9">
        <v>800406</v>
      </c>
    </row>
    <row r="189" spans="3:4">
      <c r="C189" s="2" t="s">
        <v>140</v>
      </c>
      <c r="D189" s="9">
        <v>800382</v>
      </c>
    </row>
    <row r="190" spans="3:4">
      <c r="C190" s="2" t="s">
        <v>212</v>
      </c>
      <c r="D190" s="9">
        <v>800461</v>
      </c>
    </row>
    <row r="191" spans="3:4">
      <c r="C191" s="2" t="s">
        <v>153</v>
      </c>
      <c r="D191" s="9">
        <v>800395</v>
      </c>
    </row>
    <row r="192" spans="3:4">
      <c r="C192" s="2" t="s">
        <v>162</v>
      </c>
      <c r="D192" s="9">
        <v>800408</v>
      </c>
    </row>
    <row r="193" spans="3:4">
      <c r="C193" s="2" t="s">
        <v>137</v>
      </c>
      <c r="D193" s="9">
        <v>800378</v>
      </c>
    </row>
    <row r="194" spans="3:4">
      <c r="C194" s="2" t="s">
        <v>179</v>
      </c>
      <c r="D194" s="9">
        <v>800422</v>
      </c>
    </row>
    <row r="195" spans="3:4">
      <c r="C195" s="2" t="s">
        <v>177</v>
      </c>
      <c r="D195" s="9">
        <v>800420</v>
      </c>
    </row>
    <row r="196" spans="3:4">
      <c r="C196" s="2" t="s">
        <v>131</v>
      </c>
      <c r="D196" s="9">
        <v>800371</v>
      </c>
    </row>
    <row r="197" spans="3:4">
      <c r="C197" s="2" t="s">
        <v>146</v>
      </c>
      <c r="D197" s="9">
        <v>800388</v>
      </c>
    </row>
    <row r="198" spans="3:4">
      <c r="C198" s="2" t="s">
        <v>152</v>
      </c>
      <c r="D198" s="9">
        <v>800394</v>
      </c>
    </row>
    <row r="199" spans="3:4">
      <c r="C199" s="2" t="s">
        <v>202</v>
      </c>
      <c r="D199" s="9">
        <v>800448</v>
      </c>
    </row>
    <row r="200" spans="3:4">
      <c r="C200" s="2" t="s">
        <v>196</v>
      </c>
      <c r="D200" s="9">
        <v>800442</v>
      </c>
    </row>
    <row r="201" spans="3:4">
      <c r="C201" s="2" t="s">
        <v>171</v>
      </c>
      <c r="D201" s="9">
        <v>800414</v>
      </c>
    </row>
    <row r="202" spans="3:4">
      <c r="C202" s="2" t="s">
        <v>221</v>
      </c>
      <c r="D202" s="9">
        <v>800472</v>
      </c>
    </row>
    <row r="203" spans="3:4">
      <c r="C203" s="2" t="s">
        <v>141</v>
      </c>
      <c r="D203" s="9">
        <v>800383</v>
      </c>
    </row>
    <row r="204" spans="3:4">
      <c r="C204" s="2" t="s">
        <v>128</v>
      </c>
      <c r="D204" s="9">
        <v>800367</v>
      </c>
    </row>
    <row r="205" spans="3:4">
      <c r="C205" s="2" t="s">
        <v>180</v>
      </c>
      <c r="D205" s="9">
        <v>800423</v>
      </c>
    </row>
    <row r="206" spans="3:4">
      <c r="C206" s="2" t="s">
        <v>201</v>
      </c>
      <c r="D206" s="9">
        <v>800447</v>
      </c>
    </row>
    <row r="207" spans="3:4">
      <c r="C207" s="2" t="s">
        <v>158</v>
      </c>
      <c r="D207" s="9">
        <v>800402</v>
      </c>
    </row>
    <row r="208" spans="3:4">
      <c r="C208" s="2" t="s">
        <v>188</v>
      </c>
      <c r="D208" s="9">
        <v>800431</v>
      </c>
    </row>
    <row r="209" spans="3:4">
      <c r="C209" s="2" t="s">
        <v>147</v>
      </c>
      <c r="D209" s="9">
        <v>800390</v>
      </c>
    </row>
    <row r="210" spans="3:4">
      <c r="C210" s="2" t="s">
        <v>183</v>
      </c>
      <c r="D210" s="9">
        <v>800426</v>
      </c>
    </row>
    <row r="211" spans="3:4">
      <c r="C211" s="2" t="s">
        <v>173</v>
      </c>
      <c r="D211" s="9">
        <v>800416</v>
      </c>
    </row>
    <row r="212" spans="3:4">
      <c r="C212" s="2" t="s">
        <v>197</v>
      </c>
      <c r="D212" s="9">
        <v>800443</v>
      </c>
    </row>
    <row r="213" spans="3:4">
      <c r="C213" s="2" t="s">
        <v>182</v>
      </c>
      <c r="D213" s="9">
        <v>800425</v>
      </c>
    </row>
    <row r="214" spans="3:4">
      <c r="C214" s="2" t="s">
        <v>168</v>
      </c>
      <c r="D214" s="9">
        <v>800410</v>
      </c>
    </row>
    <row r="215" spans="3:4">
      <c r="C215" s="2" t="s">
        <v>211</v>
      </c>
      <c r="D215" s="9">
        <v>800460</v>
      </c>
    </row>
    <row r="216" spans="3:4">
      <c r="C216" s="2" t="s">
        <v>160</v>
      </c>
      <c r="D216" s="9">
        <v>800403</v>
      </c>
    </row>
    <row r="217" spans="3:4">
      <c r="C217" s="2" t="s">
        <v>199</v>
      </c>
      <c r="D217" s="9">
        <v>800445</v>
      </c>
    </row>
    <row r="218" spans="3:4">
      <c r="C218" s="2" t="s">
        <v>123</v>
      </c>
      <c r="D218" s="9">
        <v>800361</v>
      </c>
    </row>
    <row r="219" spans="3:4">
      <c r="C219" s="2" t="s">
        <v>121</v>
      </c>
      <c r="D219" s="9">
        <v>800359</v>
      </c>
    </row>
    <row r="220" spans="3:4">
      <c r="C220" s="2" t="s">
        <v>145</v>
      </c>
      <c r="D220" s="9">
        <v>800387</v>
      </c>
    </row>
    <row r="221" spans="3:4">
      <c r="C221" s="2" t="s">
        <v>144</v>
      </c>
      <c r="D221" s="9">
        <v>800386</v>
      </c>
    </row>
    <row r="222" spans="3:4">
      <c r="C222" s="2" t="s">
        <v>220</v>
      </c>
      <c r="D222" s="9">
        <v>800473</v>
      </c>
    </row>
    <row r="223" spans="3:4">
      <c r="C223" s="2" t="s">
        <v>205</v>
      </c>
      <c r="D223" s="9">
        <v>800452</v>
      </c>
    </row>
    <row r="224" spans="3:4">
      <c r="C224" s="2" t="s">
        <v>186</v>
      </c>
      <c r="D224" s="9">
        <v>800429</v>
      </c>
    </row>
    <row r="225" spans="3:4">
      <c r="C225" s="2" t="s">
        <v>200</v>
      </c>
      <c r="D225" s="9">
        <v>800446</v>
      </c>
    </row>
    <row r="226" spans="3:4">
      <c r="C226" s="2" t="s">
        <v>107</v>
      </c>
      <c r="D226" s="9">
        <v>800343</v>
      </c>
    </row>
    <row r="227" spans="3:4">
      <c r="C227" s="2" t="s">
        <v>172</v>
      </c>
      <c r="D227" s="9">
        <v>800415</v>
      </c>
    </row>
    <row r="228" spans="3:4">
      <c r="C228" s="2" t="s">
        <v>109</v>
      </c>
      <c r="D228" s="9">
        <v>800346</v>
      </c>
    </row>
    <row r="229" spans="3:4">
      <c r="C229" s="2" t="s">
        <v>132</v>
      </c>
      <c r="D229" s="9">
        <v>800372</v>
      </c>
    </row>
    <row r="230" spans="3:4">
      <c r="C230" s="2" t="s">
        <v>142</v>
      </c>
      <c r="D230" s="9">
        <v>800384</v>
      </c>
    </row>
    <row r="231" spans="3:4">
      <c r="C231" s="2" t="s">
        <v>210</v>
      </c>
      <c r="D231" s="9">
        <v>800459</v>
      </c>
    </row>
    <row r="232" spans="3:4">
      <c r="C232" s="2" t="s">
        <v>110</v>
      </c>
      <c r="D232" s="9">
        <v>800348</v>
      </c>
    </row>
    <row r="233" spans="3:4">
      <c r="C233" s="2" t="s">
        <v>124</v>
      </c>
      <c r="D233" s="9">
        <v>800362</v>
      </c>
    </row>
    <row r="234" spans="3:4">
      <c r="C234" s="2" t="s">
        <v>174</v>
      </c>
      <c r="D234" s="9">
        <v>800417</v>
      </c>
    </row>
    <row r="235" spans="3:4">
      <c r="C235" s="2" t="s">
        <v>192</v>
      </c>
      <c r="D235" s="9">
        <v>800436</v>
      </c>
    </row>
    <row r="236" spans="3:4">
      <c r="C236" s="2" t="s">
        <v>218</v>
      </c>
      <c r="D236" s="9">
        <v>800475</v>
      </c>
    </row>
    <row r="237" spans="3:4">
      <c r="C237" s="2" t="s">
        <v>108</v>
      </c>
      <c r="D237" s="9">
        <v>800344</v>
      </c>
    </row>
    <row r="238" spans="3:4">
      <c r="C238" s="2" t="s">
        <v>151</v>
      </c>
      <c r="D238" s="9">
        <v>800393</v>
      </c>
    </row>
    <row r="239" spans="3:4">
      <c r="C239" s="2" t="s">
        <v>190</v>
      </c>
      <c r="D239" s="9">
        <v>800434</v>
      </c>
    </row>
    <row r="240" spans="3:4">
      <c r="C240" s="2" t="s">
        <v>111</v>
      </c>
      <c r="D240" s="9">
        <v>800349</v>
      </c>
    </row>
    <row r="241" spans="3:4">
      <c r="C241" s="2" t="s">
        <v>194</v>
      </c>
      <c r="D241" s="9">
        <v>800439</v>
      </c>
    </row>
    <row r="242" spans="3:4">
      <c r="C242" s="2" t="s">
        <v>170</v>
      </c>
      <c r="D242" s="9">
        <v>800413</v>
      </c>
    </row>
    <row r="243" spans="3:4">
      <c r="C243" s="2" t="s">
        <v>156</v>
      </c>
      <c r="D243" s="9">
        <v>800399</v>
      </c>
    </row>
    <row r="244" spans="3:4">
      <c r="C244" s="2" t="s">
        <v>148</v>
      </c>
      <c r="D244" s="9">
        <v>800259</v>
      </c>
    </row>
    <row r="245" spans="3:4">
      <c r="C245" s="2" t="s">
        <v>118</v>
      </c>
      <c r="D245" s="9">
        <v>800356</v>
      </c>
    </row>
  </sheetData>
  <autoFilter ref="A1:I120" xr:uid="{00000000-0001-0000-0000-000000000000}">
    <filterColumn colId="6">
      <filters>
        <filter val="departamental"/>
        <filter val="local"/>
      </filters>
    </filterColumn>
    <sortState xmlns:xlrd2="http://schemas.microsoft.com/office/spreadsheetml/2017/richdata2" ref="A2:I120">
      <sortCondition descending="1" ref="I1:I120"/>
    </sortState>
  </autoFilter>
  <conditionalFormatting sqref="B5:B118">
    <cfRule type="duplicateValues" dxfId="2" priority="3"/>
  </conditionalFormatting>
  <conditionalFormatting sqref="C133:C176">
    <cfRule type="duplicateValues" dxfId="1" priority="2"/>
  </conditionalFormatting>
  <conditionalFormatting sqref="C179:C243">
    <cfRule type="duplicateValues" dxfId="0" priority="8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D55B111-ECAC-4D19-A41B-8598977B66F6}"/>
</file>

<file path=customXml/itemProps2.xml><?xml version="1.0" encoding="utf-8"?>
<ds:datastoreItem xmlns:ds="http://schemas.openxmlformats.org/officeDocument/2006/customXml" ds:itemID="{CCEA4B64-4869-4D86-AF4C-AD316E868185}"/>
</file>

<file path=customXml/itemProps3.xml><?xml version="1.0" encoding="utf-8"?>
<ds:datastoreItem xmlns:ds="http://schemas.openxmlformats.org/officeDocument/2006/customXml" ds:itemID="{6C6D509D-89C2-497E-BA1F-089B81D7407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2026-10-12T17:01:24Z</dcterms:created>
  <dcterms:modified xsi:type="dcterms:W3CDTF">2026-10-12T17:01:24Z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