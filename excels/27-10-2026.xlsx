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7-10-2026/"/>
    </mc:Choice>
  </mc:AlternateContent>
  <xr:revisionPtr revIDLastSave="2" documentId="8_{DBFB6055-FB9C-418B-BAD0-16FAC812540E}" xr6:coauthVersionLast="47" xr6:coauthVersionMax="47" xr10:uidLastSave="{26CB33AB-FB8E-4DA4-9BB6-63A2644BDA1A}"/>
  <bookViews>
    <workbookView xWindow="-108" yWindow="-108" windowWidth="23256" windowHeight="13896" xr2:uid="{00000000-000D-0000-FFFF-FFFF00000000}"/>
  </bookViews>
  <sheets>
    <sheet name="BULTOS" sheetId="1" r:id="rId1"/>
  </sheets>
  <externalReferences>
    <externalReference r:id="rId2"/>
  </externalReferences>
  <definedNames>
    <definedName name="_xlnm._FilterDatabase" localSheetId="0" hidden="1">BULTOS!$A$2:$H$139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1" i="1" l="1"/>
  <c r="C143" i="1"/>
  <c r="E58" i="1"/>
  <c r="E36" i="1"/>
  <c r="E95" i="1"/>
  <c r="E77" i="1"/>
  <c r="E14" i="1"/>
  <c r="E126" i="1"/>
  <c r="E12" i="1"/>
  <c r="E106" i="1"/>
  <c r="E134" i="1"/>
  <c r="E70" i="1"/>
  <c r="E107" i="1"/>
  <c r="E94" i="1"/>
  <c r="E56" i="1"/>
  <c r="E105" i="1"/>
  <c r="E124" i="1"/>
  <c r="E130" i="1"/>
  <c r="E119" i="1"/>
  <c r="E120" i="1"/>
  <c r="E122" i="1"/>
  <c r="E116" i="1"/>
  <c r="E118" i="1"/>
  <c r="E114" i="1"/>
  <c r="E115" i="1"/>
  <c r="E113" i="1"/>
  <c r="E112" i="1"/>
  <c r="E111" i="1"/>
  <c r="E110" i="1"/>
  <c r="E109" i="1"/>
  <c r="E104" i="1"/>
  <c r="E103" i="1"/>
  <c r="E102" i="1"/>
  <c r="E100" i="1"/>
  <c r="E98" i="1"/>
  <c r="E92" i="1"/>
  <c r="E93" i="1"/>
  <c r="E84" i="1"/>
  <c r="E85" i="1"/>
  <c r="E80" i="1"/>
  <c r="E81" i="1"/>
  <c r="E78" i="1"/>
  <c r="E79" i="1"/>
  <c r="E75" i="1"/>
  <c r="E76" i="1"/>
  <c r="E69" i="1"/>
  <c r="E71" i="1"/>
  <c r="E67" i="1"/>
  <c r="E65" i="1"/>
  <c r="E64" i="1"/>
  <c r="E62" i="1"/>
  <c r="E59" i="1"/>
  <c r="E61" i="1"/>
  <c r="E57" i="1"/>
  <c r="E54" i="1"/>
  <c r="E52" i="1"/>
  <c r="E53" i="1"/>
  <c r="E49" i="1"/>
  <c r="E50" i="1"/>
  <c r="E51" i="1"/>
  <c r="E47" i="1"/>
  <c r="E41" i="1"/>
  <c r="E44" i="1"/>
  <c r="E37" i="1"/>
  <c r="E39" i="1"/>
  <c r="E40" i="1"/>
  <c r="E33" i="1"/>
  <c r="E31" i="1"/>
  <c r="E32" i="1"/>
  <c r="E30" i="1"/>
  <c r="E29" i="1"/>
  <c r="E28" i="1"/>
  <c r="E27" i="1"/>
  <c r="E26" i="1"/>
  <c r="E25" i="1"/>
  <c r="E20" i="1"/>
  <c r="E24" i="1"/>
  <c r="E19" i="1"/>
  <c r="E17" i="1"/>
  <c r="E16" i="1"/>
  <c r="E13" i="1"/>
  <c r="E7" i="1"/>
  <c r="E6" i="1"/>
  <c r="E5" i="1"/>
  <c r="E4" i="1"/>
  <c r="E3" i="1"/>
  <c r="E139" i="1"/>
  <c r="E137" i="1"/>
  <c r="E129" i="1"/>
  <c r="E128" i="1"/>
  <c r="E127" i="1"/>
  <c r="E125" i="1"/>
  <c r="E117" i="1"/>
  <c r="E108" i="1"/>
  <c r="E101" i="1"/>
  <c r="E99" i="1"/>
  <c r="E97" i="1"/>
  <c r="E90" i="1"/>
  <c r="E88" i="1"/>
  <c r="E83" i="1"/>
  <c r="E82" i="1"/>
  <c r="E74" i="1"/>
  <c r="E73" i="1"/>
  <c r="E72" i="1"/>
  <c r="E68" i="1"/>
  <c r="E66" i="1"/>
  <c r="E63" i="1"/>
  <c r="E60" i="1"/>
  <c r="E55" i="1"/>
  <c r="E43" i="1"/>
  <c r="E42" i="1"/>
  <c r="E38" i="1"/>
  <c r="E35" i="1"/>
  <c r="E22" i="1"/>
  <c r="E21" i="1"/>
  <c r="E18" i="1"/>
  <c r="E15" i="1"/>
  <c r="E11" i="1"/>
  <c r="E10" i="1"/>
  <c r="E9" i="1"/>
  <c r="E8" i="1"/>
  <c r="E121" i="1"/>
  <c r="C140" i="1"/>
  <c r="E135" i="1"/>
  <c r="E136" i="1"/>
  <c r="E138" i="1"/>
  <c r="E131" i="1"/>
  <c r="E132" i="1"/>
  <c r="E133" i="1"/>
  <c r="E123" i="1"/>
  <c r="E96" i="1"/>
  <c r="E86" i="1"/>
  <c r="E87" i="1"/>
  <c r="E89" i="1"/>
  <c r="E91" i="1"/>
  <c r="E48" i="1"/>
  <c r="E46" i="1"/>
  <c r="E45" i="1"/>
  <c r="E34" i="1"/>
  <c r="E23" i="1"/>
  <c r="E145" i="1" l="1"/>
</calcChain>
</file>

<file path=xl/sharedStrings.xml><?xml version="1.0" encoding="utf-8"?>
<sst xmlns="http://schemas.openxmlformats.org/spreadsheetml/2006/main" count="308" uniqueCount="155">
  <si>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</si>
  <si>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</si>
  <si>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</si>
  <si>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</si>
  <si>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</si>
  <si>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</si>
  <si>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</si>
  <si>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</si>
  <si>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</si>
  <si>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XELA 3</t>
  </si>
  <si>
    <t>LA TORRE ZONA 5</t>
  </si>
  <si>
    <t>LT ANTIGUA 1</t>
  </si>
  <si>
    <t>LT XELA 4</t>
  </si>
  <si>
    <t>LA TORRE ZONA 19</t>
  </si>
  <si>
    <t>LA TORRE ZONA 2</t>
  </si>
  <si>
    <t>LA TORRE ZONA 3</t>
  </si>
  <si>
    <t>LA TORRE ZACAPA</t>
  </si>
  <si>
    <t>LA TORRE ZACAPA 2</t>
  </si>
  <si>
    <t>LA TORRE ZONA 16</t>
  </si>
  <si>
    <t>LA TORRE VILLALOBOS</t>
  </si>
  <si>
    <t>LA TORRE XELA</t>
  </si>
  <si>
    <t>LA TORRE XELA 5</t>
  </si>
  <si>
    <t>LA TORRE VILLA CANALES</t>
  </si>
  <si>
    <t>LA TORRE VILLA NUEVA</t>
  </si>
  <si>
    <t>LA TORRE TRINIDAD</t>
  </si>
  <si>
    <t>LA TORRE TULAM TZU</t>
  </si>
  <si>
    <t>LA TORRE TOTONICAPAN</t>
  </si>
  <si>
    <t>LA TORRE TIQUISATE</t>
  </si>
  <si>
    <t>LA TORRE TECULUTAN</t>
  </si>
  <si>
    <t>LA TORRE SANTALU</t>
  </si>
  <si>
    <t>LA TORRE SANTA LUCIA</t>
  </si>
  <si>
    <t>LA TORRE SANARATE</t>
  </si>
  <si>
    <t>LA TORRE SAN RAFAEL</t>
  </si>
  <si>
    <t>LA TORRE SAN MIGUEL PETAPA 2</t>
  </si>
  <si>
    <t>LA TORRE SAN MIGUEL PETAPA</t>
  </si>
  <si>
    <t>LA TORRE SAN MARCOS</t>
  </si>
  <si>
    <t>LA TORRE SAN JUAN</t>
  </si>
  <si>
    <t>LA TORRE SAN JOSE PINULA</t>
  </si>
  <si>
    <t>LA TORRE SALCAJA</t>
  </si>
  <si>
    <t>LA TORRE SAN BENITO</t>
  </si>
  <si>
    <t>LA TORRE SAN FRANCISCO</t>
  </si>
  <si>
    <t>LA TORRE SAN IGNACIO</t>
  </si>
  <si>
    <t>LA TORRE QUICHE</t>
  </si>
  <si>
    <t>LA TORRE QUICHE 2</t>
  </si>
  <si>
    <t>LA TORRE RETALHULEU</t>
  </si>
  <si>
    <t>LA TORRE SALAMA</t>
  </si>
  <si>
    <t>LA TORRE PUERTO BARRIOS</t>
  </si>
  <si>
    <t>LA TORRE PUERTO SAN JOSE</t>
  </si>
  <si>
    <t>LA TORRE PINARES</t>
  </si>
  <si>
    <t>LA TORRE POPTUN</t>
  </si>
  <si>
    <t>LA TORRE PETAPOLIS</t>
  </si>
  <si>
    <t>LA TORRE PETEN</t>
  </si>
  <si>
    <t>LA TORRE PALMERAS</t>
  </si>
  <si>
    <t>LA TORRE PANAJACHEL</t>
  </si>
  <si>
    <t>LA TORRE PETAPA</t>
  </si>
  <si>
    <t>LA TORRE MITA</t>
  </si>
  <si>
    <t>LA TORRE MORALES</t>
  </si>
  <si>
    <t>LA TORRE MILPAS ALTAS</t>
  </si>
  <si>
    <t>LA TORRE METROCENTRO</t>
  </si>
  <si>
    <t>LA TORRE MAZATENANGO</t>
  </si>
  <si>
    <t>LA TORRE MARISCAL</t>
  </si>
  <si>
    <t>LA TORRE LOS AMATES</t>
  </si>
  <si>
    <t>LA TORRE MALACATAN</t>
  </si>
  <si>
    <t>LA TORRE LIKIN</t>
  </si>
  <si>
    <t>LA TORRE LA GOMERA</t>
  </si>
  <si>
    <t>LA TORRE JOCOTENANGO</t>
  </si>
  <si>
    <t>LA TORRE JUTIAPA</t>
  </si>
  <si>
    <t>LA TORRE JALAPA</t>
  </si>
  <si>
    <t>LA TORRE JALAPA 2</t>
  </si>
  <si>
    <t>LA TORRE JALAPA 3</t>
  </si>
  <si>
    <t>LA TORRE HUEHUETENANGO 2</t>
  </si>
  <si>
    <t>LA TORRE INDEPENDENCIA</t>
  </si>
  <si>
    <t>LA TORRE HUEHUETENANGO</t>
  </si>
  <si>
    <t>LA TORRE GUASTATOYA</t>
  </si>
  <si>
    <t>LA TORRE ESQUIPULAS</t>
  </si>
  <si>
    <t>LA TORRE GUALAN</t>
  </si>
  <si>
    <t>LA TORRE ENCINAL</t>
  </si>
  <si>
    <t>LA TORRE ESCUINTLA 2</t>
  </si>
  <si>
    <t>LA TORRE ESCUINTLA 3</t>
  </si>
  <si>
    <t>LA TORRE CUATRO CAMINOS</t>
  </si>
  <si>
    <t>LA TORRE COATEPEQUE 2</t>
  </si>
  <si>
    <t>LA TORRE COBAN</t>
  </si>
  <si>
    <t>LA TORRE COATEPEQUE</t>
  </si>
  <si>
    <t>LA TORRE CIUDAD VIEJA</t>
  </si>
  <si>
    <t>LA TORRE CHIQUIMULA</t>
  </si>
  <si>
    <t>LA TORRE CHIMALTENANGO</t>
  </si>
  <si>
    <t>LA TORRE CENTRO</t>
  </si>
  <si>
    <t>LA TORRE CENTRICO Z5</t>
  </si>
  <si>
    <t>LA TORRE CARCHA</t>
  </si>
  <si>
    <t>LA TORRE CENTRASUR</t>
  </si>
  <si>
    <t>LA TORRE BOCA DEL MONTE</t>
  </si>
  <si>
    <t>LA TORRE BARBERENA</t>
  </si>
  <si>
    <t>LA TORRE ATANACIO</t>
  </si>
  <si>
    <t>LA TORRE ANTIGUA 2</t>
  </si>
  <si>
    <t>ECONOSUPER XELA</t>
  </si>
  <si>
    <t>ECONOSUPER NIMAJUYU</t>
  </si>
  <si>
    <t>ECONOSUPER MILPAS ALTAS</t>
  </si>
  <si>
    <t>ECONOSUPER LA BRIGADA</t>
  </si>
  <si>
    <t>ECONOSUPER BOULEVARD SUR</t>
  </si>
  <si>
    <t>LTX CD RANSA</t>
  </si>
  <si>
    <t>LT SAN JOSE PINULA 3</t>
  </si>
  <si>
    <t>LA TORRE ZONA 15</t>
  </si>
  <si>
    <t>LA TORRE ZONA 14</t>
  </si>
  <si>
    <t>LA TORRE ZONA 13 AMERICAS</t>
  </si>
  <si>
    <t>LA TORRE ZONA 11</t>
  </si>
  <si>
    <t>LA TORRE ZONA 10</t>
  </si>
  <si>
    <t>LA TORRE VILLA HERMOSA</t>
  </si>
  <si>
    <t>LA TORRE SANKRIS</t>
  </si>
  <si>
    <t>LA TORRE SAN NICOLAS</t>
  </si>
  <si>
    <t>LA TORRE SAN LUCAS</t>
  </si>
  <si>
    <t>LA TORRE SAN JOSE PINULA 2</t>
  </si>
  <si>
    <t>LA TORRE SAN ISIDRO</t>
  </si>
  <si>
    <t>LA TORRE SAN CRISTOBAL</t>
  </si>
  <si>
    <t>LA TORRE ROOSEVELT</t>
  </si>
  <si>
    <t>LA TORRE REFORMA</t>
  </si>
  <si>
    <t>LA TORRE PROCERES</t>
  </si>
  <si>
    <t>LA TORRE PORTALES</t>
  </si>
  <si>
    <t>LA TORRE PALIN</t>
  </si>
  <si>
    <t>LA TORRE OAKLAND</t>
  </si>
  <si>
    <t>LA TORRE MUXBAL</t>
  </si>
  <si>
    <t>LA TORRE MIRAFLORES</t>
  </si>
  <si>
    <t>LA TORRE METRONORTE</t>
  </si>
  <si>
    <t>LA TORRE MARISCAL 2</t>
  </si>
  <si>
    <t>LA TORRE MADERO</t>
  </si>
  <si>
    <t>LA TORRE LA RADIAL</t>
  </si>
  <si>
    <t>LA TORRE LA QUINTA</t>
  </si>
  <si>
    <t>LA TORRE FUTECA Z14</t>
  </si>
  <si>
    <t>LA TORRE ZONA 4</t>
  </si>
  <si>
    <t>LA TORRE FRAIJANES</t>
  </si>
  <si>
    <t>LA TORRE ESCALA</t>
  </si>
  <si>
    <t>LA TORRE ANTIGUA 3</t>
  </si>
  <si>
    <t>LA TORRE EL RODEO</t>
  </si>
  <si>
    <t>LA TORRE EL NARANJO</t>
  </si>
  <si>
    <t>LA TORRE EL FRUTAL</t>
  </si>
  <si>
    <t>LA TORRE CENTRANORTE</t>
  </si>
  <si>
    <t>LA TORRE LINDAMAR</t>
  </si>
  <si>
    <t>LA TORRE CAYALA 2</t>
  </si>
  <si>
    <t>LA TORRE CAYALA</t>
  </si>
  <si>
    <t>LA TORRE BARCENAS</t>
  </si>
  <si>
    <t>LA TORRE ARRAZOLA</t>
  </si>
  <si>
    <t>LA TORRE AMATITLAN2</t>
  </si>
  <si>
    <t>LA TORRE AMATITLAN</t>
  </si>
  <si>
    <t>LA TORRE MIXCO ZONA 1</t>
  </si>
  <si>
    <t>LA TORRE 20 CALLE</t>
  </si>
  <si>
    <t>ECONOSUPER ZONA 6</t>
  </si>
  <si>
    <t>ECONOSUPER ZONA 2</t>
  </si>
  <si>
    <t>TOTAL BULTOS</t>
  </si>
  <si>
    <t>BULTOS FUCIONADOS</t>
  </si>
  <si>
    <t>BULTOS PROCESADOS 26/10/2026</t>
  </si>
  <si>
    <t>departamental</t>
  </si>
  <si>
    <t>local</t>
  </si>
  <si>
    <t xml:space="preserve">departamental </t>
  </si>
  <si>
    <t>nocturna</t>
  </si>
  <si>
    <t>prioridad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</si>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</sst>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27-10-2026/APROBADOS%2027-10-2026.xlsx" TargetMode="External"/><Relationship Id="rId1" Type="http://schemas.openxmlformats.org/officeDocument/2006/relationships/externalLinkPath" Target="APROBADOS%2027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7-10-2026"/>
    </sheetNames>
    <sheetDataSet>
      <sheetData sheetId="0"/>
      <sheetData sheetId="1">
        <row r="2537">
          <cell r="C2537">
            <v>37682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showGridLines="0" tabSelected="1" topLeftCell="A126" workbookViewId="0">
      <selection activeCell="C142" sqref="C142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803563</v>
      </c>
      <c r="B3" s="5" t="s">
        <v>98</v>
      </c>
      <c r="C3" s="5">
        <v>359</v>
      </c>
      <c r="D3" s="6">
        <v>356</v>
      </c>
      <c r="E3" s="7">
        <f>IF(D3="","",D3*0.04)</f>
        <v>14.24</v>
      </c>
      <c r="F3" s="6" t="s">
        <v>150</v>
      </c>
      <c r="G3" s="6"/>
      <c r="H3" s="4">
        <v>803421</v>
      </c>
    </row>
    <row r="4" spans="1:8" ht="15" customHeight="1" x14ac:dyDescent="0.3">
      <c r="A4" s="5">
        <v>803564</v>
      </c>
      <c r="B4" s="5" t="s">
        <v>97</v>
      </c>
      <c r="C4" s="5">
        <v>211</v>
      </c>
      <c r="D4" s="6">
        <v>211</v>
      </c>
      <c r="E4" s="7">
        <f>IF(D4="","",D4*0.04)</f>
        <v>8.44</v>
      </c>
      <c r="F4" s="6" t="s">
        <v>150</v>
      </c>
      <c r="G4" s="6"/>
      <c r="H4" s="4">
        <v>803422</v>
      </c>
    </row>
    <row r="5" spans="1:8" ht="15" customHeight="1" x14ac:dyDescent="0.3">
      <c r="A5" s="5">
        <v>803566</v>
      </c>
      <c r="B5" s="5" t="s">
        <v>96</v>
      </c>
      <c r="C5" s="5">
        <v>353</v>
      </c>
      <c r="D5" s="6">
        <v>351</v>
      </c>
      <c r="E5" s="7">
        <f>IF(D5="","",D5*0.04)</f>
        <v>14.040000000000001</v>
      </c>
      <c r="F5" s="6" t="s">
        <v>150</v>
      </c>
      <c r="G5" s="6"/>
      <c r="H5" s="4">
        <v>803424</v>
      </c>
    </row>
    <row r="6" spans="1:8" ht="15" customHeight="1" x14ac:dyDescent="0.3">
      <c r="A6" s="5">
        <v>803567</v>
      </c>
      <c r="B6" s="5" t="s">
        <v>95</v>
      </c>
      <c r="C6" s="5">
        <v>492</v>
      </c>
      <c r="D6" s="6">
        <v>492</v>
      </c>
      <c r="E6" s="7">
        <f>IF(D6="","",D6*0.04)</f>
        <v>19.68</v>
      </c>
      <c r="F6" s="6" t="s">
        <v>150</v>
      </c>
      <c r="G6" s="6"/>
      <c r="H6" s="4">
        <v>803425</v>
      </c>
    </row>
    <row r="7" spans="1:8" ht="15" customHeight="1" x14ac:dyDescent="0.3">
      <c r="A7" s="5">
        <v>803568</v>
      </c>
      <c r="B7" s="5" t="s">
        <v>94</v>
      </c>
      <c r="C7" s="5">
        <v>359</v>
      </c>
      <c r="D7" s="6">
        <v>356</v>
      </c>
      <c r="E7" s="7">
        <f>IF(D7="","",D7*0.04)</f>
        <v>14.24</v>
      </c>
      <c r="F7" s="6" t="s">
        <v>149</v>
      </c>
      <c r="G7" s="6"/>
      <c r="H7" s="4">
        <v>803426</v>
      </c>
    </row>
    <row r="8" spans="1:8" ht="15" customHeight="1" x14ac:dyDescent="0.3">
      <c r="A8" s="5">
        <v>803517</v>
      </c>
      <c r="B8" s="5" t="s">
        <v>145</v>
      </c>
      <c r="C8" s="5">
        <v>285</v>
      </c>
      <c r="D8" s="6">
        <v>284</v>
      </c>
      <c r="E8" s="7">
        <f>IF(D8="","",D8*0.04)</f>
        <v>11.36</v>
      </c>
      <c r="F8" s="6" t="s">
        <v>153</v>
      </c>
      <c r="G8" s="6"/>
      <c r="H8" s="4">
        <v>803376</v>
      </c>
    </row>
    <row r="9" spans="1:8" ht="15" customHeight="1" x14ac:dyDescent="0.3">
      <c r="A9" s="5">
        <v>803518</v>
      </c>
      <c r="B9" s="5" t="s">
        <v>144</v>
      </c>
      <c r="C9" s="5">
        <v>390</v>
      </c>
      <c r="D9" s="6">
        <v>386</v>
      </c>
      <c r="E9" s="7">
        <f>IF(D9="","",D9*0.04)</f>
        <v>15.44</v>
      </c>
      <c r="F9" s="6" t="s">
        <v>153</v>
      </c>
      <c r="G9" s="6"/>
      <c r="H9" s="4">
        <v>803377</v>
      </c>
    </row>
    <row r="10" spans="1:8" ht="15" customHeight="1" x14ac:dyDescent="0.3">
      <c r="A10" s="5">
        <v>803519</v>
      </c>
      <c r="B10" s="5" t="s">
        <v>143</v>
      </c>
      <c r="C10" s="5">
        <v>441</v>
      </c>
      <c r="D10" s="6">
        <v>439</v>
      </c>
      <c r="E10" s="7">
        <f>IF(D10="","",D10*0.04)</f>
        <v>17.559999999999999</v>
      </c>
      <c r="F10" s="6" t="s">
        <v>152</v>
      </c>
      <c r="G10" s="6" t="s">
        <v>154</v>
      </c>
      <c r="H10" s="4"/>
    </row>
    <row r="11" spans="1:8" ht="15" customHeight="1" x14ac:dyDescent="0.3">
      <c r="A11" s="5">
        <v>803520</v>
      </c>
      <c r="B11" s="5" t="s">
        <v>141</v>
      </c>
      <c r="C11" s="5">
        <v>217</v>
      </c>
      <c r="D11" s="6">
        <v>217</v>
      </c>
      <c r="E11" s="7">
        <f>IF(D11="","",D11*0.04)</f>
        <v>8.68</v>
      </c>
      <c r="F11" s="6" t="s">
        <v>153</v>
      </c>
      <c r="G11" s="6"/>
      <c r="H11" s="4"/>
    </row>
    <row r="12" spans="1:8" ht="15" customHeight="1" x14ac:dyDescent="0.3">
      <c r="A12" s="5">
        <v>803521</v>
      </c>
      <c r="B12" s="5" t="s">
        <v>140</v>
      </c>
      <c r="C12" s="5">
        <v>177</v>
      </c>
      <c r="D12" s="6">
        <v>177</v>
      </c>
      <c r="E12" s="7">
        <f>IF(D12="","",D12*0.04)</f>
        <v>7.08</v>
      </c>
      <c r="F12" s="6" t="s">
        <v>152</v>
      </c>
      <c r="G12" s="6" t="s">
        <v>154</v>
      </c>
      <c r="H12" s="4"/>
    </row>
    <row r="13" spans="1:8" ht="15" customHeight="1" x14ac:dyDescent="0.3">
      <c r="A13" s="5">
        <v>803569</v>
      </c>
      <c r="B13" s="5" t="s">
        <v>93</v>
      </c>
      <c r="C13" s="5">
        <v>483</v>
      </c>
      <c r="D13" s="6">
        <v>470</v>
      </c>
      <c r="E13" s="7">
        <f>IF(D13="","",D13*0.04)</f>
        <v>18.8</v>
      </c>
      <c r="F13" s="6" t="s">
        <v>150</v>
      </c>
      <c r="G13" s="6"/>
      <c r="H13" s="4"/>
    </row>
    <row r="14" spans="1:8" ht="15" customHeight="1" x14ac:dyDescent="0.3">
      <c r="A14" s="5">
        <v>803571</v>
      </c>
      <c r="B14" s="5" t="s">
        <v>130</v>
      </c>
      <c r="C14" s="5">
        <v>156</v>
      </c>
      <c r="D14" s="6">
        <v>154</v>
      </c>
      <c r="E14" s="7">
        <f>IF(D14="","",D14*0.04)</f>
        <v>6.16</v>
      </c>
      <c r="F14" s="6" t="s">
        <v>150</v>
      </c>
      <c r="G14" s="6"/>
      <c r="H14" s="4"/>
    </row>
    <row r="15" spans="1:8" ht="15" customHeight="1" x14ac:dyDescent="0.3">
      <c r="A15" s="5">
        <v>803522</v>
      </c>
      <c r="B15" s="5" t="s">
        <v>139</v>
      </c>
      <c r="C15" s="5">
        <v>388</v>
      </c>
      <c r="D15" s="6">
        <v>388</v>
      </c>
      <c r="E15" s="7">
        <f>IF(D15="","",D15*0.04)</f>
        <v>15.52</v>
      </c>
      <c r="F15" s="6" t="s">
        <v>152</v>
      </c>
      <c r="G15" s="6"/>
      <c r="H15" s="4"/>
    </row>
    <row r="16" spans="1:8" ht="15" customHeight="1" x14ac:dyDescent="0.3">
      <c r="A16" s="5">
        <v>803570</v>
      </c>
      <c r="B16" s="5" t="s">
        <v>92</v>
      </c>
      <c r="C16" s="5">
        <v>237</v>
      </c>
      <c r="D16" s="6">
        <v>235</v>
      </c>
      <c r="E16" s="7">
        <f>IF(D16="","",D16*0.04)</f>
        <v>9.4</v>
      </c>
      <c r="F16" s="6" t="s">
        <v>150</v>
      </c>
      <c r="G16" s="6"/>
      <c r="H16" s="4"/>
    </row>
    <row r="17" spans="1:8" ht="15" customHeight="1" x14ac:dyDescent="0.3">
      <c r="A17" s="5">
        <v>803572</v>
      </c>
      <c r="B17" s="5" t="s">
        <v>91</v>
      </c>
      <c r="C17" s="5">
        <v>573</v>
      </c>
      <c r="D17" s="6">
        <v>566</v>
      </c>
      <c r="E17" s="7">
        <f>IF(D17="","",D17*0.04)</f>
        <v>22.64</v>
      </c>
      <c r="F17" s="6" t="s">
        <v>149</v>
      </c>
      <c r="G17" s="6"/>
      <c r="H17" s="4">
        <v>803430</v>
      </c>
    </row>
    <row r="18" spans="1:8" ht="15" customHeight="1" x14ac:dyDescent="0.3">
      <c r="A18" s="5">
        <v>803523</v>
      </c>
      <c r="B18" s="5" t="s">
        <v>138</v>
      </c>
      <c r="C18" s="5">
        <v>204</v>
      </c>
      <c r="D18" s="6">
        <v>204</v>
      </c>
      <c r="E18" s="7">
        <f>IF(D18="","",D18*0.04)</f>
        <v>8.16</v>
      </c>
      <c r="F18" s="6" t="s">
        <v>152</v>
      </c>
      <c r="G18" s="6"/>
      <c r="H18" s="4"/>
    </row>
    <row r="19" spans="1:8" ht="15" customHeight="1" x14ac:dyDescent="0.3">
      <c r="A19" s="5">
        <v>803573</v>
      </c>
      <c r="B19" s="5" t="s">
        <v>90</v>
      </c>
      <c r="C19" s="5">
        <v>709</v>
      </c>
      <c r="D19" s="6">
        <v>698</v>
      </c>
      <c r="E19" s="7">
        <f>IF(D19="","",D19*0.04)</f>
        <v>27.92</v>
      </c>
      <c r="F19" s="6" t="s">
        <v>150</v>
      </c>
      <c r="G19" s="6"/>
      <c r="H19" s="4">
        <v>803431</v>
      </c>
    </row>
    <row r="20" spans="1:8" ht="15" customHeight="1" x14ac:dyDescent="0.3">
      <c r="A20" s="5">
        <v>803575</v>
      </c>
      <c r="B20" s="5" t="s">
        <v>88</v>
      </c>
      <c r="C20" s="5">
        <v>743</v>
      </c>
      <c r="D20" s="6">
        <v>741</v>
      </c>
      <c r="E20" s="7">
        <f>IF(D20="","",D20*0.04)</f>
        <v>29.64</v>
      </c>
      <c r="F20" s="6" t="s">
        <v>149</v>
      </c>
      <c r="G20" s="6"/>
      <c r="H20" s="4">
        <v>803432</v>
      </c>
    </row>
    <row r="21" spans="1:8" ht="15" customHeight="1" x14ac:dyDescent="0.3">
      <c r="A21" s="5">
        <v>803524</v>
      </c>
      <c r="B21" s="5" t="s">
        <v>137</v>
      </c>
      <c r="C21" s="5">
        <v>478</v>
      </c>
      <c r="D21" s="6">
        <v>474</v>
      </c>
      <c r="E21" s="7">
        <f>IF(D21="","",D21*0.04)</f>
        <v>18.96</v>
      </c>
      <c r="F21" s="6" t="s">
        <v>153</v>
      </c>
      <c r="G21" s="6" t="s">
        <v>154</v>
      </c>
      <c r="H21" s="4"/>
    </row>
    <row r="22" spans="1:8" ht="15" customHeight="1" x14ac:dyDescent="0.3">
      <c r="A22" s="5">
        <v>803525</v>
      </c>
      <c r="B22" s="5" t="s">
        <v>136</v>
      </c>
      <c r="C22" s="5">
        <v>284</v>
      </c>
      <c r="D22" s="6">
        <v>280</v>
      </c>
      <c r="E22" s="7">
        <f>IF(D22="","",D22*0.04)</f>
        <v>11.200000000000001</v>
      </c>
      <c r="F22" s="6" t="s">
        <v>153</v>
      </c>
      <c r="G22" s="6"/>
      <c r="H22" s="4"/>
    </row>
    <row r="23" spans="1:8" ht="15" customHeight="1" x14ac:dyDescent="0.3">
      <c r="A23" s="5">
        <v>803526</v>
      </c>
      <c r="B23" s="5" t="s">
        <v>134</v>
      </c>
      <c r="C23" s="5">
        <v>215</v>
      </c>
      <c r="D23" s="6">
        <v>215</v>
      </c>
      <c r="E23" s="7">
        <f>IF(D23="","",D23*0.04)</f>
        <v>8.6</v>
      </c>
      <c r="F23" s="6" t="s">
        <v>152</v>
      </c>
      <c r="G23" s="6"/>
      <c r="H23" s="4"/>
    </row>
    <row r="24" spans="1:8" ht="15" customHeight="1" x14ac:dyDescent="0.3">
      <c r="A24" s="5">
        <v>803574</v>
      </c>
      <c r="B24" s="5" t="s">
        <v>89</v>
      </c>
      <c r="C24" s="5">
        <v>452</v>
      </c>
      <c r="D24" s="6">
        <v>451</v>
      </c>
      <c r="E24" s="7">
        <f>IF(D24="","",D24*0.04)</f>
        <v>18.04</v>
      </c>
      <c r="F24" s="6" t="s">
        <v>150</v>
      </c>
      <c r="G24" s="6"/>
      <c r="H24" s="4"/>
    </row>
    <row r="25" spans="1:8" ht="15" customHeight="1" x14ac:dyDescent="0.3">
      <c r="A25" s="5">
        <v>803576</v>
      </c>
      <c r="B25" s="5" t="s">
        <v>87</v>
      </c>
      <c r="C25" s="5">
        <v>253</v>
      </c>
      <c r="D25" s="6">
        <v>250</v>
      </c>
      <c r="E25" s="7">
        <f>IF(D25="","",D25*0.04)</f>
        <v>10</v>
      </c>
      <c r="F25" s="6" t="s">
        <v>150</v>
      </c>
      <c r="G25" s="6"/>
      <c r="H25" s="4"/>
    </row>
    <row r="26" spans="1:8" ht="15" customHeight="1" x14ac:dyDescent="0.3">
      <c r="A26" s="5">
        <v>803577</v>
      </c>
      <c r="B26" s="5" t="s">
        <v>86</v>
      </c>
      <c r="C26" s="5">
        <v>780</v>
      </c>
      <c r="D26" s="6">
        <v>770</v>
      </c>
      <c r="E26" s="7">
        <f>IF(D26="","",D26*0.04)</f>
        <v>30.8</v>
      </c>
      <c r="F26" s="6" t="s">
        <v>150</v>
      </c>
      <c r="G26" s="6" t="s">
        <v>154</v>
      </c>
      <c r="H26" s="4">
        <v>803436</v>
      </c>
    </row>
    <row r="27" spans="1:8" ht="15" customHeight="1" x14ac:dyDescent="0.3">
      <c r="A27" s="5">
        <v>803578</v>
      </c>
      <c r="B27" s="5" t="s">
        <v>85</v>
      </c>
      <c r="C27" s="5">
        <v>308</v>
      </c>
      <c r="D27" s="6">
        <v>295</v>
      </c>
      <c r="E27" s="7">
        <f>IF(D27="","",D27*0.04)</f>
        <v>11.8</v>
      </c>
      <c r="F27" s="6" t="s">
        <v>149</v>
      </c>
      <c r="G27" s="6"/>
      <c r="H27" s="4"/>
    </row>
    <row r="28" spans="1:8" ht="15" customHeight="1" x14ac:dyDescent="0.3">
      <c r="A28" s="5">
        <v>803579</v>
      </c>
      <c r="B28" s="5" t="s">
        <v>84</v>
      </c>
      <c r="C28" s="5">
        <v>526</v>
      </c>
      <c r="D28" s="6">
        <v>522</v>
      </c>
      <c r="E28" s="7">
        <f>IF(D28="","",D28*0.04)</f>
        <v>20.88</v>
      </c>
      <c r="F28" s="6" t="s">
        <v>149</v>
      </c>
      <c r="G28" s="6"/>
      <c r="H28" s="4">
        <v>803439</v>
      </c>
    </row>
    <row r="29" spans="1:8" ht="15" customHeight="1" x14ac:dyDescent="0.3">
      <c r="A29" s="5">
        <v>803659</v>
      </c>
      <c r="B29" s="5" t="s">
        <v>83</v>
      </c>
      <c r="C29" s="5">
        <v>804</v>
      </c>
      <c r="D29" s="6">
        <v>790</v>
      </c>
      <c r="E29" s="7">
        <f>IF(D29="","",D29*0.04)</f>
        <v>31.6</v>
      </c>
      <c r="F29" s="6" t="s">
        <v>150</v>
      </c>
      <c r="G29" s="6"/>
      <c r="H29" s="4">
        <v>803438</v>
      </c>
    </row>
    <row r="30" spans="1:8" ht="15" customHeight="1" x14ac:dyDescent="0.3">
      <c r="A30" s="5">
        <v>803581</v>
      </c>
      <c r="B30" s="5" t="s">
        <v>82</v>
      </c>
      <c r="C30" s="5">
        <v>1002</v>
      </c>
      <c r="D30" s="6">
        <v>985</v>
      </c>
      <c r="E30" s="7">
        <f>IF(D30="","",D30*0.04)</f>
        <v>39.4</v>
      </c>
      <c r="F30" s="6" t="s">
        <v>149</v>
      </c>
      <c r="G30" s="6"/>
      <c r="H30" s="4">
        <v>802924</v>
      </c>
    </row>
    <row r="31" spans="1:8" ht="15" customHeight="1" x14ac:dyDescent="0.3">
      <c r="A31" s="5">
        <v>803583</v>
      </c>
      <c r="B31" s="5" t="s">
        <v>80</v>
      </c>
      <c r="C31" s="5">
        <v>392</v>
      </c>
      <c r="D31" s="6">
        <v>364</v>
      </c>
      <c r="E31" s="7">
        <f>IF(D31="","",D31*0.04)</f>
        <v>14.56</v>
      </c>
      <c r="F31" s="6" t="s">
        <v>149</v>
      </c>
      <c r="G31" s="6"/>
      <c r="H31" s="4"/>
    </row>
    <row r="32" spans="1:8" ht="15" customHeight="1" x14ac:dyDescent="0.3">
      <c r="A32" s="5">
        <v>803582</v>
      </c>
      <c r="B32" s="5" t="s">
        <v>81</v>
      </c>
      <c r="C32" s="5">
        <v>653</v>
      </c>
      <c r="D32" s="6">
        <v>643</v>
      </c>
      <c r="E32" s="7">
        <f>IF(D32="","",D32*0.04)</f>
        <v>25.72</v>
      </c>
      <c r="F32" s="6" t="s">
        <v>149</v>
      </c>
      <c r="G32" s="6"/>
      <c r="H32" s="4">
        <v>803441</v>
      </c>
    </row>
    <row r="33" spans="1:8" ht="15" customHeight="1" x14ac:dyDescent="0.3">
      <c r="A33" s="5">
        <v>803584</v>
      </c>
      <c r="B33" s="5" t="s">
        <v>79</v>
      </c>
      <c r="C33" s="5">
        <v>925</v>
      </c>
      <c r="D33" s="6">
        <v>911</v>
      </c>
      <c r="E33" s="7">
        <f>IF(D33="","",D33*0.04)</f>
        <v>36.44</v>
      </c>
      <c r="F33" s="6" t="s">
        <v>149</v>
      </c>
      <c r="G33" s="6"/>
      <c r="H33" s="4">
        <v>802922</v>
      </c>
    </row>
    <row r="34" spans="1:8" ht="15" customHeight="1" x14ac:dyDescent="0.3">
      <c r="A34" s="5">
        <v>803527</v>
      </c>
      <c r="B34" s="5" t="s">
        <v>133</v>
      </c>
      <c r="C34" s="5">
        <v>307</v>
      </c>
      <c r="D34" s="6">
        <v>306</v>
      </c>
      <c r="E34" s="7">
        <f>IF(D34="","",D34*0.04)</f>
        <v>12.24</v>
      </c>
      <c r="F34" s="6" t="s">
        <v>152</v>
      </c>
      <c r="G34" s="6"/>
      <c r="H34" s="4"/>
    </row>
    <row r="35" spans="1:8" ht="15" customHeight="1" x14ac:dyDescent="0.3">
      <c r="A35" s="5">
        <v>803528</v>
      </c>
      <c r="B35" s="5" t="s">
        <v>132</v>
      </c>
      <c r="C35" s="5">
        <v>498</v>
      </c>
      <c r="D35" s="6">
        <v>497</v>
      </c>
      <c r="E35" s="7">
        <f>IF(D35="","",D35*0.04)</f>
        <v>19.88</v>
      </c>
      <c r="F35" s="6" t="s">
        <v>152</v>
      </c>
      <c r="G35" s="6" t="s">
        <v>154</v>
      </c>
      <c r="H35" s="4"/>
    </row>
    <row r="36" spans="1:8" ht="15" customHeight="1" x14ac:dyDescent="0.3">
      <c r="A36" s="5">
        <v>803529</v>
      </c>
      <c r="B36" s="5" t="s">
        <v>131</v>
      </c>
      <c r="C36" s="5">
        <v>142</v>
      </c>
      <c r="D36" s="6">
        <v>142</v>
      </c>
      <c r="E36" s="7">
        <f>IF(D36="","",D36*0.04)</f>
        <v>5.68</v>
      </c>
      <c r="F36" s="6" t="s">
        <v>152</v>
      </c>
      <c r="G36" s="6"/>
      <c r="H36" s="4"/>
    </row>
    <row r="37" spans="1:8" ht="15" customHeight="1" x14ac:dyDescent="0.3">
      <c r="A37" s="5">
        <v>803587</v>
      </c>
      <c r="B37" s="5" t="s">
        <v>76</v>
      </c>
      <c r="C37" s="5">
        <v>371</v>
      </c>
      <c r="D37" s="6">
        <v>370</v>
      </c>
      <c r="E37" s="7">
        <f>IF(D37="","",D37*0.04)</f>
        <v>14.8</v>
      </c>
      <c r="F37" s="6" t="s">
        <v>150</v>
      </c>
      <c r="G37" s="6"/>
      <c r="H37" s="4"/>
    </row>
    <row r="38" spans="1:8" ht="15" customHeight="1" x14ac:dyDescent="0.3">
      <c r="A38" s="5">
        <v>803530</v>
      </c>
      <c r="B38" s="5" t="s">
        <v>129</v>
      </c>
      <c r="C38" s="5">
        <v>239</v>
      </c>
      <c r="D38" s="6">
        <v>238</v>
      </c>
      <c r="E38" s="7">
        <f>IF(D38="","",D38*0.04)</f>
        <v>9.52</v>
      </c>
      <c r="F38" s="6" t="s">
        <v>153</v>
      </c>
      <c r="G38" s="6" t="s">
        <v>154</v>
      </c>
      <c r="H38" s="4"/>
    </row>
    <row r="39" spans="1:8" ht="15" customHeight="1" x14ac:dyDescent="0.3">
      <c r="A39" s="5">
        <v>803586</v>
      </c>
      <c r="B39" s="5" t="s">
        <v>77</v>
      </c>
      <c r="C39" s="5">
        <v>612</v>
      </c>
      <c r="D39" s="6">
        <v>608</v>
      </c>
      <c r="E39" s="7">
        <f>IF(D39="","",D39*0.04)</f>
        <v>24.32</v>
      </c>
      <c r="F39" s="6" t="s">
        <v>149</v>
      </c>
      <c r="G39" s="6"/>
      <c r="H39" s="4">
        <v>803445</v>
      </c>
    </row>
    <row r="40" spans="1:8" ht="15" customHeight="1" x14ac:dyDescent="0.3">
      <c r="A40" s="5">
        <v>803585</v>
      </c>
      <c r="B40" s="5" t="s">
        <v>78</v>
      </c>
      <c r="C40" s="5">
        <v>252</v>
      </c>
      <c r="D40" s="6">
        <v>251</v>
      </c>
      <c r="E40" s="7">
        <f>IF(D40="","",D40*0.04)</f>
        <v>10.040000000000001</v>
      </c>
      <c r="F40" s="6" t="s">
        <v>150</v>
      </c>
      <c r="G40" s="6"/>
      <c r="H40" s="4"/>
    </row>
    <row r="41" spans="1:8" ht="15" customHeight="1" x14ac:dyDescent="0.3">
      <c r="A41" s="5">
        <v>803589</v>
      </c>
      <c r="B41" s="5" t="s">
        <v>74</v>
      </c>
      <c r="C41" s="5">
        <v>660</v>
      </c>
      <c r="D41" s="6">
        <v>658</v>
      </c>
      <c r="E41" s="7">
        <f>IF(D41="","",D41*0.04)</f>
        <v>26.32</v>
      </c>
      <c r="F41" s="6" t="s">
        <v>149</v>
      </c>
      <c r="G41" s="6"/>
      <c r="H41" s="4">
        <v>803447</v>
      </c>
    </row>
    <row r="42" spans="1:8" ht="15" customHeight="1" x14ac:dyDescent="0.3">
      <c r="A42" s="5">
        <v>803531</v>
      </c>
      <c r="B42" s="5" t="s">
        <v>128</v>
      </c>
      <c r="C42" s="5">
        <v>425</v>
      </c>
      <c r="D42" s="6">
        <v>424</v>
      </c>
      <c r="E42" s="7">
        <f>IF(D42="","",D42*0.04)</f>
        <v>16.96</v>
      </c>
      <c r="F42" s="6" t="s">
        <v>153</v>
      </c>
      <c r="G42" s="6" t="s">
        <v>154</v>
      </c>
      <c r="H42" s="4"/>
    </row>
    <row r="43" spans="1:8" ht="15" customHeight="1" x14ac:dyDescent="0.3">
      <c r="A43" s="5">
        <v>803532</v>
      </c>
      <c r="B43" s="5" t="s">
        <v>126</v>
      </c>
      <c r="C43" s="5">
        <v>231</v>
      </c>
      <c r="D43" s="6">
        <v>228</v>
      </c>
      <c r="E43" s="7">
        <f>IF(D43="","",D43*0.04)</f>
        <v>9.120000000000001</v>
      </c>
      <c r="F43" s="6" t="s">
        <v>152</v>
      </c>
      <c r="G43" s="6"/>
      <c r="H43" s="4"/>
    </row>
    <row r="44" spans="1:8" ht="15" customHeight="1" x14ac:dyDescent="0.3">
      <c r="A44" s="5">
        <v>803588</v>
      </c>
      <c r="B44" s="5" t="s">
        <v>75</v>
      </c>
      <c r="C44" s="5">
        <v>377</v>
      </c>
      <c r="D44" s="6">
        <v>315</v>
      </c>
      <c r="E44" s="7">
        <f>IF(D44="","",D44*0.04)</f>
        <v>12.6</v>
      </c>
      <c r="F44" s="6" t="s">
        <v>149</v>
      </c>
      <c r="G44" s="6"/>
      <c r="H44" s="4">
        <v>803057</v>
      </c>
    </row>
    <row r="45" spans="1:8" ht="15" customHeight="1" x14ac:dyDescent="0.3">
      <c r="A45" s="5">
        <v>803590</v>
      </c>
      <c r="B45" s="5" t="s">
        <v>73</v>
      </c>
      <c r="C45" s="5">
        <v>885</v>
      </c>
      <c r="D45" s="6">
        <v>879</v>
      </c>
      <c r="E45" s="7">
        <f>IF(D45="","",D45*0.04)</f>
        <v>35.160000000000004</v>
      </c>
      <c r="F45" s="6" t="s">
        <v>149</v>
      </c>
      <c r="G45" s="6"/>
      <c r="H45" s="4">
        <v>803449</v>
      </c>
    </row>
    <row r="46" spans="1:8" ht="15" customHeight="1" x14ac:dyDescent="0.3">
      <c r="A46" s="5">
        <v>803591</v>
      </c>
      <c r="B46" s="5" t="s">
        <v>72</v>
      </c>
      <c r="C46" s="5">
        <v>831</v>
      </c>
      <c r="D46" s="6">
        <v>817</v>
      </c>
      <c r="E46" s="7">
        <f>IF(D46="","",D46*0.04)</f>
        <v>32.68</v>
      </c>
      <c r="F46" s="6" t="s">
        <v>149</v>
      </c>
      <c r="G46" s="6"/>
      <c r="H46" s="4">
        <v>803448</v>
      </c>
    </row>
    <row r="47" spans="1:8" ht="15" customHeight="1" x14ac:dyDescent="0.3">
      <c r="A47" s="5">
        <v>803593</v>
      </c>
      <c r="B47" s="5" t="s">
        <v>70</v>
      </c>
      <c r="C47" s="5">
        <v>740</v>
      </c>
      <c r="D47" s="6">
        <v>735</v>
      </c>
      <c r="E47" s="7">
        <f>IF(D47="","",D47*0.04)</f>
        <v>29.400000000000002</v>
      </c>
      <c r="F47" s="6" t="s">
        <v>149</v>
      </c>
      <c r="G47" s="6"/>
      <c r="H47" s="4">
        <v>803451</v>
      </c>
    </row>
    <row r="48" spans="1:8" ht="15" customHeight="1" x14ac:dyDescent="0.3">
      <c r="A48" s="5">
        <v>803592</v>
      </c>
      <c r="B48" s="5" t="s">
        <v>71</v>
      </c>
      <c r="C48" s="5">
        <v>843</v>
      </c>
      <c r="D48" s="6">
        <v>833</v>
      </c>
      <c r="E48" s="7">
        <f>IF(D48="","",D48*0.04)</f>
        <v>33.32</v>
      </c>
      <c r="F48" s="6" t="s">
        <v>149</v>
      </c>
      <c r="G48" s="6" t="s">
        <v>154</v>
      </c>
      <c r="H48" s="4">
        <v>803450</v>
      </c>
    </row>
    <row r="49" spans="1:8" ht="15" customHeight="1" x14ac:dyDescent="0.3">
      <c r="A49" s="5">
        <v>803596</v>
      </c>
      <c r="B49" s="5" t="s">
        <v>67</v>
      </c>
      <c r="C49" s="5">
        <v>317</v>
      </c>
      <c r="D49" s="6">
        <v>316</v>
      </c>
      <c r="E49" s="7">
        <f>IF(D49="","",D49*0.04)</f>
        <v>12.64</v>
      </c>
      <c r="F49" s="6" t="s">
        <v>149</v>
      </c>
      <c r="G49" s="6"/>
      <c r="H49" s="4">
        <v>803453</v>
      </c>
    </row>
    <row r="50" spans="1:8" ht="15" customHeight="1" x14ac:dyDescent="0.3">
      <c r="A50" s="5">
        <v>803595</v>
      </c>
      <c r="B50" s="5" t="s">
        <v>68</v>
      </c>
      <c r="C50" s="5">
        <v>402</v>
      </c>
      <c r="D50" s="6">
        <v>401</v>
      </c>
      <c r="E50" s="7">
        <f>IF(D50="","",D50*0.04)</f>
        <v>16.04</v>
      </c>
      <c r="F50" s="6" t="s">
        <v>149</v>
      </c>
      <c r="G50" s="6"/>
      <c r="H50" s="4">
        <v>803452</v>
      </c>
    </row>
    <row r="51" spans="1:8" ht="15" customHeight="1" x14ac:dyDescent="0.3">
      <c r="A51" s="5">
        <v>803594</v>
      </c>
      <c r="B51" s="5" t="s">
        <v>69</v>
      </c>
      <c r="C51" s="5">
        <v>733</v>
      </c>
      <c r="D51" s="6">
        <v>731</v>
      </c>
      <c r="E51" s="7">
        <f>IF(D51="","",D51*0.04)</f>
        <v>29.240000000000002</v>
      </c>
      <c r="F51" s="6" t="s">
        <v>149</v>
      </c>
      <c r="G51" s="6"/>
      <c r="H51" s="4">
        <v>803454</v>
      </c>
    </row>
    <row r="52" spans="1:8" ht="15" customHeight="1" x14ac:dyDescent="0.3">
      <c r="A52" s="5">
        <v>803598</v>
      </c>
      <c r="B52" s="5" t="s">
        <v>65</v>
      </c>
      <c r="C52" s="5">
        <v>423</v>
      </c>
      <c r="D52" s="6">
        <v>420</v>
      </c>
      <c r="E52" s="7">
        <f>IF(D52="","",D52*0.04)</f>
        <v>16.8</v>
      </c>
      <c r="F52" s="6" t="s">
        <v>150</v>
      </c>
      <c r="G52" s="6"/>
      <c r="H52" s="4"/>
    </row>
    <row r="53" spans="1:8" ht="15" customHeight="1" x14ac:dyDescent="0.3">
      <c r="A53" s="5">
        <v>803597</v>
      </c>
      <c r="B53" s="5" t="s">
        <v>66</v>
      </c>
      <c r="C53" s="5">
        <v>562</v>
      </c>
      <c r="D53" s="6">
        <v>560</v>
      </c>
      <c r="E53" s="7">
        <f>IF(D53="","",D53*0.04)</f>
        <v>22.400000000000002</v>
      </c>
      <c r="F53" s="6" t="s">
        <v>149</v>
      </c>
      <c r="G53" s="6"/>
      <c r="H53" s="4">
        <v>803456</v>
      </c>
    </row>
    <row r="54" spans="1:8" ht="15" customHeight="1" x14ac:dyDescent="0.3">
      <c r="A54" s="5">
        <v>803599</v>
      </c>
      <c r="B54" s="5" t="s">
        <v>64</v>
      </c>
      <c r="C54" s="5">
        <v>566</v>
      </c>
      <c r="D54" s="6">
        <v>563</v>
      </c>
      <c r="E54" s="7">
        <f>IF(D54="","",D54*0.04)</f>
        <v>22.52</v>
      </c>
      <c r="F54" s="6" t="s">
        <v>149</v>
      </c>
      <c r="G54" s="6"/>
      <c r="H54" s="4">
        <v>803457</v>
      </c>
    </row>
    <row r="55" spans="1:8" ht="15" customHeight="1" x14ac:dyDescent="0.3">
      <c r="A55" s="5">
        <v>803533</v>
      </c>
      <c r="B55" s="5" t="s">
        <v>125</v>
      </c>
      <c r="C55" s="5">
        <v>261</v>
      </c>
      <c r="D55" s="6">
        <v>258</v>
      </c>
      <c r="E55" s="7">
        <f>IF(D55="","",D55*0.04)</f>
        <v>10.32</v>
      </c>
      <c r="F55" s="6" t="s">
        <v>153</v>
      </c>
      <c r="G55" s="6"/>
      <c r="H55" s="4"/>
    </row>
    <row r="56" spans="1:8" ht="15" customHeight="1" x14ac:dyDescent="0.3">
      <c r="A56" s="5">
        <v>803534</v>
      </c>
      <c r="B56" s="5" t="s">
        <v>124</v>
      </c>
      <c r="C56" s="5">
        <v>199</v>
      </c>
      <c r="D56" s="6">
        <v>199</v>
      </c>
      <c r="E56" s="7">
        <f>IF(D56="","",D56*0.04)</f>
        <v>7.96</v>
      </c>
      <c r="F56" s="6" t="s">
        <v>152</v>
      </c>
      <c r="G56" s="6"/>
      <c r="H56" s="4"/>
    </row>
    <row r="57" spans="1:8" ht="15" customHeight="1" x14ac:dyDescent="0.3">
      <c r="A57" s="5">
        <v>803601</v>
      </c>
      <c r="B57" s="5" t="s">
        <v>63</v>
      </c>
      <c r="C57" s="5">
        <v>677</v>
      </c>
      <c r="D57" s="6">
        <v>670</v>
      </c>
      <c r="E57" s="7">
        <f>IF(D57="","",D57*0.04)</f>
        <v>26.8</v>
      </c>
      <c r="F57" s="6" t="s">
        <v>149</v>
      </c>
      <c r="G57" s="6"/>
      <c r="H57" s="4">
        <v>803458</v>
      </c>
    </row>
    <row r="58" spans="1:8" ht="15" customHeight="1" x14ac:dyDescent="0.3">
      <c r="A58" s="5">
        <v>803600</v>
      </c>
      <c r="B58" s="5" t="s">
        <v>135</v>
      </c>
      <c r="C58" s="5">
        <v>106</v>
      </c>
      <c r="D58" s="6">
        <v>105</v>
      </c>
      <c r="E58" s="7">
        <f>IF(D58="","",D58*0.04)</f>
        <v>4.2</v>
      </c>
      <c r="F58" s="6" t="s">
        <v>151</v>
      </c>
      <c r="G58" s="6"/>
      <c r="H58" s="4"/>
    </row>
    <row r="59" spans="1:8" ht="15" customHeight="1" x14ac:dyDescent="0.3">
      <c r="A59" s="5">
        <v>803603</v>
      </c>
      <c r="B59" s="5" t="s">
        <v>61</v>
      </c>
      <c r="C59" s="5">
        <v>506</v>
      </c>
      <c r="D59" s="6">
        <v>502</v>
      </c>
      <c r="E59" s="7">
        <f>IF(D59="","",D59*0.04)</f>
        <v>20.080000000000002</v>
      </c>
      <c r="F59" s="6" t="s">
        <v>149</v>
      </c>
      <c r="G59" s="6"/>
      <c r="H59" s="4">
        <v>803460</v>
      </c>
    </row>
    <row r="60" spans="1:8" ht="15" customHeight="1" x14ac:dyDescent="0.3">
      <c r="A60" s="5">
        <v>803535</v>
      </c>
      <c r="B60" s="5" t="s">
        <v>123</v>
      </c>
      <c r="C60" s="5">
        <v>732</v>
      </c>
      <c r="D60" s="6">
        <v>730</v>
      </c>
      <c r="E60" s="7">
        <f>IF(D60="","",D60*0.04)</f>
        <v>29.2</v>
      </c>
      <c r="F60" s="6" t="s">
        <v>153</v>
      </c>
      <c r="G60" s="6"/>
      <c r="H60" s="4"/>
    </row>
    <row r="61" spans="1:8" ht="15" customHeight="1" x14ac:dyDescent="0.3">
      <c r="A61" s="5">
        <v>803602</v>
      </c>
      <c r="B61" s="5" t="s">
        <v>62</v>
      </c>
      <c r="C61" s="5">
        <v>423</v>
      </c>
      <c r="D61" s="6">
        <v>423</v>
      </c>
      <c r="E61" s="7">
        <f>IF(D61="","",D61*0.04)</f>
        <v>16.920000000000002</v>
      </c>
      <c r="F61" s="6" t="s">
        <v>149</v>
      </c>
      <c r="G61" s="6"/>
      <c r="H61" s="4"/>
    </row>
    <row r="62" spans="1:8" ht="15" customHeight="1" x14ac:dyDescent="0.3">
      <c r="A62" s="5">
        <v>803604</v>
      </c>
      <c r="B62" s="5" t="s">
        <v>60</v>
      </c>
      <c r="C62" s="5">
        <v>254</v>
      </c>
      <c r="D62" s="6">
        <v>250</v>
      </c>
      <c r="E62" s="7">
        <f>IF(D62="","",D62*0.04)</f>
        <v>10</v>
      </c>
      <c r="F62" s="6" t="s">
        <v>150</v>
      </c>
      <c r="G62" s="6"/>
      <c r="H62" s="4">
        <v>803462</v>
      </c>
    </row>
    <row r="63" spans="1:8" ht="15" customHeight="1" x14ac:dyDescent="0.3">
      <c r="A63" s="5">
        <v>803536</v>
      </c>
      <c r="B63" s="5" t="s">
        <v>122</v>
      </c>
      <c r="C63" s="5">
        <v>786</v>
      </c>
      <c r="D63" s="6">
        <v>786</v>
      </c>
      <c r="E63" s="7">
        <f>IF(D63="","",D63*0.04)</f>
        <v>31.44</v>
      </c>
      <c r="F63" s="6" t="s">
        <v>153</v>
      </c>
      <c r="G63" s="6"/>
      <c r="H63" s="4"/>
    </row>
    <row r="64" spans="1:8" ht="15" customHeight="1" x14ac:dyDescent="0.3">
      <c r="A64" s="5">
        <v>803606</v>
      </c>
      <c r="B64" s="5" t="s">
        <v>59</v>
      </c>
      <c r="C64" s="5">
        <v>952</v>
      </c>
      <c r="D64" s="6">
        <v>934</v>
      </c>
      <c r="E64" s="7">
        <f>IF(D64="","",D64*0.04)</f>
        <v>37.36</v>
      </c>
      <c r="F64" s="6" t="s">
        <v>149</v>
      </c>
      <c r="G64" s="6"/>
      <c r="H64" s="4">
        <v>803463</v>
      </c>
    </row>
    <row r="65" spans="1:8" ht="15" customHeight="1" x14ac:dyDescent="0.3">
      <c r="A65" s="5">
        <v>803607</v>
      </c>
      <c r="B65" s="5" t="s">
        <v>58</v>
      </c>
      <c r="C65" s="5">
        <v>486</v>
      </c>
      <c r="D65" s="6">
        <v>485</v>
      </c>
      <c r="E65" s="7">
        <f>IF(D65="","",D65*0.04)</f>
        <v>19.400000000000002</v>
      </c>
      <c r="F65" s="6" t="s">
        <v>150</v>
      </c>
      <c r="G65" s="6"/>
      <c r="H65" s="4">
        <v>803464</v>
      </c>
    </row>
    <row r="66" spans="1:8" ht="15" customHeight="1" x14ac:dyDescent="0.3">
      <c r="A66" s="5">
        <v>803537</v>
      </c>
      <c r="B66" s="5" t="s">
        <v>121</v>
      </c>
      <c r="C66" s="5">
        <v>362</v>
      </c>
      <c r="D66" s="6">
        <v>361</v>
      </c>
      <c r="E66" s="7">
        <f>IF(D66="","",D66*0.04)</f>
        <v>14.44</v>
      </c>
      <c r="F66" s="6" t="s">
        <v>152</v>
      </c>
      <c r="G66" s="6" t="s">
        <v>154</v>
      </c>
      <c r="H66" s="4"/>
    </row>
    <row r="67" spans="1:8" ht="15" customHeight="1" x14ac:dyDescent="0.3">
      <c r="A67" s="5">
        <v>803608</v>
      </c>
      <c r="B67" s="5" t="s">
        <v>57</v>
      </c>
      <c r="C67" s="5">
        <v>832</v>
      </c>
      <c r="D67" s="6">
        <v>824</v>
      </c>
      <c r="E67" s="7">
        <f>IF(D67="","",D67*0.04)</f>
        <v>32.96</v>
      </c>
      <c r="F67" s="6" t="s">
        <v>150</v>
      </c>
      <c r="G67" s="6" t="s">
        <v>154</v>
      </c>
      <c r="H67" s="4">
        <v>803465</v>
      </c>
    </row>
    <row r="68" spans="1:8" ht="15" customHeight="1" x14ac:dyDescent="0.3">
      <c r="A68" s="5">
        <v>803538</v>
      </c>
      <c r="B68" s="5" t="s">
        <v>120</v>
      </c>
      <c r="C68" s="5">
        <v>363</v>
      </c>
      <c r="D68" s="6">
        <v>361</v>
      </c>
      <c r="E68" s="7">
        <f>IF(D68="","",D68*0.04)</f>
        <v>14.44</v>
      </c>
      <c r="F68" s="6" t="s">
        <v>152</v>
      </c>
      <c r="G68" s="6"/>
      <c r="H68" s="4"/>
    </row>
    <row r="69" spans="1:8" ht="15" customHeight="1" x14ac:dyDescent="0.3">
      <c r="A69" s="5">
        <v>803610</v>
      </c>
      <c r="B69" s="5" t="s">
        <v>55</v>
      </c>
      <c r="C69" s="5">
        <v>521</v>
      </c>
      <c r="D69" s="6">
        <v>518</v>
      </c>
      <c r="E69" s="7">
        <f>IF(D69="","",D69*0.04)</f>
        <v>20.72</v>
      </c>
      <c r="F69" s="6" t="s">
        <v>149</v>
      </c>
      <c r="G69" s="6"/>
      <c r="H69" s="4">
        <v>803466</v>
      </c>
    </row>
    <row r="70" spans="1:8" ht="15" customHeight="1" x14ac:dyDescent="0.3">
      <c r="A70" s="5">
        <v>803539</v>
      </c>
      <c r="B70" s="5" t="s">
        <v>142</v>
      </c>
      <c r="C70" s="5">
        <v>188</v>
      </c>
      <c r="D70" s="6">
        <v>188</v>
      </c>
      <c r="E70" s="7">
        <f>IF(D70="","",D70*0.04)</f>
        <v>7.5200000000000005</v>
      </c>
      <c r="F70" s="6" t="s">
        <v>152</v>
      </c>
      <c r="G70" s="6"/>
      <c r="H70" s="4"/>
    </row>
    <row r="71" spans="1:8" ht="15" customHeight="1" x14ac:dyDescent="0.3">
      <c r="A71" s="5">
        <v>803609</v>
      </c>
      <c r="B71" s="5" t="s">
        <v>56</v>
      </c>
      <c r="C71" s="5">
        <v>561</v>
      </c>
      <c r="D71" s="6">
        <v>556</v>
      </c>
      <c r="E71" s="7">
        <f>IF(D71="","",D71*0.04)</f>
        <v>22.240000000000002</v>
      </c>
      <c r="F71" s="6" t="s">
        <v>149</v>
      </c>
      <c r="G71" s="6"/>
      <c r="H71" s="4">
        <v>803467</v>
      </c>
    </row>
    <row r="72" spans="1:8" ht="15" customHeight="1" x14ac:dyDescent="0.3">
      <c r="A72" s="5">
        <v>803540</v>
      </c>
      <c r="B72" s="5" t="s">
        <v>119</v>
      </c>
      <c r="C72" s="5">
        <v>383</v>
      </c>
      <c r="D72" s="6">
        <v>382</v>
      </c>
      <c r="E72" s="7">
        <f>IF(D72="","",D72*0.04)</f>
        <v>15.280000000000001</v>
      </c>
      <c r="F72" s="6" t="s">
        <v>153</v>
      </c>
      <c r="G72" s="6"/>
      <c r="H72" s="4"/>
    </row>
    <row r="73" spans="1:8" ht="15" customHeight="1" x14ac:dyDescent="0.3">
      <c r="A73" s="5">
        <v>803541</v>
      </c>
      <c r="B73" s="5" t="s">
        <v>118</v>
      </c>
      <c r="C73" s="5">
        <v>329</v>
      </c>
      <c r="D73" s="6">
        <v>328</v>
      </c>
      <c r="E73" s="7">
        <f>IF(D73="","",D73*0.04)</f>
        <v>13.120000000000001</v>
      </c>
      <c r="F73" s="6" t="s">
        <v>153</v>
      </c>
      <c r="G73" s="6"/>
      <c r="H73" s="4"/>
    </row>
    <row r="74" spans="1:8" ht="15" customHeight="1" x14ac:dyDescent="0.3">
      <c r="A74" s="5">
        <v>803542</v>
      </c>
      <c r="B74" s="5" t="s">
        <v>117</v>
      </c>
      <c r="C74" s="5">
        <v>225</v>
      </c>
      <c r="D74" s="6">
        <v>224</v>
      </c>
      <c r="E74" s="7">
        <f>IF(D74="","",D74*0.04)</f>
        <v>8.9600000000000009</v>
      </c>
      <c r="F74" s="6" t="s">
        <v>152</v>
      </c>
      <c r="G74" s="6"/>
      <c r="H74" s="4"/>
    </row>
    <row r="75" spans="1:8" ht="15" customHeight="1" x14ac:dyDescent="0.3">
      <c r="A75" s="5">
        <v>803613</v>
      </c>
      <c r="B75" s="5" t="s">
        <v>52</v>
      </c>
      <c r="C75" s="5">
        <v>739</v>
      </c>
      <c r="D75" s="6">
        <v>738</v>
      </c>
      <c r="E75" s="7">
        <f>IF(D75="","",D75*0.04)</f>
        <v>29.52</v>
      </c>
      <c r="F75" s="6" t="s">
        <v>149</v>
      </c>
      <c r="G75" s="6"/>
      <c r="H75" s="4">
        <v>803468</v>
      </c>
    </row>
    <row r="76" spans="1:8" ht="15" customHeight="1" x14ac:dyDescent="0.3">
      <c r="A76" s="5">
        <v>803612</v>
      </c>
      <c r="B76" s="5" t="s">
        <v>53</v>
      </c>
      <c r="C76" s="5">
        <v>358</v>
      </c>
      <c r="D76" s="6">
        <v>353</v>
      </c>
      <c r="E76" s="7">
        <f>IF(D76="","",D76*0.04)</f>
        <v>14.120000000000001</v>
      </c>
      <c r="F76" s="6" t="s">
        <v>149</v>
      </c>
      <c r="G76" s="6"/>
      <c r="H76" s="4"/>
    </row>
    <row r="77" spans="1:8" ht="15" customHeight="1" x14ac:dyDescent="0.3">
      <c r="A77" s="5">
        <v>803611</v>
      </c>
      <c r="B77" s="5" t="s">
        <v>54</v>
      </c>
      <c r="C77" s="5">
        <v>150</v>
      </c>
      <c r="D77" s="6">
        <v>148</v>
      </c>
      <c r="E77" s="7">
        <f>IF(D77="","",D77*0.04)</f>
        <v>5.92</v>
      </c>
      <c r="F77" s="6" t="s">
        <v>150</v>
      </c>
      <c r="G77" s="6"/>
      <c r="H77" s="4"/>
    </row>
    <row r="78" spans="1:8" ht="15" customHeight="1" x14ac:dyDescent="0.3">
      <c r="A78" s="5">
        <v>803615</v>
      </c>
      <c r="B78" s="5" t="s">
        <v>50</v>
      </c>
      <c r="C78" s="5">
        <v>533</v>
      </c>
      <c r="D78" s="6">
        <v>533</v>
      </c>
      <c r="E78" s="7">
        <f>IF(D78="","",D78*0.04)</f>
        <v>21.32</v>
      </c>
      <c r="F78" s="6" t="s">
        <v>150</v>
      </c>
      <c r="G78" s="6"/>
      <c r="H78" s="4">
        <v>803470</v>
      </c>
    </row>
    <row r="79" spans="1:8" ht="15" customHeight="1" x14ac:dyDescent="0.3">
      <c r="A79" s="5">
        <v>803614</v>
      </c>
      <c r="B79" s="5" t="s">
        <v>51</v>
      </c>
      <c r="C79" s="5">
        <v>694</v>
      </c>
      <c r="D79" s="6">
        <v>674</v>
      </c>
      <c r="E79" s="7">
        <f>IF(D79="","",D79*0.04)</f>
        <v>26.96</v>
      </c>
      <c r="F79" s="6" t="s">
        <v>149</v>
      </c>
      <c r="G79" s="6" t="s">
        <v>154</v>
      </c>
      <c r="H79" s="4">
        <v>803472</v>
      </c>
    </row>
    <row r="80" spans="1:8" ht="15" customHeight="1" x14ac:dyDescent="0.3">
      <c r="A80" s="5">
        <v>803617</v>
      </c>
      <c r="B80" s="5" t="s">
        <v>48</v>
      </c>
      <c r="C80" s="5">
        <v>895</v>
      </c>
      <c r="D80" s="6">
        <v>891</v>
      </c>
      <c r="E80" s="7">
        <f>IF(D80="","",D80*0.04)</f>
        <v>35.64</v>
      </c>
      <c r="F80" s="6" t="s">
        <v>150</v>
      </c>
      <c r="G80" s="6"/>
      <c r="H80" s="4">
        <v>803473</v>
      </c>
    </row>
    <row r="81" spans="1:8" ht="15" customHeight="1" x14ac:dyDescent="0.3">
      <c r="A81" s="5">
        <v>803616</v>
      </c>
      <c r="B81" s="5" t="s">
        <v>49</v>
      </c>
      <c r="C81" s="5">
        <v>610</v>
      </c>
      <c r="D81" s="6">
        <v>599</v>
      </c>
      <c r="E81" s="7">
        <f>IF(D81="","",D81*0.04)</f>
        <v>23.96</v>
      </c>
      <c r="F81" s="6" t="s">
        <v>149</v>
      </c>
      <c r="G81" s="6"/>
      <c r="H81" s="4">
        <v>803474</v>
      </c>
    </row>
    <row r="82" spans="1:8" ht="15" customHeight="1" x14ac:dyDescent="0.3">
      <c r="A82" s="5">
        <v>803543</v>
      </c>
      <c r="B82" s="5" t="s">
        <v>116</v>
      </c>
      <c r="C82" s="5">
        <v>308</v>
      </c>
      <c r="D82" s="6">
        <v>304</v>
      </c>
      <c r="E82" s="7">
        <f>IF(D82="","",D82*0.04)</f>
        <v>12.16</v>
      </c>
      <c r="F82" s="6" t="s">
        <v>152</v>
      </c>
      <c r="G82" s="6" t="s">
        <v>154</v>
      </c>
      <c r="H82" s="4"/>
    </row>
    <row r="83" spans="1:8" ht="15" customHeight="1" x14ac:dyDescent="0.3">
      <c r="A83" s="5">
        <v>803544</v>
      </c>
      <c r="B83" s="5" t="s">
        <v>115</v>
      </c>
      <c r="C83" s="5">
        <v>269</v>
      </c>
      <c r="D83" s="6">
        <v>269</v>
      </c>
      <c r="E83" s="7">
        <f>IF(D83="","",D83*0.04)</f>
        <v>10.76</v>
      </c>
      <c r="F83" s="6" t="s">
        <v>153</v>
      </c>
      <c r="G83" s="6"/>
      <c r="H83" s="4"/>
    </row>
    <row r="84" spans="1:8" ht="15" customHeight="1" x14ac:dyDescent="0.3">
      <c r="A84" s="5">
        <v>803619</v>
      </c>
      <c r="B84" s="5" t="s">
        <v>46</v>
      </c>
      <c r="C84" s="5">
        <v>868</v>
      </c>
      <c r="D84" s="6">
        <v>863</v>
      </c>
      <c r="E84" s="7">
        <f>IF(D84="","",D84*0.04)</f>
        <v>34.520000000000003</v>
      </c>
      <c r="F84" s="6" t="s">
        <v>149</v>
      </c>
      <c r="G84" s="6"/>
      <c r="H84" s="4">
        <v>803475</v>
      </c>
    </row>
    <row r="85" spans="1:8" ht="15" customHeight="1" x14ac:dyDescent="0.3">
      <c r="A85" s="5">
        <v>803618</v>
      </c>
      <c r="B85" s="5" t="s">
        <v>47</v>
      </c>
      <c r="C85" s="5">
        <v>975</v>
      </c>
      <c r="D85" s="6">
        <v>972</v>
      </c>
      <c r="E85" s="7">
        <f>IF(D85="","",D85*0.04)</f>
        <v>38.880000000000003</v>
      </c>
      <c r="F85" s="6" t="s">
        <v>149</v>
      </c>
      <c r="G85" s="6"/>
      <c r="H85" s="4">
        <v>803476</v>
      </c>
    </row>
    <row r="86" spans="1:8" ht="15" customHeight="1" x14ac:dyDescent="0.3">
      <c r="A86" s="5">
        <v>803623</v>
      </c>
      <c r="B86" s="5" t="s">
        <v>42</v>
      </c>
      <c r="C86" s="5">
        <v>887</v>
      </c>
      <c r="D86" s="6">
        <v>875</v>
      </c>
      <c r="E86" s="7">
        <f>IF(D86="","",D86*0.04)</f>
        <v>35</v>
      </c>
      <c r="F86" s="6" t="s">
        <v>149</v>
      </c>
      <c r="G86" s="6"/>
      <c r="H86" s="4">
        <v>803477</v>
      </c>
    </row>
    <row r="87" spans="1:8" ht="15" customHeight="1" x14ac:dyDescent="0.3">
      <c r="A87" s="5">
        <v>803622</v>
      </c>
      <c r="B87" s="5" t="s">
        <v>43</v>
      </c>
      <c r="C87" s="5">
        <v>264</v>
      </c>
      <c r="D87" s="6">
        <v>261</v>
      </c>
      <c r="E87" s="7">
        <f>IF(D87="","",D87*0.04)</f>
        <v>10.44</v>
      </c>
      <c r="F87" s="6" t="s">
        <v>149</v>
      </c>
      <c r="G87" s="6"/>
      <c r="H87" s="4">
        <v>803478</v>
      </c>
    </row>
    <row r="88" spans="1:8" ht="15" customHeight="1" x14ac:dyDescent="0.3">
      <c r="A88" s="5">
        <v>803545</v>
      </c>
      <c r="B88" s="5" t="s">
        <v>114</v>
      </c>
      <c r="C88" s="5">
        <v>295</v>
      </c>
      <c r="D88" s="6">
        <v>294</v>
      </c>
      <c r="E88" s="7">
        <f>IF(D88="","",D88*0.04)</f>
        <v>11.76</v>
      </c>
      <c r="F88" s="6" t="s">
        <v>153</v>
      </c>
      <c r="G88" s="6"/>
      <c r="H88" s="4">
        <v>803404</v>
      </c>
    </row>
    <row r="89" spans="1:8" ht="15" customHeight="1" x14ac:dyDescent="0.3">
      <c r="A89" s="5">
        <v>803621</v>
      </c>
      <c r="B89" s="5" t="s">
        <v>44</v>
      </c>
      <c r="C89" s="5">
        <v>962</v>
      </c>
      <c r="D89" s="6">
        <v>952</v>
      </c>
      <c r="E89" s="7">
        <f>IF(D89="","",D89*0.04)</f>
        <v>38.08</v>
      </c>
      <c r="F89" s="6" t="s">
        <v>149</v>
      </c>
      <c r="G89" s="6"/>
      <c r="H89" s="4">
        <v>802961</v>
      </c>
    </row>
    <row r="90" spans="1:8" ht="15" customHeight="1" x14ac:dyDescent="0.3">
      <c r="A90" s="5">
        <v>803546</v>
      </c>
      <c r="B90" s="5" t="s">
        <v>113</v>
      </c>
      <c r="C90" s="5">
        <v>346</v>
      </c>
      <c r="D90" s="6">
        <v>345</v>
      </c>
      <c r="E90" s="7">
        <f>IF(D90="","",D90*0.04)</f>
        <v>13.8</v>
      </c>
      <c r="F90" s="6" t="s">
        <v>152</v>
      </c>
      <c r="G90" s="6" t="s">
        <v>154</v>
      </c>
      <c r="H90" s="4"/>
    </row>
    <row r="91" spans="1:8" ht="15" customHeight="1" x14ac:dyDescent="0.3">
      <c r="A91" s="5">
        <v>803620</v>
      </c>
      <c r="B91" s="5" t="s">
        <v>45</v>
      </c>
      <c r="C91" s="5">
        <v>869</v>
      </c>
      <c r="D91" s="6">
        <v>860</v>
      </c>
      <c r="E91" s="7">
        <f>IF(D91="","",D91*0.04)</f>
        <v>34.4</v>
      </c>
      <c r="F91" s="6" t="s">
        <v>149</v>
      </c>
      <c r="G91" s="6" t="s">
        <v>154</v>
      </c>
      <c r="H91" s="4">
        <v>803494</v>
      </c>
    </row>
    <row r="92" spans="1:8" ht="15" customHeight="1" x14ac:dyDescent="0.3">
      <c r="A92" s="5">
        <v>803627</v>
      </c>
      <c r="B92" s="5" t="s">
        <v>38</v>
      </c>
      <c r="C92" s="5">
        <v>500</v>
      </c>
      <c r="D92" s="6">
        <v>489</v>
      </c>
      <c r="E92" s="7">
        <f>IF(D92="","",D92*0.04)</f>
        <v>19.559999999999999</v>
      </c>
      <c r="F92" s="6" t="s">
        <v>149</v>
      </c>
      <c r="G92" s="6"/>
      <c r="H92" s="4">
        <v>803482</v>
      </c>
    </row>
    <row r="93" spans="1:8" ht="15" customHeight="1" x14ac:dyDescent="0.3">
      <c r="A93" s="5">
        <v>803626</v>
      </c>
      <c r="B93" s="5" t="s">
        <v>39</v>
      </c>
      <c r="C93" s="5">
        <v>549</v>
      </c>
      <c r="D93" s="6">
        <v>541</v>
      </c>
      <c r="E93" s="7">
        <f>IF(D93="","",D93*0.04)</f>
        <v>21.64</v>
      </c>
      <c r="F93" s="6" t="s">
        <v>149</v>
      </c>
      <c r="G93" s="6"/>
      <c r="H93" s="4">
        <v>803481</v>
      </c>
    </row>
    <row r="94" spans="1:8" ht="15" customHeight="1" x14ac:dyDescent="0.3">
      <c r="A94" s="5">
        <v>803547</v>
      </c>
      <c r="B94" s="5" t="s">
        <v>112</v>
      </c>
      <c r="C94" s="5">
        <v>191</v>
      </c>
      <c r="D94" s="6">
        <v>191</v>
      </c>
      <c r="E94" s="7">
        <f>IF(D94="","",D94*0.04)</f>
        <v>7.6400000000000006</v>
      </c>
      <c r="F94" s="6" t="s">
        <v>153</v>
      </c>
      <c r="G94" s="6"/>
      <c r="H94" s="4"/>
    </row>
    <row r="95" spans="1:8" ht="15" customHeight="1" x14ac:dyDescent="0.3">
      <c r="A95" s="5">
        <v>803625</v>
      </c>
      <c r="B95" s="5" t="s">
        <v>40</v>
      </c>
      <c r="C95" s="5">
        <v>149</v>
      </c>
      <c r="D95" s="6">
        <v>149</v>
      </c>
      <c r="E95" s="7">
        <f>IF(D95="","",D95*0.04)</f>
        <v>5.96</v>
      </c>
      <c r="F95" s="6" t="s">
        <v>150</v>
      </c>
      <c r="G95" s="6"/>
      <c r="H95" s="4">
        <v>803483</v>
      </c>
    </row>
    <row r="96" spans="1:8" ht="15" customHeight="1" x14ac:dyDescent="0.3">
      <c r="A96" s="5">
        <v>803624</v>
      </c>
      <c r="B96" s="5" t="s">
        <v>41</v>
      </c>
      <c r="C96" s="5">
        <v>337</v>
      </c>
      <c r="D96" s="6">
        <v>333</v>
      </c>
      <c r="E96" s="7">
        <f>IF(D96="","",D96*0.04)</f>
        <v>13.32</v>
      </c>
      <c r="F96" s="6" t="s">
        <v>150</v>
      </c>
      <c r="G96" s="6"/>
      <c r="H96" s="4"/>
    </row>
    <row r="97" spans="1:8" ht="15" customHeight="1" x14ac:dyDescent="0.3">
      <c r="A97" s="5">
        <v>803548</v>
      </c>
      <c r="B97" s="5" t="s">
        <v>111</v>
      </c>
      <c r="C97" s="5">
        <v>413</v>
      </c>
      <c r="D97" s="6">
        <v>409</v>
      </c>
      <c r="E97" s="7">
        <f>IF(D97="","",D97*0.04)</f>
        <v>16.36</v>
      </c>
      <c r="F97" s="6" t="s">
        <v>153</v>
      </c>
      <c r="G97" s="6"/>
      <c r="H97" s="4"/>
    </row>
    <row r="98" spans="1:8" ht="15" customHeight="1" x14ac:dyDescent="0.3">
      <c r="A98" s="5">
        <v>803628</v>
      </c>
      <c r="B98" s="5" t="s">
        <v>37</v>
      </c>
      <c r="C98" s="5">
        <v>497</v>
      </c>
      <c r="D98" s="6">
        <v>497</v>
      </c>
      <c r="E98" s="7">
        <f>IF(D98="","",D98*0.04)</f>
        <v>19.88</v>
      </c>
      <c r="F98" s="6" t="s">
        <v>150</v>
      </c>
      <c r="G98" s="6"/>
      <c r="H98" s="4">
        <v>803486</v>
      </c>
    </row>
    <row r="99" spans="1:8" ht="15" customHeight="1" x14ac:dyDescent="0.3">
      <c r="A99" s="5">
        <v>803549</v>
      </c>
      <c r="B99" s="5" t="s">
        <v>110</v>
      </c>
      <c r="C99" s="5">
        <v>385</v>
      </c>
      <c r="D99" s="6">
        <v>384</v>
      </c>
      <c r="E99" s="7">
        <f>IF(D99="","",D99*0.04)</f>
        <v>15.36</v>
      </c>
      <c r="F99" s="6" t="s">
        <v>153</v>
      </c>
      <c r="G99" s="6"/>
      <c r="H99" s="4"/>
    </row>
    <row r="100" spans="1:8" ht="15" customHeight="1" x14ac:dyDescent="0.3">
      <c r="A100" s="5">
        <v>803629</v>
      </c>
      <c r="B100" s="5" t="s">
        <v>36</v>
      </c>
      <c r="C100" s="5">
        <v>345</v>
      </c>
      <c r="D100" s="6">
        <v>343</v>
      </c>
      <c r="E100" s="7">
        <f>IF(D100="","",D100*0.04)</f>
        <v>13.72</v>
      </c>
      <c r="F100" s="6" t="s">
        <v>150</v>
      </c>
      <c r="G100" s="6"/>
      <c r="H100" s="4">
        <v>803485</v>
      </c>
    </row>
    <row r="101" spans="1:8" ht="15" customHeight="1" x14ac:dyDescent="0.3">
      <c r="A101" s="5">
        <v>803550</v>
      </c>
      <c r="B101" s="5" t="s">
        <v>109</v>
      </c>
      <c r="C101" s="5">
        <v>326</v>
      </c>
      <c r="D101" s="6">
        <v>326</v>
      </c>
      <c r="E101" s="7">
        <f>IF(D101="","",D101*0.04)</f>
        <v>13.040000000000001</v>
      </c>
      <c r="F101" s="6" t="s">
        <v>153</v>
      </c>
      <c r="G101" s="6"/>
      <c r="H101" s="4"/>
    </row>
    <row r="102" spans="1:8" ht="15" customHeight="1" x14ac:dyDescent="0.3">
      <c r="A102" s="5">
        <v>803630</v>
      </c>
      <c r="B102" s="5" t="s">
        <v>35</v>
      </c>
      <c r="C102" s="5">
        <v>643</v>
      </c>
      <c r="D102" s="6">
        <v>636</v>
      </c>
      <c r="E102" s="7">
        <f>IF(D102="","",D102*0.04)</f>
        <v>25.44</v>
      </c>
      <c r="F102" s="6" t="s">
        <v>149</v>
      </c>
      <c r="G102" s="6" t="s">
        <v>154</v>
      </c>
      <c r="H102" s="4">
        <v>803488</v>
      </c>
    </row>
    <row r="103" spans="1:8" ht="15" customHeight="1" x14ac:dyDescent="0.3">
      <c r="A103" s="5">
        <v>803631</v>
      </c>
      <c r="B103" s="5" t="s">
        <v>34</v>
      </c>
      <c r="C103" s="5">
        <v>370</v>
      </c>
      <c r="D103" s="6">
        <v>369</v>
      </c>
      <c r="E103" s="7">
        <f>IF(D103="","",D103*0.04)</f>
        <v>14.76</v>
      </c>
      <c r="F103" s="6" t="s">
        <v>150</v>
      </c>
      <c r="G103" s="6"/>
      <c r="H103" s="4">
        <v>803487</v>
      </c>
    </row>
    <row r="104" spans="1:8" ht="15" customHeight="1" x14ac:dyDescent="0.3">
      <c r="A104" s="5">
        <v>803632</v>
      </c>
      <c r="B104" s="5" t="s">
        <v>33</v>
      </c>
      <c r="C104" s="5">
        <v>683</v>
      </c>
      <c r="D104" s="6">
        <v>673</v>
      </c>
      <c r="E104" s="7">
        <f>IF(D104="","",D104*0.04)</f>
        <v>26.92</v>
      </c>
      <c r="F104" s="6" t="s">
        <v>150</v>
      </c>
      <c r="G104" s="6"/>
      <c r="H104" s="4">
        <v>803489</v>
      </c>
    </row>
    <row r="105" spans="1:8" ht="15" customHeight="1" x14ac:dyDescent="0.3">
      <c r="A105" s="5">
        <v>803551</v>
      </c>
      <c r="B105" s="5" t="s">
        <v>108</v>
      </c>
      <c r="C105" s="5">
        <v>201</v>
      </c>
      <c r="D105" s="6">
        <v>200</v>
      </c>
      <c r="E105" s="7">
        <f>IF(D105="","",D105*0.04)</f>
        <v>8</v>
      </c>
      <c r="F105" s="6" t="s">
        <v>152</v>
      </c>
      <c r="G105" s="6"/>
      <c r="H105" s="4"/>
    </row>
    <row r="106" spans="1:8" ht="15" customHeight="1" x14ac:dyDescent="0.3">
      <c r="A106" s="5">
        <v>803633</v>
      </c>
      <c r="B106" s="5" t="s">
        <v>32</v>
      </c>
      <c r="C106" s="5">
        <v>178</v>
      </c>
      <c r="D106" s="6">
        <v>178</v>
      </c>
      <c r="E106" s="7">
        <f>IF(D106="","",D106*0.04)</f>
        <v>7.12</v>
      </c>
      <c r="F106" s="6" t="s">
        <v>150</v>
      </c>
      <c r="G106" s="6"/>
      <c r="H106" s="4"/>
    </row>
    <row r="107" spans="1:8" ht="15" customHeight="1" x14ac:dyDescent="0.3">
      <c r="A107" s="5">
        <v>803634</v>
      </c>
      <c r="B107" s="5" t="s">
        <v>31</v>
      </c>
      <c r="C107" s="5">
        <v>190</v>
      </c>
      <c r="D107" s="6">
        <v>190</v>
      </c>
      <c r="E107" s="7">
        <f>IF(D107="","",D107*0.04)</f>
        <v>7.6000000000000005</v>
      </c>
      <c r="F107" s="6" t="s">
        <v>149</v>
      </c>
      <c r="G107" s="6"/>
      <c r="H107" s="4"/>
    </row>
    <row r="108" spans="1:8" ht="15" customHeight="1" x14ac:dyDescent="0.3">
      <c r="A108" s="5">
        <v>803552</v>
      </c>
      <c r="B108" s="5" t="s">
        <v>107</v>
      </c>
      <c r="C108" s="5">
        <v>443</v>
      </c>
      <c r="D108" s="6">
        <v>437</v>
      </c>
      <c r="E108" s="7">
        <f>IF(D108="","",D108*0.04)</f>
        <v>17.48</v>
      </c>
      <c r="F108" s="6" t="s">
        <v>152</v>
      </c>
      <c r="G108" s="6" t="s">
        <v>154</v>
      </c>
      <c r="H108" s="4"/>
    </row>
    <row r="109" spans="1:8" ht="15" customHeight="1" x14ac:dyDescent="0.3">
      <c r="A109" s="5">
        <v>803635</v>
      </c>
      <c r="B109" s="5" t="s">
        <v>30</v>
      </c>
      <c r="C109" s="5">
        <v>791</v>
      </c>
      <c r="D109" s="6">
        <v>782</v>
      </c>
      <c r="E109" s="7">
        <f>IF(D109="","",D109*0.04)</f>
        <v>31.28</v>
      </c>
      <c r="F109" s="6" t="s">
        <v>149</v>
      </c>
      <c r="G109" s="6"/>
      <c r="H109" s="4">
        <v>803492</v>
      </c>
    </row>
    <row r="110" spans="1:8" ht="15" customHeight="1" x14ac:dyDescent="0.3">
      <c r="A110" s="5">
        <v>803636</v>
      </c>
      <c r="B110" s="5" t="s">
        <v>29</v>
      </c>
      <c r="C110" s="5">
        <v>441</v>
      </c>
      <c r="D110" s="6">
        <v>439</v>
      </c>
      <c r="E110" s="7">
        <f>IF(D110="","",D110*0.04)</f>
        <v>17.559999999999999</v>
      </c>
      <c r="F110" s="6" t="s">
        <v>151</v>
      </c>
      <c r="G110" s="6"/>
      <c r="H110" s="4">
        <v>803493</v>
      </c>
    </row>
    <row r="111" spans="1:8" ht="15" customHeight="1" x14ac:dyDescent="0.3">
      <c r="A111" s="5">
        <v>803637</v>
      </c>
      <c r="B111" s="5" t="s">
        <v>28</v>
      </c>
      <c r="C111" s="5">
        <v>668</v>
      </c>
      <c r="D111" s="6">
        <v>659</v>
      </c>
      <c r="E111" s="7">
        <f>IF(D111="","",D111*0.04)</f>
        <v>26.36</v>
      </c>
      <c r="F111" s="6" t="s">
        <v>149</v>
      </c>
      <c r="G111" s="6" t="s">
        <v>154</v>
      </c>
      <c r="H111" s="4">
        <v>803495</v>
      </c>
    </row>
    <row r="112" spans="1:8" ht="15" customHeight="1" x14ac:dyDescent="0.3">
      <c r="A112" s="5">
        <v>803638</v>
      </c>
      <c r="B112" s="5" t="s">
        <v>27</v>
      </c>
      <c r="C112" s="5">
        <v>834</v>
      </c>
      <c r="D112" s="6">
        <v>827</v>
      </c>
      <c r="E112" s="7">
        <f>IF(D112="","",D112*0.04)</f>
        <v>33.08</v>
      </c>
      <c r="F112" s="6" t="s">
        <v>149</v>
      </c>
      <c r="G112" s="6"/>
      <c r="H112" s="4">
        <v>803496</v>
      </c>
    </row>
    <row r="113" spans="1:8" ht="15" customHeight="1" x14ac:dyDescent="0.3">
      <c r="A113" s="5">
        <v>803639</v>
      </c>
      <c r="B113" s="5" t="s">
        <v>26</v>
      </c>
      <c r="C113" s="5">
        <v>517</v>
      </c>
      <c r="D113" s="6">
        <v>516</v>
      </c>
      <c r="E113" s="7">
        <f>IF(D113="","",D113*0.04)</f>
        <v>20.64</v>
      </c>
      <c r="F113" s="6" t="s">
        <v>149</v>
      </c>
      <c r="G113" s="6"/>
      <c r="H113" s="4">
        <v>803497</v>
      </c>
    </row>
    <row r="114" spans="1:8" ht="15" customHeight="1" x14ac:dyDescent="0.3">
      <c r="A114" s="5">
        <v>803641</v>
      </c>
      <c r="B114" s="5" t="s">
        <v>24</v>
      </c>
      <c r="C114" s="5">
        <v>936</v>
      </c>
      <c r="D114" s="6">
        <v>926</v>
      </c>
      <c r="E114" s="7">
        <f>IF(D114="","",D114*0.04)</f>
        <v>37.04</v>
      </c>
      <c r="F114" s="6" t="s">
        <v>149</v>
      </c>
      <c r="G114" s="6"/>
      <c r="H114" s="4">
        <v>803498</v>
      </c>
    </row>
    <row r="115" spans="1:8" ht="15" customHeight="1" x14ac:dyDescent="0.3">
      <c r="A115" s="5">
        <v>803640</v>
      </c>
      <c r="B115" s="5" t="s">
        <v>25</v>
      </c>
      <c r="C115" s="5">
        <v>312</v>
      </c>
      <c r="D115" s="6">
        <v>308</v>
      </c>
      <c r="E115" s="7">
        <f>IF(D115="","",D115*0.04)</f>
        <v>12.32</v>
      </c>
      <c r="F115" s="6" t="s">
        <v>150</v>
      </c>
      <c r="G115" s="6"/>
      <c r="H115" s="4">
        <v>803499</v>
      </c>
    </row>
    <row r="116" spans="1:8" ht="15" customHeight="1" x14ac:dyDescent="0.3">
      <c r="A116" s="5">
        <v>803643</v>
      </c>
      <c r="B116" s="5" t="s">
        <v>22</v>
      </c>
      <c r="C116" s="5">
        <v>430</v>
      </c>
      <c r="D116" s="6">
        <v>429</v>
      </c>
      <c r="E116" s="7">
        <f>IF(D116="","",D116*0.04)</f>
        <v>17.16</v>
      </c>
      <c r="F116" s="6" t="s">
        <v>150</v>
      </c>
      <c r="G116" s="6"/>
      <c r="H116" s="4">
        <v>803500</v>
      </c>
    </row>
    <row r="117" spans="1:8" ht="15" customHeight="1" x14ac:dyDescent="0.3">
      <c r="A117" s="5">
        <v>803553</v>
      </c>
      <c r="B117" s="5" t="s">
        <v>106</v>
      </c>
      <c r="C117" s="5">
        <v>311</v>
      </c>
      <c r="D117" s="6">
        <v>311</v>
      </c>
      <c r="E117" s="7">
        <f>IF(D117="","",D117*0.04)</f>
        <v>12.44</v>
      </c>
      <c r="F117" s="6" t="s">
        <v>153</v>
      </c>
      <c r="G117" s="6"/>
      <c r="H117" s="4"/>
    </row>
    <row r="118" spans="1:8" ht="15" customHeight="1" x14ac:dyDescent="0.3">
      <c r="A118" s="5">
        <v>803642</v>
      </c>
      <c r="B118" s="5" t="s">
        <v>23</v>
      </c>
      <c r="C118" s="5">
        <v>530</v>
      </c>
      <c r="D118" s="6">
        <v>528</v>
      </c>
      <c r="E118" s="7">
        <f>IF(D118="","",D118*0.04)</f>
        <v>21.12</v>
      </c>
      <c r="F118" s="6" t="s">
        <v>150</v>
      </c>
      <c r="G118" s="6"/>
      <c r="H118" s="4">
        <v>803501</v>
      </c>
    </row>
    <row r="119" spans="1:8" ht="15" customHeight="1" x14ac:dyDescent="0.3">
      <c r="A119" s="5">
        <v>803646</v>
      </c>
      <c r="B119" s="5" t="s">
        <v>19</v>
      </c>
      <c r="C119" s="5">
        <v>685</v>
      </c>
      <c r="D119" s="6">
        <v>681</v>
      </c>
      <c r="E119" s="7">
        <f>IF(D119="","",D119*0.04)</f>
        <v>27.240000000000002</v>
      </c>
      <c r="F119" s="6" t="s">
        <v>150</v>
      </c>
      <c r="G119" s="6"/>
      <c r="H119" s="4">
        <v>803502</v>
      </c>
    </row>
    <row r="120" spans="1:8" ht="15" customHeight="1" x14ac:dyDescent="0.3">
      <c r="A120" s="5">
        <v>803645</v>
      </c>
      <c r="B120" s="5" t="s">
        <v>20</v>
      </c>
      <c r="C120" s="5">
        <v>646</v>
      </c>
      <c r="D120" s="6">
        <v>641</v>
      </c>
      <c r="E120" s="7">
        <f>IF(D120="","",D120*0.04)</f>
        <v>25.64</v>
      </c>
      <c r="F120" s="6" t="s">
        <v>149</v>
      </c>
      <c r="G120" s="6" t="s">
        <v>154</v>
      </c>
      <c r="H120" s="4">
        <v>803503</v>
      </c>
    </row>
    <row r="121" spans="1:8" ht="15" customHeight="1" x14ac:dyDescent="0.3">
      <c r="A121" s="5">
        <v>803657</v>
      </c>
      <c r="B121" s="5" t="s">
        <v>9</v>
      </c>
      <c r="C121" s="5">
        <v>319</v>
      </c>
      <c r="D121" s="6">
        <v>315</v>
      </c>
      <c r="E121" s="7">
        <f>IF(D121="","",D121*0.04)</f>
        <v>12.6</v>
      </c>
      <c r="F121" s="6" t="s">
        <v>149</v>
      </c>
      <c r="G121" s="6" t="s">
        <v>154</v>
      </c>
      <c r="H121" s="4"/>
    </row>
    <row r="122" spans="1:8" ht="15" customHeight="1" x14ac:dyDescent="0.3">
      <c r="A122" s="5">
        <v>803644</v>
      </c>
      <c r="B122" s="5" t="s">
        <v>21</v>
      </c>
      <c r="C122" s="5">
        <v>920</v>
      </c>
      <c r="D122" s="6">
        <v>906</v>
      </c>
      <c r="E122" s="7">
        <f>IF(D122="","",D122*0.04)</f>
        <v>36.24</v>
      </c>
      <c r="F122" s="6" t="s">
        <v>149</v>
      </c>
      <c r="G122" s="6"/>
      <c r="H122" s="4">
        <v>802987</v>
      </c>
    </row>
    <row r="123" spans="1:8" ht="15" customHeight="1" x14ac:dyDescent="0.3">
      <c r="A123" s="5">
        <v>803649</v>
      </c>
      <c r="B123" s="5" t="s">
        <v>16</v>
      </c>
      <c r="C123" s="5">
        <v>467</v>
      </c>
      <c r="D123" s="6">
        <v>463</v>
      </c>
      <c r="E123" s="7">
        <f>IF(D123="","",D123*0.04)</f>
        <v>18.52</v>
      </c>
      <c r="F123" s="6" t="s">
        <v>149</v>
      </c>
      <c r="G123" s="6" t="s">
        <v>154</v>
      </c>
      <c r="H123" s="4">
        <v>803506</v>
      </c>
    </row>
    <row r="124" spans="1:8" ht="15" customHeight="1" x14ac:dyDescent="0.3">
      <c r="A124" s="5">
        <v>803648</v>
      </c>
      <c r="B124" s="5" t="s">
        <v>17</v>
      </c>
      <c r="C124" s="5">
        <v>579</v>
      </c>
      <c r="D124" s="6">
        <v>577</v>
      </c>
      <c r="E124" s="7">
        <f>IF(D124="","",D124*0.04)</f>
        <v>23.080000000000002</v>
      </c>
      <c r="F124" s="6" t="s">
        <v>149</v>
      </c>
      <c r="G124" s="6"/>
      <c r="H124" s="4">
        <v>803507</v>
      </c>
    </row>
    <row r="125" spans="1:8" ht="15" customHeight="1" x14ac:dyDescent="0.3">
      <c r="A125" s="5">
        <v>803554</v>
      </c>
      <c r="B125" s="5" t="s">
        <v>105</v>
      </c>
      <c r="C125" s="5">
        <v>209</v>
      </c>
      <c r="D125" s="6">
        <v>208</v>
      </c>
      <c r="E125" s="7">
        <f>IF(D125="","",D125*0.04)</f>
        <v>8.32</v>
      </c>
      <c r="F125" s="6" t="s">
        <v>153</v>
      </c>
      <c r="G125" s="6"/>
      <c r="H125" s="4"/>
    </row>
    <row r="126" spans="1:8" ht="15" customHeight="1" x14ac:dyDescent="0.3">
      <c r="A126" s="5">
        <v>803555</v>
      </c>
      <c r="B126" s="5" t="s">
        <v>104</v>
      </c>
      <c r="C126" s="5">
        <v>166</v>
      </c>
      <c r="D126" s="6">
        <v>165</v>
      </c>
      <c r="E126" s="7">
        <f>IF(D126="","",D126*0.04)</f>
        <v>6.6000000000000005</v>
      </c>
      <c r="F126" s="6" t="s">
        <v>153</v>
      </c>
      <c r="G126" s="6"/>
      <c r="H126" s="4"/>
    </row>
    <row r="127" spans="1:8" ht="15" customHeight="1" x14ac:dyDescent="0.3">
      <c r="A127" s="5">
        <v>803556</v>
      </c>
      <c r="B127" s="5" t="s">
        <v>103</v>
      </c>
      <c r="C127" s="5">
        <v>432</v>
      </c>
      <c r="D127" s="6">
        <v>429</v>
      </c>
      <c r="E127" s="7">
        <f>IF(D127="","",D127*0.04)</f>
        <v>17.16</v>
      </c>
      <c r="F127" s="6" t="s">
        <v>152</v>
      </c>
      <c r="G127" s="6"/>
      <c r="H127" s="4"/>
    </row>
    <row r="128" spans="1:8" ht="15" customHeight="1" x14ac:dyDescent="0.3">
      <c r="A128" s="5">
        <v>803557</v>
      </c>
      <c r="B128" s="5" t="s">
        <v>102</v>
      </c>
      <c r="C128" s="5">
        <v>297</v>
      </c>
      <c r="D128" s="6">
        <v>297</v>
      </c>
      <c r="E128" s="7">
        <f>IF(D128="","",D128*0.04)</f>
        <v>11.88</v>
      </c>
      <c r="F128" s="6" t="s">
        <v>153</v>
      </c>
      <c r="G128" s="6"/>
      <c r="H128" s="4"/>
    </row>
    <row r="129" spans="1:8" ht="15" customHeight="1" x14ac:dyDescent="0.3">
      <c r="A129" s="5">
        <v>803558</v>
      </c>
      <c r="B129" s="5" t="s">
        <v>101</v>
      </c>
      <c r="C129" s="5">
        <v>595</v>
      </c>
      <c r="D129" s="6">
        <v>588</v>
      </c>
      <c r="E129" s="7">
        <f>IF(D129="","",D129*0.04)</f>
        <v>23.52</v>
      </c>
      <c r="F129" s="6" t="s">
        <v>153</v>
      </c>
      <c r="G129" s="6" t="s">
        <v>154</v>
      </c>
      <c r="H129" s="4"/>
    </row>
    <row r="130" spans="1:8" ht="15" customHeight="1" x14ac:dyDescent="0.3">
      <c r="A130" s="5">
        <v>803647</v>
      </c>
      <c r="B130" s="5" t="s">
        <v>18</v>
      </c>
      <c r="C130" s="5">
        <v>734</v>
      </c>
      <c r="D130" s="6">
        <v>732</v>
      </c>
      <c r="E130" s="7">
        <f>IF(D130="","",D130*0.04)</f>
        <v>29.28</v>
      </c>
      <c r="F130" s="6" t="s">
        <v>150</v>
      </c>
      <c r="G130" s="6"/>
      <c r="H130" s="4">
        <v>803508</v>
      </c>
    </row>
    <row r="131" spans="1:8" ht="15" customHeight="1" x14ac:dyDescent="0.3">
      <c r="A131" s="5">
        <v>803653</v>
      </c>
      <c r="B131" s="5" t="s">
        <v>13</v>
      </c>
      <c r="C131" s="5">
        <v>626</v>
      </c>
      <c r="D131" s="6">
        <v>625</v>
      </c>
      <c r="E131" s="7">
        <f>IF(D131="","",D131*0.04)</f>
        <v>25</v>
      </c>
      <c r="F131" s="6" t="s">
        <v>150</v>
      </c>
      <c r="G131" s="6"/>
      <c r="H131" s="4">
        <v>803509</v>
      </c>
    </row>
    <row r="132" spans="1:8" ht="15" customHeight="1" x14ac:dyDescent="0.3">
      <c r="A132" s="5">
        <v>803652</v>
      </c>
      <c r="B132" s="5" t="s">
        <v>14</v>
      </c>
      <c r="C132" s="5">
        <v>645</v>
      </c>
      <c r="D132" s="6">
        <v>640</v>
      </c>
      <c r="E132" s="7">
        <f>IF(D132="","",D132*0.04)</f>
        <v>25.6</v>
      </c>
      <c r="F132" s="6" t="s">
        <v>150</v>
      </c>
      <c r="G132" s="6"/>
      <c r="H132" s="4">
        <v>803510</v>
      </c>
    </row>
    <row r="133" spans="1:8" ht="15" customHeight="1" x14ac:dyDescent="0.3">
      <c r="A133" s="5">
        <v>803651</v>
      </c>
      <c r="B133" s="5" t="s">
        <v>15</v>
      </c>
      <c r="C133" s="5">
        <v>292</v>
      </c>
      <c r="D133" s="6">
        <v>290</v>
      </c>
      <c r="E133" s="7">
        <f>IF(D133="","",D133*0.04)</f>
        <v>11.6</v>
      </c>
      <c r="F133" s="6" t="s">
        <v>150</v>
      </c>
      <c r="G133" s="6"/>
      <c r="H133" s="4"/>
    </row>
    <row r="134" spans="1:8" ht="15" customHeight="1" x14ac:dyDescent="0.3">
      <c r="A134" s="5">
        <v>803650</v>
      </c>
      <c r="B134" s="5" t="s">
        <v>127</v>
      </c>
      <c r="C134" s="5">
        <v>186</v>
      </c>
      <c r="D134" s="6">
        <v>183</v>
      </c>
      <c r="E134" s="7">
        <f>IF(D134="","",D134*0.04)</f>
        <v>7.32</v>
      </c>
      <c r="F134" s="6" t="s">
        <v>150</v>
      </c>
      <c r="G134" s="6"/>
      <c r="H134" s="4">
        <v>803513</v>
      </c>
    </row>
    <row r="135" spans="1:8" ht="15" customHeight="1" x14ac:dyDescent="0.3">
      <c r="A135" s="5">
        <v>803656</v>
      </c>
      <c r="B135" s="5" t="s">
        <v>10</v>
      </c>
      <c r="C135" s="5">
        <v>241</v>
      </c>
      <c r="D135" s="6">
        <v>241</v>
      </c>
      <c r="E135" s="7">
        <f>IF(D135="","",D135*0.04)</f>
        <v>9.64</v>
      </c>
      <c r="F135" s="6" t="s">
        <v>150</v>
      </c>
      <c r="G135" s="6"/>
      <c r="H135" s="4"/>
    </row>
    <row r="136" spans="1:8" ht="15" customHeight="1" x14ac:dyDescent="0.3">
      <c r="A136" s="5">
        <v>803655</v>
      </c>
      <c r="B136" s="5" t="s">
        <v>11</v>
      </c>
      <c r="C136" s="5">
        <v>705</v>
      </c>
      <c r="D136" s="6">
        <v>701</v>
      </c>
      <c r="E136" s="7">
        <f>IF(D136="","",D136*0.04)</f>
        <v>28.04</v>
      </c>
      <c r="F136" s="6" t="s">
        <v>150</v>
      </c>
      <c r="G136" s="6"/>
      <c r="H136" s="4">
        <v>803515</v>
      </c>
    </row>
    <row r="137" spans="1:8" ht="15" customHeight="1" x14ac:dyDescent="0.3">
      <c r="A137" s="5">
        <v>803559</v>
      </c>
      <c r="B137" s="5" t="s">
        <v>100</v>
      </c>
      <c r="C137" s="5">
        <v>303</v>
      </c>
      <c r="D137" s="6">
        <v>302</v>
      </c>
      <c r="E137" s="7">
        <f>IF(D137="","",D137*0.04)</f>
        <v>12.08</v>
      </c>
      <c r="F137" s="6" t="s">
        <v>152</v>
      </c>
      <c r="G137" s="6"/>
      <c r="H137" s="4"/>
    </row>
    <row r="138" spans="1:8" ht="15" customHeight="1" x14ac:dyDescent="0.3">
      <c r="A138" s="5">
        <v>803654</v>
      </c>
      <c r="B138" s="5" t="s">
        <v>12</v>
      </c>
      <c r="C138" s="5">
        <v>264</v>
      </c>
      <c r="D138" s="6">
        <v>263</v>
      </c>
      <c r="E138" s="7">
        <f>IF(D138="","",D138*0.04)</f>
        <v>10.52</v>
      </c>
      <c r="F138" s="6" t="s">
        <v>149</v>
      </c>
      <c r="G138" s="6"/>
      <c r="H138" s="4"/>
    </row>
    <row r="139" spans="1:8" ht="15" customHeight="1" x14ac:dyDescent="0.3">
      <c r="A139" s="5">
        <v>803560</v>
      </c>
      <c r="B139" s="5" t="s">
        <v>99</v>
      </c>
      <c r="C139" s="5">
        <v>1661</v>
      </c>
      <c r="D139" s="6">
        <v>1631</v>
      </c>
      <c r="E139" s="7">
        <f>IF(D139="","",D139*0.04)</f>
        <v>65.239999999999995</v>
      </c>
      <c r="F139" s="6" t="s">
        <v>150</v>
      </c>
      <c r="G139" s="6"/>
      <c r="H139" s="4"/>
    </row>
    <row r="140" spans="1:8" ht="15" customHeight="1" x14ac:dyDescent="0.3">
      <c r="B140" s="10" t="s">
        <v>146</v>
      </c>
      <c r="C140" s="11">
        <f>SUM(C3:C139)</f>
        <v>66575</v>
      </c>
      <c r="H140" s="4"/>
    </row>
    <row r="141" spans="1:8" ht="15" customHeight="1" x14ac:dyDescent="0.3">
      <c r="B141" s="10" t="s">
        <v>147</v>
      </c>
      <c r="C141" s="11">
        <f>+C140-C143</f>
        <v>28893</v>
      </c>
      <c r="H141" s="4"/>
    </row>
    <row r="142" spans="1:8" ht="15" customHeight="1" x14ac:dyDescent="0.3">
      <c r="B142" s="8"/>
      <c r="C142" s="9"/>
    </row>
    <row r="143" spans="1:8" ht="15" customHeight="1" x14ac:dyDescent="0.3">
      <c r="B143" s="12" t="s">
        <v>148</v>
      </c>
      <c r="C143" s="13">
        <f>+'[1]TIENDAS 27-10-2026'!$C$2537</f>
        <v>37682</v>
      </c>
    </row>
    <row r="144" spans="1:8" ht="15" customHeight="1" x14ac:dyDescent="0.3"/>
    <row r="145" spans="4:5" ht="15" customHeight="1" x14ac:dyDescent="0.3">
      <c r="D145" s="14" t="s">
        <v>5</v>
      </c>
      <c r="E145" s="15">
        <f>SUM(E3:E139)</f>
        <v>2637.1999999999989</v>
      </c>
    </row>
  </sheetData>
  <mergeCells count="1">
    <mergeCell ref="A1:C1"/>
  </mergeCells>
  <conditionalFormatting sqref="A3:G139">
    <cfRule type="expression" dxfId="6" priority="3" stopIfTrue="1">
      <formula>$G3&lt;&gt;""</formula>
    </cfRule>
  </conditionalFormatting>
  <conditionalFormatting sqref="A1:B1048576">
    <cfRule type="duplicateValues" dxfId="0" priority="2"/>
    <cfRule type="duplicateValues" dxfId="1" priority="4"/>
    <cfRule type="duplicateValues" dxfId="2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A1DB388-2CFD-4DD0-8AD6-611319E6BB2E}"/>
</file>

<file path=customXml/itemProps2.xml><?xml version="1.0" encoding="utf-8"?>
<ds:datastoreItem xmlns:ds="http://schemas.openxmlformats.org/officeDocument/2006/customXml" ds:itemID="{03AF3EF6-F923-4157-87AF-50266C215F7A}"/>
</file>

<file path=customXml/itemProps3.xml><?xml version="1.0" encoding="utf-8"?>
<ds:datastoreItem xmlns:ds="http://schemas.openxmlformats.org/officeDocument/2006/customXml" ds:itemID="{CF03C698-5ED2-4FD8-BA1A-C7535C7A5300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2026-10-27T15:15:12Z</dcterms:created>
  <dcterms:modified xsi:type="dcterms:W3CDTF">2026-10-27T15:15:53Z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