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4-10-2026/"/>
    </mc:Choice>
  </mc:AlternateContent>
  <xr:revisionPtr revIDLastSave="0" documentId="8_{33F108F0-1EAC-42DE-86B6-64A3E2E8ED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TIGUOS DESPACHOS" sheetId="1" r:id="rId1"/>
  </sheets>
  <externalReferences>
    <externalReference r:id="rId2"/>
    <externalReference r:id="rId3"/>
  </externalReferences>
  <definedNames>
    <definedName name="_xlnm._FilterDatabase" localSheetId="0" hidden="1">'ANTIGUOS DESPACHOS'!$A$1:$I$57</definedName>
  </definedNames>
  <calcPr calcId="191029"/>
</workbook>
</file>

<file path=xl/calcChain.xml><?xml version="1.0" encoding="utf-8"?>
<calcChain xmlns="http://schemas.openxmlformats.org/spreadsheetml/2006/main">
  <c r="H3" i="1" l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2" i="1"/>
  <c r="I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2" i="1"/>
</calcChain>
</file>

<file path=xl/sharedStrings.xml><?xml version="1.0" encoding="utf-8"?>
<sst xmlns="http://schemas.openxmlformats.org/spreadsheetml/2006/main" count="246" uniqueCount="134">
  <si>
    <t>ID DESPACHO</t>
  </si>
  <si>
    <t>SALA</t>
  </si>
  <si>
    <t>ESTADO DESPACHO</t>
  </si>
  <si>
    <t>FECHA GENERACION</t>
  </si>
  <si>
    <t>BULTOS PEDIDOS</t>
  </si>
  <si>
    <t>BULTOS SERVIR</t>
  </si>
  <si>
    <t>Con Incidencias</t>
  </si>
  <si>
    <t>2026/10/23 08:30:18</t>
  </si>
  <si>
    <t>2026/10/23 08:37:19</t>
  </si>
  <si>
    <t>2026/10/23 07:27:00</t>
  </si>
  <si>
    <t>2026/10/23 08:46:31</t>
  </si>
  <si>
    <t>2026/10/23 08:46:45</t>
  </si>
  <si>
    <t>2026/10/23 08:46:56</t>
  </si>
  <si>
    <t>2026/10/23 08:28:52</t>
  </si>
  <si>
    <t>2026/10/23 08:30:05</t>
  </si>
  <si>
    <t>2026/10/23 08:30:40</t>
  </si>
  <si>
    <t>2026/10/23 08:31:38</t>
  </si>
  <si>
    <t>2026/10/23 08:32:06</t>
  </si>
  <si>
    <t>2026/10/23 08:34:22</t>
  </si>
  <si>
    <t>2026/10/23 08:41:31</t>
  </si>
  <si>
    <t>2026/10/23 08:43:23</t>
  </si>
  <si>
    <t>2026/10/23 08:47:31</t>
  </si>
  <si>
    <t>2026/10/22 10:11:01</t>
  </si>
  <si>
    <t>2026/10/23 07:29:14</t>
  </si>
  <si>
    <t>2026/10/23 08:33:00</t>
  </si>
  <si>
    <t>2026/10/23 08:40:00</t>
  </si>
  <si>
    <t>2026/10/23 08:42:46</t>
  </si>
  <si>
    <t>2026/10/23 08:46:18</t>
  </si>
  <si>
    <t>2026/10/23 08:28:59</t>
  </si>
  <si>
    <t>2026/10/23 08:29:26</t>
  </si>
  <si>
    <t>2026/10/23 08:34:56</t>
  </si>
  <si>
    <t>2026/10/23 08:36:45</t>
  </si>
  <si>
    <t>2026/10/23 08:37:33</t>
  </si>
  <si>
    <t>2026/10/23 08:42:24</t>
  </si>
  <si>
    <t>2026/10/23 07:26:11</t>
  </si>
  <si>
    <t>2026/10/23 08:50:03</t>
  </si>
  <si>
    <t>2026/10/23 08:51:31</t>
  </si>
  <si>
    <t>2026/10/23 08:36:31</t>
  </si>
  <si>
    <t>2026/10/23 08:50:43</t>
  </si>
  <si>
    <t>2026/10/23 08:52:08</t>
  </si>
  <si>
    <t>2026/10/22 10:13:53</t>
  </si>
  <si>
    <t>2026/10/23 08:28:45</t>
  </si>
  <si>
    <t>2026/10/23 08:33:05</t>
  </si>
  <si>
    <t>2026/10/23 08:33:28</t>
  </si>
  <si>
    <t>2026/10/23 08:39:55</t>
  </si>
  <si>
    <t>2026/10/23 08:49:18</t>
  </si>
  <si>
    <t>2026/10/23 08:50:32</t>
  </si>
  <si>
    <t>2026/10/23 08:50:48</t>
  </si>
  <si>
    <t>2026/10/20 09:29:06</t>
  </si>
  <si>
    <t>2026/10/22 09:19:00</t>
  </si>
  <si>
    <t>2026/10/22 10:30:28</t>
  </si>
  <si>
    <t>2026/10/23 08:29:56</t>
  </si>
  <si>
    <t>2026/10/23 08:30:09</t>
  </si>
  <si>
    <t>2026/10/23 08:35:06</t>
  </si>
  <si>
    <t>2026/10/23 08:46:14</t>
  </si>
  <si>
    <t>2026/10/23 08:28:25</t>
  </si>
  <si>
    <t>2026/10/23 08:29:05</t>
  </si>
  <si>
    <t>2026/10/23 08:32:49</t>
  </si>
  <si>
    <t>2026/10/23 08:34:08</t>
  </si>
  <si>
    <t>2026/10/23 08:41:12</t>
  </si>
  <si>
    <t>2026/10/23 08:47:24</t>
  </si>
  <si>
    <t>2026/10/23 08:48:23</t>
  </si>
  <si>
    <t>ECONOSUPER NIMAJUYU</t>
  </si>
  <si>
    <t>LA TORRE SAN FRANCISCO</t>
  </si>
  <si>
    <t>LA TORRE SAN RAFAEL</t>
  </si>
  <si>
    <t>ECONOSUPER ZONA 6</t>
  </si>
  <si>
    <t>LA TORRE EL RODEO</t>
  </si>
  <si>
    <t>LA TORRE LA RADIAL</t>
  </si>
  <si>
    <t>LA TORRE BOCA DEL MONTE</t>
  </si>
  <si>
    <t>LA TORRE METROCENTRO</t>
  </si>
  <si>
    <t>LA TORRE SANARATE</t>
  </si>
  <si>
    <t>LA TORRE SANTA LUCIA</t>
  </si>
  <si>
    <t>LA TORRE SANTALU</t>
  </si>
  <si>
    <t>LA TORRE REFORMA</t>
  </si>
  <si>
    <t>LA TORRE VISTA HERMOSA 1</t>
  </si>
  <si>
    <t>ECONOSUPER LA BRIGADA</t>
  </si>
  <si>
    <t>LA TORRE ANTIGUA 3</t>
  </si>
  <si>
    <t>LA TORRE CENTRICO Z5</t>
  </si>
  <si>
    <t>LA TORRE CHIQUIMULA</t>
  </si>
  <si>
    <t>LA TORRE COBAN</t>
  </si>
  <si>
    <t>LA TORRE JALAPA</t>
  </si>
  <si>
    <t>LA TORRE QUICHE 2</t>
  </si>
  <si>
    <t>LA TORRE SAN MARCOS</t>
  </si>
  <si>
    <t>LA TORRE TRINIDAD</t>
  </si>
  <si>
    <t>LA TORRE MAZATENANGO</t>
  </si>
  <si>
    <t>LA TORRE ZONA 10</t>
  </si>
  <si>
    <t>LA TORRE CIUDAD VIEJA</t>
  </si>
  <si>
    <t>LA TORRE ESCUINTLA 2</t>
  </si>
  <si>
    <t>LA TORRE PANAJACHEL</t>
  </si>
  <si>
    <t>LA TORRE SAN JUAN</t>
  </si>
  <si>
    <t>LA TORRE SAN MIGUEL PETAPA</t>
  </si>
  <si>
    <t>ECONOSUPER LO DE FUENTES</t>
  </si>
  <si>
    <t>ECONOSUPER XELA</t>
  </si>
  <si>
    <t>LA TORRE LINDAMAR</t>
  </si>
  <si>
    <t>LA TORRE MITA</t>
  </si>
  <si>
    <t>LA TORRE MORALES</t>
  </si>
  <si>
    <t>LA TORRE SALCAJA</t>
  </si>
  <si>
    <t>LA TORRE SAN JOSE PINULA</t>
  </si>
  <si>
    <t>LT XELA 4</t>
  </si>
  <si>
    <t>LTX CD RANSA</t>
  </si>
  <si>
    <t>LA TORRE SAN MIGUEL PETAPA 2</t>
  </si>
  <si>
    <t>ECONOSUPER ZONA 2</t>
  </si>
  <si>
    <t>LA TORRE LOS AMATES</t>
  </si>
  <si>
    <t>LA TORRE PETEN</t>
  </si>
  <si>
    <t>LA TORRE SAN BENITO</t>
  </si>
  <si>
    <t>LA TORRE ZONA 4</t>
  </si>
  <si>
    <t>LA TORRE ZACAPA 2</t>
  </si>
  <si>
    <t>LA TORRE PETAPA</t>
  </si>
  <si>
    <t>LA TORRE ZONA 5</t>
  </si>
  <si>
    <t>LA TORRE ESCALA</t>
  </si>
  <si>
    <t>LA TORRE LA QUINTA</t>
  </si>
  <si>
    <t>ECONOSUPER BOULEVARD SUR</t>
  </si>
  <si>
    <t>LA TORRE ENCINAL</t>
  </si>
  <si>
    <t>LA TORRE HUEHUETENANGO</t>
  </si>
  <si>
    <t>LA TORRE PALMERAS</t>
  </si>
  <si>
    <t>LA TORRE POPTUN</t>
  </si>
  <si>
    <t>LA TORRE ZACAPA</t>
  </si>
  <si>
    <t>LA TORRE ZONA 3</t>
  </si>
  <si>
    <t>LA TORRE LA GOMERA</t>
  </si>
  <si>
    <t>LA TORRE CAYALA 2</t>
  </si>
  <si>
    <t>LA TORRE MIXCO ZONA 1</t>
  </si>
  <si>
    <t>LA TORRE ZONA 14</t>
  </si>
  <si>
    <t>LA TORRE ATANACIO</t>
  </si>
  <si>
    <t>LA TORRE CARCHA</t>
  </si>
  <si>
    <t>LA TORRE JALAPA 3</t>
  </si>
  <si>
    <t>LA TORRE LIKIN</t>
  </si>
  <si>
    <t>ECONO SUPER MAGNOLIA</t>
  </si>
  <si>
    <t>LA TORRE ESCUINTLA 3</t>
  </si>
  <si>
    <t>LA TORRE JALAPA 2</t>
  </si>
  <si>
    <t>LA TORRE QUICHE</t>
  </si>
  <si>
    <t>LA TORRE TECULUTAN</t>
  </si>
  <si>
    <t>LA TORRE XELA</t>
  </si>
  <si>
    <t>ESTADO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</si>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</sst>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.00;\(0.00\)"/>
    <numFmt numFmtId="166" formatCode="dd/mm/yyyy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Arial"/>
    </font>
    <font>
      <sz val="8"/>
      <color rgb="FF000000"/>
      <name val="Tahoma"/>
    </font>
    <font>
      <sz val="8"/>
      <color rgb="FF696969"/>
      <name val="Tahoma"/>
    </font>
    <font>
      <b/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readingOrder="1"/>
    </xf>
    <xf numFmtId="0" fontId="3" fillId="4" borderId="1" xfId="0" applyFont="1" applyFill="1" applyBorder="1" applyAlignment="1">
      <alignment vertical="top" readingOrder="1"/>
    </xf>
    <xf numFmtId="164" fontId="4" fillId="0" borderId="1" xfId="0" applyNumberFormat="1" applyFont="1" applyBorder="1" applyAlignment="1">
      <alignment vertical="top" readingOrder="1"/>
    </xf>
    <xf numFmtId="164" fontId="5" fillId="0" borderId="1" xfId="0" applyNumberFormat="1" applyFont="1" applyBorder="1" applyAlignment="1">
      <alignment vertical="top" readingOrder="1"/>
    </xf>
    <xf numFmtId="0" fontId="1" fillId="0" borderId="0" xfId="0" applyFont="1" applyAlignment="1"/>
    <xf numFmtId="0" fontId="3" fillId="3" borderId="1" xfId="0" applyFont="1" applyFill="1" applyBorder="1" applyAlignment="1">
      <alignment vertical="top" readingOrder="1"/>
    </xf>
    <xf numFmtId="0" fontId="1" fillId="0" borderId="0" xfId="0" applyFont="1" applyAlignment="1">
      <alignment wrapText="1"/>
    </xf>
    <xf numFmtId="2" fontId="1" fillId="0" borderId="0" xfId="0" applyNumberFormat="1" applyFont="1" applyAlignment="1"/>
    <xf numFmtId="0" fontId="3" fillId="5" borderId="1" xfId="0" applyFont="1" applyFill="1" applyBorder="1" applyAlignment="1">
      <alignment vertical="top" readingOrder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F0000"/>
      <rgbColor rgb="00696969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FF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LISTADO%20DE%20TIENDAS%202024.xlsx" TargetMode="External"/><Relationship Id="rId1" Type="http://schemas.openxmlformats.org/officeDocument/2006/relationships/externalLinkPath" Target="/sites/EQUIPO_SLOTTING/Shared%20Documents/Proceso%20de%20pedidos/LISTADO%20DE%20TIENDA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ramirezh\Downloads\APROBADOS%2024-10-2026.xlsx" TargetMode="External"/><Relationship Id="rId1" Type="http://schemas.openxmlformats.org/officeDocument/2006/relationships/externalLinkPath" Target="file:///C:\Users\eramirezh\Downloads\APROBADOS%2024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ENDAS 2025"/>
      <sheetName val="TIENDAS EN INVENTARIO"/>
    </sheetNames>
    <sheetDataSet>
      <sheetData sheetId="0">
        <row r="1">
          <cell r="A1" t="str">
            <v>TIENDA</v>
          </cell>
          <cell r="B1" t="str">
            <v>TIENDAS ELITE</v>
          </cell>
          <cell r="C1" t="str">
            <v xml:space="preserve">LOCALIDAD </v>
          </cell>
        </row>
        <row r="2">
          <cell r="A2" t="str">
            <v>BODEGAS DE CANASTAS 2</v>
          </cell>
          <cell r="C2" t="str">
            <v>local</v>
          </cell>
        </row>
        <row r="3">
          <cell r="A3" t="str">
            <v>CANASTAS NAVIDEÑAS</v>
          </cell>
          <cell r="C3" t="str">
            <v>local</v>
          </cell>
        </row>
        <row r="4">
          <cell r="A4" t="str">
            <v>ECONO SUPER MAGNOLIA</v>
          </cell>
          <cell r="C4" t="str">
            <v>local</v>
          </cell>
        </row>
        <row r="5">
          <cell r="A5" t="str">
            <v>ECONOSUPER BOULEVARD SUR</v>
          </cell>
          <cell r="C5" t="str">
            <v>local</v>
          </cell>
        </row>
        <row r="6">
          <cell r="A6" t="str">
            <v>ECONOSUPER LA BRIGADA</v>
          </cell>
          <cell r="C6" t="str">
            <v>local</v>
          </cell>
        </row>
        <row r="7">
          <cell r="A7" t="str">
            <v>ECONOSUPER LO DE FUENTES</v>
          </cell>
          <cell r="C7" t="str">
            <v>local</v>
          </cell>
        </row>
        <row r="8">
          <cell r="A8" t="str">
            <v>ECONOSUPER MILPAS ALTAS</v>
          </cell>
          <cell r="C8" t="str">
            <v>local</v>
          </cell>
        </row>
        <row r="9">
          <cell r="A9" t="str">
            <v>ECONOSUPER NIMAJUYU</v>
          </cell>
          <cell r="C9" t="str">
            <v>local</v>
          </cell>
        </row>
        <row r="10">
          <cell r="A10" t="str">
            <v>ECONOSUPER XELA</v>
          </cell>
          <cell r="C10" t="str">
            <v>departamental</v>
          </cell>
        </row>
        <row r="11">
          <cell r="A11" t="str">
            <v>ECONOSUPER ZONA 2</v>
          </cell>
          <cell r="C11" t="str">
            <v>prioridad</v>
          </cell>
        </row>
        <row r="12">
          <cell r="A12" t="str">
            <v>ECONOSUPER ZONA 6</v>
          </cell>
          <cell r="C12" t="str">
            <v>prioridad</v>
          </cell>
        </row>
        <row r="13">
          <cell r="A13" t="str">
            <v>LA TORRE 20 CALLE</v>
          </cell>
          <cell r="B13" t="str">
            <v>TIENDAS ELITE</v>
          </cell>
          <cell r="C13" t="str">
            <v>nocturna</v>
          </cell>
        </row>
        <row r="14">
          <cell r="A14" t="str">
            <v>LA TORRE AMATITLAN</v>
          </cell>
          <cell r="C14" t="str">
            <v>prioridad</v>
          </cell>
        </row>
        <row r="15">
          <cell r="A15" t="str">
            <v>LA TORRE AMATITLAN2</v>
          </cell>
          <cell r="B15" t="str">
            <v>TIENDAS ELITE</v>
          </cell>
          <cell r="C15" t="str">
            <v>nocturna</v>
          </cell>
        </row>
        <row r="16">
          <cell r="A16" t="str">
            <v>LA TORRE ANTIGUA 2</v>
          </cell>
          <cell r="C16" t="str">
            <v>local</v>
          </cell>
        </row>
        <row r="17">
          <cell r="A17" t="str">
            <v>LA TORRE ANTIGUA 3</v>
          </cell>
          <cell r="C17" t="str">
            <v>local</v>
          </cell>
        </row>
        <row r="18">
          <cell r="A18" t="str">
            <v>LA TORRE ARRAZOLA</v>
          </cell>
          <cell r="C18" t="str">
            <v>nocturna</v>
          </cell>
        </row>
        <row r="19">
          <cell r="A19" t="str">
            <v>LA TORRE ATANACIO</v>
          </cell>
          <cell r="C19" t="str">
            <v>local</v>
          </cell>
        </row>
        <row r="20">
          <cell r="A20" t="str">
            <v>LA TORRE BARBERENA</v>
          </cell>
          <cell r="C20" t="str">
            <v>departamental</v>
          </cell>
        </row>
        <row r="21">
          <cell r="A21" t="str">
            <v>LA TORRE BARCENAS</v>
          </cell>
          <cell r="C21" t="str">
            <v>nocturna</v>
          </cell>
        </row>
        <row r="22">
          <cell r="A22" t="str">
            <v>LA TORRE BOCA DEL MONTE</v>
          </cell>
          <cell r="C22" t="str">
            <v>local</v>
          </cell>
        </row>
        <row r="23">
          <cell r="A23" t="str">
            <v>LA TORRE CARCHA</v>
          </cell>
          <cell r="C23" t="str">
            <v>departamental</v>
          </cell>
        </row>
        <row r="24">
          <cell r="A24" t="str">
            <v>LA TORRE CAYALA</v>
          </cell>
          <cell r="B24" t="str">
            <v>TIENDAS ELITE</v>
          </cell>
          <cell r="C24" t="str">
            <v>prioridad</v>
          </cell>
        </row>
        <row r="25">
          <cell r="A25" t="str">
            <v>LA TORRE CAYALA 2</v>
          </cell>
          <cell r="C25" t="str">
            <v>prioridad</v>
          </cell>
        </row>
        <row r="26">
          <cell r="A26" t="str">
            <v>LA TORRE CENTRANORTE</v>
          </cell>
          <cell r="C26" t="str">
            <v>nocturna</v>
          </cell>
        </row>
        <row r="27">
          <cell r="A27" t="str">
            <v>LA TORRE CENTRASUR</v>
          </cell>
          <cell r="C27" t="str">
            <v>local</v>
          </cell>
        </row>
        <row r="28">
          <cell r="A28" t="str">
            <v>LA TORRE CENTRICO Z5</v>
          </cell>
          <cell r="C28" t="str">
            <v>local</v>
          </cell>
        </row>
        <row r="29">
          <cell r="A29" t="str">
            <v>LA TORRE CENTRO</v>
          </cell>
          <cell r="B29" t="str">
            <v>TIENDAS ELITE</v>
          </cell>
          <cell r="C29" t="str">
            <v>local</v>
          </cell>
        </row>
        <row r="30">
          <cell r="A30" t="str">
            <v>LA TORRE CHIMALTENANGO</v>
          </cell>
          <cell r="C30" t="str">
            <v>departamental</v>
          </cell>
        </row>
        <row r="31">
          <cell r="A31" t="str">
            <v>LA TORRE CHIQUIMULA</v>
          </cell>
          <cell r="C31" t="str">
            <v>departamental</v>
          </cell>
        </row>
        <row r="32">
          <cell r="A32" t="str">
            <v>LA TORRE CIUDAD VIEJA</v>
          </cell>
          <cell r="C32" t="str">
            <v>local</v>
          </cell>
        </row>
        <row r="33">
          <cell r="A33" t="str">
            <v>LA TORRE COATEPEQUE</v>
          </cell>
          <cell r="C33" t="str">
            <v>departamental</v>
          </cell>
        </row>
        <row r="34">
          <cell r="A34" t="str">
            <v>LA TORRE COATEPEQUE 2</v>
          </cell>
          <cell r="C34" t="str">
            <v>departamental</v>
          </cell>
        </row>
        <row r="35">
          <cell r="A35" t="str">
            <v>LA TORRE COBAN</v>
          </cell>
          <cell r="C35" t="str">
            <v>departamental</v>
          </cell>
        </row>
        <row r="36">
          <cell r="A36" t="str">
            <v>LA TORRE CUATRO CAMINOS</v>
          </cell>
          <cell r="C36" t="str">
            <v>departamental</v>
          </cell>
        </row>
        <row r="37">
          <cell r="A37" t="str">
            <v>LA TORRE EL FRUTAL</v>
          </cell>
          <cell r="C37" t="str">
            <v>nocturna</v>
          </cell>
        </row>
        <row r="38">
          <cell r="A38" t="str">
            <v>LA TORRE EL NARANJO</v>
          </cell>
          <cell r="B38" t="str">
            <v>TIENDAS ELITE</v>
          </cell>
          <cell r="C38" t="str">
            <v>nocturna</v>
          </cell>
        </row>
        <row r="39">
          <cell r="A39" t="str">
            <v>LA TORRE EL RODEO</v>
          </cell>
          <cell r="C39" t="str">
            <v>nocturna</v>
          </cell>
        </row>
        <row r="40">
          <cell r="A40" t="str">
            <v>LA TORRE ENCINAL</v>
          </cell>
          <cell r="C40" t="str">
            <v>local</v>
          </cell>
        </row>
        <row r="41">
          <cell r="A41" t="str">
            <v>LA TORRE ESCALA</v>
          </cell>
          <cell r="B41" t="str">
            <v>TIENDAS ELITE</v>
          </cell>
          <cell r="C41" t="str">
            <v>prioridad</v>
          </cell>
        </row>
        <row r="42">
          <cell r="A42" t="str">
            <v>LA TORRE ESCUINTLA 2</v>
          </cell>
          <cell r="C42" t="str">
            <v>departamental</v>
          </cell>
        </row>
        <row r="43">
          <cell r="A43" t="str">
            <v>LA TORRE ESCUINTLA 3</v>
          </cell>
          <cell r="C43" t="str">
            <v>local</v>
          </cell>
        </row>
        <row r="44">
          <cell r="A44" t="str">
            <v>LA TORRE ESQUIPULAS</v>
          </cell>
          <cell r="C44" t="str">
            <v>departamental</v>
          </cell>
        </row>
        <row r="45">
          <cell r="A45" t="str">
            <v>LA TORRE FRAIJANES</v>
          </cell>
          <cell r="B45" t="str">
            <v>TIENDAS ELITE</v>
          </cell>
          <cell r="C45" t="str">
            <v>prioridad</v>
          </cell>
        </row>
        <row r="46">
          <cell r="A46" t="str">
            <v>LA TORRE FUTECA Z14</v>
          </cell>
          <cell r="C46" t="str">
            <v>nocturna</v>
          </cell>
        </row>
        <row r="47">
          <cell r="A47" t="str">
            <v>LA TORRE GUASTATOYA</v>
          </cell>
          <cell r="C47" t="str">
            <v>departamental</v>
          </cell>
        </row>
        <row r="48">
          <cell r="A48" t="str">
            <v>LA TORRE HUEHUETENANGO</v>
          </cell>
          <cell r="C48" t="str">
            <v>departamental</v>
          </cell>
        </row>
        <row r="49">
          <cell r="A49" t="str">
            <v>LA TORRE HUEHUETENANGO 2</v>
          </cell>
          <cell r="C49" t="str">
            <v>departamental</v>
          </cell>
        </row>
        <row r="50">
          <cell r="A50" t="str">
            <v>LA TORRE INDEPENDENCIA</v>
          </cell>
          <cell r="B50" t="str">
            <v>TIENDAS ELITE</v>
          </cell>
          <cell r="C50" t="str">
            <v>departamental</v>
          </cell>
        </row>
        <row r="51">
          <cell r="A51" t="str">
            <v>LA TORRE JALAPA</v>
          </cell>
          <cell r="C51" t="str">
            <v>departamental</v>
          </cell>
        </row>
        <row r="52">
          <cell r="A52" t="str">
            <v>LA TORRE JALAPA 2</v>
          </cell>
          <cell r="C52" t="str">
            <v>departamental</v>
          </cell>
        </row>
        <row r="53">
          <cell r="A53" t="str">
            <v>LA TORRE JALAPA 3</v>
          </cell>
          <cell r="C53" t="str">
            <v>departamental</v>
          </cell>
        </row>
        <row r="54">
          <cell r="A54" t="str">
            <v>LA TORRE JOCOTENANGO</v>
          </cell>
          <cell r="C54" t="str">
            <v>local</v>
          </cell>
        </row>
        <row r="55">
          <cell r="A55" t="str">
            <v>LA TORRE JUTIAPA</v>
          </cell>
          <cell r="C55" t="str">
            <v>departamental</v>
          </cell>
        </row>
        <row r="56">
          <cell r="A56" t="str">
            <v>LA TORRE LA GOMERA</v>
          </cell>
          <cell r="C56" t="str">
            <v>departamental</v>
          </cell>
        </row>
        <row r="57">
          <cell r="A57" t="str">
            <v>LA TORRE LA QUINTA</v>
          </cell>
          <cell r="C57" t="str">
            <v>prioridad</v>
          </cell>
        </row>
        <row r="58">
          <cell r="A58" t="str">
            <v>LA TORRE LA RADIAL</v>
          </cell>
          <cell r="C58" t="str">
            <v>nocturna</v>
          </cell>
        </row>
        <row r="59">
          <cell r="A59" t="str">
            <v>LA TORRE LIKIN</v>
          </cell>
          <cell r="C59" t="str">
            <v>departamental</v>
          </cell>
        </row>
        <row r="60">
          <cell r="A60" t="str">
            <v>LA TORRE LINDAMAR</v>
          </cell>
          <cell r="C60" t="str">
            <v xml:space="preserve">departamental </v>
          </cell>
        </row>
        <row r="61">
          <cell r="A61" t="str">
            <v>LA TORRE LOS AMATES</v>
          </cell>
          <cell r="C61" t="str">
            <v>departamental</v>
          </cell>
        </row>
        <row r="62">
          <cell r="A62" t="str">
            <v>LA TORRE MADERO</v>
          </cell>
          <cell r="C62" t="str">
            <v>prioridad</v>
          </cell>
        </row>
        <row r="63">
          <cell r="A63" t="str">
            <v>LA TORRE MALACATAN</v>
          </cell>
          <cell r="C63" t="str">
            <v>departamental</v>
          </cell>
        </row>
        <row r="64">
          <cell r="A64" t="str">
            <v>LA TORRE MARISCAL</v>
          </cell>
          <cell r="C64" t="str">
            <v>local</v>
          </cell>
        </row>
        <row r="65">
          <cell r="A65" t="str">
            <v>LA TORRE MARISCAL 2</v>
          </cell>
          <cell r="C65" t="str">
            <v>prioridad</v>
          </cell>
        </row>
        <row r="66">
          <cell r="A66" t="str">
            <v>LA TORRE MAZATENANGO</v>
          </cell>
          <cell r="C66" t="str">
            <v>departamental</v>
          </cell>
        </row>
        <row r="67">
          <cell r="A67" t="str">
            <v>LA TORRE METROCENTRO</v>
          </cell>
          <cell r="C67" t="str">
            <v>local</v>
          </cell>
        </row>
        <row r="68">
          <cell r="A68" t="str">
            <v>LA TORRE METRONORTE</v>
          </cell>
          <cell r="B68" t="str">
            <v>TIENDAS ELITE</v>
          </cell>
          <cell r="C68" t="str">
            <v>nocturna</v>
          </cell>
        </row>
        <row r="69">
          <cell r="A69" t="str">
            <v>LA TORRE MILPAS ALTAS</v>
          </cell>
          <cell r="B69" t="str">
            <v>TIENDAS ELITE</v>
          </cell>
          <cell r="C69" t="str">
            <v>local</v>
          </cell>
        </row>
        <row r="70">
          <cell r="A70" t="str">
            <v>LA TORRE MIRAFLORES</v>
          </cell>
          <cell r="C70" t="str">
            <v>nocturna</v>
          </cell>
        </row>
        <row r="71">
          <cell r="A71" t="str">
            <v>LA TORRE MITA</v>
          </cell>
          <cell r="C71" t="str">
            <v>departamental</v>
          </cell>
        </row>
        <row r="72">
          <cell r="A72" t="str">
            <v>LA TORRE MIXCO ZONA 1</v>
          </cell>
          <cell r="C72" t="str">
            <v>nocturna</v>
          </cell>
        </row>
        <row r="73">
          <cell r="A73" t="str">
            <v>LA TORRE MORALES</v>
          </cell>
          <cell r="C73" t="str">
            <v>departamental</v>
          </cell>
        </row>
        <row r="74">
          <cell r="A74" t="str">
            <v>LA TORRE MUXBAL</v>
          </cell>
          <cell r="C74" t="str">
            <v>prioridad</v>
          </cell>
        </row>
        <row r="75">
          <cell r="A75" t="str">
            <v>LA TORRE OAKLAND</v>
          </cell>
          <cell r="C75" t="str">
            <v>prioridad</v>
          </cell>
        </row>
        <row r="76">
          <cell r="A76" t="str">
            <v>LA TORRE PALIN</v>
          </cell>
          <cell r="C76" t="str">
            <v>nocturna</v>
          </cell>
        </row>
        <row r="77">
          <cell r="A77" t="str">
            <v>LA TORRE PALMERAS</v>
          </cell>
          <cell r="C77" t="str">
            <v>departamental</v>
          </cell>
        </row>
        <row r="78">
          <cell r="A78" t="str">
            <v>LA TORRE PANAJACHEL</v>
          </cell>
          <cell r="C78" t="str">
            <v>departamental</v>
          </cell>
        </row>
        <row r="79">
          <cell r="A79" t="str">
            <v>LA TORRE PETAPA</v>
          </cell>
          <cell r="C79" t="str">
            <v>local</v>
          </cell>
        </row>
        <row r="80">
          <cell r="A80" t="str">
            <v>LA TORRE PETAPOLIS</v>
          </cell>
          <cell r="C80" t="str">
            <v>local</v>
          </cell>
        </row>
        <row r="81">
          <cell r="A81" t="str">
            <v>LA TORRE PETEN</v>
          </cell>
          <cell r="B81" t="str">
            <v>TIENDAS ELITE</v>
          </cell>
          <cell r="C81" t="str">
            <v>departamental</v>
          </cell>
        </row>
        <row r="82">
          <cell r="A82" t="str">
            <v>LA TORRE PINARES</v>
          </cell>
          <cell r="C82" t="str">
            <v>local</v>
          </cell>
        </row>
        <row r="83">
          <cell r="A83" t="str">
            <v>LA TORRE POPTUN</v>
          </cell>
          <cell r="C83" t="str">
            <v>departamental</v>
          </cell>
        </row>
        <row r="84">
          <cell r="A84" t="str">
            <v>LA TORRE PORTALES</v>
          </cell>
          <cell r="B84" t="str">
            <v>TIENDAS ELITE</v>
          </cell>
          <cell r="C84" t="str">
            <v>nocturna</v>
          </cell>
        </row>
        <row r="85">
          <cell r="A85" t="str">
            <v>LA TORRE PROCERES</v>
          </cell>
          <cell r="C85" t="str">
            <v>prioridad</v>
          </cell>
        </row>
        <row r="86">
          <cell r="A86" t="str">
            <v>LA TORRE PUERTO BARRIOS</v>
          </cell>
          <cell r="C86" t="str">
            <v>departamental</v>
          </cell>
        </row>
        <row r="87">
          <cell r="A87" t="str">
            <v>LA TORRE PUERTO SAN JOSE</v>
          </cell>
          <cell r="C87" t="str">
            <v>departamental</v>
          </cell>
        </row>
        <row r="88">
          <cell r="A88" t="str">
            <v>LA TORRE QUICHE</v>
          </cell>
          <cell r="C88" t="str">
            <v>departamental</v>
          </cell>
        </row>
        <row r="89">
          <cell r="A89" t="str">
            <v>LA TORRE QUICHE 2</v>
          </cell>
          <cell r="C89" t="str">
            <v>departamental</v>
          </cell>
        </row>
        <row r="90">
          <cell r="A90" t="str">
            <v>LA TORRE REFORMA</v>
          </cell>
          <cell r="C90" t="str">
            <v>prioridad</v>
          </cell>
        </row>
        <row r="91">
          <cell r="A91" t="str">
            <v>LA TORRE RETALHULEU</v>
          </cell>
          <cell r="C91" t="str">
            <v>departamental</v>
          </cell>
        </row>
        <row r="92">
          <cell r="A92" t="str">
            <v>LA TORRE RIO DULCE</v>
          </cell>
          <cell r="C92" t="str">
            <v>departamental</v>
          </cell>
        </row>
        <row r="93">
          <cell r="A93" t="str">
            <v>LA TORRE ROOSEVELT</v>
          </cell>
          <cell r="B93" t="str">
            <v>TIENDAS ELITE</v>
          </cell>
          <cell r="C93" t="str">
            <v>nocturna</v>
          </cell>
        </row>
        <row r="94">
          <cell r="A94" t="str">
            <v>LA TORRE SALAMA</v>
          </cell>
          <cell r="B94" t="str">
            <v>TIENDAS ELITE</v>
          </cell>
          <cell r="C94" t="str">
            <v>departamental</v>
          </cell>
        </row>
        <row r="95">
          <cell r="A95" t="str">
            <v>LA TORRE SALCAJA</v>
          </cell>
          <cell r="C95" t="str">
            <v>departamental</v>
          </cell>
        </row>
        <row r="96">
          <cell r="A96" t="str">
            <v>LA TORRE SAN BENITO</v>
          </cell>
          <cell r="C96" t="str">
            <v>departamental</v>
          </cell>
        </row>
        <row r="97">
          <cell r="A97" t="str">
            <v>LA TORRE SAN CRISTOBAL</v>
          </cell>
          <cell r="C97" t="str">
            <v>prioridad</v>
          </cell>
        </row>
        <row r="98">
          <cell r="A98" t="str">
            <v>LA TORRE SAN FRANCISCO</v>
          </cell>
          <cell r="C98" t="str">
            <v>local</v>
          </cell>
        </row>
        <row r="99">
          <cell r="A99" t="str">
            <v>LA TORRE SAN IGNACIO</v>
          </cell>
          <cell r="C99" t="str">
            <v>local</v>
          </cell>
        </row>
        <row r="100">
          <cell r="A100" t="str">
            <v>LA TORRE SAN ISIDRO</v>
          </cell>
          <cell r="C100" t="str">
            <v>prioridad</v>
          </cell>
        </row>
        <row r="101">
          <cell r="A101" t="str">
            <v>LA TORRE SAN JOSE PINULA</v>
          </cell>
          <cell r="C101" t="str">
            <v>local</v>
          </cell>
        </row>
        <row r="102">
          <cell r="A102" t="str">
            <v>LA TORRE SAN JOSE PINULA 2</v>
          </cell>
          <cell r="C102" t="str">
            <v>prioridad</v>
          </cell>
        </row>
        <row r="103">
          <cell r="A103" t="str">
            <v>LA TORRE SAN JUAN</v>
          </cell>
          <cell r="C103" t="str">
            <v>local</v>
          </cell>
        </row>
        <row r="104">
          <cell r="A104" t="str">
            <v>LA TORRE SAN LUCAS</v>
          </cell>
          <cell r="C104" t="str">
            <v>prioridad</v>
          </cell>
        </row>
        <row r="105">
          <cell r="A105" t="str">
            <v>LA TORRE SAN MARCOS</v>
          </cell>
          <cell r="B105" t="str">
            <v>TIENDAS ELITE</v>
          </cell>
          <cell r="C105" t="str">
            <v>departamental</v>
          </cell>
        </row>
        <row r="106">
          <cell r="A106" t="str">
            <v>LA TORRE SAN MIGUEL PETAPA</v>
          </cell>
          <cell r="C106" t="str">
            <v>local</v>
          </cell>
        </row>
        <row r="107">
          <cell r="A107" t="str">
            <v>LA TORRE SAN MIGUEL PETAPA 2</v>
          </cell>
          <cell r="C107" t="str">
            <v>local</v>
          </cell>
        </row>
        <row r="108">
          <cell r="A108" t="str">
            <v>LA TORRE SAN NICOLAS</v>
          </cell>
          <cell r="C108" t="str">
            <v>nocturna</v>
          </cell>
        </row>
        <row r="109">
          <cell r="A109" t="str">
            <v>LA TORRE SAN RAFAEL</v>
          </cell>
          <cell r="C109" t="str">
            <v>local</v>
          </cell>
        </row>
        <row r="110">
          <cell r="A110" t="str">
            <v>LA TORRE SANARATE</v>
          </cell>
          <cell r="C110" t="str">
            <v>departamental</v>
          </cell>
        </row>
        <row r="111">
          <cell r="A111" t="str">
            <v>LA TORRE SANKRIS</v>
          </cell>
          <cell r="B111" t="str">
            <v>TIENDAS ELITE</v>
          </cell>
          <cell r="C111" t="str">
            <v>nocturna</v>
          </cell>
        </row>
        <row r="112">
          <cell r="A112" t="str">
            <v>LA TORRE SANTA LUCIA</v>
          </cell>
          <cell r="C112" t="str">
            <v>departamental</v>
          </cell>
        </row>
        <row r="113">
          <cell r="A113" t="str">
            <v>LA TORRE SANTALU</v>
          </cell>
          <cell r="C113" t="str">
            <v xml:space="preserve">departamental </v>
          </cell>
        </row>
        <row r="114">
          <cell r="A114" t="str">
            <v>LA TORRE TECULUTAN</v>
          </cell>
          <cell r="B114" t="str">
            <v>TIENDAS ELITE</v>
          </cell>
          <cell r="C114" t="str">
            <v>departamental</v>
          </cell>
        </row>
        <row r="115">
          <cell r="A115" t="str">
            <v>LA TORRE TIQUISATE</v>
          </cell>
          <cell r="C115" t="str">
            <v>departamental</v>
          </cell>
        </row>
        <row r="116">
          <cell r="A116" t="str">
            <v>LA TORRE TOTONICAPAN</v>
          </cell>
          <cell r="C116" t="str">
            <v>departamental</v>
          </cell>
        </row>
        <row r="117">
          <cell r="A117" t="str">
            <v>LA TORRE TRINIDAD</v>
          </cell>
          <cell r="C117" t="str">
            <v>departamental</v>
          </cell>
        </row>
        <row r="118">
          <cell r="A118" t="str">
            <v>LA TORRE VILLA CANALES</v>
          </cell>
          <cell r="C118" t="str">
            <v>local</v>
          </cell>
        </row>
        <row r="119">
          <cell r="A119" t="str">
            <v>LA TORRE VILLA HERMOSA</v>
          </cell>
          <cell r="C119" t="str">
            <v>prioridad</v>
          </cell>
        </row>
        <row r="120">
          <cell r="A120" t="str">
            <v>LA TORRE VILLA NUEVA</v>
          </cell>
          <cell r="C120" t="str">
            <v>local</v>
          </cell>
        </row>
        <row r="121">
          <cell r="A121" t="str">
            <v>LA TORRE VILLALOBOS</v>
          </cell>
          <cell r="C121" t="str">
            <v>local</v>
          </cell>
        </row>
        <row r="122">
          <cell r="A122" t="str">
            <v>LA TORRE VISTA HERMOSA 1</v>
          </cell>
          <cell r="C122" t="str">
            <v>prioridad</v>
          </cell>
        </row>
        <row r="123">
          <cell r="A123" t="str">
            <v>LA TORRE XELA</v>
          </cell>
          <cell r="B123" t="str">
            <v>TIENDAS ELITE</v>
          </cell>
          <cell r="C123" t="str">
            <v>departamental</v>
          </cell>
        </row>
        <row r="124">
          <cell r="A124" t="str">
            <v>LA TORRE XELA 3</v>
          </cell>
          <cell r="B124" t="str">
            <v>TIENDAS ELITE</v>
          </cell>
          <cell r="C124" t="str">
            <v>departamental</v>
          </cell>
        </row>
        <row r="125">
          <cell r="A125" t="str">
            <v>LA TORRE XELA 5</v>
          </cell>
          <cell r="C125" t="str">
            <v>departamental</v>
          </cell>
        </row>
        <row r="126">
          <cell r="A126" t="str">
            <v>LA TORRE ZACAPA</v>
          </cell>
          <cell r="B126" t="str">
            <v>TIENDAS ELITE</v>
          </cell>
          <cell r="C126" t="str">
            <v>departamental</v>
          </cell>
        </row>
        <row r="127">
          <cell r="A127" t="str">
            <v>LA TORRE ZACAPA 2</v>
          </cell>
          <cell r="C127" t="str">
            <v>departamental</v>
          </cell>
        </row>
        <row r="128">
          <cell r="A128" t="str">
            <v>LA TORRE ZONA 10</v>
          </cell>
          <cell r="C128" t="str">
            <v>prioridad</v>
          </cell>
        </row>
        <row r="129">
          <cell r="A129" t="str">
            <v>LA TORRE ZONA 11</v>
          </cell>
          <cell r="C129" t="str">
            <v>prioridad</v>
          </cell>
        </row>
        <row r="130">
          <cell r="A130" t="str">
            <v>LA TORRE ZONA 13 AMERICAS</v>
          </cell>
          <cell r="C130" t="str">
            <v>nocturna</v>
          </cell>
        </row>
        <row r="131">
          <cell r="A131" t="str">
            <v>LA TORRE ZONA 14</v>
          </cell>
          <cell r="C131" t="str">
            <v>prioridad</v>
          </cell>
        </row>
        <row r="132">
          <cell r="A132" t="str">
            <v>LA TORRE ZONA 15</v>
          </cell>
          <cell r="B132" t="str">
            <v>TIENDAS ELITE</v>
          </cell>
          <cell r="C132" t="str">
            <v>prioridad</v>
          </cell>
        </row>
        <row r="133">
          <cell r="A133" t="str">
            <v>LA TORRE ZONA 16</v>
          </cell>
          <cell r="C133" t="str">
            <v>local</v>
          </cell>
        </row>
        <row r="134">
          <cell r="A134" t="str">
            <v>LA TORRE ZONA 19</v>
          </cell>
          <cell r="C134" t="str">
            <v>local</v>
          </cell>
        </row>
        <row r="135">
          <cell r="A135" t="str">
            <v>LA TORRE ZONA 2</v>
          </cell>
          <cell r="C135" t="str">
            <v>local</v>
          </cell>
        </row>
        <row r="136">
          <cell r="A136" t="str">
            <v>LA TORRE ZONA 3</v>
          </cell>
          <cell r="C136" t="str">
            <v>local</v>
          </cell>
        </row>
        <row r="137">
          <cell r="A137" t="str">
            <v>LA TORRE ZONA 4</v>
          </cell>
          <cell r="C137" t="str">
            <v>local</v>
          </cell>
        </row>
        <row r="138">
          <cell r="A138" t="str">
            <v>LA TORRE ZONA 5</v>
          </cell>
          <cell r="C138" t="str">
            <v>local</v>
          </cell>
        </row>
        <row r="139">
          <cell r="A139" t="str">
            <v>LT ANTIGUA 1</v>
          </cell>
          <cell r="C139" t="str">
            <v>local</v>
          </cell>
        </row>
        <row r="140">
          <cell r="A140" t="str">
            <v>LT SAN JOSE PINULA 3</v>
          </cell>
          <cell r="C140" t="str">
            <v>nocturna</v>
          </cell>
        </row>
        <row r="141">
          <cell r="A141" t="str">
            <v>LT XELA 4</v>
          </cell>
          <cell r="C141" t="str">
            <v>departamental</v>
          </cell>
        </row>
        <row r="142">
          <cell r="A142" t="str">
            <v>LTX CD RANSA</v>
          </cell>
          <cell r="C142" t="str">
            <v>local</v>
          </cell>
        </row>
        <row r="143">
          <cell r="A143" t="str">
            <v>LA TORRE TULAM TZU</v>
          </cell>
          <cell r="C143" t="str">
            <v>local</v>
          </cell>
        </row>
        <row r="144">
          <cell r="A144" t="str">
            <v>LA TORRE GUALAN</v>
          </cell>
          <cell r="C144" t="str">
            <v>departamental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TIENDAS 24-10-2026"/>
    </sheetNames>
    <sheetDataSet>
      <sheetData sheetId="0">
        <row r="7">
          <cell r="A7" t="str">
            <v>LA TORRE COATEPEQUE 2</v>
          </cell>
          <cell r="B7">
            <v>3316</v>
          </cell>
        </row>
        <row r="8">
          <cell r="A8" t="str">
            <v>LA TORRE ZONA 15</v>
          </cell>
          <cell r="B8">
            <v>711</v>
          </cell>
        </row>
        <row r="9">
          <cell r="A9" t="str">
            <v>LA TORRE CAYALA</v>
          </cell>
          <cell r="B9">
            <v>709</v>
          </cell>
        </row>
        <row r="10">
          <cell r="A10" t="str">
            <v>LA TORRE MARISCAL 2</v>
          </cell>
          <cell r="B10">
            <v>675</v>
          </cell>
        </row>
        <row r="11">
          <cell r="A11" t="str">
            <v>LA TORRE ZONA 13 AMERICAS</v>
          </cell>
          <cell r="B11">
            <v>594</v>
          </cell>
        </row>
        <row r="12">
          <cell r="A12" t="str">
            <v>LA TORRE SANKRIS</v>
          </cell>
          <cell r="B12">
            <v>583</v>
          </cell>
        </row>
        <row r="13">
          <cell r="A13" t="str">
            <v>LA TORRE XELA 3</v>
          </cell>
          <cell r="B13">
            <v>580</v>
          </cell>
        </row>
        <row r="14">
          <cell r="A14" t="str">
            <v>LA TORRE 20 CALLE</v>
          </cell>
          <cell r="B14">
            <v>562</v>
          </cell>
        </row>
        <row r="15">
          <cell r="A15" t="str">
            <v>LT SAN JOSE PINULA 3</v>
          </cell>
          <cell r="B15">
            <v>545</v>
          </cell>
        </row>
        <row r="16">
          <cell r="A16" t="str">
            <v>LA TORRE PETEN</v>
          </cell>
          <cell r="B16">
            <v>540</v>
          </cell>
        </row>
        <row r="17">
          <cell r="A17" t="str">
            <v>LA TORRE EL NARANJO</v>
          </cell>
          <cell r="B17">
            <v>501</v>
          </cell>
        </row>
        <row r="18">
          <cell r="A18" t="str">
            <v>LA TORRE ANTIGUA 2</v>
          </cell>
          <cell r="B18">
            <v>498</v>
          </cell>
        </row>
        <row r="19">
          <cell r="A19" t="str">
            <v>LA TORRE ESCUINTLA 3</v>
          </cell>
          <cell r="B19">
            <v>495</v>
          </cell>
        </row>
        <row r="20">
          <cell r="A20" t="str">
            <v>LA TORRE SAN LUCAS</v>
          </cell>
          <cell r="B20">
            <v>494</v>
          </cell>
        </row>
        <row r="21">
          <cell r="A21" t="str">
            <v>LA TORRE OAKLAND</v>
          </cell>
          <cell r="B21">
            <v>492</v>
          </cell>
        </row>
        <row r="22">
          <cell r="A22" t="str">
            <v>LA TORRE CENTRASUR</v>
          </cell>
          <cell r="B22">
            <v>480</v>
          </cell>
        </row>
        <row r="23">
          <cell r="A23" t="str">
            <v>LA TORRE MIRAFLORES</v>
          </cell>
          <cell r="B23">
            <v>474</v>
          </cell>
        </row>
        <row r="24">
          <cell r="A24" t="str">
            <v>LA TORRE SAN IGNACIO</v>
          </cell>
          <cell r="B24">
            <v>469</v>
          </cell>
        </row>
        <row r="25">
          <cell r="A25" t="str">
            <v>LA TORRE FRAIJANES</v>
          </cell>
          <cell r="B25">
            <v>456</v>
          </cell>
        </row>
        <row r="26">
          <cell r="A26" t="str">
            <v>LA TORRE MADERO</v>
          </cell>
          <cell r="B26">
            <v>449</v>
          </cell>
        </row>
        <row r="27">
          <cell r="A27" t="str">
            <v>LA TORRE POPTUN</v>
          </cell>
          <cell r="B27">
            <v>448</v>
          </cell>
        </row>
        <row r="28">
          <cell r="A28" t="str">
            <v>LT XELA 4</v>
          </cell>
          <cell r="B28">
            <v>437</v>
          </cell>
        </row>
        <row r="29">
          <cell r="A29" t="str">
            <v>LA TORRE PORTALES</v>
          </cell>
          <cell r="B29">
            <v>430</v>
          </cell>
        </row>
        <row r="30">
          <cell r="A30" t="str">
            <v>LA TORRE ARRAZOLA</v>
          </cell>
          <cell r="B30">
            <v>417</v>
          </cell>
        </row>
        <row r="31">
          <cell r="A31" t="str">
            <v>LA TORRE MUXBAL</v>
          </cell>
          <cell r="B31">
            <v>414</v>
          </cell>
        </row>
        <row r="32">
          <cell r="A32" t="str">
            <v>LA TORRE GUALAN</v>
          </cell>
          <cell r="B32">
            <v>411</v>
          </cell>
        </row>
        <row r="33">
          <cell r="A33" t="str">
            <v>LA TORRE TECULUTAN</v>
          </cell>
          <cell r="B33">
            <v>409</v>
          </cell>
        </row>
        <row r="34">
          <cell r="A34" t="str">
            <v>LA TORRE ZONA 10</v>
          </cell>
          <cell r="B34">
            <v>401</v>
          </cell>
        </row>
        <row r="35">
          <cell r="A35" t="str">
            <v>LA TORRE ESCALA</v>
          </cell>
          <cell r="B35">
            <v>401</v>
          </cell>
        </row>
        <row r="36">
          <cell r="A36" t="str">
            <v>LA TORRE ENCINAL</v>
          </cell>
          <cell r="B36">
            <v>400</v>
          </cell>
        </row>
        <row r="37">
          <cell r="A37" t="str">
            <v>LA TORRE MALACATAN</v>
          </cell>
          <cell r="B37">
            <v>397</v>
          </cell>
        </row>
        <row r="38">
          <cell r="A38" t="str">
            <v>LA TORRE SAN JOSE PINULA 2</v>
          </cell>
          <cell r="B38">
            <v>395</v>
          </cell>
        </row>
        <row r="39">
          <cell r="A39" t="str">
            <v>LA TORRE JOCOTENANGO</v>
          </cell>
          <cell r="B39">
            <v>393</v>
          </cell>
        </row>
        <row r="40">
          <cell r="A40" t="str">
            <v>LA TORRE SAN ISIDRO</v>
          </cell>
          <cell r="B40">
            <v>393</v>
          </cell>
        </row>
        <row r="41">
          <cell r="A41" t="str">
            <v>LA TORRE ZONA 14</v>
          </cell>
          <cell r="B41">
            <v>389</v>
          </cell>
        </row>
        <row r="42">
          <cell r="A42" t="str">
            <v>LA TORRE PUERTO BARRIOS</v>
          </cell>
          <cell r="B42">
            <v>385</v>
          </cell>
        </row>
        <row r="43">
          <cell r="A43" t="str">
            <v>LA TORRE CAYALA 2</v>
          </cell>
          <cell r="B43">
            <v>384</v>
          </cell>
        </row>
        <row r="44">
          <cell r="A44" t="str">
            <v>LA TORRE ATANACIO</v>
          </cell>
          <cell r="B44">
            <v>369</v>
          </cell>
        </row>
        <row r="45">
          <cell r="A45" t="str">
            <v>LA TORRE ZONA 19</v>
          </cell>
          <cell r="B45">
            <v>369</v>
          </cell>
        </row>
        <row r="46">
          <cell r="A46" t="str">
            <v>LA TORRE METRONORTE</v>
          </cell>
          <cell r="B46">
            <v>367</v>
          </cell>
        </row>
        <row r="47">
          <cell r="A47" t="str">
            <v>LA TORRE PROCERES</v>
          </cell>
          <cell r="B47">
            <v>365</v>
          </cell>
        </row>
        <row r="48">
          <cell r="A48" t="str">
            <v>LA TORRE SALAMA</v>
          </cell>
          <cell r="B48">
            <v>361</v>
          </cell>
        </row>
        <row r="49">
          <cell r="A49" t="str">
            <v>LA TORRE ZACAPA 2</v>
          </cell>
          <cell r="B49">
            <v>355</v>
          </cell>
        </row>
        <row r="50">
          <cell r="A50" t="str">
            <v>LA TORRE ZONA 16</v>
          </cell>
          <cell r="B50">
            <v>346</v>
          </cell>
        </row>
        <row r="51">
          <cell r="A51" t="str">
            <v>LA TORRE TRINIDAD</v>
          </cell>
          <cell r="B51">
            <v>346</v>
          </cell>
        </row>
        <row r="52">
          <cell r="A52" t="str">
            <v>LA TORRE XELA</v>
          </cell>
          <cell r="B52">
            <v>340</v>
          </cell>
        </row>
        <row r="53">
          <cell r="A53" t="str">
            <v>LA TORRE MILPAS ALTAS</v>
          </cell>
          <cell r="B53">
            <v>338</v>
          </cell>
        </row>
        <row r="54">
          <cell r="A54" t="str">
            <v>LA TORRE LIKIN</v>
          </cell>
          <cell r="B54">
            <v>337</v>
          </cell>
        </row>
        <row r="55">
          <cell r="A55" t="str">
            <v>LA TORRE ZONA 3</v>
          </cell>
          <cell r="B55">
            <v>336</v>
          </cell>
        </row>
        <row r="56">
          <cell r="A56" t="str">
            <v>LA TORRE CIUDAD VIEJA</v>
          </cell>
          <cell r="B56">
            <v>336</v>
          </cell>
        </row>
        <row r="57">
          <cell r="A57" t="str">
            <v>LA TORRE EL FRUTAL</v>
          </cell>
          <cell r="B57">
            <v>336</v>
          </cell>
        </row>
        <row r="58">
          <cell r="A58" t="str">
            <v>LA TORRE ZACAPA</v>
          </cell>
          <cell r="B58">
            <v>336</v>
          </cell>
        </row>
        <row r="59">
          <cell r="A59" t="str">
            <v>LA TORRE PUERTO SAN JOSE</v>
          </cell>
          <cell r="B59">
            <v>334</v>
          </cell>
        </row>
        <row r="60">
          <cell r="A60" t="str">
            <v>LA TORRE SAN BENITO</v>
          </cell>
          <cell r="B60">
            <v>333</v>
          </cell>
        </row>
        <row r="61">
          <cell r="A61" t="str">
            <v>LA TORRE HUEHUETENANGO</v>
          </cell>
          <cell r="B61">
            <v>333</v>
          </cell>
        </row>
        <row r="62">
          <cell r="A62" t="str">
            <v>LA TORRE LA QUINTA</v>
          </cell>
          <cell r="B62">
            <v>332</v>
          </cell>
        </row>
        <row r="63">
          <cell r="A63" t="str">
            <v>LA TORRE VILLA CANALES</v>
          </cell>
          <cell r="B63">
            <v>332</v>
          </cell>
        </row>
        <row r="64">
          <cell r="A64" t="str">
            <v>LA TORRE RIO DULCE</v>
          </cell>
          <cell r="B64">
            <v>328</v>
          </cell>
        </row>
        <row r="65">
          <cell r="A65" t="str">
            <v>LA TORRE VILLA NUEVA</v>
          </cell>
          <cell r="B65">
            <v>327</v>
          </cell>
        </row>
        <row r="66">
          <cell r="A66" t="str">
            <v>LA TORRE SAN MIGUEL PETAPA 2</v>
          </cell>
          <cell r="B66">
            <v>322</v>
          </cell>
        </row>
        <row r="67">
          <cell r="A67" t="str">
            <v>LA TORRE ROOSEVELT</v>
          </cell>
          <cell r="B67">
            <v>322</v>
          </cell>
        </row>
        <row r="68">
          <cell r="A68" t="str">
            <v>LA TORRE COATEPEQUE</v>
          </cell>
          <cell r="B68">
            <v>320</v>
          </cell>
        </row>
        <row r="69">
          <cell r="A69" t="str">
            <v>LA TORRE MAZATENANGO</v>
          </cell>
          <cell r="B69">
            <v>319</v>
          </cell>
        </row>
        <row r="70">
          <cell r="A70" t="str">
            <v>LA TORRE TULAM TZU</v>
          </cell>
          <cell r="B70">
            <v>317</v>
          </cell>
        </row>
        <row r="71">
          <cell r="A71" t="str">
            <v>LA TORRE XELA 5</v>
          </cell>
          <cell r="B71">
            <v>309</v>
          </cell>
        </row>
        <row r="72">
          <cell r="A72" t="str">
            <v>LA TORRE PINARES</v>
          </cell>
          <cell r="B72">
            <v>309</v>
          </cell>
        </row>
        <row r="73">
          <cell r="A73" t="str">
            <v>LA TORRE CHIMALTENANGO</v>
          </cell>
          <cell r="B73">
            <v>307</v>
          </cell>
        </row>
        <row r="74">
          <cell r="A74" t="str">
            <v>LA TORRE METROCENTRO</v>
          </cell>
          <cell r="B74">
            <v>306</v>
          </cell>
        </row>
        <row r="75">
          <cell r="A75" t="str">
            <v>LA TORRE RETALHULEU</v>
          </cell>
          <cell r="B75">
            <v>306</v>
          </cell>
        </row>
        <row r="76">
          <cell r="A76" t="str">
            <v>LA TORRE SANARATE</v>
          </cell>
          <cell r="B76">
            <v>305</v>
          </cell>
        </row>
        <row r="77">
          <cell r="A77" t="str">
            <v>LA TORRE TIQUISATE</v>
          </cell>
          <cell r="B77">
            <v>305</v>
          </cell>
        </row>
        <row r="78">
          <cell r="A78" t="str">
            <v>LA TORRE INDEPENDENCIA</v>
          </cell>
          <cell r="B78">
            <v>304</v>
          </cell>
        </row>
        <row r="79">
          <cell r="A79" t="str">
            <v>LA TORRE VILLA HERMOSA</v>
          </cell>
          <cell r="B79">
            <v>304</v>
          </cell>
        </row>
        <row r="80">
          <cell r="A80" t="str">
            <v>LA TORRE PANAJACHEL</v>
          </cell>
          <cell r="B80">
            <v>303</v>
          </cell>
        </row>
        <row r="81">
          <cell r="A81" t="str">
            <v>LA TORRE HUEHUETENANGO 2</v>
          </cell>
          <cell r="B81">
            <v>302</v>
          </cell>
        </row>
        <row r="82">
          <cell r="A82" t="str">
            <v>LA TORRE ZONA 5</v>
          </cell>
          <cell r="B82">
            <v>298</v>
          </cell>
        </row>
        <row r="83">
          <cell r="A83" t="str">
            <v>LA TORRE SAN JUAN</v>
          </cell>
          <cell r="B83">
            <v>295</v>
          </cell>
        </row>
        <row r="84">
          <cell r="A84" t="str">
            <v>LA TORRE PALIN</v>
          </cell>
          <cell r="B84">
            <v>290</v>
          </cell>
        </row>
        <row r="85">
          <cell r="A85" t="str">
            <v>LA TORRE BOCA DEL MONTE</v>
          </cell>
          <cell r="B85">
            <v>289</v>
          </cell>
        </row>
        <row r="86">
          <cell r="A86" t="str">
            <v>LA TORRE CENTRICO Z5</v>
          </cell>
          <cell r="B86">
            <v>289</v>
          </cell>
        </row>
        <row r="87">
          <cell r="A87" t="str">
            <v>LA TORRE CHIQUIMULA</v>
          </cell>
          <cell r="B87">
            <v>287</v>
          </cell>
        </row>
        <row r="88">
          <cell r="A88" t="str">
            <v>LA TORRE LA RADIAL</v>
          </cell>
          <cell r="B88">
            <v>286</v>
          </cell>
        </row>
        <row r="89">
          <cell r="A89" t="str">
            <v>ECONOSUPER ZONA 6</v>
          </cell>
          <cell r="B89">
            <v>285</v>
          </cell>
        </row>
        <row r="90">
          <cell r="A90" t="str">
            <v>LA TORRE FUTECA Z14</v>
          </cell>
          <cell r="B90">
            <v>282</v>
          </cell>
        </row>
        <row r="91">
          <cell r="A91" t="str">
            <v>LA TORRE JALAPA 2</v>
          </cell>
          <cell r="B91">
            <v>279</v>
          </cell>
        </row>
        <row r="92">
          <cell r="A92" t="str">
            <v>LA TORRE ESCUINTLA 2</v>
          </cell>
          <cell r="B92">
            <v>278</v>
          </cell>
        </row>
        <row r="93">
          <cell r="A93" t="str">
            <v>LA TORRE MITA</v>
          </cell>
          <cell r="B93">
            <v>272</v>
          </cell>
        </row>
        <row r="94">
          <cell r="A94" t="str">
            <v>LA TORRE CARCHA</v>
          </cell>
          <cell r="B94">
            <v>271</v>
          </cell>
        </row>
        <row r="95">
          <cell r="A95" t="str">
            <v>LA TORRE COBAN</v>
          </cell>
          <cell r="B95">
            <v>267</v>
          </cell>
        </row>
        <row r="96">
          <cell r="A96" t="str">
            <v>LA TORRE SANTA LUCIA</v>
          </cell>
          <cell r="B96">
            <v>266</v>
          </cell>
        </row>
        <row r="97">
          <cell r="A97" t="str">
            <v>LA TORRE CENTRO</v>
          </cell>
          <cell r="B97">
            <v>266</v>
          </cell>
        </row>
        <row r="98">
          <cell r="A98" t="str">
            <v>LA TORRE SAN NICOLAS</v>
          </cell>
          <cell r="B98">
            <v>265</v>
          </cell>
        </row>
        <row r="99">
          <cell r="A99" t="str">
            <v>LA TORRE BARCENAS</v>
          </cell>
          <cell r="B99">
            <v>261</v>
          </cell>
        </row>
        <row r="100">
          <cell r="A100" t="str">
            <v>LA TORRE MORALES</v>
          </cell>
          <cell r="B100">
            <v>256</v>
          </cell>
        </row>
        <row r="101">
          <cell r="A101" t="str">
            <v>LA TORRE CENTRANORTE</v>
          </cell>
          <cell r="B101">
            <v>254</v>
          </cell>
        </row>
        <row r="102">
          <cell r="A102" t="str">
            <v>LA TORRE JALAPA 3</v>
          </cell>
          <cell r="B102">
            <v>254</v>
          </cell>
        </row>
        <row r="103">
          <cell r="A103" t="str">
            <v>LA TORRE SAN MARCOS</v>
          </cell>
          <cell r="B103">
            <v>254</v>
          </cell>
        </row>
        <row r="104">
          <cell r="A104" t="str">
            <v>LA TORRE CUATRO CAMINOS</v>
          </cell>
          <cell r="B104">
            <v>254</v>
          </cell>
        </row>
        <row r="105">
          <cell r="A105" t="str">
            <v>LA TORRE GUASTATOYA</v>
          </cell>
          <cell r="B105">
            <v>252</v>
          </cell>
        </row>
        <row r="106">
          <cell r="A106" t="str">
            <v>LA TORRE VILLALOBOS</v>
          </cell>
          <cell r="B106">
            <v>250</v>
          </cell>
        </row>
        <row r="107">
          <cell r="A107" t="str">
            <v>LA TORRE ESQUIPULAS</v>
          </cell>
          <cell r="B107">
            <v>247</v>
          </cell>
        </row>
        <row r="108">
          <cell r="A108" t="str">
            <v>LT ANTIGUA 1</v>
          </cell>
          <cell r="B108">
            <v>245</v>
          </cell>
        </row>
        <row r="109">
          <cell r="A109" t="str">
            <v>LA TORRE ZONA 2</v>
          </cell>
          <cell r="B109">
            <v>243</v>
          </cell>
        </row>
        <row r="110">
          <cell r="A110" t="str">
            <v>LA TORRE AMATITLAN2</v>
          </cell>
          <cell r="B110">
            <v>243</v>
          </cell>
        </row>
        <row r="111">
          <cell r="A111" t="str">
            <v>ECONO SUPER MAGNOLIA</v>
          </cell>
          <cell r="B111">
            <v>243</v>
          </cell>
        </row>
        <row r="112">
          <cell r="A112" t="str">
            <v>LA TORRE SAN RAFAEL</v>
          </cell>
          <cell r="B112">
            <v>242</v>
          </cell>
        </row>
        <row r="113">
          <cell r="A113" t="str">
            <v>LA TORRE ZONA 4</v>
          </cell>
          <cell r="B113">
            <v>241</v>
          </cell>
        </row>
        <row r="114">
          <cell r="A114" t="str">
            <v>LA TORRE QUICHE</v>
          </cell>
          <cell r="B114">
            <v>238</v>
          </cell>
        </row>
        <row r="115">
          <cell r="A115" t="str">
            <v>LA TORRE PETAPOLIS</v>
          </cell>
          <cell r="B115">
            <v>237</v>
          </cell>
        </row>
        <row r="116">
          <cell r="A116" t="str">
            <v>LA TORRE JUTIAPA</v>
          </cell>
          <cell r="B116">
            <v>236</v>
          </cell>
        </row>
        <row r="117">
          <cell r="A117" t="str">
            <v>LA TORRE SAN MIGUEL PETAPA</v>
          </cell>
          <cell r="B117">
            <v>231</v>
          </cell>
        </row>
        <row r="118">
          <cell r="A118" t="str">
            <v>LA TORRE LINDAMAR</v>
          </cell>
          <cell r="B118">
            <v>231</v>
          </cell>
        </row>
        <row r="119">
          <cell r="A119" t="str">
            <v>LA TORRE AMATITLAN</v>
          </cell>
          <cell r="B119">
            <v>227</v>
          </cell>
        </row>
        <row r="120">
          <cell r="A120" t="str">
            <v>LA TORRE BARBERENA</v>
          </cell>
          <cell r="B120">
            <v>225</v>
          </cell>
        </row>
        <row r="121">
          <cell r="A121" t="str">
            <v>LA TORRE TOTONICAPAN</v>
          </cell>
          <cell r="B121">
            <v>224</v>
          </cell>
        </row>
        <row r="122">
          <cell r="A122" t="str">
            <v>LA TORRE REFORMA</v>
          </cell>
          <cell r="B122">
            <v>224</v>
          </cell>
        </row>
        <row r="123">
          <cell r="A123" t="str">
            <v>ECONOSUPER ZONA 2</v>
          </cell>
          <cell r="B123">
            <v>215</v>
          </cell>
        </row>
        <row r="124">
          <cell r="A124" t="str">
            <v>LA TORRE SAN FRANCISCO</v>
          </cell>
          <cell r="B124">
            <v>204</v>
          </cell>
        </row>
        <row r="125">
          <cell r="A125" t="str">
            <v>LA TORRE SALCAJA</v>
          </cell>
          <cell r="B125">
            <v>203</v>
          </cell>
        </row>
        <row r="126">
          <cell r="A126" t="str">
            <v>LA TORRE EL RODEO</v>
          </cell>
          <cell r="B126">
            <v>201</v>
          </cell>
        </row>
        <row r="127">
          <cell r="A127" t="str">
            <v>LA TORRE LA GOMERA</v>
          </cell>
          <cell r="B127">
            <v>197</v>
          </cell>
        </row>
        <row r="128">
          <cell r="A128" t="str">
            <v>LA TORRE PETAPA</v>
          </cell>
          <cell r="B128">
            <v>190</v>
          </cell>
        </row>
        <row r="129">
          <cell r="A129" t="str">
            <v>LA TORRE SAN JOSE PINULA</v>
          </cell>
          <cell r="B129">
            <v>189</v>
          </cell>
        </row>
        <row r="130">
          <cell r="A130" t="str">
            <v>ECONOSUPER LA BRIGADA</v>
          </cell>
          <cell r="B130">
            <v>187</v>
          </cell>
        </row>
        <row r="131">
          <cell r="A131" t="str">
            <v>LA TORRE ZONA 11</v>
          </cell>
          <cell r="B131">
            <v>183</v>
          </cell>
        </row>
        <row r="132">
          <cell r="A132" t="str">
            <v>LA TORRE SANTALU</v>
          </cell>
          <cell r="B132">
            <v>181</v>
          </cell>
        </row>
        <row r="133">
          <cell r="A133" t="str">
            <v>LA TORRE PALMERAS</v>
          </cell>
          <cell r="B133">
            <v>181</v>
          </cell>
        </row>
        <row r="134">
          <cell r="A134" t="str">
            <v>LA TORRE ANTIGUA 3</v>
          </cell>
          <cell r="B134">
            <v>174</v>
          </cell>
        </row>
        <row r="135">
          <cell r="A135" t="str">
            <v>LA TORRE SAN CRISTOBAL</v>
          </cell>
          <cell r="B135">
            <v>174</v>
          </cell>
        </row>
        <row r="136">
          <cell r="A136" t="str">
            <v>LA TORRE LOS AMATES</v>
          </cell>
          <cell r="B136">
            <v>173</v>
          </cell>
        </row>
        <row r="137">
          <cell r="A137" t="str">
            <v>LA TORRE JALAPA</v>
          </cell>
          <cell r="B137">
            <v>169</v>
          </cell>
        </row>
        <row r="138">
          <cell r="A138" t="str">
            <v>LA TORRE MIXCO ZONA 1</v>
          </cell>
          <cell r="B138">
            <v>162</v>
          </cell>
        </row>
        <row r="139">
          <cell r="A139" t="str">
            <v>LA TORRE VISTA HERMOSA 1</v>
          </cell>
          <cell r="B139">
            <v>147</v>
          </cell>
        </row>
        <row r="140">
          <cell r="A140" t="str">
            <v>LA TORRE QUICHE 2</v>
          </cell>
          <cell r="B140">
            <v>147</v>
          </cell>
        </row>
        <row r="141">
          <cell r="A141" t="str">
            <v>ECONOSUPER NIMAJUYU</v>
          </cell>
          <cell r="B141">
            <v>109</v>
          </cell>
        </row>
        <row r="142">
          <cell r="A142" t="str">
            <v>ECONOSUPER XELA</v>
          </cell>
          <cell r="B142">
            <v>107</v>
          </cell>
        </row>
        <row r="143">
          <cell r="A143" t="str">
            <v>ECONOSUPER LO DE FUENTES</v>
          </cell>
          <cell r="B143">
            <v>107</v>
          </cell>
        </row>
        <row r="144">
          <cell r="A144" t="str">
            <v>ECONOSUPER MILPAS ALTAS</v>
          </cell>
          <cell r="B144">
            <v>99</v>
          </cell>
        </row>
        <row r="145">
          <cell r="A145" t="str">
            <v>LA TORRE MARISCAL</v>
          </cell>
          <cell r="B145">
            <v>94</v>
          </cell>
        </row>
        <row r="146">
          <cell r="A146" t="str">
            <v>ECONOSUPER BOULEVARD SUR</v>
          </cell>
          <cell r="B146">
            <v>86</v>
          </cell>
        </row>
        <row r="147">
          <cell r="A147" t="str">
            <v>LTX CD RANSA</v>
          </cell>
          <cell r="B147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showGridLines="0" tabSelected="1" topLeftCell="A98" workbookViewId="0">
      <selection activeCell="D132" sqref="D132"/>
    </sheetView>
  </sheetViews>
  <sheetFormatPr baseColWidth="10" defaultRowHeight="14.4"/>
  <cols>
    <col min="1" max="1" width="14.44140625" customWidth="1"/>
    <col min="2" max="3" width="22.44140625" bestFit="1" customWidth="1"/>
    <col min="4" max="4" width="19.6640625" bestFit="1" customWidth="1"/>
    <col min="5" max="9" width="14.44140625" customWidth="1"/>
  </cols>
  <sheetData>
    <row r="1" spans="1:9" s="9" customFormat="1" ht="26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132</v>
      </c>
      <c r="H1" s="2">
        <v>46319</v>
      </c>
      <c r="I1" s="1" t="s">
        <v>133</v>
      </c>
    </row>
    <row r="2" spans="1:9" ht="14.4" customHeight="1">
      <c r="A2" s="3">
        <v>802903</v>
      </c>
      <c r="B2" s="3" t="s">
        <v>126</v>
      </c>
      <c r="C2" s="3" t="s">
        <v>6</v>
      </c>
      <c r="D2" s="4" t="s">
        <v>55</v>
      </c>
      <c r="E2" s="5">
        <v>173</v>
      </c>
      <c r="F2" s="6">
        <v>173</v>
      </c>
      <c r="G2" s="7" t="str">
        <f>+VLOOKUP(B2,'[1]TIENDAS 2025'!$A$1:$C$144,3,0)</f>
        <v>local</v>
      </c>
      <c r="H2" s="7">
        <f>+VLOOKUP(B2,[2]Hoja1!$A$7:$B$147,2,0)</f>
        <v>243</v>
      </c>
      <c r="I2" s="10">
        <f>+H2+E2</f>
        <v>416</v>
      </c>
    </row>
    <row r="3" spans="1:9" ht="14.4" customHeight="1">
      <c r="A3" s="3">
        <v>802904</v>
      </c>
      <c r="B3" s="3" t="s">
        <v>111</v>
      </c>
      <c r="C3" s="3" t="s">
        <v>6</v>
      </c>
      <c r="D3" s="4" t="s">
        <v>41</v>
      </c>
      <c r="E3" s="5">
        <v>710</v>
      </c>
      <c r="F3" s="6">
        <v>705</v>
      </c>
      <c r="G3" s="7" t="str">
        <f>+VLOOKUP(B3,'[1]TIENDAS 2025'!$A$1:$C$144,3,0)</f>
        <v>local</v>
      </c>
      <c r="H3" s="7">
        <f>+VLOOKUP(B3,[2]Hoja1!$A$7:$B$147,2,0)</f>
        <v>86</v>
      </c>
      <c r="I3" s="10">
        <f>+H3+E3</f>
        <v>796</v>
      </c>
    </row>
    <row r="4" spans="1:9" ht="14.4" customHeight="1">
      <c r="A4" s="3">
        <v>802905</v>
      </c>
      <c r="B4" s="3" t="s">
        <v>75</v>
      </c>
      <c r="C4" s="3" t="s">
        <v>6</v>
      </c>
      <c r="D4" s="4" t="s">
        <v>13</v>
      </c>
      <c r="E4" s="5">
        <v>328</v>
      </c>
      <c r="F4" s="6">
        <v>327</v>
      </c>
      <c r="G4" s="7" t="str">
        <f>+VLOOKUP(B4,'[1]TIENDAS 2025'!$A$1:$C$144,3,0)</f>
        <v>local</v>
      </c>
      <c r="H4" s="7">
        <f>+VLOOKUP(B4,[2]Hoja1!$A$7:$B$147,2,0)</f>
        <v>187</v>
      </c>
      <c r="I4" s="10">
        <f>+H4+E4</f>
        <v>515</v>
      </c>
    </row>
    <row r="5" spans="1:9" ht="14.4" customHeight="1">
      <c r="A5" s="3">
        <v>802906</v>
      </c>
      <c r="B5" s="3" t="s">
        <v>91</v>
      </c>
      <c r="C5" s="3" t="s">
        <v>6</v>
      </c>
      <c r="D5" s="4" t="s">
        <v>28</v>
      </c>
      <c r="E5" s="5">
        <v>364</v>
      </c>
      <c r="F5" s="6">
        <v>364</v>
      </c>
      <c r="G5" s="7" t="str">
        <f>+VLOOKUP(B5,'[1]TIENDAS 2025'!$A$1:$C$144,3,0)</f>
        <v>local</v>
      </c>
      <c r="H5" s="7">
        <f>+VLOOKUP(B5,[2]Hoja1!$A$7:$B$147,2,0)</f>
        <v>107</v>
      </c>
      <c r="I5" s="10">
        <f>+H5+E5</f>
        <v>471</v>
      </c>
    </row>
    <row r="6" spans="1:9" ht="14.4" customHeight="1">
      <c r="A6" s="3">
        <v>802908</v>
      </c>
      <c r="B6" s="3" t="s">
        <v>62</v>
      </c>
      <c r="C6" s="3" t="s">
        <v>6</v>
      </c>
      <c r="D6" s="4" t="s">
        <v>56</v>
      </c>
      <c r="E6" s="5">
        <v>224</v>
      </c>
      <c r="F6" s="6">
        <v>224</v>
      </c>
      <c r="G6" s="7" t="str">
        <f>+VLOOKUP(B6,'[1]TIENDAS 2025'!$A$1:$C$144,3,0)</f>
        <v>local</v>
      </c>
      <c r="H6" s="7">
        <f>+VLOOKUP(B6,[2]Hoja1!$A$7:$B$147,2,0)</f>
        <v>109</v>
      </c>
      <c r="I6" s="10">
        <f>+H6+E6</f>
        <v>333</v>
      </c>
    </row>
    <row r="7" spans="1:9" ht="14.4" customHeight="1">
      <c r="A7" s="3">
        <v>802909</v>
      </c>
      <c r="B7" s="3" t="s">
        <v>92</v>
      </c>
      <c r="C7" s="3" t="s">
        <v>6</v>
      </c>
      <c r="D7" s="4" t="s">
        <v>29</v>
      </c>
      <c r="E7" s="5">
        <v>668</v>
      </c>
      <c r="F7" s="6">
        <v>663</v>
      </c>
      <c r="G7" s="7" t="str">
        <f>+VLOOKUP(B7,'[1]TIENDAS 2025'!$A$1:$C$144,3,0)</f>
        <v>departamental</v>
      </c>
      <c r="H7" s="7">
        <f>+VLOOKUP(B7,[2]Hoja1!$A$7:$B$147,2,0)</f>
        <v>107</v>
      </c>
      <c r="I7" s="10">
        <f>+H7+E7</f>
        <v>775</v>
      </c>
    </row>
    <row r="8" spans="1:9" ht="14.4" customHeight="1">
      <c r="A8" s="3">
        <v>802913</v>
      </c>
      <c r="B8" s="3" t="s">
        <v>76</v>
      </c>
      <c r="C8" s="3" t="s">
        <v>6</v>
      </c>
      <c r="D8" s="4" t="s">
        <v>14</v>
      </c>
      <c r="E8" s="5">
        <v>357</v>
      </c>
      <c r="F8" s="6">
        <v>353</v>
      </c>
      <c r="G8" s="7" t="str">
        <f>+VLOOKUP(B8,'[1]TIENDAS 2025'!$A$1:$C$144,3,0)</f>
        <v>local</v>
      </c>
      <c r="H8" s="7">
        <f>+VLOOKUP(B8,[2]Hoja1!$A$7:$B$147,2,0)</f>
        <v>174</v>
      </c>
      <c r="I8" s="10">
        <f>+H8+E8</f>
        <v>531</v>
      </c>
    </row>
    <row r="9" spans="1:9" ht="14.4" customHeight="1">
      <c r="A9" s="3">
        <v>802912</v>
      </c>
      <c r="B9" s="3" t="s">
        <v>122</v>
      </c>
      <c r="C9" s="3" t="s">
        <v>6</v>
      </c>
      <c r="D9" s="4" t="s">
        <v>51</v>
      </c>
      <c r="E9" s="5">
        <v>223</v>
      </c>
      <c r="F9" s="6">
        <v>223</v>
      </c>
      <c r="G9" s="7" t="str">
        <f>+VLOOKUP(B9,'[1]TIENDAS 2025'!$A$1:$C$144,3,0)</f>
        <v>local</v>
      </c>
      <c r="H9" s="7">
        <f>+VLOOKUP(B9,[2]Hoja1!$A$7:$B$147,2,0)</f>
        <v>369</v>
      </c>
      <c r="I9" s="10">
        <f>+H9+E9</f>
        <v>592</v>
      </c>
    </row>
    <row r="10" spans="1:9" ht="14.4" customHeight="1">
      <c r="A10" s="3">
        <v>802915</v>
      </c>
      <c r="B10" s="3" t="s">
        <v>68</v>
      </c>
      <c r="C10" s="3" t="s">
        <v>6</v>
      </c>
      <c r="D10" s="4" t="s">
        <v>7</v>
      </c>
      <c r="E10" s="5">
        <v>574</v>
      </c>
      <c r="F10" s="6">
        <v>567</v>
      </c>
      <c r="G10" s="7" t="str">
        <f>+VLOOKUP(B10,'[1]TIENDAS 2025'!$A$1:$C$144,3,0)</f>
        <v>local</v>
      </c>
      <c r="H10" s="7">
        <f>+VLOOKUP(B10,[2]Hoja1!$A$7:$B$147,2,0)</f>
        <v>289</v>
      </c>
      <c r="I10" s="10">
        <f>+H10+E10</f>
        <v>863</v>
      </c>
    </row>
    <row r="11" spans="1:9" ht="14.4" customHeight="1">
      <c r="A11" s="3">
        <v>802914</v>
      </c>
      <c r="B11" s="3" t="s">
        <v>123</v>
      </c>
      <c r="C11" s="3" t="s">
        <v>6</v>
      </c>
      <c r="D11" s="4" t="s">
        <v>52</v>
      </c>
      <c r="E11" s="5">
        <v>265</v>
      </c>
      <c r="F11" s="6">
        <v>264</v>
      </c>
      <c r="G11" s="7" t="str">
        <f>+VLOOKUP(B11,'[1]TIENDAS 2025'!$A$1:$C$144,3,0)</f>
        <v>departamental</v>
      </c>
      <c r="H11" s="7">
        <f>+VLOOKUP(B11,[2]Hoja1!$A$7:$B$147,2,0)</f>
        <v>271</v>
      </c>
      <c r="I11" s="10">
        <f>+H11+E11</f>
        <v>536</v>
      </c>
    </row>
    <row r="12" spans="1:9" ht="14.4" customHeight="1">
      <c r="A12" s="3">
        <v>802917</v>
      </c>
      <c r="B12" s="3" t="s">
        <v>77</v>
      </c>
      <c r="C12" s="3" t="s">
        <v>6</v>
      </c>
      <c r="D12" s="4" t="s">
        <v>15</v>
      </c>
      <c r="E12" s="5">
        <v>453</v>
      </c>
      <c r="F12" s="6">
        <v>451</v>
      </c>
      <c r="G12" s="7" t="str">
        <f>+VLOOKUP(B12,'[1]TIENDAS 2025'!$A$1:$C$144,3,0)</f>
        <v>local</v>
      </c>
      <c r="H12" s="7">
        <f>+VLOOKUP(B12,[2]Hoja1!$A$7:$B$147,2,0)</f>
        <v>289</v>
      </c>
      <c r="I12" s="10">
        <f>+H12+E12</f>
        <v>742</v>
      </c>
    </row>
    <row r="13" spans="1:9" ht="14.4" customHeight="1">
      <c r="A13" s="3">
        <v>802921</v>
      </c>
      <c r="B13" s="3" t="s">
        <v>78</v>
      </c>
      <c r="C13" s="3" t="s">
        <v>6</v>
      </c>
      <c r="D13" s="4" t="s">
        <v>16</v>
      </c>
      <c r="E13" s="5">
        <v>698</v>
      </c>
      <c r="F13" s="6">
        <v>683</v>
      </c>
      <c r="G13" s="7" t="str">
        <f>+VLOOKUP(B13,'[1]TIENDAS 2025'!$A$1:$C$144,3,0)</f>
        <v>departamental</v>
      </c>
      <c r="H13" s="7">
        <f>+VLOOKUP(B13,[2]Hoja1!$A$7:$B$147,2,0)</f>
        <v>287</v>
      </c>
      <c r="I13" s="10">
        <f>+H13+E13</f>
        <v>985</v>
      </c>
    </row>
    <row r="14" spans="1:9" ht="14.4" customHeight="1">
      <c r="A14" s="3">
        <v>802325</v>
      </c>
      <c r="B14" s="3" t="s">
        <v>86</v>
      </c>
      <c r="C14" s="3" t="s">
        <v>6</v>
      </c>
      <c r="D14" s="8" t="s">
        <v>48</v>
      </c>
      <c r="E14" s="5">
        <v>543</v>
      </c>
      <c r="F14" s="6">
        <v>538</v>
      </c>
      <c r="G14" s="7" t="str">
        <f>+VLOOKUP(B14,'[1]TIENDAS 2025'!$A$1:$C$144,3,0)</f>
        <v>local</v>
      </c>
      <c r="H14" s="7">
        <f>+VLOOKUP(B14,[2]Hoja1!$A$7:$B$147,2,0)</f>
        <v>336</v>
      </c>
      <c r="I14" s="10">
        <f>+H14+E14</f>
        <v>879</v>
      </c>
    </row>
    <row r="15" spans="1:9" ht="14.4" customHeight="1">
      <c r="A15" s="3">
        <v>802923</v>
      </c>
      <c r="B15" s="3" t="s">
        <v>79</v>
      </c>
      <c r="C15" s="3" t="s">
        <v>6</v>
      </c>
      <c r="D15" s="4" t="s">
        <v>17</v>
      </c>
      <c r="E15" s="5">
        <v>613</v>
      </c>
      <c r="F15" s="6">
        <v>604</v>
      </c>
      <c r="G15" s="7" t="str">
        <f>+VLOOKUP(B15,'[1]TIENDAS 2025'!$A$1:$C$144,3,0)</f>
        <v>departamental</v>
      </c>
      <c r="H15" s="7">
        <f>+VLOOKUP(B15,[2]Hoja1!$A$7:$B$147,2,0)</f>
        <v>267</v>
      </c>
      <c r="I15" s="10">
        <f>+H15+E15</f>
        <v>880</v>
      </c>
    </row>
    <row r="16" spans="1:9" ht="14.4" customHeight="1">
      <c r="A16" s="3">
        <v>802928</v>
      </c>
      <c r="B16" s="3" t="s">
        <v>112</v>
      </c>
      <c r="C16" s="3" t="s">
        <v>6</v>
      </c>
      <c r="D16" s="4" t="s">
        <v>42</v>
      </c>
      <c r="E16" s="5">
        <v>267</v>
      </c>
      <c r="F16" s="6">
        <v>267</v>
      </c>
      <c r="G16" s="7" t="str">
        <f>+VLOOKUP(B16,'[1]TIENDAS 2025'!$A$1:$C$144,3,0)</f>
        <v>local</v>
      </c>
      <c r="H16" s="7">
        <f>+VLOOKUP(B16,[2]Hoja1!$A$7:$B$147,2,0)</f>
        <v>400</v>
      </c>
      <c r="I16" s="10">
        <f>+H16+E16</f>
        <v>667</v>
      </c>
    </row>
    <row r="17" spans="1:9" ht="14.4" customHeight="1">
      <c r="A17" s="3">
        <v>802927</v>
      </c>
      <c r="B17" s="3" t="s">
        <v>87</v>
      </c>
      <c r="C17" s="3" t="s">
        <v>6</v>
      </c>
      <c r="D17" s="4" t="s">
        <v>24</v>
      </c>
      <c r="E17" s="5">
        <v>674</v>
      </c>
      <c r="F17" s="6">
        <v>668</v>
      </c>
      <c r="G17" s="7" t="str">
        <f>+VLOOKUP(B17,'[1]TIENDAS 2025'!$A$1:$C$144,3,0)</f>
        <v>departamental</v>
      </c>
      <c r="H17" s="7">
        <f>+VLOOKUP(B17,[2]Hoja1!$A$7:$B$147,2,0)</f>
        <v>278</v>
      </c>
      <c r="I17" s="10">
        <f>+H17+E17</f>
        <v>952</v>
      </c>
    </row>
    <row r="18" spans="1:9" ht="14.4" customHeight="1">
      <c r="A18" s="3">
        <v>802926</v>
      </c>
      <c r="B18" s="3" t="s">
        <v>127</v>
      </c>
      <c r="C18" s="3" t="s">
        <v>6</v>
      </c>
      <c r="D18" s="4" t="s">
        <v>57</v>
      </c>
      <c r="E18" s="5">
        <v>251</v>
      </c>
      <c r="F18" s="6">
        <v>250</v>
      </c>
      <c r="G18" s="7" t="str">
        <f>+VLOOKUP(B18,'[1]TIENDAS 2025'!$A$1:$C$144,3,0)</f>
        <v>local</v>
      </c>
      <c r="H18" s="7">
        <f>+VLOOKUP(B18,[2]Hoja1!$A$7:$B$147,2,0)</f>
        <v>495</v>
      </c>
      <c r="I18" s="10">
        <f>+H18+E18</f>
        <v>746</v>
      </c>
    </row>
    <row r="19" spans="1:9" ht="14.4" customHeight="1">
      <c r="A19" s="3">
        <v>802930</v>
      </c>
      <c r="B19" s="3" t="s">
        <v>113</v>
      </c>
      <c r="C19" s="3" t="s">
        <v>6</v>
      </c>
      <c r="D19" s="4" t="s">
        <v>43</v>
      </c>
      <c r="E19" s="5">
        <v>255</v>
      </c>
      <c r="F19" s="6">
        <v>253</v>
      </c>
      <c r="G19" s="7" t="str">
        <f>+VLOOKUP(B19,'[1]TIENDAS 2025'!$A$1:$C$144,3,0)</f>
        <v>departamental</v>
      </c>
      <c r="H19" s="7">
        <f>+VLOOKUP(B19,[2]Hoja1!$A$7:$B$147,2,0)</f>
        <v>333</v>
      </c>
      <c r="I19" s="10">
        <f>+H19+E19</f>
        <v>588</v>
      </c>
    </row>
    <row r="20" spans="1:9" ht="14.4" customHeight="1">
      <c r="A20" s="3">
        <v>802935</v>
      </c>
      <c r="B20" s="3" t="s">
        <v>80</v>
      </c>
      <c r="C20" s="3" t="s">
        <v>6</v>
      </c>
      <c r="D20" s="4" t="s">
        <v>18</v>
      </c>
      <c r="E20" s="5">
        <v>689</v>
      </c>
      <c r="F20" s="6">
        <v>683</v>
      </c>
      <c r="G20" s="7" t="str">
        <f>+VLOOKUP(B20,'[1]TIENDAS 2025'!$A$1:$C$144,3,0)</f>
        <v>departamental</v>
      </c>
      <c r="H20" s="7">
        <f>+VLOOKUP(B20,[2]Hoja1!$A$7:$B$147,2,0)</f>
        <v>169</v>
      </c>
      <c r="I20" s="10">
        <f>+H20+E20</f>
        <v>858</v>
      </c>
    </row>
    <row r="21" spans="1:9" ht="14.4" customHeight="1">
      <c r="A21" s="3">
        <v>802934</v>
      </c>
      <c r="B21" s="3" t="s">
        <v>128</v>
      </c>
      <c r="C21" s="3" t="s">
        <v>6</v>
      </c>
      <c r="D21" s="4" t="s">
        <v>58</v>
      </c>
      <c r="E21" s="5">
        <v>595</v>
      </c>
      <c r="F21" s="6">
        <v>587</v>
      </c>
      <c r="G21" s="7" t="str">
        <f>+VLOOKUP(B21,'[1]TIENDAS 2025'!$A$1:$C$144,3,0)</f>
        <v>departamental</v>
      </c>
      <c r="H21" s="7">
        <f>+VLOOKUP(B21,[2]Hoja1!$A$7:$B$147,2,0)</f>
        <v>279</v>
      </c>
      <c r="I21" s="10">
        <f>+H21+E21</f>
        <v>874</v>
      </c>
    </row>
    <row r="22" spans="1:9" ht="14.4" customHeight="1">
      <c r="A22" s="3">
        <v>802933</v>
      </c>
      <c r="B22" s="3" t="s">
        <v>124</v>
      </c>
      <c r="C22" s="3" t="s">
        <v>6</v>
      </c>
      <c r="D22" s="4" t="s">
        <v>23</v>
      </c>
      <c r="E22" s="5">
        <v>166</v>
      </c>
      <c r="F22" s="6">
        <v>166</v>
      </c>
      <c r="G22" s="7" t="str">
        <f>+VLOOKUP(B22,'[1]TIENDAS 2025'!$A$1:$C$144,3,0)</f>
        <v>departamental</v>
      </c>
      <c r="H22" s="7">
        <f>+VLOOKUP(B22,[2]Hoja1!$A$7:$B$147,2,0)</f>
        <v>254</v>
      </c>
      <c r="I22" s="10">
        <f>+H22+E22</f>
        <v>420</v>
      </c>
    </row>
    <row r="23" spans="1:9" ht="14.4" customHeight="1">
      <c r="A23" s="3">
        <v>802800</v>
      </c>
      <c r="B23" s="3" t="s">
        <v>118</v>
      </c>
      <c r="C23" s="3" t="s">
        <v>6</v>
      </c>
      <c r="D23" s="8" t="s">
        <v>49</v>
      </c>
      <c r="E23" s="5">
        <v>147</v>
      </c>
      <c r="F23" s="6">
        <v>145</v>
      </c>
      <c r="G23" s="7" t="str">
        <f>+VLOOKUP(B23,'[1]TIENDAS 2025'!$A$1:$C$144,3,0)</f>
        <v>departamental</v>
      </c>
      <c r="H23" s="7">
        <f>+VLOOKUP(B23,[2]Hoja1!$A$7:$B$147,2,0)</f>
        <v>197</v>
      </c>
      <c r="I23" s="10">
        <f>+H23+E23</f>
        <v>344</v>
      </c>
    </row>
    <row r="24" spans="1:9" ht="14.4" customHeight="1">
      <c r="A24" s="3">
        <v>802938</v>
      </c>
      <c r="B24" s="3" t="s">
        <v>125</v>
      </c>
      <c r="C24" s="3" t="s">
        <v>6</v>
      </c>
      <c r="D24" s="4" t="s">
        <v>53</v>
      </c>
      <c r="E24" s="5">
        <v>580</v>
      </c>
      <c r="F24" s="6">
        <v>575</v>
      </c>
      <c r="G24" s="7" t="str">
        <f>+VLOOKUP(B24,'[1]TIENDAS 2025'!$A$1:$C$144,3,0)</f>
        <v>departamental</v>
      </c>
      <c r="H24" s="7">
        <f>+VLOOKUP(B24,[2]Hoja1!$A$7:$B$147,2,0)</f>
        <v>337</v>
      </c>
      <c r="I24" s="10">
        <f>+H24+E24</f>
        <v>917</v>
      </c>
    </row>
    <row r="25" spans="1:9" ht="14.4" customHeight="1">
      <c r="A25" s="3">
        <v>802937</v>
      </c>
      <c r="B25" s="3" t="s">
        <v>93</v>
      </c>
      <c r="C25" s="3" t="s">
        <v>6</v>
      </c>
      <c r="D25" s="4" t="s">
        <v>30</v>
      </c>
      <c r="E25" s="5">
        <v>580</v>
      </c>
      <c r="F25" s="6">
        <v>574</v>
      </c>
      <c r="G25" s="7" t="str">
        <f>+VLOOKUP(B25,'[1]TIENDAS 2025'!$A$1:$C$144,3,0)</f>
        <v xml:space="preserve">departamental </v>
      </c>
      <c r="H25" s="7">
        <f>+VLOOKUP(B25,[2]Hoja1!$A$7:$B$147,2,0)</f>
        <v>231</v>
      </c>
      <c r="I25" s="10">
        <f>+H25+E25</f>
        <v>811</v>
      </c>
    </row>
    <row r="26" spans="1:9" ht="14.4" customHeight="1">
      <c r="A26" s="3">
        <v>802944</v>
      </c>
      <c r="B26" s="3" t="s">
        <v>102</v>
      </c>
      <c r="C26" s="3" t="s">
        <v>6</v>
      </c>
      <c r="D26" s="4" t="s">
        <v>37</v>
      </c>
      <c r="E26" s="5">
        <v>679</v>
      </c>
      <c r="F26" s="6">
        <v>670</v>
      </c>
      <c r="G26" s="7" t="str">
        <f>+VLOOKUP(B26,'[1]TIENDAS 2025'!$A$1:$C$144,3,0)</f>
        <v>departamental</v>
      </c>
      <c r="H26" s="7">
        <f>+VLOOKUP(B26,[2]Hoja1!$A$7:$B$147,2,0)</f>
        <v>173</v>
      </c>
      <c r="I26" s="10">
        <f>+H26+E26</f>
        <v>852</v>
      </c>
    </row>
    <row r="27" spans="1:9" ht="14.4" customHeight="1">
      <c r="A27" s="3">
        <v>802806</v>
      </c>
      <c r="B27" s="3" t="s">
        <v>84</v>
      </c>
      <c r="C27" s="3" t="s">
        <v>6</v>
      </c>
      <c r="D27" s="8" t="s">
        <v>22</v>
      </c>
      <c r="E27" s="5">
        <v>560</v>
      </c>
      <c r="F27" s="6">
        <v>556</v>
      </c>
      <c r="G27" s="7" t="str">
        <f>+VLOOKUP(B27,'[1]TIENDAS 2025'!$A$1:$C$144,3,0)</f>
        <v>departamental</v>
      </c>
      <c r="H27" s="7">
        <f>+VLOOKUP(B27,[2]Hoja1!$A$7:$B$147,2,0)</f>
        <v>319</v>
      </c>
      <c r="I27" s="10">
        <f>+H27+E27</f>
        <v>879</v>
      </c>
    </row>
    <row r="28" spans="1:9" ht="14.4" customHeight="1">
      <c r="A28" s="3">
        <v>802947</v>
      </c>
      <c r="B28" s="3" t="s">
        <v>69</v>
      </c>
      <c r="C28" s="3" t="s">
        <v>6</v>
      </c>
      <c r="D28" s="4" t="s">
        <v>8</v>
      </c>
      <c r="E28" s="5">
        <v>647</v>
      </c>
      <c r="F28" s="6">
        <v>644</v>
      </c>
      <c r="G28" s="7" t="str">
        <f>+VLOOKUP(B28,'[1]TIENDAS 2025'!$A$1:$C$144,3,0)</f>
        <v>local</v>
      </c>
      <c r="H28" s="7">
        <f>+VLOOKUP(B28,[2]Hoja1!$A$7:$B$147,2,0)</f>
        <v>306</v>
      </c>
      <c r="I28" s="10">
        <f>+H28+E28</f>
        <v>953</v>
      </c>
    </row>
    <row r="29" spans="1:9" ht="14.4" customHeight="1">
      <c r="A29" s="3">
        <v>802945</v>
      </c>
      <c r="B29" s="3" t="s">
        <v>94</v>
      </c>
      <c r="C29" s="3" t="s">
        <v>6</v>
      </c>
      <c r="D29" s="4" t="s">
        <v>31</v>
      </c>
      <c r="E29" s="5">
        <v>600</v>
      </c>
      <c r="F29" s="6">
        <v>580</v>
      </c>
      <c r="G29" s="7" t="str">
        <f>+VLOOKUP(B29,'[1]TIENDAS 2025'!$A$1:$C$144,3,0)</f>
        <v>departamental</v>
      </c>
      <c r="H29" s="7">
        <f>+VLOOKUP(B29,[2]Hoja1!$A$7:$B$147,2,0)</f>
        <v>272</v>
      </c>
      <c r="I29" s="10">
        <f>+H29+E29</f>
        <v>872</v>
      </c>
    </row>
    <row r="30" spans="1:9" ht="14.4" customHeight="1">
      <c r="A30" s="3">
        <v>802948</v>
      </c>
      <c r="B30" s="3" t="s">
        <v>95</v>
      </c>
      <c r="C30" s="3" t="s">
        <v>6</v>
      </c>
      <c r="D30" s="4" t="s">
        <v>32</v>
      </c>
      <c r="E30" s="5">
        <v>636</v>
      </c>
      <c r="F30" s="6">
        <v>624</v>
      </c>
      <c r="G30" s="7" t="str">
        <f>+VLOOKUP(B30,'[1]TIENDAS 2025'!$A$1:$C$144,3,0)</f>
        <v>departamental</v>
      </c>
      <c r="H30" s="7">
        <f>+VLOOKUP(B30,[2]Hoja1!$A$7:$B$147,2,0)</f>
        <v>256</v>
      </c>
      <c r="I30" s="10">
        <f>+H30+E30</f>
        <v>892</v>
      </c>
    </row>
    <row r="31" spans="1:9" ht="14.4" customHeight="1">
      <c r="A31" s="3">
        <v>802949</v>
      </c>
      <c r="B31" s="3" t="s">
        <v>114</v>
      </c>
      <c r="C31" s="3" t="s">
        <v>6</v>
      </c>
      <c r="D31" s="4" t="s">
        <v>44</v>
      </c>
      <c r="E31" s="5">
        <v>636</v>
      </c>
      <c r="F31" s="6">
        <v>631</v>
      </c>
      <c r="G31" s="7" t="str">
        <f>+VLOOKUP(B31,'[1]TIENDAS 2025'!$A$1:$C$144,3,0)</f>
        <v>departamental</v>
      </c>
      <c r="H31" s="7">
        <f>+VLOOKUP(B31,[2]Hoja1!$A$7:$B$147,2,0)</f>
        <v>181</v>
      </c>
      <c r="I31" s="10">
        <f>+H31+E31</f>
        <v>817</v>
      </c>
    </row>
    <row r="32" spans="1:9" ht="14.4" customHeight="1">
      <c r="A32" s="3">
        <v>802950</v>
      </c>
      <c r="B32" s="3" t="s">
        <v>88</v>
      </c>
      <c r="C32" s="3" t="s">
        <v>6</v>
      </c>
      <c r="D32" s="4" t="s">
        <v>25</v>
      </c>
      <c r="E32" s="5">
        <v>230</v>
      </c>
      <c r="F32" s="6">
        <v>228</v>
      </c>
      <c r="G32" s="7" t="str">
        <f>+VLOOKUP(B32,'[1]TIENDAS 2025'!$A$1:$C$144,3,0)</f>
        <v>departamental</v>
      </c>
      <c r="H32" s="7">
        <f>+VLOOKUP(B32,[2]Hoja1!$A$7:$B$147,2,0)</f>
        <v>303</v>
      </c>
      <c r="I32" s="10">
        <f>+H32+E32</f>
        <v>533</v>
      </c>
    </row>
    <row r="33" spans="1:9" ht="14.4" customHeight="1">
      <c r="A33" s="3">
        <v>802813</v>
      </c>
      <c r="B33" s="3" t="s">
        <v>107</v>
      </c>
      <c r="C33" s="3" t="s">
        <v>6</v>
      </c>
      <c r="D33" s="8" t="s">
        <v>40</v>
      </c>
      <c r="E33" s="5">
        <v>259</v>
      </c>
      <c r="F33" s="6">
        <v>258</v>
      </c>
      <c r="G33" s="7" t="str">
        <f>+VLOOKUP(B33,'[1]TIENDAS 2025'!$A$1:$C$144,3,0)</f>
        <v>local</v>
      </c>
      <c r="H33" s="7">
        <f>+VLOOKUP(B33,[2]Hoja1!$A$7:$B$147,2,0)</f>
        <v>190</v>
      </c>
      <c r="I33" s="10">
        <f>+H33+E33</f>
        <v>449</v>
      </c>
    </row>
    <row r="34" spans="1:9" ht="14.4" customHeight="1">
      <c r="A34" s="3">
        <v>802958</v>
      </c>
      <c r="B34" s="3" t="s">
        <v>129</v>
      </c>
      <c r="C34" s="3" t="s">
        <v>6</v>
      </c>
      <c r="D34" s="4" t="s">
        <v>59</v>
      </c>
      <c r="E34" s="5">
        <v>289</v>
      </c>
      <c r="F34" s="6">
        <v>287</v>
      </c>
      <c r="G34" s="7" t="str">
        <f>+VLOOKUP(B34,'[1]TIENDAS 2025'!$A$1:$C$144,3,0)</f>
        <v>departamental</v>
      </c>
      <c r="H34" s="7">
        <f>+VLOOKUP(B34,[2]Hoja1!$A$7:$B$147,2,0)</f>
        <v>238</v>
      </c>
      <c r="I34" s="10">
        <f>+H34+E34</f>
        <v>527</v>
      </c>
    </row>
    <row r="35" spans="1:9" ht="14.4" customHeight="1">
      <c r="A35" s="3">
        <v>802959</v>
      </c>
      <c r="B35" s="3" t="s">
        <v>81</v>
      </c>
      <c r="C35" s="3" t="s">
        <v>6</v>
      </c>
      <c r="D35" s="4" t="s">
        <v>19</v>
      </c>
      <c r="E35" s="5">
        <v>802</v>
      </c>
      <c r="F35" s="6">
        <v>789</v>
      </c>
      <c r="G35" s="7" t="str">
        <f>+VLOOKUP(B35,'[1]TIENDAS 2025'!$A$1:$C$144,3,0)</f>
        <v>departamental</v>
      </c>
      <c r="H35" s="7">
        <f>+VLOOKUP(B35,[2]Hoja1!$A$7:$B$147,2,0)</f>
        <v>147</v>
      </c>
      <c r="I35" s="10">
        <f>+H35+E35</f>
        <v>949</v>
      </c>
    </row>
    <row r="36" spans="1:9" ht="14.4" customHeight="1">
      <c r="A36" s="3">
        <v>802963</v>
      </c>
      <c r="B36" s="3" t="s">
        <v>96</v>
      </c>
      <c r="C36" s="3" t="s">
        <v>6</v>
      </c>
      <c r="D36" s="4" t="s">
        <v>33</v>
      </c>
      <c r="E36" s="5">
        <v>348</v>
      </c>
      <c r="F36" s="6">
        <v>347</v>
      </c>
      <c r="G36" s="7" t="str">
        <f>+VLOOKUP(B36,'[1]TIENDAS 2025'!$A$1:$C$144,3,0)</f>
        <v>departamental</v>
      </c>
      <c r="H36" s="7">
        <f>+VLOOKUP(B36,[2]Hoja1!$A$7:$B$147,2,0)</f>
        <v>203</v>
      </c>
      <c r="I36" s="10">
        <f>+H36+E36</f>
        <v>551</v>
      </c>
    </row>
    <row r="37" spans="1:9" ht="14.4" customHeight="1">
      <c r="A37" s="3">
        <v>802968</v>
      </c>
      <c r="B37" s="3" t="s">
        <v>63</v>
      </c>
      <c r="C37" s="3" t="s">
        <v>6</v>
      </c>
      <c r="D37" s="4" t="s">
        <v>9</v>
      </c>
      <c r="E37" s="5">
        <v>169</v>
      </c>
      <c r="F37" s="6">
        <v>169</v>
      </c>
      <c r="G37" s="7" t="str">
        <f>+VLOOKUP(B37,'[1]TIENDAS 2025'!$A$1:$C$144,3,0)</f>
        <v>local</v>
      </c>
      <c r="H37" s="7">
        <f>+VLOOKUP(B37,[2]Hoja1!$A$7:$B$147,2,0)</f>
        <v>204</v>
      </c>
      <c r="I37" s="10">
        <f>+H37+E37</f>
        <v>373</v>
      </c>
    </row>
    <row r="38" spans="1:9" ht="14.4" customHeight="1">
      <c r="A38" s="3">
        <v>802966</v>
      </c>
      <c r="B38" s="3" t="s">
        <v>97</v>
      </c>
      <c r="C38" s="3" t="s">
        <v>6</v>
      </c>
      <c r="D38" s="4" t="s">
        <v>34</v>
      </c>
      <c r="E38" s="5">
        <v>167</v>
      </c>
      <c r="F38" s="6">
        <v>167</v>
      </c>
      <c r="G38" s="7" t="str">
        <f>+VLOOKUP(B38,'[1]TIENDAS 2025'!$A$1:$C$144,3,0)</f>
        <v>local</v>
      </c>
      <c r="H38" s="7">
        <f>+VLOOKUP(B38,[2]Hoja1!$A$7:$B$147,2,0)</f>
        <v>189</v>
      </c>
      <c r="I38" s="10">
        <f>+H38+E38</f>
        <v>356</v>
      </c>
    </row>
    <row r="39" spans="1:9" ht="14.4" customHeight="1">
      <c r="A39" s="3">
        <v>802965</v>
      </c>
      <c r="B39" s="3" t="s">
        <v>89</v>
      </c>
      <c r="C39" s="3" t="s">
        <v>6</v>
      </c>
      <c r="D39" s="4" t="s">
        <v>26</v>
      </c>
      <c r="E39" s="5">
        <v>196</v>
      </c>
      <c r="F39" s="6">
        <v>194</v>
      </c>
      <c r="G39" s="7" t="str">
        <f>+VLOOKUP(B39,'[1]TIENDAS 2025'!$A$1:$C$144,3,0)</f>
        <v>local</v>
      </c>
      <c r="H39" s="7">
        <f>+VLOOKUP(B39,[2]Hoja1!$A$7:$B$147,2,0)</f>
        <v>295</v>
      </c>
      <c r="I39" s="10">
        <f>+H39+E39</f>
        <v>491</v>
      </c>
    </row>
    <row r="40" spans="1:9" ht="14.4" customHeight="1">
      <c r="A40" s="3">
        <v>802969</v>
      </c>
      <c r="B40" s="3" t="s">
        <v>82</v>
      </c>
      <c r="C40" s="3" t="s">
        <v>6</v>
      </c>
      <c r="D40" s="4" t="s">
        <v>20</v>
      </c>
      <c r="E40" s="5">
        <v>587</v>
      </c>
      <c r="F40" s="6">
        <v>581</v>
      </c>
      <c r="G40" s="7" t="str">
        <f>+VLOOKUP(B40,'[1]TIENDAS 2025'!$A$1:$C$144,3,0)</f>
        <v>departamental</v>
      </c>
      <c r="H40" s="7">
        <f>+VLOOKUP(B40,[2]Hoja1!$A$7:$B$147,2,0)</f>
        <v>254</v>
      </c>
      <c r="I40" s="10">
        <f>+H40+E40</f>
        <v>841</v>
      </c>
    </row>
    <row r="41" spans="1:9" ht="14.4" customHeight="1">
      <c r="A41" s="3">
        <v>802970</v>
      </c>
      <c r="B41" s="3" t="s">
        <v>90</v>
      </c>
      <c r="C41" s="3" t="s">
        <v>6</v>
      </c>
      <c r="D41" s="4" t="s">
        <v>26</v>
      </c>
      <c r="E41" s="5">
        <v>181</v>
      </c>
      <c r="F41" s="6">
        <v>181</v>
      </c>
      <c r="G41" s="7" t="str">
        <f>+VLOOKUP(B41,'[1]TIENDAS 2025'!$A$1:$C$144,3,0)</f>
        <v>local</v>
      </c>
      <c r="H41" s="7">
        <f>+VLOOKUP(B41,[2]Hoja1!$A$7:$B$147,2,0)</f>
        <v>231</v>
      </c>
      <c r="I41" s="10">
        <f>+H41+E41</f>
        <v>412</v>
      </c>
    </row>
    <row r="42" spans="1:9" ht="14.4" customHeight="1">
      <c r="A42" s="3">
        <v>802971</v>
      </c>
      <c r="B42" s="3" t="s">
        <v>100</v>
      </c>
      <c r="C42" s="3" t="s">
        <v>6</v>
      </c>
      <c r="D42" s="4" t="s">
        <v>54</v>
      </c>
      <c r="E42" s="5">
        <v>263</v>
      </c>
      <c r="F42" s="6">
        <v>255</v>
      </c>
      <c r="G42" s="7" t="str">
        <f>+VLOOKUP(B42,'[1]TIENDAS 2025'!$A$1:$C$144,3,0)</f>
        <v>local</v>
      </c>
      <c r="H42" s="7">
        <f>+VLOOKUP(B42,[2]Hoja1!$A$7:$B$147,2,0)</f>
        <v>322</v>
      </c>
      <c r="I42" s="10">
        <f>+H42+E42</f>
        <v>585</v>
      </c>
    </row>
    <row r="43" spans="1:9" ht="14.4" customHeight="1">
      <c r="A43" s="3">
        <v>802972</v>
      </c>
      <c r="B43" s="3" t="s">
        <v>64</v>
      </c>
      <c r="C43" s="3" t="s">
        <v>6</v>
      </c>
      <c r="D43" s="4" t="s">
        <v>27</v>
      </c>
      <c r="E43" s="5">
        <v>260</v>
      </c>
      <c r="F43" s="6">
        <v>260</v>
      </c>
      <c r="G43" s="7" t="str">
        <f>+VLOOKUP(B43,'[1]TIENDAS 2025'!$A$1:$C$144,3,0)</f>
        <v>local</v>
      </c>
      <c r="H43" s="7">
        <f>+VLOOKUP(B43,[2]Hoja1!$A$7:$B$147,2,0)</f>
        <v>242</v>
      </c>
      <c r="I43" s="10">
        <f>+H43+E43</f>
        <v>502</v>
      </c>
    </row>
    <row r="44" spans="1:9" ht="14.4" customHeight="1">
      <c r="A44" s="3">
        <v>802973</v>
      </c>
      <c r="B44" s="3" t="s">
        <v>70</v>
      </c>
      <c r="C44" s="3" t="s">
        <v>6</v>
      </c>
      <c r="D44" s="4" t="s">
        <v>10</v>
      </c>
      <c r="E44" s="5">
        <v>468</v>
      </c>
      <c r="F44" s="6">
        <v>462</v>
      </c>
      <c r="G44" s="7" t="str">
        <f>+VLOOKUP(B44,'[1]TIENDAS 2025'!$A$1:$C$144,3,0)</f>
        <v>departamental</v>
      </c>
      <c r="H44" s="7">
        <f>+VLOOKUP(B44,[2]Hoja1!$A$7:$B$147,2,0)</f>
        <v>305</v>
      </c>
      <c r="I44" s="10">
        <f>+H44+E44</f>
        <v>773</v>
      </c>
    </row>
    <row r="45" spans="1:9" ht="14.4" customHeight="1">
      <c r="A45" s="3">
        <v>802974</v>
      </c>
      <c r="B45" s="3" t="s">
        <v>71</v>
      </c>
      <c r="C45" s="3" t="s">
        <v>6</v>
      </c>
      <c r="D45" s="4" t="s">
        <v>11</v>
      </c>
      <c r="E45" s="5">
        <v>654</v>
      </c>
      <c r="F45" s="6">
        <v>642</v>
      </c>
      <c r="G45" s="7" t="str">
        <f>+VLOOKUP(B45,'[1]TIENDAS 2025'!$A$1:$C$144,3,0)</f>
        <v>departamental</v>
      </c>
      <c r="H45" s="7">
        <f>+VLOOKUP(B45,[2]Hoja1!$A$7:$B$147,2,0)</f>
        <v>266</v>
      </c>
      <c r="I45" s="10">
        <f>+H45+E45</f>
        <v>920</v>
      </c>
    </row>
    <row r="46" spans="1:9" ht="14.4" customHeight="1">
      <c r="A46" s="3">
        <v>802975</v>
      </c>
      <c r="B46" s="3" t="s">
        <v>72</v>
      </c>
      <c r="C46" s="3" t="s">
        <v>6</v>
      </c>
      <c r="D46" s="4" t="s">
        <v>12</v>
      </c>
      <c r="E46" s="5">
        <v>433</v>
      </c>
      <c r="F46" s="6">
        <v>426</v>
      </c>
      <c r="G46" s="7" t="str">
        <f>+VLOOKUP(B46,'[1]TIENDAS 2025'!$A$1:$C$144,3,0)</f>
        <v xml:space="preserve">departamental </v>
      </c>
      <c r="H46" s="7">
        <f>+VLOOKUP(B46,[2]Hoja1!$A$7:$B$147,2,0)</f>
        <v>181</v>
      </c>
      <c r="I46" s="10">
        <f>+H46+E46</f>
        <v>614</v>
      </c>
    </row>
    <row r="47" spans="1:9" ht="14.4" customHeight="1">
      <c r="A47" s="3">
        <v>802977</v>
      </c>
      <c r="B47" s="3" t="s">
        <v>130</v>
      </c>
      <c r="C47" s="3" t="s">
        <v>6</v>
      </c>
      <c r="D47" s="4" t="s">
        <v>60</v>
      </c>
      <c r="E47" s="5">
        <v>536</v>
      </c>
      <c r="F47" s="6">
        <v>534</v>
      </c>
      <c r="G47" s="7" t="str">
        <f>+VLOOKUP(B47,'[1]TIENDAS 2025'!$A$1:$C$144,3,0)</f>
        <v>departamental</v>
      </c>
      <c r="H47" s="7">
        <f>+VLOOKUP(B47,[2]Hoja1!$A$7:$B$147,2,0)</f>
        <v>409</v>
      </c>
      <c r="I47" s="10">
        <f>+H47+E47</f>
        <v>945</v>
      </c>
    </row>
    <row r="48" spans="1:9" ht="14.4" customHeight="1">
      <c r="A48" s="3">
        <v>802978</v>
      </c>
      <c r="B48" s="3" t="s">
        <v>83</v>
      </c>
      <c r="C48" s="3" t="s">
        <v>6</v>
      </c>
      <c r="D48" s="4" t="s">
        <v>21</v>
      </c>
      <c r="E48" s="5">
        <v>364</v>
      </c>
      <c r="F48" s="6">
        <v>361</v>
      </c>
      <c r="G48" s="7" t="str">
        <f>+VLOOKUP(B48,'[1]TIENDAS 2025'!$A$1:$C$144,3,0)</f>
        <v>departamental</v>
      </c>
      <c r="H48" s="7">
        <f>+VLOOKUP(B48,[2]Hoja1!$A$7:$B$147,2,0)</f>
        <v>346</v>
      </c>
      <c r="I48" s="10">
        <f>+H48+E48</f>
        <v>710</v>
      </c>
    </row>
    <row r="49" spans="1:9" ht="14.4" customHeight="1">
      <c r="A49" s="3">
        <v>802982</v>
      </c>
      <c r="B49" s="3" t="s">
        <v>131</v>
      </c>
      <c r="C49" s="3" t="s">
        <v>6</v>
      </c>
      <c r="D49" s="4" t="s">
        <v>61</v>
      </c>
      <c r="E49" s="5">
        <v>507</v>
      </c>
      <c r="F49" s="6">
        <v>506</v>
      </c>
      <c r="G49" s="7" t="str">
        <f>+VLOOKUP(B49,'[1]TIENDAS 2025'!$A$1:$C$144,3,0)</f>
        <v>departamental</v>
      </c>
      <c r="H49" s="7">
        <f>+VLOOKUP(B49,[2]Hoja1!$A$7:$B$147,2,0)</f>
        <v>340</v>
      </c>
      <c r="I49" s="10">
        <f>+H49+E49</f>
        <v>847</v>
      </c>
    </row>
    <row r="50" spans="1:9" ht="14.4" customHeight="1">
      <c r="A50" s="3">
        <v>802986</v>
      </c>
      <c r="B50" s="3" t="s">
        <v>116</v>
      </c>
      <c r="C50" s="3" t="s">
        <v>6</v>
      </c>
      <c r="D50" s="4" t="s">
        <v>45</v>
      </c>
      <c r="E50" s="5">
        <v>571</v>
      </c>
      <c r="F50" s="6">
        <v>568</v>
      </c>
      <c r="G50" s="7" t="str">
        <f>+VLOOKUP(B50,'[1]TIENDAS 2025'!$A$1:$C$144,3,0)</f>
        <v>departamental</v>
      </c>
      <c r="H50" s="7">
        <f>+VLOOKUP(B50,[2]Hoja1!$A$7:$B$147,2,0)</f>
        <v>336</v>
      </c>
      <c r="I50" s="10">
        <f>+H50+E50</f>
        <v>907</v>
      </c>
    </row>
    <row r="51" spans="1:9" ht="14.4" customHeight="1">
      <c r="A51" s="3">
        <v>802997</v>
      </c>
      <c r="B51" s="3" t="s">
        <v>106</v>
      </c>
      <c r="C51" s="3" t="s">
        <v>6</v>
      </c>
      <c r="D51" s="4" t="s">
        <v>39</v>
      </c>
      <c r="E51" s="5">
        <v>461</v>
      </c>
      <c r="F51" s="6">
        <v>460</v>
      </c>
      <c r="G51" s="7" t="str">
        <f>+VLOOKUP(B51,'[1]TIENDAS 2025'!$A$1:$C$144,3,0)</f>
        <v>departamental</v>
      </c>
      <c r="H51" s="7">
        <f>+VLOOKUP(B51,[2]Hoja1!$A$7:$B$147,2,0)</f>
        <v>355</v>
      </c>
      <c r="I51" s="10">
        <f>+H51+E51</f>
        <v>816</v>
      </c>
    </row>
    <row r="52" spans="1:9" ht="14.4" customHeight="1">
      <c r="A52" s="3">
        <v>802993</v>
      </c>
      <c r="B52" s="3" t="s">
        <v>117</v>
      </c>
      <c r="C52" s="3" t="s">
        <v>6</v>
      </c>
      <c r="D52" s="4" t="s">
        <v>47</v>
      </c>
      <c r="E52" s="5">
        <v>220</v>
      </c>
      <c r="F52" s="6">
        <v>218</v>
      </c>
      <c r="G52" s="7" t="str">
        <f>+VLOOKUP(B52,'[1]TIENDAS 2025'!$A$1:$C$144,3,0)</f>
        <v>local</v>
      </c>
      <c r="H52" s="7">
        <f>+VLOOKUP(B52,[2]Hoja1!$A$7:$B$147,2,0)</f>
        <v>336</v>
      </c>
      <c r="I52" s="10">
        <f>+H52+E52</f>
        <v>556</v>
      </c>
    </row>
    <row r="53" spans="1:9" ht="14.4" customHeight="1">
      <c r="A53" s="3">
        <v>802854</v>
      </c>
      <c r="B53" s="3" t="s">
        <v>117</v>
      </c>
      <c r="C53" s="3" t="s">
        <v>6</v>
      </c>
      <c r="D53" s="8" t="s">
        <v>50</v>
      </c>
      <c r="E53" s="5">
        <v>191</v>
      </c>
      <c r="F53" s="6">
        <v>190</v>
      </c>
      <c r="G53" s="7" t="str">
        <f>+VLOOKUP(B53,'[1]TIENDAS 2025'!$A$1:$C$144,3,0)</f>
        <v>local</v>
      </c>
      <c r="H53" s="7">
        <f>+VLOOKUP(B53,[2]Hoja1!$A$7:$B$147,2,0)</f>
        <v>336</v>
      </c>
      <c r="I53" s="10">
        <f>+H53+E53</f>
        <v>527</v>
      </c>
    </row>
    <row r="54" spans="1:9" ht="14.4" customHeight="1">
      <c r="A54" s="3">
        <v>802992</v>
      </c>
      <c r="B54" s="3" t="s">
        <v>105</v>
      </c>
      <c r="C54" s="3" t="s">
        <v>6</v>
      </c>
      <c r="D54" s="4" t="s">
        <v>38</v>
      </c>
      <c r="E54" s="5">
        <v>423</v>
      </c>
      <c r="F54" s="6">
        <v>420</v>
      </c>
      <c r="G54" s="7" t="str">
        <f>+VLOOKUP(B54,'[1]TIENDAS 2025'!$A$1:$C$144,3,0)</f>
        <v>local</v>
      </c>
      <c r="H54" s="7">
        <f>+VLOOKUP(B54,[2]Hoja1!$A$7:$B$147,2,0)</f>
        <v>241</v>
      </c>
      <c r="I54" s="10">
        <f>+H54+E54</f>
        <v>664</v>
      </c>
    </row>
    <row r="55" spans="1:9" ht="14.4" customHeight="1">
      <c r="A55" s="3">
        <v>802991</v>
      </c>
      <c r="B55" s="3" t="s">
        <v>108</v>
      </c>
      <c r="C55" s="3" t="s">
        <v>6</v>
      </c>
      <c r="D55" s="4" t="s">
        <v>46</v>
      </c>
      <c r="E55" s="5">
        <v>311</v>
      </c>
      <c r="F55" s="6">
        <v>311</v>
      </c>
      <c r="G55" s="7" t="str">
        <f>+VLOOKUP(B55,'[1]TIENDAS 2025'!$A$1:$C$144,3,0)</f>
        <v>local</v>
      </c>
      <c r="H55" s="7">
        <f>+VLOOKUP(B55,[2]Hoja1!$A$7:$B$147,2,0)</f>
        <v>298</v>
      </c>
      <c r="I55" s="10">
        <f>+H55+E55</f>
        <v>609</v>
      </c>
    </row>
    <row r="56" spans="1:9" ht="14.4" customHeight="1">
      <c r="A56" s="3">
        <v>802989</v>
      </c>
      <c r="B56" s="3" t="s">
        <v>98</v>
      </c>
      <c r="C56" s="3" t="s">
        <v>6</v>
      </c>
      <c r="D56" s="4" t="s">
        <v>35</v>
      </c>
      <c r="E56" s="5">
        <v>286</v>
      </c>
      <c r="F56" s="6">
        <v>285</v>
      </c>
      <c r="G56" s="7" t="str">
        <f>+VLOOKUP(B56,'[1]TIENDAS 2025'!$A$1:$C$144,3,0)</f>
        <v>departamental</v>
      </c>
      <c r="H56" s="7">
        <f>+VLOOKUP(B56,[2]Hoja1!$A$7:$B$147,2,0)</f>
        <v>437</v>
      </c>
      <c r="I56" s="10">
        <f>+H56+E56</f>
        <v>723</v>
      </c>
    </row>
    <row r="57" spans="1:9" ht="14.4" customHeight="1">
      <c r="A57" s="3">
        <v>802996</v>
      </c>
      <c r="B57" s="3" t="s">
        <v>99</v>
      </c>
      <c r="C57" s="3" t="s">
        <v>6</v>
      </c>
      <c r="D57" s="4" t="s">
        <v>36</v>
      </c>
      <c r="E57" s="5">
        <v>2177</v>
      </c>
      <c r="F57" s="6">
        <v>1679</v>
      </c>
      <c r="G57" s="7" t="str">
        <f>+VLOOKUP(B57,'[1]TIENDAS 2025'!$A$1:$C$144,3,0)</f>
        <v>local</v>
      </c>
      <c r="H57" s="7">
        <f>+VLOOKUP(B57,[2]Hoja1!$A$7:$B$147,2,0)</f>
        <v>6</v>
      </c>
      <c r="I57" s="10">
        <f>+H57+E57</f>
        <v>2183</v>
      </c>
    </row>
    <row r="63" spans="1:9">
      <c r="C63" s="11" t="s">
        <v>103</v>
      </c>
      <c r="D63" s="11">
        <v>802953</v>
      </c>
    </row>
    <row r="64" spans="1:9">
      <c r="C64" s="11" t="s">
        <v>104</v>
      </c>
      <c r="D64" s="11">
        <v>802962</v>
      </c>
    </row>
    <row r="65" spans="3:4">
      <c r="C65" s="11" t="s">
        <v>115</v>
      </c>
      <c r="D65" s="11">
        <v>802955</v>
      </c>
    </row>
    <row r="66" spans="3:4">
      <c r="C66" s="11" t="s">
        <v>121</v>
      </c>
      <c r="D66" s="11">
        <v>802901</v>
      </c>
    </row>
    <row r="67" spans="3:4">
      <c r="C67" s="11" t="s">
        <v>119</v>
      </c>
      <c r="D67" s="11">
        <v>802867</v>
      </c>
    </row>
    <row r="68" spans="3:4">
      <c r="C68" s="11" t="s">
        <v>85</v>
      </c>
      <c r="D68" s="11">
        <v>802898</v>
      </c>
    </row>
    <row r="69" spans="3:4">
      <c r="C69" s="11" t="s">
        <v>109</v>
      </c>
      <c r="D69" s="11">
        <v>802873</v>
      </c>
    </row>
    <row r="70" spans="3:4">
      <c r="C70" s="11" t="s">
        <v>110</v>
      </c>
      <c r="D70" s="11">
        <v>802876</v>
      </c>
    </row>
    <row r="71" spans="3:4">
      <c r="C71" s="11" t="s">
        <v>65</v>
      </c>
      <c r="D71" s="11">
        <v>802861</v>
      </c>
    </row>
    <row r="72" spans="3:4">
      <c r="C72" s="11" t="s">
        <v>67</v>
      </c>
      <c r="D72" s="11">
        <v>802877</v>
      </c>
    </row>
    <row r="73" spans="3:4">
      <c r="C73" s="11" t="s">
        <v>66</v>
      </c>
      <c r="D73" s="11">
        <v>802872</v>
      </c>
    </row>
    <row r="74" spans="3:4">
      <c r="C74" s="11" t="s">
        <v>101</v>
      </c>
      <c r="D74" s="11">
        <v>802860</v>
      </c>
    </row>
    <row r="75" spans="3:4">
      <c r="C75" s="11" t="s">
        <v>73</v>
      </c>
      <c r="D75" s="11">
        <v>802888</v>
      </c>
    </row>
    <row r="76" spans="3:4">
      <c r="C76" s="11" t="s">
        <v>120</v>
      </c>
      <c r="D76" s="11">
        <v>802882</v>
      </c>
    </row>
    <row r="77" spans="3:4">
      <c r="C77" s="11" t="s">
        <v>74</v>
      </c>
      <c r="D77" s="11">
        <v>802897</v>
      </c>
    </row>
    <row r="78" spans="3:4">
      <c r="C78" s="3" t="s">
        <v>126</v>
      </c>
      <c r="D78" s="3">
        <v>802903</v>
      </c>
    </row>
    <row r="79" spans="3:4">
      <c r="C79" s="3" t="s">
        <v>75</v>
      </c>
      <c r="D79" s="3">
        <v>802905</v>
      </c>
    </row>
    <row r="80" spans="3:4">
      <c r="C80" s="3" t="s">
        <v>91</v>
      </c>
      <c r="D80" s="3">
        <v>802906</v>
      </c>
    </row>
    <row r="81" spans="3:4">
      <c r="C81" s="3" t="s">
        <v>62</v>
      </c>
      <c r="D81" s="3">
        <v>802908</v>
      </c>
    </row>
    <row r="82" spans="3:4">
      <c r="C82" s="3" t="s">
        <v>92</v>
      </c>
      <c r="D82" s="3">
        <v>802909</v>
      </c>
    </row>
    <row r="83" spans="3:4">
      <c r="C83" s="3" t="s">
        <v>76</v>
      </c>
      <c r="D83" s="3">
        <v>802913</v>
      </c>
    </row>
    <row r="84" spans="3:4">
      <c r="C84" s="3" t="s">
        <v>122</v>
      </c>
      <c r="D84" s="3">
        <v>802912</v>
      </c>
    </row>
    <row r="85" spans="3:4">
      <c r="C85" s="3" t="s">
        <v>68</v>
      </c>
      <c r="D85" s="3">
        <v>802915</v>
      </c>
    </row>
    <row r="86" spans="3:4">
      <c r="C86" s="3" t="s">
        <v>123</v>
      </c>
      <c r="D86" s="3">
        <v>802914</v>
      </c>
    </row>
    <row r="87" spans="3:4">
      <c r="C87" s="3" t="s">
        <v>77</v>
      </c>
      <c r="D87" s="3">
        <v>802917</v>
      </c>
    </row>
    <row r="88" spans="3:4">
      <c r="C88" s="3" t="s">
        <v>78</v>
      </c>
      <c r="D88" s="3">
        <v>802921</v>
      </c>
    </row>
    <row r="89" spans="3:4">
      <c r="C89" s="3" t="s">
        <v>86</v>
      </c>
      <c r="D89" s="3">
        <v>802325</v>
      </c>
    </row>
    <row r="90" spans="3:4">
      <c r="C90" s="3" t="s">
        <v>79</v>
      </c>
      <c r="D90" s="3">
        <v>802923</v>
      </c>
    </row>
    <row r="91" spans="3:4">
      <c r="C91" s="3" t="s">
        <v>112</v>
      </c>
      <c r="D91" s="3">
        <v>802928</v>
      </c>
    </row>
    <row r="92" spans="3:4">
      <c r="C92" s="3" t="s">
        <v>87</v>
      </c>
      <c r="D92" s="3">
        <v>802927</v>
      </c>
    </row>
    <row r="93" spans="3:4">
      <c r="C93" s="3" t="s">
        <v>127</v>
      </c>
      <c r="D93" s="3">
        <v>802926</v>
      </c>
    </row>
    <row r="94" spans="3:4">
      <c r="C94" s="3" t="s">
        <v>113</v>
      </c>
      <c r="D94" s="3">
        <v>802930</v>
      </c>
    </row>
    <row r="95" spans="3:4">
      <c r="C95" s="3" t="s">
        <v>80</v>
      </c>
      <c r="D95" s="3">
        <v>802935</v>
      </c>
    </row>
    <row r="96" spans="3:4">
      <c r="C96" s="3" t="s">
        <v>128</v>
      </c>
      <c r="D96" s="3">
        <v>802934</v>
      </c>
    </row>
    <row r="97" spans="3:4">
      <c r="C97" s="3" t="s">
        <v>124</v>
      </c>
      <c r="D97" s="3">
        <v>802933</v>
      </c>
    </row>
    <row r="98" spans="3:4">
      <c r="C98" s="3" t="s">
        <v>118</v>
      </c>
      <c r="D98" s="3">
        <v>802800</v>
      </c>
    </row>
    <row r="99" spans="3:4">
      <c r="C99" s="3" t="s">
        <v>125</v>
      </c>
      <c r="D99" s="3">
        <v>802938</v>
      </c>
    </row>
    <row r="100" spans="3:4">
      <c r="C100" s="3" t="s">
        <v>93</v>
      </c>
      <c r="D100" s="3">
        <v>802937</v>
      </c>
    </row>
    <row r="101" spans="3:4">
      <c r="C101" s="3" t="s">
        <v>102</v>
      </c>
      <c r="D101" s="3">
        <v>802944</v>
      </c>
    </row>
    <row r="102" spans="3:4">
      <c r="C102" s="3" t="s">
        <v>84</v>
      </c>
      <c r="D102" s="3">
        <v>802806</v>
      </c>
    </row>
    <row r="103" spans="3:4">
      <c r="C103" s="3" t="s">
        <v>69</v>
      </c>
      <c r="D103" s="3">
        <v>802947</v>
      </c>
    </row>
    <row r="104" spans="3:4">
      <c r="C104" s="3" t="s">
        <v>94</v>
      </c>
      <c r="D104" s="3">
        <v>802945</v>
      </c>
    </row>
    <row r="105" spans="3:4">
      <c r="C105" s="3" t="s">
        <v>95</v>
      </c>
      <c r="D105" s="3">
        <v>802948</v>
      </c>
    </row>
    <row r="106" spans="3:4">
      <c r="C106" s="3" t="s">
        <v>114</v>
      </c>
      <c r="D106" s="3">
        <v>802949</v>
      </c>
    </row>
    <row r="107" spans="3:4">
      <c r="C107" s="3" t="s">
        <v>88</v>
      </c>
      <c r="D107" s="3">
        <v>802950</v>
      </c>
    </row>
    <row r="108" spans="3:4">
      <c r="C108" s="3" t="s">
        <v>107</v>
      </c>
      <c r="D108" s="3">
        <v>802813</v>
      </c>
    </row>
    <row r="109" spans="3:4">
      <c r="C109" s="3" t="s">
        <v>129</v>
      </c>
      <c r="D109" s="3">
        <v>802958</v>
      </c>
    </row>
    <row r="110" spans="3:4">
      <c r="C110" s="3" t="s">
        <v>81</v>
      </c>
      <c r="D110" s="3">
        <v>802959</v>
      </c>
    </row>
    <row r="111" spans="3:4">
      <c r="C111" s="3" t="s">
        <v>96</v>
      </c>
      <c r="D111" s="3">
        <v>802963</v>
      </c>
    </row>
    <row r="112" spans="3:4">
      <c r="C112" s="3" t="s">
        <v>63</v>
      </c>
      <c r="D112" s="3">
        <v>802968</v>
      </c>
    </row>
    <row r="113" spans="3:4">
      <c r="C113" s="3" t="s">
        <v>97</v>
      </c>
      <c r="D113" s="3">
        <v>802966</v>
      </c>
    </row>
    <row r="114" spans="3:4">
      <c r="C114" s="3" t="s">
        <v>89</v>
      </c>
      <c r="D114" s="3">
        <v>802965</v>
      </c>
    </row>
    <row r="115" spans="3:4">
      <c r="C115" s="3" t="s">
        <v>82</v>
      </c>
      <c r="D115" s="3">
        <v>802969</v>
      </c>
    </row>
    <row r="116" spans="3:4">
      <c r="C116" s="3" t="s">
        <v>90</v>
      </c>
      <c r="D116" s="3">
        <v>802970</v>
      </c>
    </row>
    <row r="117" spans="3:4">
      <c r="C117" s="3" t="s">
        <v>100</v>
      </c>
      <c r="D117" s="3">
        <v>802971</v>
      </c>
    </row>
    <row r="118" spans="3:4">
      <c r="C118" s="3" t="s">
        <v>64</v>
      </c>
      <c r="D118" s="3">
        <v>802972</v>
      </c>
    </row>
    <row r="119" spans="3:4">
      <c r="C119" s="3" t="s">
        <v>70</v>
      </c>
      <c r="D119" s="3">
        <v>802973</v>
      </c>
    </row>
    <row r="120" spans="3:4">
      <c r="C120" s="3" t="s">
        <v>71</v>
      </c>
      <c r="D120" s="3">
        <v>802974</v>
      </c>
    </row>
    <row r="121" spans="3:4">
      <c r="C121" s="3" t="s">
        <v>72</v>
      </c>
      <c r="D121" s="3">
        <v>802975</v>
      </c>
    </row>
    <row r="122" spans="3:4">
      <c r="C122" s="3" t="s">
        <v>130</v>
      </c>
      <c r="D122" s="3">
        <v>802977</v>
      </c>
    </row>
    <row r="123" spans="3:4">
      <c r="C123" s="3" t="s">
        <v>83</v>
      </c>
      <c r="D123" s="3">
        <v>802978</v>
      </c>
    </row>
    <row r="124" spans="3:4">
      <c r="C124" s="3" t="s">
        <v>131</v>
      </c>
      <c r="D124" s="3">
        <v>802982</v>
      </c>
    </row>
    <row r="125" spans="3:4">
      <c r="C125" s="3" t="s">
        <v>116</v>
      </c>
      <c r="D125" s="3">
        <v>802986</v>
      </c>
    </row>
    <row r="126" spans="3:4">
      <c r="C126" s="3" t="s">
        <v>106</v>
      </c>
      <c r="D126" s="3">
        <v>802997</v>
      </c>
    </row>
    <row r="127" spans="3:4">
      <c r="C127" s="3" t="s">
        <v>117</v>
      </c>
      <c r="D127" s="3">
        <v>802993</v>
      </c>
    </row>
    <row r="128" spans="3:4">
      <c r="C128" s="3" t="s">
        <v>117</v>
      </c>
      <c r="D128" s="3">
        <v>802854</v>
      </c>
    </row>
    <row r="129" spans="3:4">
      <c r="C129" s="3" t="s">
        <v>105</v>
      </c>
      <c r="D129" s="3">
        <v>802992</v>
      </c>
    </row>
    <row r="130" spans="3:4">
      <c r="C130" s="3" t="s">
        <v>108</v>
      </c>
      <c r="D130" s="3">
        <v>802991</v>
      </c>
    </row>
    <row r="131" spans="3:4">
      <c r="C131" s="3" t="s">
        <v>98</v>
      </c>
      <c r="D131" s="3">
        <v>802989</v>
      </c>
    </row>
    <row r="132" spans="3:4">
      <c r="C132" s="3" t="s">
        <v>99</v>
      </c>
      <c r="D132" s="3">
        <v>802996</v>
      </c>
    </row>
  </sheetData>
  <autoFilter ref="A1:I57" xr:uid="{00000000-0001-0000-0000-000000000000}">
    <sortState xmlns:xlrd2="http://schemas.microsoft.com/office/spreadsheetml/2017/richdata2" ref="A2:I57">
      <sortCondition ref="B1:B57"/>
    </sortState>
  </autoFilter>
  <sortState xmlns:xlrd2="http://schemas.microsoft.com/office/spreadsheetml/2017/richdata2" ref="A2:F57">
    <sortCondition ref="B2:B57"/>
  </sortState>
  <conditionalFormatting sqref="C63:C77">
    <cfRule type="duplicateValues" dxfId="2" priority="2"/>
  </conditionalFormatting>
  <conditionalFormatting sqref="B2:B57">
    <cfRule type="duplicateValues" dxfId="1" priority="16"/>
  </conditionalFormatting>
  <conditionalFormatting sqref="C78:C132">
    <cfRule type="duplicateValues" dxfId="0" priority="17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459C13D-044A-4E90-B4BD-03F2D853F40E}"/>
</file>

<file path=customXml/itemProps2.xml><?xml version="1.0" encoding="utf-8"?>
<ds:datastoreItem xmlns:ds="http://schemas.openxmlformats.org/officeDocument/2006/customXml" ds:itemID="{BDE7A99E-A663-4E98-8541-A0D5D6868AFA}"/>
</file>

<file path=customXml/itemProps3.xml><?xml version="1.0" encoding="utf-8"?>
<ds:datastoreItem xmlns:ds="http://schemas.openxmlformats.org/officeDocument/2006/customXml" ds:itemID="{2F24A962-A394-4022-88DE-42171CA89E3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ANTIGUOS DESPACHOS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2026-10-24T17:03:58Z</dcterms:created>
  <dcterms:modified xsi:type="dcterms:W3CDTF">2026-10-24T17:03:58Z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