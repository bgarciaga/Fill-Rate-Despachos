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.sharepoint.com/sites/EQUIPO_SLOTTING/Shared Documents/INVENTARIOS/AJUSTES/"/>
    </mc:Choice>
  </mc:AlternateContent>
  <xr:revisionPtr revIDLastSave="0" documentId="8_{81745E18-D2F3-488F-8D1D-45E03779C1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justes Multiclientes" sheetId="1" r:id="rId1"/>
  </sheets>
  <externalReferences>
    <externalReference r:id="rId2"/>
  </externalReferences>
  <calcPr calcId="191029"/>
</workbook>
</file>

<file path=xl/calcChain.xml><?xml version="1.0" encoding="utf-8"?>
<calcChain xmlns="http://schemas.openxmlformats.org/spreadsheetml/2006/main">
  <c r="K3" i="1" l="1"/>
  <c r="L3" i="1" s="1"/>
  <c r="K4" i="1"/>
  <c r="L4" i="1" s="1"/>
  <c r="K19" i="1"/>
  <c r="L19" i="1" s="1"/>
  <c r="K23" i="1"/>
  <c r="L23" i="1" s="1"/>
  <c r="L20" i="1"/>
  <c r="K11" i="1"/>
  <c r="L11" i="1" s="1"/>
  <c r="K15" i="1"/>
  <c r="L15" i="1" s="1"/>
  <c r="K58" i="1"/>
  <c r="L58" i="1" s="1"/>
  <c r="K10" i="1"/>
  <c r="L10" i="1" s="1"/>
  <c r="K21" i="1"/>
  <c r="L21" i="1" s="1"/>
  <c r="K5" i="1"/>
  <c r="L5" i="1" s="1"/>
  <c r="K36" i="1"/>
  <c r="L36" i="1" s="1"/>
  <c r="K16" i="1"/>
  <c r="L16" i="1" s="1"/>
  <c r="K67" i="1"/>
  <c r="L67" i="1" s="1"/>
  <c r="K14" i="1"/>
  <c r="L14" i="1" s="1"/>
  <c r="K30" i="1"/>
  <c r="L30" i="1" s="1"/>
  <c r="K34" i="1"/>
  <c r="L34" i="1" s="1"/>
  <c r="L9" i="1"/>
  <c r="K29" i="1"/>
  <c r="L29" i="1" s="1"/>
  <c r="K39" i="1"/>
  <c r="L39" i="1" s="1"/>
  <c r="K17" i="1"/>
  <c r="L17" i="1" s="1"/>
  <c r="K46" i="1"/>
  <c r="L46" i="1" s="1"/>
  <c r="K49" i="1"/>
  <c r="L49" i="1" s="1"/>
  <c r="K116" i="1"/>
  <c r="L116" i="1" s="1"/>
  <c r="K51" i="1"/>
  <c r="L51" i="1" s="1"/>
  <c r="K18" i="1"/>
  <c r="L18" i="1" s="1"/>
  <c r="K87" i="1"/>
  <c r="L87" i="1" s="1"/>
  <c r="K81" i="1"/>
  <c r="L81" i="1" s="1"/>
  <c r="K32" i="1"/>
  <c r="L32" i="1" s="1"/>
  <c r="K31" i="1"/>
  <c r="L31" i="1" s="1"/>
  <c r="K76" i="1"/>
  <c r="L76" i="1" s="1"/>
  <c r="K26" i="1"/>
  <c r="L26" i="1" s="1"/>
  <c r="K44" i="1"/>
  <c r="L44" i="1" s="1"/>
  <c r="K8" i="1"/>
  <c r="L8" i="1" s="1"/>
  <c r="K88" i="1"/>
  <c r="L88" i="1" s="1"/>
  <c r="K37" i="1"/>
  <c r="L37" i="1" s="1"/>
  <c r="K40" i="1"/>
  <c r="L40" i="1" s="1"/>
  <c r="K41" i="1"/>
  <c r="L41" i="1" s="1"/>
  <c r="K52" i="1"/>
  <c r="L52" i="1" s="1"/>
  <c r="K22" i="1"/>
  <c r="L22" i="1" s="1"/>
  <c r="K75" i="1"/>
  <c r="L75" i="1" s="1"/>
  <c r="K35" i="1"/>
  <c r="L35" i="1" s="1"/>
  <c r="L90" i="1"/>
  <c r="L91" i="1"/>
  <c r="K95" i="1"/>
  <c r="L95" i="1" s="1"/>
  <c r="K33" i="1"/>
  <c r="L33" i="1" s="1"/>
  <c r="K96" i="1"/>
  <c r="L96" i="1" s="1"/>
  <c r="K110" i="1"/>
  <c r="L110" i="1" s="1"/>
  <c r="K107" i="1"/>
  <c r="L107" i="1" s="1"/>
  <c r="K89" i="1"/>
  <c r="L89" i="1" s="1"/>
  <c r="K62" i="1"/>
  <c r="L62" i="1" s="1"/>
  <c r="K129" i="1"/>
  <c r="L129" i="1" s="1"/>
  <c r="K85" i="1"/>
  <c r="L85" i="1" s="1"/>
  <c r="K97" i="1"/>
  <c r="L97" i="1" s="1"/>
  <c r="K28" i="1"/>
  <c r="L28" i="1" s="1"/>
  <c r="K121" i="1"/>
  <c r="L121" i="1" s="1"/>
  <c r="K24" i="1"/>
  <c r="L24" i="1" s="1"/>
  <c r="K25" i="1"/>
  <c r="L25" i="1" s="1"/>
  <c r="K60" i="1"/>
  <c r="L60" i="1" s="1"/>
  <c r="K122" i="1"/>
  <c r="L122" i="1" s="1"/>
  <c r="K42" i="1"/>
  <c r="L42" i="1" s="1"/>
  <c r="K12" i="1"/>
  <c r="L12" i="1" s="1"/>
  <c r="K53" i="1"/>
  <c r="L53" i="1" s="1"/>
  <c r="K27" i="1"/>
  <c r="L27" i="1" s="1"/>
  <c r="K128" i="1"/>
  <c r="L128" i="1" s="1"/>
  <c r="K56" i="1"/>
  <c r="L56" i="1" s="1"/>
  <c r="L117" i="1"/>
  <c r="K74" i="1"/>
  <c r="L74" i="1" s="1"/>
  <c r="K72" i="1"/>
  <c r="L72" i="1" s="1"/>
  <c r="K73" i="1"/>
  <c r="L73" i="1" s="1"/>
  <c r="K54" i="1"/>
  <c r="L54" i="1" s="1"/>
  <c r="K101" i="1"/>
  <c r="L101" i="1" s="1"/>
  <c r="K6" i="1"/>
  <c r="L6" i="1" s="1"/>
  <c r="K38" i="1"/>
  <c r="L38" i="1" s="1"/>
  <c r="K126" i="1"/>
  <c r="L126" i="1" s="1"/>
  <c r="K70" i="1"/>
  <c r="L70" i="1" s="1"/>
  <c r="K71" i="1"/>
  <c r="L71" i="1" s="1"/>
  <c r="K86" i="1"/>
  <c r="L86" i="1" s="1"/>
  <c r="K103" i="1"/>
  <c r="L103" i="1" s="1"/>
  <c r="K61" i="1"/>
  <c r="L61" i="1" s="1"/>
  <c r="K45" i="1"/>
  <c r="L45" i="1" s="1"/>
  <c r="K69" i="1"/>
  <c r="L69" i="1" s="1"/>
  <c r="K118" i="1"/>
  <c r="L118" i="1" s="1"/>
  <c r="K43" i="1"/>
  <c r="L43" i="1" s="1"/>
  <c r="K127" i="1"/>
  <c r="L127" i="1" s="1"/>
  <c r="K68" i="1"/>
  <c r="L68" i="1" s="1"/>
  <c r="K79" i="1"/>
  <c r="L79" i="1" s="1"/>
  <c r="K82" i="1"/>
  <c r="L82" i="1" s="1"/>
  <c r="K59" i="1"/>
  <c r="L59" i="1" s="1"/>
  <c r="K115" i="1"/>
  <c r="L115" i="1" s="1"/>
  <c r="K93" i="1"/>
  <c r="L93" i="1" s="1"/>
  <c r="K48" i="1"/>
  <c r="L48" i="1" s="1"/>
  <c r="K55" i="1"/>
  <c r="L55" i="1" s="1"/>
  <c r="K120" i="1"/>
  <c r="L120" i="1" s="1"/>
  <c r="K64" i="1"/>
  <c r="L64" i="1" s="1"/>
  <c r="K100" i="1"/>
  <c r="L100" i="1" s="1"/>
  <c r="K99" i="1"/>
  <c r="L99" i="1" s="1"/>
  <c r="K83" i="1"/>
  <c r="L83" i="1" s="1"/>
  <c r="K105" i="1"/>
  <c r="L105" i="1" s="1"/>
  <c r="K78" i="1"/>
  <c r="L78" i="1" s="1"/>
  <c r="K111" i="1"/>
  <c r="L111" i="1" s="1"/>
  <c r="K47" i="1"/>
  <c r="L47" i="1" s="1"/>
  <c r="K13" i="1"/>
  <c r="L13" i="1" s="1"/>
  <c r="K113" i="1"/>
  <c r="L113" i="1" s="1"/>
  <c r="K108" i="1"/>
  <c r="L108" i="1" s="1"/>
  <c r="K65" i="1"/>
  <c r="L65" i="1" s="1"/>
  <c r="K66" i="1"/>
  <c r="L66" i="1" s="1"/>
  <c r="K104" i="1"/>
  <c r="L104" i="1" s="1"/>
  <c r="K77" i="1"/>
  <c r="L77" i="1" s="1"/>
  <c r="K7" i="1"/>
  <c r="L7" i="1" s="1"/>
  <c r="K98" i="1"/>
  <c r="L98" i="1" s="1"/>
  <c r="K119" i="1"/>
  <c r="L119" i="1" s="1"/>
  <c r="K84" i="1"/>
  <c r="L84" i="1" s="1"/>
  <c r="K123" i="1"/>
  <c r="L123" i="1" s="1"/>
  <c r="K94" i="1"/>
  <c r="L94" i="1" s="1"/>
  <c r="K109" i="1"/>
  <c r="L109" i="1" s="1"/>
  <c r="K124" i="1"/>
  <c r="L124" i="1" s="1"/>
  <c r="K63" i="1"/>
  <c r="L63" i="1" s="1"/>
  <c r="K92" i="1"/>
  <c r="L92" i="1" s="1"/>
  <c r="K112" i="1"/>
  <c r="L112" i="1" s="1"/>
  <c r="K50" i="1"/>
  <c r="L50" i="1" s="1"/>
  <c r="K130" i="1"/>
  <c r="L130" i="1" s="1"/>
  <c r="K125" i="1"/>
  <c r="L125" i="1" s="1"/>
  <c r="K57" i="1"/>
  <c r="L57" i="1" s="1"/>
  <c r="K114" i="1"/>
  <c r="L114" i="1" s="1"/>
  <c r="K106" i="1"/>
  <c r="L106" i="1" s="1"/>
  <c r="K102" i="1"/>
  <c r="L102" i="1" s="1"/>
  <c r="K80" i="1"/>
  <c r="L80" i="1" s="1"/>
  <c r="K2" i="1"/>
  <c r="L2" i="1" s="1"/>
</calcChain>
</file>

<file path=xl/sharedStrings.xml><?xml version="1.0" encoding="utf-8"?>
<sst xmlns="http://schemas.openxmlformats.org/spreadsheetml/2006/main" count="1027" uniqueCount="527">
  <si>
    <t>CODE ERP</t>
  </si>
  <si>
    <t>DESCRIPCION</t>
  </si>
  <si>
    <t>FECHA MOV STOCK</t>
  </si>
  <si>
    <t>NOMBRE USUARIO</t>
  </si>
  <si>
    <t>ETIQ CONTENEDOR</t>
  </si>
  <si>
    <t>NOMBRE UBICACION</t>
  </si>
  <si>
    <t>REGULARIZA</t>
  </si>
  <si>
    <t>UNIDADES</t>
  </si>
  <si>
    <t>CAJAS</t>
  </si>
  <si>
    <t>STOCK ACTUAL</t>
  </si>
  <si>
    <t>COMENTARIO</t>
  </si>
  <si>
    <t xml:space="preserve">RF-REPO             </t>
  </si>
  <si>
    <t/>
  </si>
  <si>
    <t xml:space="preserve">MAGGI SOPA POLLO CON FIDEOS 50 GR.                                              </t>
  </si>
  <si>
    <t>2026/10/17 00:17:17</t>
  </si>
  <si>
    <t xml:space="preserve">OLOPEZ              </t>
  </si>
  <si>
    <t xml:space="preserve">0000006351025286    </t>
  </si>
  <si>
    <t xml:space="preserve">URP-30              </t>
  </si>
  <si>
    <t xml:space="preserve">BGARCIAH            </t>
  </si>
  <si>
    <t xml:space="preserve">PICKING             </t>
  </si>
  <si>
    <t xml:space="preserve">NIVEA CREMA CORPORAL REGENERACION INTENSIVA 1000M                               </t>
  </si>
  <si>
    <t>2026/10/17 00:47:34</t>
  </si>
  <si>
    <t xml:space="preserve">CPASCUALJ           </t>
  </si>
  <si>
    <t xml:space="preserve">EST000000000130869  </t>
  </si>
  <si>
    <t xml:space="preserve">CO-006-052-01-06    </t>
  </si>
  <si>
    <t xml:space="preserve">KIKA ESCOBA SUPER FLORE. C/PALO MADERA                                          </t>
  </si>
  <si>
    <t>2026/10/17 01:06:19</t>
  </si>
  <si>
    <t xml:space="preserve">MFLORESS            </t>
  </si>
  <si>
    <t xml:space="preserve">EST000000000299153  </t>
  </si>
  <si>
    <t xml:space="preserve">ZC-021-050-01-02    </t>
  </si>
  <si>
    <t xml:space="preserve">APEREZL             </t>
  </si>
  <si>
    <t xml:space="preserve">EROCA               </t>
  </si>
  <si>
    <t xml:space="preserve">GMORATAYA           </t>
  </si>
  <si>
    <t xml:space="preserve">MLOPEZS             </t>
  </si>
  <si>
    <t xml:space="preserve">CARNATION CREMA P/CAFÉ COFFE MATE 22 OZ. +CAFE SACHET                           </t>
  </si>
  <si>
    <t>2026/10/17 01:35:41</t>
  </si>
  <si>
    <t xml:space="preserve">EST000000000316320  </t>
  </si>
  <si>
    <t xml:space="preserve">AC-015-046-01-03    </t>
  </si>
  <si>
    <t>2026/10/17 01:42:19</t>
  </si>
  <si>
    <t xml:space="preserve">GGARCIAD            </t>
  </si>
  <si>
    <t xml:space="preserve">ACASTROT            </t>
  </si>
  <si>
    <t xml:space="preserve">BMENCOS             </t>
  </si>
  <si>
    <t xml:space="preserve">HERBAL ESSENCES SHAMPOO PEQUI Y AGUACATE 400ML                                  </t>
  </si>
  <si>
    <t>2026/10/17 03:01:57</t>
  </si>
  <si>
    <t xml:space="preserve">EST000000000130828  </t>
  </si>
  <si>
    <t xml:space="preserve">CO-006-042-01-05    </t>
  </si>
  <si>
    <t xml:space="preserve">QUEZALTECA BEBIDA COOLER SABORES 6 PACK BOT 350 ML                              </t>
  </si>
  <si>
    <t>2026/10/17 03:02:40</t>
  </si>
  <si>
    <t xml:space="preserve">JGUZMANS            </t>
  </si>
  <si>
    <t xml:space="preserve">EST000000000391852  </t>
  </si>
  <si>
    <t xml:space="preserve">JL-023-034-01-06    </t>
  </si>
  <si>
    <t xml:space="preserve">MALHER ABLANDADOR SAZONADOR 6 UND. PAQUETE                                      </t>
  </si>
  <si>
    <t xml:space="preserve">HHERNANDEZ          </t>
  </si>
  <si>
    <t xml:space="preserve">QUEZALTECA AGUARDIENTE MANDARINA BOTELLA 1L.                                    </t>
  </si>
  <si>
    <t xml:space="preserve">DOVE SHAMPOO AMINOACIDOS BOTELLA 650 ML                                         </t>
  </si>
  <si>
    <t>2026/10/17 03:31:45</t>
  </si>
  <si>
    <t xml:space="preserve">EST000000100131027  </t>
  </si>
  <si>
    <t xml:space="preserve">CO-006-039-01-08    </t>
  </si>
  <si>
    <t xml:space="preserve">LADY SPEED STICK DESODORANTE AEROSOL CLINICAL POWDER 93 GR.                     </t>
  </si>
  <si>
    <t>2026/10/17 04:21:15</t>
  </si>
  <si>
    <t xml:space="preserve">EST000000000207566  </t>
  </si>
  <si>
    <t xml:space="preserve">CO-006-020-01-11    </t>
  </si>
  <si>
    <t xml:space="preserve">OPTIMS SHAMPOO NIVEL 4 400 ML. EX INTENSIVO                                     </t>
  </si>
  <si>
    <t>2026/10/17 04:28:12</t>
  </si>
  <si>
    <t xml:space="preserve">EST000000000131229  </t>
  </si>
  <si>
    <t xml:space="preserve">CO-006-003-01-08    </t>
  </si>
  <si>
    <t xml:space="preserve">AXE DESODORANTE GREEN GERANIUM CEDRO+PACHUL 150ML                               </t>
  </si>
  <si>
    <t>2026/10/17 04:39:27</t>
  </si>
  <si>
    <t xml:space="preserve">EST000000000330228  </t>
  </si>
  <si>
    <t xml:space="preserve">CO-008-032-01-07    </t>
  </si>
  <si>
    <t xml:space="preserve">CERAVE LOCION CORPORAL HIDRATANTE S/PERFUME 473ML.                              </t>
  </si>
  <si>
    <t>2026/10/17 04:44:50</t>
  </si>
  <si>
    <t xml:space="preserve">EST000000000328590  </t>
  </si>
  <si>
    <t xml:space="preserve">EU-009-040-01-03    </t>
  </si>
  <si>
    <t xml:space="preserve">SOL DE CHILE VINO ROSADO ROSE SYRAH BOT 750ML                                   </t>
  </si>
  <si>
    <t>2026/10/17 04:46:11</t>
  </si>
  <si>
    <t xml:space="preserve">0000006351019548    </t>
  </si>
  <si>
    <t xml:space="preserve">JL-023-013-01       </t>
  </si>
  <si>
    <t xml:space="preserve">WJUAREZ             </t>
  </si>
  <si>
    <t xml:space="preserve">KROJASV             </t>
  </si>
  <si>
    <t xml:space="preserve">CRAMIREZC           </t>
  </si>
  <si>
    <t xml:space="preserve">DPABLOR             </t>
  </si>
  <si>
    <t xml:space="preserve">KOTEX TOALLA SANITARIA PURO Y NATUR ULTRAFINA 10U                               </t>
  </si>
  <si>
    <t>2026/10/17 07:03:22</t>
  </si>
  <si>
    <t xml:space="preserve">EST000000100250054  </t>
  </si>
  <si>
    <t xml:space="preserve">SB-019-035-01-03    </t>
  </si>
  <si>
    <t xml:space="preserve">JDIONIA             </t>
  </si>
  <si>
    <t xml:space="preserve">EVICENTE            </t>
  </si>
  <si>
    <t xml:space="preserve">DON GUSTO CONSOME DE POLLO BOLSA 400 GR                                         </t>
  </si>
  <si>
    <t xml:space="preserve">NIDO LECHE ENTERA PREESCOLAR 3+ 1600 GR. PREBIO 3                               </t>
  </si>
  <si>
    <t>2026/10/17 07:17:29</t>
  </si>
  <si>
    <t xml:space="preserve">LRAMIREZH           </t>
  </si>
  <si>
    <t xml:space="preserve">EST000000000322638  </t>
  </si>
  <si>
    <t xml:space="preserve">VC-020-042-01-02    </t>
  </si>
  <si>
    <t>2026/10/17 07:55:07</t>
  </si>
  <si>
    <t xml:space="preserve">EST000000000138099  </t>
  </si>
  <si>
    <t xml:space="preserve">AC-014-043-01-01    </t>
  </si>
  <si>
    <t xml:space="preserve">MORENA DE CAÑA AZUCAR  2000 GR. BOLSA                                           </t>
  </si>
  <si>
    <t xml:space="preserve">KOLESTON TINTE P/DAMA 61 RUBIO CENIZO OSCURO 1UN                                </t>
  </si>
  <si>
    <t xml:space="preserve">DOVE SHAMPOO REPARACION UV Y BRILLO BOTELLA 650 ML                              </t>
  </si>
  <si>
    <t>2026/10/17 08:35:12</t>
  </si>
  <si>
    <t xml:space="preserve">EST000000000130228  </t>
  </si>
  <si>
    <t xml:space="preserve">CO-006-022-01-01    </t>
  </si>
  <si>
    <t xml:space="preserve">LAKY MEN SOPA INSTANTANEA DE GALLINA 64 GR. VASO                                </t>
  </si>
  <si>
    <t xml:space="preserve">PALETTE TINTE CASTANO ROJIZO 50 GR.                                             </t>
  </si>
  <si>
    <t>2026/10/17 08:36:02</t>
  </si>
  <si>
    <t xml:space="preserve">EST000000000131256  </t>
  </si>
  <si>
    <t xml:space="preserve">CO-006-011-01-03    </t>
  </si>
  <si>
    <t xml:space="preserve">DURYEA MAIZENA NATURAL 190 GR.                                                  </t>
  </si>
  <si>
    <t>2026/10/17 09:04:42</t>
  </si>
  <si>
    <t xml:space="preserve">EST000000000146777  </t>
  </si>
  <si>
    <t xml:space="preserve">AC-014-027-01-03    </t>
  </si>
  <si>
    <t xml:space="preserve">MCCORMICK SAZONADOR PARA PAPAS FRITAS FRA 90GR                                  </t>
  </si>
  <si>
    <t>2026/10/17 09:41:01</t>
  </si>
  <si>
    <t xml:space="preserve">EST000000000263674  </t>
  </si>
  <si>
    <t xml:space="preserve">AC-018-015-01-07    </t>
  </si>
  <si>
    <t xml:space="preserve">TANG REFRESCO EN POLVO PONCHE DE FRUTAS 13 GR.                                  </t>
  </si>
  <si>
    <t>2026/10/17 09:43:21</t>
  </si>
  <si>
    <t xml:space="preserve">EST000000000263646  </t>
  </si>
  <si>
    <t xml:space="preserve">AC-018-009-01-03    </t>
  </si>
  <si>
    <t xml:space="preserve">GOMES DA COSTA ATUN EN AGUA 142 GR. TROZOS                                      </t>
  </si>
  <si>
    <t>2026/10/17 09:43:58</t>
  </si>
  <si>
    <t xml:space="preserve">EST000000000324665  </t>
  </si>
  <si>
    <t xml:space="preserve">AC-010-003-01-04    </t>
  </si>
  <si>
    <t xml:space="preserve">KERNS SALSA KETCHUP 20 OZ. PURA                                                 </t>
  </si>
  <si>
    <t xml:space="preserve">IDEAL ACEITE  VEGETAL DE MAIZ Y SOYA BOT 1400 ML                                </t>
  </si>
  <si>
    <t>2026/10/17 09:47:33</t>
  </si>
  <si>
    <t xml:space="preserve">0000006351021075    </t>
  </si>
  <si>
    <t xml:space="preserve">AC-012-050-01       </t>
  </si>
  <si>
    <t xml:space="preserve">CLOPEZS             </t>
  </si>
  <si>
    <t xml:space="preserve">JGALINDOB           </t>
  </si>
  <si>
    <t xml:space="preserve">HERBAL ESSENCES SHAMPOO PELO LARGO GRANADA 400ML                                </t>
  </si>
  <si>
    <t>2026/10/17 10:28:33</t>
  </si>
  <si>
    <t xml:space="preserve">RGARCIAG            </t>
  </si>
  <si>
    <t xml:space="preserve">EST000000000130841  </t>
  </si>
  <si>
    <t xml:space="preserve">CO-006-046-01-02    </t>
  </si>
  <si>
    <t xml:space="preserve">VENADO LIGHT RON 1750 ML. GORDITO                                               </t>
  </si>
  <si>
    <t>2026/10/17 10:29:30</t>
  </si>
  <si>
    <t xml:space="preserve">EST000000000391801  </t>
  </si>
  <si>
    <t xml:space="preserve">JL-023-053-01-08    </t>
  </si>
  <si>
    <t xml:space="preserve">SHAKA LAKA BEBIDA DE LECHE VAINILLA 946 ML. CAJA                                </t>
  </si>
  <si>
    <t xml:space="preserve">EST000000000402609  </t>
  </si>
  <si>
    <t xml:space="preserve">BD-010-047-01-01    </t>
  </si>
  <si>
    <t xml:space="preserve">DEL MONTE SALSA HIERBAS FINAS 14 OZ. P/SPAGHETTI DOYPACK                        </t>
  </si>
  <si>
    <t xml:space="preserve">EST000000000147082  </t>
  </si>
  <si>
    <t xml:space="preserve">AC-014-026-01-04    </t>
  </si>
  <si>
    <t xml:space="preserve">DON LAZARO ACEITE DE OLIVA EXTRA VIRGEN 500 ML.                                 </t>
  </si>
  <si>
    <t>2026/10/17 10:50:17</t>
  </si>
  <si>
    <t xml:space="preserve">ERAMIREZ            </t>
  </si>
  <si>
    <t xml:space="preserve">EST000000000324802  </t>
  </si>
  <si>
    <t xml:space="preserve">AC-011-027-01-03    </t>
  </si>
  <si>
    <t xml:space="preserve">LOS ARCOS CAFE MOLIDO SUPERIOR BOLSA 350GR                                      </t>
  </si>
  <si>
    <t>2026/10/17 10:51:52</t>
  </si>
  <si>
    <t xml:space="preserve">EALONZOE            </t>
  </si>
  <si>
    <t xml:space="preserve">EST000000000158436  </t>
  </si>
  <si>
    <t xml:space="preserve">GR-022-056-01-01    </t>
  </si>
  <si>
    <t xml:space="preserve">DOS PINOS LECHE ENTERA 1500 GR. EN POLVO/BOLSA                                  </t>
  </si>
  <si>
    <t>2026/10/17 10:59:18</t>
  </si>
  <si>
    <t xml:space="preserve">0000006351027593    </t>
  </si>
  <si>
    <t xml:space="preserve">VC-020-046-01       </t>
  </si>
  <si>
    <t xml:space="preserve">NIVEA DESODORANTE FRESH ICE 150 ML. SPRAY/MEN                                   </t>
  </si>
  <si>
    <t>2026/10/17 11:03:26</t>
  </si>
  <si>
    <t xml:space="preserve">APINEDAR            </t>
  </si>
  <si>
    <t xml:space="preserve">EST000000000207662  </t>
  </si>
  <si>
    <t xml:space="preserve">CO-006-052-01-11    </t>
  </si>
  <si>
    <t xml:space="preserve">GILLETTE RASURADORA PRESTO BARBA3 CARBONO 2U                                    </t>
  </si>
  <si>
    <t>2026/10/17 11:12:54</t>
  </si>
  <si>
    <t xml:space="preserve">EST000000000319610  </t>
  </si>
  <si>
    <t xml:space="preserve">GL-008-006-01-08    </t>
  </si>
  <si>
    <t xml:space="preserve">HERBAL ESSENCES ACONDICIONADOR A/FRI LAVANDA 400M                               </t>
  </si>
  <si>
    <t>2026/10/17 11:15:19</t>
  </si>
  <si>
    <t xml:space="preserve">EST000000000329503  </t>
  </si>
  <si>
    <t xml:space="preserve">CO-007-007-01-02    </t>
  </si>
  <si>
    <t xml:space="preserve">DOVE DESODORANTE INVISIBLE DRY AEROSOL 250 ML                                   </t>
  </si>
  <si>
    <t>2026/10/17 11:24:01</t>
  </si>
  <si>
    <t xml:space="preserve">0000006351012011    </t>
  </si>
  <si>
    <t xml:space="preserve">CO-005-002-01       </t>
  </si>
  <si>
    <t xml:space="preserve">ARIVERA             </t>
  </si>
  <si>
    <t xml:space="preserve">MBARRONDOM          </t>
  </si>
  <si>
    <t xml:space="preserve">JOHNSON BABY SHAMPOO GOTAS DE BRILLO 750ML                                      </t>
  </si>
  <si>
    <t>2026/10/17 11:30:04</t>
  </si>
  <si>
    <t xml:space="preserve">EST000000100130577  </t>
  </si>
  <si>
    <t xml:space="preserve">CO-006-052-01-02    </t>
  </si>
  <si>
    <t xml:space="preserve">CAPEULEU CAFE MOLIDO ANTIGUA TUESTE MEDI                                        </t>
  </si>
  <si>
    <t>2026/10/17 11:32:28</t>
  </si>
  <si>
    <t xml:space="preserve">EST000000000158499  </t>
  </si>
  <si>
    <t xml:space="preserve">GR-022-058-01-02    </t>
  </si>
  <si>
    <t xml:space="preserve">SOUR PATCH GOMITAS WATERMELON 2 OZ                                              </t>
  </si>
  <si>
    <t>2026/10/17 11:37:18</t>
  </si>
  <si>
    <t xml:space="preserve">CGUTIERREZ          </t>
  </si>
  <si>
    <t xml:space="preserve">EST000000000429100  </t>
  </si>
  <si>
    <t xml:space="preserve">VC-020-005-01-04    </t>
  </si>
  <si>
    <t xml:space="preserve">GOMES DA COSTA TROZOS ATUN EN AGUA LATA                                         </t>
  </si>
  <si>
    <t>2026/10/17 11:38:18</t>
  </si>
  <si>
    <t xml:space="preserve">MHERRERA            </t>
  </si>
  <si>
    <t xml:space="preserve">0000006350968081    </t>
  </si>
  <si>
    <t xml:space="preserve">UAL-51              </t>
  </si>
  <si>
    <t xml:space="preserve">REPARTO             </t>
  </si>
  <si>
    <t>2026/10/17 11:38:35</t>
  </si>
  <si>
    <t xml:space="preserve">EST000000000395925  </t>
  </si>
  <si>
    <t xml:space="preserve">AC-013-013-01-01    </t>
  </si>
  <si>
    <t xml:space="preserve">NIVEA CREMA CORPORAL SOFT MILK PIEL SECA 220ML                                  </t>
  </si>
  <si>
    <t>2026/10/17 11:44:57</t>
  </si>
  <si>
    <t xml:space="preserve">EST000000000380498  </t>
  </si>
  <si>
    <t xml:space="preserve">CO-007-025-01-02    </t>
  </si>
  <si>
    <t xml:space="preserve">CHORTIZ             </t>
  </si>
  <si>
    <t>2026/10/17 12:17:59</t>
  </si>
  <si>
    <t xml:space="preserve">HERRADERO MEZCAL RESERVA DEL VIEJO 1L.                                          </t>
  </si>
  <si>
    <t>2026/10/17 12:20:54</t>
  </si>
  <si>
    <t xml:space="preserve">JRAMIREZM           </t>
  </si>
  <si>
    <t xml:space="preserve">EST000000000391851  </t>
  </si>
  <si>
    <t xml:space="preserve">JL-023-034-01-05    </t>
  </si>
  <si>
    <t xml:space="preserve">RAID INSECTICIDA 400 ML. AEROSOL                                                </t>
  </si>
  <si>
    <t>2026/10/17 12:53:04</t>
  </si>
  <si>
    <t xml:space="preserve">0000006351022061    </t>
  </si>
  <si>
    <t xml:space="preserve">CO-007-062          </t>
  </si>
  <si>
    <t>2026/10/17 12:54:14</t>
  </si>
  <si>
    <t xml:space="preserve">KOTEX DISCRETA TOALL FEM ANTIBACTERIAL ULTRAF 24U                               </t>
  </si>
  <si>
    <t>2026/10/17 13:00:42</t>
  </si>
  <si>
    <t xml:space="preserve">EST000000000269295  </t>
  </si>
  <si>
    <t xml:space="preserve">SB-019-044-01-02    </t>
  </si>
  <si>
    <t>2026/10/17 13:20:31</t>
  </si>
  <si>
    <t xml:space="preserve">EST000000000320842  </t>
  </si>
  <si>
    <t xml:space="preserve">JL-023-029-01-04    </t>
  </si>
  <si>
    <t xml:space="preserve">XL RON SOUR BLAST WATERMELON BOTELLA 750ML                                      </t>
  </si>
  <si>
    <t>2026/10/17 13:24:06</t>
  </si>
  <si>
    <t xml:space="preserve">0000006350852966    </t>
  </si>
  <si>
    <t xml:space="preserve">JL-023-002-01       </t>
  </si>
  <si>
    <t xml:space="preserve">GBURRION            </t>
  </si>
  <si>
    <t xml:space="preserve">TIDE DETERGENTE LIQUIDO ALPINE BREEZE 31 UND                                    </t>
  </si>
  <si>
    <t>2026/10/17 13:33:09</t>
  </si>
  <si>
    <t xml:space="preserve">LJUAREZB            </t>
  </si>
  <si>
    <t xml:space="preserve">EST000000000128590  </t>
  </si>
  <si>
    <t xml:space="preserve">LI-001-050-01-02    </t>
  </si>
  <si>
    <t xml:space="preserve">AJAX LIMPIADOR TRICLORIN 600 GR. EN POLVO                                       </t>
  </si>
  <si>
    <t xml:space="preserve">EST000000000128685  </t>
  </si>
  <si>
    <t xml:space="preserve">LI-003-035-01-04    </t>
  </si>
  <si>
    <t xml:space="preserve">ROLO BAG BOLSA BLANCA 30 UND. MED. P/BASU. ROLLO                                </t>
  </si>
  <si>
    <t>2026/10/17 13:39:00</t>
  </si>
  <si>
    <t xml:space="preserve">EST000000000428879  </t>
  </si>
  <si>
    <t xml:space="preserve">SB-018-026-01-03    </t>
  </si>
  <si>
    <t xml:space="preserve">LUA CHIPS FRITURAS MIX ORIGINAL BOLSA 425 GR                                    </t>
  </si>
  <si>
    <t xml:space="preserve">EST000000000135276  </t>
  </si>
  <si>
    <t xml:space="preserve">AC-016-017-01-01    </t>
  </si>
  <si>
    <t xml:space="preserve">SANTA RITA 12O VINO TINTO MERLOT BOT 750 ML.                                    </t>
  </si>
  <si>
    <t>2026/10/17 13:53:14</t>
  </si>
  <si>
    <t xml:space="preserve">EST000000000488839  </t>
  </si>
  <si>
    <t xml:space="preserve">JL-023-016-01-02    </t>
  </si>
  <si>
    <t xml:space="preserve">POZUELO GALLETA CREMAS 12 UND. PAQUETE                                          </t>
  </si>
  <si>
    <t>2026/10/17 14:50:49</t>
  </si>
  <si>
    <t xml:space="preserve">0000006351029694    </t>
  </si>
  <si>
    <t xml:space="preserve">GC-007-042-01       </t>
  </si>
  <si>
    <t xml:space="preserve">SAVILOE FRUTOS ROJOS BOTELLA 500 ML                                             </t>
  </si>
  <si>
    <t xml:space="preserve">EST000000100316899  </t>
  </si>
  <si>
    <t xml:space="preserve">BD-009-031-01-03    </t>
  </si>
  <si>
    <t>2026/10/17 15:05:48</t>
  </si>
  <si>
    <t xml:space="preserve">EST000000000385991  </t>
  </si>
  <si>
    <t xml:space="preserve">GC-008-050-01-02    </t>
  </si>
  <si>
    <t xml:space="preserve">WILTON WHISKY BOT 750ML.                                                        </t>
  </si>
  <si>
    <t xml:space="preserve">EST000000000391848  </t>
  </si>
  <si>
    <t xml:space="preserve">JL-023-020-01-04    </t>
  </si>
  <si>
    <t>2026/10/17 15:08:20</t>
  </si>
  <si>
    <t xml:space="preserve">FOUR LOKO COOLER GREEN 473 ML LATA                                              </t>
  </si>
  <si>
    <t xml:space="preserve">0000006351022410    </t>
  </si>
  <si>
    <t xml:space="preserve">JL-023-011-01       </t>
  </si>
  <si>
    <t xml:space="preserve">OLD VIRGINIA WHISKY HONEY BOT 700ML.                                            </t>
  </si>
  <si>
    <t xml:space="preserve">EST000000000320879  </t>
  </si>
  <si>
    <t xml:space="preserve">JL-023-036-01-02    </t>
  </si>
  <si>
    <t xml:space="preserve">NIDO LECHE EN POLVO CRECIMIENTO 1+ LATA 2000GR                                  </t>
  </si>
  <si>
    <t>2026/10/17 15:18:12</t>
  </si>
  <si>
    <t xml:space="preserve">EST000000000429183  </t>
  </si>
  <si>
    <t xml:space="preserve">VC-020-043-01-02    </t>
  </si>
  <si>
    <t xml:space="preserve">XA-026-007-01       </t>
  </si>
  <si>
    <t xml:space="preserve">PANADOL ANALGESICO ULTRA 16 UND. TABLETAS                                       </t>
  </si>
  <si>
    <t>2026/10/17 15:24:41</t>
  </si>
  <si>
    <t xml:space="preserve">EST000000000322492  </t>
  </si>
  <si>
    <t xml:space="preserve">VC-020-038-01-01    </t>
  </si>
  <si>
    <t xml:space="preserve">REXONA DESODORANTE SPRAY CLASSIC CLINICA                                        </t>
  </si>
  <si>
    <t>2026/10/17 15:31:07</t>
  </si>
  <si>
    <t xml:space="preserve">EAGOSTOL            </t>
  </si>
  <si>
    <t xml:space="preserve">EST000000000207549  </t>
  </si>
  <si>
    <t xml:space="preserve">CO-007-041-01-03    </t>
  </si>
  <si>
    <t xml:space="preserve">MACH3 RASURADORA  4 UND. REPUESTO                                               </t>
  </si>
  <si>
    <t>2026/10/17 15:35:05</t>
  </si>
  <si>
    <t xml:space="preserve">EST000000000487225  </t>
  </si>
  <si>
    <t xml:space="preserve">GL-008-024-01-08    </t>
  </si>
  <si>
    <t xml:space="preserve">POST IT NOTAS ADHESIVA SUMMER JOY 3X3                                           </t>
  </si>
  <si>
    <t>2026/10/17 15:37:28</t>
  </si>
  <si>
    <t xml:space="preserve">0000006349999034    </t>
  </si>
  <si>
    <t xml:space="preserve">GL-008-002-01-05    </t>
  </si>
  <si>
    <t xml:space="preserve">HEAD SHOULDERS SHAMPOO SUAVE Y MANEJABLE 180 ML.                                </t>
  </si>
  <si>
    <t>2026/10/17 15:54:10</t>
  </si>
  <si>
    <t xml:space="preserve">EST000000000131385  </t>
  </si>
  <si>
    <t xml:space="preserve">CO-006-043-01-04    </t>
  </si>
  <si>
    <t>2026/10/17 15:54:50</t>
  </si>
  <si>
    <t>2026/10/17 15:55:46</t>
  </si>
  <si>
    <t>2026/10/17 15:57:27</t>
  </si>
  <si>
    <t xml:space="preserve">HEAD &amp; SHOULDERS SHAMPOO ACEITE DE COCO                                         </t>
  </si>
  <si>
    <t>2026/10/17 16:00:19</t>
  </si>
  <si>
    <t xml:space="preserve">EST000000000130751  </t>
  </si>
  <si>
    <t xml:space="preserve">CO-006-018-01-06    </t>
  </si>
  <si>
    <t xml:space="preserve">NIDO MEZCLA DE LECHE FORTICRECE BOLSA 325G                                      </t>
  </si>
  <si>
    <t>2026/10/17 16:01:05</t>
  </si>
  <si>
    <t xml:space="preserve">EST000000000263993  </t>
  </si>
  <si>
    <t xml:space="preserve">VC-020-029-01-03    </t>
  </si>
  <si>
    <t xml:space="preserve">NIVEA ANTITRANSPIRANTE DERMA CONTROL DEFEND 50GR                                </t>
  </si>
  <si>
    <t>2026/10/17 16:07:28</t>
  </si>
  <si>
    <t xml:space="preserve">EST000000000130550  </t>
  </si>
  <si>
    <t xml:space="preserve">CO-007-048-01-04    </t>
  </si>
  <si>
    <t>2026/10/17 16:21:33</t>
  </si>
  <si>
    <t xml:space="preserve">TACOPLAST PICHEL PLASTICO 1.5L ROSA +3VASOS U.                                  </t>
  </si>
  <si>
    <t>2026/10/17 16:39:22</t>
  </si>
  <si>
    <t xml:space="preserve">0000006351013325    </t>
  </si>
  <si>
    <t xml:space="preserve">NV-014-033-01-01    </t>
  </si>
  <si>
    <t xml:space="preserve">HUGGIES CLASSIC PANAL DES PARA BEBE BOLSA M 11U                                 </t>
  </si>
  <si>
    <t>2026/10/17 16:43:58</t>
  </si>
  <si>
    <t xml:space="preserve">EST000000000263396  </t>
  </si>
  <si>
    <t xml:space="preserve">SB-019-016-01-05    </t>
  </si>
  <si>
    <t xml:space="preserve">LANDRES             </t>
  </si>
  <si>
    <t>2026/10/17 17:23:14</t>
  </si>
  <si>
    <t xml:space="preserve">SARMIENTOS VINO TINTO CARMENERE 750 ML. D/TARAPACA                              </t>
  </si>
  <si>
    <t>2026/10/17 17:33:33</t>
  </si>
  <si>
    <t xml:space="preserve">EST000000100391855  </t>
  </si>
  <si>
    <t xml:space="preserve">JL-023-038-01-05    </t>
  </si>
  <si>
    <t xml:space="preserve">MILKA CHOCOLATE ALPINE 90 GR.                                                   </t>
  </si>
  <si>
    <t>2026/10/17 17:36:49</t>
  </si>
  <si>
    <t xml:space="preserve">EST000000000263523  </t>
  </si>
  <si>
    <t xml:space="preserve">AC-018-023-01-01    </t>
  </si>
  <si>
    <t xml:space="preserve">BOTRAN XL RON MANZANA Y LIMON 750 ML.                                           </t>
  </si>
  <si>
    <t xml:space="preserve">JAGERMEISTER LICOR DE HIERBAS 700 ML.                                           </t>
  </si>
  <si>
    <t>2026/10/17 18:14:13</t>
  </si>
  <si>
    <t xml:space="preserve">EST000000000337892  </t>
  </si>
  <si>
    <t xml:space="preserve">UC-009-002-01-05    </t>
  </si>
  <si>
    <t>2026/10/17 18:53:44</t>
  </si>
  <si>
    <t xml:space="preserve">FRUCTIS ACONDICIONADOR FORTIFICANTE 350ML                                       </t>
  </si>
  <si>
    <t>2026/10/17 18:57:03</t>
  </si>
  <si>
    <t xml:space="preserve">EST000000100131411  </t>
  </si>
  <si>
    <t xml:space="preserve">CO-006-049-01-06    </t>
  </si>
  <si>
    <t>2026/10/17 19:02:38</t>
  </si>
  <si>
    <t xml:space="preserve">BORA BORA TOALLA DE BANO BEIGE 27X54 UND                                        </t>
  </si>
  <si>
    <t>2026/10/17 19:03:51</t>
  </si>
  <si>
    <t xml:space="preserve">0000006350515511    </t>
  </si>
  <si>
    <t xml:space="preserve">NV-013-061-01-02    </t>
  </si>
  <si>
    <t xml:space="preserve">SANAVIDA DESINFECTANTE DE FRUTAS Y VERDURAS 8 OZ. CAJA                          </t>
  </si>
  <si>
    <t>2026/10/17 19:04:07</t>
  </si>
  <si>
    <t xml:space="preserve">JLOPEZ              </t>
  </si>
  <si>
    <t xml:space="preserve">0000006351024246    </t>
  </si>
  <si>
    <t xml:space="preserve">JORELLANAT          </t>
  </si>
  <si>
    <t>2026/10/17 19:39:17</t>
  </si>
  <si>
    <t xml:space="preserve">KORTEGAM            </t>
  </si>
  <si>
    <t xml:space="preserve">BOTRAN XL RON BLANCO LIMON Y PEPINO 750 ML.                                     </t>
  </si>
  <si>
    <t>2026/10/17 20:02:43</t>
  </si>
  <si>
    <t xml:space="preserve">EST000000100404042  </t>
  </si>
  <si>
    <t xml:space="preserve">JL-023-016-01-01    </t>
  </si>
  <si>
    <t xml:space="preserve">REXONA ANTITRANSPIRANTE FOREST AEROSOL 150ML                                    </t>
  </si>
  <si>
    <t xml:space="preserve">EST000000100329479  </t>
  </si>
  <si>
    <t xml:space="preserve">CO-007-001-01-02    </t>
  </si>
  <si>
    <t xml:space="preserve">FRETA MEZCLADOR MIXERS CREMA DE COCO BOT 1 LT.                                  </t>
  </si>
  <si>
    <t>2026/10/17 20:31:19</t>
  </si>
  <si>
    <t xml:space="preserve">EST000000000391859  </t>
  </si>
  <si>
    <t xml:space="preserve">JL-023-042-01-05    </t>
  </si>
  <si>
    <t xml:space="preserve">BOTRAN RON ANEJO 15 ANOS BOTELLA 700 ML                                         </t>
  </si>
  <si>
    <t>2026/10/17 20:33:17</t>
  </si>
  <si>
    <t xml:space="preserve">EST000000100391821  </t>
  </si>
  <si>
    <t xml:space="preserve">JL-023-051-01-05    </t>
  </si>
  <si>
    <t>2026/10/17 20:37:08</t>
  </si>
  <si>
    <t>2026/10/17 20:48:08</t>
  </si>
  <si>
    <t xml:space="preserve">0000006351014455    </t>
  </si>
  <si>
    <t xml:space="preserve">BOTRAN XL RON SOUR BLAST LIMON &amp; BERRI BOT 750ML                                </t>
  </si>
  <si>
    <t>2026/10/17 21:39:39</t>
  </si>
  <si>
    <t xml:space="preserve">EST000000000391817  </t>
  </si>
  <si>
    <t xml:space="preserve">JL-023-049-01-06    </t>
  </si>
  <si>
    <t xml:space="preserve">EXCELLENT CORN FLAKES BOLSA 250 GR                                              </t>
  </si>
  <si>
    <t>2026/10/17 21:45:34</t>
  </si>
  <si>
    <t xml:space="preserve">0000006351055376    </t>
  </si>
  <si>
    <t xml:space="preserve">IC-004-074-01       </t>
  </si>
  <si>
    <t>2026/10/17 21:49:40</t>
  </si>
  <si>
    <t>2026/10/17 21:50:19</t>
  </si>
  <si>
    <t xml:space="preserve">EST000000000395642  </t>
  </si>
  <si>
    <t xml:space="preserve">JL-023-030-01-05    </t>
  </si>
  <si>
    <t>2026/10/17 21:57:41</t>
  </si>
  <si>
    <t xml:space="preserve">JAGERMEISTER LICOR DE HIERBAS 500 ML. VERDE                                     </t>
  </si>
  <si>
    <t>2026/10/17 22:26:06</t>
  </si>
  <si>
    <t xml:space="preserve">EST000000000401618  </t>
  </si>
  <si>
    <t xml:space="preserve">UL-008-017-01-05    </t>
  </si>
  <si>
    <t xml:space="preserve">A FEELING FOR VINO TINTO BOT MERLOT 750ML                                       </t>
  </si>
  <si>
    <t xml:space="preserve">QUEZALTECA AGUARDIENTE PINA BOT 1LT.                                            </t>
  </si>
  <si>
    <t>2026/10/17 22:29:48</t>
  </si>
  <si>
    <t xml:space="preserve">EST000000000320864  </t>
  </si>
  <si>
    <t xml:space="preserve">JL-023-026-01-02    </t>
  </si>
  <si>
    <t xml:space="preserve">MC CORMICK ADEREZO RANCH 237 G SQUEEZE                                          </t>
  </si>
  <si>
    <t>2026/10/17 22:39:13</t>
  </si>
  <si>
    <t xml:space="preserve">EST000000000147121  </t>
  </si>
  <si>
    <t xml:space="preserve">AC-014-036-01-03    </t>
  </si>
  <si>
    <t xml:space="preserve">DUCAL FRIJOL ROJO 14.10 OZ DOYPACK                                              </t>
  </si>
  <si>
    <t>2026/10/17 22:58:31</t>
  </si>
  <si>
    <t xml:space="preserve">EST000000000400858  </t>
  </si>
  <si>
    <t xml:space="preserve">GC-007-017-01-02    </t>
  </si>
  <si>
    <t>2026/10/17 23:01:21</t>
  </si>
  <si>
    <t xml:space="preserve">SCOTCH BRITE FIBRA DE COCINA UND 3M                                             </t>
  </si>
  <si>
    <t>2026/10/17 23:11:50</t>
  </si>
  <si>
    <t xml:space="preserve">EST000000000466910  </t>
  </si>
  <si>
    <t xml:space="preserve">CO-008-060-01-08    </t>
  </si>
  <si>
    <t xml:space="preserve">NIVEA JABON LIQUIDO INTIMO 250 ML. NATURAL                                      </t>
  </si>
  <si>
    <t>2026/10/17 23:12:07</t>
  </si>
  <si>
    <t xml:space="preserve">EST000000000400953  </t>
  </si>
  <si>
    <t xml:space="preserve">CO-005-006-01-01    </t>
  </si>
  <si>
    <t xml:space="preserve">BANANA BOAT BLOQUEADOR ADVANCE PROTE. 170M FPS50                                </t>
  </si>
  <si>
    <t>2026/10/17 23:25:32</t>
  </si>
  <si>
    <t xml:space="preserve">EST000000000329697  </t>
  </si>
  <si>
    <t xml:space="preserve">CO-007-004-01-04    </t>
  </si>
  <si>
    <t xml:space="preserve">HAWAIIAN TROPIC BLOQUEADOR ISLAND SPORT 240 ML.                                 </t>
  </si>
  <si>
    <t xml:space="preserve">GARNIER CREMA LIMPIADORA EXPRES ACLARA 250ML                                    </t>
  </si>
  <si>
    <t>2026/10/17 23:29:49</t>
  </si>
  <si>
    <t xml:space="preserve">EST000000000329617  </t>
  </si>
  <si>
    <t xml:space="preserve">CO-007-035-01-04    </t>
  </si>
  <si>
    <t xml:space="preserve">GILLETTE VENUS RASURADORA DESECHABLE SUAVE 2U                                   </t>
  </si>
  <si>
    <t>2026/10/17 23:31:04</t>
  </si>
  <si>
    <t xml:space="preserve">EST000000000329161  </t>
  </si>
  <si>
    <t xml:space="preserve">CO-007-052-01-01    </t>
  </si>
  <si>
    <t>2026/10/17 23:31:54</t>
  </si>
  <si>
    <t xml:space="preserve">EST000000100359503  </t>
  </si>
  <si>
    <t xml:space="preserve">CO-008-052-01-01    </t>
  </si>
  <si>
    <t xml:space="preserve">KLEEY ALCOHOL SPRAY ANTIBACTERIAL 240ML.                                        </t>
  </si>
  <si>
    <t>2026/10/17 23:37:06</t>
  </si>
  <si>
    <t xml:space="preserve">0000006351018915    </t>
  </si>
  <si>
    <t xml:space="preserve">POZUELO GALLETAS DE VAINILLA 220 GR. BUENA NOCHE                                </t>
  </si>
  <si>
    <t>2026/10/17 23:57:24</t>
  </si>
  <si>
    <t xml:space="preserve">0000006351018223    </t>
  </si>
  <si>
    <t xml:space="preserve">IC-003-073-01       </t>
  </si>
  <si>
    <t xml:space="preserve">XL RON MELON &amp; NARANJA BOT 750ML                                                </t>
  </si>
  <si>
    <t>2026/10/18 00:11:04</t>
  </si>
  <si>
    <t xml:space="preserve">EST000000000391826  </t>
  </si>
  <si>
    <t xml:space="preserve">JL-023-019-01-02    </t>
  </si>
  <si>
    <t xml:space="preserve">PAMPERS PANAL DESECHABLE BABY DRY T7 54U                                        </t>
  </si>
  <si>
    <t>2026/10/18 00:12:34</t>
  </si>
  <si>
    <t xml:space="preserve">EST000000000429417  </t>
  </si>
  <si>
    <t xml:space="preserve">SB-019-044-01-06    </t>
  </si>
  <si>
    <t xml:space="preserve">KIKA ESCOBA SUPER LOLA C/PALO MADERA                                            </t>
  </si>
  <si>
    <t>2026/10/18 00:15:07</t>
  </si>
  <si>
    <t xml:space="preserve">EST000000000299158  </t>
  </si>
  <si>
    <t xml:space="preserve">ZC-021-052-01-04    </t>
  </si>
  <si>
    <t>2026/10/18 00:17:17</t>
  </si>
  <si>
    <t xml:space="preserve">0000006351020016    </t>
  </si>
  <si>
    <t xml:space="preserve">SIR MARK ROYAL WHISKY ESCOCES BOTELLA 700 ML                                    </t>
  </si>
  <si>
    <t>2026/10/18 00:19:24</t>
  </si>
  <si>
    <t xml:space="preserve">0000006350704723    </t>
  </si>
  <si>
    <t xml:space="preserve">JL-023-001-01-01    </t>
  </si>
  <si>
    <t>2026/10/18 00:20:36</t>
  </si>
  <si>
    <t xml:space="preserve">CRUNCH CHOCOLATE BARRA 43.9 GR CON LECHE                                        </t>
  </si>
  <si>
    <t>2026/10/18 00:20:42</t>
  </si>
  <si>
    <t xml:space="preserve">EST000000000136291  </t>
  </si>
  <si>
    <t xml:space="preserve">VC-020-011-01-02    </t>
  </si>
  <si>
    <t xml:space="preserve">QUEZALTECA RON TAMARINDO 1 LT.                                                  </t>
  </si>
  <si>
    <t>2026/10/18 00:21:47</t>
  </si>
  <si>
    <t xml:space="preserve">EST000000000488837  </t>
  </si>
  <si>
    <t xml:space="preserve">JL-023-014-01-03    </t>
  </si>
  <si>
    <t>2026/10/18 00:22:23</t>
  </si>
  <si>
    <t>2026/10/18 00:28:56</t>
  </si>
  <si>
    <t xml:space="preserve">EST000000000320877  </t>
  </si>
  <si>
    <t xml:space="preserve">JL-023-034-01-03    </t>
  </si>
  <si>
    <t xml:space="preserve">GIBSONS GINEBRA BOTANICAL BOT 700ML                                             </t>
  </si>
  <si>
    <t>2026/10/18 00:43:39</t>
  </si>
  <si>
    <t xml:space="preserve">EST000000000320828  </t>
  </si>
  <si>
    <t xml:space="preserve">JL-023-052-01-01    </t>
  </si>
  <si>
    <t>2026/10/18 00:44:28</t>
  </si>
  <si>
    <t>2026/10/18 00:49:37</t>
  </si>
  <si>
    <t xml:space="preserve">EST000000000263800  </t>
  </si>
  <si>
    <t xml:space="preserve">AC-018-047-01-05    </t>
  </si>
  <si>
    <t>2026/10/18 00:50:51</t>
  </si>
  <si>
    <t>2026/10/18 01:01:11</t>
  </si>
  <si>
    <t xml:space="preserve">IMBRISA FIBRA MULTIUSOS ANATOMICA 2 PACK EVITA NARANJA                          </t>
  </si>
  <si>
    <t>2026/10/18 01:04:53</t>
  </si>
  <si>
    <t xml:space="preserve">EST000000000306886  </t>
  </si>
  <si>
    <t xml:space="preserve">LI-004-009-01-03    </t>
  </si>
  <si>
    <t xml:space="preserve">SCOTCH BRITE ESPONJA LAVAP. DISHWAND 1U. APA+REP.                               </t>
  </si>
  <si>
    <t>2026/10/18 01:08:57</t>
  </si>
  <si>
    <t xml:space="preserve">EST000000000306870  </t>
  </si>
  <si>
    <t xml:space="preserve">LI-004-003-01-02    </t>
  </si>
  <si>
    <t xml:space="preserve">ARIEL DETERGENTE EN POLVO DOWNY 1.5 KG.                                         </t>
  </si>
  <si>
    <t>2026/10/18 01:10:00</t>
  </si>
  <si>
    <t xml:space="preserve">EST000000200299580  </t>
  </si>
  <si>
    <t xml:space="preserve">LI-003-018-01-02    </t>
  </si>
  <si>
    <t xml:space="preserve">BREF DESINFECTANTE FRESCURA DE PINO 50 GR. ESFERAS                              </t>
  </si>
  <si>
    <t>2026/10/18 01:10:16</t>
  </si>
  <si>
    <t xml:space="preserve">EST000000000128854  </t>
  </si>
  <si>
    <t xml:space="preserve">LI-004-033-01-02    </t>
  </si>
  <si>
    <t xml:space="preserve">SCOTCH BRITE FIBRA DE COCINA 2 PACK 3M                                          </t>
  </si>
  <si>
    <t>2026/10/18 01:16:51</t>
  </si>
  <si>
    <t xml:space="preserve">EST000000100306898  </t>
  </si>
  <si>
    <t xml:space="preserve">LI-004-013-01-05    </t>
  </si>
  <si>
    <t xml:space="preserve">JUGOSYA REFRESCOS  EN POLVO FRESA SOBRE 18 GR                                   </t>
  </si>
  <si>
    <t>2026/10/18 01:43:10</t>
  </si>
  <si>
    <t xml:space="preserve">EST000000000263637  </t>
  </si>
  <si>
    <t xml:space="preserve">AC-018-007-01-02    </t>
  </si>
  <si>
    <t>COSTO,U</t>
  </si>
  <si>
    <t>TOTAL,COSTO</t>
  </si>
  <si>
    <t>SOLUCIONADO EN PIKCING 13C</t>
  </si>
  <si>
    <t>SOLUCIONADO EN PIKCING 4C</t>
  </si>
  <si>
    <t>SOLUCIONADO EN PIKCING 3C</t>
  </si>
  <si>
    <t>SOLUCIONADO EN PICKING 10C</t>
  </si>
  <si>
    <t>SOLUAIONADO EN PICKING 6C</t>
  </si>
  <si>
    <t>SOLUCIONADO EN CANAL 3C</t>
  </si>
  <si>
    <t>SOLUCIONADO EN CANAL 2C</t>
  </si>
  <si>
    <t>SOLUCIONADO EN PICKING 3C</t>
  </si>
  <si>
    <t>SOLUCIONADO EN PICKING 2C</t>
  </si>
  <si>
    <t>SOLUCIONADO EN PICKING 1C</t>
  </si>
  <si>
    <t>SOLUCIONADO EN PICKING 12C</t>
  </si>
  <si>
    <t>SOLUCIONADO EN PICKING 6C</t>
  </si>
  <si>
    <t>SOLUCIONADO EN PICKING 11C</t>
  </si>
  <si>
    <t>SOLUCIONADO EN PICKING 4C</t>
  </si>
  <si>
    <t>SOLUCIONADO EN PICKNG 5C</t>
  </si>
  <si>
    <t>SOLUCIONADO EN PICKING 5U</t>
  </si>
  <si>
    <t>SOLUCIONADO EN PIKCING 2C</t>
  </si>
  <si>
    <t>SOLUCIONADO EN CANAL 6C</t>
  </si>
  <si>
    <t>SOLUCIONADO DAÑOS AVERIAS</t>
  </si>
  <si>
    <t>SOLUCIONADO EN PICKING 5C</t>
  </si>
  <si>
    <t>SOLUCIONADO EN PICKING 4P</t>
  </si>
  <si>
    <t>SOLUCIONADO EN PIKCING 1C</t>
  </si>
  <si>
    <t>SOLUCIONADO EN CANAL 17C</t>
  </si>
  <si>
    <t>SOLUCIONADO EN CANAL 7C</t>
  </si>
  <si>
    <t>OLUCIONADO EN CANAL 240C</t>
  </si>
  <si>
    <t>SOLUCIONADO EN CANAL 120C</t>
  </si>
  <si>
    <t>SOLUCIONADO EN PICKING 9C</t>
  </si>
  <si>
    <t>SOLUCIONADO EN ALMACEN 12C</t>
  </si>
  <si>
    <t>SOLUCIONADO EN PICKING 17U</t>
  </si>
  <si>
    <t>SOLUCIONADO EN PICKING 12P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</si>
</sst>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Q&quot;* #,##0.00_-;\-&quot;Q&quot;* #,##0.00_-;_-&quot;Q&quot;* &quot;-&quot;??_-;_-@_-"/>
    <numFmt numFmtId="164" formatCode="[$-10C0A]0.00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0"/>
      <color rgb="FFFFFFFF"/>
      <name val="Segoe UI"/>
    </font>
    <font>
      <sz val="10"/>
      <color rgb="FFFFFFFF"/>
      <name val="Arial"/>
    </font>
    <font>
      <sz val="10"/>
      <color rgb="FF000000"/>
      <name val="Segoe UI"/>
    </font>
    <font>
      <sz val="10"/>
      <color rgb="FF000000"/>
      <name val="Arial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18"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3" fillId="2" borderId="3" xfId="0" applyFont="1" applyFill="1" applyBorder="1" applyAlignment="1">
      <alignment horizontal="center" vertical="center" wrapText="1" readingOrder="1"/>
    </xf>
    <xf numFmtId="0" fontId="3" fillId="2" borderId="4" xfId="0" applyFont="1" applyFill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center" vertical="center" wrapText="1" readingOrder="1"/>
    </xf>
    <xf numFmtId="164" fontId="5" fillId="0" borderId="1" xfId="0" applyNumberFormat="1" applyFont="1" applyBorder="1" applyAlignment="1">
      <alignment horizontal="center" vertical="center" wrapText="1" readingOrder="1"/>
    </xf>
    <xf numFmtId="0" fontId="5" fillId="0" borderId="6" xfId="0" applyFont="1" applyBorder="1" applyAlignment="1">
      <alignment horizontal="center" vertical="center" wrapText="1" readingOrder="1"/>
    </xf>
    <xf numFmtId="0" fontId="4" fillId="0" borderId="5" xfId="0" applyNumberFormat="1" applyFont="1" applyBorder="1" applyAlignment="1">
      <alignment horizontal="center" vertical="center" wrapText="1" readingOrder="1"/>
    </xf>
    <xf numFmtId="44" fontId="5" fillId="0" borderId="6" xfId="1" applyFont="1" applyBorder="1" applyAlignment="1">
      <alignment horizontal="center" vertical="center" wrapText="1" readingOrder="1"/>
    </xf>
    <xf numFmtId="0" fontId="4" fillId="3" borderId="5" xfId="0" applyNumberFormat="1" applyFont="1" applyFill="1" applyBorder="1" applyAlignment="1">
      <alignment horizontal="center" vertical="center" wrapText="1" readingOrder="1"/>
    </xf>
    <xf numFmtId="0" fontId="4" fillId="3" borderId="1" xfId="0" applyFont="1" applyFill="1" applyBorder="1" applyAlignment="1">
      <alignment horizontal="center" vertical="center" wrapText="1" readingOrder="1"/>
    </xf>
    <xf numFmtId="0" fontId="5" fillId="3" borderId="1" xfId="0" applyFont="1" applyFill="1" applyBorder="1" applyAlignment="1">
      <alignment horizontal="center" vertical="center" wrapText="1" readingOrder="1"/>
    </xf>
    <xf numFmtId="164" fontId="5" fillId="3" borderId="1" xfId="0" applyNumberFormat="1" applyFont="1" applyFill="1" applyBorder="1" applyAlignment="1">
      <alignment horizontal="center" vertical="center" wrapText="1" readingOrder="1"/>
    </xf>
    <xf numFmtId="44" fontId="5" fillId="3" borderId="6" xfId="1" applyFont="1" applyFill="1" applyBorder="1" applyAlignment="1">
      <alignment horizontal="center" vertical="center" wrapText="1" readingOrder="1"/>
    </xf>
    <xf numFmtId="0" fontId="5" fillId="3" borderId="6" xfId="0" applyFont="1" applyFill="1" applyBorder="1" applyAlignment="1">
      <alignment horizontal="center" vertical="center" wrapText="1" readingOrder="1"/>
    </xf>
  </cellXfs>
  <cellStyles count="2">
    <cellStyle name="Moneda" xfId="1" builtinId="4"/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0" formatCode="General"/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0" formatCode="General"/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rgb="FF4682B4"/>
          <bgColor rgb="FF4682B4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4" formatCode="[$-10C0A]0.00"/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center" vertical="center" textRotation="0" wrapText="1" indent="0" justifyLastLine="0" shrinkToFit="0" readingOrder="1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1" indent="0" justifyLastLine="0" shrinkToFit="0" readingOrder="1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4682B4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oransa-my.sharepoint.com/personal/hmoralesb_ransa_net/Documents/Escritorio/Ruta%20%20Critica%20Ransa%20Inventario%2022.08.2026.xlsx" TargetMode="External"/><Relationship Id="rId1" Type="http://schemas.openxmlformats.org/officeDocument/2006/relationships/externalLinkPath" Target="https://gruporansa-my.sharepoint.com/personal/hmoralesb_ransa_net/Documents/Escritorio/Ruta%20%20Critica%20Ransa%20Inventario%2022.08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iferencias"/>
      <sheetName val="OC Unilever"/>
      <sheetName val="Vale Unilever"/>
    </sheetNames>
    <sheetDataSet>
      <sheetData sheetId="0"/>
      <sheetData sheetId="1"/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488032-C101-44DD-AF18-7B71D9EE330B}" name="Tabla1" displayName="Tabla1" ref="A1:M130" totalsRowShown="0" headerRowDxfId="2" dataDxfId="17" headerRowBorderDxfId="15" tableBorderDxfId="16" totalsRowBorderDxfId="14">
  <autoFilter ref="A1:M130" xr:uid="{9B488032-C101-44DD-AF18-7B71D9EE330B}"/>
  <sortState xmlns:xlrd2="http://schemas.microsoft.com/office/spreadsheetml/2017/richdata2" ref="A2:M130">
    <sortCondition ref="L2:L130"/>
  </sortState>
  <tableColumns count="13">
    <tableColumn id="1" xr3:uid="{05DF8D35-A2C9-434B-A93F-FCB2B86DD14E}" name="CODE ERP" dataDxfId="13"/>
    <tableColumn id="2" xr3:uid="{CEE8278B-ADC7-4F44-93F1-F4791BEE0478}" name="DESCRIPCION" dataDxfId="12"/>
    <tableColumn id="3" xr3:uid="{220C8DAE-10DB-4CF4-BFA4-465C6799DE6C}" name="FECHA MOV STOCK" dataDxfId="11"/>
    <tableColumn id="4" xr3:uid="{FBEC0DB2-DF6A-470E-B07E-7A8C95EA3F33}" name="NOMBRE USUARIO" dataDxfId="10"/>
    <tableColumn id="5" xr3:uid="{1D231487-B23C-4450-A932-EE8647526D4B}" name="ETIQ CONTENEDOR" dataDxfId="9"/>
    <tableColumn id="6" xr3:uid="{517AC845-8142-4251-BF98-3932DF059FCB}" name="NOMBRE UBICACION" dataDxfId="8"/>
    <tableColumn id="7" xr3:uid="{BAA7FD48-CEAB-494F-8578-5018B51D67DA}" name="REGULARIZA" dataDxfId="7"/>
    <tableColumn id="8" xr3:uid="{A76147A2-785C-437E-9343-AF2108A30248}" name="UNIDADES" dataDxfId="6"/>
    <tableColumn id="9" xr3:uid="{24279D5D-98A4-4A38-8659-615A8B2E500A}" name="CAJAS" dataDxfId="5"/>
    <tableColumn id="10" xr3:uid="{209A3501-C4D1-48C5-86DA-18FDB075816F}" name="STOCK ACTUAL" dataDxfId="4"/>
    <tableColumn id="13" xr3:uid="{A63C3C5C-4102-4A5F-B625-A3606C69E0A5}" name="COSTO,U" dataDxfId="1">
      <calculatedColumnFormula>+VLOOKUP(Tabla1[[#This Row],[CODE ERP]],[1]!Tabla1[[SKU]:[Costo CD]],3,0)</calculatedColumnFormula>
    </tableColumn>
    <tableColumn id="12" xr3:uid="{621B2A14-5FDD-4544-98CF-C6289CE02C60}" name="TOTAL,COSTO" dataDxfId="0">
      <calculatedColumnFormula>+Tabla1[[#This Row],[COSTO,U]]*Tabla1[[#This Row],[UNIDADES]]</calculatedColumnFormula>
    </tableColumn>
    <tableColumn id="11" xr3:uid="{9AC67A19-86DC-4C5A-A52F-DA3AE2897F30}" name="COMENTARIO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76"/>
  <sheetViews>
    <sheetView showGridLines="0" tabSelected="1" workbookViewId="0">
      <selection activeCell="A8" sqref="A8"/>
    </sheetView>
  </sheetViews>
  <sheetFormatPr baseColWidth="10" defaultRowHeight="14.4"/>
  <cols>
    <col min="1" max="1" width="9.88671875" style="1" customWidth="1"/>
    <col min="2" max="2" width="45.44140625" style="1" customWidth="1"/>
    <col min="3" max="3" width="13.6640625" style="1" customWidth="1"/>
    <col min="4" max="4" width="14.109375" style="1" customWidth="1"/>
    <col min="5" max="5" width="20" style="1" customWidth="1"/>
    <col min="6" max="6" width="16.21875" style="1" customWidth="1"/>
    <col min="7" max="7" width="9.6640625" style="1" customWidth="1"/>
    <col min="8" max="8" width="7" style="1" customWidth="1"/>
    <col min="9" max="9" width="7.5546875" style="1" customWidth="1"/>
    <col min="10" max="10" width="7.6640625" style="1" customWidth="1"/>
    <col min="11" max="11" width="8.88671875" style="1" customWidth="1"/>
    <col min="12" max="12" width="12.109375" style="1" customWidth="1"/>
    <col min="13" max="13" width="29.5546875" style="1" customWidth="1"/>
    <col min="14" max="14" width="23.44140625" style="1" customWidth="1"/>
    <col min="15" max="16384" width="11.5546875" style="1"/>
  </cols>
  <sheetData>
    <row r="1" spans="1:13" ht="31.2" customHeight="1">
      <c r="A1" s="2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495</v>
      </c>
      <c r="L1" s="5" t="s">
        <v>496</v>
      </c>
      <c r="M1" s="5" t="s">
        <v>10</v>
      </c>
    </row>
    <row r="2" spans="1:13" ht="30">
      <c r="A2" s="12">
        <v>2053175</v>
      </c>
      <c r="B2" s="13" t="s">
        <v>252</v>
      </c>
      <c r="C2" s="13" t="s">
        <v>348</v>
      </c>
      <c r="D2" s="14" t="s">
        <v>41</v>
      </c>
      <c r="E2" s="14" t="s">
        <v>253</v>
      </c>
      <c r="F2" s="14" t="s">
        <v>254</v>
      </c>
      <c r="G2" s="14" t="s">
        <v>19</v>
      </c>
      <c r="H2" s="14">
        <v>-2880</v>
      </c>
      <c r="I2" s="15">
        <v>-240</v>
      </c>
      <c r="J2" s="14">
        <v>25920</v>
      </c>
      <c r="K2" s="16">
        <f>+VLOOKUP(Tabla1[[#This Row],[CODE ERP]],[1]!Tabla1[[SKU]:[Costo CD]],3,0)</f>
        <v>7.55</v>
      </c>
      <c r="L2" s="16">
        <f>+Tabla1[[#This Row],[COSTO,U]]*Tabla1[[#This Row],[UNIDADES]]</f>
        <v>-21744</v>
      </c>
      <c r="M2" s="17" t="s">
        <v>521</v>
      </c>
    </row>
    <row r="3" spans="1:13" ht="30">
      <c r="A3" s="12">
        <v>2053175</v>
      </c>
      <c r="B3" s="13" t="s">
        <v>252</v>
      </c>
      <c r="C3" s="13" t="s">
        <v>348</v>
      </c>
      <c r="D3" s="14" t="s">
        <v>41</v>
      </c>
      <c r="E3" s="14" t="s">
        <v>253</v>
      </c>
      <c r="F3" s="14" t="s">
        <v>254</v>
      </c>
      <c r="G3" s="14" t="s">
        <v>19</v>
      </c>
      <c r="H3" s="14">
        <v>-1440</v>
      </c>
      <c r="I3" s="15">
        <v>-120</v>
      </c>
      <c r="J3" s="14">
        <v>25920</v>
      </c>
      <c r="K3" s="16">
        <f>+VLOOKUP(Tabla1[[#This Row],[CODE ERP]],[1]!Tabla1[[SKU]:[Costo CD]],3,0)</f>
        <v>7.55</v>
      </c>
      <c r="L3" s="16">
        <f>+Tabla1[[#This Row],[COSTO,U]]*Tabla1[[#This Row],[UNIDADES]]</f>
        <v>-10872</v>
      </c>
      <c r="M3" s="17" t="s">
        <v>522</v>
      </c>
    </row>
    <row r="4" spans="1:13" ht="30">
      <c r="A4" s="12">
        <v>104666</v>
      </c>
      <c r="B4" s="13" t="s">
        <v>136</v>
      </c>
      <c r="C4" s="13" t="s">
        <v>137</v>
      </c>
      <c r="D4" s="14" t="s">
        <v>130</v>
      </c>
      <c r="E4" s="14" t="s">
        <v>138</v>
      </c>
      <c r="F4" s="14" t="s">
        <v>139</v>
      </c>
      <c r="G4" s="14" t="s">
        <v>19</v>
      </c>
      <c r="H4" s="14">
        <v>-114</v>
      </c>
      <c r="I4" s="15">
        <v>-19</v>
      </c>
      <c r="J4" s="14">
        <v>732</v>
      </c>
      <c r="K4" s="16">
        <f>+VLOOKUP(Tabla1[[#This Row],[CODE ERP]],[1]!Tabla1[[SKU]:[Costo CD]],3,0)</f>
        <v>65.8</v>
      </c>
      <c r="L4" s="16">
        <f>+Tabla1[[#This Row],[COSTO,U]]*Tabla1[[#This Row],[UNIDADES]]</f>
        <v>-7501.2</v>
      </c>
      <c r="M4" s="17">
        <v>1</v>
      </c>
    </row>
    <row r="5" spans="1:13" ht="30">
      <c r="A5" s="12">
        <v>2088852</v>
      </c>
      <c r="B5" s="13" t="s">
        <v>361</v>
      </c>
      <c r="C5" s="13" t="s">
        <v>448</v>
      </c>
      <c r="D5" s="14" t="s">
        <v>32</v>
      </c>
      <c r="E5" s="14" t="s">
        <v>363</v>
      </c>
      <c r="F5" s="14" t="s">
        <v>364</v>
      </c>
      <c r="G5" s="14" t="s">
        <v>19</v>
      </c>
      <c r="H5" s="14">
        <v>-66</v>
      </c>
      <c r="I5" s="15">
        <v>-11</v>
      </c>
      <c r="J5" s="14">
        <v>126</v>
      </c>
      <c r="K5" s="16">
        <f>+VLOOKUP(Tabla1[[#This Row],[CODE ERP]],[1]!Tabla1[[SKU]:[Costo CD]],3,0)</f>
        <v>112.95</v>
      </c>
      <c r="L5" s="16">
        <f>+Tabla1[[#This Row],[COSTO,U]]*Tabla1[[#This Row],[UNIDADES]]</f>
        <v>-7454.7</v>
      </c>
      <c r="M5" s="17" t="s">
        <v>509</v>
      </c>
    </row>
    <row r="6" spans="1:13" ht="30">
      <c r="A6" s="12">
        <v>2019381</v>
      </c>
      <c r="B6" s="13" t="s">
        <v>70</v>
      </c>
      <c r="C6" s="13" t="s">
        <v>71</v>
      </c>
      <c r="D6" s="14" t="s">
        <v>52</v>
      </c>
      <c r="E6" s="14" t="s">
        <v>72</v>
      </c>
      <c r="F6" s="14" t="s">
        <v>73</v>
      </c>
      <c r="G6" s="14" t="s">
        <v>19</v>
      </c>
      <c r="H6" s="14">
        <v>-36</v>
      </c>
      <c r="I6" s="15">
        <v>-2</v>
      </c>
      <c r="J6" s="14">
        <v>3</v>
      </c>
      <c r="K6" s="16">
        <f>+VLOOKUP(Tabla1[[#This Row],[CODE ERP]],[1]!Tabla1[[SKU]:[Costo CD]],3,0)</f>
        <v>151.04</v>
      </c>
      <c r="L6" s="16">
        <f>+Tabla1[[#This Row],[COSTO,U]]*Tabla1[[#This Row],[UNIDADES]]</f>
        <v>-5437.44</v>
      </c>
      <c r="M6" s="17" t="s">
        <v>505</v>
      </c>
    </row>
    <row r="7" spans="1:13" ht="30">
      <c r="A7" s="12">
        <v>2016</v>
      </c>
      <c r="B7" s="13" t="s">
        <v>282</v>
      </c>
      <c r="C7" s="13" t="s">
        <v>283</v>
      </c>
      <c r="D7" s="14" t="s">
        <v>162</v>
      </c>
      <c r="E7" s="14" t="s">
        <v>284</v>
      </c>
      <c r="F7" s="14" t="s">
        <v>285</v>
      </c>
      <c r="G7" s="14" t="s">
        <v>19</v>
      </c>
      <c r="H7" s="14">
        <v>-72</v>
      </c>
      <c r="I7" s="15">
        <v>-1</v>
      </c>
      <c r="J7" s="14">
        <v>1272</v>
      </c>
      <c r="K7" s="16">
        <f>+VLOOKUP(Tabla1[[#This Row],[CODE ERP]],[1]!Tabla1[[SKU]:[Costo CD]],3,0)</f>
        <v>68.930000000000007</v>
      </c>
      <c r="L7" s="16">
        <f>+Tabla1[[#This Row],[COSTO,U]]*Tabla1[[#This Row],[UNIDADES]]</f>
        <v>-4962.9600000000009</v>
      </c>
      <c r="M7" s="17" t="s">
        <v>518</v>
      </c>
    </row>
    <row r="8" spans="1:13" ht="30">
      <c r="A8" s="10">
        <v>2081868</v>
      </c>
      <c r="B8" s="6" t="s">
        <v>339</v>
      </c>
      <c r="C8" s="6" t="s">
        <v>340</v>
      </c>
      <c r="D8" s="7" t="s">
        <v>27</v>
      </c>
      <c r="E8" s="7" t="s">
        <v>341</v>
      </c>
      <c r="F8" s="7" t="s">
        <v>342</v>
      </c>
      <c r="G8" s="7" t="s">
        <v>19</v>
      </c>
      <c r="H8" s="7">
        <v>-180</v>
      </c>
      <c r="I8" s="8">
        <v>-5</v>
      </c>
      <c r="J8" s="7">
        <v>3591</v>
      </c>
      <c r="K8" s="11">
        <f>+VLOOKUP(Tabla1[[#This Row],[CODE ERP]],[1]!Tabla1[[SKU]:[Costo CD]],3,0)</f>
        <v>25.91</v>
      </c>
      <c r="L8" s="11">
        <f>+Tabla1[[#This Row],[COSTO,U]]*Tabla1[[#This Row],[UNIDADES]]</f>
        <v>-4663.8</v>
      </c>
      <c r="M8" s="9" t="s">
        <v>12</v>
      </c>
    </row>
    <row r="9" spans="1:13" ht="30">
      <c r="A9" s="12">
        <v>2089787</v>
      </c>
      <c r="B9" s="13" t="s">
        <v>372</v>
      </c>
      <c r="C9" s="13" t="s">
        <v>373</v>
      </c>
      <c r="D9" s="14" t="s">
        <v>48</v>
      </c>
      <c r="E9" s="14" t="s">
        <v>374</v>
      </c>
      <c r="F9" s="14" t="s">
        <v>375</v>
      </c>
      <c r="G9" s="14" t="s">
        <v>19</v>
      </c>
      <c r="H9" s="14">
        <v>-168</v>
      </c>
      <c r="I9" s="15">
        <v>-7</v>
      </c>
      <c r="J9" s="14">
        <v>72</v>
      </c>
      <c r="K9" s="16">
        <v>23.3</v>
      </c>
      <c r="L9" s="16">
        <f>+Tabla1[[#This Row],[COSTO,U]]*Tabla1[[#This Row],[UNIDADES]]</f>
        <v>-3914.4</v>
      </c>
      <c r="M9" s="17" t="s">
        <v>520</v>
      </c>
    </row>
    <row r="10" spans="1:13" ht="30">
      <c r="A10" s="12">
        <v>2065629</v>
      </c>
      <c r="B10" s="13" t="s">
        <v>354</v>
      </c>
      <c r="C10" s="13" t="s">
        <v>380</v>
      </c>
      <c r="D10" s="14" t="s">
        <v>22</v>
      </c>
      <c r="E10" s="14" t="s">
        <v>355</v>
      </c>
      <c r="F10" s="14" t="s">
        <v>356</v>
      </c>
      <c r="G10" s="14" t="s">
        <v>19</v>
      </c>
      <c r="H10" s="14">
        <v>-144</v>
      </c>
      <c r="I10" s="15">
        <v>-12</v>
      </c>
      <c r="J10" s="14">
        <v>300</v>
      </c>
      <c r="K10" s="16">
        <f>+VLOOKUP(Tabla1[[#This Row],[CODE ERP]],[1]!Tabla1[[SKU]:[Costo CD]],3,0)</f>
        <v>23.48</v>
      </c>
      <c r="L10" s="16">
        <f>+Tabla1[[#This Row],[COSTO,U]]*Tabla1[[#This Row],[UNIDADES]]</f>
        <v>-3381.12</v>
      </c>
      <c r="M10" s="17" t="s">
        <v>524</v>
      </c>
    </row>
    <row r="11" spans="1:13" ht="30">
      <c r="A11" s="10">
        <v>2083229</v>
      </c>
      <c r="B11" s="6" t="s">
        <v>151</v>
      </c>
      <c r="C11" s="6" t="s">
        <v>152</v>
      </c>
      <c r="D11" s="7" t="s">
        <v>153</v>
      </c>
      <c r="E11" s="7" t="s">
        <v>154</v>
      </c>
      <c r="F11" s="7" t="s">
        <v>155</v>
      </c>
      <c r="G11" s="7" t="s">
        <v>19</v>
      </c>
      <c r="H11" s="7">
        <v>-130</v>
      </c>
      <c r="I11" s="8">
        <v>-13</v>
      </c>
      <c r="J11" s="7">
        <v>740</v>
      </c>
      <c r="K11" s="11">
        <f>+VLOOKUP(Tabla1[[#This Row],[CODE ERP]],[1]!Tabla1[[SKU]:[Costo CD]],3,0)</f>
        <v>25.85</v>
      </c>
      <c r="L11" s="11">
        <f>+Tabla1[[#This Row],[COSTO,U]]*Tabla1[[#This Row],[UNIDADES]]</f>
        <v>-3360.5</v>
      </c>
      <c r="M11" s="9" t="s">
        <v>12</v>
      </c>
    </row>
    <row r="12" spans="1:13" ht="30">
      <c r="A12" s="12">
        <v>2078367</v>
      </c>
      <c r="B12" s="13" t="s">
        <v>207</v>
      </c>
      <c r="C12" s="13" t="s">
        <v>208</v>
      </c>
      <c r="D12" s="14" t="s">
        <v>209</v>
      </c>
      <c r="E12" s="14" t="s">
        <v>210</v>
      </c>
      <c r="F12" s="14" t="s">
        <v>211</v>
      </c>
      <c r="G12" s="14" t="s">
        <v>19</v>
      </c>
      <c r="H12" s="14">
        <v>-36</v>
      </c>
      <c r="I12" s="15">
        <v>-3</v>
      </c>
      <c r="J12" s="14">
        <v>120</v>
      </c>
      <c r="K12" s="16">
        <f>+VLOOKUP(Tabla1[[#This Row],[CODE ERP]],[1]!Tabla1[[SKU]:[Costo CD]],3,0)</f>
        <v>92.17</v>
      </c>
      <c r="L12" s="16">
        <f>+Tabla1[[#This Row],[COSTO,U]]*Tabla1[[#This Row],[UNIDADES]]</f>
        <v>-3318.12</v>
      </c>
      <c r="M12" s="17" t="s">
        <v>504</v>
      </c>
    </row>
    <row r="13" spans="1:13" ht="30">
      <c r="A13" s="10">
        <v>2070231</v>
      </c>
      <c r="B13" s="6" t="s">
        <v>187</v>
      </c>
      <c r="C13" s="6" t="s">
        <v>188</v>
      </c>
      <c r="D13" s="7" t="s">
        <v>189</v>
      </c>
      <c r="E13" s="7" t="s">
        <v>190</v>
      </c>
      <c r="F13" s="7" t="s">
        <v>191</v>
      </c>
      <c r="G13" s="7" t="s">
        <v>19</v>
      </c>
      <c r="H13" s="7">
        <v>-288</v>
      </c>
      <c r="I13" s="8">
        <v>-1</v>
      </c>
      <c r="J13" s="7">
        <v>11952</v>
      </c>
      <c r="K13" s="11">
        <f>+VLOOKUP(Tabla1[[#This Row],[CODE ERP]],[1]!Tabla1[[SKU]:[Costo CD]],3,0)</f>
        <v>10.98</v>
      </c>
      <c r="L13" s="11">
        <f>+Tabla1[[#This Row],[COSTO,U]]*Tabla1[[#This Row],[UNIDADES]]</f>
        <v>-3162.2400000000002</v>
      </c>
      <c r="M13" s="9" t="s">
        <v>12</v>
      </c>
    </row>
    <row r="14" spans="1:13" ht="30">
      <c r="A14" s="12">
        <v>2007102</v>
      </c>
      <c r="B14" s="13" t="s">
        <v>297</v>
      </c>
      <c r="C14" s="13" t="s">
        <v>298</v>
      </c>
      <c r="D14" s="14" t="s">
        <v>133</v>
      </c>
      <c r="E14" s="14" t="s">
        <v>299</v>
      </c>
      <c r="F14" s="14" t="s">
        <v>300</v>
      </c>
      <c r="G14" s="14" t="s">
        <v>19</v>
      </c>
      <c r="H14" s="14">
        <v>-108</v>
      </c>
      <c r="I14" s="15">
        <v>-9</v>
      </c>
      <c r="J14" s="14">
        <v>660</v>
      </c>
      <c r="K14" s="16">
        <f>+VLOOKUP(Tabla1[[#This Row],[CODE ERP]],[1]!Tabla1[[SKU]:[Costo CD]],3,0)</f>
        <v>25.11</v>
      </c>
      <c r="L14" s="16">
        <f>+Tabla1[[#This Row],[COSTO,U]]*Tabla1[[#This Row],[UNIDADES]]</f>
        <v>-2711.88</v>
      </c>
      <c r="M14" s="17" t="s">
        <v>523</v>
      </c>
    </row>
    <row r="15" spans="1:13" ht="30">
      <c r="A15" s="12">
        <v>55246</v>
      </c>
      <c r="B15" s="13" t="s">
        <v>25</v>
      </c>
      <c r="C15" s="13" t="s">
        <v>26</v>
      </c>
      <c r="D15" s="14" t="s">
        <v>27</v>
      </c>
      <c r="E15" s="14" t="s">
        <v>28</v>
      </c>
      <c r="F15" s="14" t="s">
        <v>29</v>
      </c>
      <c r="G15" s="14" t="s">
        <v>19</v>
      </c>
      <c r="H15" s="14">
        <v>-144</v>
      </c>
      <c r="I15" s="15">
        <v>-12</v>
      </c>
      <c r="J15" s="14">
        <v>1116</v>
      </c>
      <c r="K15" s="16">
        <f>+VLOOKUP(Tabla1[[#This Row],[CODE ERP]],[1]!Tabla1[[SKU]:[Costo CD]],3,0)</f>
        <v>18.3</v>
      </c>
      <c r="L15" s="16">
        <f>+Tabla1[[#This Row],[COSTO,U]]*Tabla1[[#This Row],[UNIDADES]]</f>
        <v>-2635.2000000000003</v>
      </c>
      <c r="M15" s="17" t="s">
        <v>507</v>
      </c>
    </row>
    <row r="16" spans="1:13" ht="30">
      <c r="A16" s="10">
        <v>2070231</v>
      </c>
      <c r="B16" s="6" t="s">
        <v>187</v>
      </c>
      <c r="C16" s="6" t="s">
        <v>188</v>
      </c>
      <c r="D16" s="7" t="s">
        <v>189</v>
      </c>
      <c r="E16" s="7" t="s">
        <v>190</v>
      </c>
      <c r="F16" s="7" t="s">
        <v>191</v>
      </c>
      <c r="G16" s="7" t="s">
        <v>19</v>
      </c>
      <c r="H16" s="7">
        <v>-240</v>
      </c>
      <c r="I16" s="8">
        <v>-10</v>
      </c>
      <c r="J16" s="7">
        <v>11952</v>
      </c>
      <c r="K16" s="11">
        <f>+VLOOKUP(Tabla1[[#This Row],[CODE ERP]],[1]!Tabla1[[SKU]:[Costo CD]],3,0)</f>
        <v>10.98</v>
      </c>
      <c r="L16" s="11">
        <f>+Tabla1[[#This Row],[COSTO,U]]*Tabla1[[#This Row],[UNIDADES]]</f>
        <v>-2635.2000000000003</v>
      </c>
      <c r="M16" s="9" t="s">
        <v>12</v>
      </c>
    </row>
    <row r="17" spans="1:13" ht="30">
      <c r="A17" s="12">
        <v>114766</v>
      </c>
      <c r="B17" s="13" t="s">
        <v>104</v>
      </c>
      <c r="C17" s="13" t="s">
        <v>105</v>
      </c>
      <c r="D17" s="14" t="s">
        <v>86</v>
      </c>
      <c r="E17" s="14" t="s">
        <v>106</v>
      </c>
      <c r="F17" s="14" t="s">
        <v>107</v>
      </c>
      <c r="G17" s="14" t="s">
        <v>19</v>
      </c>
      <c r="H17" s="14">
        <v>-72</v>
      </c>
      <c r="I17" s="15">
        <v>-6</v>
      </c>
      <c r="J17" s="14">
        <v>12</v>
      </c>
      <c r="K17" s="16">
        <f>+VLOOKUP(Tabla1[[#This Row],[CODE ERP]],[1]!Tabla1[[SKU]:[Costo CD]],3,0)</f>
        <v>36.590000000000003</v>
      </c>
      <c r="L17" s="16">
        <f>+Tabla1[[#This Row],[COSTO,U]]*Tabla1[[#This Row],[UNIDADES]]</f>
        <v>-2634.4800000000005</v>
      </c>
      <c r="M17" s="17" t="s">
        <v>514</v>
      </c>
    </row>
    <row r="18" spans="1:13" ht="30">
      <c r="A18" s="12">
        <v>3031</v>
      </c>
      <c r="B18" s="13" t="s">
        <v>234</v>
      </c>
      <c r="C18" s="13" t="s">
        <v>465</v>
      </c>
      <c r="D18" s="14" t="s">
        <v>48</v>
      </c>
      <c r="E18" s="14" t="s">
        <v>235</v>
      </c>
      <c r="F18" s="14" t="s">
        <v>236</v>
      </c>
      <c r="G18" s="14" t="s">
        <v>19</v>
      </c>
      <c r="H18" s="14">
        <v>-144</v>
      </c>
      <c r="I18" s="15">
        <v>-6</v>
      </c>
      <c r="J18" s="14">
        <v>2208</v>
      </c>
      <c r="K18" s="16">
        <f>+VLOOKUP(Tabla1[[#This Row],[CODE ERP]],[1]!Tabla1[[SKU]:[Costo CD]],3,0)</f>
        <v>18.09</v>
      </c>
      <c r="L18" s="16">
        <f>+Tabla1[[#This Row],[COSTO,U]]*Tabla1[[#This Row],[UNIDADES]]</f>
        <v>-2604.96</v>
      </c>
      <c r="M18" s="17" t="s">
        <v>508</v>
      </c>
    </row>
    <row r="19" spans="1:13" ht="30">
      <c r="A19" s="12">
        <v>2019381</v>
      </c>
      <c r="B19" s="13" t="s">
        <v>70</v>
      </c>
      <c r="C19" s="13" t="s">
        <v>71</v>
      </c>
      <c r="D19" s="14" t="s">
        <v>52</v>
      </c>
      <c r="E19" s="14" t="s">
        <v>72</v>
      </c>
      <c r="F19" s="14" t="s">
        <v>73</v>
      </c>
      <c r="G19" s="14" t="s">
        <v>19</v>
      </c>
      <c r="H19" s="14">
        <v>-17</v>
      </c>
      <c r="I19" s="15">
        <v>-17</v>
      </c>
      <c r="J19" s="14">
        <v>3</v>
      </c>
      <c r="K19" s="16">
        <f>+VLOOKUP(Tabla1[[#This Row],[CODE ERP]],[1]!Tabla1[[SKU]:[Costo CD]],3,0)</f>
        <v>151.04</v>
      </c>
      <c r="L19" s="16">
        <f>+Tabla1[[#This Row],[COSTO,U]]*Tabla1[[#This Row],[UNIDADES]]</f>
        <v>-2567.6799999999998</v>
      </c>
      <c r="M19" s="17" t="s">
        <v>525</v>
      </c>
    </row>
    <row r="20" spans="1:13" ht="30">
      <c r="A20" s="12">
        <v>2090311</v>
      </c>
      <c r="B20" s="13" t="s">
        <v>46</v>
      </c>
      <c r="C20" s="13" t="s">
        <v>47</v>
      </c>
      <c r="D20" s="14" t="s">
        <v>48</v>
      </c>
      <c r="E20" s="14" t="s">
        <v>49</v>
      </c>
      <c r="F20" s="14" t="s">
        <v>50</v>
      </c>
      <c r="G20" s="14" t="s">
        <v>19</v>
      </c>
      <c r="H20" s="14">
        <v>-52</v>
      </c>
      <c r="I20" s="15">
        <v>-13</v>
      </c>
      <c r="J20" s="14">
        <v>1004</v>
      </c>
      <c r="K20" s="16">
        <v>45.3</v>
      </c>
      <c r="L20" s="16">
        <f>+Tabla1[[#This Row],[COSTO,U]]*Tabla1[[#This Row],[UNIDADES]]</f>
        <v>-2355.6</v>
      </c>
      <c r="M20" s="17" t="s">
        <v>497</v>
      </c>
    </row>
    <row r="21" spans="1:13" ht="30">
      <c r="A21" s="12">
        <v>70860</v>
      </c>
      <c r="B21" s="13" t="s">
        <v>124</v>
      </c>
      <c r="C21" s="13" t="s">
        <v>216</v>
      </c>
      <c r="D21" s="14" t="s">
        <v>209</v>
      </c>
      <c r="E21" s="14" t="s">
        <v>199</v>
      </c>
      <c r="F21" s="14" t="s">
        <v>200</v>
      </c>
      <c r="G21" s="14" t="s">
        <v>19</v>
      </c>
      <c r="H21" s="14">
        <v>-198</v>
      </c>
      <c r="I21" s="15">
        <v>-11</v>
      </c>
      <c r="J21" s="14">
        <v>2934</v>
      </c>
      <c r="K21" s="16">
        <f>+VLOOKUP(Tabla1[[#This Row],[CODE ERP]],[1]!Tabla1[[SKU]:[Costo CD]],3,0)</f>
        <v>11.71</v>
      </c>
      <c r="L21" s="16">
        <f>+Tabla1[[#This Row],[COSTO,U]]*Tabla1[[#This Row],[UNIDADES]]</f>
        <v>-2318.5800000000004</v>
      </c>
      <c r="M21" s="17" t="s">
        <v>509</v>
      </c>
    </row>
    <row r="22" spans="1:13" ht="30">
      <c r="A22" s="12">
        <v>2008039</v>
      </c>
      <c r="B22" s="13" t="s">
        <v>192</v>
      </c>
      <c r="C22" s="13" t="s">
        <v>193</v>
      </c>
      <c r="D22" s="14" t="s">
        <v>194</v>
      </c>
      <c r="E22" s="14" t="s">
        <v>195</v>
      </c>
      <c r="F22" s="14" t="s">
        <v>196</v>
      </c>
      <c r="G22" s="14" t="s">
        <v>197</v>
      </c>
      <c r="H22" s="14">
        <v>-96</v>
      </c>
      <c r="I22" s="15">
        <v>-4</v>
      </c>
      <c r="J22" s="14">
        <v>1224</v>
      </c>
      <c r="K22" s="16">
        <f>+VLOOKUP(Tabla1[[#This Row],[CODE ERP]],[1]!Tabla1[[SKU]:[Costo CD]],3,0)</f>
        <v>23.31</v>
      </c>
      <c r="L22" s="16">
        <f>+Tabla1[[#This Row],[COSTO,U]]*Tabla1[[#This Row],[UNIDADES]]</f>
        <v>-2237.7599999999998</v>
      </c>
      <c r="M22" s="17" t="s">
        <v>510</v>
      </c>
    </row>
    <row r="23" spans="1:13" ht="30">
      <c r="A23" s="12">
        <v>88627</v>
      </c>
      <c r="B23" s="13" t="s">
        <v>394</v>
      </c>
      <c r="C23" s="13" t="s">
        <v>395</v>
      </c>
      <c r="D23" s="14" t="s">
        <v>33</v>
      </c>
      <c r="E23" s="14" t="s">
        <v>396</v>
      </c>
      <c r="F23" s="14" t="s">
        <v>397</v>
      </c>
      <c r="G23" s="14" t="s">
        <v>19</v>
      </c>
      <c r="H23" s="14">
        <v>-306</v>
      </c>
      <c r="I23" s="15">
        <v>-17</v>
      </c>
      <c r="J23" s="14">
        <v>6588</v>
      </c>
      <c r="K23" s="16">
        <f>+VLOOKUP(Tabla1[[#This Row],[CODE ERP]],[1]!Tabla1[[SKU]:[Costo CD]],3,0)</f>
        <v>6.92</v>
      </c>
      <c r="L23" s="16">
        <f>+Tabla1[[#This Row],[COSTO,U]]*Tabla1[[#This Row],[UNIDADES]]</f>
        <v>-2117.52</v>
      </c>
      <c r="M23" s="17" t="s">
        <v>519</v>
      </c>
    </row>
    <row r="24" spans="1:13" ht="30">
      <c r="A24" s="12">
        <v>76454</v>
      </c>
      <c r="B24" s="13" t="s">
        <v>146</v>
      </c>
      <c r="C24" s="13" t="s">
        <v>147</v>
      </c>
      <c r="D24" s="14" t="s">
        <v>148</v>
      </c>
      <c r="E24" s="14" t="s">
        <v>149</v>
      </c>
      <c r="F24" s="14" t="s">
        <v>150</v>
      </c>
      <c r="G24" s="14" t="s">
        <v>19</v>
      </c>
      <c r="H24" s="14">
        <v>-36</v>
      </c>
      <c r="I24" s="15">
        <v>-3</v>
      </c>
      <c r="J24" s="14">
        <v>1332</v>
      </c>
      <c r="K24" s="16">
        <f>+VLOOKUP(Tabla1[[#This Row],[CODE ERP]],[1]!Tabla1[[SKU]:[Costo CD]],3,0)</f>
        <v>58.28</v>
      </c>
      <c r="L24" s="16">
        <f>+Tabla1[[#This Row],[COSTO,U]]*Tabla1[[#This Row],[UNIDADES]]</f>
        <v>-2098.08</v>
      </c>
      <c r="M24" s="17" t="s">
        <v>504</v>
      </c>
    </row>
    <row r="25" spans="1:13" ht="30">
      <c r="A25" s="12">
        <v>11167</v>
      </c>
      <c r="B25" s="13" t="s">
        <v>156</v>
      </c>
      <c r="C25" s="13" t="s">
        <v>157</v>
      </c>
      <c r="D25" s="14" t="s">
        <v>130</v>
      </c>
      <c r="E25" s="14" t="s">
        <v>158</v>
      </c>
      <c r="F25" s="14" t="s">
        <v>159</v>
      </c>
      <c r="G25" s="14" t="s">
        <v>19</v>
      </c>
      <c r="H25" s="14">
        <v>-18</v>
      </c>
      <c r="I25" s="15">
        <v>-3</v>
      </c>
      <c r="J25" s="14">
        <v>960</v>
      </c>
      <c r="K25" s="16">
        <f>+VLOOKUP(Tabla1[[#This Row],[CODE ERP]],[1]!Tabla1[[SKU]:[Costo CD]],3,0)</f>
        <v>113.08</v>
      </c>
      <c r="L25" s="16">
        <f>+Tabla1[[#This Row],[COSTO,U]]*Tabla1[[#This Row],[UNIDADES]]</f>
        <v>-2035.44</v>
      </c>
      <c r="M25" s="17" t="s">
        <v>504</v>
      </c>
    </row>
    <row r="26" spans="1:13" ht="30">
      <c r="A26" s="12">
        <v>2085690</v>
      </c>
      <c r="B26" s="13" t="s">
        <v>305</v>
      </c>
      <c r="C26" s="13" t="s">
        <v>306</v>
      </c>
      <c r="D26" s="14" t="s">
        <v>133</v>
      </c>
      <c r="E26" s="14" t="s">
        <v>307</v>
      </c>
      <c r="F26" s="14" t="s">
        <v>308</v>
      </c>
      <c r="G26" s="14" t="s">
        <v>19</v>
      </c>
      <c r="H26" s="14">
        <v>-75</v>
      </c>
      <c r="I26" s="15">
        <v>-5</v>
      </c>
      <c r="J26" s="14">
        <v>0</v>
      </c>
      <c r="K26" s="16">
        <f>+VLOOKUP(Tabla1[[#This Row],[CODE ERP]],[1]!Tabla1[[SKU]:[Costo CD]],3,0)</f>
        <v>26.42</v>
      </c>
      <c r="L26" s="16">
        <f>+Tabla1[[#This Row],[COSTO,U]]*Tabla1[[#This Row],[UNIDADES]]</f>
        <v>-1981.5000000000002</v>
      </c>
      <c r="M26" s="17" t="s">
        <v>516</v>
      </c>
    </row>
    <row r="27" spans="1:13" ht="30">
      <c r="A27" s="12">
        <v>2084515</v>
      </c>
      <c r="B27" s="13" t="s">
        <v>286</v>
      </c>
      <c r="C27" s="13" t="s">
        <v>287</v>
      </c>
      <c r="D27" s="14" t="s">
        <v>133</v>
      </c>
      <c r="E27" s="14" t="s">
        <v>288</v>
      </c>
      <c r="F27" s="14" t="s">
        <v>289</v>
      </c>
      <c r="G27" s="14" t="s">
        <v>19</v>
      </c>
      <c r="H27" s="14">
        <v>-144</v>
      </c>
      <c r="I27" s="15">
        <v>-3</v>
      </c>
      <c r="J27" s="14">
        <v>54</v>
      </c>
      <c r="K27" s="16">
        <f>+VLOOKUP(Tabla1[[#This Row],[CODE ERP]],[1]!Tabla1[[SKU]:[Costo CD]],3,0)</f>
        <v>13.17</v>
      </c>
      <c r="L27" s="16">
        <f>+Tabla1[[#This Row],[COSTO,U]]*Tabla1[[#This Row],[UNIDADES]]</f>
        <v>-1896.48</v>
      </c>
      <c r="M27" s="17" t="s">
        <v>504</v>
      </c>
    </row>
    <row r="28" spans="1:13" ht="30">
      <c r="A28" s="12">
        <v>2066830</v>
      </c>
      <c r="B28" s="13" t="s">
        <v>74</v>
      </c>
      <c r="C28" s="13" t="s">
        <v>75</v>
      </c>
      <c r="D28" s="14" t="s">
        <v>31</v>
      </c>
      <c r="E28" s="14" t="s">
        <v>76</v>
      </c>
      <c r="F28" s="14" t="s">
        <v>77</v>
      </c>
      <c r="G28" s="14" t="s">
        <v>19</v>
      </c>
      <c r="H28" s="14">
        <v>-36</v>
      </c>
      <c r="I28" s="15">
        <v>-3</v>
      </c>
      <c r="J28" s="14">
        <v>240</v>
      </c>
      <c r="K28" s="16">
        <f>+VLOOKUP(Tabla1[[#This Row],[CODE ERP]],[1]!Tabla1[[SKU]:[Costo CD]],3,0)</f>
        <v>49.11</v>
      </c>
      <c r="L28" s="16">
        <f>+Tabla1[[#This Row],[COSTO,U]]*Tabla1[[#This Row],[UNIDADES]]</f>
        <v>-1767.96</v>
      </c>
      <c r="M28" s="17" t="s">
        <v>505</v>
      </c>
    </row>
    <row r="29" spans="1:13" ht="30">
      <c r="A29" s="12">
        <v>2052803</v>
      </c>
      <c r="B29" s="13" t="s">
        <v>13</v>
      </c>
      <c r="C29" s="13" t="s">
        <v>14</v>
      </c>
      <c r="D29" s="14" t="s">
        <v>15</v>
      </c>
      <c r="E29" s="14" t="s">
        <v>16</v>
      </c>
      <c r="F29" s="14" t="s">
        <v>17</v>
      </c>
      <c r="G29" s="14" t="s">
        <v>11</v>
      </c>
      <c r="H29" s="14">
        <v>-864</v>
      </c>
      <c r="I29" s="15">
        <v>-6</v>
      </c>
      <c r="J29" s="14">
        <v>6192</v>
      </c>
      <c r="K29" s="16">
        <f>+VLOOKUP(Tabla1[[#This Row],[CODE ERP]],[1]!Tabla1[[SKU]:[Costo CD]],3,0)</f>
        <v>2.04</v>
      </c>
      <c r="L29" s="16">
        <f>+Tabla1[[#This Row],[COSTO,U]]*Tabla1[[#This Row],[UNIDADES]]</f>
        <v>-1762.56</v>
      </c>
      <c r="M29" s="17" t="s">
        <v>508</v>
      </c>
    </row>
    <row r="30" spans="1:13" ht="30">
      <c r="A30" s="12">
        <v>2053858</v>
      </c>
      <c r="B30" s="13" t="s">
        <v>434</v>
      </c>
      <c r="C30" s="13" t="s">
        <v>435</v>
      </c>
      <c r="D30" s="14" t="s">
        <v>349</v>
      </c>
      <c r="E30" s="14" t="s">
        <v>436</v>
      </c>
      <c r="F30" s="14" t="s">
        <v>437</v>
      </c>
      <c r="G30" s="14" t="s">
        <v>19</v>
      </c>
      <c r="H30" s="14">
        <v>-8</v>
      </c>
      <c r="I30" s="15">
        <v>-8</v>
      </c>
      <c r="J30" s="14">
        <v>9</v>
      </c>
      <c r="K30" s="16">
        <f>+VLOOKUP(Tabla1[[#This Row],[CODE ERP]],[1]!Tabla1[[SKU]:[Costo CD]],3,0)</f>
        <v>191.63</v>
      </c>
      <c r="L30" s="16">
        <f>+Tabla1[[#This Row],[COSTO,U]]*Tabla1[[#This Row],[UNIDADES]]</f>
        <v>-1533.04</v>
      </c>
      <c r="M30" s="17" t="s">
        <v>516</v>
      </c>
    </row>
    <row r="31" spans="1:13" ht="30">
      <c r="A31" s="12">
        <v>106343</v>
      </c>
      <c r="B31" s="13" t="s">
        <v>290</v>
      </c>
      <c r="C31" s="13" t="s">
        <v>291</v>
      </c>
      <c r="D31" s="14" t="s">
        <v>133</v>
      </c>
      <c r="E31" s="14" t="s">
        <v>292</v>
      </c>
      <c r="F31" s="14" t="s">
        <v>293</v>
      </c>
      <c r="G31" s="14" t="s">
        <v>19</v>
      </c>
      <c r="H31" s="14">
        <v>-60</v>
      </c>
      <c r="I31" s="15">
        <v>-5</v>
      </c>
      <c r="J31" s="14">
        <v>1236</v>
      </c>
      <c r="K31" s="16">
        <f>+VLOOKUP(Tabla1[[#This Row],[CODE ERP]],[1]!Tabla1[[SKU]:[Costo CD]],3,0)</f>
        <v>25.11</v>
      </c>
      <c r="L31" s="16">
        <f>+Tabla1[[#This Row],[COSTO,U]]*Tabla1[[#This Row],[UNIDADES]]</f>
        <v>-1506.6</v>
      </c>
      <c r="M31" s="17" t="s">
        <v>511</v>
      </c>
    </row>
    <row r="32" spans="1:13" ht="30">
      <c r="A32" s="12">
        <v>50775</v>
      </c>
      <c r="B32" s="13" t="s">
        <v>237</v>
      </c>
      <c r="C32" s="13" t="s">
        <v>238</v>
      </c>
      <c r="D32" s="14" t="s">
        <v>130</v>
      </c>
      <c r="E32" s="14" t="s">
        <v>239</v>
      </c>
      <c r="F32" s="14" t="s">
        <v>240</v>
      </c>
      <c r="G32" s="14" t="s">
        <v>19</v>
      </c>
      <c r="H32" s="14">
        <v>-100</v>
      </c>
      <c r="I32" s="15">
        <v>-5</v>
      </c>
      <c r="J32" s="14">
        <v>4020</v>
      </c>
      <c r="K32" s="16">
        <f>+VLOOKUP(Tabla1[[#This Row],[CODE ERP]],[1]!Tabla1[[SKU]:[Costo CD]],3,0)</f>
        <v>14.02</v>
      </c>
      <c r="L32" s="16">
        <f>+Tabla1[[#This Row],[COSTO,U]]*Tabla1[[#This Row],[UNIDADES]]</f>
        <v>-1402</v>
      </c>
      <c r="M32" s="17" t="s">
        <v>516</v>
      </c>
    </row>
    <row r="33" spans="1:13" ht="30">
      <c r="A33" s="12">
        <v>95230</v>
      </c>
      <c r="B33" s="13" t="s">
        <v>229</v>
      </c>
      <c r="C33" s="13" t="s">
        <v>365</v>
      </c>
      <c r="D33" s="14" t="s">
        <v>41</v>
      </c>
      <c r="E33" s="14" t="s">
        <v>232</v>
      </c>
      <c r="F33" s="14" t="s">
        <v>233</v>
      </c>
      <c r="G33" s="14" t="s">
        <v>19</v>
      </c>
      <c r="H33" s="14">
        <v>-16</v>
      </c>
      <c r="I33" s="15">
        <v>-4</v>
      </c>
      <c r="J33" s="14">
        <v>1644</v>
      </c>
      <c r="K33" s="16">
        <f>+VLOOKUP(Tabla1[[#This Row],[CODE ERP]],[1]!Tabla1[[SKU]:[Costo CD]],3,0)</f>
        <v>85.31</v>
      </c>
      <c r="L33" s="16">
        <f>+Tabla1[[#This Row],[COSTO,U]]*Tabla1[[#This Row],[UNIDADES]]</f>
        <v>-1364.96</v>
      </c>
      <c r="M33" s="17" t="s">
        <v>510</v>
      </c>
    </row>
    <row r="34" spans="1:13" ht="30">
      <c r="A34" s="10">
        <v>71156</v>
      </c>
      <c r="B34" s="6" t="s">
        <v>143</v>
      </c>
      <c r="C34" s="6" t="s">
        <v>261</v>
      </c>
      <c r="D34" s="7" t="s">
        <v>178</v>
      </c>
      <c r="E34" s="7" t="s">
        <v>144</v>
      </c>
      <c r="F34" s="7" t="s">
        <v>145</v>
      </c>
      <c r="G34" s="7" t="s">
        <v>19</v>
      </c>
      <c r="H34" s="7">
        <v>-168</v>
      </c>
      <c r="I34" s="8">
        <v>-7</v>
      </c>
      <c r="J34" s="7">
        <v>1296</v>
      </c>
      <c r="K34" s="11">
        <f>+VLOOKUP(Tabla1[[#This Row],[CODE ERP]],[1]!Tabla1[[SKU]:[Costo CD]],3,0)</f>
        <v>8.06</v>
      </c>
      <c r="L34" s="11">
        <f>+Tabla1[[#This Row],[COSTO,U]]*Tabla1[[#This Row],[UNIDADES]]</f>
        <v>-1354.0800000000002</v>
      </c>
      <c r="M34" s="9" t="s">
        <v>12</v>
      </c>
    </row>
    <row r="35" spans="1:13" ht="30">
      <c r="A35" s="12">
        <v>2007962</v>
      </c>
      <c r="B35" s="13" t="s">
        <v>277</v>
      </c>
      <c r="C35" s="13" t="s">
        <v>278</v>
      </c>
      <c r="D35" s="14" t="s">
        <v>279</v>
      </c>
      <c r="E35" s="14" t="s">
        <v>280</v>
      </c>
      <c r="F35" s="14" t="s">
        <v>281</v>
      </c>
      <c r="G35" s="14" t="s">
        <v>19</v>
      </c>
      <c r="H35" s="14">
        <v>-48</v>
      </c>
      <c r="I35" s="15">
        <v>-4</v>
      </c>
      <c r="J35" s="14">
        <v>696</v>
      </c>
      <c r="K35" s="16">
        <f>+VLOOKUP(Tabla1[[#This Row],[CODE ERP]],[1]!Tabla1[[SKU]:[Costo CD]],3,0)</f>
        <v>27.47</v>
      </c>
      <c r="L35" s="16">
        <f>+Tabla1[[#This Row],[COSTO,U]]*Tabla1[[#This Row],[UNIDADES]]</f>
        <v>-1318.56</v>
      </c>
      <c r="M35" s="17" t="s">
        <v>498</v>
      </c>
    </row>
    <row r="36" spans="1:13" ht="30">
      <c r="A36" s="10">
        <v>2086575</v>
      </c>
      <c r="B36" s="6" t="s">
        <v>112</v>
      </c>
      <c r="C36" s="6" t="s">
        <v>113</v>
      </c>
      <c r="D36" s="7" t="s">
        <v>80</v>
      </c>
      <c r="E36" s="7" t="s">
        <v>114</v>
      </c>
      <c r="F36" s="7" t="s">
        <v>115</v>
      </c>
      <c r="G36" s="7" t="s">
        <v>19</v>
      </c>
      <c r="H36" s="7">
        <v>-120</v>
      </c>
      <c r="I36" s="8">
        <v>-10</v>
      </c>
      <c r="J36" s="7">
        <v>384</v>
      </c>
      <c r="K36" s="11">
        <f>+VLOOKUP(Tabla1[[#This Row],[CODE ERP]],[1]!Tabla1[[SKU]:[Costo CD]],3,0)</f>
        <v>10.97</v>
      </c>
      <c r="L36" s="11">
        <f>+Tabla1[[#This Row],[COSTO,U]]*Tabla1[[#This Row],[UNIDADES]]</f>
        <v>-1316.4</v>
      </c>
      <c r="M36" s="9" t="s">
        <v>12</v>
      </c>
    </row>
    <row r="37" spans="1:13" ht="30">
      <c r="A37" s="10">
        <v>2081307</v>
      </c>
      <c r="B37" s="6" t="s">
        <v>42</v>
      </c>
      <c r="C37" s="6" t="s">
        <v>43</v>
      </c>
      <c r="D37" s="7" t="s">
        <v>22</v>
      </c>
      <c r="E37" s="7" t="s">
        <v>44</v>
      </c>
      <c r="F37" s="7" t="s">
        <v>45</v>
      </c>
      <c r="G37" s="7" t="s">
        <v>19</v>
      </c>
      <c r="H37" s="7">
        <v>-24</v>
      </c>
      <c r="I37" s="8">
        <v>-4</v>
      </c>
      <c r="J37" s="7">
        <v>78</v>
      </c>
      <c r="K37" s="11">
        <f>+VLOOKUP(Tabla1[[#This Row],[CODE ERP]],[1]!Tabla1[[SKU]:[Costo CD]],3,0)</f>
        <v>53.9</v>
      </c>
      <c r="L37" s="11">
        <f>+Tabla1[[#This Row],[COSTO,U]]*Tabla1[[#This Row],[UNIDADES]]</f>
        <v>-1293.5999999999999</v>
      </c>
      <c r="M37" s="9" t="s">
        <v>12</v>
      </c>
    </row>
    <row r="38" spans="1:13" ht="30">
      <c r="A38" s="12">
        <v>1597</v>
      </c>
      <c r="B38" s="13" t="s">
        <v>108</v>
      </c>
      <c r="C38" s="13" t="s">
        <v>109</v>
      </c>
      <c r="D38" s="14" t="s">
        <v>87</v>
      </c>
      <c r="E38" s="14" t="s">
        <v>110</v>
      </c>
      <c r="F38" s="14" t="s">
        <v>111</v>
      </c>
      <c r="G38" s="14" t="s">
        <v>19</v>
      </c>
      <c r="H38" s="14">
        <v>-160</v>
      </c>
      <c r="I38" s="15">
        <v>-2</v>
      </c>
      <c r="J38" s="14">
        <v>4480</v>
      </c>
      <c r="K38" s="16">
        <f>+VLOOKUP(Tabla1[[#This Row],[CODE ERP]],[1]!Tabla1[[SKU]:[Costo CD]],3,0)</f>
        <v>7.84</v>
      </c>
      <c r="L38" s="16">
        <f>+Tabla1[[#This Row],[COSTO,U]]*Tabla1[[#This Row],[UNIDADES]]</f>
        <v>-1254.4000000000001</v>
      </c>
      <c r="M38" s="17" t="s">
        <v>505</v>
      </c>
    </row>
    <row r="39" spans="1:13" ht="30">
      <c r="A39" s="10">
        <v>2088287</v>
      </c>
      <c r="B39" s="6" t="s">
        <v>88</v>
      </c>
      <c r="C39" s="6" t="s">
        <v>94</v>
      </c>
      <c r="D39" s="7" t="s">
        <v>81</v>
      </c>
      <c r="E39" s="7" t="s">
        <v>95</v>
      </c>
      <c r="F39" s="7" t="s">
        <v>96</v>
      </c>
      <c r="G39" s="7" t="s">
        <v>19</v>
      </c>
      <c r="H39" s="7">
        <v>-144</v>
      </c>
      <c r="I39" s="8">
        <v>-6</v>
      </c>
      <c r="J39" s="7">
        <v>744</v>
      </c>
      <c r="K39" s="11">
        <f>+VLOOKUP(Tabla1[[#This Row],[CODE ERP]],[1]!Tabla1[[SKU]:[Costo CD]],3,0)</f>
        <v>8.4700000000000006</v>
      </c>
      <c r="L39" s="11">
        <f>+Tabla1[[#This Row],[COSTO,U]]*Tabla1[[#This Row],[UNIDADES]]</f>
        <v>-1219.68</v>
      </c>
      <c r="M39" s="9" t="s">
        <v>12</v>
      </c>
    </row>
    <row r="40" spans="1:13" ht="30">
      <c r="A40" s="10">
        <v>114602</v>
      </c>
      <c r="B40" s="6" t="s">
        <v>58</v>
      </c>
      <c r="C40" s="6" t="s">
        <v>59</v>
      </c>
      <c r="D40" s="7" t="s">
        <v>30</v>
      </c>
      <c r="E40" s="7" t="s">
        <v>60</v>
      </c>
      <c r="F40" s="7" t="s">
        <v>61</v>
      </c>
      <c r="G40" s="7" t="s">
        <v>19</v>
      </c>
      <c r="H40" s="7">
        <v>-48</v>
      </c>
      <c r="I40" s="8">
        <v>-4</v>
      </c>
      <c r="J40" s="7">
        <v>48</v>
      </c>
      <c r="K40" s="11">
        <f>+VLOOKUP(Tabla1[[#This Row],[CODE ERP]],[1]!Tabla1[[SKU]:[Costo CD]],3,0)</f>
        <v>24.89</v>
      </c>
      <c r="L40" s="11">
        <f>+Tabla1[[#This Row],[COSTO,U]]*Tabla1[[#This Row],[UNIDADES]]</f>
        <v>-1194.72</v>
      </c>
      <c r="M40" s="9" t="s">
        <v>12</v>
      </c>
    </row>
    <row r="41" spans="1:13" ht="30">
      <c r="A41" s="10">
        <v>114602</v>
      </c>
      <c r="B41" s="6" t="s">
        <v>58</v>
      </c>
      <c r="C41" s="6" t="s">
        <v>59</v>
      </c>
      <c r="D41" s="7" t="s">
        <v>30</v>
      </c>
      <c r="E41" s="7" t="s">
        <v>60</v>
      </c>
      <c r="F41" s="7" t="s">
        <v>61</v>
      </c>
      <c r="G41" s="7" t="s">
        <v>19</v>
      </c>
      <c r="H41" s="7">
        <v>-48</v>
      </c>
      <c r="I41" s="8">
        <v>-4</v>
      </c>
      <c r="J41" s="7">
        <v>48</v>
      </c>
      <c r="K41" s="11">
        <f>+VLOOKUP(Tabla1[[#This Row],[CODE ERP]],[1]!Tabla1[[SKU]:[Costo CD]],3,0)</f>
        <v>24.89</v>
      </c>
      <c r="L41" s="11">
        <f>+Tabla1[[#This Row],[COSTO,U]]*Tabla1[[#This Row],[UNIDADES]]</f>
        <v>-1194.72</v>
      </c>
      <c r="M41" s="9" t="s">
        <v>12</v>
      </c>
    </row>
    <row r="42" spans="1:13" ht="30">
      <c r="A42" s="12">
        <v>104666</v>
      </c>
      <c r="B42" s="13" t="s">
        <v>136</v>
      </c>
      <c r="C42" s="13" t="s">
        <v>206</v>
      </c>
      <c r="D42" s="14" t="s">
        <v>189</v>
      </c>
      <c r="E42" s="14" t="s">
        <v>138</v>
      </c>
      <c r="F42" s="14" t="s">
        <v>139</v>
      </c>
      <c r="G42" s="14" t="s">
        <v>19</v>
      </c>
      <c r="H42" s="14">
        <v>-18</v>
      </c>
      <c r="I42" s="15">
        <v>-3</v>
      </c>
      <c r="J42" s="14">
        <v>840</v>
      </c>
      <c r="K42" s="16">
        <f>+VLOOKUP(Tabla1[[#This Row],[CODE ERP]],[1]!Tabla1[[SKU]:[Costo CD]],3,0)</f>
        <v>65.8</v>
      </c>
      <c r="L42" s="16">
        <f>+Tabla1[[#This Row],[COSTO,U]]*Tabla1[[#This Row],[UNIDADES]]</f>
        <v>-1184.3999999999999</v>
      </c>
      <c r="M42" s="17" t="s">
        <v>502</v>
      </c>
    </row>
    <row r="43" spans="1:13" ht="30">
      <c r="A43" s="12">
        <v>16135</v>
      </c>
      <c r="B43" s="13" t="s">
        <v>244</v>
      </c>
      <c r="C43" s="13" t="s">
        <v>245</v>
      </c>
      <c r="D43" s="14" t="s">
        <v>129</v>
      </c>
      <c r="E43" s="14" t="s">
        <v>246</v>
      </c>
      <c r="F43" s="14" t="s">
        <v>247</v>
      </c>
      <c r="G43" s="14" t="s">
        <v>19</v>
      </c>
      <c r="H43" s="14">
        <v>-24</v>
      </c>
      <c r="I43" s="15">
        <v>-2</v>
      </c>
      <c r="J43" s="14">
        <v>1032</v>
      </c>
      <c r="K43" s="16">
        <f>+VLOOKUP(Tabla1[[#This Row],[CODE ERP]],[1]!Tabla1[[SKU]:[Costo CD]],3,0)</f>
        <v>47.77</v>
      </c>
      <c r="L43" s="16">
        <f>+Tabla1[[#This Row],[COSTO,U]]*Tabla1[[#This Row],[UNIDADES]]</f>
        <v>-1146.48</v>
      </c>
      <c r="M43" s="17" t="s">
        <v>505</v>
      </c>
    </row>
    <row r="44" spans="1:13" ht="30">
      <c r="A44" s="12">
        <v>67029</v>
      </c>
      <c r="B44" s="13" t="s">
        <v>329</v>
      </c>
      <c r="C44" s="13" t="s">
        <v>330</v>
      </c>
      <c r="D44" s="14" t="s">
        <v>52</v>
      </c>
      <c r="E44" s="14" t="s">
        <v>331</v>
      </c>
      <c r="F44" s="14" t="s">
        <v>332</v>
      </c>
      <c r="G44" s="14" t="s">
        <v>19</v>
      </c>
      <c r="H44" s="14">
        <v>-5</v>
      </c>
      <c r="I44" s="15">
        <v>-5</v>
      </c>
      <c r="J44" s="14">
        <v>215</v>
      </c>
      <c r="K44" s="16">
        <f>+VLOOKUP(Tabla1[[#This Row],[CODE ERP]],[1]!Tabla1[[SKU]:[Costo CD]],3,0)</f>
        <v>226</v>
      </c>
      <c r="L44" s="16">
        <f>+Tabla1[[#This Row],[COSTO,U]]*Tabla1[[#This Row],[UNIDADES]]</f>
        <v>-1130</v>
      </c>
      <c r="M44" s="17" t="s">
        <v>512</v>
      </c>
    </row>
    <row r="45" spans="1:13" ht="30">
      <c r="A45" s="12">
        <v>2006536</v>
      </c>
      <c r="B45" s="13" t="s">
        <v>183</v>
      </c>
      <c r="C45" s="13" t="s">
        <v>184</v>
      </c>
      <c r="D45" s="14" t="s">
        <v>129</v>
      </c>
      <c r="E45" s="14" t="s">
        <v>185</v>
      </c>
      <c r="F45" s="14" t="s">
        <v>186</v>
      </c>
      <c r="G45" s="14" t="s">
        <v>19</v>
      </c>
      <c r="H45" s="14">
        <v>-20</v>
      </c>
      <c r="I45" s="15">
        <v>-2</v>
      </c>
      <c r="J45" s="14">
        <v>10</v>
      </c>
      <c r="K45" s="16">
        <f>+VLOOKUP(Tabla1[[#This Row],[CODE ERP]],[1]!Tabla1[[SKU]:[Costo CD]],3,0)</f>
        <v>56.37</v>
      </c>
      <c r="L45" s="16">
        <f>+Tabla1[[#This Row],[COSTO,U]]*Tabla1[[#This Row],[UNIDADES]]</f>
        <v>-1127.3999999999999</v>
      </c>
      <c r="M45" s="17" t="s">
        <v>513</v>
      </c>
    </row>
    <row r="46" spans="1:13" ht="30">
      <c r="A46" s="12">
        <v>2069724</v>
      </c>
      <c r="B46" s="13" t="s">
        <v>217</v>
      </c>
      <c r="C46" s="13" t="s">
        <v>218</v>
      </c>
      <c r="D46" s="14" t="s">
        <v>178</v>
      </c>
      <c r="E46" s="14" t="s">
        <v>219</v>
      </c>
      <c r="F46" s="14" t="s">
        <v>220</v>
      </c>
      <c r="G46" s="14" t="s">
        <v>19</v>
      </c>
      <c r="H46" s="14">
        <v>-54</v>
      </c>
      <c r="I46" s="15">
        <v>-6</v>
      </c>
      <c r="J46" s="14">
        <v>270</v>
      </c>
      <c r="K46" s="16">
        <f>+VLOOKUP(Tabla1[[#This Row],[CODE ERP]],[1]!Tabla1[[SKU]:[Costo CD]],3,0)</f>
        <v>20.63</v>
      </c>
      <c r="L46" s="16">
        <f>+Tabla1[[#This Row],[COSTO,U]]*Tabla1[[#This Row],[UNIDADES]]</f>
        <v>-1114.02</v>
      </c>
      <c r="M46" s="17" t="s">
        <v>508</v>
      </c>
    </row>
    <row r="47" spans="1:13" ht="30">
      <c r="A47" s="10">
        <v>2011916</v>
      </c>
      <c r="B47" s="6" t="s">
        <v>179</v>
      </c>
      <c r="C47" s="6" t="s">
        <v>180</v>
      </c>
      <c r="D47" s="7" t="s">
        <v>162</v>
      </c>
      <c r="E47" s="7" t="s">
        <v>181</v>
      </c>
      <c r="F47" s="7" t="s">
        <v>182</v>
      </c>
      <c r="G47" s="7" t="s">
        <v>19</v>
      </c>
      <c r="H47" s="7">
        <v>-12</v>
      </c>
      <c r="I47" s="8">
        <v>-1</v>
      </c>
      <c r="J47" s="7">
        <v>144</v>
      </c>
      <c r="K47" s="11">
        <f>+VLOOKUP(Tabla1[[#This Row],[CODE ERP]],[1]!Tabla1[[SKU]:[Costo CD]],3,0)</f>
        <v>92.29</v>
      </c>
      <c r="L47" s="11">
        <f>+Tabla1[[#This Row],[COSTO,U]]*Tabla1[[#This Row],[UNIDADES]]</f>
        <v>-1107.48</v>
      </c>
      <c r="M47" s="9" t="s">
        <v>12</v>
      </c>
    </row>
    <row r="48" spans="1:13" ht="30">
      <c r="A48" s="10">
        <v>2079346</v>
      </c>
      <c r="B48" s="6" t="s">
        <v>386</v>
      </c>
      <c r="C48" s="6" t="s">
        <v>387</v>
      </c>
      <c r="D48" s="7" t="s">
        <v>33</v>
      </c>
      <c r="E48" s="7" t="s">
        <v>388</v>
      </c>
      <c r="F48" s="7" t="s">
        <v>389</v>
      </c>
      <c r="G48" s="7" t="s">
        <v>19</v>
      </c>
      <c r="H48" s="7">
        <v>-24</v>
      </c>
      <c r="I48" s="8">
        <v>-2</v>
      </c>
      <c r="J48" s="7">
        <v>264</v>
      </c>
      <c r="K48" s="11">
        <f>+VLOOKUP(Tabla1[[#This Row],[CODE ERP]],[1]!Tabla1[[SKU]:[Costo CD]],3,0)</f>
        <v>45.85</v>
      </c>
      <c r="L48" s="11">
        <f>+Tabla1[[#This Row],[COSTO,U]]*Tabla1[[#This Row],[UNIDADES]]</f>
        <v>-1100.4000000000001</v>
      </c>
      <c r="M48" s="9" t="s">
        <v>12</v>
      </c>
    </row>
    <row r="49" spans="1:13" ht="30">
      <c r="A49" s="12">
        <v>95694</v>
      </c>
      <c r="B49" s="13" t="s">
        <v>103</v>
      </c>
      <c r="C49" s="13" t="s">
        <v>255</v>
      </c>
      <c r="D49" s="14" t="s">
        <v>153</v>
      </c>
      <c r="E49" s="14" t="s">
        <v>256</v>
      </c>
      <c r="F49" s="14" t="s">
        <v>257</v>
      </c>
      <c r="G49" s="14" t="s">
        <v>19</v>
      </c>
      <c r="H49" s="14">
        <v>-360</v>
      </c>
      <c r="I49" s="15">
        <v>-6</v>
      </c>
      <c r="J49" s="14">
        <v>2880</v>
      </c>
      <c r="K49" s="16">
        <f>+VLOOKUP(Tabla1[[#This Row],[CODE ERP]],[1]!Tabla1[[SKU]:[Costo CD]],3,0)</f>
        <v>3.05</v>
      </c>
      <c r="L49" s="16">
        <f>+Tabla1[[#This Row],[COSTO,U]]*Tabla1[[#This Row],[UNIDADES]]</f>
        <v>-1098</v>
      </c>
      <c r="M49" s="17" t="s">
        <v>514</v>
      </c>
    </row>
    <row r="50" spans="1:13" ht="30">
      <c r="A50" s="12">
        <v>113977</v>
      </c>
      <c r="B50" s="13" t="s">
        <v>407</v>
      </c>
      <c r="C50" s="13" t="s">
        <v>408</v>
      </c>
      <c r="D50" s="14" t="s">
        <v>27</v>
      </c>
      <c r="E50" s="14" t="s">
        <v>409</v>
      </c>
      <c r="F50" s="14" t="s">
        <v>410</v>
      </c>
      <c r="G50" s="14" t="s">
        <v>19</v>
      </c>
      <c r="H50" s="14">
        <v>-12</v>
      </c>
      <c r="I50" s="15">
        <v>-1</v>
      </c>
      <c r="J50" s="14">
        <v>12</v>
      </c>
      <c r="K50" s="16">
        <f>+VLOOKUP(Tabla1[[#This Row],[CODE ERP]],[1]!Tabla1[[SKU]:[Costo CD]],3,0)</f>
        <v>90.16</v>
      </c>
      <c r="L50" s="16">
        <f>+Tabla1[[#This Row],[COSTO,U]]*Tabla1[[#This Row],[UNIDADES]]</f>
        <v>-1081.92</v>
      </c>
      <c r="M50" s="17" t="s">
        <v>515</v>
      </c>
    </row>
    <row r="51" spans="1:13" ht="30">
      <c r="A51" s="12">
        <v>2015428</v>
      </c>
      <c r="B51" s="13" t="s">
        <v>385</v>
      </c>
      <c r="C51" s="13" t="s">
        <v>458</v>
      </c>
      <c r="D51" s="14" t="s">
        <v>347</v>
      </c>
      <c r="E51" s="14" t="s">
        <v>459</v>
      </c>
      <c r="F51" s="14" t="s">
        <v>460</v>
      </c>
      <c r="G51" s="14" t="s">
        <v>19</v>
      </c>
      <c r="H51" s="14">
        <v>-36</v>
      </c>
      <c r="I51" s="15">
        <v>-6</v>
      </c>
      <c r="J51" s="14">
        <v>438</v>
      </c>
      <c r="K51" s="16">
        <f>+VLOOKUP(Tabla1[[#This Row],[CODE ERP]],[1]!Tabla1[[SKU]:[Costo CD]],3,0)</f>
        <v>29.47</v>
      </c>
      <c r="L51" s="16">
        <f>+Tabla1[[#This Row],[COSTO,U]]*Tabla1[[#This Row],[UNIDADES]]</f>
        <v>-1060.92</v>
      </c>
      <c r="M51" s="17" t="s">
        <v>508</v>
      </c>
    </row>
    <row r="52" spans="1:13" ht="30">
      <c r="A52" s="12">
        <v>43726</v>
      </c>
      <c r="B52" s="13" t="s">
        <v>62</v>
      </c>
      <c r="C52" s="13" t="s">
        <v>63</v>
      </c>
      <c r="D52" s="14" t="s">
        <v>22</v>
      </c>
      <c r="E52" s="14" t="s">
        <v>64</v>
      </c>
      <c r="F52" s="14" t="s">
        <v>65</v>
      </c>
      <c r="G52" s="14" t="s">
        <v>19</v>
      </c>
      <c r="H52" s="14">
        <v>-48</v>
      </c>
      <c r="I52" s="15">
        <v>-4</v>
      </c>
      <c r="J52" s="14">
        <v>1728</v>
      </c>
      <c r="K52" s="16">
        <f>+VLOOKUP(Tabla1[[#This Row],[CODE ERP]],[1]!Tabla1[[SKU]:[Costo CD]],3,0)</f>
        <v>22.04</v>
      </c>
      <c r="L52" s="16">
        <f>+Tabla1[[#This Row],[COSTO,U]]*Tabla1[[#This Row],[UNIDADES]]</f>
        <v>-1057.92</v>
      </c>
      <c r="M52" s="17" t="s">
        <v>505</v>
      </c>
    </row>
    <row r="53" spans="1:13" ht="30">
      <c r="A53" s="12">
        <v>95230</v>
      </c>
      <c r="B53" s="13" t="s">
        <v>229</v>
      </c>
      <c r="C53" s="13" t="s">
        <v>230</v>
      </c>
      <c r="D53" s="14" t="s">
        <v>231</v>
      </c>
      <c r="E53" s="14" t="s">
        <v>232</v>
      </c>
      <c r="F53" s="14" t="s">
        <v>233</v>
      </c>
      <c r="G53" s="14" t="s">
        <v>19</v>
      </c>
      <c r="H53" s="14">
        <v>-12</v>
      </c>
      <c r="I53" s="15">
        <v>-3</v>
      </c>
      <c r="J53" s="14">
        <v>1656</v>
      </c>
      <c r="K53" s="16">
        <f>+VLOOKUP(Tabla1[[#This Row],[CODE ERP]],[1]!Tabla1[[SKU]:[Costo CD]],3,0)</f>
        <v>85.31</v>
      </c>
      <c r="L53" s="16">
        <f>+Tabla1[[#This Row],[COSTO,U]]*Tabla1[[#This Row],[UNIDADES]]</f>
        <v>-1023.72</v>
      </c>
      <c r="M53" s="17" t="s">
        <v>504</v>
      </c>
    </row>
    <row r="54" spans="1:13" ht="30">
      <c r="A54" s="12">
        <v>2087818</v>
      </c>
      <c r="B54" s="13" t="s">
        <v>54</v>
      </c>
      <c r="C54" s="13" t="s">
        <v>55</v>
      </c>
      <c r="D54" s="14" t="s">
        <v>22</v>
      </c>
      <c r="E54" s="14" t="s">
        <v>56</v>
      </c>
      <c r="F54" s="14" t="s">
        <v>57</v>
      </c>
      <c r="G54" s="14" t="s">
        <v>19</v>
      </c>
      <c r="H54" s="14">
        <v>-24</v>
      </c>
      <c r="I54" s="15">
        <v>-2</v>
      </c>
      <c r="J54" s="14">
        <v>552</v>
      </c>
      <c r="K54" s="16">
        <f>+VLOOKUP(Tabla1[[#This Row],[CODE ERP]],[1]!Tabla1[[SKU]:[Costo CD]],3,0)</f>
        <v>41.84</v>
      </c>
      <c r="L54" s="16">
        <f>+Tabla1[[#This Row],[COSTO,U]]*Tabla1[[#This Row],[UNIDADES]]</f>
        <v>-1004.1600000000001</v>
      </c>
      <c r="M54" s="17" t="s">
        <v>505</v>
      </c>
    </row>
    <row r="55" spans="1:13" ht="30">
      <c r="A55" s="12">
        <v>2082211</v>
      </c>
      <c r="B55" s="13" t="s">
        <v>412</v>
      </c>
      <c r="C55" s="13" t="s">
        <v>413</v>
      </c>
      <c r="D55" s="14" t="s">
        <v>27</v>
      </c>
      <c r="E55" s="14" t="s">
        <v>414</v>
      </c>
      <c r="F55" s="14" t="s">
        <v>415</v>
      </c>
      <c r="G55" s="14" t="s">
        <v>19</v>
      </c>
      <c r="H55" s="14">
        <v>-12</v>
      </c>
      <c r="I55" s="15">
        <v>-2</v>
      </c>
      <c r="J55" s="14">
        <v>6</v>
      </c>
      <c r="K55" s="16">
        <f>+VLOOKUP(Tabla1[[#This Row],[CODE ERP]],[1]!Tabla1[[SKU]:[Costo CD]],3,0)</f>
        <v>83.11</v>
      </c>
      <c r="L55" s="16">
        <f>+Tabla1[[#This Row],[COSTO,U]]*Tabla1[[#This Row],[UNIDADES]]</f>
        <v>-997.31999999999994</v>
      </c>
      <c r="M55" s="17" t="s">
        <v>505</v>
      </c>
    </row>
    <row r="56" spans="1:13" ht="30">
      <c r="A56" s="12">
        <v>2087615</v>
      </c>
      <c r="B56" s="13" t="s">
        <v>334</v>
      </c>
      <c r="C56" s="13" t="s">
        <v>335</v>
      </c>
      <c r="D56" s="14" t="s">
        <v>22</v>
      </c>
      <c r="E56" s="14" t="s">
        <v>336</v>
      </c>
      <c r="F56" s="14" t="s">
        <v>337</v>
      </c>
      <c r="G56" s="14" t="s">
        <v>19</v>
      </c>
      <c r="H56" s="14">
        <v>-36</v>
      </c>
      <c r="I56" s="15">
        <v>-3</v>
      </c>
      <c r="J56" s="14">
        <v>36</v>
      </c>
      <c r="K56" s="16">
        <f>+VLOOKUP(Tabla1[[#This Row],[CODE ERP]],[1]!Tabla1[[SKU]:[Costo CD]],3,0)</f>
        <v>27</v>
      </c>
      <c r="L56" s="16">
        <f>+Tabla1[[#This Row],[COSTO,U]]*Tabla1[[#This Row],[UNIDADES]]</f>
        <v>-972</v>
      </c>
      <c r="M56" s="17" t="s">
        <v>504</v>
      </c>
    </row>
    <row r="57" spans="1:13" ht="30">
      <c r="A57" s="12">
        <v>118699</v>
      </c>
      <c r="B57" s="13" t="s">
        <v>411</v>
      </c>
      <c r="C57" s="13" t="s">
        <v>442</v>
      </c>
      <c r="D57" s="14" t="s">
        <v>345</v>
      </c>
      <c r="E57" s="14" t="s">
        <v>443</v>
      </c>
      <c r="F57" s="14" t="s">
        <v>196</v>
      </c>
      <c r="G57" s="14" t="s">
        <v>11</v>
      </c>
      <c r="H57" s="14">
        <v>-12</v>
      </c>
      <c r="I57" s="15">
        <v>-1</v>
      </c>
      <c r="J57" s="14">
        <v>216</v>
      </c>
      <c r="K57" s="16">
        <f>+VLOOKUP(Tabla1[[#This Row],[CODE ERP]],[1]!Tabla1[[SKU]:[Costo CD]],3,0)</f>
        <v>80.2</v>
      </c>
      <c r="L57" s="16">
        <f>+Tabla1[[#This Row],[COSTO,U]]*Tabla1[[#This Row],[UNIDADES]]</f>
        <v>-962.40000000000009</v>
      </c>
      <c r="M57" s="17" t="s">
        <v>506</v>
      </c>
    </row>
    <row r="58" spans="1:13" ht="30">
      <c r="A58" s="12">
        <v>2084515</v>
      </c>
      <c r="B58" s="13" t="s">
        <v>286</v>
      </c>
      <c r="C58" s="13" t="s">
        <v>287</v>
      </c>
      <c r="D58" s="14" t="s">
        <v>133</v>
      </c>
      <c r="E58" s="14" t="s">
        <v>288</v>
      </c>
      <c r="F58" s="14" t="s">
        <v>289</v>
      </c>
      <c r="G58" s="14" t="s">
        <v>19</v>
      </c>
      <c r="H58" s="14">
        <v>-72</v>
      </c>
      <c r="I58" s="15">
        <v>-12</v>
      </c>
      <c r="J58" s="14">
        <v>54</v>
      </c>
      <c r="K58" s="16">
        <f>+VLOOKUP(Tabla1[[#This Row],[CODE ERP]],[1]!Tabla1[[SKU]:[Costo CD]],3,0)</f>
        <v>13.17</v>
      </c>
      <c r="L58" s="16">
        <f>+Tabla1[[#This Row],[COSTO,U]]*Tabla1[[#This Row],[UNIDADES]]</f>
        <v>-948.24</v>
      </c>
      <c r="M58" s="17" t="s">
        <v>526</v>
      </c>
    </row>
    <row r="59" spans="1:13" ht="30">
      <c r="A59" s="10">
        <v>2081709</v>
      </c>
      <c r="B59" s="6" t="s">
        <v>324</v>
      </c>
      <c r="C59" s="6" t="s">
        <v>325</v>
      </c>
      <c r="D59" s="7" t="s">
        <v>40</v>
      </c>
      <c r="E59" s="7" t="s">
        <v>326</v>
      </c>
      <c r="F59" s="7" t="s">
        <v>327</v>
      </c>
      <c r="G59" s="7" t="s">
        <v>19</v>
      </c>
      <c r="H59" s="7">
        <v>-50</v>
      </c>
      <c r="I59" s="8">
        <v>-2</v>
      </c>
      <c r="J59" s="7">
        <v>800</v>
      </c>
      <c r="K59" s="11">
        <f>+VLOOKUP(Tabla1[[#This Row],[CODE ERP]],[1]!Tabla1[[SKU]:[Costo CD]],3,0)</f>
        <v>18.96</v>
      </c>
      <c r="L59" s="11">
        <f>+Tabla1[[#This Row],[COSTO,U]]*Tabla1[[#This Row],[UNIDADES]]</f>
        <v>-948</v>
      </c>
      <c r="M59" s="9" t="s">
        <v>12</v>
      </c>
    </row>
    <row r="60" spans="1:13" ht="30">
      <c r="A60" s="10">
        <v>115452</v>
      </c>
      <c r="B60" s="6" t="s">
        <v>160</v>
      </c>
      <c r="C60" s="6" t="s">
        <v>161</v>
      </c>
      <c r="D60" s="7" t="s">
        <v>162</v>
      </c>
      <c r="E60" s="7" t="s">
        <v>163</v>
      </c>
      <c r="F60" s="7" t="s">
        <v>164</v>
      </c>
      <c r="G60" s="7" t="s">
        <v>19</v>
      </c>
      <c r="H60" s="7">
        <v>-36</v>
      </c>
      <c r="I60" s="8">
        <v>-3</v>
      </c>
      <c r="J60" s="7">
        <v>3744</v>
      </c>
      <c r="K60" s="11">
        <f>+VLOOKUP(Tabla1[[#This Row],[CODE ERP]],[1]!Tabla1[[SKU]:[Costo CD]],3,0)</f>
        <v>26.18</v>
      </c>
      <c r="L60" s="11">
        <f>+Tabla1[[#This Row],[COSTO,U]]*Tabla1[[#This Row],[UNIDADES]]</f>
        <v>-942.48</v>
      </c>
      <c r="M60" s="9" t="s">
        <v>12</v>
      </c>
    </row>
    <row r="61" spans="1:13" ht="30">
      <c r="A61" s="12">
        <v>2047306</v>
      </c>
      <c r="B61" s="13" t="s">
        <v>173</v>
      </c>
      <c r="C61" s="13" t="s">
        <v>174</v>
      </c>
      <c r="D61" s="14" t="s">
        <v>162</v>
      </c>
      <c r="E61" s="14" t="s">
        <v>175</v>
      </c>
      <c r="F61" s="14" t="s">
        <v>176</v>
      </c>
      <c r="G61" s="14" t="s">
        <v>19</v>
      </c>
      <c r="H61" s="14">
        <v>-24</v>
      </c>
      <c r="I61" s="15">
        <v>-2</v>
      </c>
      <c r="J61" s="14">
        <v>36</v>
      </c>
      <c r="K61" s="16">
        <f>+VLOOKUP(Tabla1[[#This Row],[CODE ERP]],[1]!Tabla1[[SKU]:[Costo CD]],3,0)</f>
        <v>39.17</v>
      </c>
      <c r="L61" s="16">
        <f>+Tabla1[[#This Row],[COSTO,U]]*Tabla1[[#This Row],[UNIDADES]]</f>
        <v>-940.08</v>
      </c>
      <c r="M61" s="17" t="s">
        <v>505</v>
      </c>
    </row>
    <row r="62" spans="1:13" ht="30">
      <c r="A62" s="12">
        <v>2001558</v>
      </c>
      <c r="B62" s="13" t="s">
        <v>449</v>
      </c>
      <c r="C62" s="13" t="s">
        <v>450</v>
      </c>
      <c r="D62" s="14" t="s">
        <v>27</v>
      </c>
      <c r="E62" s="14" t="s">
        <v>451</v>
      </c>
      <c r="F62" s="14" t="s">
        <v>452</v>
      </c>
      <c r="G62" s="14" t="s">
        <v>19</v>
      </c>
      <c r="H62" s="14">
        <v>-144</v>
      </c>
      <c r="I62" s="15">
        <v>-4</v>
      </c>
      <c r="J62" s="14">
        <v>4644</v>
      </c>
      <c r="K62" s="16">
        <f>+VLOOKUP(Tabla1[[#This Row],[CODE ERP]],[1]!Tabla1[[SKU]:[Costo CD]],3,0)</f>
        <v>6.48</v>
      </c>
      <c r="L62" s="16">
        <f>+Tabla1[[#This Row],[COSTO,U]]*Tabla1[[#This Row],[UNIDADES]]</f>
        <v>-933.12000000000012</v>
      </c>
      <c r="M62" s="17" t="s">
        <v>517</v>
      </c>
    </row>
    <row r="63" spans="1:13" ht="30">
      <c r="A63" s="10">
        <v>113094</v>
      </c>
      <c r="B63" s="6" t="s">
        <v>381</v>
      </c>
      <c r="C63" s="6" t="s">
        <v>382</v>
      </c>
      <c r="D63" s="7" t="s">
        <v>52</v>
      </c>
      <c r="E63" s="7" t="s">
        <v>383</v>
      </c>
      <c r="F63" s="7" t="s">
        <v>384</v>
      </c>
      <c r="G63" s="7" t="s">
        <v>19</v>
      </c>
      <c r="H63" s="7">
        <v>-6</v>
      </c>
      <c r="I63" s="8">
        <v>-1</v>
      </c>
      <c r="J63" s="7">
        <v>197</v>
      </c>
      <c r="K63" s="11">
        <f>+VLOOKUP(Tabla1[[#This Row],[CODE ERP]],[1]!Tabla1[[SKU]:[Costo CD]],3,0)</f>
        <v>153.62</v>
      </c>
      <c r="L63" s="11">
        <f>+Tabla1[[#This Row],[COSTO,U]]*Tabla1[[#This Row],[UNIDADES]]</f>
        <v>-921.72</v>
      </c>
      <c r="M63" s="9" t="s">
        <v>12</v>
      </c>
    </row>
    <row r="64" spans="1:13" ht="30">
      <c r="A64" s="10">
        <v>2088180</v>
      </c>
      <c r="B64" s="6" t="s">
        <v>444</v>
      </c>
      <c r="C64" s="6" t="s">
        <v>445</v>
      </c>
      <c r="D64" s="7" t="s">
        <v>33</v>
      </c>
      <c r="E64" s="7" t="s">
        <v>446</v>
      </c>
      <c r="F64" s="7" t="s">
        <v>447</v>
      </c>
      <c r="G64" s="7" t="s">
        <v>19</v>
      </c>
      <c r="H64" s="7">
        <v>-24</v>
      </c>
      <c r="I64" s="8">
        <v>-2</v>
      </c>
      <c r="J64" s="7">
        <v>0</v>
      </c>
      <c r="K64" s="11">
        <f>+VLOOKUP(Tabla1[[#This Row],[CODE ERP]],[1]!Tabla1[[SKU]:[Costo CD]],3,0)</f>
        <v>38.39</v>
      </c>
      <c r="L64" s="11">
        <f>+Tabla1[[#This Row],[COSTO,U]]*Tabla1[[#This Row],[UNIDADES]]</f>
        <v>-921.36</v>
      </c>
      <c r="M64" s="9" t="s">
        <v>12</v>
      </c>
    </row>
    <row r="65" spans="1:13" ht="30">
      <c r="A65" s="12">
        <v>2084178</v>
      </c>
      <c r="B65" s="13" t="s">
        <v>268</v>
      </c>
      <c r="C65" s="13" t="s">
        <v>269</v>
      </c>
      <c r="D65" s="14" t="s">
        <v>205</v>
      </c>
      <c r="E65" s="14" t="s">
        <v>270</v>
      </c>
      <c r="F65" s="14" t="s">
        <v>271</v>
      </c>
      <c r="G65" s="14" t="s">
        <v>19</v>
      </c>
      <c r="H65" s="14">
        <v>-6</v>
      </c>
      <c r="I65" s="15">
        <v>-1</v>
      </c>
      <c r="J65" s="14">
        <v>702</v>
      </c>
      <c r="K65" s="16">
        <f>+VLOOKUP(Tabla1[[#This Row],[CODE ERP]],[1]!Tabla1[[SKU]:[Costo CD]],3,0)</f>
        <v>153.35</v>
      </c>
      <c r="L65" s="16">
        <f>+Tabla1[[#This Row],[COSTO,U]]*Tabla1[[#This Row],[UNIDADES]]</f>
        <v>-920.09999999999991</v>
      </c>
      <c r="M65" s="17" t="s">
        <v>506</v>
      </c>
    </row>
    <row r="66" spans="1:13" ht="30">
      <c r="A66" s="12">
        <v>2084178</v>
      </c>
      <c r="B66" s="13" t="s">
        <v>268</v>
      </c>
      <c r="C66" s="13" t="s">
        <v>269</v>
      </c>
      <c r="D66" s="14" t="s">
        <v>205</v>
      </c>
      <c r="E66" s="14" t="s">
        <v>270</v>
      </c>
      <c r="F66" s="14" t="s">
        <v>271</v>
      </c>
      <c r="G66" s="14" t="s">
        <v>19</v>
      </c>
      <c r="H66" s="14">
        <v>-6</v>
      </c>
      <c r="I66" s="15">
        <v>-1</v>
      </c>
      <c r="J66" s="14">
        <v>702</v>
      </c>
      <c r="K66" s="16">
        <f>+VLOOKUP(Tabla1[[#This Row],[CODE ERP]],[1]!Tabla1[[SKU]:[Costo CD]],3,0)</f>
        <v>153.35</v>
      </c>
      <c r="L66" s="16">
        <f>+Tabla1[[#This Row],[COSTO,U]]*Tabla1[[#This Row],[UNIDADES]]</f>
        <v>-920.09999999999991</v>
      </c>
      <c r="M66" s="17" t="s">
        <v>506</v>
      </c>
    </row>
    <row r="67" spans="1:13" ht="30">
      <c r="A67" s="12">
        <v>2053175</v>
      </c>
      <c r="B67" s="13" t="s">
        <v>252</v>
      </c>
      <c r="C67" s="13" t="s">
        <v>338</v>
      </c>
      <c r="D67" s="14" t="s">
        <v>40</v>
      </c>
      <c r="E67" s="14" t="s">
        <v>253</v>
      </c>
      <c r="F67" s="14" t="s">
        <v>254</v>
      </c>
      <c r="G67" s="14" t="s">
        <v>19</v>
      </c>
      <c r="H67" s="14">
        <v>-120</v>
      </c>
      <c r="I67" s="15">
        <v>-10</v>
      </c>
      <c r="J67" s="14">
        <v>30240</v>
      </c>
      <c r="K67" s="16">
        <f>+VLOOKUP(Tabla1[[#This Row],[CODE ERP]],[1]!Tabla1[[SKU]:[Costo CD]],3,0)</f>
        <v>7.55</v>
      </c>
      <c r="L67" s="16">
        <f>+Tabla1[[#This Row],[COSTO,U]]*Tabla1[[#This Row],[UNIDADES]]</f>
        <v>-906</v>
      </c>
      <c r="M67" s="17" t="s">
        <v>500</v>
      </c>
    </row>
    <row r="68" spans="1:13" ht="30">
      <c r="A68" s="10">
        <v>2073293</v>
      </c>
      <c r="B68" s="6" t="s">
        <v>310</v>
      </c>
      <c r="C68" s="6" t="s">
        <v>311</v>
      </c>
      <c r="D68" s="7" t="s">
        <v>228</v>
      </c>
      <c r="E68" s="7" t="s">
        <v>312</v>
      </c>
      <c r="F68" s="7" t="s">
        <v>313</v>
      </c>
      <c r="G68" s="7" t="s">
        <v>19</v>
      </c>
      <c r="H68" s="7">
        <v>-48</v>
      </c>
      <c r="I68" s="8">
        <v>-2</v>
      </c>
      <c r="J68" s="7">
        <v>12</v>
      </c>
      <c r="K68" s="11">
        <f>+VLOOKUP(Tabla1[[#This Row],[CODE ERP]],[1]!Tabla1[[SKU]:[Costo CD]],3,0)</f>
        <v>18.559999999999999</v>
      </c>
      <c r="L68" s="11">
        <f>+Tabla1[[#This Row],[COSTO,U]]*Tabla1[[#This Row],[UNIDADES]]</f>
        <v>-890.87999999999988</v>
      </c>
      <c r="M68" s="9" t="s">
        <v>12</v>
      </c>
    </row>
    <row r="69" spans="1:13" ht="30">
      <c r="A69" s="10">
        <v>2026786</v>
      </c>
      <c r="B69" s="6" t="s">
        <v>201</v>
      </c>
      <c r="C69" s="6" t="s">
        <v>202</v>
      </c>
      <c r="D69" s="7" t="s">
        <v>162</v>
      </c>
      <c r="E69" s="7" t="s">
        <v>203</v>
      </c>
      <c r="F69" s="7" t="s">
        <v>204</v>
      </c>
      <c r="G69" s="7" t="s">
        <v>19</v>
      </c>
      <c r="H69" s="7">
        <v>-24</v>
      </c>
      <c r="I69" s="8">
        <v>-2</v>
      </c>
      <c r="J69" s="7">
        <v>84</v>
      </c>
      <c r="K69" s="11">
        <f>+VLOOKUP(Tabla1[[#This Row],[CODE ERP]],[1]!Tabla1[[SKU]:[Costo CD]],3,0)</f>
        <v>37.07</v>
      </c>
      <c r="L69" s="11">
        <f>+Tabla1[[#This Row],[COSTO,U]]*Tabla1[[#This Row],[UNIDADES]]</f>
        <v>-889.68000000000006</v>
      </c>
      <c r="M69" s="9" t="s">
        <v>12</v>
      </c>
    </row>
    <row r="70" spans="1:13" ht="30">
      <c r="A70" s="10">
        <v>114703</v>
      </c>
      <c r="B70" s="6" t="s">
        <v>120</v>
      </c>
      <c r="C70" s="6" t="s">
        <v>121</v>
      </c>
      <c r="D70" s="7" t="s">
        <v>79</v>
      </c>
      <c r="E70" s="7" t="s">
        <v>122</v>
      </c>
      <c r="F70" s="7" t="s">
        <v>123</v>
      </c>
      <c r="G70" s="7" t="s">
        <v>19</v>
      </c>
      <c r="H70" s="7">
        <v>-96</v>
      </c>
      <c r="I70" s="8">
        <v>-2</v>
      </c>
      <c r="J70" s="7">
        <v>240</v>
      </c>
      <c r="K70" s="11">
        <f>+VLOOKUP(Tabla1[[#This Row],[CODE ERP]],[1]!Tabla1[[SKU]:[Costo CD]],3,0)</f>
        <v>9.25</v>
      </c>
      <c r="L70" s="11">
        <f>+Tabla1[[#This Row],[COSTO,U]]*Tabla1[[#This Row],[UNIDADES]]</f>
        <v>-888</v>
      </c>
      <c r="M70" s="9" t="s">
        <v>12</v>
      </c>
    </row>
    <row r="71" spans="1:13" ht="30">
      <c r="A71" s="10">
        <v>114703</v>
      </c>
      <c r="B71" s="6" t="s">
        <v>120</v>
      </c>
      <c r="C71" s="6" t="s">
        <v>121</v>
      </c>
      <c r="D71" s="7" t="s">
        <v>79</v>
      </c>
      <c r="E71" s="7" t="s">
        <v>122</v>
      </c>
      <c r="F71" s="7" t="s">
        <v>123</v>
      </c>
      <c r="G71" s="7" t="s">
        <v>19</v>
      </c>
      <c r="H71" s="7">
        <v>-96</v>
      </c>
      <c r="I71" s="8">
        <v>-2</v>
      </c>
      <c r="J71" s="7">
        <v>240</v>
      </c>
      <c r="K71" s="11">
        <f>+VLOOKUP(Tabla1[[#This Row],[CODE ERP]],[1]!Tabla1[[SKU]:[Costo CD]],3,0)</f>
        <v>9.25</v>
      </c>
      <c r="L71" s="11">
        <f>+Tabla1[[#This Row],[COSTO,U]]*Tabla1[[#This Row],[UNIDADES]]</f>
        <v>-888</v>
      </c>
      <c r="M71" s="9" t="s">
        <v>12</v>
      </c>
    </row>
    <row r="72" spans="1:13" ht="30">
      <c r="A72" s="12">
        <v>115720</v>
      </c>
      <c r="B72" s="13" t="s">
        <v>471</v>
      </c>
      <c r="C72" s="13" t="s">
        <v>472</v>
      </c>
      <c r="D72" s="14" t="s">
        <v>48</v>
      </c>
      <c r="E72" s="14" t="s">
        <v>473</v>
      </c>
      <c r="F72" s="14" t="s">
        <v>474</v>
      </c>
      <c r="G72" s="14" t="s">
        <v>19</v>
      </c>
      <c r="H72" s="14">
        <v>-90</v>
      </c>
      <c r="I72" s="15">
        <v>-3</v>
      </c>
      <c r="J72" s="14">
        <v>0</v>
      </c>
      <c r="K72" s="16">
        <f>+VLOOKUP(Tabla1[[#This Row],[CODE ERP]],[1]!Tabla1[[SKU]:[Costo CD]],3,0)</f>
        <v>9.85</v>
      </c>
      <c r="L72" s="16">
        <f>+Tabla1[[#This Row],[COSTO,U]]*Tabla1[[#This Row],[UNIDADES]]</f>
        <v>-886.5</v>
      </c>
      <c r="M72" s="17" t="s">
        <v>504</v>
      </c>
    </row>
    <row r="73" spans="1:13" ht="30">
      <c r="A73" s="12">
        <v>2044587</v>
      </c>
      <c r="B73" s="13" t="s">
        <v>475</v>
      </c>
      <c r="C73" s="13" t="s">
        <v>476</v>
      </c>
      <c r="D73" s="14" t="s">
        <v>48</v>
      </c>
      <c r="E73" s="14" t="s">
        <v>477</v>
      </c>
      <c r="F73" s="14" t="s">
        <v>478</v>
      </c>
      <c r="G73" s="14" t="s">
        <v>19</v>
      </c>
      <c r="H73" s="14">
        <v>-36</v>
      </c>
      <c r="I73" s="15">
        <v>-3</v>
      </c>
      <c r="J73" s="14">
        <v>48</v>
      </c>
      <c r="K73" s="16">
        <f>+VLOOKUP(Tabla1[[#This Row],[CODE ERP]],[1]!Tabla1[[SKU]:[Costo CD]],3,0)</f>
        <v>24.47</v>
      </c>
      <c r="L73" s="16">
        <f>+Tabla1[[#This Row],[COSTO,U]]*Tabla1[[#This Row],[UNIDADES]]</f>
        <v>-880.92</v>
      </c>
      <c r="M73" s="17" t="s">
        <v>504</v>
      </c>
    </row>
    <row r="74" spans="1:13" ht="30">
      <c r="A74" s="10">
        <v>2083320</v>
      </c>
      <c r="B74" s="6" t="s">
        <v>258</v>
      </c>
      <c r="C74" s="6" t="s">
        <v>470</v>
      </c>
      <c r="D74" s="7" t="s">
        <v>347</v>
      </c>
      <c r="E74" s="7" t="s">
        <v>259</v>
      </c>
      <c r="F74" s="7" t="s">
        <v>260</v>
      </c>
      <c r="G74" s="7" t="s">
        <v>19</v>
      </c>
      <c r="H74" s="7">
        <v>-36</v>
      </c>
      <c r="I74" s="8">
        <v>-3</v>
      </c>
      <c r="J74" s="7">
        <v>1284</v>
      </c>
      <c r="K74" s="11">
        <f>+VLOOKUP(Tabla1[[#This Row],[CODE ERP]],[1]!Tabla1[[SKU]:[Costo CD]],3,0)</f>
        <v>24.11</v>
      </c>
      <c r="L74" s="11">
        <f>+Tabla1[[#This Row],[COSTO,U]]*Tabla1[[#This Row],[UNIDADES]]</f>
        <v>-867.96</v>
      </c>
      <c r="M74" s="9" t="s">
        <v>12</v>
      </c>
    </row>
    <row r="75" spans="1:13" ht="30">
      <c r="A75" s="12">
        <v>70860</v>
      </c>
      <c r="B75" s="13" t="s">
        <v>124</v>
      </c>
      <c r="C75" s="13" t="s">
        <v>198</v>
      </c>
      <c r="D75" s="14" t="s">
        <v>130</v>
      </c>
      <c r="E75" s="14" t="s">
        <v>199</v>
      </c>
      <c r="F75" s="14" t="s">
        <v>200</v>
      </c>
      <c r="G75" s="14" t="s">
        <v>19</v>
      </c>
      <c r="H75" s="14">
        <v>-72</v>
      </c>
      <c r="I75" s="15">
        <v>-4</v>
      </c>
      <c r="J75" s="14">
        <v>3132</v>
      </c>
      <c r="K75" s="16">
        <f>+VLOOKUP(Tabla1[[#This Row],[CODE ERP]],[1]!Tabla1[[SKU]:[Costo CD]],3,0)</f>
        <v>11.71</v>
      </c>
      <c r="L75" s="16">
        <f>+Tabla1[[#This Row],[COSTO,U]]*Tabla1[[#This Row],[UNIDADES]]</f>
        <v>-843.12000000000012</v>
      </c>
      <c r="M75" s="17" t="s">
        <v>510</v>
      </c>
    </row>
    <row r="76" spans="1:13" ht="30">
      <c r="A76" s="10">
        <v>2056564</v>
      </c>
      <c r="B76" s="6" t="s">
        <v>241</v>
      </c>
      <c r="C76" s="6" t="s">
        <v>295</v>
      </c>
      <c r="D76" s="7" t="s">
        <v>129</v>
      </c>
      <c r="E76" s="7" t="s">
        <v>242</v>
      </c>
      <c r="F76" s="7" t="s">
        <v>243</v>
      </c>
      <c r="G76" s="7" t="s">
        <v>19</v>
      </c>
      <c r="H76" s="7">
        <v>-20</v>
      </c>
      <c r="I76" s="8">
        <v>-5</v>
      </c>
      <c r="J76" s="7">
        <v>84</v>
      </c>
      <c r="K76" s="11">
        <f>+VLOOKUP(Tabla1[[#This Row],[CODE ERP]],[1]!Tabla1[[SKU]:[Costo CD]],3,0)</f>
        <v>41.96</v>
      </c>
      <c r="L76" s="11">
        <f>+Tabla1[[#This Row],[COSTO,U]]*Tabla1[[#This Row],[UNIDADES]]</f>
        <v>-839.2</v>
      </c>
      <c r="M76" s="9" t="s">
        <v>12</v>
      </c>
    </row>
    <row r="77" spans="1:13" ht="30">
      <c r="A77" s="10">
        <v>2016</v>
      </c>
      <c r="B77" s="6" t="s">
        <v>282</v>
      </c>
      <c r="C77" s="6" t="s">
        <v>283</v>
      </c>
      <c r="D77" s="7" t="s">
        <v>162</v>
      </c>
      <c r="E77" s="7" t="s">
        <v>284</v>
      </c>
      <c r="F77" s="7" t="s">
        <v>285</v>
      </c>
      <c r="G77" s="7" t="s">
        <v>19</v>
      </c>
      <c r="H77" s="7">
        <v>-12</v>
      </c>
      <c r="I77" s="8">
        <v>-1</v>
      </c>
      <c r="J77" s="7">
        <v>1272</v>
      </c>
      <c r="K77" s="11">
        <f>+VLOOKUP(Tabla1[[#This Row],[CODE ERP]],[1]!Tabla1[[SKU]:[Costo CD]],3,0)</f>
        <v>68.930000000000007</v>
      </c>
      <c r="L77" s="11">
        <f>+Tabla1[[#This Row],[COSTO,U]]*Tabla1[[#This Row],[UNIDADES]]</f>
        <v>-827.16000000000008</v>
      </c>
      <c r="M77" s="9" t="s">
        <v>12</v>
      </c>
    </row>
    <row r="78" spans="1:13" ht="30">
      <c r="A78" s="12">
        <v>46614</v>
      </c>
      <c r="B78" s="13" t="s">
        <v>89</v>
      </c>
      <c r="C78" s="13" t="s">
        <v>90</v>
      </c>
      <c r="D78" s="14" t="s">
        <v>91</v>
      </c>
      <c r="E78" s="14" t="s">
        <v>92</v>
      </c>
      <c r="F78" s="14" t="s">
        <v>93</v>
      </c>
      <c r="G78" s="14" t="s">
        <v>19</v>
      </c>
      <c r="H78" s="14">
        <v>-6</v>
      </c>
      <c r="I78" s="15">
        <v>-1</v>
      </c>
      <c r="J78" s="14">
        <v>426</v>
      </c>
      <c r="K78" s="16">
        <f>+VLOOKUP(Tabla1[[#This Row],[CODE ERP]],[1]!Tabla1[[SKU]:[Costo CD]],3,0)</f>
        <v>134.84</v>
      </c>
      <c r="L78" s="16">
        <f>+Tabla1[[#This Row],[COSTO,U]]*Tabla1[[#This Row],[UNIDADES]]</f>
        <v>-809.04</v>
      </c>
      <c r="M78" s="17" t="s">
        <v>506</v>
      </c>
    </row>
    <row r="79" spans="1:13" ht="30">
      <c r="A79" s="12">
        <v>104666</v>
      </c>
      <c r="B79" s="13" t="s">
        <v>136</v>
      </c>
      <c r="C79" s="13" t="s">
        <v>319</v>
      </c>
      <c r="D79" s="14" t="s">
        <v>30</v>
      </c>
      <c r="E79" s="14" t="s">
        <v>138</v>
      </c>
      <c r="F79" s="14" t="s">
        <v>139</v>
      </c>
      <c r="G79" s="14" t="s">
        <v>19</v>
      </c>
      <c r="H79" s="14">
        <v>-12</v>
      </c>
      <c r="I79" s="15">
        <v>-2</v>
      </c>
      <c r="J79" s="14">
        <v>828</v>
      </c>
      <c r="K79" s="16">
        <f>+VLOOKUP(Tabla1[[#This Row],[CODE ERP]],[1]!Tabla1[[SKU]:[Costo CD]],3,0)</f>
        <v>65.8</v>
      </c>
      <c r="L79" s="16">
        <f>+Tabla1[[#This Row],[COSTO,U]]*Tabla1[[#This Row],[UNIDADES]]</f>
        <v>-789.59999999999991</v>
      </c>
      <c r="M79" s="17" t="s">
        <v>503</v>
      </c>
    </row>
    <row r="80" spans="1:13" ht="30">
      <c r="A80" s="10">
        <v>106557</v>
      </c>
      <c r="B80" s="6" t="s">
        <v>487</v>
      </c>
      <c r="C80" s="6" t="s">
        <v>488</v>
      </c>
      <c r="D80" s="7" t="s">
        <v>22</v>
      </c>
      <c r="E80" s="7" t="s">
        <v>489</v>
      </c>
      <c r="F80" s="7" t="s">
        <v>490</v>
      </c>
      <c r="G80" s="7" t="s">
        <v>19</v>
      </c>
      <c r="H80" s="7">
        <v>-72</v>
      </c>
      <c r="I80" s="8">
        <v>-1</v>
      </c>
      <c r="J80" s="7">
        <v>0</v>
      </c>
      <c r="K80" s="11">
        <f>+VLOOKUP(Tabla1[[#This Row],[CODE ERP]],[1]!Tabla1[[SKU]:[Costo CD]],3,0)</f>
        <v>10.75</v>
      </c>
      <c r="L80" s="11">
        <f>+Tabla1[[#This Row],[COSTO,U]]*Tabla1[[#This Row],[UNIDADES]]</f>
        <v>-774</v>
      </c>
      <c r="M80" s="9" t="s">
        <v>12</v>
      </c>
    </row>
    <row r="81" spans="1:13" ht="30">
      <c r="A81" s="10">
        <v>2022515</v>
      </c>
      <c r="B81" s="6" t="s">
        <v>82</v>
      </c>
      <c r="C81" s="6" t="s">
        <v>83</v>
      </c>
      <c r="D81" s="7" t="s">
        <v>78</v>
      </c>
      <c r="E81" s="7" t="s">
        <v>84</v>
      </c>
      <c r="F81" s="7" t="s">
        <v>85</v>
      </c>
      <c r="G81" s="7" t="s">
        <v>19</v>
      </c>
      <c r="H81" s="7">
        <v>-60</v>
      </c>
      <c r="I81" s="8">
        <v>-5</v>
      </c>
      <c r="J81" s="7">
        <v>636</v>
      </c>
      <c r="K81" s="11">
        <f>+VLOOKUP(Tabla1[[#This Row],[CODE ERP]],[1]!Tabla1[[SKU]:[Costo CD]],3,0)</f>
        <v>12.89</v>
      </c>
      <c r="L81" s="11">
        <f>+Tabla1[[#This Row],[COSTO,U]]*Tabla1[[#This Row],[UNIDADES]]</f>
        <v>-773.40000000000009</v>
      </c>
      <c r="M81" s="9" t="s">
        <v>12</v>
      </c>
    </row>
    <row r="82" spans="1:13" ht="30">
      <c r="A82" s="10">
        <v>117185</v>
      </c>
      <c r="B82" s="6" t="s">
        <v>320</v>
      </c>
      <c r="C82" s="6" t="s">
        <v>321</v>
      </c>
      <c r="D82" s="7" t="s">
        <v>32</v>
      </c>
      <c r="E82" s="7" t="s">
        <v>322</v>
      </c>
      <c r="F82" s="7" t="s">
        <v>323</v>
      </c>
      <c r="G82" s="7" t="s">
        <v>19</v>
      </c>
      <c r="H82" s="7">
        <v>-24</v>
      </c>
      <c r="I82" s="8">
        <v>-2</v>
      </c>
      <c r="J82" s="7">
        <v>72</v>
      </c>
      <c r="K82" s="11">
        <f>+VLOOKUP(Tabla1[[#This Row],[CODE ERP]],[1]!Tabla1[[SKU]:[Costo CD]],3,0)</f>
        <v>32.14</v>
      </c>
      <c r="L82" s="11">
        <f>+Tabla1[[#This Row],[COSTO,U]]*Tabla1[[#This Row],[UNIDADES]]</f>
        <v>-771.36</v>
      </c>
      <c r="M82" s="9" t="s">
        <v>12</v>
      </c>
    </row>
    <row r="83" spans="1:13" ht="30">
      <c r="A83" s="12">
        <v>2035496</v>
      </c>
      <c r="B83" s="13" t="s">
        <v>20</v>
      </c>
      <c r="C83" s="13" t="s">
        <v>21</v>
      </c>
      <c r="D83" s="14" t="s">
        <v>22</v>
      </c>
      <c r="E83" s="14" t="s">
        <v>23</v>
      </c>
      <c r="F83" s="14" t="s">
        <v>24</v>
      </c>
      <c r="G83" s="14" t="s">
        <v>19</v>
      </c>
      <c r="H83" s="14">
        <v>-9</v>
      </c>
      <c r="I83" s="15">
        <v>-1</v>
      </c>
      <c r="J83" s="14">
        <v>63</v>
      </c>
      <c r="K83" s="16">
        <f>+VLOOKUP(Tabla1[[#This Row],[CODE ERP]],[1]!Tabla1[[SKU]:[Costo CD]],3,0)</f>
        <v>85.5</v>
      </c>
      <c r="L83" s="16">
        <f>+Tabla1[[#This Row],[COSTO,U]]*Tabla1[[#This Row],[UNIDADES]]</f>
        <v>-769.5</v>
      </c>
      <c r="M83" s="17" t="s">
        <v>515</v>
      </c>
    </row>
    <row r="84" spans="1:13" ht="30">
      <c r="A84" s="12">
        <v>2083148</v>
      </c>
      <c r="B84" s="13" t="s">
        <v>265</v>
      </c>
      <c r="C84" s="13" t="s">
        <v>309</v>
      </c>
      <c r="D84" s="14" t="s">
        <v>231</v>
      </c>
      <c r="E84" s="14" t="s">
        <v>266</v>
      </c>
      <c r="F84" s="14" t="s">
        <v>267</v>
      </c>
      <c r="G84" s="14" t="s">
        <v>19</v>
      </c>
      <c r="H84" s="14">
        <v>-6</v>
      </c>
      <c r="I84" s="15">
        <v>-1</v>
      </c>
      <c r="J84" s="14">
        <v>48</v>
      </c>
      <c r="K84" s="16">
        <f>+VLOOKUP(Tabla1[[#This Row],[CODE ERP]],[1]!Tabla1[[SKU]:[Costo CD]],3,0)</f>
        <v>127.1</v>
      </c>
      <c r="L84" s="16">
        <f>+Tabla1[[#This Row],[COSTO,U]]*Tabla1[[#This Row],[UNIDADES]]</f>
        <v>-762.59999999999991</v>
      </c>
      <c r="M84" s="17" t="s">
        <v>515</v>
      </c>
    </row>
    <row r="85" spans="1:13" ht="30">
      <c r="A85" s="10">
        <v>2046608</v>
      </c>
      <c r="B85" s="6" t="s">
        <v>491</v>
      </c>
      <c r="C85" s="6" t="s">
        <v>492</v>
      </c>
      <c r="D85" s="7" t="s">
        <v>349</v>
      </c>
      <c r="E85" s="7" t="s">
        <v>493</v>
      </c>
      <c r="F85" s="7" t="s">
        <v>494</v>
      </c>
      <c r="G85" s="7" t="s">
        <v>19</v>
      </c>
      <c r="H85" s="7">
        <v>-600</v>
      </c>
      <c r="I85" s="8">
        <v>-4</v>
      </c>
      <c r="J85" s="7">
        <v>3150</v>
      </c>
      <c r="K85" s="11">
        <f>+VLOOKUP(Tabla1[[#This Row],[CODE ERP]],[1]!Tabla1[[SKU]:[Costo CD]],3,0)</f>
        <v>1.27</v>
      </c>
      <c r="L85" s="11">
        <f>+Tabla1[[#This Row],[COSTO,U]]*Tabla1[[#This Row],[UNIDADES]]</f>
        <v>-762</v>
      </c>
      <c r="M85" s="9" t="s">
        <v>12</v>
      </c>
    </row>
    <row r="86" spans="1:13" ht="30">
      <c r="A86" s="12">
        <v>2067180</v>
      </c>
      <c r="B86" s="13" t="s">
        <v>125</v>
      </c>
      <c r="C86" s="13" t="s">
        <v>126</v>
      </c>
      <c r="D86" s="14" t="s">
        <v>79</v>
      </c>
      <c r="E86" s="14" t="s">
        <v>127</v>
      </c>
      <c r="F86" s="14" t="s">
        <v>128</v>
      </c>
      <c r="G86" s="14" t="s">
        <v>19</v>
      </c>
      <c r="H86" s="14">
        <v>-24</v>
      </c>
      <c r="I86" s="15">
        <v>-2</v>
      </c>
      <c r="J86" s="14">
        <v>1704</v>
      </c>
      <c r="K86" s="16">
        <f>+VLOOKUP(Tabla1[[#This Row],[CODE ERP]],[1]!Tabla1[[SKU]:[Costo CD]],3,0)</f>
        <v>31.5</v>
      </c>
      <c r="L86" s="16">
        <f>+Tabla1[[#This Row],[COSTO,U]]*Tabla1[[#This Row],[UNIDADES]]</f>
        <v>-756</v>
      </c>
      <c r="M86" s="17" t="s">
        <v>515</v>
      </c>
    </row>
    <row r="87" spans="1:13" ht="30">
      <c r="A87" s="10">
        <v>101808</v>
      </c>
      <c r="B87" s="6" t="s">
        <v>140</v>
      </c>
      <c r="C87" s="6" t="s">
        <v>469</v>
      </c>
      <c r="D87" s="7" t="s">
        <v>27</v>
      </c>
      <c r="E87" s="7" t="s">
        <v>141</v>
      </c>
      <c r="F87" s="7" t="s">
        <v>142</v>
      </c>
      <c r="G87" s="7" t="s">
        <v>19</v>
      </c>
      <c r="H87" s="7">
        <v>-72</v>
      </c>
      <c r="I87" s="8">
        <v>-6</v>
      </c>
      <c r="J87" s="7">
        <v>1704</v>
      </c>
      <c r="K87" s="11">
        <f>+VLOOKUP(Tabla1[[#This Row],[CODE ERP]],[1]!Tabla1[[SKU]:[Costo CD]],3,0)</f>
        <v>10.29</v>
      </c>
      <c r="L87" s="11">
        <f>+Tabla1[[#This Row],[COSTO,U]]*Tabla1[[#This Row],[UNIDADES]]</f>
        <v>-740.87999999999988</v>
      </c>
      <c r="M87" s="9" t="s">
        <v>12</v>
      </c>
    </row>
    <row r="88" spans="1:13" ht="30">
      <c r="A88" s="12">
        <v>117309</v>
      </c>
      <c r="B88" s="13" t="s">
        <v>97</v>
      </c>
      <c r="C88" s="13" t="s">
        <v>366</v>
      </c>
      <c r="D88" s="14" t="s">
        <v>18</v>
      </c>
      <c r="E88" s="14" t="s">
        <v>367</v>
      </c>
      <c r="F88" s="14" t="s">
        <v>272</v>
      </c>
      <c r="G88" s="14" t="s">
        <v>19</v>
      </c>
      <c r="H88" s="14">
        <v>-50</v>
      </c>
      <c r="I88" s="15">
        <v>-5</v>
      </c>
      <c r="J88" s="14">
        <v>53730</v>
      </c>
      <c r="K88" s="16">
        <f>+VLOOKUP(Tabla1[[#This Row],[CODE ERP]],[1]!Tabla1[[SKU]:[Costo CD]],3,0)</f>
        <v>14.8</v>
      </c>
      <c r="L88" s="16">
        <f>+Tabla1[[#This Row],[COSTO,U]]*Tabla1[[#This Row],[UNIDADES]]</f>
        <v>-740</v>
      </c>
      <c r="M88" s="17" t="s">
        <v>516</v>
      </c>
    </row>
    <row r="89" spans="1:13" ht="30">
      <c r="A89" s="12">
        <v>55245</v>
      </c>
      <c r="B89" s="13" t="s">
        <v>438</v>
      </c>
      <c r="C89" s="13" t="s">
        <v>439</v>
      </c>
      <c r="D89" s="14" t="s">
        <v>41</v>
      </c>
      <c r="E89" s="14" t="s">
        <v>440</v>
      </c>
      <c r="F89" s="14" t="s">
        <v>441</v>
      </c>
      <c r="G89" s="14" t="s">
        <v>19</v>
      </c>
      <c r="H89" s="14">
        <v>-48</v>
      </c>
      <c r="I89" s="15">
        <v>-4</v>
      </c>
      <c r="J89" s="14">
        <v>120</v>
      </c>
      <c r="K89" s="16">
        <f>+VLOOKUP(Tabla1[[#This Row],[CODE ERP]],[1]!Tabla1[[SKU]:[Costo CD]],3,0)</f>
        <v>15.31</v>
      </c>
      <c r="L89" s="16">
        <f>+Tabla1[[#This Row],[COSTO,U]]*Tabla1[[#This Row],[UNIDADES]]</f>
        <v>-734.88</v>
      </c>
      <c r="M89" s="17" t="s">
        <v>510</v>
      </c>
    </row>
    <row r="90" spans="1:13" ht="30">
      <c r="A90" s="12">
        <v>2090311</v>
      </c>
      <c r="B90" s="13" t="s">
        <v>46</v>
      </c>
      <c r="C90" s="13" t="s">
        <v>294</v>
      </c>
      <c r="D90" s="14" t="s">
        <v>148</v>
      </c>
      <c r="E90" s="14" t="s">
        <v>49</v>
      </c>
      <c r="F90" s="14" t="s">
        <v>50</v>
      </c>
      <c r="G90" s="14" t="s">
        <v>19</v>
      </c>
      <c r="H90" s="14">
        <v>-16</v>
      </c>
      <c r="I90" s="15">
        <v>-4</v>
      </c>
      <c r="J90" s="14">
        <v>976</v>
      </c>
      <c r="K90" s="16">
        <v>45.3</v>
      </c>
      <c r="L90" s="16">
        <f>+Tabla1[[#This Row],[COSTO,U]]*Tabla1[[#This Row],[UNIDADES]]</f>
        <v>-724.8</v>
      </c>
      <c r="M90" s="17" t="s">
        <v>498</v>
      </c>
    </row>
    <row r="91" spans="1:13" ht="30">
      <c r="A91" s="12">
        <v>2090311</v>
      </c>
      <c r="B91" s="13" t="s">
        <v>46</v>
      </c>
      <c r="C91" s="13" t="s">
        <v>333</v>
      </c>
      <c r="D91" s="14" t="s">
        <v>41</v>
      </c>
      <c r="E91" s="14" t="s">
        <v>49</v>
      </c>
      <c r="F91" s="14" t="s">
        <v>50</v>
      </c>
      <c r="G91" s="14" t="s">
        <v>19</v>
      </c>
      <c r="H91" s="14">
        <v>-16</v>
      </c>
      <c r="I91" s="15">
        <v>-4</v>
      </c>
      <c r="J91" s="14">
        <v>960</v>
      </c>
      <c r="K91" s="16">
        <v>45.3</v>
      </c>
      <c r="L91" s="16">
        <f>+Tabla1[[#This Row],[COSTO,U]]*Tabla1[[#This Row],[UNIDADES]]</f>
        <v>-724.8</v>
      </c>
      <c r="M91" s="17" t="s">
        <v>498</v>
      </c>
    </row>
    <row r="92" spans="1:13" ht="30">
      <c r="A92" s="10">
        <v>106558</v>
      </c>
      <c r="B92" s="6" t="s">
        <v>399</v>
      </c>
      <c r="C92" s="6" t="s">
        <v>400</v>
      </c>
      <c r="D92" s="7" t="s">
        <v>22</v>
      </c>
      <c r="E92" s="7" t="s">
        <v>401</v>
      </c>
      <c r="F92" s="7" t="s">
        <v>402</v>
      </c>
      <c r="G92" s="7" t="s">
        <v>19</v>
      </c>
      <c r="H92" s="7">
        <v>-144</v>
      </c>
      <c r="I92" s="8">
        <v>-1</v>
      </c>
      <c r="J92" s="7">
        <v>720</v>
      </c>
      <c r="K92" s="11">
        <f>+VLOOKUP(Tabla1[[#This Row],[CODE ERP]],[1]!Tabla1[[SKU]:[Costo CD]],3,0)</f>
        <v>5.01</v>
      </c>
      <c r="L92" s="11">
        <f>+Tabla1[[#This Row],[COSTO,U]]*Tabla1[[#This Row],[UNIDADES]]</f>
        <v>-721.43999999999994</v>
      </c>
      <c r="M92" s="9" t="s">
        <v>12</v>
      </c>
    </row>
    <row r="93" spans="1:13" ht="30">
      <c r="A93" s="12">
        <v>2004138</v>
      </c>
      <c r="B93" s="13" t="s">
        <v>262</v>
      </c>
      <c r="C93" s="13" t="s">
        <v>376</v>
      </c>
      <c r="D93" s="14" t="s">
        <v>318</v>
      </c>
      <c r="E93" s="14" t="s">
        <v>263</v>
      </c>
      <c r="F93" s="14" t="s">
        <v>264</v>
      </c>
      <c r="G93" s="14" t="s">
        <v>19</v>
      </c>
      <c r="H93" s="14">
        <v>-48</v>
      </c>
      <c r="I93" s="15">
        <v>-2</v>
      </c>
      <c r="J93" s="14">
        <v>240</v>
      </c>
      <c r="K93" s="16">
        <f>+VLOOKUP(Tabla1[[#This Row],[CODE ERP]],[1]!Tabla1[[SKU]:[Costo CD]],3,0)</f>
        <v>14.96</v>
      </c>
      <c r="L93" s="16">
        <f>+Tabla1[[#This Row],[COSTO,U]]*Tabla1[[#This Row],[UNIDADES]]</f>
        <v>-718.08</v>
      </c>
      <c r="M93" s="17" t="s">
        <v>505</v>
      </c>
    </row>
    <row r="94" spans="1:13" ht="30">
      <c r="A94" s="12">
        <v>2088852</v>
      </c>
      <c r="B94" s="13" t="s">
        <v>361</v>
      </c>
      <c r="C94" s="13" t="s">
        <v>362</v>
      </c>
      <c r="D94" s="14" t="s">
        <v>32</v>
      </c>
      <c r="E94" s="14" t="s">
        <v>363</v>
      </c>
      <c r="F94" s="14" t="s">
        <v>364</v>
      </c>
      <c r="G94" s="14" t="s">
        <v>19</v>
      </c>
      <c r="H94" s="14">
        <v>-6</v>
      </c>
      <c r="I94" s="15">
        <v>-1</v>
      </c>
      <c r="J94" s="14">
        <v>192</v>
      </c>
      <c r="K94" s="16">
        <f>+VLOOKUP(Tabla1[[#This Row],[CODE ERP]],[1]!Tabla1[[SKU]:[Costo CD]],3,0)</f>
        <v>112.95</v>
      </c>
      <c r="L94" s="16">
        <f>+Tabla1[[#This Row],[COSTO,U]]*Tabla1[[#This Row],[UNIDADES]]</f>
        <v>-677.7</v>
      </c>
      <c r="M94" s="17" t="s">
        <v>506</v>
      </c>
    </row>
    <row r="95" spans="1:13" ht="30">
      <c r="A95" s="12">
        <v>12439</v>
      </c>
      <c r="B95" s="13" t="s">
        <v>343</v>
      </c>
      <c r="C95" s="13" t="s">
        <v>344</v>
      </c>
      <c r="D95" s="14" t="s">
        <v>345</v>
      </c>
      <c r="E95" s="14" t="s">
        <v>346</v>
      </c>
      <c r="F95" s="14" t="s">
        <v>196</v>
      </c>
      <c r="G95" s="14" t="s">
        <v>11</v>
      </c>
      <c r="H95" s="14">
        <v>-48</v>
      </c>
      <c r="I95" s="15">
        <v>-4</v>
      </c>
      <c r="J95" s="14">
        <v>4116</v>
      </c>
      <c r="K95" s="16">
        <f>+VLOOKUP(Tabla1[[#This Row],[CODE ERP]],[1]!Tabla1[[SKU]:[Costo CD]],3,0)</f>
        <v>13.97</v>
      </c>
      <c r="L95" s="16">
        <f>+Tabla1[[#This Row],[COSTO,U]]*Tabla1[[#This Row],[UNIDADES]]</f>
        <v>-670.56000000000006</v>
      </c>
      <c r="M95" s="17" t="s">
        <v>510</v>
      </c>
    </row>
    <row r="96" spans="1:13" ht="30">
      <c r="A96" s="10">
        <v>45753</v>
      </c>
      <c r="B96" s="6" t="s">
        <v>390</v>
      </c>
      <c r="C96" s="6" t="s">
        <v>391</v>
      </c>
      <c r="D96" s="7" t="s">
        <v>48</v>
      </c>
      <c r="E96" s="7" t="s">
        <v>392</v>
      </c>
      <c r="F96" s="7" t="s">
        <v>393</v>
      </c>
      <c r="G96" s="7" t="s">
        <v>19</v>
      </c>
      <c r="H96" s="7">
        <v>-48</v>
      </c>
      <c r="I96" s="8">
        <v>-4</v>
      </c>
      <c r="J96" s="7">
        <v>228</v>
      </c>
      <c r="K96" s="11">
        <f>+VLOOKUP(Tabla1[[#This Row],[CODE ERP]],[1]!Tabla1[[SKU]:[Costo CD]],3,0)</f>
        <v>13.92</v>
      </c>
      <c r="L96" s="11">
        <f>+Tabla1[[#This Row],[COSTO,U]]*Tabla1[[#This Row],[UNIDADES]]</f>
        <v>-668.16</v>
      </c>
      <c r="M96" s="9" t="s">
        <v>12</v>
      </c>
    </row>
    <row r="97" spans="1:13" ht="30">
      <c r="A97" s="12">
        <v>55246</v>
      </c>
      <c r="B97" s="13" t="s">
        <v>25</v>
      </c>
      <c r="C97" s="13" t="s">
        <v>38</v>
      </c>
      <c r="D97" s="14" t="s">
        <v>32</v>
      </c>
      <c r="E97" s="14" t="s">
        <v>28</v>
      </c>
      <c r="F97" s="14" t="s">
        <v>29</v>
      </c>
      <c r="G97" s="14" t="s">
        <v>19</v>
      </c>
      <c r="H97" s="14">
        <v>-36</v>
      </c>
      <c r="I97" s="15">
        <v>-3</v>
      </c>
      <c r="J97" s="14">
        <v>1080</v>
      </c>
      <c r="K97" s="16">
        <f>+VLOOKUP(Tabla1[[#This Row],[CODE ERP]],[1]!Tabla1[[SKU]:[Costo CD]],3,0)</f>
        <v>18.3</v>
      </c>
      <c r="L97" s="16">
        <f>+Tabla1[[#This Row],[COSTO,U]]*Tabla1[[#This Row],[UNIDADES]]</f>
        <v>-658.80000000000007</v>
      </c>
      <c r="M97" s="17" t="s">
        <v>515</v>
      </c>
    </row>
    <row r="98" spans="1:13" ht="30">
      <c r="A98" s="12">
        <v>2084515</v>
      </c>
      <c r="B98" s="13" t="s">
        <v>286</v>
      </c>
      <c r="C98" s="13" t="s">
        <v>287</v>
      </c>
      <c r="D98" s="14" t="s">
        <v>133</v>
      </c>
      <c r="E98" s="14" t="s">
        <v>288</v>
      </c>
      <c r="F98" s="14" t="s">
        <v>289</v>
      </c>
      <c r="G98" s="14" t="s">
        <v>19</v>
      </c>
      <c r="H98" s="14">
        <v>-48</v>
      </c>
      <c r="I98" s="15">
        <v>-1</v>
      </c>
      <c r="J98" s="14">
        <v>54</v>
      </c>
      <c r="K98" s="16">
        <f>+VLOOKUP(Tabla1[[#This Row],[CODE ERP]],[1]!Tabla1[[SKU]:[Costo CD]],3,0)</f>
        <v>13.17</v>
      </c>
      <c r="L98" s="16">
        <f>+Tabla1[[#This Row],[COSTO,U]]*Tabla1[[#This Row],[UNIDADES]]</f>
        <v>-632.16</v>
      </c>
      <c r="M98" s="17" t="s">
        <v>506</v>
      </c>
    </row>
    <row r="99" spans="1:13" ht="30">
      <c r="A99" s="12">
        <v>119387</v>
      </c>
      <c r="B99" s="13" t="s">
        <v>479</v>
      </c>
      <c r="C99" s="13" t="s">
        <v>480</v>
      </c>
      <c r="D99" s="14" t="s">
        <v>30</v>
      </c>
      <c r="E99" s="14" t="s">
        <v>481</v>
      </c>
      <c r="F99" s="14" t="s">
        <v>482</v>
      </c>
      <c r="G99" s="14" t="s">
        <v>19</v>
      </c>
      <c r="H99" s="14">
        <v>-24</v>
      </c>
      <c r="I99" s="15">
        <v>-2</v>
      </c>
      <c r="J99" s="14">
        <v>540</v>
      </c>
      <c r="K99" s="16">
        <f>+VLOOKUP(Tabla1[[#This Row],[CODE ERP]],[1]!Tabla1[[SKU]:[Costo CD]],3,0)</f>
        <v>26.25</v>
      </c>
      <c r="L99" s="16">
        <f>+Tabla1[[#This Row],[COSTO,U]]*Tabla1[[#This Row],[UNIDADES]]</f>
        <v>-630</v>
      </c>
      <c r="M99" s="17" t="s">
        <v>505</v>
      </c>
    </row>
    <row r="100" spans="1:13" ht="30">
      <c r="A100" s="12">
        <v>7022</v>
      </c>
      <c r="B100" s="13" t="s">
        <v>51</v>
      </c>
      <c r="C100" s="13" t="s">
        <v>466</v>
      </c>
      <c r="D100" s="14" t="s">
        <v>31</v>
      </c>
      <c r="E100" s="14" t="s">
        <v>467</v>
      </c>
      <c r="F100" s="14" t="s">
        <v>468</v>
      </c>
      <c r="G100" s="14" t="s">
        <v>19</v>
      </c>
      <c r="H100" s="14">
        <v>-168</v>
      </c>
      <c r="I100" s="15">
        <v>-2</v>
      </c>
      <c r="J100" s="14">
        <v>84</v>
      </c>
      <c r="K100" s="16">
        <f>+VLOOKUP(Tabla1[[#This Row],[CODE ERP]],[1]!Tabla1[[SKU]:[Costo CD]],3,0)</f>
        <v>3.74</v>
      </c>
      <c r="L100" s="16">
        <f>+Tabla1[[#This Row],[COSTO,U]]*Tabla1[[#This Row],[UNIDADES]]</f>
        <v>-628.32000000000005</v>
      </c>
      <c r="M100" s="17" t="s">
        <v>513</v>
      </c>
    </row>
    <row r="101" spans="1:13" ht="30">
      <c r="A101" s="10">
        <v>2068522</v>
      </c>
      <c r="B101" s="6" t="s">
        <v>66</v>
      </c>
      <c r="C101" s="6" t="s">
        <v>67</v>
      </c>
      <c r="D101" s="7" t="s">
        <v>22</v>
      </c>
      <c r="E101" s="7" t="s">
        <v>68</v>
      </c>
      <c r="F101" s="7" t="s">
        <v>69</v>
      </c>
      <c r="G101" s="7" t="s">
        <v>19</v>
      </c>
      <c r="H101" s="7">
        <v>-24</v>
      </c>
      <c r="I101" s="8">
        <v>-2</v>
      </c>
      <c r="J101" s="7">
        <v>564</v>
      </c>
      <c r="K101" s="11">
        <f>+VLOOKUP(Tabla1[[#This Row],[CODE ERP]],[1]!Tabla1[[SKU]:[Costo CD]],3,0)</f>
        <v>25.99</v>
      </c>
      <c r="L101" s="11">
        <f>+Tabla1[[#This Row],[COSTO,U]]*Tabla1[[#This Row],[UNIDADES]]</f>
        <v>-623.76</v>
      </c>
      <c r="M101" s="9" t="s">
        <v>12</v>
      </c>
    </row>
    <row r="102" spans="1:13" ht="30">
      <c r="A102" s="12">
        <v>2070850</v>
      </c>
      <c r="B102" s="13" t="s">
        <v>461</v>
      </c>
      <c r="C102" s="13" t="s">
        <v>462</v>
      </c>
      <c r="D102" s="14" t="s">
        <v>347</v>
      </c>
      <c r="E102" s="14" t="s">
        <v>463</v>
      </c>
      <c r="F102" s="14" t="s">
        <v>464</v>
      </c>
      <c r="G102" s="14" t="s">
        <v>19</v>
      </c>
      <c r="H102" s="14">
        <v>-6</v>
      </c>
      <c r="I102" s="15">
        <v>-1</v>
      </c>
      <c r="J102" s="14">
        <v>18</v>
      </c>
      <c r="K102" s="16">
        <f>+VLOOKUP(Tabla1[[#This Row],[CODE ERP]],[1]!Tabla1[[SKU]:[Costo CD]],3,0)</f>
        <v>101.03</v>
      </c>
      <c r="L102" s="16">
        <f>+Tabla1[[#This Row],[COSTO,U]]*Tabla1[[#This Row],[UNIDADES]]</f>
        <v>-606.18000000000006</v>
      </c>
      <c r="M102" s="17" t="s">
        <v>518</v>
      </c>
    </row>
    <row r="103" spans="1:13" ht="30">
      <c r="A103" s="10">
        <v>2077331</v>
      </c>
      <c r="B103" s="6" t="s">
        <v>165</v>
      </c>
      <c r="C103" s="6" t="s">
        <v>166</v>
      </c>
      <c r="D103" s="7" t="s">
        <v>133</v>
      </c>
      <c r="E103" s="7" t="s">
        <v>167</v>
      </c>
      <c r="F103" s="7" t="s">
        <v>168</v>
      </c>
      <c r="G103" s="7" t="s">
        <v>19</v>
      </c>
      <c r="H103" s="7">
        <v>-24</v>
      </c>
      <c r="I103" s="8">
        <v>-2</v>
      </c>
      <c r="J103" s="7">
        <v>168</v>
      </c>
      <c r="K103" s="11">
        <f>+VLOOKUP(Tabla1[[#This Row],[CODE ERP]],[1]!Tabla1[[SKU]:[Costo CD]],3,0)</f>
        <v>25.06</v>
      </c>
      <c r="L103" s="11">
        <f>+Tabla1[[#This Row],[COSTO,U]]*Tabla1[[#This Row],[UNIDADES]]</f>
        <v>-601.43999999999994</v>
      </c>
      <c r="M103" s="9" t="s">
        <v>12</v>
      </c>
    </row>
    <row r="104" spans="1:13" ht="30">
      <c r="A104" s="10">
        <v>3865</v>
      </c>
      <c r="B104" s="6" t="s">
        <v>273</v>
      </c>
      <c r="C104" s="6" t="s">
        <v>274</v>
      </c>
      <c r="D104" s="7" t="s">
        <v>205</v>
      </c>
      <c r="E104" s="7" t="s">
        <v>275</v>
      </c>
      <c r="F104" s="7" t="s">
        <v>276</v>
      </c>
      <c r="G104" s="7" t="s">
        <v>19</v>
      </c>
      <c r="H104" s="7">
        <v>-30</v>
      </c>
      <c r="I104" s="8">
        <v>-1</v>
      </c>
      <c r="J104" s="7">
        <v>3120</v>
      </c>
      <c r="K104" s="11">
        <f>+VLOOKUP(Tabla1[[#This Row],[CODE ERP]],[1]!Tabla1[[SKU]:[Costo CD]],3,0)</f>
        <v>19.739999999999998</v>
      </c>
      <c r="L104" s="11">
        <f>+Tabla1[[#This Row],[COSTO,U]]*Tabla1[[#This Row],[UNIDADES]]</f>
        <v>-592.19999999999993</v>
      </c>
      <c r="M104" s="9" t="s">
        <v>12</v>
      </c>
    </row>
    <row r="105" spans="1:13" ht="30">
      <c r="A105" s="12">
        <v>3579</v>
      </c>
      <c r="B105" s="13" t="s">
        <v>34</v>
      </c>
      <c r="C105" s="13" t="s">
        <v>35</v>
      </c>
      <c r="D105" s="14" t="s">
        <v>31</v>
      </c>
      <c r="E105" s="14" t="s">
        <v>36</v>
      </c>
      <c r="F105" s="14" t="s">
        <v>37</v>
      </c>
      <c r="G105" s="14" t="s">
        <v>19</v>
      </c>
      <c r="H105" s="14">
        <v>-12</v>
      </c>
      <c r="I105" s="15">
        <v>-1</v>
      </c>
      <c r="J105" s="14">
        <v>72</v>
      </c>
      <c r="K105" s="16">
        <f>+VLOOKUP(Tabla1[[#This Row],[CODE ERP]],[1]!Tabla1[[SKU]:[Costo CD]],3,0)</f>
        <v>48.53</v>
      </c>
      <c r="L105" s="16">
        <f>+Tabla1[[#This Row],[COSTO,U]]*Tabla1[[#This Row],[UNIDADES]]</f>
        <v>-582.36</v>
      </c>
      <c r="M105" s="17" t="s">
        <v>506</v>
      </c>
    </row>
    <row r="106" spans="1:13" ht="30">
      <c r="A106" s="12">
        <v>16135</v>
      </c>
      <c r="B106" s="13" t="s">
        <v>244</v>
      </c>
      <c r="C106" s="13" t="s">
        <v>457</v>
      </c>
      <c r="D106" s="14" t="s">
        <v>33</v>
      </c>
      <c r="E106" s="14" t="s">
        <v>246</v>
      </c>
      <c r="F106" s="14" t="s">
        <v>247</v>
      </c>
      <c r="G106" s="14" t="s">
        <v>19</v>
      </c>
      <c r="H106" s="14">
        <v>-12</v>
      </c>
      <c r="I106" s="15">
        <v>-1</v>
      </c>
      <c r="J106" s="14">
        <v>1056</v>
      </c>
      <c r="K106" s="16">
        <f>+VLOOKUP(Tabla1[[#This Row],[CODE ERP]],[1]!Tabla1[[SKU]:[Costo CD]],3,0)</f>
        <v>47.77</v>
      </c>
      <c r="L106" s="16">
        <f>+Tabla1[[#This Row],[COSTO,U]]*Tabla1[[#This Row],[UNIDADES]]</f>
        <v>-573.24</v>
      </c>
      <c r="M106" s="17" t="s">
        <v>506</v>
      </c>
    </row>
    <row r="107" spans="1:13" ht="30">
      <c r="A107" s="12">
        <v>100496</v>
      </c>
      <c r="B107" s="13" t="s">
        <v>426</v>
      </c>
      <c r="C107" s="13" t="s">
        <v>427</v>
      </c>
      <c r="D107" s="14" t="s">
        <v>40</v>
      </c>
      <c r="E107" s="14" t="s">
        <v>428</v>
      </c>
      <c r="F107" s="14" t="s">
        <v>429</v>
      </c>
      <c r="G107" s="14" t="s">
        <v>19</v>
      </c>
      <c r="H107" s="14">
        <v>-48</v>
      </c>
      <c r="I107" s="15">
        <v>-4</v>
      </c>
      <c r="J107" s="14">
        <v>2880</v>
      </c>
      <c r="K107" s="16">
        <f>+VLOOKUP(Tabla1[[#This Row],[CODE ERP]],[1]!Tabla1[[SKU]:[Costo CD]],3,0)</f>
        <v>11.83</v>
      </c>
      <c r="L107" s="16">
        <f>+Tabla1[[#This Row],[COSTO,U]]*Tabla1[[#This Row],[UNIDADES]]</f>
        <v>-567.84</v>
      </c>
      <c r="M107" s="17" t="s">
        <v>498</v>
      </c>
    </row>
    <row r="108" spans="1:13" ht="30">
      <c r="A108" s="12">
        <v>2040971</v>
      </c>
      <c r="B108" s="13" t="s">
        <v>224</v>
      </c>
      <c r="C108" s="13" t="s">
        <v>225</v>
      </c>
      <c r="D108" s="14" t="s">
        <v>209</v>
      </c>
      <c r="E108" s="14" t="s">
        <v>226</v>
      </c>
      <c r="F108" s="14" t="s">
        <v>227</v>
      </c>
      <c r="G108" s="14" t="s">
        <v>19</v>
      </c>
      <c r="H108" s="14">
        <v>-12</v>
      </c>
      <c r="I108" s="15">
        <v>-1</v>
      </c>
      <c r="J108" s="14">
        <v>1740</v>
      </c>
      <c r="K108" s="16">
        <f>+VLOOKUP(Tabla1[[#This Row],[CODE ERP]],[1]!Tabla1[[SKU]:[Costo CD]],3,0)</f>
        <v>46.4</v>
      </c>
      <c r="L108" s="16">
        <f>+Tabla1[[#This Row],[COSTO,U]]*Tabla1[[#This Row],[UNIDADES]]</f>
        <v>-556.79999999999995</v>
      </c>
      <c r="M108" s="17" t="s">
        <v>518</v>
      </c>
    </row>
    <row r="109" spans="1:13" ht="30">
      <c r="A109" s="12">
        <v>2019234</v>
      </c>
      <c r="B109" s="13" t="s">
        <v>368</v>
      </c>
      <c r="C109" s="13" t="s">
        <v>369</v>
      </c>
      <c r="D109" s="14" t="s">
        <v>39</v>
      </c>
      <c r="E109" s="14" t="s">
        <v>370</v>
      </c>
      <c r="F109" s="14" t="s">
        <v>371</v>
      </c>
      <c r="G109" s="14" t="s">
        <v>19</v>
      </c>
      <c r="H109" s="14">
        <v>-12</v>
      </c>
      <c r="I109" s="15">
        <v>-1</v>
      </c>
      <c r="J109" s="14">
        <v>708</v>
      </c>
      <c r="K109" s="16">
        <f>+VLOOKUP(Tabla1[[#This Row],[CODE ERP]],[1]!Tabla1[[SKU]:[Costo CD]],3,0)</f>
        <v>46.4</v>
      </c>
      <c r="L109" s="16">
        <f>+Tabla1[[#This Row],[COSTO,U]]*Tabla1[[#This Row],[UNIDADES]]</f>
        <v>-556.79999999999995</v>
      </c>
      <c r="M109" s="17" t="s">
        <v>515</v>
      </c>
    </row>
    <row r="110" spans="1:13" ht="30">
      <c r="A110" s="10">
        <v>2086080</v>
      </c>
      <c r="B110" s="6" t="s">
        <v>416</v>
      </c>
      <c r="C110" s="6" t="s">
        <v>417</v>
      </c>
      <c r="D110" s="7" t="s">
        <v>27</v>
      </c>
      <c r="E110" s="7" t="s">
        <v>418</v>
      </c>
      <c r="F110" s="7" t="s">
        <v>419</v>
      </c>
      <c r="G110" s="7" t="s">
        <v>19</v>
      </c>
      <c r="H110" s="7">
        <v>-32</v>
      </c>
      <c r="I110" s="8">
        <v>-4</v>
      </c>
      <c r="J110" s="7">
        <v>0</v>
      </c>
      <c r="K110" s="11">
        <f>+VLOOKUP(Tabla1[[#This Row],[CODE ERP]],[1]!Tabla1[[SKU]:[Costo CD]],3,0)</f>
        <v>17.38</v>
      </c>
      <c r="L110" s="11">
        <f>+Tabla1[[#This Row],[COSTO,U]]*Tabla1[[#This Row],[UNIDADES]]</f>
        <v>-556.16</v>
      </c>
      <c r="M110" s="9" t="s">
        <v>12</v>
      </c>
    </row>
    <row r="111" spans="1:13" ht="30">
      <c r="A111" s="12">
        <v>2087758</v>
      </c>
      <c r="B111" s="13" t="s">
        <v>99</v>
      </c>
      <c r="C111" s="13" t="s">
        <v>100</v>
      </c>
      <c r="D111" s="14" t="s">
        <v>86</v>
      </c>
      <c r="E111" s="14" t="s">
        <v>101</v>
      </c>
      <c r="F111" s="14" t="s">
        <v>102</v>
      </c>
      <c r="G111" s="14" t="s">
        <v>19</v>
      </c>
      <c r="H111" s="14">
        <v>-12</v>
      </c>
      <c r="I111" s="15">
        <v>-1</v>
      </c>
      <c r="J111" s="14">
        <v>624</v>
      </c>
      <c r="K111" s="16">
        <f>+VLOOKUP(Tabla1[[#This Row],[CODE ERP]],[1]!Tabla1[[SKU]:[Costo CD]],3,0)</f>
        <v>46.25</v>
      </c>
      <c r="L111" s="16">
        <f>+Tabla1[[#This Row],[COSTO,U]]*Tabla1[[#This Row],[UNIDADES]]</f>
        <v>-555</v>
      </c>
      <c r="M111" s="17" t="s">
        <v>518</v>
      </c>
    </row>
    <row r="112" spans="1:13" ht="30">
      <c r="A112" s="10">
        <v>83227</v>
      </c>
      <c r="B112" s="6" t="s">
        <v>403</v>
      </c>
      <c r="C112" s="6" t="s">
        <v>404</v>
      </c>
      <c r="D112" s="7" t="s">
        <v>32</v>
      </c>
      <c r="E112" s="7" t="s">
        <v>405</v>
      </c>
      <c r="F112" s="7" t="s">
        <v>406</v>
      </c>
      <c r="G112" s="7" t="s">
        <v>19</v>
      </c>
      <c r="H112" s="7">
        <v>-12</v>
      </c>
      <c r="I112" s="8">
        <v>-1</v>
      </c>
      <c r="J112" s="7">
        <v>132</v>
      </c>
      <c r="K112" s="11">
        <f>+VLOOKUP(Tabla1[[#This Row],[CODE ERP]],[1]!Tabla1[[SKU]:[Costo CD]],3,0)</f>
        <v>46.15</v>
      </c>
      <c r="L112" s="11">
        <f>+Tabla1[[#This Row],[COSTO,U]]*Tabla1[[#This Row],[UNIDADES]]</f>
        <v>-553.79999999999995</v>
      </c>
      <c r="M112" s="9" t="s">
        <v>12</v>
      </c>
    </row>
    <row r="113" spans="1:13" ht="30">
      <c r="A113" s="12">
        <v>2085280</v>
      </c>
      <c r="B113" s="13" t="s">
        <v>53</v>
      </c>
      <c r="C113" s="13" t="s">
        <v>221</v>
      </c>
      <c r="D113" s="14" t="s">
        <v>177</v>
      </c>
      <c r="E113" s="14" t="s">
        <v>222</v>
      </c>
      <c r="F113" s="14" t="s">
        <v>223</v>
      </c>
      <c r="G113" s="14" t="s">
        <v>19</v>
      </c>
      <c r="H113" s="14">
        <v>-12</v>
      </c>
      <c r="I113" s="15">
        <v>-1</v>
      </c>
      <c r="J113" s="14">
        <v>2280</v>
      </c>
      <c r="K113" s="16">
        <f>+VLOOKUP(Tabla1[[#This Row],[CODE ERP]],[1]!Tabla1[[SKU]:[Costo CD]],3,0)</f>
        <v>45.85</v>
      </c>
      <c r="L113" s="16">
        <f>+Tabla1[[#This Row],[COSTO,U]]*Tabla1[[#This Row],[UNIDADES]]</f>
        <v>-550.20000000000005</v>
      </c>
      <c r="M113" s="17" t="s">
        <v>518</v>
      </c>
    </row>
    <row r="114" spans="1:13" ht="30">
      <c r="A114" s="10">
        <v>104668</v>
      </c>
      <c r="B114" s="6" t="s">
        <v>453</v>
      </c>
      <c r="C114" s="6" t="s">
        <v>454</v>
      </c>
      <c r="D114" s="7" t="s">
        <v>33</v>
      </c>
      <c r="E114" s="7" t="s">
        <v>455</v>
      </c>
      <c r="F114" s="7" t="s">
        <v>456</v>
      </c>
      <c r="G114" s="7" t="s">
        <v>19</v>
      </c>
      <c r="H114" s="7">
        <v>-12</v>
      </c>
      <c r="I114" s="8">
        <v>-1</v>
      </c>
      <c r="J114" s="7">
        <v>1056</v>
      </c>
      <c r="K114" s="11">
        <f>+VLOOKUP(Tabla1[[#This Row],[CODE ERP]],[1]!Tabla1[[SKU]:[Costo CD]],3,0)</f>
        <v>45.85</v>
      </c>
      <c r="L114" s="11">
        <f>+Tabla1[[#This Row],[COSTO,U]]*Tabla1[[#This Row],[UNIDADES]]</f>
        <v>-550.20000000000005</v>
      </c>
      <c r="M114" s="9" t="s">
        <v>12</v>
      </c>
    </row>
    <row r="115" spans="1:13" ht="30">
      <c r="A115" s="12">
        <v>2088184</v>
      </c>
      <c r="B115" s="13" t="s">
        <v>357</v>
      </c>
      <c r="C115" s="13" t="s">
        <v>358</v>
      </c>
      <c r="D115" s="14" t="s">
        <v>32</v>
      </c>
      <c r="E115" s="14" t="s">
        <v>359</v>
      </c>
      <c r="F115" s="14" t="s">
        <v>360</v>
      </c>
      <c r="G115" s="14" t="s">
        <v>19</v>
      </c>
      <c r="H115" s="14">
        <v>-12</v>
      </c>
      <c r="I115" s="15">
        <v>-2</v>
      </c>
      <c r="J115" s="14">
        <v>36</v>
      </c>
      <c r="K115" s="16">
        <f>+VLOOKUP(Tabla1[[#This Row],[CODE ERP]],[1]!Tabla1[[SKU]:[Costo CD]],3,0)</f>
        <v>45.63</v>
      </c>
      <c r="L115" s="16">
        <f>+Tabla1[[#This Row],[COSTO,U]]*Tabla1[[#This Row],[UNIDADES]]</f>
        <v>-547.56000000000006</v>
      </c>
      <c r="M115" s="17" t="s">
        <v>515</v>
      </c>
    </row>
    <row r="116" spans="1:13" ht="30">
      <c r="A116" s="12">
        <v>2053175</v>
      </c>
      <c r="B116" s="13" t="s">
        <v>252</v>
      </c>
      <c r="C116" s="13" t="s">
        <v>296</v>
      </c>
      <c r="D116" s="14" t="s">
        <v>279</v>
      </c>
      <c r="E116" s="14" t="s">
        <v>253</v>
      </c>
      <c r="F116" s="14" t="s">
        <v>254</v>
      </c>
      <c r="G116" s="14" t="s">
        <v>19</v>
      </c>
      <c r="H116" s="14">
        <v>-72</v>
      </c>
      <c r="I116" s="15">
        <v>-6</v>
      </c>
      <c r="J116" s="14">
        <v>30240</v>
      </c>
      <c r="K116" s="16">
        <f>+VLOOKUP(Tabla1[[#This Row],[CODE ERP]],[1]!Tabla1[[SKU]:[Costo CD]],3,0)</f>
        <v>7.55</v>
      </c>
      <c r="L116" s="16">
        <f>+Tabla1[[#This Row],[COSTO,U]]*Tabla1[[#This Row],[UNIDADES]]</f>
        <v>-543.6</v>
      </c>
      <c r="M116" s="17" t="s">
        <v>501</v>
      </c>
    </row>
    <row r="117" spans="1:13" ht="30">
      <c r="A117" s="12">
        <v>2090311</v>
      </c>
      <c r="B117" s="13" t="s">
        <v>46</v>
      </c>
      <c r="C117" s="13" t="s">
        <v>398</v>
      </c>
      <c r="D117" s="14" t="s">
        <v>41</v>
      </c>
      <c r="E117" s="14" t="s">
        <v>49</v>
      </c>
      <c r="F117" s="14" t="s">
        <v>50</v>
      </c>
      <c r="G117" s="14" t="s">
        <v>19</v>
      </c>
      <c r="H117" s="14">
        <v>-12</v>
      </c>
      <c r="I117" s="15">
        <v>-3</v>
      </c>
      <c r="J117" s="14">
        <v>964</v>
      </c>
      <c r="K117" s="16">
        <v>45.3</v>
      </c>
      <c r="L117" s="16">
        <f>+Tabla1[[#This Row],[COSTO,U]]*Tabla1[[#This Row],[UNIDADES]]</f>
        <v>-543.59999999999991</v>
      </c>
      <c r="M117" s="17" t="s">
        <v>499</v>
      </c>
    </row>
    <row r="118" spans="1:13" ht="30">
      <c r="A118" s="12">
        <v>7375</v>
      </c>
      <c r="B118" s="13" t="s">
        <v>212</v>
      </c>
      <c r="C118" s="13" t="s">
        <v>213</v>
      </c>
      <c r="D118" s="14" t="s">
        <v>162</v>
      </c>
      <c r="E118" s="14" t="s">
        <v>214</v>
      </c>
      <c r="F118" s="14" t="s">
        <v>215</v>
      </c>
      <c r="G118" s="14" t="s">
        <v>19</v>
      </c>
      <c r="H118" s="14">
        <v>-24</v>
      </c>
      <c r="I118" s="15">
        <v>-2</v>
      </c>
      <c r="J118" s="14">
        <v>21912</v>
      </c>
      <c r="K118" s="16">
        <f>+VLOOKUP(Tabla1[[#This Row],[CODE ERP]],[1]!Tabla1[[SKU]:[Costo CD]],3,0)</f>
        <v>22.58</v>
      </c>
      <c r="L118" s="16">
        <f>+Tabla1[[#This Row],[COSTO,U]]*Tabla1[[#This Row],[UNIDADES]]</f>
        <v>-541.91999999999996</v>
      </c>
      <c r="M118" s="17" t="s">
        <v>513</v>
      </c>
    </row>
    <row r="119" spans="1:13" ht="30">
      <c r="A119" s="12">
        <v>2080328</v>
      </c>
      <c r="B119" s="13" t="s">
        <v>301</v>
      </c>
      <c r="C119" s="13" t="s">
        <v>302</v>
      </c>
      <c r="D119" s="14" t="s">
        <v>205</v>
      </c>
      <c r="E119" s="14" t="s">
        <v>303</v>
      </c>
      <c r="F119" s="14" t="s">
        <v>304</v>
      </c>
      <c r="G119" s="14" t="s">
        <v>19</v>
      </c>
      <c r="H119" s="14">
        <v>-18</v>
      </c>
      <c r="I119" s="15">
        <v>-1</v>
      </c>
      <c r="J119" s="14">
        <v>648</v>
      </c>
      <c r="K119" s="16">
        <f>+VLOOKUP(Tabla1[[#This Row],[CODE ERP]],[1]!Tabla1[[SKU]:[Costo CD]],3,0)</f>
        <v>30</v>
      </c>
      <c r="L119" s="16">
        <f>+Tabla1[[#This Row],[COSTO,U]]*Tabla1[[#This Row],[UNIDADES]]</f>
        <v>-540</v>
      </c>
      <c r="M119" s="17" t="s">
        <v>518</v>
      </c>
    </row>
    <row r="120" spans="1:13" ht="30">
      <c r="A120" s="12">
        <v>2012421</v>
      </c>
      <c r="B120" s="13" t="s">
        <v>423</v>
      </c>
      <c r="C120" s="13" t="s">
        <v>424</v>
      </c>
      <c r="D120" s="14" t="s">
        <v>345</v>
      </c>
      <c r="E120" s="14" t="s">
        <v>425</v>
      </c>
      <c r="F120" s="14" t="s">
        <v>196</v>
      </c>
      <c r="G120" s="14" t="s">
        <v>11</v>
      </c>
      <c r="H120" s="14">
        <v>-48</v>
      </c>
      <c r="I120" s="15">
        <v>-2</v>
      </c>
      <c r="J120" s="14">
        <v>744</v>
      </c>
      <c r="K120" s="16">
        <f>+VLOOKUP(Tabla1[[#This Row],[CODE ERP]],[1]!Tabla1[[SKU]:[Costo CD]],3,0)</f>
        <v>11.24</v>
      </c>
      <c r="L120" s="16">
        <f>+Tabla1[[#This Row],[COSTO,U]]*Tabla1[[#This Row],[UNIDADES]]</f>
        <v>-539.52</v>
      </c>
      <c r="M120" s="17" t="s">
        <v>513</v>
      </c>
    </row>
    <row r="121" spans="1:13" ht="30">
      <c r="A121" s="12">
        <v>2044607</v>
      </c>
      <c r="B121" s="13" t="s">
        <v>131</v>
      </c>
      <c r="C121" s="13" t="s">
        <v>132</v>
      </c>
      <c r="D121" s="14" t="s">
        <v>133</v>
      </c>
      <c r="E121" s="14" t="s">
        <v>134</v>
      </c>
      <c r="F121" s="14" t="s">
        <v>135</v>
      </c>
      <c r="G121" s="14" t="s">
        <v>19</v>
      </c>
      <c r="H121" s="14">
        <v>-18</v>
      </c>
      <c r="I121" s="15">
        <v>-3</v>
      </c>
      <c r="J121" s="14">
        <v>4272</v>
      </c>
      <c r="K121" s="16">
        <f>+VLOOKUP(Tabla1[[#This Row],[CODE ERP]],[1]!Tabla1[[SKU]:[Costo CD]],3,0)</f>
        <v>29.76</v>
      </c>
      <c r="L121" s="16">
        <f>+Tabla1[[#This Row],[COSTO,U]]*Tabla1[[#This Row],[UNIDADES]]</f>
        <v>-535.68000000000006</v>
      </c>
      <c r="M121" s="17" t="s">
        <v>499</v>
      </c>
    </row>
    <row r="122" spans="1:13" ht="30">
      <c r="A122" s="12">
        <v>2044608</v>
      </c>
      <c r="B122" s="13" t="s">
        <v>169</v>
      </c>
      <c r="C122" s="13" t="s">
        <v>170</v>
      </c>
      <c r="D122" s="14" t="s">
        <v>162</v>
      </c>
      <c r="E122" s="14" t="s">
        <v>171</v>
      </c>
      <c r="F122" s="14" t="s">
        <v>172</v>
      </c>
      <c r="G122" s="14" t="s">
        <v>19</v>
      </c>
      <c r="H122" s="14">
        <v>-18</v>
      </c>
      <c r="I122" s="15">
        <v>-3</v>
      </c>
      <c r="J122" s="14">
        <v>1848</v>
      </c>
      <c r="K122" s="16">
        <f>+VLOOKUP(Tabla1[[#This Row],[CODE ERP]],[1]!Tabla1[[SKU]:[Costo CD]],3,0)</f>
        <v>29.76</v>
      </c>
      <c r="L122" s="16">
        <f>+Tabla1[[#This Row],[COSTO,U]]*Tabla1[[#This Row],[UNIDADES]]</f>
        <v>-535.68000000000006</v>
      </c>
      <c r="M122" s="17" t="s">
        <v>504</v>
      </c>
    </row>
    <row r="123" spans="1:13" ht="30">
      <c r="A123" s="12">
        <v>112677</v>
      </c>
      <c r="B123" s="13" t="s">
        <v>350</v>
      </c>
      <c r="C123" s="13" t="s">
        <v>351</v>
      </c>
      <c r="D123" s="14" t="s">
        <v>41</v>
      </c>
      <c r="E123" s="14" t="s">
        <v>352</v>
      </c>
      <c r="F123" s="14" t="s">
        <v>353</v>
      </c>
      <c r="G123" s="14" t="s">
        <v>19</v>
      </c>
      <c r="H123" s="14">
        <v>-12</v>
      </c>
      <c r="I123" s="15">
        <v>-1</v>
      </c>
      <c r="J123" s="14">
        <v>228</v>
      </c>
      <c r="K123" s="16">
        <f>+VLOOKUP(Tabla1[[#This Row],[CODE ERP]],[1]!Tabla1[[SKU]:[Costo CD]],3,0)</f>
        <v>44.2</v>
      </c>
      <c r="L123" s="16">
        <f>+Tabla1[[#This Row],[COSTO,U]]*Tabla1[[#This Row],[UNIDADES]]</f>
        <v>-530.40000000000009</v>
      </c>
      <c r="M123" s="17" t="s">
        <v>518</v>
      </c>
    </row>
    <row r="124" spans="1:13" ht="30">
      <c r="A124" s="12">
        <v>116816</v>
      </c>
      <c r="B124" s="13" t="s">
        <v>328</v>
      </c>
      <c r="C124" s="13" t="s">
        <v>377</v>
      </c>
      <c r="D124" s="14" t="s">
        <v>318</v>
      </c>
      <c r="E124" s="14" t="s">
        <v>378</v>
      </c>
      <c r="F124" s="14" t="s">
        <v>379</v>
      </c>
      <c r="G124" s="14" t="s">
        <v>19</v>
      </c>
      <c r="H124" s="14">
        <v>-12</v>
      </c>
      <c r="I124" s="15">
        <v>-1</v>
      </c>
      <c r="J124" s="14">
        <v>156</v>
      </c>
      <c r="K124" s="16">
        <f>+VLOOKUP(Tabla1[[#This Row],[CODE ERP]],[1]!Tabla1[[SKU]:[Costo CD]],3,0)</f>
        <v>44.2</v>
      </c>
      <c r="L124" s="16">
        <f>+Tabla1[[#This Row],[COSTO,U]]*Tabla1[[#This Row],[UNIDADES]]</f>
        <v>-530.40000000000009</v>
      </c>
      <c r="M124" s="17" t="s">
        <v>518</v>
      </c>
    </row>
    <row r="125" spans="1:13" ht="30">
      <c r="A125" s="12">
        <v>2077735</v>
      </c>
      <c r="B125" s="13" t="s">
        <v>430</v>
      </c>
      <c r="C125" s="13" t="s">
        <v>431</v>
      </c>
      <c r="D125" s="14" t="s">
        <v>32</v>
      </c>
      <c r="E125" s="14" t="s">
        <v>432</v>
      </c>
      <c r="F125" s="14" t="s">
        <v>433</v>
      </c>
      <c r="G125" s="14" t="s">
        <v>19</v>
      </c>
      <c r="H125" s="14">
        <v>-12</v>
      </c>
      <c r="I125" s="15">
        <v>-1</v>
      </c>
      <c r="J125" s="14">
        <v>84</v>
      </c>
      <c r="K125" s="16">
        <f>+VLOOKUP(Tabla1[[#This Row],[CODE ERP]],[1]!Tabla1[[SKU]:[Costo CD]],3,0)</f>
        <v>44.2</v>
      </c>
      <c r="L125" s="16">
        <f>+Tabla1[[#This Row],[COSTO,U]]*Tabla1[[#This Row],[UNIDADES]]</f>
        <v>-530.40000000000009</v>
      </c>
      <c r="M125" s="17" t="s">
        <v>515</v>
      </c>
    </row>
    <row r="126" spans="1:13" ht="30">
      <c r="A126" s="12">
        <v>2074809</v>
      </c>
      <c r="B126" s="13" t="s">
        <v>116</v>
      </c>
      <c r="C126" s="13" t="s">
        <v>117</v>
      </c>
      <c r="D126" s="14" t="s">
        <v>80</v>
      </c>
      <c r="E126" s="14" t="s">
        <v>118</v>
      </c>
      <c r="F126" s="14" t="s">
        <v>119</v>
      </c>
      <c r="G126" s="14" t="s">
        <v>19</v>
      </c>
      <c r="H126" s="14">
        <v>-288</v>
      </c>
      <c r="I126" s="15">
        <v>-2</v>
      </c>
      <c r="J126" s="14">
        <v>1872</v>
      </c>
      <c r="K126" s="16">
        <f>+VLOOKUP(Tabla1[[#This Row],[CODE ERP]],[1]!Tabla1[[SKU]:[Costo CD]],3,0)</f>
        <v>1.84</v>
      </c>
      <c r="L126" s="16">
        <f>+Tabla1[[#This Row],[COSTO,U]]*Tabla1[[#This Row],[UNIDADES]]</f>
        <v>-529.92000000000007</v>
      </c>
      <c r="M126" s="17" t="s">
        <v>515</v>
      </c>
    </row>
    <row r="127" spans="1:13" ht="30">
      <c r="A127" s="12">
        <v>708</v>
      </c>
      <c r="B127" s="13" t="s">
        <v>248</v>
      </c>
      <c r="C127" s="13" t="s">
        <v>249</v>
      </c>
      <c r="D127" s="14" t="s">
        <v>130</v>
      </c>
      <c r="E127" s="14" t="s">
        <v>250</v>
      </c>
      <c r="F127" s="14" t="s">
        <v>251</v>
      </c>
      <c r="G127" s="14" t="s">
        <v>19</v>
      </c>
      <c r="H127" s="14">
        <v>-48</v>
      </c>
      <c r="I127" s="15">
        <v>-2</v>
      </c>
      <c r="J127" s="14">
        <v>5064</v>
      </c>
      <c r="K127" s="16">
        <f>+VLOOKUP(Tabla1[[#This Row],[CODE ERP]],[1]!Tabla1[[SKU]:[Costo CD]],3,0)</f>
        <v>11.03</v>
      </c>
      <c r="L127" s="16">
        <f>+Tabla1[[#This Row],[COSTO,U]]*Tabla1[[#This Row],[UNIDADES]]</f>
        <v>-529.43999999999994</v>
      </c>
      <c r="M127" s="17" t="s">
        <v>505</v>
      </c>
    </row>
    <row r="128" spans="1:13" ht="30">
      <c r="A128" s="12">
        <v>2056872</v>
      </c>
      <c r="B128" s="13" t="s">
        <v>314</v>
      </c>
      <c r="C128" s="13" t="s">
        <v>315</v>
      </c>
      <c r="D128" s="14" t="s">
        <v>130</v>
      </c>
      <c r="E128" s="14" t="s">
        <v>316</v>
      </c>
      <c r="F128" s="14" t="s">
        <v>317</v>
      </c>
      <c r="G128" s="14" t="s">
        <v>19</v>
      </c>
      <c r="H128" s="14">
        <v>-36</v>
      </c>
      <c r="I128" s="15">
        <v>-3</v>
      </c>
      <c r="J128" s="14">
        <v>300</v>
      </c>
      <c r="K128" s="16">
        <f>+VLOOKUP(Tabla1[[#This Row],[CODE ERP]],[1]!Tabla1[[SKU]:[Costo CD]],3,0)</f>
        <v>14.64</v>
      </c>
      <c r="L128" s="16">
        <f>+Tabla1[[#This Row],[COSTO,U]]*Tabla1[[#This Row],[UNIDADES]]</f>
        <v>-527.04</v>
      </c>
      <c r="M128" s="17" t="s">
        <v>515</v>
      </c>
    </row>
    <row r="129" spans="1:13" ht="30">
      <c r="A129" s="12">
        <v>93114</v>
      </c>
      <c r="B129" s="13" t="s">
        <v>483</v>
      </c>
      <c r="C129" s="13" t="s">
        <v>484</v>
      </c>
      <c r="D129" s="14" t="s">
        <v>22</v>
      </c>
      <c r="E129" s="14" t="s">
        <v>485</v>
      </c>
      <c r="F129" s="14" t="s">
        <v>486</v>
      </c>
      <c r="G129" s="14" t="s">
        <v>19</v>
      </c>
      <c r="H129" s="14">
        <v>-40</v>
      </c>
      <c r="I129" s="15">
        <v>-4</v>
      </c>
      <c r="J129" s="14">
        <v>0</v>
      </c>
      <c r="K129" s="16">
        <f>+VLOOKUP(Tabla1[[#This Row],[CODE ERP]],[1]!Tabla1[[SKU]:[Costo CD]],3,0)</f>
        <v>12.69</v>
      </c>
      <c r="L129" s="16">
        <f>+Tabla1[[#This Row],[COSTO,U]]*Tabla1[[#This Row],[UNIDADES]]</f>
        <v>-507.59999999999997</v>
      </c>
      <c r="M129" s="17" t="s">
        <v>510</v>
      </c>
    </row>
    <row r="130" spans="1:13" ht="30">
      <c r="A130" s="12">
        <v>2076427</v>
      </c>
      <c r="B130" s="13" t="s">
        <v>98</v>
      </c>
      <c r="C130" s="13" t="s">
        <v>420</v>
      </c>
      <c r="D130" s="14" t="s">
        <v>27</v>
      </c>
      <c r="E130" s="14" t="s">
        <v>421</v>
      </c>
      <c r="F130" s="14" t="s">
        <v>422</v>
      </c>
      <c r="G130" s="14" t="s">
        <v>19</v>
      </c>
      <c r="H130" s="14">
        <v>-12</v>
      </c>
      <c r="I130" s="15">
        <v>-1</v>
      </c>
      <c r="J130" s="14">
        <v>36</v>
      </c>
      <c r="K130" s="16">
        <f>+VLOOKUP(Tabla1[[#This Row],[CODE ERP]],[1]!Tabla1[[SKU]:[Costo CD]],3,0)</f>
        <v>41.93</v>
      </c>
      <c r="L130" s="16">
        <f>+Tabla1[[#This Row],[COSTO,U]]*Tabla1[[#This Row],[UNIDADES]]</f>
        <v>-503.15999999999997</v>
      </c>
      <c r="M130" s="17" t="s">
        <v>515</v>
      </c>
    </row>
    <row r="376" ht="80.400000000000006" customHeight="1"/>
  </sheetData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8D71F923-F353-4530-96CF-5146097BE48F}"/>
</file>

<file path=customXml/itemProps2.xml><?xml version="1.0" encoding="utf-8"?>
<ds:datastoreItem xmlns:ds="http://schemas.openxmlformats.org/officeDocument/2006/customXml" ds:itemID="{92D25BCB-570E-45C9-9FD7-4C0E7B3BD6F2}"/>
</file>

<file path=customXml/itemProps3.xml><?xml version="1.0" encoding="utf-8"?>
<ds:datastoreItem xmlns:ds="http://schemas.openxmlformats.org/officeDocument/2006/customXml" ds:itemID="{1F2D8C91-DF72-45AC-9BC7-8DBD80082825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Ajustes Multiclientes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Armando Morales Baten</dc:creator>
  <cp:lastModifiedBy>Hugo Armando Morales Baten</cp:lastModifiedBy>
  <dcterms:created xsi:type="dcterms:W3CDTF">2026-10-19T18:01:01Z</dcterms:created>
  <dcterms:modified xsi:type="dcterms:W3CDTF">2026-10-19T18:01:01Z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