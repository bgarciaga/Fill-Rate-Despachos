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5-10-2026/"/>
    </mc:Choice>
  </mc:AlternateContent>
  <xr:revisionPtr revIDLastSave="1" documentId="8_{192CE8BD-8801-4914-BE1F-5F7C36364283}" xr6:coauthVersionLast="47" xr6:coauthVersionMax="47" xr10:uidLastSave="{7B5A3A17-604F-490E-ABCC-334D25D2DDCA}"/>
  <bookViews>
    <workbookView xWindow="-108" yWindow="-108" windowWidth="23256" windowHeight="13896" xr2:uid="{00000000-000D-0000-FFFF-FFFF00000000}"/>
  </bookViews>
  <sheets>
    <sheet name="BULTOS" sheetId="1" r:id="rId1"/>
  </sheets>
  <definedNames>
    <definedName name="_xlnm._FilterDatabase" localSheetId="0" hidden="1">BULTOS!$A$2:$H$44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E42" i="1"/>
  <c r="E43" i="1"/>
  <c r="E41" i="1"/>
  <c r="E40" i="1"/>
  <c r="E39" i="1"/>
  <c r="E38" i="1"/>
  <c r="E37" i="1"/>
  <c r="E36" i="1"/>
  <c r="E35" i="1"/>
  <c r="E34" i="1"/>
  <c r="E33" i="1"/>
  <c r="E32" i="1"/>
  <c r="E30" i="1"/>
  <c r="E31" i="1"/>
  <c r="E28" i="1"/>
  <c r="E29" i="1"/>
  <c r="E27" i="1"/>
  <c r="E26" i="1"/>
  <c r="E25" i="1"/>
  <c r="E24" i="1"/>
  <c r="E23" i="1"/>
  <c r="E22" i="1"/>
  <c r="E21" i="1"/>
  <c r="E19" i="1"/>
  <c r="E17" i="1"/>
  <c r="E18" i="1"/>
  <c r="E15" i="1"/>
  <c r="E16" i="1"/>
  <c r="E13" i="1"/>
  <c r="E14" i="1"/>
  <c r="E11" i="1"/>
  <c r="E12" i="1"/>
  <c r="E10" i="1"/>
  <c r="E9" i="1"/>
  <c r="E8" i="1"/>
  <c r="E7" i="1"/>
  <c r="E6" i="1"/>
  <c r="E5" i="1"/>
  <c r="E4" i="1"/>
  <c r="E20" i="1"/>
  <c r="E3" i="1"/>
  <c r="E44" i="1"/>
  <c r="C45" i="1"/>
  <c r="E50" i="1" l="1"/>
</calcChain>
</file>

<file path=xl/sharedStrings.xml><?xml version="1.0" encoding="utf-8"?>
<sst xmlns="http://schemas.openxmlformats.org/spreadsheetml/2006/main" count="99" uniqueCount="56">
  <si>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</si>
  <si>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</si>
  <si>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</si>
  <si>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</si>
  <si>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</si>
  <si>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</si>
  <si>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</si>
  <si>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</si>
  <si>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</si>
  <si>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LTX CD RANSA</t>
  </si>
  <si>
    <t>LA TORRE ZONA 5</t>
  </si>
  <si>
    <t>LT ANTIGUA 1</t>
  </si>
  <si>
    <t>LA TORRE ZONA 4</t>
  </si>
  <si>
    <t>LA TORRE ZONA 3</t>
  </si>
  <si>
    <t>LA TORRE ZONA 2</t>
  </si>
  <si>
    <t>LA TORRE ZONA 19</t>
  </si>
  <si>
    <t>LA TORRE ZONA 16</t>
  </si>
  <si>
    <t>LA TORRE VILLALOBOS</t>
  </si>
  <si>
    <t>LA TORRE VILLA NUEVA</t>
  </si>
  <si>
    <t>LA TORRE VILLA CANALES</t>
  </si>
  <si>
    <t>LA TORRE TULAM TZU</t>
  </si>
  <si>
    <t>LA TORRE SAN RAFAEL</t>
  </si>
  <si>
    <t>LA TORRE SAN MIGUEL PETAPA</t>
  </si>
  <si>
    <t>LA TORRE SAN MIGUEL PETAPA 2</t>
  </si>
  <si>
    <t>LA TORRE SAN JOSE PINULA</t>
  </si>
  <si>
    <t>LA TORRE SAN JUAN</t>
  </si>
  <si>
    <t>LA TORRE SAN IGNACIO</t>
  </si>
  <si>
    <t>LA TORRE SAN FRANCISCO</t>
  </si>
  <si>
    <t>LA TORRE PINARES</t>
  </si>
  <si>
    <t>LA TORRE PETAPOLIS</t>
  </si>
  <si>
    <t>LA TORRE PETAPA</t>
  </si>
  <si>
    <t>LA TORRE MILPAS ALTAS</t>
  </si>
  <si>
    <t>LA TORRE METROCENTRO</t>
  </si>
  <si>
    <t>LA TORRE JOCOTENANGO</t>
  </si>
  <si>
    <t>LA TORRE ENCINAL</t>
  </si>
  <si>
    <t>LA TORRE ESCUINTLA 3</t>
  </si>
  <si>
    <t>LA TORRE CENTRO</t>
  </si>
  <si>
    <t>LA TORRE CIUDAD VIEJA</t>
  </si>
  <si>
    <t>LA TORRE CENTRASUR</t>
  </si>
  <si>
    <t>LA TORRE CENTRICO Z5</t>
  </si>
  <si>
    <t>LA TORRE ATANACIO</t>
  </si>
  <si>
    <t>LA TORRE BOCA DEL MONTE</t>
  </si>
  <si>
    <t>LA TORRE ANTIGUA 3</t>
  </si>
  <si>
    <t>LA TORRE ANTIGUA 2</t>
  </si>
  <si>
    <t>ECONOSUPER NIMAJUYU</t>
  </si>
  <si>
    <t>ECONOSUPER MILPAS ALTAS</t>
  </si>
  <si>
    <t>ECONOSUPER LO DE FUENTES</t>
  </si>
  <si>
    <t>ECONOSUPER LA BRIGADA</t>
  </si>
  <si>
    <t>ECONOSUPER BOULEVARD SUR</t>
  </si>
  <si>
    <t>LA TORRE MARISCAL</t>
  </si>
  <si>
    <t>ECONO SUPER MAGNOLIA</t>
  </si>
  <si>
    <t>TOTAL BULTOS</t>
  </si>
  <si>
    <t>BULTOS FUCIONADOS</t>
  </si>
  <si>
    <t>BULTOS PROCESADOS 24/10/2026</t>
  </si>
  <si>
    <t>local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</si>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</sst>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abSelected="1" topLeftCell="A20" workbookViewId="0">
      <selection activeCell="B47" sqref="B47"/>
    </sheetView>
  </sheetViews>
  <sheetFormatPr baseColWidth="10" defaultRowHeight="14.4" x14ac:dyDescent="0.3"/>
  <cols>
    <col min="1" max="1" width="15.6640625" style="1" customWidth="1"/>
    <col min="2" max="2" width="31.6640625" style="1" customWidth="1"/>
    <col min="3" max="3" width="19.6640625" style="1" customWidth="1"/>
    <col min="4" max="4" width="26.88671875" style="1" customWidth="1"/>
    <col min="5" max="5" width="28.88671875" style="1" customWidth="1"/>
    <col min="6" max="6" width="23" style="1" customWidth="1"/>
    <col min="7" max="7" width="20.6640625" style="1" customWidth="1"/>
    <col min="8" max="8" width="31.88671875" style="1" customWidth="1"/>
    <col min="9" max="16384" width="11.5546875" style="1"/>
  </cols>
  <sheetData>
    <row r="1" spans="1:8" ht="30.9" customHeight="1" x14ac:dyDescent="0.3">
      <c r="A1" s="2" t="s">
        <v>0</v>
      </c>
      <c r="B1" s="2"/>
      <c r="C1" s="2"/>
    </row>
    <row r="2" spans="1:8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 x14ac:dyDescent="0.3">
      <c r="A3" s="5">
        <v>803330</v>
      </c>
      <c r="B3" s="5" t="s">
        <v>50</v>
      </c>
      <c r="C3" s="5">
        <v>499</v>
      </c>
      <c r="D3" s="6">
        <v>495</v>
      </c>
      <c r="E3" s="7">
        <f>IF(D3="","",D3*0.04)</f>
        <v>19.8</v>
      </c>
      <c r="F3" s="6" t="s">
        <v>54</v>
      </c>
      <c r="G3" s="6"/>
      <c r="H3" s="4">
        <v>803058</v>
      </c>
    </row>
    <row r="4" spans="1:8" ht="15" customHeight="1" x14ac:dyDescent="0.3">
      <c r="A4" s="5">
        <v>803331</v>
      </c>
      <c r="B4" s="5" t="s">
        <v>48</v>
      </c>
      <c r="C4" s="5">
        <v>214</v>
      </c>
      <c r="D4" s="6">
        <v>214</v>
      </c>
      <c r="E4" s="7">
        <f>IF(D4="","",D4*0.04)</f>
        <v>8.56</v>
      </c>
      <c r="F4" s="6" t="s">
        <v>54</v>
      </c>
      <c r="G4" s="6"/>
      <c r="H4" s="4">
        <v>803059</v>
      </c>
    </row>
    <row r="5" spans="1:8" ht="15" customHeight="1" x14ac:dyDescent="0.3">
      <c r="A5" s="5">
        <v>803332</v>
      </c>
      <c r="B5" s="5" t="s">
        <v>47</v>
      </c>
      <c r="C5" s="5">
        <v>594</v>
      </c>
      <c r="D5" s="6">
        <v>593</v>
      </c>
      <c r="E5" s="7">
        <f>IF(D5="","",D5*0.04)</f>
        <v>23.72</v>
      </c>
      <c r="F5" s="6" t="s">
        <v>54</v>
      </c>
      <c r="G5" s="6"/>
      <c r="H5" s="4">
        <v>803060</v>
      </c>
    </row>
    <row r="6" spans="1:8" ht="15" customHeight="1" x14ac:dyDescent="0.3">
      <c r="A6" s="5">
        <v>803333</v>
      </c>
      <c r="B6" s="5" t="s">
        <v>46</v>
      </c>
      <c r="C6" s="5">
        <v>636</v>
      </c>
      <c r="D6" s="6">
        <v>636</v>
      </c>
      <c r="E6" s="7">
        <f>IF(D6="","",D6*0.04)</f>
        <v>25.44</v>
      </c>
      <c r="F6" s="6" t="s">
        <v>54</v>
      </c>
      <c r="G6" s="6"/>
      <c r="H6" s="4">
        <v>803064</v>
      </c>
    </row>
    <row r="7" spans="1:8" ht="15" customHeight="1" x14ac:dyDescent="0.3">
      <c r="A7" s="5">
        <v>803334</v>
      </c>
      <c r="B7" s="5" t="s">
        <v>45</v>
      </c>
      <c r="C7" s="5">
        <v>184</v>
      </c>
      <c r="D7" s="6">
        <v>182</v>
      </c>
      <c r="E7" s="7">
        <f>IF(D7="","",D7*0.04)</f>
        <v>7.28</v>
      </c>
      <c r="F7" s="6" t="s">
        <v>54</v>
      </c>
      <c r="G7" s="6"/>
      <c r="H7" s="4">
        <v>803065</v>
      </c>
    </row>
    <row r="8" spans="1:8" ht="15" customHeight="1" x14ac:dyDescent="0.3">
      <c r="A8" s="5">
        <v>803335</v>
      </c>
      <c r="B8" s="5" t="s">
        <v>44</v>
      </c>
      <c r="C8" s="5">
        <v>395</v>
      </c>
      <c r="D8" s="6">
        <v>395</v>
      </c>
      <c r="E8" s="7">
        <f>IF(D8="","",D8*0.04)</f>
        <v>15.8</v>
      </c>
      <c r="F8" s="6" t="s">
        <v>54</v>
      </c>
      <c r="G8" s="6"/>
      <c r="H8" s="4">
        <v>803066</v>
      </c>
    </row>
    <row r="9" spans="1:8" ht="15" customHeight="1" x14ac:dyDescent="0.3">
      <c r="A9" s="5">
        <v>803336</v>
      </c>
      <c r="B9" s="5" t="s">
        <v>43</v>
      </c>
      <c r="C9" s="5">
        <v>665</v>
      </c>
      <c r="D9" s="6">
        <v>647</v>
      </c>
      <c r="E9" s="7">
        <f>IF(D9="","",D9*0.04)</f>
        <v>25.88</v>
      </c>
      <c r="F9" s="6" t="s">
        <v>54</v>
      </c>
      <c r="G9" s="6"/>
      <c r="H9" s="4">
        <v>803068</v>
      </c>
    </row>
    <row r="10" spans="1:8" ht="15" customHeight="1" x14ac:dyDescent="0.3">
      <c r="A10" s="5">
        <v>803337</v>
      </c>
      <c r="B10" s="5" t="s">
        <v>42</v>
      </c>
      <c r="C10" s="5">
        <v>606</v>
      </c>
      <c r="D10" s="6">
        <v>597</v>
      </c>
      <c r="E10" s="7">
        <f>IF(D10="","",D10*0.04)</f>
        <v>23.88</v>
      </c>
      <c r="F10" s="6" t="s">
        <v>54</v>
      </c>
      <c r="G10" s="6"/>
      <c r="H10" s="4">
        <v>803069</v>
      </c>
    </row>
    <row r="11" spans="1:8" ht="15" customHeight="1" x14ac:dyDescent="0.3">
      <c r="A11" s="5">
        <v>803339</v>
      </c>
      <c r="B11" s="5" t="s">
        <v>40</v>
      </c>
      <c r="C11" s="5">
        <v>749</v>
      </c>
      <c r="D11" s="6">
        <v>744</v>
      </c>
      <c r="E11" s="7">
        <f>IF(D11="","",D11*0.04)</f>
        <v>29.76</v>
      </c>
      <c r="F11" s="6" t="s">
        <v>54</v>
      </c>
      <c r="G11" s="6"/>
      <c r="H11" s="4">
        <v>803070</v>
      </c>
    </row>
    <row r="12" spans="1:8" ht="15" customHeight="1" x14ac:dyDescent="0.3">
      <c r="A12" s="5">
        <v>803338</v>
      </c>
      <c r="B12" s="5" t="s">
        <v>41</v>
      </c>
      <c r="C12" s="5">
        <v>260</v>
      </c>
      <c r="D12" s="6">
        <v>249</v>
      </c>
      <c r="E12" s="7">
        <f>IF(D12="","",D12*0.04)</f>
        <v>9.9600000000000009</v>
      </c>
      <c r="F12" s="6" t="s">
        <v>54</v>
      </c>
      <c r="G12" s="6"/>
      <c r="H12" s="4"/>
    </row>
    <row r="13" spans="1:8" ht="15" customHeight="1" x14ac:dyDescent="0.3">
      <c r="A13" s="5">
        <v>803341</v>
      </c>
      <c r="B13" s="5" t="s">
        <v>38</v>
      </c>
      <c r="C13" s="5">
        <v>763</v>
      </c>
      <c r="D13" s="6">
        <v>751</v>
      </c>
      <c r="E13" s="7">
        <f>IF(D13="","",D13*0.04)</f>
        <v>30.04</v>
      </c>
      <c r="F13" s="6" t="s">
        <v>54</v>
      </c>
      <c r="G13" s="6"/>
      <c r="H13" s="4">
        <v>803074</v>
      </c>
    </row>
    <row r="14" spans="1:8" ht="15" customHeight="1" x14ac:dyDescent="0.3">
      <c r="A14" s="5">
        <v>803340</v>
      </c>
      <c r="B14" s="5" t="s">
        <v>39</v>
      </c>
      <c r="C14" s="5">
        <v>857</v>
      </c>
      <c r="D14" s="6">
        <v>852</v>
      </c>
      <c r="E14" s="7">
        <f>IF(D14="","",D14*0.04)</f>
        <v>34.08</v>
      </c>
      <c r="F14" s="6" t="s">
        <v>54</v>
      </c>
      <c r="G14" s="6"/>
      <c r="H14" s="4">
        <v>803075</v>
      </c>
    </row>
    <row r="15" spans="1:8" ht="15" customHeight="1" x14ac:dyDescent="0.3">
      <c r="A15" s="5">
        <v>803343</v>
      </c>
      <c r="B15" s="5" t="s">
        <v>36</v>
      </c>
      <c r="C15" s="5">
        <v>443</v>
      </c>
      <c r="D15" s="6">
        <v>434</v>
      </c>
      <c r="E15" s="7">
        <f>IF(D15="","",D15*0.04)</f>
        <v>17.36</v>
      </c>
      <c r="F15" s="6" t="s">
        <v>54</v>
      </c>
      <c r="G15" s="6" t="s">
        <v>55</v>
      </c>
      <c r="H15" s="4">
        <v>803076</v>
      </c>
    </row>
    <row r="16" spans="1:8" ht="15" customHeight="1" x14ac:dyDescent="0.3">
      <c r="A16" s="5">
        <v>803342</v>
      </c>
      <c r="B16" s="5" t="s">
        <v>37</v>
      </c>
      <c r="C16" s="5">
        <v>261</v>
      </c>
      <c r="D16" s="6">
        <v>251</v>
      </c>
      <c r="E16" s="7">
        <f>IF(D16="","",D16*0.04)</f>
        <v>10.040000000000001</v>
      </c>
      <c r="F16" s="6" t="s">
        <v>54</v>
      </c>
      <c r="G16" s="6"/>
      <c r="H16" s="4"/>
    </row>
    <row r="17" spans="1:8" ht="15" customHeight="1" x14ac:dyDescent="0.3">
      <c r="A17" s="5">
        <v>803345</v>
      </c>
      <c r="B17" s="5" t="s">
        <v>34</v>
      </c>
      <c r="C17" s="5">
        <v>783</v>
      </c>
      <c r="D17" s="6">
        <v>776</v>
      </c>
      <c r="E17" s="7">
        <f>IF(D17="","",D17*0.04)</f>
        <v>31.04</v>
      </c>
      <c r="F17" s="6" t="s">
        <v>54</v>
      </c>
      <c r="G17" s="6"/>
      <c r="H17" s="4">
        <v>803083</v>
      </c>
    </row>
    <row r="18" spans="1:8" ht="15" customHeight="1" x14ac:dyDescent="0.3">
      <c r="A18" s="5">
        <v>803344</v>
      </c>
      <c r="B18" s="5" t="s">
        <v>35</v>
      </c>
      <c r="C18" s="5">
        <v>383</v>
      </c>
      <c r="D18" s="6">
        <v>380</v>
      </c>
      <c r="E18" s="7">
        <f>IF(D18="","",D18*0.04)</f>
        <v>15.200000000000001</v>
      </c>
      <c r="F18" s="6" t="s">
        <v>54</v>
      </c>
      <c r="G18" s="6"/>
      <c r="H18" s="4"/>
    </row>
    <row r="19" spans="1:8" ht="15" customHeight="1" x14ac:dyDescent="0.3">
      <c r="A19" s="5">
        <v>803346</v>
      </c>
      <c r="B19" s="5" t="s">
        <v>33</v>
      </c>
      <c r="C19" s="5">
        <v>530</v>
      </c>
      <c r="D19" s="6">
        <v>523</v>
      </c>
      <c r="E19" s="7">
        <f>IF(D19="","",D19*0.04)</f>
        <v>20.92</v>
      </c>
      <c r="F19" s="6" t="s">
        <v>54</v>
      </c>
      <c r="G19" s="6"/>
      <c r="H19" s="4">
        <v>803093</v>
      </c>
    </row>
    <row r="20" spans="1:8" ht="15" customHeight="1" x14ac:dyDescent="0.3">
      <c r="A20" s="5">
        <v>803347</v>
      </c>
      <c r="B20" s="5" t="s">
        <v>49</v>
      </c>
      <c r="C20" s="5">
        <v>137</v>
      </c>
      <c r="D20" s="6">
        <v>134</v>
      </c>
      <c r="E20" s="7">
        <f>IF(D20="","",D20*0.04)</f>
        <v>5.36</v>
      </c>
      <c r="F20" s="6" t="s">
        <v>54</v>
      </c>
      <c r="G20" s="6"/>
      <c r="H20" s="4">
        <v>803101</v>
      </c>
    </row>
    <row r="21" spans="1:8" ht="15" customHeight="1" x14ac:dyDescent="0.3">
      <c r="A21" s="5">
        <v>803348</v>
      </c>
      <c r="B21" s="5" t="s">
        <v>32</v>
      </c>
      <c r="C21" s="5">
        <v>223</v>
      </c>
      <c r="D21" s="6">
        <v>221</v>
      </c>
      <c r="E21" s="7">
        <f>IF(D21="","",D21*0.04)</f>
        <v>8.84</v>
      </c>
      <c r="F21" s="6" t="s">
        <v>54</v>
      </c>
      <c r="G21" s="6"/>
      <c r="H21" s="4"/>
    </row>
    <row r="22" spans="1:8" ht="15" customHeight="1" x14ac:dyDescent="0.3">
      <c r="A22" s="5">
        <v>803349</v>
      </c>
      <c r="B22" s="5" t="s">
        <v>31</v>
      </c>
      <c r="C22" s="5">
        <v>452</v>
      </c>
      <c r="D22" s="6">
        <v>446</v>
      </c>
      <c r="E22" s="7">
        <f>IF(D22="","",D22*0.04)</f>
        <v>17.84</v>
      </c>
      <c r="F22" s="6" t="s">
        <v>54</v>
      </c>
      <c r="G22" s="6" t="s">
        <v>55</v>
      </c>
      <c r="H22" s="4">
        <v>803106</v>
      </c>
    </row>
    <row r="23" spans="1:8" ht="15" customHeight="1" x14ac:dyDescent="0.3">
      <c r="A23" s="5">
        <v>803350</v>
      </c>
      <c r="B23" s="5" t="s">
        <v>30</v>
      </c>
      <c r="C23" s="5">
        <v>505</v>
      </c>
      <c r="D23" s="6">
        <v>502</v>
      </c>
      <c r="E23" s="7">
        <f>IF(D23="","",D23*0.04)</f>
        <v>20.080000000000002</v>
      </c>
      <c r="F23" s="6" t="s">
        <v>54</v>
      </c>
      <c r="G23" s="6"/>
      <c r="H23" s="4">
        <v>803112</v>
      </c>
    </row>
    <row r="24" spans="1:8" ht="15" customHeight="1" x14ac:dyDescent="0.3">
      <c r="A24" s="5">
        <v>803351</v>
      </c>
      <c r="B24" s="5" t="s">
        <v>29</v>
      </c>
      <c r="C24" s="5">
        <v>311</v>
      </c>
      <c r="D24" s="6">
        <v>311</v>
      </c>
      <c r="E24" s="7">
        <f>IF(D24="","",D24*0.04)</f>
        <v>12.44</v>
      </c>
      <c r="F24" s="6" t="s">
        <v>54</v>
      </c>
      <c r="G24" s="6"/>
      <c r="H24" s="4">
        <v>803111</v>
      </c>
    </row>
    <row r="25" spans="1:8" ht="15" customHeight="1" x14ac:dyDescent="0.3">
      <c r="A25" s="5">
        <v>803352</v>
      </c>
      <c r="B25" s="5" t="s">
        <v>28</v>
      </c>
      <c r="C25" s="5">
        <v>496</v>
      </c>
      <c r="D25" s="6">
        <v>493</v>
      </c>
      <c r="E25" s="7">
        <f>IF(D25="","",D25*0.04)</f>
        <v>19.72</v>
      </c>
      <c r="F25" s="6" t="s">
        <v>54</v>
      </c>
      <c r="G25" s="6"/>
      <c r="H25" s="4">
        <v>803110</v>
      </c>
    </row>
    <row r="26" spans="1:8" ht="15" customHeight="1" x14ac:dyDescent="0.3">
      <c r="A26" s="5">
        <v>803353</v>
      </c>
      <c r="B26" s="5" t="s">
        <v>27</v>
      </c>
      <c r="C26" s="5">
        <v>441</v>
      </c>
      <c r="D26" s="6">
        <v>439</v>
      </c>
      <c r="E26" s="7">
        <f>IF(D26="","",D26*0.04)</f>
        <v>17.559999999999999</v>
      </c>
      <c r="F26" s="6" t="s">
        <v>54</v>
      </c>
      <c r="G26" s="6"/>
      <c r="H26" s="4">
        <v>803120</v>
      </c>
    </row>
    <row r="27" spans="1:8" ht="15" customHeight="1" x14ac:dyDescent="0.3">
      <c r="A27" s="5">
        <v>803354</v>
      </c>
      <c r="B27" s="5" t="s">
        <v>26</v>
      </c>
      <c r="C27" s="5">
        <v>645</v>
      </c>
      <c r="D27" s="6">
        <v>620</v>
      </c>
      <c r="E27" s="7">
        <f>IF(D27="","",D27*0.04)</f>
        <v>24.8</v>
      </c>
      <c r="F27" s="6" t="s">
        <v>54</v>
      </c>
      <c r="G27" s="6"/>
      <c r="H27" s="4">
        <v>803121</v>
      </c>
    </row>
    <row r="28" spans="1:8" ht="15" customHeight="1" x14ac:dyDescent="0.3">
      <c r="A28" s="5">
        <v>803356</v>
      </c>
      <c r="B28" s="5" t="s">
        <v>24</v>
      </c>
      <c r="C28" s="5">
        <v>205</v>
      </c>
      <c r="D28" s="6">
        <v>204</v>
      </c>
      <c r="E28" s="7">
        <f>IF(D28="","",D28*0.04)</f>
        <v>8.16</v>
      </c>
      <c r="F28" s="6" t="s">
        <v>54</v>
      </c>
      <c r="G28" s="6"/>
      <c r="H28" s="4"/>
    </row>
    <row r="29" spans="1:8" ht="15" customHeight="1" x14ac:dyDescent="0.3">
      <c r="A29" s="5">
        <v>803355</v>
      </c>
      <c r="B29" s="5" t="s">
        <v>25</v>
      </c>
      <c r="C29" s="5">
        <v>646</v>
      </c>
      <c r="D29" s="6">
        <v>635</v>
      </c>
      <c r="E29" s="7">
        <f>IF(D29="","",D29*0.04)</f>
        <v>25.400000000000002</v>
      </c>
      <c r="F29" s="6" t="s">
        <v>54</v>
      </c>
      <c r="G29" s="6"/>
      <c r="H29" s="4">
        <v>803123</v>
      </c>
    </row>
    <row r="30" spans="1:8" ht="15" customHeight="1" x14ac:dyDescent="0.3">
      <c r="A30" s="5">
        <v>803358</v>
      </c>
      <c r="B30" s="5" t="s">
        <v>22</v>
      </c>
      <c r="C30" s="5">
        <v>513</v>
      </c>
      <c r="D30" s="6">
        <v>512</v>
      </c>
      <c r="E30" s="7">
        <f>IF(D30="","",D30*0.04)</f>
        <v>20.48</v>
      </c>
      <c r="F30" s="6" t="s">
        <v>54</v>
      </c>
      <c r="G30" s="6"/>
      <c r="H30" s="4">
        <v>803125</v>
      </c>
    </row>
    <row r="31" spans="1:8" ht="15" customHeight="1" x14ac:dyDescent="0.3">
      <c r="A31" s="5">
        <v>803357</v>
      </c>
      <c r="B31" s="5" t="s">
        <v>23</v>
      </c>
      <c r="C31" s="5">
        <v>210</v>
      </c>
      <c r="D31" s="6">
        <v>207</v>
      </c>
      <c r="E31" s="7">
        <f>IF(D31="","",D31*0.04)</f>
        <v>8.2799999999999994</v>
      </c>
      <c r="F31" s="6" t="s">
        <v>54</v>
      </c>
      <c r="G31" s="6"/>
      <c r="H31" s="4"/>
    </row>
    <row r="32" spans="1:8" ht="15" customHeight="1" x14ac:dyDescent="0.3">
      <c r="A32" s="5">
        <v>803359</v>
      </c>
      <c r="B32" s="5" t="s">
        <v>21</v>
      </c>
      <c r="C32" s="5">
        <v>676</v>
      </c>
      <c r="D32" s="6">
        <v>675</v>
      </c>
      <c r="E32" s="7">
        <f>IF(D32="","",D32*0.04)</f>
        <v>27</v>
      </c>
      <c r="F32" s="6" t="s">
        <v>54</v>
      </c>
      <c r="G32" s="6"/>
      <c r="H32" s="4">
        <v>803127</v>
      </c>
    </row>
    <row r="33" spans="1:8" ht="15" customHeight="1" x14ac:dyDescent="0.3">
      <c r="A33" s="5">
        <v>803360</v>
      </c>
      <c r="B33" s="5" t="s">
        <v>20</v>
      </c>
      <c r="C33" s="5">
        <v>420</v>
      </c>
      <c r="D33" s="6">
        <v>405</v>
      </c>
      <c r="E33" s="7">
        <f>IF(D33="","",D33*0.04)</f>
        <v>16.2</v>
      </c>
      <c r="F33" s="6" t="s">
        <v>54</v>
      </c>
      <c r="G33" s="6"/>
      <c r="H33" s="4">
        <v>803135</v>
      </c>
    </row>
    <row r="34" spans="1:8" ht="15" customHeight="1" x14ac:dyDescent="0.3">
      <c r="A34" s="5">
        <v>803361</v>
      </c>
      <c r="B34" s="5" t="s">
        <v>19</v>
      </c>
      <c r="C34" s="5">
        <v>505</v>
      </c>
      <c r="D34" s="6">
        <v>503</v>
      </c>
      <c r="E34" s="7">
        <f>IF(D34="","",D34*0.04)</f>
        <v>20.12</v>
      </c>
      <c r="F34" s="6" t="s">
        <v>54</v>
      </c>
      <c r="G34" s="6"/>
      <c r="H34" s="4">
        <v>803136</v>
      </c>
    </row>
    <row r="35" spans="1:8" ht="15" customHeight="1" x14ac:dyDescent="0.3">
      <c r="A35" s="5">
        <v>803362</v>
      </c>
      <c r="B35" s="5" t="s">
        <v>18</v>
      </c>
      <c r="C35" s="5">
        <v>558</v>
      </c>
      <c r="D35" s="6">
        <v>557</v>
      </c>
      <c r="E35" s="7">
        <f>IF(D35="","",D35*0.04)</f>
        <v>22.28</v>
      </c>
      <c r="F35" s="6" t="s">
        <v>54</v>
      </c>
      <c r="G35" s="6"/>
      <c r="H35" s="4">
        <v>803137</v>
      </c>
    </row>
    <row r="36" spans="1:8" ht="15" customHeight="1" x14ac:dyDescent="0.3">
      <c r="A36" s="5">
        <v>803363</v>
      </c>
      <c r="B36" s="5" t="s">
        <v>17</v>
      </c>
      <c r="C36" s="5">
        <v>443</v>
      </c>
      <c r="D36" s="6">
        <v>440</v>
      </c>
      <c r="E36" s="7">
        <f>IF(D36="","",D36*0.04)</f>
        <v>17.600000000000001</v>
      </c>
      <c r="F36" s="6" t="s">
        <v>54</v>
      </c>
      <c r="G36" s="6"/>
      <c r="H36" s="4">
        <v>803138</v>
      </c>
    </row>
    <row r="37" spans="1:8" ht="15" customHeight="1" x14ac:dyDescent="0.3">
      <c r="A37" s="5">
        <v>803364</v>
      </c>
      <c r="B37" s="5" t="s">
        <v>16</v>
      </c>
      <c r="C37" s="5">
        <v>271</v>
      </c>
      <c r="D37" s="6">
        <v>270</v>
      </c>
      <c r="E37" s="7">
        <f>IF(D37="","",D37*0.04)</f>
        <v>10.8</v>
      </c>
      <c r="F37" s="6" t="s">
        <v>54</v>
      </c>
      <c r="G37" s="6"/>
      <c r="H37" s="4"/>
    </row>
    <row r="38" spans="1:8" ht="15" customHeight="1" x14ac:dyDescent="0.3">
      <c r="A38" s="5">
        <v>803365</v>
      </c>
      <c r="B38" s="5" t="s">
        <v>15</v>
      </c>
      <c r="C38" s="5">
        <v>585</v>
      </c>
      <c r="D38" s="6">
        <v>581</v>
      </c>
      <c r="E38" s="7">
        <f>IF(D38="","",D38*0.04)</f>
        <v>23.240000000000002</v>
      </c>
      <c r="F38" s="6" t="s">
        <v>54</v>
      </c>
      <c r="G38" s="6"/>
      <c r="H38" s="4">
        <v>803144</v>
      </c>
    </row>
    <row r="39" spans="1:8" ht="15" customHeight="1" x14ac:dyDescent="0.3">
      <c r="A39" s="5">
        <v>803366</v>
      </c>
      <c r="B39" s="5" t="s">
        <v>14</v>
      </c>
      <c r="C39" s="5">
        <v>348</v>
      </c>
      <c r="D39" s="6">
        <v>344</v>
      </c>
      <c r="E39" s="7">
        <f>IF(D39="","",D39*0.04)</f>
        <v>13.76</v>
      </c>
      <c r="F39" s="6" t="s">
        <v>54</v>
      </c>
      <c r="G39" s="6"/>
      <c r="H39" s="4">
        <v>803146</v>
      </c>
    </row>
    <row r="40" spans="1:8" ht="15" customHeight="1" x14ac:dyDescent="0.3">
      <c r="A40" s="5">
        <v>803367</v>
      </c>
      <c r="B40" s="5" t="s">
        <v>13</v>
      </c>
      <c r="C40" s="5">
        <v>697</v>
      </c>
      <c r="D40" s="6">
        <v>693</v>
      </c>
      <c r="E40" s="7">
        <f>IF(D40="","",D40*0.04)</f>
        <v>27.72</v>
      </c>
      <c r="F40" s="6" t="s">
        <v>54</v>
      </c>
      <c r="G40" s="6"/>
      <c r="H40" s="4">
        <v>803147</v>
      </c>
    </row>
    <row r="41" spans="1:8" ht="15" customHeight="1" x14ac:dyDescent="0.3">
      <c r="A41" s="5">
        <v>803368</v>
      </c>
      <c r="B41" s="5" t="s">
        <v>12</v>
      </c>
      <c r="C41" s="5">
        <v>728</v>
      </c>
      <c r="D41" s="6">
        <v>712</v>
      </c>
      <c r="E41" s="7">
        <f>IF(D41="","",D41*0.04)</f>
        <v>28.48</v>
      </c>
      <c r="F41" s="6" t="s">
        <v>54</v>
      </c>
      <c r="G41" s="6"/>
      <c r="H41" s="4">
        <v>803148</v>
      </c>
    </row>
    <row r="42" spans="1:8" ht="15" customHeight="1" x14ac:dyDescent="0.3">
      <c r="A42" s="5">
        <v>803370</v>
      </c>
      <c r="B42" s="5" t="s">
        <v>10</v>
      </c>
      <c r="C42" s="5">
        <v>772</v>
      </c>
      <c r="D42" s="6">
        <v>769</v>
      </c>
      <c r="E42" s="7">
        <f>IF(D42="","",D42*0.04)</f>
        <v>30.76</v>
      </c>
      <c r="F42" s="6" t="s">
        <v>54</v>
      </c>
      <c r="G42" s="6"/>
      <c r="H42" s="4">
        <v>803149</v>
      </c>
    </row>
    <row r="43" spans="1:8" ht="15" customHeight="1" x14ac:dyDescent="0.3">
      <c r="A43" s="5">
        <v>803369</v>
      </c>
      <c r="B43" s="5" t="s">
        <v>11</v>
      </c>
      <c r="C43" s="5">
        <v>386</v>
      </c>
      <c r="D43" s="6">
        <v>381</v>
      </c>
      <c r="E43" s="7">
        <f>IF(D43="","",D43*0.04)</f>
        <v>15.24</v>
      </c>
      <c r="F43" s="6" t="s">
        <v>54</v>
      </c>
      <c r="G43" s="6"/>
      <c r="H43" s="4">
        <v>803150</v>
      </c>
    </row>
    <row r="44" spans="1:8" ht="15" customHeight="1" x14ac:dyDescent="0.3">
      <c r="A44" s="5">
        <v>803371</v>
      </c>
      <c r="B44" s="5" t="s">
        <v>9</v>
      </c>
      <c r="C44" s="5">
        <v>3861</v>
      </c>
      <c r="D44" s="6">
        <v>3211</v>
      </c>
      <c r="E44" s="7">
        <f>IF(D44="","",D44*0.04)</f>
        <v>128.44</v>
      </c>
      <c r="F44" s="6" t="s">
        <v>54</v>
      </c>
      <c r="G44" s="6"/>
      <c r="H44" s="4"/>
    </row>
    <row r="45" spans="1:8" ht="15" customHeight="1" x14ac:dyDescent="0.3">
      <c r="B45" s="10" t="s">
        <v>51</v>
      </c>
      <c r="C45" s="11">
        <f>SUM(C3:C44)</f>
        <v>23856</v>
      </c>
      <c r="H45" s="4"/>
    </row>
    <row r="46" spans="1:8" ht="15" customHeight="1" x14ac:dyDescent="0.3">
      <c r="A46" s="16"/>
      <c r="B46" s="10" t="s">
        <v>52</v>
      </c>
      <c r="C46" s="11">
        <f>+C45-C48</f>
        <v>15286</v>
      </c>
      <c r="D46" s="16"/>
      <c r="E46" s="16"/>
      <c r="F46" s="16"/>
      <c r="G46" s="16"/>
      <c r="H46" s="4"/>
    </row>
    <row r="47" spans="1:8" ht="15" customHeight="1" x14ac:dyDescent="0.3">
      <c r="B47" s="8"/>
      <c r="C47" s="9"/>
    </row>
    <row r="48" spans="1:8" ht="15" customHeight="1" x14ac:dyDescent="0.3">
      <c r="B48" s="12" t="s">
        <v>53</v>
      </c>
      <c r="C48" s="13">
        <v>8570</v>
      </c>
    </row>
    <row r="49" spans="4:5" ht="15" customHeight="1" x14ac:dyDescent="0.3"/>
    <row r="50" spans="4:5" ht="15" customHeight="1" x14ac:dyDescent="0.3">
      <c r="D50" s="14" t="s">
        <v>5</v>
      </c>
      <c r="E50" s="15">
        <f>SUM(E3:E44)</f>
        <v>919.3599999999999</v>
      </c>
    </row>
  </sheetData>
  <autoFilter ref="A2:H44" xr:uid="{00000000-0001-0000-0000-000000000000}">
    <sortState xmlns:xlrd2="http://schemas.microsoft.com/office/spreadsheetml/2017/richdata2" ref="A3:H44">
      <sortCondition ref="B2:B44"/>
    </sortState>
  </autoFilter>
  <mergeCells count="1">
    <mergeCell ref="A1:C1"/>
  </mergeCells>
  <conditionalFormatting sqref="A3:G44">
    <cfRule type="expression" dxfId="6" priority="3" stopIfTrue="1">
      <formula>$G3&lt;&gt;""</formula>
    </cfRule>
  </conditionalFormatting>
  <conditionalFormatting sqref="A1:B1048576">
    <cfRule type="duplicateValues" dxfId="0" priority="2"/>
    <cfRule type="duplicateValues" dxfId="1" priority="4"/>
    <cfRule type="duplicateValues" dxfId="2" priority="1"/>
  </conditionalFormatting>
  <pageMargins left="1" right="1" top="1" bottom="1" header="1" footer="1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A332A96-DC0C-40C6-99E3-136BC4B0D0FE}"/>
</file>

<file path=customXml/itemProps2.xml><?xml version="1.0" encoding="utf-8"?>
<ds:datastoreItem xmlns:ds="http://schemas.openxmlformats.org/officeDocument/2006/customXml" ds:itemID="{CD7286D1-666F-4B2F-AF15-9779A9BB2526}"/>
</file>

<file path=customXml/itemProps3.xml><?xml version="1.0" encoding="utf-8"?>
<ds:datastoreItem xmlns:ds="http://schemas.openxmlformats.org/officeDocument/2006/customXml" ds:itemID="{2101385C-E6F9-42C0-B5A2-C476BE64A678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2026-10-25T18:16:27Z</dcterms:created>
  <dcterms:modified xsi:type="dcterms:W3CDTF">2026-10-25T18:17:01Z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