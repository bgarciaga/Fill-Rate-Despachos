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INVENTARIOS/AJUSTES/"/>
    </mc:Choice>
  </mc:AlternateContent>
  <xr:revisionPtr revIDLastSave="0" documentId="8_{C4A291B3-1B70-40C5-94B9-5EF395A497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ustes Multiclientes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K118" i="1" l="1"/>
  <c r="L118" i="1" s="1"/>
  <c r="K9" i="1"/>
  <c r="L9" i="1" s="1"/>
  <c r="K2" i="1"/>
  <c r="L2" i="1" s="1"/>
  <c r="K13" i="1"/>
  <c r="L13" i="1" s="1"/>
  <c r="K7" i="1"/>
  <c r="L7" i="1" s="1"/>
  <c r="K36" i="1"/>
  <c r="L36" i="1" s="1"/>
  <c r="K8" i="1"/>
  <c r="L8" i="1" s="1"/>
  <c r="K15" i="1"/>
  <c r="L15" i="1" s="1"/>
  <c r="K105" i="1"/>
  <c r="L105" i="1" s="1"/>
  <c r="K24" i="1"/>
  <c r="L24" i="1" s="1"/>
  <c r="K18" i="1"/>
  <c r="L18" i="1" s="1"/>
  <c r="K31" i="1"/>
  <c r="L31" i="1" s="1"/>
  <c r="K20" i="1"/>
  <c r="L20" i="1" s="1"/>
  <c r="K4" i="1"/>
  <c r="L4" i="1" s="1"/>
  <c r="K6" i="1"/>
  <c r="L6" i="1" s="1"/>
  <c r="K40" i="1"/>
  <c r="L40" i="1" s="1"/>
  <c r="K23" i="1"/>
  <c r="L23" i="1" s="1"/>
  <c r="K37" i="1"/>
  <c r="L37" i="1" s="1"/>
  <c r="K52" i="1"/>
  <c r="L52" i="1" s="1"/>
  <c r="K29" i="1"/>
  <c r="L29" i="1" s="1"/>
  <c r="K39" i="1"/>
  <c r="L39" i="1" s="1"/>
  <c r="K28" i="1"/>
  <c r="L28" i="1" s="1"/>
  <c r="K25" i="1"/>
  <c r="L25" i="1" s="1"/>
  <c r="K22" i="1"/>
  <c r="L22" i="1" s="1"/>
  <c r="K5" i="1"/>
  <c r="L5" i="1" s="1"/>
  <c r="K68" i="1"/>
  <c r="L68" i="1" s="1"/>
  <c r="K3" i="1"/>
  <c r="L3" i="1" s="1"/>
  <c r="K104" i="1"/>
  <c r="L104" i="1" s="1"/>
  <c r="K74" i="1"/>
  <c r="L74" i="1" s="1"/>
  <c r="K11" i="1"/>
  <c r="L11" i="1" s="1"/>
  <c r="K61" i="1"/>
  <c r="L61" i="1" s="1"/>
  <c r="K71" i="1"/>
  <c r="L71" i="1" s="1"/>
  <c r="K44" i="1"/>
  <c r="L44" i="1" s="1"/>
  <c r="K47" i="1"/>
  <c r="L47" i="1" s="1"/>
  <c r="K35" i="1"/>
  <c r="L35" i="1" s="1"/>
  <c r="K26" i="1"/>
  <c r="L26" i="1" s="1"/>
  <c r="K70" i="1"/>
  <c r="L70" i="1" s="1"/>
  <c r="K80" i="1"/>
  <c r="L80" i="1" s="1"/>
  <c r="K56" i="1"/>
  <c r="L56" i="1" s="1"/>
  <c r="K58" i="1"/>
  <c r="L58" i="1" s="1"/>
  <c r="K64" i="1"/>
  <c r="L64" i="1" s="1"/>
  <c r="K92" i="1"/>
  <c r="L92" i="1" s="1"/>
  <c r="K17" i="1"/>
  <c r="L17" i="1" s="1"/>
  <c r="K59" i="1"/>
  <c r="L59" i="1" s="1"/>
  <c r="K42" i="1"/>
  <c r="L42" i="1" s="1"/>
  <c r="K10" i="1"/>
  <c r="L10" i="1" s="1"/>
  <c r="K60" i="1"/>
  <c r="L60" i="1" s="1"/>
  <c r="K41" i="1"/>
  <c r="L41" i="1" s="1"/>
  <c r="K27" i="1"/>
  <c r="L27" i="1" s="1"/>
  <c r="K95" i="1"/>
  <c r="L95" i="1" s="1"/>
  <c r="K53" i="1"/>
  <c r="L53" i="1" s="1"/>
  <c r="K57" i="1"/>
  <c r="L57" i="1" s="1"/>
  <c r="K73" i="1"/>
  <c r="L73" i="1" s="1"/>
  <c r="K78" i="1"/>
  <c r="L78" i="1" s="1"/>
  <c r="K114" i="1"/>
  <c r="L114" i="1" s="1"/>
  <c r="K98" i="1"/>
  <c r="L98" i="1" s="1"/>
  <c r="K81" i="1"/>
  <c r="L81" i="1" s="1"/>
  <c r="K75" i="1"/>
  <c r="L75" i="1" s="1"/>
  <c r="K82" i="1"/>
  <c r="L82" i="1" s="1"/>
  <c r="K49" i="1"/>
  <c r="L49" i="1" s="1"/>
  <c r="K34" i="1"/>
  <c r="L34" i="1" s="1"/>
  <c r="K69" i="1"/>
  <c r="L69" i="1" s="1"/>
  <c r="K19" i="1"/>
  <c r="L19" i="1" s="1"/>
  <c r="K54" i="1"/>
  <c r="L54" i="1" s="1"/>
  <c r="K101" i="1"/>
  <c r="L101" i="1" s="1"/>
  <c r="K102" i="1"/>
  <c r="L102" i="1" s="1"/>
  <c r="K46" i="1"/>
  <c r="L46" i="1" s="1"/>
  <c r="K30" i="1"/>
  <c r="L30" i="1" s="1"/>
  <c r="K103" i="1"/>
  <c r="L103" i="1" s="1"/>
  <c r="K106" i="1"/>
  <c r="L106" i="1" s="1"/>
  <c r="K119" i="1"/>
  <c r="L119" i="1" s="1"/>
  <c r="K48" i="1"/>
  <c r="L48" i="1" s="1"/>
  <c r="K84" i="1"/>
  <c r="L84" i="1" s="1"/>
  <c r="K50" i="1"/>
  <c r="L50" i="1" s="1"/>
  <c r="K99" i="1"/>
  <c r="L99" i="1" s="1"/>
  <c r="K32" i="1"/>
  <c r="L32" i="1" s="1"/>
  <c r="K12" i="1"/>
  <c r="L12" i="1" s="1"/>
  <c r="K97" i="1"/>
  <c r="L97" i="1" s="1"/>
  <c r="K65" i="1"/>
  <c r="L65" i="1" s="1"/>
  <c r="K109" i="1"/>
  <c r="L109" i="1" s="1"/>
  <c r="K88" i="1"/>
  <c r="L88" i="1" s="1"/>
  <c r="K113" i="1"/>
  <c r="L113" i="1" s="1"/>
  <c r="K43" i="1"/>
  <c r="L43" i="1" s="1"/>
  <c r="K77" i="1"/>
  <c r="L77" i="1" s="1"/>
  <c r="K100" i="1"/>
  <c r="L100" i="1" s="1"/>
  <c r="K89" i="1"/>
  <c r="L89" i="1" s="1"/>
  <c r="K14" i="1"/>
  <c r="L14" i="1" s="1"/>
  <c r="K51" i="1"/>
  <c r="L51" i="1" s="1"/>
  <c r="K55" i="1"/>
  <c r="L55" i="1" s="1"/>
  <c r="K96" i="1"/>
  <c r="L96" i="1" s="1"/>
  <c r="K107" i="1"/>
  <c r="L107" i="1" s="1"/>
  <c r="K67" i="1"/>
  <c r="L67" i="1" s="1"/>
  <c r="K91" i="1"/>
  <c r="L91" i="1" s="1"/>
  <c r="K62" i="1"/>
  <c r="L62" i="1" s="1"/>
  <c r="K93" i="1"/>
  <c r="L93" i="1" s="1"/>
  <c r="K45" i="1"/>
  <c r="L45" i="1" s="1"/>
  <c r="K76" i="1"/>
  <c r="L76" i="1" s="1"/>
  <c r="K63" i="1"/>
  <c r="L63" i="1" s="1"/>
  <c r="K117" i="1"/>
  <c r="L117" i="1" s="1"/>
  <c r="K112" i="1"/>
  <c r="L112" i="1" s="1"/>
  <c r="K94" i="1"/>
  <c r="L94" i="1" s="1"/>
  <c r="K85" i="1"/>
  <c r="L85" i="1" s="1"/>
  <c r="K110" i="1"/>
  <c r="L110" i="1" s="1"/>
  <c r="K66" i="1"/>
  <c r="L66" i="1" s="1"/>
  <c r="K33" i="1"/>
  <c r="L33" i="1" s="1"/>
  <c r="K90" i="1"/>
  <c r="L90" i="1" s="1"/>
  <c r="K108" i="1"/>
  <c r="L108" i="1" s="1"/>
  <c r="K86" i="1"/>
  <c r="L86" i="1" s="1"/>
  <c r="K87" i="1"/>
  <c r="L87" i="1" s="1"/>
  <c r="K116" i="1"/>
  <c r="L116" i="1" s="1"/>
  <c r="K38" i="1"/>
  <c r="L38" i="1" s="1"/>
  <c r="K115" i="1"/>
  <c r="L115" i="1" s="1"/>
  <c r="K111" i="1"/>
  <c r="L111" i="1" s="1"/>
  <c r="K83" i="1"/>
  <c r="L83" i="1" s="1"/>
  <c r="K79" i="1"/>
  <c r="L79" i="1" s="1"/>
  <c r="K21" i="1"/>
  <c r="L21" i="1" s="1"/>
  <c r="K72" i="1"/>
  <c r="L72" i="1" s="1"/>
  <c r="K16" i="1"/>
  <c r="L16" i="1" s="1"/>
</calcChain>
</file>

<file path=xl/sharedStrings.xml><?xml version="1.0" encoding="utf-8"?>
<sst xmlns="http://schemas.openxmlformats.org/spreadsheetml/2006/main" count="900" uniqueCount="539">
  <si>
    <t>CODE ERP</t>
  </si>
  <si>
    <t>DESCRIPCION</t>
  </si>
  <si>
    <t>FECHA MOV STOCK</t>
  </si>
  <si>
    <t>NOMBRE USUARIO</t>
  </si>
  <si>
    <t>ETIQ CONTENEDOR</t>
  </si>
  <si>
    <t>NOMBRE UBICACION</t>
  </si>
  <si>
    <t>REGULARIZA</t>
  </si>
  <si>
    <t>UNIDADES</t>
  </si>
  <si>
    <t>CAJAS</t>
  </si>
  <si>
    <t>STOCK ACTUAL</t>
  </si>
  <si>
    <t>COMENTARIO</t>
  </si>
  <si>
    <t xml:space="preserve">BOTRAN XL RON SOUR BLAST LIMON &amp; BERRI BOT 750ML                                </t>
  </si>
  <si>
    <t>2026/10/26 06:07:34</t>
  </si>
  <si>
    <t xml:space="preserve">EMORALESR           </t>
  </si>
  <si>
    <t xml:space="preserve">EST000000000391817  </t>
  </si>
  <si>
    <t xml:space="preserve">JL-023-049-01-06    </t>
  </si>
  <si>
    <t xml:space="preserve">PICKING             </t>
  </si>
  <si>
    <t/>
  </si>
  <si>
    <t xml:space="preserve">CAREVALO            </t>
  </si>
  <si>
    <t xml:space="preserve">DPABLOR             </t>
  </si>
  <si>
    <t xml:space="preserve">ASANTAYC            </t>
  </si>
  <si>
    <t xml:space="preserve">EVICENTE            </t>
  </si>
  <si>
    <t xml:space="preserve">ROLO BAG BOLSA NEGRA 15 UND. P/JARDINERIA ROLLO                                 </t>
  </si>
  <si>
    <t>2026/10/26 06:28:06</t>
  </si>
  <si>
    <t xml:space="preserve">WJUAREZ             </t>
  </si>
  <si>
    <t xml:space="preserve">EST000000000428901  </t>
  </si>
  <si>
    <t xml:space="preserve">SB-018-040-01-04    </t>
  </si>
  <si>
    <t xml:space="preserve">OLD MILWAUKEE CERVEZA LAGER LATA 16OZ.                                          </t>
  </si>
  <si>
    <t>2026/10/26 06:28:26</t>
  </si>
  <si>
    <t xml:space="preserve">EST000000000320835  </t>
  </si>
  <si>
    <t xml:space="preserve">JL-023-025-01-03    </t>
  </si>
  <si>
    <t xml:space="preserve">POR MAL ESTADO      </t>
  </si>
  <si>
    <t xml:space="preserve">MACARENA ARROZ BLANCO 400 GR.                                                   </t>
  </si>
  <si>
    <t xml:space="preserve">RF-REPO             </t>
  </si>
  <si>
    <t xml:space="preserve">KROJASV             </t>
  </si>
  <si>
    <t xml:space="preserve">CAÑA REAL AZUCAR STANDARD 11500 GR. EN BOLSA                                    </t>
  </si>
  <si>
    <t>2026/10/26 06:35:19</t>
  </si>
  <si>
    <t xml:space="preserve">0000006351023245    </t>
  </si>
  <si>
    <t xml:space="preserve">XA-026-017-01       </t>
  </si>
  <si>
    <t xml:space="preserve">LGUARCASC           </t>
  </si>
  <si>
    <t xml:space="preserve">RGOMEZC             </t>
  </si>
  <si>
    <t xml:space="preserve">HEAD&amp;SHOULDERS SHAMPOO SUAVE/MANEJABLE 650ML                                    </t>
  </si>
  <si>
    <t>2026/10/26 06:50:31</t>
  </si>
  <si>
    <t xml:space="preserve">0000006349429716    </t>
  </si>
  <si>
    <t xml:space="preserve">CO-006-038-01-07    </t>
  </si>
  <si>
    <t xml:space="preserve">NIDO LECHE 1+ CRECIMIENTO BOLSA 2000GR                                          </t>
  </si>
  <si>
    <t>2026/10/26 06:55:34</t>
  </si>
  <si>
    <t xml:space="preserve">LRAMIREZH           </t>
  </si>
  <si>
    <t xml:space="preserve">EST000000000429172  </t>
  </si>
  <si>
    <t xml:space="preserve">VC-020-035-01-03    </t>
  </si>
  <si>
    <t xml:space="preserve">PINOL DESINFECTANTE ORIGINAL 3.785 LT.                                          </t>
  </si>
  <si>
    <t>2026/10/26 07:01:02</t>
  </si>
  <si>
    <t xml:space="preserve">EST000000100212513  </t>
  </si>
  <si>
    <t xml:space="preserve">LI-001-052-01-01    </t>
  </si>
  <si>
    <t xml:space="preserve">CBARRILLAS          </t>
  </si>
  <si>
    <t xml:space="preserve">SUAVITEL SUAVIZANTE P/ROPA MANZANA DP 1.8 LT                                    </t>
  </si>
  <si>
    <t xml:space="preserve">EST000000000128614  </t>
  </si>
  <si>
    <t xml:space="preserve">LI-002-038-01-02    </t>
  </si>
  <si>
    <t xml:space="preserve">BRUIZG              </t>
  </si>
  <si>
    <t xml:space="preserve">PRINGLES PAPALINAS QUESO CHEDDAR MEGASTACK 204 GR                               </t>
  </si>
  <si>
    <t xml:space="preserve">BOTRAN RON ANEJO 15 ANOS BOTELLA 700 ML                                         </t>
  </si>
  <si>
    <t>2026/10/26 07:17:21</t>
  </si>
  <si>
    <t xml:space="preserve">EST000000100391821  </t>
  </si>
  <si>
    <t xml:space="preserve">JL-023-051-01-05    </t>
  </si>
  <si>
    <t xml:space="preserve">HAVANA CLUB RON ANEJO 3 ANOS BOT 700 ML.                                        </t>
  </si>
  <si>
    <t>2026/10/26 07:17:56</t>
  </si>
  <si>
    <t xml:space="preserve">EST000000000372417  </t>
  </si>
  <si>
    <t xml:space="preserve">JL-023-055-01-06    </t>
  </si>
  <si>
    <t xml:space="preserve">MORENA DE CAÑA AZUCAR  2000 GR. BOLSA                                           </t>
  </si>
  <si>
    <t xml:space="preserve">XA-026-007-01       </t>
  </si>
  <si>
    <t xml:space="preserve">EL SANTO TEQUILA MANGO BOT. 750ML+EL SANTO 200ML                                </t>
  </si>
  <si>
    <t>2026/10/26 07:24:28</t>
  </si>
  <si>
    <t xml:space="preserve">EST000000000320902  </t>
  </si>
  <si>
    <t xml:space="preserve">JL-023-048-01-05    </t>
  </si>
  <si>
    <t xml:space="preserve">JAGERMEISTER LICOR DE HIERBAS 500 ML. VERDE                                     </t>
  </si>
  <si>
    <t>2026/10/26 07:26:04</t>
  </si>
  <si>
    <t xml:space="preserve">YSALVADOR           </t>
  </si>
  <si>
    <t xml:space="preserve">EST000000000401618  </t>
  </si>
  <si>
    <t xml:space="preserve">UL-008-017-01-05    </t>
  </si>
  <si>
    <t xml:space="preserve">NIVEA DESODORANTE ROLL ON ACLARADO 50 ML. EFECTO SATIN                          </t>
  </si>
  <si>
    <t>2026/10/26 07:27:24</t>
  </si>
  <si>
    <t xml:space="preserve">EST000000000130868  </t>
  </si>
  <si>
    <t xml:space="preserve">CO-007-024-01-09    </t>
  </si>
  <si>
    <t xml:space="preserve">IMPUNIDAD CERVEZA INDIAN PALE ALE ART LATA 355ML                                </t>
  </si>
  <si>
    <t xml:space="preserve">EST000000000372419  </t>
  </si>
  <si>
    <t xml:space="preserve">JL-023-057-01-02    </t>
  </si>
  <si>
    <t xml:space="preserve">MALHER CONSOME DE POLLO 908 GR. EN BOTE Kkk                                     </t>
  </si>
  <si>
    <t>2026/10/26 07:44:35</t>
  </si>
  <si>
    <t xml:space="preserve">EST000000000147016  </t>
  </si>
  <si>
    <t xml:space="preserve">AC-014-010-01-02    </t>
  </si>
  <si>
    <t xml:space="preserve">0000006351036563    </t>
  </si>
  <si>
    <t xml:space="preserve">YUMMIES BOQUITAS ANILLITOS DE PAPA 150 GR.                                      </t>
  </si>
  <si>
    <t>2026/10/26 07:57:27</t>
  </si>
  <si>
    <t xml:space="preserve">0000006351035256    </t>
  </si>
  <si>
    <t xml:space="preserve">IC-003-033-01       </t>
  </si>
  <si>
    <t xml:space="preserve">AUSTRALIAN LECHE DESCREMADA 1500 GR.                                            </t>
  </si>
  <si>
    <t>2026/10/26 07:58:25</t>
  </si>
  <si>
    <t xml:space="preserve">EST000000000429016  </t>
  </si>
  <si>
    <t xml:space="preserve">VC-020-039-01-01    </t>
  </si>
  <si>
    <t xml:space="preserve">RAYOVAC BATERIA AA 6 UND. ALKALINA                                              </t>
  </si>
  <si>
    <t xml:space="preserve">EST000000100487224  </t>
  </si>
  <si>
    <t xml:space="preserve">GL-008-024-01-07    </t>
  </si>
  <si>
    <t xml:space="preserve">SUAVITEL SUAVIZANTE P/ROPA FRESCA PRIMAVERA 2.8 L                               </t>
  </si>
  <si>
    <t xml:space="preserve">EST000000000127706  </t>
  </si>
  <si>
    <t xml:space="preserve">LI-002-042-01-01    </t>
  </si>
  <si>
    <t xml:space="preserve">CARMEN VINO CABERNET SAUVIGNON 750M INSIGNE                                     </t>
  </si>
  <si>
    <t>2026/10/26 09:14:03</t>
  </si>
  <si>
    <t xml:space="preserve">EST000000000402577  </t>
  </si>
  <si>
    <t xml:space="preserve">AC-011-033-01-01    </t>
  </si>
  <si>
    <t xml:space="preserve">HERBAL ESSENCES SHAMPOO ROSA MOSQUETA 400ML                                     </t>
  </si>
  <si>
    <t xml:space="preserve">LBAMACAJ            </t>
  </si>
  <si>
    <t xml:space="preserve">BOTRAN XL RON BOT LIMON Y PEPINO 1750 ML                                        </t>
  </si>
  <si>
    <t>2026/10/26 09:25:22</t>
  </si>
  <si>
    <t xml:space="preserve">0000006342594981    </t>
  </si>
  <si>
    <t xml:space="preserve">JL-023-042-01-06    </t>
  </si>
  <si>
    <t xml:space="preserve">GUANDY MARSHMALLOWS BOTA NAVIDEÑA 125 GR.                                       </t>
  </si>
  <si>
    <t xml:space="preserve">KPAZ                </t>
  </si>
  <si>
    <t xml:space="preserve">EST000000000473266  </t>
  </si>
  <si>
    <t xml:space="preserve">GC-008-037-01-04    </t>
  </si>
  <si>
    <t>2026/10/26 09:39:28</t>
  </si>
  <si>
    <t xml:space="preserve">FOUR LOKO COOLER SANDIA 473 ML LATA                                             </t>
  </si>
  <si>
    <t>2026/10/26 09:42:24</t>
  </si>
  <si>
    <t xml:space="preserve">EST000000000320909  </t>
  </si>
  <si>
    <t xml:space="preserve">JL-023-052-01-02    </t>
  </si>
  <si>
    <t xml:space="preserve">MIRASOL MARGARINA DIETETICA 400 GR                                              </t>
  </si>
  <si>
    <t>2026/10/26 09:54:16</t>
  </si>
  <si>
    <t xml:space="preserve">0000006350824933    </t>
  </si>
  <si>
    <t xml:space="preserve">AC-012-019-01       </t>
  </si>
  <si>
    <t xml:space="preserve">SECRET ANTITRANSPIRANTE GEL COCONUT 45 GR                                       </t>
  </si>
  <si>
    <t>2026/10/26 10:04:18</t>
  </si>
  <si>
    <t xml:space="preserve">JDIONIA             </t>
  </si>
  <si>
    <t xml:space="preserve">EST000000000207571  </t>
  </si>
  <si>
    <t xml:space="preserve">CO-006-022-01-10    </t>
  </si>
  <si>
    <t xml:space="preserve">NATURAS SALSA DE TOMATE QUESO 400 GR.                                           </t>
  </si>
  <si>
    <t xml:space="preserve">EST000000000400857  </t>
  </si>
  <si>
    <t xml:space="preserve">GC-007-017-01-01    </t>
  </si>
  <si>
    <t xml:space="preserve">PRESTOBARBA RASURADORA ACEITES BOTANICOS 4 UND 3 HOJAS DAMA                     </t>
  </si>
  <si>
    <t>2026/10/26 10:38:41</t>
  </si>
  <si>
    <t xml:space="preserve">EST000000000319597  </t>
  </si>
  <si>
    <t xml:space="preserve">GL-008-004-01-03    </t>
  </si>
  <si>
    <t xml:space="preserve">MUSUN CAFE INSTANTANEO SUAVE FRASCO 260GR                                       </t>
  </si>
  <si>
    <t xml:space="preserve">EST000000000316256  </t>
  </si>
  <si>
    <t xml:space="preserve">AC-015-004-01-02    </t>
  </si>
  <si>
    <t>2026/10/26 10:41:12</t>
  </si>
  <si>
    <t xml:space="preserve">CRAMIREZC           </t>
  </si>
  <si>
    <t>2026/10/26 10:41:49</t>
  </si>
  <si>
    <t xml:space="preserve">0000006351020590    </t>
  </si>
  <si>
    <t xml:space="preserve">XA-026-009-01       </t>
  </si>
  <si>
    <t xml:space="preserve">RAID INSECTICIDA ACCION TOTAL 400 ML. AEROSOL                                   </t>
  </si>
  <si>
    <t xml:space="preserve">EST000000000130773  </t>
  </si>
  <si>
    <t xml:space="preserve">CO-006-028-01-03    </t>
  </si>
  <si>
    <t xml:space="preserve">BLANCA NIEVES DETERGENTE POLVO MULTIUSOS 2 KG                                   </t>
  </si>
  <si>
    <t xml:space="preserve">DONA PAULA VINO TINTO RED BLEND 750 ML.                                         </t>
  </si>
  <si>
    <t>2026/10/26 11:02:00</t>
  </si>
  <si>
    <t xml:space="preserve">EST000000000320624  </t>
  </si>
  <si>
    <t xml:space="preserve">JL-023-035-01-01    </t>
  </si>
  <si>
    <t xml:space="preserve">MALHER CONSOME DE POLLO 454 GR DOY PACK                                         </t>
  </si>
  <si>
    <t xml:space="preserve">EST000000000249867  </t>
  </si>
  <si>
    <t xml:space="preserve">AC-015-023-01-01    </t>
  </si>
  <si>
    <t xml:space="preserve">AUSTRALIAN PRIDE LECHE CONDENSADA  397 GR. NATURAL/LATA                         </t>
  </si>
  <si>
    <t>2026/10/26 11:24:50</t>
  </si>
  <si>
    <t xml:space="preserve">EST000000000396204  </t>
  </si>
  <si>
    <t xml:space="preserve">AC-010-041-01-04    </t>
  </si>
  <si>
    <t xml:space="preserve">BOTRAN RON ORO 750 ML. +RON 200ML                                               </t>
  </si>
  <si>
    <t>2026/10/26 11:32:30</t>
  </si>
  <si>
    <t xml:space="preserve">EST000000000320866  </t>
  </si>
  <si>
    <t xml:space="preserve">JL-023-026-01-04    </t>
  </si>
  <si>
    <t>2026/10/26 11:38:11</t>
  </si>
  <si>
    <t xml:space="preserve">DOG CHOW ALIMENTOS P/PERRO SECO CORDERO 3.7KGS                                  </t>
  </si>
  <si>
    <t>2026/10/26 11:50:16</t>
  </si>
  <si>
    <t xml:space="preserve">EST000000000487179  </t>
  </si>
  <si>
    <t xml:space="preserve">MA-011-031-01-03    </t>
  </si>
  <si>
    <t xml:space="preserve">SENSAT ACEITE DE OLIVA EXTRA VIRGEN 1 LT.                                       </t>
  </si>
  <si>
    <t>2026/10/26 12:06:08</t>
  </si>
  <si>
    <t xml:space="preserve">EST000000000402462  </t>
  </si>
  <si>
    <t xml:space="preserve">AC-011-036-01-01    </t>
  </si>
  <si>
    <t>2026/10/26 12:08:50</t>
  </si>
  <si>
    <t xml:space="preserve">EST000000000397262  </t>
  </si>
  <si>
    <t xml:space="preserve">LI-001-016-01-02    </t>
  </si>
  <si>
    <t xml:space="preserve">SCOTCH BRITE ESPONJA ESFERAS LIMPIEZA UND                                       </t>
  </si>
  <si>
    <t>2026/10/26 12:10:40</t>
  </si>
  <si>
    <t xml:space="preserve">EST000000000306869  </t>
  </si>
  <si>
    <t xml:space="preserve">LI-004-017-01-02    </t>
  </si>
  <si>
    <t>2026/10/26 12:33:13</t>
  </si>
  <si>
    <t xml:space="preserve">DLUCASL             </t>
  </si>
  <si>
    <t xml:space="preserve">0000006351030004    </t>
  </si>
  <si>
    <t xml:space="preserve">URP-29              </t>
  </si>
  <si>
    <t xml:space="preserve">NUBE BLANCA PAPEL HIGIENICO BLANCO 6U                                           </t>
  </si>
  <si>
    <t xml:space="preserve">ZC-021-041-01       </t>
  </si>
  <si>
    <t xml:space="preserve">FELIX ALIMENTO P-GATOS DELICIAS DE LA GRANJA 1KGS                               </t>
  </si>
  <si>
    <t>2026/10/26 13:07:33</t>
  </si>
  <si>
    <t xml:space="preserve">EST000000000390239  </t>
  </si>
  <si>
    <t xml:space="preserve">MA-011-033-01-01    </t>
  </si>
  <si>
    <t xml:space="preserve">KILLIOS MELOCOTON MITADES FRASCO 550GRS                                         </t>
  </si>
  <si>
    <t>2026/10/26 13:32:53</t>
  </si>
  <si>
    <t xml:space="preserve">EST000000000359511  </t>
  </si>
  <si>
    <t xml:space="preserve">AC-011-032-01-02    </t>
  </si>
  <si>
    <t xml:space="preserve">TENA ROPA INTERIOR PANTS NOCTURNO PROSKIN G 10U                                 </t>
  </si>
  <si>
    <t>2026/10/26 13:33:50</t>
  </si>
  <si>
    <t xml:space="preserve">EST000000000250065  </t>
  </si>
  <si>
    <t xml:space="preserve">SB-019-036-01-02    </t>
  </si>
  <si>
    <t xml:space="preserve">SHALOM AMPOLLA PLACENTA 22 ML                                                   </t>
  </si>
  <si>
    <t xml:space="preserve">EST000000100330059  </t>
  </si>
  <si>
    <t xml:space="preserve">CO-008-041-01-06    </t>
  </si>
  <si>
    <t xml:space="preserve">DOS PINOS LECHE ENTERA PINITO 1 LT. UHT/TETRA Kkk                               </t>
  </si>
  <si>
    <t xml:space="preserve">QL-006-001-01       </t>
  </si>
  <si>
    <t xml:space="preserve">SABA TOALLA SANITARIA ULTRA INVISIBLE 12 UND. C/ALAS                            </t>
  </si>
  <si>
    <t>2026/10/26 13:45:22</t>
  </si>
  <si>
    <t xml:space="preserve">EST000000000250008  </t>
  </si>
  <si>
    <t xml:space="preserve">SB-019-033-01-01    </t>
  </si>
  <si>
    <t>2026/10/26 13:45:59</t>
  </si>
  <si>
    <t xml:space="preserve">EST000000000316337  </t>
  </si>
  <si>
    <t xml:space="preserve">AC-016-010-01-02    </t>
  </si>
  <si>
    <t xml:space="preserve">BAYGON INSECTICIDA AEROSOL NARANJA 400ML CASA/JDIN                              </t>
  </si>
  <si>
    <t xml:space="preserve">EST000000000130060  </t>
  </si>
  <si>
    <t xml:space="preserve">CO-006-023-01-01    </t>
  </si>
  <si>
    <t xml:space="preserve">PRESTOBARBA RASURADORA ULTRA GRIP 5 UND.                                        </t>
  </si>
  <si>
    <t>2026/10/26 14:41:06</t>
  </si>
  <si>
    <t xml:space="preserve">RGARCIAG            </t>
  </si>
  <si>
    <t xml:space="preserve">EST000000000319600  </t>
  </si>
  <si>
    <t xml:space="preserve">GL-008-004-01-06    </t>
  </si>
  <si>
    <t xml:space="preserve">DURACELL BATERIA AA 2 UND. BLISTER                                              </t>
  </si>
  <si>
    <t>2026/10/26 14:44:36</t>
  </si>
  <si>
    <t xml:space="preserve">EST000000000487224  </t>
  </si>
  <si>
    <t xml:space="preserve">GL-008-008-01-04    </t>
  </si>
  <si>
    <t xml:space="preserve">CLOPEZS             </t>
  </si>
  <si>
    <t xml:space="preserve">GLADE AROMATIZANTE PARAISO AZUL 400 ML. AEROSOL                                 </t>
  </si>
  <si>
    <t>2026/10/26 15:06:53</t>
  </si>
  <si>
    <t xml:space="preserve">APINEDAR            </t>
  </si>
  <si>
    <t xml:space="preserve">EST000000000329657  </t>
  </si>
  <si>
    <t xml:space="preserve">CO-007-045-01-04    </t>
  </si>
  <si>
    <t xml:space="preserve">REPARTO             </t>
  </si>
  <si>
    <t xml:space="preserve">CHORTIZ             </t>
  </si>
  <si>
    <t xml:space="preserve">JAGERMEISTER LICOR DE HIERBAS MINI 20 ML                                        </t>
  </si>
  <si>
    <t>2026/10/26 15:16:53</t>
  </si>
  <si>
    <t xml:space="preserve">MBARRONDOM          </t>
  </si>
  <si>
    <t xml:space="preserve">EST000000100391811  </t>
  </si>
  <si>
    <t xml:space="preserve">JL-023-047-01-05    </t>
  </si>
  <si>
    <t xml:space="preserve">SCOTT PAPEL HIGIENICO TRIPLE HOJA 4 ROLLOS 290 HOJAS                            </t>
  </si>
  <si>
    <t>2026/10/26 15:19:20</t>
  </si>
  <si>
    <t xml:space="preserve">hcastro             </t>
  </si>
  <si>
    <t xml:space="preserve">0000006351020663    </t>
  </si>
  <si>
    <t xml:space="preserve">ZC-021-011-01       </t>
  </si>
  <si>
    <t xml:space="preserve">ARIVERA             </t>
  </si>
  <si>
    <t xml:space="preserve">DOS PINOS LECHE DESCREMADA 1 LT. UHT/TETRA Kkk                                  </t>
  </si>
  <si>
    <t>2026/10/26 15:22:51</t>
  </si>
  <si>
    <t xml:space="preserve">MMARTINEZ           </t>
  </si>
  <si>
    <t xml:space="preserve">0000006351028510    </t>
  </si>
  <si>
    <t xml:space="preserve">QL-006-012-01       </t>
  </si>
  <si>
    <t xml:space="preserve">DEL FRUTAL JUGO DE MANGO 11.50 OZ. LATA                                         </t>
  </si>
  <si>
    <t>2026/10/26 15:32:26</t>
  </si>
  <si>
    <t xml:space="preserve">EST000000000316935  </t>
  </si>
  <si>
    <t xml:space="preserve">BD-009-032-01-03    </t>
  </si>
  <si>
    <t xml:space="preserve">ZACAPA CENTENARIO RON EDICION NEGRA 750 ML.                                     </t>
  </si>
  <si>
    <t>2026/10/26 15:33:05</t>
  </si>
  <si>
    <t xml:space="preserve">DCRUZ               </t>
  </si>
  <si>
    <t xml:space="preserve">EST000000000429138  </t>
  </si>
  <si>
    <t xml:space="preserve">VC-020-021-01-02    </t>
  </si>
  <si>
    <t xml:space="preserve">CFITZGERAL          </t>
  </si>
  <si>
    <t xml:space="preserve">LADY SPEED STICK DESODO WILD FREESIA 45GR BARRA INV DAMA Kkk                    </t>
  </si>
  <si>
    <t>2026/10/26 16:01:34</t>
  </si>
  <si>
    <t xml:space="preserve">LGONZALES           </t>
  </si>
  <si>
    <t xml:space="preserve">0000006351113090    </t>
  </si>
  <si>
    <t xml:space="preserve">UAL-44              </t>
  </si>
  <si>
    <t xml:space="preserve">AAGUILAR            </t>
  </si>
  <si>
    <t xml:space="preserve">ERAMIREZ            </t>
  </si>
  <si>
    <t xml:space="preserve">SUPREMO TE ROSA DE JAMAICA CAJA 20G 20UND                                       </t>
  </si>
  <si>
    <t>2026/10/26 16:07:58</t>
  </si>
  <si>
    <t xml:space="preserve">MHERRERA            </t>
  </si>
  <si>
    <t xml:space="preserve">0000006351016455    </t>
  </si>
  <si>
    <t xml:space="preserve">UAL-51              </t>
  </si>
  <si>
    <t xml:space="preserve">EAGOSTOL            </t>
  </si>
  <si>
    <t xml:space="preserve">SABA TOALLA SANITARIA BUENAS NOCHES 24 UND.                                     </t>
  </si>
  <si>
    <t>2026/10/26 16:19:26</t>
  </si>
  <si>
    <t xml:space="preserve">EST000000000285282  </t>
  </si>
  <si>
    <t xml:space="preserve">SB-019-057-01-01    </t>
  </si>
  <si>
    <t xml:space="preserve">MAGGI CREMA DE MARISCOS 80 GR. SOBRE                                            </t>
  </si>
  <si>
    <t>2026/10/26 16:19:31</t>
  </si>
  <si>
    <t xml:space="preserve">EST000000000146810  </t>
  </si>
  <si>
    <t xml:space="preserve">AC-014-035-01-04    </t>
  </si>
  <si>
    <t xml:space="preserve">JGALINDOB           </t>
  </si>
  <si>
    <t xml:space="preserve">NESTUM CEREAL P/BEBE DE TRIGO/LECHE 250 GR.                                     </t>
  </si>
  <si>
    <t>2026/10/26 16:21:42</t>
  </si>
  <si>
    <t xml:space="preserve">EST000000000134514  </t>
  </si>
  <si>
    <t xml:space="preserve">AC-014-005-01-01    </t>
  </si>
  <si>
    <t xml:space="preserve">ALKA SELTZER ANTIACIDO  12U TABLETAS                                            </t>
  </si>
  <si>
    <t xml:space="preserve">EST000000000337890  </t>
  </si>
  <si>
    <t xml:space="preserve">UC-009-002-01-03    </t>
  </si>
  <si>
    <t xml:space="preserve">NUTRIBELA 10 TRATAMIENTO COLAGE CAIDA TARRO 450ML                               </t>
  </si>
  <si>
    <t>2026/10/26 16:47:27</t>
  </si>
  <si>
    <t xml:space="preserve">EST000000000329483  </t>
  </si>
  <si>
    <t xml:space="preserve">CO-007-001-01-06    </t>
  </si>
  <si>
    <t xml:space="preserve">GRANA CAPSULAS D/CAFE EXPRESSO 16UND                                            </t>
  </si>
  <si>
    <t>2026/10/26 17:30:20</t>
  </si>
  <si>
    <t xml:space="preserve">EST000000000263708  </t>
  </si>
  <si>
    <t xml:space="preserve">AC-018-023-01-09    </t>
  </si>
  <si>
    <t xml:space="preserve">AORDONEZC           </t>
  </si>
  <si>
    <t xml:space="preserve">SCOTT PAPEL HIGIENICO ROSADO 18 ROLLOS DOBLE HOJA                               </t>
  </si>
  <si>
    <t>2026/10/26 17:43:39</t>
  </si>
  <si>
    <t xml:space="preserve">0000006351024671    </t>
  </si>
  <si>
    <t xml:space="preserve">ZC-021-036-01       </t>
  </si>
  <si>
    <t>2026/10/26 17:46:42</t>
  </si>
  <si>
    <t xml:space="preserve">MOLINERO ARROZ BAZMATI BOLSA 1 KG.                                              </t>
  </si>
  <si>
    <t>2026/10/26 17:51:39</t>
  </si>
  <si>
    <t xml:space="preserve">CGUTIERREZ          </t>
  </si>
  <si>
    <t xml:space="preserve">EST000000000233540  </t>
  </si>
  <si>
    <t xml:space="preserve">GR-022-033-01-04    </t>
  </si>
  <si>
    <t xml:space="preserve">QUEZALTECA AGUARDIENTE SABDIA  BOT 1LT.                                         </t>
  </si>
  <si>
    <t>2026/10/26 18:36:59</t>
  </si>
  <si>
    <t xml:space="preserve">EST000000000320843  </t>
  </si>
  <si>
    <t xml:space="preserve">JL-023-031-01-02    </t>
  </si>
  <si>
    <t xml:space="preserve">GUANDY GOMITAS CULEBRITAS VARIOS SABORES 100 GR                                 </t>
  </si>
  <si>
    <t>2026/10/26 18:45:33</t>
  </si>
  <si>
    <t xml:space="preserve">EST000000000316234  </t>
  </si>
  <si>
    <t xml:space="preserve">AC-015-039-01-04    </t>
  </si>
  <si>
    <t xml:space="preserve">PONDS CREMA FACIAL AGE MIRACLE ANTIEDAD NOCHE 50G                               </t>
  </si>
  <si>
    <t>2026/10/26 18:51:43</t>
  </si>
  <si>
    <t xml:space="preserve">EST000000000329251  </t>
  </si>
  <si>
    <t xml:space="preserve">CO-007-004-01-03    </t>
  </si>
  <si>
    <t xml:space="preserve">NIDO LECHE EN POLVO CRECIMIENTO 1+ LATA 2000GR                                  </t>
  </si>
  <si>
    <t>2026/10/26 19:03:52</t>
  </si>
  <si>
    <t xml:space="preserve">LJUAREZB            </t>
  </si>
  <si>
    <t xml:space="preserve">0000006351016087    </t>
  </si>
  <si>
    <t xml:space="preserve">URP-22              </t>
  </si>
  <si>
    <t xml:space="preserve">NIVEA MEN DESODORANTE DEEP EXTREME AEROSOL 150ML                                </t>
  </si>
  <si>
    <t>2026/10/26 19:10:15</t>
  </si>
  <si>
    <t xml:space="preserve">EST000000000329707  </t>
  </si>
  <si>
    <t xml:space="preserve">CO-007-006-01-06    </t>
  </si>
  <si>
    <t>2026/10/26 19:13:33</t>
  </si>
  <si>
    <t xml:space="preserve">VLUNA               </t>
  </si>
  <si>
    <t xml:space="preserve">ECOAID VASO DESECHABLE DE CARTON 15 UND. NO.8                                   </t>
  </si>
  <si>
    <t xml:space="preserve">EST000000000438809  </t>
  </si>
  <si>
    <t xml:space="preserve">DE-001-045-01-04    </t>
  </si>
  <si>
    <t xml:space="preserve">0000006351025977    </t>
  </si>
  <si>
    <t>2026/10/26 19:36:46</t>
  </si>
  <si>
    <t xml:space="preserve">DOVE DESODORANTE DERMO ACLARANT 50 ML. ROLL ON DAMA                             </t>
  </si>
  <si>
    <t>2026/10/26 19:38:42</t>
  </si>
  <si>
    <t xml:space="preserve">EST000000100131513  </t>
  </si>
  <si>
    <t xml:space="preserve">CO-006-010-01-07    </t>
  </si>
  <si>
    <t xml:space="preserve">DURACELL BATERIA AAA 4 UND. ALKALINAS +2UND.                                    </t>
  </si>
  <si>
    <t>2026/10/26 19:41:28</t>
  </si>
  <si>
    <t xml:space="preserve">EST000000000328611  </t>
  </si>
  <si>
    <t xml:space="preserve">EU-009-044-01-08    </t>
  </si>
  <si>
    <t xml:space="preserve">DURACELL BATERIA AAA 2 UND. BLISTER                                             </t>
  </si>
  <si>
    <t>2026/10/26 19:50:46</t>
  </si>
  <si>
    <t xml:space="preserve">EST000000000401083  </t>
  </si>
  <si>
    <t xml:space="preserve">GL-008-014-01-05    </t>
  </si>
  <si>
    <t xml:space="preserve">0000006351036691    </t>
  </si>
  <si>
    <t xml:space="preserve">AUSTRALIAN LECHE ENTERA 1500 GR.                                                </t>
  </si>
  <si>
    <t xml:space="preserve">0000006351112416    </t>
  </si>
  <si>
    <t xml:space="preserve">VC-020-052-01       </t>
  </si>
  <si>
    <t>2026/10/26 20:16:52</t>
  </si>
  <si>
    <t>2026/10/26 20:20:33</t>
  </si>
  <si>
    <t>2026/10/26 20:24:46</t>
  </si>
  <si>
    <t xml:space="preserve">KIKA ESCOBA SUPER TINA C/PALO MADERA                                            </t>
  </si>
  <si>
    <t>2026/10/26 20:56:07</t>
  </si>
  <si>
    <t xml:space="preserve">EST000000000299155  </t>
  </si>
  <si>
    <t xml:space="preserve">ZC-021-050-01-04    </t>
  </si>
  <si>
    <t>2026/10/26 21:03:45</t>
  </si>
  <si>
    <t>2026/10/26 21:05:23</t>
  </si>
  <si>
    <t xml:space="preserve">PRISMA CUCHARA DESECHABLE TRANSPARENTES 12 UND. KRISTALL                        </t>
  </si>
  <si>
    <t>2026/10/26 21:14:09</t>
  </si>
  <si>
    <t xml:space="preserve">EST000000000153471  </t>
  </si>
  <si>
    <t xml:space="preserve">DE-001-057-01-03    </t>
  </si>
  <si>
    <t>2026/10/26 21:30:31</t>
  </si>
  <si>
    <t xml:space="preserve">B&amp;B MANTEQUILLA DE MANI  8 OZ. VASO                                             </t>
  </si>
  <si>
    <t>2026/10/26 21:30:46</t>
  </si>
  <si>
    <t xml:space="preserve">EST000000000395907  </t>
  </si>
  <si>
    <t xml:space="preserve">AC-011-007-01-03    </t>
  </si>
  <si>
    <t xml:space="preserve">MAZOLA ACEITE NATURAL BLED 1 GAL.                                               </t>
  </si>
  <si>
    <t>2026/10/26 21:49:53</t>
  </si>
  <si>
    <t xml:space="preserve">EST000000000395911  </t>
  </si>
  <si>
    <t xml:space="preserve">AC-012-049-01-02    </t>
  </si>
  <si>
    <t xml:space="preserve">BMENCOS             </t>
  </si>
  <si>
    <t xml:space="preserve">GMORATAYA           </t>
  </si>
  <si>
    <t xml:space="preserve">STAFF PAPEL HIGIENICO MIL HOJAS 12U                                             </t>
  </si>
  <si>
    <t>2026/10/26 22:14:10</t>
  </si>
  <si>
    <t xml:space="preserve">0000006351031652    </t>
  </si>
  <si>
    <t xml:space="preserve">ZC-021-019-01       </t>
  </si>
  <si>
    <t xml:space="preserve">JMEDRANOC           </t>
  </si>
  <si>
    <t xml:space="preserve">GRANVITA GRANOLA ARANDANO 350 GR. 0%AZUCAR                                      </t>
  </si>
  <si>
    <t>2026/10/26 22:30:14</t>
  </si>
  <si>
    <t xml:space="preserve">EST000000000328788  </t>
  </si>
  <si>
    <t xml:space="preserve">AC-016-013-01-03    </t>
  </si>
  <si>
    <t xml:space="preserve">DOG CHOW ALIMENTO PARA PERRO HIGH PROTEIN 3.7KGS                                </t>
  </si>
  <si>
    <t>2026/10/26 22:40:55</t>
  </si>
  <si>
    <t xml:space="preserve">EST000000000368999  </t>
  </si>
  <si>
    <t xml:space="preserve">MA-011-034-01-02    </t>
  </si>
  <si>
    <t xml:space="preserve">SEDAL ACONDICIONADOR TOQUE DE SEDA BOTELLA 250 ML                               </t>
  </si>
  <si>
    <t>2026/10/26 22:43:29</t>
  </si>
  <si>
    <t xml:space="preserve">CPASCUALJ           </t>
  </si>
  <si>
    <t xml:space="preserve">EST000000000131064  </t>
  </si>
  <si>
    <t xml:space="preserve">CO-006-047-01-05    </t>
  </si>
  <si>
    <t xml:space="preserve">APEREZL             </t>
  </si>
  <si>
    <t xml:space="preserve">LMARTINEZP          </t>
  </si>
  <si>
    <t xml:space="preserve">TACOPLAST HERMETICO 1 BOT CEREZA REF 30525 U.                                   </t>
  </si>
  <si>
    <t>2026/10/26 23:06:39</t>
  </si>
  <si>
    <t xml:space="preserve">KORTEGAM            </t>
  </si>
  <si>
    <t xml:space="preserve">0000006351033118    </t>
  </si>
  <si>
    <t xml:space="preserve">NV-028-026-01-01    </t>
  </si>
  <si>
    <t xml:space="preserve">VENADO ESPECIAL LICOR LIGHT 750 ML.                                             </t>
  </si>
  <si>
    <t>2026/10/26 23:07:31</t>
  </si>
  <si>
    <t xml:space="preserve">JCUCUL              </t>
  </si>
  <si>
    <t xml:space="preserve">0000006351033623    </t>
  </si>
  <si>
    <t xml:space="preserve">URP-24              </t>
  </si>
  <si>
    <t xml:space="preserve">DE LA GRANJA JUGO C/PULPA 0.25 LT. DE NARANJA                                   </t>
  </si>
  <si>
    <t>2026/10/26 23:10:13</t>
  </si>
  <si>
    <t xml:space="preserve">0000006350680645    </t>
  </si>
  <si>
    <t xml:space="preserve">BD-009-034-01-02    </t>
  </si>
  <si>
    <t xml:space="preserve">GGARCIAD            </t>
  </si>
  <si>
    <t xml:space="preserve">HHERNANDEZ          </t>
  </si>
  <si>
    <t xml:space="preserve">DOVE SERUM CORPORAL PRO-CERAMIDAS 400ML                                         </t>
  </si>
  <si>
    <t>2026/10/26 23:32:07</t>
  </si>
  <si>
    <t xml:space="preserve">EST000000000130769  </t>
  </si>
  <si>
    <t xml:space="preserve">CO-006-026-01-04    </t>
  </si>
  <si>
    <t xml:space="preserve">DONA DOMINGA VINO TINTO CARMENERE BOT 750ML.                                    </t>
  </si>
  <si>
    <t>2026/10/26 23:50:21</t>
  </si>
  <si>
    <t xml:space="preserve">EST000000000324762  </t>
  </si>
  <si>
    <t xml:space="preserve">AC-011-001-01-02    </t>
  </si>
  <si>
    <t xml:space="preserve">COLGATE CREMA DENTAL DOBLE FRESCURA 125 ML.                                     </t>
  </si>
  <si>
    <t>2026/10/26 23:57:28</t>
  </si>
  <si>
    <t xml:space="preserve">EST000000000400991  </t>
  </si>
  <si>
    <t xml:space="preserve">CO-005-032-01-07    </t>
  </si>
  <si>
    <t xml:space="preserve">SCOTCH BRITE ESPONJA LAVAP. ESFERAS DE LIMPIEZA 1U                              </t>
  </si>
  <si>
    <t xml:space="preserve">EST000000000306909  </t>
  </si>
  <si>
    <t xml:space="preserve">LI-004-017-01-06    </t>
  </si>
  <si>
    <t>2026/10/27 00:17:56</t>
  </si>
  <si>
    <t xml:space="preserve">0000006351023328    </t>
  </si>
  <si>
    <t xml:space="preserve">ACASTROT            </t>
  </si>
  <si>
    <t xml:space="preserve">RBALDEMARC          </t>
  </si>
  <si>
    <t>2026/10/27 00:33:40</t>
  </si>
  <si>
    <t>2026/10/27 00:34:15</t>
  </si>
  <si>
    <t xml:space="preserve">LANDRES             </t>
  </si>
  <si>
    <t>2026/10/27 00:34:54</t>
  </si>
  <si>
    <t xml:space="preserve">MCCORMICK MOSTAZA PARA MARINAR DP 180GR.                                        </t>
  </si>
  <si>
    <t>2026/10/27 00:40:44</t>
  </si>
  <si>
    <t xml:space="preserve">SLUTIN              </t>
  </si>
  <si>
    <t xml:space="preserve">0000006351169169    </t>
  </si>
  <si>
    <t xml:space="preserve">UAL-81              </t>
  </si>
  <si>
    <t xml:space="preserve">GBURRION            </t>
  </si>
  <si>
    <t xml:space="preserve">PRINGLES PAPALINAS CREMA Y CEBOLLA MEGASTACK  204G                              </t>
  </si>
  <si>
    <t>2026/10/27 00:46:34</t>
  </si>
  <si>
    <t xml:space="preserve">EST000000000316332  </t>
  </si>
  <si>
    <t xml:space="preserve">AC-016-006-01-03    </t>
  </si>
  <si>
    <t xml:space="preserve">ONE ALIMENTO P-GATOS ESTERILIZADO POLL-SALM 2.0KG                               </t>
  </si>
  <si>
    <t>2026/10/27 00:47:52</t>
  </si>
  <si>
    <t xml:space="preserve">EST000000000402585  </t>
  </si>
  <si>
    <t xml:space="preserve">MA-011-030-01-02    </t>
  </si>
  <si>
    <t xml:space="preserve">RICITOS DE ORO AGUA DE COLONIA DULCE AROMA 200ML                                </t>
  </si>
  <si>
    <t>2026/10/27 00:56:23</t>
  </si>
  <si>
    <t xml:space="preserve">EST000000000330203  </t>
  </si>
  <si>
    <t xml:space="preserve">CO-008-026-01-06    </t>
  </si>
  <si>
    <t xml:space="preserve">MARINERO COCTEL DE VEG/PIC. 250M                                                </t>
  </si>
  <si>
    <t>2026/10/27 01:18:58</t>
  </si>
  <si>
    <t xml:space="preserve">EST000000000317377  </t>
  </si>
  <si>
    <t xml:space="preserve">BD-009-004-01-03    </t>
  </si>
  <si>
    <t xml:space="preserve">DBARRIOS            </t>
  </si>
  <si>
    <t xml:space="preserve">0000006351169042    </t>
  </si>
  <si>
    <t xml:space="preserve">CL-01608            </t>
  </si>
  <si>
    <t>2026/10/27 01:24:19</t>
  </si>
  <si>
    <t xml:space="preserve">TACOPLAST HERMETICO PLASTICO REDONDO C/CUBIERTOS                                </t>
  </si>
  <si>
    <t>2026/10/27 01:35:24</t>
  </si>
  <si>
    <t xml:space="preserve">0000006351033181    </t>
  </si>
  <si>
    <t xml:space="preserve">NV-013-081-01-01    </t>
  </si>
  <si>
    <t xml:space="preserve">TENA ROPA INTERIOR DE INCONTINENCIA 10 UND. PANTS/GRANDE                        </t>
  </si>
  <si>
    <t>2026/10/27 02:40:05</t>
  </si>
  <si>
    <t xml:space="preserve">EST000000000428692  </t>
  </si>
  <si>
    <t xml:space="preserve">SB-018-010-01-01    </t>
  </si>
  <si>
    <t xml:space="preserve">DON RAMON TEQUILA ANEJO CRISTALINO BOT 750ML                                    </t>
  </si>
  <si>
    <t>2026/10/27 02:40:25</t>
  </si>
  <si>
    <t xml:space="preserve">EST000000000391807  </t>
  </si>
  <si>
    <t xml:space="preserve">JL-023-045-01-06    </t>
  </si>
  <si>
    <t xml:space="preserve">NAHUAL CAFE ENERGIA 250 GR. EN BOLSA                                            </t>
  </si>
  <si>
    <t>2026/10/27 02:50:48</t>
  </si>
  <si>
    <t xml:space="preserve">EST000000000158471  </t>
  </si>
  <si>
    <t xml:space="preserve">GR-022-055-01-04    </t>
  </si>
  <si>
    <t>2026/10/27 03:22:29</t>
  </si>
  <si>
    <t xml:space="preserve">0000006351031712    </t>
  </si>
  <si>
    <t xml:space="preserve">GR-022-010-01       </t>
  </si>
  <si>
    <t xml:space="preserve">MAZOLA ACEITE CON OLIVA 128 OZ                                                  </t>
  </si>
  <si>
    <t>2026/10/27 03:48:09</t>
  </si>
  <si>
    <t xml:space="preserve">0000006351019695    </t>
  </si>
  <si>
    <t xml:space="preserve">AC-012-005-01       </t>
  </si>
  <si>
    <t xml:space="preserve">ORAL B CEPILLO DENTAL ADVANCE 4 PACK                                            </t>
  </si>
  <si>
    <t>2026/10/27 03:58:48</t>
  </si>
  <si>
    <t xml:space="preserve">EST000000100400894  </t>
  </si>
  <si>
    <t xml:space="preserve">CO-005-006-01-07    </t>
  </si>
  <si>
    <t xml:space="preserve">DOVE DESODORANTE CORPORAL DAMA RASPBERRY 150ML                                  </t>
  </si>
  <si>
    <t>2026/10/27 04:17:56</t>
  </si>
  <si>
    <t xml:space="preserve">EST000000000329630  </t>
  </si>
  <si>
    <t xml:space="preserve">CO-007-037-01-09    </t>
  </si>
  <si>
    <t xml:space="preserve">BAYKID ANALGESICO CEREZA 50 MG. DOLOR Y FIEBRE                                  </t>
  </si>
  <si>
    <t>2026/10/27 04:41:38</t>
  </si>
  <si>
    <t xml:space="preserve">EST000000000272253  </t>
  </si>
  <si>
    <t xml:space="preserve">UC-009-005-01-03    </t>
  </si>
  <si>
    <t>2026/10/27 06:38:26</t>
  </si>
  <si>
    <t xml:space="preserve">PROTEX JABON DE TOCADOR BALANCE 3 PACK 110GR. Kkk                               </t>
  </si>
  <si>
    <t>2026/10/27 06:56:31</t>
  </si>
  <si>
    <t xml:space="preserve">EST000000000130578  </t>
  </si>
  <si>
    <t xml:space="preserve">CO-005-045-01-06    </t>
  </si>
  <si>
    <t>2026/10/27 07:02:07</t>
  </si>
  <si>
    <t xml:space="preserve">GLADE AROMATIZANTE REP/ELEC ELIXIR FLORAL 63 ML 3P                              </t>
  </si>
  <si>
    <t>2026/10/27 07:17:06</t>
  </si>
  <si>
    <t xml:space="preserve">EST000000000131502  </t>
  </si>
  <si>
    <t xml:space="preserve">CO-006-002-01-08    </t>
  </si>
  <si>
    <t xml:space="preserve">HUGGIES PANAL DES. NATURAL CARE POOH XXXG6 50U                                  </t>
  </si>
  <si>
    <t>2026/10/27 07:19:57</t>
  </si>
  <si>
    <t xml:space="preserve">EST000000000263389  </t>
  </si>
  <si>
    <t xml:space="preserve">SB-019-014-01-03    </t>
  </si>
  <si>
    <t xml:space="preserve">COLGATE CREMA DENTAL SENSITIVE 140GR                                            </t>
  </si>
  <si>
    <t>2026/10/27 07:37:35</t>
  </si>
  <si>
    <t xml:space="preserve">EST000000000400936  </t>
  </si>
  <si>
    <t xml:space="preserve">CO-005-016-01-09    </t>
  </si>
  <si>
    <t>2026/10/27 07:39:00</t>
  </si>
  <si>
    <t xml:space="preserve">BOTRAN RON A?EJO SOLERA 18 A?OS 750 ML.                                         </t>
  </si>
  <si>
    <t>2026/10/27 07:40:30</t>
  </si>
  <si>
    <t xml:space="preserve">EST000000000391822  </t>
  </si>
  <si>
    <t xml:space="preserve">JL-023-051-01-06    </t>
  </si>
  <si>
    <t>2026/10/27 07:41:27</t>
  </si>
  <si>
    <t xml:space="preserve">RUMBA CUCHARA BLANCA 25 UND. SOPERA                                             </t>
  </si>
  <si>
    <t xml:space="preserve">EST000000000263938  </t>
  </si>
  <si>
    <t xml:space="preserve">VC-020-023-01-03    </t>
  </si>
  <si>
    <t xml:space="preserve">SECRET ANTITRANSPIRANTE POWDER PROT ROLL ON 57 ML                               </t>
  </si>
  <si>
    <t>2026/10/27 07:50:28</t>
  </si>
  <si>
    <t xml:space="preserve">EST000000000380489  </t>
  </si>
  <si>
    <t xml:space="preserve">CO-007-030-01-09    </t>
  </si>
  <si>
    <t>2026/10/27 07:51:15</t>
  </si>
  <si>
    <t>COSTO,U</t>
  </si>
  <si>
    <t>TOTAL,COSTO</t>
  </si>
  <si>
    <t>SOLUCIONADO EN RECEPCION 25C</t>
  </si>
  <si>
    <t>SOLUCIONADO EN PICKING 11C</t>
  </si>
  <si>
    <t>SOLUCIONADO EN PICKING 8C</t>
  </si>
  <si>
    <t>SOLUCIONADO EN PICKING 19C</t>
  </si>
  <si>
    <t>SOLUCIONADO EN PICKING 26C</t>
  </si>
  <si>
    <t>SOLUCIONADO EN PICKING 18C</t>
  </si>
  <si>
    <t>SOLUCIONADO EN CANAL 6C</t>
  </si>
  <si>
    <t>SOLUCIONADO EN CANAL 2C</t>
  </si>
  <si>
    <t>SOLUCIONADO EN CANAL 4C</t>
  </si>
  <si>
    <t>SOLUCIONADO EN CANAL 15C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</si>
</sst>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[$-10C0A]0.00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Segoe UI"/>
      <family val="2"/>
    </font>
    <font>
      <sz val="10"/>
      <color rgb="FFFFFFFF"/>
      <name val="Arial"/>
      <family val="2"/>
    </font>
    <font>
      <sz val="10"/>
      <color rgb="FF000000"/>
      <name val="Segoe U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8"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0" borderId="5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44" fontId="5" fillId="0" borderId="6" xfId="1" applyFont="1" applyBorder="1" applyAlignment="1">
      <alignment horizontal="center" vertical="center" wrapText="1" readingOrder="1"/>
    </xf>
    <xf numFmtId="0" fontId="4" fillId="3" borderId="5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164" fontId="5" fillId="3" borderId="1" xfId="0" applyNumberFormat="1" applyFont="1" applyFill="1" applyBorder="1" applyAlignment="1">
      <alignment horizontal="center" vertical="center" wrapText="1" readingOrder="1"/>
    </xf>
    <xf numFmtId="44" fontId="5" fillId="3" borderId="6" xfId="1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4682B4"/>
          <bgColor rgb="FF4682B4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[$-10C0A]0.00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682B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-my.sharepoint.com/personal/hmoralesb_ransa_net/Documents/Escritorio/Copia%20de%20Ruta%20Critica%20Ransa%20Inventario%2022.08.2026.xlsx" TargetMode="External"/><Relationship Id="rId1" Type="http://schemas.openxmlformats.org/officeDocument/2006/relationships/externalLinkPath" Target="https://gruporansa-my.sharepoint.com/personal/hmoralesb_ransa_net/Documents/Escritorio/Copia%20de%20Ruta%20Critica%20Ransa%20Inventario%2022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ferencias"/>
      <sheetName val="OC Unilever"/>
      <sheetName val="Vale Unilever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47154-7034-4222-9B98-AAA498C319E4}" name="Tabla1" displayName="Tabla1" ref="A1:M119" totalsRowShown="0" headerRowDxfId="2" dataDxfId="17" headerRowBorderDxfId="15" tableBorderDxfId="16" totalsRowBorderDxfId="14">
  <autoFilter ref="A1:M119" xr:uid="{B1E47154-7034-4222-9B98-AAA498C319E4}"/>
  <sortState xmlns:xlrd2="http://schemas.microsoft.com/office/spreadsheetml/2017/richdata2" ref="A2:M119">
    <sortCondition ref="L2:L119"/>
  </sortState>
  <tableColumns count="13">
    <tableColumn id="1" xr3:uid="{4E6128B3-085D-4002-9E6C-1F9C6D8DA084}" name="CODE ERP" dataDxfId="13"/>
    <tableColumn id="2" xr3:uid="{019AAC02-411E-43E2-B6FA-DB3B1628F602}" name="DESCRIPCION" dataDxfId="12"/>
    <tableColumn id="3" xr3:uid="{FB4BEFDB-352B-451A-A02E-1EADBAA5296F}" name="FECHA MOV STOCK" dataDxfId="11"/>
    <tableColumn id="4" xr3:uid="{997F3097-7501-445F-A80C-7E15489C24AE}" name="NOMBRE USUARIO" dataDxfId="10"/>
    <tableColumn id="5" xr3:uid="{177FABCD-C78B-4C71-8B87-2CFF11D30907}" name="ETIQ CONTENEDOR" dataDxfId="9"/>
    <tableColumn id="6" xr3:uid="{6287BF40-EE3F-4E99-A196-86985BC2E9AD}" name="NOMBRE UBICACION" dataDxfId="8"/>
    <tableColumn id="7" xr3:uid="{5C9F6F18-F28E-4AD8-B466-864C5AC508E5}" name="REGULARIZA" dataDxfId="7"/>
    <tableColumn id="8" xr3:uid="{61435A5D-83CA-4C6B-ABDD-772E108DB73C}" name="UNIDADES" dataDxfId="6"/>
    <tableColumn id="9" xr3:uid="{11CEC448-8E66-4C45-8ECF-FAD09B5B7D18}" name="CAJAS" dataDxfId="5"/>
    <tableColumn id="10" xr3:uid="{6F399E9F-157D-45C5-8AFA-82E5A8FE14F7}" name="STOCK ACTUAL" dataDxfId="4"/>
    <tableColumn id="13" xr3:uid="{B9F314CC-3571-461F-9319-F775D34C3C5E}" name="COSTO,U" dataDxfId="1">
      <calculatedColumnFormula>+VLOOKUP(Tabla1[[#This Row],[CODE ERP]],[1]!Tabla1[[SKU]:[Costo CD]],3,0)</calculatedColumnFormula>
    </tableColumn>
    <tableColumn id="12" xr3:uid="{DA554811-290B-477E-89C5-2B009D42C7FC}" name="TOTAL,COSTO" dataDxfId="0">
      <calculatedColumnFormula>+Tabla1[[#This Row],[COSTO,U]]*Tabla1[[#This Row],[UNIDADES]]</calculatedColumnFormula>
    </tableColumn>
    <tableColumn id="11" xr3:uid="{53EA2AD9-89C8-40D5-8EC4-A7C20F938399}" name="COMENTARI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1"/>
  <sheetViews>
    <sheetView showGridLines="0" tabSelected="1" workbookViewId="0">
      <selection activeCell="A3" sqref="A3"/>
    </sheetView>
  </sheetViews>
  <sheetFormatPr baseColWidth="10" defaultColWidth="13.5546875" defaultRowHeight="14.4" x14ac:dyDescent="0.3"/>
  <cols>
    <col min="1" max="1" width="8.88671875" style="1" customWidth="1"/>
    <col min="2" max="2" width="45.44140625" style="1" bestFit="1" customWidth="1"/>
    <col min="3" max="3" width="14" style="1" customWidth="1"/>
    <col min="4" max="4" width="12.88671875" style="1" customWidth="1"/>
    <col min="5" max="5" width="20.21875" style="1" customWidth="1"/>
    <col min="6" max="6" width="16.77734375" style="1" customWidth="1"/>
    <col min="7" max="7" width="10.6640625" style="1" customWidth="1"/>
    <col min="8" max="9" width="7" style="1" customWidth="1"/>
    <col min="10" max="10" width="7.109375" style="1" customWidth="1"/>
    <col min="11" max="11" width="9.6640625" style="1" customWidth="1"/>
    <col min="12" max="12" width="12.109375" style="1" customWidth="1"/>
    <col min="13" max="13" width="30" style="1" customWidth="1"/>
    <col min="14" max="16384" width="13.5546875" style="1"/>
  </cols>
  <sheetData>
    <row r="1" spans="1:13" ht="37.799999999999997" customHeigh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527</v>
      </c>
      <c r="L1" s="5" t="s">
        <v>528</v>
      </c>
      <c r="M1" s="5" t="s">
        <v>10</v>
      </c>
    </row>
    <row r="2" spans="1:13" ht="30" x14ac:dyDescent="0.3">
      <c r="A2" s="12">
        <v>2084178</v>
      </c>
      <c r="B2" s="13" t="s">
        <v>319</v>
      </c>
      <c r="C2" s="13" t="s">
        <v>459</v>
      </c>
      <c r="D2" s="14" t="s">
        <v>456</v>
      </c>
      <c r="E2" s="14" t="s">
        <v>457</v>
      </c>
      <c r="F2" s="14" t="s">
        <v>458</v>
      </c>
      <c r="G2" s="14" t="s">
        <v>31</v>
      </c>
      <c r="H2" s="14">
        <v>-150</v>
      </c>
      <c r="I2" s="15">
        <v>-25</v>
      </c>
      <c r="J2" s="14">
        <v>960</v>
      </c>
      <c r="K2" s="16">
        <f>+VLOOKUP(Tabla1[[#This Row],[CODE ERP]],[1]!Tabla1[[SKU]:[Costo CD]],3,0)</f>
        <v>153.35</v>
      </c>
      <c r="L2" s="16">
        <f>+Tabla1[[#This Row],[COSTO,U]]*Tabla1[[#This Row],[UNIDADES]]</f>
        <v>-23002.5</v>
      </c>
      <c r="M2" s="17" t="s">
        <v>529</v>
      </c>
    </row>
    <row r="3" spans="1:13" ht="30" x14ac:dyDescent="0.3">
      <c r="A3" s="6">
        <v>2065335</v>
      </c>
      <c r="B3" s="7" t="s">
        <v>483</v>
      </c>
      <c r="C3" s="7" t="s">
        <v>484</v>
      </c>
      <c r="D3" s="8" t="s">
        <v>390</v>
      </c>
      <c r="E3" s="8" t="s">
        <v>485</v>
      </c>
      <c r="F3" s="8" t="s">
        <v>486</v>
      </c>
      <c r="G3" s="8" t="s">
        <v>16</v>
      </c>
      <c r="H3" s="8">
        <v>-288</v>
      </c>
      <c r="I3" s="9">
        <v>-8</v>
      </c>
      <c r="J3" s="8">
        <v>396</v>
      </c>
      <c r="K3" s="11">
        <f>+VLOOKUP(Tabla1[[#This Row],[CODE ERP]],[1]!Tabla1[[SKU]:[Costo CD]],3,0)</f>
        <v>45.82</v>
      </c>
      <c r="L3" s="11">
        <f>+Tabla1[[#This Row],[COSTO,U]]*Tabla1[[#This Row],[UNIDADES]]</f>
        <v>-13196.16</v>
      </c>
      <c r="M3" s="10" t="s">
        <v>17</v>
      </c>
    </row>
    <row r="4" spans="1:13" ht="30" x14ac:dyDescent="0.3">
      <c r="A4" s="12">
        <v>1668</v>
      </c>
      <c r="B4" s="13" t="s">
        <v>343</v>
      </c>
      <c r="C4" s="13" t="s">
        <v>344</v>
      </c>
      <c r="D4" s="14" t="s">
        <v>218</v>
      </c>
      <c r="E4" s="14" t="s">
        <v>345</v>
      </c>
      <c r="F4" s="14" t="s">
        <v>346</v>
      </c>
      <c r="G4" s="14" t="s">
        <v>16</v>
      </c>
      <c r="H4" s="14">
        <v>-528</v>
      </c>
      <c r="I4" s="15">
        <v>-11</v>
      </c>
      <c r="J4" s="14">
        <v>420</v>
      </c>
      <c r="K4" s="16">
        <f>+VLOOKUP(Tabla1[[#This Row],[CODE ERP]],[1]!Tabla1[[SKU]:[Costo CD]],3,0)</f>
        <v>19.559999999999999</v>
      </c>
      <c r="L4" s="16">
        <f>+Tabla1[[#This Row],[COSTO,U]]*Tabla1[[#This Row],[UNIDADES]]</f>
        <v>-10327.679999999998</v>
      </c>
      <c r="M4" s="17" t="s">
        <v>530</v>
      </c>
    </row>
    <row r="5" spans="1:13" ht="30" x14ac:dyDescent="0.3">
      <c r="A5" s="12">
        <v>110405</v>
      </c>
      <c r="B5" s="13" t="s">
        <v>419</v>
      </c>
      <c r="C5" s="13" t="s">
        <v>420</v>
      </c>
      <c r="D5" s="14" t="s">
        <v>393</v>
      </c>
      <c r="E5" s="14" t="s">
        <v>421</v>
      </c>
      <c r="F5" s="14" t="s">
        <v>422</v>
      </c>
      <c r="G5" s="14" t="s">
        <v>16</v>
      </c>
      <c r="H5" s="14">
        <v>-576</v>
      </c>
      <c r="I5" s="15">
        <v>-8</v>
      </c>
      <c r="J5" s="14">
        <v>107424</v>
      </c>
      <c r="K5" s="16">
        <f>+VLOOKUP(Tabla1[[#This Row],[CODE ERP]],[1]!Tabla1[[SKU]:[Costo CD]],3,0)</f>
        <v>12.19</v>
      </c>
      <c r="L5" s="16">
        <f>+Tabla1[[#This Row],[COSTO,U]]*Tabla1[[#This Row],[UNIDADES]]</f>
        <v>-7021.44</v>
      </c>
      <c r="M5" s="17" t="s">
        <v>531</v>
      </c>
    </row>
    <row r="6" spans="1:13" ht="30" x14ac:dyDescent="0.3">
      <c r="A6" s="6">
        <v>993</v>
      </c>
      <c r="B6" s="7" t="s">
        <v>365</v>
      </c>
      <c r="C6" s="7" t="s">
        <v>366</v>
      </c>
      <c r="D6" s="8" t="s">
        <v>264</v>
      </c>
      <c r="E6" s="8" t="s">
        <v>367</v>
      </c>
      <c r="F6" s="8" t="s">
        <v>368</v>
      </c>
      <c r="G6" s="8" t="s">
        <v>16</v>
      </c>
      <c r="H6" s="8">
        <v>-264</v>
      </c>
      <c r="I6" s="9">
        <v>-11</v>
      </c>
      <c r="J6" s="8">
        <v>336</v>
      </c>
      <c r="K6" s="11">
        <f>+VLOOKUP(Tabla1[[#This Row],[CODE ERP]],[1]!Tabla1[[SKU]:[Costo CD]],3,0)</f>
        <v>19.25</v>
      </c>
      <c r="L6" s="11">
        <f>+Tabla1[[#This Row],[COSTO,U]]*Tabla1[[#This Row],[UNIDADES]]</f>
        <v>-5082</v>
      </c>
      <c r="M6" s="10" t="s">
        <v>17</v>
      </c>
    </row>
    <row r="7" spans="1:13" ht="30" x14ac:dyDescent="0.3">
      <c r="A7" s="12">
        <v>106490</v>
      </c>
      <c r="B7" s="13" t="s">
        <v>115</v>
      </c>
      <c r="C7" s="13" t="s">
        <v>352</v>
      </c>
      <c r="D7" s="14" t="s">
        <v>264</v>
      </c>
      <c r="E7" s="14" t="s">
        <v>117</v>
      </c>
      <c r="F7" s="14" t="s">
        <v>118</v>
      </c>
      <c r="G7" s="14" t="s">
        <v>16</v>
      </c>
      <c r="H7" s="14">
        <v>-665</v>
      </c>
      <c r="I7" s="15">
        <v>-19</v>
      </c>
      <c r="J7" s="14">
        <v>5950</v>
      </c>
      <c r="K7" s="16">
        <f>+VLOOKUP(Tabla1[[#This Row],[CODE ERP]],[1]!Tabla1[[SKU]:[Costo CD]],3,0)</f>
        <v>7.47</v>
      </c>
      <c r="L7" s="16">
        <f>+Tabla1[[#This Row],[COSTO,U]]*Tabla1[[#This Row],[UNIDADES]]</f>
        <v>-4967.55</v>
      </c>
      <c r="M7" s="17" t="s">
        <v>532</v>
      </c>
    </row>
    <row r="8" spans="1:13" ht="30" x14ac:dyDescent="0.3">
      <c r="A8" s="12">
        <v>109306</v>
      </c>
      <c r="B8" s="13" t="s">
        <v>238</v>
      </c>
      <c r="C8" s="13" t="s">
        <v>239</v>
      </c>
      <c r="D8" s="14" t="s">
        <v>240</v>
      </c>
      <c r="E8" s="14" t="s">
        <v>241</v>
      </c>
      <c r="F8" s="14" t="s">
        <v>242</v>
      </c>
      <c r="G8" s="14" t="s">
        <v>33</v>
      </c>
      <c r="H8" s="14">
        <v>-216</v>
      </c>
      <c r="I8" s="15">
        <v>-18</v>
      </c>
      <c r="J8" s="14">
        <v>9804</v>
      </c>
      <c r="K8" s="16">
        <f>+VLOOKUP(Tabla1[[#This Row],[CODE ERP]],[1]!Tabla1[[SKU]:[Costo CD]],3,0)</f>
        <v>17.940000000000001</v>
      </c>
      <c r="L8" s="16">
        <f>+Tabla1[[#This Row],[COSTO,U]]*Tabla1[[#This Row],[UNIDADES]]</f>
        <v>-3875.0400000000004</v>
      </c>
      <c r="M8" s="17" t="s">
        <v>534</v>
      </c>
    </row>
    <row r="9" spans="1:13" ht="30" x14ac:dyDescent="0.3">
      <c r="A9" s="12">
        <v>117309</v>
      </c>
      <c r="B9" s="13" t="s">
        <v>68</v>
      </c>
      <c r="C9" s="13" t="s">
        <v>426</v>
      </c>
      <c r="D9" s="14" t="s">
        <v>409</v>
      </c>
      <c r="E9" s="14" t="s">
        <v>427</v>
      </c>
      <c r="F9" s="14" t="s">
        <v>147</v>
      </c>
      <c r="G9" s="14" t="s">
        <v>16</v>
      </c>
      <c r="H9" s="14">
        <v>-260</v>
      </c>
      <c r="I9" s="15">
        <v>-26</v>
      </c>
      <c r="J9" s="14">
        <v>47480</v>
      </c>
      <c r="K9" s="16">
        <f>+VLOOKUP(Tabla1[[#This Row],[CODE ERP]],[1]!Tabla1[[SKU]:[Costo CD]],3,0)</f>
        <v>14.8</v>
      </c>
      <c r="L9" s="16">
        <f>+Tabla1[[#This Row],[COSTO,U]]*Tabla1[[#This Row],[UNIDADES]]</f>
        <v>-3848</v>
      </c>
      <c r="M9" s="17" t="s">
        <v>533</v>
      </c>
    </row>
    <row r="10" spans="1:13" ht="30" x14ac:dyDescent="0.3">
      <c r="A10" s="6">
        <v>2057</v>
      </c>
      <c r="B10" s="7" t="s">
        <v>216</v>
      </c>
      <c r="C10" s="7" t="s">
        <v>217</v>
      </c>
      <c r="D10" s="8" t="s">
        <v>218</v>
      </c>
      <c r="E10" s="8" t="s">
        <v>219</v>
      </c>
      <c r="F10" s="8" t="s">
        <v>220</v>
      </c>
      <c r="G10" s="8" t="s">
        <v>16</v>
      </c>
      <c r="H10" s="8">
        <v>-96</v>
      </c>
      <c r="I10" s="9">
        <v>-4</v>
      </c>
      <c r="J10" s="8">
        <v>96</v>
      </c>
      <c r="K10" s="11">
        <f>+VLOOKUP(Tabla1[[#This Row],[CODE ERP]],[1]!Tabla1[[SKU]:[Costo CD]],3,0)</f>
        <v>38.549999999999997</v>
      </c>
      <c r="L10" s="11">
        <f>+Tabla1[[#This Row],[COSTO,U]]*Tabla1[[#This Row],[UNIDADES]]</f>
        <v>-3700.7999999999997</v>
      </c>
      <c r="M10" s="10" t="s">
        <v>17</v>
      </c>
    </row>
    <row r="11" spans="1:13" ht="30" x14ac:dyDescent="0.3">
      <c r="A11" s="6">
        <v>2068073</v>
      </c>
      <c r="B11" s="7" t="s">
        <v>315</v>
      </c>
      <c r="C11" s="7" t="s">
        <v>316</v>
      </c>
      <c r="D11" s="8" t="s">
        <v>258</v>
      </c>
      <c r="E11" s="8" t="s">
        <v>317</v>
      </c>
      <c r="F11" s="8" t="s">
        <v>318</v>
      </c>
      <c r="G11" s="8" t="s">
        <v>16</v>
      </c>
      <c r="H11" s="8">
        <v>-36</v>
      </c>
      <c r="I11" s="9">
        <v>-6</v>
      </c>
      <c r="J11" s="8">
        <v>6</v>
      </c>
      <c r="K11" s="11">
        <f>+VLOOKUP(Tabla1[[#This Row],[CODE ERP]],[1]!Tabla1[[SKU]:[Costo CD]],3,0)</f>
        <v>98.27</v>
      </c>
      <c r="L11" s="11">
        <f>+Tabla1[[#This Row],[COSTO,U]]*Tabla1[[#This Row],[UNIDADES]]</f>
        <v>-3537.72</v>
      </c>
      <c r="M11" s="10" t="s">
        <v>17</v>
      </c>
    </row>
    <row r="12" spans="1:13" ht="30" x14ac:dyDescent="0.3">
      <c r="A12" s="6">
        <v>107824</v>
      </c>
      <c r="B12" s="7" t="s">
        <v>253</v>
      </c>
      <c r="C12" s="7" t="s">
        <v>254</v>
      </c>
      <c r="D12" s="8" t="s">
        <v>255</v>
      </c>
      <c r="E12" s="8" t="s">
        <v>256</v>
      </c>
      <c r="F12" s="8" t="s">
        <v>257</v>
      </c>
      <c r="G12" s="8" t="s">
        <v>16</v>
      </c>
      <c r="H12" s="8">
        <v>-12</v>
      </c>
      <c r="I12" s="9">
        <v>-2</v>
      </c>
      <c r="J12" s="8">
        <v>276</v>
      </c>
      <c r="K12" s="11">
        <f>+VLOOKUP(Tabla1[[#This Row],[CODE ERP]],[1]!Tabla1[[SKU]:[Costo CD]],3,0)</f>
        <v>289.73</v>
      </c>
      <c r="L12" s="11">
        <f>+Tabla1[[#This Row],[COSTO,U]]*Tabla1[[#This Row],[UNIDADES]]</f>
        <v>-3476.76</v>
      </c>
      <c r="M12" s="10" t="s">
        <v>17</v>
      </c>
    </row>
    <row r="13" spans="1:13" ht="30" x14ac:dyDescent="0.3">
      <c r="A13" s="6">
        <v>2049159</v>
      </c>
      <c r="B13" s="7" t="s">
        <v>522</v>
      </c>
      <c r="C13" s="7" t="s">
        <v>523</v>
      </c>
      <c r="D13" s="8" t="s">
        <v>130</v>
      </c>
      <c r="E13" s="8" t="s">
        <v>524</v>
      </c>
      <c r="F13" s="8" t="s">
        <v>525</v>
      </c>
      <c r="G13" s="8" t="s">
        <v>16</v>
      </c>
      <c r="H13" s="8">
        <v>-240</v>
      </c>
      <c r="I13" s="9">
        <v>-20</v>
      </c>
      <c r="J13" s="8">
        <v>180</v>
      </c>
      <c r="K13" s="11">
        <f>+VLOOKUP(Tabla1[[#This Row],[CODE ERP]],[1]!Tabla1[[SKU]:[Costo CD]],3,0)</f>
        <v>14.27</v>
      </c>
      <c r="L13" s="11">
        <f>+Tabla1[[#This Row],[COSTO,U]]*Tabla1[[#This Row],[UNIDADES]]</f>
        <v>-3424.7999999999997</v>
      </c>
      <c r="M13" s="10" t="s">
        <v>17</v>
      </c>
    </row>
    <row r="14" spans="1:13" ht="30" x14ac:dyDescent="0.3">
      <c r="A14" s="6">
        <v>2075403</v>
      </c>
      <c r="B14" s="7" t="s">
        <v>468</v>
      </c>
      <c r="C14" s="7" t="s">
        <v>469</v>
      </c>
      <c r="D14" s="8" t="s">
        <v>373</v>
      </c>
      <c r="E14" s="8" t="s">
        <v>470</v>
      </c>
      <c r="F14" s="8" t="s">
        <v>471</v>
      </c>
      <c r="G14" s="8" t="s">
        <v>16</v>
      </c>
      <c r="H14" s="8">
        <v>-12</v>
      </c>
      <c r="I14" s="9">
        <v>-2</v>
      </c>
      <c r="J14" s="8">
        <v>84</v>
      </c>
      <c r="K14" s="11">
        <f>+VLOOKUP(Tabla1[[#This Row],[CODE ERP]],[1]!Tabla1[[SKU]:[Costo CD]],3,0)</f>
        <v>271.68</v>
      </c>
      <c r="L14" s="11">
        <f>+Tabla1[[#This Row],[COSTO,U]]*Tabla1[[#This Row],[UNIDADES]]</f>
        <v>-3260.16</v>
      </c>
      <c r="M14" s="10" t="s">
        <v>17</v>
      </c>
    </row>
    <row r="15" spans="1:13" ht="30" x14ac:dyDescent="0.3">
      <c r="A15" s="6">
        <v>2081851</v>
      </c>
      <c r="B15" s="7" t="s">
        <v>91</v>
      </c>
      <c r="C15" s="7" t="s">
        <v>92</v>
      </c>
      <c r="D15" s="8" t="s">
        <v>58</v>
      </c>
      <c r="E15" s="8" t="s">
        <v>93</v>
      </c>
      <c r="F15" s="8" t="s">
        <v>94</v>
      </c>
      <c r="G15" s="8" t="s">
        <v>16</v>
      </c>
      <c r="H15" s="8">
        <v>-408</v>
      </c>
      <c r="I15" s="9">
        <v>-17</v>
      </c>
      <c r="J15" s="8">
        <v>12624</v>
      </c>
      <c r="K15" s="11">
        <f>+VLOOKUP(Tabla1[[#This Row],[CODE ERP]],[1]!Tabla1[[SKU]:[Costo CD]],3,0)</f>
        <v>7.84</v>
      </c>
      <c r="L15" s="11">
        <f>+Tabla1[[#This Row],[COSTO,U]]*Tabla1[[#This Row],[UNIDADES]]</f>
        <v>-3198.72</v>
      </c>
      <c r="M15" s="10" t="s">
        <v>17</v>
      </c>
    </row>
    <row r="16" spans="1:13" ht="30" x14ac:dyDescent="0.3">
      <c r="A16" s="6">
        <v>203</v>
      </c>
      <c r="B16" s="7" t="s">
        <v>249</v>
      </c>
      <c r="C16" s="7" t="s">
        <v>250</v>
      </c>
      <c r="D16" s="8" t="s">
        <v>225</v>
      </c>
      <c r="E16" s="8" t="s">
        <v>251</v>
      </c>
      <c r="F16" s="8" t="s">
        <v>252</v>
      </c>
      <c r="G16" s="8" t="s">
        <v>16</v>
      </c>
      <c r="H16" s="8">
        <v>-1032</v>
      </c>
      <c r="I16" s="9">
        <v>-43</v>
      </c>
      <c r="J16" s="8">
        <v>2928</v>
      </c>
      <c r="K16" s="11">
        <f>+VLOOKUP(Tabla1[[#This Row],[CODE ERP]],[1]!Tabla1[[SKU]:[Costo CD]],3,0)</f>
        <v>3.05</v>
      </c>
      <c r="L16" s="11">
        <f>+Tabla1[[#This Row],[COSTO,U]]*Tabla1[[#This Row],[UNIDADES]]</f>
        <v>-3147.6</v>
      </c>
      <c r="M16" s="10" t="s">
        <v>17</v>
      </c>
    </row>
    <row r="17" spans="1:13" ht="30" x14ac:dyDescent="0.3">
      <c r="A17" s="6">
        <v>115588</v>
      </c>
      <c r="B17" s="7" t="s">
        <v>105</v>
      </c>
      <c r="C17" s="7" t="s">
        <v>106</v>
      </c>
      <c r="D17" s="8" t="s">
        <v>13</v>
      </c>
      <c r="E17" s="8" t="s">
        <v>107</v>
      </c>
      <c r="F17" s="8" t="s">
        <v>108</v>
      </c>
      <c r="G17" s="8" t="s">
        <v>16</v>
      </c>
      <c r="H17" s="8">
        <v>-48</v>
      </c>
      <c r="I17" s="9">
        <v>-4</v>
      </c>
      <c r="J17" s="8">
        <v>360</v>
      </c>
      <c r="K17" s="11">
        <f>+VLOOKUP(Tabla1[[#This Row],[CODE ERP]],[1]!Tabla1[[SKU]:[Costo CD]],3,0)</f>
        <v>63.19</v>
      </c>
      <c r="L17" s="11">
        <f>+Tabla1[[#This Row],[COSTO,U]]*Tabla1[[#This Row],[UNIDADES]]</f>
        <v>-3033.12</v>
      </c>
      <c r="M17" s="10" t="s">
        <v>17</v>
      </c>
    </row>
    <row r="18" spans="1:13" ht="30" x14ac:dyDescent="0.3">
      <c r="A18" s="12">
        <v>2082649</v>
      </c>
      <c r="B18" s="13" t="s">
        <v>375</v>
      </c>
      <c r="C18" s="13" t="s">
        <v>376</v>
      </c>
      <c r="D18" s="14" t="s">
        <v>373</v>
      </c>
      <c r="E18" s="14" t="s">
        <v>377</v>
      </c>
      <c r="F18" s="14" t="s">
        <v>378</v>
      </c>
      <c r="G18" s="14" t="s">
        <v>16</v>
      </c>
      <c r="H18" s="14">
        <v>-60</v>
      </c>
      <c r="I18" s="15">
        <v>-15</v>
      </c>
      <c r="J18" s="14">
        <v>1112</v>
      </c>
      <c r="K18" s="16">
        <f>+VLOOKUP(Tabla1[[#This Row],[CODE ERP]],[1]!Tabla1[[SKU]:[Costo CD]],3,0)</f>
        <v>50.09</v>
      </c>
      <c r="L18" s="16">
        <f>+Tabla1[[#This Row],[COSTO,U]]*Tabla1[[#This Row],[UNIDADES]]</f>
        <v>-3005.4</v>
      </c>
      <c r="M18" s="17" t="s">
        <v>538</v>
      </c>
    </row>
    <row r="19" spans="1:13" ht="30" x14ac:dyDescent="0.3">
      <c r="A19" s="6">
        <v>66666</v>
      </c>
      <c r="B19" s="7" t="s">
        <v>519</v>
      </c>
      <c r="C19" s="7" t="s">
        <v>526</v>
      </c>
      <c r="D19" s="8" t="s">
        <v>40</v>
      </c>
      <c r="E19" s="8" t="s">
        <v>520</v>
      </c>
      <c r="F19" s="8" t="s">
        <v>521</v>
      </c>
      <c r="G19" s="8" t="s">
        <v>16</v>
      </c>
      <c r="H19" s="8">
        <v>-600</v>
      </c>
      <c r="I19" s="9">
        <v>-3</v>
      </c>
      <c r="J19" s="8">
        <v>2080</v>
      </c>
      <c r="K19" s="11">
        <f>+VLOOKUP(Tabla1[[#This Row],[CODE ERP]],[1]!Tabla1[[SKU]:[Costo CD]],3,0)</f>
        <v>4.82</v>
      </c>
      <c r="L19" s="11">
        <f>+Tabla1[[#This Row],[COSTO,U]]*Tabla1[[#This Row],[UNIDADES]]</f>
        <v>-2892</v>
      </c>
      <c r="M19" s="10" t="s">
        <v>17</v>
      </c>
    </row>
    <row r="20" spans="1:13" ht="30" x14ac:dyDescent="0.3">
      <c r="A20" s="6">
        <v>2075118</v>
      </c>
      <c r="B20" s="7" t="s">
        <v>395</v>
      </c>
      <c r="C20" s="7" t="s">
        <v>396</v>
      </c>
      <c r="D20" s="8" t="s">
        <v>397</v>
      </c>
      <c r="E20" s="8" t="s">
        <v>398</v>
      </c>
      <c r="F20" s="8" t="s">
        <v>399</v>
      </c>
      <c r="G20" s="8" t="s">
        <v>16</v>
      </c>
      <c r="H20" s="8">
        <v>-288</v>
      </c>
      <c r="I20" s="9">
        <v>-12</v>
      </c>
      <c r="J20" s="8">
        <v>48</v>
      </c>
      <c r="K20" s="11">
        <f>+VLOOKUP(Tabla1[[#This Row],[CODE ERP]],[1]!Tabla1[[SKU]:[Costo CD]],3,0)</f>
        <v>9.7200000000000006</v>
      </c>
      <c r="L20" s="11">
        <f>+Tabla1[[#This Row],[COSTO,U]]*Tabla1[[#This Row],[UNIDADES]]</f>
        <v>-2799.36</v>
      </c>
      <c r="M20" s="10" t="s">
        <v>17</v>
      </c>
    </row>
    <row r="21" spans="1:13" ht="30" x14ac:dyDescent="0.3">
      <c r="A21" s="6">
        <v>2071304</v>
      </c>
      <c r="B21" s="7" t="s">
        <v>509</v>
      </c>
      <c r="C21" s="7" t="s">
        <v>510</v>
      </c>
      <c r="D21" s="8" t="s">
        <v>18</v>
      </c>
      <c r="E21" s="8" t="s">
        <v>511</v>
      </c>
      <c r="F21" s="8" t="s">
        <v>512</v>
      </c>
      <c r="G21" s="8" t="s">
        <v>16</v>
      </c>
      <c r="H21" s="8">
        <v>-48</v>
      </c>
      <c r="I21" s="9">
        <v>-1</v>
      </c>
      <c r="J21" s="8">
        <v>0</v>
      </c>
      <c r="K21" s="11">
        <f>+VLOOKUP(Tabla1[[#This Row],[CODE ERP]],[1]!Tabla1[[SKU]:[Costo CD]],3,0)</f>
        <v>56.7</v>
      </c>
      <c r="L21" s="11">
        <f>+Tabla1[[#This Row],[COSTO,U]]*Tabla1[[#This Row],[UNIDADES]]</f>
        <v>-2721.6000000000004</v>
      </c>
      <c r="M21" s="10" t="s">
        <v>17</v>
      </c>
    </row>
    <row r="22" spans="1:13" ht="30" x14ac:dyDescent="0.3">
      <c r="A22" s="6">
        <v>113087</v>
      </c>
      <c r="B22" s="7" t="s">
        <v>380</v>
      </c>
      <c r="C22" s="7" t="s">
        <v>381</v>
      </c>
      <c r="D22" s="8" t="s">
        <v>379</v>
      </c>
      <c r="E22" s="8" t="s">
        <v>382</v>
      </c>
      <c r="F22" s="8" t="s">
        <v>383</v>
      </c>
      <c r="G22" s="8" t="s">
        <v>16</v>
      </c>
      <c r="H22" s="8">
        <v>-96</v>
      </c>
      <c r="I22" s="9">
        <v>-8</v>
      </c>
      <c r="J22" s="8">
        <v>708</v>
      </c>
      <c r="K22" s="11">
        <f>+VLOOKUP(Tabla1[[#This Row],[CODE ERP]],[1]!Tabla1[[SKU]:[Costo CD]],3,0)</f>
        <v>25.41</v>
      </c>
      <c r="L22" s="11">
        <f>+Tabla1[[#This Row],[COSTO,U]]*Tabla1[[#This Row],[UNIDADES]]</f>
        <v>-2439.36</v>
      </c>
      <c r="M22" s="10" t="s">
        <v>17</v>
      </c>
    </row>
    <row r="23" spans="1:13" ht="30" x14ac:dyDescent="0.3">
      <c r="A23" s="6">
        <v>7377</v>
      </c>
      <c r="B23" s="7" t="s">
        <v>148</v>
      </c>
      <c r="C23" s="7" t="s">
        <v>167</v>
      </c>
      <c r="D23" s="8" t="s">
        <v>20</v>
      </c>
      <c r="E23" s="8" t="s">
        <v>149</v>
      </c>
      <c r="F23" s="8" t="s">
        <v>150</v>
      </c>
      <c r="G23" s="8" t="s">
        <v>16</v>
      </c>
      <c r="H23" s="8">
        <v>-120</v>
      </c>
      <c r="I23" s="9">
        <v>-10</v>
      </c>
      <c r="J23" s="8">
        <v>7236</v>
      </c>
      <c r="K23" s="11">
        <f>+VLOOKUP(Tabla1[[#This Row],[CODE ERP]],[1]!Tabla1[[SKU]:[Costo CD]],3,0)</f>
        <v>20.260000000000002</v>
      </c>
      <c r="L23" s="11">
        <f>+Tabla1[[#This Row],[COSTO,U]]*Tabla1[[#This Row],[UNIDADES]]</f>
        <v>-2431.2000000000003</v>
      </c>
      <c r="M23" s="10" t="s">
        <v>17</v>
      </c>
    </row>
    <row r="24" spans="1:13" ht="30" x14ac:dyDescent="0.3">
      <c r="A24" s="6">
        <v>117309</v>
      </c>
      <c r="B24" s="7" t="s">
        <v>68</v>
      </c>
      <c r="C24" s="7" t="s">
        <v>145</v>
      </c>
      <c r="D24" s="8" t="s">
        <v>144</v>
      </c>
      <c r="E24" s="8" t="s">
        <v>146</v>
      </c>
      <c r="F24" s="8" t="s">
        <v>147</v>
      </c>
      <c r="G24" s="8" t="s">
        <v>16</v>
      </c>
      <c r="H24" s="8">
        <v>-160</v>
      </c>
      <c r="I24" s="9">
        <v>-16</v>
      </c>
      <c r="J24" s="8">
        <v>49270</v>
      </c>
      <c r="K24" s="11">
        <f>+VLOOKUP(Tabla1[[#This Row],[CODE ERP]],[1]!Tabla1[[SKU]:[Costo CD]],3,0)</f>
        <v>14.8</v>
      </c>
      <c r="L24" s="11">
        <f>+Tabla1[[#This Row],[COSTO,U]]*Tabla1[[#This Row],[UNIDADES]]</f>
        <v>-2368</v>
      </c>
      <c r="M24" s="10" t="s">
        <v>17</v>
      </c>
    </row>
    <row r="25" spans="1:13" ht="30" x14ac:dyDescent="0.3">
      <c r="A25" s="6">
        <v>2025221</v>
      </c>
      <c r="B25" s="7" t="s">
        <v>156</v>
      </c>
      <c r="C25" s="7" t="s">
        <v>358</v>
      </c>
      <c r="D25" s="8" t="s">
        <v>296</v>
      </c>
      <c r="E25" s="8" t="s">
        <v>157</v>
      </c>
      <c r="F25" s="8" t="s">
        <v>158</v>
      </c>
      <c r="G25" s="8" t="s">
        <v>16</v>
      </c>
      <c r="H25" s="8">
        <v>-192</v>
      </c>
      <c r="I25" s="9">
        <v>-8</v>
      </c>
      <c r="J25" s="8">
        <v>2832</v>
      </c>
      <c r="K25" s="11">
        <f>+VLOOKUP(Tabla1[[#This Row],[CODE ERP]],[1]!Tabla1[[SKU]:[Costo CD]],3,0)</f>
        <v>12.07</v>
      </c>
      <c r="L25" s="11">
        <f>+Tabla1[[#This Row],[COSTO,U]]*Tabla1[[#This Row],[UNIDADES]]</f>
        <v>-2317.44</v>
      </c>
      <c r="M25" s="10" t="s">
        <v>17</v>
      </c>
    </row>
    <row r="26" spans="1:13" ht="30" x14ac:dyDescent="0.3">
      <c r="A26" s="6">
        <v>6353</v>
      </c>
      <c r="B26" s="7" t="s">
        <v>400</v>
      </c>
      <c r="C26" s="7" t="s">
        <v>401</v>
      </c>
      <c r="D26" s="8" t="s">
        <v>402</v>
      </c>
      <c r="E26" s="8" t="s">
        <v>403</v>
      </c>
      <c r="F26" s="8" t="s">
        <v>404</v>
      </c>
      <c r="G26" s="8" t="s">
        <v>33</v>
      </c>
      <c r="H26" s="8">
        <v>-60</v>
      </c>
      <c r="I26" s="9">
        <v>-5</v>
      </c>
      <c r="J26" s="8">
        <v>3048</v>
      </c>
      <c r="K26" s="11">
        <f>+VLOOKUP(Tabla1[[#This Row],[CODE ERP]],[1]!Tabla1[[SKU]:[Costo CD]],3,0)</f>
        <v>36.83</v>
      </c>
      <c r="L26" s="11">
        <f>+Tabla1[[#This Row],[COSTO,U]]*Tabla1[[#This Row],[UNIDADES]]</f>
        <v>-2209.7999999999997</v>
      </c>
      <c r="M26" s="10" t="s">
        <v>17</v>
      </c>
    </row>
    <row r="27" spans="1:13" ht="30" x14ac:dyDescent="0.3">
      <c r="A27" s="6">
        <v>50777</v>
      </c>
      <c r="B27" s="7" t="s">
        <v>22</v>
      </c>
      <c r="C27" s="7" t="s">
        <v>23</v>
      </c>
      <c r="D27" s="8" t="s">
        <v>24</v>
      </c>
      <c r="E27" s="8" t="s">
        <v>25</v>
      </c>
      <c r="F27" s="8" t="s">
        <v>26</v>
      </c>
      <c r="G27" s="8" t="s">
        <v>16</v>
      </c>
      <c r="H27" s="8">
        <v>-72</v>
      </c>
      <c r="I27" s="9">
        <v>-3</v>
      </c>
      <c r="J27" s="8">
        <v>1272</v>
      </c>
      <c r="K27" s="11">
        <f>+VLOOKUP(Tabla1[[#This Row],[CODE ERP]],[1]!Tabla1[[SKU]:[Costo CD]],3,0)</f>
        <v>30.21</v>
      </c>
      <c r="L27" s="11">
        <f>+Tabla1[[#This Row],[COSTO,U]]*Tabla1[[#This Row],[UNIDADES]]</f>
        <v>-2175.12</v>
      </c>
      <c r="M27" s="10" t="s">
        <v>17</v>
      </c>
    </row>
    <row r="28" spans="1:13" ht="30" x14ac:dyDescent="0.3">
      <c r="A28" s="6">
        <v>91843</v>
      </c>
      <c r="B28" s="7" t="s">
        <v>79</v>
      </c>
      <c r="C28" s="7" t="s">
        <v>80</v>
      </c>
      <c r="D28" s="8" t="s">
        <v>18</v>
      </c>
      <c r="E28" s="8" t="s">
        <v>81</v>
      </c>
      <c r="F28" s="8" t="s">
        <v>82</v>
      </c>
      <c r="G28" s="8" t="s">
        <v>16</v>
      </c>
      <c r="H28" s="8">
        <v>-96</v>
      </c>
      <c r="I28" s="9">
        <v>-8</v>
      </c>
      <c r="J28" s="8">
        <v>216</v>
      </c>
      <c r="K28" s="11">
        <f>+VLOOKUP(Tabla1[[#This Row],[CODE ERP]],[1]!Tabla1[[SKU]:[Costo CD]],3,0)</f>
        <v>22.51</v>
      </c>
      <c r="L28" s="11">
        <f>+Tabla1[[#This Row],[COSTO,U]]*Tabla1[[#This Row],[UNIDADES]]</f>
        <v>-2160.96</v>
      </c>
      <c r="M28" s="10" t="s">
        <v>17</v>
      </c>
    </row>
    <row r="29" spans="1:13" ht="30" x14ac:dyDescent="0.3">
      <c r="A29" s="6">
        <v>118769</v>
      </c>
      <c r="B29" s="7" t="s">
        <v>213</v>
      </c>
      <c r="C29" s="7" t="s">
        <v>334</v>
      </c>
      <c r="D29" s="8" t="s">
        <v>218</v>
      </c>
      <c r="E29" s="8" t="s">
        <v>214</v>
      </c>
      <c r="F29" s="8" t="s">
        <v>215</v>
      </c>
      <c r="G29" s="8" t="s">
        <v>16</v>
      </c>
      <c r="H29" s="8">
        <v>-108</v>
      </c>
      <c r="I29" s="9">
        <v>-9</v>
      </c>
      <c r="J29" s="8">
        <v>2820</v>
      </c>
      <c r="K29" s="11">
        <f>+VLOOKUP(Tabla1[[#This Row],[CODE ERP]],[1]!Tabla1[[SKU]:[Costo CD]],3,0)</f>
        <v>19.32</v>
      </c>
      <c r="L29" s="11">
        <f>+Tabla1[[#This Row],[COSTO,U]]*Tabla1[[#This Row],[UNIDADES]]</f>
        <v>-2086.56</v>
      </c>
      <c r="M29" s="10" t="s">
        <v>17</v>
      </c>
    </row>
    <row r="30" spans="1:13" ht="30" x14ac:dyDescent="0.3">
      <c r="A30" s="6">
        <v>2061066</v>
      </c>
      <c r="B30" s="7" t="s">
        <v>64</v>
      </c>
      <c r="C30" s="7" t="s">
        <v>65</v>
      </c>
      <c r="D30" s="8" t="s">
        <v>21</v>
      </c>
      <c r="E30" s="8" t="s">
        <v>66</v>
      </c>
      <c r="F30" s="8" t="s">
        <v>67</v>
      </c>
      <c r="G30" s="8" t="s">
        <v>16</v>
      </c>
      <c r="H30" s="8">
        <v>-24</v>
      </c>
      <c r="I30" s="9">
        <v>-2</v>
      </c>
      <c r="J30" s="8">
        <v>48</v>
      </c>
      <c r="K30" s="11">
        <f>+VLOOKUP(Tabla1[[#This Row],[CODE ERP]],[1]!Tabla1[[SKU]:[Costo CD]],3,0)</f>
        <v>84.4</v>
      </c>
      <c r="L30" s="11">
        <f>+Tabla1[[#This Row],[COSTO,U]]*Tabla1[[#This Row],[UNIDADES]]</f>
        <v>-2025.6000000000001</v>
      </c>
      <c r="M30" s="10" t="s">
        <v>17</v>
      </c>
    </row>
    <row r="31" spans="1:13" ht="30" x14ac:dyDescent="0.3">
      <c r="A31" s="6">
        <v>106944</v>
      </c>
      <c r="B31" s="7" t="s">
        <v>297</v>
      </c>
      <c r="C31" s="7" t="s">
        <v>298</v>
      </c>
      <c r="D31" s="8" t="s">
        <v>271</v>
      </c>
      <c r="E31" s="8" t="s">
        <v>299</v>
      </c>
      <c r="F31" s="8" t="s">
        <v>300</v>
      </c>
      <c r="G31" s="8" t="s">
        <v>16</v>
      </c>
      <c r="H31" s="8">
        <v>-28</v>
      </c>
      <c r="I31" s="9">
        <v>-14</v>
      </c>
      <c r="J31" s="8">
        <v>214</v>
      </c>
      <c r="K31" s="11">
        <f>+VLOOKUP(Tabla1[[#This Row],[CODE ERP]],[1]!Tabla1[[SKU]:[Costo CD]],3,0)</f>
        <v>69.650000000000006</v>
      </c>
      <c r="L31" s="11">
        <f>+Tabla1[[#This Row],[COSTO,U]]*Tabla1[[#This Row],[UNIDADES]]</f>
        <v>-1950.2000000000003</v>
      </c>
      <c r="M31" s="10" t="s">
        <v>17</v>
      </c>
    </row>
    <row r="32" spans="1:13" ht="30" x14ac:dyDescent="0.3">
      <c r="A32" s="6">
        <v>1667</v>
      </c>
      <c r="B32" s="7" t="s">
        <v>221</v>
      </c>
      <c r="C32" s="7" t="s">
        <v>222</v>
      </c>
      <c r="D32" s="8" t="s">
        <v>218</v>
      </c>
      <c r="E32" s="8" t="s">
        <v>223</v>
      </c>
      <c r="F32" s="8" t="s">
        <v>224</v>
      </c>
      <c r="G32" s="8" t="s">
        <v>16</v>
      </c>
      <c r="H32" s="8">
        <v>-96</v>
      </c>
      <c r="I32" s="9">
        <v>-2</v>
      </c>
      <c r="J32" s="8">
        <v>84</v>
      </c>
      <c r="K32" s="11">
        <f>+VLOOKUP(Tabla1[[#This Row],[CODE ERP]],[1]!Tabla1[[SKU]:[Costo CD]],3,0)</f>
        <v>19.559999999999999</v>
      </c>
      <c r="L32" s="11">
        <f>+Tabla1[[#This Row],[COSTO,U]]*Tabla1[[#This Row],[UNIDADES]]</f>
        <v>-1877.7599999999998</v>
      </c>
      <c r="M32" s="10" t="s">
        <v>17</v>
      </c>
    </row>
    <row r="33" spans="1:13" ht="30" x14ac:dyDescent="0.3">
      <c r="A33" s="6">
        <v>106210</v>
      </c>
      <c r="B33" s="7" t="s">
        <v>339</v>
      </c>
      <c r="C33" s="7" t="s">
        <v>340</v>
      </c>
      <c r="D33" s="8" t="s">
        <v>329</v>
      </c>
      <c r="E33" s="8" t="s">
        <v>341</v>
      </c>
      <c r="F33" s="8" t="s">
        <v>342</v>
      </c>
      <c r="G33" s="8" t="s">
        <v>16</v>
      </c>
      <c r="H33" s="8">
        <v>-48</v>
      </c>
      <c r="I33" s="9">
        <v>-1</v>
      </c>
      <c r="J33" s="8">
        <v>1348</v>
      </c>
      <c r="K33" s="11">
        <f>+VLOOKUP(Tabla1[[#This Row],[CODE ERP]],[1]!Tabla1[[SKU]:[Costo CD]],3,0)</f>
        <v>39.07</v>
      </c>
      <c r="L33" s="11">
        <f>+Tabla1[[#This Row],[COSTO,U]]*Tabla1[[#This Row],[UNIDADES]]</f>
        <v>-1875.3600000000001</v>
      </c>
      <c r="M33" s="10" t="s">
        <v>17</v>
      </c>
    </row>
    <row r="34" spans="1:13" ht="30" x14ac:dyDescent="0.3">
      <c r="A34" s="6">
        <v>2088740</v>
      </c>
      <c r="B34" s="7" t="s">
        <v>479</v>
      </c>
      <c r="C34" s="7" t="s">
        <v>480</v>
      </c>
      <c r="D34" s="8" t="s">
        <v>428</v>
      </c>
      <c r="E34" s="8" t="s">
        <v>481</v>
      </c>
      <c r="F34" s="8" t="s">
        <v>482</v>
      </c>
      <c r="G34" s="8" t="s">
        <v>16</v>
      </c>
      <c r="H34" s="8">
        <v>-18</v>
      </c>
      <c r="I34" s="9">
        <v>-3</v>
      </c>
      <c r="J34" s="8">
        <v>42</v>
      </c>
      <c r="K34" s="11">
        <f>+VLOOKUP(Tabla1[[#This Row],[CODE ERP]],[1]!Tabla1[[SKU]:[Costo CD]],3,0)</f>
        <v>103.54</v>
      </c>
      <c r="L34" s="11">
        <f>+Tabla1[[#This Row],[COSTO,U]]*Tabla1[[#This Row],[UNIDADES]]</f>
        <v>-1863.72</v>
      </c>
      <c r="M34" s="10" t="s">
        <v>17</v>
      </c>
    </row>
    <row r="35" spans="1:13" ht="30" x14ac:dyDescent="0.3">
      <c r="A35" s="6">
        <v>117833</v>
      </c>
      <c r="B35" s="7" t="s">
        <v>330</v>
      </c>
      <c r="C35" s="7" t="s">
        <v>359</v>
      </c>
      <c r="D35" s="8" t="s">
        <v>243</v>
      </c>
      <c r="E35" s="8" t="s">
        <v>331</v>
      </c>
      <c r="F35" s="8" t="s">
        <v>332</v>
      </c>
      <c r="G35" s="8" t="s">
        <v>16</v>
      </c>
      <c r="H35" s="8">
        <v>-300</v>
      </c>
      <c r="I35" s="9">
        <v>-5</v>
      </c>
      <c r="J35" s="8">
        <v>1380</v>
      </c>
      <c r="K35" s="11">
        <f>+VLOOKUP(Tabla1[[#This Row],[CODE ERP]],[1]!Tabla1[[SKU]:[Costo CD]],3,0)</f>
        <v>6.1</v>
      </c>
      <c r="L35" s="11">
        <f>+Tabla1[[#This Row],[COSTO,U]]*Tabla1[[#This Row],[UNIDADES]]</f>
        <v>-1830</v>
      </c>
      <c r="M35" s="10" t="s">
        <v>17</v>
      </c>
    </row>
    <row r="36" spans="1:13" ht="30" x14ac:dyDescent="0.3">
      <c r="A36" s="6">
        <v>195</v>
      </c>
      <c r="B36" s="7" t="s">
        <v>452</v>
      </c>
      <c r="C36" s="7" t="s">
        <v>453</v>
      </c>
      <c r="D36" s="8" t="s">
        <v>373</v>
      </c>
      <c r="E36" s="8" t="s">
        <v>454</v>
      </c>
      <c r="F36" s="8" t="s">
        <v>455</v>
      </c>
      <c r="G36" s="8" t="s">
        <v>16</v>
      </c>
      <c r="H36" s="8">
        <v>-456</v>
      </c>
      <c r="I36" s="9">
        <v>-19</v>
      </c>
      <c r="J36" s="8">
        <v>4608</v>
      </c>
      <c r="K36" s="11">
        <f>+VLOOKUP(Tabla1[[#This Row],[CODE ERP]],[1]!Tabla1[[SKU]:[Costo CD]],3,0)</f>
        <v>3.99</v>
      </c>
      <c r="L36" s="11">
        <f>+Tabla1[[#This Row],[COSTO,U]]*Tabla1[[#This Row],[UNIDADES]]</f>
        <v>-1819.44</v>
      </c>
      <c r="M36" s="10" t="s">
        <v>17</v>
      </c>
    </row>
    <row r="37" spans="1:13" ht="30" x14ac:dyDescent="0.3">
      <c r="A37" s="6">
        <v>2085387</v>
      </c>
      <c r="B37" s="7" t="s">
        <v>109</v>
      </c>
      <c r="C37" s="7" t="s">
        <v>183</v>
      </c>
      <c r="D37" s="8" t="s">
        <v>184</v>
      </c>
      <c r="E37" s="8" t="s">
        <v>185</v>
      </c>
      <c r="F37" s="8" t="s">
        <v>186</v>
      </c>
      <c r="G37" s="8" t="s">
        <v>33</v>
      </c>
      <c r="H37" s="8">
        <v>-60</v>
      </c>
      <c r="I37" s="9">
        <v>-10</v>
      </c>
      <c r="J37" s="8">
        <v>756</v>
      </c>
      <c r="K37" s="11">
        <f>+VLOOKUP(Tabla1[[#This Row],[CODE ERP]],[1]!Tabla1[[SKU]:[Costo CD]],3,0)</f>
        <v>29.76</v>
      </c>
      <c r="L37" s="11">
        <f>+Tabla1[[#This Row],[COSTO,U]]*Tabla1[[#This Row],[UNIDADES]]</f>
        <v>-1785.6000000000001</v>
      </c>
      <c r="M37" s="10" t="s">
        <v>17</v>
      </c>
    </row>
    <row r="38" spans="1:13" ht="30" x14ac:dyDescent="0.3">
      <c r="A38" s="6">
        <v>2039246</v>
      </c>
      <c r="B38" s="7" t="s">
        <v>444</v>
      </c>
      <c r="C38" s="7" t="s">
        <v>445</v>
      </c>
      <c r="D38" s="8" t="s">
        <v>409</v>
      </c>
      <c r="E38" s="8" t="s">
        <v>446</v>
      </c>
      <c r="F38" s="8" t="s">
        <v>447</v>
      </c>
      <c r="G38" s="8" t="s">
        <v>16</v>
      </c>
      <c r="H38" s="8">
        <v>-12</v>
      </c>
      <c r="I38" s="9">
        <v>-1</v>
      </c>
      <c r="J38" s="8">
        <v>48</v>
      </c>
      <c r="K38" s="11">
        <f>+VLOOKUP(Tabla1[[#This Row],[CODE ERP]],[1]!Tabla1[[SKU]:[Costo CD]],3,0)</f>
        <v>139.6</v>
      </c>
      <c r="L38" s="11">
        <f>+Tabla1[[#This Row],[COSTO,U]]*Tabla1[[#This Row],[UNIDADES]]</f>
        <v>-1675.1999999999998</v>
      </c>
      <c r="M38" s="10" t="s">
        <v>17</v>
      </c>
    </row>
    <row r="39" spans="1:13" ht="30" x14ac:dyDescent="0.3">
      <c r="A39" s="6">
        <v>97435</v>
      </c>
      <c r="B39" s="7" t="s">
        <v>360</v>
      </c>
      <c r="C39" s="7" t="s">
        <v>361</v>
      </c>
      <c r="D39" s="8" t="s">
        <v>264</v>
      </c>
      <c r="E39" s="8" t="s">
        <v>362</v>
      </c>
      <c r="F39" s="8" t="s">
        <v>363</v>
      </c>
      <c r="G39" s="8" t="s">
        <v>16</v>
      </c>
      <c r="H39" s="8">
        <v>-216</v>
      </c>
      <c r="I39" s="9">
        <v>-9</v>
      </c>
      <c r="J39" s="8">
        <v>48</v>
      </c>
      <c r="K39" s="11">
        <f>+VLOOKUP(Tabla1[[#This Row],[CODE ERP]],[1]!Tabla1[[SKU]:[Costo CD]],3,0)</f>
        <v>7.44</v>
      </c>
      <c r="L39" s="11">
        <f>+Tabla1[[#This Row],[COSTO,U]]*Tabla1[[#This Row],[UNIDADES]]</f>
        <v>-1607.0400000000002</v>
      </c>
      <c r="M39" s="10" t="s">
        <v>17</v>
      </c>
    </row>
    <row r="40" spans="1:13" ht="30" x14ac:dyDescent="0.3">
      <c r="A40" s="6">
        <v>117309</v>
      </c>
      <c r="B40" s="7" t="s">
        <v>68</v>
      </c>
      <c r="C40" s="7" t="s">
        <v>143</v>
      </c>
      <c r="D40" s="8" t="s">
        <v>144</v>
      </c>
      <c r="E40" s="8" t="s">
        <v>90</v>
      </c>
      <c r="F40" s="8" t="s">
        <v>69</v>
      </c>
      <c r="G40" s="8" t="s">
        <v>16</v>
      </c>
      <c r="H40" s="8">
        <v>-100</v>
      </c>
      <c r="I40" s="9">
        <v>-10</v>
      </c>
      <c r="J40" s="8">
        <v>49430</v>
      </c>
      <c r="K40" s="11">
        <f>+VLOOKUP(Tabla1[[#This Row],[CODE ERP]],[1]!Tabla1[[SKU]:[Costo CD]],3,0)</f>
        <v>14.8</v>
      </c>
      <c r="L40" s="11">
        <f>+Tabla1[[#This Row],[COSTO,U]]*Tabla1[[#This Row],[UNIDADES]]</f>
        <v>-1480</v>
      </c>
      <c r="M40" s="10" t="s">
        <v>17</v>
      </c>
    </row>
    <row r="41" spans="1:13" ht="30" x14ac:dyDescent="0.3">
      <c r="A41" s="6">
        <v>2088562</v>
      </c>
      <c r="B41" s="7" t="s">
        <v>487</v>
      </c>
      <c r="C41" s="7" t="s">
        <v>488</v>
      </c>
      <c r="D41" s="8" t="s">
        <v>394</v>
      </c>
      <c r="E41" s="8" t="s">
        <v>489</v>
      </c>
      <c r="F41" s="8" t="s">
        <v>490</v>
      </c>
      <c r="G41" s="8" t="s">
        <v>16</v>
      </c>
      <c r="H41" s="8">
        <v>-48</v>
      </c>
      <c r="I41" s="9">
        <v>-4</v>
      </c>
      <c r="J41" s="8">
        <v>36</v>
      </c>
      <c r="K41" s="11">
        <f>+VLOOKUP(Tabla1[[#This Row],[CODE ERP]],[1]!Tabla1[[SKU]:[Costo CD]],3,0)</f>
        <v>29.7</v>
      </c>
      <c r="L41" s="11">
        <f>+Tabla1[[#This Row],[COSTO,U]]*Tabla1[[#This Row],[UNIDADES]]</f>
        <v>-1425.6</v>
      </c>
      <c r="M41" s="10" t="s">
        <v>17</v>
      </c>
    </row>
    <row r="42" spans="1:13" ht="30" x14ac:dyDescent="0.3">
      <c r="A42" s="12">
        <v>103814</v>
      </c>
      <c r="B42" s="13" t="s">
        <v>206</v>
      </c>
      <c r="C42" s="13" t="s">
        <v>207</v>
      </c>
      <c r="D42" s="14" t="s">
        <v>13</v>
      </c>
      <c r="E42" s="14" t="s">
        <v>208</v>
      </c>
      <c r="F42" s="14" t="s">
        <v>209</v>
      </c>
      <c r="G42" s="14" t="s">
        <v>16</v>
      </c>
      <c r="H42" s="14">
        <v>-64</v>
      </c>
      <c r="I42" s="15">
        <v>-4</v>
      </c>
      <c r="J42" s="14">
        <v>768</v>
      </c>
      <c r="K42" s="16">
        <f>+VLOOKUP(Tabla1[[#This Row],[CODE ERP]],[1]!Tabla1[[SKU]:[Costo CD]],3,0)</f>
        <v>22.22</v>
      </c>
      <c r="L42" s="16">
        <f>+Tabla1[[#This Row],[COSTO,U]]*Tabla1[[#This Row],[UNIDADES]]</f>
        <v>-1422.08</v>
      </c>
      <c r="M42" s="17" t="s">
        <v>537</v>
      </c>
    </row>
    <row r="43" spans="1:13" ht="30" x14ac:dyDescent="0.3">
      <c r="A43" s="6">
        <v>2076439</v>
      </c>
      <c r="B43" s="7" t="s">
        <v>411</v>
      </c>
      <c r="C43" s="7" t="s">
        <v>412</v>
      </c>
      <c r="D43" s="8" t="s">
        <v>393</v>
      </c>
      <c r="E43" s="8" t="s">
        <v>413</v>
      </c>
      <c r="F43" s="8" t="s">
        <v>414</v>
      </c>
      <c r="G43" s="8" t="s">
        <v>16</v>
      </c>
      <c r="H43" s="8">
        <v>-24</v>
      </c>
      <c r="I43" s="9">
        <v>-2</v>
      </c>
      <c r="J43" s="8">
        <v>132</v>
      </c>
      <c r="K43" s="11">
        <f>+VLOOKUP(Tabla1[[#This Row],[CODE ERP]],[1]!Tabla1[[SKU]:[Costo CD]],3,0)</f>
        <v>58.41</v>
      </c>
      <c r="L43" s="11">
        <f>+Tabla1[[#This Row],[COSTO,U]]*Tabla1[[#This Row],[UNIDADES]]</f>
        <v>-1401.84</v>
      </c>
      <c r="M43" s="10" t="s">
        <v>17</v>
      </c>
    </row>
    <row r="44" spans="1:13" ht="30" x14ac:dyDescent="0.3">
      <c r="A44" s="6">
        <v>48746</v>
      </c>
      <c r="B44" s="7" t="s">
        <v>136</v>
      </c>
      <c r="C44" s="7" t="s">
        <v>137</v>
      </c>
      <c r="D44" s="8" t="s">
        <v>20</v>
      </c>
      <c r="E44" s="8" t="s">
        <v>138</v>
      </c>
      <c r="F44" s="8" t="s">
        <v>139</v>
      </c>
      <c r="G44" s="8" t="s">
        <v>16</v>
      </c>
      <c r="H44" s="8">
        <v>-30</v>
      </c>
      <c r="I44" s="9">
        <v>-5</v>
      </c>
      <c r="J44" s="8">
        <v>126</v>
      </c>
      <c r="K44" s="11">
        <f>+VLOOKUP(Tabla1[[#This Row],[CODE ERP]],[1]!Tabla1[[SKU]:[Costo CD]],3,0)</f>
        <v>46.43</v>
      </c>
      <c r="L44" s="11">
        <f>+Tabla1[[#This Row],[COSTO,U]]*Tabla1[[#This Row],[UNIDADES]]</f>
        <v>-1392.9</v>
      </c>
      <c r="M44" s="10" t="s">
        <v>17</v>
      </c>
    </row>
    <row r="45" spans="1:13" ht="30" x14ac:dyDescent="0.3">
      <c r="A45" s="6">
        <v>8990</v>
      </c>
      <c r="B45" s="7" t="s">
        <v>172</v>
      </c>
      <c r="C45" s="7" t="s">
        <v>173</v>
      </c>
      <c r="D45" s="8" t="s">
        <v>130</v>
      </c>
      <c r="E45" s="8" t="s">
        <v>174</v>
      </c>
      <c r="F45" s="8" t="s">
        <v>175</v>
      </c>
      <c r="G45" s="8" t="s">
        <v>16</v>
      </c>
      <c r="H45" s="8">
        <v>-12</v>
      </c>
      <c r="I45" s="9">
        <v>-1</v>
      </c>
      <c r="J45" s="8">
        <v>120</v>
      </c>
      <c r="K45" s="11">
        <f>+VLOOKUP(Tabla1[[#This Row],[CODE ERP]],[1]!Tabla1[[SKU]:[Costo CD]],3,0)</f>
        <v>115</v>
      </c>
      <c r="L45" s="11">
        <f>+Tabla1[[#This Row],[COSTO,U]]*Tabla1[[#This Row],[UNIDADES]]</f>
        <v>-1380</v>
      </c>
      <c r="M45" s="10" t="s">
        <v>17</v>
      </c>
    </row>
    <row r="46" spans="1:13" ht="30" x14ac:dyDescent="0.3">
      <c r="A46" s="6">
        <v>2088852</v>
      </c>
      <c r="B46" s="7" t="s">
        <v>60</v>
      </c>
      <c r="C46" s="7" t="s">
        <v>61</v>
      </c>
      <c r="D46" s="8" t="s">
        <v>21</v>
      </c>
      <c r="E46" s="8" t="s">
        <v>62</v>
      </c>
      <c r="F46" s="8" t="s">
        <v>63</v>
      </c>
      <c r="G46" s="8" t="s">
        <v>16</v>
      </c>
      <c r="H46" s="8">
        <v>-12</v>
      </c>
      <c r="I46" s="9">
        <v>-2</v>
      </c>
      <c r="J46" s="8">
        <v>186</v>
      </c>
      <c r="K46" s="11">
        <f>+VLOOKUP(Tabla1[[#This Row],[CODE ERP]],[1]!Tabla1[[SKU]:[Costo CD]],3,0)</f>
        <v>112.95</v>
      </c>
      <c r="L46" s="11">
        <f>+Tabla1[[#This Row],[COSTO,U]]*Tabla1[[#This Row],[UNIDADES]]</f>
        <v>-1355.4</v>
      </c>
      <c r="M46" s="10" t="s">
        <v>17</v>
      </c>
    </row>
    <row r="47" spans="1:13" ht="30" x14ac:dyDescent="0.3">
      <c r="A47" s="6">
        <v>24858</v>
      </c>
      <c r="B47" s="7" t="s">
        <v>201</v>
      </c>
      <c r="C47" s="7" t="s">
        <v>351</v>
      </c>
      <c r="D47" s="8" t="s">
        <v>218</v>
      </c>
      <c r="E47" s="8" t="s">
        <v>202</v>
      </c>
      <c r="F47" s="8" t="s">
        <v>203</v>
      </c>
      <c r="G47" s="8" t="s">
        <v>16</v>
      </c>
      <c r="H47" s="8">
        <v>-120</v>
      </c>
      <c r="I47" s="9">
        <v>-5</v>
      </c>
      <c r="J47" s="8">
        <v>168</v>
      </c>
      <c r="K47" s="11">
        <f>+VLOOKUP(Tabla1[[#This Row],[CODE ERP]],[1]!Tabla1[[SKU]:[Costo CD]],3,0)</f>
        <v>11.02</v>
      </c>
      <c r="L47" s="11">
        <f>+Tabla1[[#This Row],[COSTO,U]]*Tabla1[[#This Row],[UNIDADES]]</f>
        <v>-1322.3999999999999</v>
      </c>
      <c r="M47" s="10" t="s">
        <v>17</v>
      </c>
    </row>
    <row r="48" spans="1:13" ht="30" x14ac:dyDescent="0.3">
      <c r="A48" s="6">
        <v>2074067</v>
      </c>
      <c r="B48" s="7" t="s">
        <v>168</v>
      </c>
      <c r="C48" s="7" t="s">
        <v>169</v>
      </c>
      <c r="D48" s="8" t="s">
        <v>13</v>
      </c>
      <c r="E48" s="8" t="s">
        <v>170</v>
      </c>
      <c r="F48" s="8" t="s">
        <v>171</v>
      </c>
      <c r="G48" s="8" t="s">
        <v>16</v>
      </c>
      <c r="H48" s="8">
        <v>-12</v>
      </c>
      <c r="I48" s="9">
        <v>-2</v>
      </c>
      <c r="J48" s="8">
        <v>480</v>
      </c>
      <c r="K48" s="11">
        <f>+VLOOKUP(Tabla1[[#This Row],[CODE ERP]],[1]!Tabla1[[SKU]:[Costo CD]],3,0)</f>
        <v>107.24</v>
      </c>
      <c r="L48" s="11">
        <f>+Tabla1[[#This Row],[COSTO,U]]*Tabla1[[#This Row],[UNIDADES]]</f>
        <v>-1286.8799999999999</v>
      </c>
      <c r="M48" s="10" t="s">
        <v>17</v>
      </c>
    </row>
    <row r="49" spans="1:13" ht="30" x14ac:dyDescent="0.3">
      <c r="A49" s="6">
        <v>2075909</v>
      </c>
      <c r="B49" s="7" t="s">
        <v>460</v>
      </c>
      <c r="C49" s="7" t="s">
        <v>461</v>
      </c>
      <c r="D49" s="8" t="s">
        <v>439</v>
      </c>
      <c r="E49" s="8" t="s">
        <v>462</v>
      </c>
      <c r="F49" s="8" t="s">
        <v>463</v>
      </c>
      <c r="G49" s="8" t="s">
        <v>16</v>
      </c>
      <c r="H49" s="8">
        <v>-72</v>
      </c>
      <c r="I49" s="9">
        <v>-3</v>
      </c>
      <c r="J49" s="8">
        <v>61</v>
      </c>
      <c r="K49" s="11">
        <f>+VLOOKUP(Tabla1[[#This Row],[CODE ERP]],[1]!Tabla1[[SKU]:[Costo CD]],3,0)</f>
        <v>17.68</v>
      </c>
      <c r="L49" s="11">
        <f>+Tabla1[[#This Row],[COSTO,U]]*Tabla1[[#This Row],[UNIDADES]]</f>
        <v>-1272.96</v>
      </c>
      <c r="M49" s="10" t="s">
        <v>17</v>
      </c>
    </row>
    <row r="50" spans="1:13" ht="30" x14ac:dyDescent="0.3">
      <c r="A50" s="6">
        <v>2087015</v>
      </c>
      <c r="B50" s="7" t="s">
        <v>197</v>
      </c>
      <c r="C50" s="7" t="s">
        <v>198</v>
      </c>
      <c r="D50" s="8" t="s">
        <v>58</v>
      </c>
      <c r="E50" s="8" t="s">
        <v>199</v>
      </c>
      <c r="F50" s="8" t="s">
        <v>200</v>
      </c>
      <c r="G50" s="8" t="s">
        <v>16</v>
      </c>
      <c r="H50" s="8">
        <v>-12</v>
      </c>
      <c r="I50" s="9">
        <v>-2</v>
      </c>
      <c r="J50" s="8">
        <v>162</v>
      </c>
      <c r="K50" s="11">
        <f>+VLOOKUP(Tabla1[[#This Row],[CODE ERP]],[1]!Tabla1[[SKU]:[Costo CD]],3,0)</f>
        <v>104.51</v>
      </c>
      <c r="L50" s="11">
        <f>+Tabla1[[#This Row],[COSTO,U]]*Tabla1[[#This Row],[UNIDADES]]</f>
        <v>-1254.1200000000001</v>
      </c>
      <c r="M50" s="10" t="s">
        <v>17</v>
      </c>
    </row>
    <row r="51" spans="1:13" ht="30" x14ac:dyDescent="0.3">
      <c r="A51" s="6">
        <v>115036</v>
      </c>
      <c r="B51" s="7" t="s">
        <v>472</v>
      </c>
      <c r="C51" s="7" t="s">
        <v>473</v>
      </c>
      <c r="D51" s="8" t="s">
        <v>429</v>
      </c>
      <c r="E51" s="8" t="s">
        <v>474</v>
      </c>
      <c r="F51" s="8" t="s">
        <v>475</v>
      </c>
      <c r="G51" s="8" t="s">
        <v>16</v>
      </c>
      <c r="H51" s="8">
        <v>-40</v>
      </c>
      <c r="I51" s="9">
        <v>-2</v>
      </c>
      <c r="J51" s="8">
        <v>420</v>
      </c>
      <c r="K51" s="11">
        <f>+VLOOKUP(Tabla1[[#This Row],[CODE ERP]],[1]!Tabla1[[SKU]:[Costo CD]],3,0)</f>
        <v>30.53</v>
      </c>
      <c r="L51" s="11">
        <f>+Tabla1[[#This Row],[COSTO,U]]*Tabla1[[#This Row],[UNIDADES]]</f>
        <v>-1221.2</v>
      </c>
      <c r="M51" s="10" t="s">
        <v>17</v>
      </c>
    </row>
    <row r="52" spans="1:13" ht="30" x14ac:dyDescent="0.3">
      <c r="A52" s="6">
        <v>2041616</v>
      </c>
      <c r="B52" s="7" t="s">
        <v>27</v>
      </c>
      <c r="C52" s="7" t="s">
        <v>28</v>
      </c>
      <c r="D52" s="8" t="s">
        <v>13</v>
      </c>
      <c r="E52" s="8" t="s">
        <v>29</v>
      </c>
      <c r="F52" s="8" t="s">
        <v>30</v>
      </c>
      <c r="G52" s="8" t="s">
        <v>16</v>
      </c>
      <c r="H52" s="8">
        <v>-216</v>
      </c>
      <c r="I52" s="9">
        <v>-9</v>
      </c>
      <c r="J52" s="8">
        <v>408</v>
      </c>
      <c r="K52" s="11">
        <f>+VLOOKUP(Tabla1[[#This Row],[CODE ERP]],[1]!Tabla1[[SKU]:[Costo CD]],3,0)</f>
        <v>5.45</v>
      </c>
      <c r="L52" s="11">
        <f>+Tabla1[[#This Row],[COSTO,U]]*Tabla1[[#This Row],[UNIDADES]]</f>
        <v>-1177.2</v>
      </c>
      <c r="M52" s="10" t="s">
        <v>17</v>
      </c>
    </row>
    <row r="53" spans="1:13" ht="30" x14ac:dyDescent="0.3">
      <c r="A53" s="6">
        <v>2012398</v>
      </c>
      <c r="B53" s="7" t="s">
        <v>111</v>
      </c>
      <c r="C53" s="7" t="s">
        <v>112</v>
      </c>
      <c r="D53" s="8" t="s">
        <v>34</v>
      </c>
      <c r="E53" s="8" t="s">
        <v>113</v>
      </c>
      <c r="F53" s="8" t="s">
        <v>114</v>
      </c>
      <c r="G53" s="8" t="s">
        <v>16</v>
      </c>
      <c r="H53" s="8">
        <v>-18</v>
      </c>
      <c r="I53" s="9">
        <v>-3</v>
      </c>
      <c r="J53" s="8">
        <v>54</v>
      </c>
      <c r="K53" s="11">
        <f>+VLOOKUP(Tabla1[[#This Row],[CODE ERP]],[1]!Tabla1[[SKU]:[Costo CD]],3,0)</f>
        <v>64.91</v>
      </c>
      <c r="L53" s="11">
        <f>+Tabla1[[#This Row],[COSTO,U]]*Tabla1[[#This Row],[UNIDADES]]</f>
        <v>-1168.3799999999999</v>
      </c>
      <c r="M53" s="10" t="s">
        <v>17</v>
      </c>
    </row>
    <row r="54" spans="1:13" ht="30" x14ac:dyDescent="0.3">
      <c r="A54" s="6">
        <v>2019234</v>
      </c>
      <c r="B54" s="7" t="s">
        <v>11</v>
      </c>
      <c r="C54" s="7" t="s">
        <v>12</v>
      </c>
      <c r="D54" s="8" t="s">
        <v>13</v>
      </c>
      <c r="E54" s="8" t="s">
        <v>14</v>
      </c>
      <c r="F54" s="8" t="s">
        <v>15</v>
      </c>
      <c r="G54" s="8" t="s">
        <v>16</v>
      </c>
      <c r="H54" s="8">
        <v>-24</v>
      </c>
      <c r="I54" s="9">
        <v>-2</v>
      </c>
      <c r="J54" s="8">
        <v>420</v>
      </c>
      <c r="K54" s="11">
        <f>+VLOOKUP(Tabla1[[#This Row],[CODE ERP]],[1]!Tabla1[[SKU]:[Costo CD]],3,0)</f>
        <v>46.4</v>
      </c>
      <c r="L54" s="11">
        <f>+Tabla1[[#This Row],[COSTO,U]]*Tabla1[[#This Row],[UNIDADES]]</f>
        <v>-1113.5999999999999</v>
      </c>
      <c r="M54" s="10" t="s">
        <v>17</v>
      </c>
    </row>
    <row r="55" spans="1:13" ht="30" x14ac:dyDescent="0.3">
      <c r="A55" s="6">
        <v>55033</v>
      </c>
      <c r="B55" s="7" t="s">
        <v>491</v>
      </c>
      <c r="C55" s="7" t="s">
        <v>492</v>
      </c>
      <c r="D55" s="8" t="s">
        <v>410</v>
      </c>
      <c r="E55" s="8" t="s">
        <v>493</v>
      </c>
      <c r="F55" s="8" t="s">
        <v>494</v>
      </c>
      <c r="G55" s="8" t="s">
        <v>16</v>
      </c>
      <c r="H55" s="8">
        <v>-72</v>
      </c>
      <c r="I55" s="9">
        <v>-2</v>
      </c>
      <c r="J55" s="8">
        <v>31</v>
      </c>
      <c r="K55" s="11">
        <f>+VLOOKUP(Tabla1[[#This Row],[CODE ERP]],[1]!Tabla1[[SKU]:[Costo CD]],3,0)</f>
        <v>15.25</v>
      </c>
      <c r="L55" s="11">
        <f>+Tabla1[[#This Row],[COSTO,U]]*Tabla1[[#This Row],[UNIDADES]]</f>
        <v>-1098</v>
      </c>
      <c r="M55" s="10" t="s">
        <v>17</v>
      </c>
    </row>
    <row r="56" spans="1:13" ht="30" x14ac:dyDescent="0.3">
      <c r="A56" s="6">
        <v>5250</v>
      </c>
      <c r="B56" s="7" t="s">
        <v>187</v>
      </c>
      <c r="C56" s="7" t="s">
        <v>500</v>
      </c>
      <c r="D56" s="8" t="s">
        <v>20</v>
      </c>
      <c r="E56" s="8" t="s">
        <v>333</v>
      </c>
      <c r="F56" s="8" t="s">
        <v>188</v>
      </c>
      <c r="G56" s="8" t="s">
        <v>16</v>
      </c>
      <c r="H56" s="8">
        <v>-40</v>
      </c>
      <c r="I56" s="9">
        <v>-5</v>
      </c>
      <c r="J56" s="8">
        <v>3736</v>
      </c>
      <c r="K56" s="11">
        <f>+VLOOKUP(Tabla1[[#This Row],[CODE ERP]],[1]!Tabla1[[SKU]:[Costo CD]],3,0)</f>
        <v>26.98</v>
      </c>
      <c r="L56" s="11">
        <f>+Tabla1[[#This Row],[COSTO,U]]*Tabla1[[#This Row],[UNIDADES]]</f>
        <v>-1079.2</v>
      </c>
      <c r="M56" s="10" t="s">
        <v>17</v>
      </c>
    </row>
    <row r="57" spans="1:13" ht="30" x14ac:dyDescent="0.3">
      <c r="A57" s="6">
        <v>2004131</v>
      </c>
      <c r="B57" s="7" t="s">
        <v>120</v>
      </c>
      <c r="C57" s="7" t="s">
        <v>121</v>
      </c>
      <c r="D57" s="8" t="s">
        <v>19</v>
      </c>
      <c r="E57" s="8" t="s">
        <v>122</v>
      </c>
      <c r="F57" s="8" t="s">
        <v>123</v>
      </c>
      <c r="G57" s="8" t="s">
        <v>16</v>
      </c>
      <c r="H57" s="8">
        <v>-72</v>
      </c>
      <c r="I57" s="9">
        <v>-3</v>
      </c>
      <c r="J57" s="8">
        <v>1008</v>
      </c>
      <c r="K57" s="11">
        <f>+VLOOKUP(Tabla1[[#This Row],[CODE ERP]],[1]!Tabla1[[SKU]:[Costo CD]],3,0)</f>
        <v>14.96</v>
      </c>
      <c r="L57" s="11">
        <f>+Tabla1[[#This Row],[COSTO,U]]*Tabla1[[#This Row],[UNIDADES]]</f>
        <v>-1077.1200000000001</v>
      </c>
      <c r="M57" s="10" t="s">
        <v>17</v>
      </c>
    </row>
    <row r="58" spans="1:13" ht="30" x14ac:dyDescent="0.3">
      <c r="A58" s="6">
        <v>2057567</v>
      </c>
      <c r="B58" s="7" t="s">
        <v>102</v>
      </c>
      <c r="C58" s="7" t="s">
        <v>518</v>
      </c>
      <c r="D58" s="8" t="s">
        <v>268</v>
      </c>
      <c r="E58" s="8" t="s">
        <v>103</v>
      </c>
      <c r="F58" s="8" t="s">
        <v>104</v>
      </c>
      <c r="G58" s="8" t="s">
        <v>16</v>
      </c>
      <c r="H58" s="8">
        <v>-30</v>
      </c>
      <c r="I58" s="9">
        <v>-5</v>
      </c>
      <c r="J58" s="8">
        <v>15060</v>
      </c>
      <c r="K58" s="11">
        <f>+VLOOKUP(Tabla1[[#This Row],[CODE ERP]],[1]!Tabla1[[SKU]:[Costo CD]],3,0)</f>
        <v>35.78</v>
      </c>
      <c r="L58" s="11">
        <f>+Tabla1[[#This Row],[COSTO,U]]*Tabla1[[#This Row],[UNIDADES]]</f>
        <v>-1073.4000000000001</v>
      </c>
      <c r="M58" s="10" t="s">
        <v>17</v>
      </c>
    </row>
    <row r="59" spans="1:13" ht="30" x14ac:dyDescent="0.3">
      <c r="A59" s="6">
        <v>2061340</v>
      </c>
      <c r="B59" s="7" t="s">
        <v>128</v>
      </c>
      <c r="C59" s="7" t="s">
        <v>129</v>
      </c>
      <c r="D59" s="8" t="s">
        <v>130</v>
      </c>
      <c r="E59" s="8" t="s">
        <v>131</v>
      </c>
      <c r="F59" s="8" t="s">
        <v>132</v>
      </c>
      <c r="G59" s="8" t="s">
        <v>16</v>
      </c>
      <c r="H59" s="8">
        <v>-48</v>
      </c>
      <c r="I59" s="9">
        <v>-4</v>
      </c>
      <c r="J59" s="8">
        <v>636</v>
      </c>
      <c r="K59" s="11">
        <f>+VLOOKUP(Tabla1[[#This Row],[CODE ERP]],[1]!Tabla1[[SKU]:[Costo CD]],3,0)</f>
        <v>21.74</v>
      </c>
      <c r="L59" s="11">
        <f>+Tabla1[[#This Row],[COSTO,U]]*Tabla1[[#This Row],[UNIDADES]]</f>
        <v>-1043.52</v>
      </c>
      <c r="M59" s="10" t="s">
        <v>17</v>
      </c>
    </row>
    <row r="60" spans="1:13" ht="30" x14ac:dyDescent="0.3">
      <c r="A60" s="6">
        <v>87795</v>
      </c>
      <c r="B60" s="7" t="s">
        <v>226</v>
      </c>
      <c r="C60" s="7" t="s">
        <v>227</v>
      </c>
      <c r="D60" s="8" t="s">
        <v>228</v>
      </c>
      <c r="E60" s="8" t="s">
        <v>229</v>
      </c>
      <c r="F60" s="8" t="s">
        <v>230</v>
      </c>
      <c r="G60" s="8" t="s">
        <v>16</v>
      </c>
      <c r="H60" s="8">
        <v>-48</v>
      </c>
      <c r="I60" s="9">
        <v>-4</v>
      </c>
      <c r="J60" s="8">
        <v>504</v>
      </c>
      <c r="K60" s="11">
        <f>+VLOOKUP(Tabla1[[#This Row],[CODE ERP]],[1]!Tabla1[[SKU]:[Costo CD]],3,0)</f>
        <v>21.73</v>
      </c>
      <c r="L60" s="11">
        <f>+Tabla1[[#This Row],[COSTO,U]]*Tabla1[[#This Row],[UNIDADES]]</f>
        <v>-1043.04</v>
      </c>
      <c r="M60" s="10" t="s">
        <v>17</v>
      </c>
    </row>
    <row r="61" spans="1:13" ht="30" x14ac:dyDescent="0.3">
      <c r="A61" s="6">
        <v>55244</v>
      </c>
      <c r="B61" s="7" t="s">
        <v>354</v>
      </c>
      <c r="C61" s="7" t="s">
        <v>355</v>
      </c>
      <c r="D61" s="8" t="s">
        <v>232</v>
      </c>
      <c r="E61" s="8" t="s">
        <v>356</v>
      </c>
      <c r="F61" s="8" t="s">
        <v>357</v>
      </c>
      <c r="G61" s="8" t="s">
        <v>16</v>
      </c>
      <c r="H61" s="8">
        <v>-72</v>
      </c>
      <c r="I61" s="9">
        <v>-6</v>
      </c>
      <c r="J61" s="8">
        <v>1284</v>
      </c>
      <c r="K61" s="11">
        <f>+VLOOKUP(Tabla1[[#This Row],[CODE ERP]],[1]!Tabla1[[SKU]:[Costo CD]],3,0)</f>
        <v>14.06</v>
      </c>
      <c r="L61" s="11">
        <f>+Tabla1[[#This Row],[COSTO,U]]*Tabla1[[#This Row],[UNIDADES]]</f>
        <v>-1012.32</v>
      </c>
      <c r="M61" s="10" t="s">
        <v>17</v>
      </c>
    </row>
    <row r="62" spans="1:13" ht="30" x14ac:dyDescent="0.3">
      <c r="A62" s="6">
        <v>102571</v>
      </c>
      <c r="B62" s="7" t="s">
        <v>152</v>
      </c>
      <c r="C62" s="7" t="s">
        <v>153</v>
      </c>
      <c r="D62" s="8" t="s">
        <v>144</v>
      </c>
      <c r="E62" s="8" t="s">
        <v>154</v>
      </c>
      <c r="F62" s="8" t="s">
        <v>155</v>
      </c>
      <c r="G62" s="8" t="s">
        <v>16</v>
      </c>
      <c r="H62" s="8">
        <v>-12</v>
      </c>
      <c r="I62" s="9">
        <v>-1</v>
      </c>
      <c r="J62" s="8">
        <v>0</v>
      </c>
      <c r="K62" s="11">
        <f>+VLOOKUP(Tabla1[[#This Row],[CODE ERP]],[1]!Tabla1[[SKU]:[Costo CD]],3,0)</f>
        <v>81.709999999999994</v>
      </c>
      <c r="L62" s="11">
        <f>+Tabla1[[#This Row],[COSTO,U]]*Tabla1[[#This Row],[UNIDADES]]</f>
        <v>-980.52</v>
      </c>
      <c r="M62" s="10" t="s">
        <v>17</v>
      </c>
    </row>
    <row r="63" spans="1:13" ht="30" x14ac:dyDescent="0.3">
      <c r="A63" s="6">
        <v>2006993</v>
      </c>
      <c r="B63" s="7" t="s">
        <v>233</v>
      </c>
      <c r="C63" s="7" t="s">
        <v>234</v>
      </c>
      <c r="D63" s="8" t="s">
        <v>235</v>
      </c>
      <c r="E63" s="8" t="s">
        <v>236</v>
      </c>
      <c r="F63" s="8" t="s">
        <v>237</v>
      </c>
      <c r="G63" s="8" t="s">
        <v>16</v>
      </c>
      <c r="H63" s="8">
        <v>-60</v>
      </c>
      <c r="I63" s="9">
        <v>-1</v>
      </c>
      <c r="J63" s="8">
        <v>780</v>
      </c>
      <c r="K63" s="11">
        <f>+VLOOKUP(Tabla1[[#This Row],[CODE ERP]],[1]!Tabla1[[SKU]:[Costo CD]],3,0)</f>
        <v>16.29</v>
      </c>
      <c r="L63" s="11">
        <f>+Tabla1[[#This Row],[COSTO,U]]*Tabla1[[#This Row],[UNIDADES]]</f>
        <v>-977.4</v>
      </c>
      <c r="M63" s="10" t="s">
        <v>17</v>
      </c>
    </row>
    <row r="64" spans="1:13" ht="30" x14ac:dyDescent="0.3">
      <c r="A64" s="6">
        <v>66666</v>
      </c>
      <c r="B64" s="7" t="s">
        <v>519</v>
      </c>
      <c r="C64" s="7" t="s">
        <v>526</v>
      </c>
      <c r="D64" s="8" t="s">
        <v>40</v>
      </c>
      <c r="E64" s="8" t="s">
        <v>520</v>
      </c>
      <c r="F64" s="8" t="s">
        <v>521</v>
      </c>
      <c r="G64" s="8" t="s">
        <v>16</v>
      </c>
      <c r="H64" s="8">
        <v>-200</v>
      </c>
      <c r="I64" s="9">
        <v>-5</v>
      </c>
      <c r="J64" s="8">
        <v>2080</v>
      </c>
      <c r="K64" s="11">
        <f>+VLOOKUP(Tabla1[[#This Row],[CODE ERP]],[1]!Tabla1[[SKU]:[Costo CD]],3,0)</f>
        <v>4.82</v>
      </c>
      <c r="L64" s="11">
        <f>+Tabla1[[#This Row],[COSTO,U]]*Tabla1[[#This Row],[UNIDADES]]</f>
        <v>-964</v>
      </c>
      <c r="M64" s="10" t="s">
        <v>17</v>
      </c>
    </row>
    <row r="65" spans="1:13" ht="30" x14ac:dyDescent="0.3">
      <c r="A65" s="6">
        <v>2085436</v>
      </c>
      <c r="B65" s="7" t="s">
        <v>288</v>
      </c>
      <c r="C65" s="7" t="s">
        <v>289</v>
      </c>
      <c r="D65" s="8" t="s">
        <v>228</v>
      </c>
      <c r="E65" s="8" t="s">
        <v>290</v>
      </c>
      <c r="F65" s="8" t="s">
        <v>291</v>
      </c>
      <c r="G65" s="8" t="s">
        <v>16</v>
      </c>
      <c r="H65" s="8">
        <v>-36</v>
      </c>
      <c r="I65" s="9">
        <v>-2</v>
      </c>
      <c r="J65" s="8">
        <v>414</v>
      </c>
      <c r="K65" s="11">
        <f>+VLOOKUP(Tabla1[[#This Row],[CODE ERP]],[1]!Tabla1[[SKU]:[Costo CD]],3,0)</f>
        <v>26.63</v>
      </c>
      <c r="L65" s="11">
        <f>+Tabla1[[#This Row],[COSTO,U]]*Tabla1[[#This Row],[UNIDADES]]</f>
        <v>-958.68</v>
      </c>
      <c r="M65" s="10" t="s">
        <v>17</v>
      </c>
    </row>
    <row r="66" spans="1:13" ht="30" x14ac:dyDescent="0.3">
      <c r="A66" s="6">
        <v>2084178</v>
      </c>
      <c r="B66" s="7" t="s">
        <v>319</v>
      </c>
      <c r="C66" s="7" t="s">
        <v>320</v>
      </c>
      <c r="D66" s="8" t="s">
        <v>321</v>
      </c>
      <c r="E66" s="8" t="s">
        <v>322</v>
      </c>
      <c r="F66" s="8" t="s">
        <v>323</v>
      </c>
      <c r="G66" s="8" t="s">
        <v>231</v>
      </c>
      <c r="H66" s="8">
        <v>-6</v>
      </c>
      <c r="I66" s="9">
        <v>-1</v>
      </c>
      <c r="J66" s="8">
        <v>276</v>
      </c>
      <c r="K66" s="11">
        <f>+VLOOKUP(Tabla1[[#This Row],[CODE ERP]],[1]!Tabla1[[SKU]:[Costo CD]],3,0)</f>
        <v>153.35</v>
      </c>
      <c r="L66" s="11">
        <f>+Tabla1[[#This Row],[COSTO,U]]*Tabla1[[#This Row],[UNIDADES]]</f>
        <v>-920.09999999999991</v>
      </c>
      <c r="M66" s="10" t="s">
        <v>17</v>
      </c>
    </row>
    <row r="67" spans="1:13" ht="30" x14ac:dyDescent="0.3">
      <c r="A67" s="6">
        <v>2071075</v>
      </c>
      <c r="B67" s="7" t="s">
        <v>45</v>
      </c>
      <c r="C67" s="7" t="s">
        <v>46</v>
      </c>
      <c r="D67" s="8" t="s">
        <v>47</v>
      </c>
      <c r="E67" s="8" t="s">
        <v>48</v>
      </c>
      <c r="F67" s="8" t="s">
        <v>49</v>
      </c>
      <c r="G67" s="8" t="s">
        <v>16</v>
      </c>
      <c r="H67" s="8">
        <v>-6</v>
      </c>
      <c r="I67" s="9">
        <v>-1</v>
      </c>
      <c r="J67" s="8">
        <v>1584</v>
      </c>
      <c r="K67" s="11">
        <f>+VLOOKUP(Tabla1[[#This Row],[CODE ERP]],[1]!Tabla1[[SKU]:[Costo CD]],3,0)</f>
        <v>150.84</v>
      </c>
      <c r="L67" s="11">
        <f>+Tabla1[[#This Row],[COSTO,U]]*Tabla1[[#This Row],[UNIDADES]]</f>
        <v>-905.04</v>
      </c>
      <c r="M67" s="10" t="s">
        <v>17</v>
      </c>
    </row>
    <row r="68" spans="1:13" ht="30" x14ac:dyDescent="0.3">
      <c r="A68" s="6">
        <v>2056522</v>
      </c>
      <c r="B68" s="7" t="s">
        <v>434</v>
      </c>
      <c r="C68" s="7" t="s">
        <v>435</v>
      </c>
      <c r="D68" s="8" t="s">
        <v>436</v>
      </c>
      <c r="E68" s="8" t="s">
        <v>437</v>
      </c>
      <c r="F68" s="8" t="s">
        <v>438</v>
      </c>
      <c r="G68" s="8" t="s">
        <v>231</v>
      </c>
      <c r="H68" s="8">
        <v>-96</v>
      </c>
      <c r="I68" s="9">
        <v>-8</v>
      </c>
      <c r="J68" s="8">
        <v>600</v>
      </c>
      <c r="K68" s="11">
        <f>+VLOOKUP(Tabla1[[#This Row],[CODE ERP]],[1]!Tabla1[[SKU]:[Costo CD]],3,0)</f>
        <v>9.2799999999999994</v>
      </c>
      <c r="L68" s="11">
        <f>+Tabla1[[#This Row],[COSTO,U]]*Tabla1[[#This Row],[UNIDADES]]</f>
        <v>-890.87999999999988</v>
      </c>
      <c r="M68" s="10" t="s">
        <v>17</v>
      </c>
    </row>
    <row r="69" spans="1:13" ht="30" x14ac:dyDescent="0.3">
      <c r="A69" s="6">
        <v>2033545</v>
      </c>
      <c r="B69" s="7" t="s">
        <v>83</v>
      </c>
      <c r="C69" s="7" t="s">
        <v>495</v>
      </c>
      <c r="D69" s="8" t="s">
        <v>130</v>
      </c>
      <c r="E69" s="8" t="s">
        <v>84</v>
      </c>
      <c r="F69" s="8" t="s">
        <v>85</v>
      </c>
      <c r="G69" s="8" t="s">
        <v>16</v>
      </c>
      <c r="H69" s="8">
        <v>-72</v>
      </c>
      <c r="I69" s="9">
        <v>-3</v>
      </c>
      <c r="J69" s="8">
        <v>888</v>
      </c>
      <c r="K69" s="11">
        <f>+VLOOKUP(Tabla1[[#This Row],[CODE ERP]],[1]!Tabla1[[SKU]:[Costo CD]],3,0)</f>
        <v>12.3</v>
      </c>
      <c r="L69" s="11">
        <f>+Tabla1[[#This Row],[COSTO,U]]*Tabla1[[#This Row],[UNIDADES]]</f>
        <v>-885.6</v>
      </c>
      <c r="M69" s="10" t="s">
        <v>17</v>
      </c>
    </row>
    <row r="70" spans="1:13" ht="30" x14ac:dyDescent="0.3">
      <c r="A70" s="6">
        <v>11089</v>
      </c>
      <c r="B70" s="7" t="s">
        <v>204</v>
      </c>
      <c r="C70" s="7" t="s">
        <v>431</v>
      </c>
      <c r="D70" s="8" t="s">
        <v>432</v>
      </c>
      <c r="E70" s="8" t="s">
        <v>347</v>
      </c>
      <c r="F70" s="8" t="s">
        <v>205</v>
      </c>
      <c r="G70" s="8" t="s">
        <v>16</v>
      </c>
      <c r="H70" s="8">
        <v>-60</v>
      </c>
      <c r="I70" s="9">
        <v>-5</v>
      </c>
      <c r="J70" s="8">
        <v>35604</v>
      </c>
      <c r="K70" s="11">
        <f>+VLOOKUP(Tabla1[[#This Row],[CODE ERP]],[1]!Tabla1[[SKU]:[Costo CD]],3,0)</f>
        <v>14.69</v>
      </c>
      <c r="L70" s="11">
        <f>+Tabla1[[#This Row],[COSTO,U]]*Tabla1[[#This Row],[UNIDADES]]</f>
        <v>-881.4</v>
      </c>
      <c r="M70" s="10" t="s">
        <v>17</v>
      </c>
    </row>
    <row r="71" spans="1:13" ht="30" x14ac:dyDescent="0.3">
      <c r="A71" s="6">
        <v>2088706</v>
      </c>
      <c r="B71" s="7" t="s">
        <v>55</v>
      </c>
      <c r="C71" s="7" t="s">
        <v>119</v>
      </c>
      <c r="D71" s="8" t="s">
        <v>110</v>
      </c>
      <c r="E71" s="8" t="s">
        <v>56</v>
      </c>
      <c r="F71" s="8" t="s">
        <v>57</v>
      </c>
      <c r="G71" s="8" t="s">
        <v>16</v>
      </c>
      <c r="H71" s="8">
        <v>-40</v>
      </c>
      <c r="I71" s="9">
        <v>-5</v>
      </c>
      <c r="J71" s="8">
        <v>5168</v>
      </c>
      <c r="K71" s="11">
        <f>+VLOOKUP(Tabla1[[#This Row],[CODE ERP]],[1]!Tabla1[[SKU]:[Costo CD]],3,0)</f>
        <v>21.51</v>
      </c>
      <c r="L71" s="11">
        <f>+Tabla1[[#This Row],[COSTO,U]]*Tabla1[[#This Row],[UNIDADES]]</f>
        <v>-860.40000000000009</v>
      </c>
      <c r="M71" s="10" t="s">
        <v>17</v>
      </c>
    </row>
    <row r="72" spans="1:13" ht="30" x14ac:dyDescent="0.3">
      <c r="A72" s="6">
        <v>2004001</v>
      </c>
      <c r="B72" s="7" t="s">
        <v>514</v>
      </c>
      <c r="C72" s="7" t="s">
        <v>515</v>
      </c>
      <c r="D72" s="8" t="s">
        <v>34</v>
      </c>
      <c r="E72" s="8" t="s">
        <v>516</v>
      </c>
      <c r="F72" s="8" t="s">
        <v>517</v>
      </c>
      <c r="G72" s="8" t="s">
        <v>16</v>
      </c>
      <c r="H72" s="8">
        <v>-6</v>
      </c>
      <c r="I72" s="9">
        <v>-1</v>
      </c>
      <c r="J72" s="8">
        <v>528</v>
      </c>
      <c r="K72" s="11">
        <f>+VLOOKUP(Tabla1[[#This Row],[CODE ERP]],[1]!Tabla1[[SKU]:[Costo CD]],3,0)</f>
        <v>141.43</v>
      </c>
      <c r="L72" s="11">
        <f>+Tabla1[[#This Row],[COSTO,U]]*Tabla1[[#This Row],[UNIDADES]]</f>
        <v>-848.58</v>
      </c>
      <c r="M72" s="10" t="s">
        <v>17</v>
      </c>
    </row>
    <row r="73" spans="1:13" ht="30" x14ac:dyDescent="0.3">
      <c r="A73" s="6">
        <v>2070607</v>
      </c>
      <c r="B73" s="7" t="s">
        <v>151</v>
      </c>
      <c r="C73" s="7" t="s">
        <v>176</v>
      </c>
      <c r="D73" s="8" t="s">
        <v>13</v>
      </c>
      <c r="E73" s="8" t="s">
        <v>177</v>
      </c>
      <c r="F73" s="8" t="s">
        <v>178</v>
      </c>
      <c r="G73" s="8" t="s">
        <v>16</v>
      </c>
      <c r="H73" s="8">
        <v>-30</v>
      </c>
      <c r="I73" s="9">
        <v>-3</v>
      </c>
      <c r="J73" s="8">
        <v>170</v>
      </c>
      <c r="K73" s="11">
        <f>+VLOOKUP(Tabla1[[#This Row],[CODE ERP]],[1]!Tabla1[[SKU]:[Costo CD]],3,0)</f>
        <v>27.84</v>
      </c>
      <c r="L73" s="11">
        <f>+Tabla1[[#This Row],[COSTO,U]]*Tabla1[[#This Row],[UNIDADES]]</f>
        <v>-835.2</v>
      </c>
      <c r="M73" s="10" t="s">
        <v>17</v>
      </c>
    </row>
    <row r="74" spans="1:13" ht="30" x14ac:dyDescent="0.3">
      <c r="A74" s="12">
        <v>2019888</v>
      </c>
      <c r="B74" s="13" t="s">
        <v>311</v>
      </c>
      <c r="C74" s="13" t="s">
        <v>312</v>
      </c>
      <c r="D74" s="14" t="s">
        <v>264</v>
      </c>
      <c r="E74" s="14" t="s">
        <v>313</v>
      </c>
      <c r="F74" s="14" t="s">
        <v>314</v>
      </c>
      <c r="G74" s="14" t="s">
        <v>16</v>
      </c>
      <c r="H74" s="14">
        <v>-120</v>
      </c>
      <c r="I74" s="15">
        <v>-6</v>
      </c>
      <c r="J74" s="14">
        <v>3920</v>
      </c>
      <c r="K74" s="16">
        <f>+VLOOKUP(Tabla1[[#This Row],[CODE ERP]],[1]!Tabla1[[SKU]:[Costo CD]],3,0)</f>
        <v>6.82</v>
      </c>
      <c r="L74" s="16">
        <f>+Tabla1[[#This Row],[COSTO,U]]*Tabla1[[#This Row],[UNIDADES]]</f>
        <v>-818.40000000000009</v>
      </c>
      <c r="M74" s="17" t="s">
        <v>535</v>
      </c>
    </row>
    <row r="75" spans="1:13" ht="30" x14ac:dyDescent="0.3">
      <c r="A75" s="6">
        <v>68215</v>
      </c>
      <c r="B75" s="7" t="s">
        <v>335</v>
      </c>
      <c r="C75" s="7" t="s">
        <v>336</v>
      </c>
      <c r="D75" s="8" t="s">
        <v>218</v>
      </c>
      <c r="E75" s="8" t="s">
        <v>337</v>
      </c>
      <c r="F75" s="8" t="s">
        <v>338</v>
      </c>
      <c r="G75" s="8" t="s">
        <v>16</v>
      </c>
      <c r="H75" s="8">
        <v>-36</v>
      </c>
      <c r="I75" s="9">
        <v>-3</v>
      </c>
      <c r="J75" s="8">
        <v>132</v>
      </c>
      <c r="K75" s="11">
        <f>+VLOOKUP(Tabla1[[#This Row],[CODE ERP]],[1]!Tabla1[[SKU]:[Costo CD]],3,0)</f>
        <v>22.11</v>
      </c>
      <c r="L75" s="11">
        <f>+Tabla1[[#This Row],[COSTO,U]]*Tabla1[[#This Row],[UNIDADES]]</f>
        <v>-795.96</v>
      </c>
      <c r="M75" s="10" t="s">
        <v>17</v>
      </c>
    </row>
    <row r="76" spans="1:13" ht="30" x14ac:dyDescent="0.3">
      <c r="A76" s="6">
        <v>2087674</v>
      </c>
      <c r="B76" s="7" t="s">
        <v>189</v>
      </c>
      <c r="C76" s="7" t="s">
        <v>190</v>
      </c>
      <c r="D76" s="8" t="s">
        <v>13</v>
      </c>
      <c r="E76" s="8" t="s">
        <v>191</v>
      </c>
      <c r="F76" s="8" t="s">
        <v>192</v>
      </c>
      <c r="G76" s="8" t="s">
        <v>16</v>
      </c>
      <c r="H76" s="8">
        <v>-24</v>
      </c>
      <c r="I76" s="9">
        <v>-1</v>
      </c>
      <c r="J76" s="8">
        <v>216</v>
      </c>
      <c r="K76" s="11">
        <f>+VLOOKUP(Tabla1[[#This Row],[CODE ERP]],[1]!Tabla1[[SKU]:[Costo CD]],3,0)</f>
        <v>30.44</v>
      </c>
      <c r="L76" s="11">
        <f>+Tabla1[[#This Row],[COSTO,U]]*Tabla1[[#This Row],[UNIDADES]]</f>
        <v>-730.56000000000006</v>
      </c>
      <c r="M76" s="10" t="s">
        <v>17</v>
      </c>
    </row>
    <row r="77" spans="1:13" ht="30" x14ac:dyDescent="0.3">
      <c r="A77" s="6">
        <v>25331</v>
      </c>
      <c r="B77" s="7" t="s">
        <v>99</v>
      </c>
      <c r="C77" s="7" t="s">
        <v>433</v>
      </c>
      <c r="D77" s="8" t="s">
        <v>393</v>
      </c>
      <c r="E77" s="8" t="s">
        <v>100</v>
      </c>
      <c r="F77" s="8" t="s">
        <v>101</v>
      </c>
      <c r="G77" s="8" t="s">
        <v>16</v>
      </c>
      <c r="H77" s="8">
        <v>-24</v>
      </c>
      <c r="I77" s="9">
        <v>-2</v>
      </c>
      <c r="J77" s="8">
        <v>2940</v>
      </c>
      <c r="K77" s="11">
        <f>+VLOOKUP(Tabla1[[#This Row],[CODE ERP]],[1]!Tabla1[[SKU]:[Costo CD]],3,0)</f>
        <v>30.17</v>
      </c>
      <c r="L77" s="11">
        <f>+Tabla1[[#This Row],[COSTO,U]]*Tabla1[[#This Row],[UNIDADES]]</f>
        <v>-724.08</v>
      </c>
      <c r="M77" s="10" t="s">
        <v>17</v>
      </c>
    </row>
    <row r="78" spans="1:13" ht="30" x14ac:dyDescent="0.3">
      <c r="A78" s="6">
        <v>2047388</v>
      </c>
      <c r="B78" s="7" t="s">
        <v>193</v>
      </c>
      <c r="C78" s="7" t="s">
        <v>194</v>
      </c>
      <c r="D78" s="8" t="s">
        <v>19</v>
      </c>
      <c r="E78" s="8" t="s">
        <v>195</v>
      </c>
      <c r="F78" s="8" t="s">
        <v>196</v>
      </c>
      <c r="G78" s="8" t="s">
        <v>16</v>
      </c>
      <c r="H78" s="8">
        <v>-36</v>
      </c>
      <c r="I78" s="9">
        <v>-3</v>
      </c>
      <c r="J78" s="8">
        <v>1296</v>
      </c>
      <c r="K78" s="11">
        <f>+VLOOKUP(Tabla1[[#This Row],[CODE ERP]],[1]!Tabla1[[SKU]:[Costo CD]],3,0)</f>
        <v>20.100000000000001</v>
      </c>
      <c r="L78" s="11">
        <f>+Tabla1[[#This Row],[COSTO,U]]*Tabla1[[#This Row],[UNIDADES]]</f>
        <v>-723.6</v>
      </c>
      <c r="M78" s="10" t="s">
        <v>17</v>
      </c>
    </row>
    <row r="79" spans="1:13" ht="30" x14ac:dyDescent="0.3">
      <c r="A79" s="6">
        <v>2088482</v>
      </c>
      <c r="B79" s="7" t="s">
        <v>505</v>
      </c>
      <c r="C79" s="7" t="s">
        <v>506</v>
      </c>
      <c r="D79" s="8" t="s">
        <v>39</v>
      </c>
      <c r="E79" s="8" t="s">
        <v>507</v>
      </c>
      <c r="F79" s="8" t="s">
        <v>508</v>
      </c>
      <c r="G79" s="8" t="s">
        <v>16</v>
      </c>
      <c r="H79" s="8">
        <v>-4</v>
      </c>
      <c r="I79" s="9">
        <v>-1</v>
      </c>
      <c r="J79" s="8">
        <v>272</v>
      </c>
      <c r="K79" s="11">
        <f>+VLOOKUP(Tabla1[[#This Row],[CODE ERP]],[1]!Tabla1[[SKU]:[Costo CD]],3,0)</f>
        <v>176.81</v>
      </c>
      <c r="L79" s="11">
        <f>+Tabla1[[#This Row],[COSTO,U]]*Tabla1[[#This Row],[UNIDADES]]</f>
        <v>-707.24</v>
      </c>
      <c r="M79" s="10" t="s">
        <v>17</v>
      </c>
    </row>
    <row r="80" spans="1:13" ht="30" x14ac:dyDescent="0.3">
      <c r="A80" s="6">
        <v>54760</v>
      </c>
      <c r="B80" s="7" t="s">
        <v>32</v>
      </c>
      <c r="C80" s="7" t="s">
        <v>476</v>
      </c>
      <c r="D80" s="8" t="s">
        <v>374</v>
      </c>
      <c r="E80" s="8" t="s">
        <v>477</v>
      </c>
      <c r="F80" s="8" t="s">
        <v>478</v>
      </c>
      <c r="G80" s="8" t="s">
        <v>16</v>
      </c>
      <c r="H80" s="8">
        <v>-125</v>
      </c>
      <c r="I80" s="9">
        <v>-5</v>
      </c>
      <c r="J80" s="8">
        <v>3425</v>
      </c>
      <c r="K80" s="11">
        <f>+VLOOKUP(Tabla1[[#This Row],[CODE ERP]],[1]!Tabla1[[SKU]:[Costo CD]],3,0)</f>
        <v>5.54</v>
      </c>
      <c r="L80" s="11">
        <f>+Tabla1[[#This Row],[COSTO,U]]*Tabla1[[#This Row],[UNIDADES]]</f>
        <v>-692.5</v>
      </c>
      <c r="M80" s="10" t="s">
        <v>17</v>
      </c>
    </row>
    <row r="81" spans="1:13" ht="30" x14ac:dyDescent="0.3">
      <c r="A81" s="6">
        <v>2035190</v>
      </c>
      <c r="B81" s="7" t="s">
        <v>292</v>
      </c>
      <c r="C81" s="7" t="s">
        <v>293</v>
      </c>
      <c r="D81" s="8" t="s">
        <v>271</v>
      </c>
      <c r="E81" s="8" t="s">
        <v>294</v>
      </c>
      <c r="F81" s="8" t="s">
        <v>295</v>
      </c>
      <c r="G81" s="8" t="s">
        <v>16</v>
      </c>
      <c r="H81" s="8">
        <v>-15</v>
      </c>
      <c r="I81" s="9">
        <v>-3</v>
      </c>
      <c r="J81" s="8">
        <v>5</v>
      </c>
      <c r="K81" s="11">
        <f>+VLOOKUP(Tabla1[[#This Row],[CODE ERP]],[1]!Tabla1[[SKU]:[Costo CD]],3,0)</f>
        <v>46.13</v>
      </c>
      <c r="L81" s="11">
        <f>+Tabla1[[#This Row],[COSTO,U]]*Tabla1[[#This Row],[UNIDADES]]</f>
        <v>-691.95</v>
      </c>
      <c r="M81" s="10" t="s">
        <v>17</v>
      </c>
    </row>
    <row r="82" spans="1:13" ht="30" x14ac:dyDescent="0.3">
      <c r="A82" s="6">
        <v>114067</v>
      </c>
      <c r="B82" s="7" t="s">
        <v>133</v>
      </c>
      <c r="C82" s="7" t="s">
        <v>364</v>
      </c>
      <c r="D82" s="8" t="s">
        <v>225</v>
      </c>
      <c r="E82" s="8" t="s">
        <v>134</v>
      </c>
      <c r="F82" s="8" t="s">
        <v>135</v>
      </c>
      <c r="G82" s="8" t="s">
        <v>16</v>
      </c>
      <c r="H82" s="8">
        <v>-72</v>
      </c>
      <c r="I82" s="9">
        <v>-3</v>
      </c>
      <c r="J82" s="8">
        <v>6696</v>
      </c>
      <c r="K82" s="11">
        <f>+VLOOKUP(Tabla1[[#This Row],[CODE ERP]],[1]!Tabla1[[SKU]:[Costo CD]],3,0)</f>
        <v>9.51</v>
      </c>
      <c r="L82" s="11">
        <f>+Tabla1[[#This Row],[COSTO,U]]*Tabla1[[#This Row],[UNIDADES]]</f>
        <v>-684.72</v>
      </c>
      <c r="M82" s="10" t="s">
        <v>17</v>
      </c>
    </row>
    <row r="83" spans="1:13" ht="30" x14ac:dyDescent="0.3">
      <c r="A83" s="6">
        <v>2086981</v>
      </c>
      <c r="B83" s="7" t="s">
        <v>501</v>
      </c>
      <c r="C83" s="7" t="s">
        <v>502</v>
      </c>
      <c r="D83" s="8" t="s">
        <v>18</v>
      </c>
      <c r="E83" s="8" t="s">
        <v>503</v>
      </c>
      <c r="F83" s="8" t="s">
        <v>504</v>
      </c>
      <c r="G83" s="8" t="s">
        <v>16</v>
      </c>
      <c r="H83" s="8">
        <v>-12</v>
      </c>
      <c r="I83" s="9">
        <v>-1</v>
      </c>
      <c r="J83" s="8">
        <v>204</v>
      </c>
      <c r="K83" s="11">
        <f>+VLOOKUP(Tabla1[[#This Row],[CODE ERP]],[1]!Tabla1[[SKU]:[Costo CD]],3,0)</f>
        <v>56.33</v>
      </c>
      <c r="L83" s="11">
        <f>+Tabla1[[#This Row],[COSTO,U]]*Tabla1[[#This Row],[UNIDADES]]</f>
        <v>-675.96</v>
      </c>
      <c r="M83" s="10" t="s">
        <v>17</v>
      </c>
    </row>
    <row r="84" spans="1:13" ht="30" x14ac:dyDescent="0.3">
      <c r="A84" s="6">
        <v>2079572</v>
      </c>
      <c r="B84" s="7" t="s">
        <v>179</v>
      </c>
      <c r="C84" s="7" t="s">
        <v>180</v>
      </c>
      <c r="D84" s="8" t="s">
        <v>21</v>
      </c>
      <c r="E84" s="8" t="s">
        <v>181</v>
      </c>
      <c r="F84" s="8" t="s">
        <v>182</v>
      </c>
      <c r="G84" s="8" t="s">
        <v>16</v>
      </c>
      <c r="H84" s="8">
        <v>-56</v>
      </c>
      <c r="I84" s="9">
        <v>-2</v>
      </c>
      <c r="J84" s="8">
        <v>728</v>
      </c>
      <c r="K84" s="11">
        <f>+VLOOKUP(Tabla1[[#This Row],[CODE ERP]],[1]!Tabla1[[SKU]:[Costo CD]],3,0)</f>
        <v>11.84</v>
      </c>
      <c r="L84" s="11">
        <f>+Tabla1[[#This Row],[COSTO,U]]*Tabla1[[#This Row],[UNIDADES]]</f>
        <v>-663.04</v>
      </c>
      <c r="M84" s="10" t="s">
        <v>17</v>
      </c>
    </row>
    <row r="85" spans="1:13" ht="30" x14ac:dyDescent="0.3">
      <c r="A85" s="6">
        <v>2074067</v>
      </c>
      <c r="B85" s="7" t="s">
        <v>168</v>
      </c>
      <c r="C85" s="7" t="s">
        <v>301</v>
      </c>
      <c r="D85" s="8" t="s">
        <v>280</v>
      </c>
      <c r="E85" s="8" t="s">
        <v>170</v>
      </c>
      <c r="F85" s="8" t="s">
        <v>171</v>
      </c>
      <c r="G85" s="8" t="s">
        <v>16</v>
      </c>
      <c r="H85" s="8">
        <v>-6</v>
      </c>
      <c r="I85" s="9">
        <v>-1</v>
      </c>
      <c r="J85" s="8">
        <v>450</v>
      </c>
      <c r="K85" s="11">
        <f>+VLOOKUP(Tabla1[[#This Row],[CODE ERP]],[1]!Tabla1[[SKU]:[Costo CD]],3,0)</f>
        <v>107.24</v>
      </c>
      <c r="L85" s="11">
        <f>+Tabla1[[#This Row],[COSTO,U]]*Tabla1[[#This Row],[UNIDADES]]</f>
        <v>-643.43999999999994</v>
      </c>
      <c r="M85" s="10" t="s">
        <v>17</v>
      </c>
    </row>
    <row r="86" spans="1:13" ht="30" x14ac:dyDescent="0.3">
      <c r="A86" s="6">
        <v>2074065</v>
      </c>
      <c r="B86" s="7" t="s">
        <v>384</v>
      </c>
      <c r="C86" s="7" t="s">
        <v>385</v>
      </c>
      <c r="D86" s="8" t="s">
        <v>373</v>
      </c>
      <c r="E86" s="8" t="s">
        <v>386</v>
      </c>
      <c r="F86" s="8" t="s">
        <v>387</v>
      </c>
      <c r="G86" s="8" t="s">
        <v>16</v>
      </c>
      <c r="H86" s="8">
        <v>-6</v>
      </c>
      <c r="I86" s="9">
        <v>-1</v>
      </c>
      <c r="J86" s="8">
        <v>444</v>
      </c>
      <c r="K86" s="11">
        <f>+VLOOKUP(Tabla1[[#This Row],[CODE ERP]],[1]!Tabla1[[SKU]:[Costo CD]],3,0)</f>
        <v>107.24</v>
      </c>
      <c r="L86" s="11">
        <f>+Tabla1[[#This Row],[COSTO,U]]*Tabla1[[#This Row],[UNIDADES]]</f>
        <v>-643.43999999999994</v>
      </c>
      <c r="M86" s="10" t="s">
        <v>17</v>
      </c>
    </row>
    <row r="87" spans="1:13" ht="30" x14ac:dyDescent="0.3">
      <c r="A87" s="6">
        <v>2079928</v>
      </c>
      <c r="B87" s="7" t="s">
        <v>415</v>
      </c>
      <c r="C87" s="7" t="s">
        <v>416</v>
      </c>
      <c r="D87" s="8" t="s">
        <v>379</v>
      </c>
      <c r="E87" s="8" t="s">
        <v>417</v>
      </c>
      <c r="F87" s="8" t="s">
        <v>418</v>
      </c>
      <c r="G87" s="8" t="s">
        <v>16</v>
      </c>
      <c r="H87" s="8">
        <v>-12</v>
      </c>
      <c r="I87" s="9">
        <v>-1</v>
      </c>
      <c r="J87" s="8">
        <v>132</v>
      </c>
      <c r="K87" s="11">
        <f>+VLOOKUP(Tabla1[[#This Row],[CODE ERP]],[1]!Tabla1[[SKU]:[Costo CD]],3,0)</f>
        <v>53.38</v>
      </c>
      <c r="L87" s="11">
        <f>+Tabla1[[#This Row],[COSTO,U]]*Tabla1[[#This Row],[UNIDADES]]</f>
        <v>-640.56000000000006</v>
      </c>
      <c r="M87" s="10" t="s">
        <v>17</v>
      </c>
    </row>
    <row r="88" spans="1:13" ht="30" x14ac:dyDescent="0.3">
      <c r="A88" s="6">
        <v>2076801</v>
      </c>
      <c r="B88" s="7" t="s">
        <v>324</v>
      </c>
      <c r="C88" s="7" t="s">
        <v>325</v>
      </c>
      <c r="D88" s="8" t="s">
        <v>228</v>
      </c>
      <c r="E88" s="8" t="s">
        <v>326</v>
      </c>
      <c r="F88" s="8" t="s">
        <v>327</v>
      </c>
      <c r="G88" s="8" t="s">
        <v>16</v>
      </c>
      <c r="H88" s="8">
        <v>-24</v>
      </c>
      <c r="I88" s="9">
        <v>-2</v>
      </c>
      <c r="J88" s="8">
        <v>732</v>
      </c>
      <c r="K88" s="11">
        <f>+VLOOKUP(Tabla1[[#This Row],[CODE ERP]],[1]!Tabla1[[SKU]:[Costo CD]],3,0)</f>
        <v>26.18</v>
      </c>
      <c r="L88" s="11">
        <f>+Tabla1[[#This Row],[COSTO,U]]*Tabla1[[#This Row],[UNIDADES]]</f>
        <v>-628.31999999999994</v>
      </c>
      <c r="M88" s="10" t="s">
        <v>17</v>
      </c>
    </row>
    <row r="89" spans="1:13" ht="30" x14ac:dyDescent="0.3">
      <c r="A89" s="6">
        <v>2053115</v>
      </c>
      <c r="B89" s="7" t="s">
        <v>448</v>
      </c>
      <c r="C89" s="7" t="s">
        <v>449</v>
      </c>
      <c r="D89" s="8" t="s">
        <v>390</v>
      </c>
      <c r="E89" s="8" t="s">
        <v>450</v>
      </c>
      <c r="F89" s="8" t="s">
        <v>451</v>
      </c>
      <c r="G89" s="8" t="s">
        <v>16</v>
      </c>
      <c r="H89" s="8">
        <v>-24</v>
      </c>
      <c r="I89" s="9">
        <v>-2</v>
      </c>
      <c r="J89" s="8">
        <v>36</v>
      </c>
      <c r="K89" s="11">
        <f>+VLOOKUP(Tabla1[[#This Row],[CODE ERP]],[1]!Tabla1[[SKU]:[Costo CD]],3,0)</f>
        <v>26.16</v>
      </c>
      <c r="L89" s="11">
        <f>+Tabla1[[#This Row],[COSTO,U]]*Tabla1[[#This Row],[UNIDADES]]</f>
        <v>-627.84</v>
      </c>
      <c r="M89" s="10" t="s">
        <v>17</v>
      </c>
    </row>
    <row r="90" spans="1:13" ht="30" x14ac:dyDescent="0.3">
      <c r="A90" s="6">
        <v>2053510</v>
      </c>
      <c r="B90" s="7" t="s">
        <v>140</v>
      </c>
      <c r="C90" s="7" t="s">
        <v>353</v>
      </c>
      <c r="D90" s="8" t="s">
        <v>258</v>
      </c>
      <c r="E90" s="8" t="s">
        <v>141</v>
      </c>
      <c r="F90" s="8" t="s">
        <v>142</v>
      </c>
      <c r="G90" s="8" t="s">
        <v>16</v>
      </c>
      <c r="H90" s="8">
        <v>-12</v>
      </c>
      <c r="I90" s="9">
        <v>-1</v>
      </c>
      <c r="J90" s="8">
        <v>2172</v>
      </c>
      <c r="K90" s="11">
        <f>+VLOOKUP(Tabla1[[#This Row],[CODE ERP]],[1]!Tabla1[[SKU]:[Costo CD]],3,0)</f>
        <v>51.55</v>
      </c>
      <c r="L90" s="11">
        <f>+Tabla1[[#This Row],[COSTO,U]]*Tabla1[[#This Row],[UNIDADES]]</f>
        <v>-618.59999999999991</v>
      </c>
      <c r="M90" s="10" t="s">
        <v>17</v>
      </c>
    </row>
    <row r="91" spans="1:13" ht="30" x14ac:dyDescent="0.3">
      <c r="A91" s="6">
        <v>77072</v>
      </c>
      <c r="B91" s="7" t="s">
        <v>95</v>
      </c>
      <c r="C91" s="7" t="s">
        <v>96</v>
      </c>
      <c r="D91" s="8" t="s">
        <v>40</v>
      </c>
      <c r="E91" s="8" t="s">
        <v>97</v>
      </c>
      <c r="F91" s="8" t="s">
        <v>98</v>
      </c>
      <c r="G91" s="8" t="s">
        <v>16</v>
      </c>
      <c r="H91" s="8">
        <v>-6</v>
      </c>
      <c r="I91" s="9">
        <v>-1</v>
      </c>
      <c r="J91" s="8">
        <v>144</v>
      </c>
      <c r="K91" s="11">
        <f>+VLOOKUP(Tabla1[[#This Row],[CODE ERP]],[1]!Tabla1[[SKU]:[Costo CD]],3,0)</f>
        <v>102.51</v>
      </c>
      <c r="L91" s="11">
        <f>+Tabla1[[#This Row],[COSTO,U]]*Tabla1[[#This Row],[UNIDADES]]</f>
        <v>-615.06000000000006</v>
      </c>
      <c r="M91" s="10" t="s">
        <v>17</v>
      </c>
    </row>
    <row r="92" spans="1:13" ht="30" x14ac:dyDescent="0.3">
      <c r="A92" s="6">
        <v>113094</v>
      </c>
      <c r="B92" s="7" t="s">
        <v>74</v>
      </c>
      <c r="C92" s="7" t="s">
        <v>75</v>
      </c>
      <c r="D92" s="8" t="s">
        <v>76</v>
      </c>
      <c r="E92" s="8" t="s">
        <v>77</v>
      </c>
      <c r="F92" s="8" t="s">
        <v>78</v>
      </c>
      <c r="G92" s="8" t="s">
        <v>16</v>
      </c>
      <c r="H92" s="8">
        <v>-4</v>
      </c>
      <c r="I92" s="9">
        <v>-4</v>
      </c>
      <c r="J92" s="8">
        <v>269</v>
      </c>
      <c r="K92" s="11">
        <f>+VLOOKUP(Tabla1[[#This Row],[CODE ERP]],[1]!Tabla1[[SKU]:[Costo CD]],3,0)</f>
        <v>153.62</v>
      </c>
      <c r="L92" s="11">
        <f>+Tabla1[[#This Row],[COSTO,U]]*Tabla1[[#This Row],[UNIDADES]]</f>
        <v>-614.48</v>
      </c>
      <c r="M92" s="10" t="s">
        <v>17</v>
      </c>
    </row>
    <row r="93" spans="1:13" ht="30" x14ac:dyDescent="0.3">
      <c r="A93" s="6">
        <v>11906</v>
      </c>
      <c r="B93" s="7" t="s">
        <v>159</v>
      </c>
      <c r="C93" s="7" t="s">
        <v>160</v>
      </c>
      <c r="D93" s="8" t="s">
        <v>116</v>
      </c>
      <c r="E93" s="8" t="s">
        <v>161</v>
      </c>
      <c r="F93" s="8" t="s">
        <v>162</v>
      </c>
      <c r="G93" s="8" t="s">
        <v>16</v>
      </c>
      <c r="H93" s="8">
        <v>-48</v>
      </c>
      <c r="I93" s="9">
        <v>-1</v>
      </c>
      <c r="J93" s="8">
        <v>3072</v>
      </c>
      <c r="K93" s="11">
        <f>+VLOOKUP(Tabla1[[#This Row],[CODE ERP]],[1]!Tabla1[[SKU]:[Costo CD]],3,0)</f>
        <v>12.72</v>
      </c>
      <c r="L93" s="11">
        <f>+Tabla1[[#This Row],[COSTO,U]]*Tabla1[[#This Row],[UNIDADES]]</f>
        <v>-610.56000000000006</v>
      </c>
      <c r="M93" s="10" t="s">
        <v>17</v>
      </c>
    </row>
    <row r="94" spans="1:13" ht="30" x14ac:dyDescent="0.3">
      <c r="A94" s="6">
        <v>108899</v>
      </c>
      <c r="B94" s="7" t="s">
        <v>281</v>
      </c>
      <c r="C94" s="7" t="s">
        <v>282</v>
      </c>
      <c r="D94" s="8" t="s">
        <v>265</v>
      </c>
      <c r="E94" s="8" t="s">
        <v>283</v>
      </c>
      <c r="F94" s="8" t="s">
        <v>284</v>
      </c>
      <c r="G94" s="8" t="s">
        <v>16</v>
      </c>
      <c r="H94" s="8">
        <v>-24</v>
      </c>
      <c r="I94" s="9">
        <v>-1</v>
      </c>
      <c r="J94" s="8">
        <v>4128</v>
      </c>
      <c r="K94" s="11">
        <f>+VLOOKUP(Tabla1[[#This Row],[CODE ERP]],[1]!Tabla1[[SKU]:[Costo CD]],3,0)</f>
        <v>25.17</v>
      </c>
      <c r="L94" s="11">
        <f>+Tabla1[[#This Row],[COSTO,U]]*Tabla1[[#This Row],[UNIDADES]]</f>
        <v>-604.08000000000004</v>
      </c>
      <c r="M94" s="10" t="s">
        <v>17</v>
      </c>
    </row>
    <row r="95" spans="1:13" ht="30" x14ac:dyDescent="0.3">
      <c r="A95" s="6">
        <v>2083187</v>
      </c>
      <c r="B95" s="7" t="s">
        <v>70</v>
      </c>
      <c r="C95" s="7" t="s">
        <v>71</v>
      </c>
      <c r="D95" s="8" t="s">
        <v>13</v>
      </c>
      <c r="E95" s="8" t="s">
        <v>72</v>
      </c>
      <c r="F95" s="8" t="s">
        <v>73</v>
      </c>
      <c r="G95" s="8" t="s">
        <v>16</v>
      </c>
      <c r="H95" s="8">
        <v>-18</v>
      </c>
      <c r="I95" s="9">
        <v>-3</v>
      </c>
      <c r="J95" s="8">
        <v>276</v>
      </c>
      <c r="K95" s="11">
        <f>+VLOOKUP(Tabla1[[#This Row],[CODE ERP]],[1]!Tabla1[[SKU]:[Costo CD]],3,0)</f>
        <v>33.479999999999997</v>
      </c>
      <c r="L95" s="11">
        <f>+Tabla1[[#This Row],[COSTO,U]]*Tabla1[[#This Row],[UNIDADES]]</f>
        <v>-602.64</v>
      </c>
      <c r="M95" s="10" t="s">
        <v>17</v>
      </c>
    </row>
    <row r="96" spans="1:13" ht="30" x14ac:dyDescent="0.3">
      <c r="A96" s="6">
        <v>2041738</v>
      </c>
      <c r="B96" s="7" t="s">
        <v>423</v>
      </c>
      <c r="C96" s="7" t="s">
        <v>513</v>
      </c>
      <c r="D96" s="8" t="s">
        <v>58</v>
      </c>
      <c r="E96" s="8" t="s">
        <v>424</v>
      </c>
      <c r="F96" s="8" t="s">
        <v>425</v>
      </c>
      <c r="G96" s="8" t="s">
        <v>16</v>
      </c>
      <c r="H96" s="8">
        <v>-96</v>
      </c>
      <c r="I96" s="9">
        <v>-2</v>
      </c>
      <c r="J96" s="8">
        <v>2688</v>
      </c>
      <c r="K96" s="11">
        <f>+VLOOKUP(Tabla1[[#This Row],[CODE ERP]],[1]!Tabla1[[SKU]:[Costo CD]],3,0)</f>
        <v>6.21</v>
      </c>
      <c r="L96" s="11">
        <f>+Tabla1[[#This Row],[COSTO,U]]*Tabla1[[#This Row],[UNIDADES]]</f>
        <v>-596.16</v>
      </c>
      <c r="M96" s="10" t="s">
        <v>17</v>
      </c>
    </row>
    <row r="97" spans="1:13" ht="30" x14ac:dyDescent="0.3">
      <c r="A97" s="6">
        <v>3221</v>
      </c>
      <c r="B97" s="7" t="s">
        <v>259</v>
      </c>
      <c r="C97" s="7" t="s">
        <v>260</v>
      </c>
      <c r="D97" s="8" t="s">
        <v>261</v>
      </c>
      <c r="E97" s="8" t="s">
        <v>262</v>
      </c>
      <c r="F97" s="8" t="s">
        <v>263</v>
      </c>
      <c r="G97" s="8" t="s">
        <v>231</v>
      </c>
      <c r="H97" s="8">
        <v>-24</v>
      </c>
      <c r="I97" s="9">
        <v>-2</v>
      </c>
      <c r="J97" s="8">
        <v>204</v>
      </c>
      <c r="K97" s="11">
        <f>+VLOOKUP(Tabla1[[#This Row],[CODE ERP]],[1]!Tabla1[[SKU]:[Costo CD]],3,0)</f>
        <v>24.55</v>
      </c>
      <c r="L97" s="11">
        <f>+Tabla1[[#This Row],[COSTO,U]]*Tabla1[[#This Row],[UNIDADES]]</f>
        <v>-589.20000000000005</v>
      </c>
      <c r="M97" s="10" t="s">
        <v>17</v>
      </c>
    </row>
    <row r="98" spans="1:13" ht="30" x14ac:dyDescent="0.3">
      <c r="A98" s="6">
        <v>69777</v>
      </c>
      <c r="B98" s="7" t="s">
        <v>272</v>
      </c>
      <c r="C98" s="7" t="s">
        <v>273</v>
      </c>
      <c r="D98" s="8" t="s">
        <v>243</v>
      </c>
      <c r="E98" s="8" t="s">
        <v>274</v>
      </c>
      <c r="F98" s="8" t="s">
        <v>275</v>
      </c>
      <c r="G98" s="8" t="s">
        <v>16</v>
      </c>
      <c r="H98" s="8">
        <v>-18</v>
      </c>
      <c r="I98" s="9">
        <v>-3</v>
      </c>
      <c r="J98" s="8">
        <v>606</v>
      </c>
      <c r="K98" s="11">
        <f>+VLOOKUP(Tabla1[[#This Row],[CODE ERP]],[1]!Tabla1[[SKU]:[Costo CD]],3,0)</f>
        <v>32.1</v>
      </c>
      <c r="L98" s="11">
        <f>+Tabla1[[#This Row],[COSTO,U]]*Tabla1[[#This Row],[UNIDADES]]</f>
        <v>-577.80000000000007</v>
      </c>
      <c r="M98" s="10" t="s">
        <v>17</v>
      </c>
    </row>
    <row r="99" spans="1:13" ht="30" x14ac:dyDescent="0.3">
      <c r="A99" s="6">
        <v>2010865</v>
      </c>
      <c r="B99" s="7" t="s">
        <v>59</v>
      </c>
      <c r="C99" s="7" t="s">
        <v>210</v>
      </c>
      <c r="D99" s="8" t="s">
        <v>19</v>
      </c>
      <c r="E99" s="8" t="s">
        <v>211</v>
      </c>
      <c r="F99" s="8" t="s">
        <v>212</v>
      </c>
      <c r="G99" s="8" t="s">
        <v>16</v>
      </c>
      <c r="H99" s="8">
        <v>-28</v>
      </c>
      <c r="I99" s="9">
        <v>-2</v>
      </c>
      <c r="J99" s="8">
        <v>2142</v>
      </c>
      <c r="K99" s="11">
        <f>+VLOOKUP(Tabla1[[#This Row],[CODE ERP]],[1]!Tabla1[[SKU]:[Costo CD]],3,0)</f>
        <v>20.63</v>
      </c>
      <c r="L99" s="11">
        <f>+Tabla1[[#This Row],[COSTO,U]]*Tabla1[[#This Row],[UNIDADES]]</f>
        <v>-577.64</v>
      </c>
      <c r="M99" s="10" t="s">
        <v>17</v>
      </c>
    </row>
    <row r="100" spans="1:13" ht="30" x14ac:dyDescent="0.3">
      <c r="A100" s="6">
        <v>2010864</v>
      </c>
      <c r="B100" s="7" t="s">
        <v>440</v>
      </c>
      <c r="C100" s="7" t="s">
        <v>441</v>
      </c>
      <c r="D100" s="8" t="s">
        <v>379</v>
      </c>
      <c r="E100" s="8" t="s">
        <v>442</v>
      </c>
      <c r="F100" s="8" t="s">
        <v>443</v>
      </c>
      <c r="G100" s="8" t="s">
        <v>16</v>
      </c>
      <c r="H100" s="8">
        <v>-28</v>
      </c>
      <c r="I100" s="9">
        <v>-2</v>
      </c>
      <c r="J100" s="8">
        <v>2674</v>
      </c>
      <c r="K100" s="11">
        <f>+VLOOKUP(Tabla1[[#This Row],[CODE ERP]],[1]!Tabla1[[SKU]:[Costo CD]],3,0)</f>
        <v>20.63</v>
      </c>
      <c r="L100" s="11">
        <f>+Tabla1[[#This Row],[COSTO,U]]*Tabla1[[#This Row],[UNIDADES]]</f>
        <v>-577.64</v>
      </c>
      <c r="M100" s="10" t="s">
        <v>17</v>
      </c>
    </row>
    <row r="101" spans="1:13" ht="30" x14ac:dyDescent="0.3">
      <c r="A101" s="6">
        <v>108258</v>
      </c>
      <c r="B101" s="7" t="s">
        <v>50</v>
      </c>
      <c r="C101" s="7" t="s">
        <v>51</v>
      </c>
      <c r="D101" s="8" t="s">
        <v>24</v>
      </c>
      <c r="E101" s="8" t="s">
        <v>52</v>
      </c>
      <c r="F101" s="8" t="s">
        <v>53</v>
      </c>
      <c r="G101" s="8" t="s">
        <v>16</v>
      </c>
      <c r="H101" s="8">
        <v>-12</v>
      </c>
      <c r="I101" s="9">
        <v>-2</v>
      </c>
      <c r="J101" s="8">
        <v>420</v>
      </c>
      <c r="K101" s="11">
        <f>+VLOOKUP(Tabla1[[#This Row],[CODE ERP]],[1]!Tabla1[[SKU]:[Costo CD]],3,0)</f>
        <v>47.82</v>
      </c>
      <c r="L101" s="11">
        <f>+Tabla1[[#This Row],[COSTO,U]]*Tabla1[[#This Row],[UNIDADES]]</f>
        <v>-573.84</v>
      </c>
      <c r="M101" s="10" t="s">
        <v>17</v>
      </c>
    </row>
    <row r="102" spans="1:13" ht="30" x14ac:dyDescent="0.3">
      <c r="A102" s="6">
        <v>108258</v>
      </c>
      <c r="B102" s="7" t="s">
        <v>50</v>
      </c>
      <c r="C102" s="7" t="s">
        <v>51</v>
      </c>
      <c r="D102" s="8" t="s">
        <v>24</v>
      </c>
      <c r="E102" s="8" t="s">
        <v>52</v>
      </c>
      <c r="F102" s="8" t="s">
        <v>53</v>
      </c>
      <c r="G102" s="8" t="s">
        <v>16</v>
      </c>
      <c r="H102" s="8">
        <v>-12</v>
      </c>
      <c r="I102" s="9">
        <v>-2</v>
      </c>
      <c r="J102" s="8">
        <v>420</v>
      </c>
      <c r="K102" s="11">
        <f>+VLOOKUP(Tabla1[[#This Row],[CODE ERP]],[1]!Tabla1[[SKU]:[Costo CD]],3,0)</f>
        <v>47.82</v>
      </c>
      <c r="L102" s="11">
        <f>+Tabla1[[#This Row],[COSTO,U]]*Tabla1[[#This Row],[UNIDADES]]</f>
        <v>-573.84</v>
      </c>
      <c r="M102" s="10" t="s">
        <v>17</v>
      </c>
    </row>
    <row r="103" spans="1:13" ht="30" x14ac:dyDescent="0.3">
      <c r="A103" s="6">
        <v>7030</v>
      </c>
      <c r="B103" s="7" t="s">
        <v>86</v>
      </c>
      <c r="C103" s="7" t="s">
        <v>87</v>
      </c>
      <c r="D103" s="8" t="s">
        <v>24</v>
      </c>
      <c r="E103" s="8" t="s">
        <v>88</v>
      </c>
      <c r="F103" s="8" t="s">
        <v>89</v>
      </c>
      <c r="G103" s="8" t="s">
        <v>16</v>
      </c>
      <c r="H103" s="8">
        <v>-24</v>
      </c>
      <c r="I103" s="9">
        <v>-2</v>
      </c>
      <c r="J103" s="8">
        <v>1404</v>
      </c>
      <c r="K103" s="11">
        <f>+VLOOKUP(Tabla1[[#This Row],[CODE ERP]],[1]!Tabla1[[SKU]:[Costo CD]],3,0)</f>
        <v>23.88</v>
      </c>
      <c r="L103" s="11">
        <f>+Tabla1[[#This Row],[COSTO,U]]*Tabla1[[#This Row],[UNIDADES]]</f>
        <v>-573.12</v>
      </c>
      <c r="M103" s="10" t="s">
        <v>17</v>
      </c>
    </row>
    <row r="104" spans="1:13" ht="30" x14ac:dyDescent="0.3">
      <c r="A104" s="6">
        <v>350</v>
      </c>
      <c r="B104" s="7" t="s">
        <v>35</v>
      </c>
      <c r="C104" s="7" t="s">
        <v>36</v>
      </c>
      <c r="D104" s="8" t="s">
        <v>24</v>
      </c>
      <c r="E104" s="8" t="s">
        <v>37</v>
      </c>
      <c r="F104" s="8" t="s">
        <v>38</v>
      </c>
      <c r="G104" s="8" t="s">
        <v>16</v>
      </c>
      <c r="H104" s="8">
        <v>-7</v>
      </c>
      <c r="I104" s="9">
        <v>-7</v>
      </c>
      <c r="J104" s="8">
        <v>2457</v>
      </c>
      <c r="K104" s="11">
        <f>+VLOOKUP(Tabla1[[#This Row],[CODE ERP]],[1]!Tabla1[[SKU]:[Costo CD]],3,0)</f>
        <v>81.25</v>
      </c>
      <c r="L104" s="11">
        <f>+Tabla1[[#This Row],[COSTO,U]]*Tabla1[[#This Row],[UNIDADES]]</f>
        <v>-568.75</v>
      </c>
      <c r="M104" s="10" t="s">
        <v>17</v>
      </c>
    </row>
    <row r="105" spans="1:13" ht="30" x14ac:dyDescent="0.3">
      <c r="A105" s="6">
        <v>4082</v>
      </c>
      <c r="B105" s="7" t="s">
        <v>405</v>
      </c>
      <c r="C105" s="7" t="s">
        <v>406</v>
      </c>
      <c r="D105" s="8" t="s">
        <v>394</v>
      </c>
      <c r="E105" s="8" t="s">
        <v>407</v>
      </c>
      <c r="F105" s="8" t="s">
        <v>408</v>
      </c>
      <c r="G105" s="8" t="s">
        <v>16</v>
      </c>
      <c r="H105" s="8">
        <v>-204</v>
      </c>
      <c r="I105" s="9">
        <v>-17</v>
      </c>
      <c r="J105" s="8">
        <v>3564</v>
      </c>
      <c r="K105" s="11">
        <f>+VLOOKUP(Tabla1[[#This Row],[CODE ERP]],[1]!Tabla1[[SKU]:[Costo CD]],3,0)</f>
        <v>2.78</v>
      </c>
      <c r="L105" s="11">
        <f>+Tabla1[[#This Row],[COSTO,U]]*Tabla1[[#This Row],[UNIDADES]]</f>
        <v>-567.12</v>
      </c>
      <c r="M105" s="10" t="s">
        <v>17</v>
      </c>
    </row>
    <row r="106" spans="1:13" ht="30" x14ac:dyDescent="0.3">
      <c r="A106" s="6">
        <v>2046379</v>
      </c>
      <c r="B106" s="7" t="s">
        <v>124</v>
      </c>
      <c r="C106" s="7" t="s">
        <v>125</v>
      </c>
      <c r="D106" s="8" t="s">
        <v>54</v>
      </c>
      <c r="E106" s="8" t="s">
        <v>126</v>
      </c>
      <c r="F106" s="8" t="s">
        <v>127</v>
      </c>
      <c r="G106" s="8" t="s">
        <v>16</v>
      </c>
      <c r="H106" s="8">
        <v>-48</v>
      </c>
      <c r="I106" s="9">
        <v>-2</v>
      </c>
      <c r="J106" s="8">
        <v>24</v>
      </c>
      <c r="K106" s="11">
        <f>+VLOOKUP(Tabla1[[#This Row],[CODE ERP]],[1]!Tabla1[[SKU]:[Costo CD]],3,0)</f>
        <v>11.77</v>
      </c>
      <c r="L106" s="11">
        <f>+Tabla1[[#This Row],[COSTO,U]]*Tabla1[[#This Row],[UNIDADES]]</f>
        <v>-564.96</v>
      </c>
      <c r="M106" s="10" t="s">
        <v>17</v>
      </c>
    </row>
    <row r="107" spans="1:13" ht="30" x14ac:dyDescent="0.3">
      <c r="A107" s="6">
        <v>2069654</v>
      </c>
      <c r="B107" s="7" t="s">
        <v>41</v>
      </c>
      <c r="C107" s="7" t="s">
        <v>42</v>
      </c>
      <c r="D107" s="8" t="s">
        <v>18</v>
      </c>
      <c r="E107" s="8" t="s">
        <v>43</v>
      </c>
      <c r="F107" s="8" t="s">
        <v>44</v>
      </c>
      <c r="G107" s="8" t="s">
        <v>16</v>
      </c>
      <c r="H107" s="8">
        <v>-10</v>
      </c>
      <c r="I107" s="9">
        <v>-1</v>
      </c>
      <c r="J107" s="8">
        <v>540</v>
      </c>
      <c r="K107" s="11">
        <f>+VLOOKUP(Tabla1[[#This Row],[CODE ERP]],[1]!Tabla1[[SKU]:[Costo CD]],3,0)</f>
        <v>56.26</v>
      </c>
      <c r="L107" s="11">
        <f>+Tabla1[[#This Row],[COSTO,U]]*Tabla1[[#This Row],[UNIDADES]]</f>
        <v>-562.6</v>
      </c>
      <c r="M107" s="10" t="s">
        <v>17</v>
      </c>
    </row>
    <row r="108" spans="1:13" ht="30" x14ac:dyDescent="0.3">
      <c r="A108" s="6">
        <v>41282</v>
      </c>
      <c r="B108" s="7" t="s">
        <v>369</v>
      </c>
      <c r="C108" s="7" t="s">
        <v>370</v>
      </c>
      <c r="D108" s="8" t="s">
        <v>280</v>
      </c>
      <c r="E108" s="8" t="s">
        <v>371</v>
      </c>
      <c r="F108" s="8" t="s">
        <v>372</v>
      </c>
      <c r="G108" s="8" t="s">
        <v>16</v>
      </c>
      <c r="H108" s="8">
        <v>-6</v>
      </c>
      <c r="I108" s="9">
        <v>-1</v>
      </c>
      <c r="J108" s="8">
        <v>780</v>
      </c>
      <c r="K108" s="11">
        <f>+VLOOKUP(Tabla1[[#This Row],[CODE ERP]],[1]!Tabla1[[SKU]:[Costo CD]],3,0)</f>
        <v>93.45</v>
      </c>
      <c r="L108" s="11">
        <f>+Tabla1[[#This Row],[COSTO,U]]*Tabla1[[#This Row],[UNIDADES]]</f>
        <v>-560.70000000000005</v>
      </c>
      <c r="M108" s="10" t="s">
        <v>17</v>
      </c>
    </row>
    <row r="109" spans="1:13" ht="30" x14ac:dyDescent="0.3">
      <c r="A109" s="6">
        <v>2021526</v>
      </c>
      <c r="B109" s="7" t="s">
        <v>302</v>
      </c>
      <c r="C109" s="7" t="s">
        <v>303</v>
      </c>
      <c r="D109" s="8" t="s">
        <v>304</v>
      </c>
      <c r="E109" s="8" t="s">
        <v>305</v>
      </c>
      <c r="F109" s="8" t="s">
        <v>306</v>
      </c>
      <c r="G109" s="8" t="s">
        <v>16</v>
      </c>
      <c r="H109" s="8">
        <v>-16</v>
      </c>
      <c r="I109" s="9">
        <v>-2</v>
      </c>
      <c r="J109" s="8">
        <v>192</v>
      </c>
      <c r="K109" s="11">
        <f>+VLOOKUP(Tabla1[[#This Row],[CODE ERP]],[1]!Tabla1[[SKU]:[Costo CD]],3,0)</f>
        <v>34.729999999999997</v>
      </c>
      <c r="L109" s="11">
        <f>+Tabla1[[#This Row],[COSTO,U]]*Tabla1[[#This Row],[UNIDADES]]</f>
        <v>-555.67999999999995</v>
      </c>
      <c r="M109" s="10" t="s">
        <v>17</v>
      </c>
    </row>
    <row r="110" spans="1:13" ht="30" x14ac:dyDescent="0.3">
      <c r="A110" s="6">
        <v>2079347</v>
      </c>
      <c r="B110" s="7" t="s">
        <v>307</v>
      </c>
      <c r="C110" s="7" t="s">
        <v>308</v>
      </c>
      <c r="D110" s="8" t="s">
        <v>271</v>
      </c>
      <c r="E110" s="8" t="s">
        <v>309</v>
      </c>
      <c r="F110" s="8" t="s">
        <v>310</v>
      </c>
      <c r="G110" s="8" t="s">
        <v>16</v>
      </c>
      <c r="H110" s="8">
        <v>-12</v>
      </c>
      <c r="I110" s="9">
        <v>-1</v>
      </c>
      <c r="J110" s="8">
        <v>468</v>
      </c>
      <c r="K110" s="11">
        <f>+VLOOKUP(Tabla1[[#This Row],[CODE ERP]],[1]!Tabla1[[SKU]:[Costo CD]],3,0)</f>
        <v>45.85</v>
      </c>
      <c r="L110" s="11">
        <f>+Tabla1[[#This Row],[COSTO,U]]*Tabla1[[#This Row],[UNIDADES]]</f>
        <v>-550.20000000000005</v>
      </c>
      <c r="M110" s="10" t="s">
        <v>17</v>
      </c>
    </row>
    <row r="111" spans="1:13" ht="30" x14ac:dyDescent="0.3">
      <c r="A111" s="6">
        <v>3131</v>
      </c>
      <c r="B111" s="7" t="s">
        <v>496</v>
      </c>
      <c r="C111" s="7" t="s">
        <v>497</v>
      </c>
      <c r="D111" s="8" t="s">
        <v>24</v>
      </c>
      <c r="E111" s="8" t="s">
        <v>498</v>
      </c>
      <c r="F111" s="8" t="s">
        <v>499</v>
      </c>
      <c r="G111" s="8" t="s">
        <v>16</v>
      </c>
      <c r="H111" s="8">
        <v>-32</v>
      </c>
      <c r="I111" s="9">
        <v>-1</v>
      </c>
      <c r="J111" s="8">
        <v>480</v>
      </c>
      <c r="K111" s="11">
        <f>+VLOOKUP(Tabla1[[#This Row],[CODE ERP]],[1]!Tabla1[[SKU]:[Costo CD]],3,0)</f>
        <v>17.07</v>
      </c>
      <c r="L111" s="11">
        <f>+Tabla1[[#This Row],[COSTO,U]]*Tabla1[[#This Row],[UNIDADES]]</f>
        <v>-546.24</v>
      </c>
      <c r="M111" s="10" t="s">
        <v>17</v>
      </c>
    </row>
    <row r="112" spans="1:13" ht="30" x14ac:dyDescent="0.3">
      <c r="A112" s="6">
        <v>3406</v>
      </c>
      <c r="B112" s="7" t="s">
        <v>276</v>
      </c>
      <c r="C112" s="7" t="s">
        <v>277</v>
      </c>
      <c r="D112" s="8" t="s">
        <v>265</v>
      </c>
      <c r="E112" s="8" t="s">
        <v>278</v>
      </c>
      <c r="F112" s="8" t="s">
        <v>279</v>
      </c>
      <c r="G112" s="8" t="s">
        <v>16</v>
      </c>
      <c r="H112" s="8">
        <v>-144</v>
      </c>
      <c r="I112" s="9">
        <v>-1</v>
      </c>
      <c r="J112" s="8">
        <v>2880</v>
      </c>
      <c r="K112" s="11">
        <f>+VLOOKUP(Tabla1[[#This Row],[CODE ERP]],[1]!Tabla1[[SKU]:[Costo CD]],3,0)</f>
        <v>3.79</v>
      </c>
      <c r="L112" s="11">
        <f>+Tabla1[[#This Row],[COSTO,U]]*Tabla1[[#This Row],[UNIDADES]]</f>
        <v>-545.76</v>
      </c>
      <c r="M112" s="10" t="s">
        <v>17</v>
      </c>
    </row>
    <row r="113" spans="1:13" ht="30" x14ac:dyDescent="0.3">
      <c r="A113" s="6">
        <v>2088644</v>
      </c>
      <c r="B113" s="7" t="s">
        <v>388</v>
      </c>
      <c r="C113" s="7" t="s">
        <v>389</v>
      </c>
      <c r="D113" s="8" t="s">
        <v>390</v>
      </c>
      <c r="E113" s="8" t="s">
        <v>391</v>
      </c>
      <c r="F113" s="8" t="s">
        <v>392</v>
      </c>
      <c r="G113" s="8" t="s">
        <v>16</v>
      </c>
      <c r="H113" s="8">
        <v>-24</v>
      </c>
      <c r="I113" s="9">
        <v>-2</v>
      </c>
      <c r="J113" s="8">
        <v>192</v>
      </c>
      <c r="K113" s="11">
        <f>+VLOOKUP(Tabla1[[#This Row],[CODE ERP]],[1]!Tabla1[[SKU]:[Costo CD]],3,0)</f>
        <v>22.11</v>
      </c>
      <c r="L113" s="11">
        <f>+Tabla1[[#This Row],[COSTO,U]]*Tabla1[[#This Row],[UNIDADES]]</f>
        <v>-530.64</v>
      </c>
      <c r="M113" s="10" t="s">
        <v>17</v>
      </c>
    </row>
    <row r="114" spans="1:13" ht="30" x14ac:dyDescent="0.3">
      <c r="A114" s="6">
        <v>11087</v>
      </c>
      <c r="B114" s="7" t="s">
        <v>244</v>
      </c>
      <c r="C114" s="7" t="s">
        <v>245</v>
      </c>
      <c r="D114" s="8" t="s">
        <v>246</v>
      </c>
      <c r="E114" s="8" t="s">
        <v>247</v>
      </c>
      <c r="F114" s="8" t="s">
        <v>248</v>
      </c>
      <c r="G114" s="8" t="s">
        <v>16</v>
      </c>
      <c r="H114" s="8">
        <v>-36</v>
      </c>
      <c r="I114" s="9">
        <v>-3</v>
      </c>
      <c r="J114" s="8">
        <v>12108</v>
      </c>
      <c r="K114" s="11">
        <f>+VLOOKUP(Tabla1[[#This Row],[CODE ERP]],[1]!Tabla1[[SKU]:[Costo CD]],3,0)</f>
        <v>14.69</v>
      </c>
      <c r="L114" s="11">
        <f>+Tabla1[[#This Row],[COSTO,U]]*Tabla1[[#This Row],[UNIDADES]]</f>
        <v>-528.84</v>
      </c>
      <c r="M114" s="10" t="s">
        <v>17</v>
      </c>
    </row>
    <row r="115" spans="1:13" ht="30" x14ac:dyDescent="0.3">
      <c r="A115" s="6">
        <v>61332</v>
      </c>
      <c r="B115" s="7" t="s">
        <v>464</v>
      </c>
      <c r="C115" s="7" t="s">
        <v>465</v>
      </c>
      <c r="D115" s="8" t="s">
        <v>409</v>
      </c>
      <c r="E115" s="8" t="s">
        <v>466</v>
      </c>
      <c r="F115" s="8" t="s">
        <v>467</v>
      </c>
      <c r="G115" s="8" t="s">
        <v>16</v>
      </c>
      <c r="H115" s="8">
        <v>-6</v>
      </c>
      <c r="I115" s="9">
        <v>-1</v>
      </c>
      <c r="J115" s="8">
        <v>78</v>
      </c>
      <c r="K115" s="11">
        <f>+VLOOKUP(Tabla1[[#This Row],[CODE ERP]],[1]!Tabla1[[SKU]:[Costo CD]],3,0)</f>
        <v>87.8</v>
      </c>
      <c r="L115" s="11">
        <f>+Tabla1[[#This Row],[COSTO,U]]*Tabla1[[#This Row],[UNIDADES]]</f>
        <v>-526.79999999999995</v>
      </c>
      <c r="M115" s="10" t="s">
        <v>17</v>
      </c>
    </row>
    <row r="116" spans="1:13" ht="30" x14ac:dyDescent="0.3">
      <c r="A116" s="6">
        <v>74192</v>
      </c>
      <c r="B116" s="7" t="s">
        <v>348</v>
      </c>
      <c r="C116" s="7" t="s">
        <v>430</v>
      </c>
      <c r="D116" s="8" t="s">
        <v>397</v>
      </c>
      <c r="E116" s="8" t="s">
        <v>349</v>
      </c>
      <c r="F116" s="8" t="s">
        <v>350</v>
      </c>
      <c r="G116" s="8" t="s">
        <v>16</v>
      </c>
      <c r="H116" s="8">
        <v>-6</v>
      </c>
      <c r="I116" s="9">
        <v>-1</v>
      </c>
      <c r="J116" s="8">
        <v>498</v>
      </c>
      <c r="K116" s="11">
        <f>+VLOOKUP(Tabla1[[#This Row],[CODE ERP]],[1]!Tabla1[[SKU]:[Costo CD]],3,0)</f>
        <v>87.62</v>
      </c>
      <c r="L116" s="11">
        <f>+Tabla1[[#This Row],[COSTO,U]]*Tabla1[[#This Row],[UNIDADES]]</f>
        <v>-525.72</v>
      </c>
      <c r="M116" s="10" t="s">
        <v>17</v>
      </c>
    </row>
    <row r="117" spans="1:13" ht="30" x14ac:dyDescent="0.3">
      <c r="A117" s="6">
        <v>2051140</v>
      </c>
      <c r="B117" s="7" t="s">
        <v>266</v>
      </c>
      <c r="C117" s="7" t="s">
        <v>267</v>
      </c>
      <c r="D117" s="8" t="s">
        <v>268</v>
      </c>
      <c r="E117" s="8" t="s">
        <v>269</v>
      </c>
      <c r="F117" s="8" t="s">
        <v>270</v>
      </c>
      <c r="G117" s="8" t="s">
        <v>231</v>
      </c>
      <c r="H117" s="8">
        <v>-48</v>
      </c>
      <c r="I117" s="9">
        <v>-1</v>
      </c>
      <c r="J117" s="8">
        <v>1200</v>
      </c>
      <c r="K117" s="11">
        <f>+VLOOKUP(Tabla1[[#This Row],[CODE ERP]],[1]!Tabla1[[SKU]:[Costo CD]],3,0)</f>
        <v>10.77</v>
      </c>
      <c r="L117" s="11">
        <f>+Tabla1[[#This Row],[COSTO,U]]*Tabla1[[#This Row],[UNIDADES]]</f>
        <v>-516.96</v>
      </c>
      <c r="M117" s="10" t="s">
        <v>17</v>
      </c>
    </row>
    <row r="118" spans="1:13" ht="30" x14ac:dyDescent="0.3">
      <c r="A118" s="6">
        <v>3867</v>
      </c>
      <c r="B118" s="7" t="s">
        <v>285</v>
      </c>
      <c r="C118" s="7" t="s">
        <v>328</v>
      </c>
      <c r="D118" s="8" t="s">
        <v>329</v>
      </c>
      <c r="E118" s="8" t="s">
        <v>286</v>
      </c>
      <c r="F118" s="8" t="s">
        <v>287</v>
      </c>
      <c r="G118" s="8" t="s">
        <v>16</v>
      </c>
      <c r="H118" s="8">
        <v>-33</v>
      </c>
      <c r="I118" s="9">
        <v>-33</v>
      </c>
      <c r="J118" s="8">
        <v>6888</v>
      </c>
      <c r="K118" s="11">
        <f>+VLOOKUP(Tabla1[[#This Row],[CODE ERP]],[1]!Tabla1[[SKU]:[Costo CD]],3,0)</f>
        <v>15.6</v>
      </c>
      <c r="L118" s="11">
        <f>+Tabla1[[#This Row],[COSTO,U]]*Tabla1[[#This Row],[UNIDADES]]</f>
        <v>-514.79999999999995</v>
      </c>
      <c r="M118" s="10" t="s">
        <v>17</v>
      </c>
    </row>
    <row r="119" spans="1:13" ht="30" x14ac:dyDescent="0.3">
      <c r="A119" s="12">
        <v>86030</v>
      </c>
      <c r="B119" s="13" t="s">
        <v>163</v>
      </c>
      <c r="C119" s="13" t="s">
        <v>164</v>
      </c>
      <c r="D119" s="14" t="s">
        <v>21</v>
      </c>
      <c r="E119" s="14" t="s">
        <v>165</v>
      </c>
      <c r="F119" s="14" t="s">
        <v>166</v>
      </c>
      <c r="G119" s="14" t="s">
        <v>16</v>
      </c>
      <c r="H119" s="14">
        <v>-12</v>
      </c>
      <c r="I119" s="15">
        <v>-2</v>
      </c>
      <c r="J119" s="14">
        <v>186</v>
      </c>
      <c r="K119" s="16">
        <f>+VLOOKUP(Tabla1[[#This Row],[CODE ERP]],[1]!Tabla1[[SKU]:[Costo CD]],3,0)</f>
        <v>41.96</v>
      </c>
      <c r="L119" s="16">
        <f>+Tabla1[[#This Row],[COSTO,U]]*Tabla1[[#This Row],[UNIDADES]]</f>
        <v>-503.52</v>
      </c>
      <c r="M119" s="17" t="s">
        <v>536</v>
      </c>
    </row>
    <row r="341" ht="80.55" customHeight="1" x14ac:dyDescent="0.3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327318D-DFFC-40BF-87DF-FD3E0C777C1C}"/>
</file>

<file path=customXml/itemProps2.xml><?xml version="1.0" encoding="utf-8"?>
<ds:datastoreItem xmlns:ds="http://schemas.openxmlformats.org/officeDocument/2006/customXml" ds:itemID="{8767B441-5F5E-4E4E-BD63-FA43EEA28697}"/>
</file>

<file path=customXml/itemProps3.xml><?xml version="1.0" encoding="utf-8"?>
<ds:datastoreItem xmlns:ds="http://schemas.openxmlformats.org/officeDocument/2006/customXml" ds:itemID="{66B0A851-FD42-4FCE-A932-2E62EDE502D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 Multiclientes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Armando Morales Baten</dc:creator>
  <cp:lastModifiedBy>Hugo Armando Morales Baten</cp:lastModifiedBy>
  <dcterms:created xsi:type="dcterms:W3CDTF">2026-10-27T17:35:25Z</dcterms:created>
  <dcterms:modified xsi:type="dcterms:W3CDTF">2026-10-27T17:35:25Z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