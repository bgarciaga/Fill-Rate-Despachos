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2-10-2026/"/>
    </mc:Choice>
  </mc:AlternateContent>
  <xr:revisionPtr revIDLastSave="0" documentId="8_{356D3E21-F901-427E-9F18-B959495AB3E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12-10-2026" sheetId="1" r:id="rId2"/>
  </sheets>
  <externalReferences>
    <externalReference r:id="rId3"/>
    <externalReference r:id="rId4"/>
  </externalReferences>
  <definedNames>
    <definedName name="_xlnm._FilterDatabase" localSheetId="1" hidden="1">'TIENDAS 12-10-2026'!$A$1:$N$2197</definedName>
  </definedNames>
  <calcPr calcId="191029"/>
  <pivotCaches>
    <pivotCache cacheId="64" r:id="rId5"/>
  </pivotCaches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C2209" i="1"/>
  <c r="C220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</calcChain>
</file>

<file path=xl/sharedStrings.xml><?xml version="1.0" encoding="utf-8"?>
<sst xmlns="http://schemas.openxmlformats.org/spreadsheetml/2006/main" count="14751" uniqueCount="2496">
  <si>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</si>
  <si>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</si>
  <si>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</si>
  <si>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</si>
  <si>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</si>
  <si>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</si>
  <si>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</si>
  <si>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</si>
  <si>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>BULTOS</t>
  </si>
  <si>
    <t>UNIDADES</t>
  </si>
  <si>
    <t/>
  </si>
  <si>
    <t>CAJA</t>
  </si>
  <si>
    <t>PENDIENTE APROBACION  ENVIO TMS</t>
  </si>
  <si>
    <t>000000000209652813</t>
  </si>
  <si>
    <t>88</t>
  </si>
  <si>
    <t>LA TORRE ESQUIPULAS</t>
  </si>
  <si>
    <t>UNIDAD</t>
  </si>
  <si>
    <t>PACK</t>
  </si>
  <si>
    <t>000000008209654368</t>
  </si>
  <si>
    <t>000000001209654377</t>
  </si>
  <si>
    <t>000000001209654372</t>
  </si>
  <si>
    <t>000000001209654374</t>
  </si>
  <si>
    <t>000000001209654378</t>
  </si>
  <si>
    <t>000000008209654363</t>
  </si>
  <si>
    <t>000000001209654369</t>
  </si>
  <si>
    <t>000000001209654376</t>
  </si>
  <si>
    <t>000000008209654367</t>
  </si>
  <si>
    <t>000000001209654370</t>
  </si>
  <si>
    <t>000000008209654366</t>
  </si>
  <si>
    <t>000000001209654371</t>
  </si>
  <si>
    <t>000000001209654379</t>
  </si>
  <si>
    <t>000000008209654364</t>
  </si>
  <si>
    <t>000000008209654365</t>
  </si>
  <si>
    <t>000000001209654373</t>
  </si>
  <si>
    <t>000000001209654375</t>
  </si>
  <si>
    <t>000000001209656738</t>
  </si>
  <si>
    <t>3</t>
  </si>
  <si>
    <t>LA TORRE ZONA 10</t>
  </si>
  <si>
    <t>000000001209656740</t>
  </si>
  <si>
    <t>000000001209656742</t>
  </si>
  <si>
    <t>000000008209656709</t>
  </si>
  <si>
    <t>1</t>
  </si>
  <si>
    <t>LA TORRE ZONA 2</t>
  </si>
  <si>
    <t>000000001209656751</t>
  </si>
  <si>
    <t>000000001209656745</t>
  </si>
  <si>
    <t>000000008209656732</t>
  </si>
  <si>
    <t>000000008209656683</t>
  </si>
  <si>
    <t>000000008209656696</t>
  </si>
  <si>
    <t>000000008209656744</t>
  </si>
  <si>
    <t>000000001209656690</t>
  </si>
  <si>
    <t>000000008209656708</t>
  </si>
  <si>
    <t>000000001209656701</t>
  </si>
  <si>
    <t>000000001209656735</t>
  </si>
  <si>
    <t>000000001209656737</t>
  </si>
  <si>
    <t>000000001209656741</t>
  </si>
  <si>
    <t>000000001209656750</t>
  </si>
  <si>
    <t>000000001209656753</t>
  </si>
  <si>
    <t>000000001209656689</t>
  </si>
  <si>
    <t>000000001209656712</t>
  </si>
  <si>
    <t>000000001209656699</t>
  </si>
  <si>
    <t>000000001209656705</t>
  </si>
  <si>
    <t>000000001209656736</t>
  </si>
  <si>
    <t>000000008209656695</t>
  </si>
  <si>
    <t>000000001209656700</t>
  </si>
  <si>
    <t>000000008209656728</t>
  </si>
  <si>
    <t>000000001209656704</t>
  </si>
  <si>
    <t>000000008209656682</t>
  </si>
  <si>
    <t>000000008209656743</t>
  </si>
  <si>
    <t>000000001209656691</t>
  </si>
  <si>
    <t>000000001209656713</t>
  </si>
  <si>
    <t>000000008209656729</t>
  </si>
  <si>
    <t>000000008209656730</t>
  </si>
  <si>
    <t>000000008209656733</t>
  </si>
  <si>
    <t>000000008209656681</t>
  </si>
  <si>
    <t>000000008209656826</t>
  </si>
  <si>
    <t>6</t>
  </si>
  <si>
    <t>LA TORRE ZONA 15</t>
  </si>
  <si>
    <t>000000008209656827</t>
  </si>
  <si>
    <t>000000008209656798</t>
  </si>
  <si>
    <t>5</t>
  </si>
  <si>
    <t>LA TORRE ZONA 14</t>
  </si>
  <si>
    <t>000000008209656800</t>
  </si>
  <si>
    <t>000000001209656802</t>
  </si>
  <si>
    <t>000000001209656831</t>
  </si>
  <si>
    <t>000000001209656908</t>
  </si>
  <si>
    <t>9</t>
  </si>
  <si>
    <t>LA TORRE PALMERAS</t>
  </si>
  <si>
    <t>000000001209656804</t>
  </si>
  <si>
    <t>000000001209656923</t>
  </si>
  <si>
    <t>000000001209656806</t>
  </si>
  <si>
    <t>000000008209656866</t>
  </si>
  <si>
    <t>7</t>
  </si>
  <si>
    <t>LA TORRE ZONA 19</t>
  </si>
  <si>
    <t>000000001209656875</t>
  </si>
  <si>
    <t>000000001209656912</t>
  </si>
  <si>
    <t>000000001209656834</t>
  </si>
  <si>
    <t>000000001209656764</t>
  </si>
  <si>
    <t>4</t>
  </si>
  <si>
    <t>LA TORRE ZONA 11</t>
  </si>
  <si>
    <t>000000001209656884</t>
  </si>
  <si>
    <t>000000008209656881</t>
  </si>
  <si>
    <t>000000008209656824</t>
  </si>
  <si>
    <t>000000008209656825</t>
  </si>
  <si>
    <t>000000001209656907</t>
  </si>
  <si>
    <t>000000001209656803</t>
  </si>
  <si>
    <t>000000001209656776</t>
  </si>
  <si>
    <t>000000008209656862</t>
  </si>
  <si>
    <t>000000001209656924</t>
  </si>
  <si>
    <t>000000008209656865</t>
  </si>
  <si>
    <t>000000001209656833</t>
  </si>
  <si>
    <t>000000001209656808</t>
  </si>
  <si>
    <t>000000001209656766</t>
  </si>
  <si>
    <t>000000001209656767</t>
  </si>
  <si>
    <t>000000008209656797</t>
  </si>
  <si>
    <t>000000001209656805</t>
  </si>
  <si>
    <t>000000008209656758</t>
  </si>
  <si>
    <t>000000001209656842</t>
  </si>
  <si>
    <t>000000001209656763</t>
  </si>
  <si>
    <t>000000001209656810</t>
  </si>
  <si>
    <t>000000008209656880</t>
  </si>
  <si>
    <t>000000001209656871</t>
  </si>
  <si>
    <t>000000001209656837</t>
  </si>
  <si>
    <t>000000008209656794</t>
  </si>
  <si>
    <t>000000008209656795</t>
  </si>
  <si>
    <t>000000001209656812</t>
  </si>
  <si>
    <t>000000001209656801</t>
  </si>
  <si>
    <t>000000001209656909</t>
  </si>
  <si>
    <t>000000001209656807</t>
  </si>
  <si>
    <t>000000001209656868</t>
  </si>
  <si>
    <t>000000001209656876</t>
  </si>
  <si>
    <t>000000001209656870</t>
  </si>
  <si>
    <t>000000008209656822</t>
  </si>
  <si>
    <t>000000008209656917</t>
  </si>
  <si>
    <t>000000001209656769</t>
  </si>
  <si>
    <t>000000001209656922</t>
  </si>
  <si>
    <t>000000001209656760</t>
  </si>
  <si>
    <t>000000001209656811</t>
  </si>
  <si>
    <t>000000008209656905</t>
  </si>
  <si>
    <t>000000008209656828</t>
  </si>
  <si>
    <t>000000008209656799</t>
  </si>
  <si>
    <t>000000001209656840</t>
  </si>
  <si>
    <t>000000008209656863</t>
  </si>
  <si>
    <t>000000008209656755</t>
  </si>
  <si>
    <t>000000008209656756</t>
  </si>
  <si>
    <t>000000001209656762</t>
  </si>
  <si>
    <t>000000001209656765</t>
  </si>
  <si>
    <t>000000001209656869</t>
  </si>
  <si>
    <t>000000008209656904</t>
  </si>
  <si>
    <t>000000001209656872</t>
  </si>
  <si>
    <t>000000008209656796</t>
  </si>
  <si>
    <t>000000001209656839</t>
  </si>
  <si>
    <t>000000001209656829</t>
  </si>
  <si>
    <t>000000001209656919</t>
  </si>
  <si>
    <t>000000001209656832</t>
  </si>
  <si>
    <t>000000008209656864</t>
  </si>
  <si>
    <t>000000008209656757</t>
  </si>
  <si>
    <t>000000008209656759</t>
  </si>
  <si>
    <t>000000001209656882</t>
  </si>
  <si>
    <t>000000001209656835</t>
  </si>
  <si>
    <t>000000001209656883</t>
  </si>
  <si>
    <t>000000008209656823</t>
  </si>
  <si>
    <t>000000008209656903</t>
  </si>
  <si>
    <t>000000001209656768</t>
  </si>
  <si>
    <t>000000001209656916</t>
  </si>
  <si>
    <t>000000008209656918</t>
  </si>
  <si>
    <t>000000001209656830</t>
  </si>
  <si>
    <t>000000001209656874</t>
  </si>
  <si>
    <t>000000001209656926</t>
  </si>
  <si>
    <t>000000001209656761</t>
  </si>
  <si>
    <t>000000008209656938</t>
  </si>
  <si>
    <t>10</t>
  </si>
  <si>
    <t>LA TORRE RETALHULEU</t>
  </si>
  <si>
    <t>000000001209656942</t>
  </si>
  <si>
    <t>000000001209656946</t>
  </si>
  <si>
    <t>000000001209656948</t>
  </si>
  <si>
    <t>000000001209656952</t>
  </si>
  <si>
    <t>000000001209656953</t>
  </si>
  <si>
    <t>000000001209657049</t>
  </si>
  <si>
    <t>13</t>
  </si>
  <si>
    <t>LA TORRE CENTRO</t>
  </si>
  <si>
    <t>000000001209656985</t>
  </si>
  <si>
    <t>11</t>
  </si>
  <si>
    <t>LA TORRE BOCA DEL MONTE</t>
  </si>
  <si>
    <t>000000008209656970</t>
  </si>
  <si>
    <t>000000001209657067</t>
  </si>
  <si>
    <t>14</t>
  </si>
  <si>
    <t>LA TORRE LA QUINTA</t>
  </si>
  <si>
    <t>000000001209656975</t>
  </si>
  <si>
    <t>000000001209657034</t>
  </si>
  <si>
    <t>000000001209657097</t>
  </si>
  <si>
    <t>16</t>
  </si>
  <si>
    <t>LA TORRE SAN FRANCISCO</t>
  </si>
  <si>
    <t>000000008209657105</t>
  </si>
  <si>
    <t>000000001209657113</t>
  </si>
  <si>
    <t>000000001209656981</t>
  </si>
  <si>
    <t>000000001209657040</t>
  </si>
  <si>
    <t>000000008209657029</t>
  </si>
  <si>
    <t>000000001209657044</t>
  </si>
  <si>
    <t>000000008209656969</t>
  </si>
  <si>
    <t>000000008209657062</t>
  </si>
  <si>
    <t>000000008209657065</t>
  </si>
  <si>
    <t>000000001209656980</t>
  </si>
  <si>
    <t>000000008209656993</t>
  </si>
  <si>
    <t>12</t>
  </si>
  <si>
    <t>LA TORRE PETAPA</t>
  </si>
  <si>
    <t>000000001209657078</t>
  </si>
  <si>
    <t>000000001209657107</t>
  </si>
  <si>
    <t>000000001209657108</t>
  </si>
  <si>
    <t>000000001209657002</t>
  </si>
  <si>
    <t>000000001209656983</t>
  </si>
  <si>
    <t>000000008209657063</t>
  </si>
  <si>
    <t>000000008209657064</t>
  </si>
  <si>
    <t>000000001209657046</t>
  </si>
  <si>
    <t>000000001209657068</t>
  </si>
  <si>
    <t>000000001209656977</t>
  </si>
  <si>
    <t>000000001209657076</t>
  </si>
  <si>
    <t>000000001209656956</t>
  </si>
  <si>
    <t>000000001209656949</t>
  </si>
  <si>
    <t>000000008209656937</t>
  </si>
  <si>
    <t>000000008209656950</t>
  </si>
  <si>
    <t>000000001209657005</t>
  </si>
  <si>
    <t>000000001209656984</t>
  </si>
  <si>
    <t>000000008209656991</t>
  </si>
  <si>
    <t>000000008209656972</t>
  </si>
  <si>
    <t>000000008209657031</t>
  </si>
  <si>
    <t>000000001209656995</t>
  </si>
  <si>
    <t>000000008209656973</t>
  </si>
  <si>
    <t>000000001209657069</t>
  </si>
  <si>
    <t>000000001209657077</t>
  </si>
  <si>
    <t>000000008209657093</t>
  </si>
  <si>
    <t>000000008209657094</t>
  </si>
  <si>
    <t>000000001209657099</t>
  </si>
  <si>
    <t>000000008209657104</t>
  </si>
  <si>
    <t>000000008209656936</t>
  </si>
  <si>
    <t>000000008209656939</t>
  </si>
  <si>
    <t>000000001209657003</t>
  </si>
  <si>
    <t>000000008209657041</t>
  </si>
  <si>
    <t>000000008209657042</t>
  </si>
  <si>
    <t>000000008209656992</t>
  </si>
  <si>
    <t>000000008209656971</t>
  </si>
  <si>
    <t>000000008209656974</t>
  </si>
  <si>
    <t>000000001209656997</t>
  </si>
  <si>
    <t>000000001209657047</t>
  </si>
  <si>
    <t>000000001209657001</t>
  </si>
  <si>
    <t>000000001209657074</t>
  </si>
  <si>
    <t>000000008209657095</t>
  </si>
  <si>
    <t>000000001209657100</t>
  </si>
  <si>
    <t>000000001209657101</t>
  </si>
  <si>
    <t>000000001209657102</t>
  </si>
  <si>
    <t>000000001209657103</t>
  </si>
  <si>
    <t>000000001209656982</t>
  </si>
  <si>
    <t>000000001209657037</t>
  </si>
  <si>
    <t>000000001209657039</t>
  </si>
  <si>
    <t>000000001209657045</t>
  </si>
  <si>
    <t>000000008209656994</t>
  </si>
  <si>
    <t>000000001209656996</t>
  </si>
  <si>
    <t>000000001209656976</t>
  </si>
  <si>
    <t>000000001209657071</t>
  </si>
  <si>
    <t>000000001209656943</t>
  </si>
  <si>
    <t>000000001209656944</t>
  </si>
  <si>
    <t>000000008209656951</t>
  </si>
  <si>
    <t>000000001209657073</t>
  </si>
  <si>
    <t>000000008209657028</t>
  </si>
  <si>
    <t>000000001209657070</t>
  </si>
  <si>
    <t>000000001209656998</t>
  </si>
  <si>
    <t>000000001209656999</t>
  </si>
  <si>
    <t>000000001209657000</t>
  </si>
  <si>
    <t>000000001209656978</t>
  </si>
  <si>
    <t>000000001209657035</t>
  </si>
  <si>
    <t>000000008209657075</t>
  </si>
  <si>
    <t>000000001209656947</t>
  </si>
  <si>
    <t>000000001209656979</t>
  </si>
  <si>
    <t>000000001209657004</t>
  </si>
  <si>
    <t>000000008209657043</t>
  </si>
  <si>
    <t>000000001209657106</t>
  </si>
  <si>
    <t>000000001209657109</t>
  </si>
  <si>
    <t>000000001209657226</t>
  </si>
  <si>
    <t>26</t>
  </si>
  <si>
    <t>LA TORRE METROCENTRO</t>
  </si>
  <si>
    <t>000000001209657249</t>
  </si>
  <si>
    <t>27</t>
  </si>
  <si>
    <t>ECONOSUPER NIMAJUYU</t>
  </si>
  <si>
    <t>000000001209657276</t>
  </si>
  <si>
    <t>28</t>
  </si>
  <si>
    <t>LA TORRE ZONA 5</t>
  </si>
  <si>
    <t>000000001209657236</t>
  </si>
  <si>
    <t>000000008209657264</t>
  </si>
  <si>
    <t>000000008209657199</t>
  </si>
  <si>
    <t>25</t>
  </si>
  <si>
    <t>ECONOSUPER ZONA 6</t>
  </si>
  <si>
    <t>000000001209657224</t>
  </si>
  <si>
    <t>000000001209657272</t>
  </si>
  <si>
    <t>000000001209657242</t>
  </si>
  <si>
    <t>000000001209657180</t>
  </si>
  <si>
    <t>22</t>
  </si>
  <si>
    <t>ECONOSUPER ZONA 2</t>
  </si>
  <si>
    <t>000000001209657181</t>
  </si>
  <si>
    <t>000000001209657165</t>
  </si>
  <si>
    <t>21</t>
  </si>
  <si>
    <t>LA TORRE SAN CRISTOBAL</t>
  </si>
  <si>
    <t>000000008209657123</t>
  </si>
  <si>
    <t>17</t>
  </si>
  <si>
    <t>LA TORRE REFORMA</t>
  </si>
  <si>
    <t>000000001209657124</t>
  </si>
  <si>
    <t>000000001209657132</t>
  </si>
  <si>
    <t>000000001209657245</t>
  </si>
  <si>
    <t>000000001209657274</t>
  </si>
  <si>
    <t>000000008209657263</t>
  </si>
  <si>
    <t>000000001209657204</t>
  </si>
  <si>
    <t>000000008209657223</t>
  </si>
  <si>
    <t>000000008209657240</t>
  </si>
  <si>
    <t>000000008209657241</t>
  </si>
  <si>
    <t>000000001209657244</t>
  </si>
  <si>
    <t>000000001209657273</t>
  </si>
  <si>
    <t>000000008209657151</t>
  </si>
  <si>
    <t>000000001209657160</t>
  </si>
  <si>
    <t>000000001209657164</t>
  </si>
  <si>
    <t>000000001209657183</t>
  </si>
  <si>
    <t>000000001209657139</t>
  </si>
  <si>
    <t>000000001209657130</t>
  </si>
  <si>
    <t>000000001209657250</t>
  </si>
  <si>
    <t>000000008209657265</t>
  </si>
  <si>
    <t>000000008209657266</t>
  </si>
  <si>
    <t>000000001209657237</t>
  </si>
  <si>
    <t>000000001209657206</t>
  </si>
  <si>
    <t>000000001209657187</t>
  </si>
  <si>
    <t>000000008209657152</t>
  </si>
  <si>
    <t>000000001209657157</t>
  </si>
  <si>
    <t>000000001209657158</t>
  </si>
  <si>
    <t>000000001209657179</t>
  </si>
  <si>
    <t>000000008209657121</t>
  </si>
  <si>
    <t>000000001209657129</t>
  </si>
  <si>
    <t>000000001209657246</t>
  </si>
  <si>
    <t>000000001209657227</t>
  </si>
  <si>
    <t>000000001209657270</t>
  </si>
  <si>
    <t>000000001209657205</t>
  </si>
  <si>
    <t>000000008209657153</t>
  </si>
  <si>
    <t>000000008209657177</t>
  </si>
  <si>
    <t>000000001209657182</t>
  </si>
  <si>
    <t>000000001209657210</t>
  </si>
  <si>
    <t>000000008209657219</t>
  </si>
  <si>
    <t>000000008209657200</t>
  </si>
  <si>
    <t>000000001209657238</t>
  </si>
  <si>
    <t>000000001209657243</t>
  </si>
  <si>
    <t>000000001209657186</t>
  </si>
  <si>
    <t>000000008209657154</t>
  </si>
  <si>
    <t>000000008209657155</t>
  </si>
  <si>
    <t>000000001209657156</t>
  </si>
  <si>
    <t>000000001209657163</t>
  </si>
  <si>
    <t>000000001209657185</t>
  </si>
  <si>
    <t>000000008209657118</t>
  </si>
  <si>
    <t>000000008209657122</t>
  </si>
  <si>
    <t>000000001209657126</t>
  </si>
  <si>
    <t>000000001209657208</t>
  </si>
  <si>
    <t>000000001209657209</t>
  </si>
  <si>
    <t>000000001209657277</t>
  </si>
  <si>
    <t>000000001209657159</t>
  </si>
  <si>
    <t>000000008209657178</t>
  </si>
  <si>
    <t>000000001209657184</t>
  </si>
  <si>
    <t>000000008209657119</t>
  </si>
  <si>
    <t>000000001209657125</t>
  </si>
  <si>
    <t>000000008209657120</t>
  </si>
  <si>
    <t>000000001209657131</t>
  </si>
  <si>
    <t>000000001209657247</t>
  </si>
  <si>
    <t>000000001209657248</t>
  </si>
  <si>
    <t>000000001209657228</t>
  </si>
  <si>
    <t>000000001209657230</t>
  </si>
  <si>
    <t>000000001209657278</t>
  </si>
  <si>
    <t>000000008209657267</t>
  </si>
  <si>
    <t>000000008209657201</t>
  </si>
  <si>
    <t>000000008209657268</t>
  </si>
  <si>
    <t>000000001209657202</t>
  </si>
  <si>
    <t>000000008209657222</t>
  </si>
  <si>
    <t>000000001209657207</t>
  </si>
  <si>
    <t>000000001209657161</t>
  </si>
  <si>
    <t>000000001209657162</t>
  </si>
  <si>
    <t>000000001209657127</t>
  </si>
  <si>
    <t>000000001209657128</t>
  </si>
  <si>
    <t>000000001209657229</t>
  </si>
  <si>
    <t>000000001209657275</t>
  </si>
  <si>
    <t>000000008209657234</t>
  </si>
  <si>
    <t>000000008209657220</t>
  </si>
  <si>
    <t>000000001209657269</t>
  </si>
  <si>
    <t>000000008209657198</t>
  </si>
  <si>
    <t>000000001209657203</t>
  </si>
  <si>
    <t>000000001209657271</t>
  </si>
  <si>
    <t>000000008209657239</t>
  </si>
  <si>
    <t>000000008209657150</t>
  </si>
  <si>
    <t>000000001209657295</t>
  </si>
  <si>
    <t>29</t>
  </si>
  <si>
    <t>LA TORRE TRINIDAD</t>
  </si>
  <si>
    <t>000000001209657296</t>
  </si>
  <si>
    <t>000000008209657304</t>
  </si>
  <si>
    <t>000000001209657306</t>
  </si>
  <si>
    <t>000000001209657308</t>
  </si>
  <si>
    <t>000000001209657374</t>
  </si>
  <si>
    <t>36</t>
  </si>
  <si>
    <t>LA TORRE MARISCAL</t>
  </si>
  <si>
    <t>000000001209657375</t>
  </si>
  <si>
    <t>000000001209657443</t>
  </si>
  <si>
    <t>38</t>
  </si>
  <si>
    <t>LA TORRE SAN JOSE PINULA</t>
  </si>
  <si>
    <t>000000001209657447</t>
  </si>
  <si>
    <t>000000001209657448</t>
  </si>
  <si>
    <t>000000001209657411</t>
  </si>
  <si>
    <t>37</t>
  </si>
  <si>
    <t>ECONOSUPER LA BRIGADA</t>
  </si>
  <si>
    <t>000000008209657325</t>
  </si>
  <si>
    <t>31</t>
  </si>
  <si>
    <t>ECONOSUPER LO DE FUENTES</t>
  </si>
  <si>
    <t>000000008209657300</t>
  </si>
  <si>
    <t>000000001209657336</t>
  </si>
  <si>
    <t>000000008209657305</t>
  </si>
  <si>
    <t>000000001209657376</t>
  </si>
  <si>
    <t>000000001209657378</t>
  </si>
  <si>
    <t>000000001209657446</t>
  </si>
  <si>
    <t>000000008209657327</t>
  </si>
  <si>
    <t>000000001209657329</t>
  </si>
  <si>
    <t>000000001209657331</t>
  </si>
  <si>
    <t>000000001209657315</t>
  </si>
  <si>
    <t>000000001209657309</t>
  </si>
  <si>
    <t>000000001209657367</t>
  </si>
  <si>
    <t>000000008209657372</t>
  </si>
  <si>
    <t>000000008209657438</t>
  </si>
  <si>
    <t>000000008209657439</t>
  </si>
  <si>
    <t>000000008209657440</t>
  </si>
  <si>
    <t>000000008209657290</t>
  </si>
  <si>
    <t>000000001209657330</t>
  </si>
  <si>
    <t>000000008209657364</t>
  </si>
  <si>
    <t>000000001209657417</t>
  </si>
  <si>
    <t>000000001209657444</t>
  </si>
  <si>
    <t>000000001209657445</t>
  </si>
  <si>
    <t>000000008209657405</t>
  </si>
  <si>
    <t>000000001209657292</t>
  </si>
  <si>
    <t>000000008209657291</t>
  </si>
  <si>
    <t>000000008209657326</t>
  </si>
  <si>
    <t>000000001209657414</t>
  </si>
  <si>
    <t>000000001209657380</t>
  </si>
  <si>
    <t>000000008209657371</t>
  </si>
  <si>
    <t>000000008209657441</t>
  </si>
  <si>
    <t>000000008209657406</t>
  </si>
  <si>
    <t>000000001209657408</t>
  </si>
  <si>
    <t>000000001209657409</t>
  </si>
  <si>
    <t>000000001209657313</t>
  </si>
  <si>
    <t>000000008209657301</t>
  </si>
  <si>
    <t>000000001209657452</t>
  </si>
  <si>
    <t>000000001209657377</t>
  </si>
  <si>
    <t>000000008209657416</t>
  </si>
  <si>
    <t>000000001209657418</t>
  </si>
  <si>
    <t>000000001209657425</t>
  </si>
  <si>
    <t>000000001209657312</t>
  </si>
  <si>
    <t>000000001209657328</t>
  </si>
  <si>
    <t>000000001209657332</t>
  </si>
  <si>
    <t>000000001209657334</t>
  </si>
  <si>
    <t>000000001209657335</t>
  </si>
  <si>
    <t>000000008209657303</t>
  </si>
  <si>
    <t>000000001209657307</t>
  </si>
  <si>
    <t>000000001209657419</t>
  </si>
  <si>
    <t>000000008209657442</t>
  </si>
  <si>
    <t>000000001209657449</t>
  </si>
  <si>
    <t>000000001209657333</t>
  </si>
  <si>
    <t>000000001209657311</t>
  </si>
  <si>
    <t>000000008209657302</t>
  </si>
  <si>
    <t>000000001209657451</t>
  </si>
  <si>
    <t>000000008209657373</t>
  </si>
  <si>
    <t>000000001209657379</t>
  </si>
  <si>
    <t>000000001209657385</t>
  </si>
  <si>
    <t>000000001209657410</t>
  </si>
  <si>
    <t>000000001209657420</t>
  </si>
  <si>
    <t>000000008209657526</t>
  </si>
  <si>
    <t>41</t>
  </si>
  <si>
    <t>LA TORRE TIQUISATE</t>
  </si>
  <si>
    <t>000000001209657474</t>
  </si>
  <si>
    <t>39</t>
  </si>
  <si>
    <t>LA TORRE VILLA NUEVA</t>
  </si>
  <si>
    <t>000000008209657530</t>
  </si>
  <si>
    <t>000000001209657477</t>
  </si>
  <si>
    <t>000000001209657519</t>
  </si>
  <si>
    <t>40</t>
  </si>
  <si>
    <t>LA TORRE SAN LUCAS</t>
  </si>
  <si>
    <t>000000008209657467</t>
  </si>
  <si>
    <t>000000001209657611</t>
  </si>
  <si>
    <t>44</t>
  </si>
  <si>
    <t>LA TORRE XELA</t>
  </si>
  <si>
    <t>000000001209657577</t>
  </si>
  <si>
    <t>43</t>
  </si>
  <si>
    <t>LA TORRE ENCINAL</t>
  </si>
  <si>
    <t>000000001209657571</t>
  </si>
  <si>
    <t>000000001209657575</t>
  </si>
  <si>
    <t>000000001209657491</t>
  </si>
  <si>
    <t>000000008209657525</t>
  </si>
  <si>
    <t>000000008209657517</t>
  </si>
  <si>
    <t>000000001209657508</t>
  </si>
  <si>
    <t>000000001209657522</t>
  </si>
  <si>
    <t>000000001209657579</t>
  </si>
  <si>
    <t>000000001209657473</t>
  </si>
  <si>
    <t>000000001209657536</t>
  </si>
  <si>
    <t>000000001209657514</t>
  </si>
  <si>
    <t>000000001209657542</t>
  </si>
  <si>
    <t>000000008209657502</t>
  </si>
  <si>
    <t>000000008209657466</t>
  </si>
  <si>
    <t>000000008209657484</t>
  </si>
  <si>
    <t>000000001209657609</t>
  </si>
  <si>
    <t>000000008209657617</t>
  </si>
  <si>
    <t>000000001209657570</t>
  </si>
  <si>
    <t>000000001209657573</t>
  </si>
  <si>
    <t>000000001209657535</t>
  </si>
  <si>
    <t>000000008209657524</t>
  </si>
  <si>
    <t>000000001209657532</t>
  </si>
  <si>
    <t>000000001209657537</t>
  </si>
  <si>
    <t>000000001209657516</t>
  </si>
  <si>
    <t>000000008209657567</t>
  </si>
  <si>
    <t>000000008209657503</t>
  </si>
  <si>
    <t>000000008209657468</t>
  </si>
  <si>
    <t>000000008209657600</t>
  </si>
  <si>
    <t>000000008209657618</t>
  </si>
  <si>
    <t>000000001209657511</t>
  </si>
  <si>
    <t>000000001209657512</t>
  </si>
  <si>
    <t>000000008209657529</t>
  </si>
  <si>
    <t>000000001209657476</t>
  </si>
  <si>
    <t>000000001209657515</t>
  </si>
  <si>
    <t>000000008209657504</t>
  </si>
  <si>
    <t>000000008209657469</t>
  </si>
  <si>
    <t>000000001209657482</t>
  </si>
  <si>
    <t>000000008209657470</t>
  </si>
  <si>
    <t>000000001209657612</t>
  </si>
  <si>
    <t>000000001209657619</t>
  </si>
  <si>
    <t>000000001209657621</t>
  </si>
  <si>
    <t>000000001209657610</t>
  </si>
  <si>
    <t>000000001209657523</t>
  </si>
  <si>
    <t>000000001209657569</t>
  </si>
  <si>
    <t>000000008209657518</t>
  </si>
  <si>
    <t>000000008209657601</t>
  </si>
  <si>
    <t>000000001209657583</t>
  </si>
  <si>
    <t>000000001209657606</t>
  </si>
  <si>
    <t>000000001209657578</t>
  </si>
  <si>
    <t>000000008209657527</t>
  </si>
  <si>
    <t>000000001209657531</t>
  </si>
  <si>
    <t>000000001209657478</t>
  </si>
  <si>
    <t>000000008209657563</t>
  </si>
  <si>
    <t>000000001209657479</t>
  </si>
  <si>
    <t>000000008209657566</t>
  </si>
  <si>
    <t>000000001209657521</t>
  </si>
  <si>
    <t>000000001209657480</t>
  </si>
  <si>
    <t>000000001209657622</t>
  </si>
  <si>
    <t>000000001209657623</t>
  </si>
  <si>
    <t>000000008209657603</t>
  </si>
  <si>
    <t>000000001209657572</t>
  </si>
  <si>
    <t>000000001209657490</t>
  </si>
  <si>
    <t>000000008209657528</t>
  </si>
  <si>
    <t>000000001209657513</t>
  </si>
  <si>
    <t>000000001209657534</t>
  </si>
  <si>
    <t>000000001209657533</t>
  </si>
  <si>
    <t>000000001209657540</t>
  </si>
  <si>
    <t>000000008209657564</t>
  </si>
  <si>
    <t>000000001209657568</t>
  </si>
  <si>
    <t>000000008209657565</t>
  </si>
  <si>
    <t>000000001209657481</t>
  </si>
  <si>
    <t>000000008209657505</t>
  </si>
  <si>
    <t>000000008209657471</t>
  </si>
  <si>
    <t>000000008209657599</t>
  </si>
  <si>
    <t>000000008209657602</t>
  </si>
  <si>
    <t>000000001209657620</t>
  </si>
  <si>
    <t>000000001209657652</t>
  </si>
  <si>
    <t>45</t>
  </si>
  <si>
    <t>LA TORRE VILLA HERMOSA</t>
  </si>
  <si>
    <t>000000001209657801</t>
  </si>
  <si>
    <t>49</t>
  </si>
  <si>
    <t>LA TORRE FRAIJANES</t>
  </si>
  <si>
    <t>000000001209657808</t>
  </si>
  <si>
    <t>000000001209657809</t>
  </si>
  <si>
    <t>000000001209657694</t>
  </si>
  <si>
    <t>46</t>
  </si>
  <si>
    <t>LA TORRE SAN RAFAEL</t>
  </si>
  <si>
    <t>000000008209657698</t>
  </si>
  <si>
    <t>000000001209657775</t>
  </si>
  <si>
    <t>48</t>
  </si>
  <si>
    <t>LA TORRE AMATITLAN</t>
  </si>
  <si>
    <t>000000001209657777</t>
  </si>
  <si>
    <t>000000008209657649</t>
  </si>
  <si>
    <t>000000008209657650</t>
  </si>
  <si>
    <t>000000008209657806</t>
  </si>
  <si>
    <t>000000001209657659</t>
  </si>
  <si>
    <t>000000001209657696</t>
  </si>
  <si>
    <t>000000001209657774</t>
  </si>
  <si>
    <t>000000008209657789</t>
  </si>
  <si>
    <t>000000008209657792</t>
  </si>
  <si>
    <t>000000008209657757</t>
  </si>
  <si>
    <t>000000008209657771</t>
  </si>
  <si>
    <t>000000001209657695</t>
  </si>
  <si>
    <t>000000008209657699</t>
  </si>
  <si>
    <t>000000001209657762</t>
  </si>
  <si>
    <t>000000001209657701</t>
  </si>
  <si>
    <t>000000001209657778</t>
  </si>
  <si>
    <t>000000001209657798</t>
  </si>
  <si>
    <t>000000008209657805</t>
  </si>
  <si>
    <t>000000008209657636</t>
  </si>
  <si>
    <t>000000001209657812</t>
  </si>
  <si>
    <t>000000001209657776</t>
  </si>
  <si>
    <t>000000001209657800</t>
  </si>
  <si>
    <t>000000008209657651</t>
  </si>
  <si>
    <t>000000001209657692</t>
  </si>
  <si>
    <t>000000001209657760</t>
  </si>
  <si>
    <t>000000008209657637</t>
  </si>
  <si>
    <t>000000001209657697</t>
  </si>
  <si>
    <t>000000001209657641</t>
  </si>
  <si>
    <t>000000001209657661</t>
  </si>
  <si>
    <t>000000008209657791</t>
  </si>
  <si>
    <t>000000008209657758</t>
  </si>
  <si>
    <t>000000001209657803</t>
  </si>
  <si>
    <t>000000008209657768</t>
  </si>
  <si>
    <t>000000001209657811</t>
  </si>
  <si>
    <t>000000001209657657</t>
  </si>
  <si>
    <t>000000001209657700</t>
  </si>
  <si>
    <t>000000008209657688</t>
  </si>
  <si>
    <t>000000008209657790</t>
  </si>
  <si>
    <t>000000001209657648</t>
  </si>
  <si>
    <t>000000001209657655</t>
  </si>
  <si>
    <t>000000008209657638</t>
  </si>
  <si>
    <t>000000001209657772</t>
  </si>
  <si>
    <t>000000001209657702</t>
  </si>
  <si>
    <t>000000001209657644</t>
  </si>
  <si>
    <t>000000008209657687</t>
  </si>
  <si>
    <t>000000001209657705</t>
  </si>
  <si>
    <t>000000001209657779</t>
  </si>
  <si>
    <t>000000001209657646</t>
  </si>
  <si>
    <t>000000001209657647</t>
  </si>
  <si>
    <t>000000001209657797</t>
  </si>
  <si>
    <t>000000001209657799</t>
  </si>
  <si>
    <t>000000008209657807</t>
  </si>
  <si>
    <t>000000001209657810</t>
  </si>
  <si>
    <t>000000001209657656</t>
  </si>
  <si>
    <t>000000008209657769</t>
  </si>
  <si>
    <t>000000008209657770</t>
  </si>
  <si>
    <t>000000001209657773</t>
  </si>
  <si>
    <t>000000008209657686</t>
  </si>
  <si>
    <t>000000001209657706</t>
  </si>
  <si>
    <t>000000001209657946</t>
  </si>
  <si>
    <t>54</t>
  </si>
  <si>
    <t>LA TORRE PETEN</t>
  </si>
  <si>
    <t>000000008209657817</t>
  </si>
  <si>
    <t>50</t>
  </si>
  <si>
    <t>LA TORRE PUERTO SAN JOSE</t>
  </si>
  <si>
    <t>000000001209657949</t>
  </si>
  <si>
    <t>000000001209657958</t>
  </si>
  <si>
    <t>000000001209657852</t>
  </si>
  <si>
    <t>51</t>
  </si>
  <si>
    <t>LA TORRE SAN MIGUEL PETAPA</t>
  </si>
  <si>
    <t>000000008209657941</t>
  </si>
  <si>
    <t>000000008209657919</t>
  </si>
  <si>
    <t>53</t>
  </si>
  <si>
    <t>LA TORRE AMATITLAN2</t>
  </si>
  <si>
    <t>000000001209657860</t>
  </si>
  <si>
    <t>000000001209657897</t>
  </si>
  <si>
    <t>52</t>
  </si>
  <si>
    <t>LA TORRE MALACATAN</t>
  </si>
  <si>
    <t>000000001209657945</t>
  </si>
  <si>
    <t>000000001209657947</t>
  </si>
  <si>
    <t>000000001209657819</t>
  </si>
  <si>
    <t>000000001209657925</t>
  </si>
  <si>
    <t>000000001209657907</t>
  </si>
  <si>
    <t>000000008209657886</t>
  </si>
  <si>
    <t>000000008209657889</t>
  </si>
  <si>
    <t>000000008209657932</t>
  </si>
  <si>
    <t>000000001209657954</t>
  </si>
  <si>
    <t>000000008209657813</t>
  </si>
  <si>
    <t>000000008209657818</t>
  </si>
  <si>
    <t>000000008209657900</t>
  </si>
  <si>
    <t>000000001209657901</t>
  </si>
  <si>
    <t>000000001209657928</t>
  </si>
  <si>
    <t>000000001209657822</t>
  </si>
  <si>
    <t>000000008209657885</t>
  </si>
  <si>
    <t>000000001209657825</t>
  </si>
  <si>
    <t>000000008209657845</t>
  </si>
  <si>
    <t>000000008209657847</t>
  </si>
  <si>
    <t>000000001209657931</t>
  </si>
  <si>
    <t>000000001209657853</t>
  </si>
  <si>
    <t>000000001209657933</t>
  </si>
  <si>
    <t>000000001209657855</t>
  </si>
  <si>
    <t>000000008209657939</t>
  </si>
  <si>
    <t>000000008209657940</t>
  </si>
  <si>
    <t>000000008209657942</t>
  </si>
  <si>
    <t>000000001209657859</t>
  </si>
  <si>
    <t>000000008209657922</t>
  </si>
  <si>
    <t>000000001209657948</t>
  </si>
  <si>
    <t>000000001209657902</t>
  </si>
  <si>
    <t>000000001209657951</t>
  </si>
  <si>
    <t>000000001209657953</t>
  </si>
  <si>
    <t>000000008209657887</t>
  </si>
  <si>
    <t>000000001209657930</t>
  </si>
  <si>
    <t>000000001209657826</t>
  </si>
  <si>
    <t>000000008209657849</t>
  </si>
  <si>
    <t>000000001209657854</t>
  </si>
  <si>
    <t>000000008209657918</t>
  </si>
  <si>
    <t>000000008209657815</t>
  </si>
  <si>
    <t>000000008209657816</t>
  </si>
  <si>
    <t>000000001209657870</t>
  </si>
  <si>
    <t>000000001209657950</t>
  </si>
  <si>
    <t>000000008209657888</t>
  </si>
  <si>
    <t>000000008209657846</t>
  </si>
  <si>
    <t>000000001209657856</t>
  </si>
  <si>
    <t>000000001209657858</t>
  </si>
  <si>
    <t>000000008209657943</t>
  </si>
  <si>
    <t>000000001209657896</t>
  </si>
  <si>
    <t>000000008209657814</t>
  </si>
  <si>
    <t>000000001209657861</t>
  </si>
  <si>
    <t>000000001209657952</t>
  </si>
  <si>
    <t>000000001209657823</t>
  </si>
  <si>
    <t>000000008209657851</t>
  </si>
  <si>
    <t>000000001209657934</t>
  </si>
  <si>
    <t>000000001209657827</t>
  </si>
  <si>
    <t>000000001209657892</t>
  </si>
  <si>
    <t>000000001209657829</t>
  </si>
  <si>
    <t>000000001209657894</t>
  </si>
  <si>
    <t>000000008209657920</t>
  </si>
  <si>
    <t>000000001209657895</t>
  </si>
  <si>
    <t>000000001209657924</t>
  </si>
  <si>
    <t>000000001209657899</t>
  </si>
  <si>
    <t>000000001209657926</t>
  </si>
  <si>
    <t>000000001209657821</t>
  </si>
  <si>
    <t>000000001209657891</t>
  </si>
  <si>
    <t>000000001209657857</t>
  </si>
  <si>
    <t>000000001209657898</t>
  </si>
  <si>
    <t>000000001209657927</t>
  </si>
  <si>
    <t>000000001209657820</t>
  </si>
  <si>
    <t>000000001209657929</t>
  </si>
  <si>
    <t>000000001209657824</t>
  </si>
  <si>
    <t>000000008209657848</t>
  </si>
  <si>
    <t>000000008209657944</t>
  </si>
  <si>
    <t>000000008209657850</t>
  </si>
  <si>
    <t>000000008209658013</t>
  </si>
  <si>
    <t>56</t>
  </si>
  <si>
    <t>ECONOSUPER BOULEVARD SUR</t>
  </si>
  <si>
    <t>000000001209658015</t>
  </si>
  <si>
    <t>000000001209658062</t>
  </si>
  <si>
    <t>58</t>
  </si>
  <si>
    <t>LA TORRE ZONA 16</t>
  </si>
  <si>
    <t>000000001209658021</t>
  </si>
  <si>
    <t>000000001209658045</t>
  </si>
  <si>
    <t>57</t>
  </si>
  <si>
    <t>LA TORRE CENTRASUR</t>
  </si>
  <si>
    <t>000000001209658065</t>
  </si>
  <si>
    <t>000000001209657985</t>
  </si>
  <si>
    <t>55</t>
  </si>
  <si>
    <t>LA TORRE MAZATENANGO</t>
  </si>
  <si>
    <t>000000008209658047</t>
  </si>
  <si>
    <t>000000001209657986</t>
  </si>
  <si>
    <t>000000001209658049</t>
  </si>
  <si>
    <t>000000001209657987</t>
  </si>
  <si>
    <t>000000001209658067</t>
  </si>
  <si>
    <t>000000008209658057</t>
  </si>
  <si>
    <t>000000008209658011</t>
  </si>
  <si>
    <t>000000001209658018</t>
  </si>
  <si>
    <t>000000001209658020</t>
  </si>
  <si>
    <t>000000001209658022</t>
  </si>
  <si>
    <t>000000001209657989</t>
  </si>
  <si>
    <t>000000008209658054</t>
  </si>
  <si>
    <t>000000001209658059</t>
  </si>
  <si>
    <t>000000001209658016</t>
  </si>
  <si>
    <t>000000001209658040</t>
  </si>
  <si>
    <t>000000001209657984</t>
  </si>
  <si>
    <t>000000008209658055</t>
  </si>
  <si>
    <t>000000001209657991</t>
  </si>
  <si>
    <t>000000008209658056</t>
  </si>
  <si>
    <t>000000008209658009</t>
  </si>
  <si>
    <t>000000001209658042</t>
  </si>
  <si>
    <t>000000001209658019</t>
  </si>
  <si>
    <t>000000001209658044</t>
  </si>
  <si>
    <t>000000001209658063</t>
  </si>
  <si>
    <t>000000001209658064</t>
  </si>
  <si>
    <t>000000001209658048</t>
  </si>
  <si>
    <t>000000008209658037</t>
  </si>
  <si>
    <t>000000008209658038</t>
  </si>
  <si>
    <t>000000008209657979</t>
  </si>
  <si>
    <t>000000008209657980</t>
  </si>
  <si>
    <t>000000008209657981</t>
  </si>
  <si>
    <t>000000008209658046</t>
  </si>
  <si>
    <t>000000008209658051</t>
  </si>
  <si>
    <t>000000008209658053</t>
  </si>
  <si>
    <t>000000008209658014</t>
  </si>
  <si>
    <t>000000001209657993</t>
  </si>
  <si>
    <t>000000001209658043</t>
  </si>
  <si>
    <t>000000008209657977</t>
  </si>
  <si>
    <t>000000001209657982</t>
  </si>
  <si>
    <t>000000001209658050</t>
  </si>
  <si>
    <t>000000001209657990</t>
  </si>
  <si>
    <t>000000008209658035</t>
  </si>
  <si>
    <t>000000008209658010</t>
  </si>
  <si>
    <t>000000001209658061</t>
  </si>
  <si>
    <t>000000001209658017</t>
  </si>
  <si>
    <t>000000008209657978</t>
  </si>
  <si>
    <t>000000001209657988</t>
  </si>
  <si>
    <t>000000001209658066</t>
  </si>
  <si>
    <t>000000008209658052</t>
  </si>
  <si>
    <t>000000008209658036</t>
  </si>
  <si>
    <t>000000001209658058</t>
  </si>
  <si>
    <t>000000008209658012</t>
  </si>
  <si>
    <t>000000001209658060</t>
  </si>
  <si>
    <t>000000001209658041</t>
  </si>
  <si>
    <t>000000001209657999</t>
  </si>
  <si>
    <t>000000008209658137</t>
  </si>
  <si>
    <t>60</t>
  </si>
  <si>
    <t>LA TORRE CENTRANORTE</t>
  </si>
  <si>
    <t>000000001209658207</t>
  </si>
  <si>
    <t>61</t>
  </si>
  <si>
    <t>LA TORRE JALAPA</t>
  </si>
  <si>
    <t>000000008209658191</t>
  </si>
  <si>
    <t>000000008209658140</t>
  </si>
  <si>
    <t>000000001209658143</t>
  </si>
  <si>
    <t>000000001209658219</t>
  </si>
  <si>
    <t>62</t>
  </si>
  <si>
    <t>LA TORRE MUXBAL</t>
  </si>
  <si>
    <t>000000001209658270</t>
  </si>
  <si>
    <t>63</t>
  </si>
  <si>
    <t>LA TORRE TECULUTAN</t>
  </si>
  <si>
    <t>000000001209658141</t>
  </si>
  <si>
    <t>000000001209658276</t>
  </si>
  <si>
    <t>000000001209658146</t>
  </si>
  <si>
    <t>000000008209658233</t>
  </si>
  <si>
    <t>000000008209658261</t>
  </si>
  <si>
    <t>000000001209658265</t>
  </si>
  <si>
    <t>000000001209658266</t>
  </si>
  <si>
    <t>000000008209658139</t>
  </si>
  <si>
    <t>000000008209658189</t>
  </si>
  <si>
    <t>000000008209658190</t>
  </si>
  <si>
    <t>000000001209658144</t>
  </si>
  <si>
    <t>000000001209658226</t>
  </si>
  <si>
    <t>000000001209658262</t>
  </si>
  <si>
    <t>000000001209658152</t>
  </si>
  <si>
    <t>000000001209658193</t>
  </si>
  <si>
    <t>000000001209658209</t>
  </si>
  <si>
    <t>000000001209658235</t>
  </si>
  <si>
    <t>000000008209658257</t>
  </si>
  <si>
    <t>000000001209658239</t>
  </si>
  <si>
    <t>000000001209658240</t>
  </si>
  <si>
    <t>000000001209658268</t>
  </si>
  <si>
    <t>000000001209658269</t>
  </si>
  <si>
    <t>000000008209658138</t>
  </si>
  <si>
    <t>000000001209658273</t>
  </si>
  <si>
    <t>000000008209658217</t>
  </si>
  <si>
    <t>000000001209658220</t>
  </si>
  <si>
    <t>000000001209658199</t>
  </si>
  <si>
    <t>000000001209658200</t>
  </si>
  <si>
    <t>000000001209658149</t>
  </si>
  <si>
    <t>000000001209658142</t>
  </si>
  <si>
    <t>000000001209658145</t>
  </si>
  <si>
    <t>000000008209658216</t>
  </si>
  <si>
    <t>000000001209658236</t>
  </si>
  <si>
    <t>000000001209658238</t>
  </si>
  <si>
    <t>000000008209658259</t>
  </si>
  <si>
    <t>000000001209658263</t>
  </si>
  <si>
    <t>000000001209658264</t>
  </si>
  <si>
    <t>000000008209658205</t>
  </si>
  <si>
    <t>000000008209658136</t>
  </si>
  <si>
    <t>000000001209658154</t>
  </si>
  <si>
    <t>000000001209658194</t>
  </si>
  <si>
    <t>000000001209658195</t>
  </si>
  <si>
    <t>000000001209658196</t>
  </si>
  <si>
    <t>000000008209658230</t>
  </si>
  <si>
    <t>000000001209658237</t>
  </si>
  <si>
    <t>000000008209658256</t>
  </si>
  <si>
    <t>000000008209658187</t>
  </si>
  <si>
    <t>000000008209658258</t>
  </si>
  <si>
    <t>000000008209658151</t>
  </si>
  <si>
    <t>000000001209658197</t>
  </si>
  <si>
    <t>000000008209658231</t>
  </si>
  <si>
    <t>000000008209658232</t>
  </si>
  <si>
    <t>000000001209658234</t>
  </si>
  <si>
    <t>000000001209658148</t>
  </si>
  <si>
    <t>000000008209658260</t>
  </si>
  <si>
    <t>000000001209658267</t>
  </si>
  <si>
    <t>000000001209658327</t>
  </si>
  <si>
    <t>64</t>
  </si>
  <si>
    <t>LA TORRE ARRAZOLA</t>
  </si>
  <si>
    <t>000000008209658352</t>
  </si>
  <si>
    <t>65</t>
  </si>
  <si>
    <t>LA TORRE JUTIAPA</t>
  </si>
  <si>
    <t>000000001209658384</t>
  </si>
  <si>
    <t>66</t>
  </si>
  <si>
    <t>LA TORRE METRONORTE</t>
  </si>
  <si>
    <t>000000001209658467</t>
  </si>
  <si>
    <t>69</t>
  </si>
  <si>
    <t>LA TORRE VILLA CANALES</t>
  </si>
  <si>
    <t>000000001209658385</t>
  </si>
  <si>
    <t>000000001209658377</t>
  </si>
  <si>
    <t>000000008209658373</t>
  </si>
  <si>
    <t>000000001209658411</t>
  </si>
  <si>
    <t>67</t>
  </si>
  <si>
    <t>LA TORRE SANKRIS</t>
  </si>
  <si>
    <t>000000001209658357</t>
  </si>
  <si>
    <t>000000001209658328</t>
  </si>
  <si>
    <t>000000008209658336</t>
  </si>
  <si>
    <t>000000008209658316</t>
  </si>
  <si>
    <t>000000008209658341</t>
  </si>
  <si>
    <t>000000001209658322</t>
  </si>
  <si>
    <t>000000001209658344</t>
  </si>
  <si>
    <t>000000008209658380</t>
  </si>
  <si>
    <t>000000001209658431</t>
  </si>
  <si>
    <t>68</t>
  </si>
  <si>
    <t>LA TORRE CAYALA</t>
  </si>
  <si>
    <t>000000008209658404</t>
  </si>
  <si>
    <t>000000008209658418</t>
  </si>
  <si>
    <t>000000001209658434</t>
  </si>
  <si>
    <t>000000008209658422</t>
  </si>
  <si>
    <t>000000001209658436</t>
  </si>
  <si>
    <t>000000001209658348</t>
  </si>
  <si>
    <t>000000001209658329</t>
  </si>
  <si>
    <t>000000001209658351</t>
  </si>
  <si>
    <t>000000008209658423</t>
  </si>
  <si>
    <t>000000001209658354</t>
  </si>
  <si>
    <t>000000001209658321</t>
  </si>
  <si>
    <t>000000001209658323</t>
  </si>
  <si>
    <t>000000001209658395</t>
  </si>
  <si>
    <t>000000008209658424</t>
  </si>
  <si>
    <t>000000008209658429</t>
  </si>
  <si>
    <t>000000001209658386</t>
  </si>
  <si>
    <t>000000001209658415</t>
  </si>
  <si>
    <t>000000001209658393</t>
  </si>
  <si>
    <t>000000001209658412</t>
  </si>
  <si>
    <t>000000001209658347</t>
  </si>
  <si>
    <t>000000001209658310</t>
  </si>
  <si>
    <t>000000008209658314</t>
  </si>
  <si>
    <t>000000008209658315</t>
  </si>
  <si>
    <t>000000008209658340</t>
  </si>
  <si>
    <t>000000008209658302</t>
  </si>
  <si>
    <t>000000001209658378</t>
  </si>
  <si>
    <t>000000001209658427</t>
  </si>
  <si>
    <t>000000001209658430</t>
  </si>
  <si>
    <t>000000008209658406</t>
  </si>
  <si>
    <t>000000001209658417</t>
  </si>
  <si>
    <t>000000001209658433</t>
  </si>
  <si>
    <t>000000001209658346</t>
  </si>
  <si>
    <t>000000008209658339</t>
  </si>
  <si>
    <t>000000001209658324</t>
  </si>
  <si>
    <t>000000001209658413</t>
  </si>
  <si>
    <t>000000008209658426</t>
  </si>
  <si>
    <t>000000001209658414</t>
  </si>
  <si>
    <t>000000008209658419</t>
  </si>
  <si>
    <t>000000008209658372</t>
  </si>
  <si>
    <t>000000008209658374</t>
  </si>
  <si>
    <t>000000001209658376</t>
  </si>
  <si>
    <t>000000008209658338</t>
  </si>
  <si>
    <t>000000001209658438</t>
  </si>
  <si>
    <t>000000008209658460</t>
  </si>
  <si>
    <t>000000008209658405</t>
  </si>
  <si>
    <t>000000001209658432</t>
  </si>
  <si>
    <t>000000001209658435</t>
  </si>
  <si>
    <t>000000001209658350</t>
  </si>
  <si>
    <t>000000001209658353</t>
  </si>
  <si>
    <t>000000001209658319</t>
  </si>
  <si>
    <t>000000001209658320</t>
  </si>
  <si>
    <t>000000008209658379</t>
  </si>
  <si>
    <t>000000008209658381</t>
  </si>
  <si>
    <t>000000008209658382</t>
  </si>
  <si>
    <t>000000001209658383</t>
  </si>
  <si>
    <t>000000008209658425</t>
  </si>
  <si>
    <t>000000008209658428</t>
  </si>
  <si>
    <t>000000008209658407</t>
  </si>
  <si>
    <t>000000001209658391</t>
  </si>
  <si>
    <t>000000001209658437</t>
  </si>
  <si>
    <t>000000008209658317</t>
  </si>
  <si>
    <t>000000001209658355</t>
  </si>
  <si>
    <t>000000001209658356</t>
  </si>
  <si>
    <t>000000008209658403</t>
  </si>
  <si>
    <t>000000001209658439</t>
  </si>
  <si>
    <t>000000001209658416</t>
  </si>
  <si>
    <t>000000001209658420</t>
  </si>
  <si>
    <t>000000001209658410</t>
  </si>
  <si>
    <t>000000001209658421</t>
  </si>
  <si>
    <t>000000001209658477</t>
  </si>
  <si>
    <t>000000008209658562</t>
  </si>
  <si>
    <t>72</t>
  </si>
  <si>
    <t>LA TORRE MADERO</t>
  </si>
  <si>
    <t>000000008209658564</t>
  </si>
  <si>
    <t>000000008209658565</t>
  </si>
  <si>
    <t>000000001209658611</t>
  </si>
  <si>
    <t>73</t>
  </si>
  <si>
    <t>LA TORRE JALAPA 2</t>
  </si>
  <si>
    <t>000000008209658457</t>
  </si>
  <si>
    <t>000000001209658572</t>
  </si>
  <si>
    <t>000000001209658573</t>
  </si>
  <si>
    <t>000000001209658469</t>
  </si>
  <si>
    <t>000000001209658504</t>
  </si>
  <si>
    <t>70</t>
  </si>
  <si>
    <t>LA TORRE EL FRUTAL</t>
  </si>
  <si>
    <t>000000001209658472</t>
  </si>
  <si>
    <t>000000008209658524</t>
  </si>
  <si>
    <t>71</t>
  </si>
  <si>
    <t>LA TORRE INDEPENDENCIA</t>
  </si>
  <si>
    <t>000000001209658620</t>
  </si>
  <si>
    <t>000000008209658491</t>
  </si>
  <si>
    <t>000000001209658493</t>
  </si>
  <si>
    <t>000000001209658530</t>
  </si>
  <si>
    <t>000000001209658577</t>
  </si>
  <si>
    <t>000000001209658578</t>
  </si>
  <si>
    <t>000000001209658496</t>
  </si>
  <si>
    <t>000000008209658566</t>
  </si>
  <si>
    <t>000000008209658607</t>
  </si>
  <si>
    <t>000000001209658500</t>
  </si>
  <si>
    <t>000000001209658466</t>
  </si>
  <si>
    <t>000000008209658521</t>
  </si>
  <si>
    <t>000000008209658523</t>
  </si>
  <si>
    <t>000000008209658488</t>
  </si>
  <si>
    <t>000000001209658531</t>
  </si>
  <si>
    <t>000000001209658494</t>
  </si>
  <si>
    <t>000000008209658606</t>
  </si>
  <si>
    <t>000000008209658609</t>
  </si>
  <si>
    <t>000000008209658456</t>
  </si>
  <si>
    <t>000000001209658464</t>
  </si>
  <si>
    <t>000000001209658613</t>
  </si>
  <si>
    <t>000000001209658615</t>
  </si>
  <si>
    <t>000000001209658468</t>
  </si>
  <si>
    <t>000000001209658470</t>
  </si>
  <si>
    <t>000000008209658492</t>
  </si>
  <si>
    <t>000000001209658495</t>
  </si>
  <si>
    <t>000000001209658497</t>
  </si>
  <si>
    <t>000000001209658568</t>
  </si>
  <si>
    <t>000000008209658567</t>
  </si>
  <si>
    <t>000000008209658605</t>
  </si>
  <si>
    <t>000000008209658608</t>
  </si>
  <si>
    <t>000000001209658570</t>
  </si>
  <si>
    <t>000000001209658571</t>
  </si>
  <si>
    <t>000000001209658465</t>
  </si>
  <si>
    <t>000000001209658616</t>
  </si>
  <si>
    <t>000000001209658617</t>
  </si>
  <si>
    <t>000000008209658520</t>
  </si>
  <si>
    <t>000000008209658490</t>
  </si>
  <si>
    <t>000000001209658529</t>
  </si>
  <si>
    <t>000000008209658563</t>
  </si>
  <si>
    <t>000000001209658569</t>
  </si>
  <si>
    <t>000000001209658553</t>
  </si>
  <si>
    <t>000000001209658610</t>
  </si>
  <si>
    <t>000000001209658612</t>
  </si>
  <si>
    <t>000000008209658461</t>
  </si>
  <si>
    <t>000000008209658463</t>
  </si>
  <si>
    <t>000000001209658499</t>
  </si>
  <si>
    <t>000000001209658574</t>
  </si>
  <si>
    <t>000000001209658618</t>
  </si>
  <si>
    <t>000000008209658522</t>
  </si>
  <si>
    <t>000000001209658576</t>
  </si>
  <si>
    <t>000000001209658527</t>
  </si>
  <si>
    <t>000000008209658525</t>
  </si>
  <si>
    <t>000000001209658528</t>
  </si>
  <si>
    <t>000000001209658544</t>
  </si>
  <si>
    <t>000000001209658534</t>
  </si>
  <si>
    <t>000000008209658551</t>
  </si>
  <si>
    <t>000000008209658459</t>
  </si>
  <si>
    <t>000000008209658462</t>
  </si>
  <si>
    <t>000000001209658614</t>
  </si>
  <si>
    <t>000000001209658503</t>
  </si>
  <si>
    <t>000000008209658489</t>
  </si>
  <si>
    <t>000000001209658526</t>
  </si>
  <si>
    <t>000000001209658532</t>
  </si>
  <si>
    <t>000000001209658533</t>
  </si>
  <si>
    <t>000000001209658538</t>
  </si>
  <si>
    <t>000000001209658498</t>
  </si>
  <si>
    <t>000000001209658619</t>
  </si>
  <si>
    <t>000000008209658458</t>
  </si>
  <si>
    <t>000000008209658487</t>
  </si>
  <si>
    <t>000000008209658486</t>
  </si>
  <si>
    <t>000000001209658476</t>
  </si>
  <si>
    <t>000000001209658680</t>
  </si>
  <si>
    <t>75</t>
  </si>
  <si>
    <t>LA TORRE SAN JOSE PINULA 2</t>
  </si>
  <si>
    <t>000000001209658732</t>
  </si>
  <si>
    <t>76</t>
  </si>
  <si>
    <t>LA TORRE EL NARANJO</t>
  </si>
  <si>
    <t>000000001209658719</t>
  </si>
  <si>
    <t>000000008209658666</t>
  </si>
  <si>
    <t>000000001209658759</t>
  </si>
  <si>
    <t>77</t>
  </si>
  <si>
    <t>LA TORRE ESCUINTLA 2</t>
  </si>
  <si>
    <t>000000001209658761</t>
  </si>
  <si>
    <t>000000001209658728</t>
  </si>
  <si>
    <t>000000001209658730</t>
  </si>
  <si>
    <t>000000001209658677</t>
  </si>
  <si>
    <t>000000001209658644</t>
  </si>
  <si>
    <t>74</t>
  </si>
  <si>
    <t>LA TORRE SAN MARCOS</t>
  </si>
  <si>
    <t>000000008209658775</t>
  </si>
  <si>
    <t>80</t>
  </si>
  <si>
    <t>LA TORRE BARBERENA</t>
  </si>
  <si>
    <t>000000001209658778</t>
  </si>
  <si>
    <t>000000008209658709</t>
  </si>
  <si>
    <t>000000008209658710</t>
  </si>
  <si>
    <t>000000001209658671</t>
  </si>
  <si>
    <t>000000008209658757</t>
  </si>
  <si>
    <t>000000008209658631</t>
  </si>
  <si>
    <t>000000001209658729</t>
  </si>
  <si>
    <t>000000001209658763</t>
  </si>
  <si>
    <t>000000001209658787</t>
  </si>
  <si>
    <t>000000008209658708</t>
  </si>
  <si>
    <t>000000001209658717</t>
  </si>
  <si>
    <t>000000001209658718</t>
  </si>
  <si>
    <t>000000001209658683</t>
  </si>
  <si>
    <t>000000008209658665</t>
  </si>
  <si>
    <t>000000008209658667</t>
  </si>
  <si>
    <t>000000008209658727</t>
  </si>
  <si>
    <t>000000008209658633</t>
  </si>
  <si>
    <t>000000008209658741</t>
  </si>
  <si>
    <t>000000001209658639</t>
  </si>
  <si>
    <t>000000001209658678</t>
  </si>
  <si>
    <t>000000001209658715</t>
  </si>
  <si>
    <t>000000001209658679</t>
  </si>
  <si>
    <t>000000008209658707</t>
  </si>
  <si>
    <t>000000008209658669</t>
  </si>
  <si>
    <t>000000001209658762</t>
  </si>
  <si>
    <t>000000001209658643</t>
  </si>
  <si>
    <t>000000001209658716</t>
  </si>
  <si>
    <t>000000001209658746</t>
  </si>
  <si>
    <t>000000008209658632</t>
  </si>
  <si>
    <t>000000008209658636</t>
  </si>
  <si>
    <t>000000001209658675</t>
  </si>
  <si>
    <t>000000001209658640</t>
  </si>
  <si>
    <t>000000001209658676</t>
  </si>
  <si>
    <t>000000008209658743</t>
  </si>
  <si>
    <t>000000001209658642</t>
  </si>
  <si>
    <t>000000001209658731</t>
  </si>
  <si>
    <t>000000001209658780</t>
  </si>
  <si>
    <t>000000001209658784</t>
  </si>
  <si>
    <t>000000001209658786</t>
  </si>
  <si>
    <t>000000001209658750</t>
  </si>
  <si>
    <t>000000008209658668</t>
  </si>
  <si>
    <t>000000001209658720</t>
  </si>
  <si>
    <t>000000008209658758</t>
  </si>
  <si>
    <t>000000001209658652</t>
  </si>
  <si>
    <t>000000001209658673</t>
  </si>
  <si>
    <t>000000001209658641</t>
  </si>
  <si>
    <t>000000001209658765</t>
  </si>
  <si>
    <t>000000001209658747</t>
  </si>
  <si>
    <t>000000001209658751</t>
  </si>
  <si>
    <t>000000001209658638</t>
  </si>
  <si>
    <t>000000008209658742</t>
  </si>
  <si>
    <t>000000001209658645</t>
  </si>
  <si>
    <t>000000008209658706</t>
  </si>
  <si>
    <t>000000001209658790</t>
  </si>
  <si>
    <t>000000001209658782</t>
  </si>
  <si>
    <t>000000008209658788</t>
  </si>
  <si>
    <t>000000008209658670</t>
  </si>
  <si>
    <t>000000001209658672</t>
  </si>
  <si>
    <t>000000008209658634</t>
  </si>
  <si>
    <t>000000001209658674</t>
  </si>
  <si>
    <t>000000008209658635</t>
  </si>
  <si>
    <t>000000008209658637</t>
  </si>
  <si>
    <t>000000008209658774</t>
  </si>
  <si>
    <t>000000008209658776</t>
  </si>
  <si>
    <t>000000001209658781</t>
  </si>
  <si>
    <t>000000001209658783</t>
  </si>
  <si>
    <t>000000001209658785</t>
  </si>
  <si>
    <t>000000001209658748</t>
  </si>
  <si>
    <t>000000001209658789</t>
  </si>
  <si>
    <t>000000008209658777</t>
  </si>
  <si>
    <t>000000001209658649</t>
  </si>
  <si>
    <t>000000001209658651</t>
  </si>
  <si>
    <t>000000001209658760</t>
  </si>
  <si>
    <t>000000001209658882</t>
  </si>
  <si>
    <t>83</t>
  </si>
  <si>
    <t>LA TORRE PINARES</t>
  </si>
  <si>
    <t>000000001209658899</t>
  </si>
  <si>
    <t>84</t>
  </si>
  <si>
    <t>LA TORRE SANTA LUCIA</t>
  </si>
  <si>
    <t>000000008209658958</t>
  </si>
  <si>
    <t>86</t>
  </si>
  <si>
    <t>LA TORRE MILPAS ALTAS</t>
  </si>
  <si>
    <t>000000001209658963</t>
  </si>
  <si>
    <t>000000001209658836</t>
  </si>
  <si>
    <t>82</t>
  </si>
  <si>
    <t>LA TORRE SALAMA</t>
  </si>
  <si>
    <t>000000008209658829</t>
  </si>
  <si>
    <t>000000008209658864</t>
  </si>
  <si>
    <t>000000008209658955</t>
  </si>
  <si>
    <t>000000008209658903</t>
  </si>
  <si>
    <t>000000001209658810</t>
  </si>
  <si>
    <t>81</t>
  </si>
  <si>
    <t>LA TORRE SAN NICOLAS</t>
  </si>
  <si>
    <t>000000008209658827</t>
  </si>
  <si>
    <t>000000001209658833</t>
  </si>
  <si>
    <t>000000001209658912</t>
  </si>
  <si>
    <t>000000008209658891</t>
  </si>
  <si>
    <t>000000008209658877</t>
  </si>
  <si>
    <t>000000001209658838</t>
  </si>
  <si>
    <t>000000008209658817</t>
  </si>
  <si>
    <t>000000008209658956</t>
  </si>
  <si>
    <t>000000001209658804</t>
  </si>
  <si>
    <t>000000001209658935</t>
  </si>
  <si>
    <t>85</t>
  </si>
  <si>
    <t>ECONO SUPER MAGNOLIA</t>
  </si>
  <si>
    <t>000000001209658960</t>
  </si>
  <si>
    <t>000000001209658809</t>
  </si>
  <si>
    <t>000000001209658849</t>
  </si>
  <si>
    <t>000000001209658832</t>
  </si>
  <si>
    <t>000000001209658813</t>
  </si>
  <si>
    <t>000000008209658876</t>
  </si>
  <si>
    <t>000000001209658869</t>
  </si>
  <si>
    <t>000000001209658923</t>
  </si>
  <si>
    <t>000000001209658880</t>
  </si>
  <si>
    <t>000000001209658967</t>
  </si>
  <si>
    <t>000000008209658802</t>
  </si>
  <si>
    <t>000000001209658872</t>
  </si>
  <si>
    <t>000000001209658909</t>
  </si>
  <si>
    <t>000000008209658902</t>
  </si>
  <si>
    <t>000000001209658962</t>
  </si>
  <si>
    <t>000000008209658828</t>
  </si>
  <si>
    <t>000000008209658830</t>
  </si>
  <si>
    <t>000000001209658834</t>
  </si>
  <si>
    <t>000000001209658868</t>
  </si>
  <si>
    <t>000000001209658893</t>
  </si>
  <si>
    <t>000000008209658921</t>
  </si>
  <si>
    <t>000000001209658924</t>
  </si>
  <si>
    <t>000000001209658926</t>
  </si>
  <si>
    <t>000000008209658801</t>
  </si>
  <si>
    <t>000000008209658803</t>
  </si>
  <si>
    <t>000000001209658805</t>
  </si>
  <si>
    <t>000000001209658930</t>
  </si>
  <si>
    <t>000000001209658806</t>
  </si>
  <si>
    <t>000000001209658961</t>
  </si>
  <si>
    <t>000000001209658831</t>
  </si>
  <si>
    <t>000000001209658875</t>
  </si>
  <si>
    <t>000000008209658865</t>
  </si>
  <si>
    <t>000000008209658867</t>
  </si>
  <si>
    <t>000000001209658896</t>
  </si>
  <si>
    <t>000000008209658922</t>
  </si>
  <si>
    <t>000000001209658881</t>
  </si>
  <si>
    <t>000000001209658898</t>
  </si>
  <si>
    <t>000000001209658929</t>
  </si>
  <si>
    <t>000000001209658901</t>
  </si>
  <si>
    <t>000000001209658807</t>
  </si>
  <si>
    <t>000000001209658904</t>
  </si>
  <si>
    <t>000000001209658808</t>
  </si>
  <si>
    <t>000000008209658892</t>
  </si>
  <si>
    <t>000000001209658835</t>
  </si>
  <si>
    <t>000000008209658866</t>
  </si>
  <si>
    <t>000000008209658919</t>
  </si>
  <si>
    <t>000000001209658925</t>
  </si>
  <si>
    <t>000000008209658957</t>
  </si>
  <si>
    <t>000000001209658966</t>
  </si>
  <si>
    <t>000000001209658968</t>
  </si>
  <si>
    <t>000000001209658927</t>
  </si>
  <si>
    <t>000000001209658928</t>
  </si>
  <si>
    <t>000000001209658905</t>
  </si>
  <si>
    <t>000000001209658939</t>
  </si>
  <si>
    <t>000000008209658824</t>
  </si>
  <si>
    <t>000000001209658811</t>
  </si>
  <si>
    <t>000000001209658839</t>
  </si>
  <si>
    <t>000000001209658818</t>
  </si>
  <si>
    <t>000000001209658871</t>
  </si>
  <si>
    <t>000000001209658965</t>
  </si>
  <si>
    <t>000000001209658970</t>
  </si>
  <si>
    <t>000000001209658873</t>
  </si>
  <si>
    <t>000000001209658964</t>
  </si>
  <si>
    <t>000000008209658959</t>
  </si>
  <si>
    <t>000000008209658825</t>
  </si>
  <si>
    <t>000000001209658874</t>
  </si>
  <si>
    <t>000000008209658826</t>
  </si>
  <si>
    <t>000000008209658863</t>
  </si>
  <si>
    <t>000000001209658837</t>
  </si>
  <si>
    <t>000000001209658870</t>
  </si>
  <si>
    <t>000000008209658920</t>
  </si>
  <si>
    <t>000000008209658954</t>
  </si>
  <si>
    <t>000000001209658969</t>
  </si>
  <si>
    <t>000000001209659122</t>
  </si>
  <si>
    <t>102</t>
  </si>
  <si>
    <t>LA TORRE ESCALA</t>
  </si>
  <si>
    <t>000000001209659103</t>
  </si>
  <si>
    <t>91</t>
  </si>
  <si>
    <t>LA TORRE ROOSEVELT</t>
  </si>
  <si>
    <t>000000008209659047</t>
  </si>
  <si>
    <t>89</t>
  </si>
  <si>
    <t>LA TORRE PUERTO BARRIOS</t>
  </si>
  <si>
    <t>000000001209658989</t>
  </si>
  <si>
    <t>87</t>
  </si>
  <si>
    <t>LA TORRE POPTUN</t>
  </si>
  <si>
    <t>000000001209658990</t>
  </si>
  <si>
    <t>000000008209659051</t>
  </si>
  <si>
    <t>000000001209659023</t>
  </si>
  <si>
    <t>000000001209659001</t>
  </si>
  <si>
    <t>000000001209659091</t>
  </si>
  <si>
    <t>000000001209659120</t>
  </si>
  <si>
    <t>000000008209659097</t>
  </si>
  <si>
    <t>000000001209659125</t>
  </si>
  <si>
    <t>000000008209658981</t>
  </si>
  <si>
    <t>000000008209658982</t>
  </si>
  <si>
    <t>000000008209658983</t>
  </si>
  <si>
    <t>000000008209659048</t>
  </si>
  <si>
    <t>000000001209659053</t>
  </si>
  <si>
    <t>000000001209659056</t>
  </si>
  <si>
    <t>000000001209659021</t>
  </si>
  <si>
    <t>000000001209659089</t>
  </si>
  <si>
    <t>000000001209659062</t>
  </si>
  <si>
    <t>000000001209659068</t>
  </si>
  <si>
    <t>000000001209659123</t>
  </si>
  <si>
    <t>000000008209659052</t>
  </si>
  <si>
    <t>000000001209658992</t>
  </si>
  <si>
    <t>000000008209659084</t>
  </si>
  <si>
    <t>000000001209659019</t>
  </si>
  <si>
    <t>000000001209658995</t>
  </si>
  <si>
    <t>000000001209659061</t>
  </si>
  <si>
    <t>000000008209658985</t>
  </si>
  <si>
    <t>000000008209658986</t>
  </si>
  <si>
    <t>000000001209659127</t>
  </si>
  <si>
    <t>000000008209659014</t>
  </si>
  <si>
    <t>000000008209659016</t>
  </si>
  <si>
    <t>000000001209659059</t>
  </si>
  <si>
    <t>000000001209659024</t>
  </si>
  <si>
    <t>000000008209659115</t>
  </si>
  <si>
    <t>000000001209659026</t>
  </si>
  <si>
    <t>000000001209658987</t>
  </si>
  <si>
    <t>000000001209658991</t>
  </si>
  <si>
    <t>000000008209659013</t>
  </si>
  <si>
    <t>000000008209659081</t>
  </si>
  <si>
    <t>000000001209658993</t>
  </si>
  <si>
    <t>000000001209659058</t>
  </si>
  <si>
    <t>000000001209659022</t>
  </si>
  <si>
    <t>000000001209659090</t>
  </si>
  <si>
    <t>000000001209658996</t>
  </si>
  <si>
    <t>000000001209659028</t>
  </si>
  <si>
    <t>000000008209659050</t>
  </si>
  <si>
    <t>000000001209659128</t>
  </si>
  <si>
    <t>000000008209659129</t>
  </si>
  <si>
    <t>000000001209659136</t>
  </si>
  <si>
    <t>000000001209659055</t>
  </si>
  <si>
    <t>000000008209659017</t>
  </si>
  <si>
    <t>000000008209659082</t>
  </si>
  <si>
    <t>000000001209659087</t>
  </si>
  <si>
    <t>000000008209659116</t>
  </si>
  <si>
    <t>000000008209659117</t>
  </si>
  <si>
    <t>000000001209659121</t>
  </si>
  <si>
    <t>000000001209659092</t>
  </si>
  <si>
    <t>000000001209659096</t>
  </si>
  <si>
    <t>000000001209659098</t>
  </si>
  <si>
    <t>000000008209659029</t>
  </si>
  <si>
    <t>000000008209658984</t>
  </si>
  <si>
    <t>000000001209659102</t>
  </si>
  <si>
    <t>000000001209658988</t>
  </si>
  <si>
    <t>000000008209659049</t>
  </si>
  <si>
    <t>000000008209659015</t>
  </si>
  <si>
    <t>000000008209659083</t>
  </si>
  <si>
    <t>000000001209659020</t>
  </si>
  <si>
    <t>000000001209659086</t>
  </si>
  <si>
    <t>000000001209659060</t>
  </si>
  <si>
    <t>000000008209658998</t>
  </si>
  <si>
    <t>000000008209659119</t>
  </si>
  <si>
    <t>000000001209659027</t>
  </si>
  <si>
    <t>000000001209659124</t>
  </si>
  <si>
    <t>000000001209659030</t>
  </si>
  <si>
    <t>000000001209659126</t>
  </si>
  <si>
    <t>000000001209659054</t>
  </si>
  <si>
    <t>000000001209659057</t>
  </si>
  <si>
    <t>000000008209659085</t>
  </si>
  <si>
    <t>000000001209658994</t>
  </si>
  <si>
    <t>000000008209659018</t>
  </si>
  <si>
    <t>000000001209659088</t>
  </si>
  <si>
    <t>000000001209659025</t>
  </si>
  <si>
    <t>000000008209659063</t>
  </si>
  <si>
    <t>000000008209659118</t>
  </si>
  <si>
    <t>000000001209659265</t>
  </si>
  <si>
    <t>106</t>
  </si>
  <si>
    <t>LA TORRE GUASTATOYA</t>
  </si>
  <si>
    <t>000000008209659141</t>
  </si>
  <si>
    <t>103</t>
  </si>
  <si>
    <t>LA TORRE PORTALES</t>
  </si>
  <si>
    <t>000000008209659211</t>
  </si>
  <si>
    <t>104</t>
  </si>
  <si>
    <t>LA TORRE JOCOTENANGO</t>
  </si>
  <si>
    <t>000000001209659232</t>
  </si>
  <si>
    <t>105</t>
  </si>
  <si>
    <t>LA TORRE 20 CALLE</t>
  </si>
  <si>
    <t>000000001209659267</t>
  </si>
  <si>
    <t>000000001209659234</t>
  </si>
  <si>
    <t>000000001209659201</t>
  </si>
  <si>
    <t>000000001209659276</t>
  </si>
  <si>
    <t>000000008209659295</t>
  </si>
  <si>
    <t>107</t>
  </si>
  <si>
    <t>LA TORRE PANAJACHEL</t>
  </si>
  <si>
    <t>000000001209659299</t>
  </si>
  <si>
    <t>000000001209659262</t>
  </si>
  <si>
    <t>000000001209659152</t>
  </si>
  <si>
    <t>000000001209659304</t>
  </si>
  <si>
    <t>000000008209659138</t>
  </si>
  <si>
    <t>000000001209659231</t>
  </si>
  <si>
    <t>000000001209659144</t>
  </si>
  <si>
    <t>000000001209659212</t>
  </si>
  <si>
    <t>000000008209659252</t>
  </si>
  <si>
    <t>000000008209659294</t>
  </si>
  <si>
    <t>000000001209659148</t>
  </si>
  <si>
    <t>000000001209659202</t>
  </si>
  <si>
    <t>000000008209659223</t>
  </si>
  <si>
    <t>000000008209659193</t>
  </si>
  <si>
    <t>000000008209659253</t>
  </si>
  <si>
    <t>000000008209659195</t>
  </si>
  <si>
    <t>000000008209659311</t>
  </si>
  <si>
    <t>000000001209659199</t>
  </si>
  <si>
    <t>000000008209659291</t>
  </si>
  <si>
    <t>000000001209659235</t>
  </si>
  <si>
    <t>000000001209659149</t>
  </si>
  <si>
    <t>000000001209659236</t>
  </si>
  <si>
    <t>000000001209659207</t>
  </si>
  <si>
    <t>000000008209659222</t>
  </si>
  <si>
    <t>000000001209659227</t>
  </si>
  <si>
    <t>000000008209659140</t>
  </si>
  <si>
    <t>000000001209659266</t>
  </si>
  <si>
    <t>000000001209659155</t>
  </si>
  <si>
    <t>000000008209659197</t>
  </si>
  <si>
    <t>000000001209659273</t>
  </si>
  <si>
    <t>000000008209659256</t>
  </si>
  <si>
    <t>000000008209659257</t>
  </si>
  <si>
    <t>000000001209659277</t>
  </si>
  <si>
    <t>000000001209659204</t>
  </si>
  <si>
    <t>000000008209659224</t>
  </si>
  <si>
    <t>000000008209659237</t>
  </si>
  <si>
    <t>000000001209659245</t>
  </si>
  <si>
    <t>000000001209659229</t>
  </si>
  <si>
    <t>000000008209659269</t>
  </si>
  <si>
    <t>000000008209659200</t>
  </si>
  <si>
    <t>000000001209659219</t>
  </si>
  <si>
    <t>000000001209659296</t>
  </si>
  <si>
    <t>000000001209659280</t>
  </si>
  <si>
    <t>000000001209659298</t>
  </si>
  <si>
    <t>000000001209659260</t>
  </si>
  <si>
    <t>000000001209659300</t>
  </si>
  <si>
    <t>000000008209659225</t>
  </si>
  <si>
    <t>000000008209659142</t>
  </si>
  <si>
    <t>000000008209659154</t>
  </si>
  <si>
    <t>000000001209659146</t>
  </si>
  <si>
    <t>000000001209659233</t>
  </si>
  <si>
    <t>000000001209659147</t>
  </si>
  <si>
    <t>000000008209659255</t>
  </si>
  <si>
    <t>000000001209659203</t>
  </si>
  <si>
    <t>000000001209659297</t>
  </si>
  <si>
    <t>000000001209659259</t>
  </si>
  <si>
    <t>000000001209659206</t>
  </si>
  <si>
    <t>000000001209659208</t>
  </si>
  <si>
    <t>000000001209659228</t>
  </si>
  <si>
    <t>000000008209659137</t>
  </si>
  <si>
    <t>000000008209659139</t>
  </si>
  <si>
    <t>000000001209659209</t>
  </si>
  <si>
    <t>000000001209659230</t>
  </si>
  <si>
    <t>000000001209659308</t>
  </si>
  <si>
    <t>000000001209659143</t>
  </si>
  <si>
    <t>000000008209659268</t>
  </si>
  <si>
    <t>000000008209659270</t>
  </si>
  <si>
    <t>000000008209659194</t>
  </si>
  <si>
    <t>000000008209659196</t>
  </si>
  <si>
    <t>000000008209659292</t>
  </si>
  <si>
    <t>000000008209659293</t>
  </si>
  <si>
    <t>000000001209659318</t>
  </si>
  <si>
    <t>000000001209659302</t>
  </si>
  <si>
    <t>000000001209659150</t>
  </si>
  <si>
    <t>000000008209659226</t>
  </si>
  <si>
    <t>000000001209659264</t>
  </si>
  <si>
    <t>000000001209659303</t>
  </si>
  <si>
    <t>000000001209659145</t>
  </si>
  <si>
    <t>000000001209659153</t>
  </si>
  <si>
    <t>000000001209659301</t>
  </si>
  <si>
    <t>000000008209659340</t>
  </si>
  <si>
    <t>109</t>
  </si>
  <si>
    <t>LA TORRE XELA 3</t>
  </si>
  <si>
    <t>000000008209659440</t>
  </si>
  <si>
    <t>115</t>
  </si>
  <si>
    <t>LA TORRE EL RODEO</t>
  </si>
  <si>
    <t>000000001209659387</t>
  </si>
  <si>
    <t>110</t>
  </si>
  <si>
    <t>LA TORRE LOS AMATES</t>
  </si>
  <si>
    <t>000000008209659343</t>
  </si>
  <si>
    <t>000000001209659448</t>
  </si>
  <si>
    <t>000000008209659345</t>
  </si>
  <si>
    <t>000000008209659401</t>
  </si>
  <si>
    <t>114</t>
  </si>
  <si>
    <t>LA TORRE LA RADIAL</t>
  </si>
  <si>
    <t>000000001209659369</t>
  </si>
  <si>
    <t>000000008209659403</t>
  </si>
  <si>
    <t>000000001209659474</t>
  </si>
  <si>
    <t>116</t>
  </si>
  <si>
    <t>LA TORRE CARCHA</t>
  </si>
  <si>
    <t>000000001209659450</t>
  </si>
  <si>
    <t>000000008209659415</t>
  </si>
  <si>
    <t>000000008209659416</t>
  </si>
  <si>
    <t>000000001209659393</t>
  </si>
  <si>
    <t>000000001209659347</t>
  </si>
  <si>
    <t>000000001209659348</t>
  </si>
  <si>
    <t>000000001209659349</t>
  </si>
  <si>
    <t>000000008209659451</t>
  </si>
  <si>
    <t>000000001209659452</t>
  </si>
  <si>
    <t>000000001209659371</t>
  </si>
  <si>
    <t>000000008209659483</t>
  </si>
  <si>
    <t>000000008209659381</t>
  </si>
  <si>
    <t>000000008209659439</t>
  </si>
  <si>
    <t>000000001209659443</t>
  </si>
  <si>
    <t>000000001209659444</t>
  </si>
  <si>
    <t>000000001209659420</t>
  </si>
  <si>
    <t>000000001209659426</t>
  </si>
  <si>
    <t>000000008209659367</t>
  </si>
  <si>
    <t>000000001209659351</t>
  </si>
  <si>
    <t>000000001209659453</t>
  </si>
  <si>
    <t>000000001209659478</t>
  </si>
  <si>
    <t>000000001209659356</t>
  </si>
  <si>
    <t>000000001209659484</t>
  </si>
  <si>
    <t>000000008209659380</t>
  </si>
  <si>
    <t>000000001209659385</t>
  </si>
  <si>
    <t>000000008209659414</t>
  </si>
  <si>
    <t>000000001209659417</t>
  </si>
  <si>
    <t>000000008209659342</t>
  </si>
  <si>
    <t>000000001209659479</t>
  </si>
  <si>
    <t>000000001209659407</t>
  </si>
  <si>
    <t>000000001209659355</t>
  </si>
  <si>
    <t>000000001209659386</t>
  </si>
  <si>
    <t>000000001209659446</t>
  </si>
  <si>
    <t>000000008209659470</t>
  </si>
  <si>
    <t>000000001209659475</t>
  </si>
  <si>
    <t>000000008209659473</t>
  </si>
  <si>
    <t>000000001209659477</t>
  </si>
  <si>
    <t>000000001209659373</t>
  </si>
  <si>
    <t>000000001209659480</t>
  </si>
  <si>
    <t>000000001209659375</t>
  </si>
  <si>
    <t>000000001209659409</t>
  </si>
  <si>
    <t>000000001209659377</t>
  </si>
  <si>
    <t>000000008209659438</t>
  </si>
  <si>
    <t>000000001209659413</t>
  </si>
  <si>
    <t>000000008209659441</t>
  </si>
  <si>
    <t>000000008209659341</t>
  </si>
  <si>
    <t>000000008209659344</t>
  </si>
  <si>
    <t>000000001209659346</t>
  </si>
  <si>
    <t>000000001209659358</t>
  </si>
  <si>
    <t>000000008209659471</t>
  </si>
  <si>
    <t>000000001209659352</t>
  </si>
  <si>
    <t>000000001209659376</t>
  </si>
  <si>
    <t>000000001209659410</t>
  </si>
  <si>
    <t>000000001209659482</t>
  </si>
  <si>
    <t>000000001209659357</t>
  </si>
  <si>
    <t>000000001209659419</t>
  </si>
  <si>
    <t>000000008209659442</t>
  </si>
  <si>
    <t>000000001209659445</t>
  </si>
  <si>
    <t>000000001209659447</t>
  </si>
  <si>
    <t>000000008209659325</t>
  </si>
  <si>
    <t>000000008209659368</t>
  </si>
  <si>
    <t>000000008209659402</t>
  </si>
  <si>
    <t>000000001209659476</t>
  </si>
  <si>
    <t>000000001209659481</t>
  </si>
  <si>
    <t>000000001209659411</t>
  </si>
  <si>
    <t>000000001209659418</t>
  </si>
  <si>
    <t>000000001209659449</t>
  </si>
  <si>
    <t>000000008209659366</t>
  </si>
  <si>
    <t>000000008209659472</t>
  </si>
  <si>
    <t>000000001209659331</t>
  </si>
  <si>
    <t>000000001209659408</t>
  </si>
  <si>
    <t>000000001209659488</t>
  </si>
  <si>
    <t>000000008209659383</t>
  </si>
  <si>
    <t>000000001209659509</t>
  </si>
  <si>
    <t>117</t>
  </si>
  <si>
    <t>LA TORRE SAN ISIDRO</t>
  </si>
  <si>
    <t>000000001209659511</t>
  </si>
  <si>
    <t>000000001209659625</t>
  </si>
  <si>
    <t>125</t>
  </si>
  <si>
    <t>LA TORRE SAN IGNACIO</t>
  </si>
  <si>
    <t>000000001209659587</t>
  </si>
  <si>
    <t>124</t>
  </si>
  <si>
    <t>LA TORRE ATANACIO</t>
  </si>
  <si>
    <t>000000008209659613</t>
  </si>
  <si>
    <t>000000008209659615</t>
  </si>
  <si>
    <t>000000001209659563</t>
  </si>
  <si>
    <t>123</t>
  </si>
  <si>
    <t>LA TORRE ZACAPA</t>
  </si>
  <si>
    <t>000000001209659618</t>
  </si>
  <si>
    <t>000000008209659503</t>
  </si>
  <si>
    <t>000000001209659669</t>
  </si>
  <si>
    <t>126</t>
  </si>
  <si>
    <t>LA TORRE RIO DULCE</t>
  </si>
  <si>
    <t>000000001209659660</t>
  </si>
  <si>
    <t>000000008209659665</t>
  </si>
  <si>
    <t>000000001209659596</t>
  </si>
  <si>
    <t>000000001209659533</t>
  </si>
  <si>
    <t>118</t>
  </si>
  <si>
    <t>LA TORRE SAN JUAN</t>
  </si>
  <si>
    <t>000000001209659512</t>
  </si>
  <si>
    <t>000000001209659560</t>
  </si>
  <si>
    <t>000000001209659538</t>
  </si>
  <si>
    <t>000000008209659612</t>
  </si>
  <si>
    <t>000000008209659616</t>
  </si>
  <si>
    <t>000000001209659619</t>
  </si>
  <si>
    <t>000000001209659565</t>
  </si>
  <si>
    <t>000000008209659529</t>
  </si>
  <si>
    <t>000000008209659651</t>
  </si>
  <si>
    <t>000000008209659662</t>
  </si>
  <si>
    <t>000000001209659510</t>
  </si>
  <si>
    <t>000000001209659535</t>
  </si>
  <si>
    <t>000000001209659536</t>
  </si>
  <si>
    <t>000000008209659580</t>
  </si>
  <si>
    <t>000000001209659556</t>
  </si>
  <si>
    <t>000000008209659611</t>
  </si>
  <si>
    <t>000000001209659562</t>
  </si>
  <si>
    <t>000000001209659541</t>
  </si>
  <si>
    <t>000000001209659516</t>
  </si>
  <si>
    <t>000000001209659594</t>
  </si>
  <si>
    <t>000000008209659501</t>
  </si>
  <si>
    <t>000000001209659507</t>
  </si>
  <si>
    <t>000000008209659506</t>
  </si>
  <si>
    <t>000000001209659530</t>
  </si>
  <si>
    <t>000000001209659671</t>
  </si>
  <si>
    <t>000000001209659676</t>
  </si>
  <si>
    <t>000000008209659663</t>
  </si>
  <si>
    <t>000000008209659666</t>
  </si>
  <si>
    <t>000000008209659551</t>
  </si>
  <si>
    <t>000000001209659555</t>
  </si>
  <si>
    <t>000000008209659614</t>
  </si>
  <si>
    <t>000000008209659524</t>
  </si>
  <si>
    <t>000000008209659525</t>
  </si>
  <si>
    <t>000000008209659664</t>
  </si>
  <si>
    <t>000000001209659604</t>
  </si>
  <si>
    <t>000000008209659584</t>
  </si>
  <si>
    <t>000000001209659590</t>
  </si>
  <si>
    <t>000000001209659561</t>
  </si>
  <si>
    <t>000000008209659564</t>
  </si>
  <si>
    <t>000000001209659517</t>
  </si>
  <si>
    <t>000000008209659526</t>
  </si>
  <si>
    <t>000000008209659527</t>
  </si>
  <si>
    <t>000000008209659528</t>
  </si>
  <si>
    <t>000000001209659534</t>
  </si>
  <si>
    <t>000000001209659599</t>
  </si>
  <si>
    <t>000000008209659552</t>
  </si>
  <si>
    <t>000000008209659553</t>
  </si>
  <si>
    <t>000000001209659557</t>
  </si>
  <si>
    <t>000000001209659558</t>
  </si>
  <si>
    <t>000000008209659581</t>
  </si>
  <si>
    <t>000000001209659588</t>
  </si>
  <si>
    <t>000000001209659592</t>
  </si>
  <si>
    <t>000000001209659631</t>
  </si>
  <si>
    <t>000000001209659621</t>
  </si>
  <si>
    <t>000000008209659502</t>
  </si>
  <si>
    <t>000000001209659595</t>
  </si>
  <si>
    <t>000000001209659622</t>
  </si>
  <si>
    <t>000000008209659505</t>
  </si>
  <si>
    <t>000000001209659667</t>
  </si>
  <si>
    <t>000000001209659668</t>
  </si>
  <si>
    <t>000000001209659656</t>
  </si>
  <si>
    <t>000000001209659659</t>
  </si>
  <si>
    <t>000000001209659623</t>
  </si>
  <si>
    <t>000000001209659508</t>
  </si>
  <si>
    <t>000000001209659531</t>
  </si>
  <si>
    <t>000000001209659532</t>
  </si>
  <si>
    <t>000000008209659598</t>
  </si>
  <si>
    <t>000000001209659600</t>
  </si>
  <si>
    <t>000000001209659624</t>
  </si>
  <si>
    <t>000000001209659537</t>
  </si>
  <si>
    <t>000000008209659554</t>
  </si>
  <si>
    <t>000000001209659559</t>
  </si>
  <si>
    <t>000000001209659626</t>
  </si>
  <si>
    <t>000000001209659586</t>
  </si>
  <si>
    <t>000000008209659515</t>
  </si>
  <si>
    <t>000000001209659670</t>
  </si>
  <si>
    <t>000000001209659658</t>
  </si>
  <si>
    <t>000000008209659652</t>
  </si>
  <si>
    <t>000000008209659582</t>
  </si>
  <si>
    <t>000000008209659583</t>
  </si>
  <si>
    <t>000000001209659513</t>
  </si>
  <si>
    <t>000000001209659539</t>
  </si>
  <si>
    <t>000000001209659627</t>
  </si>
  <si>
    <t>000000008209659617</t>
  </si>
  <si>
    <t>000000001209659514</t>
  </si>
  <si>
    <t>000000008209659629</t>
  </si>
  <si>
    <t>000000001209659620</t>
  </si>
  <si>
    <t>000000008209659504</t>
  </si>
  <si>
    <t>000000001209659732</t>
  </si>
  <si>
    <t>129</t>
  </si>
  <si>
    <t>LA TORRE ZONA 13 AMERICAS</t>
  </si>
  <si>
    <t>000000008209659749</t>
  </si>
  <si>
    <t>130</t>
  </si>
  <si>
    <t>LA TORRE ZONA 4</t>
  </si>
  <si>
    <t>000000008209659718</t>
  </si>
  <si>
    <t>000000001209659752</t>
  </si>
  <si>
    <t>000000008209659681</t>
  </si>
  <si>
    <t>128</t>
  </si>
  <si>
    <t>LA TORRE HUEHUETENANGO</t>
  </si>
  <si>
    <t>000000001209659755</t>
  </si>
  <si>
    <t>000000001209659771</t>
  </si>
  <si>
    <t>000000008209659731</t>
  </si>
  <si>
    <t>000000008209659793</t>
  </si>
  <si>
    <t>133</t>
  </si>
  <si>
    <t>LA TORRE COBAN</t>
  </si>
  <si>
    <t>000000008209659803</t>
  </si>
  <si>
    <t>140</t>
  </si>
  <si>
    <t>LA TORRE MIXCO ZONA 1</t>
  </si>
  <si>
    <t>000000008209659807</t>
  </si>
  <si>
    <t>000000001209659808</t>
  </si>
  <si>
    <t>000000001209659810</t>
  </si>
  <si>
    <t>000000008209659695</t>
  </si>
  <si>
    <t>000000008209659716</t>
  </si>
  <si>
    <t>000000001209659814</t>
  </si>
  <si>
    <t>000000001209659815</t>
  </si>
  <si>
    <t>000000008209659748</t>
  </si>
  <si>
    <t>000000001209659719</t>
  </si>
  <si>
    <t>000000008209659750</t>
  </si>
  <si>
    <t>000000001209659751</t>
  </si>
  <si>
    <t>000000001209659724</t>
  </si>
  <si>
    <t>000000001209659725</t>
  </si>
  <si>
    <t>000000001209659693</t>
  </si>
  <si>
    <t>000000008209659713</t>
  </si>
  <si>
    <t>000000001209659797</t>
  </si>
  <si>
    <t>000000001209659816</t>
  </si>
  <si>
    <t>000000001209659702</t>
  </si>
  <si>
    <t>000000008209659684</t>
  </si>
  <si>
    <t>000000001209659686</t>
  </si>
  <si>
    <t>000000008209659782</t>
  </si>
  <si>
    <t>000000008209659783</t>
  </si>
  <si>
    <t>000000001209659694</t>
  </si>
  <si>
    <t>000000008209659696</t>
  </si>
  <si>
    <t>000000008209659715</t>
  </si>
  <si>
    <t>000000001209659800</t>
  </si>
  <si>
    <t>000000008209659804</t>
  </si>
  <si>
    <t>000000001209659720</t>
  </si>
  <si>
    <t>000000001209659754</t>
  </si>
  <si>
    <t>000000001209659756</t>
  </si>
  <si>
    <t>000000001209659722</t>
  </si>
  <si>
    <t>000000001209659687</t>
  </si>
  <si>
    <t>000000008209659781</t>
  </si>
  <si>
    <t>000000001209659727</t>
  </si>
  <si>
    <t>000000008209659714</t>
  </si>
  <si>
    <t>000000008209659791</t>
  </si>
  <si>
    <t>000000001209659801</t>
  </si>
  <si>
    <t>000000001209659829</t>
  </si>
  <si>
    <t>000000008209659680</t>
  </si>
  <si>
    <t>000000001209659758</t>
  </si>
  <si>
    <t>000000001209659691</t>
  </si>
  <si>
    <t>000000008209659761</t>
  </si>
  <si>
    <t>000000001209659763</t>
  </si>
  <si>
    <t>000000001209659786</t>
  </si>
  <si>
    <t>000000001209659811</t>
  </si>
  <si>
    <t>000000001209659812</t>
  </si>
  <si>
    <t>000000001209659790</t>
  </si>
  <si>
    <t>000000001209659699</t>
  </si>
  <si>
    <t>000000001209659721</t>
  </si>
  <si>
    <t>000000001209659753</t>
  </si>
  <si>
    <t>000000008209659683</t>
  </si>
  <si>
    <t>000000001209659685</t>
  </si>
  <si>
    <t>000000001209659813</t>
  </si>
  <si>
    <t>000000008209659795</t>
  </si>
  <si>
    <t>000000001209659798</t>
  </si>
  <si>
    <t>000000001209659799</t>
  </si>
  <si>
    <t>000000008209659805</t>
  </si>
  <si>
    <t>000000001209659809</t>
  </si>
  <si>
    <t>000000008209659747</t>
  </si>
  <si>
    <t>000000001209659789</t>
  </si>
  <si>
    <t>000000001209659717</t>
  </si>
  <si>
    <t>000000008209659682</t>
  </si>
  <si>
    <t>000000001209659723</t>
  </si>
  <si>
    <t>000000001209659689</t>
  </si>
  <si>
    <t>000000001209659690</t>
  </si>
  <si>
    <t>000000001209659692</t>
  </si>
  <si>
    <t>000000001209659764</t>
  </si>
  <si>
    <t>000000001209659728</t>
  </si>
  <si>
    <t>000000001209659787</t>
  </si>
  <si>
    <t>000000001209659788</t>
  </si>
  <si>
    <t>000000008209659792</t>
  </si>
  <si>
    <t>000000001209659796</t>
  </si>
  <si>
    <t>000000008209659802</t>
  </si>
  <si>
    <t>000000008209659806</t>
  </si>
  <si>
    <t>000000001209659862</t>
  </si>
  <si>
    <t>141</t>
  </si>
  <si>
    <t>LA TORRE FUTECA Z14</t>
  </si>
  <si>
    <t>000000008209659993</t>
  </si>
  <si>
    <t>144</t>
  </si>
  <si>
    <t>LA TORRE PETAPOLIS</t>
  </si>
  <si>
    <t>000000008209659920</t>
  </si>
  <si>
    <t>142</t>
  </si>
  <si>
    <t>LA TORRE CAYALA 2</t>
  </si>
  <si>
    <t>000000001209660004</t>
  </si>
  <si>
    <t>000000001209659911</t>
  </si>
  <si>
    <t>000000001209659922</t>
  </si>
  <si>
    <t>000000001209660007</t>
  </si>
  <si>
    <t>000000001209659950</t>
  </si>
  <si>
    <t>143</t>
  </si>
  <si>
    <t>LA TORRE BARCENAS</t>
  </si>
  <si>
    <t>000000001209659999</t>
  </si>
  <si>
    <t>000000008209659843</t>
  </si>
  <si>
    <t>000000001209659849</t>
  </si>
  <si>
    <t>000000001209659850</t>
  </si>
  <si>
    <t>000000001209659851</t>
  </si>
  <si>
    <t>000000001209659853</t>
  </si>
  <si>
    <t>000000001209659895</t>
  </si>
  <si>
    <t>000000008209659944</t>
  </si>
  <si>
    <t>000000008209659945</t>
  </si>
  <si>
    <t>000000001209659855</t>
  </si>
  <si>
    <t>000000001209659952</t>
  </si>
  <si>
    <t>000000001209659955</t>
  </si>
  <si>
    <t>000000008209659991</t>
  </si>
  <si>
    <t>000000008209659906</t>
  </si>
  <si>
    <t>000000001209659997</t>
  </si>
  <si>
    <t>000000001209659908</t>
  </si>
  <si>
    <t>000000001209659909</t>
  </si>
  <si>
    <t>000000008209659948</t>
  </si>
  <si>
    <t>000000001209659957</t>
  </si>
  <si>
    <t>000000001209659989</t>
  </si>
  <si>
    <t>000000008209659992</t>
  </si>
  <si>
    <t>000000008209659844</t>
  </si>
  <si>
    <t>000000008209659845</t>
  </si>
  <si>
    <t>000000001209660001</t>
  </si>
  <si>
    <t>000000001209659852</t>
  </si>
  <si>
    <t>000000001209659910</t>
  </si>
  <si>
    <t>000000001209659923</t>
  </si>
  <si>
    <t>000000001209659925</t>
  </si>
  <si>
    <t>000000008209659994</t>
  </si>
  <si>
    <t>000000001209659898</t>
  </si>
  <si>
    <t>000000008209659841</t>
  </si>
  <si>
    <t>000000008209659903</t>
  </si>
  <si>
    <t>000000001209659848</t>
  </si>
  <si>
    <t>000000001209659949</t>
  </si>
  <si>
    <t>000000008209659858</t>
  </si>
  <si>
    <t>000000001209659859</t>
  </si>
  <si>
    <t>000000001209659954</t>
  </si>
  <si>
    <t>000000001209659956</t>
  </si>
  <si>
    <t>000000001209659998</t>
  </si>
  <si>
    <t>000000008209659943</t>
  </si>
  <si>
    <t>000000008209659946</t>
  </si>
  <si>
    <t>000000001209659951</t>
  </si>
  <si>
    <t>000000001209659953</t>
  </si>
  <si>
    <t>000000001209659996</t>
  </si>
  <si>
    <t>000000008209659889</t>
  </si>
  <si>
    <t>000000008209659905</t>
  </si>
  <si>
    <t>000000001209659907</t>
  </si>
  <si>
    <t>000000001209659921</t>
  </si>
  <si>
    <t>000000001209659942</t>
  </si>
  <si>
    <t>000000001209659857</t>
  </si>
  <si>
    <t>000000001209659959</t>
  </si>
  <si>
    <t>000000008209659840</t>
  </si>
  <si>
    <t>000000008209659842</t>
  </si>
  <si>
    <t>000000001209660000</t>
  </si>
  <si>
    <t>000000001209659847</t>
  </si>
  <si>
    <t>000000001209660002</t>
  </si>
  <si>
    <t>000000001209660005</t>
  </si>
  <si>
    <t>000000008209660006</t>
  </si>
  <si>
    <t>000000008209659947</t>
  </si>
  <si>
    <t>000000001209660083</t>
  </si>
  <si>
    <t>156</t>
  </si>
  <si>
    <t>LA TORRE CHIMALTENANGO</t>
  </si>
  <si>
    <t>000000001209660051</t>
  </si>
  <si>
    <t>150</t>
  </si>
  <si>
    <t>LA TORRE CENTRICO Z5</t>
  </si>
  <si>
    <t>000000008209660087</t>
  </si>
  <si>
    <t>159</t>
  </si>
  <si>
    <t>LA TORRE ESCUINTLA 3</t>
  </si>
  <si>
    <t>000000001209660193</t>
  </si>
  <si>
    <t>162</t>
  </si>
  <si>
    <t>LA TORRE MARISCAL 2</t>
  </si>
  <si>
    <t>000000001209660194</t>
  </si>
  <si>
    <t>000000001209660072</t>
  </si>
  <si>
    <t>000000001209660128</t>
  </si>
  <si>
    <t>160</t>
  </si>
  <si>
    <t>LA TORRE MIRAFLORES</t>
  </si>
  <si>
    <t>000000001209660132</t>
  </si>
  <si>
    <t>000000008209660044</t>
  </si>
  <si>
    <t>000000001209660084</t>
  </si>
  <si>
    <t>000000001209660124</t>
  </si>
  <si>
    <t>000000008209660158</t>
  </si>
  <si>
    <t>161</t>
  </si>
  <si>
    <t>LA TORRE SANTALU</t>
  </si>
  <si>
    <t>000000008209660089</t>
  </si>
  <si>
    <t>000000008209660033</t>
  </si>
  <si>
    <t>000000008209660173</t>
  </si>
  <si>
    <t>000000008209660062</t>
  </si>
  <si>
    <t>000000001209660150</t>
  </si>
  <si>
    <t>000000001209660097</t>
  </si>
  <si>
    <t>000000001209660185</t>
  </si>
  <si>
    <t>000000008209660117</t>
  </si>
  <si>
    <t>000000008209660118</t>
  </si>
  <si>
    <t>000000001209660154</t>
  </si>
  <si>
    <t>000000008209660085</t>
  </si>
  <si>
    <t>000000001209660071</t>
  </si>
  <si>
    <t>000000001209660092</t>
  </si>
  <si>
    <t>000000008209660031</t>
  </si>
  <si>
    <t>000000008209660032</t>
  </si>
  <si>
    <t>000000001209660034</t>
  </si>
  <si>
    <t>000000001209660035</t>
  </si>
  <si>
    <t>000000001209660095</t>
  </si>
  <si>
    <t>000000008209660144</t>
  </si>
  <si>
    <t>000000008209660172</t>
  </si>
  <si>
    <t>000000001209660038</t>
  </si>
  <si>
    <t>000000001209660096</t>
  </si>
  <si>
    <t>000000001209660041</t>
  </si>
  <si>
    <t>000000001209660149</t>
  </si>
  <si>
    <t>000000001209660042</t>
  </si>
  <si>
    <t>000000001209660179</t>
  </si>
  <si>
    <t>000000001209660131</t>
  </si>
  <si>
    <t>000000001209660043</t>
  </si>
  <si>
    <t>000000008209660088</t>
  </si>
  <si>
    <t>000000001209660127</t>
  </si>
  <si>
    <t>000000001209660094</t>
  </si>
  <si>
    <t>000000008209660145</t>
  </si>
  <si>
    <t>000000001209660037</t>
  </si>
  <si>
    <t>000000001209660039</t>
  </si>
  <si>
    <t>000000001209660040</t>
  </si>
  <si>
    <t>000000008209660147</t>
  </si>
  <si>
    <t>000000001209660148</t>
  </si>
  <si>
    <t>000000008209660176</t>
  </si>
  <si>
    <t>000000001209660074</t>
  </si>
  <si>
    <t>000000001209660151</t>
  </si>
  <si>
    <t>000000001209660130</t>
  </si>
  <si>
    <t>000000001209660152</t>
  </si>
  <si>
    <t>000000001209660153</t>
  </si>
  <si>
    <t>000000008209660187</t>
  </si>
  <si>
    <t>000000001209660099</t>
  </si>
  <si>
    <t>000000001209660136</t>
  </si>
  <si>
    <t>000000001209660162</t>
  </si>
  <si>
    <t>000000001209660182</t>
  </si>
  <si>
    <t>000000001209660091</t>
  </si>
  <si>
    <t>000000008209660030</t>
  </si>
  <si>
    <t>000000001209660036</t>
  </si>
  <si>
    <t>000000001209660073</t>
  </si>
  <si>
    <t>000000008209660146</t>
  </si>
  <si>
    <t>000000008209660171</t>
  </si>
  <si>
    <t>000000008209660133</t>
  </si>
  <si>
    <t>000000001209660190</t>
  </si>
  <si>
    <t>000000001209660174</t>
  </si>
  <si>
    <t>000000008209660175</t>
  </si>
  <si>
    <t>000000008209660064</t>
  </si>
  <si>
    <t>000000008209660075</t>
  </si>
  <si>
    <t>000000001209660067</t>
  </si>
  <si>
    <t>000000001209660068</t>
  </si>
  <si>
    <t>000000001209660180</t>
  </si>
  <si>
    <t>000000008209660120</t>
  </si>
  <si>
    <t>000000008209660121</t>
  </si>
  <si>
    <t>000000008209660122</t>
  </si>
  <si>
    <t>000000008209660134</t>
  </si>
  <si>
    <t>000000001209660157</t>
  </si>
  <si>
    <t>000000001209660100</t>
  </si>
  <si>
    <t>000000001209660181</t>
  </si>
  <si>
    <t>000000001209660123</t>
  </si>
  <si>
    <t>000000001209660108</t>
  </si>
  <si>
    <t>000000001209660069</t>
  </si>
  <si>
    <t>000000001209660070</t>
  </si>
  <si>
    <t>000000001209660156</t>
  </si>
  <si>
    <t>000000001209660090</t>
  </si>
  <si>
    <t>000000001209660183</t>
  </si>
  <si>
    <t>000000001209660093</t>
  </si>
  <si>
    <t>000000001209660082</t>
  </si>
  <si>
    <t>000000008209660086</t>
  </si>
  <si>
    <t>000000001209660139</t>
  </si>
  <si>
    <t>000000008209660101</t>
  </si>
  <si>
    <t>000000001209660184</t>
  </si>
  <si>
    <t>000000001209660143</t>
  </si>
  <si>
    <t>000000001209660129</t>
  </si>
  <si>
    <t>000000008209660063</t>
  </si>
  <si>
    <t>000000008209660065</t>
  </si>
  <si>
    <t>000000008209660186</t>
  </si>
  <si>
    <t>000000001209660155</t>
  </si>
  <si>
    <t>000000008209660204</t>
  </si>
  <si>
    <t>195</t>
  </si>
  <si>
    <t>LT SAN JOSE PINULA 3</t>
  </si>
  <si>
    <t>000000001209660245</t>
  </si>
  <si>
    <t>196</t>
  </si>
  <si>
    <t>LA TORRE PALIN</t>
  </si>
  <si>
    <t>000000001209660211</t>
  </si>
  <si>
    <t>000000001209660252</t>
  </si>
  <si>
    <t>000000001209660285</t>
  </si>
  <si>
    <t>204</t>
  </si>
  <si>
    <t>LA TORRE LIKIN</t>
  </si>
  <si>
    <t>000000008209660236</t>
  </si>
  <si>
    <t>000000001209660241</t>
  </si>
  <si>
    <t>000000001209660229</t>
  </si>
  <si>
    <t>000000001209660209</t>
  </si>
  <si>
    <t>000000001209660275</t>
  </si>
  <si>
    <t>000000008209660278</t>
  </si>
  <si>
    <t>000000001209660309</t>
  </si>
  <si>
    <t>205</t>
  </si>
  <si>
    <t>LA TORRE TOTONICAPAN</t>
  </si>
  <si>
    <t>000000008209660234</t>
  </si>
  <si>
    <t>000000001209660242</t>
  </si>
  <si>
    <t>000000001209660318</t>
  </si>
  <si>
    <t>000000001209660208</t>
  </si>
  <si>
    <t>000000008209660307</t>
  </si>
  <si>
    <t>000000001209660214</t>
  </si>
  <si>
    <t>000000001209660283</t>
  </si>
  <si>
    <t>000000001209660311</t>
  </si>
  <si>
    <t>000000001209660287</t>
  </si>
  <si>
    <t>000000001209660243</t>
  </si>
  <si>
    <t>000000001209660315</t>
  </si>
  <si>
    <t>000000008209660305</t>
  </si>
  <si>
    <t>000000001209660239</t>
  </si>
  <si>
    <t>000000001209660240</t>
  </si>
  <si>
    <t>000000001209660272</t>
  </si>
  <si>
    <t>000000008209660276</t>
  </si>
  <si>
    <t>000000008209660206</t>
  </si>
  <si>
    <t>000000001209660213</t>
  </si>
  <si>
    <t>000000008209660280</t>
  </si>
  <si>
    <t>000000001209660316</t>
  </si>
  <si>
    <t>000000001209660293</t>
  </si>
  <si>
    <t>000000008209660202</t>
  </si>
  <si>
    <t>000000008209660205</t>
  </si>
  <si>
    <t>000000001209660247</t>
  </si>
  <si>
    <t>000000008209660279</t>
  </si>
  <si>
    <t>000000008209660308</t>
  </si>
  <si>
    <t>000000001209660215</t>
  </si>
  <si>
    <t>000000001209660288</t>
  </si>
  <si>
    <t>000000008209660235</t>
  </si>
  <si>
    <t>000000008209660238</t>
  </si>
  <si>
    <t>000000001209660289</t>
  </si>
  <si>
    <t>000000008209660207</t>
  </si>
  <si>
    <t>000000001209660244</t>
  </si>
  <si>
    <t>000000001209660210</t>
  </si>
  <si>
    <t>000000001209660212</t>
  </si>
  <si>
    <t>000000008209660277</t>
  </si>
  <si>
    <t>000000008209660306</t>
  </si>
  <si>
    <t>000000001209660312</t>
  </si>
  <si>
    <t>000000001209660286</t>
  </si>
  <si>
    <t>000000008209660203</t>
  </si>
  <si>
    <t>000000008209660251</t>
  </si>
  <si>
    <t>000000001209660282</t>
  </si>
  <si>
    <t>000000001209660310</t>
  </si>
  <si>
    <t>000000001209660284</t>
  </si>
  <si>
    <t>000000008209660237</t>
  </si>
  <si>
    <t>000000008209660266</t>
  </si>
  <si>
    <t>000000001209660317</t>
  </si>
  <si>
    <t>000000001209660468</t>
  </si>
  <si>
    <t>220</t>
  </si>
  <si>
    <t>LA TORRE ANTIGUA 2</t>
  </si>
  <si>
    <t>000000001209660394</t>
  </si>
  <si>
    <t>210</t>
  </si>
  <si>
    <t>LA TORRE CIUDAD VIEJA</t>
  </si>
  <si>
    <t>000000001209660520</t>
  </si>
  <si>
    <t>224</t>
  </si>
  <si>
    <t>LA TORRE QUICHE</t>
  </si>
  <si>
    <t>000000008209660350</t>
  </si>
  <si>
    <t>209</t>
  </si>
  <si>
    <t>LA TORRE COATEPEQUE 2</t>
  </si>
  <si>
    <t>000000001209660351</t>
  </si>
  <si>
    <t>000000008209660378</t>
  </si>
  <si>
    <t>000000008209660421</t>
  </si>
  <si>
    <t>215</t>
  </si>
  <si>
    <t>LA TORRE MITA</t>
  </si>
  <si>
    <t>000000008209660422</t>
  </si>
  <si>
    <t>000000001209660453</t>
  </si>
  <si>
    <t>000000008209660459</t>
  </si>
  <si>
    <t>000000001209660495</t>
  </si>
  <si>
    <t>221</t>
  </si>
  <si>
    <t>LA TORRE PROCERES</t>
  </si>
  <si>
    <t>000000001209660388</t>
  </si>
  <si>
    <t>000000001209660462</t>
  </si>
  <si>
    <t>000000001209660463</t>
  </si>
  <si>
    <t>000000001209660389</t>
  </si>
  <si>
    <t>000000001209660465</t>
  </si>
  <si>
    <t>000000008209660509</t>
  </si>
  <si>
    <t>000000008209660478</t>
  </si>
  <si>
    <t>000000001209660516</t>
  </si>
  <si>
    <t>000000001209660491</t>
  </si>
  <si>
    <t>000000008209660349</t>
  </si>
  <si>
    <t>000000001209660354</t>
  </si>
  <si>
    <t>000000008209660379</t>
  </si>
  <si>
    <t>000000001209660357</t>
  </si>
  <si>
    <t>000000008209660410</t>
  </si>
  <si>
    <t>000000008209660458</t>
  </si>
  <si>
    <t>000000008209660446</t>
  </si>
  <si>
    <t>000000008209660510</t>
  </si>
  <si>
    <t>000000008209660479</t>
  </si>
  <si>
    <t>000000001209660514</t>
  </si>
  <si>
    <t>000000001209660391</t>
  </si>
  <si>
    <t>000000008209660484</t>
  </si>
  <si>
    <t>000000001209660486</t>
  </si>
  <si>
    <t>000000001209660417</t>
  </si>
  <si>
    <t>000000008209660345</t>
  </si>
  <si>
    <t>000000001209660419</t>
  </si>
  <si>
    <t>000000001209660522</t>
  </si>
  <si>
    <t>000000001209660494</t>
  </si>
  <si>
    <t>000000001209660425</t>
  </si>
  <si>
    <t>000000008209660457</t>
  </si>
  <si>
    <t>000000001209660390</t>
  </si>
  <si>
    <t>000000008209660511</t>
  </si>
  <si>
    <t>000000008209660512</t>
  </si>
  <si>
    <t>000000001209660428</t>
  </si>
  <si>
    <t>000000008209660480</t>
  </si>
  <si>
    <t>000000001209660359</t>
  </si>
  <si>
    <t>000000001209660392</t>
  </si>
  <si>
    <t>000000001209660418</t>
  </si>
  <si>
    <t>000000001209660449</t>
  </si>
  <si>
    <t>000000001209660450</t>
  </si>
  <si>
    <t>000000001209660420</t>
  </si>
  <si>
    <t>000000008209660380</t>
  </si>
  <si>
    <t>000000008209660381</t>
  </si>
  <si>
    <t>000000008209660382</t>
  </si>
  <si>
    <t>000000008209660383</t>
  </si>
  <si>
    <t>000000001209660386</t>
  </si>
  <si>
    <t>000000008209660507</t>
  </si>
  <si>
    <t>000000001209660513</t>
  </si>
  <si>
    <t>000000001209660360</t>
  </si>
  <si>
    <t>000000008209660337</t>
  </si>
  <si>
    <t>000000001209660490</t>
  </si>
  <si>
    <t>000000008209660348</t>
  </si>
  <si>
    <t>000000001209660353</t>
  </si>
  <si>
    <t>000000008209660409</t>
  </si>
  <si>
    <t>000000001209660358</t>
  </si>
  <si>
    <t>000000001209660424</t>
  </si>
  <si>
    <t>000000008209660442</t>
  </si>
  <si>
    <t>000000001209660415</t>
  </si>
  <si>
    <t>000000008209660481</t>
  </si>
  <si>
    <t>000000001209660467</t>
  </si>
  <si>
    <t>000000001209660487</t>
  </si>
  <si>
    <t>000000001209660517</t>
  </si>
  <si>
    <t>000000001209660489</t>
  </si>
  <si>
    <t>000000001209660518</t>
  </si>
  <si>
    <t>000000001209660519</t>
  </si>
  <si>
    <t>000000001209660341</t>
  </si>
  <si>
    <t>000000008209660346</t>
  </si>
  <si>
    <t>000000001209660352</t>
  </si>
  <si>
    <t>000000001209660470</t>
  </si>
  <si>
    <t>000000008209660407</t>
  </si>
  <si>
    <t>000000008209660408</t>
  </si>
  <si>
    <t>000000008209660461</t>
  </si>
  <si>
    <t>000000008209660445</t>
  </si>
  <si>
    <t>000000008209660483</t>
  </si>
  <si>
    <t>000000001209660485</t>
  </si>
  <si>
    <t>000000001209660488</t>
  </si>
  <si>
    <t>000000008209660347</t>
  </si>
  <si>
    <t>000000001209660361</t>
  </si>
  <si>
    <t>000000001209660384</t>
  </si>
  <si>
    <t>000000001209660387</t>
  </si>
  <si>
    <t>000000008209660460</t>
  </si>
  <si>
    <t>000000001209660426</t>
  </si>
  <si>
    <t>000000001209660515</t>
  </si>
  <si>
    <t>000000001209660393</t>
  </si>
  <si>
    <t>000000001209660492</t>
  </si>
  <si>
    <t>000000001209660451</t>
  </si>
  <si>
    <t>000000001209660521</t>
  </si>
  <si>
    <t>000000001209660423</t>
  </si>
  <si>
    <t>000000001209660493</t>
  </si>
  <si>
    <t>000000001209660355</t>
  </si>
  <si>
    <t>000000001209660385</t>
  </si>
  <si>
    <t>000000001209660464</t>
  </si>
  <si>
    <t>000000008209660508</t>
  </si>
  <si>
    <t>000000008209660482</t>
  </si>
  <si>
    <t>000000001209660583</t>
  </si>
  <si>
    <t>228</t>
  </si>
  <si>
    <t>LT ANTIGUA 1</t>
  </si>
  <si>
    <t>000000008209660620</t>
  </si>
  <si>
    <t>237</t>
  </si>
  <si>
    <t>LT XELA 4</t>
  </si>
  <si>
    <t>000000008209660624</t>
  </si>
  <si>
    <t>000000008209660721</t>
  </si>
  <si>
    <t>258</t>
  </si>
  <si>
    <t>LA TORRE JALAPA 3</t>
  </si>
  <si>
    <t>000000008209660723</t>
  </si>
  <si>
    <t>000000008209660724</t>
  </si>
  <si>
    <t>000000001209660732</t>
  </si>
  <si>
    <t>000000008209660719</t>
  </si>
  <si>
    <t>000000008209660536</t>
  </si>
  <si>
    <t>225</t>
  </si>
  <si>
    <t>LA TORRE OAKLAND</t>
  </si>
  <si>
    <t>000000008209660573</t>
  </si>
  <si>
    <t>000000001209660541</t>
  </si>
  <si>
    <t>000000008209660532</t>
  </si>
  <si>
    <t>000000008209660533</t>
  </si>
  <si>
    <t>000000008209660534</t>
  </si>
  <si>
    <t>000000001209660736</t>
  </si>
  <si>
    <t>000000001209660630</t>
  </si>
  <si>
    <t>000000001209660675</t>
  </si>
  <si>
    <t>249</t>
  </si>
  <si>
    <t>LA TORRE SAN BENITO</t>
  </si>
  <si>
    <t>000000001209660726</t>
  </si>
  <si>
    <t>000000001209660739</t>
  </si>
  <si>
    <t>000000001209660633</t>
  </si>
  <si>
    <t>000000001209660677</t>
  </si>
  <si>
    <t>000000001209660634</t>
  </si>
  <si>
    <t>000000001209660635</t>
  </si>
  <si>
    <t>000000001209660577</t>
  </si>
  <si>
    <t>000000001209660579</t>
  </si>
  <si>
    <t>000000001209660545</t>
  </si>
  <si>
    <t>000000001209660681</t>
  </si>
  <si>
    <t>000000001209660627</t>
  </si>
  <si>
    <t>000000001209660674</t>
  </si>
  <si>
    <t>000000001209660727</t>
  </si>
  <si>
    <t>000000008209660537</t>
  </si>
  <si>
    <t>000000008209660572</t>
  </si>
  <si>
    <t>000000008209660538</t>
  </si>
  <si>
    <t>000000001209660576</t>
  </si>
  <si>
    <t>000000001209660544</t>
  </si>
  <si>
    <t>000000001209660585</t>
  </si>
  <si>
    <t>000000008209660621</t>
  </si>
  <si>
    <t>000000008209660622</t>
  </si>
  <si>
    <t>000000008209660535</t>
  </si>
  <si>
    <t>000000008209660571</t>
  </si>
  <si>
    <t>000000001209660734</t>
  </si>
  <si>
    <t>000000001209660639</t>
  </si>
  <si>
    <t>000000001209660628</t>
  </si>
  <si>
    <t>000000008209660662</t>
  </si>
  <si>
    <t>000000008209660664</t>
  </si>
  <si>
    <t>000000008209660665</t>
  </si>
  <si>
    <t>000000001209660728</t>
  </si>
  <si>
    <t>000000008209660738</t>
  </si>
  <si>
    <t>000000001209660540</t>
  </si>
  <si>
    <t>000000001209660580</t>
  </si>
  <si>
    <t>000000001209660596</t>
  </si>
  <si>
    <t>000000001209660547</t>
  </si>
  <si>
    <t>000000008209660625</t>
  </si>
  <si>
    <t>000000001209660672</t>
  </si>
  <si>
    <t>000000008209660722</t>
  </si>
  <si>
    <t>000000001209660629</t>
  </si>
  <si>
    <t>000000008209660663</t>
  </si>
  <si>
    <t>000000001209660729</t>
  </si>
  <si>
    <t>000000008209660667</t>
  </si>
  <si>
    <t>000000008209660575</t>
  </si>
  <si>
    <t>000000008209660568</t>
  </si>
  <si>
    <t>000000001209660731</t>
  </si>
  <si>
    <t>000000008209660642</t>
  </si>
  <si>
    <t>000000001209660668</t>
  </si>
  <si>
    <t>000000001209660574</t>
  </si>
  <si>
    <t>000000001209660543</t>
  </si>
  <si>
    <t>000000001209660546</t>
  </si>
  <si>
    <t>000000008209660623</t>
  </si>
  <si>
    <t>000000001209660637</t>
  </si>
  <si>
    <t>000000001209660682</t>
  </si>
  <si>
    <t>000000001209660631</t>
  </si>
  <si>
    <t>000000001209660730</t>
  </si>
  <si>
    <t>000000001209660670</t>
  </si>
  <si>
    <t>000000001209660549</t>
  </si>
  <si>
    <t>000000008209660569</t>
  </si>
  <si>
    <t>000000008209660570</t>
  </si>
  <si>
    <t>000000001209660673</t>
  </si>
  <si>
    <t>000000008209660661</t>
  </si>
  <si>
    <t>000000001209660678</t>
  </si>
  <si>
    <t>000000001209660644</t>
  </si>
  <si>
    <t>000000001209660671</t>
  </si>
  <si>
    <t>000000001209660539</t>
  </si>
  <si>
    <t>000000001209660550</t>
  </si>
  <si>
    <t>000000001209660542</t>
  </si>
  <si>
    <t>000000001209660578</t>
  </si>
  <si>
    <t>000000001209660581</t>
  </si>
  <si>
    <t>000000001209660582</t>
  </si>
  <si>
    <t>000000001209660770</t>
  </si>
  <si>
    <t>260</t>
  </si>
  <si>
    <t>LA TORRE VISTA HERMOSA 1</t>
  </si>
  <si>
    <t>000000001209660824</t>
  </si>
  <si>
    <t>264</t>
  </si>
  <si>
    <t>LA TORRE ANTIGUA 3</t>
  </si>
  <si>
    <t>000000001209660826</t>
  </si>
  <si>
    <t>000000001209660748</t>
  </si>
  <si>
    <t>259</t>
  </si>
  <si>
    <t>LA TORRE SAN MIGUEL PETAPA 2</t>
  </si>
  <si>
    <t>000000001209660807</t>
  </si>
  <si>
    <t>263</t>
  </si>
  <si>
    <t>LA TORRE ZACAPA 2</t>
  </si>
  <si>
    <t>000000001209660829</t>
  </si>
  <si>
    <t>000000001209660749</t>
  </si>
  <si>
    <t>000000001209660808</t>
  </si>
  <si>
    <t>000000008209660757</t>
  </si>
  <si>
    <t>000000008209660759</t>
  </si>
  <si>
    <t>000000008209660790</t>
  </si>
  <si>
    <t>262</t>
  </si>
  <si>
    <t>LA TORRE LINDAMAR</t>
  </si>
  <si>
    <t>000000008209660792</t>
  </si>
  <si>
    <t>000000001209660764</t>
  </si>
  <si>
    <t>000000001209660796</t>
  </si>
  <si>
    <t>000000001209660817</t>
  </si>
  <si>
    <t>000000008209660819</t>
  </si>
  <si>
    <t>000000008209660740</t>
  </si>
  <si>
    <t>000000008209660744</t>
  </si>
  <si>
    <t>000000001209660750</t>
  </si>
  <si>
    <t>000000001209660751</t>
  </si>
  <si>
    <t>000000008209660788</t>
  </si>
  <si>
    <t>000000001209660809</t>
  </si>
  <si>
    <t>000000001209660793</t>
  </si>
  <si>
    <t>000000008209660822</t>
  </si>
  <si>
    <t>000000001209660771</t>
  </si>
  <si>
    <t>000000001209660752</t>
  </si>
  <si>
    <t>000000008209660803</t>
  </si>
  <si>
    <t>000000001209660813</t>
  </si>
  <si>
    <t>000000001209660765</t>
  </si>
  <si>
    <t>000000001209660768</t>
  </si>
  <si>
    <t>000000008209660818</t>
  </si>
  <si>
    <t>000000008209660820</t>
  </si>
  <si>
    <t>000000001209660746</t>
  </si>
  <si>
    <t>000000001209660806</t>
  </si>
  <si>
    <t>000000001209660830</t>
  </si>
  <si>
    <t>000000001209660753</t>
  </si>
  <si>
    <t>000000001209660811</t>
  </si>
  <si>
    <t>000000001209660812</t>
  </si>
  <si>
    <t>000000008209660761</t>
  </si>
  <si>
    <t>000000001209660797</t>
  </si>
  <si>
    <t>000000008209660741</t>
  </si>
  <si>
    <t>000000008209660745</t>
  </si>
  <si>
    <t>000000001209660828</t>
  </si>
  <si>
    <t>000000001209660832</t>
  </si>
  <si>
    <t>000000001209660754</t>
  </si>
  <si>
    <t>000000001209660756</t>
  </si>
  <si>
    <t>000000001209660760</t>
  </si>
  <si>
    <t>000000001209660794</t>
  </si>
  <si>
    <t>000000001209660766</t>
  </si>
  <si>
    <t>000000001209660798</t>
  </si>
  <si>
    <t>000000008209660802</t>
  </si>
  <si>
    <t>000000008209660821</t>
  </si>
  <si>
    <t>000000001209660747</t>
  </si>
  <si>
    <t>000000008209660804</t>
  </si>
  <si>
    <t>000000008209660805</t>
  </si>
  <si>
    <t>000000001209660827</t>
  </si>
  <si>
    <t>000000001209660810</t>
  </si>
  <si>
    <t>000000001209660814</t>
  </si>
  <si>
    <t>000000001209660815</t>
  </si>
  <si>
    <t>000000001209660800</t>
  </si>
  <si>
    <t>000000008209660742</t>
  </si>
  <si>
    <t>000000008209660743</t>
  </si>
  <si>
    <t>000000001209660823</t>
  </si>
  <si>
    <t>000000008209660758</t>
  </si>
  <si>
    <t>000000008209660789</t>
  </si>
  <si>
    <t>000000008209660791</t>
  </si>
  <si>
    <t>000000001209660763</t>
  </si>
  <si>
    <t>000000001209660801</t>
  </si>
  <si>
    <t>000000008209660816</t>
  </si>
  <si>
    <t>000000001209660825</t>
  </si>
  <si>
    <t>000000001209660831</t>
  </si>
  <si>
    <t>000000001209660755</t>
  </si>
  <si>
    <t>000000001209660762</t>
  </si>
  <si>
    <t>000000001209660795</t>
  </si>
  <si>
    <t>000000001209660767</t>
  </si>
  <si>
    <t>000000001209660799</t>
  </si>
  <si>
    <t>000000001209660769</t>
  </si>
  <si>
    <t>000000001209660864</t>
  </si>
  <si>
    <t>275</t>
  </si>
  <si>
    <t>LA TORRE MORALES</t>
  </si>
  <si>
    <t>000000008209660890</t>
  </si>
  <si>
    <t>278</t>
  </si>
  <si>
    <t>LA TORRE ZONA 3</t>
  </si>
  <si>
    <t>000000001209660891</t>
  </si>
  <si>
    <t>000000001209660868</t>
  </si>
  <si>
    <t>000000001209660913</t>
  </si>
  <si>
    <t>279</t>
  </si>
  <si>
    <t>LA TORRE QUICHE 2</t>
  </si>
  <si>
    <t>000000001209660845</t>
  </si>
  <si>
    <t>266</t>
  </si>
  <si>
    <t>LA TORRE XELA 5</t>
  </si>
  <si>
    <t>000000008209660876</t>
  </si>
  <si>
    <t>277</t>
  </si>
  <si>
    <t>LA TORRE TULAM TZU</t>
  </si>
  <si>
    <t>000000001209660880</t>
  </si>
  <si>
    <t>000000001209660900</t>
  </si>
  <si>
    <t>000000008209660886</t>
  </si>
  <si>
    <t>000000008209660892</t>
  </si>
  <si>
    <t>000000001209660894</t>
  </si>
  <si>
    <t>000000001209660866</t>
  </si>
  <si>
    <t>000000008209660906</t>
  </si>
  <si>
    <t>000000001209660910</t>
  </si>
  <si>
    <t>000000001209660897</t>
  </si>
  <si>
    <t>000000001209660875</t>
  </si>
  <si>
    <t>000000001209660918</t>
  </si>
  <si>
    <t>000000001209660883</t>
  </si>
  <si>
    <t>000000008209660857</t>
  </si>
  <si>
    <t>000000008209660861</t>
  </si>
  <si>
    <t>000000008209660833</t>
  </si>
  <si>
    <t>000000008209660834</t>
  </si>
  <si>
    <t>000000008209660835</t>
  </si>
  <si>
    <t>000000008209660836</t>
  </si>
  <si>
    <t>000000001209660911</t>
  </si>
  <si>
    <t>000000001209660844</t>
  </si>
  <si>
    <t>000000001209660881</t>
  </si>
  <si>
    <t>000000001209660849</t>
  </si>
  <si>
    <t>000000008209660889</t>
  </si>
  <si>
    <t>000000008209660908</t>
  </si>
  <si>
    <t>000000001209660909</t>
  </si>
  <si>
    <t>000000001209660898</t>
  </si>
  <si>
    <t>000000001209660848</t>
  </si>
  <si>
    <t>000000001209660884</t>
  </si>
  <si>
    <t>000000008209660859</t>
  </si>
  <si>
    <t>000000008209660860</t>
  </si>
  <si>
    <t>000000008209660888</t>
  </si>
  <si>
    <t>000000001209660901</t>
  </si>
  <si>
    <t>000000001209660865</t>
  </si>
  <si>
    <t>000000008209660871</t>
  </si>
  <si>
    <t>000000001209660915</t>
  </si>
  <si>
    <t>000000008209660873</t>
  </si>
  <si>
    <t>000000001209660916</t>
  </si>
  <si>
    <t>000000001209660899</t>
  </si>
  <si>
    <t>000000008209660858</t>
  </si>
  <si>
    <t>000000008209660902</t>
  </si>
  <si>
    <t>000000001209660903</t>
  </si>
  <si>
    <t>000000008209660904</t>
  </si>
  <si>
    <t>000000008209660905</t>
  </si>
  <si>
    <t>000000001209660914</t>
  </si>
  <si>
    <t>000000001209660872</t>
  </si>
  <si>
    <t>000000008209660877</t>
  </si>
  <si>
    <t>000000001209660862</t>
  </si>
  <si>
    <t>000000001209660863</t>
  </si>
  <si>
    <t>000000001209660895</t>
  </si>
  <si>
    <t>000000001209660837</t>
  </si>
  <si>
    <t>000000008209660838</t>
  </si>
  <si>
    <t>000000008209660839</t>
  </si>
  <si>
    <t>000000001209660867</t>
  </si>
  <si>
    <t>000000001209660840</t>
  </si>
  <si>
    <t>000000001209660896</t>
  </si>
  <si>
    <t>000000001209660843</t>
  </si>
  <si>
    <t>000000001209660878</t>
  </si>
  <si>
    <t>000000001209660879</t>
  </si>
  <si>
    <t>000000001209660847</t>
  </si>
  <si>
    <t>000000001209660882</t>
  </si>
  <si>
    <t>000000008209660887</t>
  </si>
  <si>
    <t>000000001209660893</t>
  </si>
  <si>
    <t>000000001209660841</t>
  </si>
  <si>
    <t>000000001209660869</t>
  </si>
  <si>
    <t>000000008209660907</t>
  </si>
  <si>
    <t>000000001209660842</t>
  </si>
  <si>
    <t>000000001209660870</t>
  </si>
  <si>
    <t>000000001209660912</t>
  </si>
  <si>
    <t>000000008209660874</t>
  </si>
  <si>
    <t>000000001209660917</t>
  </si>
  <si>
    <t>000000001209660846</t>
  </si>
  <si>
    <t>000000001209660885</t>
  </si>
  <si>
    <t>000000001209661005</t>
  </si>
  <si>
    <t>296</t>
  </si>
  <si>
    <t>ECONOSUPER MILPAS ALTAS</t>
  </si>
  <si>
    <t>000000001209660944</t>
  </si>
  <si>
    <t>281</t>
  </si>
  <si>
    <t>LA TORRE HUEHUETENANGO 2</t>
  </si>
  <si>
    <t>000000001209661008</t>
  </si>
  <si>
    <t>000000001209661011</t>
  </si>
  <si>
    <t>297</t>
  </si>
  <si>
    <t>ECONOSUPER XELA</t>
  </si>
  <si>
    <t>000000001209660949</t>
  </si>
  <si>
    <t>000000008209660956</t>
  </si>
  <si>
    <t>282</t>
  </si>
  <si>
    <t>LA TORRE SANARATE</t>
  </si>
  <si>
    <t>000000001209660972</t>
  </si>
  <si>
    <t>000000001209661016</t>
  </si>
  <si>
    <t>000000001209661017</t>
  </si>
  <si>
    <t>000000001209661001</t>
  </si>
  <si>
    <t>000000001209661002</t>
  </si>
  <si>
    <t>000000001209660965</t>
  </si>
  <si>
    <t>000000001209661012</t>
  </si>
  <si>
    <t>000000001209660980</t>
  </si>
  <si>
    <t>000000008209660983</t>
  </si>
  <si>
    <t>284</t>
  </si>
  <si>
    <t>LA TORRE LA GOMERA</t>
  </si>
  <si>
    <t>000000001209660986</t>
  </si>
  <si>
    <t>000000001209660987</t>
  </si>
  <si>
    <t>000000008209660958</t>
  </si>
  <si>
    <t>000000008209660938</t>
  </si>
  <si>
    <t>000000001209660991</t>
  </si>
  <si>
    <t>000000001209660962</t>
  </si>
  <si>
    <t>000000001209660942</t>
  </si>
  <si>
    <t>000000008209660940</t>
  </si>
  <si>
    <t>000000001209660996</t>
  </si>
  <si>
    <t>000000008209660937</t>
  </si>
  <si>
    <t>000000001209661006</t>
  </si>
  <si>
    <t>000000001209661007</t>
  </si>
  <si>
    <t>000000001209660946</t>
  </si>
  <si>
    <t>000000008209661009</t>
  </si>
  <si>
    <t>000000001209661014</t>
  </si>
  <si>
    <t>000000008209660998</t>
  </si>
  <si>
    <t>000000001209660964</t>
  </si>
  <si>
    <t>000000001209661004</t>
  </si>
  <si>
    <t>000000008209660936</t>
  </si>
  <si>
    <t>000000001209660945</t>
  </si>
  <si>
    <t>000000001209660947</t>
  </si>
  <si>
    <t>000000001209660948</t>
  </si>
  <si>
    <t>000000001209661015</t>
  </si>
  <si>
    <t>000000001209660950</t>
  </si>
  <si>
    <t>000000008209660982</t>
  </si>
  <si>
    <t>000000008209660997</t>
  </si>
  <si>
    <t>000000001209661003</t>
  </si>
  <si>
    <t>000000001209660967</t>
  </si>
  <si>
    <t>000000001209660941</t>
  </si>
  <si>
    <t>000000008209660978</t>
  </si>
  <si>
    <t>000000008209660981</t>
  </si>
  <si>
    <t>000000001209660951</t>
  </si>
  <si>
    <t>000000001209660994</t>
  </si>
  <si>
    <t>000000008209660999</t>
  </si>
  <si>
    <t>000000008209660984</t>
  </si>
  <si>
    <t>000000008209660985</t>
  </si>
  <si>
    <t>000000001209660989</t>
  </si>
  <si>
    <t>000000001209660990</t>
  </si>
  <si>
    <t>000000001209660992</t>
  </si>
  <si>
    <t>000000001209660993</t>
  </si>
  <si>
    <t>000000001209660963</t>
  </si>
  <si>
    <t>000000008209660995</t>
  </si>
  <si>
    <t>000000001209661000</t>
  </si>
  <si>
    <t>000000001209660966</t>
  </si>
  <si>
    <t>000000008209660939</t>
  </si>
  <si>
    <t>000000001209660943</t>
  </si>
  <si>
    <t>000000001209660968</t>
  </si>
  <si>
    <t>000000001209660969</t>
  </si>
  <si>
    <t>000000001209661010</t>
  </si>
  <si>
    <t>000000001209661013</t>
  </si>
  <si>
    <t>000000001209660988</t>
  </si>
  <si>
    <t>000000008209660959</t>
  </si>
  <si>
    <t>000000001209661018</t>
  </si>
  <si>
    <t>000000001209661019</t>
  </si>
  <si>
    <t>000000001209660961</t>
  </si>
  <si>
    <t>SUBIR</t>
  </si>
  <si>
    <t>DIARIO</t>
  </si>
  <si>
    <t>CANTIDAD P</t>
  </si>
  <si>
    <t xml:space="preserve">CONFIRMAR </t>
  </si>
  <si>
    <t>NOCTUNAS/PRIORIDADES</t>
  </si>
  <si>
    <t>LTX</t>
  </si>
  <si>
    <t>RESTO</t>
  </si>
  <si>
    <t>TOTAL</t>
  </si>
  <si>
    <t>RE PEDIDOS</t>
  </si>
  <si>
    <t>Etiquetas de fila</t>
  </si>
  <si>
    <t>Total general</t>
  </si>
  <si>
    <t>Suma de CANTIDAD P</t>
  </si>
  <si>
    <t>Suma de CANTIDAD</t>
  </si>
  <si>
    <t>ESTADO2</t>
  </si>
  <si>
    <t>(Todas)</t>
  </si>
  <si>
    <t>APROBAR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</si>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</sst>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1" fillId="3" borderId="2" xfId="0" applyFont="1" applyFill="1" applyBorder="1"/>
    <xf numFmtId="3" fontId="1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0" borderId="0" xfId="0" applyFont="1" applyFill="1" applyAlignment="1">
      <alignment horizontal="left"/>
    </xf>
    <xf numFmtId="0" fontId="1" fillId="0" borderId="0" xfId="0" applyNumberFormat="1" applyFont="1" applyFill="1"/>
  </cellXfs>
  <cellStyles count="1">
    <cellStyle name="Normal" xfId="0" builtinId="0"/>
  </cellStyles>
  <dxfs count="2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Pedidos%20por%20fecha%20multicliente%20(1).xlsx" TargetMode="External"/><Relationship Id="rId1" Type="http://schemas.openxmlformats.org/officeDocument/2006/relationships/externalLinkPath" Target="file:///C:\Users\eramirezh\Downloads\Pedidos%20por%20fecha%20multiclien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/>
      <sheetData sheetId="1">
        <row r="1">
          <cell r="A1" t="str">
            <v>ECONO SUPER MAGNOLIA</v>
          </cell>
          <cell r="B1" t="str">
            <v>APROBAR</v>
          </cell>
        </row>
        <row r="2">
          <cell r="A2" t="str">
            <v>ECONOSUPER BOULEVARD SUR</v>
          </cell>
          <cell r="B2" t="str">
            <v>APROBAR</v>
          </cell>
        </row>
        <row r="3">
          <cell r="A3" t="str">
            <v>ECONOSUPER LA BRIGADA</v>
          </cell>
          <cell r="B3" t="str">
            <v>APROBAR</v>
          </cell>
        </row>
        <row r="4">
          <cell r="A4" t="str">
            <v>ECONOSUPER LO DE FUENTES</v>
          </cell>
          <cell r="B4" t="str">
            <v>APROBAR</v>
          </cell>
        </row>
        <row r="5">
          <cell r="A5" t="str">
            <v>ECONOSUPER MILPAS ALTAS</v>
          </cell>
          <cell r="B5" t="str">
            <v>APROBAR</v>
          </cell>
        </row>
        <row r="6">
          <cell r="A6" t="str">
            <v>ECONOSUPER NIMAJUYU</v>
          </cell>
          <cell r="B6" t="str">
            <v>APROBAR</v>
          </cell>
        </row>
        <row r="7">
          <cell r="A7" t="str">
            <v>ECONOSUPER XELA</v>
          </cell>
          <cell r="B7" t="str">
            <v>APROBAR</v>
          </cell>
        </row>
        <row r="8">
          <cell r="A8" t="str">
            <v>ECONOSUPER ZONA 2</v>
          </cell>
          <cell r="B8" t="str">
            <v>APROBAR</v>
          </cell>
        </row>
        <row r="9">
          <cell r="A9" t="str">
            <v>ECONOSUPER ZONA 6</v>
          </cell>
          <cell r="B9" t="str">
            <v>APROBAR</v>
          </cell>
        </row>
        <row r="10">
          <cell r="A10" t="str">
            <v>LA TORRE 20 CALLE</v>
          </cell>
          <cell r="B10" t="str">
            <v>APROBAR</v>
          </cell>
        </row>
        <row r="11">
          <cell r="A11" t="str">
            <v>LA TORRE AMATITLAN</v>
          </cell>
          <cell r="B11" t="str">
            <v>APROBAR</v>
          </cell>
        </row>
        <row r="12">
          <cell r="A12" t="str">
            <v>LA TORRE AMATITLAN2</v>
          </cell>
          <cell r="B12" t="str">
            <v>APROBAR</v>
          </cell>
        </row>
        <row r="13">
          <cell r="A13" t="str">
            <v>LA TORRE ANTIGUA 2</v>
          </cell>
          <cell r="B13" t="str">
            <v>APROBAR</v>
          </cell>
        </row>
        <row r="14">
          <cell r="A14" t="str">
            <v>LA TORRE ANTIGUA 3</v>
          </cell>
          <cell r="B14" t="str">
            <v>APROBAR</v>
          </cell>
        </row>
        <row r="15">
          <cell r="A15" t="str">
            <v>LA TORRE ARRAZOLA</v>
          </cell>
          <cell r="B15" t="str">
            <v>APROBAR</v>
          </cell>
        </row>
        <row r="16">
          <cell r="A16" t="str">
            <v>LA TORRE ATANACIO</v>
          </cell>
          <cell r="B16" t="str">
            <v>APROBAR</v>
          </cell>
        </row>
        <row r="17">
          <cell r="A17" t="str">
            <v>LA TORRE BARBERENA</v>
          </cell>
          <cell r="B17" t="str">
            <v>APROBAR</v>
          </cell>
        </row>
        <row r="18">
          <cell r="A18" t="str">
            <v>LA TORRE BARCENAS</v>
          </cell>
          <cell r="B18" t="str">
            <v>APROBAR</v>
          </cell>
        </row>
        <row r="19">
          <cell r="A19" t="str">
            <v>LA TORRE BOCA DEL MONTE</v>
          </cell>
          <cell r="B19" t="str">
            <v>APROBAR</v>
          </cell>
        </row>
        <row r="20">
          <cell r="A20" t="str">
            <v>LA TORRE CARCHA</v>
          </cell>
          <cell r="B20" t="str">
            <v>APROBAR</v>
          </cell>
        </row>
        <row r="21">
          <cell r="A21" t="str">
            <v>LA TORRE CAYALA</v>
          </cell>
          <cell r="B21" t="str">
            <v>APROBAR</v>
          </cell>
        </row>
        <row r="22">
          <cell r="A22" t="str">
            <v>LA TORRE CAYALA 2</v>
          </cell>
          <cell r="B22" t="str">
            <v>APROBAR</v>
          </cell>
        </row>
        <row r="23">
          <cell r="A23" t="str">
            <v>LA TORRE CENTRANORTE</v>
          </cell>
          <cell r="B23" t="str">
            <v>APROBAR</v>
          </cell>
        </row>
        <row r="24">
          <cell r="A24" t="str">
            <v>LA TORRE CENTRASUR</v>
          </cell>
          <cell r="B24" t="str">
            <v>APROBAR</v>
          </cell>
        </row>
        <row r="25">
          <cell r="A25" t="str">
            <v>LA TORRE CENTRICO Z5</v>
          </cell>
          <cell r="B25" t="str">
            <v>APROBAR</v>
          </cell>
        </row>
        <row r="26">
          <cell r="A26" t="str">
            <v>LA TORRE CENTRO</v>
          </cell>
          <cell r="B26" t="str">
            <v>APROBAR</v>
          </cell>
        </row>
        <row r="27">
          <cell r="A27" t="str">
            <v>LA TORRE CHIMALTENANGO</v>
          </cell>
          <cell r="B27" t="str">
            <v>APROBAR</v>
          </cell>
        </row>
        <row r="28">
          <cell r="A28" t="str">
            <v>LA TORRE CHIQUIMULA</v>
          </cell>
          <cell r="B28" t="str">
            <v>APROBAR</v>
          </cell>
        </row>
        <row r="29">
          <cell r="A29" t="str">
            <v>LA TORRE CIUDAD VIEJA</v>
          </cell>
          <cell r="B29" t="str">
            <v>APROBAR</v>
          </cell>
        </row>
        <row r="30">
          <cell r="A30" t="str">
            <v>LA TORRE COATEPEQUE</v>
          </cell>
          <cell r="B30" t="str">
            <v>APROBAR</v>
          </cell>
        </row>
        <row r="31">
          <cell r="A31" t="str">
            <v>LA TORRE COATEPEQUE 2</v>
          </cell>
          <cell r="B31" t="str">
            <v>APROBAR</v>
          </cell>
        </row>
        <row r="32">
          <cell r="A32" t="str">
            <v>LA TORRE COBAN</v>
          </cell>
          <cell r="B32" t="str">
            <v>APROBAR</v>
          </cell>
        </row>
        <row r="33">
          <cell r="A33" t="str">
            <v>LA TORRE CUATRO CAMINOS</v>
          </cell>
          <cell r="B33" t="str">
            <v>APROBAR</v>
          </cell>
        </row>
        <row r="34">
          <cell r="A34" t="str">
            <v>LA TORRE EL FRUTAL</v>
          </cell>
          <cell r="B34" t="str">
            <v>APROBAR</v>
          </cell>
        </row>
        <row r="35">
          <cell r="A35" t="str">
            <v>LA TORRE EL NARANJO</v>
          </cell>
          <cell r="B35" t="str">
            <v>APROBAR</v>
          </cell>
        </row>
        <row r="36">
          <cell r="A36" t="str">
            <v>LA TORRE EL RODEO</v>
          </cell>
          <cell r="B36" t="str">
            <v>APROBAR</v>
          </cell>
        </row>
        <row r="37">
          <cell r="A37" t="str">
            <v>LA TORRE ENCINAL</v>
          </cell>
          <cell r="B37" t="str">
            <v>APROBAR</v>
          </cell>
        </row>
        <row r="38">
          <cell r="A38" t="str">
            <v>LA TORRE ESCALA</v>
          </cell>
          <cell r="B38" t="str">
            <v>APROBAR</v>
          </cell>
        </row>
        <row r="39">
          <cell r="A39" t="str">
            <v>LA TORRE ESCUINTLA 2</v>
          </cell>
          <cell r="B39" t="str">
            <v>APROBAR</v>
          </cell>
        </row>
        <row r="40">
          <cell r="A40" t="str">
            <v>LA TORRE ESCUINTLA 3</v>
          </cell>
          <cell r="B40" t="str">
            <v>APROBAR</v>
          </cell>
        </row>
        <row r="41">
          <cell r="A41" t="str">
            <v>LA TORRE ESQUIPULAS</v>
          </cell>
          <cell r="B41" t="str">
            <v>APROBAR</v>
          </cell>
        </row>
        <row r="42">
          <cell r="A42" t="str">
            <v>LA TORRE FRAIJANES</v>
          </cell>
          <cell r="B42" t="str">
            <v>APROBAR</v>
          </cell>
        </row>
        <row r="43">
          <cell r="A43" t="str">
            <v>LA TORRE FUTECA Z14</v>
          </cell>
          <cell r="B43" t="str">
            <v>APROBAR</v>
          </cell>
        </row>
        <row r="44">
          <cell r="A44" t="str">
            <v>LA TORRE GUASTATOYA</v>
          </cell>
          <cell r="B44" t="str">
            <v>APROBAR</v>
          </cell>
        </row>
        <row r="45">
          <cell r="A45" t="str">
            <v>LA TORRE HUEHUETENANGO</v>
          </cell>
          <cell r="B45" t="str">
            <v>APROBAR</v>
          </cell>
        </row>
        <row r="46">
          <cell r="A46" t="str">
            <v>LA TORRE HUEHUETENANGO 2</v>
          </cell>
          <cell r="B46" t="str">
            <v>APROBAR</v>
          </cell>
        </row>
        <row r="47">
          <cell r="A47" t="str">
            <v>LA TORRE INDEPENDENCIA</v>
          </cell>
          <cell r="B47" t="str">
            <v>APROBAR</v>
          </cell>
        </row>
        <row r="48">
          <cell r="A48" t="str">
            <v>LA TORRE JALAPA</v>
          </cell>
          <cell r="B48" t="str">
            <v>APROBAR</v>
          </cell>
        </row>
        <row r="49">
          <cell r="A49" t="str">
            <v>LA TORRE JALAPA 2</v>
          </cell>
          <cell r="B49" t="str">
            <v>APROBAR</v>
          </cell>
        </row>
        <row r="50">
          <cell r="A50" t="str">
            <v>LA TORRE JALAPA 3</v>
          </cell>
          <cell r="B50" t="str">
            <v>APROBAR</v>
          </cell>
        </row>
        <row r="51">
          <cell r="A51" t="str">
            <v>LA TORRE JOCOTENANGO</v>
          </cell>
          <cell r="B51" t="str">
            <v>APROBAR</v>
          </cell>
        </row>
        <row r="52">
          <cell r="A52" t="str">
            <v>LA TORRE JUTIAPA</v>
          </cell>
          <cell r="B52" t="str">
            <v>APROBAR</v>
          </cell>
        </row>
        <row r="53">
          <cell r="A53" t="str">
            <v>LA TORRE LA GOMERA</v>
          </cell>
          <cell r="B53" t="str">
            <v>APROBAR</v>
          </cell>
        </row>
        <row r="54">
          <cell r="A54" t="str">
            <v>LA TORRE LA QUINTA</v>
          </cell>
          <cell r="B54" t="str">
            <v>APROBAR</v>
          </cell>
        </row>
        <row r="55">
          <cell r="A55" t="str">
            <v>LA TORRE LA RADIAL</v>
          </cell>
          <cell r="B55" t="str">
            <v>APROBAR</v>
          </cell>
        </row>
        <row r="56">
          <cell r="A56" t="str">
            <v>LA TORRE LIKIN</v>
          </cell>
          <cell r="B56" t="str">
            <v>APROBAR</v>
          </cell>
        </row>
        <row r="57">
          <cell r="A57" t="str">
            <v>LA TORRE LINDAMAR</v>
          </cell>
          <cell r="B57" t="str">
            <v>APROBAR</v>
          </cell>
        </row>
        <row r="58">
          <cell r="A58" t="str">
            <v>LA TORRE LOS AMATES</v>
          </cell>
          <cell r="B58" t="str">
            <v>APROBAR</v>
          </cell>
        </row>
        <row r="59">
          <cell r="A59" t="str">
            <v>LA TORRE MADERO</v>
          </cell>
          <cell r="B59" t="str">
            <v>APROBAR</v>
          </cell>
        </row>
        <row r="60">
          <cell r="A60" t="str">
            <v>LA TORRE MALACATAN</v>
          </cell>
          <cell r="B60" t="str">
            <v>APROBAR</v>
          </cell>
        </row>
        <row r="61">
          <cell r="A61" t="str">
            <v>LA TORRE MARISCAL</v>
          </cell>
          <cell r="B61" t="str">
            <v>APROBAR</v>
          </cell>
        </row>
        <row r="62">
          <cell r="A62" t="str">
            <v>LA TORRE MARISCAL 2</v>
          </cell>
          <cell r="B62" t="str">
            <v>APROBAR</v>
          </cell>
        </row>
        <row r="63">
          <cell r="A63" t="str">
            <v>LA TORRE MAZATENANGO</v>
          </cell>
          <cell r="B63" t="str">
            <v>APROBAR</v>
          </cell>
        </row>
        <row r="64">
          <cell r="A64" t="str">
            <v>LA TORRE METROCENTRO</v>
          </cell>
          <cell r="B64" t="str">
            <v>APROBAR</v>
          </cell>
        </row>
        <row r="65">
          <cell r="A65" t="str">
            <v>LA TORRE METRONORTE</v>
          </cell>
          <cell r="B65" t="str">
            <v>APROBAR</v>
          </cell>
        </row>
        <row r="66">
          <cell r="A66" t="str">
            <v>LA TORRE MILPAS ALTAS</v>
          </cell>
          <cell r="B66" t="str">
            <v>APROBAR</v>
          </cell>
        </row>
        <row r="67">
          <cell r="A67" t="str">
            <v>LA TORRE MIRAFLORES</v>
          </cell>
          <cell r="B67" t="str">
            <v>APROBAR</v>
          </cell>
        </row>
        <row r="68">
          <cell r="A68" t="str">
            <v>LA TORRE MITA</v>
          </cell>
          <cell r="B68" t="str">
            <v>APROBAR</v>
          </cell>
        </row>
        <row r="69">
          <cell r="A69" t="str">
            <v>LA TORRE MIXCO ZONA 1</v>
          </cell>
          <cell r="B69" t="str">
            <v>APROBAR</v>
          </cell>
        </row>
        <row r="70">
          <cell r="A70" t="str">
            <v>LA TORRE MORALES</v>
          </cell>
          <cell r="B70" t="str">
            <v>APROBAR</v>
          </cell>
        </row>
        <row r="71">
          <cell r="A71" t="str">
            <v>LA TORRE MUXBAL</v>
          </cell>
          <cell r="B71" t="str">
            <v>APROBAR</v>
          </cell>
        </row>
        <row r="72">
          <cell r="A72" t="str">
            <v>LA TORRE OAKLAND</v>
          </cell>
          <cell r="B72" t="str">
            <v>APROBAR</v>
          </cell>
        </row>
        <row r="73">
          <cell r="A73" t="str">
            <v>LA TORRE PALIN</v>
          </cell>
          <cell r="B73" t="str">
            <v>APROBAR</v>
          </cell>
        </row>
        <row r="74">
          <cell r="A74" t="str">
            <v>LA TORRE PALMERAS</v>
          </cell>
          <cell r="B74" t="str">
            <v>APROBAR</v>
          </cell>
        </row>
        <row r="75">
          <cell r="A75" t="str">
            <v>LA TORRE PANAJACHEL</v>
          </cell>
          <cell r="B75" t="str">
            <v>APROBAR</v>
          </cell>
        </row>
        <row r="76">
          <cell r="A76" t="str">
            <v>LA TORRE PETAPA</v>
          </cell>
          <cell r="B76" t="str">
            <v>APROBAR</v>
          </cell>
        </row>
        <row r="77">
          <cell r="A77" t="str">
            <v>LA TORRE PETAPOLIS</v>
          </cell>
          <cell r="B77" t="str">
            <v>APROBAR</v>
          </cell>
        </row>
        <row r="78">
          <cell r="A78" t="str">
            <v>LA TORRE PETEN</v>
          </cell>
          <cell r="B78" t="str">
            <v>APROBAR</v>
          </cell>
        </row>
        <row r="79">
          <cell r="A79" t="str">
            <v>LA TORRE PINARES</v>
          </cell>
          <cell r="B79" t="str">
            <v>APROBAR</v>
          </cell>
        </row>
        <row r="80">
          <cell r="A80" t="str">
            <v>LA TORRE POPTUN</v>
          </cell>
          <cell r="B80" t="str">
            <v>APROBAR</v>
          </cell>
        </row>
        <row r="81">
          <cell r="A81" t="str">
            <v>LA TORRE PORTALES</v>
          </cell>
          <cell r="B81" t="str">
            <v>APROBAR</v>
          </cell>
        </row>
        <row r="82">
          <cell r="A82" t="str">
            <v>LA TORRE PROCERES</v>
          </cell>
          <cell r="B82" t="str">
            <v>APROBAR</v>
          </cell>
        </row>
        <row r="83">
          <cell r="A83" t="str">
            <v>LA TORRE PUERTO BARRIOS</v>
          </cell>
          <cell r="B83" t="str">
            <v>APROBAR</v>
          </cell>
        </row>
        <row r="84">
          <cell r="A84" t="str">
            <v>LA TORRE PUERTO SAN JOSE</v>
          </cell>
          <cell r="B84" t="str">
            <v>APROBAR</v>
          </cell>
        </row>
        <row r="85">
          <cell r="A85" t="str">
            <v>LA TORRE QUICHE</v>
          </cell>
          <cell r="B85" t="str">
            <v>APROBAR</v>
          </cell>
        </row>
        <row r="86">
          <cell r="A86" t="str">
            <v>LA TORRE QUICHE 2</v>
          </cell>
          <cell r="B86" t="str">
            <v>APROBAR</v>
          </cell>
        </row>
        <row r="87">
          <cell r="A87" t="str">
            <v>LA TORRE REFORMA</v>
          </cell>
          <cell r="B87" t="str">
            <v>APROBAR</v>
          </cell>
        </row>
        <row r="88">
          <cell r="A88" t="str">
            <v>LA TORRE RETALHULEU</v>
          </cell>
          <cell r="B88" t="str">
            <v>APROBAR</v>
          </cell>
        </row>
        <row r="89">
          <cell r="A89" t="str">
            <v>LA TORRE RIO DULCE</v>
          </cell>
          <cell r="B89" t="str">
            <v>APROBAR</v>
          </cell>
        </row>
        <row r="90">
          <cell r="A90" t="str">
            <v>LA TORRE ROOSEVELT</v>
          </cell>
          <cell r="B90" t="str">
            <v>APROBAR</v>
          </cell>
        </row>
        <row r="91">
          <cell r="A91" t="str">
            <v>LA TORRE SALAMA</v>
          </cell>
          <cell r="B91" t="str">
            <v>APROBAR</v>
          </cell>
        </row>
        <row r="92">
          <cell r="A92" t="str">
            <v>LA TORRE SALCAJA</v>
          </cell>
          <cell r="B92" t="str">
            <v>APROBAR</v>
          </cell>
        </row>
        <row r="93">
          <cell r="A93" t="str">
            <v>LA TORRE SAN BENITO</v>
          </cell>
          <cell r="B93" t="str">
            <v>APROBAR</v>
          </cell>
        </row>
        <row r="94">
          <cell r="A94" t="str">
            <v>LA TORRE SAN CRISTOBAL</v>
          </cell>
          <cell r="B94" t="str">
            <v>APROBAR</v>
          </cell>
        </row>
        <row r="95">
          <cell r="A95" t="str">
            <v>LA TORRE SAN FRANCISCO</v>
          </cell>
          <cell r="B95" t="str">
            <v>APROBAR</v>
          </cell>
        </row>
        <row r="96">
          <cell r="A96" t="str">
            <v>LA TORRE SAN IGNACIO</v>
          </cell>
          <cell r="B96" t="str">
            <v>APROBAR</v>
          </cell>
        </row>
        <row r="97">
          <cell r="A97" t="str">
            <v>LA TORRE SAN ISIDRO</v>
          </cell>
          <cell r="B97" t="str">
            <v>APROBAR</v>
          </cell>
        </row>
        <row r="98">
          <cell r="A98" t="str">
            <v>LA TORRE SAN JOSE PINULA</v>
          </cell>
          <cell r="B98" t="str">
            <v>APROBAR</v>
          </cell>
        </row>
        <row r="99">
          <cell r="A99" t="str">
            <v>LA TORRE SAN JOSE PINULA 2</v>
          </cell>
          <cell r="B99" t="str">
            <v>APROBAR</v>
          </cell>
        </row>
        <row r="100">
          <cell r="A100" t="str">
            <v>LA TORRE SAN JUAN</v>
          </cell>
          <cell r="B100" t="str">
            <v>APROBAR</v>
          </cell>
        </row>
        <row r="101">
          <cell r="A101" t="str">
            <v>LA TORRE SAN LUCAS</v>
          </cell>
          <cell r="B101" t="str">
            <v>APROBAR</v>
          </cell>
        </row>
        <row r="102">
          <cell r="A102" t="str">
            <v>LA TORRE SAN MARCOS</v>
          </cell>
          <cell r="B102" t="str">
            <v>APROBAR</v>
          </cell>
        </row>
        <row r="103">
          <cell r="A103" t="str">
            <v>LA TORRE SAN MIGUEL PETAPA</v>
          </cell>
          <cell r="B103" t="str">
            <v>APROBAR</v>
          </cell>
        </row>
        <row r="104">
          <cell r="A104" t="str">
            <v>LA TORRE SAN MIGUEL PETAPA 2</v>
          </cell>
          <cell r="B104" t="str">
            <v>APROBAR</v>
          </cell>
        </row>
        <row r="105">
          <cell r="A105" t="str">
            <v>LA TORRE SAN NICOLAS</v>
          </cell>
          <cell r="B105" t="str">
            <v>APROBAR</v>
          </cell>
        </row>
        <row r="106">
          <cell r="A106" t="str">
            <v>LA TORRE SAN RAFAEL</v>
          </cell>
          <cell r="B106" t="str">
            <v>APROBAR</v>
          </cell>
        </row>
        <row r="107">
          <cell r="A107" t="str">
            <v>LA TORRE SANARATE</v>
          </cell>
          <cell r="B107" t="str">
            <v>APROBAR</v>
          </cell>
        </row>
        <row r="108">
          <cell r="A108" t="str">
            <v>LA TORRE SANKRIS</v>
          </cell>
          <cell r="B108" t="str">
            <v>APROBAR</v>
          </cell>
        </row>
        <row r="109">
          <cell r="A109" t="str">
            <v>LA TORRE SANTA LUCIA</v>
          </cell>
          <cell r="B109" t="str">
            <v>APROBAR</v>
          </cell>
        </row>
        <row r="110">
          <cell r="A110" t="str">
            <v>LA TORRE SANTALU</v>
          </cell>
          <cell r="B110" t="str">
            <v>APROBAR</v>
          </cell>
        </row>
        <row r="111">
          <cell r="A111" t="str">
            <v>LA TORRE TECULUTAN</v>
          </cell>
          <cell r="B111" t="str">
            <v>APROBAR</v>
          </cell>
        </row>
        <row r="112">
          <cell r="A112" t="str">
            <v>LA TORRE TIQUISATE</v>
          </cell>
          <cell r="B112" t="str">
            <v>APROBAR</v>
          </cell>
        </row>
        <row r="113">
          <cell r="A113" t="str">
            <v>LA TORRE TOTONICAPAN</v>
          </cell>
          <cell r="B113" t="str">
            <v>APROBAR</v>
          </cell>
        </row>
        <row r="114">
          <cell r="A114" t="str">
            <v>LA TORRE TRINIDAD</v>
          </cell>
          <cell r="B114" t="str">
            <v>APROBAR</v>
          </cell>
        </row>
        <row r="115">
          <cell r="A115" t="str">
            <v>LA TORRE TULAM TZU</v>
          </cell>
          <cell r="B115" t="str">
            <v>APROBAR</v>
          </cell>
        </row>
        <row r="116">
          <cell r="A116" t="str">
            <v>LA TORRE VILLA CANALES</v>
          </cell>
          <cell r="B116" t="str">
            <v>APROBAR</v>
          </cell>
        </row>
        <row r="117">
          <cell r="A117" t="str">
            <v>LA TORRE VILLA HERMOSA</v>
          </cell>
          <cell r="B117" t="str">
            <v>APROBAR</v>
          </cell>
        </row>
        <row r="118">
          <cell r="A118" t="str">
            <v>LA TORRE VILLA NUEVA</v>
          </cell>
          <cell r="B118" t="str">
            <v>APROBAR</v>
          </cell>
        </row>
        <row r="119">
          <cell r="A119" t="str">
            <v>LA TORRE VISTA HERMOSA 1</v>
          </cell>
          <cell r="B119" t="str">
            <v>APROBAR</v>
          </cell>
        </row>
        <row r="120">
          <cell r="A120" t="str">
            <v>LA TORRE XELA</v>
          </cell>
          <cell r="B120" t="str">
            <v>APROBAR</v>
          </cell>
        </row>
        <row r="121">
          <cell r="A121" t="str">
            <v>LA TORRE XELA 3</v>
          </cell>
          <cell r="B121" t="str">
            <v>APROBAR</v>
          </cell>
        </row>
        <row r="122">
          <cell r="A122" t="str">
            <v>LA TORRE XELA 5</v>
          </cell>
          <cell r="B122" t="str">
            <v>APROBAR</v>
          </cell>
        </row>
        <row r="123">
          <cell r="A123" t="str">
            <v>LA TORRE ZACAPA</v>
          </cell>
          <cell r="B123" t="str">
            <v>APROBAR</v>
          </cell>
        </row>
        <row r="124">
          <cell r="A124" t="str">
            <v>LA TORRE ZACAPA 2</v>
          </cell>
          <cell r="B124" t="str">
            <v>APROBAR</v>
          </cell>
        </row>
        <row r="125">
          <cell r="A125" t="str">
            <v>LA TORRE ZONA 10</v>
          </cell>
          <cell r="B125" t="str">
            <v>APROBAR</v>
          </cell>
        </row>
        <row r="126">
          <cell r="A126" t="str">
            <v>LA TORRE ZONA 11</v>
          </cell>
          <cell r="B126" t="str">
            <v>APROBAR</v>
          </cell>
        </row>
        <row r="127">
          <cell r="A127" t="str">
            <v>LA TORRE ZONA 13 AMERICAS</v>
          </cell>
          <cell r="B127" t="str">
            <v>APROBAR</v>
          </cell>
        </row>
        <row r="128">
          <cell r="A128" t="str">
            <v>LA TORRE ZONA 14</v>
          </cell>
          <cell r="B128" t="str">
            <v>APROBAR</v>
          </cell>
        </row>
        <row r="129">
          <cell r="A129" t="str">
            <v>LA TORRE ZONA 15</v>
          </cell>
          <cell r="B129" t="str">
            <v>APROBAR</v>
          </cell>
        </row>
        <row r="130">
          <cell r="A130" t="str">
            <v>LA TORRE ZONA 16</v>
          </cell>
          <cell r="B130" t="str">
            <v>APROBAR</v>
          </cell>
        </row>
        <row r="131">
          <cell r="A131" t="str">
            <v>LA TORRE ZONA 19</v>
          </cell>
          <cell r="B131" t="str">
            <v>APROBAR</v>
          </cell>
        </row>
        <row r="132">
          <cell r="A132" t="str">
            <v>LA TORRE ZONA 2</v>
          </cell>
          <cell r="B132" t="str">
            <v>APROBAR</v>
          </cell>
        </row>
        <row r="133">
          <cell r="A133" t="str">
            <v>LA TORRE ZONA 3</v>
          </cell>
          <cell r="B133" t="str">
            <v>APROBAR</v>
          </cell>
        </row>
        <row r="134">
          <cell r="A134" t="str">
            <v>LA TORRE ZONA 4</v>
          </cell>
          <cell r="B134" t="str">
            <v>APROBAR</v>
          </cell>
        </row>
        <row r="135">
          <cell r="A135" t="str">
            <v>LA TORRE ZONA 5</v>
          </cell>
          <cell r="B135" t="str">
            <v>APROBAR</v>
          </cell>
        </row>
        <row r="136">
          <cell r="A136" t="str">
            <v>LT ANTIGUA 1</v>
          </cell>
          <cell r="B136" t="str">
            <v>APROBAR</v>
          </cell>
        </row>
        <row r="137">
          <cell r="A137" t="str">
            <v>LT SAN JOSE PINULA 3</v>
          </cell>
          <cell r="B137" t="str">
            <v>APROBAR</v>
          </cell>
        </row>
        <row r="138">
          <cell r="A138" t="str">
            <v>LT XELA 4</v>
          </cell>
          <cell r="B138" t="str">
            <v>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07.330703356478" createdVersion="8" refreshedVersion="8" minRefreshableVersion="3" recordCount="2196" xr:uid="{17E058A8-2EB4-4FF0-9A7F-C60FDF02F59C}">
  <cacheSource type="worksheet">
    <worksheetSource ref="A1:N2197" sheet="TIENDAS 12-10-2026"/>
  </cacheSource>
  <cacheFields count="14">
    <cacheField name="PEDIDO" numFmtId="0">
      <sharedItems containsSemiMixedTypes="0" containsString="0" containsNumber="1" containsInteger="1" minValue="209652813" maxValue="8209661009"/>
    </cacheField>
    <cacheField name="COD TIENDA" numFmtId="0">
      <sharedItems/>
    </cacheField>
    <cacheField name="TIENDA" numFmtId="0">
      <sharedItems count="138">
        <s v="LA TORRE ESQUIPULAS"/>
        <s v="LA TORRE ZONA 10"/>
        <s v="LA TORRE ZONA 2"/>
        <s v="LA TORRE ZONA 15"/>
        <s v="LA TORRE ZONA 14"/>
        <s v="LA TORRE PALMERAS"/>
        <s v="LA TORRE ZONA 19"/>
        <s v="LA TORRE ZONA 11"/>
        <s v="LA TORRE RETALHULEU"/>
        <s v="LA TORRE CENTRO"/>
        <s v="LA TORRE BOCA DEL MONTE"/>
        <s v="LA TORRE LA QUINTA"/>
        <s v="LA TORRE SAN FRANCISCO"/>
        <s v="LA TORRE PETAPA"/>
        <s v="LA TORRE METROCENTRO"/>
        <s v="ECONOSUPER NIMAJUYU"/>
        <s v="LA TORRE ZONA 5"/>
        <s v="ECONOSUPER ZONA 6"/>
        <s v="ECONOSUPER ZONA 2"/>
        <s v="LA TORRE SAN CRISTOBAL"/>
        <s v="LA TORRE REFORMA"/>
        <s v="LA TORRE TRINIDAD"/>
        <s v="LA TORRE MARISCAL"/>
        <s v="LA TORRE SAN JOSE PINULA"/>
        <s v="ECONOSUPER LA BRIGADA"/>
        <s v="ECONOSUPER LO DE FUENTES"/>
        <s v="LA TORRE TIQUISATE"/>
        <s v="LA TORRE VILLA NUEVA"/>
        <s v="LA TORRE SAN LUCAS"/>
        <s v="LA TORRE XELA"/>
        <s v="LA TORRE ENCINAL"/>
        <s v="LA TORRE VILLA HERMOSA"/>
        <s v="LA TORRE FRAIJANES"/>
        <s v="LA TORRE SAN RAFAEL"/>
        <s v="LA TORRE AMATITLAN"/>
        <s v="LA TORRE PETEN"/>
        <s v="LA TORRE PUERTO SAN JOSE"/>
        <s v="LA TORRE SAN MIGUEL PETAPA"/>
        <s v="LA TORRE AMATITLAN2"/>
        <s v="LA TORRE MALACATAN"/>
        <s v="ECONOSUPER BOULEVARD SUR"/>
        <s v="LA TORRE ZONA 16"/>
        <s v="LA TORRE CENTRASUR"/>
        <s v="LA TORRE MAZATENANGO"/>
        <s v="LA TORRE CENTRANORTE"/>
        <s v="LA TORRE JALAPA"/>
        <s v="LA TORRE MUXBAL"/>
        <s v="LA TORRE TECULUTAN"/>
        <s v="LA TORRE ARRAZOLA"/>
        <s v="LA TORRE JUTIAPA"/>
        <s v="LA TORRE METRONORTE"/>
        <s v="LA TORRE VILLA CANALES"/>
        <s v="LA TORRE SANKRIS"/>
        <s v="LA TORRE CAYALA"/>
        <s v="LA TORRE MADERO"/>
        <s v="LA TORRE JALAPA 2"/>
        <s v="LA TORRE EL FRUTAL"/>
        <s v="LA TORRE INDEPENDENCIA"/>
        <s v="LA TORRE SAN JOSE PINULA 2"/>
        <s v="LA TORRE EL NARANJO"/>
        <s v="LA TORRE ESCUINTLA 2"/>
        <s v="LA TORRE SAN MARCOS"/>
        <s v="LA TORRE BARBERENA"/>
        <s v="LA TORRE PINARES"/>
        <s v="LA TORRE SANTA LUCIA"/>
        <s v="LA TORRE MILPAS ALTAS"/>
        <s v="LA TORRE SALAMA"/>
        <s v="LA TORRE SAN NICOLAS"/>
        <s v="ECONO SUPER MAGNOLIA"/>
        <s v="LA TORRE ESCALA"/>
        <s v="LA TORRE ROOSEVELT"/>
        <s v="LA TORRE PUERTO BARRIOS"/>
        <s v="LA TORRE POPTUN"/>
        <s v="LA TORRE GUASTATOYA"/>
        <s v="LA TORRE PORTALES"/>
        <s v="LA TORRE JOCOTENANGO"/>
        <s v="LA TORRE 20 CALLE"/>
        <s v="LA TORRE PANAJACHEL"/>
        <s v="LA TORRE XELA 3"/>
        <s v="LA TORRE EL RODEO"/>
        <s v="LA TORRE LOS AMATES"/>
        <s v="LA TORRE LA RADIAL"/>
        <s v="LA TORRE CARCHA"/>
        <s v="LA TORRE SAN ISIDRO"/>
        <s v="LA TORRE SAN IGNACIO"/>
        <s v="LA TORRE ATANACIO"/>
        <s v="LA TORRE ZACAPA"/>
        <s v="LA TORRE RIO DULCE"/>
        <s v="LA TORRE SAN JUAN"/>
        <s v="LA TORRE ZONA 13 AMERICAS"/>
        <s v="LA TORRE ZONA 4"/>
        <s v="LA TORRE HUEHUETENANGO"/>
        <s v="LA TORRE COBAN"/>
        <s v="LA TORRE MIXCO ZONA 1"/>
        <s v="LA TORRE FUTECA Z14"/>
        <s v="LA TORRE PETAPOLIS"/>
        <s v="LA TORRE CAYALA 2"/>
        <s v="LA TORRE BARCENAS"/>
        <s v="LA TORRE CHIMALTENANGO"/>
        <s v="LA TORRE CENTRICO Z5"/>
        <s v="LA TORRE ESCUINTLA 3"/>
        <s v="LA TORRE MARISCAL 2"/>
        <s v="LA TORRE MIRAFLORES"/>
        <s v="LA TORRE SANTALU"/>
        <s v="LT SAN JOSE PINULA 3"/>
        <s v="LA TORRE PALIN"/>
        <s v="LA TORRE LIKIN"/>
        <s v="LA TORRE TOTONICAPAN"/>
        <s v="LA TORRE ANTIGUA 2"/>
        <s v="LA TORRE CIUDAD VIEJA"/>
        <s v="LA TORRE QUICHE"/>
        <s v="LA TORRE COATEPEQUE 2"/>
        <s v="LA TORRE MITA"/>
        <s v="LA TORRE PROCERES"/>
        <s v="LT ANTIGUA 1"/>
        <s v="LT XELA 4"/>
        <s v="LA TORRE JALAPA 3"/>
        <s v="LA TORRE OAKLAND"/>
        <s v="LA TORRE SAN BENITO"/>
        <s v="LA TORRE VISTA HERMOSA 1"/>
        <s v="LA TORRE ANTIGUA 3"/>
        <s v="LA TORRE SAN MIGUEL PETAPA 2"/>
        <s v="LA TORRE ZACAPA 2"/>
        <s v="LA TORRE LINDAMAR"/>
        <s v="LA TORRE MORALES"/>
        <s v="LA TORRE ZONA 3"/>
        <s v="LA TORRE QUICHE 2"/>
        <s v="LA TORRE XELA 5"/>
        <s v="LA TORRE TULAM TZU"/>
        <s v="ECONOSUPER MILPAS ALTAS"/>
        <s v="LA TORRE HUEHUETENANGO 2"/>
        <s v="ECONOSUPER XELA"/>
        <s v="LA TORRE SANARATE"/>
        <s v="LA TORRE LA GOMERA"/>
        <s v="LA TORRE CUATRO CAMINOS" u="1"/>
        <s v="LA TORRE COATEPEQUE" u="1"/>
        <s v="LA TORRE SALCAJA" u="1"/>
        <s v="LA TORRE CHIQUIMULA" u="1"/>
      </sharedItems>
    </cacheField>
    <cacheField name="FECHA CREACION" numFmtId="164">
      <sharedItems containsSemiMixedTypes="0" containsNonDate="0" containsDate="1" containsString="0" minDate="2026-10-10T17:02:37" maxDate="2026-10-12T11:25:46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168"/>
    </cacheField>
    <cacheField name="ESTADO" numFmtId="0">
      <sharedItems/>
    </cacheField>
    <cacheField name="SUBIR" numFmtId="0">
      <sharedItems/>
    </cacheField>
    <cacheField name="DIARIO" numFmtId="0">
      <sharedItems containsBlank="1" count="3">
        <s v="BULTOS"/>
        <m/>
        <s v="DIARIO"/>
      </sharedItems>
    </cacheField>
    <cacheField name="ESTADO2" numFmtId="0">
      <sharedItems count="5">
        <s v="departamental"/>
        <s v="prioridad"/>
        <s v="local"/>
        <s v="nocturna"/>
        <s v="departamental "/>
      </sharedItems>
    </cacheField>
    <cacheField name="APROBAR" numFmtId="0">
      <sharedItems/>
    </cacheField>
    <cacheField name="CANTIDAD P" numFmtId="0">
      <sharedItems containsSemiMixedTypes="0" containsString="0" containsNumber="1" containsInteger="1" minValue="1" maxValue="1"/>
    </cacheField>
    <cacheField name="CONFIRMA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6">
  <r>
    <n v="209652813"/>
    <s v="88"/>
    <x v="0"/>
    <d v="2026-10-10T17:02:37"/>
    <s v=""/>
    <s v="CAJA"/>
    <n v="2"/>
    <s v="PENDIENTE APROBACION  ENVIO TMS"/>
    <s v="000000000209652813"/>
    <x v="0"/>
    <x v="0"/>
    <s v="APROBAR"/>
    <n v="1"/>
    <e v="#N/A"/>
  </r>
  <r>
    <n v="8209654368"/>
    <s v="88"/>
    <x v="0"/>
    <d v="2026-10-11T11:41:49"/>
    <s v=""/>
    <s v="UNIDAD"/>
    <n v="4"/>
    <s v="PENDIENTE APROBACION  ENVIO TMS"/>
    <s v="000000008209654368"/>
    <x v="1"/>
    <x v="0"/>
    <s v="APROBAR"/>
    <n v="1"/>
    <e v="#N/A"/>
  </r>
  <r>
    <n v="1209654377"/>
    <s v="88"/>
    <x v="0"/>
    <d v="2026-10-11T11:41:50"/>
    <s v=""/>
    <s v="CAJA"/>
    <n v="37"/>
    <s v="PENDIENTE APROBACION  ENVIO TMS"/>
    <s v="000000001209654377"/>
    <x v="2"/>
    <x v="0"/>
    <s v="APROBAR"/>
    <n v="1"/>
    <e v="#N/A"/>
  </r>
  <r>
    <n v="1209654372"/>
    <s v="88"/>
    <x v="0"/>
    <d v="2026-10-11T11:42:01"/>
    <s v=""/>
    <s v="CAJA"/>
    <n v="9"/>
    <s v="PENDIENTE APROBACION  ENVIO TMS"/>
    <s v="000000001209654372"/>
    <x v="2"/>
    <x v="0"/>
    <s v="APROBAR"/>
    <n v="1"/>
    <e v="#N/A"/>
  </r>
  <r>
    <n v="1209654374"/>
    <s v="88"/>
    <x v="0"/>
    <d v="2026-10-11T11:42:03"/>
    <s v=""/>
    <s v="CAJA"/>
    <n v="19"/>
    <s v="PENDIENTE APROBACION  ENVIO TMS"/>
    <s v="000000001209654374"/>
    <x v="2"/>
    <x v="0"/>
    <s v="APROBAR"/>
    <n v="1"/>
    <e v="#N/A"/>
  </r>
  <r>
    <n v="1209654378"/>
    <s v="88"/>
    <x v="0"/>
    <d v="2026-10-11T11:42:08"/>
    <s v=""/>
    <s v="PACK"/>
    <n v="59"/>
    <s v="PENDIENTE APROBACION  ENVIO TMS"/>
    <s v="000000001209654378"/>
    <x v="2"/>
    <x v="0"/>
    <s v="APROBAR"/>
    <n v="1"/>
    <e v="#N/A"/>
  </r>
  <r>
    <n v="8209654363"/>
    <s v="88"/>
    <x v="0"/>
    <d v="2026-10-11T11:42:18"/>
    <s v=""/>
    <s v="UNIDAD"/>
    <n v="1"/>
    <s v="PENDIENTE APROBACION  ENVIO TMS"/>
    <s v="000000008209654363"/>
    <x v="1"/>
    <x v="0"/>
    <s v="APROBAR"/>
    <n v="1"/>
    <e v="#N/A"/>
  </r>
  <r>
    <n v="1209654369"/>
    <s v="88"/>
    <x v="0"/>
    <d v="2026-10-11T11:42:21"/>
    <s v=""/>
    <s v="PACK"/>
    <n v="2"/>
    <s v="PENDIENTE APROBACION  ENVIO TMS"/>
    <s v="000000001209654369"/>
    <x v="2"/>
    <x v="0"/>
    <s v="APROBAR"/>
    <n v="1"/>
    <e v="#N/A"/>
  </r>
  <r>
    <n v="1209654376"/>
    <s v="88"/>
    <x v="0"/>
    <d v="2026-10-11T11:42:24"/>
    <s v=""/>
    <s v="CAJA"/>
    <n v="22"/>
    <s v="PENDIENTE APROBACION  ENVIO TMS"/>
    <s v="000000001209654376"/>
    <x v="2"/>
    <x v="0"/>
    <s v="APROBAR"/>
    <n v="1"/>
    <e v="#N/A"/>
  </r>
  <r>
    <n v="8209654367"/>
    <s v="88"/>
    <x v="0"/>
    <d v="2026-10-11T11:42:46"/>
    <s v=""/>
    <s v="UNIDAD"/>
    <n v="3"/>
    <s v="PENDIENTE APROBACION  ENVIO TMS"/>
    <s v="000000008209654367"/>
    <x v="1"/>
    <x v="0"/>
    <s v="APROBAR"/>
    <n v="1"/>
    <e v="#N/A"/>
  </r>
  <r>
    <n v="1209654370"/>
    <s v="88"/>
    <x v="0"/>
    <d v="2026-10-11T11:42:48"/>
    <s v=""/>
    <s v="CAJA"/>
    <n v="4"/>
    <s v="PENDIENTE APROBACION  ENVIO TMS"/>
    <s v="000000001209654370"/>
    <x v="2"/>
    <x v="0"/>
    <s v="APROBAR"/>
    <n v="1"/>
    <e v="#N/A"/>
  </r>
  <r>
    <n v="8209654366"/>
    <s v="88"/>
    <x v="0"/>
    <d v="2026-10-11T11:43:17"/>
    <s v=""/>
    <s v="UNIDAD"/>
    <n v="1"/>
    <s v="PENDIENTE APROBACION  ENVIO TMS"/>
    <s v="000000008209654366"/>
    <x v="1"/>
    <x v="0"/>
    <s v="APROBAR"/>
    <n v="1"/>
    <e v="#N/A"/>
  </r>
  <r>
    <n v="1209654371"/>
    <s v="88"/>
    <x v="0"/>
    <d v="2026-10-11T11:43:20"/>
    <s v=""/>
    <s v="CAJA"/>
    <n v="6"/>
    <s v="PENDIENTE APROBACION  ENVIO TMS"/>
    <s v="000000001209654371"/>
    <x v="2"/>
    <x v="0"/>
    <s v="APROBAR"/>
    <n v="1"/>
    <e v="#N/A"/>
  </r>
  <r>
    <n v="1209654379"/>
    <s v="88"/>
    <x v="0"/>
    <d v="2026-10-11T11:43:23"/>
    <s v=""/>
    <s v="CAJA"/>
    <n v="2"/>
    <s v="PENDIENTE APROBACION  ENVIO TMS"/>
    <s v="000000001209654379"/>
    <x v="2"/>
    <x v="0"/>
    <s v="APROBAR"/>
    <n v="1"/>
    <e v="#N/A"/>
  </r>
  <r>
    <n v="8209654364"/>
    <s v="88"/>
    <x v="0"/>
    <d v="2026-10-11T11:43:33"/>
    <s v=""/>
    <s v="UNIDAD"/>
    <n v="2"/>
    <s v="PENDIENTE APROBACION  ENVIO TMS"/>
    <s v="000000008209654364"/>
    <x v="1"/>
    <x v="0"/>
    <s v="APROBAR"/>
    <n v="1"/>
    <e v="#N/A"/>
  </r>
  <r>
    <n v="8209654365"/>
    <s v="88"/>
    <x v="0"/>
    <d v="2026-10-11T11:43:34"/>
    <s v=""/>
    <s v="UNIDAD"/>
    <n v="6"/>
    <s v="PENDIENTE APROBACION  ENVIO TMS"/>
    <s v="000000008209654365"/>
    <x v="1"/>
    <x v="0"/>
    <s v="APROBAR"/>
    <n v="1"/>
    <e v="#N/A"/>
  </r>
  <r>
    <n v="1209654373"/>
    <s v="88"/>
    <x v="0"/>
    <d v="2026-10-11T11:43:35"/>
    <s v=""/>
    <s v="CAJA"/>
    <n v="14"/>
    <s v="PENDIENTE APROBACION  ENVIO TMS"/>
    <s v="000000001209654373"/>
    <x v="2"/>
    <x v="0"/>
    <s v="APROBAR"/>
    <n v="1"/>
    <e v="#N/A"/>
  </r>
  <r>
    <n v="1209654375"/>
    <s v="88"/>
    <x v="0"/>
    <d v="2026-10-11T11:43:38"/>
    <s v=""/>
    <s v="CAJA"/>
    <n v="13"/>
    <s v="PENDIENTE APROBACION  ENVIO TMS"/>
    <s v="000000001209654375"/>
    <x v="2"/>
    <x v="0"/>
    <s v="APROBAR"/>
    <n v="1"/>
    <e v="#N/A"/>
  </r>
  <r>
    <n v="1209656738"/>
    <s v="3"/>
    <x v="1"/>
    <d v="2026-10-12T09:14:44"/>
    <s v=""/>
    <s v="PACK"/>
    <n v="16"/>
    <s v="PENDIENTE APROBACION  ENVIO TMS"/>
    <s v="000000001209656738"/>
    <x v="2"/>
    <x v="1"/>
    <s v="APROBAR"/>
    <n v="1"/>
    <e v="#N/A"/>
  </r>
  <r>
    <n v="1209656740"/>
    <s v="3"/>
    <x v="1"/>
    <d v="2026-10-12T09:14:44"/>
    <s v=""/>
    <s v="PACK"/>
    <n v="23"/>
    <s v="PENDIENTE APROBACION  ENVIO TMS"/>
    <s v="000000001209656740"/>
    <x v="2"/>
    <x v="1"/>
    <s v="APROBAR"/>
    <n v="1"/>
    <e v="#N/A"/>
  </r>
  <r>
    <n v="1209656742"/>
    <s v="3"/>
    <x v="1"/>
    <d v="2026-10-12T09:14:45"/>
    <s v=""/>
    <s v="CAJA"/>
    <n v="1"/>
    <s v="PENDIENTE APROBACION  ENVIO TMS"/>
    <s v="000000001209656742"/>
    <x v="2"/>
    <x v="1"/>
    <s v="APROBAR"/>
    <n v="1"/>
    <e v="#N/A"/>
  </r>
  <r>
    <n v="8209656709"/>
    <s v="1"/>
    <x v="2"/>
    <d v="2026-10-12T09:14:45"/>
    <s v=""/>
    <s v="UNIDAD"/>
    <n v="2"/>
    <s v="PENDIENTE APROBACION  ENVIO TMS"/>
    <s v="000000008209656709"/>
    <x v="1"/>
    <x v="2"/>
    <s v="APROBAR"/>
    <n v="1"/>
    <e v="#N/A"/>
  </r>
  <r>
    <n v="1209656751"/>
    <s v="3"/>
    <x v="1"/>
    <d v="2026-10-12T09:14:46"/>
    <s v=""/>
    <s v="CAJA"/>
    <n v="18"/>
    <s v="PENDIENTE APROBACION  ENVIO TMS"/>
    <s v="000000001209656751"/>
    <x v="2"/>
    <x v="1"/>
    <s v="APROBAR"/>
    <n v="1"/>
    <e v="#N/A"/>
  </r>
  <r>
    <n v="1209656745"/>
    <s v="3"/>
    <x v="1"/>
    <d v="2026-10-12T09:14:47"/>
    <s v=""/>
    <s v="PACK"/>
    <n v="2"/>
    <s v="PENDIENTE APROBACION  ENVIO TMS"/>
    <s v="000000001209656745"/>
    <x v="2"/>
    <x v="1"/>
    <s v="APROBAR"/>
    <n v="1"/>
    <e v="#N/A"/>
  </r>
  <r>
    <n v="8209656732"/>
    <s v="3"/>
    <x v="1"/>
    <d v="2026-10-12T09:14:47"/>
    <s v=""/>
    <s v="UNIDAD"/>
    <n v="16"/>
    <s v="PENDIENTE APROBACION  ENVIO TMS"/>
    <s v="000000008209656732"/>
    <x v="1"/>
    <x v="1"/>
    <s v="APROBAR"/>
    <n v="1"/>
    <e v="#N/A"/>
  </r>
  <r>
    <n v="8209656683"/>
    <s v="1"/>
    <x v="2"/>
    <d v="2026-10-12T09:14:49"/>
    <s v=""/>
    <s v="UNIDAD"/>
    <n v="9"/>
    <s v="PENDIENTE APROBACION  ENVIO TMS"/>
    <s v="000000008209656683"/>
    <x v="1"/>
    <x v="2"/>
    <s v="APROBAR"/>
    <n v="1"/>
    <e v="#N/A"/>
  </r>
  <r>
    <n v="8209656696"/>
    <s v="1"/>
    <x v="2"/>
    <d v="2026-10-12T09:14:50"/>
    <s v=""/>
    <s v="UNIDAD"/>
    <n v="1"/>
    <s v="PENDIENTE APROBACION  ENVIO TMS"/>
    <s v="000000008209656696"/>
    <x v="1"/>
    <x v="2"/>
    <s v="APROBAR"/>
    <n v="1"/>
    <e v="#N/A"/>
  </r>
  <r>
    <n v="8209656744"/>
    <s v="3"/>
    <x v="1"/>
    <d v="2026-10-12T09:14:51"/>
    <s v=""/>
    <s v="UNIDAD"/>
    <n v="11"/>
    <s v="PENDIENTE APROBACION  ENVIO TMS"/>
    <s v="000000008209656744"/>
    <x v="1"/>
    <x v="1"/>
    <s v="APROBAR"/>
    <n v="1"/>
    <e v="#N/A"/>
  </r>
  <r>
    <n v="1209656690"/>
    <s v="1"/>
    <x v="2"/>
    <d v="2026-10-12T09:14:52"/>
    <s v=""/>
    <s v="CAJA"/>
    <n v="15"/>
    <s v="PENDIENTE APROBACION  ENVIO TMS"/>
    <s v="000000001209656690"/>
    <x v="2"/>
    <x v="2"/>
    <s v="APROBAR"/>
    <n v="1"/>
    <e v="#N/A"/>
  </r>
  <r>
    <n v="8209656708"/>
    <s v="1"/>
    <x v="2"/>
    <d v="2026-10-12T09:14:53"/>
    <s v=""/>
    <s v="UNIDAD"/>
    <n v="2"/>
    <s v="PENDIENTE APROBACION  ENVIO TMS"/>
    <s v="000000008209656708"/>
    <x v="1"/>
    <x v="2"/>
    <s v="APROBAR"/>
    <n v="1"/>
    <e v="#N/A"/>
  </r>
  <r>
    <n v="1209656701"/>
    <s v="1"/>
    <x v="2"/>
    <d v="2026-10-12T09:14:54"/>
    <s v=""/>
    <s v="CAJA"/>
    <n v="9"/>
    <s v="PENDIENTE APROBACION  ENVIO TMS"/>
    <s v="000000001209656701"/>
    <x v="2"/>
    <x v="2"/>
    <s v="APROBAR"/>
    <n v="1"/>
    <e v="#N/A"/>
  </r>
  <r>
    <n v="1209656735"/>
    <s v="3"/>
    <x v="1"/>
    <d v="2026-10-12T09:14:56"/>
    <s v=""/>
    <s v="CAJA"/>
    <n v="11"/>
    <s v="PENDIENTE APROBACION  ENVIO TMS"/>
    <s v="000000001209656735"/>
    <x v="2"/>
    <x v="1"/>
    <s v="APROBAR"/>
    <n v="1"/>
    <e v="#N/A"/>
  </r>
  <r>
    <n v="1209656737"/>
    <s v="3"/>
    <x v="1"/>
    <d v="2026-10-12T09:14:57"/>
    <s v=""/>
    <s v="PACK"/>
    <n v="11"/>
    <s v="PENDIENTE APROBACION  ENVIO TMS"/>
    <s v="000000001209656737"/>
    <x v="2"/>
    <x v="1"/>
    <s v="APROBAR"/>
    <n v="1"/>
    <e v="#N/A"/>
  </r>
  <r>
    <n v="1209656741"/>
    <s v="3"/>
    <x v="1"/>
    <d v="2026-10-12T09:14:58"/>
    <s v=""/>
    <s v="CAJA"/>
    <n v="12"/>
    <s v="PENDIENTE APROBACION  ENVIO TMS"/>
    <s v="000000001209656741"/>
    <x v="2"/>
    <x v="1"/>
    <s v="APROBAR"/>
    <n v="1"/>
    <e v="#N/A"/>
  </r>
  <r>
    <n v="1209656750"/>
    <s v="3"/>
    <x v="1"/>
    <d v="2026-10-12T09:14:59"/>
    <s v=""/>
    <s v="PACK"/>
    <n v="12"/>
    <s v="PENDIENTE APROBACION  ENVIO TMS"/>
    <s v="000000001209656750"/>
    <x v="2"/>
    <x v="1"/>
    <s v="APROBAR"/>
    <n v="1"/>
    <e v="#N/A"/>
  </r>
  <r>
    <n v="1209656753"/>
    <s v="3"/>
    <x v="1"/>
    <d v="2026-10-12T09:15:00"/>
    <s v=""/>
    <s v="CAJA"/>
    <n v="31"/>
    <s v="PENDIENTE APROBACION  ENVIO TMS"/>
    <s v="000000001209656753"/>
    <x v="2"/>
    <x v="1"/>
    <s v="APROBAR"/>
    <n v="1"/>
    <e v="#N/A"/>
  </r>
  <r>
    <n v="1209656689"/>
    <s v="1"/>
    <x v="2"/>
    <d v="2026-10-12T09:15:02"/>
    <s v=""/>
    <s v="CAJA"/>
    <n v="9"/>
    <s v="PENDIENTE APROBACION  ENVIO TMS"/>
    <s v="000000001209656689"/>
    <x v="2"/>
    <x v="2"/>
    <s v="APROBAR"/>
    <n v="1"/>
    <e v="#N/A"/>
  </r>
  <r>
    <n v="1209656712"/>
    <s v="1"/>
    <x v="2"/>
    <d v="2026-10-12T09:15:03"/>
    <s v=""/>
    <s v="PACK"/>
    <n v="8"/>
    <s v="PENDIENTE APROBACION  ENVIO TMS"/>
    <s v="000000001209656712"/>
    <x v="2"/>
    <x v="2"/>
    <s v="APROBAR"/>
    <n v="1"/>
    <e v="#N/A"/>
  </r>
  <r>
    <n v="1209656699"/>
    <s v="1"/>
    <x v="2"/>
    <d v="2026-10-12T09:15:04"/>
    <s v=""/>
    <s v="CAJA"/>
    <n v="1"/>
    <s v="PENDIENTE APROBACION  ENVIO TMS"/>
    <s v="000000001209656699"/>
    <x v="2"/>
    <x v="2"/>
    <s v="APROBAR"/>
    <n v="1"/>
    <e v="#N/A"/>
  </r>
  <r>
    <n v="1209656705"/>
    <s v="1"/>
    <x v="2"/>
    <d v="2026-10-12T09:15:05"/>
    <s v=""/>
    <s v="CAJA"/>
    <n v="39"/>
    <s v="PENDIENTE APROBACION  ENVIO TMS"/>
    <s v="000000001209656705"/>
    <x v="2"/>
    <x v="2"/>
    <s v="APROBAR"/>
    <n v="1"/>
    <e v="#N/A"/>
  </r>
  <r>
    <n v="1209656736"/>
    <s v="3"/>
    <x v="1"/>
    <d v="2026-10-12T09:15:06"/>
    <s v=""/>
    <s v="PACK"/>
    <n v="12"/>
    <s v="PENDIENTE APROBACION  ENVIO TMS"/>
    <s v="000000001209656736"/>
    <x v="2"/>
    <x v="1"/>
    <s v="APROBAR"/>
    <n v="1"/>
    <e v="#N/A"/>
  </r>
  <r>
    <n v="8209656695"/>
    <s v="1"/>
    <x v="2"/>
    <d v="2026-10-12T09:15:08"/>
    <s v=""/>
    <s v="UNIDAD"/>
    <n v="5"/>
    <s v="PENDIENTE APROBACION  ENVIO TMS"/>
    <s v="000000008209656695"/>
    <x v="1"/>
    <x v="2"/>
    <s v="APROBAR"/>
    <n v="1"/>
    <e v="#N/A"/>
  </r>
  <r>
    <n v="1209656700"/>
    <s v="1"/>
    <x v="2"/>
    <d v="2026-10-12T09:15:09"/>
    <s v=""/>
    <s v="CAJA"/>
    <n v="9"/>
    <s v="PENDIENTE APROBACION  ENVIO TMS"/>
    <s v="000000001209656700"/>
    <x v="2"/>
    <x v="2"/>
    <s v="APROBAR"/>
    <n v="1"/>
    <e v="#N/A"/>
  </r>
  <r>
    <n v="8209656728"/>
    <s v="3"/>
    <x v="1"/>
    <d v="2026-10-12T09:15:10"/>
    <s v=""/>
    <s v="UNIDAD"/>
    <n v="3"/>
    <s v="PENDIENTE APROBACION  ENVIO TMS"/>
    <s v="000000008209656728"/>
    <x v="1"/>
    <x v="1"/>
    <s v="APROBAR"/>
    <n v="1"/>
    <e v="#N/A"/>
  </r>
  <r>
    <n v="1209656704"/>
    <s v="1"/>
    <x v="2"/>
    <d v="2026-10-12T09:15:11"/>
    <s v=""/>
    <s v="PACK"/>
    <n v="28"/>
    <s v="PENDIENTE APROBACION  ENVIO TMS"/>
    <s v="000000001209656704"/>
    <x v="2"/>
    <x v="2"/>
    <s v="APROBAR"/>
    <n v="1"/>
    <e v="#N/A"/>
  </r>
  <r>
    <n v="8209656682"/>
    <s v="1"/>
    <x v="2"/>
    <d v="2026-10-12T09:15:13"/>
    <s v=""/>
    <s v="UNIDAD"/>
    <n v="4"/>
    <s v="PENDIENTE APROBACION  ENVIO TMS"/>
    <s v="000000008209656682"/>
    <x v="1"/>
    <x v="2"/>
    <s v="APROBAR"/>
    <n v="1"/>
    <e v="#N/A"/>
  </r>
  <r>
    <n v="8209656743"/>
    <s v="3"/>
    <x v="1"/>
    <d v="2026-10-12T09:15:14"/>
    <s v=""/>
    <s v="UNIDAD"/>
    <n v="11"/>
    <s v="PENDIENTE APROBACION  ENVIO TMS"/>
    <s v="000000008209656743"/>
    <x v="1"/>
    <x v="1"/>
    <s v="APROBAR"/>
    <n v="1"/>
    <e v="#N/A"/>
  </r>
  <r>
    <n v="1209656691"/>
    <s v="1"/>
    <x v="2"/>
    <d v="2026-10-12T09:15:15"/>
    <s v=""/>
    <s v="CAJA"/>
    <n v="16"/>
    <s v="PENDIENTE APROBACION  ENVIO TMS"/>
    <s v="000000001209656691"/>
    <x v="2"/>
    <x v="2"/>
    <s v="APROBAR"/>
    <n v="1"/>
    <e v="#N/A"/>
  </r>
  <r>
    <n v="1209656713"/>
    <s v="1"/>
    <x v="2"/>
    <d v="2026-10-12T09:15:16"/>
    <s v=""/>
    <s v="CAJA"/>
    <n v="14"/>
    <s v="PENDIENTE APROBACION  ENVIO TMS"/>
    <s v="000000001209656713"/>
    <x v="2"/>
    <x v="2"/>
    <s v="APROBAR"/>
    <n v="1"/>
    <e v="#N/A"/>
  </r>
  <r>
    <n v="8209656729"/>
    <s v="3"/>
    <x v="1"/>
    <d v="2026-10-12T09:15:17"/>
    <s v=""/>
    <s v="UNIDAD"/>
    <n v="2"/>
    <s v="PENDIENTE APROBACION  ENVIO TMS"/>
    <s v="000000008209656729"/>
    <x v="1"/>
    <x v="1"/>
    <s v="APROBAR"/>
    <n v="1"/>
    <e v="#N/A"/>
  </r>
  <r>
    <n v="8209656730"/>
    <s v="3"/>
    <x v="1"/>
    <d v="2026-10-12T09:15:18"/>
    <s v=""/>
    <s v="UNIDAD"/>
    <n v="8"/>
    <s v="PENDIENTE APROBACION  ENVIO TMS"/>
    <s v="000000008209656730"/>
    <x v="1"/>
    <x v="1"/>
    <s v="APROBAR"/>
    <n v="1"/>
    <e v="#N/A"/>
  </r>
  <r>
    <n v="8209656733"/>
    <s v="3"/>
    <x v="1"/>
    <d v="2026-10-12T09:15:20"/>
    <s v=""/>
    <s v="UNIDAD"/>
    <n v="4"/>
    <s v="PENDIENTE APROBACION  ENVIO TMS"/>
    <s v="000000008209656733"/>
    <x v="1"/>
    <x v="1"/>
    <s v="APROBAR"/>
    <n v="1"/>
    <e v="#N/A"/>
  </r>
  <r>
    <n v="8209656681"/>
    <s v="1"/>
    <x v="2"/>
    <d v="2026-10-12T09:15:21"/>
    <s v=""/>
    <s v="UNIDAD"/>
    <n v="5"/>
    <s v="PENDIENTE APROBACION  ENVIO TMS"/>
    <s v="000000008209656681"/>
    <x v="1"/>
    <x v="2"/>
    <s v="APROBAR"/>
    <n v="1"/>
    <e v="#N/A"/>
  </r>
  <r>
    <n v="8209656826"/>
    <s v="6"/>
    <x v="3"/>
    <d v="2026-10-12T09:18:52"/>
    <s v=""/>
    <s v="UNIDAD"/>
    <n v="4"/>
    <s v="PENDIENTE APROBACION  ENVIO TMS"/>
    <s v="000000008209656826"/>
    <x v="1"/>
    <x v="1"/>
    <s v="APROBAR"/>
    <n v="1"/>
    <e v="#N/A"/>
  </r>
  <r>
    <n v="8209656827"/>
    <s v="6"/>
    <x v="3"/>
    <d v="2026-10-12T09:18:54"/>
    <s v=""/>
    <s v="UNIDAD"/>
    <n v="21"/>
    <s v="PENDIENTE APROBACION  ENVIO TMS"/>
    <s v="000000008209656827"/>
    <x v="1"/>
    <x v="1"/>
    <s v="APROBAR"/>
    <n v="1"/>
    <e v="#N/A"/>
  </r>
  <r>
    <n v="8209656798"/>
    <s v="5"/>
    <x v="4"/>
    <d v="2026-10-12T09:18:56"/>
    <s v=""/>
    <s v="UNIDAD"/>
    <n v="10"/>
    <s v="PENDIENTE APROBACION  ENVIO TMS"/>
    <s v="000000008209656798"/>
    <x v="1"/>
    <x v="1"/>
    <s v="APROBAR"/>
    <n v="1"/>
    <e v="#N/A"/>
  </r>
  <r>
    <n v="8209656800"/>
    <s v="5"/>
    <x v="4"/>
    <d v="2026-10-12T09:18:56"/>
    <s v=""/>
    <s v="UNIDAD"/>
    <n v="7"/>
    <s v="PENDIENTE APROBACION  ENVIO TMS"/>
    <s v="000000008209656800"/>
    <x v="1"/>
    <x v="1"/>
    <s v="APROBAR"/>
    <n v="1"/>
    <e v="#N/A"/>
  </r>
  <r>
    <n v="1209656802"/>
    <s v="5"/>
    <x v="4"/>
    <d v="2026-10-12T09:18:58"/>
    <s v=""/>
    <s v="CAJA"/>
    <n v="8"/>
    <s v="PENDIENTE APROBACION  ENVIO TMS"/>
    <s v="000000001209656802"/>
    <x v="2"/>
    <x v="1"/>
    <s v="APROBAR"/>
    <n v="1"/>
    <e v="#N/A"/>
  </r>
  <r>
    <n v="1209656831"/>
    <s v="6"/>
    <x v="3"/>
    <d v="2026-10-12T09:18:59"/>
    <s v=""/>
    <s v="PACK"/>
    <n v="18"/>
    <s v="PENDIENTE APROBACION  ENVIO TMS"/>
    <s v="000000001209656831"/>
    <x v="2"/>
    <x v="1"/>
    <s v="APROBAR"/>
    <n v="1"/>
    <e v="#N/A"/>
  </r>
  <r>
    <n v="1209656908"/>
    <s v="9"/>
    <x v="5"/>
    <d v="2026-10-12T09:19:00"/>
    <s v=""/>
    <s v="PACK"/>
    <n v="21"/>
    <s v="PENDIENTE APROBACION  ENVIO TMS"/>
    <s v="000000001209656908"/>
    <x v="2"/>
    <x v="0"/>
    <s v="APROBAR"/>
    <n v="1"/>
    <e v="#N/A"/>
  </r>
  <r>
    <n v="1209656804"/>
    <s v="5"/>
    <x v="4"/>
    <d v="2026-10-12T09:19:01"/>
    <s v=""/>
    <s v="PACK"/>
    <n v="12"/>
    <s v="PENDIENTE APROBACION  ENVIO TMS"/>
    <s v="000000001209656804"/>
    <x v="2"/>
    <x v="1"/>
    <s v="APROBAR"/>
    <n v="1"/>
    <e v="#N/A"/>
  </r>
  <r>
    <n v="1209656923"/>
    <s v="9"/>
    <x v="5"/>
    <d v="2026-10-12T09:19:03"/>
    <s v=""/>
    <s v="CAJA"/>
    <n v="15"/>
    <s v="PENDIENTE APROBACION  ENVIO TMS"/>
    <s v="000000001209656923"/>
    <x v="2"/>
    <x v="0"/>
    <s v="APROBAR"/>
    <n v="1"/>
    <e v="#N/A"/>
  </r>
  <r>
    <n v="1209656806"/>
    <s v="5"/>
    <x v="4"/>
    <d v="2026-10-12T09:19:04"/>
    <s v=""/>
    <s v="CAJA"/>
    <n v="13"/>
    <s v="PENDIENTE APROBACION  ENVIO TMS"/>
    <s v="000000001209656806"/>
    <x v="2"/>
    <x v="1"/>
    <s v="APROBAR"/>
    <n v="1"/>
    <e v="#N/A"/>
  </r>
  <r>
    <n v="8209656866"/>
    <s v="7"/>
    <x v="6"/>
    <d v="2026-10-12T09:19:05"/>
    <s v=""/>
    <s v="UNIDAD"/>
    <n v="6"/>
    <s v="PENDIENTE APROBACION  ENVIO TMS"/>
    <s v="000000008209656866"/>
    <x v="1"/>
    <x v="2"/>
    <s v="APROBAR"/>
    <n v="1"/>
    <e v="#N/A"/>
  </r>
  <r>
    <n v="1209656875"/>
    <s v="7"/>
    <x v="6"/>
    <d v="2026-10-12T09:19:06"/>
    <s v=""/>
    <s v="CAJA"/>
    <n v="44"/>
    <s v="PENDIENTE APROBACION  ENVIO TMS"/>
    <s v="000000001209656875"/>
    <x v="2"/>
    <x v="2"/>
    <s v="APROBAR"/>
    <n v="1"/>
    <e v="#N/A"/>
  </r>
  <r>
    <n v="1209656912"/>
    <s v="9"/>
    <x v="5"/>
    <d v="2026-10-12T09:19:07"/>
    <s v=""/>
    <s v="CAJA"/>
    <n v="21"/>
    <s v="PENDIENTE APROBACION  ENVIO TMS"/>
    <s v="000000001209656912"/>
    <x v="2"/>
    <x v="0"/>
    <s v="APROBAR"/>
    <n v="1"/>
    <e v="#N/A"/>
  </r>
  <r>
    <n v="1209656834"/>
    <s v="6"/>
    <x v="3"/>
    <d v="2026-10-12T09:19:09"/>
    <s v=""/>
    <s v="PACK"/>
    <n v="46"/>
    <s v="PENDIENTE APROBACION  ENVIO TMS"/>
    <s v="000000001209656834"/>
    <x v="2"/>
    <x v="1"/>
    <s v="APROBAR"/>
    <n v="1"/>
    <e v="#N/A"/>
  </r>
  <r>
    <n v="1209656764"/>
    <s v="4"/>
    <x v="7"/>
    <d v="2026-10-12T09:19:10"/>
    <s v=""/>
    <s v="CAJA"/>
    <n v="8"/>
    <s v="PENDIENTE APROBACION  ENVIO TMS"/>
    <s v="000000001209656764"/>
    <x v="2"/>
    <x v="1"/>
    <s v="APROBAR"/>
    <n v="1"/>
    <e v="#N/A"/>
  </r>
  <r>
    <n v="1209656884"/>
    <s v="7"/>
    <x v="6"/>
    <d v="2026-10-12T09:19:12"/>
    <s v=""/>
    <s v="CAJA"/>
    <n v="15"/>
    <s v="PENDIENTE APROBACION  ENVIO TMS"/>
    <s v="000000001209656884"/>
    <x v="2"/>
    <x v="2"/>
    <s v="APROBAR"/>
    <n v="1"/>
    <e v="#N/A"/>
  </r>
  <r>
    <n v="8209656881"/>
    <s v="7"/>
    <x v="6"/>
    <d v="2026-10-12T09:19:12"/>
    <s v=""/>
    <s v="UNIDAD"/>
    <n v="79"/>
    <s v="PENDIENTE APROBACION  ENVIO TMS"/>
    <s v="000000008209656881"/>
    <x v="1"/>
    <x v="2"/>
    <s v="APROBAR"/>
    <n v="1"/>
    <e v="#N/A"/>
  </r>
  <r>
    <n v="8209656824"/>
    <s v="6"/>
    <x v="3"/>
    <d v="2026-10-12T09:19:13"/>
    <s v=""/>
    <s v="UNIDAD"/>
    <n v="33"/>
    <s v="PENDIENTE APROBACION  ENVIO TMS"/>
    <s v="000000008209656824"/>
    <x v="1"/>
    <x v="1"/>
    <s v="APROBAR"/>
    <n v="1"/>
    <e v="#N/A"/>
  </r>
  <r>
    <n v="8209656825"/>
    <s v="6"/>
    <x v="3"/>
    <d v="2026-10-12T09:19:15"/>
    <s v=""/>
    <s v="UNIDAD"/>
    <n v="6"/>
    <s v="PENDIENTE APROBACION  ENVIO TMS"/>
    <s v="000000008209656825"/>
    <x v="1"/>
    <x v="1"/>
    <s v="APROBAR"/>
    <n v="1"/>
    <e v="#N/A"/>
  </r>
  <r>
    <n v="1209656907"/>
    <s v="9"/>
    <x v="5"/>
    <d v="2026-10-12T09:19:16"/>
    <s v=""/>
    <s v="CAJA"/>
    <n v="10"/>
    <s v="PENDIENTE APROBACION  ENVIO TMS"/>
    <s v="000000001209656907"/>
    <x v="2"/>
    <x v="0"/>
    <s v="APROBAR"/>
    <n v="1"/>
    <e v="#N/A"/>
  </r>
  <r>
    <n v="1209656803"/>
    <s v="5"/>
    <x v="4"/>
    <d v="2026-10-12T09:19:17"/>
    <s v=""/>
    <s v="CAJA"/>
    <n v="9"/>
    <s v="PENDIENTE APROBACION  ENVIO TMS"/>
    <s v="000000001209656803"/>
    <x v="2"/>
    <x v="1"/>
    <s v="APROBAR"/>
    <n v="1"/>
    <e v="#N/A"/>
  </r>
  <r>
    <n v="1209656776"/>
    <s v="4"/>
    <x v="7"/>
    <d v="2026-10-12T09:19:18"/>
    <s v=""/>
    <s v="CAJA"/>
    <n v="6"/>
    <s v="PENDIENTE APROBACION  ENVIO TMS"/>
    <s v="000000001209656776"/>
    <x v="2"/>
    <x v="1"/>
    <s v="APROBAR"/>
    <n v="1"/>
    <e v="#N/A"/>
  </r>
  <r>
    <n v="8209656862"/>
    <s v="7"/>
    <x v="6"/>
    <d v="2026-10-12T09:19:20"/>
    <s v=""/>
    <s v="UNIDAD"/>
    <n v="1"/>
    <s v="PENDIENTE APROBACION  ENVIO TMS"/>
    <s v="000000008209656862"/>
    <x v="1"/>
    <x v="2"/>
    <s v="APROBAR"/>
    <n v="1"/>
    <e v="#N/A"/>
  </r>
  <r>
    <n v="1209656924"/>
    <s v="9"/>
    <x v="5"/>
    <d v="2026-10-12T09:19:21"/>
    <s v=""/>
    <s v="CAJA"/>
    <n v="44"/>
    <s v="PENDIENTE APROBACION  ENVIO TMS"/>
    <s v="000000001209656924"/>
    <x v="2"/>
    <x v="0"/>
    <s v="APROBAR"/>
    <n v="1"/>
    <e v="#N/A"/>
  </r>
  <r>
    <n v="8209656865"/>
    <s v="7"/>
    <x v="6"/>
    <d v="2026-10-12T09:19:22"/>
    <s v=""/>
    <s v="UNIDAD"/>
    <n v="6"/>
    <s v="PENDIENTE APROBACION  ENVIO TMS"/>
    <s v="000000008209656865"/>
    <x v="1"/>
    <x v="2"/>
    <s v="APROBAR"/>
    <n v="1"/>
    <e v="#N/A"/>
  </r>
  <r>
    <n v="1209656833"/>
    <s v="6"/>
    <x v="3"/>
    <d v="2026-10-12T09:19:23"/>
    <s v=""/>
    <s v="CAJA"/>
    <n v="28"/>
    <s v="PENDIENTE APROBACION  ENVIO TMS"/>
    <s v="000000001209656833"/>
    <x v="2"/>
    <x v="1"/>
    <s v="APROBAR"/>
    <n v="1"/>
    <e v="#N/A"/>
  </r>
  <r>
    <n v="1209656808"/>
    <s v="5"/>
    <x v="4"/>
    <d v="2026-10-12T09:19:24"/>
    <s v=""/>
    <s v="CAJA"/>
    <n v="26"/>
    <s v="PENDIENTE APROBACION  ENVIO TMS"/>
    <s v="000000001209656808"/>
    <x v="2"/>
    <x v="1"/>
    <s v="APROBAR"/>
    <n v="1"/>
    <e v="#N/A"/>
  </r>
  <r>
    <n v="1209656766"/>
    <s v="4"/>
    <x v="7"/>
    <d v="2026-10-12T09:19:25"/>
    <s v=""/>
    <s v="PACK"/>
    <n v="8"/>
    <s v="PENDIENTE APROBACION  ENVIO TMS"/>
    <s v="000000001209656766"/>
    <x v="2"/>
    <x v="1"/>
    <s v="APROBAR"/>
    <n v="1"/>
    <e v="#N/A"/>
  </r>
  <r>
    <n v="1209656767"/>
    <s v="4"/>
    <x v="7"/>
    <d v="2026-10-12T09:19:27"/>
    <s v=""/>
    <s v="CAJA"/>
    <n v="20"/>
    <s v="PENDIENTE APROBACION  ENVIO TMS"/>
    <s v="000000001209656767"/>
    <x v="2"/>
    <x v="1"/>
    <s v="APROBAR"/>
    <n v="1"/>
    <e v="#N/A"/>
  </r>
  <r>
    <n v="8209656797"/>
    <s v="5"/>
    <x v="4"/>
    <d v="2026-10-12T09:19:28"/>
    <s v=""/>
    <s v="UNIDAD"/>
    <n v="5"/>
    <s v="PENDIENTE APROBACION  ENVIO TMS"/>
    <s v="000000008209656797"/>
    <x v="1"/>
    <x v="1"/>
    <s v="APROBAR"/>
    <n v="1"/>
    <e v="#N/A"/>
  </r>
  <r>
    <n v="1209656805"/>
    <s v="5"/>
    <x v="4"/>
    <d v="2026-10-12T09:19:29"/>
    <s v=""/>
    <s v="PACK"/>
    <n v="22"/>
    <s v="PENDIENTE APROBACION  ENVIO TMS"/>
    <s v="000000001209656805"/>
    <x v="2"/>
    <x v="1"/>
    <s v="APROBAR"/>
    <n v="1"/>
    <e v="#N/A"/>
  </r>
  <r>
    <n v="8209656758"/>
    <s v="4"/>
    <x v="7"/>
    <d v="2026-10-12T09:19:30"/>
    <s v=""/>
    <s v="UNIDAD"/>
    <n v="1"/>
    <s v="PENDIENTE APROBACION  ENVIO TMS"/>
    <s v="000000008209656758"/>
    <x v="1"/>
    <x v="1"/>
    <s v="APROBAR"/>
    <n v="1"/>
    <e v="#N/A"/>
  </r>
  <r>
    <n v="1209656842"/>
    <s v="6"/>
    <x v="3"/>
    <d v="2026-10-12T09:19:31"/>
    <s v=""/>
    <s v="CAJA"/>
    <n v="74"/>
    <s v="PENDIENTE APROBACION  ENVIO TMS"/>
    <s v="000000001209656842"/>
    <x v="2"/>
    <x v="1"/>
    <s v="APROBAR"/>
    <n v="1"/>
    <e v="#N/A"/>
  </r>
  <r>
    <n v="1209656763"/>
    <s v="4"/>
    <x v="7"/>
    <d v="2026-10-12T09:19:33"/>
    <s v=""/>
    <s v="CAJA"/>
    <n v="4"/>
    <s v="PENDIENTE APROBACION  ENVIO TMS"/>
    <s v="000000001209656763"/>
    <x v="2"/>
    <x v="1"/>
    <s v="APROBAR"/>
    <n v="1"/>
    <e v="#N/A"/>
  </r>
  <r>
    <n v="1209656810"/>
    <s v="5"/>
    <x v="4"/>
    <d v="2026-10-12T09:19:34"/>
    <s v=""/>
    <s v="CAJA"/>
    <n v="3"/>
    <s v="PENDIENTE APROBACION  ENVIO TMS"/>
    <s v="000000001209656810"/>
    <x v="2"/>
    <x v="1"/>
    <s v="APROBAR"/>
    <n v="1"/>
    <e v="#N/A"/>
  </r>
  <r>
    <n v="8209656880"/>
    <s v="7"/>
    <x v="6"/>
    <d v="2026-10-12T09:19:35"/>
    <s v=""/>
    <s v="UNIDAD"/>
    <n v="1"/>
    <s v="PENDIENTE APROBACION  ENVIO TMS"/>
    <s v="000000008209656880"/>
    <x v="1"/>
    <x v="2"/>
    <s v="APROBAR"/>
    <n v="1"/>
    <e v="#N/A"/>
  </r>
  <r>
    <n v="1209656871"/>
    <s v="7"/>
    <x v="6"/>
    <d v="2026-10-12T09:19:36"/>
    <s v=""/>
    <s v="CAJA"/>
    <n v="15"/>
    <s v="PENDIENTE APROBACION  ENVIO TMS"/>
    <s v="000000001209656871"/>
    <x v="2"/>
    <x v="2"/>
    <s v="APROBAR"/>
    <n v="1"/>
    <e v="#N/A"/>
  </r>
  <r>
    <n v="1209656837"/>
    <s v="6"/>
    <x v="3"/>
    <d v="2026-10-12T09:19:37"/>
    <s v=""/>
    <s v="CAJA"/>
    <n v="3"/>
    <s v="PENDIENTE APROBACION  ENVIO TMS"/>
    <s v="000000001209656837"/>
    <x v="2"/>
    <x v="1"/>
    <s v="APROBAR"/>
    <n v="1"/>
    <e v="#N/A"/>
  </r>
  <r>
    <n v="8209656794"/>
    <s v="5"/>
    <x v="4"/>
    <d v="2026-10-12T09:19:39"/>
    <s v=""/>
    <s v="UNIDAD"/>
    <n v="4"/>
    <s v="PENDIENTE APROBACION  ENVIO TMS"/>
    <s v="000000008209656794"/>
    <x v="1"/>
    <x v="1"/>
    <s v="APROBAR"/>
    <n v="1"/>
    <e v="#N/A"/>
  </r>
  <r>
    <n v="8209656795"/>
    <s v="5"/>
    <x v="4"/>
    <d v="2026-10-12T09:19:40"/>
    <s v=""/>
    <s v="UNIDAD"/>
    <n v="1"/>
    <s v="PENDIENTE APROBACION  ENVIO TMS"/>
    <s v="000000008209656795"/>
    <x v="1"/>
    <x v="1"/>
    <s v="APROBAR"/>
    <n v="1"/>
    <e v="#N/A"/>
  </r>
  <r>
    <n v="1209656812"/>
    <s v="5"/>
    <x v="4"/>
    <d v="2026-10-12T09:19:41"/>
    <s v=""/>
    <s v="CAJA"/>
    <n v="16"/>
    <s v="PENDIENTE APROBACION  ENVIO TMS"/>
    <s v="000000001209656812"/>
    <x v="2"/>
    <x v="1"/>
    <s v="APROBAR"/>
    <n v="1"/>
    <e v="#N/A"/>
  </r>
  <r>
    <n v="1209656801"/>
    <s v="5"/>
    <x v="4"/>
    <d v="2026-10-12T09:19:42"/>
    <s v=""/>
    <s v="PACK"/>
    <n v="2"/>
    <s v="PENDIENTE APROBACION  ENVIO TMS"/>
    <s v="000000001209656801"/>
    <x v="2"/>
    <x v="1"/>
    <s v="APROBAR"/>
    <n v="1"/>
    <e v="#N/A"/>
  </r>
  <r>
    <n v="1209656909"/>
    <s v="9"/>
    <x v="5"/>
    <d v="2026-10-12T09:19:43"/>
    <s v=""/>
    <s v="PACK"/>
    <n v="10"/>
    <s v="PENDIENTE APROBACION  ENVIO TMS"/>
    <s v="000000001209656909"/>
    <x v="2"/>
    <x v="0"/>
    <s v="APROBAR"/>
    <n v="1"/>
    <e v="#N/A"/>
  </r>
  <r>
    <n v="1209656807"/>
    <s v="5"/>
    <x v="4"/>
    <d v="2026-10-12T09:19:45"/>
    <s v=""/>
    <s v="PACK"/>
    <n v="17"/>
    <s v="PENDIENTE APROBACION  ENVIO TMS"/>
    <s v="000000001209656807"/>
    <x v="2"/>
    <x v="1"/>
    <s v="APROBAR"/>
    <n v="1"/>
    <e v="#N/A"/>
  </r>
  <r>
    <n v="1209656868"/>
    <s v="7"/>
    <x v="6"/>
    <d v="2026-10-12T09:19:46"/>
    <s v=""/>
    <s v="CAJA"/>
    <n v="12"/>
    <s v="PENDIENTE APROBACION  ENVIO TMS"/>
    <s v="000000001209656868"/>
    <x v="2"/>
    <x v="2"/>
    <s v="APROBAR"/>
    <n v="1"/>
    <e v="#N/A"/>
  </r>
  <r>
    <n v="1209656876"/>
    <s v="7"/>
    <x v="6"/>
    <d v="2026-10-12T09:19:46"/>
    <s v=""/>
    <s v="CAJA"/>
    <n v="4"/>
    <s v="PENDIENTE APROBACION  ENVIO TMS"/>
    <s v="000000001209656876"/>
    <x v="2"/>
    <x v="2"/>
    <s v="APROBAR"/>
    <n v="1"/>
    <e v="#N/A"/>
  </r>
  <r>
    <n v="1209656870"/>
    <s v="7"/>
    <x v="6"/>
    <d v="2026-10-12T09:19:48"/>
    <s v=""/>
    <s v="CAJA"/>
    <n v="7"/>
    <s v="PENDIENTE APROBACION  ENVIO TMS"/>
    <s v="000000001209656870"/>
    <x v="2"/>
    <x v="2"/>
    <s v="APROBAR"/>
    <n v="1"/>
    <e v="#N/A"/>
  </r>
  <r>
    <n v="8209656822"/>
    <s v="6"/>
    <x v="3"/>
    <d v="2026-10-12T09:19:49"/>
    <s v=""/>
    <s v="UNIDAD"/>
    <n v="15"/>
    <s v="PENDIENTE APROBACION  ENVIO TMS"/>
    <s v="000000008209656822"/>
    <x v="1"/>
    <x v="1"/>
    <s v="APROBAR"/>
    <n v="1"/>
    <e v="#N/A"/>
  </r>
  <r>
    <n v="8209656917"/>
    <s v="9"/>
    <x v="5"/>
    <d v="2026-10-12T09:19:51"/>
    <s v=""/>
    <s v="UNIDAD"/>
    <n v="5"/>
    <s v="PENDIENTE APROBACION  ENVIO TMS"/>
    <s v="000000008209656917"/>
    <x v="1"/>
    <x v="0"/>
    <s v="APROBAR"/>
    <n v="1"/>
    <e v="#N/A"/>
  </r>
  <r>
    <n v="1209656769"/>
    <s v="4"/>
    <x v="7"/>
    <d v="2026-10-12T09:19:52"/>
    <s v=""/>
    <s v="CAJA"/>
    <n v="35"/>
    <s v="PENDIENTE APROBACION  ENVIO TMS"/>
    <s v="000000001209656769"/>
    <x v="2"/>
    <x v="1"/>
    <s v="APROBAR"/>
    <n v="1"/>
    <e v="#N/A"/>
  </r>
  <r>
    <n v="1209656922"/>
    <s v="9"/>
    <x v="5"/>
    <d v="2026-10-12T09:19:53"/>
    <s v=""/>
    <s v="PACK"/>
    <n v="16"/>
    <s v="PENDIENTE APROBACION  ENVIO TMS"/>
    <s v="000000001209656922"/>
    <x v="2"/>
    <x v="0"/>
    <s v="APROBAR"/>
    <n v="1"/>
    <e v="#N/A"/>
  </r>
  <r>
    <n v="1209656760"/>
    <s v="4"/>
    <x v="7"/>
    <d v="2026-10-12T09:19:54"/>
    <s v=""/>
    <s v="PACK"/>
    <n v="1"/>
    <s v="PENDIENTE APROBACION  ENVIO TMS"/>
    <s v="000000001209656760"/>
    <x v="2"/>
    <x v="1"/>
    <s v="APROBAR"/>
    <n v="1"/>
    <e v="#N/A"/>
  </r>
  <r>
    <n v="1209656811"/>
    <s v="5"/>
    <x v="4"/>
    <d v="2026-10-12T09:19:56"/>
    <s v=""/>
    <s v="PACK"/>
    <n v="52"/>
    <s v="PENDIENTE APROBACION  ENVIO TMS"/>
    <s v="000000001209656811"/>
    <x v="2"/>
    <x v="1"/>
    <s v="APROBAR"/>
    <n v="1"/>
    <e v="#N/A"/>
  </r>
  <r>
    <n v="8209656905"/>
    <s v="9"/>
    <x v="5"/>
    <d v="2026-10-12T09:19:57"/>
    <s v=""/>
    <s v="UNIDAD"/>
    <n v="5"/>
    <s v="PENDIENTE APROBACION  ENVIO TMS"/>
    <s v="000000008209656905"/>
    <x v="1"/>
    <x v="0"/>
    <s v="APROBAR"/>
    <n v="1"/>
    <e v="#N/A"/>
  </r>
  <r>
    <n v="8209656828"/>
    <s v="6"/>
    <x v="3"/>
    <d v="2026-10-12T09:19:58"/>
    <s v=""/>
    <s v="UNIDAD"/>
    <n v="8"/>
    <s v="PENDIENTE APROBACION  ENVIO TMS"/>
    <s v="000000008209656828"/>
    <x v="1"/>
    <x v="1"/>
    <s v="APROBAR"/>
    <n v="1"/>
    <e v="#N/A"/>
  </r>
  <r>
    <n v="8209656799"/>
    <s v="5"/>
    <x v="4"/>
    <d v="2026-10-12T09:19:59"/>
    <s v=""/>
    <s v="UNIDAD"/>
    <n v="14"/>
    <s v="PENDIENTE APROBACION  ENVIO TMS"/>
    <s v="000000008209656799"/>
    <x v="1"/>
    <x v="1"/>
    <s v="APROBAR"/>
    <n v="1"/>
    <e v="#N/A"/>
  </r>
  <r>
    <n v="1209656840"/>
    <s v="6"/>
    <x v="3"/>
    <d v="2026-10-12T09:20:00"/>
    <s v=""/>
    <s v="PACK"/>
    <n v="78"/>
    <s v="PENDIENTE APROBACION  ENVIO TMS"/>
    <s v="000000001209656840"/>
    <x v="2"/>
    <x v="1"/>
    <s v="APROBAR"/>
    <n v="1"/>
    <e v="#N/A"/>
  </r>
  <r>
    <n v="8209656863"/>
    <s v="7"/>
    <x v="6"/>
    <d v="2026-10-12T09:20:01"/>
    <s v=""/>
    <s v="UNIDAD"/>
    <n v="4"/>
    <s v="PENDIENTE APROBACION  ENVIO TMS"/>
    <s v="000000008209656863"/>
    <x v="1"/>
    <x v="2"/>
    <s v="APROBAR"/>
    <n v="1"/>
    <e v="#N/A"/>
  </r>
  <r>
    <n v="8209656755"/>
    <s v="4"/>
    <x v="7"/>
    <d v="2026-10-12T09:20:03"/>
    <s v=""/>
    <s v="UNIDAD"/>
    <n v="1"/>
    <s v="PENDIENTE APROBACION  ENVIO TMS"/>
    <s v="000000008209656755"/>
    <x v="1"/>
    <x v="1"/>
    <s v="APROBAR"/>
    <n v="1"/>
    <e v="#N/A"/>
  </r>
  <r>
    <n v="8209656756"/>
    <s v="4"/>
    <x v="7"/>
    <d v="2026-10-12T09:20:04"/>
    <s v=""/>
    <s v="UNIDAD"/>
    <n v="6"/>
    <s v="PENDIENTE APROBACION  ENVIO TMS"/>
    <s v="000000008209656756"/>
    <x v="1"/>
    <x v="1"/>
    <s v="APROBAR"/>
    <n v="1"/>
    <e v="#N/A"/>
  </r>
  <r>
    <n v="1209656762"/>
    <s v="4"/>
    <x v="7"/>
    <d v="2026-10-12T09:20:05"/>
    <s v=""/>
    <s v="CAJA"/>
    <n v="3"/>
    <s v="PENDIENTE APROBACION  ENVIO TMS"/>
    <s v="000000001209656762"/>
    <x v="2"/>
    <x v="1"/>
    <s v="APROBAR"/>
    <n v="1"/>
    <e v="#N/A"/>
  </r>
  <r>
    <n v="1209656765"/>
    <s v="4"/>
    <x v="7"/>
    <d v="2026-10-12T09:20:06"/>
    <s v=""/>
    <s v="CAJA"/>
    <n v="14"/>
    <s v="PENDIENTE APROBACION  ENVIO TMS"/>
    <s v="000000001209656765"/>
    <x v="2"/>
    <x v="1"/>
    <s v="APROBAR"/>
    <n v="1"/>
    <e v="#N/A"/>
  </r>
  <r>
    <n v="1209656869"/>
    <s v="7"/>
    <x v="6"/>
    <d v="2026-10-12T09:20:08"/>
    <s v=""/>
    <s v="CAJA"/>
    <n v="12"/>
    <s v="PENDIENTE APROBACION  ENVIO TMS"/>
    <s v="000000001209656869"/>
    <x v="2"/>
    <x v="2"/>
    <s v="APROBAR"/>
    <n v="1"/>
    <e v="#N/A"/>
  </r>
  <r>
    <n v="8209656904"/>
    <s v="9"/>
    <x v="5"/>
    <d v="2026-10-12T09:20:09"/>
    <s v=""/>
    <s v="UNIDAD"/>
    <n v="13"/>
    <s v="PENDIENTE APROBACION  ENVIO TMS"/>
    <s v="000000008209656904"/>
    <x v="1"/>
    <x v="0"/>
    <s v="APROBAR"/>
    <n v="1"/>
    <e v="#N/A"/>
  </r>
  <r>
    <n v="1209656872"/>
    <s v="7"/>
    <x v="6"/>
    <d v="2026-10-12T09:20:09"/>
    <s v=""/>
    <s v="CAJA"/>
    <n v="13"/>
    <s v="PENDIENTE APROBACION  ENVIO TMS"/>
    <s v="000000001209656872"/>
    <x v="2"/>
    <x v="2"/>
    <s v="APROBAR"/>
    <n v="1"/>
    <e v="#N/A"/>
  </r>
  <r>
    <n v="8209656796"/>
    <s v="5"/>
    <x v="4"/>
    <d v="2026-10-12T09:20:11"/>
    <s v=""/>
    <s v="UNIDAD"/>
    <n v="9"/>
    <s v="PENDIENTE APROBACION  ENVIO TMS"/>
    <s v="000000008209656796"/>
    <x v="1"/>
    <x v="1"/>
    <s v="APROBAR"/>
    <n v="1"/>
    <e v="#N/A"/>
  </r>
  <r>
    <n v="1209656839"/>
    <s v="6"/>
    <x v="3"/>
    <d v="2026-10-12T09:20:12"/>
    <s v=""/>
    <s v="PACK"/>
    <n v="51"/>
    <s v="PENDIENTE APROBACION  ENVIO TMS"/>
    <s v="000000001209656839"/>
    <x v="2"/>
    <x v="1"/>
    <s v="APROBAR"/>
    <n v="1"/>
    <e v="#N/A"/>
  </r>
  <r>
    <n v="1209656829"/>
    <s v="6"/>
    <x v="3"/>
    <d v="2026-10-12T09:20:14"/>
    <s v=""/>
    <s v="PACK"/>
    <n v="4"/>
    <s v="PENDIENTE APROBACION  ENVIO TMS"/>
    <s v="000000001209656829"/>
    <x v="2"/>
    <x v="1"/>
    <s v="APROBAR"/>
    <n v="1"/>
    <e v="#N/A"/>
  </r>
  <r>
    <n v="1209656919"/>
    <s v="9"/>
    <x v="5"/>
    <d v="2026-10-12T09:20:15"/>
    <s v=""/>
    <s v="CAJA"/>
    <n v="5"/>
    <s v="PENDIENTE APROBACION  ENVIO TMS"/>
    <s v="000000001209656919"/>
    <x v="2"/>
    <x v="0"/>
    <s v="APROBAR"/>
    <n v="1"/>
    <e v="#N/A"/>
  </r>
  <r>
    <n v="1209656832"/>
    <s v="6"/>
    <x v="3"/>
    <d v="2026-10-12T09:20:15"/>
    <s v=""/>
    <s v="UNIDAD"/>
    <n v="26"/>
    <s v="PENDIENTE APROBACION  ENVIO TMS"/>
    <s v="000000001209656832"/>
    <x v="2"/>
    <x v="1"/>
    <s v="APROBAR"/>
    <n v="1"/>
    <e v="#N/A"/>
  </r>
  <r>
    <n v="8209656864"/>
    <s v="7"/>
    <x v="6"/>
    <d v="2026-10-12T09:20:17"/>
    <s v=""/>
    <s v="UNIDAD"/>
    <n v="14"/>
    <s v="PENDIENTE APROBACION  ENVIO TMS"/>
    <s v="000000008209656864"/>
    <x v="1"/>
    <x v="2"/>
    <s v="APROBAR"/>
    <n v="1"/>
    <e v="#N/A"/>
  </r>
  <r>
    <n v="8209656757"/>
    <s v="4"/>
    <x v="7"/>
    <d v="2026-10-12T09:20:19"/>
    <s v=""/>
    <s v="UNIDAD"/>
    <n v="1"/>
    <s v="PENDIENTE APROBACION  ENVIO TMS"/>
    <s v="000000008209656757"/>
    <x v="1"/>
    <x v="1"/>
    <s v="APROBAR"/>
    <n v="1"/>
    <e v="#N/A"/>
  </r>
  <r>
    <n v="8209656759"/>
    <s v="4"/>
    <x v="7"/>
    <d v="2026-10-12T09:20:20"/>
    <s v=""/>
    <s v="UNIDAD"/>
    <n v="4"/>
    <s v="PENDIENTE APROBACION  ENVIO TMS"/>
    <s v="000000008209656759"/>
    <x v="1"/>
    <x v="1"/>
    <s v="APROBAR"/>
    <n v="1"/>
    <e v="#N/A"/>
  </r>
  <r>
    <n v="1209656882"/>
    <s v="7"/>
    <x v="6"/>
    <d v="2026-10-12T09:20:20"/>
    <s v=""/>
    <s v="CAJA"/>
    <n v="2"/>
    <s v="PENDIENTE APROBACION  ENVIO TMS"/>
    <s v="000000001209656882"/>
    <x v="2"/>
    <x v="2"/>
    <s v="APROBAR"/>
    <n v="1"/>
    <e v="#N/A"/>
  </r>
  <r>
    <n v="1209656835"/>
    <s v="6"/>
    <x v="3"/>
    <d v="2026-10-12T09:20:22"/>
    <s v=""/>
    <s v="PACK"/>
    <n v="39"/>
    <s v="PENDIENTE APROBACION  ENVIO TMS"/>
    <s v="000000001209656835"/>
    <x v="2"/>
    <x v="1"/>
    <s v="APROBAR"/>
    <n v="1"/>
    <e v="#N/A"/>
  </r>
  <r>
    <n v="1209656883"/>
    <s v="7"/>
    <x v="6"/>
    <d v="2026-10-12T09:20:23"/>
    <s v=""/>
    <s v="PACK"/>
    <n v="8"/>
    <s v="PENDIENTE APROBACION  ENVIO TMS"/>
    <s v="000000001209656883"/>
    <x v="2"/>
    <x v="2"/>
    <s v="APROBAR"/>
    <n v="1"/>
    <e v="#N/A"/>
  </r>
  <r>
    <n v="8209656823"/>
    <s v="6"/>
    <x v="3"/>
    <d v="2026-10-12T09:20:25"/>
    <s v=""/>
    <s v="UNIDAD"/>
    <n v="9"/>
    <s v="PENDIENTE APROBACION  ENVIO TMS"/>
    <s v="000000008209656823"/>
    <x v="1"/>
    <x v="1"/>
    <s v="APROBAR"/>
    <n v="1"/>
    <e v="#N/A"/>
  </r>
  <r>
    <n v="8209656903"/>
    <s v="9"/>
    <x v="5"/>
    <d v="2026-10-12T09:20:26"/>
    <s v=""/>
    <s v="UNIDAD"/>
    <n v="2"/>
    <s v="PENDIENTE APROBACION  ENVIO TMS"/>
    <s v="000000008209656903"/>
    <x v="1"/>
    <x v="0"/>
    <s v="APROBAR"/>
    <n v="1"/>
    <e v="#N/A"/>
  </r>
  <r>
    <n v="1209656768"/>
    <s v="4"/>
    <x v="7"/>
    <d v="2026-10-12T09:20:27"/>
    <s v=""/>
    <s v="PACK"/>
    <n v="27"/>
    <s v="PENDIENTE APROBACION  ENVIO TMS"/>
    <s v="000000001209656768"/>
    <x v="2"/>
    <x v="1"/>
    <s v="APROBAR"/>
    <n v="1"/>
    <e v="#N/A"/>
  </r>
  <r>
    <n v="1209656916"/>
    <s v="9"/>
    <x v="5"/>
    <d v="2026-10-12T09:20:28"/>
    <s v=""/>
    <s v="PACK"/>
    <n v="14"/>
    <s v="PENDIENTE APROBACION  ENVIO TMS"/>
    <s v="000000001209656916"/>
    <x v="2"/>
    <x v="0"/>
    <s v="APROBAR"/>
    <n v="1"/>
    <e v="#N/A"/>
  </r>
  <r>
    <n v="8209656918"/>
    <s v="9"/>
    <x v="5"/>
    <d v="2026-10-12T09:20:29"/>
    <s v=""/>
    <s v="UNIDAD"/>
    <n v="68"/>
    <s v="PENDIENTE APROBACION  ENVIO TMS"/>
    <s v="000000008209656918"/>
    <x v="1"/>
    <x v="0"/>
    <s v="APROBAR"/>
    <n v="1"/>
    <e v="#N/A"/>
  </r>
  <r>
    <n v="1209656830"/>
    <s v="6"/>
    <x v="3"/>
    <d v="2026-10-12T09:20:31"/>
    <s v=""/>
    <s v="PACK"/>
    <n v="22"/>
    <s v="PENDIENTE APROBACION  ENVIO TMS"/>
    <s v="000000001209656830"/>
    <x v="2"/>
    <x v="1"/>
    <s v="APROBAR"/>
    <n v="1"/>
    <e v="#N/A"/>
  </r>
  <r>
    <n v="1209656874"/>
    <s v="7"/>
    <x v="6"/>
    <d v="2026-10-12T09:20:32"/>
    <s v=""/>
    <s v="PACK"/>
    <n v="41"/>
    <s v="PENDIENTE APROBACION  ENVIO TMS"/>
    <s v="000000001209656874"/>
    <x v="2"/>
    <x v="2"/>
    <s v="APROBAR"/>
    <n v="1"/>
    <e v="#N/A"/>
  </r>
  <r>
    <n v="1209656926"/>
    <s v="9"/>
    <x v="5"/>
    <d v="2026-10-12T09:20:33"/>
    <s v=""/>
    <s v="PACK"/>
    <n v="24"/>
    <s v="PENDIENTE APROBACION  ENVIO TMS"/>
    <s v="000000001209656926"/>
    <x v="2"/>
    <x v="0"/>
    <s v="APROBAR"/>
    <n v="1"/>
    <e v="#N/A"/>
  </r>
  <r>
    <n v="1209656761"/>
    <s v="4"/>
    <x v="7"/>
    <d v="2026-10-12T09:20:34"/>
    <s v=""/>
    <s v="CAJA"/>
    <n v="2"/>
    <s v="PENDIENTE APROBACION  ENVIO TMS"/>
    <s v="000000001209656761"/>
    <x v="2"/>
    <x v="1"/>
    <s v="APROBAR"/>
    <n v="1"/>
    <e v="#N/A"/>
  </r>
  <r>
    <n v="8209656938"/>
    <s v="10"/>
    <x v="8"/>
    <d v="2026-10-12T09:23:52"/>
    <s v=""/>
    <s v="UNIDAD"/>
    <n v="4"/>
    <s v="PENDIENTE APROBACION  ENVIO TMS"/>
    <s v="000000008209656938"/>
    <x v="1"/>
    <x v="0"/>
    <s v="APROBAR"/>
    <n v="1"/>
    <e v="#N/A"/>
  </r>
  <r>
    <n v="1209656942"/>
    <s v="10"/>
    <x v="8"/>
    <d v="2026-10-12T09:23:53"/>
    <s v=""/>
    <s v="CAJA"/>
    <n v="4"/>
    <s v="PENDIENTE APROBACION  ENVIO TMS"/>
    <s v="000000001209656942"/>
    <x v="2"/>
    <x v="0"/>
    <s v="APROBAR"/>
    <n v="1"/>
    <e v="#N/A"/>
  </r>
  <r>
    <n v="1209656946"/>
    <s v="10"/>
    <x v="8"/>
    <d v="2026-10-12T09:23:54"/>
    <s v=""/>
    <s v="CAJA"/>
    <n v="14"/>
    <s v="PENDIENTE APROBACION  ENVIO TMS"/>
    <s v="000000001209656946"/>
    <x v="2"/>
    <x v="0"/>
    <s v="APROBAR"/>
    <n v="1"/>
    <e v="#N/A"/>
  </r>
  <r>
    <n v="1209656948"/>
    <s v="10"/>
    <x v="8"/>
    <d v="2026-10-12T09:23:55"/>
    <s v=""/>
    <s v="CAJA"/>
    <n v="1"/>
    <s v="PENDIENTE APROBACION  ENVIO TMS"/>
    <s v="000000001209656948"/>
    <x v="2"/>
    <x v="0"/>
    <s v="APROBAR"/>
    <n v="1"/>
    <e v="#N/A"/>
  </r>
  <r>
    <n v="1209656952"/>
    <s v="10"/>
    <x v="8"/>
    <d v="2026-10-12T09:23:56"/>
    <s v=""/>
    <s v="CAJA"/>
    <n v="6"/>
    <s v="PENDIENTE APROBACION  ENVIO TMS"/>
    <s v="000000001209656952"/>
    <x v="2"/>
    <x v="0"/>
    <s v="APROBAR"/>
    <n v="1"/>
    <e v="#N/A"/>
  </r>
  <r>
    <n v="1209656953"/>
    <s v="10"/>
    <x v="8"/>
    <d v="2026-10-12T09:23:58"/>
    <s v=""/>
    <s v="CAJA"/>
    <n v="15"/>
    <s v="PENDIENTE APROBACION  ENVIO TMS"/>
    <s v="000000001209656953"/>
    <x v="2"/>
    <x v="0"/>
    <s v="APROBAR"/>
    <n v="1"/>
    <e v="#N/A"/>
  </r>
  <r>
    <n v="1209657049"/>
    <s v="13"/>
    <x v="9"/>
    <d v="2026-10-12T09:23:59"/>
    <s v=""/>
    <s v="CAJA"/>
    <n v="43"/>
    <s v="PENDIENTE APROBACION  ENVIO TMS"/>
    <s v="000000001209657049"/>
    <x v="2"/>
    <x v="2"/>
    <s v="APROBAR"/>
    <n v="1"/>
    <e v="#N/A"/>
  </r>
  <r>
    <n v="1209656985"/>
    <s v="11"/>
    <x v="10"/>
    <d v="2026-10-12T09:24:00"/>
    <s v=""/>
    <s v="CAJA"/>
    <n v="57"/>
    <s v="PENDIENTE APROBACION  ENVIO TMS"/>
    <s v="000000001209656985"/>
    <x v="2"/>
    <x v="2"/>
    <s v="APROBAR"/>
    <n v="1"/>
    <e v="#N/A"/>
  </r>
  <r>
    <n v="8209656970"/>
    <s v="11"/>
    <x v="10"/>
    <d v="2026-10-12T09:24:01"/>
    <s v=""/>
    <s v="UNIDAD"/>
    <n v="20"/>
    <s v="PENDIENTE APROBACION  ENVIO TMS"/>
    <s v="000000008209656970"/>
    <x v="1"/>
    <x v="2"/>
    <s v="APROBAR"/>
    <n v="1"/>
    <e v="#N/A"/>
  </r>
  <r>
    <n v="1209657067"/>
    <s v="14"/>
    <x v="11"/>
    <d v="2026-10-12T09:24:03"/>
    <s v=""/>
    <s v="CAJA"/>
    <n v="5"/>
    <s v="PENDIENTE APROBACION  ENVIO TMS"/>
    <s v="000000001209657067"/>
    <x v="2"/>
    <x v="1"/>
    <s v="APROBAR"/>
    <n v="1"/>
    <e v="#N/A"/>
  </r>
  <r>
    <n v="1209656975"/>
    <s v="11"/>
    <x v="10"/>
    <d v="2026-10-12T09:24:04"/>
    <s v=""/>
    <s v="PACK"/>
    <n v="1"/>
    <s v="PENDIENTE APROBACION  ENVIO TMS"/>
    <s v="000000001209656975"/>
    <x v="2"/>
    <x v="2"/>
    <s v="APROBAR"/>
    <n v="1"/>
    <e v="#N/A"/>
  </r>
  <r>
    <n v="1209657034"/>
    <s v="13"/>
    <x v="9"/>
    <d v="2026-10-12T09:24:05"/>
    <s v=""/>
    <s v="CAJA"/>
    <n v="4"/>
    <s v="PENDIENTE APROBACION  ENVIO TMS"/>
    <s v="000000001209657034"/>
    <x v="2"/>
    <x v="2"/>
    <s v="APROBAR"/>
    <n v="1"/>
    <e v="#N/A"/>
  </r>
  <r>
    <n v="1209657097"/>
    <s v="16"/>
    <x v="12"/>
    <d v="2026-10-12T09:24:06"/>
    <s v=""/>
    <s v="CAJA"/>
    <n v="6"/>
    <s v="PENDIENTE APROBACION  ENVIO TMS"/>
    <s v="000000001209657097"/>
    <x v="2"/>
    <x v="2"/>
    <s v="APROBAR"/>
    <n v="1"/>
    <e v="#N/A"/>
  </r>
  <r>
    <n v="8209657105"/>
    <s v="16"/>
    <x v="12"/>
    <d v="2026-10-12T09:24:07"/>
    <s v=""/>
    <s v="UNIDAD"/>
    <n v="1"/>
    <s v="PENDIENTE APROBACION  ENVIO TMS"/>
    <s v="000000008209657105"/>
    <x v="1"/>
    <x v="2"/>
    <s v="APROBAR"/>
    <n v="1"/>
    <e v="#N/A"/>
  </r>
  <r>
    <n v="1209657113"/>
    <s v="16"/>
    <x v="12"/>
    <d v="2026-10-12T09:24:08"/>
    <s v=""/>
    <s v="PACK"/>
    <n v="30"/>
    <s v="PENDIENTE APROBACION  ENVIO TMS"/>
    <s v="000000001209657113"/>
    <x v="2"/>
    <x v="2"/>
    <s v="APROBAR"/>
    <n v="1"/>
    <e v="#N/A"/>
  </r>
  <r>
    <n v="1209656981"/>
    <s v="11"/>
    <x v="10"/>
    <d v="2026-10-12T09:24:10"/>
    <s v=""/>
    <s v="CAJA"/>
    <n v="26"/>
    <s v="PENDIENTE APROBACION  ENVIO TMS"/>
    <s v="000000001209656981"/>
    <x v="2"/>
    <x v="2"/>
    <s v="APROBAR"/>
    <n v="1"/>
    <e v="#N/A"/>
  </r>
  <r>
    <n v="1209657040"/>
    <s v="13"/>
    <x v="9"/>
    <d v="2026-10-12T09:24:11"/>
    <s v=""/>
    <s v="CAJA"/>
    <n v="3"/>
    <s v="PENDIENTE APROBACION  ENVIO TMS"/>
    <s v="000000001209657040"/>
    <x v="2"/>
    <x v="2"/>
    <s v="APROBAR"/>
    <n v="1"/>
    <e v="#N/A"/>
  </r>
  <r>
    <n v="8209657029"/>
    <s v="13"/>
    <x v="9"/>
    <d v="2026-10-12T09:24:12"/>
    <s v=""/>
    <s v="UNIDAD"/>
    <n v="4"/>
    <s v="PENDIENTE APROBACION  ENVIO TMS"/>
    <s v="000000008209657029"/>
    <x v="1"/>
    <x v="2"/>
    <s v="APROBAR"/>
    <n v="1"/>
    <e v="#N/A"/>
  </r>
  <r>
    <n v="1209657044"/>
    <s v="13"/>
    <x v="9"/>
    <d v="2026-10-12T09:24:13"/>
    <s v=""/>
    <s v="CAJA"/>
    <n v="2"/>
    <s v="PENDIENTE APROBACION  ENVIO TMS"/>
    <s v="000000001209657044"/>
    <x v="2"/>
    <x v="2"/>
    <s v="APROBAR"/>
    <n v="1"/>
    <e v="#N/A"/>
  </r>
  <r>
    <n v="8209656969"/>
    <s v="11"/>
    <x v="10"/>
    <d v="2026-10-12T09:24:14"/>
    <s v=""/>
    <s v="UNIDAD"/>
    <n v="1"/>
    <s v="PENDIENTE APROBACION  ENVIO TMS"/>
    <s v="000000008209656969"/>
    <x v="1"/>
    <x v="2"/>
    <s v="APROBAR"/>
    <n v="1"/>
    <e v="#N/A"/>
  </r>
  <r>
    <n v="8209657062"/>
    <s v="14"/>
    <x v="11"/>
    <d v="2026-10-12T09:24:16"/>
    <s v=""/>
    <s v="UNIDAD"/>
    <n v="7"/>
    <s v="PENDIENTE APROBACION  ENVIO TMS"/>
    <s v="000000008209657062"/>
    <x v="1"/>
    <x v="1"/>
    <s v="APROBAR"/>
    <n v="1"/>
    <e v="#N/A"/>
  </r>
  <r>
    <n v="8209657065"/>
    <s v="14"/>
    <x v="11"/>
    <d v="2026-10-12T09:24:17"/>
    <s v=""/>
    <s v="UNIDAD"/>
    <n v="6"/>
    <s v="PENDIENTE APROBACION  ENVIO TMS"/>
    <s v="000000008209657065"/>
    <x v="1"/>
    <x v="1"/>
    <s v="APROBAR"/>
    <n v="1"/>
    <e v="#N/A"/>
  </r>
  <r>
    <n v="1209656980"/>
    <s v="11"/>
    <x v="10"/>
    <d v="2026-10-12T09:24:19"/>
    <s v=""/>
    <s v="CAJA"/>
    <n v="24"/>
    <s v="PENDIENTE APROBACION  ENVIO TMS"/>
    <s v="000000001209656980"/>
    <x v="2"/>
    <x v="2"/>
    <s v="APROBAR"/>
    <n v="1"/>
    <e v="#N/A"/>
  </r>
  <r>
    <n v="8209656993"/>
    <s v="12"/>
    <x v="13"/>
    <d v="2026-10-12T09:24:19"/>
    <s v=""/>
    <s v="UNIDAD"/>
    <n v="23"/>
    <s v="PENDIENTE APROBACION  ENVIO TMS"/>
    <s v="000000008209656993"/>
    <x v="1"/>
    <x v="2"/>
    <s v="APROBAR"/>
    <n v="1"/>
    <e v="#N/A"/>
  </r>
  <r>
    <n v="1209657078"/>
    <s v="14"/>
    <x v="11"/>
    <d v="2026-10-12T09:24:21"/>
    <s v=""/>
    <s v="CAJA"/>
    <n v="13"/>
    <s v="PENDIENTE APROBACION  ENVIO TMS"/>
    <s v="000000001209657078"/>
    <x v="2"/>
    <x v="1"/>
    <s v="APROBAR"/>
    <n v="1"/>
    <e v="#N/A"/>
  </r>
  <r>
    <n v="1209657107"/>
    <s v="16"/>
    <x v="12"/>
    <d v="2026-10-12T09:24:22"/>
    <s v=""/>
    <s v="CAJA"/>
    <n v="4"/>
    <s v="PENDIENTE APROBACION  ENVIO TMS"/>
    <s v="000000001209657107"/>
    <x v="2"/>
    <x v="2"/>
    <s v="APROBAR"/>
    <n v="1"/>
    <e v="#N/A"/>
  </r>
  <r>
    <n v="1209657108"/>
    <s v="16"/>
    <x v="12"/>
    <d v="2026-10-12T09:24:23"/>
    <s v=""/>
    <s v="CAJA"/>
    <n v="16"/>
    <s v="PENDIENTE APROBACION  ENVIO TMS"/>
    <s v="000000001209657108"/>
    <x v="2"/>
    <x v="2"/>
    <s v="APROBAR"/>
    <n v="1"/>
    <e v="#N/A"/>
  </r>
  <r>
    <n v="1209657002"/>
    <s v="12"/>
    <x v="13"/>
    <d v="2026-10-12T09:24:24"/>
    <s v=""/>
    <s v="CAJA"/>
    <n v="13"/>
    <s v="PENDIENTE APROBACION  ENVIO TMS"/>
    <s v="000000001209657002"/>
    <x v="2"/>
    <x v="2"/>
    <s v="APROBAR"/>
    <n v="1"/>
    <e v="#N/A"/>
  </r>
  <r>
    <n v="1209656983"/>
    <s v="11"/>
    <x v="10"/>
    <d v="2026-10-12T09:24:25"/>
    <s v=""/>
    <s v="PACK"/>
    <n v="43"/>
    <s v="PENDIENTE APROBACION  ENVIO TMS"/>
    <s v="000000001209656983"/>
    <x v="2"/>
    <x v="2"/>
    <s v="APROBAR"/>
    <n v="1"/>
    <e v="#N/A"/>
  </r>
  <r>
    <n v="8209657063"/>
    <s v="14"/>
    <x v="11"/>
    <d v="2026-10-12T09:24:26"/>
    <s v=""/>
    <s v="UNIDAD"/>
    <n v="5"/>
    <s v="PENDIENTE APROBACION  ENVIO TMS"/>
    <s v="000000008209657063"/>
    <x v="1"/>
    <x v="1"/>
    <s v="APROBAR"/>
    <n v="1"/>
    <e v="#N/A"/>
  </r>
  <r>
    <n v="8209657064"/>
    <s v="14"/>
    <x v="11"/>
    <d v="2026-10-12T09:24:28"/>
    <s v=""/>
    <s v="UNIDAD"/>
    <n v="7"/>
    <s v="PENDIENTE APROBACION  ENVIO TMS"/>
    <s v="000000008209657064"/>
    <x v="1"/>
    <x v="1"/>
    <s v="APROBAR"/>
    <n v="1"/>
    <e v="#N/A"/>
  </r>
  <r>
    <n v="1209657046"/>
    <s v="13"/>
    <x v="9"/>
    <d v="2026-10-12T09:24:29"/>
    <s v=""/>
    <s v="CAJA"/>
    <n v="19"/>
    <s v="PENDIENTE APROBACION  ENVIO TMS"/>
    <s v="000000001209657046"/>
    <x v="2"/>
    <x v="2"/>
    <s v="APROBAR"/>
    <n v="1"/>
    <e v="#N/A"/>
  </r>
  <r>
    <n v="1209657068"/>
    <s v="14"/>
    <x v="11"/>
    <d v="2026-10-12T09:24:30"/>
    <s v=""/>
    <s v="PACK"/>
    <n v="6"/>
    <s v="PENDIENTE APROBACION  ENVIO TMS"/>
    <s v="000000001209657068"/>
    <x v="2"/>
    <x v="1"/>
    <s v="APROBAR"/>
    <n v="1"/>
    <e v="#N/A"/>
  </r>
  <r>
    <n v="1209656977"/>
    <s v="11"/>
    <x v="10"/>
    <d v="2026-10-12T09:24:31"/>
    <s v=""/>
    <s v="PACK"/>
    <n v="21"/>
    <s v="PENDIENTE APROBACION  ENVIO TMS"/>
    <s v="000000001209656977"/>
    <x v="2"/>
    <x v="2"/>
    <s v="APROBAR"/>
    <n v="1"/>
    <e v="#N/A"/>
  </r>
  <r>
    <n v="1209657076"/>
    <s v="14"/>
    <x v="11"/>
    <d v="2026-10-12T09:24:32"/>
    <s v=""/>
    <s v="CAJA"/>
    <n v="4"/>
    <s v="PENDIENTE APROBACION  ENVIO TMS"/>
    <s v="000000001209657076"/>
    <x v="2"/>
    <x v="1"/>
    <s v="APROBAR"/>
    <n v="1"/>
    <e v="#N/A"/>
  </r>
  <r>
    <n v="1209656956"/>
    <s v="10"/>
    <x v="8"/>
    <d v="2026-10-12T09:24:34"/>
    <s v=""/>
    <s v="CAJA"/>
    <n v="37"/>
    <s v="PENDIENTE APROBACION  ENVIO TMS"/>
    <s v="000000001209656956"/>
    <x v="2"/>
    <x v="0"/>
    <s v="APROBAR"/>
    <n v="1"/>
    <e v="#N/A"/>
  </r>
  <r>
    <n v="1209656949"/>
    <s v="10"/>
    <x v="8"/>
    <d v="2026-10-12T09:24:35"/>
    <s v=""/>
    <s v="PACK"/>
    <n v="29"/>
    <s v="PENDIENTE APROBACION  ENVIO TMS"/>
    <s v="000000001209656949"/>
    <x v="2"/>
    <x v="0"/>
    <s v="APROBAR"/>
    <n v="1"/>
    <e v="#N/A"/>
  </r>
  <r>
    <n v="8209656937"/>
    <s v="10"/>
    <x v="8"/>
    <d v="2026-10-12T09:24:35"/>
    <s v=""/>
    <s v="UNIDAD"/>
    <n v="4"/>
    <s v="PENDIENTE APROBACION  ENVIO TMS"/>
    <s v="000000008209656937"/>
    <x v="1"/>
    <x v="0"/>
    <s v="APROBAR"/>
    <n v="1"/>
    <e v="#N/A"/>
  </r>
  <r>
    <n v="8209656950"/>
    <s v="10"/>
    <x v="8"/>
    <d v="2026-10-12T09:24:37"/>
    <s v=""/>
    <s v="UNIDAD"/>
    <n v="4"/>
    <s v="PENDIENTE APROBACION  ENVIO TMS"/>
    <s v="000000008209656950"/>
    <x v="1"/>
    <x v="0"/>
    <s v="APROBAR"/>
    <n v="1"/>
    <e v="#N/A"/>
  </r>
  <r>
    <n v="1209657005"/>
    <s v="12"/>
    <x v="13"/>
    <d v="2026-10-12T09:24:42"/>
    <s v=""/>
    <s v="CAJA"/>
    <n v="1"/>
    <s v="PENDIENTE APROBACION  ENVIO TMS"/>
    <s v="000000001209657005"/>
    <x v="2"/>
    <x v="2"/>
    <s v="APROBAR"/>
    <n v="1"/>
    <e v="#N/A"/>
  </r>
  <r>
    <n v="1209656984"/>
    <s v="11"/>
    <x v="10"/>
    <d v="2026-10-12T09:24:43"/>
    <s v=""/>
    <s v="CAJA"/>
    <n v="1"/>
    <s v="PENDIENTE APROBACION  ENVIO TMS"/>
    <s v="000000001209656984"/>
    <x v="2"/>
    <x v="2"/>
    <s v="APROBAR"/>
    <n v="1"/>
    <e v="#N/A"/>
  </r>
  <r>
    <n v="8209656991"/>
    <s v="12"/>
    <x v="13"/>
    <d v="2026-10-12T09:24:45"/>
    <s v=""/>
    <s v="UNIDAD"/>
    <n v="3"/>
    <s v="PENDIENTE APROBACION  ENVIO TMS"/>
    <s v="000000008209656991"/>
    <x v="1"/>
    <x v="2"/>
    <s v="APROBAR"/>
    <n v="1"/>
    <e v="#N/A"/>
  </r>
  <r>
    <n v="8209656972"/>
    <s v="11"/>
    <x v="10"/>
    <d v="2026-10-12T09:24:46"/>
    <s v=""/>
    <s v="UNIDAD"/>
    <n v="10"/>
    <s v="PENDIENTE APROBACION  ENVIO TMS"/>
    <s v="000000008209656972"/>
    <x v="1"/>
    <x v="2"/>
    <s v="APROBAR"/>
    <n v="1"/>
    <e v="#N/A"/>
  </r>
  <r>
    <n v="8209657031"/>
    <s v="13"/>
    <x v="9"/>
    <d v="2026-10-12T09:24:46"/>
    <s v=""/>
    <s v="UNIDAD"/>
    <n v="6"/>
    <s v="PENDIENTE APROBACION  ENVIO TMS"/>
    <s v="000000008209657031"/>
    <x v="1"/>
    <x v="2"/>
    <s v="APROBAR"/>
    <n v="1"/>
    <e v="#N/A"/>
  </r>
  <r>
    <n v="1209656995"/>
    <s v="12"/>
    <x v="13"/>
    <d v="2026-10-12T09:24:48"/>
    <s v=""/>
    <s v="CAJA"/>
    <n v="2"/>
    <s v="PENDIENTE APROBACION  ENVIO TMS"/>
    <s v="000000001209656995"/>
    <x v="2"/>
    <x v="2"/>
    <s v="APROBAR"/>
    <n v="1"/>
    <e v="#N/A"/>
  </r>
  <r>
    <n v="8209656973"/>
    <s v="11"/>
    <x v="10"/>
    <d v="2026-10-12T09:24:49"/>
    <s v=""/>
    <s v="UNIDAD"/>
    <n v="5"/>
    <s v="PENDIENTE APROBACION  ENVIO TMS"/>
    <s v="000000008209656973"/>
    <x v="1"/>
    <x v="2"/>
    <s v="APROBAR"/>
    <n v="1"/>
    <e v="#N/A"/>
  </r>
  <r>
    <n v="1209657069"/>
    <s v="14"/>
    <x v="11"/>
    <d v="2026-10-12T09:24:50"/>
    <s v=""/>
    <s v="CAJA"/>
    <n v="8"/>
    <s v="PENDIENTE APROBACION  ENVIO TMS"/>
    <s v="000000001209657069"/>
    <x v="2"/>
    <x v="1"/>
    <s v="APROBAR"/>
    <n v="1"/>
    <e v="#N/A"/>
  </r>
  <r>
    <n v="1209657077"/>
    <s v="14"/>
    <x v="11"/>
    <d v="2026-10-12T09:24:52"/>
    <s v=""/>
    <s v="PACK"/>
    <n v="3"/>
    <s v="PENDIENTE APROBACION  ENVIO TMS"/>
    <s v="000000001209657077"/>
    <x v="2"/>
    <x v="1"/>
    <s v="APROBAR"/>
    <n v="1"/>
    <e v="#N/A"/>
  </r>
  <r>
    <n v="8209657093"/>
    <s v="16"/>
    <x v="12"/>
    <d v="2026-10-12T09:24:52"/>
    <s v=""/>
    <s v="UNIDAD"/>
    <n v="1"/>
    <s v="PENDIENTE APROBACION  ENVIO TMS"/>
    <s v="000000008209657093"/>
    <x v="1"/>
    <x v="2"/>
    <s v="APROBAR"/>
    <n v="1"/>
    <e v="#N/A"/>
  </r>
  <r>
    <n v="8209657094"/>
    <s v="16"/>
    <x v="12"/>
    <d v="2026-10-12T09:24:54"/>
    <s v=""/>
    <s v="UNIDAD"/>
    <n v="3"/>
    <s v="PENDIENTE APROBACION  ENVIO TMS"/>
    <s v="000000008209657094"/>
    <x v="1"/>
    <x v="2"/>
    <s v="APROBAR"/>
    <n v="1"/>
    <e v="#N/A"/>
  </r>
  <r>
    <n v="1209657099"/>
    <s v="16"/>
    <x v="12"/>
    <d v="2026-10-12T09:24:55"/>
    <s v=""/>
    <s v="CAJA"/>
    <n v="3"/>
    <s v="PENDIENTE APROBACION  ENVIO TMS"/>
    <s v="000000001209657099"/>
    <x v="2"/>
    <x v="2"/>
    <s v="APROBAR"/>
    <n v="1"/>
    <e v="#N/A"/>
  </r>
  <r>
    <n v="8209657104"/>
    <s v="16"/>
    <x v="12"/>
    <d v="2026-10-12T09:24:56"/>
    <s v=""/>
    <s v="UNIDAD"/>
    <n v="3"/>
    <s v="PENDIENTE APROBACION  ENVIO TMS"/>
    <s v="000000008209657104"/>
    <x v="1"/>
    <x v="2"/>
    <s v="APROBAR"/>
    <n v="1"/>
    <e v="#N/A"/>
  </r>
  <r>
    <n v="8209656936"/>
    <s v="10"/>
    <x v="8"/>
    <d v="2026-10-12T09:24:57"/>
    <s v=""/>
    <s v="UNIDAD"/>
    <n v="3"/>
    <s v="PENDIENTE APROBACION  ENVIO TMS"/>
    <s v="000000008209656936"/>
    <x v="1"/>
    <x v="0"/>
    <s v="APROBAR"/>
    <n v="1"/>
    <e v="#N/A"/>
  </r>
  <r>
    <n v="8209656939"/>
    <s v="10"/>
    <x v="8"/>
    <d v="2026-10-12T09:24:58"/>
    <s v=""/>
    <s v="UNIDAD"/>
    <n v="4"/>
    <s v="PENDIENTE APROBACION  ENVIO TMS"/>
    <s v="000000008209656939"/>
    <x v="1"/>
    <x v="0"/>
    <s v="APROBAR"/>
    <n v="1"/>
    <e v="#N/A"/>
  </r>
  <r>
    <n v="1209657003"/>
    <s v="12"/>
    <x v="13"/>
    <d v="2026-10-12T09:25:00"/>
    <s v=""/>
    <s v="PACK"/>
    <n v="22"/>
    <s v="PENDIENTE APROBACION  ENVIO TMS"/>
    <s v="000000001209657003"/>
    <x v="2"/>
    <x v="2"/>
    <s v="APROBAR"/>
    <n v="1"/>
    <e v="#N/A"/>
  </r>
  <r>
    <n v="8209657041"/>
    <s v="13"/>
    <x v="9"/>
    <d v="2026-10-12T09:25:01"/>
    <s v=""/>
    <s v="UNIDAD"/>
    <n v="4"/>
    <s v="PENDIENTE APROBACION  ENVIO TMS"/>
    <s v="000000008209657041"/>
    <x v="1"/>
    <x v="2"/>
    <s v="APROBAR"/>
    <n v="1"/>
    <e v="#N/A"/>
  </r>
  <r>
    <n v="8209657042"/>
    <s v="13"/>
    <x v="9"/>
    <d v="2026-10-12T09:25:02"/>
    <s v=""/>
    <s v="UNIDAD"/>
    <n v="1"/>
    <s v="PENDIENTE APROBACION  ENVIO TMS"/>
    <s v="000000008209657042"/>
    <x v="1"/>
    <x v="2"/>
    <s v="APROBAR"/>
    <n v="1"/>
    <e v="#N/A"/>
  </r>
  <r>
    <n v="8209656992"/>
    <s v="12"/>
    <x v="13"/>
    <d v="2026-10-12T09:25:03"/>
    <s v=""/>
    <s v="UNIDAD"/>
    <n v="4"/>
    <s v="PENDIENTE APROBACION  ENVIO TMS"/>
    <s v="000000008209656992"/>
    <x v="1"/>
    <x v="2"/>
    <s v="APROBAR"/>
    <n v="1"/>
    <e v="#N/A"/>
  </r>
  <r>
    <n v="8209656971"/>
    <s v="11"/>
    <x v="10"/>
    <d v="2026-10-12T09:25:04"/>
    <s v=""/>
    <s v="UNIDAD"/>
    <n v="4"/>
    <s v="PENDIENTE APROBACION  ENVIO TMS"/>
    <s v="000000008209656971"/>
    <x v="1"/>
    <x v="2"/>
    <s v="APROBAR"/>
    <n v="1"/>
    <e v="#N/A"/>
  </r>
  <r>
    <n v="8209656974"/>
    <s v="11"/>
    <x v="10"/>
    <d v="2026-10-12T09:25:06"/>
    <s v=""/>
    <s v="UNIDAD"/>
    <n v="10"/>
    <s v="PENDIENTE APROBACION  ENVIO TMS"/>
    <s v="000000008209656974"/>
    <x v="1"/>
    <x v="2"/>
    <s v="APROBAR"/>
    <n v="1"/>
    <e v="#N/A"/>
  </r>
  <r>
    <n v="1209656997"/>
    <s v="12"/>
    <x v="13"/>
    <d v="2026-10-12T09:25:07"/>
    <s v=""/>
    <s v="CAJA"/>
    <n v="2"/>
    <s v="PENDIENTE APROBACION  ENVIO TMS"/>
    <s v="000000001209656997"/>
    <x v="2"/>
    <x v="2"/>
    <s v="APROBAR"/>
    <n v="1"/>
    <e v="#N/A"/>
  </r>
  <r>
    <n v="1209657047"/>
    <s v="13"/>
    <x v="9"/>
    <d v="2026-10-12T09:25:08"/>
    <s v=""/>
    <s v="PACK"/>
    <n v="27"/>
    <s v="PENDIENTE APROBACION  ENVIO TMS"/>
    <s v="000000001209657047"/>
    <x v="2"/>
    <x v="2"/>
    <s v="APROBAR"/>
    <n v="1"/>
    <e v="#N/A"/>
  </r>
  <r>
    <n v="1209657001"/>
    <s v="12"/>
    <x v="13"/>
    <d v="2026-10-12T09:25:09"/>
    <s v=""/>
    <s v="CAJA"/>
    <n v="8"/>
    <s v="PENDIENTE APROBACION  ENVIO TMS"/>
    <s v="000000001209657001"/>
    <x v="2"/>
    <x v="2"/>
    <s v="APROBAR"/>
    <n v="1"/>
    <e v="#N/A"/>
  </r>
  <r>
    <n v="1209657074"/>
    <s v="14"/>
    <x v="11"/>
    <d v="2026-10-12T09:25:10"/>
    <s v=""/>
    <s v="PACK"/>
    <n v="40"/>
    <s v="PENDIENTE APROBACION  ENVIO TMS"/>
    <s v="000000001209657074"/>
    <x v="2"/>
    <x v="1"/>
    <s v="APROBAR"/>
    <n v="1"/>
    <e v="#N/A"/>
  </r>
  <r>
    <n v="8209657095"/>
    <s v="16"/>
    <x v="12"/>
    <d v="2026-10-12T09:25:12"/>
    <s v=""/>
    <s v="UNIDAD"/>
    <n v="1"/>
    <s v="PENDIENTE APROBACION  ENVIO TMS"/>
    <s v="000000008209657095"/>
    <x v="1"/>
    <x v="2"/>
    <s v="APROBAR"/>
    <n v="1"/>
    <e v="#N/A"/>
  </r>
  <r>
    <n v="1209657100"/>
    <s v="16"/>
    <x v="12"/>
    <d v="2026-10-12T09:25:13"/>
    <s v=""/>
    <s v="UNIDAD"/>
    <n v="17"/>
    <s v="PENDIENTE APROBACION  ENVIO TMS"/>
    <s v="000000001209657100"/>
    <x v="2"/>
    <x v="2"/>
    <s v="APROBAR"/>
    <n v="1"/>
    <e v="#N/A"/>
  </r>
  <r>
    <n v="1209657101"/>
    <s v="16"/>
    <x v="12"/>
    <d v="2026-10-12T09:25:15"/>
    <s v=""/>
    <s v="CAJA"/>
    <n v="11"/>
    <s v="PENDIENTE APROBACION  ENVIO TMS"/>
    <s v="000000001209657101"/>
    <x v="2"/>
    <x v="2"/>
    <s v="APROBAR"/>
    <n v="1"/>
    <e v="#N/A"/>
  </r>
  <r>
    <n v="1209657102"/>
    <s v="16"/>
    <x v="12"/>
    <d v="2026-10-12T09:25:15"/>
    <s v=""/>
    <s v="CAJA"/>
    <n v="11"/>
    <s v="PENDIENTE APROBACION  ENVIO TMS"/>
    <s v="000000001209657102"/>
    <x v="2"/>
    <x v="2"/>
    <s v="APROBAR"/>
    <n v="1"/>
    <e v="#N/A"/>
  </r>
  <r>
    <n v="1209657103"/>
    <s v="16"/>
    <x v="12"/>
    <d v="2026-10-12T09:25:16"/>
    <s v=""/>
    <s v="CAJA"/>
    <n v="2"/>
    <s v="PENDIENTE APROBACION  ENVIO TMS"/>
    <s v="000000001209657103"/>
    <x v="2"/>
    <x v="2"/>
    <s v="APROBAR"/>
    <n v="1"/>
    <e v="#N/A"/>
  </r>
  <r>
    <n v="1209656982"/>
    <s v="11"/>
    <x v="10"/>
    <d v="2026-10-12T09:25:18"/>
    <s v=""/>
    <s v="CAJA"/>
    <n v="33"/>
    <s v="PENDIENTE APROBACION  ENVIO TMS"/>
    <s v="000000001209656982"/>
    <x v="2"/>
    <x v="2"/>
    <s v="APROBAR"/>
    <n v="1"/>
    <e v="#N/A"/>
  </r>
  <r>
    <n v="1209657037"/>
    <s v="13"/>
    <x v="9"/>
    <d v="2026-10-12T09:25:19"/>
    <s v=""/>
    <s v="PACK"/>
    <n v="16"/>
    <s v="PENDIENTE APROBACION  ENVIO TMS"/>
    <s v="000000001209657037"/>
    <x v="2"/>
    <x v="2"/>
    <s v="APROBAR"/>
    <n v="1"/>
    <e v="#N/A"/>
  </r>
  <r>
    <n v="1209657039"/>
    <s v="13"/>
    <x v="9"/>
    <d v="2026-10-12T09:25:20"/>
    <s v=""/>
    <s v="CAJA"/>
    <n v="14"/>
    <s v="PENDIENTE APROBACION  ENVIO TMS"/>
    <s v="000000001209657039"/>
    <x v="2"/>
    <x v="2"/>
    <s v="APROBAR"/>
    <n v="1"/>
    <e v="#N/A"/>
  </r>
  <r>
    <n v="1209657045"/>
    <s v="13"/>
    <x v="9"/>
    <d v="2026-10-12T09:25:21"/>
    <s v=""/>
    <s v="PACK"/>
    <n v="11"/>
    <s v="PENDIENTE APROBACION  ENVIO TMS"/>
    <s v="000000001209657045"/>
    <x v="2"/>
    <x v="2"/>
    <s v="APROBAR"/>
    <n v="1"/>
    <e v="#N/A"/>
  </r>
  <r>
    <n v="8209656994"/>
    <s v="12"/>
    <x v="13"/>
    <d v="2026-10-12T09:25:22"/>
    <s v=""/>
    <s v="UNIDAD"/>
    <n v="2"/>
    <s v="PENDIENTE APROBACION  ENVIO TMS"/>
    <s v="000000008209656994"/>
    <x v="1"/>
    <x v="2"/>
    <s v="APROBAR"/>
    <n v="1"/>
    <e v="#N/A"/>
  </r>
  <r>
    <n v="1209656996"/>
    <s v="12"/>
    <x v="13"/>
    <d v="2026-10-12T09:25:24"/>
    <s v=""/>
    <s v="CAJA"/>
    <n v="5"/>
    <s v="PENDIENTE APROBACION  ENVIO TMS"/>
    <s v="000000001209656996"/>
    <x v="2"/>
    <x v="2"/>
    <s v="APROBAR"/>
    <n v="1"/>
    <e v="#N/A"/>
  </r>
  <r>
    <n v="1209656976"/>
    <s v="11"/>
    <x v="10"/>
    <d v="2026-10-12T09:25:25"/>
    <s v=""/>
    <s v="CAJA"/>
    <n v="10"/>
    <s v="PENDIENTE APROBACION  ENVIO TMS"/>
    <s v="000000001209656976"/>
    <x v="2"/>
    <x v="2"/>
    <s v="APROBAR"/>
    <n v="1"/>
    <e v="#N/A"/>
  </r>
  <r>
    <n v="1209657071"/>
    <s v="14"/>
    <x v="11"/>
    <d v="2026-10-12T09:25:26"/>
    <s v=""/>
    <s v="CAJA"/>
    <n v="15"/>
    <s v="PENDIENTE APROBACION  ENVIO TMS"/>
    <s v="000000001209657071"/>
    <x v="2"/>
    <x v="1"/>
    <s v="APROBAR"/>
    <n v="1"/>
    <e v="#N/A"/>
  </r>
  <r>
    <n v="1209656943"/>
    <s v="10"/>
    <x v="8"/>
    <d v="2026-10-12T09:25:27"/>
    <s v=""/>
    <s v="UNIDAD"/>
    <n v="21"/>
    <s v="PENDIENTE APROBACION  ENVIO TMS"/>
    <s v="000000001209656943"/>
    <x v="2"/>
    <x v="0"/>
    <s v="APROBAR"/>
    <n v="1"/>
    <e v="#N/A"/>
  </r>
  <r>
    <n v="1209656944"/>
    <s v="10"/>
    <x v="8"/>
    <d v="2026-10-12T09:25:28"/>
    <s v=""/>
    <s v="CAJA"/>
    <n v="16"/>
    <s v="PENDIENTE APROBACION  ENVIO TMS"/>
    <s v="000000001209656944"/>
    <x v="2"/>
    <x v="0"/>
    <s v="APROBAR"/>
    <n v="1"/>
    <e v="#N/A"/>
  </r>
  <r>
    <n v="8209656951"/>
    <s v="10"/>
    <x v="8"/>
    <d v="2026-10-12T09:25:30"/>
    <s v=""/>
    <s v="UNIDAD"/>
    <n v="1"/>
    <s v="PENDIENTE APROBACION  ENVIO TMS"/>
    <s v="000000008209656951"/>
    <x v="1"/>
    <x v="0"/>
    <s v="APROBAR"/>
    <n v="1"/>
    <e v="#N/A"/>
  </r>
  <r>
    <n v="1209657073"/>
    <s v="14"/>
    <x v="11"/>
    <d v="2026-10-12T09:25:31"/>
    <s v=""/>
    <s v="CAJA"/>
    <n v="32"/>
    <s v="PENDIENTE APROBACION  ENVIO TMS"/>
    <s v="000000001209657073"/>
    <x v="2"/>
    <x v="1"/>
    <s v="APROBAR"/>
    <n v="1"/>
    <e v="#N/A"/>
  </r>
  <r>
    <n v="8209657028"/>
    <s v="13"/>
    <x v="9"/>
    <d v="2026-10-12T09:25:32"/>
    <s v=""/>
    <s v="UNIDAD"/>
    <n v="1"/>
    <s v="PENDIENTE APROBACION  ENVIO TMS"/>
    <s v="000000008209657028"/>
    <x v="1"/>
    <x v="2"/>
    <s v="APROBAR"/>
    <n v="1"/>
    <e v="#N/A"/>
  </r>
  <r>
    <n v="1209657070"/>
    <s v="14"/>
    <x v="11"/>
    <d v="2026-10-12T09:25:33"/>
    <s v=""/>
    <s v="CAJA"/>
    <n v="5"/>
    <s v="PENDIENTE APROBACION  ENVIO TMS"/>
    <s v="000000001209657070"/>
    <x v="2"/>
    <x v="1"/>
    <s v="APROBAR"/>
    <n v="1"/>
    <e v="#N/A"/>
  </r>
  <r>
    <n v="1209656998"/>
    <s v="12"/>
    <x v="13"/>
    <d v="2026-10-12T09:25:34"/>
    <s v=""/>
    <s v="CAJA"/>
    <n v="8"/>
    <s v="PENDIENTE APROBACION  ENVIO TMS"/>
    <s v="000000001209656998"/>
    <x v="2"/>
    <x v="2"/>
    <s v="APROBAR"/>
    <n v="1"/>
    <e v="#N/A"/>
  </r>
  <r>
    <n v="1209656999"/>
    <s v="12"/>
    <x v="13"/>
    <d v="2026-10-12T09:25:36"/>
    <s v=""/>
    <s v="UNIDAD"/>
    <n v="18"/>
    <s v="PENDIENTE APROBACION  ENVIO TMS"/>
    <s v="000000001209656999"/>
    <x v="2"/>
    <x v="2"/>
    <s v="APROBAR"/>
    <n v="1"/>
    <e v="#N/A"/>
  </r>
  <r>
    <n v="1209657000"/>
    <s v="12"/>
    <x v="13"/>
    <d v="2026-10-12T09:25:37"/>
    <s v=""/>
    <s v="CAJA"/>
    <n v="13"/>
    <s v="PENDIENTE APROBACION  ENVIO TMS"/>
    <s v="000000001209657000"/>
    <x v="2"/>
    <x v="2"/>
    <s v="APROBAR"/>
    <n v="1"/>
    <e v="#N/A"/>
  </r>
  <r>
    <n v="1209656978"/>
    <s v="11"/>
    <x v="10"/>
    <d v="2026-10-12T09:25:38"/>
    <s v=""/>
    <s v="PACK"/>
    <n v="14"/>
    <s v="PENDIENTE APROBACION  ENVIO TMS"/>
    <s v="000000001209656978"/>
    <x v="2"/>
    <x v="2"/>
    <s v="APROBAR"/>
    <n v="1"/>
    <e v="#N/A"/>
  </r>
  <r>
    <n v="1209657035"/>
    <s v="13"/>
    <x v="9"/>
    <d v="2026-10-12T09:25:39"/>
    <s v=""/>
    <s v="CAJA"/>
    <n v="8"/>
    <s v="PENDIENTE APROBACION  ENVIO TMS"/>
    <s v="000000001209657035"/>
    <x v="2"/>
    <x v="2"/>
    <s v="APROBAR"/>
    <n v="1"/>
    <e v="#N/A"/>
  </r>
  <r>
    <n v="8209657075"/>
    <s v="14"/>
    <x v="11"/>
    <d v="2026-10-12T09:25:40"/>
    <s v=""/>
    <s v="UNIDAD"/>
    <n v="3"/>
    <s v="PENDIENTE APROBACION  ENVIO TMS"/>
    <s v="000000008209657075"/>
    <x v="1"/>
    <x v="1"/>
    <s v="APROBAR"/>
    <n v="1"/>
    <e v="#N/A"/>
  </r>
  <r>
    <n v="1209656947"/>
    <s v="10"/>
    <x v="8"/>
    <d v="2026-10-12T09:25:42"/>
    <s v=""/>
    <s v="CAJA"/>
    <n v="17"/>
    <s v="PENDIENTE APROBACION  ENVIO TMS"/>
    <s v="000000001209656947"/>
    <x v="2"/>
    <x v="0"/>
    <s v="APROBAR"/>
    <n v="1"/>
    <e v="#N/A"/>
  </r>
  <r>
    <n v="1209656979"/>
    <s v="11"/>
    <x v="10"/>
    <d v="2026-10-12T09:25:43"/>
    <s v=""/>
    <s v="CAJA"/>
    <n v="14"/>
    <s v="PENDIENTE APROBACION  ENVIO TMS"/>
    <s v="000000001209656979"/>
    <x v="2"/>
    <x v="2"/>
    <s v="APROBAR"/>
    <n v="1"/>
    <e v="#N/A"/>
  </r>
  <r>
    <n v="1209657004"/>
    <s v="12"/>
    <x v="13"/>
    <d v="2026-10-12T09:25:44"/>
    <s v=""/>
    <s v="CAJA"/>
    <n v="20"/>
    <s v="PENDIENTE APROBACION  ENVIO TMS"/>
    <s v="000000001209657004"/>
    <x v="2"/>
    <x v="2"/>
    <s v="APROBAR"/>
    <n v="1"/>
    <e v="#N/A"/>
  </r>
  <r>
    <n v="8209657043"/>
    <s v="13"/>
    <x v="9"/>
    <d v="2026-10-12T09:25:45"/>
    <s v=""/>
    <s v="UNIDAD"/>
    <n v="2"/>
    <s v="PENDIENTE APROBACION  ENVIO TMS"/>
    <s v="000000008209657043"/>
    <x v="1"/>
    <x v="2"/>
    <s v="APROBAR"/>
    <n v="1"/>
    <e v="#N/A"/>
  </r>
  <r>
    <n v="1209657106"/>
    <s v="16"/>
    <x v="12"/>
    <d v="2026-10-12T09:25:46"/>
    <s v=""/>
    <s v="PACK"/>
    <n v="3"/>
    <s v="PENDIENTE APROBACION  ENVIO TMS"/>
    <s v="000000001209657106"/>
    <x v="2"/>
    <x v="2"/>
    <s v="APROBAR"/>
    <n v="1"/>
    <e v="#N/A"/>
  </r>
  <r>
    <n v="1209657109"/>
    <s v="16"/>
    <x v="12"/>
    <d v="2026-10-12T09:25:47"/>
    <s v=""/>
    <s v="CAJA"/>
    <n v="18"/>
    <s v="PENDIENTE APROBACION  ENVIO TMS"/>
    <s v="000000001209657109"/>
    <x v="2"/>
    <x v="2"/>
    <s v="APROBAR"/>
    <n v="1"/>
    <e v="#N/A"/>
  </r>
  <r>
    <n v="1209657226"/>
    <s v="26"/>
    <x v="14"/>
    <d v="2026-10-12T09:28:52"/>
    <s v=""/>
    <s v="CAJA"/>
    <n v="16"/>
    <s v="PENDIENTE APROBACION  ENVIO TMS"/>
    <s v="000000001209657226"/>
    <x v="2"/>
    <x v="2"/>
    <s v="APROBAR"/>
    <n v="1"/>
    <e v="#N/A"/>
  </r>
  <r>
    <n v="1209657249"/>
    <s v="27"/>
    <x v="15"/>
    <d v="2026-10-12T09:28:53"/>
    <s v=""/>
    <s v="CAJA"/>
    <n v="22"/>
    <s v="PENDIENTE APROBACION  ENVIO TMS"/>
    <s v="000000001209657249"/>
    <x v="2"/>
    <x v="2"/>
    <s v="APROBAR"/>
    <n v="1"/>
    <e v="#N/A"/>
  </r>
  <r>
    <n v="1209657276"/>
    <s v="28"/>
    <x v="16"/>
    <d v="2026-10-12T09:28:53"/>
    <s v=""/>
    <s v="PACK"/>
    <n v="42"/>
    <s v="PENDIENTE APROBACION  ENVIO TMS"/>
    <s v="000000001209657276"/>
    <x v="2"/>
    <x v="2"/>
    <s v="APROBAR"/>
    <n v="1"/>
    <e v="#N/A"/>
  </r>
  <r>
    <n v="1209657236"/>
    <s v="26"/>
    <x v="14"/>
    <d v="2026-10-12T09:28:55"/>
    <s v=""/>
    <s v="CAJA"/>
    <n v="4"/>
    <s v="PENDIENTE APROBACION  ENVIO TMS"/>
    <s v="000000001209657236"/>
    <x v="2"/>
    <x v="2"/>
    <s v="APROBAR"/>
    <n v="1"/>
    <e v="#N/A"/>
  </r>
  <r>
    <n v="8209657264"/>
    <s v="28"/>
    <x v="16"/>
    <d v="2026-10-12T09:28:56"/>
    <s v=""/>
    <s v="UNIDAD"/>
    <n v="4"/>
    <s v="PENDIENTE APROBACION  ENVIO TMS"/>
    <s v="000000008209657264"/>
    <x v="1"/>
    <x v="2"/>
    <s v="APROBAR"/>
    <n v="1"/>
    <e v="#N/A"/>
  </r>
  <r>
    <n v="8209657199"/>
    <s v="25"/>
    <x v="17"/>
    <d v="2026-10-12T09:28:58"/>
    <s v=""/>
    <s v="UNIDAD"/>
    <n v="1"/>
    <s v="PENDIENTE APROBACION  ENVIO TMS"/>
    <s v="000000008209657199"/>
    <x v="1"/>
    <x v="1"/>
    <s v="APROBAR"/>
    <n v="1"/>
    <e v="#N/A"/>
  </r>
  <r>
    <n v="1209657224"/>
    <s v="26"/>
    <x v="14"/>
    <d v="2026-10-12T09:28:59"/>
    <s v=""/>
    <s v="CAJA"/>
    <n v="10"/>
    <s v="PENDIENTE APROBACION  ENVIO TMS"/>
    <s v="000000001209657224"/>
    <x v="2"/>
    <x v="2"/>
    <s v="APROBAR"/>
    <n v="1"/>
    <e v="#N/A"/>
  </r>
  <r>
    <n v="1209657272"/>
    <s v="28"/>
    <x v="16"/>
    <d v="2026-10-12T09:28:59"/>
    <s v=""/>
    <s v="PACK"/>
    <n v="16"/>
    <s v="PENDIENTE APROBACION  ENVIO TMS"/>
    <s v="000000001209657272"/>
    <x v="2"/>
    <x v="2"/>
    <s v="APROBAR"/>
    <n v="1"/>
    <e v="#N/A"/>
  </r>
  <r>
    <n v="1209657242"/>
    <s v="27"/>
    <x v="15"/>
    <d v="2026-10-12T09:29:01"/>
    <s v=""/>
    <s v="CAJA"/>
    <n v="2"/>
    <s v="PENDIENTE APROBACION  ENVIO TMS"/>
    <s v="000000001209657242"/>
    <x v="2"/>
    <x v="2"/>
    <s v="APROBAR"/>
    <n v="1"/>
    <e v="#N/A"/>
  </r>
  <r>
    <n v="1209657180"/>
    <s v="22"/>
    <x v="18"/>
    <d v="2026-10-12T09:29:02"/>
    <s v=""/>
    <s v="CAJA"/>
    <n v="3"/>
    <s v="PENDIENTE APROBACION  ENVIO TMS"/>
    <s v="000000001209657180"/>
    <x v="2"/>
    <x v="1"/>
    <s v="APROBAR"/>
    <n v="1"/>
    <e v="#N/A"/>
  </r>
  <r>
    <n v="1209657181"/>
    <s v="22"/>
    <x v="18"/>
    <d v="2026-10-12T09:29:04"/>
    <s v=""/>
    <s v="CAJA"/>
    <n v="6"/>
    <s v="PENDIENTE APROBACION  ENVIO TMS"/>
    <s v="000000001209657181"/>
    <x v="2"/>
    <x v="1"/>
    <s v="APROBAR"/>
    <n v="1"/>
    <e v="#N/A"/>
  </r>
  <r>
    <n v="1209657165"/>
    <s v="21"/>
    <x v="19"/>
    <d v="2026-10-12T09:29:04"/>
    <s v=""/>
    <s v="CAJA"/>
    <n v="34"/>
    <s v="PENDIENTE APROBACION  ENVIO TMS"/>
    <s v="000000001209657165"/>
    <x v="2"/>
    <x v="1"/>
    <s v="APROBAR"/>
    <n v="1"/>
    <e v="#N/A"/>
  </r>
  <r>
    <n v="8209657123"/>
    <s v="17"/>
    <x v="20"/>
    <d v="2026-10-12T09:29:05"/>
    <s v=""/>
    <s v="UNIDAD"/>
    <n v="5"/>
    <s v="PENDIENTE APROBACION  ENVIO TMS"/>
    <s v="000000008209657123"/>
    <x v="1"/>
    <x v="1"/>
    <s v="APROBAR"/>
    <n v="1"/>
    <e v="#N/A"/>
  </r>
  <r>
    <n v="1209657124"/>
    <s v="17"/>
    <x v="20"/>
    <d v="2026-10-12T09:29:07"/>
    <s v=""/>
    <s v="PACK"/>
    <n v="1"/>
    <s v="PENDIENTE APROBACION  ENVIO TMS"/>
    <s v="000000001209657124"/>
    <x v="2"/>
    <x v="1"/>
    <s v="APROBAR"/>
    <n v="1"/>
    <e v="#N/A"/>
  </r>
  <r>
    <n v="1209657132"/>
    <s v="17"/>
    <x v="20"/>
    <d v="2026-10-12T09:29:08"/>
    <s v=""/>
    <s v="PACK"/>
    <n v="22"/>
    <s v="PENDIENTE APROBACION  ENVIO TMS"/>
    <s v="000000001209657132"/>
    <x v="2"/>
    <x v="1"/>
    <s v="APROBAR"/>
    <n v="1"/>
    <e v="#N/A"/>
  </r>
  <r>
    <n v="1209657245"/>
    <s v="27"/>
    <x v="15"/>
    <d v="2026-10-12T09:29:10"/>
    <s v=""/>
    <s v="CAJA"/>
    <n v="9"/>
    <s v="PENDIENTE APROBACION  ENVIO TMS"/>
    <s v="000000001209657245"/>
    <x v="2"/>
    <x v="2"/>
    <s v="APROBAR"/>
    <n v="1"/>
    <e v="#N/A"/>
  </r>
  <r>
    <n v="1209657274"/>
    <s v="28"/>
    <x v="16"/>
    <d v="2026-10-12T09:29:10"/>
    <s v=""/>
    <s v="CAJA"/>
    <n v="16"/>
    <s v="PENDIENTE APROBACION  ENVIO TMS"/>
    <s v="000000001209657274"/>
    <x v="2"/>
    <x v="2"/>
    <s v="APROBAR"/>
    <n v="1"/>
    <e v="#N/A"/>
  </r>
  <r>
    <n v="8209657263"/>
    <s v="28"/>
    <x v="16"/>
    <d v="2026-10-12T09:29:12"/>
    <s v=""/>
    <s v="UNIDAD"/>
    <n v="1"/>
    <s v="PENDIENTE APROBACION  ENVIO TMS"/>
    <s v="000000008209657263"/>
    <x v="1"/>
    <x v="2"/>
    <s v="APROBAR"/>
    <n v="1"/>
    <e v="#N/A"/>
  </r>
  <r>
    <n v="1209657204"/>
    <s v="25"/>
    <x v="17"/>
    <d v="2026-10-12T09:29:13"/>
    <s v=""/>
    <s v="CAJA"/>
    <n v="7"/>
    <s v="PENDIENTE APROBACION  ENVIO TMS"/>
    <s v="000000001209657204"/>
    <x v="2"/>
    <x v="1"/>
    <s v="APROBAR"/>
    <n v="1"/>
    <e v="#N/A"/>
  </r>
  <r>
    <n v="8209657223"/>
    <s v="26"/>
    <x v="14"/>
    <d v="2026-10-12T09:29:14"/>
    <s v=""/>
    <s v="UNIDAD"/>
    <n v="5"/>
    <s v="PENDIENTE APROBACION  ENVIO TMS"/>
    <s v="000000008209657223"/>
    <x v="1"/>
    <x v="2"/>
    <s v="APROBAR"/>
    <n v="1"/>
    <e v="#N/A"/>
  </r>
  <r>
    <n v="8209657240"/>
    <s v="27"/>
    <x v="15"/>
    <d v="2026-10-12T09:29:16"/>
    <s v=""/>
    <s v="UNIDAD"/>
    <n v="1"/>
    <s v="PENDIENTE APROBACION  ENVIO TMS"/>
    <s v="000000008209657240"/>
    <x v="1"/>
    <x v="2"/>
    <s v="APROBAR"/>
    <n v="1"/>
    <e v="#N/A"/>
  </r>
  <r>
    <n v="8209657241"/>
    <s v="27"/>
    <x v="15"/>
    <d v="2026-10-12T09:29:16"/>
    <s v=""/>
    <s v="UNIDAD"/>
    <n v="5"/>
    <s v="PENDIENTE APROBACION  ENVIO TMS"/>
    <s v="000000008209657241"/>
    <x v="1"/>
    <x v="2"/>
    <s v="APROBAR"/>
    <n v="1"/>
    <e v="#N/A"/>
  </r>
  <r>
    <n v="1209657244"/>
    <s v="27"/>
    <x v="15"/>
    <d v="2026-10-12T09:29:17"/>
    <s v=""/>
    <s v="CAJA"/>
    <n v="4"/>
    <s v="PENDIENTE APROBACION  ENVIO TMS"/>
    <s v="000000001209657244"/>
    <x v="2"/>
    <x v="2"/>
    <s v="APROBAR"/>
    <n v="1"/>
    <e v="#N/A"/>
  </r>
  <r>
    <n v="1209657273"/>
    <s v="28"/>
    <x v="16"/>
    <d v="2026-10-12T09:29:19"/>
    <s v=""/>
    <s v="CAJA"/>
    <n v="19"/>
    <s v="PENDIENTE APROBACION  ENVIO TMS"/>
    <s v="000000001209657273"/>
    <x v="2"/>
    <x v="2"/>
    <s v="APROBAR"/>
    <n v="1"/>
    <e v="#N/A"/>
  </r>
  <r>
    <n v="8209657151"/>
    <s v="21"/>
    <x v="19"/>
    <d v="2026-10-12T09:29:20"/>
    <s v=""/>
    <s v="UNIDAD"/>
    <n v="3"/>
    <s v="PENDIENTE APROBACION  ENVIO TMS"/>
    <s v="000000008209657151"/>
    <x v="1"/>
    <x v="1"/>
    <s v="APROBAR"/>
    <n v="1"/>
    <e v="#N/A"/>
  </r>
  <r>
    <n v="1209657160"/>
    <s v="21"/>
    <x v="19"/>
    <d v="2026-10-12T09:29:21"/>
    <s v=""/>
    <s v="CAJA"/>
    <n v="11"/>
    <s v="PENDIENTE APROBACION  ENVIO TMS"/>
    <s v="000000001209657160"/>
    <x v="2"/>
    <x v="1"/>
    <s v="APROBAR"/>
    <n v="1"/>
    <e v="#N/A"/>
  </r>
  <r>
    <n v="1209657164"/>
    <s v="21"/>
    <x v="19"/>
    <d v="2026-10-12T09:29:22"/>
    <s v=""/>
    <s v="PACK"/>
    <n v="29"/>
    <s v="PENDIENTE APROBACION  ENVIO TMS"/>
    <s v="000000001209657164"/>
    <x v="2"/>
    <x v="1"/>
    <s v="APROBAR"/>
    <n v="1"/>
    <e v="#N/A"/>
  </r>
  <r>
    <n v="1209657183"/>
    <s v="22"/>
    <x v="18"/>
    <d v="2026-10-12T09:29:23"/>
    <s v=""/>
    <s v="CAJA"/>
    <n v="8"/>
    <s v="PENDIENTE APROBACION  ENVIO TMS"/>
    <s v="000000001209657183"/>
    <x v="2"/>
    <x v="1"/>
    <s v="APROBAR"/>
    <n v="1"/>
    <e v="#N/A"/>
  </r>
  <r>
    <n v="1209657139"/>
    <s v="17"/>
    <x v="20"/>
    <d v="2026-10-12T09:29:24"/>
    <s v=""/>
    <s v="PACK"/>
    <n v="11"/>
    <s v="PENDIENTE APROBACION  ENVIO TMS"/>
    <s v="000000001209657139"/>
    <x v="2"/>
    <x v="1"/>
    <s v="APROBAR"/>
    <n v="1"/>
    <e v="#N/A"/>
  </r>
  <r>
    <n v="1209657130"/>
    <s v="17"/>
    <x v="20"/>
    <d v="2026-10-12T09:29:26"/>
    <s v=""/>
    <s v="CAJA"/>
    <n v="7"/>
    <s v="PENDIENTE APROBACION  ENVIO TMS"/>
    <s v="000000001209657130"/>
    <x v="2"/>
    <x v="1"/>
    <s v="APROBAR"/>
    <n v="1"/>
    <e v="#N/A"/>
  </r>
  <r>
    <n v="1209657250"/>
    <s v="27"/>
    <x v="15"/>
    <d v="2026-10-12T09:29:27"/>
    <s v=""/>
    <s v="PACK"/>
    <n v="21"/>
    <s v="PENDIENTE APROBACION  ENVIO TMS"/>
    <s v="000000001209657250"/>
    <x v="2"/>
    <x v="2"/>
    <s v="APROBAR"/>
    <n v="1"/>
    <e v="#N/A"/>
  </r>
  <r>
    <n v="8209657265"/>
    <s v="28"/>
    <x v="16"/>
    <d v="2026-10-12T09:29:28"/>
    <s v=""/>
    <s v="UNIDAD"/>
    <n v="1"/>
    <s v="PENDIENTE APROBACION  ENVIO TMS"/>
    <s v="000000008209657265"/>
    <x v="1"/>
    <x v="2"/>
    <s v="APROBAR"/>
    <n v="1"/>
    <e v="#N/A"/>
  </r>
  <r>
    <n v="8209657266"/>
    <s v="28"/>
    <x v="16"/>
    <d v="2026-10-12T09:29:29"/>
    <s v=""/>
    <s v="UNIDAD"/>
    <n v="52"/>
    <s v="PENDIENTE APROBACION  ENVIO TMS"/>
    <s v="000000008209657266"/>
    <x v="1"/>
    <x v="2"/>
    <s v="APROBAR"/>
    <n v="1"/>
    <e v="#N/A"/>
  </r>
  <r>
    <n v="1209657237"/>
    <s v="26"/>
    <x v="14"/>
    <d v="2026-10-12T09:29:31"/>
    <s v=""/>
    <s v="CAJA"/>
    <n v="33"/>
    <s v="PENDIENTE APROBACION  ENVIO TMS"/>
    <s v="000000001209657237"/>
    <x v="2"/>
    <x v="2"/>
    <s v="APROBAR"/>
    <n v="1"/>
    <e v="#N/A"/>
  </r>
  <r>
    <n v="1209657206"/>
    <s v="25"/>
    <x v="17"/>
    <d v="2026-10-12T09:29:32"/>
    <s v=""/>
    <s v="CAJA"/>
    <n v="12"/>
    <s v="PENDIENTE APROBACION  ENVIO TMS"/>
    <s v="000000001209657206"/>
    <x v="2"/>
    <x v="1"/>
    <s v="APROBAR"/>
    <n v="1"/>
    <e v="#N/A"/>
  </r>
  <r>
    <n v="1209657187"/>
    <s v="22"/>
    <x v="18"/>
    <d v="2026-10-12T09:29:33"/>
    <s v=""/>
    <s v="CAJA"/>
    <n v="41"/>
    <s v="PENDIENTE APROBACION  ENVIO TMS"/>
    <s v="000000001209657187"/>
    <x v="2"/>
    <x v="1"/>
    <s v="APROBAR"/>
    <n v="1"/>
    <e v="#N/A"/>
  </r>
  <r>
    <n v="8209657152"/>
    <s v="21"/>
    <x v="19"/>
    <d v="2026-10-12T09:29:34"/>
    <s v=""/>
    <s v="UNIDAD"/>
    <n v="5"/>
    <s v="PENDIENTE APROBACION  ENVIO TMS"/>
    <s v="000000008209657152"/>
    <x v="1"/>
    <x v="1"/>
    <s v="APROBAR"/>
    <n v="1"/>
    <e v="#N/A"/>
  </r>
  <r>
    <n v="1209657157"/>
    <s v="21"/>
    <x v="19"/>
    <d v="2026-10-12T09:29:35"/>
    <s v=""/>
    <s v="CAJA"/>
    <n v="5"/>
    <s v="PENDIENTE APROBACION  ENVIO TMS"/>
    <s v="000000001209657157"/>
    <x v="2"/>
    <x v="1"/>
    <s v="APROBAR"/>
    <n v="1"/>
    <e v="#N/A"/>
  </r>
  <r>
    <n v="1209657158"/>
    <s v="21"/>
    <x v="19"/>
    <d v="2026-10-12T09:29:36"/>
    <s v=""/>
    <s v="CAJA"/>
    <n v="7"/>
    <s v="PENDIENTE APROBACION  ENVIO TMS"/>
    <s v="000000001209657158"/>
    <x v="2"/>
    <x v="1"/>
    <s v="APROBAR"/>
    <n v="1"/>
    <e v="#N/A"/>
  </r>
  <r>
    <n v="1209657179"/>
    <s v="22"/>
    <x v="18"/>
    <d v="2026-10-12T09:29:38"/>
    <s v=""/>
    <s v="CAJA"/>
    <n v="1"/>
    <s v="PENDIENTE APROBACION  ENVIO TMS"/>
    <s v="000000001209657179"/>
    <x v="2"/>
    <x v="1"/>
    <s v="APROBAR"/>
    <n v="1"/>
    <e v="#N/A"/>
  </r>
  <r>
    <n v="8209657121"/>
    <s v="17"/>
    <x v="20"/>
    <d v="2026-10-12T09:29:39"/>
    <s v=""/>
    <s v="UNIDAD"/>
    <n v="1"/>
    <s v="PENDIENTE APROBACION  ENVIO TMS"/>
    <s v="000000008209657121"/>
    <x v="1"/>
    <x v="1"/>
    <s v="APROBAR"/>
    <n v="1"/>
    <e v="#N/A"/>
  </r>
  <r>
    <n v="1209657129"/>
    <s v="17"/>
    <x v="20"/>
    <d v="2026-10-12T09:29:40"/>
    <s v=""/>
    <s v="CAJA"/>
    <n v="8"/>
    <s v="PENDIENTE APROBACION  ENVIO TMS"/>
    <s v="000000001209657129"/>
    <x v="2"/>
    <x v="1"/>
    <s v="APROBAR"/>
    <n v="1"/>
    <e v="#N/A"/>
  </r>
  <r>
    <n v="1209657246"/>
    <s v="27"/>
    <x v="15"/>
    <d v="2026-10-12T09:29:41"/>
    <s v=""/>
    <s v="CAJA"/>
    <n v="11"/>
    <s v="PENDIENTE APROBACION  ENVIO TMS"/>
    <s v="000000001209657246"/>
    <x v="2"/>
    <x v="2"/>
    <s v="APROBAR"/>
    <n v="1"/>
    <e v="#N/A"/>
  </r>
  <r>
    <n v="1209657227"/>
    <s v="26"/>
    <x v="14"/>
    <d v="2026-10-12T09:29:42"/>
    <s v=""/>
    <s v="CAJA"/>
    <n v="12"/>
    <s v="PENDIENTE APROBACION  ENVIO TMS"/>
    <s v="000000001209657227"/>
    <x v="2"/>
    <x v="2"/>
    <s v="APROBAR"/>
    <n v="1"/>
    <e v="#N/A"/>
  </r>
  <r>
    <n v="1209657270"/>
    <s v="28"/>
    <x v="16"/>
    <d v="2026-10-12T09:29:44"/>
    <s v=""/>
    <s v="PACK"/>
    <n v="10"/>
    <s v="PENDIENTE APROBACION  ENVIO TMS"/>
    <s v="000000001209657270"/>
    <x v="2"/>
    <x v="2"/>
    <s v="APROBAR"/>
    <n v="1"/>
    <e v="#N/A"/>
  </r>
  <r>
    <n v="1209657205"/>
    <s v="25"/>
    <x v="17"/>
    <d v="2026-10-12T09:29:45"/>
    <s v=""/>
    <s v="CAJA"/>
    <n v="11"/>
    <s v="PENDIENTE APROBACION  ENVIO TMS"/>
    <s v="000000001209657205"/>
    <x v="2"/>
    <x v="1"/>
    <s v="APROBAR"/>
    <n v="1"/>
    <e v="#N/A"/>
  </r>
  <r>
    <n v="8209657153"/>
    <s v="21"/>
    <x v="19"/>
    <d v="2026-10-12T09:29:45"/>
    <s v=""/>
    <s v="UNIDAD"/>
    <n v="2"/>
    <s v="PENDIENTE APROBACION  ENVIO TMS"/>
    <s v="000000008209657153"/>
    <x v="1"/>
    <x v="1"/>
    <s v="APROBAR"/>
    <n v="1"/>
    <e v="#N/A"/>
  </r>
  <r>
    <n v="8209657177"/>
    <s v="22"/>
    <x v="18"/>
    <d v="2026-10-12T09:29:47"/>
    <s v=""/>
    <s v="UNIDAD"/>
    <n v="5"/>
    <s v="PENDIENTE APROBACION  ENVIO TMS"/>
    <s v="000000008209657177"/>
    <x v="1"/>
    <x v="1"/>
    <s v="APROBAR"/>
    <n v="1"/>
    <e v="#N/A"/>
  </r>
  <r>
    <n v="1209657182"/>
    <s v="22"/>
    <x v="18"/>
    <d v="2026-10-12T09:29:48"/>
    <s v=""/>
    <s v="CAJA"/>
    <n v="7"/>
    <s v="PENDIENTE APROBACION  ENVIO TMS"/>
    <s v="000000001209657182"/>
    <x v="2"/>
    <x v="1"/>
    <s v="APROBAR"/>
    <n v="1"/>
    <e v="#N/A"/>
  </r>
  <r>
    <n v="1209657210"/>
    <s v="25"/>
    <x v="17"/>
    <d v="2026-10-12T09:29:50"/>
    <s v=""/>
    <s v="CAJA"/>
    <n v="35"/>
    <s v="PENDIENTE APROBACION  ENVIO TMS"/>
    <s v="000000001209657210"/>
    <x v="2"/>
    <x v="1"/>
    <s v="APROBAR"/>
    <n v="1"/>
    <e v="#N/A"/>
  </r>
  <r>
    <n v="8209657219"/>
    <s v="26"/>
    <x v="14"/>
    <d v="2026-10-12T09:29:51"/>
    <s v=""/>
    <s v="UNIDAD"/>
    <n v="5"/>
    <s v="PENDIENTE APROBACION  ENVIO TMS"/>
    <s v="000000008209657219"/>
    <x v="1"/>
    <x v="2"/>
    <s v="APROBAR"/>
    <n v="1"/>
    <e v="#N/A"/>
  </r>
  <r>
    <n v="8209657200"/>
    <s v="25"/>
    <x v="17"/>
    <d v="2026-10-12T09:29:52"/>
    <s v=""/>
    <s v="UNIDAD"/>
    <n v="4"/>
    <s v="PENDIENTE APROBACION  ENVIO TMS"/>
    <s v="000000008209657200"/>
    <x v="1"/>
    <x v="1"/>
    <s v="APROBAR"/>
    <n v="1"/>
    <e v="#N/A"/>
  </r>
  <r>
    <n v="1209657238"/>
    <s v="26"/>
    <x v="14"/>
    <d v="2026-10-12T09:29:53"/>
    <s v=""/>
    <s v="CAJA"/>
    <n v="36"/>
    <s v="PENDIENTE APROBACION  ENVIO TMS"/>
    <s v="000000001209657238"/>
    <x v="2"/>
    <x v="2"/>
    <s v="APROBAR"/>
    <n v="1"/>
    <e v="#N/A"/>
  </r>
  <r>
    <n v="1209657243"/>
    <s v="27"/>
    <x v="15"/>
    <d v="2026-10-12T09:29:54"/>
    <s v=""/>
    <s v="CAJA"/>
    <n v="6"/>
    <s v="PENDIENTE APROBACION  ENVIO TMS"/>
    <s v="000000001209657243"/>
    <x v="2"/>
    <x v="2"/>
    <s v="APROBAR"/>
    <n v="1"/>
    <e v="#N/A"/>
  </r>
  <r>
    <n v="1209657186"/>
    <s v="22"/>
    <x v="18"/>
    <d v="2026-10-12T09:29:56"/>
    <s v=""/>
    <s v="PACK"/>
    <n v="26"/>
    <s v="PENDIENTE APROBACION  ENVIO TMS"/>
    <s v="000000001209657186"/>
    <x v="2"/>
    <x v="1"/>
    <s v="APROBAR"/>
    <n v="1"/>
    <e v="#N/A"/>
  </r>
  <r>
    <n v="8209657154"/>
    <s v="21"/>
    <x v="19"/>
    <d v="2026-10-12T09:29:57"/>
    <s v=""/>
    <s v="UNIDAD"/>
    <n v="7"/>
    <s v="PENDIENTE APROBACION  ENVIO TMS"/>
    <s v="000000008209657154"/>
    <x v="1"/>
    <x v="1"/>
    <s v="APROBAR"/>
    <n v="1"/>
    <e v="#N/A"/>
  </r>
  <r>
    <n v="8209657155"/>
    <s v="21"/>
    <x v="19"/>
    <d v="2026-10-12T09:29:58"/>
    <s v=""/>
    <s v="UNIDAD"/>
    <n v="5"/>
    <s v="PENDIENTE APROBACION  ENVIO TMS"/>
    <s v="000000008209657155"/>
    <x v="1"/>
    <x v="1"/>
    <s v="APROBAR"/>
    <n v="1"/>
    <e v="#N/A"/>
  </r>
  <r>
    <n v="1209657156"/>
    <s v="21"/>
    <x v="19"/>
    <d v="2026-10-12T09:29:59"/>
    <s v=""/>
    <s v="CAJA"/>
    <n v="1"/>
    <s v="PENDIENTE APROBACION  ENVIO TMS"/>
    <s v="000000001209657156"/>
    <x v="2"/>
    <x v="1"/>
    <s v="APROBAR"/>
    <n v="1"/>
    <e v="#N/A"/>
  </r>
  <r>
    <n v="1209657163"/>
    <s v="21"/>
    <x v="19"/>
    <d v="2026-10-12T09:30:00"/>
    <s v=""/>
    <s v="CAJA"/>
    <n v="14"/>
    <s v="PENDIENTE APROBACION  ENVIO TMS"/>
    <s v="000000001209657163"/>
    <x v="2"/>
    <x v="1"/>
    <s v="APROBAR"/>
    <n v="1"/>
    <e v="#N/A"/>
  </r>
  <r>
    <n v="1209657185"/>
    <s v="22"/>
    <x v="18"/>
    <d v="2026-10-12T09:30:02"/>
    <s v=""/>
    <s v="CAJA"/>
    <n v="7"/>
    <s v="PENDIENTE APROBACION  ENVIO TMS"/>
    <s v="000000001209657185"/>
    <x v="2"/>
    <x v="1"/>
    <s v="APROBAR"/>
    <n v="1"/>
    <e v="#N/A"/>
  </r>
  <r>
    <n v="8209657118"/>
    <s v="17"/>
    <x v="20"/>
    <d v="2026-10-12T09:30:03"/>
    <s v=""/>
    <s v="UNIDAD"/>
    <n v="1"/>
    <s v="PENDIENTE APROBACION  ENVIO TMS"/>
    <s v="000000008209657118"/>
    <x v="1"/>
    <x v="1"/>
    <s v="APROBAR"/>
    <n v="1"/>
    <e v="#N/A"/>
  </r>
  <r>
    <n v="8209657122"/>
    <s v="17"/>
    <x v="20"/>
    <d v="2026-10-12T09:30:03"/>
    <s v=""/>
    <s v="UNIDAD"/>
    <n v="1"/>
    <s v="PENDIENTE APROBACION  ENVIO TMS"/>
    <s v="000000008209657122"/>
    <x v="1"/>
    <x v="1"/>
    <s v="APROBAR"/>
    <n v="1"/>
    <e v="#N/A"/>
  </r>
  <r>
    <n v="1209657126"/>
    <s v="17"/>
    <x v="20"/>
    <d v="2026-10-12T09:30:05"/>
    <s v=""/>
    <s v="CAJA"/>
    <n v="6"/>
    <s v="PENDIENTE APROBACION  ENVIO TMS"/>
    <s v="000000001209657126"/>
    <x v="2"/>
    <x v="1"/>
    <s v="APROBAR"/>
    <n v="1"/>
    <e v="#N/A"/>
  </r>
  <r>
    <n v="1209657208"/>
    <s v="25"/>
    <x v="17"/>
    <d v="2026-10-12T09:30:06"/>
    <s v=""/>
    <s v="CAJA"/>
    <n v="31"/>
    <s v="PENDIENTE APROBACION  ENVIO TMS"/>
    <s v="000000001209657208"/>
    <x v="2"/>
    <x v="1"/>
    <s v="APROBAR"/>
    <n v="1"/>
    <e v="#N/A"/>
  </r>
  <r>
    <n v="1209657209"/>
    <s v="25"/>
    <x v="17"/>
    <d v="2026-10-12T09:30:08"/>
    <s v=""/>
    <s v="PACK"/>
    <n v="40"/>
    <s v="PENDIENTE APROBACION  ENVIO TMS"/>
    <s v="000000001209657209"/>
    <x v="2"/>
    <x v="1"/>
    <s v="APROBAR"/>
    <n v="1"/>
    <e v="#N/A"/>
  </r>
  <r>
    <n v="1209657277"/>
    <s v="28"/>
    <x v="16"/>
    <d v="2026-10-12T09:30:08"/>
    <s v=""/>
    <s v="CAJA"/>
    <n v="55"/>
    <s v="PENDIENTE APROBACION  ENVIO TMS"/>
    <s v="000000001209657277"/>
    <x v="2"/>
    <x v="2"/>
    <s v="APROBAR"/>
    <n v="1"/>
    <e v="#N/A"/>
  </r>
  <r>
    <n v="1209657159"/>
    <s v="21"/>
    <x v="19"/>
    <d v="2026-10-12T09:30:09"/>
    <s v=""/>
    <s v="PACK"/>
    <n v="7"/>
    <s v="PENDIENTE APROBACION  ENVIO TMS"/>
    <s v="000000001209657159"/>
    <x v="2"/>
    <x v="1"/>
    <s v="APROBAR"/>
    <n v="1"/>
    <e v="#N/A"/>
  </r>
  <r>
    <n v="8209657178"/>
    <s v="22"/>
    <x v="18"/>
    <d v="2026-10-12T09:30:11"/>
    <s v=""/>
    <s v="UNIDAD"/>
    <n v="3"/>
    <s v="PENDIENTE APROBACION  ENVIO TMS"/>
    <s v="000000008209657178"/>
    <x v="1"/>
    <x v="1"/>
    <s v="APROBAR"/>
    <n v="1"/>
    <e v="#N/A"/>
  </r>
  <r>
    <n v="1209657184"/>
    <s v="22"/>
    <x v="18"/>
    <d v="2026-10-12T09:30:12"/>
    <s v=""/>
    <s v="CAJA"/>
    <n v="19"/>
    <s v="PENDIENTE APROBACION  ENVIO TMS"/>
    <s v="000000001209657184"/>
    <x v="2"/>
    <x v="1"/>
    <s v="APROBAR"/>
    <n v="1"/>
    <e v="#N/A"/>
  </r>
  <r>
    <n v="8209657119"/>
    <s v="17"/>
    <x v="20"/>
    <d v="2026-10-12T09:30:13"/>
    <s v=""/>
    <s v="UNIDAD"/>
    <n v="1"/>
    <s v="PENDIENTE APROBACION  ENVIO TMS"/>
    <s v="000000008209657119"/>
    <x v="1"/>
    <x v="1"/>
    <s v="APROBAR"/>
    <n v="1"/>
    <e v="#N/A"/>
  </r>
  <r>
    <n v="1209657125"/>
    <s v="17"/>
    <x v="20"/>
    <d v="2026-10-12T09:30:15"/>
    <s v=""/>
    <s v="PACK"/>
    <n v="5"/>
    <s v="PENDIENTE APROBACION  ENVIO TMS"/>
    <s v="000000001209657125"/>
    <x v="2"/>
    <x v="1"/>
    <s v="APROBAR"/>
    <n v="1"/>
    <e v="#N/A"/>
  </r>
  <r>
    <n v="8209657120"/>
    <s v="17"/>
    <x v="20"/>
    <d v="2026-10-12T09:30:15"/>
    <s v=""/>
    <s v="UNIDAD"/>
    <n v="2"/>
    <s v="PENDIENTE APROBACION  ENVIO TMS"/>
    <s v="000000008209657120"/>
    <x v="1"/>
    <x v="1"/>
    <s v="APROBAR"/>
    <n v="1"/>
    <e v="#N/A"/>
  </r>
  <r>
    <n v="1209657131"/>
    <s v="17"/>
    <x v="20"/>
    <d v="2026-10-12T09:30:16"/>
    <s v=""/>
    <s v="CAJA"/>
    <n v="20"/>
    <s v="PENDIENTE APROBACION  ENVIO TMS"/>
    <s v="000000001209657131"/>
    <x v="2"/>
    <x v="1"/>
    <s v="APROBAR"/>
    <n v="1"/>
    <e v="#N/A"/>
  </r>
  <r>
    <n v="1209657247"/>
    <s v="27"/>
    <x v="15"/>
    <d v="2026-10-12T09:30:18"/>
    <s v=""/>
    <s v="CAJA"/>
    <n v="15"/>
    <s v="PENDIENTE APROBACION  ENVIO TMS"/>
    <s v="000000001209657247"/>
    <x v="2"/>
    <x v="2"/>
    <s v="APROBAR"/>
    <n v="1"/>
    <e v="#N/A"/>
  </r>
  <r>
    <n v="1209657248"/>
    <s v="27"/>
    <x v="15"/>
    <d v="2026-10-12T09:30:19"/>
    <s v=""/>
    <s v="CAJA"/>
    <n v="14"/>
    <s v="PENDIENTE APROBACION  ENVIO TMS"/>
    <s v="000000001209657248"/>
    <x v="2"/>
    <x v="2"/>
    <s v="APROBAR"/>
    <n v="1"/>
    <e v="#N/A"/>
  </r>
  <r>
    <n v="1209657228"/>
    <s v="26"/>
    <x v="14"/>
    <d v="2026-10-12T09:30:20"/>
    <s v=""/>
    <s v="PACK"/>
    <n v="18"/>
    <s v="PENDIENTE APROBACION  ENVIO TMS"/>
    <s v="000000001209657228"/>
    <x v="2"/>
    <x v="2"/>
    <s v="APROBAR"/>
    <n v="1"/>
    <e v="#N/A"/>
  </r>
  <r>
    <n v="1209657230"/>
    <s v="26"/>
    <x v="14"/>
    <d v="2026-10-12T09:30:21"/>
    <s v=""/>
    <s v="PACK"/>
    <n v="34"/>
    <s v="PENDIENTE APROBACION  ENVIO TMS"/>
    <s v="000000001209657230"/>
    <x v="2"/>
    <x v="2"/>
    <s v="APROBAR"/>
    <n v="1"/>
    <e v="#N/A"/>
  </r>
  <r>
    <n v="1209657278"/>
    <s v="28"/>
    <x v="16"/>
    <d v="2026-10-12T09:30:23"/>
    <s v=""/>
    <s v="CAJA"/>
    <n v="27"/>
    <s v="PENDIENTE APROBACION  ENVIO TMS"/>
    <s v="000000001209657278"/>
    <x v="2"/>
    <x v="2"/>
    <s v="APROBAR"/>
    <n v="1"/>
    <e v="#N/A"/>
  </r>
  <r>
    <n v="8209657267"/>
    <s v="28"/>
    <x v="16"/>
    <d v="2026-10-12T09:30:24"/>
    <s v=""/>
    <s v="UNIDAD"/>
    <n v="5"/>
    <s v="PENDIENTE APROBACION  ENVIO TMS"/>
    <s v="000000008209657267"/>
    <x v="1"/>
    <x v="2"/>
    <s v="APROBAR"/>
    <n v="1"/>
    <e v="#N/A"/>
  </r>
  <r>
    <n v="8209657201"/>
    <s v="25"/>
    <x v="17"/>
    <d v="2026-10-12T09:30:26"/>
    <s v=""/>
    <s v="UNIDAD"/>
    <n v="4"/>
    <s v="PENDIENTE APROBACION  ENVIO TMS"/>
    <s v="000000008209657201"/>
    <x v="1"/>
    <x v="1"/>
    <s v="APROBAR"/>
    <n v="1"/>
    <e v="#N/A"/>
  </r>
  <r>
    <n v="8209657268"/>
    <s v="28"/>
    <x v="16"/>
    <d v="2026-10-12T09:30:26"/>
    <s v=""/>
    <s v="UNIDAD"/>
    <n v="12"/>
    <s v="PENDIENTE APROBACION  ENVIO TMS"/>
    <s v="000000008209657268"/>
    <x v="1"/>
    <x v="2"/>
    <s v="APROBAR"/>
    <n v="1"/>
    <e v="#N/A"/>
  </r>
  <r>
    <n v="1209657202"/>
    <s v="25"/>
    <x v="17"/>
    <d v="2026-10-12T09:30:28"/>
    <s v=""/>
    <s v="CAJA"/>
    <n v="2"/>
    <s v="PENDIENTE APROBACION  ENVIO TMS"/>
    <s v="000000001209657202"/>
    <x v="2"/>
    <x v="1"/>
    <s v="APROBAR"/>
    <n v="1"/>
    <e v="#N/A"/>
  </r>
  <r>
    <n v="8209657222"/>
    <s v="26"/>
    <x v="14"/>
    <d v="2026-10-12T09:30:29"/>
    <s v=""/>
    <s v="UNIDAD"/>
    <n v="6"/>
    <s v="PENDIENTE APROBACION  ENVIO TMS"/>
    <s v="000000008209657222"/>
    <x v="1"/>
    <x v="2"/>
    <s v="APROBAR"/>
    <n v="1"/>
    <e v="#N/A"/>
  </r>
  <r>
    <n v="1209657207"/>
    <s v="25"/>
    <x v="17"/>
    <d v="2026-10-12T09:30:30"/>
    <s v=""/>
    <s v="CAJA"/>
    <n v="11"/>
    <s v="PENDIENTE APROBACION  ENVIO TMS"/>
    <s v="000000001209657207"/>
    <x v="2"/>
    <x v="1"/>
    <s v="APROBAR"/>
    <n v="1"/>
    <e v="#N/A"/>
  </r>
  <r>
    <n v="1209657161"/>
    <s v="21"/>
    <x v="19"/>
    <d v="2026-10-12T09:30:32"/>
    <s v=""/>
    <s v="CAJA"/>
    <n v="16"/>
    <s v="PENDIENTE APROBACION  ENVIO TMS"/>
    <s v="000000001209657161"/>
    <x v="2"/>
    <x v="1"/>
    <s v="APROBAR"/>
    <n v="1"/>
    <e v="#N/A"/>
  </r>
  <r>
    <n v="1209657162"/>
    <s v="21"/>
    <x v="19"/>
    <d v="2026-10-12T09:30:32"/>
    <s v=""/>
    <s v="CAJA"/>
    <n v="14"/>
    <s v="PENDIENTE APROBACION  ENVIO TMS"/>
    <s v="000000001209657162"/>
    <x v="2"/>
    <x v="1"/>
    <s v="APROBAR"/>
    <n v="1"/>
    <e v="#N/A"/>
  </r>
  <r>
    <n v="1209657127"/>
    <s v="17"/>
    <x v="20"/>
    <d v="2026-10-12T09:30:34"/>
    <s v=""/>
    <s v="CAJA"/>
    <n v="5"/>
    <s v="PENDIENTE APROBACION  ENVIO TMS"/>
    <s v="000000001209657127"/>
    <x v="2"/>
    <x v="1"/>
    <s v="APROBAR"/>
    <n v="1"/>
    <e v="#N/A"/>
  </r>
  <r>
    <n v="1209657128"/>
    <s v="17"/>
    <x v="20"/>
    <d v="2026-10-12T09:30:35"/>
    <s v=""/>
    <s v="CAJA"/>
    <n v="12"/>
    <s v="PENDIENTE APROBACION  ENVIO TMS"/>
    <s v="000000001209657128"/>
    <x v="2"/>
    <x v="1"/>
    <s v="APROBAR"/>
    <n v="1"/>
    <e v="#N/A"/>
  </r>
  <r>
    <n v="1209657229"/>
    <s v="26"/>
    <x v="14"/>
    <d v="2026-10-12T09:30:37"/>
    <s v=""/>
    <s v="CAJA"/>
    <n v="22"/>
    <s v="PENDIENTE APROBACION  ENVIO TMS"/>
    <s v="000000001209657229"/>
    <x v="2"/>
    <x v="2"/>
    <s v="APROBAR"/>
    <n v="1"/>
    <e v="#N/A"/>
  </r>
  <r>
    <n v="1209657275"/>
    <s v="28"/>
    <x v="16"/>
    <d v="2026-10-12T09:30:37"/>
    <s v=""/>
    <s v="CAJA"/>
    <n v="1"/>
    <s v="PENDIENTE APROBACION  ENVIO TMS"/>
    <s v="000000001209657275"/>
    <x v="2"/>
    <x v="2"/>
    <s v="APROBAR"/>
    <n v="1"/>
    <e v="#N/A"/>
  </r>
  <r>
    <n v="8209657234"/>
    <s v="26"/>
    <x v="14"/>
    <d v="2026-10-12T09:30:39"/>
    <s v=""/>
    <s v="UNIDAD"/>
    <n v="5"/>
    <s v="PENDIENTE APROBACION  ENVIO TMS"/>
    <s v="000000008209657234"/>
    <x v="1"/>
    <x v="2"/>
    <s v="APROBAR"/>
    <n v="1"/>
    <e v="#N/A"/>
  </r>
  <r>
    <n v="8209657220"/>
    <s v="26"/>
    <x v="14"/>
    <d v="2026-10-12T09:30:40"/>
    <s v=""/>
    <s v="UNIDAD"/>
    <n v="6"/>
    <s v="PENDIENTE APROBACION  ENVIO TMS"/>
    <s v="000000008209657220"/>
    <x v="1"/>
    <x v="2"/>
    <s v="APROBAR"/>
    <n v="1"/>
    <e v="#N/A"/>
  </r>
  <r>
    <n v="1209657269"/>
    <s v="28"/>
    <x v="16"/>
    <d v="2026-10-12T09:30:41"/>
    <s v=""/>
    <s v="CAJA"/>
    <n v="2"/>
    <s v="PENDIENTE APROBACION  ENVIO TMS"/>
    <s v="000000001209657269"/>
    <x v="2"/>
    <x v="2"/>
    <s v="APROBAR"/>
    <n v="1"/>
    <e v="#N/A"/>
  </r>
  <r>
    <n v="8209657198"/>
    <s v="25"/>
    <x v="17"/>
    <d v="2026-10-12T09:30:43"/>
    <s v=""/>
    <s v="UNIDAD"/>
    <n v="1"/>
    <s v="PENDIENTE APROBACION  ENVIO TMS"/>
    <s v="000000008209657198"/>
    <x v="1"/>
    <x v="1"/>
    <s v="APROBAR"/>
    <n v="1"/>
    <e v="#N/A"/>
  </r>
  <r>
    <n v="1209657203"/>
    <s v="25"/>
    <x v="17"/>
    <d v="2026-10-12T09:30:44"/>
    <s v=""/>
    <s v="CAJA"/>
    <n v="4"/>
    <s v="PENDIENTE APROBACION  ENVIO TMS"/>
    <s v="000000001209657203"/>
    <x v="2"/>
    <x v="1"/>
    <s v="APROBAR"/>
    <n v="1"/>
    <e v="#N/A"/>
  </r>
  <r>
    <n v="1209657271"/>
    <s v="28"/>
    <x v="16"/>
    <d v="2026-10-12T09:30:45"/>
    <s v=""/>
    <s v="PACK"/>
    <n v="20"/>
    <s v="PENDIENTE APROBACION  ENVIO TMS"/>
    <s v="000000001209657271"/>
    <x v="2"/>
    <x v="2"/>
    <s v="APROBAR"/>
    <n v="1"/>
    <e v="#N/A"/>
  </r>
  <r>
    <n v="8209657239"/>
    <s v="27"/>
    <x v="15"/>
    <d v="2026-10-12T09:30:46"/>
    <s v=""/>
    <s v="UNIDAD"/>
    <n v="2"/>
    <s v="PENDIENTE APROBACION  ENVIO TMS"/>
    <s v="000000008209657239"/>
    <x v="1"/>
    <x v="2"/>
    <s v="APROBAR"/>
    <n v="1"/>
    <e v="#N/A"/>
  </r>
  <r>
    <n v="8209657150"/>
    <s v="21"/>
    <x v="19"/>
    <d v="2026-10-12T09:30:47"/>
    <s v=""/>
    <s v="UNIDAD"/>
    <n v="7"/>
    <s v="PENDIENTE APROBACION  ENVIO TMS"/>
    <s v="000000008209657150"/>
    <x v="1"/>
    <x v="1"/>
    <s v="APROBAR"/>
    <n v="1"/>
    <e v="#N/A"/>
  </r>
  <r>
    <n v="1209657295"/>
    <s v="29"/>
    <x v="21"/>
    <d v="2026-10-12T09:33:52"/>
    <s v=""/>
    <s v="CAJA"/>
    <n v="13"/>
    <s v="PENDIENTE APROBACION  ENVIO TMS"/>
    <s v="000000001209657295"/>
    <x v="2"/>
    <x v="0"/>
    <s v="APROBAR"/>
    <n v="1"/>
    <e v="#N/A"/>
  </r>
  <r>
    <n v="1209657296"/>
    <s v="29"/>
    <x v="21"/>
    <d v="2026-10-12T09:33:53"/>
    <s v=""/>
    <s v="CAJA"/>
    <n v="3"/>
    <s v="PENDIENTE APROBACION  ENVIO TMS"/>
    <s v="000000001209657296"/>
    <x v="2"/>
    <x v="0"/>
    <s v="APROBAR"/>
    <n v="1"/>
    <e v="#N/A"/>
  </r>
  <r>
    <n v="8209657304"/>
    <s v="29"/>
    <x v="21"/>
    <d v="2026-10-12T09:33:54"/>
    <s v=""/>
    <s v="UNIDAD"/>
    <n v="1"/>
    <s v="PENDIENTE APROBACION  ENVIO TMS"/>
    <s v="000000008209657304"/>
    <x v="1"/>
    <x v="0"/>
    <s v="APROBAR"/>
    <n v="1"/>
    <e v="#N/A"/>
  </r>
  <r>
    <n v="1209657306"/>
    <s v="29"/>
    <x v="21"/>
    <d v="2026-10-12T09:33:55"/>
    <s v=""/>
    <s v="CAJA"/>
    <n v="2"/>
    <s v="PENDIENTE APROBACION  ENVIO TMS"/>
    <s v="000000001209657306"/>
    <x v="2"/>
    <x v="0"/>
    <s v="APROBAR"/>
    <n v="1"/>
    <e v="#N/A"/>
  </r>
  <r>
    <n v="1209657308"/>
    <s v="29"/>
    <x v="21"/>
    <d v="2026-10-12T09:33:56"/>
    <s v=""/>
    <s v="CAJA"/>
    <n v="15"/>
    <s v="PENDIENTE APROBACION  ENVIO TMS"/>
    <s v="000000001209657308"/>
    <x v="2"/>
    <x v="0"/>
    <s v="APROBAR"/>
    <n v="1"/>
    <e v="#N/A"/>
  </r>
  <r>
    <n v="1209657374"/>
    <s v="36"/>
    <x v="22"/>
    <d v="2026-10-12T09:33:58"/>
    <s v=""/>
    <s v="CAJA"/>
    <n v="2"/>
    <s v="PENDIENTE APROBACION  ENVIO TMS"/>
    <s v="000000001209657374"/>
    <x v="2"/>
    <x v="2"/>
    <s v="APROBAR"/>
    <n v="1"/>
    <e v="#N/A"/>
  </r>
  <r>
    <n v="1209657375"/>
    <s v="36"/>
    <x v="22"/>
    <d v="2026-10-12T09:33:59"/>
    <s v=""/>
    <s v="CAJA"/>
    <n v="3"/>
    <s v="PENDIENTE APROBACION  ENVIO TMS"/>
    <s v="000000001209657375"/>
    <x v="2"/>
    <x v="2"/>
    <s v="APROBAR"/>
    <n v="1"/>
    <e v="#N/A"/>
  </r>
  <r>
    <n v="1209657443"/>
    <s v="38"/>
    <x v="23"/>
    <d v="2026-10-12T09:34:00"/>
    <s v=""/>
    <s v="CAJA"/>
    <n v="5"/>
    <s v="PENDIENTE APROBACION  ENVIO TMS"/>
    <s v="000000001209657443"/>
    <x v="2"/>
    <x v="2"/>
    <s v="APROBAR"/>
    <n v="1"/>
    <e v="#N/A"/>
  </r>
  <r>
    <n v="1209657447"/>
    <s v="38"/>
    <x v="23"/>
    <d v="2026-10-12T09:34:01"/>
    <s v=""/>
    <s v="UNIDAD"/>
    <n v="23"/>
    <s v="PENDIENTE APROBACION  ENVIO TMS"/>
    <s v="000000001209657447"/>
    <x v="2"/>
    <x v="2"/>
    <s v="APROBAR"/>
    <n v="1"/>
    <e v="#N/A"/>
  </r>
  <r>
    <n v="1209657448"/>
    <s v="38"/>
    <x v="23"/>
    <d v="2026-10-12T09:34:02"/>
    <s v=""/>
    <s v="PACK"/>
    <n v="20"/>
    <s v="PENDIENTE APROBACION  ENVIO TMS"/>
    <s v="000000001209657448"/>
    <x v="2"/>
    <x v="2"/>
    <s v="APROBAR"/>
    <n v="1"/>
    <e v="#N/A"/>
  </r>
  <r>
    <n v="1209657411"/>
    <s v="37"/>
    <x v="24"/>
    <d v="2026-10-12T09:34:04"/>
    <s v=""/>
    <s v="PACK"/>
    <n v="5"/>
    <s v="PENDIENTE APROBACION  ENVIO TMS"/>
    <s v="000000001209657411"/>
    <x v="2"/>
    <x v="2"/>
    <s v="APROBAR"/>
    <n v="1"/>
    <e v="#N/A"/>
  </r>
  <r>
    <n v="8209657325"/>
    <s v="31"/>
    <x v="25"/>
    <d v="2026-10-12T09:34:05"/>
    <s v=""/>
    <s v="UNIDAD"/>
    <n v="1"/>
    <s v="PENDIENTE APROBACION  ENVIO TMS"/>
    <s v="000000008209657325"/>
    <x v="1"/>
    <x v="2"/>
    <s v="APROBAR"/>
    <n v="1"/>
    <e v="#N/A"/>
  </r>
  <r>
    <n v="8209657300"/>
    <s v="29"/>
    <x v="21"/>
    <d v="2026-10-12T09:34:05"/>
    <s v=""/>
    <s v="UNIDAD"/>
    <n v="2"/>
    <s v="PENDIENTE APROBACION  ENVIO TMS"/>
    <s v="000000008209657300"/>
    <x v="1"/>
    <x v="0"/>
    <s v="APROBAR"/>
    <n v="1"/>
    <e v="#N/A"/>
  </r>
  <r>
    <n v="1209657336"/>
    <s v="31"/>
    <x v="25"/>
    <d v="2026-10-12T09:34:07"/>
    <s v=""/>
    <s v="CAJA"/>
    <n v="40"/>
    <s v="PENDIENTE APROBACION  ENVIO TMS"/>
    <s v="000000001209657336"/>
    <x v="2"/>
    <x v="2"/>
    <s v="APROBAR"/>
    <n v="1"/>
    <e v="#N/A"/>
  </r>
  <r>
    <n v="8209657305"/>
    <s v="29"/>
    <x v="21"/>
    <d v="2026-10-12T09:34:08"/>
    <s v=""/>
    <s v="UNIDAD"/>
    <n v="1"/>
    <s v="PENDIENTE APROBACION  ENVIO TMS"/>
    <s v="000000008209657305"/>
    <x v="1"/>
    <x v="0"/>
    <s v="APROBAR"/>
    <n v="1"/>
    <e v="#N/A"/>
  </r>
  <r>
    <n v="1209657376"/>
    <s v="36"/>
    <x v="22"/>
    <d v="2026-10-12T09:34:10"/>
    <s v=""/>
    <s v="CAJA"/>
    <n v="6"/>
    <s v="PENDIENTE APROBACION  ENVIO TMS"/>
    <s v="000000001209657376"/>
    <x v="2"/>
    <x v="2"/>
    <s v="APROBAR"/>
    <n v="1"/>
    <e v="#N/A"/>
  </r>
  <r>
    <n v="1209657378"/>
    <s v="36"/>
    <x v="22"/>
    <d v="2026-10-12T09:34:10"/>
    <s v=""/>
    <s v="CAJA"/>
    <n v="3"/>
    <s v="PENDIENTE APROBACION  ENVIO TMS"/>
    <s v="000000001209657378"/>
    <x v="2"/>
    <x v="2"/>
    <s v="APROBAR"/>
    <n v="1"/>
    <e v="#N/A"/>
  </r>
  <r>
    <n v="1209657446"/>
    <s v="38"/>
    <x v="23"/>
    <d v="2026-10-12T09:34:11"/>
    <s v=""/>
    <s v="CAJA"/>
    <n v="17"/>
    <s v="PENDIENTE APROBACION  ENVIO TMS"/>
    <s v="000000001209657446"/>
    <x v="2"/>
    <x v="2"/>
    <s v="APROBAR"/>
    <n v="1"/>
    <e v="#N/A"/>
  </r>
  <r>
    <n v="8209657327"/>
    <s v="31"/>
    <x v="25"/>
    <d v="2026-10-12T09:34:13"/>
    <s v=""/>
    <s v="UNIDAD"/>
    <n v="24"/>
    <s v="PENDIENTE APROBACION  ENVIO TMS"/>
    <s v="000000008209657327"/>
    <x v="1"/>
    <x v="2"/>
    <s v="APROBAR"/>
    <n v="1"/>
    <e v="#N/A"/>
  </r>
  <r>
    <n v="1209657329"/>
    <s v="31"/>
    <x v="25"/>
    <d v="2026-10-12T09:34:14"/>
    <s v=""/>
    <s v="PACK"/>
    <n v="4"/>
    <s v="PENDIENTE APROBACION  ENVIO TMS"/>
    <s v="000000001209657329"/>
    <x v="2"/>
    <x v="2"/>
    <s v="APROBAR"/>
    <n v="1"/>
    <e v="#N/A"/>
  </r>
  <r>
    <n v="1209657331"/>
    <s v="31"/>
    <x v="25"/>
    <d v="2026-10-12T09:34:15"/>
    <s v=""/>
    <s v="CAJA"/>
    <n v="29"/>
    <s v="PENDIENTE APROBACION  ENVIO TMS"/>
    <s v="000000001209657331"/>
    <x v="2"/>
    <x v="2"/>
    <s v="APROBAR"/>
    <n v="1"/>
    <e v="#N/A"/>
  </r>
  <r>
    <n v="1209657315"/>
    <s v="29"/>
    <x v="21"/>
    <d v="2026-10-12T09:34:16"/>
    <s v=""/>
    <s v="CAJA"/>
    <n v="59"/>
    <s v="PENDIENTE APROBACION  ENVIO TMS"/>
    <s v="000000001209657315"/>
    <x v="2"/>
    <x v="0"/>
    <s v="APROBAR"/>
    <n v="1"/>
    <e v="#N/A"/>
  </r>
  <r>
    <n v="1209657309"/>
    <s v="29"/>
    <x v="21"/>
    <d v="2026-10-12T09:34:17"/>
    <s v=""/>
    <s v="PACK"/>
    <n v="16"/>
    <s v="PENDIENTE APROBACION  ENVIO TMS"/>
    <s v="000000001209657309"/>
    <x v="2"/>
    <x v="0"/>
    <s v="APROBAR"/>
    <n v="1"/>
    <e v="#N/A"/>
  </r>
  <r>
    <n v="1209657367"/>
    <s v="36"/>
    <x v="22"/>
    <d v="2026-10-12T09:34:19"/>
    <s v=""/>
    <s v="CAJA"/>
    <n v="2"/>
    <s v="PENDIENTE APROBACION  ENVIO TMS"/>
    <s v="000000001209657367"/>
    <x v="2"/>
    <x v="2"/>
    <s v="APROBAR"/>
    <n v="1"/>
    <e v="#N/A"/>
  </r>
  <r>
    <n v="8209657372"/>
    <s v="36"/>
    <x v="22"/>
    <d v="2026-10-12T09:34:20"/>
    <s v=""/>
    <s v="UNIDAD"/>
    <n v="2"/>
    <s v="PENDIENTE APROBACION  ENVIO TMS"/>
    <s v="000000008209657372"/>
    <x v="1"/>
    <x v="2"/>
    <s v="APROBAR"/>
    <n v="1"/>
    <e v="#N/A"/>
  </r>
  <r>
    <n v="8209657438"/>
    <s v="38"/>
    <x v="23"/>
    <d v="2026-10-12T09:34:21"/>
    <s v=""/>
    <s v="UNIDAD"/>
    <n v="2"/>
    <s v="PENDIENTE APROBACION  ENVIO TMS"/>
    <s v="000000008209657438"/>
    <x v="1"/>
    <x v="2"/>
    <s v="APROBAR"/>
    <n v="1"/>
    <e v="#N/A"/>
  </r>
  <r>
    <n v="8209657439"/>
    <s v="38"/>
    <x v="23"/>
    <d v="2026-10-12T09:34:22"/>
    <s v=""/>
    <s v="UNIDAD"/>
    <n v="2"/>
    <s v="PENDIENTE APROBACION  ENVIO TMS"/>
    <s v="000000008209657439"/>
    <x v="1"/>
    <x v="2"/>
    <s v="APROBAR"/>
    <n v="1"/>
    <e v="#N/A"/>
  </r>
  <r>
    <n v="8209657440"/>
    <s v="38"/>
    <x v="23"/>
    <d v="2026-10-12T09:34:23"/>
    <s v=""/>
    <s v="UNIDAD"/>
    <n v="3"/>
    <s v="PENDIENTE APROBACION  ENVIO TMS"/>
    <s v="000000008209657440"/>
    <x v="1"/>
    <x v="2"/>
    <s v="APROBAR"/>
    <n v="1"/>
    <e v="#N/A"/>
  </r>
  <r>
    <n v="8209657290"/>
    <s v="29"/>
    <x v="21"/>
    <d v="2026-10-12T09:34:24"/>
    <s v=""/>
    <s v="UNIDAD"/>
    <n v="7"/>
    <s v="PENDIENTE APROBACION  ENVIO TMS"/>
    <s v="000000008209657290"/>
    <x v="1"/>
    <x v="0"/>
    <s v="APROBAR"/>
    <n v="1"/>
    <e v="#N/A"/>
  </r>
  <r>
    <n v="1209657330"/>
    <s v="31"/>
    <x v="25"/>
    <d v="2026-10-12T09:34:26"/>
    <s v=""/>
    <s v="CAJA"/>
    <n v="11"/>
    <s v="PENDIENTE APROBACION  ENVIO TMS"/>
    <s v="000000001209657330"/>
    <x v="2"/>
    <x v="2"/>
    <s v="APROBAR"/>
    <n v="1"/>
    <e v="#N/A"/>
  </r>
  <r>
    <n v="8209657364"/>
    <s v="36"/>
    <x v="22"/>
    <d v="2026-10-12T09:34:27"/>
    <s v=""/>
    <s v="UNIDAD"/>
    <n v="2"/>
    <s v="PENDIENTE APROBACION  ENVIO TMS"/>
    <s v="000000008209657364"/>
    <x v="1"/>
    <x v="2"/>
    <s v="APROBAR"/>
    <n v="1"/>
    <e v="#N/A"/>
  </r>
  <r>
    <n v="1209657417"/>
    <s v="37"/>
    <x v="24"/>
    <d v="2026-10-12T09:34:28"/>
    <s v=""/>
    <s v="PACK"/>
    <n v="1"/>
    <s v="PENDIENTE APROBACION  ENVIO TMS"/>
    <s v="000000001209657417"/>
    <x v="2"/>
    <x v="2"/>
    <s v="APROBAR"/>
    <n v="1"/>
    <e v="#N/A"/>
  </r>
  <r>
    <n v="1209657444"/>
    <s v="38"/>
    <x v="23"/>
    <d v="2026-10-12T09:34:29"/>
    <s v=""/>
    <s v="CAJA"/>
    <n v="9"/>
    <s v="PENDIENTE APROBACION  ENVIO TMS"/>
    <s v="000000001209657444"/>
    <x v="2"/>
    <x v="2"/>
    <s v="APROBAR"/>
    <n v="1"/>
    <e v="#N/A"/>
  </r>
  <r>
    <n v="1209657445"/>
    <s v="38"/>
    <x v="23"/>
    <d v="2026-10-12T09:34:30"/>
    <s v=""/>
    <s v="PACK"/>
    <n v="7"/>
    <s v="PENDIENTE APROBACION  ENVIO TMS"/>
    <s v="000000001209657445"/>
    <x v="2"/>
    <x v="2"/>
    <s v="APROBAR"/>
    <n v="1"/>
    <e v="#N/A"/>
  </r>
  <r>
    <n v="8209657405"/>
    <s v="37"/>
    <x v="24"/>
    <d v="2026-10-12T09:34:32"/>
    <s v=""/>
    <s v="UNIDAD"/>
    <n v="1"/>
    <s v="PENDIENTE APROBACION  ENVIO TMS"/>
    <s v="000000008209657405"/>
    <x v="1"/>
    <x v="2"/>
    <s v="APROBAR"/>
    <n v="1"/>
    <e v="#N/A"/>
  </r>
  <r>
    <n v="1209657292"/>
    <s v="29"/>
    <x v="21"/>
    <d v="2026-10-12T09:34:33"/>
    <s v=""/>
    <s v="CAJA"/>
    <n v="6"/>
    <s v="PENDIENTE APROBACION  ENVIO TMS"/>
    <s v="000000001209657292"/>
    <x v="2"/>
    <x v="0"/>
    <s v="APROBAR"/>
    <n v="1"/>
    <e v="#N/A"/>
  </r>
  <r>
    <n v="8209657291"/>
    <s v="29"/>
    <x v="21"/>
    <d v="2026-10-12T09:34:33"/>
    <s v=""/>
    <s v="UNIDAD"/>
    <n v="7"/>
    <s v="PENDIENTE APROBACION  ENVIO TMS"/>
    <s v="000000008209657291"/>
    <x v="1"/>
    <x v="0"/>
    <s v="APROBAR"/>
    <n v="1"/>
    <e v="#N/A"/>
  </r>
  <r>
    <n v="8209657326"/>
    <s v="31"/>
    <x v="25"/>
    <d v="2026-10-12T09:34:35"/>
    <s v=""/>
    <s v="UNIDAD"/>
    <n v="3"/>
    <s v="PENDIENTE APROBACION  ENVIO TMS"/>
    <s v="000000008209657326"/>
    <x v="1"/>
    <x v="2"/>
    <s v="APROBAR"/>
    <n v="1"/>
    <e v="#N/A"/>
  </r>
  <r>
    <n v="1209657414"/>
    <s v="37"/>
    <x v="24"/>
    <d v="2026-10-12T09:34:36"/>
    <s v=""/>
    <s v="CAJA"/>
    <n v="27"/>
    <s v="PENDIENTE APROBACION  ENVIO TMS"/>
    <s v="000000001209657414"/>
    <x v="2"/>
    <x v="2"/>
    <s v="APROBAR"/>
    <n v="1"/>
    <e v="#N/A"/>
  </r>
  <r>
    <n v="1209657380"/>
    <s v="36"/>
    <x v="22"/>
    <d v="2026-10-12T09:34:38"/>
    <s v=""/>
    <s v="PACK"/>
    <n v="9"/>
    <s v="PENDIENTE APROBACION  ENVIO TMS"/>
    <s v="000000001209657380"/>
    <x v="2"/>
    <x v="2"/>
    <s v="APROBAR"/>
    <n v="1"/>
    <e v="#N/A"/>
  </r>
  <r>
    <n v="8209657371"/>
    <s v="36"/>
    <x v="22"/>
    <d v="2026-10-12T09:34:38"/>
    <s v=""/>
    <s v="UNIDAD"/>
    <n v="2"/>
    <s v="PENDIENTE APROBACION  ENVIO TMS"/>
    <s v="000000008209657371"/>
    <x v="1"/>
    <x v="2"/>
    <s v="APROBAR"/>
    <n v="1"/>
    <e v="#N/A"/>
  </r>
  <r>
    <n v="8209657441"/>
    <s v="38"/>
    <x v="23"/>
    <d v="2026-10-12T09:34:39"/>
    <s v=""/>
    <s v="UNIDAD"/>
    <n v="4"/>
    <s v="PENDIENTE APROBACION  ENVIO TMS"/>
    <s v="000000008209657441"/>
    <x v="1"/>
    <x v="2"/>
    <s v="APROBAR"/>
    <n v="1"/>
    <e v="#N/A"/>
  </r>
  <r>
    <n v="8209657406"/>
    <s v="37"/>
    <x v="24"/>
    <d v="2026-10-12T09:34:41"/>
    <s v=""/>
    <s v="UNIDAD"/>
    <n v="2"/>
    <s v="PENDIENTE APROBACION  ENVIO TMS"/>
    <s v="000000008209657406"/>
    <x v="1"/>
    <x v="2"/>
    <s v="APROBAR"/>
    <n v="1"/>
    <e v="#N/A"/>
  </r>
  <r>
    <n v="1209657408"/>
    <s v="37"/>
    <x v="24"/>
    <d v="2026-10-12T09:34:42"/>
    <s v=""/>
    <s v="PACK"/>
    <n v="3"/>
    <s v="PENDIENTE APROBACION  ENVIO TMS"/>
    <s v="000000001209657408"/>
    <x v="2"/>
    <x v="2"/>
    <s v="APROBAR"/>
    <n v="1"/>
    <e v="#N/A"/>
  </r>
  <r>
    <n v="1209657409"/>
    <s v="37"/>
    <x v="24"/>
    <d v="2026-10-12T09:34:43"/>
    <s v=""/>
    <s v="PACK"/>
    <n v="4"/>
    <s v="PENDIENTE APROBACION  ENVIO TMS"/>
    <s v="000000001209657409"/>
    <x v="2"/>
    <x v="2"/>
    <s v="APROBAR"/>
    <n v="1"/>
    <e v="#N/A"/>
  </r>
  <r>
    <n v="1209657313"/>
    <s v="29"/>
    <x v="21"/>
    <d v="2026-10-12T09:34:44"/>
    <s v=""/>
    <s v="PACK"/>
    <n v="29"/>
    <s v="PENDIENTE APROBACION  ENVIO TMS"/>
    <s v="000000001209657313"/>
    <x v="2"/>
    <x v="0"/>
    <s v="APROBAR"/>
    <n v="1"/>
    <e v="#N/A"/>
  </r>
  <r>
    <n v="8209657301"/>
    <s v="29"/>
    <x v="21"/>
    <d v="2026-10-12T09:34:45"/>
    <s v=""/>
    <s v="UNIDAD"/>
    <n v="1"/>
    <s v="PENDIENTE APROBACION  ENVIO TMS"/>
    <s v="000000008209657301"/>
    <x v="1"/>
    <x v="0"/>
    <s v="APROBAR"/>
    <n v="1"/>
    <e v="#N/A"/>
  </r>
  <r>
    <n v="1209657452"/>
    <s v="38"/>
    <x v="23"/>
    <d v="2026-10-12T09:34:47"/>
    <s v=""/>
    <s v="PACK"/>
    <n v="45"/>
    <s v="PENDIENTE APROBACION  ENVIO TMS"/>
    <s v="000000001209657452"/>
    <x v="2"/>
    <x v="2"/>
    <s v="APROBAR"/>
    <n v="1"/>
    <e v="#N/A"/>
  </r>
  <r>
    <n v="1209657377"/>
    <s v="36"/>
    <x v="22"/>
    <d v="2026-10-12T09:34:48"/>
    <s v=""/>
    <s v="CAJA"/>
    <n v="7"/>
    <s v="PENDIENTE APROBACION  ENVIO TMS"/>
    <s v="000000001209657377"/>
    <x v="2"/>
    <x v="2"/>
    <s v="APROBAR"/>
    <n v="1"/>
    <e v="#N/A"/>
  </r>
  <r>
    <n v="8209657416"/>
    <s v="37"/>
    <x v="24"/>
    <d v="2026-10-12T09:34:49"/>
    <s v=""/>
    <s v="UNIDAD"/>
    <n v="2"/>
    <s v="PENDIENTE APROBACION  ENVIO TMS"/>
    <s v="000000008209657416"/>
    <x v="1"/>
    <x v="2"/>
    <s v="APROBAR"/>
    <n v="1"/>
    <e v="#N/A"/>
  </r>
  <r>
    <n v="1209657418"/>
    <s v="37"/>
    <x v="24"/>
    <d v="2026-10-12T09:34:50"/>
    <s v=""/>
    <s v="CAJA"/>
    <n v="6"/>
    <s v="PENDIENTE APROBACION  ENVIO TMS"/>
    <s v="000000001209657418"/>
    <x v="2"/>
    <x v="2"/>
    <s v="APROBAR"/>
    <n v="1"/>
    <e v="#N/A"/>
  </r>
  <r>
    <n v="1209657425"/>
    <s v="37"/>
    <x v="24"/>
    <d v="2026-10-12T09:34:51"/>
    <s v=""/>
    <s v="CAJA"/>
    <n v="43"/>
    <s v="PENDIENTE APROBACION  ENVIO TMS"/>
    <s v="000000001209657425"/>
    <x v="2"/>
    <x v="2"/>
    <s v="APROBAR"/>
    <n v="1"/>
    <e v="#N/A"/>
  </r>
  <r>
    <n v="1209657312"/>
    <s v="29"/>
    <x v="21"/>
    <d v="2026-10-12T09:34:52"/>
    <s v=""/>
    <s v="PACK"/>
    <n v="38"/>
    <s v="PENDIENTE APROBACION  ENVIO TMS"/>
    <s v="000000001209657312"/>
    <x v="2"/>
    <x v="0"/>
    <s v="APROBAR"/>
    <n v="1"/>
    <e v="#N/A"/>
  </r>
  <r>
    <n v="1209657328"/>
    <s v="31"/>
    <x v="25"/>
    <d v="2026-10-12T09:34:54"/>
    <s v=""/>
    <s v="PACK"/>
    <n v="1"/>
    <s v="PENDIENTE APROBACION  ENVIO TMS"/>
    <s v="000000001209657328"/>
    <x v="2"/>
    <x v="2"/>
    <s v="APROBAR"/>
    <n v="1"/>
    <e v="#N/A"/>
  </r>
  <r>
    <n v="1209657332"/>
    <s v="31"/>
    <x v="25"/>
    <d v="2026-10-12T09:34:55"/>
    <s v=""/>
    <s v="PACK"/>
    <n v="10"/>
    <s v="PENDIENTE APROBACION  ENVIO TMS"/>
    <s v="000000001209657332"/>
    <x v="2"/>
    <x v="2"/>
    <s v="APROBAR"/>
    <n v="1"/>
    <e v="#N/A"/>
  </r>
  <r>
    <n v="1209657334"/>
    <s v="31"/>
    <x v="25"/>
    <d v="2026-10-12T09:34:55"/>
    <s v=""/>
    <s v="CAJA"/>
    <n v="7"/>
    <s v="PENDIENTE APROBACION  ENVIO TMS"/>
    <s v="000000001209657334"/>
    <x v="2"/>
    <x v="2"/>
    <s v="APROBAR"/>
    <n v="1"/>
    <e v="#N/A"/>
  </r>
  <r>
    <n v="1209657335"/>
    <s v="31"/>
    <x v="25"/>
    <d v="2026-10-12T09:34:57"/>
    <s v=""/>
    <s v="PACK"/>
    <n v="27"/>
    <s v="PENDIENTE APROBACION  ENVIO TMS"/>
    <s v="000000001209657335"/>
    <x v="2"/>
    <x v="2"/>
    <s v="APROBAR"/>
    <n v="1"/>
    <e v="#N/A"/>
  </r>
  <r>
    <n v="8209657303"/>
    <s v="29"/>
    <x v="21"/>
    <d v="2026-10-12T09:34:58"/>
    <s v=""/>
    <s v="UNIDAD"/>
    <n v="6"/>
    <s v="PENDIENTE APROBACION  ENVIO TMS"/>
    <s v="000000008209657303"/>
    <x v="1"/>
    <x v="0"/>
    <s v="APROBAR"/>
    <n v="1"/>
    <e v="#N/A"/>
  </r>
  <r>
    <n v="1209657307"/>
    <s v="29"/>
    <x v="21"/>
    <d v="2026-10-12T09:35:00"/>
    <s v=""/>
    <s v="CAJA"/>
    <n v="16"/>
    <s v="PENDIENTE APROBACION  ENVIO TMS"/>
    <s v="000000001209657307"/>
    <x v="2"/>
    <x v="0"/>
    <s v="APROBAR"/>
    <n v="1"/>
    <e v="#N/A"/>
  </r>
  <r>
    <n v="1209657419"/>
    <s v="37"/>
    <x v="24"/>
    <d v="2026-10-12T09:35:01"/>
    <s v=""/>
    <s v="CAJA"/>
    <n v="15"/>
    <s v="PENDIENTE APROBACION  ENVIO TMS"/>
    <s v="000000001209657419"/>
    <x v="2"/>
    <x v="2"/>
    <s v="APROBAR"/>
    <n v="1"/>
    <e v="#N/A"/>
  </r>
  <r>
    <n v="8209657442"/>
    <s v="38"/>
    <x v="23"/>
    <d v="2026-10-12T09:35:02"/>
    <s v=""/>
    <s v="UNIDAD"/>
    <n v="4"/>
    <s v="PENDIENTE APROBACION  ENVIO TMS"/>
    <s v="000000008209657442"/>
    <x v="1"/>
    <x v="2"/>
    <s v="APROBAR"/>
    <n v="1"/>
    <e v="#N/A"/>
  </r>
  <r>
    <n v="1209657449"/>
    <s v="38"/>
    <x v="23"/>
    <d v="2026-10-12T09:35:03"/>
    <s v=""/>
    <s v="CAJA"/>
    <n v="20"/>
    <s v="PENDIENTE APROBACION  ENVIO TMS"/>
    <s v="000000001209657449"/>
    <x v="2"/>
    <x v="2"/>
    <s v="APROBAR"/>
    <n v="1"/>
    <e v="#N/A"/>
  </r>
  <r>
    <n v="1209657333"/>
    <s v="31"/>
    <x v="25"/>
    <d v="2026-10-12T09:35:04"/>
    <s v=""/>
    <s v="PACK"/>
    <n v="12"/>
    <s v="PENDIENTE APROBACION  ENVIO TMS"/>
    <s v="000000001209657333"/>
    <x v="2"/>
    <x v="2"/>
    <s v="APROBAR"/>
    <n v="1"/>
    <e v="#N/A"/>
  </r>
  <r>
    <n v="1209657311"/>
    <s v="29"/>
    <x v="21"/>
    <d v="2026-10-12T09:35:06"/>
    <s v=""/>
    <s v="CAJA"/>
    <n v="23"/>
    <s v="PENDIENTE APROBACION  ENVIO TMS"/>
    <s v="000000001209657311"/>
    <x v="2"/>
    <x v="0"/>
    <s v="APROBAR"/>
    <n v="1"/>
    <e v="#N/A"/>
  </r>
  <r>
    <n v="8209657302"/>
    <s v="29"/>
    <x v="21"/>
    <d v="2026-10-12T09:35:06"/>
    <s v=""/>
    <s v="UNIDAD"/>
    <n v="2"/>
    <s v="PENDIENTE APROBACION  ENVIO TMS"/>
    <s v="000000008209657302"/>
    <x v="1"/>
    <x v="0"/>
    <s v="APROBAR"/>
    <n v="1"/>
    <e v="#N/A"/>
  </r>
  <r>
    <n v="1209657451"/>
    <s v="38"/>
    <x v="23"/>
    <d v="2026-10-12T09:35:07"/>
    <s v=""/>
    <s v="CAJA"/>
    <n v="35"/>
    <s v="PENDIENTE APROBACION  ENVIO TMS"/>
    <s v="000000001209657451"/>
    <x v="2"/>
    <x v="2"/>
    <s v="APROBAR"/>
    <n v="1"/>
    <e v="#N/A"/>
  </r>
  <r>
    <n v="8209657373"/>
    <s v="36"/>
    <x v="22"/>
    <d v="2026-10-12T09:35:09"/>
    <s v=""/>
    <s v="UNIDAD"/>
    <n v="4"/>
    <s v="PENDIENTE APROBACION  ENVIO TMS"/>
    <s v="000000008209657373"/>
    <x v="1"/>
    <x v="2"/>
    <s v="APROBAR"/>
    <n v="1"/>
    <e v="#N/A"/>
  </r>
  <r>
    <n v="1209657379"/>
    <s v="36"/>
    <x v="22"/>
    <d v="2026-10-12T09:35:10"/>
    <s v=""/>
    <s v="CAJA"/>
    <n v="8"/>
    <s v="PENDIENTE APROBACION  ENVIO TMS"/>
    <s v="000000001209657379"/>
    <x v="2"/>
    <x v="2"/>
    <s v="APROBAR"/>
    <n v="1"/>
    <e v="#N/A"/>
  </r>
  <r>
    <n v="1209657385"/>
    <s v="36"/>
    <x v="22"/>
    <d v="2026-10-12T09:35:12"/>
    <s v=""/>
    <s v="CAJA"/>
    <n v="2"/>
    <s v="PENDIENTE APROBACION  ENVIO TMS"/>
    <s v="000000001209657385"/>
    <x v="2"/>
    <x v="2"/>
    <s v="APROBAR"/>
    <n v="1"/>
    <e v="#N/A"/>
  </r>
  <r>
    <n v="1209657410"/>
    <s v="37"/>
    <x v="24"/>
    <d v="2026-10-12T09:35:13"/>
    <s v=""/>
    <s v="CAJA"/>
    <n v="7"/>
    <s v="PENDIENTE APROBACION  ENVIO TMS"/>
    <s v="000000001209657410"/>
    <x v="2"/>
    <x v="2"/>
    <s v="APROBAR"/>
    <n v="1"/>
    <e v="#N/A"/>
  </r>
  <r>
    <n v="1209657420"/>
    <s v="37"/>
    <x v="24"/>
    <d v="2026-10-12T09:35:13"/>
    <s v=""/>
    <s v="PACK"/>
    <n v="22"/>
    <s v="PENDIENTE APROBACION  ENVIO TMS"/>
    <s v="000000001209657420"/>
    <x v="2"/>
    <x v="2"/>
    <s v="APROBAR"/>
    <n v="1"/>
    <e v="#N/A"/>
  </r>
  <r>
    <n v="8209657526"/>
    <s v="41"/>
    <x v="26"/>
    <d v="2026-10-12T09:38:51"/>
    <s v=""/>
    <s v="UNIDAD"/>
    <n v="1"/>
    <s v="PENDIENTE APROBACION  ENVIO TMS"/>
    <s v="000000008209657526"/>
    <x v="1"/>
    <x v="0"/>
    <s v="APROBAR"/>
    <n v="1"/>
    <e v="#N/A"/>
  </r>
  <r>
    <n v="1209657474"/>
    <s v="39"/>
    <x v="27"/>
    <d v="2026-10-12T09:38:53"/>
    <s v=""/>
    <s v="CAJA"/>
    <n v="11"/>
    <s v="PENDIENTE APROBACION  ENVIO TMS"/>
    <s v="000000001209657474"/>
    <x v="2"/>
    <x v="2"/>
    <s v="APROBAR"/>
    <n v="1"/>
    <e v="#N/A"/>
  </r>
  <r>
    <n v="8209657530"/>
    <s v="41"/>
    <x v="26"/>
    <d v="2026-10-12T09:38:54"/>
    <s v=""/>
    <s v="UNIDAD"/>
    <n v="4"/>
    <s v="PENDIENTE APROBACION  ENVIO TMS"/>
    <s v="000000008209657530"/>
    <x v="1"/>
    <x v="0"/>
    <s v="APROBAR"/>
    <n v="1"/>
    <e v="#N/A"/>
  </r>
  <r>
    <n v="1209657477"/>
    <s v="39"/>
    <x v="27"/>
    <d v="2026-10-12T09:38:56"/>
    <s v=""/>
    <s v="PACK"/>
    <n v="18"/>
    <s v="PENDIENTE APROBACION  ENVIO TMS"/>
    <s v="000000001209657477"/>
    <x v="2"/>
    <x v="2"/>
    <s v="APROBAR"/>
    <n v="1"/>
    <e v="#N/A"/>
  </r>
  <r>
    <n v="1209657519"/>
    <s v="40"/>
    <x v="28"/>
    <d v="2026-10-12T09:38:57"/>
    <s v=""/>
    <s v="CAJA"/>
    <n v="2"/>
    <s v="PENDIENTE APROBACION  ENVIO TMS"/>
    <s v="000000001209657519"/>
    <x v="2"/>
    <x v="1"/>
    <s v="APROBAR"/>
    <n v="1"/>
    <e v="#N/A"/>
  </r>
  <r>
    <n v="8209657467"/>
    <s v="39"/>
    <x v="27"/>
    <d v="2026-10-12T09:38:57"/>
    <s v=""/>
    <s v="UNIDAD"/>
    <n v="1"/>
    <s v="PENDIENTE APROBACION  ENVIO TMS"/>
    <s v="000000008209657467"/>
    <x v="1"/>
    <x v="2"/>
    <s v="APROBAR"/>
    <n v="1"/>
    <e v="#N/A"/>
  </r>
  <r>
    <n v="1209657611"/>
    <s v="44"/>
    <x v="29"/>
    <d v="2026-10-12T09:38:59"/>
    <s v=""/>
    <s v="CAJA"/>
    <n v="14"/>
    <s v="PENDIENTE APROBACION  ENVIO TMS"/>
    <s v="000000001209657611"/>
    <x v="2"/>
    <x v="0"/>
    <s v="APROBAR"/>
    <n v="1"/>
    <e v="#N/A"/>
  </r>
  <r>
    <n v="1209657577"/>
    <s v="43"/>
    <x v="30"/>
    <d v="2026-10-12T09:39:00"/>
    <s v=""/>
    <s v="PACK"/>
    <n v="47"/>
    <s v="PENDIENTE APROBACION  ENVIO TMS"/>
    <s v="000000001209657577"/>
    <x v="2"/>
    <x v="2"/>
    <s v="APROBAR"/>
    <n v="1"/>
    <e v="#N/A"/>
  </r>
  <r>
    <n v="1209657571"/>
    <s v="43"/>
    <x v="30"/>
    <d v="2026-10-12T09:39:02"/>
    <s v=""/>
    <s v="PACK"/>
    <n v="36"/>
    <s v="PENDIENTE APROBACION  ENVIO TMS"/>
    <s v="000000001209657571"/>
    <x v="2"/>
    <x v="2"/>
    <s v="APROBAR"/>
    <n v="1"/>
    <e v="#N/A"/>
  </r>
  <r>
    <n v="1209657575"/>
    <s v="43"/>
    <x v="30"/>
    <d v="2026-10-12T09:39:03"/>
    <s v=""/>
    <s v="CAJA"/>
    <n v="8"/>
    <s v="PENDIENTE APROBACION  ENVIO TMS"/>
    <s v="000000001209657575"/>
    <x v="2"/>
    <x v="2"/>
    <s v="APROBAR"/>
    <n v="1"/>
    <e v="#N/A"/>
  </r>
  <r>
    <n v="1209657491"/>
    <s v="39"/>
    <x v="27"/>
    <d v="2026-10-12T09:39:04"/>
    <s v=""/>
    <s v="CAJA"/>
    <n v="37"/>
    <s v="PENDIENTE APROBACION  ENVIO TMS"/>
    <s v="000000001209657491"/>
    <x v="2"/>
    <x v="2"/>
    <s v="APROBAR"/>
    <n v="1"/>
    <e v="#N/A"/>
  </r>
  <r>
    <n v="8209657525"/>
    <s v="41"/>
    <x v="26"/>
    <d v="2026-10-12T09:39:05"/>
    <s v=""/>
    <s v="UNIDAD"/>
    <n v="3"/>
    <s v="PENDIENTE APROBACION  ENVIO TMS"/>
    <s v="000000008209657525"/>
    <x v="1"/>
    <x v="0"/>
    <s v="APROBAR"/>
    <n v="1"/>
    <e v="#N/A"/>
  </r>
  <r>
    <n v="8209657517"/>
    <s v="40"/>
    <x v="28"/>
    <d v="2026-10-12T09:39:06"/>
    <s v=""/>
    <s v="UNIDAD"/>
    <n v="25"/>
    <s v="PENDIENTE APROBACION  ENVIO TMS"/>
    <s v="000000008209657517"/>
    <x v="1"/>
    <x v="1"/>
    <s v="APROBAR"/>
    <n v="1"/>
    <e v="#N/A"/>
  </r>
  <r>
    <n v="1209657508"/>
    <s v="40"/>
    <x v="28"/>
    <d v="2026-10-12T09:39:08"/>
    <s v=""/>
    <s v="CAJA"/>
    <n v="11"/>
    <s v="PENDIENTE APROBACION  ENVIO TMS"/>
    <s v="000000001209657508"/>
    <x v="2"/>
    <x v="1"/>
    <s v="APROBAR"/>
    <n v="1"/>
    <e v="#N/A"/>
  </r>
  <r>
    <n v="1209657522"/>
    <s v="40"/>
    <x v="28"/>
    <d v="2026-10-12T09:39:08"/>
    <s v=""/>
    <s v="CAJA"/>
    <n v="40"/>
    <s v="PENDIENTE APROBACION  ENVIO TMS"/>
    <s v="000000001209657522"/>
    <x v="2"/>
    <x v="1"/>
    <s v="APROBAR"/>
    <n v="1"/>
    <e v="#N/A"/>
  </r>
  <r>
    <n v="1209657579"/>
    <s v="43"/>
    <x v="30"/>
    <d v="2026-10-12T09:39:10"/>
    <s v=""/>
    <s v="PACK"/>
    <n v="19"/>
    <s v="PENDIENTE APROBACION  ENVIO TMS"/>
    <s v="000000001209657579"/>
    <x v="2"/>
    <x v="2"/>
    <s v="APROBAR"/>
    <n v="1"/>
    <e v="#N/A"/>
  </r>
  <r>
    <n v="1209657473"/>
    <s v="39"/>
    <x v="27"/>
    <d v="2026-10-12T09:39:11"/>
    <s v=""/>
    <s v="PACK"/>
    <n v="4"/>
    <s v="PENDIENTE APROBACION  ENVIO TMS"/>
    <s v="000000001209657473"/>
    <x v="2"/>
    <x v="2"/>
    <s v="APROBAR"/>
    <n v="1"/>
    <e v="#N/A"/>
  </r>
  <r>
    <n v="1209657536"/>
    <s v="41"/>
    <x v="26"/>
    <d v="2026-10-12T09:39:12"/>
    <s v=""/>
    <s v="CAJA"/>
    <n v="17"/>
    <s v="PENDIENTE APROBACION  ENVIO TMS"/>
    <s v="000000001209657536"/>
    <x v="2"/>
    <x v="0"/>
    <s v="APROBAR"/>
    <n v="1"/>
    <e v="#N/A"/>
  </r>
  <r>
    <n v="1209657514"/>
    <s v="40"/>
    <x v="28"/>
    <d v="2026-10-12T09:39:14"/>
    <s v=""/>
    <s v="PACK"/>
    <n v="37"/>
    <s v="PENDIENTE APROBACION  ENVIO TMS"/>
    <s v="000000001209657514"/>
    <x v="2"/>
    <x v="1"/>
    <s v="APROBAR"/>
    <n v="1"/>
    <e v="#N/A"/>
  </r>
  <r>
    <n v="1209657542"/>
    <s v="41"/>
    <x v="26"/>
    <d v="2026-10-12T09:39:14"/>
    <s v=""/>
    <s v="PACK"/>
    <n v="53"/>
    <s v="PENDIENTE APROBACION  ENVIO TMS"/>
    <s v="000000001209657542"/>
    <x v="2"/>
    <x v="0"/>
    <s v="APROBAR"/>
    <n v="1"/>
    <e v="#N/A"/>
  </r>
  <r>
    <n v="8209657502"/>
    <s v="40"/>
    <x v="28"/>
    <d v="2026-10-12T09:39:16"/>
    <s v=""/>
    <s v="UNIDAD"/>
    <n v="21"/>
    <s v="PENDIENTE APROBACION  ENVIO TMS"/>
    <s v="000000008209657502"/>
    <x v="1"/>
    <x v="1"/>
    <s v="APROBAR"/>
    <n v="1"/>
    <e v="#N/A"/>
  </r>
  <r>
    <n v="8209657466"/>
    <s v="39"/>
    <x v="27"/>
    <d v="2026-10-12T09:39:17"/>
    <s v=""/>
    <s v="UNIDAD"/>
    <n v="6"/>
    <s v="PENDIENTE APROBACION  ENVIO TMS"/>
    <s v="000000008209657466"/>
    <x v="1"/>
    <x v="2"/>
    <s v="APROBAR"/>
    <n v="1"/>
    <e v="#N/A"/>
  </r>
  <r>
    <n v="8209657484"/>
    <s v="39"/>
    <x v="27"/>
    <d v="2026-10-12T09:39:18"/>
    <s v=""/>
    <s v="UNIDAD"/>
    <n v="2"/>
    <s v="PENDIENTE APROBACION  ENVIO TMS"/>
    <s v="000000008209657484"/>
    <x v="1"/>
    <x v="2"/>
    <s v="APROBAR"/>
    <n v="1"/>
    <e v="#N/A"/>
  </r>
  <r>
    <n v="1209657609"/>
    <s v="44"/>
    <x v="29"/>
    <d v="2026-10-12T09:39:20"/>
    <s v=""/>
    <s v="CAJA"/>
    <n v="16"/>
    <s v="PENDIENTE APROBACION  ENVIO TMS"/>
    <s v="000000001209657609"/>
    <x v="2"/>
    <x v="0"/>
    <s v="APROBAR"/>
    <n v="1"/>
    <e v="#N/A"/>
  </r>
  <r>
    <n v="8209657617"/>
    <s v="44"/>
    <x v="29"/>
    <d v="2026-10-12T09:39:20"/>
    <s v=""/>
    <s v="UNIDAD"/>
    <n v="5"/>
    <s v="PENDIENTE APROBACION  ENVIO TMS"/>
    <s v="000000008209657617"/>
    <x v="1"/>
    <x v="0"/>
    <s v="APROBAR"/>
    <n v="1"/>
    <e v="#N/A"/>
  </r>
  <r>
    <n v="1209657570"/>
    <s v="43"/>
    <x v="30"/>
    <d v="2026-10-12T09:39:22"/>
    <s v=""/>
    <s v="PACK"/>
    <n v="22"/>
    <s v="PENDIENTE APROBACION  ENVIO TMS"/>
    <s v="000000001209657570"/>
    <x v="2"/>
    <x v="2"/>
    <s v="APROBAR"/>
    <n v="1"/>
    <e v="#N/A"/>
  </r>
  <r>
    <n v="1209657573"/>
    <s v="43"/>
    <x v="30"/>
    <d v="2026-10-12T09:39:23"/>
    <s v=""/>
    <s v="CAJA"/>
    <n v="32"/>
    <s v="PENDIENTE APROBACION  ENVIO TMS"/>
    <s v="000000001209657573"/>
    <x v="2"/>
    <x v="2"/>
    <s v="APROBAR"/>
    <n v="1"/>
    <e v="#N/A"/>
  </r>
  <r>
    <n v="1209657535"/>
    <s v="41"/>
    <x v="26"/>
    <d v="2026-10-12T09:39:25"/>
    <s v=""/>
    <s v="PACK"/>
    <n v="19"/>
    <s v="PENDIENTE APROBACION  ENVIO TMS"/>
    <s v="000000001209657535"/>
    <x v="2"/>
    <x v="0"/>
    <s v="APROBAR"/>
    <n v="1"/>
    <e v="#N/A"/>
  </r>
  <r>
    <n v="8209657524"/>
    <s v="41"/>
    <x v="26"/>
    <d v="2026-10-12T09:39:25"/>
    <s v=""/>
    <s v="UNIDAD"/>
    <n v="2"/>
    <s v="PENDIENTE APROBACION  ENVIO TMS"/>
    <s v="000000008209657524"/>
    <x v="1"/>
    <x v="0"/>
    <s v="APROBAR"/>
    <n v="1"/>
    <e v="#N/A"/>
  </r>
  <r>
    <n v="1209657532"/>
    <s v="41"/>
    <x v="26"/>
    <d v="2026-10-12T09:39:26"/>
    <s v=""/>
    <s v="CAJA"/>
    <n v="14"/>
    <s v="PENDIENTE APROBACION  ENVIO TMS"/>
    <s v="000000001209657532"/>
    <x v="2"/>
    <x v="0"/>
    <s v="APROBAR"/>
    <n v="1"/>
    <e v="#N/A"/>
  </r>
  <r>
    <n v="1209657537"/>
    <s v="41"/>
    <x v="26"/>
    <d v="2026-10-12T09:39:28"/>
    <s v=""/>
    <s v="PACK"/>
    <n v="31"/>
    <s v="PENDIENTE APROBACION  ENVIO TMS"/>
    <s v="000000001209657537"/>
    <x v="2"/>
    <x v="0"/>
    <s v="APROBAR"/>
    <n v="1"/>
    <e v="#N/A"/>
  </r>
  <r>
    <n v="1209657516"/>
    <s v="40"/>
    <x v="28"/>
    <d v="2026-10-12T09:39:29"/>
    <s v=""/>
    <s v="CAJA"/>
    <n v="2"/>
    <s v="PENDIENTE APROBACION  ENVIO TMS"/>
    <s v="000000001209657516"/>
    <x v="2"/>
    <x v="1"/>
    <s v="APROBAR"/>
    <n v="1"/>
    <e v="#N/A"/>
  </r>
  <r>
    <n v="8209657567"/>
    <s v="43"/>
    <x v="30"/>
    <d v="2026-10-12T09:39:30"/>
    <s v=""/>
    <s v="UNIDAD"/>
    <n v="29"/>
    <s v="PENDIENTE APROBACION  ENVIO TMS"/>
    <s v="000000008209657567"/>
    <x v="1"/>
    <x v="2"/>
    <s v="APROBAR"/>
    <n v="1"/>
    <e v="#N/A"/>
  </r>
  <r>
    <n v="8209657503"/>
    <s v="40"/>
    <x v="28"/>
    <d v="2026-10-12T09:39:31"/>
    <s v=""/>
    <s v="UNIDAD"/>
    <n v="6"/>
    <s v="PENDIENTE APROBACION  ENVIO TMS"/>
    <s v="000000008209657503"/>
    <x v="1"/>
    <x v="1"/>
    <s v="APROBAR"/>
    <n v="1"/>
    <e v="#N/A"/>
  </r>
  <r>
    <n v="8209657468"/>
    <s v="39"/>
    <x v="27"/>
    <d v="2026-10-12T09:39:32"/>
    <s v=""/>
    <s v="UNIDAD"/>
    <n v="9"/>
    <s v="PENDIENTE APROBACION  ENVIO TMS"/>
    <s v="000000008209657468"/>
    <x v="1"/>
    <x v="2"/>
    <s v="APROBAR"/>
    <n v="1"/>
    <e v="#N/A"/>
  </r>
  <r>
    <n v="8209657600"/>
    <s v="44"/>
    <x v="29"/>
    <d v="2026-10-12T09:39:33"/>
    <s v=""/>
    <s v="UNIDAD"/>
    <n v="11"/>
    <s v="PENDIENTE APROBACION  ENVIO TMS"/>
    <s v="000000008209657600"/>
    <x v="1"/>
    <x v="0"/>
    <s v="APROBAR"/>
    <n v="1"/>
    <e v="#N/A"/>
  </r>
  <r>
    <n v="8209657618"/>
    <s v="44"/>
    <x v="29"/>
    <d v="2026-10-12T09:39:35"/>
    <s v=""/>
    <s v="UNIDAD"/>
    <n v="1"/>
    <s v="PENDIENTE APROBACION  ENVIO TMS"/>
    <s v="000000008209657618"/>
    <x v="1"/>
    <x v="0"/>
    <s v="APROBAR"/>
    <n v="1"/>
    <e v="#N/A"/>
  </r>
  <r>
    <n v="1209657511"/>
    <s v="40"/>
    <x v="28"/>
    <d v="2026-10-12T09:39:36"/>
    <s v=""/>
    <s v="CAJA"/>
    <n v="30"/>
    <s v="PENDIENTE APROBACION  ENVIO TMS"/>
    <s v="000000001209657511"/>
    <x v="2"/>
    <x v="1"/>
    <s v="APROBAR"/>
    <n v="1"/>
    <e v="#N/A"/>
  </r>
  <r>
    <n v="1209657512"/>
    <s v="40"/>
    <x v="28"/>
    <d v="2026-10-12T09:39:37"/>
    <s v=""/>
    <s v="CAJA"/>
    <n v="38"/>
    <s v="PENDIENTE APROBACION  ENVIO TMS"/>
    <s v="000000001209657512"/>
    <x v="2"/>
    <x v="1"/>
    <s v="APROBAR"/>
    <n v="1"/>
    <e v="#N/A"/>
  </r>
  <r>
    <n v="8209657529"/>
    <s v="41"/>
    <x v="26"/>
    <d v="2026-10-12T09:39:38"/>
    <s v=""/>
    <s v="UNIDAD"/>
    <n v="54"/>
    <s v="PENDIENTE APROBACION  ENVIO TMS"/>
    <s v="000000008209657529"/>
    <x v="1"/>
    <x v="0"/>
    <s v="APROBAR"/>
    <n v="1"/>
    <e v="#N/A"/>
  </r>
  <r>
    <n v="1209657476"/>
    <s v="39"/>
    <x v="27"/>
    <d v="2026-10-12T09:39:39"/>
    <s v=""/>
    <s v="PACK"/>
    <n v="18"/>
    <s v="PENDIENTE APROBACION  ENVIO TMS"/>
    <s v="000000001209657476"/>
    <x v="2"/>
    <x v="2"/>
    <s v="APROBAR"/>
    <n v="1"/>
    <e v="#N/A"/>
  </r>
  <r>
    <n v="1209657515"/>
    <s v="40"/>
    <x v="28"/>
    <d v="2026-10-12T09:39:41"/>
    <s v=""/>
    <s v="PACK"/>
    <n v="49"/>
    <s v="PENDIENTE APROBACION  ENVIO TMS"/>
    <s v="000000001209657515"/>
    <x v="2"/>
    <x v="1"/>
    <s v="APROBAR"/>
    <n v="1"/>
    <e v="#N/A"/>
  </r>
  <r>
    <n v="8209657504"/>
    <s v="40"/>
    <x v="28"/>
    <d v="2026-10-12T09:39:41"/>
    <s v=""/>
    <s v="UNIDAD"/>
    <n v="30"/>
    <s v="PENDIENTE APROBACION  ENVIO TMS"/>
    <s v="000000008209657504"/>
    <x v="1"/>
    <x v="1"/>
    <s v="APROBAR"/>
    <n v="1"/>
    <e v="#N/A"/>
  </r>
  <r>
    <n v="8209657469"/>
    <s v="39"/>
    <x v="27"/>
    <d v="2026-10-12T09:39:43"/>
    <s v=""/>
    <s v="UNIDAD"/>
    <n v="10"/>
    <s v="PENDIENTE APROBACION  ENVIO TMS"/>
    <s v="000000008209657469"/>
    <x v="1"/>
    <x v="2"/>
    <s v="APROBAR"/>
    <n v="1"/>
    <e v="#N/A"/>
  </r>
  <r>
    <n v="1209657482"/>
    <s v="39"/>
    <x v="27"/>
    <d v="2026-10-12T09:39:44"/>
    <s v=""/>
    <s v="CAJA"/>
    <n v="1"/>
    <s v="PENDIENTE APROBACION  ENVIO TMS"/>
    <s v="000000001209657482"/>
    <x v="2"/>
    <x v="2"/>
    <s v="APROBAR"/>
    <n v="1"/>
    <e v="#N/A"/>
  </r>
  <r>
    <n v="8209657470"/>
    <s v="39"/>
    <x v="27"/>
    <d v="2026-10-12T09:39:45"/>
    <s v=""/>
    <s v="UNIDAD"/>
    <n v="43"/>
    <s v="PENDIENTE APROBACION  ENVIO TMS"/>
    <s v="000000008209657470"/>
    <x v="1"/>
    <x v="2"/>
    <s v="APROBAR"/>
    <n v="1"/>
    <e v="#N/A"/>
  </r>
  <r>
    <n v="1209657612"/>
    <s v="44"/>
    <x v="29"/>
    <d v="2026-10-12T09:39:47"/>
    <s v=""/>
    <s v="PACK"/>
    <n v="26"/>
    <s v="PENDIENTE APROBACION  ENVIO TMS"/>
    <s v="000000001209657612"/>
    <x v="2"/>
    <x v="0"/>
    <s v="APROBAR"/>
    <n v="1"/>
    <e v="#N/A"/>
  </r>
  <r>
    <n v="1209657619"/>
    <s v="44"/>
    <x v="29"/>
    <d v="2026-10-12T09:39:47"/>
    <s v=""/>
    <s v="PACK"/>
    <n v="3"/>
    <s v="PENDIENTE APROBACION  ENVIO TMS"/>
    <s v="000000001209657619"/>
    <x v="2"/>
    <x v="0"/>
    <s v="APROBAR"/>
    <n v="1"/>
    <e v="#N/A"/>
  </r>
  <r>
    <n v="1209657621"/>
    <s v="44"/>
    <x v="29"/>
    <d v="2026-10-12T09:39:48"/>
    <s v=""/>
    <s v="CAJA"/>
    <n v="37"/>
    <s v="PENDIENTE APROBACION  ENVIO TMS"/>
    <s v="000000001209657621"/>
    <x v="2"/>
    <x v="0"/>
    <s v="APROBAR"/>
    <n v="1"/>
    <e v="#N/A"/>
  </r>
  <r>
    <n v="1209657610"/>
    <s v="44"/>
    <x v="29"/>
    <d v="2026-10-12T09:39:50"/>
    <s v=""/>
    <s v="PACK"/>
    <n v="19"/>
    <s v="PENDIENTE APROBACION  ENVIO TMS"/>
    <s v="000000001209657610"/>
    <x v="2"/>
    <x v="0"/>
    <s v="APROBAR"/>
    <n v="1"/>
    <e v="#N/A"/>
  </r>
  <r>
    <n v="1209657523"/>
    <s v="40"/>
    <x v="28"/>
    <d v="2026-10-12T09:39:51"/>
    <s v=""/>
    <s v="CAJA"/>
    <n v="69"/>
    <s v="PENDIENTE APROBACION  ENVIO TMS"/>
    <s v="000000001209657523"/>
    <x v="2"/>
    <x v="1"/>
    <s v="APROBAR"/>
    <n v="1"/>
    <e v="#N/A"/>
  </r>
  <r>
    <n v="1209657569"/>
    <s v="43"/>
    <x v="30"/>
    <d v="2026-10-12T09:39:53"/>
    <s v=""/>
    <s v="UNIDAD"/>
    <n v="30"/>
    <s v="PENDIENTE APROBACION  ENVIO TMS"/>
    <s v="000000001209657569"/>
    <x v="2"/>
    <x v="2"/>
    <s v="APROBAR"/>
    <n v="1"/>
    <e v="#N/A"/>
  </r>
  <r>
    <n v="8209657518"/>
    <s v="40"/>
    <x v="28"/>
    <d v="2026-10-12T09:39:54"/>
    <s v=""/>
    <s v="UNIDAD"/>
    <n v="3"/>
    <s v="PENDIENTE APROBACION  ENVIO TMS"/>
    <s v="000000008209657518"/>
    <x v="1"/>
    <x v="1"/>
    <s v="APROBAR"/>
    <n v="1"/>
    <e v="#N/A"/>
  </r>
  <r>
    <n v="8209657601"/>
    <s v="44"/>
    <x v="29"/>
    <d v="2026-10-12T09:39:55"/>
    <s v=""/>
    <s v="UNIDAD"/>
    <n v="2"/>
    <s v="PENDIENTE APROBACION  ENVIO TMS"/>
    <s v="000000008209657601"/>
    <x v="1"/>
    <x v="0"/>
    <s v="APROBAR"/>
    <n v="1"/>
    <e v="#N/A"/>
  </r>
  <r>
    <n v="1209657583"/>
    <s v="43"/>
    <x v="30"/>
    <d v="2026-10-12T09:39:56"/>
    <s v=""/>
    <s v="CAJA"/>
    <n v="36"/>
    <s v="PENDIENTE APROBACION  ENVIO TMS"/>
    <s v="000000001209657583"/>
    <x v="2"/>
    <x v="2"/>
    <s v="APROBAR"/>
    <n v="1"/>
    <e v="#N/A"/>
  </r>
  <r>
    <n v="1209657606"/>
    <s v="44"/>
    <x v="29"/>
    <d v="2026-10-12T09:39:58"/>
    <s v=""/>
    <s v="CAJA"/>
    <n v="11"/>
    <s v="PENDIENTE APROBACION  ENVIO TMS"/>
    <s v="000000001209657606"/>
    <x v="2"/>
    <x v="0"/>
    <s v="APROBAR"/>
    <n v="1"/>
    <e v="#N/A"/>
  </r>
  <r>
    <n v="1209657578"/>
    <s v="43"/>
    <x v="30"/>
    <d v="2026-10-12T09:39:59"/>
    <s v=""/>
    <s v="CAJA"/>
    <n v="55"/>
    <s v="PENDIENTE APROBACION  ENVIO TMS"/>
    <s v="000000001209657578"/>
    <x v="2"/>
    <x v="2"/>
    <s v="APROBAR"/>
    <n v="1"/>
    <e v="#N/A"/>
  </r>
  <r>
    <n v="8209657527"/>
    <s v="41"/>
    <x v="26"/>
    <d v="2026-10-12T09:40:00"/>
    <s v=""/>
    <s v="UNIDAD"/>
    <n v="2"/>
    <s v="PENDIENTE APROBACION  ENVIO TMS"/>
    <s v="000000008209657527"/>
    <x v="1"/>
    <x v="0"/>
    <s v="APROBAR"/>
    <n v="1"/>
    <e v="#N/A"/>
  </r>
  <r>
    <n v="1209657531"/>
    <s v="41"/>
    <x v="26"/>
    <d v="2026-10-12T09:40:01"/>
    <s v=""/>
    <s v="CAJA"/>
    <n v="7"/>
    <s v="PENDIENTE APROBACION  ENVIO TMS"/>
    <s v="000000001209657531"/>
    <x v="2"/>
    <x v="0"/>
    <s v="APROBAR"/>
    <n v="1"/>
    <e v="#N/A"/>
  </r>
  <r>
    <n v="1209657478"/>
    <s v="39"/>
    <x v="27"/>
    <d v="2026-10-12T09:40:02"/>
    <s v=""/>
    <s v="CAJA"/>
    <n v="15"/>
    <s v="PENDIENTE APROBACION  ENVIO TMS"/>
    <s v="000000001209657478"/>
    <x v="2"/>
    <x v="2"/>
    <s v="APROBAR"/>
    <n v="1"/>
    <e v="#N/A"/>
  </r>
  <r>
    <n v="8209657563"/>
    <s v="43"/>
    <x v="30"/>
    <d v="2026-10-12T09:40:04"/>
    <s v=""/>
    <s v="UNIDAD"/>
    <n v="32"/>
    <s v="PENDIENTE APROBACION  ENVIO TMS"/>
    <s v="000000008209657563"/>
    <x v="1"/>
    <x v="2"/>
    <s v="APROBAR"/>
    <n v="1"/>
    <e v="#N/A"/>
  </r>
  <r>
    <n v="1209657479"/>
    <s v="39"/>
    <x v="27"/>
    <d v="2026-10-12T09:40:05"/>
    <s v=""/>
    <s v="CAJA"/>
    <n v="24"/>
    <s v="PENDIENTE APROBACION  ENVIO TMS"/>
    <s v="000000001209657479"/>
    <x v="2"/>
    <x v="2"/>
    <s v="APROBAR"/>
    <n v="1"/>
    <e v="#N/A"/>
  </r>
  <r>
    <n v="8209657566"/>
    <s v="43"/>
    <x v="30"/>
    <d v="2026-10-12T09:40:06"/>
    <s v=""/>
    <s v="UNIDAD"/>
    <n v="13"/>
    <s v="PENDIENTE APROBACION  ENVIO TMS"/>
    <s v="000000008209657566"/>
    <x v="1"/>
    <x v="2"/>
    <s v="APROBAR"/>
    <n v="1"/>
    <e v="#N/A"/>
  </r>
  <r>
    <n v="1209657521"/>
    <s v="40"/>
    <x v="28"/>
    <d v="2026-10-12T09:40:07"/>
    <s v=""/>
    <s v="PACK"/>
    <n v="21"/>
    <s v="PENDIENTE APROBACION  ENVIO TMS"/>
    <s v="000000001209657521"/>
    <x v="2"/>
    <x v="1"/>
    <s v="APROBAR"/>
    <n v="1"/>
    <e v="#N/A"/>
  </r>
  <r>
    <n v="1209657480"/>
    <s v="39"/>
    <x v="27"/>
    <d v="2026-10-12T09:40:08"/>
    <s v=""/>
    <s v="PACK"/>
    <n v="38"/>
    <s v="PENDIENTE APROBACION  ENVIO TMS"/>
    <s v="000000001209657480"/>
    <x v="2"/>
    <x v="2"/>
    <s v="APROBAR"/>
    <n v="1"/>
    <e v="#N/A"/>
  </r>
  <r>
    <n v="1209657622"/>
    <s v="44"/>
    <x v="29"/>
    <d v="2026-10-12T09:40:10"/>
    <s v=""/>
    <s v="PACK"/>
    <n v="41"/>
    <s v="PENDIENTE APROBACION  ENVIO TMS"/>
    <s v="000000001209657622"/>
    <x v="2"/>
    <x v="0"/>
    <s v="APROBAR"/>
    <n v="1"/>
    <e v="#N/A"/>
  </r>
  <r>
    <n v="1209657623"/>
    <s v="44"/>
    <x v="29"/>
    <d v="2026-10-12T09:40:11"/>
    <s v=""/>
    <s v="CAJA"/>
    <n v="52"/>
    <s v="PENDIENTE APROBACION  ENVIO TMS"/>
    <s v="000000001209657623"/>
    <x v="2"/>
    <x v="0"/>
    <s v="APROBAR"/>
    <n v="1"/>
    <e v="#N/A"/>
  </r>
  <r>
    <n v="8209657603"/>
    <s v="44"/>
    <x v="29"/>
    <d v="2026-10-12T09:40:12"/>
    <s v=""/>
    <s v="UNIDAD"/>
    <n v="3"/>
    <s v="PENDIENTE APROBACION  ENVIO TMS"/>
    <s v="000000008209657603"/>
    <x v="1"/>
    <x v="0"/>
    <s v="APROBAR"/>
    <n v="1"/>
    <e v="#N/A"/>
  </r>
  <r>
    <n v="1209657572"/>
    <s v="43"/>
    <x v="30"/>
    <d v="2026-10-12T09:40:13"/>
    <s v=""/>
    <s v="UNIDAD"/>
    <n v="35"/>
    <s v="PENDIENTE APROBACION  ENVIO TMS"/>
    <s v="000000001209657572"/>
    <x v="2"/>
    <x v="2"/>
    <s v="APROBAR"/>
    <n v="1"/>
    <e v="#N/A"/>
  </r>
  <r>
    <n v="1209657490"/>
    <s v="39"/>
    <x v="27"/>
    <d v="2026-10-12T09:40:14"/>
    <s v=""/>
    <s v="PACK"/>
    <n v="8"/>
    <s v="PENDIENTE APROBACION  ENVIO TMS"/>
    <s v="000000001209657490"/>
    <x v="2"/>
    <x v="2"/>
    <s v="APROBAR"/>
    <n v="1"/>
    <e v="#N/A"/>
  </r>
  <r>
    <n v="8209657528"/>
    <s v="41"/>
    <x v="26"/>
    <d v="2026-10-12T09:40:16"/>
    <s v=""/>
    <s v="UNIDAD"/>
    <n v="4"/>
    <s v="PENDIENTE APROBACION  ENVIO TMS"/>
    <s v="000000008209657528"/>
    <x v="1"/>
    <x v="0"/>
    <s v="APROBAR"/>
    <n v="1"/>
    <e v="#N/A"/>
  </r>
  <r>
    <n v="1209657513"/>
    <s v="40"/>
    <x v="28"/>
    <d v="2026-10-12T09:40:17"/>
    <s v=""/>
    <s v="PACK"/>
    <n v="39"/>
    <s v="PENDIENTE APROBACION  ENVIO TMS"/>
    <s v="000000001209657513"/>
    <x v="2"/>
    <x v="1"/>
    <s v="APROBAR"/>
    <n v="1"/>
    <e v="#N/A"/>
  </r>
  <r>
    <n v="1209657534"/>
    <s v="41"/>
    <x v="26"/>
    <d v="2026-10-12T09:40:17"/>
    <s v=""/>
    <s v="CAJA"/>
    <n v="19"/>
    <s v="PENDIENTE APROBACION  ENVIO TMS"/>
    <s v="000000001209657534"/>
    <x v="2"/>
    <x v="0"/>
    <s v="APROBAR"/>
    <n v="1"/>
    <e v="#N/A"/>
  </r>
  <r>
    <n v="1209657533"/>
    <s v="41"/>
    <x v="26"/>
    <d v="2026-10-12T09:40:19"/>
    <s v=""/>
    <s v="CAJA"/>
    <n v="11"/>
    <s v="PENDIENTE APROBACION  ENVIO TMS"/>
    <s v="000000001209657533"/>
    <x v="2"/>
    <x v="0"/>
    <s v="APROBAR"/>
    <n v="1"/>
    <e v="#N/A"/>
  </r>
  <r>
    <n v="1209657540"/>
    <s v="41"/>
    <x v="26"/>
    <d v="2026-10-12T09:40:20"/>
    <s v=""/>
    <s v="CAJA"/>
    <n v="39"/>
    <s v="PENDIENTE APROBACION  ENVIO TMS"/>
    <s v="000000001209657540"/>
    <x v="2"/>
    <x v="0"/>
    <s v="APROBAR"/>
    <n v="1"/>
    <e v="#N/A"/>
  </r>
  <r>
    <n v="8209657564"/>
    <s v="43"/>
    <x v="30"/>
    <d v="2026-10-12T09:40:22"/>
    <s v=""/>
    <s v="UNIDAD"/>
    <n v="3"/>
    <s v="PENDIENTE APROBACION  ENVIO TMS"/>
    <s v="000000008209657564"/>
    <x v="1"/>
    <x v="2"/>
    <s v="APROBAR"/>
    <n v="1"/>
    <e v="#N/A"/>
  </r>
  <r>
    <n v="1209657568"/>
    <s v="43"/>
    <x v="30"/>
    <d v="2026-10-12T09:40:23"/>
    <s v=""/>
    <s v="PACK"/>
    <n v="2"/>
    <s v="PENDIENTE APROBACION  ENVIO TMS"/>
    <s v="000000001209657568"/>
    <x v="2"/>
    <x v="2"/>
    <s v="APROBAR"/>
    <n v="1"/>
    <e v="#N/A"/>
  </r>
  <r>
    <n v="8209657565"/>
    <s v="43"/>
    <x v="30"/>
    <d v="2026-10-12T09:40:23"/>
    <s v=""/>
    <s v="UNIDAD"/>
    <n v="3"/>
    <s v="PENDIENTE APROBACION  ENVIO TMS"/>
    <s v="000000008209657565"/>
    <x v="1"/>
    <x v="2"/>
    <s v="APROBAR"/>
    <n v="1"/>
    <e v="#N/A"/>
  </r>
  <r>
    <n v="1209657481"/>
    <s v="39"/>
    <x v="27"/>
    <d v="2026-10-12T09:40:25"/>
    <s v=""/>
    <s v="CAJA"/>
    <n v="49"/>
    <s v="PENDIENTE APROBACION  ENVIO TMS"/>
    <s v="000000001209657481"/>
    <x v="2"/>
    <x v="2"/>
    <s v="APROBAR"/>
    <n v="1"/>
    <e v="#N/A"/>
  </r>
  <r>
    <n v="8209657505"/>
    <s v="40"/>
    <x v="28"/>
    <d v="2026-10-12T09:40:26"/>
    <s v=""/>
    <s v="UNIDAD"/>
    <n v="3"/>
    <s v="PENDIENTE APROBACION  ENVIO TMS"/>
    <s v="000000008209657505"/>
    <x v="1"/>
    <x v="1"/>
    <s v="APROBAR"/>
    <n v="1"/>
    <e v="#N/A"/>
  </r>
  <r>
    <n v="8209657471"/>
    <s v="39"/>
    <x v="27"/>
    <d v="2026-10-12T09:40:27"/>
    <s v=""/>
    <s v="UNIDAD"/>
    <n v="6"/>
    <s v="PENDIENTE APROBACION  ENVIO TMS"/>
    <s v="000000008209657471"/>
    <x v="1"/>
    <x v="2"/>
    <s v="APROBAR"/>
    <n v="1"/>
    <e v="#N/A"/>
  </r>
  <r>
    <n v="8209657599"/>
    <s v="44"/>
    <x v="29"/>
    <d v="2026-10-12T09:40:29"/>
    <s v=""/>
    <s v="UNIDAD"/>
    <n v="4"/>
    <s v="PENDIENTE APROBACION  ENVIO TMS"/>
    <s v="000000008209657599"/>
    <x v="1"/>
    <x v="0"/>
    <s v="APROBAR"/>
    <n v="1"/>
    <e v="#N/A"/>
  </r>
  <r>
    <n v="8209657602"/>
    <s v="44"/>
    <x v="29"/>
    <d v="2026-10-12T09:40:29"/>
    <s v=""/>
    <s v="UNIDAD"/>
    <n v="4"/>
    <s v="PENDIENTE APROBACION  ENVIO TMS"/>
    <s v="000000008209657602"/>
    <x v="1"/>
    <x v="0"/>
    <s v="APROBAR"/>
    <n v="1"/>
    <e v="#N/A"/>
  </r>
  <r>
    <n v="1209657620"/>
    <s v="44"/>
    <x v="29"/>
    <d v="2026-10-12T09:40:30"/>
    <s v=""/>
    <s v="PACK"/>
    <n v="9"/>
    <s v="PENDIENTE APROBACION  ENVIO TMS"/>
    <s v="000000001209657620"/>
    <x v="2"/>
    <x v="0"/>
    <s v="APROBAR"/>
    <n v="1"/>
    <e v="#N/A"/>
  </r>
  <r>
    <n v="1209657652"/>
    <s v="45"/>
    <x v="31"/>
    <d v="2026-10-12T09:43:52"/>
    <s v=""/>
    <s v="PACK"/>
    <n v="10"/>
    <s v="PENDIENTE APROBACION  ENVIO TMS"/>
    <s v="000000001209657652"/>
    <x v="2"/>
    <x v="1"/>
    <s v="APROBAR"/>
    <n v="1"/>
    <e v="#N/A"/>
  </r>
  <r>
    <n v="1209657801"/>
    <s v="49"/>
    <x v="32"/>
    <d v="2026-10-12T09:43:53"/>
    <s v=""/>
    <s v="PACK"/>
    <n v="18"/>
    <s v="PENDIENTE APROBACION  ENVIO TMS"/>
    <s v="000000001209657801"/>
    <x v="2"/>
    <x v="1"/>
    <s v="APROBAR"/>
    <n v="1"/>
    <e v="#N/A"/>
  </r>
  <r>
    <n v="1209657808"/>
    <s v="49"/>
    <x v="32"/>
    <d v="2026-10-12T09:43:54"/>
    <s v=""/>
    <s v="CAJA"/>
    <n v="2"/>
    <s v="PENDIENTE APROBACION  ENVIO TMS"/>
    <s v="000000001209657808"/>
    <x v="2"/>
    <x v="1"/>
    <s v="APROBAR"/>
    <n v="1"/>
    <e v="#N/A"/>
  </r>
  <r>
    <n v="1209657809"/>
    <s v="49"/>
    <x v="32"/>
    <d v="2026-10-12T09:43:56"/>
    <s v=""/>
    <s v="PACK"/>
    <n v="11"/>
    <s v="PENDIENTE APROBACION  ENVIO TMS"/>
    <s v="000000001209657809"/>
    <x v="2"/>
    <x v="1"/>
    <s v="APROBAR"/>
    <n v="1"/>
    <e v="#N/A"/>
  </r>
  <r>
    <n v="1209657694"/>
    <s v="46"/>
    <x v="33"/>
    <d v="2026-10-12T09:43:57"/>
    <s v=""/>
    <s v="CAJA"/>
    <n v="17"/>
    <s v="PENDIENTE APROBACION  ENVIO TMS"/>
    <s v="000000001209657694"/>
    <x v="2"/>
    <x v="2"/>
    <s v="APROBAR"/>
    <n v="1"/>
    <e v="#N/A"/>
  </r>
  <r>
    <n v="8209657698"/>
    <s v="46"/>
    <x v="33"/>
    <d v="2026-10-12T09:43:58"/>
    <s v=""/>
    <s v="UNIDAD"/>
    <n v="1"/>
    <s v="PENDIENTE APROBACION  ENVIO TMS"/>
    <s v="000000008209657698"/>
    <x v="1"/>
    <x v="2"/>
    <s v="APROBAR"/>
    <n v="1"/>
    <e v="#N/A"/>
  </r>
  <r>
    <n v="1209657775"/>
    <s v="48"/>
    <x v="34"/>
    <d v="2026-10-12T09:44:00"/>
    <s v=""/>
    <s v="CAJA"/>
    <n v="15"/>
    <s v="PENDIENTE APROBACION  ENVIO TMS"/>
    <s v="000000001209657775"/>
    <x v="2"/>
    <x v="1"/>
    <s v="APROBAR"/>
    <n v="1"/>
    <e v="#N/A"/>
  </r>
  <r>
    <n v="1209657777"/>
    <s v="48"/>
    <x v="34"/>
    <d v="2026-10-12T09:44:03"/>
    <s v=""/>
    <s v="PACK"/>
    <n v="29"/>
    <s v="PENDIENTE APROBACION  ENVIO TMS"/>
    <s v="000000001209657777"/>
    <x v="2"/>
    <x v="1"/>
    <s v="APROBAR"/>
    <n v="1"/>
    <e v="#N/A"/>
  </r>
  <r>
    <n v="8209657649"/>
    <s v="45"/>
    <x v="31"/>
    <d v="2026-10-12T09:44:06"/>
    <s v=""/>
    <s v="UNIDAD"/>
    <n v="6"/>
    <s v="PENDIENTE APROBACION  ENVIO TMS"/>
    <s v="000000008209657649"/>
    <x v="1"/>
    <x v="1"/>
    <s v="APROBAR"/>
    <n v="1"/>
    <e v="#N/A"/>
  </r>
  <r>
    <n v="8209657650"/>
    <s v="45"/>
    <x v="31"/>
    <d v="2026-10-12T09:44:07"/>
    <s v=""/>
    <s v="UNIDAD"/>
    <n v="1"/>
    <s v="PENDIENTE APROBACION  ENVIO TMS"/>
    <s v="000000008209657650"/>
    <x v="1"/>
    <x v="1"/>
    <s v="APROBAR"/>
    <n v="1"/>
    <e v="#N/A"/>
  </r>
  <r>
    <n v="8209657806"/>
    <s v="49"/>
    <x v="32"/>
    <d v="2026-10-12T09:44:08"/>
    <s v=""/>
    <s v="UNIDAD"/>
    <n v="1"/>
    <s v="PENDIENTE APROBACION  ENVIO TMS"/>
    <s v="000000008209657806"/>
    <x v="1"/>
    <x v="1"/>
    <s v="APROBAR"/>
    <n v="1"/>
    <e v="#N/A"/>
  </r>
  <r>
    <n v="1209657659"/>
    <s v="45"/>
    <x v="31"/>
    <d v="2026-10-12T09:44:10"/>
    <s v=""/>
    <s v="PACK"/>
    <n v="46"/>
    <s v="PENDIENTE APROBACION  ENVIO TMS"/>
    <s v="000000001209657659"/>
    <x v="2"/>
    <x v="1"/>
    <s v="APROBAR"/>
    <n v="1"/>
    <e v="#N/A"/>
  </r>
  <r>
    <n v="1209657696"/>
    <s v="46"/>
    <x v="33"/>
    <d v="2026-10-12T09:44:11"/>
    <s v=""/>
    <s v="CAJA"/>
    <n v="12"/>
    <s v="PENDIENTE APROBACION  ENVIO TMS"/>
    <s v="000000001209657696"/>
    <x v="2"/>
    <x v="2"/>
    <s v="APROBAR"/>
    <n v="1"/>
    <e v="#N/A"/>
  </r>
  <r>
    <n v="1209657774"/>
    <s v="48"/>
    <x v="34"/>
    <d v="2026-10-12T09:44:12"/>
    <s v=""/>
    <s v="PACK"/>
    <n v="13"/>
    <s v="PENDIENTE APROBACION  ENVIO TMS"/>
    <s v="000000001209657774"/>
    <x v="2"/>
    <x v="1"/>
    <s v="APROBAR"/>
    <n v="1"/>
    <e v="#N/A"/>
  </r>
  <r>
    <n v="8209657789"/>
    <s v="49"/>
    <x v="32"/>
    <d v="2026-10-12T09:44:14"/>
    <s v=""/>
    <s v="UNIDAD"/>
    <n v="3"/>
    <s v="PENDIENTE APROBACION  ENVIO TMS"/>
    <s v="000000008209657789"/>
    <x v="1"/>
    <x v="1"/>
    <s v="APROBAR"/>
    <n v="1"/>
    <e v="#N/A"/>
  </r>
  <r>
    <n v="8209657792"/>
    <s v="49"/>
    <x v="32"/>
    <d v="2026-10-12T09:44:15"/>
    <s v=""/>
    <s v="UNIDAD"/>
    <n v="12"/>
    <s v="PENDIENTE APROBACION  ENVIO TMS"/>
    <s v="000000008209657792"/>
    <x v="1"/>
    <x v="1"/>
    <s v="APROBAR"/>
    <n v="1"/>
    <e v="#N/A"/>
  </r>
  <r>
    <n v="8209657757"/>
    <s v="48"/>
    <x v="34"/>
    <d v="2026-10-12T09:44:16"/>
    <s v=""/>
    <s v="UNIDAD"/>
    <n v="2"/>
    <s v="PENDIENTE APROBACION  ENVIO TMS"/>
    <s v="000000008209657757"/>
    <x v="1"/>
    <x v="1"/>
    <s v="APROBAR"/>
    <n v="1"/>
    <e v="#N/A"/>
  </r>
  <r>
    <n v="8209657771"/>
    <s v="48"/>
    <x v="34"/>
    <d v="2026-10-12T09:44:18"/>
    <s v=""/>
    <s v="UNIDAD"/>
    <n v="4"/>
    <s v="PENDIENTE APROBACION  ENVIO TMS"/>
    <s v="000000008209657771"/>
    <x v="1"/>
    <x v="1"/>
    <s v="APROBAR"/>
    <n v="1"/>
    <e v="#N/A"/>
  </r>
  <r>
    <n v="1209657695"/>
    <s v="46"/>
    <x v="33"/>
    <d v="2026-10-12T09:44:19"/>
    <s v=""/>
    <s v="CAJA"/>
    <n v="20"/>
    <s v="PENDIENTE APROBACION  ENVIO TMS"/>
    <s v="000000001209657695"/>
    <x v="2"/>
    <x v="2"/>
    <s v="APROBAR"/>
    <n v="1"/>
    <e v="#N/A"/>
  </r>
  <r>
    <n v="8209657699"/>
    <s v="46"/>
    <x v="33"/>
    <d v="2026-10-12T09:44:20"/>
    <s v=""/>
    <s v="UNIDAD"/>
    <n v="10"/>
    <s v="PENDIENTE APROBACION  ENVIO TMS"/>
    <s v="000000008209657699"/>
    <x v="1"/>
    <x v="2"/>
    <s v="APROBAR"/>
    <n v="1"/>
    <e v="#N/A"/>
  </r>
  <r>
    <n v="1209657762"/>
    <s v="48"/>
    <x v="34"/>
    <d v="2026-10-12T09:44:21"/>
    <s v=""/>
    <s v="PACK"/>
    <n v="9"/>
    <s v="PENDIENTE APROBACION  ENVIO TMS"/>
    <s v="000000001209657762"/>
    <x v="2"/>
    <x v="1"/>
    <s v="APROBAR"/>
    <n v="1"/>
    <e v="#N/A"/>
  </r>
  <r>
    <n v="1209657701"/>
    <s v="46"/>
    <x v="33"/>
    <d v="2026-10-12T09:44:22"/>
    <s v=""/>
    <s v="PACK"/>
    <n v="9"/>
    <s v="PENDIENTE APROBACION  ENVIO TMS"/>
    <s v="000000001209657701"/>
    <x v="2"/>
    <x v="2"/>
    <s v="APROBAR"/>
    <n v="1"/>
    <e v="#N/A"/>
  </r>
  <r>
    <n v="1209657778"/>
    <s v="48"/>
    <x v="34"/>
    <d v="2026-10-12T09:44:24"/>
    <s v=""/>
    <s v="CAJA"/>
    <n v="3"/>
    <s v="PENDIENTE APROBACION  ENVIO TMS"/>
    <s v="000000001209657778"/>
    <x v="2"/>
    <x v="1"/>
    <s v="APROBAR"/>
    <n v="1"/>
    <e v="#N/A"/>
  </r>
  <r>
    <n v="1209657798"/>
    <s v="49"/>
    <x v="32"/>
    <d v="2026-10-12T09:44:25"/>
    <s v=""/>
    <s v="CAJA"/>
    <n v="11"/>
    <s v="PENDIENTE APROBACION  ENVIO TMS"/>
    <s v="000000001209657798"/>
    <x v="2"/>
    <x v="1"/>
    <s v="APROBAR"/>
    <n v="1"/>
    <e v="#N/A"/>
  </r>
  <r>
    <n v="8209657805"/>
    <s v="49"/>
    <x v="32"/>
    <d v="2026-10-12T09:44:26"/>
    <s v=""/>
    <s v="UNIDAD"/>
    <n v="6"/>
    <s v="PENDIENTE APROBACION  ENVIO TMS"/>
    <s v="000000008209657805"/>
    <x v="1"/>
    <x v="1"/>
    <s v="APROBAR"/>
    <n v="1"/>
    <e v="#N/A"/>
  </r>
  <r>
    <n v="8209657636"/>
    <s v="45"/>
    <x v="31"/>
    <d v="2026-10-12T09:44:27"/>
    <s v=""/>
    <s v="UNIDAD"/>
    <n v="2"/>
    <s v="PENDIENTE APROBACION  ENVIO TMS"/>
    <s v="000000008209657636"/>
    <x v="1"/>
    <x v="1"/>
    <s v="APROBAR"/>
    <n v="1"/>
    <e v="#N/A"/>
  </r>
  <r>
    <n v="1209657812"/>
    <s v="49"/>
    <x v="32"/>
    <d v="2026-10-12T09:44:28"/>
    <s v=""/>
    <s v="PACK"/>
    <n v="41"/>
    <s v="PENDIENTE APROBACION  ENVIO TMS"/>
    <s v="000000001209657812"/>
    <x v="2"/>
    <x v="1"/>
    <s v="APROBAR"/>
    <n v="1"/>
    <e v="#N/A"/>
  </r>
  <r>
    <n v="1209657776"/>
    <s v="48"/>
    <x v="34"/>
    <d v="2026-10-12T09:44:30"/>
    <s v=""/>
    <s v="PACK"/>
    <n v="18"/>
    <s v="PENDIENTE APROBACION  ENVIO TMS"/>
    <s v="000000001209657776"/>
    <x v="2"/>
    <x v="1"/>
    <s v="APROBAR"/>
    <n v="1"/>
    <e v="#N/A"/>
  </r>
  <r>
    <n v="1209657800"/>
    <s v="49"/>
    <x v="32"/>
    <d v="2026-10-12T09:44:32"/>
    <s v=""/>
    <s v="PACK"/>
    <n v="12"/>
    <s v="PENDIENTE APROBACION  ENVIO TMS"/>
    <s v="000000001209657800"/>
    <x v="2"/>
    <x v="1"/>
    <s v="APROBAR"/>
    <n v="1"/>
    <e v="#N/A"/>
  </r>
  <r>
    <n v="8209657651"/>
    <s v="45"/>
    <x v="31"/>
    <d v="2026-10-12T09:44:33"/>
    <s v=""/>
    <s v="UNIDAD"/>
    <n v="1"/>
    <s v="PENDIENTE APROBACION  ENVIO TMS"/>
    <s v="000000008209657651"/>
    <x v="1"/>
    <x v="1"/>
    <s v="APROBAR"/>
    <n v="1"/>
    <e v="#N/A"/>
  </r>
  <r>
    <n v="1209657692"/>
    <s v="46"/>
    <x v="33"/>
    <d v="2026-10-12T09:44:34"/>
    <s v=""/>
    <s v="PACK"/>
    <n v="9"/>
    <s v="PENDIENTE APROBACION  ENVIO TMS"/>
    <s v="000000001209657692"/>
    <x v="2"/>
    <x v="2"/>
    <s v="APROBAR"/>
    <n v="1"/>
    <e v="#N/A"/>
  </r>
  <r>
    <n v="1209657760"/>
    <s v="48"/>
    <x v="34"/>
    <d v="2026-10-12T09:44:37"/>
    <s v=""/>
    <s v="UNIDAD"/>
    <n v="16"/>
    <s v="PENDIENTE APROBACION  ENVIO TMS"/>
    <s v="000000001209657760"/>
    <x v="2"/>
    <x v="1"/>
    <s v="APROBAR"/>
    <n v="1"/>
    <e v="#N/A"/>
  </r>
  <r>
    <n v="8209657637"/>
    <s v="45"/>
    <x v="31"/>
    <d v="2026-10-12T09:44:37"/>
    <s v=""/>
    <s v="UNIDAD"/>
    <n v="6"/>
    <s v="PENDIENTE APROBACION  ENVIO TMS"/>
    <s v="000000008209657637"/>
    <x v="1"/>
    <x v="1"/>
    <s v="APROBAR"/>
    <n v="1"/>
    <e v="#N/A"/>
  </r>
  <r>
    <n v="1209657697"/>
    <s v="46"/>
    <x v="33"/>
    <d v="2026-10-12T09:44:39"/>
    <s v=""/>
    <s v="CAJA"/>
    <n v="2"/>
    <s v="PENDIENTE APROBACION  ENVIO TMS"/>
    <s v="000000001209657697"/>
    <x v="2"/>
    <x v="2"/>
    <s v="APROBAR"/>
    <n v="1"/>
    <e v="#N/A"/>
  </r>
  <r>
    <n v="1209657641"/>
    <s v="45"/>
    <x v="31"/>
    <d v="2026-10-12T09:44:40"/>
    <s v=""/>
    <s v="CAJA"/>
    <n v="1"/>
    <s v="PENDIENTE APROBACION  ENVIO TMS"/>
    <s v="000000001209657641"/>
    <x v="2"/>
    <x v="1"/>
    <s v="APROBAR"/>
    <n v="1"/>
    <e v="#N/A"/>
  </r>
  <r>
    <n v="1209657661"/>
    <s v="45"/>
    <x v="31"/>
    <d v="2026-10-12T09:44:41"/>
    <s v=""/>
    <s v="CAJA"/>
    <n v="50"/>
    <s v="PENDIENTE APROBACION  ENVIO TMS"/>
    <s v="000000001209657661"/>
    <x v="2"/>
    <x v="1"/>
    <s v="APROBAR"/>
    <n v="1"/>
    <e v="#N/A"/>
  </r>
  <r>
    <n v="8209657791"/>
    <s v="49"/>
    <x v="32"/>
    <d v="2026-10-12T09:44:44"/>
    <s v=""/>
    <s v="UNIDAD"/>
    <n v="3"/>
    <s v="PENDIENTE APROBACION  ENVIO TMS"/>
    <s v="000000008209657791"/>
    <x v="1"/>
    <x v="1"/>
    <s v="APROBAR"/>
    <n v="1"/>
    <e v="#N/A"/>
  </r>
  <r>
    <n v="8209657758"/>
    <s v="48"/>
    <x v="34"/>
    <d v="2026-10-12T09:44:49"/>
    <s v=""/>
    <s v="UNIDAD"/>
    <n v="6"/>
    <s v="PENDIENTE APROBACION  ENVIO TMS"/>
    <s v="000000008209657758"/>
    <x v="1"/>
    <x v="1"/>
    <s v="APROBAR"/>
    <n v="1"/>
    <e v="#N/A"/>
  </r>
  <r>
    <n v="1209657803"/>
    <s v="49"/>
    <x v="32"/>
    <d v="2026-10-12T09:44:49"/>
    <s v=""/>
    <s v="CAJA"/>
    <n v="3"/>
    <s v="PENDIENTE APROBACION  ENVIO TMS"/>
    <s v="000000001209657803"/>
    <x v="2"/>
    <x v="1"/>
    <s v="APROBAR"/>
    <n v="1"/>
    <e v="#N/A"/>
  </r>
  <r>
    <n v="8209657768"/>
    <s v="48"/>
    <x v="34"/>
    <d v="2026-10-12T09:44:50"/>
    <s v=""/>
    <s v="UNIDAD"/>
    <n v="15"/>
    <s v="PENDIENTE APROBACION  ENVIO TMS"/>
    <s v="000000008209657768"/>
    <x v="1"/>
    <x v="1"/>
    <s v="APROBAR"/>
    <n v="1"/>
    <e v="#N/A"/>
  </r>
  <r>
    <n v="1209657811"/>
    <s v="49"/>
    <x v="32"/>
    <d v="2026-10-12T09:44:52"/>
    <s v=""/>
    <s v="CAJA"/>
    <n v="23"/>
    <s v="PENDIENTE APROBACION  ENVIO TMS"/>
    <s v="000000001209657811"/>
    <x v="2"/>
    <x v="1"/>
    <s v="APROBAR"/>
    <n v="1"/>
    <e v="#N/A"/>
  </r>
  <r>
    <n v="1209657657"/>
    <s v="45"/>
    <x v="31"/>
    <d v="2026-10-12T09:44:53"/>
    <s v=""/>
    <s v="CAJA"/>
    <n v="1"/>
    <s v="PENDIENTE APROBACION  ENVIO TMS"/>
    <s v="000000001209657657"/>
    <x v="2"/>
    <x v="1"/>
    <s v="APROBAR"/>
    <n v="1"/>
    <e v="#N/A"/>
  </r>
  <r>
    <n v="1209657700"/>
    <s v="46"/>
    <x v="33"/>
    <d v="2026-10-12T09:44:54"/>
    <s v=""/>
    <s v="CAJA"/>
    <n v="6"/>
    <s v="PENDIENTE APROBACION  ENVIO TMS"/>
    <s v="000000001209657700"/>
    <x v="2"/>
    <x v="2"/>
    <s v="APROBAR"/>
    <n v="1"/>
    <e v="#N/A"/>
  </r>
  <r>
    <n v="8209657688"/>
    <s v="46"/>
    <x v="33"/>
    <d v="2026-10-12T09:44:55"/>
    <s v=""/>
    <s v="UNIDAD"/>
    <n v="4"/>
    <s v="PENDIENTE APROBACION  ENVIO TMS"/>
    <s v="000000008209657688"/>
    <x v="1"/>
    <x v="2"/>
    <s v="APROBAR"/>
    <n v="1"/>
    <e v="#N/A"/>
  </r>
  <r>
    <n v="8209657790"/>
    <s v="49"/>
    <x v="32"/>
    <d v="2026-10-12T09:44:56"/>
    <s v=""/>
    <s v="UNIDAD"/>
    <n v="1"/>
    <s v="PENDIENTE APROBACION  ENVIO TMS"/>
    <s v="000000008209657790"/>
    <x v="1"/>
    <x v="1"/>
    <s v="APROBAR"/>
    <n v="1"/>
    <e v="#N/A"/>
  </r>
  <r>
    <n v="1209657648"/>
    <s v="45"/>
    <x v="31"/>
    <d v="2026-10-12T09:44:57"/>
    <s v=""/>
    <s v="CAJA"/>
    <n v="32"/>
    <s v="PENDIENTE APROBACION  ENVIO TMS"/>
    <s v="000000001209657648"/>
    <x v="2"/>
    <x v="1"/>
    <s v="APROBAR"/>
    <n v="1"/>
    <e v="#N/A"/>
  </r>
  <r>
    <n v="1209657655"/>
    <s v="45"/>
    <x v="31"/>
    <d v="2026-10-12T09:44:59"/>
    <s v=""/>
    <s v="CAJA"/>
    <n v="16"/>
    <s v="PENDIENTE APROBACION  ENVIO TMS"/>
    <s v="000000001209657655"/>
    <x v="2"/>
    <x v="1"/>
    <s v="APROBAR"/>
    <n v="1"/>
    <e v="#N/A"/>
  </r>
  <r>
    <n v="8209657638"/>
    <s v="45"/>
    <x v="31"/>
    <d v="2026-10-12T09:45:00"/>
    <s v=""/>
    <s v="UNIDAD"/>
    <n v="3"/>
    <s v="PENDIENTE APROBACION  ENVIO TMS"/>
    <s v="000000008209657638"/>
    <x v="1"/>
    <x v="1"/>
    <s v="APROBAR"/>
    <n v="1"/>
    <e v="#N/A"/>
  </r>
  <r>
    <n v="1209657772"/>
    <s v="48"/>
    <x v="34"/>
    <d v="2026-10-12T09:45:01"/>
    <s v=""/>
    <s v="CAJA"/>
    <n v="8"/>
    <s v="PENDIENTE APROBACION  ENVIO TMS"/>
    <s v="000000001209657772"/>
    <x v="2"/>
    <x v="1"/>
    <s v="APROBAR"/>
    <n v="1"/>
    <e v="#N/A"/>
  </r>
  <r>
    <n v="1209657702"/>
    <s v="46"/>
    <x v="33"/>
    <d v="2026-10-12T09:45:05"/>
    <s v=""/>
    <s v="CAJA"/>
    <n v="23"/>
    <s v="PENDIENTE APROBACION  ENVIO TMS"/>
    <s v="000000001209657702"/>
    <x v="2"/>
    <x v="2"/>
    <s v="APROBAR"/>
    <n v="1"/>
    <e v="#N/A"/>
  </r>
  <r>
    <n v="1209657644"/>
    <s v="45"/>
    <x v="31"/>
    <d v="2026-10-12T09:45:06"/>
    <s v=""/>
    <s v="CAJA"/>
    <n v="10"/>
    <s v="PENDIENTE APROBACION  ENVIO TMS"/>
    <s v="000000001209657644"/>
    <x v="2"/>
    <x v="1"/>
    <s v="APROBAR"/>
    <n v="1"/>
    <e v="#N/A"/>
  </r>
  <r>
    <n v="8209657687"/>
    <s v="46"/>
    <x v="33"/>
    <d v="2026-10-12T09:45:07"/>
    <s v=""/>
    <s v="UNIDAD"/>
    <n v="1"/>
    <s v="PENDIENTE APROBACION  ENVIO TMS"/>
    <s v="000000008209657687"/>
    <x v="1"/>
    <x v="2"/>
    <s v="APROBAR"/>
    <n v="1"/>
    <e v="#N/A"/>
  </r>
  <r>
    <n v="1209657705"/>
    <s v="46"/>
    <x v="33"/>
    <d v="2026-10-12T09:45:08"/>
    <s v=""/>
    <s v="CAJA"/>
    <n v="42"/>
    <s v="PENDIENTE APROBACION  ENVIO TMS"/>
    <s v="000000001209657705"/>
    <x v="2"/>
    <x v="2"/>
    <s v="APROBAR"/>
    <n v="1"/>
    <e v="#N/A"/>
  </r>
  <r>
    <n v="1209657779"/>
    <s v="48"/>
    <x v="34"/>
    <d v="2026-10-12T09:45:09"/>
    <s v=""/>
    <s v="CAJA"/>
    <n v="34"/>
    <s v="PENDIENTE APROBACION  ENVIO TMS"/>
    <s v="000000001209657779"/>
    <x v="2"/>
    <x v="1"/>
    <s v="APROBAR"/>
    <n v="1"/>
    <e v="#N/A"/>
  </r>
  <r>
    <n v="1209657646"/>
    <s v="45"/>
    <x v="31"/>
    <d v="2026-10-12T09:45:11"/>
    <s v=""/>
    <s v="CAJA"/>
    <n v="10"/>
    <s v="PENDIENTE APROBACION  ENVIO TMS"/>
    <s v="000000001209657646"/>
    <x v="2"/>
    <x v="1"/>
    <s v="APROBAR"/>
    <n v="1"/>
    <e v="#N/A"/>
  </r>
  <r>
    <n v="1209657647"/>
    <s v="45"/>
    <x v="31"/>
    <d v="2026-10-12T09:45:12"/>
    <s v=""/>
    <s v="PACK"/>
    <n v="12"/>
    <s v="PENDIENTE APROBACION  ENVIO TMS"/>
    <s v="000000001209657647"/>
    <x v="2"/>
    <x v="1"/>
    <s v="APROBAR"/>
    <n v="1"/>
    <e v="#N/A"/>
  </r>
  <r>
    <n v="1209657797"/>
    <s v="49"/>
    <x v="32"/>
    <d v="2026-10-12T09:45:14"/>
    <s v=""/>
    <s v="CAJA"/>
    <n v="6"/>
    <s v="PENDIENTE APROBACION  ENVIO TMS"/>
    <s v="000000001209657797"/>
    <x v="2"/>
    <x v="1"/>
    <s v="APROBAR"/>
    <n v="1"/>
    <e v="#N/A"/>
  </r>
  <r>
    <n v="1209657799"/>
    <s v="49"/>
    <x v="32"/>
    <d v="2026-10-12T09:45:15"/>
    <s v=""/>
    <s v="PACK"/>
    <n v="12"/>
    <s v="PENDIENTE APROBACION  ENVIO TMS"/>
    <s v="000000001209657799"/>
    <x v="2"/>
    <x v="1"/>
    <s v="APROBAR"/>
    <n v="1"/>
    <e v="#N/A"/>
  </r>
  <r>
    <n v="8209657807"/>
    <s v="49"/>
    <x v="32"/>
    <d v="2026-10-12T09:45:17"/>
    <s v=""/>
    <s v="UNIDAD"/>
    <n v="2"/>
    <s v="PENDIENTE APROBACION  ENVIO TMS"/>
    <s v="000000008209657807"/>
    <x v="1"/>
    <x v="1"/>
    <s v="APROBAR"/>
    <n v="1"/>
    <e v="#N/A"/>
  </r>
  <r>
    <n v="1209657810"/>
    <s v="49"/>
    <x v="32"/>
    <d v="2026-10-12T09:45:18"/>
    <s v=""/>
    <s v="CAJA"/>
    <n v="18"/>
    <s v="PENDIENTE APROBACION  ENVIO TMS"/>
    <s v="000000001209657810"/>
    <x v="2"/>
    <x v="1"/>
    <s v="APROBAR"/>
    <n v="1"/>
    <e v="#N/A"/>
  </r>
  <r>
    <n v="1209657656"/>
    <s v="45"/>
    <x v="31"/>
    <d v="2026-10-12T09:45:19"/>
    <s v=""/>
    <s v="CAJA"/>
    <n v="27"/>
    <s v="PENDIENTE APROBACION  ENVIO TMS"/>
    <s v="000000001209657656"/>
    <x v="2"/>
    <x v="1"/>
    <s v="APROBAR"/>
    <n v="1"/>
    <e v="#N/A"/>
  </r>
  <r>
    <n v="8209657769"/>
    <s v="48"/>
    <x v="34"/>
    <d v="2026-10-12T09:45:20"/>
    <s v=""/>
    <s v="UNIDAD"/>
    <n v="3"/>
    <s v="PENDIENTE APROBACION  ENVIO TMS"/>
    <s v="000000008209657769"/>
    <x v="1"/>
    <x v="1"/>
    <s v="APROBAR"/>
    <n v="1"/>
    <e v="#N/A"/>
  </r>
  <r>
    <n v="8209657770"/>
    <s v="48"/>
    <x v="34"/>
    <d v="2026-10-12T09:45:21"/>
    <s v=""/>
    <s v="UNIDAD"/>
    <n v="1"/>
    <s v="PENDIENTE APROBACION  ENVIO TMS"/>
    <s v="000000008209657770"/>
    <x v="1"/>
    <x v="1"/>
    <s v="APROBAR"/>
    <n v="1"/>
    <e v="#N/A"/>
  </r>
  <r>
    <n v="1209657773"/>
    <s v="48"/>
    <x v="34"/>
    <d v="2026-10-12T09:45:23"/>
    <s v=""/>
    <s v="CAJA"/>
    <n v="8"/>
    <s v="PENDIENTE APROBACION  ENVIO TMS"/>
    <s v="000000001209657773"/>
    <x v="2"/>
    <x v="1"/>
    <s v="APROBAR"/>
    <n v="1"/>
    <e v="#N/A"/>
  </r>
  <r>
    <n v="8209657686"/>
    <s v="46"/>
    <x v="33"/>
    <d v="2026-10-12T09:45:25"/>
    <s v=""/>
    <s v="UNIDAD"/>
    <n v="4"/>
    <s v="PENDIENTE APROBACION  ENVIO TMS"/>
    <s v="000000008209657686"/>
    <x v="1"/>
    <x v="2"/>
    <s v="APROBAR"/>
    <n v="1"/>
    <e v="#N/A"/>
  </r>
  <r>
    <n v="1209657706"/>
    <s v="46"/>
    <x v="33"/>
    <d v="2026-10-12T09:45:26"/>
    <s v=""/>
    <s v="PACK"/>
    <n v="40"/>
    <s v="PENDIENTE APROBACION  ENVIO TMS"/>
    <s v="000000001209657706"/>
    <x v="2"/>
    <x v="2"/>
    <s v="APROBAR"/>
    <n v="1"/>
    <e v="#N/A"/>
  </r>
  <r>
    <n v="1209657946"/>
    <s v="54"/>
    <x v="35"/>
    <d v="2026-10-12T09:48:51"/>
    <s v=""/>
    <s v="CAJA"/>
    <n v="10"/>
    <s v="PENDIENTE APROBACION  ENVIO TMS"/>
    <s v="000000001209657946"/>
    <x v="2"/>
    <x v="0"/>
    <s v="APROBAR"/>
    <n v="1"/>
    <e v="#N/A"/>
  </r>
  <r>
    <n v="8209657817"/>
    <s v="50"/>
    <x v="36"/>
    <d v="2026-10-12T09:48:53"/>
    <s v=""/>
    <s v="UNIDAD"/>
    <n v="2"/>
    <s v="PENDIENTE APROBACION  ENVIO TMS"/>
    <s v="000000008209657817"/>
    <x v="1"/>
    <x v="0"/>
    <s v="APROBAR"/>
    <n v="1"/>
    <e v="#N/A"/>
  </r>
  <r>
    <n v="1209657949"/>
    <s v="54"/>
    <x v="35"/>
    <d v="2026-10-12T09:48:54"/>
    <s v=""/>
    <s v="CAJA"/>
    <n v="17"/>
    <s v="PENDIENTE APROBACION  ENVIO TMS"/>
    <s v="000000001209657949"/>
    <x v="2"/>
    <x v="0"/>
    <s v="APROBAR"/>
    <n v="1"/>
    <e v="#N/A"/>
  </r>
  <r>
    <n v="1209657958"/>
    <s v="54"/>
    <x v="35"/>
    <d v="2026-10-12T09:48:56"/>
    <s v=""/>
    <s v="CAJA"/>
    <n v="2"/>
    <s v="PENDIENTE APROBACION  ENVIO TMS"/>
    <s v="000000001209657958"/>
    <x v="2"/>
    <x v="0"/>
    <s v="APROBAR"/>
    <n v="1"/>
    <e v="#N/A"/>
  </r>
  <r>
    <n v="1209657852"/>
    <s v="51"/>
    <x v="37"/>
    <d v="2026-10-12T09:48:56"/>
    <s v=""/>
    <s v="CAJA"/>
    <n v="1"/>
    <s v="PENDIENTE APROBACION  ENVIO TMS"/>
    <s v="000000001209657852"/>
    <x v="2"/>
    <x v="2"/>
    <s v="APROBAR"/>
    <n v="1"/>
    <e v="#N/A"/>
  </r>
  <r>
    <n v="8209657941"/>
    <s v="54"/>
    <x v="35"/>
    <d v="2026-10-12T09:48:57"/>
    <s v=""/>
    <s v="UNIDAD"/>
    <n v="8"/>
    <s v="PENDIENTE APROBACION  ENVIO TMS"/>
    <s v="000000008209657941"/>
    <x v="1"/>
    <x v="0"/>
    <s v="APROBAR"/>
    <n v="1"/>
    <e v="#N/A"/>
  </r>
  <r>
    <n v="8209657919"/>
    <s v="53"/>
    <x v="38"/>
    <d v="2026-10-12T09:48:59"/>
    <s v=""/>
    <s v="UNIDAD"/>
    <n v="2"/>
    <s v="PENDIENTE APROBACION  ENVIO TMS"/>
    <s v="000000008209657919"/>
    <x v="1"/>
    <x v="3"/>
    <s v="APROBAR"/>
    <n v="1"/>
    <e v="#N/A"/>
  </r>
  <r>
    <n v="1209657860"/>
    <s v="51"/>
    <x v="37"/>
    <d v="2026-10-12T09:49:00"/>
    <s v=""/>
    <s v="CAJA"/>
    <n v="32"/>
    <s v="PENDIENTE APROBACION  ENVIO TMS"/>
    <s v="000000001209657860"/>
    <x v="2"/>
    <x v="2"/>
    <s v="APROBAR"/>
    <n v="1"/>
    <e v="#N/A"/>
  </r>
  <r>
    <n v="1209657897"/>
    <s v="52"/>
    <x v="39"/>
    <d v="2026-10-12T09:49:01"/>
    <s v=""/>
    <s v="CAJA"/>
    <n v="6"/>
    <s v="PENDIENTE APROBACION  ENVIO TMS"/>
    <s v="000000001209657897"/>
    <x v="2"/>
    <x v="0"/>
    <s v="APROBAR"/>
    <n v="1"/>
    <e v="#N/A"/>
  </r>
  <r>
    <n v="1209657945"/>
    <s v="54"/>
    <x v="35"/>
    <d v="2026-10-12T09:49:02"/>
    <s v=""/>
    <s v="CAJA"/>
    <n v="11"/>
    <s v="PENDIENTE APROBACION  ENVIO TMS"/>
    <s v="000000001209657945"/>
    <x v="2"/>
    <x v="0"/>
    <s v="APROBAR"/>
    <n v="1"/>
    <e v="#N/A"/>
  </r>
  <r>
    <n v="1209657947"/>
    <s v="54"/>
    <x v="35"/>
    <d v="2026-10-12T09:49:03"/>
    <s v=""/>
    <s v="PACK"/>
    <n v="11"/>
    <s v="PENDIENTE APROBACION  ENVIO TMS"/>
    <s v="000000001209657947"/>
    <x v="2"/>
    <x v="0"/>
    <s v="APROBAR"/>
    <n v="1"/>
    <e v="#N/A"/>
  </r>
  <r>
    <n v="1209657819"/>
    <s v="50"/>
    <x v="36"/>
    <d v="2026-10-12T09:49:05"/>
    <s v=""/>
    <s v="PACK"/>
    <n v="15"/>
    <s v="PENDIENTE APROBACION  ENVIO TMS"/>
    <s v="000000001209657819"/>
    <x v="2"/>
    <x v="0"/>
    <s v="APROBAR"/>
    <n v="1"/>
    <e v="#N/A"/>
  </r>
  <r>
    <n v="1209657925"/>
    <s v="53"/>
    <x v="38"/>
    <d v="2026-10-12T09:49:06"/>
    <s v=""/>
    <s v="PACK"/>
    <n v="11"/>
    <s v="PENDIENTE APROBACION  ENVIO TMS"/>
    <s v="000000001209657925"/>
    <x v="2"/>
    <x v="3"/>
    <s v="APROBAR"/>
    <n v="1"/>
    <e v="#N/A"/>
  </r>
  <r>
    <n v="1209657907"/>
    <s v="52"/>
    <x v="39"/>
    <d v="2026-10-12T09:49:07"/>
    <s v=""/>
    <s v="PACK"/>
    <n v="34"/>
    <s v="PENDIENTE APROBACION  ENVIO TMS"/>
    <s v="000000001209657907"/>
    <x v="2"/>
    <x v="0"/>
    <s v="APROBAR"/>
    <n v="1"/>
    <e v="#N/A"/>
  </r>
  <r>
    <n v="8209657886"/>
    <s v="52"/>
    <x v="39"/>
    <d v="2026-10-12T09:49:08"/>
    <s v=""/>
    <s v="UNIDAD"/>
    <n v="4"/>
    <s v="PENDIENTE APROBACION  ENVIO TMS"/>
    <s v="000000008209657886"/>
    <x v="1"/>
    <x v="0"/>
    <s v="APROBAR"/>
    <n v="1"/>
    <e v="#N/A"/>
  </r>
  <r>
    <n v="8209657889"/>
    <s v="52"/>
    <x v="39"/>
    <d v="2026-10-12T09:49:09"/>
    <s v=""/>
    <s v="UNIDAD"/>
    <n v="1"/>
    <s v="PENDIENTE APROBACION  ENVIO TMS"/>
    <s v="000000008209657889"/>
    <x v="1"/>
    <x v="0"/>
    <s v="APROBAR"/>
    <n v="1"/>
    <e v="#N/A"/>
  </r>
  <r>
    <n v="8209657932"/>
    <s v="53"/>
    <x v="38"/>
    <d v="2026-10-12T09:49:10"/>
    <s v=""/>
    <s v="UNIDAD"/>
    <n v="2"/>
    <s v="PENDIENTE APROBACION  ENVIO TMS"/>
    <s v="000000008209657932"/>
    <x v="1"/>
    <x v="3"/>
    <s v="APROBAR"/>
    <n v="1"/>
    <e v="#N/A"/>
  </r>
  <r>
    <n v="1209657954"/>
    <s v="54"/>
    <x v="35"/>
    <d v="2026-10-12T09:49:12"/>
    <s v=""/>
    <s v="PACK"/>
    <n v="28"/>
    <s v="PENDIENTE APROBACION  ENVIO TMS"/>
    <s v="000000001209657954"/>
    <x v="2"/>
    <x v="0"/>
    <s v="APROBAR"/>
    <n v="1"/>
    <e v="#N/A"/>
  </r>
  <r>
    <n v="8209657813"/>
    <s v="50"/>
    <x v="36"/>
    <d v="2026-10-12T09:49:13"/>
    <s v=""/>
    <s v="UNIDAD"/>
    <n v="1"/>
    <s v="PENDIENTE APROBACION  ENVIO TMS"/>
    <s v="000000008209657813"/>
    <x v="1"/>
    <x v="0"/>
    <s v="APROBAR"/>
    <n v="1"/>
    <e v="#N/A"/>
  </r>
  <r>
    <n v="8209657818"/>
    <s v="50"/>
    <x v="36"/>
    <d v="2026-10-12T09:49:13"/>
    <s v=""/>
    <s v="UNIDAD"/>
    <n v="94"/>
    <s v="PENDIENTE APROBACION  ENVIO TMS"/>
    <s v="000000008209657818"/>
    <x v="1"/>
    <x v="0"/>
    <s v="APROBAR"/>
    <n v="1"/>
    <e v="#N/A"/>
  </r>
  <r>
    <n v="8209657900"/>
    <s v="52"/>
    <x v="39"/>
    <d v="2026-10-12T09:49:15"/>
    <s v=""/>
    <s v="UNIDAD"/>
    <n v="1"/>
    <s v="PENDIENTE APROBACION  ENVIO TMS"/>
    <s v="000000008209657900"/>
    <x v="1"/>
    <x v="0"/>
    <s v="APROBAR"/>
    <n v="1"/>
    <e v="#N/A"/>
  </r>
  <r>
    <n v="1209657901"/>
    <s v="52"/>
    <x v="39"/>
    <d v="2026-10-12T09:49:16"/>
    <s v=""/>
    <s v="CAJA"/>
    <n v="3"/>
    <s v="PENDIENTE APROBACION  ENVIO TMS"/>
    <s v="000000001209657901"/>
    <x v="2"/>
    <x v="0"/>
    <s v="APROBAR"/>
    <n v="1"/>
    <e v="#N/A"/>
  </r>
  <r>
    <n v="1209657928"/>
    <s v="53"/>
    <x v="38"/>
    <d v="2026-10-12T09:49:18"/>
    <s v=""/>
    <s v="PACK"/>
    <n v="25"/>
    <s v="PENDIENTE APROBACION  ENVIO TMS"/>
    <s v="000000001209657928"/>
    <x v="2"/>
    <x v="3"/>
    <s v="APROBAR"/>
    <n v="1"/>
    <e v="#N/A"/>
  </r>
  <r>
    <n v="1209657822"/>
    <s v="50"/>
    <x v="36"/>
    <d v="2026-10-12T09:49:18"/>
    <s v=""/>
    <s v="CAJA"/>
    <n v="14"/>
    <s v="PENDIENTE APROBACION  ENVIO TMS"/>
    <s v="000000001209657822"/>
    <x v="2"/>
    <x v="0"/>
    <s v="APROBAR"/>
    <n v="1"/>
    <e v="#N/A"/>
  </r>
  <r>
    <n v="8209657885"/>
    <s v="52"/>
    <x v="39"/>
    <d v="2026-10-12T09:49:19"/>
    <s v=""/>
    <s v="UNIDAD"/>
    <n v="7"/>
    <s v="PENDIENTE APROBACION  ENVIO TMS"/>
    <s v="000000008209657885"/>
    <x v="1"/>
    <x v="0"/>
    <s v="APROBAR"/>
    <n v="1"/>
    <e v="#N/A"/>
  </r>
  <r>
    <n v="1209657825"/>
    <s v="50"/>
    <x v="36"/>
    <d v="2026-10-12T09:49:21"/>
    <s v=""/>
    <s v="PACK"/>
    <n v="62"/>
    <s v="PENDIENTE APROBACION  ENVIO TMS"/>
    <s v="000000001209657825"/>
    <x v="2"/>
    <x v="0"/>
    <s v="APROBAR"/>
    <n v="1"/>
    <e v="#N/A"/>
  </r>
  <r>
    <n v="8209657845"/>
    <s v="51"/>
    <x v="37"/>
    <d v="2026-10-12T09:49:23"/>
    <s v=""/>
    <s v="UNIDAD"/>
    <n v="1"/>
    <s v="PENDIENTE APROBACION  ENVIO TMS"/>
    <s v="000000008209657845"/>
    <x v="1"/>
    <x v="2"/>
    <s v="APROBAR"/>
    <n v="1"/>
    <e v="#N/A"/>
  </r>
  <r>
    <n v="8209657847"/>
    <s v="51"/>
    <x v="37"/>
    <d v="2026-10-12T09:49:24"/>
    <s v=""/>
    <s v="UNIDAD"/>
    <n v="3"/>
    <s v="PENDIENTE APROBACION  ENVIO TMS"/>
    <s v="000000008209657847"/>
    <x v="1"/>
    <x v="2"/>
    <s v="APROBAR"/>
    <n v="1"/>
    <e v="#N/A"/>
  </r>
  <r>
    <n v="1209657931"/>
    <s v="53"/>
    <x v="38"/>
    <d v="2026-10-12T09:49:25"/>
    <s v=""/>
    <s v="CAJA"/>
    <n v="2"/>
    <s v="PENDIENTE APROBACION  ENVIO TMS"/>
    <s v="000000001209657931"/>
    <x v="2"/>
    <x v="3"/>
    <s v="APROBAR"/>
    <n v="1"/>
    <e v="#N/A"/>
  </r>
  <r>
    <n v="1209657853"/>
    <s v="51"/>
    <x v="37"/>
    <d v="2026-10-12T09:49:26"/>
    <s v=""/>
    <s v="PACK"/>
    <n v="4"/>
    <s v="PENDIENTE APROBACION  ENVIO TMS"/>
    <s v="000000001209657853"/>
    <x v="2"/>
    <x v="2"/>
    <s v="APROBAR"/>
    <n v="1"/>
    <e v="#N/A"/>
  </r>
  <r>
    <n v="1209657933"/>
    <s v="53"/>
    <x v="38"/>
    <d v="2026-10-12T09:49:27"/>
    <s v=""/>
    <s v="CAJA"/>
    <n v="8"/>
    <s v="PENDIENTE APROBACION  ENVIO TMS"/>
    <s v="000000001209657933"/>
    <x v="2"/>
    <x v="3"/>
    <s v="APROBAR"/>
    <n v="1"/>
    <e v="#N/A"/>
  </r>
  <r>
    <n v="1209657855"/>
    <s v="51"/>
    <x v="37"/>
    <d v="2026-10-12T09:49:28"/>
    <s v=""/>
    <s v="CAJA"/>
    <n v="10"/>
    <s v="PENDIENTE APROBACION  ENVIO TMS"/>
    <s v="000000001209657855"/>
    <x v="2"/>
    <x v="2"/>
    <s v="APROBAR"/>
    <n v="1"/>
    <e v="#N/A"/>
  </r>
  <r>
    <n v="8209657939"/>
    <s v="54"/>
    <x v="35"/>
    <d v="2026-10-12T09:49:29"/>
    <s v=""/>
    <s v="UNIDAD"/>
    <n v="11"/>
    <s v="PENDIENTE APROBACION  ENVIO TMS"/>
    <s v="000000008209657939"/>
    <x v="1"/>
    <x v="0"/>
    <s v="APROBAR"/>
    <n v="1"/>
    <e v="#N/A"/>
  </r>
  <r>
    <n v="8209657940"/>
    <s v="54"/>
    <x v="35"/>
    <d v="2026-10-12T09:49:30"/>
    <s v=""/>
    <s v="UNIDAD"/>
    <n v="4"/>
    <s v="PENDIENTE APROBACION  ENVIO TMS"/>
    <s v="000000008209657940"/>
    <x v="1"/>
    <x v="0"/>
    <s v="APROBAR"/>
    <n v="1"/>
    <e v="#N/A"/>
  </r>
  <r>
    <n v="8209657942"/>
    <s v="54"/>
    <x v="35"/>
    <d v="2026-10-12T09:49:32"/>
    <s v=""/>
    <s v="UNIDAD"/>
    <n v="1"/>
    <s v="PENDIENTE APROBACION  ENVIO TMS"/>
    <s v="000000008209657942"/>
    <x v="1"/>
    <x v="0"/>
    <s v="APROBAR"/>
    <n v="1"/>
    <e v="#N/A"/>
  </r>
  <r>
    <n v="1209657859"/>
    <s v="51"/>
    <x v="37"/>
    <d v="2026-10-12T09:49:33"/>
    <s v=""/>
    <s v="CAJA"/>
    <n v="1"/>
    <s v="PENDIENTE APROBACION  ENVIO TMS"/>
    <s v="000000001209657859"/>
    <x v="2"/>
    <x v="2"/>
    <s v="APROBAR"/>
    <n v="1"/>
    <e v="#N/A"/>
  </r>
  <r>
    <n v="8209657922"/>
    <s v="53"/>
    <x v="38"/>
    <d v="2026-10-12T09:49:34"/>
    <s v=""/>
    <s v="UNIDAD"/>
    <n v="13"/>
    <s v="PENDIENTE APROBACION  ENVIO TMS"/>
    <s v="000000008209657922"/>
    <x v="1"/>
    <x v="3"/>
    <s v="APROBAR"/>
    <n v="1"/>
    <e v="#N/A"/>
  </r>
  <r>
    <n v="1209657948"/>
    <s v="54"/>
    <x v="35"/>
    <d v="2026-10-12T09:49:35"/>
    <s v=""/>
    <s v="PACK"/>
    <n v="9"/>
    <s v="PENDIENTE APROBACION  ENVIO TMS"/>
    <s v="000000001209657948"/>
    <x v="2"/>
    <x v="0"/>
    <s v="APROBAR"/>
    <n v="1"/>
    <e v="#N/A"/>
  </r>
  <r>
    <n v="1209657902"/>
    <s v="52"/>
    <x v="39"/>
    <d v="2026-10-12T09:49:36"/>
    <s v=""/>
    <s v="CAJA"/>
    <n v="4"/>
    <s v="PENDIENTE APROBACION  ENVIO TMS"/>
    <s v="000000001209657902"/>
    <x v="2"/>
    <x v="0"/>
    <s v="APROBAR"/>
    <n v="1"/>
    <e v="#N/A"/>
  </r>
  <r>
    <n v="1209657951"/>
    <s v="54"/>
    <x v="35"/>
    <d v="2026-10-12T09:49:37"/>
    <s v=""/>
    <s v="PACK"/>
    <n v="31"/>
    <s v="PENDIENTE APROBACION  ENVIO TMS"/>
    <s v="000000001209657951"/>
    <x v="2"/>
    <x v="0"/>
    <s v="APROBAR"/>
    <n v="1"/>
    <e v="#N/A"/>
  </r>
  <r>
    <n v="1209657953"/>
    <s v="54"/>
    <x v="35"/>
    <d v="2026-10-12T09:49:39"/>
    <s v=""/>
    <s v="PACK"/>
    <n v="32"/>
    <s v="PENDIENTE APROBACION  ENVIO TMS"/>
    <s v="000000001209657953"/>
    <x v="2"/>
    <x v="0"/>
    <s v="APROBAR"/>
    <n v="1"/>
    <e v="#N/A"/>
  </r>
  <r>
    <n v="8209657887"/>
    <s v="52"/>
    <x v="39"/>
    <d v="2026-10-12T09:49:40"/>
    <s v=""/>
    <s v="UNIDAD"/>
    <n v="5"/>
    <s v="PENDIENTE APROBACION  ENVIO TMS"/>
    <s v="000000008209657887"/>
    <x v="1"/>
    <x v="0"/>
    <s v="APROBAR"/>
    <n v="1"/>
    <e v="#N/A"/>
  </r>
  <r>
    <n v="1209657930"/>
    <s v="53"/>
    <x v="38"/>
    <d v="2026-10-12T09:49:41"/>
    <s v=""/>
    <s v="PACK"/>
    <n v="36"/>
    <s v="PENDIENTE APROBACION  ENVIO TMS"/>
    <s v="000000001209657930"/>
    <x v="2"/>
    <x v="3"/>
    <s v="APROBAR"/>
    <n v="1"/>
    <e v="#N/A"/>
  </r>
  <r>
    <n v="1209657826"/>
    <s v="50"/>
    <x v="36"/>
    <d v="2026-10-12T09:49:42"/>
    <s v=""/>
    <s v="PACK"/>
    <n v="27"/>
    <s v="PENDIENTE APROBACION  ENVIO TMS"/>
    <s v="000000001209657826"/>
    <x v="2"/>
    <x v="0"/>
    <s v="APROBAR"/>
    <n v="1"/>
    <e v="#N/A"/>
  </r>
  <r>
    <n v="8209657849"/>
    <s v="51"/>
    <x v="37"/>
    <d v="2026-10-12T09:49:43"/>
    <s v=""/>
    <s v="UNIDAD"/>
    <n v="5"/>
    <s v="PENDIENTE APROBACION  ENVIO TMS"/>
    <s v="000000008209657849"/>
    <x v="1"/>
    <x v="2"/>
    <s v="APROBAR"/>
    <n v="1"/>
    <e v="#N/A"/>
  </r>
  <r>
    <n v="1209657854"/>
    <s v="51"/>
    <x v="37"/>
    <d v="2026-10-12T09:49:45"/>
    <s v=""/>
    <s v="CAJA"/>
    <n v="9"/>
    <s v="PENDIENTE APROBACION  ENVIO TMS"/>
    <s v="000000001209657854"/>
    <x v="2"/>
    <x v="2"/>
    <s v="APROBAR"/>
    <n v="1"/>
    <e v="#N/A"/>
  </r>
  <r>
    <n v="8209657918"/>
    <s v="53"/>
    <x v="38"/>
    <d v="2026-10-12T09:49:46"/>
    <s v=""/>
    <s v="UNIDAD"/>
    <n v="2"/>
    <s v="PENDIENTE APROBACION  ENVIO TMS"/>
    <s v="000000008209657918"/>
    <x v="1"/>
    <x v="3"/>
    <s v="APROBAR"/>
    <n v="1"/>
    <e v="#N/A"/>
  </r>
  <r>
    <n v="8209657815"/>
    <s v="50"/>
    <x v="36"/>
    <d v="2026-10-12T09:49:47"/>
    <s v=""/>
    <s v="UNIDAD"/>
    <n v="4"/>
    <s v="PENDIENTE APROBACION  ENVIO TMS"/>
    <s v="000000008209657815"/>
    <x v="1"/>
    <x v="0"/>
    <s v="APROBAR"/>
    <n v="1"/>
    <e v="#N/A"/>
  </r>
  <r>
    <n v="8209657816"/>
    <s v="50"/>
    <x v="36"/>
    <d v="2026-10-12T09:49:48"/>
    <s v=""/>
    <s v="UNIDAD"/>
    <n v="2"/>
    <s v="PENDIENTE APROBACION  ENVIO TMS"/>
    <s v="000000008209657816"/>
    <x v="1"/>
    <x v="0"/>
    <s v="APROBAR"/>
    <n v="1"/>
    <e v="#N/A"/>
  </r>
  <r>
    <n v="1209657870"/>
    <s v="51"/>
    <x v="37"/>
    <d v="2026-10-12T09:49:49"/>
    <s v=""/>
    <s v="CAJA"/>
    <n v="20"/>
    <s v="PENDIENTE APROBACION  ENVIO TMS"/>
    <s v="000000001209657870"/>
    <x v="2"/>
    <x v="2"/>
    <s v="APROBAR"/>
    <n v="1"/>
    <e v="#N/A"/>
  </r>
  <r>
    <n v="1209657950"/>
    <s v="54"/>
    <x v="35"/>
    <d v="2026-10-12T09:49:50"/>
    <s v=""/>
    <s v="CAJA"/>
    <n v="13"/>
    <s v="PENDIENTE APROBACION  ENVIO TMS"/>
    <s v="000000001209657950"/>
    <x v="2"/>
    <x v="0"/>
    <s v="APROBAR"/>
    <n v="1"/>
    <e v="#N/A"/>
  </r>
  <r>
    <n v="8209657888"/>
    <s v="52"/>
    <x v="39"/>
    <d v="2026-10-12T09:49:52"/>
    <s v=""/>
    <s v="UNIDAD"/>
    <n v="13"/>
    <s v="PENDIENTE APROBACION  ENVIO TMS"/>
    <s v="000000008209657888"/>
    <x v="1"/>
    <x v="0"/>
    <s v="APROBAR"/>
    <n v="1"/>
    <e v="#N/A"/>
  </r>
  <r>
    <n v="8209657846"/>
    <s v="51"/>
    <x v="37"/>
    <d v="2026-10-12T09:49:53"/>
    <s v=""/>
    <s v="UNIDAD"/>
    <n v="4"/>
    <s v="PENDIENTE APROBACION  ENVIO TMS"/>
    <s v="000000008209657846"/>
    <x v="1"/>
    <x v="2"/>
    <s v="APROBAR"/>
    <n v="1"/>
    <e v="#N/A"/>
  </r>
  <r>
    <n v="1209657856"/>
    <s v="51"/>
    <x v="37"/>
    <d v="2026-10-12T09:49:54"/>
    <s v=""/>
    <s v="PACK"/>
    <n v="20"/>
    <s v="PENDIENTE APROBACION  ENVIO TMS"/>
    <s v="000000001209657856"/>
    <x v="2"/>
    <x v="2"/>
    <s v="APROBAR"/>
    <n v="1"/>
    <e v="#N/A"/>
  </r>
  <r>
    <n v="1209657858"/>
    <s v="51"/>
    <x v="37"/>
    <d v="2026-10-12T09:49:55"/>
    <s v=""/>
    <s v="CAJA"/>
    <n v="9"/>
    <s v="PENDIENTE APROBACION  ENVIO TMS"/>
    <s v="000000001209657858"/>
    <x v="2"/>
    <x v="2"/>
    <s v="APROBAR"/>
    <n v="1"/>
    <e v="#N/A"/>
  </r>
  <r>
    <n v="8209657943"/>
    <s v="54"/>
    <x v="35"/>
    <d v="2026-10-12T09:49:56"/>
    <s v=""/>
    <s v="UNIDAD"/>
    <n v="10"/>
    <s v="PENDIENTE APROBACION  ENVIO TMS"/>
    <s v="000000008209657943"/>
    <x v="1"/>
    <x v="0"/>
    <s v="APROBAR"/>
    <n v="1"/>
    <e v="#N/A"/>
  </r>
  <r>
    <n v="1209657896"/>
    <s v="52"/>
    <x v="39"/>
    <d v="2026-10-12T09:49:57"/>
    <s v=""/>
    <s v="CAJA"/>
    <n v="14"/>
    <s v="PENDIENTE APROBACION  ENVIO TMS"/>
    <s v="000000001209657896"/>
    <x v="2"/>
    <x v="0"/>
    <s v="APROBAR"/>
    <n v="1"/>
    <e v="#N/A"/>
  </r>
  <r>
    <n v="8209657814"/>
    <s v="50"/>
    <x v="36"/>
    <d v="2026-10-12T09:49:59"/>
    <s v=""/>
    <s v="UNIDAD"/>
    <n v="7"/>
    <s v="PENDIENTE APROBACION  ENVIO TMS"/>
    <s v="000000008209657814"/>
    <x v="1"/>
    <x v="0"/>
    <s v="APROBAR"/>
    <n v="1"/>
    <e v="#N/A"/>
  </r>
  <r>
    <n v="1209657861"/>
    <s v="51"/>
    <x v="37"/>
    <d v="2026-10-12T09:49:59"/>
    <s v=""/>
    <s v="PACK"/>
    <n v="37"/>
    <s v="PENDIENTE APROBACION  ENVIO TMS"/>
    <s v="000000001209657861"/>
    <x v="2"/>
    <x v="2"/>
    <s v="APROBAR"/>
    <n v="1"/>
    <e v="#N/A"/>
  </r>
  <r>
    <n v="1209657952"/>
    <s v="54"/>
    <x v="35"/>
    <d v="2026-10-12T09:50:01"/>
    <s v=""/>
    <s v="CAJA"/>
    <n v="32"/>
    <s v="PENDIENTE APROBACION  ENVIO TMS"/>
    <s v="000000001209657952"/>
    <x v="2"/>
    <x v="0"/>
    <s v="APROBAR"/>
    <n v="1"/>
    <e v="#N/A"/>
  </r>
  <r>
    <n v="1209657823"/>
    <s v="50"/>
    <x v="36"/>
    <d v="2026-10-12T09:50:02"/>
    <s v=""/>
    <s v="PACK"/>
    <n v="27"/>
    <s v="PENDIENTE APROBACION  ENVIO TMS"/>
    <s v="000000001209657823"/>
    <x v="2"/>
    <x v="0"/>
    <s v="APROBAR"/>
    <n v="1"/>
    <e v="#N/A"/>
  </r>
  <r>
    <n v="8209657851"/>
    <s v="51"/>
    <x v="37"/>
    <d v="2026-10-12T09:50:03"/>
    <s v=""/>
    <s v="UNIDAD"/>
    <n v="6"/>
    <s v="PENDIENTE APROBACION  ENVIO TMS"/>
    <s v="000000008209657851"/>
    <x v="1"/>
    <x v="2"/>
    <s v="APROBAR"/>
    <n v="1"/>
    <e v="#N/A"/>
  </r>
  <r>
    <n v="1209657934"/>
    <s v="53"/>
    <x v="38"/>
    <d v="2026-10-12T09:50:04"/>
    <s v=""/>
    <s v="CAJA"/>
    <n v="17"/>
    <s v="PENDIENTE APROBACION  ENVIO TMS"/>
    <s v="000000001209657934"/>
    <x v="2"/>
    <x v="3"/>
    <s v="APROBAR"/>
    <n v="1"/>
    <e v="#N/A"/>
  </r>
  <r>
    <n v="1209657827"/>
    <s v="50"/>
    <x v="36"/>
    <d v="2026-10-12T09:50:05"/>
    <s v=""/>
    <s v="CAJA"/>
    <n v="19"/>
    <s v="PENDIENTE APROBACION  ENVIO TMS"/>
    <s v="000000001209657827"/>
    <x v="2"/>
    <x v="0"/>
    <s v="APROBAR"/>
    <n v="1"/>
    <e v="#N/A"/>
  </r>
  <r>
    <n v="1209657892"/>
    <s v="52"/>
    <x v="39"/>
    <d v="2026-10-12T09:50:06"/>
    <s v=""/>
    <s v="CAJA"/>
    <n v="11"/>
    <s v="PENDIENTE APROBACION  ENVIO TMS"/>
    <s v="000000001209657892"/>
    <x v="2"/>
    <x v="0"/>
    <s v="APROBAR"/>
    <n v="1"/>
    <e v="#N/A"/>
  </r>
  <r>
    <n v="1209657829"/>
    <s v="50"/>
    <x v="36"/>
    <d v="2026-10-12T09:50:08"/>
    <s v=""/>
    <s v="CAJA"/>
    <n v="32"/>
    <s v="PENDIENTE APROBACION  ENVIO TMS"/>
    <s v="000000001209657829"/>
    <x v="2"/>
    <x v="0"/>
    <s v="APROBAR"/>
    <n v="1"/>
    <e v="#N/A"/>
  </r>
  <r>
    <n v="1209657894"/>
    <s v="52"/>
    <x v="39"/>
    <d v="2026-10-12T09:50:09"/>
    <s v=""/>
    <s v="CAJA"/>
    <n v="11"/>
    <s v="PENDIENTE APROBACION  ENVIO TMS"/>
    <s v="000000001209657894"/>
    <x v="2"/>
    <x v="0"/>
    <s v="APROBAR"/>
    <n v="1"/>
    <e v="#N/A"/>
  </r>
  <r>
    <n v="8209657920"/>
    <s v="53"/>
    <x v="38"/>
    <d v="2026-10-12T09:50:11"/>
    <s v=""/>
    <s v="UNIDAD"/>
    <n v="2"/>
    <s v="PENDIENTE APROBACION  ENVIO TMS"/>
    <s v="000000008209657920"/>
    <x v="1"/>
    <x v="3"/>
    <s v="APROBAR"/>
    <n v="1"/>
    <e v="#N/A"/>
  </r>
  <r>
    <n v="1209657895"/>
    <s v="52"/>
    <x v="39"/>
    <d v="2026-10-12T09:50:11"/>
    <s v=""/>
    <s v="CAJA"/>
    <n v="11"/>
    <s v="PENDIENTE APROBACION  ENVIO TMS"/>
    <s v="000000001209657895"/>
    <x v="2"/>
    <x v="0"/>
    <s v="APROBAR"/>
    <n v="1"/>
    <e v="#N/A"/>
  </r>
  <r>
    <n v="1209657924"/>
    <s v="53"/>
    <x v="38"/>
    <d v="2026-10-12T09:50:12"/>
    <s v=""/>
    <s v="CAJA"/>
    <n v="13"/>
    <s v="PENDIENTE APROBACION  ENVIO TMS"/>
    <s v="000000001209657924"/>
    <x v="2"/>
    <x v="3"/>
    <s v="APROBAR"/>
    <n v="1"/>
    <e v="#N/A"/>
  </r>
  <r>
    <n v="1209657899"/>
    <s v="52"/>
    <x v="39"/>
    <d v="2026-10-12T09:50:14"/>
    <s v=""/>
    <s v="PACK"/>
    <n v="47"/>
    <s v="PENDIENTE APROBACION  ENVIO TMS"/>
    <s v="000000001209657899"/>
    <x v="2"/>
    <x v="0"/>
    <s v="APROBAR"/>
    <n v="1"/>
    <e v="#N/A"/>
  </r>
  <r>
    <n v="1209657926"/>
    <s v="53"/>
    <x v="38"/>
    <d v="2026-10-12T09:50:15"/>
    <s v=""/>
    <s v="CAJA"/>
    <n v="7"/>
    <s v="PENDIENTE APROBACION  ENVIO TMS"/>
    <s v="000000001209657926"/>
    <x v="2"/>
    <x v="3"/>
    <s v="APROBAR"/>
    <n v="1"/>
    <e v="#N/A"/>
  </r>
  <r>
    <n v="1209657821"/>
    <s v="50"/>
    <x v="36"/>
    <d v="2026-10-12T09:50:16"/>
    <s v=""/>
    <s v="CAJA"/>
    <n v="13"/>
    <s v="PENDIENTE APROBACION  ENVIO TMS"/>
    <s v="000000001209657821"/>
    <x v="2"/>
    <x v="0"/>
    <s v="APROBAR"/>
    <n v="1"/>
    <e v="#N/A"/>
  </r>
  <r>
    <n v="1209657891"/>
    <s v="52"/>
    <x v="39"/>
    <d v="2026-10-12T09:50:17"/>
    <s v=""/>
    <s v="CAJA"/>
    <n v="8"/>
    <s v="PENDIENTE APROBACION  ENVIO TMS"/>
    <s v="000000001209657891"/>
    <x v="2"/>
    <x v="0"/>
    <s v="APROBAR"/>
    <n v="1"/>
    <e v="#N/A"/>
  </r>
  <r>
    <n v="1209657857"/>
    <s v="51"/>
    <x v="37"/>
    <d v="2026-10-12T09:50:18"/>
    <s v=""/>
    <s v="CAJA"/>
    <n v="12"/>
    <s v="PENDIENTE APROBACION  ENVIO TMS"/>
    <s v="000000001209657857"/>
    <x v="2"/>
    <x v="2"/>
    <s v="APROBAR"/>
    <n v="1"/>
    <e v="#N/A"/>
  </r>
  <r>
    <n v="1209657898"/>
    <s v="52"/>
    <x v="39"/>
    <d v="2026-10-12T09:50:20"/>
    <s v=""/>
    <s v="CAJA"/>
    <n v="47"/>
    <s v="PENDIENTE APROBACION  ENVIO TMS"/>
    <s v="000000001209657898"/>
    <x v="2"/>
    <x v="0"/>
    <s v="APROBAR"/>
    <n v="1"/>
    <e v="#N/A"/>
  </r>
  <r>
    <n v="1209657927"/>
    <s v="53"/>
    <x v="38"/>
    <d v="2026-10-12T09:50:21"/>
    <s v=""/>
    <s v="PACK"/>
    <n v="15"/>
    <s v="PENDIENTE APROBACION  ENVIO TMS"/>
    <s v="000000001209657927"/>
    <x v="2"/>
    <x v="3"/>
    <s v="APROBAR"/>
    <n v="1"/>
    <e v="#N/A"/>
  </r>
  <r>
    <n v="1209657820"/>
    <s v="50"/>
    <x v="36"/>
    <d v="2026-10-12T09:50:21"/>
    <s v=""/>
    <s v="CAJA"/>
    <n v="14"/>
    <s v="PENDIENTE APROBACION  ENVIO TMS"/>
    <s v="000000001209657820"/>
    <x v="2"/>
    <x v="0"/>
    <s v="APROBAR"/>
    <n v="1"/>
    <e v="#N/A"/>
  </r>
  <r>
    <n v="1209657929"/>
    <s v="53"/>
    <x v="38"/>
    <d v="2026-10-12T09:50:23"/>
    <s v=""/>
    <s v="CAJA"/>
    <n v="28"/>
    <s v="PENDIENTE APROBACION  ENVIO TMS"/>
    <s v="000000001209657929"/>
    <x v="2"/>
    <x v="3"/>
    <s v="APROBAR"/>
    <n v="1"/>
    <e v="#N/A"/>
  </r>
  <r>
    <n v="1209657824"/>
    <s v="50"/>
    <x v="36"/>
    <d v="2026-10-12T09:50:24"/>
    <s v=""/>
    <s v="CAJA"/>
    <n v="19"/>
    <s v="PENDIENTE APROBACION  ENVIO TMS"/>
    <s v="000000001209657824"/>
    <x v="2"/>
    <x v="0"/>
    <s v="APROBAR"/>
    <n v="1"/>
    <e v="#N/A"/>
  </r>
  <r>
    <n v="8209657848"/>
    <s v="51"/>
    <x v="37"/>
    <d v="2026-10-12T09:50:25"/>
    <s v=""/>
    <s v="UNIDAD"/>
    <n v="4"/>
    <s v="PENDIENTE APROBACION  ENVIO TMS"/>
    <s v="000000008209657848"/>
    <x v="1"/>
    <x v="2"/>
    <s v="APROBAR"/>
    <n v="1"/>
    <e v="#N/A"/>
  </r>
  <r>
    <n v="8209657944"/>
    <s v="54"/>
    <x v="35"/>
    <d v="2026-10-12T09:50:27"/>
    <s v=""/>
    <s v="UNIDAD"/>
    <n v="119"/>
    <s v="PENDIENTE APROBACION  ENVIO TMS"/>
    <s v="000000008209657944"/>
    <x v="1"/>
    <x v="0"/>
    <s v="APROBAR"/>
    <n v="1"/>
    <e v="#N/A"/>
  </r>
  <r>
    <n v="8209657850"/>
    <s v="51"/>
    <x v="37"/>
    <d v="2026-10-12T09:50:27"/>
    <s v=""/>
    <s v="UNIDAD"/>
    <n v="1"/>
    <s v="PENDIENTE APROBACION  ENVIO TMS"/>
    <s v="000000008209657850"/>
    <x v="1"/>
    <x v="2"/>
    <s v="APROBAR"/>
    <n v="1"/>
    <e v="#N/A"/>
  </r>
  <r>
    <n v="8209658013"/>
    <s v="56"/>
    <x v="40"/>
    <d v="2026-10-12T09:53:52"/>
    <s v=""/>
    <s v="UNIDAD"/>
    <n v="2"/>
    <s v="PENDIENTE APROBACION  ENVIO TMS"/>
    <s v="000000008209658013"/>
    <x v="1"/>
    <x v="2"/>
    <s v="APROBAR"/>
    <n v="1"/>
    <e v="#N/A"/>
  </r>
  <r>
    <n v="1209658015"/>
    <s v="56"/>
    <x v="40"/>
    <d v="2026-10-12T09:53:53"/>
    <s v=""/>
    <s v="CAJA"/>
    <n v="1"/>
    <s v="PENDIENTE APROBACION  ENVIO TMS"/>
    <s v="000000001209658015"/>
    <x v="2"/>
    <x v="2"/>
    <s v="APROBAR"/>
    <n v="1"/>
    <e v="#N/A"/>
  </r>
  <r>
    <n v="1209658062"/>
    <s v="58"/>
    <x v="41"/>
    <d v="2026-10-12T09:53:53"/>
    <s v=""/>
    <s v="CAJA"/>
    <n v="26"/>
    <s v="PENDIENTE APROBACION  ENVIO TMS"/>
    <s v="000000001209658062"/>
    <x v="2"/>
    <x v="2"/>
    <s v="APROBAR"/>
    <n v="1"/>
    <e v="#N/A"/>
  </r>
  <r>
    <n v="1209658021"/>
    <s v="56"/>
    <x v="40"/>
    <d v="2026-10-12T09:53:55"/>
    <s v=""/>
    <s v="CAJA"/>
    <n v="14"/>
    <s v="PENDIENTE APROBACION  ENVIO TMS"/>
    <s v="000000001209658021"/>
    <x v="2"/>
    <x v="2"/>
    <s v="APROBAR"/>
    <n v="1"/>
    <e v="#N/A"/>
  </r>
  <r>
    <n v="1209658045"/>
    <s v="57"/>
    <x v="42"/>
    <d v="2026-10-12T09:53:56"/>
    <s v=""/>
    <s v="PACK"/>
    <n v="48"/>
    <s v="PENDIENTE APROBACION  ENVIO TMS"/>
    <s v="000000001209658045"/>
    <x v="2"/>
    <x v="2"/>
    <s v="APROBAR"/>
    <n v="1"/>
    <e v="#N/A"/>
  </r>
  <r>
    <n v="1209658065"/>
    <s v="58"/>
    <x v="41"/>
    <d v="2026-10-12T09:53:59"/>
    <s v=""/>
    <s v="CAJA"/>
    <n v="48"/>
    <s v="PENDIENTE APROBACION  ENVIO TMS"/>
    <s v="000000001209658065"/>
    <x v="2"/>
    <x v="2"/>
    <s v="APROBAR"/>
    <n v="1"/>
    <e v="#N/A"/>
  </r>
  <r>
    <n v="1209657985"/>
    <s v="55"/>
    <x v="43"/>
    <d v="2026-10-12T09:54:00"/>
    <s v=""/>
    <s v="PACK"/>
    <n v="8"/>
    <s v="PENDIENTE APROBACION  ENVIO TMS"/>
    <s v="000000001209657985"/>
    <x v="2"/>
    <x v="0"/>
    <s v="APROBAR"/>
    <n v="1"/>
    <e v="#N/A"/>
  </r>
  <r>
    <n v="8209658047"/>
    <s v="57"/>
    <x v="42"/>
    <d v="2026-10-12T09:54:02"/>
    <s v=""/>
    <s v="UNIDAD"/>
    <n v="4"/>
    <s v="PENDIENTE APROBACION  ENVIO TMS"/>
    <s v="000000008209658047"/>
    <x v="1"/>
    <x v="2"/>
    <s v="APROBAR"/>
    <n v="1"/>
    <e v="#N/A"/>
  </r>
  <r>
    <n v="1209657986"/>
    <s v="55"/>
    <x v="43"/>
    <d v="2026-10-12T09:54:03"/>
    <s v=""/>
    <s v="CAJA"/>
    <n v="13"/>
    <s v="PENDIENTE APROBACION  ENVIO TMS"/>
    <s v="000000001209657986"/>
    <x v="2"/>
    <x v="0"/>
    <s v="APROBAR"/>
    <n v="1"/>
    <e v="#N/A"/>
  </r>
  <r>
    <n v="1209658049"/>
    <s v="57"/>
    <x v="42"/>
    <d v="2026-10-12T09:54:04"/>
    <s v=""/>
    <s v="PACK"/>
    <n v="21"/>
    <s v="PENDIENTE APROBACION  ENVIO TMS"/>
    <s v="000000001209658049"/>
    <x v="2"/>
    <x v="2"/>
    <s v="APROBAR"/>
    <n v="1"/>
    <e v="#N/A"/>
  </r>
  <r>
    <n v="1209657987"/>
    <s v="55"/>
    <x v="43"/>
    <d v="2026-10-12T09:54:06"/>
    <s v=""/>
    <s v="CAJA"/>
    <n v="21"/>
    <s v="PENDIENTE APROBACION  ENVIO TMS"/>
    <s v="000000001209657987"/>
    <x v="2"/>
    <x v="0"/>
    <s v="APROBAR"/>
    <n v="1"/>
    <e v="#N/A"/>
  </r>
  <r>
    <n v="1209658067"/>
    <s v="58"/>
    <x v="41"/>
    <d v="2026-10-12T09:54:06"/>
    <s v=""/>
    <s v="CAJA"/>
    <n v="5"/>
    <s v="PENDIENTE APROBACION  ENVIO TMS"/>
    <s v="000000001209658067"/>
    <x v="2"/>
    <x v="2"/>
    <s v="APROBAR"/>
    <n v="1"/>
    <e v="#N/A"/>
  </r>
  <r>
    <n v="8209658057"/>
    <s v="58"/>
    <x v="41"/>
    <d v="2026-10-12T09:54:08"/>
    <s v=""/>
    <s v="UNIDAD"/>
    <n v="5"/>
    <s v="PENDIENTE APROBACION  ENVIO TMS"/>
    <s v="000000008209658057"/>
    <x v="1"/>
    <x v="2"/>
    <s v="APROBAR"/>
    <n v="1"/>
    <e v="#N/A"/>
  </r>
  <r>
    <n v="8209658011"/>
    <s v="56"/>
    <x v="40"/>
    <d v="2026-10-12T09:54:09"/>
    <s v=""/>
    <s v="UNIDAD"/>
    <n v="2"/>
    <s v="PENDIENTE APROBACION  ENVIO TMS"/>
    <s v="000000008209658011"/>
    <x v="1"/>
    <x v="2"/>
    <s v="APROBAR"/>
    <n v="1"/>
    <e v="#N/A"/>
  </r>
  <r>
    <n v="1209658018"/>
    <s v="56"/>
    <x v="40"/>
    <d v="2026-10-12T09:54:10"/>
    <s v=""/>
    <s v="CAJA"/>
    <n v="7"/>
    <s v="PENDIENTE APROBACION  ENVIO TMS"/>
    <s v="000000001209658018"/>
    <x v="2"/>
    <x v="2"/>
    <s v="APROBAR"/>
    <n v="1"/>
    <e v="#N/A"/>
  </r>
  <r>
    <n v="1209658020"/>
    <s v="56"/>
    <x v="40"/>
    <d v="2026-10-12T09:54:11"/>
    <s v=""/>
    <s v="CAJA"/>
    <n v="17"/>
    <s v="PENDIENTE APROBACION  ENVIO TMS"/>
    <s v="000000001209658020"/>
    <x v="2"/>
    <x v="2"/>
    <s v="APROBAR"/>
    <n v="1"/>
    <e v="#N/A"/>
  </r>
  <r>
    <n v="1209658022"/>
    <s v="56"/>
    <x v="40"/>
    <d v="2026-10-12T09:54:12"/>
    <s v=""/>
    <s v="CAJA"/>
    <n v="23"/>
    <s v="PENDIENTE APROBACION  ENVIO TMS"/>
    <s v="000000001209658022"/>
    <x v="2"/>
    <x v="2"/>
    <s v="APROBAR"/>
    <n v="1"/>
    <e v="#N/A"/>
  </r>
  <r>
    <n v="1209657989"/>
    <s v="55"/>
    <x v="43"/>
    <d v="2026-10-12T09:54:17"/>
    <s v=""/>
    <s v="CAJA"/>
    <n v="3"/>
    <s v="PENDIENTE APROBACION  ENVIO TMS"/>
    <s v="000000001209657989"/>
    <x v="2"/>
    <x v="0"/>
    <s v="APROBAR"/>
    <n v="1"/>
    <e v="#N/A"/>
  </r>
  <r>
    <n v="8209658054"/>
    <s v="58"/>
    <x v="41"/>
    <d v="2026-10-12T09:54:18"/>
    <s v=""/>
    <s v="UNIDAD"/>
    <n v="12"/>
    <s v="PENDIENTE APROBACION  ENVIO TMS"/>
    <s v="000000008209658054"/>
    <x v="1"/>
    <x v="2"/>
    <s v="APROBAR"/>
    <n v="1"/>
    <e v="#N/A"/>
  </r>
  <r>
    <n v="1209658059"/>
    <s v="58"/>
    <x v="41"/>
    <d v="2026-10-12T09:54:19"/>
    <s v=""/>
    <s v="PACK"/>
    <n v="11"/>
    <s v="PENDIENTE APROBACION  ENVIO TMS"/>
    <s v="000000001209658059"/>
    <x v="2"/>
    <x v="2"/>
    <s v="APROBAR"/>
    <n v="1"/>
    <e v="#N/A"/>
  </r>
  <r>
    <n v="1209658016"/>
    <s v="56"/>
    <x v="40"/>
    <d v="2026-10-12T09:54:21"/>
    <s v=""/>
    <s v="CAJA"/>
    <n v="1"/>
    <s v="PENDIENTE APROBACION  ENVIO TMS"/>
    <s v="000000001209658016"/>
    <x v="2"/>
    <x v="2"/>
    <s v="APROBAR"/>
    <n v="1"/>
    <e v="#N/A"/>
  </r>
  <r>
    <n v="1209658040"/>
    <s v="57"/>
    <x v="42"/>
    <d v="2026-10-12T09:54:21"/>
    <s v=""/>
    <s v="CAJA"/>
    <n v="10"/>
    <s v="PENDIENTE APROBACION  ENVIO TMS"/>
    <s v="000000001209658040"/>
    <x v="2"/>
    <x v="2"/>
    <s v="APROBAR"/>
    <n v="1"/>
    <e v="#N/A"/>
  </r>
  <r>
    <n v="1209657984"/>
    <s v="55"/>
    <x v="43"/>
    <d v="2026-10-12T09:54:25"/>
    <s v=""/>
    <s v="CAJA"/>
    <n v="9"/>
    <s v="PENDIENTE APROBACION  ENVIO TMS"/>
    <s v="000000001209657984"/>
    <x v="2"/>
    <x v="0"/>
    <s v="APROBAR"/>
    <n v="1"/>
    <e v="#N/A"/>
  </r>
  <r>
    <n v="8209658055"/>
    <s v="58"/>
    <x v="41"/>
    <d v="2026-10-12T09:54:26"/>
    <s v=""/>
    <s v="UNIDAD"/>
    <n v="5"/>
    <s v="PENDIENTE APROBACION  ENVIO TMS"/>
    <s v="000000008209658055"/>
    <x v="1"/>
    <x v="2"/>
    <s v="APROBAR"/>
    <n v="1"/>
    <e v="#N/A"/>
  </r>
  <r>
    <n v="1209657991"/>
    <s v="55"/>
    <x v="43"/>
    <d v="2026-10-12T09:54:28"/>
    <s v=""/>
    <s v="CAJA"/>
    <n v="52"/>
    <s v="PENDIENTE APROBACION  ENVIO TMS"/>
    <s v="000000001209657991"/>
    <x v="2"/>
    <x v="0"/>
    <s v="APROBAR"/>
    <n v="1"/>
    <e v="#N/A"/>
  </r>
  <r>
    <n v="8209658056"/>
    <s v="58"/>
    <x v="41"/>
    <d v="2026-10-12T09:54:28"/>
    <s v=""/>
    <s v="UNIDAD"/>
    <n v="6"/>
    <s v="PENDIENTE APROBACION  ENVIO TMS"/>
    <s v="000000008209658056"/>
    <x v="1"/>
    <x v="2"/>
    <s v="APROBAR"/>
    <n v="1"/>
    <e v="#N/A"/>
  </r>
  <r>
    <n v="8209658009"/>
    <s v="56"/>
    <x v="40"/>
    <d v="2026-10-12T09:54:29"/>
    <s v=""/>
    <s v="UNIDAD"/>
    <n v="1"/>
    <s v="PENDIENTE APROBACION  ENVIO TMS"/>
    <s v="000000008209658009"/>
    <x v="1"/>
    <x v="2"/>
    <s v="APROBAR"/>
    <n v="1"/>
    <e v="#N/A"/>
  </r>
  <r>
    <n v="1209658042"/>
    <s v="57"/>
    <x v="42"/>
    <d v="2026-10-12T09:54:31"/>
    <s v=""/>
    <s v="PACK"/>
    <n v="23"/>
    <s v="PENDIENTE APROBACION  ENVIO TMS"/>
    <s v="000000001209658042"/>
    <x v="2"/>
    <x v="2"/>
    <s v="APROBAR"/>
    <n v="1"/>
    <e v="#N/A"/>
  </r>
  <r>
    <n v="1209658019"/>
    <s v="56"/>
    <x v="40"/>
    <d v="2026-10-12T09:54:32"/>
    <s v=""/>
    <s v="CAJA"/>
    <n v="13"/>
    <s v="PENDIENTE APROBACION  ENVIO TMS"/>
    <s v="000000001209658019"/>
    <x v="2"/>
    <x v="2"/>
    <s v="APROBAR"/>
    <n v="1"/>
    <e v="#N/A"/>
  </r>
  <r>
    <n v="1209658044"/>
    <s v="57"/>
    <x v="42"/>
    <d v="2026-10-12T09:54:34"/>
    <s v=""/>
    <s v="CAJA"/>
    <n v="18"/>
    <s v="PENDIENTE APROBACION  ENVIO TMS"/>
    <s v="000000001209658044"/>
    <x v="2"/>
    <x v="2"/>
    <s v="APROBAR"/>
    <n v="1"/>
    <e v="#N/A"/>
  </r>
  <r>
    <n v="1209658063"/>
    <s v="58"/>
    <x v="41"/>
    <d v="2026-10-12T09:54:34"/>
    <s v=""/>
    <s v="PACK"/>
    <n v="21"/>
    <s v="PENDIENTE APROBACION  ENVIO TMS"/>
    <s v="000000001209658063"/>
    <x v="2"/>
    <x v="2"/>
    <s v="APROBAR"/>
    <n v="1"/>
    <e v="#N/A"/>
  </r>
  <r>
    <n v="1209658064"/>
    <s v="58"/>
    <x v="41"/>
    <d v="2026-10-12T09:54:35"/>
    <s v=""/>
    <s v="CAJA"/>
    <n v="41"/>
    <s v="PENDIENTE APROBACION  ENVIO TMS"/>
    <s v="000000001209658064"/>
    <x v="2"/>
    <x v="2"/>
    <s v="APROBAR"/>
    <n v="1"/>
    <e v="#N/A"/>
  </r>
  <r>
    <n v="1209658048"/>
    <s v="57"/>
    <x v="42"/>
    <d v="2026-10-12T09:54:37"/>
    <s v=""/>
    <s v="PACK"/>
    <n v="8"/>
    <s v="PENDIENTE APROBACION  ENVIO TMS"/>
    <s v="000000001209658048"/>
    <x v="2"/>
    <x v="2"/>
    <s v="APROBAR"/>
    <n v="1"/>
    <e v="#N/A"/>
  </r>
  <r>
    <n v="8209658037"/>
    <s v="57"/>
    <x v="42"/>
    <d v="2026-10-12T09:54:38"/>
    <s v=""/>
    <s v="UNIDAD"/>
    <n v="6"/>
    <s v="PENDIENTE APROBACION  ENVIO TMS"/>
    <s v="000000008209658037"/>
    <x v="1"/>
    <x v="2"/>
    <s v="APROBAR"/>
    <n v="1"/>
    <e v="#N/A"/>
  </r>
  <r>
    <n v="8209658038"/>
    <s v="57"/>
    <x v="42"/>
    <d v="2026-10-12T09:54:39"/>
    <s v=""/>
    <s v="UNIDAD"/>
    <n v="4"/>
    <s v="PENDIENTE APROBACION  ENVIO TMS"/>
    <s v="000000008209658038"/>
    <x v="1"/>
    <x v="2"/>
    <s v="APROBAR"/>
    <n v="1"/>
    <e v="#N/A"/>
  </r>
  <r>
    <n v="8209657979"/>
    <s v="55"/>
    <x v="43"/>
    <d v="2026-10-12T09:54:40"/>
    <s v=""/>
    <s v="UNIDAD"/>
    <n v="3"/>
    <s v="PENDIENTE APROBACION  ENVIO TMS"/>
    <s v="000000008209657979"/>
    <x v="1"/>
    <x v="0"/>
    <s v="APROBAR"/>
    <n v="1"/>
    <e v="#N/A"/>
  </r>
  <r>
    <n v="8209657980"/>
    <s v="55"/>
    <x v="43"/>
    <d v="2026-10-12T09:54:41"/>
    <s v=""/>
    <s v="UNIDAD"/>
    <n v="6"/>
    <s v="PENDIENTE APROBACION  ENVIO TMS"/>
    <s v="000000008209657980"/>
    <x v="1"/>
    <x v="0"/>
    <s v="APROBAR"/>
    <n v="1"/>
    <e v="#N/A"/>
  </r>
  <r>
    <n v="8209657981"/>
    <s v="55"/>
    <x v="43"/>
    <d v="2026-10-12T09:54:42"/>
    <s v=""/>
    <s v="UNIDAD"/>
    <n v="1"/>
    <s v="PENDIENTE APROBACION  ENVIO TMS"/>
    <s v="000000008209657981"/>
    <x v="1"/>
    <x v="0"/>
    <s v="APROBAR"/>
    <n v="1"/>
    <e v="#N/A"/>
  </r>
  <r>
    <n v="8209658046"/>
    <s v="57"/>
    <x v="42"/>
    <d v="2026-10-12T09:54:44"/>
    <s v=""/>
    <s v="UNIDAD"/>
    <n v="3"/>
    <s v="PENDIENTE APROBACION  ENVIO TMS"/>
    <s v="000000008209658046"/>
    <x v="1"/>
    <x v="2"/>
    <s v="APROBAR"/>
    <n v="1"/>
    <e v="#N/A"/>
  </r>
  <r>
    <n v="8209658051"/>
    <s v="58"/>
    <x v="41"/>
    <d v="2026-10-12T09:54:45"/>
    <s v=""/>
    <s v="UNIDAD"/>
    <n v="1"/>
    <s v="PENDIENTE APROBACION  ENVIO TMS"/>
    <s v="000000008209658051"/>
    <x v="1"/>
    <x v="2"/>
    <s v="APROBAR"/>
    <n v="1"/>
    <e v="#N/A"/>
  </r>
  <r>
    <n v="8209658053"/>
    <s v="58"/>
    <x v="41"/>
    <d v="2026-10-12T09:54:47"/>
    <s v=""/>
    <s v="UNIDAD"/>
    <n v="2"/>
    <s v="PENDIENTE APROBACION  ENVIO TMS"/>
    <s v="000000008209658053"/>
    <x v="1"/>
    <x v="2"/>
    <s v="APROBAR"/>
    <n v="1"/>
    <e v="#N/A"/>
  </r>
  <r>
    <n v="8209658014"/>
    <s v="56"/>
    <x v="40"/>
    <d v="2026-10-12T09:54:48"/>
    <s v=""/>
    <s v="UNIDAD"/>
    <n v="1"/>
    <s v="PENDIENTE APROBACION  ENVIO TMS"/>
    <s v="000000008209658014"/>
    <x v="1"/>
    <x v="2"/>
    <s v="APROBAR"/>
    <n v="1"/>
    <e v="#N/A"/>
  </r>
  <r>
    <n v="1209657993"/>
    <s v="55"/>
    <x v="43"/>
    <d v="2026-10-12T09:54:49"/>
    <s v=""/>
    <s v="CAJA"/>
    <n v="10"/>
    <s v="PENDIENTE APROBACION  ENVIO TMS"/>
    <s v="000000001209657993"/>
    <x v="2"/>
    <x v="0"/>
    <s v="APROBAR"/>
    <n v="1"/>
    <e v="#N/A"/>
  </r>
  <r>
    <n v="1209658043"/>
    <s v="57"/>
    <x v="42"/>
    <d v="2026-10-12T09:54:51"/>
    <s v=""/>
    <s v="CAJA"/>
    <n v="17"/>
    <s v="PENDIENTE APROBACION  ENVIO TMS"/>
    <s v="000000001209658043"/>
    <x v="2"/>
    <x v="2"/>
    <s v="APROBAR"/>
    <n v="1"/>
    <e v="#N/A"/>
  </r>
  <r>
    <n v="8209657977"/>
    <s v="55"/>
    <x v="43"/>
    <d v="2026-10-12T09:54:51"/>
    <s v=""/>
    <s v="UNIDAD"/>
    <n v="9"/>
    <s v="PENDIENTE APROBACION  ENVIO TMS"/>
    <s v="000000008209657977"/>
    <x v="1"/>
    <x v="0"/>
    <s v="APROBAR"/>
    <n v="1"/>
    <e v="#N/A"/>
  </r>
  <r>
    <n v="1209657982"/>
    <s v="55"/>
    <x v="43"/>
    <d v="2026-10-12T09:54:53"/>
    <s v=""/>
    <s v="CAJA"/>
    <n v="2"/>
    <s v="PENDIENTE APROBACION  ENVIO TMS"/>
    <s v="000000001209657982"/>
    <x v="2"/>
    <x v="0"/>
    <s v="APROBAR"/>
    <n v="1"/>
    <e v="#N/A"/>
  </r>
  <r>
    <n v="1209658050"/>
    <s v="57"/>
    <x v="42"/>
    <d v="2026-10-12T09:54:55"/>
    <s v=""/>
    <s v="CAJA"/>
    <n v="69"/>
    <s v="PENDIENTE APROBACION  ENVIO TMS"/>
    <s v="000000001209658050"/>
    <x v="2"/>
    <x v="2"/>
    <s v="APROBAR"/>
    <n v="1"/>
    <e v="#N/A"/>
  </r>
  <r>
    <n v="1209657990"/>
    <s v="55"/>
    <x v="43"/>
    <d v="2026-10-12T09:54:58"/>
    <s v=""/>
    <s v="PACK"/>
    <n v="30"/>
    <s v="PENDIENTE APROBACION  ENVIO TMS"/>
    <s v="000000001209657990"/>
    <x v="2"/>
    <x v="0"/>
    <s v="APROBAR"/>
    <n v="1"/>
    <e v="#N/A"/>
  </r>
  <r>
    <n v="8209658035"/>
    <s v="57"/>
    <x v="42"/>
    <d v="2026-10-12T09:54:59"/>
    <s v=""/>
    <s v="UNIDAD"/>
    <n v="2"/>
    <s v="PENDIENTE APROBACION  ENVIO TMS"/>
    <s v="000000008209658035"/>
    <x v="1"/>
    <x v="2"/>
    <s v="APROBAR"/>
    <n v="1"/>
    <e v="#N/A"/>
  </r>
  <r>
    <n v="8209658010"/>
    <s v="56"/>
    <x v="40"/>
    <d v="2026-10-12T09:55:01"/>
    <s v=""/>
    <s v="UNIDAD"/>
    <n v="2"/>
    <s v="PENDIENTE APROBACION  ENVIO TMS"/>
    <s v="000000008209658010"/>
    <x v="1"/>
    <x v="2"/>
    <s v="APROBAR"/>
    <n v="1"/>
    <e v="#N/A"/>
  </r>
  <r>
    <n v="1209658061"/>
    <s v="58"/>
    <x v="41"/>
    <d v="2026-10-12T09:55:02"/>
    <s v=""/>
    <s v="CAJA"/>
    <n v="21"/>
    <s v="PENDIENTE APROBACION  ENVIO TMS"/>
    <s v="000000001209658061"/>
    <x v="2"/>
    <x v="2"/>
    <s v="APROBAR"/>
    <n v="1"/>
    <e v="#N/A"/>
  </r>
  <r>
    <n v="1209658017"/>
    <s v="56"/>
    <x v="40"/>
    <d v="2026-10-12T09:55:03"/>
    <s v=""/>
    <s v="CAJA"/>
    <n v="4"/>
    <s v="PENDIENTE APROBACION  ENVIO TMS"/>
    <s v="000000001209658017"/>
    <x v="2"/>
    <x v="2"/>
    <s v="APROBAR"/>
    <n v="1"/>
    <e v="#N/A"/>
  </r>
  <r>
    <n v="8209657978"/>
    <s v="55"/>
    <x v="43"/>
    <d v="2026-10-12T09:55:04"/>
    <s v=""/>
    <s v="UNIDAD"/>
    <n v="2"/>
    <s v="PENDIENTE APROBACION  ENVIO TMS"/>
    <s v="000000008209657978"/>
    <x v="1"/>
    <x v="0"/>
    <s v="APROBAR"/>
    <n v="1"/>
    <e v="#N/A"/>
  </r>
  <r>
    <n v="1209657988"/>
    <s v="55"/>
    <x v="43"/>
    <d v="2026-10-12T09:55:08"/>
    <s v=""/>
    <s v="PACK"/>
    <n v="25"/>
    <s v="PENDIENTE APROBACION  ENVIO TMS"/>
    <s v="000000001209657988"/>
    <x v="2"/>
    <x v="0"/>
    <s v="APROBAR"/>
    <n v="1"/>
    <e v="#N/A"/>
  </r>
  <r>
    <n v="1209658066"/>
    <s v="58"/>
    <x v="41"/>
    <d v="2026-10-12T09:55:08"/>
    <s v=""/>
    <s v="PACK"/>
    <n v="45"/>
    <s v="PENDIENTE APROBACION  ENVIO TMS"/>
    <s v="000000001209658066"/>
    <x v="2"/>
    <x v="2"/>
    <s v="APROBAR"/>
    <n v="1"/>
    <e v="#N/A"/>
  </r>
  <r>
    <n v="8209658052"/>
    <s v="58"/>
    <x v="41"/>
    <d v="2026-10-12T09:55:10"/>
    <s v=""/>
    <s v="UNIDAD"/>
    <n v="2"/>
    <s v="PENDIENTE APROBACION  ENVIO TMS"/>
    <s v="000000008209658052"/>
    <x v="1"/>
    <x v="2"/>
    <s v="APROBAR"/>
    <n v="1"/>
    <e v="#N/A"/>
  </r>
  <r>
    <n v="8209658036"/>
    <s v="57"/>
    <x v="42"/>
    <d v="2026-10-12T09:55:11"/>
    <s v=""/>
    <s v="UNIDAD"/>
    <n v="2"/>
    <s v="PENDIENTE APROBACION  ENVIO TMS"/>
    <s v="000000008209658036"/>
    <x v="1"/>
    <x v="2"/>
    <s v="APROBAR"/>
    <n v="1"/>
    <e v="#N/A"/>
  </r>
  <r>
    <n v="1209658058"/>
    <s v="58"/>
    <x v="41"/>
    <d v="2026-10-12T09:55:12"/>
    <s v=""/>
    <s v="CAJA"/>
    <n v="8"/>
    <s v="PENDIENTE APROBACION  ENVIO TMS"/>
    <s v="000000001209658058"/>
    <x v="2"/>
    <x v="2"/>
    <s v="APROBAR"/>
    <n v="1"/>
    <e v="#N/A"/>
  </r>
  <r>
    <n v="8209658012"/>
    <s v="56"/>
    <x v="40"/>
    <d v="2026-10-12T09:55:14"/>
    <s v=""/>
    <s v="UNIDAD"/>
    <n v="3"/>
    <s v="PENDIENTE APROBACION  ENVIO TMS"/>
    <s v="000000008209658012"/>
    <x v="1"/>
    <x v="2"/>
    <s v="APROBAR"/>
    <n v="1"/>
    <e v="#N/A"/>
  </r>
  <r>
    <n v="1209658060"/>
    <s v="58"/>
    <x v="41"/>
    <d v="2026-10-12T09:55:14"/>
    <s v=""/>
    <s v="CAJA"/>
    <n v="15"/>
    <s v="PENDIENTE APROBACION  ENVIO TMS"/>
    <s v="000000001209658060"/>
    <x v="2"/>
    <x v="2"/>
    <s v="APROBAR"/>
    <n v="1"/>
    <e v="#N/A"/>
  </r>
  <r>
    <n v="1209658041"/>
    <s v="57"/>
    <x v="42"/>
    <d v="2026-10-12T09:55:17"/>
    <s v=""/>
    <s v="PACK"/>
    <n v="8"/>
    <s v="PENDIENTE APROBACION  ENVIO TMS"/>
    <s v="000000001209658041"/>
    <x v="2"/>
    <x v="2"/>
    <s v="APROBAR"/>
    <n v="1"/>
    <e v="#N/A"/>
  </r>
  <r>
    <n v="1209657999"/>
    <s v="55"/>
    <x v="43"/>
    <d v="2026-10-12T09:55:18"/>
    <s v=""/>
    <s v="CAJA"/>
    <n v="37"/>
    <s v="PENDIENTE APROBACION  ENVIO TMS"/>
    <s v="000000001209657999"/>
    <x v="2"/>
    <x v="0"/>
    <s v="APROBAR"/>
    <n v="1"/>
    <e v="#N/A"/>
  </r>
  <r>
    <n v="8209658137"/>
    <s v="60"/>
    <x v="44"/>
    <d v="2026-10-12T09:58:52"/>
    <s v=""/>
    <s v="UNIDAD"/>
    <n v="5"/>
    <s v="PENDIENTE APROBACION  ENVIO TMS"/>
    <s v="000000008209658137"/>
    <x v="1"/>
    <x v="3"/>
    <s v="APROBAR"/>
    <n v="1"/>
    <e v="#N/A"/>
  </r>
  <r>
    <n v="1209658207"/>
    <s v="61"/>
    <x v="45"/>
    <d v="2026-10-12T09:58:52"/>
    <s v=""/>
    <s v="CAJA"/>
    <n v="4"/>
    <s v="PENDIENTE APROBACION  ENVIO TMS"/>
    <s v="000000001209658207"/>
    <x v="2"/>
    <x v="0"/>
    <s v="APROBAR"/>
    <n v="1"/>
    <e v="#N/A"/>
  </r>
  <r>
    <n v="8209658191"/>
    <s v="61"/>
    <x v="45"/>
    <d v="2026-10-12T09:58:54"/>
    <s v=""/>
    <s v="UNIDAD"/>
    <n v="4"/>
    <s v="PENDIENTE APROBACION  ENVIO TMS"/>
    <s v="000000008209658191"/>
    <x v="1"/>
    <x v="0"/>
    <s v="APROBAR"/>
    <n v="1"/>
    <e v="#N/A"/>
  </r>
  <r>
    <n v="8209658140"/>
    <s v="60"/>
    <x v="44"/>
    <d v="2026-10-12T09:58:55"/>
    <s v=""/>
    <s v="UNIDAD"/>
    <n v="11"/>
    <s v="PENDIENTE APROBACION  ENVIO TMS"/>
    <s v="000000008209658140"/>
    <x v="1"/>
    <x v="3"/>
    <s v="APROBAR"/>
    <n v="1"/>
    <e v="#N/A"/>
  </r>
  <r>
    <n v="1209658143"/>
    <s v="60"/>
    <x v="44"/>
    <d v="2026-10-12T09:58:56"/>
    <s v=""/>
    <s v="CAJA"/>
    <n v="14"/>
    <s v="PENDIENTE APROBACION  ENVIO TMS"/>
    <s v="000000001209658143"/>
    <x v="2"/>
    <x v="3"/>
    <s v="APROBAR"/>
    <n v="1"/>
    <e v="#N/A"/>
  </r>
  <r>
    <n v="1209658219"/>
    <s v="62"/>
    <x v="46"/>
    <d v="2026-10-12T09:58:57"/>
    <s v=""/>
    <s v="CAJA"/>
    <n v="4"/>
    <s v="PENDIENTE APROBACION  ENVIO TMS"/>
    <s v="000000001209658219"/>
    <x v="2"/>
    <x v="1"/>
    <s v="APROBAR"/>
    <n v="1"/>
    <e v="#N/A"/>
  </r>
  <r>
    <n v="1209658270"/>
    <s v="63"/>
    <x v="47"/>
    <d v="2026-10-12T09:58:58"/>
    <s v=""/>
    <s v="CAJA"/>
    <n v="21"/>
    <s v="PENDIENTE APROBACION  ENVIO TMS"/>
    <s v="000000001209658270"/>
    <x v="2"/>
    <x v="0"/>
    <s v="APROBAR"/>
    <n v="1"/>
    <e v="#N/A"/>
  </r>
  <r>
    <n v="1209658141"/>
    <s v="60"/>
    <x v="44"/>
    <d v="2026-10-12T09:59:00"/>
    <s v=""/>
    <s v="CAJA"/>
    <n v="1"/>
    <s v="PENDIENTE APROBACION  ENVIO TMS"/>
    <s v="000000001209658141"/>
    <x v="2"/>
    <x v="3"/>
    <s v="APROBAR"/>
    <n v="1"/>
    <e v="#N/A"/>
  </r>
  <r>
    <n v="1209658276"/>
    <s v="63"/>
    <x v="47"/>
    <d v="2026-10-12T09:59:01"/>
    <s v=""/>
    <s v="CAJA"/>
    <n v="2"/>
    <s v="PENDIENTE APROBACION  ENVIO TMS"/>
    <s v="000000001209658276"/>
    <x v="2"/>
    <x v="0"/>
    <s v="APROBAR"/>
    <n v="1"/>
    <e v="#N/A"/>
  </r>
  <r>
    <n v="1209658146"/>
    <s v="60"/>
    <x v="44"/>
    <d v="2026-10-12T09:59:03"/>
    <s v=""/>
    <s v="PACK"/>
    <n v="17"/>
    <s v="PENDIENTE APROBACION  ENVIO TMS"/>
    <s v="000000001209658146"/>
    <x v="2"/>
    <x v="3"/>
    <s v="APROBAR"/>
    <n v="1"/>
    <e v="#N/A"/>
  </r>
  <r>
    <n v="8209658233"/>
    <s v="62"/>
    <x v="46"/>
    <d v="2026-10-12T09:59:03"/>
    <s v=""/>
    <s v="UNIDAD"/>
    <n v="5"/>
    <s v="PENDIENTE APROBACION  ENVIO TMS"/>
    <s v="000000008209658233"/>
    <x v="1"/>
    <x v="1"/>
    <s v="APROBAR"/>
    <n v="1"/>
    <e v="#N/A"/>
  </r>
  <r>
    <n v="8209658261"/>
    <s v="63"/>
    <x v="47"/>
    <d v="2026-10-12T09:59:05"/>
    <s v=""/>
    <s v="UNIDAD"/>
    <n v="11"/>
    <s v="PENDIENTE APROBACION  ENVIO TMS"/>
    <s v="000000008209658261"/>
    <x v="1"/>
    <x v="0"/>
    <s v="APROBAR"/>
    <n v="1"/>
    <e v="#N/A"/>
  </r>
  <r>
    <n v="1209658265"/>
    <s v="63"/>
    <x v="47"/>
    <d v="2026-10-12T09:59:06"/>
    <s v=""/>
    <s v="CAJA"/>
    <n v="7"/>
    <s v="PENDIENTE APROBACION  ENVIO TMS"/>
    <s v="000000001209658265"/>
    <x v="2"/>
    <x v="0"/>
    <s v="APROBAR"/>
    <n v="1"/>
    <e v="#N/A"/>
  </r>
  <r>
    <n v="1209658266"/>
    <s v="63"/>
    <x v="47"/>
    <d v="2026-10-12T09:59:07"/>
    <s v=""/>
    <s v="CAJA"/>
    <n v="8"/>
    <s v="PENDIENTE APROBACION  ENVIO TMS"/>
    <s v="000000001209658266"/>
    <x v="2"/>
    <x v="0"/>
    <s v="APROBAR"/>
    <n v="1"/>
    <e v="#N/A"/>
  </r>
  <r>
    <n v="8209658139"/>
    <s v="60"/>
    <x v="44"/>
    <d v="2026-10-12T09:59:09"/>
    <s v=""/>
    <s v="UNIDAD"/>
    <n v="4"/>
    <s v="PENDIENTE APROBACION  ENVIO TMS"/>
    <s v="000000008209658139"/>
    <x v="1"/>
    <x v="3"/>
    <s v="APROBAR"/>
    <n v="1"/>
    <e v="#N/A"/>
  </r>
  <r>
    <n v="8209658189"/>
    <s v="61"/>
    <x v="45"/>
    <d v="2026-10-12T09:59:09"/>
    <s v=""/>
    <s v="UNIDAD"/>
    <n v="1"/>
    <s v="PENDIENTE APROBACION  ENVIO TMS"/>
    <s v="000000008209658189"/>
    <x v="1"/>
    <x v="0"/>
    <s v="APROBAR"/>
    <n v="1"/>
    <e v="#N/A"/>
  </r>
  <r>
    <n v="8209658190"/>
    <s v="61"/>
    <x v="45"/>
    <d v="2026-10-12T09:59:11"/>
    <s v=""/>
    <s v="UNIDAD"/>
    <n v="2"/>
    <s v="PENDIENTE APROBACION  ENVIO TMS"/>
    <s v="000000008209658190"/>
    <x v="1"/>
    <x v="0"/>
    <s v="APROBAR"/>
    <n v="1"/>
    <e v="#N/A"/>
  </r>
  <r>
    <n v="1209658144"/>
    <s v="60"/>
    <x v="44"/>
    <d v="2026-10-12T09:59:12"/>
    <s v=""/>
    <s v="CAJA"/>
    <n v="20"/>
    <s v="PENDIENTE APROBACION  ENVIO TMS"/>
    <s v="000000001209658144"/>
    <x v="2"/>
    <x v="3"/>
    <s v="APROBAR"/>
    <n v="1"/>
    <e v="#N/A"/>
  </r>
  <r>
    <n v="1209658226"/>
    <s v="62"/>
    <x v="46"/>
    <d v="2026-10-12T09:59:13"/>
    <s v=""/>
    <s v="CAJA"/>
    <n v="4"/>
    <s v="PENDIENTE APROBACION  ENVIO TMS"/>
    <s v="000000001209658226"/>
    <x v="2"/>
    <x v="1"/>
    <s v="APROBAR"/>
    <n v="1"/>
    <e v="#N/A"/>
  </r>
  <r>
    <n v="1209658262"/>
    <s v="63"/>
    <x v="47"/>
    <d v="2026-10-12T09:59:14"/>
    <s v=""/>
    <s v="CAJA"/>
    <n v="2"/>
    <s v="PENDIENTE APROBACION  ENVIO TMS"/>
    <s v="000000001209658262"/>
    <x v="2"/>
    <x v="0"/>
    <s v="APROBAR"/>
    <n v="1"/>
    <e v="#N/A"/>
  </r>
  <r>
    <n v="1209658152"/>
    <s v="60"/>
    <x v="44"/>
    <d v="2026-10-12T09:59:15"/>
    <s v=""/>
    <s v="CAJA"/>
    <n v="7"/>
    <s v="PENDIENTE APROBACION  ENVIO TMS"/>
    <s v="000000001209658152"/>
    <x v="2"/>
    <x v="3"/>
    <s v="APROBAR"/>
    <n v="1"/>
    <e v="#N/A"/>
  </r>
  <r>
    <n v="1209658193"/>
    <s v="61"/>
    <x v="45"/>
    <d v="2026-10-12T09:59:17"/>
    <s v=""/>
    <s v="CAJA"/>
    <n v="5"/>
    <s v="PENDIENTE APROBACION  ENVIO TMS"/>
    <s v="000000001209658193"/>
    <x v="2"/>
    <x v="0"/>
    <s v="APROBAR"/>
    <n v="1"/>
    <e v="#N/A"/>
  </r>
  <r>
    <n v="1209658209"/>
    <s v="61"/>
    <x v="45"/>
    <d v="2026-10-12T09:59:18"/>
    <s v=""/>
    <s v="PACK"/>
    <n v="14"/>
    <s v="PENDIENTE APROBACION  ENVIO TMS"/>
    <s v="000000001209658209"/>
    <x v="2"/>
    <x v="0"/>
    <s v="APROBAR"/>
    <n v="1"/>
    <e v="#N/A"/>
  </r>
  <r>
    <n v="1209658235"/>
    <s v="62"/>
    <x v="46"/>
    <d v="2026-10-12T09:59:19"/>
    <s v=""/>
    <s v="CAJA"/>
    <n v="11"/>
    <s v="PENDIENTE APROBACION  ENVIO TMS"/>
    <s v="000000001209658235"/>
    <x v="2"/>
    <x v="1"/>
    <s v="APROBAR"/>
    <n v="1"/>
    <e v="#N/A"/>
  </r>
  <r>
    <n v="8209658257"/>
    <s v="63"/>
    <x v="47"/>
    <d v="2026-10-12T09:59:20"/>
    <s v=""/>
    <s v="UNIDAD"/>
    <n v="4"/>
    <s v="PENDIENTE APROBACION  ENVIO TMS"/>
    <s v="000000008209658257"/>
    <x v="1"/>
    <x v="0"/>
    <s v="APROBAR"/>
    <n v="1"/>
    <e v="#N/A"/>
  </r>
  <r>
    <n v="1209658239"/>
    <s v="62"/>
    <x v="46"/>
    <d v="2026-10-12T09:59:21"/>
    <s v=""/>
    <s v="CAJA"/>
    <n v="25"/>
    <s v="PENDIENTE APROBACION  ENVIO TMS"/>
    <s v="000000001209658239"/>
    <x v="2"/>
    <x v="1"/>
    <s v="APROBAR"/>
    <n v="1"/>
    <e v="#N/A"/>
  </r>
  <r>
    <n v="1209658240"/>
    <s v="62"/>
    <x v="46"/>
    <d v="2026-10-12T09:59:22"/>
    <s v=""/>
    <s v="CAJA"/>
    <n v="21"/>
    <s v="PENDIENTE APROBACION  ENVIO TMS"/>
    <s v="000000001209658240"/>
    <x v="2"/>
    <x v="1"/>
    <s v="APROBAR"/>
    <n v="1"/>
    <e v="#N/A"/>
  </r>
  <r>
    <n v="1209658268"/>
    <s v="63"/>
    <x v="47"/>
    <d v="2026-10-12T09:59:24"/>
    <s v=""/>
    <s v="CAJA"/>
    <n v="24"/>
    <s v="PENDIENTE APROBACION  ENVIO TMS"/>
    <s v="000000001209658268"/>
    <x v="2"/>
    <x v="0"/>
    <s v="APROBAR"/>
    <n v="1"/>
    <e v="#N/A"/>
  </r>
  <r>
    <n v="1209658269"/>
    <s v="63"/>
    <x v="47"/>
    <d v="2026-10-12T09:59:25"/>
    <s v=""/>
    <s v="PACK"/>
    <n v="22"/>
    <s v="PENDIENTE APROBACION  ENVIO TMS"/>
    <s v="000000001209658269"/>
    <x v="2"/>
    <x v="0"/>
    <s v="APROBAR"/>
    <n v="1"/>
    <e v="#N/A"/>
  </r>
  <r>
    <n v="8209658138"/>
    <s v="60"/>
    <x v="44"/>
    <d v="2026-10-12T09:59:26"/>
    <s v=""/>
    <s v="UNIDAD"/>
    <n v="3"/>
    <s v="PENDIENTE APROBACION  ENVIO TMS"/>
    <s v="000000008209658138"/>
    <x v="1"/>
    <x v="3"/>
    <s v="APROBAR"/>
    <n v="1"/>
    <e v="#N/A"/>
  </r>
  <r>
    <n v="1209658273"/>
    <s v="63"/>
    <x v="47"/>
    <d v="2026-10-12T09:59:27"/>
    <s v=""/>
    <s v="CAJA"/>
    <n v="18"/>
    <s v="PENDIENTE APROBACION  ENVIO TMS"/>
    <s v="000000001209658273"/>
    <x v="2"/>
    <x v="0"/>
    <s v="APROBAR"/>
    <n v="1"/>
    <e v="#N/A"/>
  </r>
  <r>
    <n v="8209658217"/>
    <s v="62"/>
    <x v="46"/>
    <d v="2026-10-12T09:59:28"/>
    <s v=""/>
    <s v="UNIDAD"/>
    <n v="6"/>
    <s v="PENDIENTE APROBACION  ENVIO TMS"/>
    <s v="000000008209658217"/>
    <x v="1"/>
    <x v="1"/>
    <s v="APROBAR"/>
    <n v="1"/>
    <e v="#N/A"/>
  </r>
  <r>
    <n v="1209658220"/>
    <s v="62"/>
    <x v="46"/>
    <d v="2026-10-12T09:59:30"/>
    <s v=""/>
    <s v="CAJA"/>
    <n v="16"/>
    <s v="PENDIENTE APROBACION  ENVIO TMS"/>
    <s v="000000001209658220"/>
    <x v="2"/>
    <x v="1"/>
    <s v="APROBAR"/>
    <n v="1"/>
    <e v="#N/A"/>
  </r>
  <r>
    <n v="1209658199"/>
    <s v="61"/>
    <x v="45"/>
    <d v="2026-10-12T09:59:31"/>
    <s v=""/>
    <s v="PACK"/>
    <n v="21"/>
    <s v="PENDIENTE APROBACION  ENVIO TMS"/>
    <s v="000000001209658199"/>
    <x v="2"/>
    <x v="0"/>
    <s v="APROBAR"/>
    <n v="1"/>
    <e v="#N/A"/>
  </r>
  <r>
    <n v="1209658200"/>
    <s v="61"/>
    <x v="45"/>
    <d v="2026-10-12T09:59:32"/>
    <s v=""/>
    <s v="CAJA"/>
    <n v="18"/>
    <s v="PENDIENTE APROBACION  ENVIO TMS"/>
    <s v="000000001209658200"/>
    <x v="2"/>
    <x v="0"/>
    <s v="APROBAR"/>
    <n v="1"/>
    <e v="#N/A"/>
  </r>
  <r>
    <n v="1209658149"/>
    <s v="60"/>
    <x v="44"/>
    <d v="2026-10-12T09:59:33"/>
    <s v=""/>
    <s v="CAJA"/>
    <n v="44"/>
    <s v="PENDIENTE APROBACION  ENVIO TMS"/>
    <s v="000000001209658149"/>
    <x v="2"/>
    <x v="3"/>
    <s v="APROBAR"/>
    <n v="1"/>
    <e v="#N/A"/>
  </r>
  <r>
    <n v="1209658142"/>
    <s v="60"/>
    <x v="44"/>
    <d v="2026-10-12T09:59:34"/>
    <s v=""/>
    <s v="CAJA"/>
    <n v="10"/>
    <s v="PENDIENTE APROBACION  ENVIO TMS"/>
    <s v="000000001209658142"/>
    <x v="2"/>
    <x v="3"/>
    <s v="APROBAR"/>
    <n v="1"/>
    <e v="#N/A"/>
  </r>
  <r>
    <n v="1209658145"/>
    <s v="60"/>
    <x v="44"/>
    <d v="2026-10-12T09:59:36"/>
    <s v=""/>
    <s v="PACK"/>
    <n v="28"/>
    <s v="PENDIENTE APROBACION  ENVIO TMS"/>
    <s v="000000001209658145"/>
    <x v="2"/>
    <x v="3"/>
    <s v="APROBAR"/>
    <n v="1"/>
    <e v="#N/A"/>
  </r>
  <r>
    <n v="8209658216"/>
    <s v="62"/>
    <x v="46"/>
    <d v="2026-10-12T09:59:37"/>
    <s v=""/>
    <s v="UNIDAD"/>
    <n v="4"/>
    <s v="PENDIENTE APROBACION  ENVIO TMS"/>
    <s v="000000008209658216"/>
    <x v="1"/>
    <x v="1"/>
    <s v="APROBAR"/>
    <n v="1"/>
    <e v="#N/A"/>
  </r>
  <r>
    <n v="1209658236"/>
    <s v="62"/>
    <x v="46"/>
    <d v="2026-10-12T09:59:38"/>
    <s v=""/>
    <s v="CAJA"/>
    <n v="15"/>
    <s v="PENDIENTE APROBACION  ENVIO TMS"/>
    <s v="000000001209658236"/>
    <x v="2"/>
    <x v="1"/>
    <s v="APROBAR"/>
    <n v="1"/>
    <e v="#N/A"/>
  </r>
  <r>
    <n v="1209658238"/>
    <s v="62"/>
    <x v="46"/>
    <d v="2026-10-12T09:59:39"/>
    <s v=""/>
    <s v="PACK"/>
    <n v="19"/>
    <s v="PENDIENTE APROBACION  ENVIO TMS"/>
    <s v="000000001209658238"/>
    <x v="2"/>
    <x v="1"/>
    <s v="APROBAR"/>
    <n v="1"/>
    <e v="#N/A"/>
  </r>
  <r>
    <n v="8209658259"/>
    <s v="63"/>
    <x v="47"/>
    <d v="2026-10-12T09:59:40"/>
    <s v=""/>
    <s v="UNIDAD"/>
    <n v="4"/>
    <s v="PENDIENTE APROBACION  ENVIO TMS"/>
    <s v="000000008209658259"/>
    <x v="1"/>
    <x v="0"/>
    <s v="APROBAR"/>
    <n v="1"/>
    <e v="#N/A"/>
  </r>
  <r>
    <n v="1209658263"/>
    <s v="63"/>
    <x v="47"/>
    <d v="2026-10-12T09:59:42"/>
    <s v=""/>
    <s v="CAJA"/>
    <n v="2"/>
    <s v="PENDIENTE APROBACION  ENVIO TMS"/>
    <s v="000000001209658263"/>
    <x v="2"/>
    <x v="0"/>
    <s v="APROBAR"/>
    <n v="1"/>
    <e v="#N/A"/>
  </r>
  <r>
    <n v="1209658264"/>
    <s v="63"/>
    <x v="47"/>
    <d v="2026-10-12T09:59:42"/>
    <s v=""/>
    <s v="CAJA"/>
    <n v="4"/>
    <s v="PENDIENTE APROBACION  ENVIO TMS"/>
    <s v="000000001209658264"/>
    <x v="2"/>
    <x v="0"/>
    <s v="APROBAR"/>
    <n v="1"/>
    <e v="#N/A"/>
  </r>
  <r>
    <n v="8209658205"/>
    <s v="61"/>
    <x v="45"/>
    <d v="2026-10-12T09:59:44"/>
    <s v=""/>
    <s v="UNIDAD"/>
    <n v="5"/>
    <s v="PENDIENTE APROBACION  ENVIO TMS"/>
    <s v="000000008209658205"/>
    <x v="1"/>
    <x v="0"/>
    <s v="APROBAR"/>
    <n v="1"/>
    <e v="#N/A"/>
  </r>
  <r>
    <n v="8209658136"/>
    <s v="60"/>
    <x v="44"/>
    <d v="2026-10-12T09:59:45"/>
    <s v=""/>
    <s v="UNIDAD"/>
    <n v="7"/>
    <s v="PENDIENTE APROBACION  ENVIO TMS"/>
    <s v="000000008209658136"/>
    <x v="1"/>
    <x v="3"/>
    <s v="APROBAR"/>
    <n v="1"/>
    <e v="#N/A"/>
  </r>
  <r>
    <n v="1209658154"/>
    <s v="60"/>
    <x v="44"/>
    <d v="2026-10-12T09:59:46"/>
    <s v=""/>
    <s v="PACK"/>
    <n v="23"/>
    <s v="PENDIENTE APROBACION  ENVIO TMS"/>
    <s v="000000001209658154"/>
    <x v="2"/>
    <x v="3"/>
    <s v="APROBAR"/>
    <n v="1"/>
    <e v="#N/A"/>
  </r>
  <r>
    <n v="1209658194"/>
    <s v="61"/>
    <x v="45"/>
    <d v="2026-10-12T09:59:47"/>
    <s v=""/>
    <s v="UNIDAD"/>
    <n v="18"/>
    <s v="PENDIENTE APROBACION  ENVIO TMS"/>
    <s v="000000001209658194"/>
    <x v="2"/>
    <x v="0"/>
    <s v="APROBAR"/>
    <n v="1"/>
    <e v="#N/A"/>
  </r>
  <r>
    <n v="1209658195"/>
    <s v="61"/>
    <x v="45"/>
    <d v="2026-10-12T09:59:48"/>
    <s v=""/>
    <s v="CAJA"/>
    <n v="11"/>
    <s v="PENDIENTE APROBACION  ENVIO TMS"/>
    <s v="000000001209658195"/>
    <x v="2"/>
    <x v="0"/>
    <s v="APROBAR"/>
    <n v="1"/>
    <e v="#N/A"/>
  </r>
  <r>
    <n v="1209658196"/>
    <s v="61"/>
    <x v="45"/>
    <d v="2026-10-12T09:59:49"/>
    <s v=""/>
    <s v="CAJA"/>
    <n v="10"/>
    <s v="PENDIENTE APROBACION  ENVIO TMS"/>
    <s v="000000001209658196"/>
    <x v="2"/>
    <x v="0"/>
    <s v="APROBAR"/>
    <n v="1"/>
    <e v="#N/A"/>
  </r>
  <r>
    <n v="8209658230"/>
    <s v="62"/>
    <x v="46"/>
    <d v="2026-10-12T09:59:51"/>
    <s v=""/>
    <s v="UNIDAD"/>
    <n v="9"/>
    <s v="PENDIENTE APROBACION  ENVIO TMS"/>
    <s v="000000008209658230"/>
    <x v="1"/>
    <x v="1"/>
    <s v="APROBAR"/>
    <n v="1"/>
    <e v="#N/A"/>
  </r>
  <r>
    <n v="1209658237"/>
    <s v="62"/>
    <x v="46"/>
    <d v="2026-10-12T09:59:52"/>
    <s v=""/>
    <s v="CAJA"/>
    <n v="16"/>
    <s v="PENDIENTE APROBACION  ENVIO TMS"/>
    <s v="000000001209658237"/>
    <x v="2"/>
    <x v="1"/>
    <s v="APROBAR"/>
    <n v="1"/>
    <e v="#N/A"/>
  </r>
  <r>
    <n v="8209658256"/>
    <s v="63"/>
    <x v="47"/>
    <d v="2026-10-12T09:59:53"/>
    <s v=""/>
    <s v="UNIDAD"/>
    <n v="3"/>
    <s v="PENDIENTE APROBACION  ENVIO TMS"/>
    <s v="000000008209658256"/>
    <x v="1"/>
    <x v="0"/>
    <s v="APROBAR"/>
    <n v="1"/>
    <e v="#N/A"/>
  </r>
  <r>
    <n v="8209658187"/>
    <s v="61"/>
    <x v="45"/>
    <d v="2026-10-12T09:59:55"/>
    <s v=""/>
    <s v="UNIDAD"/>
    <n v="5"/>
    <s v="PENDIENTE APROBACION  ENVIO TMS"/>
    <s v="000000008209658187"/>
    <x v="1"/>
    <x v="0"/>
    <s v="APROBAR"/>
    <n v="1"/>
    <e v="#N/A"/>
  </r>
  <r>
    <n v="8209658258"/>
    <s v="63"/>
    <x v="47"/>
    <d v="2026-10-12T09:59:55"/>
    <s v=""/>
    <s v="UNIDAD"/>
    <n v="7"/>
    <s v="PENDIENTE APROBACION  ENVIO TMS"/>
    <s v="000000008209658258"/>
    <x v="1"/>
    <x v="0"/>
    <s v="APROBAR"/>
    <n v="1"/>
    <e v="#N/A"/>
  </r>
  <r>
    <n v="8209658151"/>
    <s v="60"/>
    <x v="44"/>
    <d v="2026-10-12T09:59:57"/>
    <s v=""/>
    <s v="UNIDAD"/>
    <n v="1"/>
    <s v="PENDIENTE APROBACION  ENVIO TMS"/>
    <s v="000000008209658151"/>
    <x v="1"/>
    <x v="3"/>
    <s v="APROBAR"/>
    <n v="1"/>
    <e v="#N/A"/>
  </r>
  <r>
    <n v="1209658197"/>
    <s v="61"/>
    <x v="45"/>
    <d v="2026-10-12T09:59:58"/>
    <s v=""/>
    <s v="CAJA"/>
    <n v="17"/>
    <s v="PENDIENTE APROBACION  ENVIO TMS"/>
    <s v="000000001209658197"/>
    <x v="2"/>
    <x v="0"/>
    <s v="APROBAR"/>
    <n v="1"/>
    <e v="#N/A"/>
  </r>
  <r>
    <n v="8209658231"/>
    <s v="62"/>
    <x v="46"/>
    <d v="2026-10-12T09:59:59"/>
    <s v=""/>
    <s v="UNIDAD"/>
    <n v="6"/>
    <s v="PENDIENTE APROBACION  ENVIO TMS"/>
    <s v="000000008209658231"/>
    <x v="1"/>
    <x v="1"/>
    <s v="APROBAR"/>
    <n v="1"/>
    <e v="#N/A"/>
  </r>
  <r>
    <n v="8209658232"/>
    <s v="62"/>
    <x v="46"/>
    <d v="2026-10-12T10:00:00"/>
    <s v=""/>
    <s v="UNIDAD"/>
    <n v="1"/>
    <s v="PENDIENTE APROBACION  ENVIO TMS"/>
    <s v="000000008209658232"/>
    <x v="1"/>
    <x v="1"/>
    <s v="APROBAR"/>
    <n v="1"/>
    <e v="#N/A"/>
  </r>
  <r>
    <n v="1209658234"/>
    <s v="62"/>
    <x v="46"/>
    <d v="2026-10-12T10:00:01"/>
    <s v=""/>
    <s v="CAJA"/>
    <n v="8"/>
    <s v="PENDIENTE APROBACION  ENVIO TMS"/>
    <s v="000000001209658234"/>
    <x v="2"/>
    <x v="1"/>
    <s v="APROBAR"/>
    <n v="1"/>
    <e v="#N/A"/>
  </r>
  <r>
    <n v="1209658148"/>
    <s v="60"/>
    <x v="44"/>
    <d v="2026-10-12T10:00:03"/>
    <s v=""/>
    <s v="PACK"/>
    <n v="48"/>
    <s v="PENDIENTE APROBACION  ENVIO TMS"/>
    <s v="000000001209658148"/>
    <x v="2"/>
    <x v="3"/>
    <s v="APROBAR"/>
    <n v="1"/>
    <e v="#N/A"/>
  </r>
  <r>
    <n v="8209658260"/>
    <s v="63"/>
    <x v="47"/>
    <d v="2026-10-12T10:00:04"/>
    <s v=""/>
    <s v="UNIDAD"/>
    <n v="6"/>
    <s v="PENDIENTE APROBACION  ENVIO TMS"/>
    <s v="000000008209658260"/>
    <x v="1"/>
    <x v="0"/>
    <s v="APROBAR"/>
    <n v="1"/>
    <e v="#N/A"/>
  </r>
  <r>
    <n v="1209658267"/>
    <s v="63"/>
    <x v="47"/>
    <d v="2026-10-12T10:00:05"/>
    <s v=""/>
    <s v="CAJA"/>
    <n v="11"/>
    <s v="PENDIENTE APROBACION  ENVIO TMS"/>
    <s v="000000001209658267"/>
    <x v="2"/>
    <x v="0"/>
    <s v="APROBAR"/>
    <n v="1"/>
    <e v="#N/A"/>
  </r>
  <r>
    <n v="1209658327"/>
    <s v="64"/>
    <x v="48"/>
    <d v="2026-10-12T10:03:57"/>
    <s v=""/>
    <s v="CAJA"/>
    <n v="43"/>
    <s v="PENDIENTE APROBACION  ENVIO TMS"/>
    <s v="000000001209658327"/>
    <x v="2"/>
    <x v="3"/>
    <s v="APROBAR"/>
    <n v="1"/>
    <e v="#N/A"/>
  </r>
  <r>
    <n v="8209658352"/>
    <s v="65"/>
    <x v="49"/>
    <d v="2026-10-12T10:03:57"/>
    <s v=""/>
    <s v="UNIDAD"/>
    <n v="3"/>
    <s v="PENDIENTE APROBACION  ENVIO TMS"/>
    <s v="000000008209658352"/>
    <x v="1"/>
    <x v="0"/>
    <s v="APROBAR"/>
    <n v="1"/>
    <e v="#N/A"/>
  </r>
  <r>
    <n v="1209658384"/>
    <s v="66"/>
    <x v="50"/>
    <d v="2026-10-12T10:03:59"/>
    <s v=""/>
    <s v="CAJA"/>
    <n v="14"/>
    <s v="PENDIENTE APROBACION  ENVIO TMS"/>
    <s v="000000001209658384"/>
    <x v="2"/>
    <x v="3"/>
    <s v="APROBAR"/>
    <n v="1"/>
    <e v="#N/A"/>
  </r>
  <r>
    <n v="1209658467"/>
    <s v="69"/>
    <x v="51"/>
    <d v="2026-10-12T10:04:00"/>
    <s v=""/>
    <s v="CAJA"/>
    <n v="10"/>
    <s v="PENDIENTE APROBACION  ENVIO TMS"/>
    <s v="000000001209658467"/>
    <x v="2"/>
    <x v="2"/>
    <s v="APROBAR"/>
    <n v="1"/>
    <e v="#N/A"/>
  </r>
  <r>
    <n v="1209658385"/>
    <s v="66"/>
    <x v="50"/>
    <d v="2026-10-12T10:04:01"/>
    <s v=""/>
    <s v="PACK"/>
    <n v="20"/>
    <s v="PENDIENTE APROBACION  ENVIO TMS"/>
    <s v="000000001209658385"/>
    <x v="2"/>
    <x v="3"/>
    <s v="APROBAR"/>
    <n v="1"/>
    <e v="#N/A"/>
  </r>
  <r>
    <n v="1209658377"/>
    <s v="66"/>
    <x v="50"/>
    <d v="2026-10-12T10:04:02"/>
    <s v=""/>
    <s v="CAJA"/>
    <n v="25"/>
    <s v="PENDIENTE APROBACION  ENVIO TMS"/>
    <s v="000000001209658377"/>
    <x v="2"/>
    <x v="3"/>
    <s v="APROBAR"/>
    <n v="1"/>
    <e v="#N/A"/>
  </r>
  <r>
    <n v="8209658373"/>
    <s v="66"/>
    <x v="50"/>
    <d v="2026-10-12T10:04:03"/>
    <s v=""/>
    <s v="UNIDAD"/>
    <n v="17"/>
    <s v="PENDIENTE APROBACION  ENVIO TMS"/>
    <s v="000000008209658373"/>
    <x v="1"/>
    <x v="3"/>
    <s v="APROBAR"/>
    <n v="1"/>
    <e v="#N/A"/>
  </r>
  <r>
    <n v="1209658411"/>
    <s v="67"/>
    <x v="52"/>
    <d v="2026-10-12T10:04:05"/>
    <s v=""/>
    <s v="CAJA"/>
    <n v="31"/>
    <s v="PENDIENTE APROBACION  ENVIO TMS"/>
    <s v="000000001209658411"/>
    <x v="2"/>
    <x v="3"/>
    <s v="APROBAR"/>
    <n v="1"/>
    <e v="#N/A"/>
  </r>
  <r>
    <n v="1209658357"/>
    <s v="65"/>
    <x v="49"/>
    <d v="2026-10-12T10:04:06"/>
    <s v=""/>
    <s v="CAJA"/>
    <n v="41"/>
    <s v="PENDIENTE APROBACION  ENVIO TMS"/>
    <s v="000000001209658357"/>
    <x v="2"/>
    <x v="0"/>
    <s v="APROBAR"/>
    <n v="1"/>
    <e v="#N/A"/>
  </r>
  <r>
    <n v="1209658328"/>
    <s v="64"/>
    <x v="48"/>
    <d v="2026-10-12T10:04:07"/>
    <s v=""/>
    <s v="CAJA"/>
    <n v="3"/>
    <s v="PENDIENTE APROBACION  ENVIO TMS"/>
    <s v="000000001209658328"/>
    <x v="2"/>
    <x v="3"/>
    <s v="APROBAR"/>
    <n v="1"/>
    <e v="#N/A"/>
  </r>
  <r>
    <n v="8209658336"/>
    <s v="65"/>
    <x v="49"/>
    <d v="2026-10-12T10:04:08"/>
    <s v=""/>
    <s v="UNIDAD"/>
    <n v="13"/>
    <s v="PENDIENTE APROBACION  ENVIO TMS"/>
    <s v="000000008209658336"/>
    <x v="1"/>
    <x v="0"/>
    <s v="APROBAR"/>
    <n v="1"/>
    <e v="#N/A"/>
  </r>
  <r>
    <n v="8209658316"/>
    <s v="64"/>
    <x v="48"/>
    <d v="2026-10-12T10:04:10"/>
    <s v=""/>
    <s v="UNIDAD"/>
    <n v="40"/>
    <s v="PENDIENTE APROBACION  ENVIO TMS"/>
    <s v="000000008209658316"/>
    <x v="1"/>
    <x v="3"/>
    <s v="APROBAR"/>
    <n v="1"/>
    <e v="#N/A"/>
  </r>
  <r>
    <n v="8209658341"/>
    <s v="65"/>
    <x v="49"/>
    <d v="2026-10-12T10:04:11"/>
    <s v=""/>
    <s v="UNIDAD"/>
    <n v="5"/>
    <s v="PENDIENTE APROBACION  ENVIO TMS"/>
    <s v="000000008209658341"/>
    <x v="1"/>
    <x v="0"/>
    <s v="APROBAR"/>
    <n v="1"/>
    <e v="#N/A"/>
  </r>
  <r>
    <n v="1209658322"/>
    <s v="64"/>
    <x v="48"/>
    <d v="2026-10-12T10:04:12"/>
    <s v=""/>
    <s v="CAJA"/>
    <n v="21"/>
    <s v="PENDIENTE APROBACION  ENVIO TMS"/>
    <s v="000000001209658322"/>
    <x v="2"/>
    <x v="3"/>
    <s v="APROBAR"/>
    <n v="1"/>
    <e v="#N/A"/>
  </r>
  <r>
    <n v="1209658344"/>
    <s v="65"/>
    <x v="49"/>
    <d v="2026-10-12T10:04:13"/>
    <s v=""/>
    <s v="CAJA"/>
    <n v="15"/>
    <s v="PENDIENTE APROBACION  ENVIO TMS"/>
    <s v="000000001209658344"/>
    <x v="2"/>
    <x v="0"/>
    <s v="APROBAR"/>
    <n v="1"/>
    <e v="#N/A"/>
  </r>
  <r>
    <n v="8209658380"/>
    <s v="66"/>
    <x v="50"/>
    <d v="2026-10-12T10:04:14"/>
    <s v=""/>
    <s v="UNIDAD"/>
    <n v="28"/>
    <s v="PENDIENTE APROBACION  ENVIO TMS"/>
    <s v="000000008209658380"/>
    <x v="1"/>
    <x v="3"/>
    <s v="APROBAR"/>
    <n v="1"/>
    <e v="#N/A"/>
  </r>
  <r>
    <n v="1209658431"/>
    <s v="68"/>
    <x v="53"/>
    <d v="2026-10-12T10:04:16"/>
    <s v=""/>
    <s v="PACK"/>
    <n v="24"/>
    <s v="PENDIENTE APROBACION  ENVIO TMS"/>
    <s v="000000001209658431"/>
    <x v="2"/>
    <x v="1"/>
    <s v="APROBAR"/>
    <n v="1"/>
    <e v="#N/A"/>
  </r>
  <r>
    <n v="8209658404"/>
    <s v="67"/>
    <x v="52"/>
    <d v="2026-10-12T10:04:17"/>
    <s v=""/>
    <s v="UNIDAD"/>
    <n v="8"/>
    <s v="PENDIENTE APROBACION  ENVIO TMS"/>
    <s v="000000008209658404"/>
    <x v="1"/>
    <x v="3"/>
    <s v="APROBAR"/>
    <n v="1"/>
    <e v="#N/A"/>
  </r>
  <r>
    <n v="8209658418"/>
    <s v="67"/>
    <x v="52"/>
    <d v="2026-10-12T10:04:18"/>
    <s v=""/>
    <s v="UNIDAD"/>
    <n v="3"/>
    <s v="PENDIENTE APROBACION  ENVIO TMS"/>
    <s v="000000008209658418"/>
    <x v="1"/>
    <x v="3"/>
    <s v="APROBAR"/>
    <n v="1"/>
    <e v="#N/A"/>
  </r>
  <r>
    <n v="1209658434"/>
    <s v="68"/>
    <x v="53"/>
    <d v="2026-10-12T10:04:19"/>
    <s v=""/>
    <s v="CAJA"/>
    <n v="42"/>
    <s v="PENDIENTE APROBACION  ENVIO TMS"/>
    <s v="000000001209658434"/>
    <x v="2"/>
    <x v="1"/>
    <s v="APROBAR"/>
    <n v="1"/>
    <e v="#N/A"/>
  </r>
  <r>
    <n v="8209658422"/>
    <s v="68"/>
    <x v="53"/>
    <d v="2026-10-12T10:04:20"/>
    <s v=""/>
    <s v="UNIDAD"/>
    <n v="13"/>
    <s v="PENDIENTE APROBACION  ENVIO TMS"/>
    <s v="000000008209658422"/>
    <x v="1"/>
    <x v="1"/>
    <s v="APROBAR"/>
    <n v="1"/>
    <e v="#N/A"/>
  </r>
  <r>
    <n v="1209658436"/>
    <s v="68"/>
    <x v="53"/>
    <d v="2026-10-12T10:04:22"/>
    <s v=""/>
    <s v="CAJA"/>
    <n v="45"/>
    <s v="PENDIENTE APROBACION  ENVIO TMS"/>
    <s v="000000001209658436"/>
    <x v="2"/>
    <x v="1"/>
    <s v="APROBAR"/>
    <n v="1"/>
    <e v="#N/A"/>
  </r>
  <r>
    <n v="1209658348"/>
    <s v="65"/>
    <x v="49"/>
    <d v="2026-10-12T10:04:23"/>
    <s v=""/>
    <s v="CAJA"/>
    <n v="16"/>
    <s v="PENDIENTE APROBACION  ENVIO TMS"/>
    <s v="000000001209658348"/>
    <x v="2"/>
    <x v="0"/>
    <s v="APROBAR"/>
    <n v="1"/>
    <e v="#N/A"/>
  </r>
  <r>
    <n v="1209658329"/>
    <s v="64"/>
    <x v="48"/>
    <d v="2026-10-12T10:04:24"/>
    <s v=""/>
    <s v="PACK"/>
    <n v="64"/>
    <s v="PENDIENTE APROBACION  ENVIO TMS"/>
    <s v="000000001209658329"/>
    <x v="2"/>
    <x v="3"/>
    <s v="APROBAR"/>
    <n v="1"/>
    <e v="#N/A"/>
  </r>
  <r>
    <n v="1209658351"/>
    <s v="65"/>
    <x v="49"/>
    <d v="2026-10-12T10:04:25"/>
    <s v=""/>
    <s v="CAJA"/>
    <n v="1"/>
    <s v="PENDIENTE APROBACION  ENVIO TMS"/>
    <s v="000000001209658351"/>
    <x v="2"/>
    <x v="0"/>
    <s v="APROBAR"/>
    <n v="1"/>
    <e v="#N/A"/>
  </r>
  <r>
    <n v="8209658423"/>
    <s v="68"/>
    <x v="53"/>
    <d v="2026-10-12T10:04:26"/>
    <s v=""/>
    <s v="UNIDAD"/>
    <n v="32"/>
    <s v="PENDIENTE APROBACION  ENVIO TMS"/>
    <s v="000000008209658423"/>
    <x v="1"/>
    <x v="1"/>
    <s v="APROBAR"/>
    <n v="1"/>
    <e v="#N/A"/>
  </r>
  <r>
    <n v="1209658354"/>
    <s v="65"/>
    <x v="49"/>
    <d v="2026-10-12T10:04:28"/>
    <s v=""/>
    <s v="CAJA"/>
    <n v="10"/>
    <s v="PENDIENTE APROBACION  ENVIO TMS"/>
    <s v="000000001209658354"/>
    <x v="2"/>
    <x v="0"/>
    <s v="APROBAR"/>
    <n v="1"/>
    <e v="#N/A"/>
  </r>
  <r>
    <n v="1209658321"/>
    <s v="64"/>
    <x v="48"/>
    <d v="2026-10-12T10:04:29"/>
    <s v=""/>
    <s v="PACK"/>
    <n v="21"/>
    <s v="PENDIENTE APROBACION  ENVIO TMS"/>
    <s v="000000001209658321"/>
    <x v="2"/>
    <x v="3"/>
    <s v="APROBAR"/>
    <n v="1"/>
    <e v="#N/A"/>
  </r>
  <r>
    <n v="1209658323"/>
    <s v="64"/>
    <x v="48"/>
    <d v="2026-10-12T10:04:30"/>
    <s v=""/>
    <s v="CAJA"/>
    <n v="26"/>
    <s v="PENDIENTE APROBACION  ENVIO TMS"/>
    <s v="000000001209658323"/>
    <x v="2"/>
    <x v="3"/>
    <s v="APROBAR"/>
    <n v="1"/>
    <e v="#N/A"/>
  </r>
  <r>
    <n v="1209658395"/>
    <s v="66"/>
    <x v="50"/>
    <d v="2026-10-12T10:04:31"/>
    <s v=""/>
    <s v="CAJA"/>
    <n v="69"/>
    <s v="PENDIENTE APROBACION  ENVIO TMS"/>
    <s v="000000001209658395"/>
    <x v="2"/>
    <x v="3"/>
    <s v="APROBAR"/>
    <n v="1"/>
    <e v="#N/A"/>
  </r>
  <r>
    <n v="8209658424"/>
    <s v="68"/>
    <x v="53"/>
    <d v="2026-10-12T10:04:32"/>
    <s v=""/>
    <s v="UNIDAD"/>
    <n v="23"/>
    <s v="PENDIENTE APROBACION  ENVIO TMS"/>
    <s v="000000008209658424"/>
    <x v="1"/>
    <x v="1"/>
    <s v="APROBAR"/>
    <n v="1"/>
    <e v="#N/A"/>
  </r>
  <r>
    <n v="8209658429"/>
    <s v="68"/>
    <x v="53"/>
    <d v="2026-10-12T10:04:34"/>
    <s v=""/>
    <s v="UNIDAD"/>
    <n v="1"/>
    <s v="PENDIENTE APROBACION  ENVIO TMS"/>
    <s v="000000008209658429"/>
    <x v="1"/>
    <x v="1"/>
    <s v="APROBAR"/>
    <n v="1"/>
    <e v="#N/A"/>
  </r>
  <r>
    <n v="1209658386"/>
    <s v="66"/>
    <x v="50"/>
    <d v="2026-10-12T10:04:35"/>
    <s v=""/>
    <s v="PACK"/>
    <n v="20"/>
    <s v="PENDIENTE APROBACION  ENVIO TMS"/>
    <s v="000000001209658386"/>
    <x v="2"/>
    <x v="3"/>
    <s v="APROBAR"/>
    <n v="1"/>
    <e v="#N/A"/>
  </r>
  <r>
    <n v="1209658415"/>
    <s v="67"/>
    <x v="52"/>
    <d v="2026-10-12T10:04:35"/>
    <s v=""/>
    <s v="CAJA"/>
    <n v="54"/>
    <s v="PENDIENTE APROBACION  ENVIO TMS"/>
    <s v="000000001209658415"/>
    <x v="2"/>
    <x v="3"/>
    <s v="APROBAR"/>
    <n v="1"/>
    <e v="#N/A"/>
  </r>
  <r>
    <n v="1209658393"/>
    <s v="66"/>
    <x v="50"/>
    <d v="2026-10-12T10:04:37"/>
    <s v=""/>
    <s v="PACK"/>
    <n v="67"/>
    <s v="PENDIENTE APROBACION  ENVIO TMS"/>
    <s v="000000001209658393"/>
    <x v="2"/>
    <x v="3"/>
    <s v="APROBAR"/>
    <n v="1"/>
    <e v="#N/A"/>
  </r>
  <r>
    <n v="1209658412"/>
    <s v="67"/>
    <x v="52"/>
    <d v="2026-10-12T10:04:38"/>
    <s v=""/>
    <s v="PACK"/>
    <n v="28"/>
    <s v="PENDIENTE APROBACION  ENVIO TMS"/>
    <s v="000000001209658412"/>
    <x v="2"/>
    <x v="3"/>
    <s v="APROBAR"/>
    <n v="1"/>
    <e v="#N/A"/>
  </r>
  <r>
    <n v="1209658347"/>
    <s v="65"/>
    <x v="49"/>
    <d v="2026-10-12T10:04:40"/>
    <s v=""/>
    <s v="CAJA"/>
    <n v="22"/>
    <s v="PENDIENTE APROBACION  ENVIO TMS"/>
    <s v="000000001209658347"/>
    <x v="2"/>
    <x v="0"/>
    <s v="APROBAR"/>
    <n v="1"/>
    <e v="#N/A"/>
  </r>
  <r>
    <n v="1209658310"/>
    <s v="64"/>
    <x v="48"/>
    <d v="2026-10-12T10:04:41"/>
    <s v=""/>
    <s v="CAJA"/>
    <n v="22"/>
    <s v="PENDIENTE APROBACION  ENVIO TMS"/>
    <s v="000000001209658310"/>
    <x v="2"/>
    <x v="3"/>
    <s v="APROBAR"/>
    <n v="1"/>
    <e v="#N/A"/>
  </r>
  <r>
    <n v="8209658314"/>
    <s v="64"/>
    <x v="48"/>
    <d v="2026-10-12T10:04:42"/>
    <s v=""/>
    <s v="UNIDAD"/>
    <n v="1"/>
    <s v="PENDIENTE APROBACION  ENVIO TMS"/>
    <s v="000000008209658314"/>
    <x v="1"/>
    <x v="3"/>
    <s v="APROBAR"/>
    <n v="1"/>
    <e v="#N/A"/>
  </r>
  <r>
    <n v="8209658315"/>
    <s v="64"/>
    <x v="48"/>
    <d v="2026-10-12T10:04:43"/>
    <s v=""/>
    <s v="UNIDAD"/>
    <n v="12"/>
    <s v="PENDIENTE APROBACION  ENVIO TMS"/>
    <s v="000000008209658315"/>
    <x v="1"/>
    <x v="3"/>
    <s v="APROBAR"/>
    <n v="1"/>
    <e v="#N/A"/>
  </r>
  <r>
    <n v="8209658340"/>
    <s v="65"/>
    <x v="49"/>
    <d v="2026-10-12T10:04:44"/>
    <s v=""/>
    <s v="UNIDAD"/>
    <n v="10"/>
    <s v="PENDIENTE APROBACION  ENVIO TMS"/>
    <s v="000000008209658340"/>
    <x v="1"/>
    <x v="0"/>
    <s v="APROBAR"/>
    <n v="1"/>
    <e v="#N/A"/>
  </r>
  <r>
    <n v="8209658302"/>
    <s v="64"/>
    <x v="48"/>
    <d v="2026-10-12T10:04:46"/>
    <s v=""/>
    <s v="UNIDAD"/>
    <n v="3"/>
    <s v="PENDIENTE APROBACION  ENVIO TMS"/>
    <s v="000000008209658302"/>
    <x v="1"/>
    <x v="3"/>
    <s v="APROBAR"/>
    <n v="1"/>
    <e v="#N/A"/>
  </r>
  <r>
    <n v="1209658378"/>
    <s v="66"/>
    <x v="50"/>
    <d v="2026-10-12T10:04:47"/>
    <s v=""/>
    <s v="CAJA"/>
    <n v="30"/>
    <s v="PENDIENTE APROBACION  ENVIO TMS"/>
    <s v="000000001209658378"/>
    <x v="2"/>
    <x v="3"/>
    <s v="APROBAR"/>
    <n v="1"/>
    <e v="#N/A"/>
  </r>
  <r>
    <n v="1209658427"/>
    <s v="68"/>
    <x v="53"/>
    <d v="2026-10-12T10:04:48"/>
    <s v=""/>
    <s v="UNIDAD"/>
    <n v="2"/>
    <s v="PENDIENTE APROBACION  ENVIO TMS"/>
    <s v="000000001209658427"/>
    <x v="2"/>
    <x v="1"/>
    <s v="APROBAR"/>
    <n v="1"/>
    <e v="#N/A"/>
  </r>
  <r>
    <n v="1209658430"/>
    <s v="68"/>
    <x v="53"/>
    <d v="2026-10-12T10:04:49"/>
    <s v=""/>
    <s v="PACK"/>
    <n v="26"/>
    <s v="PENDIENTE APROBACION  ENVIO TMS"/>
    <s v="000000001209658430"/>
    <x v="2"/>
    <x v="1"/>
    <s v="APROBAR"/>
    <n v="1"/>
    <e v="#N/A"/>
  </r>
  <r>
    <n v="8209658406"/>
    <s v="67"/>
    <x v="52"/>
    <d v="2026-10-12T10:04:51"/>
    <s v=""/>
    <s v="UNIDAD"/>
    <n v="15"/>
    <s v="PENDIENTE APROBACION  ENVIO TMS"/>
    <s v="000000008209658406"/>
    <x v="1"/>
    <x v="3"/>
    <s v="APROBAR"/>
    <n v="1"/>
    <e v="#N/A"/>
  </r>
  <r>
    <n v="1209658417"/>
    <s v="67"/>
    <x v="52"/>
    <d v="2026-10-12T10:04:52"/>
    <s v=""/>
    <s v="PACK"/>
    <n v="61"/>
    <s v="PENDIENTE APROBACION  ENVIO TMS"/>
    <s v="000000001209658417"/>
    <x v="2"/>
    <x v="3"/>
    <s v="APROBAR"/>
    <n v="1"/>
    <e v="#N/A"/>
  </r>
  <r>
    <n v="1209658433"/>
    <s v="68"/>
    <x v="53"/>
    <d v="2026-10-12T10:04:53"/>
    <s v=""/>
    <s v="CAJA"/>
    <n v="40"/>
    <s v="PENDIENTE APROBACION  ENVIO TMS"/>
    <s v="000000001209658433"/>
    <x v="2"/>
    <x v="1"/>
    <s v="APROBAR"/>
    <n v="1"/>
    <e v="#N/A"/>
  </r>
  <r>
    <n v="1209658346"/>
    <s v="65"/>
    <x v="49"/>
    <d v="2026-10-12T10:04:54"/>
    <s v=""/>
    <s v="CAJA"/>
    <n v="18"/>
    <s v="PENDIENTE APROBACION  ENVIO TMS"/>
    <s v="000000001209658346"/>
    <x v="2"/>
    <x v="0"/>
    <s v="APROBAR"/>
    <n v="1"/>
    <e v="#N/A"/>
  </r>
  <r>
    <n v="8209658339"/>
    <s v="65"/>
    <x v="49"/>
    <d v="2026-10-12T10:04:56"/>
    <s v=""/>
    <s v="UNIDAD"/>
    <n v="1"/>
    <s v="PENDIENTE APROBACION  ENVIO TMS"/>
    <s v="000000008209658339"/>
    <x v="1"/>
    <x v="0"/>
    <s v="APROBAR"/>
    <n v="1"/>
    <e v="#N/A"/>
  </r>
  <r>
    <n v="1209658324"/>
    <s v="64"/>
    <x v="48"/>
    <d v="2026-10-12T10:04:57"/>
    <s v=""/>
    <s v="PACK"/>
    <n v="18"/>
    <s v="PENDIENTE APROBACION  ENVIO TMS"/>
    <s v="000000001209658324"/>
    <x v="2"/>
    <x v="3"/>
    <s v="APROBAR"/>
    <n v="1"/>
    <e v="#N/A"/>
  </r>
  <r>
    <n v="1209658413"/>
    <s v="67"/>
    <x v="52"/>
    <d v="2026-10-12T10:04:58"/>
    <s v=""/>
    <s v="PACK"/>
    <n v="31"/>
    <s v="PENDIENTE APROBACION  ENVIO TMS"/>
    <s v="000000001209658413"/>
    <x v="2"/>
    <x v="3"/>
    <s v="APROBAR"/>
    <n v="1"/>
    <e v="#N/A"/>
  </r>
  <r>
    <n v="8209658426"/>
    <s v="68"/>
    <x v="53"/>
    <d v="2026-10-12T10:04:59"/>
    <s v=""/>
    <s v="UNIDAD"/>
    <n v="6"/>
    <s v="PENDIENTE APROBACION  ENVIO TMS"/>
    <s v="000000008209658426"/>
    <x v="1"/>
    <x v="1"/>
    <s v="APROBAR"/>
    <n v="1"/>
    <e v="#N/A"/>
  </r>
  <r>
    <n v="1209658414"/>
    <s v="67"/>
    <x v="52"/>
    <d v="2026-10-12T10:05:00"/>
    <s v=""/>
    <s v="UNIDAD"/>
    <n v="46"/>
    <s v="PENDIENTE APROBACION  ENVIO TMS"/>
    <s v="000000001209658414"/>
    <x v="2"/>
    <x v="3"/>
    <s v="APROBAR"/>
    <n v="1"/>
    <e v="#N/A"/>
  </r>
  <r>
    <n v="8209658419"/>
    <s v="67"/>
    <x v="52"/>
    <d v="2026-10-12T10:05:02"/>
    <s v=""/>
    <s v="UNIDAD"/>
    <n v="3"/>
    <s v="PENDIENTE APROBACION  ENVIO TMS"/>
    <s v="000000008209658419"/>
    <x v="1"/>
    <x v="3"/>
    <s v="APROBAR"/>
    <n v="1"/>
    <e v="#N/A"/>
  </r>
  <r>
    <n v="8209658372"/>
    <s v="66"/>
    <x v="50"/>
    <d v="2026-10-12T10:05:03"/>
    <s v=""/>
    <s v="UNIDAD"/>
    <n v="9"/>
    <s v="PENDIENTE APROBACION  ENVIO TMS"/>
    <s v="000000008209658372"/>
    <x v="1"/>
    <x v="3"/>
    <s v="APROBAR"/>
    <n v="1"/>
    <e v="#N/A"/>
  </r>
  <r>
    <n v="8209658374"/>
    <s v="66"/>
    <x v="50"/>
    <d v="2026-10-12T10:05:04"/>
    <s v=""/>
    <s v="UNIDAD"/>
    <n v="5"/>
    <s v="PENDIENTE APROBACION  ENVIO TMS"/>
    <s v="000000008209658374"/>
    <x v="1"/>
    <x v="3"/>
    <s v="APROBAR"/>
    <n v="1"/>
    <e v="#N/A"/>
  </r>
  <r>
    <n v="1209658376"/>
    <s v="66"/>
    <x v="50"/>
    <d v="2026-10-12T10:05:05"/>
    <s v=""/>
    <s v="PACK"/>
    <n v="27"/>
    <s v="PENDIENTE APROBACION  ENVIO TMS"/>
    <s v="000000001209658376"/>
    <x v="2"/>
    <x v="3"/>
    <s v="APROBAR"/>
    <n v="1"/>
    <e v="#N/A"/>
  </r>
  <r>
    <n v="8209658338"/>
    <s v="65"/>
    <x v="49"/>
    <d v="2026-10-12T10:05:06"/>
    <s v=""/>
    <s v="UNIDAD"/>
    <n v="1"/>
    <s v="PENDIENTE APROBACION  ENVIO TMS"/>
    <s v="000000008209658338"/>
    <x v="1"/>
    <x v="0"/>
    <s v="APROBAR"/>
    <n v="1"/>
    <e v="#N/A"/>
  </r>
  <r>
    <n v="1209658438"/>
    <s v="68"/>
    <x v="53"/>
    <d v="2026-10-12T10:05:08"/>
    <s v=""/>
    <s v="CAJA"/>
    <n v="59"/>
    <s v="PENDIENTE APROBACION  ENVIO TMS"/>
    <s v="000000001209658438"/>
    <x v="2"/>
    <x v="1"/>
    <s v="APROBAR"/>
    <n v="1"/>
    <e v="#N/A"/>
  </r>
  <r>
    <n v="8209658460"/>
    <s v="69"/>
    <x v="51"/>
    <d v="2026-10-12T10:05:09"/>
    <s v=""/>
    <s v="UNIDAD"/>
    <n v="2"/>
    <s v="PENDIENTE APROBACION  ENVIO TMS"/>
    <s v="000000008209658460"/>
    <x v="1"/>
    <x v="2"/>
    <s v="APROBAR"/>
    <n v="1"/>
    <e v="#N/A"/>
  </r>
  <r>
    <n v="8209658405"/>
    <s v="67"/>
    <x v="52"/>
    <d v="2026-10-12T10:05:10"/>
    <s v=""/>
    <s v="UNIDAD"/>
    <n v="10"/>
    <s v="PENDIENTE APROBACION  ENVIO TMS"/>
    <s v="000000008209658405"/>
    <x v="1"/>
    <x v="3"/>
    <s v="APROBAR"/>
    <n v="1"/>
    <e v="#N/A"/>
  </r>
  <r>
    <n v="1209658432"/>
    <s v="68"/>
    <x v="53"/>
    <d v="2026-10-12T10:05:11"/>
    <s v=""/>
    <s v="UNIDAD"/>
    <n v="37"/>
    <s v="PENDIENTE APROBACION  ENVIO TMS"/>
    <s v="000000001209658432"/>
    <x v="2"/>
    <x v="1"/>
    <s v="APROBAR"/>
    <n v="1"/>
    <e v="#N/A"/>
  </r>
  <r>
    <n v="1209658435"/>
    <s v="68"/>
    <x v="53"/>
    <d v="2026-10-12T10:05:12"/>
    <s v=""/>
    <s v="PACK"/>
    <n v="46"/>
    <s v="PENDIENTE APROBACION  ENVIO TMS"/>
    <s v="000000001209658435"/>
    <x v="2"/>
    <x v="1"/>
    <s v="APROBAR"/>
    <n v="1"/>
    <e v="#N/A"/>
  </r>
  <r>
    <n v="1209658350"/>
    <s v="65"/>
    <x v="49"/>
    <d v="2026-10-12T10:05:14"/>
    <s v=""/>
    <s v="PACK"/>
    <n v="43"/>
    <s v="PENDIENTE APROBACION  ENVIO TMS"/>
    <s v="000000001209658350"/>
    <x v="2"/>
    <x v="0"/>
    <s v="APROBAR"/>
    <n v="1"/>
    <e v="#N/A"/>
  </r>
  <r>
    <n v="1209658353"/>
    <s v="65"/>
    <x v="49"/>
    <d v="2026-10-12T10:05:15"/>
    <s v=""/>
    <s v="PACK"/>
    <n v="2"/>
    <s v="PENDIENTE APROBACION  ENVIO TMS"/>
    <s v="000000001209658353"/>
    <x v="2"/>
    <x v="0"/>
    <s v="APROBAR"/>
    <n v="1"/>
    <e v="#N/A"/>
  </r>
  <r>
    <n v="1209658319"/>
    <s v="64"/>
    <x v="48"/>
    <d v="2026-10-12T10:05:16"/>
    <s v=""/>
    <s v="CAJA"/>
    <n v="12"/>
    <s v="PENDIENTE APROBACION  ENVIO TMS"/>
    <s v="000000001209658319"/>
    <x v="2"/>
    <x v="3"/>
    <s v="APROBAR"/>
    <n v="1"/>
    <e v="#N/A"/>
  </r>
  <r>
    <n v="1209658320"/>
    <s v="64"/>
    <x v="48"/>
    <d v="2026-10-12T10:05:17"/>
    <s v=""/>
    <s v="CAJA"/>
    <n v="12"/>
    <s v="PENDIENTE APROBACION  ENVIO TMS"/>
    <s v="000000001209658320"/>
    <x v="2"/>
    <x v="3"/>
    <s v="APROBAR"/>
    <n v="1"/>
    <e v="#N/A"/>
  </r>
  <r>
    <n v="8209658379"/>
    <s v="66"/>
    <x v="50"/>
    <d v="2026-10-12T10:05:19"/>
    <s v=""/>
    <s v="UNIDAD"/>
    <n v="1"/>
    <s v="PENDIENTE APROBACION  ENVIO TMS"/>
    <s v="000000008209658379"/>
    <x v="1"/>
    <x v="3"/>
    <s v="APROBAR"/>
    <n v="1"/>
    <e v="#N/A"/>
  </r>
  <r>
    <n v="8209658381"/>
    <s v="66"/>
    <x v="50"/>
    <d v="2026-10-12T10:05:20"/>
    <s v=""/>
    <s v="UNIDAD"/>
    <n v="14"/>
    <s v="PENDIENTE APROBACION  ENVIO TMS"/>
    <s v="000000008209658381"/>
    <x v="1"/>
    <x v="3"/>
    <s v="APROBAR"/>
    <n v="1"/>
    <e v="#N/A"/>
  </r>
  <r>
    <n v="8209658382"/>
    <s v="66"/>
    <x v="50"/>
    <d v="2026-10-12T10:05:21"/>
    <s v=""/>
    <s v="UNIDAD"/>
    <n v="4"/>
    <s v="PENDIENTE APROBACION  ENVIO TMS"/>
    <s v="000000008209658382"/>
    <x v="1"/>
    <x v="3"/>
    <s v="APROBAR"/>
    <n v="1"/>
    <e v="#N/A"/>
  </r>
  <r>
    <n v="1209658383"/>
    <s v="66"/>
    <x v="50"/>
    <d v="2026-10-12T10:05:22"/>
    <s v=""/>
    <s v="CAJA"/>
    <n v="5"/>
    <s v="PENDIENTE APROBACION  ENVIO TMS"/>
    <s v="000000001209658383"/>
    <x v="2"/>
    <x v="3"/>
    <s v="APROBAR"/>
    <n v="1"/>
    <e v="#N/A"/>
  </r>
  <r>
    <n v="8209658425"/>
    <s v="68"/>
    <x v="53"/>
    <d v="2026-10-12T10:05:23"/>
    <s v=""/>
    <s v="UNIDAD"/>
    <n v="20"/>
    <s v="PENDIENTE APROBACION  ENVIO TMS"/>
    <s v="000000008209658425"/>
    <x v="1"/>
    <x v="1"/>
    <s v="APROBAR"/>
    <n v="1"/>
    <e v="#N/A"/>
  </r>
  <r>
    <n v="8209658428"/>
    <s v="68"/>
    <x v="53"/>
    <d v="2026-10-12T10:05:24"/>
    <s v=""/>
    <s v="UNIDAD"/>
    <n v="4"/>
    <s v="PENDIENTE APROBACION  ENVIO TMS"/>
    <s v="000000008209658428"/>
    <x v="1"/>
    <x v="1"/>
    <s v="APROBAR"/>
    <n v="1"/>
    <e v="#N/A"/>
  </r>
  <r>
    <n v="8209658407"/>
    <s v="67"/>
    <x v="52"/>
    <d v="2026-10-12T10:05:26"/>
    <s v=""/>
    <s v="UNIDAD"/>
    <n v="8"/>
    <s v="PENDIENTE APROBACION  ENVIO TMS"/>
    <s v="000000008209658407"/>
    <x v="1"/>
    <x v="3"/>
    <s v="APROBAR"/>
    <n v="1"/>
    <e v="#N/A"/>
  </r>
  <r>
    <n v="1209658391"/>
    <s v="66"/>
    <x v="50"/>
    <d v="2026-10-12T10:05:27"/>
    <s v=""/>
    <s v="CAJA"/>
    <n v="45"/>
    <s v="PENDIENTE APROBACION  ENVIO TMS"/>
    <s v="000000001209658391"/>
    <x v="2"/>
    <x v="3"/>
    <s v="APROBAR"/>
    <n v="1"/>
    <e v="#N/A"/>
  </r>
  <r>
    <n v="1209658437"/>
    <s v="68"/>
    <x v="53"/>
    <d v="2026-10-12T10:05:28"/>
    <s v=""/>
    <s v="CAJA"/>
    <n v="8"/>
    <s v="PENDIENTE APROBACION  ENVIO TMS"/>
    <s v="000000001209658437"/>
    <x v="2"/>
    <x v="1"/>
    <s v="APROBAR"/>
    <n v="1"/>
    <e v="#N/A"/>
  </r>
  <r>
    <n v="8209658317"/>
    <s v="64"/>
    <x v="48"/>
    <d v="2026-10-12T10:05:29"/>
    <s v=""/>
    <s v="UNIDAD"/>
    <n v="10"/>
    <s v="PENDIENTE APROBACION  ENVIO TMS"/>
    <s v="000000008209658317"/>
    <x v="1"/>
    <x v="3"/>
    <s v="APROBAR"/>
    <n v="1"/>
    <e v="#N/A"/>
  </r>
  <r>
    <n v="1209658355"/>
    <s v="65"/>
    <x v="49"/>
    <d v="2026-10-12T10:05:30"/>
    <s v=""/>
    <s v="PACK"/>
    <n v="14"/>
    <s v="PENDIENTE APROBACION  ENVIO TMS"/>
    <s v="000000001209658355"/>
    <x v="2"/>
    <x v="0"/>
    <s v="APROBAR"/>
    <n v="1"/>
    <e v="#N/A"/>
  </r>
  <r>
    <n v="1209658356"/>
    <s v="65"/>
    <x v="49"/>
    <d v="2026-10-12T10:05:32"/>
    <s v=""/>
    <s v="PACK"/>
    <n v="35"/>
    <s v="PENDIENTE APROBACION  ENVIO TMS"/>
    <s v="000000001209658356"/>
    <x v="2"/>
    <x v="0"/>
    <s v="APROBAR"/>
    <n v="1"/>
    <e v="#N/A"/>
  </r>
  <r>
    <n v="8209658403"/>
    <s v="67"/>
    <x v="52"/>
    <d v="2026-10-12T10:05:33"/>
    <s v=""/>
    <s v="UNIDAD"/>
    <n v="3"/>
    <s v="PENDIENTE APROBACION  ENVIO TMS"/>
    <s v="000000008209658403"/>
    <x v="1"/>
    <x v="3"/>
    <s v="APROBAR"/>
    <n v="1"/>
    <e v="#N/A"/>
  </r>
  <r>
    <n v="1209658439"/>
    <s v="68"/>
    <x v="53"/>
    <d v="2026-10-12T10:05:34"/>
    <s v=""/>
    <s v="PACK"/>
    <n v="68"/>
    <s v="PENDIENTE APROBACION  ENVIO TMS"/>
    <s v="000000001209658439"/>
    <x v="2"/>
    <x v="1"/>
    <s v="APROBAR"/>
    <n v="1"/>
    <e v="#N/A"/>
  </r>
  <r>
    <n v="1209658416"/>
    <s v="67"/>
    <x v="52"/>
    <d v="2026-10-12T10:05:35"/>
    <s v=""/>
    <s v="CAJA"/>
    <n v="8"/>
    <s v="PENDIENTE APROBACION  ENVIO TMS"/>
    <s v="000000001209658416"/>
    <x v="2"/>
    <x v="3"/>
    <s v="APROBAR"/>
    <n v="1"/>
    <e v="#N/A"/>
  </r>
  <r>
    <n v="1209658420"/>
    <s v="67"/>
    <x v="52"/>
    <d v="2026-10-12T10:05:37"/>
    <s v=""/>
    <s v="PACK"/>
    <n v="30"/>
    <s v="PENDIENTE APROBACION  ENVIO TMS"/>
    <s v="000000001209658420"/>
    <x v="2"/>
    <x v="3"/>
    <s v="APROBAR"/>
    <n v="1"/>
    <e v="#N/A"/>
  </r>
  <r>
    <n v="1209658410"/>
    <s v="67"/>
    <x v="52"/>
    <d v="2026-10-12T10:05:38"/>
    <s v=""/>
    <s v="CAJA"/>
    <n v="25"/>
    <s v="PENDIENTE APROBACION  ENVIO TMS"/>
    <s v="000000001209658410"/>
    <x v="2"/>
    <x v="3"/>
    <s v="APROBAR"/>
    <n v="1"/>
    <e v="#N/A"/>
  </r>
  <r>
    <n v="1209658421"/>
    <s v="67"/>
    <x v="52"/>
    <d v="2026-10-12T10:05:38"/>
    <s v=""/>
    <s v="CAJA"/>
    <n v="50"/>
    <s v="PENDIENTE APROBACION  ENVIO TMS"/>
    <s v="000000001209658421"/>
    <x v="2"/>
    <x v="3"/>
    <s v="APROBAR"/>
    <n v="1"/>
    <e v="#N/A"/>
  </r>
  <r>
    <n v="1209658477"/>
    <s v="69"/>
    <x v="51"/>
    <d v="2026-10-12T10:08:52"/>
    <s v=""/>
    <s v="CAJA"/>
    <n v="55"/>
    <s v="PENDIENTE APROBACION  ENVIO TMS"/>
    <s v="000000001209658477"/>
    <x v="2"/>
    <x v="2"/>
    <s v="APROBAR"/>
    <n v="1"/>
    <e v="#N/A"/>
  </r>
  <r>
    <n v="8209658562"/>
    <s v="72"/>
    <x v="54"/>
    <d v="2026-10-12T10:08:53"/>
    <s v=""/>
    <s v="UNIDAD"/>
    <n v="5"/>
    <s v="PENDIENTE APROBACION  ENVIO TMS"/>
    <s v="000000008209658562"/>
    <x v="1"/>
    <x v="1"/>
    <s v="APROBAR"/>
    <n v="1"/>
    <e v="#N/A"/>
  </r>
  <r>
    <n v="8209658564"/>
    <s v="72"/>
    <x v="54"/>
    <d v="2026-10-12T10:08:54"/>
    <s v=""/>
    <s v="UNIDAD"/>
    <n v="1"/>
    <s v="PENDIENTE APROBACION  ENVIO TMS"/>
    <s v="000000008209658564"/>
    <x v="1"/>
    <x v="1"/>
    <s v="APROBAR"/>
    <n v="1"/>
    <e v="#N/A"/>
  </r>
  <r>
    <n v="8209658565"/>
    <s v="72"/>
    <x v="54"/>
    <d v="2026-10-12T10:08:55"/>
    <s v=""/>
    <s v="UNIDAD"/>
    <n v="8"/>
    <s v="PENDIENTE APROBACION  ENVIO TMS"/>
    <s v="000000008209658565"/>
    <x v="1"/>
    <x v="1"/>
    <s v="APROBAR"/>
    <n v="1"/>
    <e v="#N/A"/>
  </r>
  <r>
    <n v="1209658611"/>
    <s v="73"/>
    <x v="55"/>
    <d v="2026-10-12T10:08:57"/>
    <s v=""/>
    <s v="CAJA"/>
    <n v="8"/>
    <s v="PENDIENTE APROBACION  ENVIO TMS"/>
    <s v="000000001209658611"/>
    <x v="2"/>
    <x v="0"/>
    <s v="APROBAR"/>
    <n v="1"/>
    <e v="#N/A"/>
  </r>
  <r>
    <n v="8209658457"/>
    <s v="69"/>
    <x v="51"/>
    <d v="2026-10-12T10:08:58"/>
    <s v=""/>
    <s v="UNIDAD"/>
    <n v="2"/>
    <s v="PENDIENTE APROBACION  ENVIO TMS"/>
    <s v="000000008209658457"/>
    <x v="1"/>
    <x v="2"/>
    <s v="APROBAR"/>
    <n v="1"/>
    <e v="#N/A"/>
  </r>
  <r>
    <n v="1209658572"/>
    <s v="72"/>
    <x v="54"/>
    <d v="2026-10-12T10:08:59"/>
    <s v=""/>
    <s v="PACK"/>
    <n v="25"/>
    <s v="PENDIENTE APROBACION  ENVIO TMS"/>
    <s v="000000001209658572"/>
    <x v="2"/>
    <x v="1"/>
    <s v="APROBAR"/>
    <n v="1"/>
    <e v="#N/A"/>
  </r>
  <r>
    <n v="1209658573"/>
    <s v="72"/>
    <x v="54"/>
    <d v="2026-10-12T10:09:00"/>
    <s v=""/>
    <s v="CAJA"/>
    <n v="34"/>
    <s v="PENDIENTE APROBACION  ENVIO TMS"/>
    <s v="000000001209658573"/>
    <x v="2"/>
    <x v="1"/>
    <s v="APROBAR"/>
    <n v="1"/>
    <e v="#N/A"/>
  </r>
  <r>
    <n v="1209658469"/>
    <s v="69"/>
    <x v="51"/>
    <d v="2026-10-12T10:09:01"/>
    <s v=""/>
    <s v="PACK"/>
    <n v="14"/>
    <s v="PENDIENTE APROBACION  ENVIO TMS"/>
    <s v="000000001209658469"/>
    <x v="2"/>
    <x v="2"/>
    <s v="APROBAR"/>
    <n v="1"/>
    <e v="#N/A"/>
  </r>
  <r>
    <n v="1209658504"/>
    <s v="70"/>
    <x v="56"/>
    <d v="2026-10-12T10:09:03"/>
    <s v=""/>
    <s v="PACK"/>
    <n v="58"/>
    <s v="PENDIENTE APROBACION  ENVIO TMS"/>
    <s v="000000001209658504"/>
    <x v="2"/>
    <x v="3"/>
    <s v="APROBAR"/>
    <n v="1"/>
    <e v="#N/A"/>
  </r>
  <r>
    <n v="1209658472"/>
    <s v="69"/>
    <x v="51"/>
    <d v="2026-10-12T10:09:04"/>
    <s v=""/>
    <s v="CAJA"/>
    <n v="3"/>
    <s v="PENDIENTE APROBACION  ENVIO TMS"/>
    <s v="000000001209658472"/>
    <x v="2"/>
    <x v="2"/>
    <s v="APROBAR"/>
    <n v="1"/>
    <e v="#N/A"/>
  </r>
  <r>
    <n v="8209658524"/>
    <s v="71"/>
    <x v="57"/>
    <d v="2026-10-12T10:09:05"/>
    <s v=""/>
    <s v="UNIDAD"/>
    <n v="6"/>
    <s v="PENDIENTE APROBACION  ENVIO TMS"/>
    <s v="000000008209658524"/>
    <x v="1"/>
    <x v="0"/>
    <s v="APROBAR"/>
    <n v="1"/>
    <e v="#N/A"/>
  </r>
  <r>
    <n v="1209658620"/>
    <s v="73"/>
    <x v="55"/>
    <d v="2026-10-12T10:09:06"/>
    <s v=""/>
    <s v="CAJA"/>
    <n v="3"/>
    <s v="PENDIENTE APROBACION  ENVIO TMS"/>
    <s v="000000001209658620"/>
    <x v="2"/>
    <x v="0"/>
    <s v="APROBAR"/>
    <n v="1"/>
    <e v="#N/A"/>
  </r>
  <r>
    <n v="8209658491"/>
    <s v="70"/>
    <x v="56"/>
    <d v="2026-10-12T10:09:08"/>
    <s v=""/>
    <s v="UNIDAD"/>
    <n v="6"/>
    <s v="PENDIENTE APROBACION  ENVIO TMS"/>
    <s v="000000008209658491"/>
    <x v="1"/>
    <x v="3"/>
    <s v="APROBAR"/>
    <n v="1"/>
    <e v="#N/A"/>
  </r>
  <r>
    <n v="1209658493"/>
    <s v="70"/>
    <x v="56"/>
    <d v="2026-10-12T10:09:09"/>
    <s v=""/>
    <s v="PACK"/>
    <n v="15"/>
    <s v="PENDIENTE APROBACION  ENVIO TMS"/>
    <s v="000000001209658493"/>
    <x v="2"/>
    <x v="3"/>
    <s v="APROBAR"/>
    <n v="1"/>
    <e v="#N/A"/>
  </r>
  <r>
    <n v="1209658530"/>
    <s v="71"/>
    <x v="57"/>
    <d v="2026-10-12T10:09:10"/>
    <s v=""/>
    <s v="PACK"/>
    <n v="7"/>
    <s v="PENDIENTE APROBACION  ENVIO TMS"/>
    <s v="000000001209658530"/>
    <x v="2"/>
    <x v="0"/>
    <s v="APROBAR"/>
    <n v="1"/>
    <e v="#N/A"/>
  </r>
  <r>
    <n v="1209658577"/>
    <s v="72"/>
    <x v="54"/>
    <d v="2026-10-12T10:09:11"/>
    <s v=""/>
    <s v="CAJA"/>
    <n v="49"/>
    <s v="PENDIENTE APROBACION  ENVIO TMS"/>
    <s v="000000001209658577"/>
    <x v="2"/>
    <x v="1"/>
    <s v="APROBAR"/>
    <n v="1"/>
    <e v="#N/A"/>
  </r>
  <r>
    <n v="1209658578"/>
    <s v="72"/>
    <x v="54"/>
    <d v="2026-10-12T10:09:12"/>
    <s v=""/>
    <s v="CAJA"/>
    <n v="1"/>
    <s v="PENDIENTE APROBACION  ENVIO TMS"/>
    <s v="000000001209658578"/>
    <x v="2"/>
    <x v="1"/>
    <s v="APROBAR"/>
    <n v="1"/>
    <e v="#N/A"/>
  </r>
  <r>
    <n v="1209658496"/>
    <s v="70"/>
    <x v="56"/>
    <d v="2026-10-12T10:09:13"/>
    <s v=""/>
    <s v="PACK"/>
    <n v="30"/>
    <s v="PENDIENTE APROBACION  ENVIO TMS"/>
    <s v="000000001209658496"/>
    <x v="2"/>
    <x v="3"/>
    <s v="APROBAR"/>
    <n v="1"/>
    <e v="#N/A"/>
  </r>
  <r>
    <n v="8209658566"/>
    <s v="72"/>
    <x v="54"/>
    <d v="2026-10-12T10:09:15"/>
    <s v=""/>
    <s v="UNIDAD"/>
    <n v="27"/>
    <s v="PENDIENTE APROBACION  ENVIO TMS"/>
    <s v="000000008209658566"/>
    <x v="1"/>
    <x v="1"/>
    <s v="APROBAR"/>
    <n v="1"/>
    <e v="#N/A"/>
  </r>
  <r>
    <n v="8209658607"/>
    <s v="73"/>
    <x v="55"/>
    <d v="2026-10-12T10:09:16"/>
    <s v=""/>
    <s v="UNIDAD"/>
    <n v="2"/>
    <s v="PENDIENTE APROBACION  ENVIO TMS"/>
    <s v="000000008209658607"/>
    <x v="1"/>
    <x v="0"/>
    <s v="APROBAR"/>
    <n v="1"/>
    <e v="#N/A"/>
  </r>
  <r>
    <n v="1209658500"/>
    <s v="70"/>
    <x v="56"/>
    <d v="2026-10-12T10:09:17"/>
    <s v=""/>
    <s v="PACK"/>
    <n v="22"/>
    <s v="PENDIENTE APROBACION  ENVIO TMS"/>
    <s v="000000001209658500"/>
    <x v="2"/>
    <x v="3"/>
    <s v="APROBAR"/>
    <n v="1"/>
    <e v="#N/A"/>
  </r>
  <r>
    <n v="1209658466"/>
    <s v="69"/>
    <x v="51"/>
    <d v="2026-10-12T10:09:18"/>
    <s v=""/>
    <s v="CAJA"/>
    <n v="10"/>
    <s v="PENDIENTE APROBACION  ENVIO TMS"/>
    <s v="000000001209658466"/>
    <x v="2"/>
    <x v="2"/>
    <s v="APROBAR"/>
    <n v="1"/>
    <e v="#N/A"/>
  </r>
  <r>
    <n v="8209658521"/>
    <s v="71"/>
    <x v="57"/>
    <d v="2026-10-12T10:09:19"/>
    <s v=""/>
    <s v="UNIDAD"/>
    <n v="1"/>
    <s v="PENDIENTE APROBACION  ENVIO TMS"/>
    <s v="000000008209658521"/>
    <x v="1"/>
    <x v="0"/>
    <s v="APROBAR"/>
    <n v="1"/>
    <e v="#N/A"/>
  </r>
  <r>
    <n v="8209658523"/>
    <s v="71"/>
    <x v="57"/>
    <d v="2026-10-12T10:09:21"/>
    <s v=""/>
    <s v="UNIDAD"/>
    <n v="6"/>
    <s v="PENDIENTE APROBACION  ENVIO TMS"/>
    <s v="000000008209658523"/>
    <x v="1"/>
    <x v="0"/>
    <s v="APROBAR"/>
    <n v="1"/>
    <e v="#N/A"/>
  </r>
  <r>
    <n v="8209658488"/>
    <s v="70"/>
    <x v="56"/>
    <d v="2026-10-12T10:09:22"/>
    <s v=""/>
    <s v="UNIDAD"/>
    <n v="7"/>
    <s v="PENDIENTE APROBACION  ENVIO TMS"/>
    <s v="000000008209658488"/>
    <x v="1"/>
    <x v="3"/>
    <s v="APROBAR"/>
    <n v="1"/>
    <e v="#N/A"/>
  </r>
  <r>
    <n v="1209658531"/>
    <s v="71"/>
    <x v="57"/>
    <d v="2026-10-12T10:09:23"/>
    <s v=""/>
    <s v="CAJA"/>
    <n v="8"/>
    <s v="PENDIENTE APROBACION  ENVIO TMS"/>
    <s v="000000001209658531"/>
    <x v="2"/>
    <x v="0"/>
    <s v="APROBAR"/>
    <n v="1"/>
    <e v="#N/A"/>
  </r>
  <r>
    <n v="1209658494"/>
    <s v="70"/>
    <x v="56"/>
    <d v="2026-10-12T10:09:24"/>
    <s v=""/>
    <s v="PACK"/>
    <n v="27"/>
    <s v="PENDIENTE APROBACION  ENVIO TMS"/>
    <s v="000000001209658494"/>
    <x v="2"/>
    <x v="3"/>
    <s v="APROBAR"/>
    <n v="1"/>
    <e v="#N/A"/>
  </r>
  <r>
    <n v="8209658606"/>
    <s v="73"/>
    <x v="55"/>
    <d v="2026-10-12T10:09:25"/>
    <s v=""/>
    <s v="UNIDAD"/>
    <n v="2"/>
    <s v="PENDIENTE APROBACION  ENVIO TMS"/>
    <s v="000000008209658606"/>
    <x v="1"/>
    <x v="0"/>
    <s v="APROBAR"/>
    <n v="1"/>
    <e v="#N/A"/>
  </r>
  <r>
    <n v="8209658609"/>
    <s v="73"/>
    <x v="55"/>
    <d v="2026-10-12T10:09:27"/>
    <s v=""/>
    <s v="UNIDAD"/>
    <n v="43"/>
    <s v="PENDIENTE APROBACION  ENVIO TMS"/>
    <s v="000000008209658609"/>
    <x v="1"/>
    <x v="0"/>
    <s v="APROBAR"/>
    <n v="1"/>
    <e v="#N/A"/>
  </r>
  <r>
    <n v="8209658456"/>
    <s v="69"/>
    <x v="51"/>
    <d v="2026-10-12T10:09:27"/>
    <s v=""/>
    <s v="UNIDAD"/>
    <n v="2"/>
    <s v="PENDIENTE APROBACION  ENVIO TMS"/>
    <s v="000000008209658456"/>
    <x v="1"/>
    <x v="2"/>
    <s v="APROBAR"/>
    <n v="1"/>
    <e v="#N/A"/>
  </r>
  <r>
    <n v="1209658464"/>
    <s v="69"/>
    <x v="51"/>
    <d v="2026-10-12T10:09:28"/>
    <s v=""/>
    <s v="PACK"/>
    <n v="10"/>
    <s v="PENDIENTE APROBACION  ENVIO TMS"/>
    <s v="000000001209658464"/>
    <x v="2"/>
    <x v="2"/>
    <s v="APROBAR"/>
    <n v="1"/>
    <e v="#N/A"/>
  </r>
  <r>
    <n v="1209658613"/>
    <s v="73"/>
    <x v="55"/>
    <d v="2026-10-12T10:09:30"/>
    <s v=""/>
    <s v="CAJA"/>
    <n v="11"/>
    <s v="PENDIENTE APROBACION  ENVIO TMS"/>
    <s v="000000001209658613"/>
    <x v="2"/>
    <x v="0"/>
    <s v="APROBAR"/>
    <n v="1"/>
    <e v="#N/A"/>
  </r>
  <r>
    <n v="1209658615"/>
    <s v="73"/>
    <x v="55"/>
    <d v="2026-10-12T10:09:31"/>
    <s v=""/>
    <s v="PACK"/>
    <n v="13"/>
    <s v="PENDIENTE APROBACION  ENVIO TMS"/>
    <s v="000000001209658615"/>
    <x v="2"/>
    <x v="0"/>
    <s v="APROBAR"/>
    <n v="1"/>
    <e v="#N/A"/>
  </r>
  <r>
    <n v="1209658468"/>
    <s v="69"/>
    <x v="51"/>
    <d v="2026-10-12T10:09:33"/>
    <s v=""/>
    <s v="CAJA"/>
    <n v="19"/>
    <s v="PENDIENTE APROBACION  ENVIO TMS"/>
    <s v="000000001209658468"/>
    <x v="2"/>
    <x v="2"/>
    <s v="APROBAR"/>
    <n v="1"/>
    <e v="#N/A"/>
  </r>
  <r>
    <n v="1209658470"/>
    <s v="69"/>
    <x v="51"/>
    <d v="2026-10-12T10:09:33"/>
    <s v=""/>
    <s v="CAJA"/>
    <n v="21"/>
    <s v="PENDIENTE APROBACION  ENVIO TMS"/>
    <s v="000000001209658470"/>
    <x v="2"/>
    <x v="2"/>
    <s v="APROBAR"/>
    <n v="1"/>
    <e v="#N/A"/>
  </r>
  <r>
    <n v="8209658492"/>
    <s v="70"/>
    <x v="56"/>
    <d v="2026-10-12T10:09:34"/>
    <s v=""/>
    <s v="UNIDAD"/>
    <n v="11"/>
    <s v="PENDIENTE APROBACION  ENVIO TMS"/>
    <s v="000000008209658492"/>
    <x v="1"/>
    <x v="3"/>
    <s v="APROBAR"/>
    <n v="1"/>
    <e v="#N/A"/>
  </r>
  <r>
    <n v="1209658495"/>
    <s v="70"/>
    <x v="56"/>
    <d v="2026-10-12T10:09:36"/>
    <s v=""/>
    <s v="CAJA"/>
    <n v="15"/>
    <s v="PENDIENTE APROBACION  ENVIO TMS"/>
    <s v="000000001209658495"/>
    <x v="2"/>
    <x v="3"/>
    <s v="APROBAR"/>
    <n v="1"/>
    <e v="#N/A"/>
  </r>
  <r>
    <n v="1209658497"/>
    <s v="70"/>
    <x v="56"/>
    <d v="2026-10-12T10:09:37"/>
    <s v=""/>
    <s v="PACK"/>
    <n v="29"/>
    <s v="PENDIENTE APROBACION  ENVIO TMS"/>
    <s v="000000001209658497"/>
    <x v="2"/>
    <x v="3"/>
    <s v="APROBAR"/>
    <n v="1"/>
    <e v="#N/A"/>
  </r>
  <r>
    <n v="1209658568"/>
    <s v="72"/>
    <x v="54"/>
    <d v="2026-10-12T10:09:39"/>
    <s v=""/>
    <s v="PACK"/>
    <n v="3"/>
    <s v="PENDIENTE APROBACION  ENVIO TMS"/>
    <s v="000000001209658568"/>
    <x v="2"/>
    <x v="1"/>
    <s v="APROBAR"/>
    <n v="1"/>
    <e v="#N/A"/>
  </r>
  <r>
    <n v="8209658567"/>
    <s v="72"/>
    <x v="54"/>
    <d v="2026-10-12T10:09:39"/>
    <s v=""/>
    <s v="UNIDAD"/>
    <n v="2"/>
    <s v="PENDIENTE APROBACION  ENVIO TMS"/>
    <s v="000000008209658567"/>
    <x v="1"/>
    <x v="1"/>
    <s v="APROBAR"/>
    <n v="1"/>
    <e v="#N/A"/>
  </r>
  <r>
    <n v="8209658605"/>
    <s v="73"/>
    <x v="55"/>
    <d v="2026-10-12T10:09:41"/>
    <s v=""/>
    <s v="UNIDAD"/>
    <n v="2"/>
    <s v="PENDIENTE APROBACION  ENVIO TMS"/>
    <s v="000000008209658605"/>
    <x v="1"/>
    <x v="0"/>
    <s v="APROBAR"/>
    <n v="1"/>
    <e v="#N/A"/>
  </r>
  <r>
    <n v="8209658608"/>
    <s v="73"/>
    <x v="55"/>
    <d v="2026-10-12T10:09:42"/>
    <s v=""/>
    <s v="UNIDAD"/>
    <n v="1"/>
    <s v="PENDIENTE APROBACION  ENVIO TMS"/>
    <s v="000000008209658608"/>
    <x v="1"/>
    <x v="0"/>
    <s v="APROBAR"/>
    <n v="1"/>
    <e v="#N/A"/>
  </r>
  <r>
    <n v="1209658570"/>
    <s v="72"/>
    <x v="54"/>
    <d v="2026-10-12T10:09:43"/>
    <s v=""/>
    <s v="PACK"/>
    <n v="14"/>
    <s v="PENDIENTE APROBACION  ENVIO TMS"/>
    <s v="000000001209658570"/>
    <x v="2"/>
    <x v="1"/>
    <s v="APROBAR"/>
    <n v="1"/>
    <e v="#N/A"/>
  </r>
  <r>
    <n v="1209658571"/>
    <s v="72"/>
    <x v="54"/>
    <d v="2026-10-12T10:09:45"/>
    <s v=""/>
    <s v="PACK"/>
    <n v="17"/>
    <s v="PENDIENTE APROBACION  ENVIO TMS"/>
    <s v="000000001209658571"/>
    <x v="2"/>
    <x v="1"/>
    <s v="APROBAR"/>
    <n v="1"/>
    <e v="#N/A"/>
  </r>
  <r>
    <n v="1209658465"/>
    <s v="69"/>
    <x v="51"/>
    <d v="2026-10-12T10:09:45"/>
    <s v=""/>
    <s v="PACK"/>
    <n v="8"/>
    <s v="PENDIENTE APROBACION  ENVIO TMS"/>
    <s v="000000001209658465"/>
    <x v="2"/>
    <x v="2"/>
    <s v="APROBAR"/>
    <n v="1"/>
    <e v="#N/A"/>
  </r>
  <r>
    <n v="1209658616"/>
    <s v="73"/>
    <x v="55"/>
    <d v="2026-10-12T10:09:46"/>
    <s v=""/>
    <s v="UNIDAD"/>
    <n v="21"/>
    <s v="PENDIENTE APROBACION  ENVIO TMS"/>
    <s v="000000001209658616"/>
    <x v="2"/>
    <x v="0"/>
    <s v="APROBAR"/>
    <n v="1"/>
    <e v="#N/A"/>
  </r>
  <r>
    <n v="1209658617"/>
    <s v="73"/>
    <x v="55"/>
    <d v="2026-10-12T10:09:48"/>
    <s v=""/>
    <s v="CAJA"/>
    <n v="16"/>
    <s v="PENDIENTE APROBACION  ENVIO TMS"/>
    <s v="000000001209658617"/>
    <x v="2"/>
    <x v="0"/>
    <s v="APROBAR"/>
    <n v="1"/>
    <e v="#N/A"/>
  </r>
  <r>
    <n v="8209658520"/>
    <s v="71"/>
    <x v="57"/>
    <d v="2026-10-12T10:09:49"/>
    <s v=""/>
    <s v="UNIDAD"/>
    <n v="1"/>
    <s v="PENDIENTE APROBACION  ENVIO TMS"/>
    <s v="000000008209658520"/>
    <x v="1"/>
    <x v="0"/>
    <s v="APROBAR"/>
    <n v="1"/>
    <e v="#N/A"/>
  </r>
  <r>
    <n v="8209658490"/>
    <s v="70"/>
    <x v="56"/>
    <d v="2026-10-12T10:09:50"/>
    <s v=""/>
    <s v="UNIDAD"/>
    <n v="5"/>
    <s v="PENDIENTE APROBACION  ENVIO TMS"/>
    <s v="000000008209658490"/>
    <x v="1"/>
    <x v="3"/>
    <s v="APROBAR"/>
    <n v="1"/>
    <e v="#N/A"/>
  </r>
  <r>
    <n v="1209658529"/>
    <s v="71"/>
    <x v="57"/>
    <d v="2026-10-12T10:09:52"/>
    <s v=""/>
    <s v="CAJA"/>
    <n v="3"/>
    <s v="PENDIENTE APROBACION  ENVIO TMS"/>
    <s v="000000001209658529"/>
    <x v="2"/>
    <x v="0"/>
    <s v="APROBAR"/>
    <n v="1"/>
    <e v="#N/A"/>
  </r>
  <r>
    <n v="8209658563"/>
    <s v="72"/>
    <x v="54"/>
    <d v="2026-10-12T10:09:52"/>
    <s v=""/>
    <s v="UNIDAD"/>
    <n v="2"/>
    <s v="PENDIENTE APROBACION  ENVIO TMS"/>
    <s v="000000008209658563"/>
    <x v="1"/>
    <x v="1"/>
    <s v="APROBAR"/>
    <n v="1"/>
    <e v="#N/A"/>
  </r>
  <r>
    <n v="1209658569"/>
    <s v="72"/>
    <x v="54"/>
    <d v="2026-10-12T10:09:54"/>
    <s v=""/>
    <s v="PACK"/>
    <n v="10"/>
    <s v="PENDIENTE APROBACION  ENVIO TMS"/>
    <s v="000000001209658569"/>
    <x v="2"/>
    <x v="1"/>
    <s v="APROBAR"/>
    <n v="1"/>
    <e v="#N/A"/>
  </r>
  <r>
    <n v="1209658553"/>
    <s v="72"/>
    <x v="54"/>
    <d v="2026-10-12T10:09:55"/>
    <s v=""/>
    <s v="PACK"/>
    <n v="12"/>
    <s v="PENDIENTE APROBACION  ENVIO TMS"/>
    <s v="000000001209658553"/>
    <x v="2"/>
    <x v="1"/>
    <s v="APROBAR"/>
    <n v="1"/>
    <e v="#N/A"/>
  </r>
  <r>
    <n v="1209658610"/>
    <s v="73"/>
    <x v="55"/>
    <d v="2026-10-12T10:09:56"/>
    <s v=""/>
    <s v="CAJA"/>
    <n v="5"/>
    <s v="PENDIENTE APROBACION  ENVIO TMS"/>
    <s v="000000001209658610"/>
    <x v="2"/>
    <x v="0"/>
    <s v="APROBAR"/>
    <n v="1"/>
    <e v="#N/A"/>
  </r>
  <r>
    <n v="1209658612"/>
    <s v="73"/>
    <x v="55"/>
    <d v="2026-10-12T10:09:57"/>
    <s v=""/>
    <s v="UNIDAD"/>
    <n v="28"/>
    <s v="PENDIENTE APROBACION  ENVIO TMS"/>
    <s v="000000001209658612"/>
    <x v="2"/>
    <x v="0"/>
    <s v="APROBAR"/>
    <n v="1"/>
    <e v="#N/A"/>
  </r>
  <r>
    <n v="8209658461"/>
    <s v="69"/>
    <x v="51"/>
    <d v="2026-10-12T10:09:58"/>
    <s v=""/>
    <s v="UNIDAD"/>
    <n v="1"/>
    <s v="PENDIENTE APROBACION  ENVIO TMS"/>
    <s v="000000008209658461"/>
    <x v="1"/>
    <x v="2"/>
    <s v="APROBAR"/>
    <n v="1"/>
    <e v="#N/A"/>
  </r>
  <r>
    <n v="8209658463"/>
    <s v="69"/>
    <x v="51"/>
    <d v="2026-10-12T10:09:59"/>
    <s v=""/>
    <s v="UNIDAD"/>
    <n v="1"/>
    <s v="PENDIENTE APROBACION  ENVIO TMS"/>
    <s v="000000008209658463"/>
    <x v="1"/>
    <x v="2"/>
    <s v="APROBAR"/>
    <n v="1"/>
    <e v="#N/A"/>
  </r>
  <r>
    <n v="1209658499"/>
    <s v="70"/>
    <x v="56"/>
    <d v="2026-10-12T10:10:01"/>
    <s v=""/>
    <s v="CAJA"/>
    <n v="3"/>
    <s v="PENDIENTE APROBACION  ENVIO TMS"/>
    <s v="000000001209658499"/>
    <x v="2"/>
    <x v="3"/>
    <s v="APROBAR"/>
    <n v="1"/>
    <e v="#N/A"/>
  </r>
  <r>
    <n v="1209658574"/>
    <s v="72"/>
    <x v="54"/>
    <d v="2026-10-12T10:10:02"/>
    <s v=""/>
    <s v="CAJA"/>
    <n v="30"/>
    <s v="PENDIENTE APROBACION  ENVIO TMS"/>
    <s v="000000001209658574"/>
    <x v="2"/>
    <x v="1"/>
    <s v="APROBAR"/>
    <n v="1"/>
    <e v="#N/A"/>
  </r>
  <r>
    <n v="1209658618"/>
    <s v="73"/>
    <x v="55"/>
    <d v="2026-10-12T10:10:03"/>
    <s v=""/>
    <s v="CAJA"/>
    <n v="28"/>
    <s v="PENDIENTE APROBACION  ENVIO TMS"/>
    <s v="000000001209658618"/>
    <x v="2"/>
    <x v="0"/>
    <s v="APROBAR"/>
    <n v="1"/>
    <e v="#N/A"/>
  </r>
  <r>
    <n v="8209658522"/>
    <s v="71"/>
    <x v="57"/>
    <d v="2026-10-12T10:10:04"/>
    <s v=""/>
    <s v="UNIDAD"/>
    <n v="1"/>
    <s v="PENDIENTE APROBACION  ENVIO TMS"/>
    <s v="000000008209658522"/>
    <x v="1"/>
    <x v="0"/>
    <s v="APROBAR"/>
    <n v="1"/>
    <e v="#N/A"/>
  </r>
  <r>
    <n v="1209658576"/>
    <s v="72"/>
    <x v="54"/>
    <d v="2026-10-12T10:10:05"/>
    <s v=""/>
    <s v="PACK"/>
    <n v="44"/>
    <s v="PENDIENTE APROBACION  ENVIO TMS"/>
    <s v="000000001209658576"/>
    <x v="2"/>
    <x v="1"/>
    <s v="APROBAR"/>
    <n v="1"/>
    <e v="#N/A"/>
  </r>
  <r>
    <n v="1209658527"/>
    <s v="71"/>
    <x v="57"/>
    <d v="2026-10-12T10:10:07"/>
    <s v=""/>
    <s v="CAJA"/>
    <n v="2"/>
    <s v="PENDIENTE APROBACION  ENVIO TMS"/>
    <s v="000000001209658527"/>
    <x v="2"/>
    <x v="0"/>
    <s v="APROBAR"/>
    <n v="1"/>
    <e v="#N/A"/>
  </r>
  <r>
    <n v="8209658525"/>
    <s v="71"/>
    <x v="57"/>
    <d v="2026-10-12T10:10:07"/>
    <s v=""/>
    <s v="UNIDAD"/>
    <n v="3"/>
    <s v="PENDIENTE APROBACION  ENVIO TMS"/>
    <s v="000000008209658525"/>
    <x v="1"/>
    <x v="0"/>
    <s v="APROBAR"/>
    <n v="1"/>
    <e v="#N/A"/>
  </r>
  <r>
    <n v="1209658528"/>
    <s v="71"/>
    <x v="57"/>
    <d v="2026-10-12T10:10:08"/>
    <s v=""/>
    <s v="CAJA"/>
    <n v="5"/>
    <s v="PENDIENTE APROBACION  ENVIO TMS"/>
    <s v="000000001209658528"/>
    <x v="2"/>
    <x v="0"/>
    <s v="APROBAR"/>
    <n v="1"/>
    <e v="#N/A"/>
  </r>
  <r>
    <n v="1209658544"/>
    <s v="71"/>
    <x v="57"/>
    <d v="2026-10-12T10:10:10"/>
    <s v=""/>
    <s v="CAJA"/>
    <n v="21"/>
    <s v="PENDIENTE APROBACION  ENVIO TMS"/>
    <s v="000000001209658544"/>
    <x v="2"/>
    <x v="0"/>
    <s v="APROBAR"/>
    <n v="1"/>
    <e v="#N/A"/>
  </r>
  <r>
    <n v="1209658534"/>
    <s v="71"/>
    <x v="57"/>
    <d v="2026-10-12T10:10:11"/>
    <s v=""/>
    <s v="PACK"/>
    <n v="55"/>
    <s v="PENDIENTE APROBACION  ENVIO TMS"/>
    <s v="000000001209658534"/>
    <x v="2"/>
    <x v="0"/>
    <s v="APROBAR"/>
    <n v="1"/>
    <e v="#N/A"/>
  </r>
  <r>
    <n v="8209658551"/>
    <s v="72"/>
    <x v="54"/>
    <d v="2026-10-12T10:10:13"/>
    <s v=""/>
    <s v="UNIDAD"/>
    <n v="18"/>
    <s v="PENDIENTE APROBACION  ENVIO TMS"/>
    <s v="000000008209658551"/>
    <x v="1"/>
    <x v="1"/>
    <s v="APROBAR"/>
    <n v="1"/>
    <e v="#N/A"/>
  </r>
  <r>
    <n v="8209658459"/>
    <s v="69"/>
    <x v="51"/>
    <d v="2026-10-12T10:10:14"/>
    <s v=""/>
    <s v="UNIDAD"/>
    <n v="6"/>
    <s v="PENDIENTE APROBACION  ENVIO TMS"/>
    <s v="000000008209658459"/>
    <x v="1"/>
    <x v="2"/>
    <s v="APROBAR"/>
    <n v="1"/>
    <e v="#N/A"/>
  </r>
  <r>
    <n v="8209658462"/>
    <s v="69"/>
    <x v="51"/>
    <d v="2026-10-12T10:10:14"/>
    <s v=""/>
    <s v="UNIDAD"/>
    <n v="1"/>
    <s v="PENDIENTE APROBACION  ENVIO TMS"/>
    <s v="000000008209658462"/>
    <x v="1"/>
    <x v="2"/>
    <s v="APROBAR"/>
    <n v="1"/>
    <e v="#N/A"/>
  </r>
  <r>
    <n v="1209658614"/>
    <s v="73"/>
    <x v="55"/>
    <d v="2026-10-12T10:10:16"/>
    <s v=""/>
    <s v="CAJA"/>
    <n v="8"/>
    <s v="PENDIENTE APROBACION  ENVIO TMS"/>
    <s v="000000001209658614"/>
    <x v="2"/>
    <x v="0"/>
    <s v="APROBAR"/>
    <n v="1"/>
    <e v="#N/A"/>
  </r>
  <r>
    <n v="1209658503"/>
    <s v="70"/>
    <x v="56"/>
    <d v="2026-10-12T10:10:17"/>
    <s v=""/>
    <s v="CAJA"/>
    <n v="50"/>
    <s v="PENDIENTE APROBACION  ENVIO TMS"/>
    <s v="000000001209658503"/>
    <x v="2"/>
    <x v="3"/>
    <s v="APROBAR"/>
    <n v="1"/>
    <e v="#N/A"/>
  </r>
  <r>
    <n v="8209658489"/>
    <s v="70"/>
    <x v="56"/>
    <d v="2026-10-12T10:10:18"/>
    <s v=""/>
    <s v="UNIDAD"/>
    <n v="1"/>
    <s v="PENDIENTE APROBACION  ENVIO TMS"/>
    <s v="000000008209658489"/>
    <x v="1"/>
    <x v="3"/>
    <s v="APROBAR"/>
    <n v="1"/>
    <e v="#N/A"/>
  </r>
  <r>
    <n v="1209658526"/>
    <s v="71"/>
    <x v="57"/>
    <d v="2026-10-12T10:10:20"/>
    <s v=""/>
    <s v="CAJA"/>
    <n v="1"/>
    <s v="PENDIENTE APROBACION  ENVIO TMS"/>
    <s v="000000001209658526"/>
    <x v="2"/>
    <x v="0"/>
    <s v="APROBAR"/>
    <n v="1"/>
    <e v="#N/A"/>
  </r>
  <r>
    <n v="1209658532"/>
    <s v="71"/>
    <x v="57"/>
    <d v="2026-10-12T10:10:21"/>
    <s v=""/>
    <s v="PACK"/>
    <n v="11"/>
    <s v="PENDIENTE APROBACION  ENVIO TMS"/>
    <s v="000000001209658532"/>
    <x v="2"/>
    <x v="0"/>
    <s v="APROBAR"/>
    <n v="1"/>
    <e v="#N/A"/>
  </r>
  <r>
    <n v="1209658533"/>
    <s v="71"/>
    <x v="57"/>
    <d v="2026-10-12T10:10:22"/>
    <s v=""/>
    <s v="CAJA"/>
    <n v="11"/>
    <s v="PENDIENTE APROBACION  ENVIO TMS"/>
    <s v="000000001209658533"/>
    <x v="2"/>
    <x v="0"/>
    <s v="APROBAR"/>
    <n v="1"/>
    <e v="#N/A"/>
  </r>
  <r>
    <n v="1209658538"/>
    <s v="71"/>
    <x v="57"/>
    <d v="2026-10-12T10:10:23"/>
    <s v=""/>
    <s v="CAJA"/>
    <n v="42"/>
    <s v="PENDIENTE APROBACION  ENVIO TMS"/>
    <s v="000000001209658538"/>
    <x v="2"/>
    <x v="0"/>
    <s v="APROBAR"/>
    <n v="1"/>
    <e v="#N/A"/>
  </r>
  <r>
    <n v="1209658498"/>
    <s v="70"/>
    <x v="56"/>
    <d v="2026-10-12T10:10:24"/>
    <s v=""/>
    <s v="CAJA"/>
    <n v="31"/>
    <s v="PENDIENTE APROBACION  ENVIO TMS"/>
    <s v="000000001209658498"/>
    <x v="2"/>
    <x v="3"/>
    <s v="APROBAR"/>
    <n v="1"/>
    <e v="#N/A"/>
  </r>
  <r>
    <n v="1209658619"/>
    <s v="73"/>
    <x v="55"/>
    <d v="2026-10-12T10:10:26"/>
    <s v=""/>
    <s v="PACK"/>
    <n v="27"/>
    <s v="PENDIENTE APROBACION  ENVIO TMS"/>
    <s v="000000001209658619"/>
    <x v="2"/>
    <x v="0"/>
    <s v="APROBAR"/>
    <n v="1"/>
    <e v="#N/A"/>
  </r>
  <r>
    <n v="8209658458"/>
    <s v="69"/>
    <x v="51"/>
    <d v="2026-10-12T10:10:26"/>
    <s v=""/>
    <s v="UNIDAD"/>
    <n v="2"/>
    <s v="PENDIENTE APROBACION  ENVIO TMS"/>
    <s v="000000008209658458"/>
    <x v="1"/>
    <x v="2"/>
    <s v="APROBAR"/>
    <n v="1"/>
    <e v="#N/A"/>
  </r>
  <r>
    <n v="8209658487"/>
    <s v="70"/>
    <x v="56"/>
    <d v="2026-10-12T10:10:28"/>
    <s v=""/>
    <s v="UNIDAD"/>
    <n v="2"/>
    <s v="PENDIENTE APROBACION  ENVIO TMS"/>
    <s v="000000008209658487"/>
    <x v="1"/>
    <x v="3"/>
    <s v="APROBAR"/>
    <n v="1"/>
    <e v="#N/A"/>
  </r>
  <r>
    <n v="8209658486"/>
    <s v="70"/>
    <x v="56"/>
    <d v="2026-10-12T10:10:29"/>
    <s v=""/>
    <s v="UNIDAD"/>
    <n v="16"/>
    <s v="PENDIENTE APROBACION  ENVIO TMS"/>
    <s v="000000008209658486"/>
    <x v="1"/>
    <x v="3"/>
    <s v="APROBAR"/>
    <n v="1"/>
    <e v="#N/A"/>
  </r>
  <r>
    <n v="1209658476"/>
    <s v="69"/>
    <x v="51"/>
    <d v="2026-10-12T10:10:30"/>
    <s v=""/>
    <s v="PACK"/>
    <n v="42"/>
    <s v="PENDIENTE APROBACION  ENVIO TMS"/>
    <s v="000000001209658476"/>
    <x v="2"/>
    <x v="2"/>
    <s v="APROBAR"/>
    <n v="1"/>
    <e v="#N/A"/>
  </r>
  <r>
    <n v="1209658680"/>
    <s v="75"/>
    <x v="58"/>
    <d v="2026-10-12T10:13:52"/>
    <s v=""/>
    <s v="CAJA"/>
    <n v="44"/>
    <s v="PENDIENTE APROBACION  ENVIO TMS"/>
    <s v="000000001209658680"/>
    <x v="2"/>
    <x v="1"/>
    <s v="APROBAR"/>
    <n v="1"/>
    <e v="#N/A"/>
  </r>
  <r>
    <n v="1209658732"/>
    <s v="76"/>
    <x v="59"/>
    <d v="2026-10-12T10:13:53"/>
    <s v=""/>
    <s v="PACK"/>
    <n v="86"/>
    <s v="PENDIENTE APROBACION  ENVIO TMS"/>
    <s v="000000001209658732"/>
    <x v="2"/>
    <x v="3"/>
    <s v="APROBAR"/>
    <n v="1"/>
    <e v="#N/A"/>
  </r>
  <r>
    <n v="1209658719"/>
    <s v="76"/>
    <x v="59"/>
    <d v="2026-10-12T10:13:54"/>
    <s v=""/>
    <s v="CAJA"/>
    <n v="40"/>
    <s v="PENDIENTE APROBACION  ENVIO TMS"/>
    <s v="000000001209658719"/>
    <x v="2"/>
    <x v="3"/>
    <s v="APROBAR"/>
    <n v="1"/>
    <e v="#N/A"/>
  </r>
  <r>
    <n v="8209658666"/>
    <s v="75"/>
    <x v="58"/>
    <d v="2026-10-12T10:13:56"/>
    <s v=""/>
    <s v="UNIDAD"/>
    <n v="8"/>
    <s v="PENDIENTE APROBACION  ENVIO TMS"/>
    <s v="000000008209658666"/>
    <x v="1"/>
    <x v="1"/>
    <s v="APROBAR"/>
    <n v="1"/>
    <e v="#N/A"/>
  </r>
  <r>
    <n v="1209658759"/>
    <s v="77"/>
    <x v="60"/>
    <d v="2026-10-12T10:13:57"/>
    <s v=""/>
    <s v="CAJA"/>
    <n v="2"/>
    <s v="PENDIENTE APROBACION  ENVIO TMS"/>
    <s v="000000001209658759"/>
    <x v="2"/>
    <x v="0"/>
    <s v="APROBAR"/>
    <n v="1"/>
    <e v="#N/A"/>
  </r>
  <r>
    <n v="1209658761"/>
    <s v="77"/>
    <x v="60"/>
    <d v="2026-10-12T10:13:58"/>
    <s v=""/>
    <s v="CAJA"/>
    <n v="10"/>
    <s v="PENDIENTE APROBACION  ENVIO TMS"/>
    <s v="000000001209658761"/>
    <x v="2"/>
    <x v="0"/>
    <s v="APROBAR"/>
    <n v="1"/>
    <e v="#N/A"/>
  </r>
  <r>
    <n v="1209658728"/>
    <s v="76"/>
    <x v="59"/>
    <d v="2026-10-12T10:13:59"/>
    <s v=""/>
    <s v="PACK"/>
    <n v="7"/>
    <s v="PENDIENTE APROBACION  ENVIO TMS"/>
    <s v="000000001209658728"/>
    <x v="2"/>
    <x v="3"/>
    <s v="APROBAR"/>
    <n v="1"/>
    <e v="#N/A"/>
  </r>
  <r>
    <n v="1209658730"/>
    <s v="76"/>
    <x v="59"/>
    <d v="2026-10-12T10:14:00"/>
    <s v=""/>
    <s v="PACK"/>
    <n v="44"/>
    <s v="PENDIENTE APROBACION  ENVIO TMS"/>
    <s v="000000001209658730"/>
    <x v="2"/>
    <x v="3"/>
    <s v="APROBAR"/>
    <n v="1"/>
    <e v="#N/A"/>
  </r>
  <r>
    <n v="1209658677"/>
    <s v="75"/>
    <x v="58"/>
    <d v="2026-10-12T10:14:02"/>
    <s v=""/>
    <s v="CAJA"/>
    <n v="23"/>
    <s v="PENDIENTE APROBACION  ENVIO TMS"/>
    <s v="000000001209658677"/>
    <x v="2"/>
    <x v="1"/>
    <s v="APROBAR"/>
    <n v="1"/>
    <e v="#N/A"/>
  </r>
  <r>
    <n v="1209658644"/>
    <s v="74"/>
    <x v="61"/>
    <d v="2026-10-12T10:14:03"/>
    <s v=""/>
    <s v="PACK"/>
    <n v="35"/>
    <s v="PENDIENTE APROBACION  ENVIO TMS"/>
    <s v="000000001209658644"/>
    <x v="2"/>
    <x v="0"/>
    <s v="APROBAR"/>
    <n v="1"/>
    <e v="#N/A"/>
  </r>
  <r>
    <n v="8209658775"/>
    <s v="80"/>
    <x v="62"/>
    <d v="2026-10-12T10:14:04"/>
    <s v=""/>
    <s v="UNIDAD"/>
    <n v="2"/>
    <s v="PENDIENTE APROBACION  ENVIO TMS"/>
    <s v="000000008209658775"/>
    <x v="1"/>
    <x v="0"/>
    <s v="APROBAR"/>
    <n v="1"/>
    <e v="#N/A"/>
  </r>
  <r>
    <n v="1209658778"/>
    <s v="80"/>
    <x v="62"/>
    <d v="2026-10-12T10:14:05"/>
    <s v=""/>
    <s v="CAJA"/>
    <n v="9"/>
    <s v="PENDIENTE APROBACION  ENVIO TMS"/>
    <s v="000000001209658778"/>
    <x v="2"/>
    <x v="0"/>
    <s v="APROBAR"/>
    <n v="1"/>
    <e v="#N/A"/>
  </r>
  <r>
    <n v="8209658709"/>
    <s v="76"/>
    <x v="59"/>
    <d v="2026-10-12T10:14:07"/>
    <s v=""/>
    <s v="UNIDAD"/>
    <n v="35"/>
    <s v="PENDIENTE APROBACION  ENVIO TMS"/>
    <s v="000000008209658709"/>
    <x v="1"/>
    <x v="3"/>
    <s v="APROBAR"/>
    <n v="1"/>
    <e v="#N/A"/>
  </r>
  <r>
    <n v="8209658710"/>
    <s v="76"/>
    <x v="59"/>
    <d v="2026-10-12T10:14:08"/>
    <s v=""/>
    <s v="UNIDAD"/>
    <n v="5"/>
    <s v="PENDIENTE APROBACION  ENVIO TMS"/>
    <s v="000000008209658710"/>
    <x v="1"/>
    <x v="3"/>
    <s v="APROBAR"/>
    <n v="1"/>
    <e v="#N/A"/>
  </r>
  <r>
    <n v="1209658671"/>
    <s v="75"/>
    <x v="58"/>
    <d v="2026-10-12T10:14:09"/>
    <s v=""/>
    <s v="CAJA"/>
    <n v="5"/>
    <s v="PENDIENTE APROBACION  ENVIO TMS"/>
    <s v="000000001209658671"/>
    <x v="2"/>
    <x v="1"/>
    <s v="APROBAR"/>
    <n v="1"/>
    <e v="#N/A"/>
  </r>
  <r>
    <n v="8209658757"/>
    <s v="77"/>
    <x v="60"/>
    <d v="2026-10-12T10:14:10"/>
    <s v=""/>
    <s v="UNIDAD"/>
    <n v="3"/>
    <s v="PENDIENTE APROBACION  ENVIO TMS"/>
    <s v="000000008209658757"/>
    <x v="1"/>
    <x v="0"/>
    <s v="APROBAR"/>
    <n v="1"/>
    <e v="#N/A"/>
  </r>
  <r>
    <n v="8209658631"/>
    <s v="74"/>
    <x v="61"/>
    <d v="2026-10-12T10:14:11"/>
    <s v=""/>
    <s v="UNIDAD"/>
    <n v="4"/>
    <s v="PENDIENTE APROBACION  ENVIO TMS"/>
    <s v="000000008209658631"/>
    <x v="1"/>
    <x v="0"/>
    <s v="APROBAR"/>
    <n v="1"/>
    <e v="#N/A"/>
  </r>
  <r>
    <n v="1209658729"/>
    <s v="76"/>
    <x v="59"/>
    <d v="2026-10-12T10:14:13"/>
    <s v=""/>
    <s v="PACK"/>
    <n v="14"/>
    <s v="PENDIENTE APROBACION  ENVIO TMS"/>
    <s v="000000001209658729"/>
    <x v="2"/>
    <x v="3"/>
    <s v="APROBAR"/>
    <n v="1"/>
    <e v="#N/A"/>
  </r>
  <r>
    <n v="1209658763"/>
    <s v="77"/>
    <x v="60"/>
    <d v="2026-10-12T10:14:14"/>
    <s v=""/>
    <s v="PACK"/>
    <n v="26"/>
    <s v="PENDIENTE APROBACION  ENVIO TMS"/>
    <s v="000000001209658763"/>
    <x v="2"/>
    <x v="0"/>
    <s v="APROBAR"/>
    <n v="1"/>
    <e v="#N/A"/>
  </r>
  <r>
    <n v="1209658787"/>
    <s v="80"/>
    <x v="62"/>
    <d v="2026-10-12T10:14:15"/>
    <s v=""/>
    <s v="CAJA"/>
    <n v="2"/>
    <s v="PENDIENTE APROBACION  ENVIO TMS"/>
    <s v="000000001209658787"/>
    <x v="2"/>
    <x v="0"/>
    <s v="APROBAR"/>
    <n v="1"/>
    <e v="#N/A"/>
  </r>
  <r>
    <n v="8209658708"/>
    <s v="76"/>
    <x v="59"/>
    <d v="2026-10-12T10:14:16"/>
    <s v=""/>
    <s v="UNIDAD"/>
    <n v="2"/>
    <s v="PENDIENTE APROBACION  ENVIO TMS"/>
    <s v="000000008209658708"/>
    <x v="1"/>
    <x v="3"/>
    <s v="APROBAR"/>
    <n v="1"/>
    <e v="#N/A"/>
  </r>
  <r>
    <n v="1209658717"/>
    <s v="76"/>
    <x v="59"/>
    <d v="2026-10-12T10:14:18"/>
    <s v=""/>
    <s v="PACK"/>
    <n v="20"/>
    <s v="PENDIENTE APROBACION  ENVIO TMS"/>
    <s v="000000001209658717"/>
    <x v="2"/>
    <x v="3"/>
    <s v="APROBAR"/>
    <n v="1"/>
    <e v="#N/A"/>
  </r>
  <r>
    <n v="1209658718"/>
    <s v="76"/>
    <x v="59"/>
    <d v="2026-10-12T10:14:19"/>
    <s v=""/>
    <s v="PACK"/>
    <n v="40"/>
    <s v="PENDIENTE APROBACION  ENVIO TMS"/>
    <s v="000000001209658718"/>
    <x v="2"/>
    <x v="3"/>
    <s v="APROBAR"/>
    <n v="1"/>
    <e v="#N/A"/>
  </r>
  <r>
    <n v="1209658683"/>
    <s v="75"/>
    <x v="58"/>
    <d v="2026-10-12T10:14:20"/>
    <s v=""/>
    <s v="CAJA"/>
    <n v="3"/>
    <s v="PENDIENTE APROBACION  ENVIO TMS"/>
    <s v="000000001209658683"/>
    <x v="2"/>
    <x v="1"/>
    <s v="APROBAR"/>
    <n v="1"/>
    <e v="#N/A"/>
  </r>
  <r>
    <n v="8209658665"/>
    <s v="75"/>
    <x v="58"/>
    <d v="2026-10-12T10:14:21"/>
    <s v=""/>
    <s v="UNIDAD"/>
    <n v="3"/>
    <s v="PENDIENTE APROBACION  ENVIO TMS"/>
    <s v="000000008209658665"/>
    <x v="1"/>
    <x v="1"/>
    <s v="APROBAR"/>
    <n v="1"/>
    <e v="#N/A"/>
  </r>
  <r>
    <n v="8209658667"/>
    <s v="75"/>
    <x v="58"/>
    <d v="2026-10-12T10:14:22"/>
    <s v=""/>
    <s v="UNIDAD"/>
    <n v="2"/>
    <s v="PENDIENTE APROBACION  ENVIO TMS"/>
    <s v="000000008209658667"/>
    <x v="1"/>
    <x v="1"/>
    <s v="APROBAR"/>
    <n v="1"/>
    <e v="#N/A"/>
  </r>
  <r>
    <n v="8209658727"/>
    <s v="76"/>
    <x v="59"/>
    <d v="2026-10-12T10:14:24"/>
    <s v=""/>
    <s v="UNIDAD"/>
    <n v="12"/>
    <s v="PENDIENTE APROBACION  ENVIO TMS"/>
    <s v="000000008209658727"/>
    <x v="1"/>
    <x v="3"/>
    <s v="APROBAR"/>
    <n v="1"/>
    <e v="#N/A"/>
  </r>
  <r>
    <n v="8209658633"/>
    <s v="74"/>
    <x v="61"/>
    <d v="2026-10-12T10:14:25"/>
    <s v=""/>
    <s v="UNIDAD"/>
    <n v="23"/>
    <s v="PENDIENTE APROBACION  ENVIO TMS"/>
    <s v="000000008209658633"/>
    <x v="1"/>
    <x v="0"/>
    <s v="APROBAR"/>
    <n v="1"/>
    <e v="#N/A"/>
  </r>
  <r>
    <n v="8209658741"/>
    <s v="77"/>
    <x v="60"/>
    <d v="2026-10-12T10:14:27"/>
    <s v=""/>
    <s v="UNIDAD"/>
    <n v="5"/>
    <s v="PENDIENTE APROBACION  ENVIO TMS"/>
    <s v="000000008209658741"/>
    <x v="1"/>
    <x v="0"/>
    <s v="APROBAR"/>
    <n v="1"/>
    <e v="#N/A"/>
  </r>
  <r>
    <n v="1209658639"/>
    <s v="74"/>
    <x v="61"/>
    <d v="2026-10-12T10:14:27"/>
    <s v=""/>
    <s v="CAJA"/>
    <n v="11"/>
    <s v="PENDIENTE APROBACION  ENVIO TMS"/>
    <s v="000000001209658639"/>
    <x v="2"/>
    <x v="0"/>
    <s v="APROBAR"/>
    <n v="1"/>
    <e v="#N/A"/>
  </r>
  <r>
    <n v="1209658678"/>
    <s v="75"/>
    <x v="58"/>
    <d v="2026-10-12T10:14:28"/>
    <s v=""/>
    <s v="CAJA"/>
    <n v="27"/>
    <s v="PENDIENTE APROBACION  ENVIO TMS"/>
    <s v="000000001209658678"/>
    <x v="2"/>
    <x v="1"/>
    <s v="APROBAR"/>
    <n v="1"/>
    <e v="#N/A"/>
  </r>
  <r>
    <n v="1209658715"/>
    <s v="76"/>
    <x v="59"/>
    <d v="2026-10-12T10:14:30"/>
    <s v=""/>
    <s v="PACK"/>
    <n v="17"/>
    <s v="PENDIENTE APROBACION  ENVIO TMS"/>
    <s v="000000001209658715"/>
    <x v="2"/>
    <x v="3"/>
    <s v="APROBAR"/>
    <n v="1"/>
    <e v="#N/A"/>
  </r>
  <r>
    <n v="1209658679"/>
    <s v="75"/>
    <x v="58"/>
    <d v="2026-10-12T10:14:31"/>
    <s v=""/>
    <s v="PACK"/>
    <n v="41"/>
    <s v="PENDIENTE APROBACION  ENVIO TMS"/>
    <s v="000000001209658679"/>
    <x v="2"/>
    <x v="1"/>
    <s v="APROBAR"/>
    <n v="1"/>
    <e v="#N/A"/>
  </r>
  <r>
    <n v="8209658707"/>
    <s v="76"/>
    <x v="59"/>
    <d v="2026-10-12T10:14:32"/>
    <s v=""/>
    <s v="UNIDAD"/>
    <n v="15"/>
    <s v="PENDIENTE APROBACION  ENVIO TMS"/>
    <s v="000000008209658707"/>
    <x v="1"/>
    <x v="3"/>
    <s v="APROBAR"/>
    <n v="1"/>
    <e v="#N/A"/>
  </r>
  <r>
    <n v="8209658669"/>
    <s v="75"/>
    <x v="58"/>
    <d v="2026-10-12T10:14:33"/>
    <s v=""/>
    <s v="UNIDAD"/>
    <n v="20"/>
    <s v="PENDIENTE APROBACION  ENVIO TMS"/>
    <s v="000000008209658669"/>
    <x v="1"/>
    <x v="1"/>
    <s v="APROBAR"/>
    <n v="1"/>
    <e v="#N/A"/>
  </r>
  <r>
    <n v="1209658762"/>
    <s v="77"/>
    <x v="60"/>
    <d v="2026-10-12T10:14:35"/>
    <s v=""/>
    <s v="CAJA"/>
    <n v="19"/>
    <s v="PENDIENTE APROBACION  ENVIO TMS"/>
    <s v="000000001209658762"/>
    <x v="2"/>
    <x v="0"/>
    <s v="APROBAR"/>
    <n v="1"/>
    <e v="#N/A"/>
  </r>
  <r>
    <n v="1209658643"/>
    <s v="74"/>
    <x v="61"/>
    <d v="2026-10-12T10:14:36"/>
    <s v=""/>
    <s v="CAJA"/>
    <n v="21"/>
    <s v="PENDIENTE APROBACION  ENVIO TMS"/>
    <s v="000000001209658643"/>
    <x v="2"/>
    <x v="0"/>
    <s v="APROBAR"/>
    <n v="1"/>
    <e v="#N/A"/>
  </r>
  <r>
    <n v="1209658716"/>
    <s v="76"/>
    <x v="59"/>
    <d v="2026-10-12T10:14:38"/>
    <s v=""/>
    <s v="PACK"/>
    <n v="21"/>
    <s v="PENDIENTE APROBACION  ENVIO TMS"/>
    <s v="000000001209658716"/>
    <x v="2"/>
    <x v="3"/>
    <s v="APROBAR"/>
    <n v="1"/>
    <e v="#N/A"/>
  </r>
  <r>
    <n v="1209658746"/>
    <s v="77"/>
    <x v="60"/>
    <d v="2026-10-12T10:14:38"/>
    <s v=""/>
    <s v="CAJA"/>
    <n v="12"/>
    <s v="PENDIENTE APROBACION  ENVIO TMS"/>
    <s v="000000001209658746"/>
    <x v="2"/>
    <x v="0"/>
    <s v="APROBAR"/>
    <n v="1"/>
    <e v="#N/A"/>
  </r>
  <r>
    <n v="8209658632"/>
    <s v="74"/>
    <x v="61"/>
    <d v="2026-10-12T10:14:39"/>
    <s v=""/>
    <s v="UNIDAD"/>
    <n v="3"/>
    <s v="PENDIENTE APROBACION  ENVIO TMS"/>
    <s v="000000008209658632"/>
    <x v="1"/>
    <x v="0"/>
    <s v="APROBAR"/>
    <n v="1"/>
    <e v="#N/A"/>
  </r>
  <r>
    <n v="8209658636"/>
    <s v="74"/>
    <x v="61"/>
    <d v="2026-10-12T10:14:41"/>
    <s v=""/>
    <s v="UNIDAD"/>
    <n v="2"/>
    <s v="PENDIENTE APROBACION  ENVIO TMS"/>
    <s v="000000008209658636"/>
    <x v="1"/>
    <x v="0"/>
    <s v="APROBAR"/>
    <n v="1"/>
    <e v="#N/A"/>
  </r>
  <r>
    <n v="1209658675"/>
    <s v="75"/>
    <x v="58"/>
    <d v="2026-10-12T10:14:42"/>
    <s v=""/>
    <s v="CAJA"/>
    <n v="15"/>
    <s v="PENDIENTE APROBACION  ENVIO TMS"/>
    <s v="000000001209658675"/>
    <x v="2"/>
    <x v="1"/>
    <s v="APROBAR"/>
    <n v="1"/>
    <e v="#N/A"/>
  </r>
  <r>
    <n v="1209658640"/>
    <s v="74"/>
    <x v="61"/>
    <d v="2026-10-12T10:14:43"/>
    <s v=""/>
    <s v="PACK"/>
    <n v="14"/>
    <s v="PENDIENTE APROBACION  ENVIO TMS"/>
    <s v="000000001209658640"/>
    <x v="2"/>
    <x v="0"/>
    <s v="APROBAR"/>
    <n v="1"/>
    <e v="#N/A"/>
  </r>
  <r>
    <n v="1209658676"/>
    <s v="75"/>
    <x v="58"/>
    <d v="2026-10-12T10:14:44"/>
    <s v=""/>
    <s v="CAJA"/>
    <n v="20"/>
    <s v="PENDIENTE APROBACION  ENVIO TMS"/>
    <s v="000000001209658676"/>
    <x v="2"/>
    <x v="1"/>
    <s v="APROBAR"/>
    <n v="1"/>
    <e v="#N/A"/>
  </r>
  <r>
    <n v="8209658743"/>
    <s v="77"/>
    <x v="60"/>
    <d v="2026-10-12T10:14:46"/>
    <s v=""/>
    <s v="UNIDAD"/>
    <n v="3"/>
    <s v="PENDIENTE APROBACION  ENVIO TMS"/>
    <s v="000000008209658743"/>
    <x v="1"/>
    <x v="0"/>
    <s v="APROBAR"/>
    <n v="1"/>
    <e v="#N/A"/>
  </r>
  <r>
    <n v="1209658642"/>
    <s v="74"/>
    <x v="61"/>
    <d v="2026-10-12T10:14:47"/>
    <s v=""/>
    <s v="PACK"/>
    <n v="12"/>
    <s v="PENDIENTE APROBACION  ENVIO TMS"/>
    <s v="000000001209658642"/>
    <x v="2"/>
    <x v="0"/>
    <s v="APROBAR"/>
    <n v="1"/>
    <e v="#N/A"/>
  </r>
  <r>
    <n v="1209658731"/>
    <s v="76"/>
    <x v="59"/>
    <d v="2026-10-12T10:14:48"/>
    <s v=""/>
    <s v="CAJA"/>
    <n v="74"/>
    <s v="PENDIENTE APROBACION  ENVIO TMS"/>
    <s v="000000001209658731"/>
    <x v="2"/>
    <x v="3"/>
    <s v="APROBAR"/>
    <n v="1"/>
    <e v="#N/A"/>
  </r>
  <r>
    <n v="1209658780"/>
    <s v="80"/>
    <x v="62"/>
    <d v="2026-10-12T10:14:49"/>
    <s v=""/>
    <s v="CAJA"/>
    <n v="10"/>
    <s v="PENDIENTE APROBACION  ENVIO TMS"/>
    <s v="000000001209658780"/>
    <x v="2"/>
    <x v="0"/>
    <s v="APROBAR"/>
    <n v="1"/>
    <e v="#N/A"/>
  </r>
  <r>
    <n v="1209658784"/>
    <s v="80"/>
    <x v="62"/>
    <d v="2026-10-12T10:14:50"/>
    <s v=""/>
    <s v="PACK"/>
    <n v="17"/>
    <s v="PENDIENTE APROBACION  ENVIO TMS"/>
    <s v="000000001209658784"/>
    <x v="2"/>
    <x v="0"/>
    <s v="APROBAR"/>
    <n v="1"/>
    <e v="#N/A"/>
  </r>
  <r>
    <n v="1209658786"/>
    <s v="80"/>
    <x v="62"/>
    <d v="2026-10-12T10:14:52"/>
    <s v=""/>
    <s v="CAJA"/>
    <n v="13"/>
    <s v="PENDIENTE APROBACION  ENVIO TMS"/>
    <s v="000000001209658786"/>
    <x v="2"/>
    <x v="0"/>
    <s v="APROBAR"/>
    <n v="1"/>
    <e v="#N/A"/>
  </r>
  <r>
    <n v="1209658750"/>
    <s v="77"/>
    <x v="60"/>
    <d v="2026-10-12T10:14:53"/>
    <s v=""/>
    <s v="PACK"/>
    <n v="11"/>
    <s v="PENDIENTE APROBACION  ENVIO TMS"/>
    <s v="000000001209658750"/>
    <x v="2"/>
    <x v="0"/>
    <s v="APROBAR"/>
    <n v="1"/>
    <e v="#N/A"/>
  </r>
  <r>
    <n v="8209658668"/>
    <s v="75"/>
    <x v="58"/>
    <d v="2026-10-12T10:14:54"/>
    <s v=""/>
    <s v="UNIDAD"/>
    <n v="10"/>
    <s v="PENDIENTE APROBACION  ENVIO TMS"/>
    <s v="000000008209658668"/>
    <x v="1"/>
    <x v="1"/>
    <s v="APROBAR"/>
    <n v="1"/>
    <e v="#N/A"/>
  </r>
  <r>
    <n v="1209658720"/>
    <s v="76"/>
    <x v="59"/>
    <d v="2026-10-12T10:14:55"/>
    <s v=""/>
    <s v="CAJA"/>
    <n v="7"/>
    <s v="PENDIENTE APROBACION  ENVIO TMS"/>
    <s v="000000001209658720"/>
    <x v="2"/>
    <x v="3"/>
    <s v="APROBAR"/>
    <n v="1"/>
    <e v="#N/A"/>
  </r>
  <r>
    <n v="8209658758"/>
    <s v="77"/>
    <x v="60"/>
    <d v="2026-10-12T10:14:56"/>
    <s v=""/>
    <s v="UNIDAD"/>
    <n v="6"/>
    <s v="PENDIENTE APROBACION  ENVIO TMS"/>
    <s v="000000008209658758"/>
    <x v="1"/>
    <x v="0"/>
    <s v="APROBAR"/>
    <n v="1"/>
    <e v="#N/A"/>
  </r>
  <r>
    <n v="1209658652"/>
    <s v="74"/>
    <x v="61"/>
    <d v="2026-10-12T10:14:58"/>
    <s v=""/>
    <s v="PACK"/>
    <n v="84"/>
    <s v="PENDIENTE APROBACION  ENVIO TMS"/>
    <s v="000000001209658652"/>
    <x v="2"/>
    <x v="0"/>
    <s v="APROBAR"/>
    <n v="1"/>
    <e v="#N/A"/>
  </r>
  <r>
    <n v="1209658673"/>
    <s v="75"/>
    <x v="58"/>
    <d v="2026-10-12T10:14:59"/>
    <s v=""/>
    <s v="CAJA"/>
    <n v="11"/>
    <s v="PENDIENTE APROBACION  ENVIO TMS"/>
    <s v="000000001209658673"/>
    <x v="2"/>
    <x v="1"/>
    <s v="APROBAR"/>
    <n v="1"/>
    <e v="#N/A"/>
  </r>
  <r>
    <n v="1209658641"/>
    <s v="74"/>
    <x v="61"/>
    <d v="2026-10-12T10:15:00"/>
    <s v=""/>
    <s v="PACK"/>
    <n v="15"/>
    <s v="PENDIENTE APROBACION  ENVIO TMS"/>
    <s v="000000001209658641"/>
    <x v="2"/>
    <x v="0"/>
    <s v="APROBAR"/>
    <n v="1"/>
    <e v="#N/A"/>
  </r>
  <r>
    <n v="1209658765"/>
    <s v="77"/>
    <x v="60"/>
    <d v="2026-10-12T10:15:01"/>
    <s v=""/>
    <s v="CAJA"/>
    <n v="37"/>
    <s v="PENDIENTE APROBACION  ENVIO TMS"/>
    <s v="000000001209658765"/>
    <x v="2"/>
    <x v="0"/>
    <s v="APROBAR"/>
    <n v="1"/>
    <e v="#N/A"/>
  </r>
  <r>
    <n v="1209658747"/>
    <s v="77"/>
    <x v="60"/>
    <d v="2026-10-12T10:15:02"/>
    <s v=""/>
    <s v="CAJA"/>
    <n v="8"/>
    <s v="PENDIENTE APROBACION  ENVIO TMS"/>
    <s v="000000001209658747"/>
    <x v="2"/>
    <x v="0"/>
    <s v="APROBAR"/>
    <n v="1"/>
    <e v="#N/A"/>
  </r>
  <r>
    <n v="1209658751"/>
    <s v="77"/>
    <x v="60"/>
    <d v="2026-10-12T10:15:03"/>
    <s v=""/>
    <s v="CAJA"/>
    <n v="2"/>
    <s v="PENDIENTE APROBACION  ENVIO TMS"/>
    <s v="000000001209658751"/>
    <x v="2"/>
    <x v="0"/>
    <s v="APROBAR"/>
    <n v="1"/>
    <e v="#N/A"/>
  </r>
  <r>
    <n v="1209658638"/>
    <s v="74"/>
    <x v="61"/>
    <d v="2026-10-12T10:15:05"/>
    <s v=""/>
    <s v="CAJA"/>
    <n v="9"/>
    <s v="PENDIENTE APROBACION  ENVIO TMS"/>
    <s v="000000001209658638"/>
    <x v="2"/>
    <x v="0"/>
    <s v="APROBAR"/>
    <n v="1"/>
    <e v="#N/A"/>
  </r>
  <r>
    <n v="8209658742"/>
    <s v="77"/>
    <x v="60"/>
    <d v="2026-10-12T10:15:06"/>
    <s v=""/>
    <s v="UNIDAD"/>
    <n v="3"/>
    <s v="PENDIENTE APROBACION  ENVIO TMS"/>
    <s v="000000008209658742"/>
    <x v="1"/>
    <x v="0"/>
    <s v="APROBAR"/>
    <n v="1"/>
    <e v="#N/A"/>
  </r>
  <r>
    <n v="1209658645"/>
    <s v="74"/>
    <x v="61"/>
    <d v="2026-10-12T10:15:07"/>
    <s v=""/>
    <s v="CAJA"/>
    <n v="3"/>
    <s v="PENDIENTE APROBACION  ENVIO TMS"/>
    <s v="000000001209658645"/>
    <x v="2"/>
    <x v="0"/>
    <s v="APROBAR"/>
    <n v="1"/>
    <e v="#N/A"/>
  </r>
  <r>
    <n v="8209658706"/>
    <s v="76"/>
    <x v="59"/>
    <d v="2026-10-12T10:15:09"/>
    <s v=""/>
    <s v="UNIDAD"/>
    <n v="13"/>
    <s v="PENDIENTE APROBACION  ENVIO TMS"/>
    <s v="000000008209658706"/>
    <x v="1"/>
    <x v="3"/>
    <s v="APROBAR"/>
    <n v="1"/>
    <e v="#N/A"/>
  </r>
  <r>
    <n v="1209658790"/>
    <s v="80"/>
    <x v="62"/>
    <d v="2026-10-12T10:15:10"/>
    <s v=""/>
    <s v="PACK"/>
    <n v="4"/>
    <s v="PENDIENTE APROBACION  ENVIO TMS"/>
    <s v="000000001209658790"/>
    <x v="2"/>
    <x v="0"/>
    <s v="APROBAR"/>
    <n v="1"/>
    <e v="#N/A"/>
  </r>
  <r>
    <n v="1209658782"/>
    <s v="80"/>
    <x v="62"/>
    <d v="2026-10-12T10:15:12"/>
    <s v=""/>
    <s v="CAJA"/>
    <n v="8"/>
    <s v="PENDIENTE APROBACION  ENVIO TMS"/>
    <s v="000000001209658782"/>
    <x v="2"/>
    <x v="0"/>
    <s v="APROBAR"/>
    <n v="1"/>
    <e v="#N/A"/>
  </r>
  <r>
    <n v="8209658788"/>
    <s v="80"/>
    <x v="62"/>
    <d v="2026-10-12T10:15:13"/>
    <s v=""/>
    <s v="UNIDAD"/>
    <n v="1"/>
    <s v="PENDIENTE APROBACION  ENVIO TMS"/>
    <s v="000000008209658788"/>
    <x v="1"/>
    <x v="0"/>
    <s v="APROBAR"/>
    <n v="1"/>
    <e v="#N/A"/>
  </r>
  <r>
    <n v="8209658670"/>
    <s v="75"/>
    <x v="58"/>
    <d v="2026-10-12T10:15:13"/>
    <s v=""/>
    <s v="UNIDAD"/>
    <n v="2"/>
    <s v="PENDIENTE APROBACION  ENVIO TMS"/>
    <s v="000000008209658670"/>
    <x v="1"/>
    <x v="1"/>
    <s v="APROBAR"/>
    <n v="1"/>
    <e v="#N/A"/>
  </r>
  <r>
    <n v="1209658672"/>
    <s v="75"/>
    <x v="58"/>
    <d v="2026-10-12T10:15:15"/>
    <s v=""/>
    <s v="CAJA"/>
    <n v="5"/>
    <s v="PENDIENTE APROBACION  ENVIO TMS"/>
    <s v="000000001209658672"/>
    <x v="2"/>
    <x v="1"/>
    <s v="APROBAR"/>
    <n v="1"/>
    <e v="#N/A"/>
  </r>
  <r>
    <n v="8209658634"/>
    <s v="74"/>
    <x v="61"/>
    <d v="2026-10-12T10:15:16"/>
    <s v=""/>
    <s v="UNIDAD"/>
    <n v="9"/>
    <s v="PENDIENTE APROBACION  ENVIO TMS"/>
    <s v="000000008209658634"/>
    <x v="1"/>
    <x v="0"/>
    <s v="APROBAR"/>
    <n v="1"/>
    <e v="#N/A"/>
  </r>
  <r>
    <n v="1209658674"/>
    <s v="75"/>
    <x v="58"/>
    <d v="2026-10-12T10:15:17"/>
    <s v=""/>
    <s v="CAJA"/>
    <n v="12"/>
    <s v="PENDIENTE APROBACION  ENVIO TMS"/>
    <s v="000000001209658674"/>
    <x v="2"/>
    <x v="1"/>
    <s v="APROBAR"/>
    <n v="1"/>
    <e v="#N/A"/>
  </r>
  <r>
    <n v="8209658635"/>
    <s v="74"/>
    <x v="61"/>
    <d v="2026-10-12T10:15:18"/>
    <s v=""/>
    <s v="UNIDAD"/>
    <n v="3"/>
    <s v="PENDIENTE APROBACION  ENVIO TMS"/>
    <s v="000000008209658635"/>
    <x v="1"/>
    <x v="0"/>
    <s v="APROBAR"/>
    <n v="1"/>
    <e v="#N/A"/>
  </r>
  <r>
    <n v="8209658637"/>
    <s v="74"/>
    <x v="61"/>
    <d v="2026-10-12T10:15:20"/>
    <s v=""/>
    <s v="UNIDAD"/>
    <n v="1"/>
    <s v="PENDIENTE APROBACION  ENVIO TMS"/>
    <s v="000000008209658637"/>
    <x v="1"/>
    <x v="0"/>
    <s v="APROBAR"/>
    <n v="1"/>
    <e v="#N/A"/>
  </r>
  <r>
    <n v="8209658774"/>
    <s v="80"/>
    <x v="62"/>
    <d v="2026-10-12T10:15:21"/>
    <s v=""/>
    <s v="UNIDAD"/>
    <n v="1"/>
    <s v="PENDIENTE APROBACION  ENVIO TMS"/>
    <s v="000000008209658774"/>
    <x v="1"/>
    <x v="0"/>
    <s v="APROBAR"/>
    <n v="1"/>
    <e v="#N/A"/>
  </r>
  <r>
    <n v="8209658776"/>
    <s v="80"/>
    <x v="62"/>
    <d v="2026-10-12T10:15:22"/>
    <s v=""/>
    <s v="UNIDAD"/>
    <n v="8"/>
    <s v="PENDIENTE APROBACION  ENVIO TMS"/>
    <s v="000000008209658776"/>
    <x v="1"/>
    <x v="0"/>
    <s v="APROBAR"/>
    <n v="1"/>
    <e v="#N/A"/>
  </r>
  <r>
    <n v="1209658781"/>
    <s v="80"/>
    <x v="62"/>
    <d v="2026-10-12T10:15:24"/>
    <s v=""/>
    <s v="CAJA"/>
    <n v="11"/>
    <s v="PENDIENTE APROBACION  ENVIO TMS"/>
    <s v="000000001209658781"/>
    <x v="2"/>
    <x v="0"/>
    <s v="APROBAR"/>
    <n v="1"/>
    <e v="#N/A"/>
  </r>
  <r>
    <n v="1209658783"/>
    <s v="80"/>
    <x v="62"/>
    <d v="2026-10-12T10:15:24"/>
    <s v=""/>
    <s v="PACK"/>
    <n v="23"/>
    <s v="PENDIENTE APROBACION  ENVIO TMS"/>
    <s v="000000001209658783"/>
    <x v="2"/>
    <x v="0"/>
    <s v="APROBAR"/>
    <n v="1"/>
    <e v="#N/A"/>
  </r>
  <r>
    <n v="1209658785"/>
    <s v="80"/>
    <x v="62"/>
    <d v="2026-10-12T10:15:26"/>
    <s v=""/>
    <s v="CAJA"/>
    <n v="23"/>
    <s v="PENDIENTE APROBACION  ENVIO TMS"/>
    <s v="000000001209658785"/>
    <x v="2"/>
    <x v="0"/>
    <s v="APROBAR"/>
    <n v="1"/>
    <e v="#N/A"/>
  </r>
  <r>
    <n v="1209658748"/>
    <s v="77"/>
    <x v="60"/>
    <d v="2026-10-12T10:15:27"/>
    <s v=""/>
    <s v="PACK"/>
    <n v="27"/>
    <s v="PENDIENTE APROBACION  ENVIO TMS"/>
    <s v="000000001209658748"/>
    <x v="2"/>
    <x v="0"/>
    <s v="APROBAR"/>
    <n v="1"/>
    <e v="#N/A"/>
  </r>
  <r>
    <n v="1209658789"/>
    <s v="80"/>
    <x v="62"/>
    <d v="2026-10-12T10:15:28"/>
    <s v=""/>
    <s v="PACK"/>
    <n v="1"/>
    <s v="PENDIENTE APROBACION  ENVIO TMS"/>
    <s v="000000001209658789"/>
    <x v="2"/>
    <x v="0"/>
    <s v="APROBAR"/>
    <n v="1"/>
    <e v="#N/A"/>
  </r>
  <r>
    <n v="8209658777"/>
    <s v="80"/>
    <x v="62"/>
    <d v="2026-10-12T10:15:29"/>
    <s v=""/>
    <s v="UNIDAD"/>
    <n v="3"/>
    <s v="PENDIENTE APROBACION  ENVIO TMS"/>
    <s v="000000008209658777"/>
    <x v="1"/>
    <x v="0"/>
    <s v="APROBAR"/>
    <n v="1"/>
    <e v="#N/A"/>
  </r>
  <r>
    <n v="1209658649"/>
    <s v="74"/>
    <x v="61"/>
    <d v="2026-10-12T10:15:30"/>
    <s v=""/>
    <s v="CAJA"/>
    <n v="43"/>
    <s v="PENDIENTE APROBACION  ENVIO TMS"/>
    <s v="000000001209658649"/>
    <x v="2"/>
    <x v="0"/>
    <s v="APROBAR"/>
    <n v="1"/>
    <e v="#N/A"/>
  </r>
  <r>
    <n v="1209658651"/>
    <s v="74"/>
    <x v="61"/>
    <d v="2026-10-12T10:15:32"/>
    <s v=""/>
    <s v="CAJA"/>
    <n v="55"/>
    <s v="PENDIENTE APROBACION  ENVIO TMS"/>
    <s v="000000001209658651"/>
    <x v="2"/>
    <x v="0"/>
    <s v="APROBAR"/>
    <n v="1"/>
    <e v="#N/A"/>
  </r>
  <r>
    <n v="1209658760"/>
    <s v="77"/>
    <x v="60"/>
    <d v="2026-10-12T10:15:33"/>
    <s v=""/>
    <s v="PACK"/>
    <n v="7"/>
    <s v="PENDIENTE APROBACION  ENVIO TMS"/>
    <s v="000000001209658760"/>
    <x v="2"/>
    <x v="0"/>
    <s v="APROBAR"/>
    <n v="1"/>
    <e v="#N/A"/>
  </r>
  <r>
    <n v="1209658882"/>
    <s v="83"/>
    <x v="63"/>
    <d v="2026-10-12T10:18:51"/>
    <s v=""/>
    <s v="CAJA"/>
    <n v="2"/>
    <s v="PENDIENTE APROBACION  ENVIO TMS"/>
    <s v="000000001209658882"/>
    <x v="2"/>
    <x v="2"/>
    <s v="APROBAR"/>
    <n v="1"/>
    <e v="#N/A"/>
  </r>
  <r>
    <n v="1209658899"/>
    <s v="84"/>
    <x v="64"/>
    <d v="2026-10-12T10:18:52"/>
    <s v=""/>
    <s v="CAJA"/>
    <n v="7"/>
    <s v="PENDIENTE APROBACION  ENVIO TMS"/>
    <s v="000000001209658899"/>
    <x v="2"/>
    <x v="0"/>
    <s v="APROBAR"/>
    <n v="1"/>
    <e v="#N/A"/>
  </r>
  <r>
    <n v="8209658958"/>
    <s v="86"/>
    <x v="65"/>
    <d v="2026-10-12T10:18:54"/>
    <s v=""/>
    <s v="UNIDAD"/>
    <n v="50"/>
    <s v="PENDIENTE APROBACION  ENVIO TMS"/>
    <s v="000000008209658958"/>
    <x v="1"/>
    <x v="2"/>
    <s v="APROBAR"/>
    <n v="1"/>
    <e v="#N/A"/>
  </r>
  <r>
    <n v="1209658963"/>
    <s v="86"/>
    <x v="65"/>
    <d v="2026-10-12T10:18:55"/>
    <s v=""/>
    <s v="CAJA"/>
    <n v="23"/>
    <s v="PENDIENTE APROBACION  ENVIO TMS"/>
    <s v="000000001209658963"/>
    <x v="2"/>
    <x v="2"/>
    <s v="APROBAR"/>
    <n v="1"/>
    <e v="#N/A"/>
  </r>
  <r>
    <n v="1209658836"/>
    <s v="82"/>
    <x v="66"/>
    <d v="2026-10-12T10:18:57"/>
    <s v=""/>
    <s v="PACK"/>
    <n v="17"/>
    <s v="PENDIENTE APROBACION  ENVIO TMS"/>
    <s v="000000001209658836"/>
    <x v="2"/>
    <x v="0"/>
    <s v="APROBAR"/>
    <n v="1"/>
    <e v="#N/A"/>
  </r>
  <r>
    <n v="8209658829"/>
    <s v="82"/>
    <x v="66"/>
    <d v="2026-10-12T10:18:57"/>
    <s v=""/>
    <s v="UNIDAD"/>
    <n v="3"/>
    <s v="PENDIENTE APROBACION  ENVIO TMS"/>
    <s v="000000008209658829"/>
    <x v="1"/>
    <x v="0"/>
    <s v="APROBAR"/>
    <n v="1"/>
    <e v="#N/A"/>
  </r>
  <r>
    <n v="8209658864"/>
    <s v="83"/>
    <x v="63"/>
    <d v="2026-10-12T10:18:58"/>
    <s v=""/>
    <s v="UNIDAD"/>
    <n v="1"/>
    <s v="PENDIENTE APROBACION  ENVIO TMS"/>
    <s v="000000008209658864"/>
    <x v="1"/>
    <x v="2"/>
    <s v="APROBAR"/>
    <n v="1"/>
    <e v="#N/A"/>
  </r>
  <r>
    <n v="8209658955"/>
    <s v="86"/>
    <x v="65"/>
    <d v="2026-10-12T10:19:00"/>
    <s v=""/>
    <s v="UNIDAD"/>
    <n v="2"/>
    <s v="PENDIENTE APROBACION  ENVIO TMS"/>
    <s v="000000008209658955"/>
    <x v="1"/>
    <x v="2"/>
    <s v="APROBAR"/>
    <n v="1"/>
    <e v="#N/A"/>
  </r>
  <r>
    <n v="8209658903"/>
    <s v="84"/>
    <x v="64"/>
    <d v="2026-10-12T10:19:01"/>
    <s v=""/>
    <s v="UNIDAD"/>
    <n v="1"/>
    <s v="PENDIENTE APROBACION  ENVIO TMS"/>
    <s v="000000008209658903"/>
    <x v="1"/>
    <x v="0"/>
    <s v="APROBAR"/>
    <n v="1"/>
    <e v="#N/A"/>
  </r>
  <r>
    <n v="1209658810"/>
    <s v="81"/>
    <x v="67"/>
    <d v="2026-10-12T10:19:02"/>
    <s v=""/>
    <s v="CAJA"/>
    <n v="32"/>
    <s v="PENDIENTE APROBACION  ENVIO TMS"/>
    <s v="000000001209658810"/>
    <x v="2"/>
    <x v="3"/>
    <s v="APROBAR"/>
    <n v="1"/>
    <e v="#N/A"/>
  </r>
  <r>
    <n v="8209658827"/>
    <s v="82"/>
    <x v="66"/>
    <d v="2026-10-12T10:19:03"/>
    <s v=""/>
    <s v="UNIDAD"/>
    <n v="12"/>
    <s v="PENDIENTE APROBACION  ENVIO TMS"/>
    <s v="000000008209658827"/>
    <x v="1"/>
    <x v="0"/>
    <s v="APROBAR"/>
    <n v="1"/>
    <e v="#N/A"/>
  </r>
  <r>
    <n v="1209658833"/>
    <s v="82"/>
    <x v="66"/>
    <d v="2026-10-12T10:19:05"/>
    <s v=""/>
    <s v="CAJA"/>
    <n v="12"/>
    <s v="PENDIENTE APROBACION  ENVIO TMS"/>
    <s v="000000001209658833"/>
    <x v="2"/>
    <x v="0"/>
    <s v="APROBAR"/>
    <n v="1"/>
    <e v="#N/A"/>
  </r>
  <r>
    <n v="1209658912"/>
    <s v="84"/>
    <x v="64"/>
    <d v="2026-10-12T10:19:06"/>
    <s v=""/>
    <s v="PACK"/>
    <n v="38"/>
    <s v="PENDIENTE APROBACION  ENVIO TMS"/>
    <s v="000000001209658912"/>
    <x v="2"/>
    <x v="0"/>
    <s v="APROBAR"/>
    <n v="1"/>
    <e v="#N/A"/>
  </r>
  <r>
    <n v="8209658891"/>
    <s v="84"/>
    <x v="64"/>
    <d v="2026-10-12T10:19:07"/>
    <s v=""/>
    <s v="UNIDAD"/>
    <n v="1"/>
    <s v="PENDIENTE APROBACION  ENVIO TMS"/>
    <s v="000000008209658891"/>
    <x v="1"/>
    <x v="0"/>
    <s v="APROBAR"/>
    <n v="1"/>
    <e v="#N/A"/>
  </r>
  <r>
    <n v="8209658877"/>
    <s v="83"/>
    <x v="63"/>
    <d v="2026-10-12T10:19:09"/>
    <s v=""/>
    <s v="UNIDAD"/>
    <n v="2"/>
    <s v="PENDIENTE APROBACION  ENVIO TMS"/>
    <s v="000000008209658877"/>
    <x v="1"/>
    <x v="2"/>
    <s v="APROBAR"/>
    <n v="1"/>
    <e v="#N/A"/>
  </r>
  <r>
    <n v="1209658838"/>
    <s v="82"/>
    <x v="66"/>
    <d v="2026-10-12T10:19:10"/>
    <s v=""/>
    <s v="CAJA"/>
    <n v="18"/>
    <s v="PENDIENTE APROBACION  ENVIO TMS"/>
    <s v="000000001209658838"/>
    <x v="2"/>
    <x v="0"/>
    <s v="APROBAR"/>
    <n v="1"/>
    <e v="#N/A"/>
  </r>
  <r>
    <n v="8209658817"/>
    <s v="81"/>
    <x v="67"/>
    <d v="2026-10-12T10:19:11"/>
    <s v=""/>
    <s v="UNIDAD"/>
    <n v="6"/>
    <s v="PENDIENTE APROBACION  ENVIO TMS"/>
    <s v="000000008209658817"/>
    <x v="1"/>
    <x v="3"/>
    <s v="APROBAR"/>
    <n v="1"/>
    <e v="#N/A"/>
  </r>
  <r>
    <n v="8209658956"/>
    <s v="86"/>
    <x v="65"/>
    <d v="2026-10-12T10:19:12"/>
    <s v=""/>
    <s v="UNIDAD"/>
    <n v="15"/>
    <s v="PENDIENTE APROBACION  ENVIO TMS"/>
    <s v="000000008209658956"/>
    <x v="1"/>
    <x v="2"/>
    <s v="APROBAR"/>
    <n v="1"/>
    <e v="#N/A"/>
  </r>
  <r>
    <n v="1209658804"/>
    <s v="81"/>
    <x v="67"/>
    <d v="2026-10-12T10:19:13"/>
    <s v=""/>
    <s v="CAJA"/>
    <n v="7"/>
    <s v="PENDIENTE APROBACION  ENVIO TMS"/>
    <s v="000000001209658804"/>
    <x v="2"/>
    <x v="3"/>
    <s v="APROBAR"/>
    <n v="1"/>
    <e v="#N/A"/>
  </r>
  <r>
    <n v="1209658935"/>
    <s v="85"/>
    <x v="68"/>
    <d v="2026-10-12T10:19:15"/>
    <s v=""/>
    <s v="PACK"/>
    <n v="21"/>
    <s v="PENDIENTE APROBACION  ENVIO TMS"/>
    <s v="000000001209658935"/>
    <x v="2"/>
    <x v="2"/>
    <s v="APROBAR"/>
    <n v="1"/>
    <e v="#N/A"/>
  </r>
  <r>
    <n v="1209658960"/>
    <s v="86"/>
    <x v="65"/>
    <d v="2026-10-12T10:19:16"/>
    <s v=""/>
    <s v="PACK"/>
    <n v="2"/>
    <s v="PENDIENTE APROBACION  ENVIO TMS"/>
    <s v="000000001209658960"/>
    <x v="2"/>
    <x v="2"/>
    <s v="APROBAR"/>
    <n v="1"/>
    <e v="#N/A"/>
  </r>
  <r>
    <n v="1209658809"/>
    <s v="81"/>
    <x v="67"/>
    <d v="2026-10-12T10:19:16"/>
    <s v=""/>
    <s v="PACK"/>
    <n v="22"/>
    <s v="PENDIENTE APROBACION  ENVIO TMS"/>
    <s v="000000001209658809"/>
    <x v="2"/>
    <x v="3"/>
    <s v="APROBAR"/>
    <n v="1"/>
    <e v="#N/A"/>
  </r>
  <r>
    <n v="1209658849"/>
    <s v="82"/>
    <x v="66"/>
    <d v="2026-10-12T10:19:18"/>
    <s v=""/>
    <s v="CAJA"/>
    <n v="132"/>
    <s v="PENDIENTE APROBACION  ENVIO TMS"/>
    <s v="000000001209658849"/>
    <x v="2"/>
    <x v="0"/>
    <s v="APROBAR"/>
    <n v="1"/>
    <e v="#N/A"/>
  </r>
  <r>
    <n v="1209658832"/>
    <s v="82"/>
    <x v="66"/>
    <d v="2026-10-12T10:19:19"/>
    <s v=""/>
    <s v="CAJA"/>
    <n v="5"/>
    <s v="PENDIENTE APROBACION  ENVIO TMS"/>
    <s v="000000001209658832"/>
    <x v="2"/>
    <x v="0"/>
    <s v="APROBAR"/>
    <n v="1"/>
    <e v="#N/A"/>
  </r>
  <r>
    <n v="1209658813"/>
    <s v="81"/>
    <x v="67"/>
    <d v="2026-10-12T10:19:20"/>
    <s v=""/>
    <s v="CAJA"/>
    <n v="2"/>
    <s v="PENDIENTE APROBACION  ENVIO TMS"/>
    <s v="000000001209658813"/>
    <x v="2"/>
    <x v="3"/>
    <s v="APROBAR"/>
    <n v="1"/>
    <e v="#N/A"/>
  </r>
  <r>
    <n v="8209658876"/>
    <s v="83"/>
    <x v="63"/>
    <d v="2026-10-12T10:19:21"/>
    <s v=""/>
    <s v="UNIDAD"/>
    <n v="1"/>
    <s v="PENDIENTE APROBACION  ENVIO TMS"/>
    <s v="000000008209658876"/>
    <x v="1"/>
    <x v="2"/>
    <s v="APROBAR"/>
    <n v="1"/>
    <e v="#N/A"/>
  </r>
  <r>
    <n v="1209658869"/>
    <s v="83"/>
    <x v="63"/>
    <d v="2026-10-12T10:19:22"/>
    <s v=""/>
    <s v="PACK"/>
    <n v="14"/>
    <s v="PENDIENTE APROBACION  ENVIO TMS"/>
    <s v="000000001209658869"/>
    <x v="2"/>
    <x v="2"/>
    <s v="APROBAR"/>
    <n v="1"/>
    <e v="#N/A"/>
  </r>
  <r>
    <n v="1209658923"/>
    <s v="85"/>
    <x v="68"/>
    <d v="2026-10-12T10:19:24"/>
    <s v=""/>
    <s v="CAJA"/>
    <n v="1"/>
    <s v="PENDIENTE APROBACION  ENVIO TMS"/>
    <s v="000000001209658923"/>
    <x v="2"/>
    <x v="2"/>
    <s v="APROBAR"/>
    <n v="1"/>
    <e v="#N/A"/>
  </r>
  <r>
    <n v="1209658880"/>
    <s v="83"/>
    <x v="63"/>
    <d v="2026-10-12T10:19:24"/>
    <s v=""/>
    <s v="CAJA"/>
    <n v="25"/>
    <s v="PENDIENTE APROBACION  ENVIO TMS"/>
    <s v="000000001209658880"/>
    <x v="2"/>
    <x v="2"/>
    <s v="APROBAR"/>
    <n v="1"/>
    <e v="#N/A"/>
  </r>
  <r>
    <n v="1209658967"/>
    <s v="86"/>
    <x v="65"/>
    <d v="2026-10-12T10:19:25"/>
    <s v=""/>
    <s v="CAJA"/>
    <n v="60"/>
    <s v="PENDIENTE APROBACION  ENVIO TMS"/>
    <s v="000000001209658967"/>
    <x v="2"/>
    <x v="2"/>
    <s v="APROBAR"/>
    <n v="1"/>
    <e v="#N/A"/>
  </r>
  <r>
    <n v="8209658802"/>
    <s v="81"/>
    <x v="67"/>
    <d v="2026-10-12T10:19:27"/>
    <s v=""/>
    <s v="UNIDAD"/>
    <n v="2"/>
    <s v="PENDIENTE APROBACION  ENVIO TMS"/>
    <s v="000000008209658802"/>
    <x v="1"/>
    <x v="3"/>
    <s v="APROBAR"/>
    <n v="1"/>
    <e v="#N/A"/>
  </r>
  <r>
    <n v="1209658872"/>
    <s v="83"/>
    <x v="63"/>
    <d v="2026-10-12T10:19:28"/>
    <s v=""/>
    <s v="CAJA"/>
    <n v="30"/>
    <s v="PENDIENTE APROBACION  ENVIO TMS"/>
    <s v="000000001209658872"/>
    <x v="2"/>
    <x v="2"/>
    <s v="APROBAR"/>
    <n v="1"/>
    <e v="#N/A"/>
  </r>
  <r>
    <n v="1209658909"/>
    <s v="84"/>
    <x v="64"/>
    <d v="2026-10-12T10:19:30"/>
    <s v=""/>
    <s v="CAJA"/>
    <n v="27"/>
    <s v="PENDIENTE APROBACION  ENVIO TMS"/>
    <s v="000000001209658909"/>
    <x v="2"/>
    <x v="0"/>
    <s v="APROBAR"/>
    <n v="1"/>
    <e v="#N/A"/>
  </r>
  <r>
    <n v="8209658902"/>
    <s v="84"/>
    <x v="64"/>
    <d v="2026-10-12T10:19:30"/>
    <s v=""/>
    <s v="UNIDAD"/>
    <n v="1"/>
    <s v="PENDIENTE APROBACION  ENVIO TMS"/>
    <s v="000000008209658902"/>
    <x v="1"/>
    <x v="0"/>
    <s v="APROBAR"/>
    <n v="1"/>
    <e v="#N/A"/>
  </r>
  <r>
    <n v="1209658962"/>
    <s v="86"/>
    <x v="65"/>
    <d v="2026-10-12T10:19:32"/>
    <s v=""/>
    <s v="PACK"/>
    <n v="12"/>
    <s v="PENDIENTE APROBACION  ENVIO TMS"/>
    <s v="000000001209658962"/>
    <x v="2"/>
    <x v="2"/>
    <s v="APROBAR"/>
    <n v="1"/>
    <e v="#N/A"/>
  </r>
  <r>
    <n v="8209658828"/>
    <s v="82"/>
    <x v="66"/>
    <d v="2026-10-12T10:19:33"/>
    <s v=""/>
    <s v="UNIDAD"/>
    <n v="3"/>
    <s v="PENDIENTE APROBACION  ENVIO TMS"/>
    <s v="000000008209658828"/>
    <x v="1"/>
    <x v="0"/>
    <s v="APROBAR"/>
    <n v="1"/>
    <e v="#N/A"/>
  </r>
  <r>
    <n v="8209658830"/>
    <s v="82"/>
    <x v="66"/>
    <d v="2026-10-12T10:19:34"/>
    <s v=""/>
    <s v="UNIDAD"/>
    <n v="2"/>
    <s v="PENDIENTE APROBACION  ENVIO TMS"/>
    <s v="000000008209658830"/>
    <x v="1"/>
    <x v="0"/>
    <s v="APROBAR"/>
    <n v="1"/>
    <e v="#N/A"/>
  </r>
  <r>
    <n v="1209658834"/>
    <s v="82"/>
    <x v="66"/>
    <d v="2026-10-12T10:19:35"/>
    <s v=""/>
    <s v="CAJA"/>
    <n v="8"/>
    <s v="PENDIENTE APROBACION  ENVIO TMS"/>
    <s v="000000001209658834"/>
    <x v="2"/>
    <x v="0"/>
    <s v="APROBAR"/>
    <n v="1"/>
    <e v="#N/A"/>
  </r>
  <r>
    <n v="1209658868"/>
    <s v="83"/>
    <x v="63"/>
    <d v="2026-10-12T10:19:37"/>
    <s v=""/>
    <s v="PACK"/>
    <n v="1"/>
    <s v="PENDIENTE APROBACION  ENVIO TMS"/>
    <s v="000000001209658868"/>
    <x v="2"/>
    <x v="2"/>
    <s v="APROBAR"/>
    <n v="1"/>
    <e v="#N/A"/>
  </r>
  <r>
    <n v="1209658893"/>
    <s v="84"/>
    <x v="64"/>
    <d v="2026-10-12T10:19:37"/>
    <s v=""/>
    <s v="PACK"/>
    <n v="4"/>
    <s v="PENDIENTE APROBACION  ENVIO TMS"/>
    <s v="000000001209658893"/>
    <x v="2"/>
    <x v="0"/>
    <s v="APROBAR"/>
    <n v="1"/>
    <e v="#N/A"/>
  </r>
  <r>
    <n v="8209658921"/>
    <s v="85"/>
    <x v="68"/>
    <d v="2026-10-12T10:19:38"/>
    <s v=""/>
    <s v="UNIDAD"/>
    <n v="1"/>
    <s v="PENDIENTE APROBACION  ENVIO TMS"/>
    <s v="000000008209658921"/>
    <x v="1"/>
    <x v="2"/>
    <s v="APROBAR"/>
    <n v="1"/>
    <e v="#N/A"/>
  </r>
  <r>
    <n v="1209658924"/>
    <s v="85"/>
    <x v="68"/>
    <d v="2026-10-12T10:19:40"/>
    <s v=""/>
    <s v="PACK"/>
    <n v="2"/>
    <s v="PENDIENTE APROBACION  ENVIO TMS"/>
    <s v="000000001209658924"/>
    <x v="2"/>
    <x v="2"/>
    <s v="APROBAR"/>
    <n v="1"/>
    <e v="#N/A"/>
  </r>
  <r>
    <n v="1209658926"/>
    <s v="85"/>
    <x v="68"/>
    <d v="2026-10-12T10:19:41"/>
    <s v=""/>
    <s v="CAJA"/>
    <n v="3"/>
    <s v="PENDIENTE APROBACION  ENVIO TMS"/>
    <s v="000000001209658926"/>
    <x v="2"/>
    <x v="2"/>
    <s v="APROBAR"/>
    <n v="1"/>
    <e v="#N/A"/>
  </r>
  <r>
    <n v="8209658801"/>
    <s v="81"/>
    <x v="67"/>
    <d v="2026-10-12T10:19:43"/>
    <s v=""/>
    <s v="UNIDAD"/>
    <n v="3"/>
    <s v="PENDIENTE APROBACION  ENVIO TMS"/>
    <s v="000000008209658801"/>
    <x v="1"/>
    <x v="3"/>
    <s v="APROBAR"/>
    <n v="1"/>
    <e v="#N/A"/>
  </r>
  <r>
    <n v="8209658803"/>
    <s v="81"/>
    <x v="67"/>
    <d v="2026-10-12T10:19:43"/>
    <s v=""/>
    <s v="UNIDAD"/>
    <n v="2"/>
    <s v="PENDIENTE APROBACION  ENVIO TMS"/>
    <s v="000000008209658803"/>
    <x v="1"/>
    <x v="3"/>
    <s v="APROBAR"/>
    <n v="1"/>
    <e v="#N/A"/>
  </r>
  <r>
    <n v="1209658805"/>
    <s v="81"/>
    <x v="67"/>
    <d v="2026-10-12T10:19:44"/>
    <s v=""/>
    <s v="PACK"/>
    <n v="10"/>
    <s v="PENDIENTE APROBACION  ENVIO TMS"/>
    <s v="000000001209658805"/>
    <x v="2"/>
    <x v="3"/>
    <s v="APROBAR"/>
    <n v="1"/>
    <e v="#N/A"/>
  </r>
  <r>
    <n v="1209658930"/>
    <s v="85"/>
    <x v="68"/>
    <d v="2026-10-12T10:19:46"/>
    <s v=""/>
    <s v="CAJA"/>
    <n v="16"/>
    <s v="PENDIENTE APROBACION  ENVIO TMS"/>
    <s v="000000001209658930"/>
    <x v="2"/>
    <x v="2"/>
    <s v="APROBAR"/>
    <n v="1"/>
    <e v="#N/A"/>
  </r>
  <r>
    <n v="1209658806"/>
    <s v="81"/>
    <x v="67"/>
    <d v="2026-10-12T10:19:47"/>
    <s v=""/>
    <s v="CAJA"/>
    <n v="11"/>
    <s v="PENDIENTE APROBACION  ENVIO TMS"/>
    <s v="000000001209658806"/>
    <x v="2"/>
    <x v="3"/>
    <s v="APROBAR"/>
    <n v="1"/>
    <e v="#N/A"/>
  </r>
  <r>
    <n v="1209658961"/>
    <s v="86"/>
    <x v="65"/>
    <d v="2026-10-12T10:19:48"/>
    <s v=""/>
    <s v="CAJA"/>
    <n v="9"/>
    <s v="PENDIENTE APROBACION  ENVIO TMS"/>
    <s v="000000001209658961"/>
    <x v="2"/>
    <x v="2"/>
    <s v="APROBAR"/>
    <n v="1"/>
    <e v="#N/A"/>
  </r>
  <r>
    <n v="1209658831"/>
    <s v="82"/>
    <x v="66"/>
    <d v="2026-10-12T10:19:49"/>
    <s v=""/>
    <s v="CAJA"/>
    <n v="2"/>
    <s v="PENDIENTE APROBACION  ENVIO TMS"/>
    <s v="000000001209658831"/>
    <x v="2"/>
    <x v="0"/>
    <s v="APROBAR"/>
    <n v="1"/>
    <e v="#N/A"/>
  </r>
  <r>
    <n v="1209658875"/>
    <s v="83"/>
    <x v="63"/>
    <d v="2026-10-12T10:19:50"/>
    <s v=""/>
    <s v="PACK"/>
    <n v="43"/>
    <s v="PENDIENTE APROBACION  ENVIO TMS"/>
    <s v="000000001209658875"/>
    <x v="2"/>
    <x v="2"/>
    <s v="APROBAR"/>
    <n v="1"/>
    <e v="#N/A"/>
  </r>
  <r>
    <n v="8209658865"/>
    <s v="83"/>
    <x v="63"/>
    <d v="2026-10-12T10:19:52"/>
    <s v=""/>
    <s v="UNIDAD"/>
    <n v="9"/>
    <s v="PENDIENTE APROBACION  ENVIO TMS"/>
    <s v="000000008209658865"/>
    <x v="1"/>
    <x v="2"/>
    <s v="APROBAR"/>
    <n v="1"/>
    <e v="#N/A"/>
  </r>
  <r>
    <n v="8209658867"/>
    <s v="83"/>
    <x v="63"/>
    <d v="2026-10-12T10:19:53"/>
    <s v=""/>
    <s v="UNIDAD"/>
    <n v="11"/>
    <s v="PENDIENTE APROBACION  ENVIO TMS"/>
    <s v="000000008209658867"/>
    <x v="1"/>
    <x v="2"/>
    <s v="APROBAR"/>
    <n v="1"/>
    <e v="#N/A"/>
  </r>
  <r>
    <n v="1209658896"/>
    <s v="84"/>
    <x v="64"/>
    <d v="2026-10-12T10:19:54"/>
    <s v=""/>
    <s v="CAJA"/>
    <n v="9"/>
    <s v="PENDIENTE APROBACION  ENVIO TMS"/>
    <s v="000000001209658896"/>
    <x v="2"/>
    <x v="0"/>
    <s v="APROBAR"/>
    <n v="1"/>
    <e v="#N/A"/>
  </r>
  <r>
    <n v="8209658922"/>
    <s v="85"/>
    <x v="68"/>
    <d v="2026-10-12T10:19:55"/>
    <s v=""/>
    <s v="UNIDAD"/>
    <n v="2"/>
    <s v="PENDIENTE APROBACION  ENVIO TMS"/>
    <s v="000000008209658922"/>
    <x v="1"/>
    <x v="2"/>
    <s v="APROBAR"/>
    <n v="1"/>
    <e v="#N/A"/>
  </r>
  <r>
    <n v="1209658881"/>
    <s v="83"/>
    <x v="63"/>
    <d v="2026-10-12T10:19:56"/>
    <s v=""/>
    <s v="PACK"/>
    <n v="34"/>
    <s v="PENDIENTE APROBACION  ENVIO TMS"/>
    <s v="000000001209658881"/>
    <x v="2"/>
    <x v="2"/>
    <s v="APROBAR"/>
    <n v="1"/>
    <e v="#N/A"/>
  </r>
  <r>
    <n v="1209658898"/>
    <s v="84"/>
    <x v="64"/>
    <d v="2026-10-12T10:19:58"/>
    <s v=""/>
    <s v="CAJA"/>
    <n v="10"/>
    <s v="PENDIENTE APROBACION  ENVIO TMS"/>
    <s v="000000001209658898"/>
    <x v="2"/>
    <x v="0"/>
    <s v="APROBAR"/>
    <n v="1"/>
    <e v="#N/A"/>
  </r>
  <r>
    <n v="1209658929"/>
    <s v="85"/>
    <x v="68"/>
    <d v="2026-10-12T10:19:59"/>
    <s v=""/>
    <s v="CAJA"/>
    <n v="8"/>
    <s v="PENDIENTE APROBACION  ENVIO TMS"/>
    <s v="000000001209658929"/>
    <x v="2"/>
    <x v="2"/>
    <s v="APROBAR"/>
    <n v="1"/>
    <e v="#N/A"/>
  </r>
  <r>
    <n v="1209658901"/>
    <s v="84"/>
    <x v="64"/>
    <d v="2026-10-12T10:20:00"/>
    <s v=""/>
    <s v="PACK"/>
    <n v="18"/>
    <s v="PENDIENTE APROBACION  ENVIO TMS"/>
    <s v="000000001209658901"/>
    <x v="2"/>
    <x v="0"/>
    <s v="APROBAR"/>
    <n v="1"/>
    <e v="#N/A"/>
  </r>
  <r>
    <n v="1209658807"/>
    <s v="81"/>
    <x v="67"/>
    <d v="2026-10-12T10:20:02"/>
    <s v=""/>
    <s v="CAJA"/>
    <n v="14"/>
    <s v="PENDIENTE APROBACION  ENVIO TMS"/>
    <s v="000000001209658807"/>
    <x v="2"/>
    <x v="3"/>
    <s v="APROBAR"/>
    <n v="1"/>
    <e v="#N/A"/>
  </r>
  <r>
    <n v="1209658904"/>
    <s v="84"/>
    <x v="64"/>
    <d v="2026-10-12T10:20:02"/>
    <s v=""/>
    <s v="CAJA"/>
    <n v="3"/>
    <s v="PENDIENTE APROBACION  ENVIO TMS"/>
    <s v="000000001209658904"/>
    <x v="2"/>
    <x v="0"/>
    <s v="APROBAR"/>
    <n v="1"/>
    <e v="#N/A"/>
  </r>
  <r>
    <n v="1209658808"/>
    <s v="81"/>
    <x v="67"/>
    <d v="2026-10-12T10:20:04"/>
    <s v=""/>
    <s v="CAJA"/>
    <n v="15"/>
    <s v="PENDIENTE APROBACION  ENVIO TMS"/>
    <s v="000000001209658808"/>
    <x v="2"/>
    <x v="3"/>
    <s v="APROBAR"/>
    <n v="1"/>
    <e v="#N/A"/>
  </r>
  <r>
    <n v="8209658892"/>
    <s v="84"/>
    <x v="64"/>
    <d v="2026-10-12T10:20:05"/>
    <s v=""/>
    <s v="UNIDAD"/>
    <n v="3"/>
    <s v="PENDIENTE APROBACION  ENVIO TMS"/>
    <s v="000000008209658892"/>
    <x v="1"/>
    <x v="0"/>
    <s v="APROBAR"/>
    <n v="1"/>
    <e v="#N/A"/>
  </r>
  <r>
    <n v="1209658835"/>
    <s v="82"/>
    <x v="66"/>
    <d v="2026-10-12T10:20:06"/>
    <s v=""/>
    <s v="CAJA"/>
    <n v="12"/>
    <s v="PENDIENTE APROBACION  ENVIO TMS"/>
    <s v="000000001209658835"/>
    <x v="2"/>
    <x v="0"/>
    <s v="APROBAR"/>
    <n v="1"/>
    <e v="#N/A"/>
  </r>
  <r>
    <n v="8209658866"/>
    <s v="83"/>
    <x v="63"/>
    <d v="2026-10-12T10:20:07"/>
    <s v=""/>
    <s v="UNIDAD"/>
    <n v="3"/>
    <s v="PENDIENTE APROBACION  ENVIO TMS"/>
    <s v="000000008209658866"/>
    <x v="1"/>
    <x v="2"/>
    <s v="APROBAR"/>
    <n v="1"/>
    <e v="#N/A"/>
  </r>
  <r>
    <n v="8209658919"/>
    <s v="85"/>
    <x v="68"/>
    <d v="2026-10-12T10:20:08"/>
    <s v=""/>
    <s v="UNIDAD"/>
    <n v="1"/>
    <s v="PENDIENTE APROBACION  ENVIO TMS"/>
    <s v="000000008209658919"/>
    <x v="1"/>
    <x v="2"/>
    <s v="APROBAR"/>
    <n v="1"/>
    <e v="#N/A"/>
  </r>
  <r>
    <n v="1209658925"/>
    <s v="85"/>
    <x v="68"/>
    <d v="2026-10-12T10:20:10"/>
    <s v=""/>
    <s v="PACK"/>
    <n v="2"/>
    <s v="PENDIENTE APROBACION  ENVIO TMS"/>
    <s v="000000001209658925"/>
    <x v="2"/>
    <x v="2"/>
    <s v="APROBAR"/>
    <n v="1"/>
    <e v="#N/A"/>
  </r>
  <r>
    <n v="8209658957"/>
    <s v="86"/>
    <x v="65"/>
    <d v="2026-10-12T10:20:11"/>
    <s v=""/>
    <s v="UNIDAD"/>
    <n v="18"/>
    <s v="PENDIENTE APROBACION  ENVIO TMS"/>
    <s v="000000008209658957"/>
    <x v="1"/>
    <x v="2"/>
    <s v="APROBAR"/>
    <n v="1"/>
    <e v="#N/A"/>
  </r>
  <r>
    <n v="1209658966"/>
    <s v="86"/>
    <x v="65"/>
    <d v="2026-10-12T10:20:13"/>
    <s v=""/>
    <s v="CAJA"/>
    <n v="18"/>
    <s v="PENDIENTE APROBACION  ENVIO TMS"/>
    <s v="000000001209658966"/>
    <x v="2"/>
    <x v="2"/>
    <s v="APROBAR"/>
    <n v="1"/>
    <e v="#N/A"/>
  </r>
  <r>
    <n v="1209658968"/>
    <s v="86"/>
    <x v="65"/>
    <d v="2026-10-12T10:20:13"/>
    <s v=""/>
    <s v="CAJA"/>
    <n v="2"/>
    <s v="PENDIENTE APROBACION  ENVIO TMS"/>
    <s v="000000001209658968"/>
    <x v="2"/>
    <x v="2"/>
    <s v="APROBAR"/>
    <n v="1"/>
    <e v="#N/A"/>
  </r>
  <r>
    <n v="1209658927"/>
    <s v="85"/>
    <x v="68"/>
    <d v="2026-10-12T10:20:14"/>
    <s v=""/>
    <s v="CAJA"/>
    <n v="5"/>
    <s v="PENDIENTE APROBACION  ENVIO TMS"/>
    <s v="000000001209658927"/>
    <x v="2"/>
    <x v="2"/>
    <s v="APROBAR"/>
    <n v="1"/>
    <e v="#N/A"/>
  </r>
  <r>
    <n v="1209658928"/>
    <s v="85"/>
    <x v="68"/>
    <d v="2026-10-12T10:20:16"/>
    <s v=""/>
    <s v="CAJA"/>
    <n v="3"/>
    <s v="PENDIENTE APROBACION  ENVIO TMS"/>
    <s v="000000001209658928"/>
    <x v="2"/>
    <x v="2"/>
    <s v="APROBAR"/>
    <n v="1"/>
    <e v="#N/A"/>
  </r>
  <r>
    <n v="1209658905"/>
    <s v="84"/>
    <x v="64"/>
    <d v="2026-10-12T10:20:17"/>
    <s v=""/>
    <s v="CAJA"/>
    <n v="7"/>
    <s v="PENDIENTE APROBACION  ENVIO TMS"/>
    <s v="000000001209658905"/>
    <x v="2"/>
    <x v="0"/>
    <s v="APROBAR"/>
    <n v="1"/>
    <e v="#N/A"/>
  </r>
  <r>
    <n v="1209658939"/>
    <s v="85"/>
    <x v="68"/>
    <d v="2026-10-12T10:20:18"/>
    <s v=""/>
    <s v="CAJA"/>
    <n v="12"/>
    <s v="PENDIENTE APROBACION  ENVIO TMS"/>
    <s v="000000001209658939"/>
    <x v="2"/>
    <x v="2"/>
    <s v="APROBAR"/>
    <n v="1"/>
    <e v="#N/A"/>
  </r>
  <r>
    <n v="8209658824"/>
    <s v="82"/>
    <x v="66"/>
    <d v="2026-10-12T10:20:19"/>
    <s v=""/>
    <s v="UNIDAD"/>
    <n v="2"/>
    <s v="PENDIENTE APROBACION  ENVIO TMS"/>
    <s v="000000008209658824"/>
    <x v="1"/>
    <x v="0"/>
    <s v="APROBAR"/>
    <n v="1"/>
    <e v="#N/A"/>
  </r>
  <r>
    <n v="1209658811"/>
    <s v="81"/>
    <x v="67"/>
    <d v="2026-10-12T10:20:21"/>
    <s v=""/>
    <s v="PACK"/>
    <n v="29"/>
    <s v="PENDIENTE APROBACION  ENVIO TMS"/>
    <s v="000000001209658811"/>
    <x v="2"/>
    <x v="3"/>
    <s v="APROBAR"/>
    <n v="1"/>
    <e v="#N/A"/>
  </r>
  <r>
    <n v="1209658839"/>
    <s v="82"/>
    <x v="66"/>
    <d v="2026-10-12T10:20:22"/>
    <s v=""/>
    <s v="PACK"/>
    <n v="26"/>
    <s v="PENDIENTE APROBACION  ENVIO TMS"/>
    <s v="000000001209658839"/>
    <x v="2"/>
    <x v="0"/>
    <s v="APROBAR"/>
    <n v="1"/>
    <e v="#N/A"/>
  </r>
  <r>
    <n v="1209658818"/>
    <s v="81"/>
    <x v="67"/>
    <d v="2026-10-12T10:20:23"/>
    <s v=""/>
    <s v="CAJA"/>
    <n v="9"/>
    <s v="PENDIENTE APROBACION  ENVIO TMS"/>
    <s v="000000001209658818"/>
    <x v="2"/>
    <x v="3"/>
    <s v="APROBAR"/>
    <n v="1"/>
    <e v="#N/A"/>
  </r>
  <r>
    <n v="1209658871"/>
    <s v="83"/>
    <x v="63"/>
    <d v="2026-10-12T10:20:24"/>
    <s v=""/>
    <s v="PACK"/>
    <n v="36"/>
    <s v="PENDIENTE APROBACION  ENVIO TMS"/>
    <s v="000000001209658871"/>
    <x v="2"/>
    <x v="2"/>
    <s v="APROBAR"/>
    <n v="1"/>
    <e v="#N/A"/>
  </r>
  <r>
    <n v="1209658965"/>
    <s v="86"/>
    <x v="65"/>
    <d v="2026-10-12T10:20:25"/>
    <s v=""/>
    <s v="PACK"/>
    <n v="25"/>
    <s v="PENDIENTE APROBACION  ENVIO TMS"/>
    <s v="000000001209658965"/>
    <x v="2"/>
    <x v="2"/>
    <s v="APROBAR"/>
    <n v="1"/>
    <e v="#N/A"/>
  </r>
  <r>
    <n v="1209658970"/>
    <s v="86"/>
    <x v="65"/>
    <d v="2026-10-12T10:20:27"/>
    <s v=""/>
    <s v="PACK"/>
    <n v="43"/>
    <s v="PENDIENTE APROBACION  ENVIO TMS"/>
    <s v="000000001209658970"/>
    <x v="2"/>
    <x v="2"/>
    <s v="APROBAR"/>
    <n v="1"/>
    <e v="#N/A"/>
  </r>
  <r>
    <n v="1209658873"/>
    <s v="83"/>
    <x v="63"/>
    <d v="2026-10-12T10:20:28"/>
    <s v=""/>
    <s v="CAJA"/>
    <n v="48"/>
    <s v="PENDIENTE APROBACION  ENVIO TMS"/>
    <s v="000000001209658873"/>
    <x v="2"/>
    <x v="2"/>
    <s v="APROBAR"/>
    <n v="1"/>
    <e v="#N/A"/>
  </r>
  <r>
    <n v="1209658964"/>
    <s v="86"/>
    <x v="65"/>
    <d v="2026-10-12T10:20:29"/>
    <s v=""/>
    <s v="CAJA"/>
    <n v="24"/>
    <s v="PENDIENTE APROBACION  ENVIO TMS"/>
    <s v="000000001209658964"/>
    <x v="2"/>
    <x v="2"/>
    <s v="APROBAR"/>
    <n v="1"/>
    <e v="#N/A"/>
  </r>
  <r>
    <n v="8209658959"/>
    <s v="86"/>
    <x v="65"/>
    <d v="2026-10-12T10:20:30"/>
    <s v=""/>
    <s v="UNIDAD"/>
    <n v="4"/>
    <s v="PENDIENTE APROBACION  ENVIO TMS"/>
    <s v="000000008209658959"/>
    <x v="1"/>
    <x v="2"/>
    <s v="APROBAR"/>
    <n v="1"/>
    <e v="#N/A"/>
  </r>
  <r>
    <n v="8209658825"/>
    <s v="82"/>
    <x v="66"/>
    <d v="2026-10-12T10:20:32"/>
    <s v=""/>
    <s v="UNIDAD"/>
    <n v="2"/>
    <s v="PENDIENTE APROBACION  ENVIO TMS"/>
    <s v="000000008209658825"/>
    <x v="1"/>
    <x v="0"/>
    <s v="APROBAR"/>
    <n v="1"/>
    <e v="#N/A"/>
  </r>
  <r>
    <n v="1209658874"/>
    <s v="83"/>
    <x v="63"/>
    <d v="2026-10-12T10:20:33"/>
    <s v=""/>
    <s v="PACK"/>
    <n v="42"/>
    <s v="PENDIENTE APROBACION  ENVIO TMS"/>
    <s v="000000001209658874"/>
    <x v="2"/>
    <x v="2"/>
    <s v="APROBAR"/>
    <n v="1"/>
    <e v="#N/A"/>
  </r>
  <r>
    <n v="8209658826"/>
    <s v="82"/>
    <x v="66"/>
    <d v="2026-10-12T10:20:34"/>
    <s v=""/>
    <s v="UNIDAD"/>
    <n v="3"/>
    <s v="PENDIENTE APROBACION  ENVIO TMS"/>
    <s v="000000008209658826"/>
    <x v="1"/>
    <x v="0"/>
    <s v="APROBAR"/>
    <n v="1"/>
    <e v="#N/A"/>
  </r>
  <r>
    <n v="8209658863"/>
    <s v="83"/>
    <x v="63"/>
    <d v="2026-10-12T10:20:35"/>
    <s v=""/>
    <s v="UNIDAD"/>
    <n v="2"/>
    <s v="PENDIENTE APROBACION  ENVIO TMS"/>
    <s v="000000008209658863"/>
    <x v="1"/>
    <x v="2"/>
    <s v="APROBAR"/>
    <n v="1"/>
    <e v="#N/A"/>
  </r>
  <r>
    <n v="1209658837"/>
    <s v="82"/>
    <x v="66"/>
    <d v="2026-10-12T10:20:36"/>
    <s v=""/>
    <s v="CAJA"/>
    <n v="18"/>
    <s v="PENDIENTE APROBACION  ENVIO TMS"/>
    <s v="000000001209658837"/>
    <x v="2"/>
    <x v="0"/>
    <s v="APROBAR"/>
    <n v="1"/>
    <e v="#N/A"/>
  </r>
  <r>
    <n v="1209658870"/>
    <s v="83"/>
    <x v="63"/>
    <d v="2026-10-12T10:20:38"/>
    <s v=""/>
    <s v="PACK"/>
    <n v="18"/>
    <s v="PENDIENTE APROBACION  ENVIO TMS"/>
    <s v="000000001209658870"/>
    <x v="2"/>
    <x v="2"/>
    <s v="APROBAR"/>
    <n v="1"/>
    <e v="#N/A"/>
  </r>
  <r>
    <n v="8209658920"/>
    <s v="85"/>
    <x v="68"/>
    <d v="2026-10-12T10:20:39"/>
    <s v=""/>
    <s v="UNIDAD"/>
    <n v="5"/>
    <s v="PENDIENTE APROBACION  ENVIO TMS"/>
    <s v="000000008209658920"/>
    <x v="1"/>
    <x v="2"/>
    <s v="APROBAR"/>
    <n v="1"/>
    <e v="#N/A"/>
  </r>
  <r>
    <n v="8209658954"/>
    <s v="86"/>
    <x v="65"/>
    <d v="2026-10-12T10:20:40"/>
    <s v=""/>
    <s v="UNIDAD"/>
    <n v="1"/>
    <s v="PENDIENTE APROBACION  ENVIO TMS"/>
    <s v="000000008209658954"/>
    <x v="1"/>
    <x v="2"/>
    <s v="APROBAR"/>
    <n v="1"/>
    <e v="#N/A"/>
  </r>
  <r>
    <n v="1209658969"/>
    <s v="86"/>
    <x v="65"/>
    <d v="2026-10-12T10:20:41"/>
    <s v=""/>
    <s v="CAJA"/>
    <n v="25"/>
    <s v="PENDIENTE APROBACION  ENVIO TMS"/>
    <s v="000000001209658969"/>
    <x v="2"/>
    <x v="2"/>
    <s v="APROBAR"/>
    <n v="1"/>
    <e v="#N/A"/>
  </r>
  <r>
    <n v="1209659122"/>
    <s v="102"/>
    <x v="69"/>
    <d v="2026-10-12T10:23:51"/>
    <s v=""/>
    <s v="PACK"/>
    <n v="8"/>
    <s v="PENDIENTE APROBACION  ENVIO TMS"/>
    <s v="000000001209659122"/>
    <x v="2"/>
    <x v="1"/>
    <s v="APROBAR"/>
    <n v="1"/>
    <e v="#N/A"/>
  </r>
  <r>
    <n v="1209659103"/>
    <s v="91"/>
    <x v="70"/>
    <d v="2026-10-12T10:23:53"/>
    <s v=""/>
    <s v="PACK"/>
    <n v="29"/>
    <s v="PENDIENTE APROBACION  ENVIO TMS"/>
    <s v="000000001209659103"/>
    <x v="2"/>
    <x v="3"/>
    <s v="APROBAR"/>
    <n v="1"/>
    <e v="#N/A"/>
  </r>
  <r>
    <n v="8209659047"/>
    <s v="89"/>
    <x v="71"/>
    <d v="2026-10-12T10:23:54"/>
    <s v=""/>
    <s v="UNIDAD"/>
    <n v="3"/>
    <s v="PENDIENTE APROBACION  ENVIO TMS"/>
    <s v="000000008209659047"/>
    <x v="1"/>
    <x v="0"/>
    <s v="APROBAR"/>
    <n v="1"/>
    <e v="#N/A"/>
  </r>
  <r>
    <n v="1209658989"/>
    <s v="87"/>
    <x v="72"/>
    <d v="2026-10-12T10:23:55"/>
    <s v=""/>
    <s v="PACK"/>
    <n v="12"/>
    <s v="PENDIENTE APROBACION  ENVIO TMS"/>
    <s v="000000001209658989"/>
    <x v="2"/>
    <x v="0"/>
    <s v="APROBAR"/>
    <n v="1"/>
    <e v="#N/A"/>
  </r>
  <r>
    <n v="1209658990"/>
    <s v="87"/>
    <x v="72"/>
    <d v="2026-10-12T10:23:57"/>
    <s v=""/>
    <s v="UNIDAD"/>
    <n v="22"/>
    <s v="PENDIENTE APROBACION  ENVIO TMS"/>
    <s v="000000001209658990"/>
    <x v="2"/>
    <x v="0"/>
    <s v="APROBAR"/>
    <n v="1"/>
    <e v="#N/A"/>
  </r>
  <r>
    <n v="8209659051"/>
    <s v="89"/>
    <x v="71"/>
    <d v="2026-10-12T10:23:57"/>
    <s v=""/>
    <s v="UNIDAD"/>
    <n v="21"/>
    <s v="PENDIENTE APROBACION  ENVIO TMS"/>
    <s v="000000008209659051"/>
    <x v="1"/>
    <x v="0"/>
    <s v="APROBAR"/>
    <n v="1"/>
    <e v="#N/A"/>
  </r>
  <r>
    <n v="1209659023"/>
    <s v="88"/>
    <x v="0"/>
    <d v="2026-10-12T10:23:59"/>
    <s v=""/>
    <s v="CAJA"/>
    <n v="17"/>
    <s v="PENDIENTE APROBACION  ENVIO TMS"/>
    <s v="000000001209659023"/>
    <x v="2"/>
    <x v="0"/>
    <s v="APROBAR"/>
    <n v="1"/>
    <e v="#N/A"/>
  </r>
  <r>
    <n v="1209659001"/>
    <s v="87"/>
    <x v="72"/>
    <d v="2026-10-12T10:24:00"/>
    <s v=""/>
    <s v="CAJA"/>
    <n v="5"/>
    <s v="PENDIENTE APROBACION  ENVIO TMS"/>
    <s v="000000001209659001"/>
    <x v="2"/>
    <x v="0"/>
    <s v="APROBAR"/>
    <n v="1"/>
    <e v="#N/A"/>
  </r>
  <r>
    <n v="1209659091"/>
    <s v="91"/>
    <x v="70"/>
    <d v="2026-10-12T10:24:01"/>
    <s v=""/>
    <s v="CAJA"/>
    <n v="19"/>
    <s v="PENDIENTE APROBACION  ENVIO TMS"/>
    <s v="000000001209659091"/>
    <x v="2"/>
    <x v="3"/>
    <s v="APROBAR"/>
    <n v="1"/>
    <e v="#N/A"/>
  </r>
  <r>
    <n v="1209659120"/>
    <s v="102"/>
    <x v="69"/>
    <d v="2026-10-12T10:24:03"/>
    <s v=""/>
    <s v="CAJA"/>
    <n v="6"/>
    <s v="PENDIENTE APROBACION  ENVIO TMS"/>
    <s v="000000001209659120"/>
    <x v="2"/>
    <x v="1"/>
    <s v="APROBAR"/>
    <n v="1"/>
    <e v="#N/A"/>
  </r>
  <r>
    <n v="8209659097"/>
    <s v="91"/>
    <x v="70"/>
    <d v="2026-10-12T10:24:03"/>
    <s v=""/>
    <s v="UNIDAD"/>
    <n v="8"/>
    <s v="PENDIENTE APROBACION  ENVIO TMS"/>
    <s v="000000008209659097"/>
    <x v="1"/>
    <x v="3"/>
    <s v="APROBAR"/>
    <n v="1"/>
    <e v="#N/A"/>
  </r>
  <r>
    <n v="1209659125"/>
    <s v="102"/>
    <x v="69"/>
    <d v="2026-10-12T10:24:04"/>
    <s v=""/>
    <s v="CAJA"/>
    <n v="16"/>
    <s v="PENDIENTE APROBACION  ENVIO TMS"/>
    <s v="000000001209659125"/>
    <x v="2"/>
    <x v="1"/>
    <s v="APROBAR"/>
    <n v="1"/>
    <e v="#N/A"/>
  </r>
  <r>
    <n v="8209658981"/>
    <s v="87"/>
    <x v="72"/>
    <d v="2026-10-12T10:24:06"/>
    <s v=""/>
    <s v="UNIDAD"/>
    <n v="1"/>
    <s v="PENDIENTE APROBACION  ENVIO TMS"/>
    <s v="000000008209658981"/>
    <x v="1"/>
    <x v="0"/>
    <s v="APROBAR"/>
    <n v="1"/>
    <e v="#N/A"/>
  </r>
  <r>
    <n v="8209658982"/>
    <s v="87"/>
    <x v="72"/>
    <d v="2026-10-12T10:24:07"/>
    <s v=""/>
    <s v="UNIDAD"/>
    <n v="8"/>
    <s v="PENDIENTE APROBACION  ENVIO TMS"/>
    <s v="000000008209658982"/>
    <x v="1"/>
    <x v="0"/>
    <s v="APROBAR"/>
    <n v="1"/>
    <e v="#N/A"/>
  </r>
  <r>
    <n v="8209658983"/>
    <s v="87"/>
    <x v="72"/>
    <d v="2026-10-12T10:24:08"/>
    <s v=""/>
    <s v="UNIDAD"/>
    <n v="1"/>
    <s v="PENDIENTE APROBACION  ENVIO TMS"/>
    <s v="000000008209658983"/>
    <x v="1"/>
    <x v="0"/>
    <s v="APROBAR"/>
    <n v="1"/>
    <e v="#N/A"/>
  </r>
  <r>
    <n v="8209659048"/>
    <s v="89"/>
    <x v="71"/>
    <d v="2026-10-12T10:24:09"/>
    <s v=""/>
    <s v="UNIDAD"/>
    <n v="8"/>
    <s v="PENDIENTE APROBACION  ENVIO TMS"/>
    <s v="000000008209659048"/>
    <x v="1"/>
    <x v="0"/>
    <s v="APROBAR"/>
    <n v="1"/>
    <e v="#N/A"/>
  </r>
  <r>
    <n v="1209659053"/>
    <s v="89"/>
    <x v="71"/>
    <d v="2026-10-12T10:24:10"/>
    <s v=""/>
    <s v="CAJA"/>
    <n v="6"/>
    <s v="PENDIENTE APROBACION  ENVIO TMS"/>
    <s v="000000001209659053"/>
    <x v="2"/>
    <x v="0"/>
    <s v="APROBAR"/>
    <n v="1"/>
    <e v="#N/A"/>
  </r>
  <r>
    <n v="1209659056"/>
    <s v="89"/>
    <x v="71"/>
    <d v="2026-10-12T10:24:12"/>
    <s v=""/>
    <s v="PACK"/>
    <n v="11"/>
    <s v="PENDIENTE APROBACION  ENVIO TMS"/>
    <s v="000000001209659056"/>
    <x v="2"/>
    <x v="0"/>
    <s v="APROBAR"/>
    <n v="1"/>
    <e v="#N/A"/>
  </r>
  <r>
    <n v="1209659021"/>
    <s v="88"/>
    <x v="0"/>
    <d v="2026-10-12T10:24:13"/>
    <s v=""/>
    <s v="UNIDAD"/>
    <n v="16"/>
    <s v="PENDIENTE APROBACION  ENVIO TMS"/>
    <s v="000000001209659021"/>
    <x v="2"/>
    <x v="0"/>
    <s v="APROBAR"/>
    <n v="1"/>
    <e v="#N/A"/>
  </r>
  <r>
    <n v="1209659089"/>
    <s v="91"/>
    <x v="70"/>
    <d v="2026-10-12T10:24:13"/>
    <s v=""/>
    <s v="CAJA"/>
    <n v="11"/>
    <s v="PENDIENTE APROBACION  ENVIO TMS"/>
    <s v="000000001209659089"/>
    <x v="2"/>
    <x v="3"/>
    <s v="APROBAR"/>
    <n v="1"/>
    <e v="#N/A"/>
  </r>
  <r>
    <n v="1209659062"/>
    <s v="89"/>
    <x v="71"/>
    <d v="2026-10-12T10:24:15"/>
    <s v=""/>
    <s v="CAJA"/>
    <n v="2"/>
    <s v="PENDIENTE APROBACION  ENVIO TMS"/>
    <s v="000000001209659062"/>
    <x v="2"/>
    <x v="0"/>
    <s v="APROBAR"/>
    <n v="1"/>
    <e v="#N/A"/>
  </r>
  <r>
    <n v="1209659068"/>
    <s v="89"/>
    <x v="71"/>
    <d v="2026-10-12T10:24:16"/>
    <s v=""/>
    <s v="PACK"/>
    <n v="3"/>
    <s v="PENDIENTE APROBACION  ENVIO TMS"/>
    <s v="000000001209659068"/>
    <x v="2"/>
    <x v="0"/>
    <s v="APROBAR"/>
    <n v="1"/>
    <e v="#N/A"/>
  </r>
  <r>
    <n v="1209659123"/>
    <s v="102"/>
    <x v="69"/>
    <d v="2026-10-12T10:24:18"/>
    <s v=""/>
    <s v="CAJA"/>
    <n v="12"/>
    <s v="PENDIENTE APROBACION  ENVIO TMS"/>
    <s v="000000001209659123"/>
    <x v="2"/>
    <x v="1"/>
    <s v="APROBAR"/>
    <n v="1"/>
    <e v="#N/A"/>
  </r>
  <r>
    <n v="8209659052"/>
    <s v="89"/>
    <x v="71"/>
    <d v="2026-10-12T10:24:19"/>
    <s v=""/>
    <s v="UNIDAD"/>
    <n v="1"/>
    <s v="PENDIENTE APROBACION  ENVIO TMS"/>
    <s v="000000008209659052"/>
    <x v="1"/>
    <x v="0"/>
    <s v="APROBAR"/>
    <n v="1"/>
    <e v="#N/A"/>
  </r>
  <r>
    <n v="1209658992"/>
    <s v="87"/>
    <x v="72"/>
    <d v="2026-10-12T10:24:20"/>
    <s v=""/>
    <s v="CAJA"/>
    <n v="12"/>
    <s v="PENDIENTE APROBACION  ENVIO TMS"/>
    <s v="000000001209658992"/>
    <x v="2"/>
    <x v="0"/>
    <s v="APROBAR"/>
    <n v="1"/>
    <e v="#N/A"/>
  </r>
  <r>
    <n v="8209659084"/>
    <s v="91"/>
    <x v="70"/>
    <d v="2026-10-12T10:24:21"/>
    <s v=""/>
    <s v="UNIDAD"/>
    <n v="14"/>
    <s v="PENDIENTE APROBACION  ENVIO TMS"/>
    <s v="000000008209659084"/>
    <x v="1"/>
    <x v="3"/>
    <s v="APROBAR"/>
    <n v="1"/>
    <e v="#N/A"/>
  </r>
  <r>
    <n v="1209659019"/>
    <s v="88"/>
    <x v="0"/>
    <d v="2026-10-12T10:24:22"/>
    <s v=""/>
    <s v="CAJA"/>
    <n v="3"/>
    <s v="PENDIENTE APROBACION  ENVIO TMS"/>
    <s v="000000001209659019"/>
    <x v="2"/>
    <x v="0"/>
    <s v="APROBAR"/>
    <n v="1"/>
    <e v="#N/A"/>
  </r>
  <r>
    <n v="1209658995"/>
    <s v="87"/>
    <x v="72"/>
    <d v="2026-10-12T10:24:24"/>
    <s v=""/>
    <s v="PACK"/>
    <n v="25"/>
    <s v="PENDIENTE APROBACION  ENVIO TMS"/>
    <s v="000000001209658995"/>
    <x v="2"/>
    <x v="0"/>
    <s v="APROBAR"/>
    <n v="1"/>
    <e v="#N/A"/>
  </r>
  <r>
    <n v="1209659061"/>
    <s v="89"/>
    <x v="71"/>
    <d v="2026-10-12T10:24:24"/>
    <s v=""/>
    <s v="CAJA"/>
    <n v="34"/>
    <s v="PENDIENTE APROBACION  ENVIO TMS"/>
    <s v="000000001209659061"/>
    <x v="2"/>
    <x v="0"/>
    <s v="APROBAR"/>
    <n v="1"/>
    <e v="#N/A"/>
  </r>
  <r>
    <n v="8209658985"/>
    <s v="87"/>
    <x v="72"/>
    <d v="2026-10-12T10:24:25"/>
    <s v=""/>
    <s v="UNIDAD"/>
    <n v="56"/>
    <s v="PENDIENTE APROBACION  ENVIO TMS"/>
    <s v="000000008209658985"/>
    <x v="1"/>
    <x v="0"/>
    <s v="APROBAR"/>
    <n v="1"/>
    <e v="#N/A"/>
  </r>
  <r>
    <n v="8209658986"/>
    <s v="87"/>
    <x v="72"/>
    <d v="2026-10-12T10:24:27"/>
    <s v=""/>
    <s v="UNIDAD"/>
    <n v="1"/>
    <s v="PENDIENTE APROBACION  ENVIO TMS"/>
    <s v="000000008209658986"/>
    <x v="1"/>
    <x v="0"/>
    <s v="APROBAR"/>
    <n v="1"/>
    <e v="#N/A"/>
  </r>
  <r>
    <n v="1209659127"/>
    <s v="102"/>
    <x v="69"/>
    <d v="2026-10-12T10:24:28"/>
    <s v=""/>
    <s v="PACK"/>
    <n v="26"/>
    <s v="PENDIENTE APROBACION  ENVIO TMS"/>
    <s v="000000001209659127"/>
    <x v="2"/>
    <x v="1"/>
    <s v="APROBAR"/>
    <n v="1"/>
    <e v="#N/A"/>
  </r>
  <r>
    <n v="8209659014"/>
    <s v="88"/>
    <x v="0"/>
    <d v="2026-10-12T10:24:29"/>
    <s v=""/>
    <s v="UNIDAD"/>
    <n v="3"/>
    <s v="PENDIENTE APROBACION  ENVIO TMS"/>
    <s v="000000008209659014"/>
    <x v="1"/>
    <x v="0"/>
    <s v="APROBAR"/>
    <n v="1"/>
    <e v="#N/A"/>
  </r>
  <r>
    <n v="8209659016"/>
    <s v="88"/>
    <x v="0"/>
    <d v="2026-10-12T10:24:31"/>
    <s v=""/>
    <s v="UNIDAD"/>
    <n v="20"/>
    <s v="PENDIENTE APROBACION  ENVIO TMS"/>
    <s v="000000008209659016"/>
    <x v="1"/>
    <x v="0"/>
    <s v="APROBAR"/>
    <n v="1"/>
    <e v="#N/A"/>
  </r>
  <r>
    <n v="1209659059"/>
    <s v="89"/>
    <x v="71"/>
    <d v="2026-10-12T10:24:31"/>
    <s v=""/>
    <s v="CAJA"/>
    <n v="13"/>
    <s v="PENDIENTE APROBACION  ENVIO TMS"/>
    <s v="000000001209659059"/>
    <x v="2"/>
    <x v="0"/>
    <s v="APROBAR"/>
    <n v="1"/>
    <e v="#N/A"/>
  </r>
  <r>
    <n v="1209659024"/>
    <s v="88"/>
    <x v="0"/>
    <d v="2026-10-12T10:24:33"/>
    <s v=""/>
    <s v="CAJA"/>
    <n v="17"/>
    <s v="PENDIENTE APROBACION  ENVIO TMS"/>
    <s v="000000001209659024"/>
    <x v="2"/>
    <x v="0"/>
    <s v="APROBAR"/>
    <n v="1"/>
    <e v="#N/A"/>
  </r>
  <r>
    <n v="8209659115"/>
    <s v="102"/>
    <x v="69"/>
    <d v="2026-10-12T10:24:34"/>
    <s v=""/>
    <s v="UNIDAD"/>
    <n v="7"/>
    <s v="PENDIENTE APROBACION  ENVIO TMS"/>
    <s v="000000008209659115"/>
    <x v="1"/>
    <x v="1"/>
    <s v="APROBAR"/>
    <n v="1"/>
    <e v="#N/A"/>
  </r>
  <r>
    <n v="1209659026"/>
    <s v="88"/>
    <x v="0"/>
    <d v="2026-10-12T10:24:35"/>
    <s v=""/>
    <s v="CAJA"/>
    <n v="25"/>
    <s v="PENDIENTE APROBACION  ENVIO TMS"/>
    <s v="000000001209659026"/>
    <x v="2"/>
    <x v="0"/>
    <s v="APROBAR"/>
    <n v="1"/>
    <e v="#N/A"/>
  </r>
  <r>
    <n v="1209658987"/>
    <s v="87"/>
    <x v="72"/>
    <d v="2026-10-12T10:24:36"/>
    <s v=""/>
    <s v="CAJA"/>
    <n v="2"/>
    <s v="PENDIENTE APROBACION  ENVIO TMS"/>
    <s v="000000001209658987"/>
    <x v="2"/>
    <x v="0"/>
    <s v="APROBAR"/>
    <n v="1"/>
    <e v="#N/A"/>
  </r>
  <r>
    <n v="1209658991"/>
    <s v="87"/>
    <x v="72"/>
    <d v="2026-10-12T10:24:37"/>
    <s v=""/>
    <s v="CAJA"/>
    <n v="18"/>
    <s v="PENDIENTE APROBACION  ENVIO TMS"/>
    <s v="000000001209658991"/>
    <x v="2"/>
    <x v="0"/>
    <s v="APROBAR"/>
    <n v="1"/>
    <e v="#N/A"/>
  </r>
  <r>
    <n v="8209659013"/>
    <s v="88"/>
    <x v="0"/>
    <d v="2026-10-12T10:24:38"/>
    <s v=""/>
    <s v="UNIDAD"/>
    <n v="1"/>
    <s v="PENDIENTE APROBACION  ENVIO TMS"/>
    <s v="000000008209659013"/>
    <x v="1"/>
    <x v="0"/>
    <s v="APROBAR"/>
    <n v="1"/>
    <e v="#N/A"/>
  </r>
  <r>
    <n v="8209659081"/>
    <s v="91"/>
    <x v="70"/>
    <d v="2026-10-12T10:24:40"/>
    <s v=""/>
    <s v="UNIDAD"/>
    <n v="14"/>
    <s v="PENDIENTE APROBACION  ENVIO TMS"/>
    <s v="000000008209659081"/>
    <x v="1"/>
    <x v="3"/>
    <s v="APROBAR"/>
    <n v="1"/>
    <e v="#N/A"/>
  </r>
  <r>
    <n v="1209658993"/>
    <s v="87"/>
    <x v="72"/>
    <d v="2026-10-12T10:24:41"/>
    <s v=""/>
    <s v="PACK"/>
    <n v="23"/>
    <s v="PENDIENTE APROBACION  ENVIO TMS"/>
    <s v="000000001209658993"/>
    <x v="2"/>
    <x v="0"/>
    <s v="APROBAR"/>
    <n v="1"/>
    <e v="#N/A"/>
  </r>
  <r>
    <n v="1209659058"/>
    <s v="89"/>
    <x v="71"/>
    <d v="2026-10-12T10:24:42"/>
    <s v=""/>
    <s v="PACK"/>
    <n v="17"/>
    <s v="PENDIENTE APROBACION  ENVIO TMS"/>
    <s v="000000001209659058"/>
    <x v="2"/>
    <x v="0"/>
    <s v="APROBAR"/>
    <n v="1"/>
    <e v="#N/A"/>
  </r>
  <r>
    <n v="1209659022"/>
    <s v="88"/>
    <x v="0"/>
    <d v="2026-10-12T10:24:43"/>
    <s v=""/>
    <s v="CAJA"/>
    <n v="13"/>
    <s v="PENDIENTE APROBACION  ENVIO TMS"/>
    <s v="000000001209659022"/>
    <x v="2"/>
    <x v="0"/>
    <s v="APROBAR"/>
    <n v="1"/>
    <e v="#N/A"/>
  </r>
  <r>
    <n v="1209659090"/>
    <s v="91"/>
    <x v="70"/>
    <d v="2026-10-12T10:24:44"/>
    <s v=""/>
    <s v="PACK"/>
    <n v="26"/>
    <s v="PENDIENTE APROBACION  ENVIO TMS"/>
    <s v="000000001209659090"/>
    <x v="2"/>
    <x v="3"/>
    <s v="APROBAR"/>
    <n v="1"/>
    <e v="#N/A"/>
  </r>
  <r>
    <n v="1209658996"/>
    <s v="87"/>
    <x v="72"/>
    <d v="2026-10-12T10:24:45"/>
    <s v=""/>
    <s v="CAJA"/>
    <n v="4"/>
    <s v="PENDIENTE APROBACION  ENVIO TMS"/>
    <s v="000000001209658996"/>
    <x v="2"/>
    <x v="0"/>
    <s v="APROBAR"/>
    <n v="1"/>
    <e v="#N/A"/>
  </r>
  <r>
    <n v="1209659028"/>
    <s v="88"/>
    <x v="0"/>
    <d v="2026-10-12T10:24:47"/>
    <s v=""/>
    <s v="CAJA"/>
    <n v="4"/>
    <s v="PENDIENTE APROBACION  ENVIO TMS"/>
    <s v="000000001209659028"/>
    <x v="2"/>
    <x v="0"/>
    <s v="APROBAR"/>
    <n v="1"/>
    <e v="#N/A"/>
  </r>
  <r>
    <n v="8209659050"/>
    <s v="89"/>
    <x v="71"/>
    <d v="2026-10-12T10:24:48"/>
    <s v=""/>
    <s v="UNIDAD"/>
    <n v="2"/>
    <s v="PENDIENTE APROBACION  ENVIO TMS"/>
    <s v="000000008209659050"/>
    <x v="1"/>
    <x v="0"/>
    <s v="APROBAR"/>
    <n v="1"/>
    <e v="#N/A"/>
  </r>
  <r>
    <n v="1209659128"/>
    <s v="102"/>
    <x v="69"/>
    <d v="2026-10-12T10:24:49"/>
    <s v=""/>
    <s v="CAJA"/>
    <n v="1"/>
    <s v="PENDIENTE APROBACION  ENVIO TMS"/>
    <s v="000000001209659128"/>
    <x v="2"/>
    <x v="1"/>
    <s v="APROBAR"/>
    <n v="1"/>
    <e v="#N/A"/>
  </r>
  <r>
    <n v="8209659129"/>
    <s v="102"/>
    <x v="69"/>
    <d v="2026-10-12T10:24:50"/>
    <s v=""/>
    <s v="UNIDAD"/>
    <n v="2"/>
    <s v="PENDIENTE APROBACION  ENVIO TMS"/>
    <s v="000000008209659129"/>
    <x v="1"/>
    <x v="1"/>
    <s v="APROBAR"/>
    <n v="1"/>
    <e v="#N/A"/>
  </r>
  <r>
    <n v="1209659136"/>
    <s v="102"/>
    <x v="69"/>
    <d v="2026-10-12T10:24:51"/>
    <s v=""/>
    <s v="PACK"/>
    <n v="25"/>
    <s v="PENDIENTE APROBACION  ENVIO TMS"/>
    <s v="000000001209659136"/>
    <x v="2"/>
    <x v="1"/>
    <s v="APROBAR"/>
    <n v="1"/>
    <e v="#N/A"/>
  </r>
  <r>
    <n v="1209659055"/>
    <s v="89"/>
    <x v="71"/>
    <d v="2026-10-12T10:24:53"/>
    <s v=""/>
    <s v="PACK"/>
    <n v="22"/>
    <s v="PENDIENTE APROBACION  ENVIO TMS"/>
    <s v="000000001209659055"/>
    <x v="2"/>
    <x v="0"/>
    <s v="APROBAR"/>
    <n v="1"/>
    <e v="#N/A"/>
  </r>
  <r>
    <n v="8209659017"/>
    <s v="88"/>
    <x v="0"/>
    <d v="2026-10-12T10:24:54"/>
    <s v=""/>
    <s v="UNIDAD"/>
    <n v="11"/>
    <s v="PENDIENTE APROBACION  ENVIO TMS"/>
    <s v="000000008209659017"/>
    <x v="1"/>
    <x v="0"/>
    <s v="APROBAR"/>
    <n v="1"/>
    <e v="#N/A"/>
  </r>
  <r>
    <n v="8209659082"/>
    <s v="91"/>
    <x v="70"/>
    <d v="2026-10-12T10:24:55"/>
    <s v=""/>
    <s v="UNIDAD"/>
    <n v="1"/>
    <s v="PENDIENTE APROBACION  ENVIO TMS"/>
    <s v="000000008209659082"/>
    <x v="1"/>
    <x v="3"/>
    <s v="APROBAR"/>
    <n v="1"/>
    <e v="#N/A"/>
  </r>
  <r>
    <n v="1209659087"/>
    <s v="91"/>
    <x v="70"/>
    <d v="2026-10-12T10:24:56"/>
    <s v=""/>
    <s v="CAJA"/>
    <n v="12"/>
    <s v="PENDIENTE APROBACION  ENVIO TMS"/>
    <s v="000000001209659087"/>
    <x v="2"/>
    <x v="3"/>
    <s v="APROBAR"/>
    <n v="1"/>
    <e v="#N/A"/>
  </r>
  <r>
    <n v="8209659116"/>
    <s v="102"/>
    <x v="69"/>
    <d v="2026-10-12T10:24:57"/>
    <s v=""/>
    <s v="UNIDAD"/>
    <n v="2"/>
    <s v="PENDIENTE APROBACION  ENVIO TMS"/>
    <s v="000000008209659116"/>
    <x v="1"/>
    <x v="1"/>
    <s v="APROBAR"/>
    <n v="1"/>
    <e v="#N/A"/>
  </r>
  <r>
    <n v="8209659117"/>
    <s v="102"/>
    <x v="69"/>
    <d v="2026-10-12T10:24:58"/>
    <s v=""/>
    <s v="UNIDAD"/>
    <n v="16"/>
    <s v="PENDIENTE APROBACION  ENVIO TMS"/>
    <s v="000000008209659117"/>
    <x v="1"/>
    <x v="1"/>
    <s v="APROBAR"/>
    <n v="1"/>
    <e v="#N/A"/>
  </r>
  <r>
    <n v="1209659121"/>
    <s v="102"/>
    <x v="69"/>
    <d v="2026-10-12T10:25:00"/>
    <s v=""/>
    <s v="CAJA"/>
    <n v="7"/>
    <s v="PENDIENTE APROBACION  ENVIO TMS"/>
    <s v="000000001209659121"/>
    <x v="2"/>
    <x v="1"/>
    <s v="APROBAR"/>
    <n v="1"/>
    <e v="#N/A"/>
  </r>
  <r>
    <n v="1209659092"/>
    <s v="91"/>
    <x v="70"/>
    <d v="2026-10-12T10:25:00"/>
    <s v=""/>
    <s v="CAJA"/>
    <n v="24"/>
    <s v="PENDIENTE APROBACION  ENVIO TMS"/>
    <s v="000000001209659092"/>
    <x v="2"/>
    <x v="3"/>
    <s v="APROBAR"/>
    <n v="1"/>
    <e v="#N/A"/>
  </r>
  <r>
    <n v="1209659096"/>
    <s v="91"/>
    <x v="70"/>
    <d v="2026-10-12T10:25:02"/>
    <s v=""/>
    <s v="CAJA"/>
    <n v="6"/>
    <s v="PENDIENTE APROBACION  ENVIO TMS"/>
    <s v="000000001209659096"/>
    <x v="2"/>
    <x v="3"/>
    <s v="APROBAR"/>
    <n v="1"/>
    <e v="#N/A"/>
  </r>
  <r>
    <n v="1209659098"/>
    <s v="91"/>
    <x v="70"/>
    <d v="2026-10-12T10:25:03"/>
    <s v=""/>
    <s v="PACK"/>
    <n v="16"/>
    <s v="PENDIENTE APROBACION  ENVIO TMS"/>
    <s v="000000001209659098"/>
    <x v="2"/>
    <x v="3"/>
    <s v="APROBAR"/>
    <n v="1"/>
    <e v="#N/A"/>
  </r>
  <r>
    <n v="8209659029"/>
    <s v="88"/>
    <x v="0"/>
    <d v="2026-10-12T10:25:04"/>
    <s v=""/>
    <s v="UNIDAD"/>
    <n v="2"/>
    <s v="PENDIENTE APROBACION  ENVIO TMS"/>
    <s v="000000008209659029"/>
    <x v="1"/>
    <x v="0"/>
    <s v="APROBAR"/>
    <n v="1"/>
    <e v="#N/A"/>
  </r>
  <r>
    <n v="8209658984"/>
    <s v="87"/>
    <x v="72"/>
    <d v="2026-10-12T10:25:06"/>
    <s v=""/>
    <s v="UNIDAD"/>
    <n v="1"/>
    <s v="PENDIENTE APROBACION  ENVIO TMS"/>
    <s v="000000008209658984"/>
    <x v="1"/>
    <x v="0"/>
    <s v="APROBAR"/>
    <n v="1"/>
    <e v="#N/A"/>
  </r>
  <r>
    <n v="1209659102"/>
    <s v="91"/>
    <x v="70"/>
    <d v="2026-10-12T10:25:06"/>
    <s v=""/>
    <s v="CAJA"/>
    <n v="23"/>
    <s v="PENDIENTE APROBACION  ENVIO TMS"/>
    <s v="000000001209659102"/>
    <x v="2"/>
    <x v="3"/>
    <s v="APROBAR"/>
    <n v="1"/>
    <e v="#N/A"/>
  </r>
  <r>
    <n v="1209658988"/>
    <s v="87"/>
    <x v="72"/>
    <d v="2026-10-12T10:25:07"/>
    <s v=""/>
    <s v="UNIDAD"/>
    <n v="48"/>
    <s v="PENDIENTE APROBACION  ENVIO TMS"/>
    <s v="000000001209658988"/>
    <x v="2"/>
    <x v="0"/>
    <s v="APROBAR"/>
    <n v="1"/>
    <e v="#N/A"/>
  </r>
  <r>
    <n v="8209659049"/>
    <s v="89"/>
    <x v="71"/>
    <d v="2026-10-12T10:25:09"/>
    <s v=""/>
    <s v="UNIDAD"/>
    <n v="1"/>
    <s v="PENDIENTE APROBACION  ENVIO TMS"/>
    <s v="000000008209659049"/>
    <x v="1"/>
    <x v="0"/>
    <s v="APROBAR"/>
    <n v="1"/>
    <e v="#N/A"/>
  </r>
  <r>
    <n v="8209659015"/>
    <s v="88"/>
    <x v="0"/>
    <d v="2026-10-12T10:25:10"/>
    <s v=""/>
    <s v="UNIDAD"/>
    <n v="4"/>
    <s v="PENDIENTE APROBACION  ENVIO TMS"/>
    <s v="000000008209659015"/>
    <x v="1"/>
    <x v="0"/>
    <s v="APROBAR"/>
    <n v="1"/>
    <e v="#N/A"/>
  </r>
  <r>
    <n v="8209659083"/>
    <s v="91"/>
    <x v="70"/>
    <d v="2026-10-12T10:25:11"/>
    <s v=""/>
    <s v="UNIDAD"/>
    <n v="3"/>
    <s v="PENDIENTE APROBACION  ENVIO TMS"/>
    <s v="000000008209659083"/>
    <x v="1"/>
    <x v="3"/>
    <s v="APROBAR"/>
    <n v="1"/>
    <e v="#N/A"/>
  </r>
  <r>
    <n v="1209659020"/>
    <s v="88"/>
    <x v="0"/>
    <d v="2026-10-12T10:25:12"/>
    <s v=""/>
    <s v="CAJA"/>
    <n v="2"/>
    <s v="PENDIENTE APROBACION  ENVIO TMS"/>
    <s v="000000001209659020"/>
    <x v="2"/>
    <x v="0"/>
    <s v="APROBAR"/>
    <n v="1"/>
    <e v="#N/A"/>
  </r>
  <r>
    <n v="1209659086"/>
    <s v="91"/>
    <x v="70"/>
    <d v="2026-10-12T10:25:13"/>
    <s v=""/>
    <s v="CAJA"/>
    <n v="1"/>
    <s v="PENDIENTE APROBACION  ENVIO TMS"/>
    <s v="000000001209659086"/>
    <x v="2"/>
    <x v="3"/>
    <s v="APROBAR"/>
    <n v="1"/>
    <e v="#N/A"/>
  </r>
  <r>
    <n v="1209659060"/>
    <s v="89"/>
    <x v="71"/>
    <d v="2026-10-12T10:25:15"/>
    <s v=""/>
    <s v="PACK"/>
    <n v="29"/>
    <s v="PENDIENTE APROBACION  ENVIO TMS"/>
    <s v="000000001209659060"/>
    <x v="2"/>
    <x v="0"/>
    <s v="APROBAR"/>
    <n v="1"/>
    <e v="#N/A"/>
  </r>
  <r>
    <n v="8209658998"/>
    <s v="87"/>
    <x v="72"/>
    <d v="2026-10-12T10:25:16"/>
    <s v=""/>
    <s v="UNIDAD"/>
    <n v="1"/>
    <s v="PENDIENTE APROBACION  ENVIO TMS"/>
    <s v="000000008209658998"/>
    <x v="1"/>
    <x v="0"/>
    <s v="APROBAR"/>
    <n v="1"/>
    <e v="#N/A"/>
  </r>
  <r>
    <n v="8209659119"/>
    <s v="102"/>
    <x v="69"/>
    <d v="2026-10-12T10:25:18"/>
    <s v=""/>
    <s v="UNIDAD"/>
    <n v="6"/>
    <s v="PENDIENTE APROBACION  ENVIO TMS"/>
    <s v="000000008209659119"/>
    <x v="1"/>
    <x v="1"/>
    <s v="APROBAR"/>
    <n v="1"/>
    <e v="#N/A"/>
  </r>
  <r>
    <n v="1209659027"/>
    <s v="88"/>
    <x v="0"/>
    <d v="2026-10-12T10:25:18"/>
    <s v=""/>
    <s v="PACK"/>
    <n v="19"/>
    <s v="PENDIENTE APROBACION  ENVIO TMS"/>
    <s v="000000001209659027"/>
    <x v="2"/>
    <x v="0"/>
    <s v="APROBAR"/>
    <n v="1"/>
    <e v="#N/A"/>
  </r>
  <r>
    <n v="1209659124"/>
    <s v="102"/>
    <x v="69"/>
    <d v="2026-10-12T10:25:19"/>
    <s v=""/>
    <s v="CAJA"/>
    <n v="9"/>
    <s v="PENDIENTE APROBACION  ENVIO TMS"/>
    <s v="000000001209659124"/>
    <x v="2"/>
    <x v="1"/>
    <s v="APROBAR"/>
    <n v="1"/>
    <e v="#N/A"/>
  </r>
  <r>
    <n v="1209659030"/>
    <s v="88"/>
    <x v="0"/>
    <d v="2026-10-12T10:25:21"/>
    <s v=""/>
    <s v="PACK"/>
    <n v="9"/>
    <s v="PENDIENTE APROBACION  ENVIO TMS"/>
    <s v="000000001209659030"/>
    <x v="2"/>
    <x v="0"/>
    <s v="APROBAR"/>
    <n v="1"/>
    <e v="#N/A"/>
  </r>
  <r>
    <n v="1209659126"/>
    <s v="102"/>
    <x v="69"/>
    <d v="2026-10-12T10:25:22"/>
    <s v=""/>
    <s v="CAJA"/>
    <n v="19"/>
    <s v="PENDIENTE APROBACION  ENVIO TMS"/>
    <s v="000000001209659126"/>
    <x v="2"/>
    <x v="1"/>
    <s v="APROBAR"/>
    <n v="1"/>
    <e v="#N/A"/>
  </r>
  <r>
    <n v="1209659054"/>
    <s v="89"/>
    <x v="71"/>
    <d v="2026-10-12T10:25:23"/>
    <s v=""/>
    <s v="CAJA"/>
    <n v="11"/>
    <s v="PENDIENTE APROBACION  ENVIO TMS"/>
    <s v="000000001209659054"/>
    <x v="2"/>
    <x v="0"/>
    <s v="APROBAR"/>
    <n v="1"/>
    <e v="#N/A"/>
  </r>
  <r>
    <n v="1209659057"/>
    <s v="89"/>
    <x v="71"/>
    <d v="2026-10-12T10:25:24"/>
    <s v=""/>
    <s v="CAJA"/>
    <n v="18"/>
    <s v="PENDIENTE APROBACION  ENVIO TMS"/>
    <s v="000000001209659057"/>
    <x v="2"/>
    <x v="0"/>
    <s v="APROBAR"/>
    <n v="1"/>
    <e v="#N/A"/>
  </r>
  <r>
    <n v="8209659085"/>
    <s v="91"/>
    <x v="70"/>
    <d v="2026-10-12T10:25:25"/>
    <s v=""/>
    <s v="UNIDAD"/>
    <n v="4"/>
    <s v="PENDIENTE APROBACION  ENVIO TMS"/>
    <s v="000000008209659085"/>
    <x v="1"/>
    <x v="3"/>
    <s v="APROBAR"/>
    <n v="1"/>
    <e v="#N/A"/>
  </r>
  <r>
    <n v="1209658994"/>
    <s v="87"/>
    <x v="72"/>
    <d v="2026-10-12T10:25:27"/>
    <s v=""/>
    <s v="CAJA"/>
    <n v="26"/>
    <s v="PENDIENTE APROBACION  ENVIO TMS"/>
    <s v="000000001209658994"/>
    <x v="2"/>
    <x v="0"/>
    <s v="APROBAR"/>
    <n v="1"/>
    <e v="#N/A"/>
  </r>
  <r>
    <n v="8209659018"/>
    <s v="88"/>
    <x v="0"/>
    <d v="2026-10-12T10:25:28"/>
    <s v=""/>
    <s v="UNIDAD"/>
    <n v="1"/>
    <s v="PENDIENTE APROBACION  ENVIO TMS"/>
    <s v="000000008209659018"/>
    <x v="1"/>
    <x v="0"/>
    <s v="APROBAR"/>
    <n v="1"/>
    <e v="#N/A"/>
  </r>
  <r>
    <n v="1209659088"/>
    <s v="91"/>
    <x v="70"/>
    <d v="2026-10-12T10:25:28"/>
    <s v=""/>
    <s v="CAJA"/>
    <n v="13"/>
    <s v="PENDIENTE APROBACION  ENVIO TMS"/>
    <s v="000000001209659088"/>
    <x v="2"/>
    <x v="3"/>
    <s v="APROBAR"/>
    <n v="1"/>
    <e v="#N/A"/>
  </r>
  <r>
    <n v="1209659025"/>
    <s v="88"/>
    <x v="0"/>
    <d v="2026-10-12T10:25:30"/>
    <s v=""/>
    <s v="PACK"/>
    <n v="20"/>
    <s v="PENDIENTE APROBACION  ENVIO TMS"/>
    <s v="000000001209659025"/>
    <x v="2"/>
    <x v="0"/>
    <s v="APROBAR"/>
    <n v="1"/>
    <e v="#N/A"/>
  </r>
  <r>
    <n v="8209659063"/>
    <s v="89"/>
    <x v="71"/>
    <d v="2026-10-12T10:25:31"/>
    <s v=""/>
    <s v="UNIDAD"/>
    <n v="9"/>
    <s v="PENDIENTE APROBACION  ENVIO TMS"/>
    <s v="000000008209659063"/>
    <x v="1"/>
    <x v="0"/>
    <s v="APROBAR"/>
    <n v="1"/>
    <e v="#N/A"/>
  </r>
  <r>
    <n v="8209659118"/>
    <s v="102"/>
    <x v="69"/>
    <d v="2026-10-12T10:25:32"/>
    <s v=""/>
    <s v="UNIDAD"/>
    <n v="7"/>
    <s v="PENDIENTE APROBACION  ENVIO TMS"/>
    <s v="000000008209659118"/>
    <x v="1"/>
    <x v="1"/>
    <s v="APROBAR"/>
    <n v="1"/>
    <e v="#N/A"/>
  </r>
  <r>
    <n v="1209659265"/>
    <s v="106"/>
    <x v="73"/>
    <d v="2026-10-12T10:28:52"/>
    <s v=""/>
    <s v="CAJA"/>
    <n v="27"/>
    <s v="PENDIENTE APROBACION  ENVIO TMS"/>
    <s v="000000001209659265"/>
    <x v="2"/>
    <x v="0"/>
    <s v="APROBAR"/>
    <n v="1"/>
    <e v="#N/A"/>
  </r>
  <r>
    <n v="8209659141"/>
    <s v="103"/>
    <x v="74"/>
    <d v="2026-10-12T10:28:53"/>
    <s v=""/>
    <s v="UNIDAD"/>
    <n v="25"/>
    <s v="PENDIENTE APROBACION  ENVIO TMS"/>
    <s v="000000008209659141"/>
    <x v="1"/>
    <x v="3"/>
    <s v="APROBAR"/>
    <n v="1"/>
    <e v="#N/A"/>
  </r>
  <r>
    <n v="8209659211"/>
    <s v="104"/>
    <x v="75"/>
    <d v="2026-10-12T10:28:54"/>
    <s v=""/>
    <s v="UNIDAD"/>
    <n v="2"/>
    <s v="PENDIENTE APROBACION  ENVIO TMS"/>
    <s v="000000008209659211"/>
    <x v="1"/>
    <x v="2"/>
    <s v="APROBAR"/>
    <n v="1"/>
    <e v="#N/A"/>
  </r>
  <r>
    <n v="1209659232"/>
    <s v="105"/>
    <x v="76"/>
    <d v="2026-10-12T10:28:56"/>
    <s v=""/>
    <s v="PACK"/>
    <n v="21"/>
    <s v="PENDIENTE APROBACION  ENVIO TMS"/>
    <s v="000000001209659232"/>
    <x v="2"/>
    <x v="3"/>
    <s v="APROBAR"/>
    <n v="1"/>
    <e v="#N/A"/>
  </r>
  <r>
    <n v="1209659267"/>
    <s v="106"/>
    <x v="73"/>
    <d v="2026-10-12T10:28:57"/>
    <s v=""/>
    <s v="CAJA"/>
    <n v="32"/>
    <s v="PENDIENTE APROBACION  ENVIO TMS"/>
    <s v="000000001209659267"/>
    <x v="2"/>
    <x v="0"/>
    <s v="APROBAR"/>
    <n v="1"/>
    <e v="#N/A"/>
  </r>
  <r>
    <n v="1209659234"/>
    <s v="105"/>
    <x v="76"/>
    <d v="2026-10-12T10:28:58"/>
    <s v=""/>
    <s v="CAJA"/>
    <n v="8"/>
    <s v="PENDIENTE APROBACION  ENVIO TMS"/>
    <s v="000000001209659234"/>
    <x v="2"/>
    <x v="3"/>
    <s v="APROBAR"/>
    <n v="1"/>
    <e v="#N/A"/>
  </r>
  <r>
    <n v="1209659201"/>
    <s v="104"/>
    <x v="75"/>
    <d v="2026-10-12T10:28:59"/>
    <s v=""/>
    <s v="CAJA"/>
    <n v="10"/>
    <s v="PENDIENTE APROBACION  ENVIO TMS"/>
    <s v="000000001209659201"/>
    <x v="2"/>
    <x v="2"/>
    <s v="APROBAR"/>
    <n v="1"/>
    <e v="#N/A"/>
  </r>
  <r>
    <n v="1209659276"/>
    <s v="106"/>
    <x v="73"/>
    <d v="2026-10-12T10:29:00"/>
    <s v=""/>
    <s v="CAJA"/>
    <n v="18"/>
    <s v="PENDIENTE APROBACION  ENVIO TMS"/>
    <s v="000000001209659276"/>
    <x v="2"/>
    <x v="0"/>
    <s v="APROBAR"/>
    <n v="1"/>
    <e v="#N/A"/>
  </r>
  <r>
    <n v="8209659295"/>
    <s v="107"/>
    <x v="77"/>
    <d v="2026-10-12T10:29:02"/>
    <s v=""/>
    <s v="UNIDAD"/>
    <n v="7"/>
    <s v="PENDIENTE APROBACION  ENVIO TMS"/>
    <s v="000000008209659295"/>
    <x v="1"/>
    <x v="0"/>
    <s v="APROBAR"/>
    <n v="1"/>
    <e v="#N/A"/>
  </r>
  <r>
    <n v="1209659299"/>
    <s v="107"/>
    <x v="77"/>
    <d v="2026-10-12T10:29:03"/>
    <s v=""/>
    <s v="PACK"/>
    <n v="12"/>
    <s v="PENDIENTE APROBACION  ENVIO TMS"/>
    <s v="000000001209659299"/>
    <x v="2"/>
    <x v="0"/>
    <s v="APROBAR"/>
    <n v="1"/>
    <e v="#N/A"/>
  </r>
  <r>
    <n v="1209659262"/>
    <s v="106"/>
    <x v="73"/>
    <d v="2026-10-12T10:29:04"/>
    <s v=""/>
    <s v="CAJA"/>
    <n v="12"/>
    <s v="PENDIENTE APROBACION  ENVIO TMS"/>
    <s v="000000001209659262"/>
    <x v="2"/>
    <x v="0"/>
    <s v="APROBAR"/>
    <n v="1"/>
    <e v="#N/A"/>
  </r>
  <r>
    <n v="1209659152"/>
    <s v="103"/>
    <x v="74"/>
    <d v="2026-10-12T10:29:05"/>
    <s v=""/>
    <s v="PACK"/>
    <n v="66"/>
    <s v="PENDIENTE APROBACION  ENVIO TMS"/>
    <s v="000000001209659152"/>
    <x v="2"/>
    <x v="3"/>
    <s v="APROBAR"/>
    <n v="1"/>
    <e v="#N/A"/>
  </r>
  <r>
    <n v="1209659304"/>
    <s v="107"/>
    <x v="77"/>
    <d v="2026-10-12T10:29:07"/>
    <s v=""/>
    <s v="PACK"/>
    <n v="45"/>
    <s v="PENDIENTE APROBACION  ENVIO TMS"/>
    <s v="000000001209659304"/>
    <x v="2"/>
    <x v="0"/>
    <s v="APROBAR"/>
    <n v="1"/>
    <e v="#N/A"/>
  </r>
  <r>
    <n v="8209659138"/>
    <s v="103"/>
    <x v="74"/>
    <d v="2026-10-12T10:29:08"/>
    <s v=""/>
    <s v="UNIDAD"/>
    <n v="1"/>
    <s v="PENDIENTE APROBACION  ENVIO TMS"/>
    <s v="000000008209659138"/>
    <x v="1"/>
    <x v="3"/>
    <s v="APROBAR"/>
    <n v="1"/>
    <e v="#N/A"/>
  </r>
  <r>
    <n v="1209659231"/>
    <s v="105"/>
    <x v="76"/>
    <d v="2026-10-12T10:29:09"/>
    <s v=""/>
    <s v="CAJA"/>
    <n v="25"/>
    <s v="PENDIENTE APROBACION  ENVIO TMS"/>
    <s v="000000001209659231"/>
    <x v="2"/>
    <x v="3"/>
    <s v="APROBAR"/>
    <n v="1"/>
    <e v="#N/A"/>
  </r>
  <r>
    <n v="1209659144"/>
    <s v="103"/>
    <x v="74"/>
    <d v="2026-10-12T10:29:10"/>
    <s v=""/>
    <s v="CAJA"/>
    <n v="15"/>
    <s v="PENDIENTE APROBACION  ENVIO TMS"/>
    <s v="000000001209659144"/>
    <x v="2"/>
    <x v="3"/>
    <s v="APROBAR"/>
    <n v="1"/>
    <e v="#N/A"/>
  </r>
  <r>
    <n v="1209659212"/>
    <s v="104"/>
    <x v="75"/>
    <d v="2026-10-12T10:29:11"/>
    <s v=""/>
    <s v="CAJA"/>
    <n v="11"/>
    <s v="PENDIENTE APROBACION  ENVIO TMS"/>
    <s v="000000001209659212"/>
    <x v="2"/>
    <x v="2"/>
    <s v="APROBAR"/>
    <n v="1"/>
    <e v="#N/A"/>
  </r>
  <r>
    <n v="8209659252"/>
    <s v="106"/>
    <x v="73"/>
    <d v="2026-10-12T10:29:12"/>
    <s v=""/>
    <s v="UNIDAD"/>
    <n v="1"/>
    <s v="PENDIENTE APROBACION  ENVIO TMS"/>
    <s v="000000008209659252"/>
    <x v="1"/>
    <x v="0"/>
    <s v="APROBAR"/>
    <n v="1"/>
    <e v="#N/A"/>
  </r>
  <r>
    <n v="8209659294"/>
    <s v="107"/>
    <x v="77"/>
    <d v="2026-10-12T10:29:14"/>
    <s v=""/>
    <s v="UNIDAD"/>
    <n v="7"/>
    <s v="PENDIENTE APROBACION  ENVIO TMS"/>
    <s v="000000008209659294"/>
    <x v="1"/>
    <x v="0"/>
    <s v="APROBAR"/>
    <n v="1"/>
    <e v="#N/A"/>
  </r>
  <r>
    <n v="1209659148"/>
    <s v="103"/>
    <x v="74"/>
    <d v="2026-10-12T10:29:14"/>
    <s v=""/>
    <s v="CAJA"/>
    <n v="6"/>
    <s v="PENDIENTE APROBACION  ENVIO TMS"/>
    <s v="000000001209659148"/>
    <x v="2"/>
    <x v="3"/>
    <s v="APROBAR"/>
    <n v="1"/>
    <e v="#N/A"/>
  </r>
  <r>
    <n v="1209659202"/>
    <s v="104"/>
    <x v="75"/>
    <d v="2026-10-12T10:29:16"/>
    <s v=""/>
    <s v="PACK"/>
    <n v="11"/>
    <s v="PENDIENTE APROBACION  ENVIO TMS"/>
    <s v="000000001209659202"/>
    <x v="2"/>
    <x v="2"/>
    <s v="APROBAR"/>
    <n v="1"/>
    <e v="#N/A"/>
  </r>
  <r>
    <n v="8209659223"/>
    <s v="105"/>
    <x v="76"/>
    <d v="2026-10-12T10:29:17"/>
    <s v=""/>
    <s v="UNIDAD"/>
    <n v="11"/>
    <s v="PENDIENTE APROBACION  ENVIO TMS"/>
    <s v="000000008209659223"/>
    <x v="1"/>
    <x v="3"/>
    <s v="APROBAR"/>
    <n v="1"/>
    <e v="#N/A"/>
  </r>
  <r>
    <n v="8209659193"/>
    <s v="104"/>
    <x v="75"/>
    <d v="2026-10-12T10:29:18"/>
    <s v=""/>
    <s v="UNIDAD"/>
    <n v="5"/>
    <s v="PENDIENTE APROBACION  ENVIO TMS"/>
    <s v="000000008209659193"/>
    <x v="1"/>
    <x v="2"/>
    <s v="APROBAR"/>
    <n v="1"/>
    <e v="#N/A"/>
  </r>
  <r>
    <n v="8209659253"/>
    <s v="106"/>
    <x v="73"/>
    <d v="2026-10-12T10:29:20"/>
    <s v=""/>
    <s v="UNIDAD"/>
    <n v="1"/>
    <s v="PENDIENTE APROBACION  ENVIO TMS"/>
    <s v="000000008209659253"/>
    <x v="1"/>
    <x v="0"/>
    <s v="APROBAR"/>
    <n v="1"/>
    <e v="#N/A"/>
  </r>
  <r>
    <n v="8209659195"/>
    <s v="104"/>
    <x v="75"/>
    <d v="2026-10-12T10:29:20"/>
    <s v=""/>
    <s v="UNIDAD"/>
    <n v="2"/>
    <s v="PENDIENTE APROBACION  ENVIO TMS"/>
    <s v="000000008209659195"/>
    <x v="1"/>
    <x v="2"/>
    <s v="APROBAR"/>
    <n v="1"/>
    <e v="#N/A"/>
  </r>
  <r>
    <n v="8209659311"/>
    <s v="107"/>
    <x v="77"/>
    <d v="2026-10-12T10:29:21"/>
    <s v=""/>
    <s v="UNIDAD"/>
    <n v="1"/>
    <s v="PENDIENTE APROBACION  ENVIO TMS"/>
    <s v="000000008209659311"/>
    <x v="1"/>
    <x v="0"/>
    <s v="APROBAR"/>
    <n v="1"/>
    <e v="#N/A"/>
  </r>
  <r>
    <n v="1209659199"/>
    <s v="104"/>
    <x v="75"/>
    <d v="2026-10-12T10:29:23"/>
    <s v=""/>
    <s v="PACK"/>
    <n v="2"/>
    <s v="PENDIENTE APROBACION  ENVIO TMS"/>
    <s v="000000001209659199"/>
    <x v="2"/>
    <x v="2"/>
    <s v="APROBAR"/>
    <n v="1"/>
    <e v="#N/A"/>
  </r>
  <r>
    <n v="8209659291"/>
    <s v="107"/>
    <x v="77"/>
    <d v="2026-10-12T10:29:24"/>
    <s v=""/>
    <s v="UNIDAD"/>
    <n v="5"/>
    <s v="PENDIENTE APROBACION  ENVIO TMS"/>
    <s v="000000008209659291"/>
    <x v="1"/>
    <x v="0"/>
    <s v="APROBAR"/>
    <n v="1"/>
    <e v="#N/A"/>
  </r>
  <r>
    <n v="1209659235"/>
    <s v="105"/>
    <x v="76"/>
    <d v="2026-10-12T10:29:26"/>
    <s v=""/>
    <s v="PACK"/>
    <n v="55"/>
    <s v="PENDIENTE APROBACION  ENVIO TMS"/>
    <s v="000000001209659235"/>
    <x v="2"/>
    <x v="3"/>
    <s v="APROBAR"/>
    <n v="1"/>
    <e v="#N/A"/>
  </r>
  <r>
    <n v="1209659149"/>
    <s v="103"/>
    <x v="74"/>
    <d v="2026-10-12T10:29:26"/>
    <s v=""/>
    <s v="CAJA"/>
    <n v="27"/>
    <s v="PENDIENTE APROBACION  ENVIO TMS"/>
    <s v="000000001209659149"/>
    <x v="2"/>
    <x v="3"/>
    <s v="APROBAR"/>
    <n v="1"/>
    <e v="#N/A"/>
  </r>
  <r>
    <n v="1209659236"/>
    <s v="105"/>
    <x v="76"/>
    <d v="2026-10-12T10:29:27"/>
    <s v=""/>
    <s v="CAJA"/>
    <n v="67"/>
    <s v="PENDIENTE APROBACION  ENVIO TMS"/>
    <s v="000000001209659236"/>
    <x v="2"/>
    <x v="3"/>
    <s v="APROBAR"/>
    <n v="1"/>
    <e v="#N/A"/>
  </r>
  <r>
    <n v="1209659207"/>
    <s v="104"/>
    <x v="75"/>
    <d v="2026-10-12T10:29:29"/>
    <s v=""/>
    <s v="PACK"/>
    <n v="28"/>
    <s v="PENDIENTE APROBACION  ENVIO TMS"/>
    <s v="000000001209659207"/>
    <x v="2"/>
    <x v="2"/>
    <s v="APROBAR"/>
    <n v="1"/>
    <e v="#N/A"/>
  </r>
  <r>
    <n v="8209659222"/>
    <s v="105"/>
    <x v="76"/>
    <d v="2026-10-12T10:29:30"/>
    <s v=""/>
    <s v="UNIDAD"/>
    <n v="5"/>
    <s v="PENDIENTE APROBACION  ENVIO TMS"/>
    <s v="000000008209659222"/>
    <x v="1"/>
    <x v="3"/>
    <s v="APROBAR"/>
    <n v="1"/>
    <e v="#N/A"/>
  </r>
  <r>
    <n v="1209659227"/>
    <s v="105"/>
    <x v="76"/>
    <d v="2026-10-12T10:29:32"/>
    <s v=""/>
    <s v="CAJA"/>
    <n v="2"/>
    <s v="PENDIENTE APROBACION  ENVIO TMS"/>
    <s v="000000001209659227"/>
    <x v="2"/>
    <x v="3"/>
    <s v="APROBAR"/>
    <n v="1"/>
    <e v="#N/A"/>
  </r>
  <r>
    <n v="8209659140"/>
    <s v="103"/>
    <x v="74"/>
    <d v="2026-10-12T10:29:32"/>
    <s v=""/>
    <s v="UNIDAD"/>
    <n v="15"/>
    <s v="PENDIENTE APROBACION  ENVIO TMS"/>
    <s v="000000008209659140"/>
    <x v="1"/>
    <x v="3"/>
    <s v="APROBAR"/>
    <n v="1"/>
    <e v="#N/A"/>
  </r>
  <r>
    <n v="1209659266"/>
    <s v="106"/>
    <x v="73"/>
    <d v="2026-10-12T10:29:33"/>
    <s v=""/>
    <s v="PACK"/>
    <n v="31"/>
    <s v="PENDIENTE APROBACION  ENVIO TMS"/>
    <s v="000000001209659266"/>
    <x v="2"/>
    <x v="0"/>
    <s v="APROBAR"/>
    <n v="1"/>
    <e v="#N/A"/>
  </r>
  <r>
    <n v="1209659155"/>
    <s v="103"/>
    <x v="74"/>
    <d v="2026-10-12T10:29:35"/>
    <s v=""/>
    <s v="CAJA"/>
    <n v="17"/>
    <s v="PENDIENTE APROBACION  ENVIO TMS"/>
    <s v="000000001209659155"/>
    <x v="2"/>
    <x v="3"/>
    <s v="APROBAR"/>
    <n v="1"/>
    <e v="#N/A"/>
  </r>
  <r>
    <n v="8209659197"/>
    <s v="104"/>
    <x v="75"/>
    <d v="2026-10-12T10:29:36"/>
    <s v=""/>
    <s v="UNIDAD"/>
    <n v="2"/>
    <s v="PENDIENTE APROBACION  ENVIO TMS"/>
    <s v="000000008209659197"/>
    <x v="1"/>
    <x v="2"/>
    <s v="APROBAR"/>
    <n v="1"/>
    <e v="#N/A"/>
  </r>
  <r>
    <n v="1209659273"/>
    <s v="106"/>
    <x v="73"/>
    <d v="2026-10-12T10:29:38"/>
    <s v=""/>
    <s v="UNIDAD"/>
    <n v="23"/>
    <s v="PENDIENTE APROBACION  ENVIO TMS"/>
    <s v="000000001209659273"/>
    <x v="2"/>
    <x v="0"/>
    <s v="APROBAR"/>
    <n v="1"/>
    <e v="#N/A"/>
  </r>
  <r>
    <n v="8209659256"/>
    <s v="106"/>
    <x v="73"/>
    <d v="2026-10-12T10:29:38"/>
    <s v=""/>
    <s v="UNIDAD"/>
    <n v="1"/>
    <s v="PENDIENTE APROBACION  ENVIO TMS"/>
    <s v="000000008209659256"/>
    <x v="1"/>
    <x v="0"/>
    <s v="APROBAR"/>
    <n v="1"/>
    <e v="#N/A"/>
  </r>
  <r>
    <n v="8209659257"/>
    <s v="106"/>
    <x v="73"/>
    <d v="2026-10-12T10:29:39"/>
    <s v=""/>
    <s v="UNIDAD"/>
    <n v="1"/>
    <s v="PENDIENTE APROBACION  ENVIO TMS"/>
    <s v="000000008209659257"/>
    <x v="1"/>
    <x v="0"/>
    <s v="APROBAR"/>
    <n v="1"/>
    <e v="#N/A"/>
  </r>
  <r>
    <n v="1209659277"/>
    <s v="106"/>
    <x v="73"/>
    <d v="2026-10-12T10:29:41"/>
    <s v=""/>
    <s v="CAJA"/>
    <n v="14"/>
    <s v="PENDIENTE APROBACION  ENVIO TMS"/>
    <s v="000000001209659277"/>
    <x v="2"/>
    <x v="0"/>
    <s v="APROBAR"/>
    <n v="1"/>
    <e v="#N/A"/>
  </r>
  <r>
    <n v="1209659204"/>
    <s v="104"/>
    <x v="75"/>
    <d v="2026-10-12T10:29:42"/>
    <s v=""/>
    <s v="CAJA"/>
    <n v="18"/>
    <s v="PENDIENTE APROBACION  ENVIO TMS"/>
    <s v="000000001209659204"/>
    <x v="2"/>
    <x v="2"/>
    <s v="APROBAR"/>
    <n v="1"/>
    <e v="#N/A"/>
  </r>
  <r>
    <n v="8209659224"/>
    <s v="105"/>
    <x v="76"/>
    <d v="2026-10-12T10:29:43"/>
    <s v=""/>
    <s v="UNIDAD"/>
    <n v="7"/>
    <s v="PENDIENTE APROBACION  ENVIO TMS"/>
    <s v="000000008209659224"/>
    <x v="1"/>
    <x v="3"/>
    <s v="APROBAR"/>
    <n v="1"/>
    <e v="#N/A"/>
  </r>
  <r>
    <n v="8209659237"/>
    <s v="105"/>
    <x v="76"/>
    <d v="2026-10-12T10:29:44"/>
    <s v=""/>
    <s v="UNIDAD"/>
    <n v="27"/>
    <s v="PENDIENTE APROBACION  ENVIO TMS"/>
    <s v="000000008209659237"/>
    <x v="1"/>
    <x v="3"/>
    <s v="APROBAR"/>
    <n v="1"/>
    <e v="#N/A"/>
  </r>
  <r>
    <n v="1209659245"/>
    <s v="105"/>
    <x v="76"/>
    <d v="2026-10-12T10:29:45"/>
    <s v=""/>
    <s v="PACK"/>
    <n v="15"/>
    <s v="PENDIENTE APROBACION  ENVIO TMS"/>
    <s v="000000001209659245"/>
    <x v="2"/>
    <x v="3"/>
    <s v="APROBAR"/>
    <n v="1"/>
    <e v="#N/A"/>
  </r>
  <r>
    <n v="1209659229"/>
    <s v="105"/>
    <x v="76"/>
    <d v="2026-10-12T10:29:47"/>
    <s v=""/>
    <s v="PACK"/>
    <n v="19"/>
    <s v="PENDIENTE APROBACION  ENVIO TMS"/>
    <s v="000000001209659229"/>
    <x v="2"/>
    <x v="3"/>
    <s v="APROBAR"/>
    <n v="1"/>
    <e v="#N/A"/>
  </r>
  <r>
    <n v="8209659269"/>
    <s v="106"/>
    <x v="73"/>
    <d v="2026-10-12T10:29:48"/>
    <s v=""/>
    <s v="UNIDAD"/>
    <n v="7"/>
    <s v="PENDIENTE APROBACION  ENVIO TMS"/>
    <s v="000000008209659269"/>
    <x v="1"/>
    <x v="0"/>
    <s v="APROBAR"/>
    <n v="1"/>
    <e v="#N/A"/>
  </r>
  <r>
    <n v="8209659200"/>
    <s v="104"/>
    <x v="75"/>
    <d v="2026-10-12T10:29:49"/>
    <s v=""/>
    <s v="UNIDAD"/>
    <n v="8"/>
    <s v="PENDIENTE APROBACION  ENVIO TMS"/>
    <s v="000000008209659200"/>
    <x v="1"/>
    <x v="2"/>
    <s v="APROBAR"/>
    <n v="1"/>
    <e v="#N/A"/>
  </r>
  <r>
    <n v="1209659219"/>
    <s v="104"/>
    <x v="75"/>
    <d v="2026-10-12T10:29:50"/>
    <s v=""/>
    <s v="CAJA"/>
    <n v="2"/>
    <s v="PENDIENTE APROBACION  ENVIO TMS"/>
    <s v="000000001209659219"/>
    <x v="2"/>
    <x v="2"/>
    <s v="APROBAR"/>
    <n v="1"/>
    <e v="#N/A"/>
  </r>
  <r>
    <n v="1209659296"/>
    <s v="107"/>
    <x v="77"/>
    <d v="2026-10-12T10:29:51"/>
    <s v=""/>
    <s v="PACK"/>
    <n v="3"/>
    <s v="PENDIENTE APROBACION  ENVIO TMS"/>
    <s v="000000001209659296"/>
    <x v="2"/>
    <x v="0"/>
    <s v="APROBAR"/>
    <n v="1"/>
    <e v="#N/A"/>
  </r>
  <r>
    <n v="1209659280"/>
    <s v="106"/>
    <x v="73"/>
    <d v="2026-10-12T10:29:53"/>
    <s v=""/>
    <s v="CAJA"/>
    <n v="6"/>
    <s v="PENDIENTE APROBACION  ENVIO TMS"/>
    <s v="000000001209659280"/>
    <x v="2"/>
    <x v="0"/>
    <s v="APROBAR"/>
    <n v="1"/>
    <e v="#N/A"/>
  </r>
  <r>
    <n v="1209659298"/>
    <s v="107"/>
    <x v="77"/>
    <d v="2026-10-12T10:29:54"/>
    <s v=""/>
    <s v="CAJA"/>
    <n v="7"/>
    <s v="PENDIENTE APROBACION  ENVIO TMS"/>
    <s v="000000001209659298"/>
    <x v="2"/>
    <x v="0"/>
    <s v="APROBAR"/>
    <n v="1"/>
    <e v="#N/A"/>
  </r>
  <r>
    <n v="1209659260"/>
    <s v="106"/>
    <x v="73"/>
    <d v="2026-10-12T10:29:55"/>
    <s v=""/>
    <s v="CAJA"/>
    <n v="5"/>
    <s v="PENDIENTE APROBACION  ENVIO TMS"/>
    <s v="000000001209659260"/>
    <x v="2"/>
    <x v="0"/>
    <s v="APROBAR"/>
    <n v="1"/>
    <e v="#N/A"/>
  </r>
  <r>
    <n v="1209659300"/>
    <s v="107"/>
    <x v="77"/>
    <d v="2026-10-12T10:29:56"/>
    <s v=""/>
    <s v="PACK"/>
    <n v="11"/>
    <s v="PENDIENTE APROBACION  ENVIO TMS"/>
    <s v="000000001209659300"/>
    <x v="2"/>
    <x v="0"/>
    <s v="APROBAR"/>
    <n v="1"/>
    <e v="#N/A"/>
  </r>
  <r>
    <n v="8209659225"/>
    <s v="105"/>
    <x v="76"/>
    <d v="2026-10-12T10:29:57"/>
    <s v=""/>
    <s v="UNIDAD"/>
    <n v="5"/>
    <s v="PENDIENTE APROBACION  ENVIO TMS"/>
    <s v="000000008209659225"/>
    <x v="1"/>
    <x v="3"/>
    <s v="APROBAR"/>
    <n v="1"/>
    <e v="#N/A"/>
  </r>
  <r>
    <n v="8209659142"/>
    <s v="103"/>
    <x v="74"/>
    <d v="2026-10-12T10:29:58"/>
    <s v=""/>
    <s v="UNIDAD"/>
    <n v="3"/>
    <s v="PENDIENTE APROBACION  ENVIO TMS"/>
    <s v="000000008209659142"/>
    <x v="1"/>
    <x v="3"/>
    <s v="APROBAR"/>
    <n v="1"/>
    <e v="#N/A"/>
  </r>
  <r>
    <n v="8209659154"/>
    <s v="103"/>
    <x v="74"/>
    <d v="2026-10-12T10:30:00"/>
    <s v=""/>
    <s v="UNIDAD"/>
    <n v="5"/>
    <s v="PENDIENTE APROBACION  ENVIO TMS"/>
    <s v="000000008209659154"/>
    <x v="1"/>
    <x v="3"/>
    <s v="APROBAR"/>
    <n v="1"/>
    <e v="#N/A"/>
  </r>
  <r>
    <n v="1209659146"/>
    <s v="103"/>
    <x v="74"/>
    <d v="2026-10-12T10:30:01"/>
    <s v=""/>
    <s v="CAJA"/>
    <n v="15"/>
    <s v="PENDIENTE APROBACION  ENVIO TMS"/>
    <s v="000000001209659146"/>
    <x v="2"/>
    <x v="3"/>
    <s v="APROBAR"/>
    <n v="1"/>
    <e v="#N/A"/>
  </r>
  <r>
    <n v="1209659233"/>
    <s v="105"/>
    <x v="76"/>
    <d v="2026-10-12T10:30:02"/>
    <s v=""/>
    <s v="CAJA"/>
    <n v="19"/>
    <s v="PENDIENTE APROBACION  ENVIO TMS"/>
    <s v="000000001209659233"/>
    <x v="2"/>
    <x v="3"/>
    <s v="APROBAR"/>
    <n v="1"/>
    <e v="#N/A"/>
  </r>
  <r>
    <n v="1209659147"/>
    <s v="103"/>
    <x v="74"/>
    <d v="2026-10-12T10:30:03"/>
    <s v=""/>
    <s v="PACK"/>
    <n v="23"/>
    <s v="PENDIENTE APROBACION  ENVIO TMS"/>
    <s v="000000001209659147"/>
    <x v="2"/>
    <x v="3"/>
    <s v="APROBAR"/>
    <n v="1"/>
    <e v="#N/A"/>
  </r>
  <r>
    <n v="8209659255"/>
    <s v="106"/>
    <x v="73"/>
    <d v="2026-10-12T10:30:04"/>
    <s v=""/>
    <s v="UNIDAD"/>
    <n v="2"/>
    <s v="PENDIENTE APROBACION  ENVIO TMS"/>
    <s v="000000008209659255"/>
    <x v="1"/>
    <x v="0"/>
    <s v="APROBAR"/>
    <n v="1"/>
    <e v="#N/A"/>
  </r>
  <r>
    <n v="1209659203"/>
    <s v="104"/>
    <x v="75"/>
    <d v="2026-10-12T10:30:06"/>
    <s v=""/>
    <s v="PACK"/>
    <n v="17"/>
    <s v="PENDIENTE APROBACION  ENVIO TMS"/>
    <s v="000000001209659203"/>
    <x v="2"/>
    <x v="2"/>
    <s v="APROBAR"/>
    <n v="1"/>
    <e v="#N/A"/>
  </r>
  <r>
    <n v="1209659297"/>
    <s v="107"/>
    <x v="77"/>
    <d v="2026-10-12T10:30:06"/>
    <s v=""/>
    <s v="CAJA"/>
    <n v="9"/>
    <s v="PENDIENTE APROBACION  ENVIO TMS"/>
    <s v="000000001209659297"/>
    <x v="2"/>
    <x v="0"/>
    <s v="APROBAR"/>
    <n v="1"/>
    <e v="#N/A"/>
  </r>
  <r>
    <n v="1209659259"/>
    <s v="106"/>
    <x v="73"/>
    <d v="2026-10-12T10:30:08"/>
    <s v=""/>
    <s v="PACK"/>
    <n v="3"/>
    <s v="PENDIENTE APROBACION  ENVIO TMS"/>
    <s v="000000001209659259"/>
    <x v="2"/>
    <x v="0"/>
    <s v="APROBAR"/>
    <n v="1"/>
    <e v="#N/A"/>
  </r>
  <r>
    <n v="1209659206"/>
    <s v="104"/>
    <x v="75"/>
    <d v="2026-10-12T10:30:09"/>
    <s v=""/>
    <s v="CAJA"/>
    <n v="17"/>
    <s v="PENDIENTE APROBACION  ENVIO TMS"/>
    <s v="000000001209659206"/>
    <x v="2"/>
    <x v="2"/>
    <s v="APROBAR"/>
    <n v="1"/>
    <e v="#N/A"/>
  </r>
  <r>
    <n v="1209659208"/>
    <s v="104"/>
    <x v="75"/>
    <d v="2026-10-12T10:30:10"/>
    <s v=""/>
    <s v="CAJA"/>
    <n v="33"/>
    <s v="PENDIENTE APROBACION  ENVIO TMS"/>
    <s v="000000001209659208"/>
    <x v="2"/>
    <x v="2"/>
    <s v="APROBAR"/>
    <n v="1"/>
    <e v="#N/A"/>
  </r>
  <r>
    <n v="1209659228"/>
    <s v="105"/>
    <x v="76"/>
    <d v="2026-10-12T10:30:12"/>
    <s v=""/>
    <s v="PACK"/>
    <n v="15"/>
    <s v="PENDIENTE APROBACION  ENVIO TMS"/>
    <s v="000000001209659228"/>
    <x v="2"/>
    <x v="3"/>
    <s v="APROBAR"/>
    <n v="1"/>
    <e v="#N/A"/>
  </r>
  <r>
    <n v="8209659137"/>
    <s v="103"/>
    <x v="74"/>
    <d v="2026-10-12T10:30:13"/>
    <s v=""/>
    <s v="UNIDAD"/>
    <n v="5"/>
    <s v="PENDIENTE APROBACION  ENVIO TMS"/>
    <s v="000000008209659137"/>
    <x v="1"/>
    <x v="3"/>
    <s v="APROBAR"/>
    <n v="1"/>
    <e v="#N/A"/>
  </r>
  <r>
    <n v="8209659139"/>
    <s v="103"/>
    <x v="74"/>
    <d v="2026-10-12T10:30:14"/>
    <s v=""/>
    <s v="UNIDAD"/>
    <n v="8"/>
    <s v="PENDIENTE APROBACION  ENVIO TMS"/>
    <s v="000000008209659139"/>
    <x v="1"/>
    <x v="3"/>
    <s v="APROBAR"/>
    <n v="1"/>
    <e v="#N/A"/>
  </r>
  <r>
    <n v="1209659209"/>
    <s v="104"/>
    <x v="75"/>
    <d v="2026-10-12T10:30:15"/>
    <s v=""/>
    <s v="CAJA"/>
    <n v="28"/>
    <s v="PENDIENTE APROBACION  ENVIO TMS"/>
    <s v="000000001209659209"/>
    <x v="2"/>
    <x v="2"/>
    <s v="APROBAR"/>
    <n v="1"/>
    <e v="#N/A"/>
  </r>
  <r>
    <n v="1209659230"/>
    <s v="105"/>
    <x v="76"/>
    <d v="2026-10-12T10:30:16"/>
    <s v=""/>
    <s v="CAJA"/>
    <n v="20"/>
    <s v="PENDIENTE APROBACION  ENVIO TMS"/>
    <s v="000000001209659230"/>
    <x v="2"/>
    <x v="3"/>
    <s v="APROBAR"/>
    <n v="1"/>
    <e v="#N/A"/>
  </r>
  <r>
    <n v="1209659308"/>
    <s v="107"/>
    <x v="77"/>
    <d v="2026-10-12T10:30:18"/>
    <s v=""/>
    <s v="CAJA"/>
    <n v="4"/>
    <s v="PENDIENTE APROBACION  ENVIO TMS"/>
    <s v="000000001209659308"/>
    <x v="2"/>
    <x v="0"/>
    <s v="APROBAR"/>
    <n v="1"/>
    <e v="#N/A"/>
  </r>
  <r>
    <n v="1209659143"/>
    <s v="103"/>
    <x v="74"/>
    <d v="2026-10-12T10:30:18"/>
    <s v=""/>
    <s v="PACK"/>
    <n v="3"/>
    <s v="PENDIENTE APROBACION  ENVIO TMS"/>
    <s v="000000001209659143"/>
    <x v="2"/>
    <x v="3"/>
    <s v="APROBAR"/>
    <n v="1"/>
    <e v="#N/A"/>
  </r>
  <r>
    <n v="8209659268"/>
    <s v="106"/>
    <x v="73"/>
    <d v="2026-10-12T10:30:20"/>
    <s v=""/>
    <s v="UNIDAD"/>
    <n v="3"/>
    <s v="PENDIENTE APROBACION  ENVIO TMS"/>
    <s v="000000008209659268"/>
    <x v="1"/>
    <x v="0"/>
    <s v="APROBAR"/>
    <n v="1"/>
    <e v="#N/A"/>
  </r>
  <r>
    <n v="8209659270"/>
    <s v="106"/>
    <x v="73"/>
    <d v="2026-10-12T10:30:21"/>
    <s v=""/>
    <s v="UNIDAD"/>
    <n v="4"/>
    <s v="PENDIENTE APROBACION  ENVIO TMS"/>
    <s v="000000008209659270"/>
    <x v="1"/>
    <x v="0"/>
    <s v="APROBAR"/>
    <n v="1"/>
    <e v="#N/A"/>
  </r>
  <r>
    <n v="8209659194"/>
    <s v="104"/>
    <x v="75"/>
    <d v="2026-10-12T10:30:23"/>
    <s v=""/>
    <s v="UNIDAD"/>
    <n v="5"/>
    <s v="PENDIENTE APROBACION  ENVIO TMS"/>
    <s v="000000008209659194"/>
    <x v="1"/>
    <x v="2"/>
    <s v="APROBAR"/>
    <n v="1"/>
    <e v="#N/A"/>
  </r>
  <r>
    <n v="8209659196"/>
    <s v="104"/>
    <x v="75"/>
    <d v="2026-10-12T10:30:24"/>
    <s v=""/>
    <s v="UNIDAD"/>
    <n v="4"/>
    <s v="PENDIENTE APROBACION  ENVIO TMS"/>
    <s v="000000008209659196"/>
    <x v="1"/>
    <x v="2"/>
    <s v="APROBAR"/>
    <n v="1"/>
    <e v="#N/A"/>
  </r>
  <r>
    <n v="8209659292"/>
    <s v="107"/>
    <x v="77"/>
    <d v="2026-10-12T10:30:25"/>
    <s v=""/>
    <s v="UNIDAD"/>
    <n v="3"/>
    <s v="PENDIENTE APROBACION  ENVIO TMS"/>
    <s v="000000008209659292"/>
    <x v="1"/>
    <x v="0"/>
    <s v="APROBAR"/>
    <n v="1"/>
    <e v="#N/A"/>
  </r>
  <r>
    <n v="8209659293"/>
    <s v="107"/>
    <x v="77"/>
    <d v="2026-10-12T10:30:26"/>
    <s v=""/>
    <s v="UNIDAD"/>
    <n v="1"/>
    <s v="PENDIENTE APROBACION  ENVIO TMS"/>
    <s v="000000008209659293"/>
    <x v="1"/>
    <x v="0"/>
    <s v="APROBAR"/>
    <n v="1"/>
    <e v="#N/A"/>
  </r>
  <r>
    <n v="1209659318"/>
    <s v="107"/>
    <x v="77"/>
    <d v="2026-10-12T10:30:27"/>
    <s v=""/>
    <s v="PACK"/>
    <n v="23"/>
    <s v="PENDIENTE APROBACION  ENVIO TMS"/>
    <s v="000000001209659318"/>
    <x v="2"/>
    <x v="0"/>
    <s v="APROBAR"/>
    <n v="1"/>
    <e v="#N/A"/>
  </r>
  <r>
    <n v="1209659302"/>
    <s v="107"/>
    <x v="77"/>
    <d v="2026-10-12T10:30:29"/>
    <s v=""/>
    <s v="CAJA"/>
    <n v="34"/>
    <s v="PENDIENTE APROBACION  ENVIO TMS"/>
    <s v="000000001209659302"/>
    <x v="2"/>
    <x v="0"/>
    <s v="APROBAR"/>
    <n v="1"/>
    <e v="#N/A"/>
  </r>
  <r>
    <n v="1209659150"/>
    <s v="103"/>
    <x v="74"/>
    <d v="2026-10-12T10:30:29"/>
    <s v=""/>
    <s v="CAJA"/>
    <n v="44"/>
    <s v="PENDIENTE APROBACION  ENVIO TMS"/>
    <s v="000000001209659150"/>
    <x v="2"/>
    <x v="3"/>
    <s v="APROBAR"/>
    <n v="1"/>
    <e v="#N/A"/>
  </r>
  <r>
    <n v="8209659226"/>
    <s v="105"/>
    <x v="76"/>
    <d v="2026-10-12T10:30:31"/>
    <s v=""/>
    <s v="UNIDAD"/>
    <n v="8"/>
    <s v="PENDIENTE APROBACION  ENVIO TMS"/>
    <s v="000000008209659226"/>
    <x v="1"/>
    <x v="3"/>
    <s v="APROBAR"/>
    <n v="1"/>
    <e v="#N/A"/>
  </r>
  <r>
    <n v="1209659264"/>
    <s v="106"/>
    <x v="73"/>
    <d v="2026-10-12T10:30:32"/>
    <s v=""/>
    <s v="PACK"/>
    <n v="25"/>
    <s v="PENDIENTE APROBACION  ENVIO TMS"/>
    <s v="000000001209659264"/>
    <x v="2"/>
    <x v="0"/>
    <s v="APROBAR"/>
    <n v="1"/>
    <e v="#N/A"/>
  </r>
  <r>
    <n v="1209659303"/>
    <s v="107"/>
    <x v="77"/>
    <d v="2026-10-12T10:30:33"/>
    <s v=""/>
    <s v="CAJA"/>
    <n v="35"/>
    <s v="PENDIENTE APROBACION  ENVIO TMS"/>
    <s v="000000001209659303"/>
    <x v="2"/>
    <x v="0"/>
    <s v="APROBAR"/>
    <n v="1"/>
    <e v="#N/A"/>
  </r>
  <r>
    <n v="1209659145"/>
    <s v="103"/>
    <x v="74"/>
    <d v="2026-10-12T10:30:35"/>
    <s v=""/>
    <s v="CAJA"/>
    <n v="14"/>
    <s v="PENDIENTE APROBACION  ENVIO TMS"/>
    <s v="000000001209659145"/>
    <x v="2"/>
    <x v="3"/>
    <s v="APROBAR"/>
    <n v="1"/>
    <e v="#N/A"/>
  </r>
  <r>
    <n v="1209659153"/>
    <s v="103"/>
    <x v="74"/>
    <d v="2026-10-12T10:30:35"/>
    <s v=""/>
    <s v="CAJA"/>
    <n v="69"/>
    <s v="PENDIENTE APROBACION  ENVIO TMS"/>
    <s v="000000001209659153"/>
    <x v="2"/>
    <x v="3"/>
    <s v="APROBAR"/>
    <n v="1"/>
    <e v="#N/A"/>
  </r>
  <r>
    <n v="1209659301"/>
    <s v="107"/>
    <x v="77"/>
    <d v="2026-10-12T10:30:36"/>
    <s v=""/>
    <s v="CAJA"/>
    <n v="14"/>
    <s v="PENDIENTE APROBACION  ENVIO TMS"/>
    <s v="000000001209659301"/>
    <x v="2"/>
    <x v="0"/>
    <s v="APROBAR"/>
    <n v="1"/>
    <e v="#N/A"/>
  </r>
  <r>
    <n v="8209659340"/>
    <s v="109"/>
    <x v="78"/>
    <d v="2026-10-12T10:33:51"/>
    <s v=""/>
    <s v="UNIDAD"/>
    <n v="7"/>
    <s v="PENDIENTE APROBACION  ENVIO TMS"/>
    <s v="000000008209659340"/>
    <x v="1"/>
    <x v="0"/>
    <s v="APROBAR"/>
    <n v="1"/>
    <e v="#N/A"/>
  </r>
  <r>
    <n v="8209659440"/>
    <s v="115"/>
    <x v="79"/>
    <d v="2026-10-12T10:33:53"/>
    <s v=""/>
    <s v="UNIDAD"/>
    <n v="4"/>
    <s v="PENDIENTE APROBACION  ENVIO TMS"/>
    <s v="000000008209659440"/>
    <x v="1"/>
    <x v="3"/>
    <s v="APROBAR"/>
    <n v="1"/>
    <e v="#N/A"/>
  </r>
  <r>
    <n v="1209659387"/>
    <s v="110"/>
    <x v="80"/>
    <d v="2026-10-12T10:33:54"/>
    <s v=""/>
    <s v="CAJA"/>
    <n v="5"/>
    <s v="PENDIENTE APROBACION  ENVIO TMS"/>
    <s v="000000001209659387"/>
    <x v="2"/>
    <x v="0"/>
    <s v="APROBAR"/>
    <n v="1"/>
    <e v="#N/A"/>
  </r>
  <r>
    <n v="8209659343"/>
    <s v="109"/>
    <x v="78"/>
    <d v="2026-10-12T10:33:56"/>
    <s v=""/>
    <s v="UNIDAD"/>
    <n v="6"/>
    <s v="PENDIENTE APROBACION  ENVIO TMS"/>
    <s v="000000008209659343"/>
    <x v="1"/>
    <x v="0"/>
    <s v="APROBAR"/>
    <n v="1"/>
    <e v="#N/A"/>
  </r>
  <r>
    <n v="1209659448"/>
    <s v="115"/>
    <x v="79"/>
    <d v="2026-10-12T10:33:57"/>
    <s v=""/>
    <s v="CAJA"/>
    <n v="26"/>
    <s v="PENDIENTE APROBACION  ENVIO TMS"/>
    <s v="000000001209659448"/>
    <x v="2"/>
    <x v="3"/>
    <s v="APROBAR"/>
    <n v="1"/>
    <e v="#N/A"/>
  </r>
  <r>
    <n v="8209659345"/>
    <s v="109"/>
    <x v="78"/>
    <d v="2026-10-12T10:33:57"/>
    <s v=""/>
    <s v="UNIDAD"/>
    <n v="2"/>
    <s v="PENDIENTE APROBACION  ENVIO TMS"/>
    <s v="000000008209659345"/>
    <x v="1"/>
    <x v="0"/>
    <s v="APROBAR"/>
    <n v="1"/>
    <e v="#N/A"/>
  </r>
  <r>
    <n v="8209659401"/>
    <s v="114"/>
    <x v="81"/>
    <d v="2026-10-12T10:33:59"/>
    <s v=""/>
    <s v="UNIDAD"/>
    <n v="1"/>
    <s v="PENDIENTE APROBACION  ENVIO TMS"/>
    <s v="000000008209659401"/>
    <x v="1"/>
    <x v="3"/>
    <s v="APROBAR"/>
    <n v="1"/>
    <e v="#N/A"/>
  </r>
  <r>
    <n v="1209659369"/>
    <s v="110"/>
    <x v="80"/>
    <d v="2026-10-12T10:34:00"/>
    <s v=""/>
    <s v="CAJA"/>
    <n v="1"/>
    <s v="PENDIENTE APROBACION  ENVIO TMS"/>
    <s v="000000001209659369"/>
    <x v="2"/>
    <x v="0"/>
    <s v="APROBAR"/>
    <n v="1"/>
    <e v="#N/A"/>
  </r>
  <r>
    <n v="8209659403"/>
    <s v="114"/>
    <x v="81"/>
    <d v="2026-10-12T10:34:01"/>
    <s v=""/>
    <s v="UNIDAD"/>
    <n v="8"/>
    <s v="PENDIENTE APROBACION  ENVIO TMS"/>
    <s v="000000008209659403"/>
    <x v="1"/>
    <x v="3"/>
    <s v="APROBAR"/>
    <n v="1"/>
    <e v="#N/A"/>
  </r>
  <r>
    <n v="1209659474"/>
    <s v="116"/>
    <x v="82"/>
    <d v="2026-10-12T10:34:03"/>
    <s v=""/>
    <s v="CAJA"/>
    <n v="4"/>
    <s v="PENDIENTE APROBACION  ENVIO TMS"/>
    <s v="000000001209659474"/>
    <x v="2"/>
    <x v="0"/>
    <s v="APROBAR"/>
    <n v="1"/>
    <e v="#N/A"/>
  </r>
  <r>
    <n v="1209659450"/>
    <s v="115"/>
    <x v="79"/>
    <d v="2026-10-12T10:34:03"/>
    <s v=""/>
    <s v="PACK"/>
    <n v="26"/>
    <s v="PENDIENTE APROBACION  ENVIO TMS"/>
    <s v="000000001209659450"/>
    <x v="2"/>
    <x v="3"/>
    <s v="APROBAR"/>
    <n v="1"/>
    <e v="#N/A"/>
  </r>
  <r>
    <n v="8209659415"/>
    <s v="114"/>
    <x v="81"/>
    <d v="2026-10-12T10:34:04"/>
    <s v=""/>
    <s v="UNIDAD"/>
    <n v="1"/>
    <s v="PENDIENTE APROBACION  ENVIO TMS"/>
    <s v="000000008209659415"/>
    <x v="1"/>
    <x v="3"/>
    <s v="APROBAR"/>
    <n v="1"/>
    <e v="#N/A"/>
  </r>
  <r>
    <n v="8209659416"/>
    <s v="114"/>
    <x v="81"/>
    <d v="2026-10-12T10:34:06"/>
    <s v=""/>
    <s v="UNIDAD"/>
    <n v="5"/>
    <s v="PENDIENTE APROBACION  ENVIO TMS"/>
    <s v="000000008209659416"/>
    <x v="1"/>
    <x v="3"/>
    <s v="APROBAR"/>
    <n v="1"/>
    <e v="#N/A"/>
  </r>
  <r>
    <n v="1209659393"/>
    <s v="110"/>
    <x v="80"/>
    <d v="2026-10-12T10:34:07"/>
    <s v=""/>
    <s v="CAJA"/>
    <n v="1"/>
    <s v="PENDIENTE APROBACION  ENVIO TMS"/>
    <s v="000000001209659393"/>
    <x v="2"/>
    <x v="0"/>
    <s v="APROBAR"/>
    <n v="1"/>
    <e v="#N/A"/>
  </r>
  <r>
    <n v="1209659347"/>
    <s v="109"/>
    <x v="78"/>
    <d v="2026-10-12T10:34:08"/>
    <s v=""/>
    <s v="PACK"/>
    <n v="15"/>
    <s v="PENDIENTE APROBACION  ENVIO TMS"/>
    <s v="000000001209659347"/>
    <x v="2"/>
    <x v="0"/>
    <s v="APROBAR"/>
    <n v="1"/>
    <e v="#N/A"/>
  </r>
  <r>
    <n v="1209659348"/>
    <s v="109"/>
    <x v="78"/>
    <d v="2026-10-12T10:34:09"/>
    <s v=""/>
    <s v="CAJA"/>
    <n v="17"/>
    <s v="PENDIENTE APROBACION  ENVIO TMS"/>
    <s v="000000001209659348"/>
    <x v="2"/>
    <x v="0"/>
    <s v="APROBAR"/>
    <n v="1"/>
    <e v="#N/A"/>
  </r>
  <r>
    <n v="1209659349"/>
    <s v="109"/>
    <x v="78"/>
    <d v="2026-10-12T10:34:10"/>
    <s v=""/>
    <s v="PACK"/>
    <n v="19"/>
    <s v="PENDIENTE APROBACION  ENVIO TMS"/>
    <s v="000000001209659349"/>
    <x v="2"/>
    <x v="0"/>
    <s v="APROBAR"/>
    <n v="1"/>
    <e v="#N/A"/>
  </r>
  <r>
    <n v="8209659451"/>
    <s v="115"/>
    <x v="79"/>
    <d v="2026-10-12T10:34:12"/>
    <s v=""/>
    <s v="UNIDAD"/>
    <n v="1"/>
    <s v="PENDIENTE APROBACION  ENVIO TMS"/>
    <s v="000000008209659451"/>
    <x v="1"/>
    <x v="3"/>
    <s v="APROBAR"/>
    <n v="1"/>
    <e v="#N/A"/>
  </r>
  <r>
    <n v="1209659452"/>
    <s v="115"/>
    <x v="79"/>
    <d v="2026-10-12T10:34:13"/>
    <s v=""/>
    <s v="PACK"/>
    <n v="8"/>
    <s v="PENDIENTE APROBACION  ENVIO TMS"/>
    <s v="000000001209659452"/>
    <x v="2"/>
    <x v="3"/>
    <s v="APROBAR"/>
    <n v="1"/>
    <e v="#N/A"/>
  </r>
  <r>
    <n v="1209659371"/>
    <s v="110"/>
    <x v="80"/>
    <d v="2026-10-12T10:34:13"/>
    <s v=""/>
    <s v="CAJA"/>
    <n v="3"/>
    <s v="PENDIENTE APROBACION  ENVIO TMS"/>
    <s v="000000001209659371"/>
    <x v="2"/>
    <x v="0"/>
    <s v="APROBAR"/>
    <n v="1"/>
    <e v="#N/A"/>
  </r>
  <r>
    <n v="8209659483"/>
    <s v="116"/>
    <x v="82"/>
    <d v="2026-10-12T10:34:15"/>
    <s v=""/>
    <s v="UNIDAD"/>
    <n v="2"/>
    <s v="PENDIENTE APROBACION  ENVIO TMS"/>
    <s v="000000008209659483"/>
    <x v="1"/>
    <x v="0"/>
    <s v="APROBAR"/>
    <n v="1"/>
    <e v="#N/A"/>
  </r>
  <r>
    <n v="8209659381"/>
    <s v="110"/>
    <x v="80"/>
    <d v="2026-10-12T10:34:16"/>
    <s v=""/>
    <s v="UNIDAD"/>
    <n v="1"/>
    <s v="PENDIENTE APROBACION  ENVIO TMS"/>
    <s v="000000008209659381"/>
    <x v="1"/>
    <x v="0"/>
    <s v="APROBAR"/>
    <n v="1"/>
    <e v="#N/A"/>
  </r>
  <r>
    <n v="8209659439"/>
    <s v="115"/>
    <x v="79"/>
    <d v="2026-10-12T10:34:17"/>
    <s v=""/>
    <s v="UNIDAD"/>
    <n v="5"/>
    <s v="PENDIENTE APROBACION  ENVIO TMS"/>
    <s v="000000008209659439"/>
    <x v="1"/>
    <x v="3"/>
    <s v="APROBAR"/>
    <n v="1"/>
    <e v="#N/A"/>
  </r>
  <r>
    <n v="1209659443"/>
    <s v="115"/>
    <x v="79"/>
    <d v="2026-10-12T10:34:18"/>
    <s v=""/>
    <s v="CAJA"/>
    <n v="3"/>
    <s v="PENDIENTE APROBACION  ENVIO TMS"/>
    <s v="000000001209659443"/>
    <x v="2"/>
    <x v="3"/>
    <s v="APROBAR"/>
    <n v="1"/>
    <e v="#N/A"/>
  </r>
  <r>
    <n v="1209659444"/>
    <s v="115"/>
    <x v="79"/>
    <d v="2026-10-12T10:34:20"/>
    <s v=""/>
    <s v="CAJA"/>
    <n v="2"/>
    <s v="PENDIENTE APROBACION  ENVIO TMS"/>
    <s v="000000001209659444"/>
    <x v="2"/>
    <x v="3"/>
    <s v="APROBAR"/>
    <n v="1"/>
    <e v="#N/A"/>
  </r>
  <r>
    <n v="1209659420"/>
    <s v="114"/>
    <x v="81"/>
    <d v="2026-10-12T10:34:21"/>
    <s v=""/>
    <s v="PACK"/>
    <n v="18"/>
    <s v="PENDIENTE APROBACION  ENVIO TMS"/>
    <s v="000000001209659420"/>
    <x v="2"/>
    <x v="3"/>
    <s v="APROBAR"/>
    <n v="1"/>
    <e v="#N/A"/>
  </r>
  <r>
    <n v="1209659426"/>
    <s v="114"/>
    <x v="81"/>
    <d v="2026-10-12T10:34:23"/>
    <s v=""/>
    <s v="CAJA"/>
    <n v="41"/>
    <s v="PENDIENTE APROBACION  ENVIO TMS"/>
    <s v="000000001209659426"/>
    <x v="2"/>
    <x v="3"/>
    <s v="APROBAR"/>
    <n v="1"/>
    <e v="#N/A"/>
  </r>
  <r>
    <n v="8209659367"/>
    <s v="110"/>
    <x v="80"/>
    <d v="2026-10-12T10:34:24"/>
    <s v=""/>
    <s v="UNIDAD"/>
    <n v="6"/>
    <s v="PENDIENTE APROBACION  ENVIO TMS"/>
    <s v="000000008209659367"/>
    <x v="1"/>
    <x v="0"/>
    <s v="APROBAR"/>
    <n v="1"/>
    <e v="#N/A"/>
  </r>
  <r>
    <n v="1209659351"/>
    <s v="109"/>
    <x v="78"/>
    <d v="2026-10-12T10:34:25"/>
    <s v=""/>
    <s v="PACK"/>
    <n v="36"/>
    <s v="PENDIENTE APROBACION  ENVIO TMS"/>
    <s v="000000001209659351"/>
    <x v="2"/>
    <x v="0"/>
    <s v="APROBAR"/>
    <n v="1"/>
    <e v="#N/A"/>
  </r>
  <r>
    <n v="1209659453"/>
    <s v="115"/>
    <x v="79"/>
    <d v="2026-10-12T10:34:26"/>
    <s v=""/>
    <s v="CAJA"/>
    <n v="10"/>
    <s v="PENDIENTE APROBACION  ENVIO TMS"/>
    <s v="000000001209659453"/>
    <x v="2"/>
    <x v="3"/>
    <s v="APROBAR"/>
    <n v="1"/>
    <e v="#N/A"/>
  </r>
  <r>
    <n v="1209659478"/>
    <s v="116"/>
    <x v="82"/>
    <d v="2026-10-12T10:34:27"/>
    <s v=""/>
    <s v="CAJA"/>
    <n v="11"/>
    <s v="PENDIENTE APROBACION  ENVIO TMS"/>
    <s v="000000001209659478"/>
    <x v="2"/>
    <x v="0"/>
    <s v="APROBAR"/>
    <n v="1"/>
    <e v="#N/A"/>
  </r>
  <r>
    <n v="1209659356"/>
    <s v="109"/>
    <x v="78"/>
    <d v="2026-10-12T10:34:29"/>
    <s v=""/>
    <s v="CAJA"/>
    <n v="51"/>
    <s v="PENDIENTE APROBACION  ENVIO TMS"/>
    <s v="000000001209659356"/>
    <x v="2"/>
    <x v="0"/>
    <s v="APROBAR"/>
    <n v="1"/>
    <e v="#N/A"/>
  </r>
  <r>
    <n v="1209659484"/>
    <s v="116"/>
    <x v="82"/>
    <d v="2026-10-12T10:34:30"/>
    <s v=""/>
    <s v="CAJA"/>
    <n v="4"/>
    <s v="PENDIENTE APROBACION  ENVIO TMS"/>
    <s v="000000001209659484"/>
    <x v="2"/>
    <x v="0"/>
    <s v="APROBAR"/>
    <n v="1"/>
    <e v="#N/A"/>
  </r>
  <r>
    <n v="8209659380"/>
    <s v="110"/>
    <x v="80"/>
    <d v="2026-10-12T10:34:31"/>
    <s v=""/>
    <s v="UNIDAD"/>
    <n v="1"/>
    <s v="PENDIENTE APROBACION  ENVIO TMS"/>
    <s v="000000008209659380"/>
    <x v="1"/>
    <x v="0"/>
    <s v="APROBAR"/>
    <n v="1"/>
    <e v="#N/A"/>
  </r>
  <r>
    <n v="1209659385"/>
    <s v="110"/>
    <x v="80"/>
    <d v="2026-10-12T10:34:32"/>
    <s v=""/>
    <s v="CAJA"/>
    <n v="2"/>
    <s v="PENDIENTE APROBACION  ENVIO TMS"/>
    <s v="000000001209659385"/>
    <x v="2"/>
    <x v="0"/>
    <s v="APROBAR"/>
    <n v="1"/>
    <e v="#N/A"/>
  </r>
  <r>
    <n v="8209659414"/>
    <s v="114"/>
    <x v="81"/>
    <d v="2026-10-12T10:34:33"/>
    <s v=""/>
    <s v="UNIDAD"/>
    <n v="1"/>
    <s v="PENDIENTE APROBACION  ENVIO TMS"/>
    <s v="000000008209659414"/>
    <x v="1"/>
    <x v="3"/>
    <s v="APROBAR"/>
    <n v="1"/>
    <e v="#N/A"/>
  </r>
  <r>
    <n v="1209659417"/>
    <s v="114"/>
    <x v="81"/>
    <d v="2026-10-12T10:34:34"/>
    <s v=""/>
    <s v="CAJA"/>
    <n v="1"/>
    <s v="PENDIENTE APROBACION  ENVIO TMS"/>
    <s v="000000001209659417"/>
    <x v="2"/>
    <x v="3"/>
    <s v="APROBAR"/>
    <n v="1"/>
    <e v="#N/A"/>
  </r>
  <r>
    <n v="8209659342"/>
    <s v="109"/>
    <x v="78"/>
    <d v="2026-10-12T10:34:36"/>
    <s v=""/>
    <s v="UNIDAD"/>
    <n v="20"/>
    <s v="PENDIENTE APROBACION  ENVIO TMS"/>
    <s v="000000008209659342"/>
    <x v="1"/>
    <x v="0"/>
    <s v="APROBAR"/>
    <n v="1"/>
    <e v="#N/A"/>
  </r>
  <r>
    <n v="1209659479"/>
    <s v="116"/>
    <x v="82"/>
    <d v="2026-10-12T10:34:37"/>
    <s v=""/>
    <s v="PACK"/>
    <n v="18"/>
    <s v="PENDIENTE APROBACION  ENVIO TMS"/>
    <s v="000000001209659479"/>
    <x v="2"/>
    <x v="0"/>
    <s v="APROBAR"/>
    <n v="1"/>
    <e v="#N/A"/>
  </r>
  <r>
    <n v="1209659407"/>
    <s v="114"/>
    <x v="81"/>
    <d v="2026-10-12T10:34:37"/>
    <s v=""/>
    <s v="CAJA"/>
    <n v="7"/>
    <s v="PENDIENTE APROBACION  ENVIO TMS"/>
    <s v="000000001209659407"/>
    <x v="2"/>
    <x v="3"/>
    <s v="APROBAR"/>
    <n v="1"/>
    <e v="#N/A"/>
  </r>
  <r>
    <n v="1209659355"/>
    <s v="109"/>
    <x v="78"/>
    <d v="2026-10-12T10:34:39"/>
    <s v=""/>
    <s v="CAJA"/>
    <n v="2"/>
    <s v="PENDIENTE APROBACION  ENVIO TMS"/>
    <s v="000000001209659355"/>
    <x v="2"/>
    <x v="0"/>
    <s v="APROBAR"/>
    <n v="1"/>
    <e v="#N/A"/>
  </r>
  <r>
    <n v="1209659386"/>
    <s v="110"/>
    <x v="80"/>
    <d v="2026-10-12T10:34:40"/>
    <s v=""/>
    <s v="CAJA"/>
    <n v="6"/>
    <s v="PENDIENTE APROBACION  ENVIO TMS"/>
    <s v="000000001209659386"/>
    <x v="2"/>
    <x v="0"/>
    <s v="APROBAR"/>
    <n v="1"/>
    <e v="#N/A"/>
  </r>
  <r>
    <n v="1209659446"/>
    <s v="115"/>
    <x v="79"/>
    <d v="2026-10-12T10:34:41"/>
    <s v=""/>
    <s v="CAJA"/>
    <n v="10"/>
    <s v="PENDIENTE APROBACION  ENVIO TMS"/>
    <s v="000000001209659446"/>
    <x v="2"/>
    <x v="3"/>
    <s v="APROBAR"/>
    <n v="1"/>
    <e v="#N/A"/>
  </r>
  <r>
    <n v="8209659470"/>
    <s v="116"/>
    <x v="82"/>
    <d v="2026-10-12T10:34:43"/>
    <s v=""/>
    <s v="UNIDAD"/>
    <n v="5"/>
    <s v="PENDIENTE APROBACION  ENVIO TMS"/>
    <s v="000000008209659470"/>
    <x v="1"/>
    <x v="0"/>
    <s v="APROBAR"/>
    <n v="1"/>
    <e v="#N/A"/>
  </r>
  <r>
    <n v="1209659475"/>
    <s v="116"/>
    <x v="82"/>
    <d v="2026-10-12T10:34:44"/>
    <s v=""/>
    <s v="CAJA"/>
    <n v="9"/>
    <s v="PENDIENTE APROBACION  ENVIO TMS"/>
    <s v="000000001209659475"/>
    <x v="2"/>
    <x v="0"/>
    <s v="APROBAR"/>
    <n v="1"/>
    <e v="#N/A"/>
  </r>
  <r>
    <n v="8209659473"/>
    <s v="116"/>
    <x v="82"/>
    <d v="2026-10-12T10:34:44"/>
    <s v=""/>
    <s v="UNIDAD"/>
    <n v="8"/>
    <s v="PENDIENTE APROBACION  ENVIO TMS"/>
    <s v="000000008209659473"/>
    <x v="1"/>
    <x v="0"/>
    <s v="APROBAR"/>
    <n v="1"/>
    <e v="#N/A"/>
  </r>
  <r>
    <n v="1209659477"/>
    <s v="116"/>
    <x v="82"/>
    <d v="2026-10-12T10:34:46"/>
    <s v=""/>
    <s v="CAJA"/>
    <n v="9"/>
    <s v="PENDIENTE APROBACION  ENVIO TMS"/>
    <s v="000000001209659477"/>
    <x v="2"/>
    <x v="0"/>
    <s v="APROBAR"/>
    <n v="1"/>
    <e v="#N/A"/>
  </r>
  <r>
    <n v="1209659373"/>
    <s v="110"/>
    <x v="80"/>
    <d v="2026-10-12T10:34:48"/>
    <s v=""/>
    <s v="CAJA"/>
    <n v="11"/>
    <s v="PENDIENTE APROBACION  ENVIO TMS"/>
    <s v="000000001209659373"/>
    <x v="2"/>
    <x v="0"/>
    <s v="APROBAR"/>
    <n v="1"/>
    <e v="#N/A"/>
  </r>
  <r>
    <n v="1209659480"/>
    <s v="116"/>
    <x v="82"/>
    <d v="2026-10-12T10:34:49"/>
    <s v=""/>
    <s v="CAJA"/>
    <n v="27"/>
    <s v="PENDIENTE APROBACION  ENVIO TMS"/>
    <s v="000000001209659480"/>
    <x v="2"/>
    <x v="0"/>
    <s v="APROBAR"/>
    <n v="1"/>
    <e v="#N/A"/>
  </r>
  <r>
    <n v="1209659375"/>
    <s v="110"/>
    <x v="80"/>
    <d v="2026-10-12T10:34:50"/>
    <s v=""/>
    <s v="CAJA"/>
    <n v="10"/>
    <s v="PENDIENTE APROBACION  ENVIO TMS"/>
    <s v="000000001209659375"/>
    <x v="2"/>
    <x v="0"/>
    <s v="APROBAR"/>
    <n v="1"/>
    <e v="#N/A"/>
  </r>
  <r>
    <n v="1209659409"/>
    <s v="114"/>
    <x v="81"/>
    <d v="2026-10-12T10:34:51"/>
    <s v=""/>
    <s v="CAJA"/>
    <n v="9"/>
    <s v="PENDIENTE APROBACION  ENVIO TMS"/>
    <s v="000000001209659409"/>
    <x v="2"/>
    <x v="3"/>
    <s v="APROBAR"/>
    <n v="1"/>
    <e v="#N/A"/>
  </r>
  <r>
    <n v="1209659377"/>
    <s v="110"/>
    <x v="80"/>
    <d v="2026-10-12T10:34:53"/>
    <s v=""/>
    <s v="PACK"/>
    <n v="15"/>
    <s v="PENDIENTE APROBACION  ENVIO TMS"/>
    <s v="000000001209659377"/>
    <x v="2"/>
    <x v="0"/>
    <s v="APROBAR"/>
    <n v="1"/>
    <e v="#N/A"/>
  </r>
  <r>
    <n v="8209659438"/>
    <s v="115"/>
    <x v="79"/>
    <d v="2026-10-12T10:34:54"/>
    <s v=""/>
    <s v="UNIDAD"/>
    <n v="2"/>
    <s v="PENDIENTE APROBACION  ENVIO TMS"/>
    <s v="000000008209659438"/>
    <x v="1"/>
    <x v="3"/>
    <s v="APROBAR"/>
    <n v="1"/>
    <e v="#N/A"/>
  </r>
  <r>
    <n v="1209659413"/>
    <s v="114"/>
    <x v="81"/>
    <d v="2026-10-12T10:34:55"/>
    <s v=""/>
    <s v="CAJA"/>
    <n v="2"/>
    <s v="PENDIENTE APROBACION  ENVIO TMS"/>
    <s v="000000001209659413"/>
    <x v="2"/>
    <x v="3"/>
    <s v="APROBAR"/>
    <n v="1"/>
    <e v="#N/A"/>
  </r>
  <r>
    <n v="8209659441"/>
    <s v="115"/>
    <x v="79"/>
    <d v="2026-10-12T10:34:56"/>
    <s v=""/>
    <s v="UNIDAD"/>
    <n v="1"/>
    <s v="PENDIENTE APROBACION  ENVIO TMS"/>
    <s v="000000008209659441"/>
    <x v="1"/>
    <x v="3"/>
    <s v="APROBAR"/>
    <n v="1"/>
    <e v="#N/A"/>
  </r>
  <r>
    <n v="8209659341"/>
    <s v="109"/>
    <x v="78"/>
    <d v="2026-10-12T10:34:57"/>
    <s v=""/>
    <s v="UNIDAD"/>
    <n v="8"/>
    <s v="PENDIENTE APROBACION  ENVIO TMS"/>
    <s v="000000008209659341"/>
    <x v="1"/>
    <x v="0"/>
    <s v="APROBAR"/>
    <n v="1"/>
    <e v="#N/A"/>
  </r>
  <r>
    <n v="8209659344"/>
    <s v="109"/>
    <x v="78"/>
    <d v="2026-10-12T10:34:58"/>
    <s v=""/>
    <s v="UNIDAD"/>
    <n v="2"/>
    <s v="PENDIENTE APROBACION  ENVIO TMS"/>
    <s v="000000008209659344"/>
    <x v="1"/>
    <x v="0"/>
    <s v="APROBAR"/>
    <n v="1"/>
    <e v="#N/A"/>
  </r>
  <r>
    <n v="1209659346"/>
    <s v="109"/>
    <x v="78"/>
    <d v="2026-10-12T10:35:00"/>
    <s v=""/>
    <s v="PACK"/>
    <n v="13"/>
    <s v="PENDIENTE APROBACION  ENVIO TMS"/>
    <s v="000000001209659346"/>
    <x v="2"/>
    <x v="0"/>
    <s v="APROBAR"/>
    <n v="1"/>
    <e v="#N/A"/>
  </r>
  <r>
    <n v="1209659358"/>
    <s v="109"/>
    <x v="78"/>
    <d v="2026-10-12T10:35:00"/>
    <s v=""/>
    <s v="CAJA"/>
    <n v="57"/>
    <s v="PENDIENTE APROBACION  ENVIO TMS"/>
    <s v="000000001209659358"/>
    <x v="2"/>
    <x v="0"/>
    <s v="APROBAR"/>
    <n v="1"/>
    <e v="#N/A"/>
  </r>
  <r>
    <n v="8209659471"/>
    <s v="116"/>
    <x v="82"/>
    <d v="2026-10-12T10:35:02"/>
    <s v=""/>
    <s v="UNIDAD"/>
    <n v="2"/>
    <s v="PENDIENTE APROBACION  ENVIO TMS"/>
    <s v="000000008209659471"/>
    <x v="1"/>
    <x v="0"/>
    <s v="APROBAR"/>
    <n v="1"/>
    <e v="#N/A"/>
  </r>
  <r>
    <n v="1209659352"/>
    <s v="109"/>
    <x v="78"/>
    <d v="2026-10-12T10:35:03"/>
    <s v=""/>
    <s v="CAJA"/>
    <n v="28"/>
    <s v="PENDIENTE APROBACION  ENVIO TMS"/>
    <s v="000000001209659352"/>
    <x v="2"/>
    <x v="0"/>
    <s v="APROBAR"/>
    <n v="1"/>
    <e v="#N/A"/>
  </r>
  <r>
    <n v="1209659376"/>
    <s v="110"/>
    <x v="80"/>
    <d v="2026-10-12T10:35:04"/>
    <s v=""/>
    <s v="CAJA"/>
    <n v="20"/>
    <s v="PENDIENTE APROBACION  ENVIO TMS"/>
    <s v="000000001209659376"/>
    <x v="2"/>
    <x v="0"/>
    <s v="APROBAR"/>
    <n v="1"/>
    <e v="#N/A"/>
  </r>
  <r>
    <n v="1209659410"/>
    <s v="114"/>
    <x v="81"/>
    <d v="2026-10-12T10:35:05"/>
    <s v=""/>
    <s v="CAJA"/>
    <n v="2"/>
    <s v="PENDIENTE APROBACION  ENVIO TMS"/>
    <s v="000000001209659410"/>
    <x v="2"/>
    <x v="3"/>
    <s v="APROBAR"/>
    <n v="1"/>
    <e v="#N/A"/>
  </r>
  <r>
    <n v="1209659482"/>
    <s v="116"/>
    <x v="82"/>
    <d v="2026-10-12T10:35:07"/>
    <s v=""/>
    <s v="PACK"/>
    <n v="36"/>
    <s v="PENDIENTE APROBACION  ENVIO TMS"/>
    <s v="000000001209659482"/>
    <x v="2"/>
    <x v="0"/>
    <s v="APROBAR"/>
    <n v="1"/>
    <e v="#N/A"/>
  </r>
  <r>
    <n v="1209659357"/>
    <s v="109"/>
    <x v="78"/>
    <d v="2026-10-12T10:35:08"/>
    <s v=""/>
    <s v="PACK"/>
    <n v="57"/>
    <s v="PENDIENTE APROBACION  ENVIO TMS"/>
    <s v="000000001209659357"/>
    <x v="2"/>
    <x v="0"/>
    <s v="APROBAR"/>
    <n v="1"/>
    <e v="#N/A"/>
  </r>
  <r>
    <n v="1209659419"/>
    <s v="114"/>
    <x v="81"/>
    <d v="2026-10-12T10:35:09"/>
    <s v=""/>
    <s v="PACK"/>
    <n v="4"/>
    <s v="PENDIENTE APROBACION  ENVIO TMS"/>
    <s v="000000001209659419"/>
    <x v="2"/>
    <x v="3"/>
    <s v="APROBAR"/>
    <n v="1"/>
    <e v="#N/A"/>
  </r>
  <r>
    <n v="8209659442"/>
    <s v="115"/>
    <x v="79"/>
    <d v="2026-10-12T10:35:10"/>
    <s v=""/>
    <s v="UNIDAD"/>
    <n v="6"/>
    <s v="PENDIENTE APROBACION  ENVIO TMS"/>
    <s v="000000008209659442"/>
    <x v="1"/>
    <x v="3"/>
    <s v="APROBAR"/>
    <n v="1"/>
    <e v="#N/A"/>
  </r>
  <r>
    <n v="1209659445"/>
    <s v="115"/>
    <x v="79"/>
    <d v="2026-10-12T10:35:11"/>
    <s v=""/>
    <s v="UNIDAD"/>
    <n v="18"/>
    <s v="PENDIENTE APROBACION  ENVIO TMS"/>
    <s v="000000001209659445"/>
    <x v="2"/>
    <x v="3"/>
    <s v="APROBAR"/>
    <n v="1"/>
    <e v="#N/A"/>
  </r>
  <r>
    <n v="1209659447"/>
    <s v="115"/>
    <x v="79"/>
    <d v="2026-10-12T10:35:12"/>
    <s v=""/>
    <s v="PACK"/>
    <n v="13"/>
    <s v="PENDIENTE APROBACION  ENVIO TMS"/>
    <s v="000000001209659447"/>
    <x v="2"/>
    <x v="3"/>
    <s v="APROBAR"/>
    <n v="1"/>
    <e v="#N/A"/>
  </r>
  <r>
    <n v="8209659325"/>
    <s v="109"/>
    <x v="78"/>
    <d v="2026-10-12T10:35:14"/>
    <s v=""/>
    <s v="UNIDAD"/>
    <n v="6"/>
    <s v="PENDIENTE APROBACION  ENVIO TMS"/>
    <s v="000000008209659325"/>
    <x v="1"/>
    <x v="0"/>
    <s v="APROBAR"/>
    <n v="1"/>
    <e v="#N/A"/>
  </r>
  <r>
    <n v="8209659368"/>
    <s v="110"/>
    <x v="80"/>
    <d v="2026-10-12T10:35:15"/>
    <s v=""/>
    <s v="UNIDAD"/>
    <n v="2"/>
    <s v="PENDIENTE APROBACION  ENVIO TMS"/>
    <s v="000000008209659368"/>
    <x v="1"/>
    <x v="0"/>
    <s v="APROBAR"/>
    <n v="1"/>
    <e v="#N/A"/>
  </r>
  <r>
    <n v="8209659402"/>
    <s v="114"/>
    <x v="81"/>
    <d v="2026-10-12T10:35:16"/>
    <s v=""/>
    <s v="UNIDAD"/>
    <n v="2"/>
    <s v="PENDIENTE APROBACION  ENVIO TMS"/>
    <s v="000000008209659402"/>
    <x v="1"/>
    <x v="3"/>
    <s v="APROBAR"/>
    <n v="1"/>
    <e v="#N/A"/>
  </r>
  <r>
    <n v="1209659476"/>
    <s v="116"/>
    <x v="82"/>
    <d v="2026-10-12T10:35:17"/>
    <s v=""/>
    <s v="PACK"/>
    <n v="10"/>
    <s v="PENDIENTE APROBACION  ENVIO TMS"/>
    <s v="000000001209659476"/>
    <x v="2"/>
    <x v="0"/>
    <s v="APROBAR"/>
    <n v="1"/>
    <e v="#N/A"/>
  </r>
  <r>
    <n v="1209659481"/>
    <s v="116"/>
    <x v="82"/>
    <d v="2026-10-12T10:35:18"/>
    <s v=""/>
    <s v="CAJA"/>
    <n v="1"/>
    <s v="PENDIENTE APROBACION  ENVIO TMS"/>
    <s v="000000001209659481"/>
    <x v="2"/>
    <x v="0"/>
    <s v="APROBAR"/>
    <n v="1"/>
    <e v="#N/A"/>
  </r>
  <r>
    <n v="1209659411"/>
    <s v="114"/>
    <x v="81"/>
    <d v="2026-10-12T10:35:19"/>
    <s v=""/>
    <s v="CAJA"/>
    <n v="10"/>
    <s v="PENDIENTE APROBACION  ENVIO TMS"/>
    <s v="000000001209659411"/>
    <x v="2"/>
    <x v="3"/>
    <s v="APROBAR"/>
    <n v="1"/>
    <e v="#N/A"/>
  </r>
  <r>
    <n v="1209659418"/>
    <s v="114"/>
    <x v="81"/>
    <d v="2026-10-12T10:35:21"/>
    <s v=""/>
    <s v="CAJA"/>
    <n v="2"/>
    <s v="PENDIENTE APROBACION  ENVIO TMS"/>
    <s v="000000001209659418"/>
    <x v="2"/>
    <x v="3"/>
    <s v="APROBAR"/>
    <n v="1"/>
    <e v="#N/A"/>
  </r>
  <r>
    <n v="1209659449"/>
    <s v="115"/>
    <x v="79"/>
    <d v="2026-10-12T10:35:22"/>
    <s v=""/>
    <s v="CAJA"/>
    <n v="2"/>
    <s v="PENDIENTE APROBACION  ENVIO TMS"/>
    <s v="000000001209659449"/>
    <x v="2"/>
    <x v="3"/>
    <s v="APROBAR"/>
    <n v="1"/>
    <e v="#N/A"/>
  </r>
  <r>
    <n v="8209659366"/>
    <s v="110"/>
    <x v="80"/>
    <d v="2026-10-12T10:35:22"/>
    <s v=""/>
    <s v="UNIDAD"/>
    <n v="1"/>
    <s v="PENDIENTE APROBACION  ENVIO TMS"/>
    <s v="000000008209659366"/>
    <x v="1"/>
    <x v="0"/>
    <s v="APROBAR"/>
    <n v="1"/>
    <e v="#N/A"/>
  </r>
  <r>
    <n v="8209659472"/>
    <s v="116"/>
    <x v="82"/>
    <d v="2026-10-12T10:35:24"/>
    <s v=""/>
    <s v="UNIDAD"/>
    <n v="6"/>
    <s v="PENDIENTE APROBACION  ENVIO TMS"/>
    <s v="000000008209659472"/>
    <x v="1"/>
    <x v="0"/>
    <s v="APROBAR"/>
    <n v="1"/>
    <e v="#N/A"/>
  </r>
  <r>
    <n v="1209659331"/>
    <s v="109"/>
    <x v="78"/>
    <d v="2026-10-12T10:35:25"/>
    <s v=""/>
    <s v="CAJA"/>
    <n v="11"/>
    <s v="PENDIENTE APROBACION  ENVIO TMS"/>
    <s v="000000001209659331"/>
    <x v="2"/>
    <x v="0"/>
    <s v="APROBAR"/>
    <n v="1"/>
    <e v="#N/A"/>
  </r>
  <r>
    <n v="1209659408"/>
    <s v="114"/>
    <x v="81"/>
    <d v="2026-10-12T10:35:27"/>
    <s v=""/>
    <s v="CAJA"/>
    <n v="6"/>
    <s v="PENDIENTE APROBACION  ENVIO TMS"/>
    <s v="000000001209659408"/>
    <x v="2"/>
    <x v="3"/>
    <s v="APROBAR"/>
    <n v="1"/>
    <e v="#N/A"/>
  </r>
  <r>
    <n v="1209659488"/>
    <s v="116"/>
    <x v="82"/>
    <d v="2026-10-12T10:35:28"/>
    <s v=""/>
    <s v="CAJA"/>
    <n v="22"/>
    <s v="PENDIENTE APROBACION  ENVIO TMS"/>
    <s v="000000001209659488"/>
    <x v="2"/>
    <x v="0"/>
    <s v="APROBAR"/>
    <n v="1"/>
    <e v="#N/A"/>
  </r>
  <r>
    <n v="8209659383"/>
    <s v="110"/>
    <x v="80"/>
    <d v="2026-10-12T10:35:29"/>
    <s v=""/>
    <s v="UNIDAD"/>
    <n v="1"/>
    <s v="PENDIENTE APROBACION  ENVIO TMS"/>
    <s v="000000008209659383"/>
    <x v="1"/>
    <x v="0"/>
    <s v="APROBAR"/>
    <n v="1"/>
    <e v="#N/A"/>
  </r>
  <r>
    <n v="1209659509"/>
    <s v="117"/>
    <x v="83"/>
    <d v="2026-10-12T10:38:52"/>
    <s v=""/>
    <s v="CAJA"/>
    <n v="14"/>
    <s v="PENDIENTE APROBACION  ENVIO TMS"/>
    <s v="000000001209659509"/>
    <x v="2"/>
    <x v="1"/>
    <s v="APROBAR"/>
    <n v="1"/>
    <e v="#N/A"/>
  </r>
  <r>
    <n v="1209659511"/>
    <s v="117"/>
    <x v="83"/>
    <d v="2026-10-12T10:38:53"/>
    <s v=""/>
    <s v="PACK"/>
    <n v="16"/>
    <s v="PENDIENTE APROBACION  ENVIO TMS"/>
    <s v="000000001209659511"/>
    <x v="2"/>
    <x v="1"/>
    <s v="APROBAR"/>
    <n v="1"/>
    <e v="#N/A"/>
  </r>
  <r>
    <n v="1209659625"/>
    <s v="125"/>
    <x v="84"/>
    <d v="2026-10-12T10:38:54"/>
    <s v=""/>
    <s v="PACK"/>
    <n v="42"/>
    <s v="PENDIENTE APROBACION  ENVIO TMS"/>
    <s v="000000001209659625"/>
    <x v="2"/>
    <x v="2"/>
    <s v="APROBAR"/>
    <n v="1"/>
    <e v="#N/A"/>
  </r>
  <r>
    <n v="1209659587"/>
    <s v="124"/>
    <x v="85"/>
    <d v="2026-10-12T10:38:55"/>
    <s v=""/>
    <s v="CAJA"/>
    <n v="7"/>
    <s v="PENDIENTE APROBACION  ENVIO TMS"/>
    <s v="000000001209659587"/>
    <x v="2"/>
    <x v="2"/>
    <s v="APROBAR"/>
    <n v="1"/>
    <e v="#N/A"/>
  </r>
  <r>
    <n v="8209659613"/>
    <s v="125"/>
    <x v="84"/>
    <d v="2026-10-12T10:38:56"/>
    <s v=""/>
    <s v="UNIDAD"/>
    <n v="6"/>
    <s v="PENDIENTE APROBACION  ENVIO TMS"/>
    <s v="000000008209659613"/>
    <x v="1"/>
    <x v="2"/>
    <s v="APROBAR"/>
    <n v="1"/>
    <e v="#N/A"/>
  </r>
  <r>
    <n v="8209659615"/>
    <s v="125"/>
    <x v="84"/>
    <d v="2026-10-12T10:38:58"/>
    <s v=""/>
    <s v="UNIDAD"/>
    <n v="1"/>
    <s v="PENDIENTE APROBACION  ENVIO TMS"/>
    <s v="000000008209659615"/>
    <x v="1"/>
    <x v="2"/>
    <s v="APROBAR"/>
    <n v="1"/>
    <e v="#N/A"/>
  </r>
  <r>
    <n v="1209659563"/>
    <s v="123"/>
    <x v="86"/>
    <d v="2026-10-12T10:39:00"/>
    <s v=""/>
    <s v="PACK"/>
    <n v="25"/>
    <s v="PENDIENTE APROBACION  ENVIO TMS"/>
    <s v="000000001209659563"/>
    <x v="2"/>
    <x v="0"/>
    <s v="APROBAR"/>
    <n v="1"/>
    <e v="#N/A"/>
  </r>
  <r>
    <n v="1209659618"/>
    <s v="125"/>
    <x v="84"/>
    <d v="2026-10-12T10:39:02"/>
    <s v=""/>
    <s v="PACK"/>
    <n v="4"/>
    <s v="PENDIENTE APROBACION  ENVIO TMS"/>
    <s v="000000001209659618"/>
    <x v="2"/>
    <x v="2"/>
    <s v="APROBAR"/>
    <n v="1"/>
    <e v="#N/A"/>
  </r>
  <r>
    <n v="8209659503"/>
    <s v="117"/>
    <x v="83"/>
    <d v="2026-10-12T10:39:02"/>
    <s v=""/>
    <s v="UNIDAD"/>
    <n v="10"/>
    <s v="PENDIENTE APROBACION  ENVIO TMS"/>
    <s v="000000008209659503"/>
    <x v="1"/>
    <x v="1"/>
    <s v="APROBAR"/>
    <n v="1"/>
    <e v="#N/A"/>
  </r>
  <r>
    <n v="1209659669"/>
    <s v="126"/>
    <x v="87"/>
    <d v="2026-10-12T10:39:03"/>
    <s v=""/>
    <s v="PACK"/>
    <n v="16"/>
    <s v="PENDIENTE APROBACION  ENVIO TMS"/>
    <s v="000000001209659669"/>
    <x v="2"/>
    <x v="0"/>
    <s v="APROBAR"/>
    <n v="1"/>
    <e v="#N/A"/>
  </r>
  <r>
    <n v="1209659660"/>
    <s v="126"/>
    <x v="87"/>
    <d v="2026-10-12T10:39:05"/>
    <s v=""/>
    <s v="PACK"/>
    <n v="45"/>
    <s v="PENDIENTE APROBACION  ENVIO TMS"/>
    <s v="000000001209659660"/>
    <x v="2"/>
    <x v="0"/>
    <s v="APROBAR"/>
    <n v="1"/>
    <e v="#N/A"/>
  </r>
  <r>
    <n v="8209659665"/>
    <s v="126"/>
    <x v="87"/>
    <d v="2026-10-12T10:39:06"/>
    <s v=""/>
    <s v="UNIDAD"/>
    <n v="168"/>
    <s v="PENDIENTE APROBACION  ENVIO TMS"/>
    <s v="000000008209659665"/>
    <x v="1"/>
    <x v="0"/>
    <s v="APROBAR"/>
    <n v="1"/>
    <e v="#N/A"/>
  </r>
  <r>
    <n v="1209659596"/>
    <s v="124"/>
    <x v="85"/>
    <d v="2026-10-12T10:39:07"/>
    <s v=""/>
    <s v="CAJA"/>
    <n v="41"/>
    <s v="PENDIENTE APROBACION  ENVIO TMS"/>
    <s v="000000001209659596"/>
    <x v="2"/>
    <x v="2"/>
    <s v="APROBAR"/>
    <n v="1"/>
    <e v="#N/A"/>
  </r>
  <r>
    <n v="1209659533"/>
    <s v="118"/>
    <x v="88"/>
    <d v="2026-10-12T10:39:08"/>
    <s v=""/>
    <s v="PACK"/>
    <n v="5"/>
    <s v="PENDIENTE APROBACION  ENVIO TMS"/>
    <s v="000000001209659533"/>
    <x v="2"/>
    <x v="2"/>
    <s v="APROBAR"/>
    <n v="1"/>
    <e v="#N/A"/>
  </r>
  <r>
    <n v="1209659512"/>
    <s v="117"/>
    <x v="83"/>
    <d v="2026-10-12T10:39:10"/>
    <s v=""/>
    <s v="CAJA"/>
    <n v="29"/>
    <s v="PENDIENTE APROBACION  ENVIO TMS"/>
    <s v="000000001209659512"/>
    <x v="2"/>
    <x v="1"/>
    <s v="APROBAR"/>
    <n v="1"/>
    <e v="#N/A"/>
  </r>
  <r>
    <n v="1209659560"/>
    <s v="123"/>
    <x v="86"/>
    <d v="2026-10-12T10:39:11"/>
    <s v=""/>
    <s v="CAJA"/>
    <n v="15"/>
    <s v="PENDIENTE APROBACION  ENVIO TMS"/>
    <s v="000000001209659560"/>
    <x v="2"/>
    <x v="0"/>
    <s v="APROBAR"/>
    <n v="1"/>
    <e v="#N/A"/>
  </r>
  <r>
    <n v="1209659538"/>
    <s v="118"/>
    <x v="88"/>
    <d v="2026-10-12T10:39:13"/>
    <s v=""/>
    <s v="CAJA"/>
    <n v="31"/>
    <s v="PENDIENTE APROBACION  ENVIO TMS"/>
    <s v="000000001209659538"/>
    <x v="2"/>
    <x v="2"/>
    <s v="APROBAR"/>
    <n v="1"/>
    <e v="#N/A"/>
  </r>
  <r>
    <n v="8209659612"/>
    <s v="125"/>
    <x v="84"/>
    <d v="2026-10-12T10:39:14"/>
    <s v=""/>
    <s v="UNIDAD"/>
    <n v="14"/>
    <s v="PENDIENTE APROBACION  ENVIO TMS"/>
    <s v="000000008209659612"/>
    <x v="1"/>
    <x v="2"/>
    <s v="APROBAR"/>
    <n v="1"/>
    <e v="#N/A"/>
  </r>
  <r>
    <n v="8209659616"/>
    <s v="125"/>
    <x v="84"/>
    <d v="2026-10-12T10:39:14"/>
    <s v=""/>
    <s v="UNIDAD"/>
    <n v="30"/>
    <s v="PENDIENTE APROBACION  ENVIO TMS"/>
    <s v="000000008209659616"/>
    <x v="1"/>
    <x v="2"/>
    <s v="APROBAR"/>
    <n v="1"/>
    <e v="#N/A"/>
  </r>
  <r>
    <n v="1209659619"/>
    <s v="125"/>
    <x v="84"/>
    <d v="2026-10-12T10:39:16"/>
    <s v=""/>
    <s v="CAJA"/>
    <n v="7"/>
    <s v="PENDIENTE APROBACION  ENVIO TMS"/>
    <s v="000000001209659619"/>
    <x v="2"/>
    <x v="2"/>
    <s v="APROBAR"/>
    <n v="1"/>
    <e v="#N/A"/>
  </r>
  <r>
    <n v="1209659565"/>
    <s v="123"/>
    <x v="86"/>
    <d v="2026-10-12T10:39:17"/>
    <s v=""/>
    <s v="CAJA"/>
    <n v="1"/>
    <s v="PENDIENTE APROBACION  ENVIO TMS"/>
    <s v="000000001209659565"/>
    <x v="2"/>
    <x v="0"/>
    <s v="APROBAR"/>
    <n v="1"/>
    <e v="#N/A"/>
  </r>
  <r>
    <n v="8209659529"/>
    <s v="118"/>
    <x v="88"/>
    <d v="2026-10-12T10:39:18"/>
    <s v=""/>
    <s v="UNIDAD"/>
    <n v="2"/>
    <s v="PENDIENTE APROBACION  ENVIO TMS"/>
    <s v="000000008209659529"/>
    <x v="1"/>
    <x v="2"/>
    <s v="APROBAR"/>
    <n v="1"/>
    <e v="#N/A"/>
  </r>
  <r>
    <n v="8209659651"/>
    <s v="126"/>
    <x v="87"/>
    <d v="2026-10-12T10:39:19"/>
    <s v=""/>
    <s v="UNIDAD"/>
    <n v="3"/>
    <s v="PENDIENTE APROBACION  ENVIO TMS"/>
    <s v="000000008209659651"/>
    <x v="1"/>
    <x v="0"/>
    <s v="APROBAR"/>
    <n v="1"/>
    <e v="#N/A"/>
  </r>
  <r>
    <n v="8209659662"/>
    <s v="126"/>
    <x v="87"/>
    <d v="2026-10-12T10:39:21"/>
    <s v=""/>
    <s v="UNIDAD"/>
    <n v="5"/>
    <s v="PENDIENTE APROBACION  ENVIO TMS"/>
    <s v="000000008209659662"/>
    <x v="1"/>
    <x v="0"/>
    <s v="APROBAR"/>
    <n v="1"/>
    <e v="#N/A"/>
  </r>
  <r>
    <n v="1209659510"/>
    <s v="117"/>
    <x v="83"/>
    <d v="2026-10-12T10:39:22"/>
    <s v=""/>
    <s v="CAJA"/>
    <n v="18"/>
    <s v="PENDIENTE APROBACION  ENVIO TMS"/>
    <s v="000000001209659510"/>
    <x v="2"/>
    <x v="1"/>
    <s v="APROBAR"/>
    <n v="1"/>
    <e v="#N/A"/>
  </r>
  <r>
    <n v="1209659535"/>
    <s v="118"/>
    <x v="88"/>
    <d v="2026-10-12T10:39:23"/>
    <s v=""/>
    <s v="CAJA"/>
    <n v="14"/>
    <s v="PENDIENTE APROBACION  ENVIO TMS"/>
    <s v="000000001209659535"/>
    <x v="2"/>
    <x v="2"/>
    <s v="APROBAR"/>
    <n v="1"/>
    <e v="#N/A"/>
  </r>
  <r>
    <n v="1209659536"/>
    <s v="118"/>
    <x v="88"/>
    <d v="2026-10-12T10:39:25"/>
    <s v=""/>
    <s v="PACK"/>
    <n v="20"/>
    <s v="PENDIENTE APROBACION  ENVIO TMS"/>
    <s v="000000001209659536"/>
    <x v="2"/>
    <x v="2"/>
    <s v="APROBAR"/>
    <n v="1"/>
    <e v="#N/A"/>
  </r>
  <r>
    <n v="8209659580"/>
    <s v="124"/>
    <x v="85"/>
    <d v="2026-10-12T10:39:26"/>
    <s v=""/>
    <s v="UNIDAD"/>
    <n v="1"/>
    <s v="PENDIENTE APROBACION  ENVIO TMS"/>
    <s v="000000008209659580"/>
    <x v="1"/>
    <x v="2"/>
    <s v="APROBAR"/>
    <n v="1"/>
    <e v="#N/A"/>
  </r>
  <r>
    <n v="1209659556"/>
    <s v="123"/>
    <x v="86"/>
    <d v="2026-10-12T10:39:26"/>
    <s v=""/>
    <s v="CAJA"/>
    <n v="9"/>
    <s v="PENDIENTE APROBACION  ENVIO TMS"/>
    <s v="000000001209659556"/>
    <x v="2"/>
    <x v="0"/>
    <s v="APROBAR"/>
    <n v="1"/>
    <e v="#N/A"/>
  </r>
  <r>
    <n v="8209659611"/>
    <s v="125"/>
    <x v="84"/>
    <d v="2026-10-12T10:39:28"/>
    <s v=""/>
    <s v="UNIDAD"/>
    <n v="33"/>
    <s v="PENDIENTE APROBACION  ENVIO TMS"/>
    <s v="000000008209659611"/>
    <x v="1"/>
    <x v="2"/>
    <s v="APROBAR"/>
    <n v="1"/>
    <e v="#N/A"/>
  </r>
  <r>
    <n v="1209659562"/>
    <s v="123"/>
    <x v="86"/>
    <d v="2026-10-12T10:39:29"/>
    <s v=""/>
    <s v="CAJA"/>
    <n v="19"/>
    <s v="PENDIENTE APROBACION  ENVIO TMS"/>
    <s v="000000001209659562"/>
    <x v="2"/>
    <x v="0"/>
    <s v="APROBAR"/>
    <n v="1"/>
    <e v="#N/A"/>
  </r>
  <r>
    <n v="1209659541"/>
    <s v="118"/>
    <x v="88"/>
    <d v="2026-10-12T10:39:30"/>
    <s v=""/>
    <s v="PACK"/>
    <n v="12"/>
    <s v="PENDIENTE APROBACION  ENVIO TMS"/>
    <s v="000000001209659541"/>
    <x v="2"/>
    <x v="2"/>
    <s v="APROBAR"/>
    <n v="1"/>
    <e v="#N/A"/>
  </r>
  <r>
    <n v="1209659516"/>
    <s v="117"/>
    <x v="83"/>
    <d v="2026-10-12T10:39:32"/>
    <s v=""/>
    <s v="CAJA"/>
    <n v="34"/>
    <s v="PENDIENTE APROBACION  ENVIO TMS"/>
    <s v="000000001209659516"/>
    <x v="2"/>
    <x v="1"/>
    <s v="APROBAR"/>
    <n v="1"/>
    <e v="#N/A"/>
  </r>
  <r>
    <n v="1209659594"/>
    <s v="124"/>
    <x v="85"/>
    <d v="2026-10-12T10:39:33"/>
    <s v=""/>
    <s v="CAJA"/>
    <n v="32"/>
    <s v="PENDIENTE APROBACION  ENVIO TMS"/>
    <s v="000000001209659594"/>
    <x v="2"/>
    <x v="2"/>
    <s v="APROBAR"/>
    <n v="1"/>
    <e v="#N/A"/>
  </r>
  <r>
    <n v="8209659501"/>
    <s v="117"/>
    <x v="83"/>
    <d v="2026-10-12T10:39:34"/>
    <s v=""/>
    <s v="UNIDAD"/>
    <n v="15"/>
    <s v="PENDIENTE APROBACION  ENVIO TMS"/>
    <s v="000000008209659501"/>
    <x v="1"/>
    <x v="1"/>
    <s v="APROBAR"/>
    <n v="1"/>
    <e v="#N/A"/>
  </r>
  <r>
    <n v="1209659507"/>
    <s v="117"/>
    <x v="83"/>
    <d v="2026-10-12T10:39:36"/>
    <s v=""/>
    <s v="PACK"/>
    <n v="8"/>
    <s v="PENDIENTE APROBACION  ENVIO TMS"/>
    <s v="000000001209659507"/>
    <x v="2"/>
    <x v="1"/>
    <s v="APROBAR"/>
    <n v="1"/>
    <e v="#N/A"/>
  </r>
  <r>
    <n v="8209659506"/>
    <s v="117"/>
    <x v="83"/>
    <d v="2026-10-12T10:39:36"/>
    <s v=""/>
    <s v="UNIDAD"/>
    <n v="2"/>
    <s v="PENDIENTE APROBACION  ENVIO TMS"/>
    <s v="000000008209659506"/>
    <x v="1"/>
    <x v="1"/>
    <s v="APROBAR"/>
    <n v="1"/>
    <e v="#N/A"/>
  </r>
  <r>
    <n v="1209659530"/>
    <s v="118"/>
    <x v="88"/>
    <d v="2026-10-12T10:39:38"/>
    <s v=""/>
    <s v="CAJA"/>
    <n v="4"/>
    <s v="PENDIENTE APROBACION  ENVIO TMS"/>
    <s v="000000001209659530"/>
    <x v="2"/>
    <x v="2"/>
    <s v="APROBAR"/>
    <n v="1"/>
    <e v="#N/A"/>
  </r>
  <r>
    <n v="1209659671"/>
    <s v="126"/>
    <x v="87"/>
    <d v="2026-10-12T10:39:39"/>
    <s v=""/>
    <s v="CAJA"/>
    <n v="15"/>
    <s v="PENDIENTE APROBACION  ENVIO TMS"/>
    <s v="000000001209659671"/>
    <x v="2"/>
    <x v="0"/>
    <s v="APROBAR"/>
    <n v="1"/>
    <e v="#N/A"/>
  </r>
  <r>
    <n v="1209659676"/>
    <s v="126"/>
    <x v="87"/>
    <d v="2026-10-12T10:39:40"/>
    <s v=""/>
    <s v="CAJA"/>
    <n v="45"/>
    <s v="PENDIENTE APROBACION  ENVIO TMS"/>
    <s v="000000001209659676"/>
    <x v="2"/>
    <x v="0"/>
    <s v="APROBAR"/>
    <n v="1"/>
    <e v="#N/A"/>
  </r>
  <r>
    <n v="8209659663"/>
    <s v="126"/>
    <x v="87"/>
    <d v="2026-10-12T10:39:41"/>
    <s v=""/>
    <s v="UNIDAD"/>
    <n v="1"/>
    <s v="PENDIENTE APROBACION  ENVIO TMS"/>
    <s v="000000008209659663"/>
    <x v="1"/>
    <x v="0"/>
    <s v="APROBAR"/>
    <n v="1"/>
    <e v="#N/A"/>
  </r>
  <r>
    <n v="8209659666"/>
    <s v="126"/>
    <x v="87"/>
    <d v="2026-10-12T10:39:42"/>
    <s v=""/>
    <s v="UNIDAD"/>
    <n v="2"/>
    <s v="PENDIENTE APROBACION  ENVIO TMS"/>
    <s v="000000008209659666"/>
    <x v="1"/>
    <x v="0"/>
    <s v="APROBAR"/>
    <n v="1"/>
    <e v="#N/A"/>
  </r>
  <r>
    <n v="8209659551"/>
    <s v="123"/>
    <x v="86"/>
    <d v="2026-10-12T10:39:44"/>
    <s v=""/>
    <s v="UNIDAD"/>
    <n v="2"/>
    <s v="PENDIENTE APROBACION  ENVIO TMS"/>
    <s v="000000008209659551"/>
    <x v="1"/>
    <x v="0"/>
    <s v="APROBAR"/>
    <n v="1"/>
    <e v="#N/A"/>
  </r>
  <r>
    <n v="1209659555"/>
    <s v="123"/>
    <x v="86"/>
    <d v="2026-10-12T10:39:45"/>
    <s v=""/>
    <s v="CAJA"/>
    <n v="5"/>
    <s v="PENDIENTE APROBACION  ENVIO TMS"/>
    <s v="000000001209659555"/>
    <x v="2"/>
    <x v="0"/>
    <s v="APROBAR"/>
    <n v="1"/>
    <e v="#N/A"/>
  </r>
  <r>
    <n v="8209659614"/>
    <s v="125"/>
    <x v="84"/>
    <d v="2026-10-12T10:39:46"/>
    <s v=""/>
    <s v="UNIDAD"/>
    <n v="4"/>
    <s v="PENDIENTE APROBACION  ENVIO TMS"/>
    <s v="000000008209659614"/>
    <x v="1"/>
    <x v="2"/>
    <s v="APROBAR"/>
    <n v="1"/>
    <e v="#N/A"/>
  </r>
  <r>
    <n v="8209659524"/>
    <s v="118"/>
    <x v="88"/>
    <d v="2026-10-12T10:39:47"/>
    <s v=""/>
    <s v="UNIDAD"/>
    <n v="3"/>
    <s v="PENDIENTE APROBACION  ENVIO TMS"/>
    <s v="000000008209659524"/>
    <x v="1"/>
    <x v="2"/>
    <s v="APROBAR"/>
    <n v="1"/>
    <e v="#N/A"/>
  </r>
  <r>
    <n v="8209659525"/>
    <s v="118"/>
    <x v="88"/>
    <d v="2026-10-12T10:39:48"/>
    <s v=""/>
    <s v="UNIDAD"/>
    <n v="6"/>
    <s v="PENDIENTE APROBACION  ENVIO TMS"/>
    <s v="000000008209659525"/>
    <x v="1"/>
    <x v="2"/>
    <s v="APROBAR"/>
    <n v="1"/>
    <e v="#N/A"/>
  </r>
  <r>
    <n v="8209659664"/>
    <s v="126"/>
    <x v="87"/>
    <d v="2026-10-12T10:39:50"/>
    <s v=""/>
    <s v="UNIDAD"/>
    <n v="7"/>
    <s v="PENDIENTE APROBACION  ENVIO TMS"/>
    <s v="000000008209659664"/>
    <x v="1"/>
    <x v="0"/>
    <s v="APROBAR"/>
    <n v="1"/>
    <e v="#N/A"/>
  </r>
  <r>
    <n v="1209659604"/>
    <s v="124"/>
    <x v="85"/>
    <d v="2026-10-12T10:39:51"/>
    <s v=""/>
    <s v="PACK"/>
    <n v="44"/>
    <s v="PENDIENTE APROBACION  ENVIO TMS"/>
    <s v="000000001209659604"/>
    <x v="2"/>
    <x v="2"/>
    <s v="APROBAR"/>
    <n v="1"/>
    <e v="#N/A"/>
  </r>
  <r>
    <n v="8209659584"/>
    <s v="124"/>
    <x v="85"/>
    <d v="2026-10-12T10:39:52"/>
    <s v=""/>
    <s v="UNIDAD"/>
    <n v="3"/>
    <s v="PENDIENTE APROBACION  ENVIO TMS"/>
    <s v="000000008209659584"/>
    <x v="1"/>
    <x v="2"/>
    <s v="APROBAR"/>
    <n v="1"/>
    <e v="#N/A"/>
  </r>
  <r>
    <n v="1209659590"/>
    <s v="124"/>
    <x v="85"/>
    <d v="2026-10-12T10:39:54"/>
    <s v=""/>
    <s v="PACK"/>
    <n v="13"/>
    <s v="PENDIENTE APROBACION  ENVIO TMS"/>
    <s v="000000001209659590"/>
    <x v="2"/>
    <x v="2"/>
    <s v="APROBAR"/>
    <n v="1"/>
    <e v="#N/A"/>
  </r>
  <r>
    <n v="1209659561"/>
    <s v="123"/>
    <x v="86"/>
    <d v="2026-10-12T10:39:54"/>
    <s v=""/>
    <s v="CAJA"/>
    <n v="14"/>
    <s v="PENDIENTE APROBACION  ENVIO TMS"/>
    <s v="000000001209659561"/>
    <x v="2"/>
    <x v="0"/>
    <s v="APROBAR"/>
    <n v="1"/>
    <e v="#N/A"/>
  </r>
  <r>
    <n v="8209659564"/>
    <s v="123"/>
    <x v="86"/>
    <d v="2026-10-12T10:39:55"/>
    <s v=""/>
    <s v="UNIDAD"/>
    <n v="1"/>
    <s v="PENDIENTE APROBACION  ENVIO TMS"/>
    <s v="000000008209659564"/>
    <x v="1"/>
    <x v="0"/>
    <s v="APROBAR"/>
    <n v="1"/>
    <e v="#N/A"/>
  </r>
  <r>
    <n v="1209659517"/>
    <s v="117"/>
    <x v="83"/>
    <d v="2026-10-12T10:39:57"/>
    <s v=""/>
    <s v="CAJA"/>
    <n v="8"/>
    <s v="PENDIENTE APROBACION  ENVIO TMS"/>
    <s v="000000001209659517"/>
    <x v="2"/>
    <x v="1"/>
    <s v="APROBAR"/>
    <n v="1"/>
    <e v="#N/A"/>
  </r>
  <r>
    <n v="8209659526"/>
    <s v="118"/>
    <x v="88"/>
    <d v="2026-10-12T10:39:58"/>
    <s v=""/>
    <s v="UNIDAD"/>
    <n v="7"/>
    <s v="PENDIENTE APROBACION  ENVIO TMS"/>
    <s v="000000008209659526"/>
    <x v="1"/>
    <x v="2"/>
    <s v="APROBAR"/>
    <n v="1"/>
    <e v="#N/A"/>
  </r>
  <r>
    <n v="8209659527"/>
    <s v="118"/>
    <x v="88"/>
    <d v="2026-10-12T10:39:59"/>
    <s v=""/>
    <s v="UNIDAD"/>
    <n v="7"/>
    <s v="PENDIENTE APROBACION  ENVIO TMS"/>
    <s v="000000008209659527"/>
    <x v="1"/>
    <x v="2"/>
    <s v="APROBAR"/>
    <n v="1"/>
    <e v="#N/A"/>
  </r>
  <r>
    <n v="8209659528"/>
    <s v="118"/>
    <x v="88"/>
    <d v="2026-10-12T10:40:00"/>
    <s v=""/>
    <s v="UNIDAD"/>
    <n v="2"/>
    <s v="PENDIENTE APROBACION  ENVIO TMS"/>
    <s v="000000008209659528"/>
    <x v="1"/>
    <x v="2"/>
    <s v="APROBAR"/>
    <n v="1"/>
    <e v="#N/A"/>
  </r>
  <r>
    <n v="1209659534"/>
    <s v="118"/>
    <x v="88"/>
    <d v="2026-10-12T10:40:01"/>
    <s v=""/>
    <s v="CAJA"/>
    <n v="16"/>
    <s v="PENDIENTE APROBACION  ENVIO TMS"/>
    <s v="000000001209659534"/>
    <x v="2"/>
    <x v="2"/>
    <s v="APROBAR"/>
    <n v="1"/>
    <e v="#N/A"/>
  </r>
  <r>
    <n v="1209659599"/>
    <s v="124"/>
    <x v="85"/>
    <d v="2026-10-12T10:40:03"/>
    <s v=""/>
    <s v="CAJA"/>
    <n v="8"/>
    <s v="PENDIENTE APROBACION  ENVIO TMS"/>
    <s v="000000001209659599"/>
    <x v="2"/>
    <x v="2"/>
    <s v="APROBAR"/>
    <n v="1"/>
    <e v="#N/A"/>
  </r>
  <r>
    <n v="8209659552"/>
    <s v="123"/>
    <x v="86"/>
    <d v="2026-10-12T10:40:04"/>
    <s v=""/>
    <s v="UNIDAD"/>
    <n v="3"/>
    <s v="PENDIENTE APROBACION  ENVIO TMS"/>
    <s v="000000008209659552"/>
    <x v="1"/>
    <x v="0"/>
    <s v="APROBAR"/>
    <n v="1"/>
    <e v="#N/A"/>
  </r>
  <r>
    <n v="8209659553"/>
    <s v="123"/>
    <x v="86"/>
    <d v="2026-10-12T10:40:05"/>
    <s v=""/>
    <s v="UNIDAD"/>
    <n v="6"/>
    <s v="PENDIENTE APROBACION  ENVIO TMS"/>
    <s v="000000008209659553"/>
    <x v="1"/>
    <x v="0"/>
    <s v="APROBAR"/>
    <n v="1"/>
    <e v="#N/A"/>
  </r>
  <r>
    <n v="1209659557"/>
    <s v="123"/>
    <x v="86"/>
    <d v="2026-10-12T10:40:06"/>
    <s v=""/>
    <s v="CAJA"/>
    <n v="7"/>
    <s v="PENDIENTE APROBACION  ENVIO TMS"/>
    <s v="000000001209659557"/>
    <x v="2"/>
    <x v="0"/>
    <s v="APROBAR"/>
    <n v="1"/>
    <e v="#N/A"/>
  </r>
  <r>
    <n v="1209659558"/>
    <s v="123"/>
    <x v="86"/>
    <d v="2026-10-12T10:40:08"/>
    <s v=""/>
    <s v="PACK"/>
    <n v="13"/>
    <s v="PENDIENTE APROBACION  ENVIO TMS"/>
    <s v="000000001209659558"/>
    <x v="2"/>
    <x v="0"/>
    <s v="APROBAR"/>
    <n v="1"/>
    <e v="#N/A"/>
  </r>
  <r>
    <n v="8209659581"/>
    <s v="124"/>
    <x v="85"/>
    <d v="2026-10-12T10:40:09"/>
    <s v=""/>
    <s v="UNIDAD"/>
    <n v="6"/>
    <s v="PENDIENTE APROBACION  ENVIO TMS"/>
    <s v="000000008209659581"/>
    <x v="1"/>
    <x v="2"/>
    <s v="APROBAR"/>
    <n v="1"/>
    <e v="#N/A"/>
  </r>
  <r>
    <n v="1209659588"/>
    <s v="124"/>
    <x v="85"/>
    <d v="2026-10-12T10:40:10"/>
    <s v=""/>
    <s v="PACK"/>
    <n v="13"/>
    <s v="PENDIENTE APROBACION  ENVIO TMS"/>
    <s v="000000001209659588"/>
    <x v="2"/>
    <x v="2"/>
    <s v="APROBAR"/>
    <n v="1"/>
    <e v="#N/A"/>
  </r>
  <r>
    <n v="1209659592"/>
    <s v="124"/>
    <x v="85"/>
    <d v="2026-10-12T10:40:11"/>
    <s v=""/>
    <s v="CAJA"/>
    <n v="26"/>
    <s v="PENDIENTE APROBACION  ENVIO TMS"/>
    <s v="000000001209659592"/>
    <x v="2"/>
    <x v="2"/>
    <s v="APROBAR"/>
    <n v="1"/>
    <e v="#N/A"/>
  </r>
  <r>
    <n v="1209659631"/>
    <s v="125"/>
    <x v="84"/>
    <d v="2026-10-12T10:40:12"/>
    <s v=""/>
    <s v="CAJA"/>
    <n v="23"/>
    <s v="PENDIENTE APROBACION  ENVIO TMS"/>
    <s v="000000001209659631"/>
    <x v="2"/>
    <x v="2"/>
    <s v="APROBAR"/>
    <n v="1"/>
    <e v="#N/A"/>
  </r>
  <r>
    <n v="1209659621"/>
    <s v="125"/>
    <x v="84"/>
    <d v="2026-10-12T10:40:14"/>
    <s v=""/>
    <s v="PACK"/>
    <n v="25"/>
    <s v="PENDIENTE APROBACION  ENVIO TMS"/>
    <s v="000000001209659621"/>
    <x v="2"/>
    <x v="2"/>
    <s v="APROBAR"/>
    <n v="1"/>
    <e v="#N/A"/>
  </r>
  <r>
    <n v="8209659502"/>
    <s v="117"/>
    <x v="83"/>
    <d v="2026-10-12T10:40:15"/>
    <s v=""/>
    <s v="UNIDAD"/>
    <n v="6"/>
    <s v="PENDIENTE APROBACION  ENVIO TMS"/>
    <s v="000000008209659502"/>
    <x v="1"/>
    <x v="1"/>
    <s v="APROBAR"/>
    <n v="1"/>
    <e v="#N/A"/>
  </r>
  <r>
    <n v="1209659595"/>
    <s v="124"/>
    <x v="85"/>
    <d v="2026-10-12T10:40:17"/>
    <s v=""/>
    <s v="CAJA"/>
    <n v="2"/>
    <s v="PENDIENTE APROBACION  ENVIO TMS"/>
    <s v="000000001209659595"/>
    <x v="2"/>
    <x v="2"/>
    <s v="APROBAR"/>
    <n v="1"/>
    <e v="#N/A"/>
  </r>
  <r>
    <n v="1209659622"/>
    <s v="125"/>
    <x v="84"/>
    <d v="2026-10-12T10:40:17"/>
    <s v=""/>
    <s v="UNIDAD"/>
    <n v="33"/>
    <s v="PENDIENTE APROBACION  ENVIO TMS"/>
    <s v="000000001209659622"/>
    <x v="2"/>
    <x v="2"/>
    <s v="APROBAR"/>
    <n v="1"/>
    <e v="#N/A"/>
  </r>
  <r>
    <n v="8209659505"/>
    <s v="117"/>
    <x v="83"/>
    <d v="2026-10-12T10:40:19"/>
    <s v=""/>
    <s v="UNIDAD"/>
    <n v="5"/>
    <s v="PENDIENTE APROBACION  ENVIO TMS"/>
    <s v="000000008209659505"/>
    <x v="1"/>
    <x v="1"/>
    <s v="APROBAR"/>
    <n v="1"/>
    <e v="#N/A"/>
  </r>
  <r>
    <n v="1209659667"/>
    <s v="126"/>
    <x v="87"/>
    <d v="2026-10-12T10:40:20"/>
    <s v=""/>
    <s v="CAJA"/>
    <n v="11"/>
    <s v="PENDIENTE APROBACION  ENVIO TMS"/>
    <s v="000000001209659667"/>
    <x v="2"/>
    <x v="0"/>
    <s v="APROBAR"/>
    <n v="1"/>
    <e v="#N/A"/>
  </r>
  <r>
    <n v="1209659668"/>
    <s v="126"/>
    <x v="87"/>
    <d v="2026-10-12T10:40:21"/>
    <s v=""/>
    <s v="UNIDAD"/>
    <n v="19"/>
    <s v="PENDIENTE APROBACION  ENVIO TMS"/>
    <s v="000000001209659668"/>
    <x v="2"/>
    <x v="0"/>
    <s v="APROBAR"/>
    <n v="1"/>
    <e v="#N/A"/>
  </r>
  <r>
    <n v="1209659656"/>
    <s v="126"/>
    <x v="87"/>
    <d v="2026-10-12T10:40:22"/>
    <s v=""/>
    <s v="PACK"/>
    <n v="13"/>
    <s v="PENDIENTE APROBACION  ENVIO TMS"/>
    <s v="000000001209659656"/>
    <x v="2"/>
    <x v="0"/>
    <s v="APROBAR"/>
    <n v="1"/>
    <e v="#N/A"/>
  </r>
  <r>
    <n v="1209659659"/>
    <s v="126"/>
    <x v="87"/>
    <d v="2026-10-12T10:40:23"/>
    <s v=""/>
    <s v="PACK"/>
    <n v="29"/>
    <s v="PENDIENTE APROBACION  ENVIO TMS"/>
    <s v="000000001209659659"/>
    <x v="2"/>
    <x v="0"/>
    <s v="APROBAR"/>
    <n v="1"/>
    <e v="#N/A"/>
  </r>
  <r>
    <n v="1209659623"/>
    <s v="125"/>
    <x v="84"/>
    <d v="2026-10-12T10:40:25"/>
    <s v=""/>
    <s v="CAJA"/>
    <n v="33"/>
    <s v="PENDIENTE APROBACION  ENVIO TMS"/>
    <s v="000000001209659623"/>
    <x v="2"/>
    <x v="2"/>
    <s v="APROBAR"/>
    <n v="1"/>
    <e v="#N/A"/>
  </r>
  <r>
    <n v="1209659508"/>
    <s v="117"/>
    <x v="83"/>
    <d v="2026-10-12T10:40:26"/>
    <s v=""/>
    <s v="UNIDAD"/>
    <n v="12"/>
    <s v="PENDIENTE APROBACION  ENVIO TMS"/>
    <s v="000000001209659508"/>
    <x v="2"/>
    <x v="1"/>
    <s v="APROBAR"/>
    <n v="1"/>
    <e v="#N/A"/>
  </r>
  <r>
    <n v="1209659531"/>
    <s v="118"/>
    <x v="88"/>
    <d v="2026-10-12T10:40:28"/>
    <s v=""/>
    <s v="CAJA"/>
    <n v="5"/>
    <s v="PENDIENTE APROBACION  ENVIO TMS"/>
    <s v="000000001209659531"/>
    <x v="2"/>
    <x v="2"/>
    <s v="APROBAR"/>
    <n v="1"/>
    <e v="#N/A"/>
  </r>
  <r>
    <n v="1209659532"/>
    <s v="118"/>
    <x v="88"/>
    <d v="2026-10-12T10:40:28"/>
    <s v=""/>
    <s v="CAJA"/>
    <n v="9"/>
    <s v="PENDIENTE APROBACION  ENVIO TMS"/>
    <s v="000000001209659532"/>
    <x v="2"/>
    <x v="2"/>
    <s v="APROBAR"/>
    <n v="1"/>
    <e v="#N/A"/>
  </r>
  <r>
    <n v="8209659598"/>
    <s v="124"/>
    <x v="85"/>
    <d v="2026-10-12T10:40:30"/>
    <s v=""/>
    <s v="UNIDAD"/>
    <n v="27"/>
    <s v="PENDIENTE APROBACION  ENVIO TMS"/>
    <s v="000000008209659598"/>
    <x v="1"/>
    <x v="2"/>
    <s v="APROBAR"/>
    <n v="1"/>
    <e v="#N/A"/>
  </r>
  <r>
    <n v="1209659600"/>
    <s v="124"/>
    <x v="85"/>
    <d v="2026-10-12T10:40:31"/>
    <s v=""/>
    <s v="CAJA"/>
    <n v="12"/>
    <s v="PENDIENTE APROBACION  ENVIO TMS"/>
    <s v="000000001209659600"/>
    <x v="2"/>
    <x v="2"/>
    <s v="APROBAR"/>
    <n v="1"/>
    <e v="#N/A"/>
  </r>
  <r>
    <n v="1209659624"/>
    <s v="125"/>
    <x v="84"/>
    <d v="2026-10-12T10:40:32"/>
    <s v=""/>
    <s v="PACK"/>
    <n v="40"/>
    <s v="PENDIENTE APROBACION  ENVIO TMS"/>
    <s v="000000001209659624"/>
    <x v="2"/>
    <x v="2"/>
    <s v="APROBAR"/>
    <n v="1"/>
    <e v="#N/A"/>
  </r>
  <r>
    <n v="1209659537"/>
    <s v="118"/>
    <x v="88"/>
    <d v="2026-10-12T10:40:34"/>
    <s v=""/>
    <s v="PACK"/>
    <n v="30"/>
    <s v="PENDIENTE APROBACION  ENVIO TMS"/>
    <s v="000000001209659537"/>
    <x v="2"/>
    <x v="2"/>
    <s v="APROBAR"/>
    <n v="1"/>
    <e v="#N/A"/>
  </r>
  <r>
    <n v="8209659554"/>
    <s v="123"/>
    <x v="86"/>
    <d v="2026-10-12T10:40:34"/>
    <s v=""/>
    <s v="UNIDAD"/>
    <n v="5"/>
    <s v="PENDIENTE APROBACION  ENVIO TMS"/>
    <s v="000000008209659554"/>
    <x v="1"/>
    <x v="0"/>
    <s v="APROBAR"/>
    <n v="1"/>
    <e v="#N/A"/>
  </r>
  <r>
    <n v="1209659559"/>
    <s v="123"/>
    <x v="86"/>
    <d v="2026-10-12T10:40:36"/>
    <s v=""/>
    <s v="PACK"/>
    <n v="13"/>
    <s v="PENDIENTE APROBACION  ENVIO TMS"/>
    <s v="000000001209659559"/>
    <x v="2"/>
    <x v="0"/>
    <s v="APROBAR"/>
    <n v="1"/>
    <e v="#N/A"/>
  </r>
  <r>
    <n v="1209659626"/>
    <s v="125"/>
    <x v="84"/>
    <d v="2026-10-12T10:40:37"/>
    <s v=""/>
    <s v="CAJA"/>
    <n v="41"/>
    <s v="PENDIENTE APROBACION  ENVIO TMS"/>
    <s v="000000001209659626"/>
    <x v="2"/>
    <x v="2"/>
    <s v="APROBAR"/>
    <n v="1"/>
    <e v="#N/A"/>
  </r>
  <r>
    <n v="1209659586"/>
    <s v="124"/>
    <x v="85"/>
    <d v="2026-10-12T10:40:39"/>
    <s v=""/>
    <s v="CAJA"/>
    <n v="1"/>
    <s v="PENDIENTE APROBACION  ENVIO TMS"/>
    <s v="000000001209659586"/>
    <x v="2"/>
    <x v="2"/>
    <s v="APROBAR"/>
    <n v="1"/>
    <e v="#N/A"/>
  </r>
  <r>
    <n v="8209659515"/>
    <s v="117"/>
    <x v="83"/>
    <d v="2026-10-12T10:40:40"/>
    <s v=""/>
    <s v="UNIDAD"/>
    <n v="1"/>
    <s v="PENDIENTE APROBACION  ENVIO TMS"/>
    <s v="000000008209659515"/>
    <x v="1"/>
    <x v="1"/>
    <s v="APROBAR"/>
    <n v="1"/>
    <e v="#N/A"/>
  </r>
  <r>
    <n v="1209659670"/>
    <s v="126"/>
    <x v="87"/>
    <d v="2026-10-12T10:40:41"/>
    <s v=""/>
    <s v="PACK"/>
    <n v="24"/>
    <s v="PENDIENTE APROBACION  ENVIO TMS"/>
    <s v="000000001209659670"/>
    <x v="2"/>
    <x v="0"/>
    <s v="APROBAR"/>
    <n v="1"/>
    <e v="#N/A"/>
  </r>
  <r>
    <n v="1209659658"/>
    <s v="126"/>
    <x v="87"/>
    <d v="2026-10-12T10:40:42"/>
    <s v=""/>
    <s v="PACK"/>
    <n v="20"/>
    <s v="PENDIENTE APROBACION  ENVIO TMS"/>
    <s v="000000001209659658"/>
    <x v="2"/>
    <x v="0"/>
    <s v="APROBAR"/>
    <n v="1"/>
    <e v="#N/A"/>
  </r>
  <r>
    <n v="8209659652"/>
    <s v="126"/>
    <x v="87"/>
    <d v="2026-10-12T10:40:43"/>
    <s v=""/>
    <s v="UNIDAD"/>
    <n v="6"/>
    <s v="PENDIENTE APROBACION  ENVIO TMS"/>
    <s v="000000008209659652"/>
    <x v="1"/>
    <x v="0"/>
    <s v="APROBAR"/>
    <n v="1"/>
    <e v="#N/A"/>
  </r>
  <r>
    <n v="8209659582"/>
    <s v="124"/>
    <x v="85"/>
    <d v="2026-10-12T10:40:44"/>
    <s v=""/>
    <s v="UNIDAD"/>
    <n v="7"/>
    <s v="PENDIENTE APROBACION  ENVIO TMS"/>
    <s v="000000008209659582"/>
    <x v="1"/>
    <x v="2"/>
    <s v="APROBAR"/>
    <n v="1"/>
    <e v="#N/A"/>
  </r>
  <r>
    <n v="8209659583"/>
    <s v="124"/>
    <x v="85"/>
    <d v="2026-10-12T10:40:45"/>
    <s v=""/>
    <s v="UNIDAD"/>
    <n v="2"/>
    <s v="PENDIENTE APROBACION  ENVIO TMS"/>
    <s v="000000008209659583"/>
    <x v="1"/>
    <x v="2"/>
    <s v="APROBAR"/>
    <n v="1"/>
    <e v="#N/A"/>
  </r>
  <r>
    <n v="1209659513"/>
    <s v="117"/>
    <x v="83"/>
    <d v="2026-10-12T10:40:46"/>
    <s v=""/>
    <s v="PACK"/>
    <n v="55"/>
    <s v="PENDIENTE APROBACION  ENVIO TMS"/>
    <s v="000000001209659513"/>
    <x v="2"/>
    <x v="1"/>
    <s v="APROBAR"/>
    <n v="1"/>
    <e v="#N/A"/>
  </r>
  <r>
    <n v="1209659539"/>
    <s v="118"/>
    <x v="88"/>
    <d v="2026-10-12T10:40:48"/>
    <s v=""/>
    <s v="CAJA"/>
    <n v="1"/>
    <s v="PENDIENTE APROBACION  ENVIO TMS"/>
    <s v="000000001209659539"/>
    <x v="2"/>
    <x v="2"/>
    <s v="APROBAR"/>
    <n v="1"/>
    <e v="#N/A"/>
  </r>
  <r>
    <n v="1209659627"/>
    <s v="125"/>
    <x v="84"/>
    <d v="2026-10-12T10:40:49"/>
    <s v=""/>
    <s v="CAJA"/>
    <n v="4"/>
    <s v="PENDIENTE APROBACION  ENVIO TMS"/>
    <s v="000000001209659627"/>
    <x v="2"/>
    <x v="2"/>
    <s v="APROBAR"/>
    <n v="1"/>
    <e v="#N/A"/>
  </r>
  <r>
    <n v="8209659617"/>
    <s v="125"/>
    <x v="84"/>
    <d v="2026-10-12T10:40:51"/>
    <s v=""/>
    <s v="UNIDAD"/>
    <n v="1"/>
    <s v="PENDIENTE APROBACION  ENVIO TMS"/>
    <s v="000000008209659617"/>
    <x v="1"/>
    <x v="2"/>
    <s v="APROBAR"/>
    <n v="1"/>
    <e v="#N/A"/>
  </r>
  <r>
    <n v="1209659514"/>
    <s v="117"/>
    <x v="83"/>
    <d v="2026-10-12T10:40:51"/>
    <s v=""/>
    <s v="CAJA"/>
    <n v="49"/>
    <s v="PENDIENTE APROBACION  ENVIO TMS"/>
    <s v="000000001209659514"/>
    <x v="2"/>
    <x v="1"/>
    <s v="APROBAR"/>
    <n v="1"/>
    <e v="#N/A"/>
  </r>
  <r>
    <n v="8209659629"/>
    <s v="125"/>
    <x v="84"/>
    <d v="2026-10-12T10:40:52"/>
    <s v=""/>
    <s v="UNIDAD"/>
    <n v="6"/>
    <s v="PENDIENTE APROBACION  ENVIO TMS"/>
    <s v="000000008209659629"/>
    <x v="1"/>
    <x v="2"/>
    <s v="APROBAR"/>
    <n v="1"/>
    <e v="#N/A"/>
  </r>
  <r>
    <n v="1209659620"/>
    <s v="125"/>
    <x v="84"/>
    <d v="2026-10-12T10:40:54"/>
    <s v=""/>
    <s v="PACK"/>
    <n v="27"/>
    <s v="PENDIENTE APROBACION  ENVIO TMS"/>
    <s v="000000001209659620"/>
    <x v="2"/>
    <x v="2"/>
    <s v="APROBAR"/>
    <n v="1"/>
    <e v="#N/A"/>
  </r>
  <r>
    <n v="8209659504"/>
    <s v="117"/>
    <x v="83"/>
    <d v="2026-10-12T10:40:55"/>
    <s v=""/>
    <s v="UNIDAD"/>
    <n v="1"/>
    <s v="PENDIENTE APROBACION  ENVIO TMS"/>
    <s v="000000008209659504"/>
    <x v="1"/>
    <x v="1"/>
    <s v="APROBAR"/>
    <n v="1"/>
    <e v="#N/A"/>
  </r>
  <r>
    <n v="1209659732"/>
    <s v="129"/>
    <x v="89"/>
    <d v="2026-10-12T10:43:51"/>
    <s v=""/>
    <s v="UNIDAD"/>
    <n v="15"/>
    <s v="PENDIENTE APROBACION  ENVIO TMS"/>
    <s v="000000001209659732"/>
    <x v="2"/>
    <x v="3"/>
    <s v="APROBAR"/>
    <n v="1"/>
    <e v="#N/A"/>
  </r>
  <r>
    <n v="8209659749"/>
    <s v="130"/>
    <x v="90"/>
    <d v="2026-10-12T10:43:53"/>
    <s v=""/>
    <s v="UNIDAD"/>
    <n v="2"/>
    <s v="PENDIENTE APROBACION  ENVIO TMS"/>
    <s v="000000008209659749"/>
    <x v="1"/>
    <x v="2"/>
    <s v="APROBAR"/>
    <n v="1"/>
    <e v="#N/A"/>
  </r>
  <r>
    <n v="8209659718"/>
    <s v="129"/>
    <x v="89"/>
    <d v="2026-10-12T10:43:54"/>
    <s v=""/>
    <s v="UNIDAD"/>
    <n v="2"/>
    <s v="PENDIENTE APROBACION  ENVIO TMS"/>
    <s v="000000008209659718"/>
    <x v="1"/>
    <x v="3"/>
    <s v="APROBAR"/>
    <n v="1"/>
    <e v="#N/A"/>
  </r>
  <r>
    <n v="1209659752"/>
    <s v="130"/>
    <x v="90"/>
    <d v="2026-10-12T10:43:55"/>
    <s v=""/>
    <s v="CAJA"/>
    <n v="4"/>
    <s v="PENDIENTE APROBACION  ENVIO TMS"/>
    <s v="000000001209659752"/>
    <x v="2"/>
    <x v="2"/>
    <s v="APROBAR"/>
    <n v="1"/>
    <e v="#N/A"/>
  </r>
  <r>
    <n v="8209659681"/>
    <s v="128"/>
    <x v="91"/>
    <d v="2026-10-12T10:43:56"/>
    <s v=""/>
    <s v="UNIDAD"/>
    <n v="9"/>
    <s v="PENDIENTE APROBACION  ENVIO TMS"/>
    <s v="000000008209659681"/>
    <x v="1"/>
    <x v="0"/>
    <s v="APROBAR"/>
    <n v="1"/>
    <e v="#N/A"/>
  </r>
  <r>
    <n v="1209659755"/>
    <s v="130"/>
    <x v="90"/>
    <d v="2026-10-12T10:43:57"/>
    <s v=""/>
    <s v="CAJA"/>
    <n v="13"/>
    <s v="PENDIENTE APROBACION  ENVIO TMS"/>
    <s v="000000001209659755"/>
    <x v="2"/>
    <x v="2"/>
    <s v="APROBAR"/>
    <n v="1"/>
    <e v="#N/A"/>
  </r>
  <r>
    <n v="1209659771"/>
    <s v="130"/>
    <x v="90"/>
    <d v="2026-10-12T10:43:59"/>
    <s v=""/>
    <s v="CAJA"/>
    <n v="1"/>
    <s v="PENDIENTE APROBACION  ENVIO TMS"/>
    <s v="000000001209659771"/>
    <x v="2"/>
    <x v="2"/>
    <s v="APROBAR"/>
    <n v="1"/>
    <e v="#N/A"/>
  </r>
  <r>
    <n v="8209659731"/>
    <s v="129"/>
    <x v="89"/>
    <d v="2026-10-12T10:44:00"/>
    <s v=""/>
    <s v="UNIDAD"/>
    <n v="4"/>
    <s v="PENDIENTE APROBACION  ENVIO TMS"/>
    <s v="000000008209659731"/>
    <x v="1"/>
    <x v="3"/>
    <s v="APROBAR"/>
    <n v="1"/>
    <e v="#N/A"/>
  </r>
  <r>
    <n v="8209659793"/>
    <s v="133"/>
    <x v="92"/>
    <d v="2026-10-12T10:44:01"/>
    <s v=""/>
    <s v="UNIDAD"/>
    <n v="1"/>
    <s v="PENDIENTE APROBACION  ENVIO TMS"/>
    <s v="000000008209659793"/>
    <x v="1"/>
    <x v="0"/>
    <s v="APROBAR"/>
    <n v="1"/>
    <e v="#N/A"/>
  </r>
  <r>
    <n v="8209659803"/>
    <s v="140"/>
    <x v="93"/>
    <d v="2026-10-12T10:44:02"/>
    <s v=""/>
    <s v="UNIDAD"/>
    <n v="2"/>
    <s v="PENDIENTE APROBACION  ENVIO TMS"/>
    <s v="000000008209659803"/>
    <x v="1"/>
    <x v="3"/>
    <s v="APROBAR"/>
    <n v="1"/>
    <e v="#N/A"/>
  </r>
  <r>
    <n v="8209659807"/>
    <s v="140"/>
    <x v="93"/>
    <d v="2026-10-12T10:44:03"/>
    <s v=""/>
    <s v="UNIDAD"/>
    <n v="4"/>
    <s v="PENDIENTE APROBACION  ENVIO TMS"/>
    <s v="000000008209659807"/>
    <x v="1"/>
    <x v="3"/>
    <s v="APROBAR"/>
    <n v="1"/>
    <e v="#N/A"/>
  </r>
  <r>
    <n v="1209659808"/>
    <s v="140"/>
    <x v="93"/>
    <d v="2026-10-12T10:44:05"/>
    <s v=""/>
    <s v="PACK"/>
    <n v="6"/>
    <s v="PENDIENTE APROBACION  ENVIO TMS"/>
    <s v="000000001209659808"/>
    <x v="2"/>
    <x v="3"/>
    <s v="APROBAR"/>
    <n v="1"/>
    <e v="#N/A"/>
  </r>
  <r>
    <n v="1209659810"/>
    <s v="140"/>
    <x v="93"/>
    <d v="2026-10-12T10:44:06"/>
    <s v=""/>
    <s v="PACK"/>
    <n v="4"/>
    <s v="PENDIENTE APROBACION  ENVIO TMS"/>
    <s v="000000001209659810"/>
    <x v="2"/>
    <x v="3"/>
    <s v="APROBAR"/>
    <n v="1"/>
    <e v="#N/A"/>
  </r>
  <r>
    <n v="8209659695"/>
    <s v="128"/>
    <x v="91"/>
    <d v="2026-10-12T10:44:07"/>
    <s v=""/>
    <s v="UNIDAD"/>
    <n v="1"/>
    <s v="PENDIENTE APROBACION  ENVIO TMS"/>
    <s v="000000008209659695"/>
    <x v="1"/>
    <x v="0"/>
    <s v="APROBAR"/>
    <n v="1"/>
    <e v="#N/A"/>
  </r>
  <r>
    <n v="8209659716"/>
    <s v="129"/>
    <x v="89"/>
    <d v="2026-10-12T10:44:08"/>
    <s v=""/>
    <s v="UNIDAD"/>
    <n v="6"/>
    <s v="PENDIENTE APROBACION  ENVIO TMS"/>
    <s v="000000008209659716"/>
    <x v="1"/>
    <x v="3"/>
    <s v="APROBAR"/>
    <n v="1"/>
    <e v="#N/A"/>
  </r>
  <r>
    <n v="1209659814"/>
    <s v="140"/>
    <x v="93"/>
    <d v="2026-10-12T10:44:09"/>
    <s v=""/>
    <s v="PACK"/>
    <n v="14"/>
    <s v="PENDIENTE APROBACION  ENVIO TMS"/>
    <s v="000000001209659814"/>
    <x v="2"/>
    <x v="3"/>
    <s v="APROBAR"/>
    <n v="1"/>
    <e v="#N/A"/>
  </r>
  <r>
    <n v="1209659815"/>
    <s v="140"/>
    <x v="93"/>
    <d v="2026-10-12T10:44:10"/>
    <s v=""/>
    <s v="CAJA"/>
    <n v="26"/>
    <s v="PENDIENTE APROBACION  ENVIO TMS"/>
    <s v="000000001209659815"/>
    <x v="2"/>
    <x v="3"/>
    <s v="APROBAR"/>
    <n v="1"/>
    <e v="#N/A"/>
  </r>
  <r>
    <n v="8209659748"/>
    <s v="130"/>
    <x v="90"/>
    <d v="2026-10-12T10:44:12"/>
    <s v=""/>
    <s v="UNIDAD"/>
    <n v="6"/>
    <s v="PENDIENTE APROBACION  ENVIO TMS"/>
    <s v="000000008209659748"/>
    <x v="1"/>
    <x v="2"/>
    <s v="APROBAR"/>
    <n v="1"/>
    <e v="#N/A"/>
  </r>
  <r>
    <n v="1209659719"/>
    <s v="129"/>
    <x v="89"/>
    <d v="2026-10-12T10:44:13"/>
    <s v=""/>
    <s v="PACK"/>
    <n v="7"/>
    <s v="PENDIENTE APROBACION  ENVIO TMS"/>
    <s v="000000001209659719"/>
    <x v="2"/>
    <x v="3"/>
    <s v="APROBAR"/>
    <n v="1"/>
    <e v="#N/A"/>
  </r>
  <r>
    <n v="8209659750"/>
    <s v="130"/>
    <x v="90"/>
    <d v="2026-10-12T10:44:13"/>
    <s v=""/>
    <s v="UNIDAD"/>
    <n v="2"/>
    <s v="PENDIENTE APROBACION  ENVIO TMS"/>
    <s v="000000008209659750"/>
    <x v="1"/>
    <x v="2"/>
    <s v="APROBAR"/>
    <n v="1"/>
    <e v="#N/A"/>
  </r>
  <r>
    <n v="1209659751"/>
    <s v="130"/>
    <x v="90"/>
    <d v="2026-10-12T10:44:15"/>
    <s v=""/>
    <s v="CAJA"/>
    <n v="4"/>
    <s v="PENDIENTE APROBACION  ENVIO TMS"/>
    <s v="000000001209659751"/>
    <x v="2"/>
    <x v="2"/>
    <s v="APROBAR"/>
    <n v="1"/>
    <e v="#N/A"/>
  </r>
  <r>
    <n v="1209659724"/>
    <s v="129"/>
    <x v="89"/>
    <d v="2026-10-12T10:44:16"/>
    <s v=""/>
    <s v="CAJA"/>
    <n v="32"/>
    <s v="PENDIENTE APROBACION  ENVIO TMS"/>
    <s v="000000001209659724"/>
    <x v="2"/>
    <x v="3"/>
    <s v="APROBAR"/>
    <n v="1"/>
    <e v="#N/A"/>
  </r>
  <r>
    <n v="1209659725"/>
    <s v="129"/>
    <x v="89"/>
    <d v="2026-10-12T10:44:17"/>
    <s v=""/>
    <s v="CAJA"/>
    <n v="32"/>
    <s v="PENDIENTE APROBACION  ENVIO TMS"/>
    <s v="000000001209659725"/>
    <x v="2"/>
    <x v="3"/>
    <s v="APROBAR"/>
    <n v="1"/>
    <e v="#N/A"/>
  </r>
  <r>
    <n v="1209659693"/>
    <s v="128"/>
    <x v="91"/>
    <d v="2026-10-12T10:44:18"/>
    <s v=""/>
    <s v="PACK"/>
    <n v="35"/>
    <s v="PENDIENTE APROBACION  ENVIO TMS"/>
    <s v="000000001209659693"/>
    <x v="2"/>
    <x v="0"/>
    <s v="APROBAR"/>
    <n v="1"/>
    <e v="#N/A"/>
  </r>
  <r>
    <n v="8209659713"/>
    <s v="129"/>
    <x v="89"/>
    <d v="2026-10-12T10:44:19"/>
    <s v=""/>
    <s v="UNIDAD"/>
    <n v="7"/>
    <s v="PENDIENTE APROBACION  ENVIO TMS"/>
    <s v="000000008209659713"/>
    <x v="1"/>
    <x v="3"/>
    <s v="APROBAR"/>
    <n v="1"/>
    <e v="#N/A"/>
  </r>
  <r>
    <n v="1209659797"/>
    <s v="133"/>
    <x v="92"/>
    <d v="2026-10-12T10:44:21"/>
    <s v=""/>
    <s v="CAJA"/>
    <n v="17"/>
    <s v="PENDIENTE APROBACION  ENVIO TMS"/>
    <s v="000000001209659797"/>
    <x v="2"/>
    <x v="0"/>
    <s v="APROBAR"/>
    <n v="1"/>
    <e v="#N/A"/>
  </r>
  <r>
    <n v="1209659816"/>
    <s v="140"/>
    <x v="93"/>
    <d v="2026-10-12T10:44:22"/>
    <s v=""/>
    <s v="CAJA"/>
    <n v="37"/>
    <s v="PENDIENTE APROBACION  ENVIO TMS"/>
    <s v="000000001209659816"/>
    <x v="2"/>
    <x v="3"/>
    <s v="APROBAR"/>
    <n v="1"/>
    <e v="#N/A"/>
  </r>
  <r>
    <n v="1209659702"/>
    <s v="128"/>
    <x v="91"/>
    <d v="2026-10-12T10:44:23"/>
    <s v=""/>
    <s v="CAJA"/>
    <n v="25"/>
    <s v="PENDIENTE APROBACION  ENVIO TMS"/>
    <s v="000000001209659702"/>
    <x v="2"/>
    <x v="0"/>
    <s v="APROBAR"/>
    <n v="1"/>
    <e v="#N/A"/>
  </r>
  <r>
    <n v="8209659684"/>
    <s v="128"/>
    <x v="91"/>
    <d v="2026-10-12T10:44:24"/>
    <s v=""/>
    <s v="UNIDAD"/>
    <n v="3"/>
    <s v="PENDIENTE APROBACION  ENVIO TMS"/>
    <s v="000000008209659684"/>
    <x v="1"/>
    <x v="0"/>
    <s v="APROBAR"/>
    <n v="1"/>
    <e v="#N/A"/>
  </r>
  <r>
    <n v="1209659686"/>
    <s v="128"/>
    <x v="91"/>
    <d v="2026-10-12T10:44:25"/>
    <s v=""/>
    <s v="CAJA"/>
    <n v="6"/>
    <s v="PENDIENTE APROBACION  ENVIO TMS"/>
    <s v="000000001209659686"/>
    <x v="2"/>
    <x v="0"/>
    <s v="APROBAR"/>
    <n v="1"/>
    <e v="#N/A"/>
  </r>
  <r>
    <n v="8209659782"/>
    <s v="133"/>
    <x v="92"/>
    <d v="2026-10-12T10:44:27"/>
    <s v=""/>
    <s v="UNIDAD"/>
    <n v="1"/>
    <s v="PENDIENTE APROBACION  ENVIO TMS"/>
    <s v="000000008209659782"/>
    <x v="1"/>
    <x v="0"/>
    <s v="APROBAR"/>
    <n v="1"/>
    <e v="#N/A"/>
  </r>
  <r>
    <n v="8209659783"/>
    <s v="133"/>
    <x v="92"/>
    <d v="2026-10-12T10:44:28"/>
    <s v=""/>
    <s v="UNIDAD"/>
    <n v="43"/>
    <s v="PENDIENTE APROBACION  ENVIO TMS"/>
    <s v="000000008209659783"/>
    <x v="1"/>
    <x v="0"/>
    <s v="APROBAR"/>
    <n v="1"/>
    <e v="#N/A"/>
  </r>
  <r>
    <n v="1209659694"/>
    <s v="128"/>
    <x v="91"/>
    <d v="2026-10-12T10:44:29"/>
    <s v=""/>
    <s v="CAJA"/>
    <n v="6"/>
    <s v="PENDIENTE APROBACION  ENVIO TMS"/>
    <s v="000000001209659694"/>
    <x v="2"/>
    <x v="0"/>
    <s v="APROBAR"/>
    <n v="1"/>
    <e v="#N/A"/>
  </r>
  <r>
    <n v="8209659696"/>
    <s v="128"/>
    <x v="91"/>
    <d v="2026-10-12T10:44:30"/>
    <s v=""/>
    <s v="UNIDAD"/>
    <n v="10"/>
    <s v="PENDIENTE APROBACION  ENVIO TMS"/>
    <s v="000000008209659696"/>
    <x v="1"/>
    <x v="0"/>
    <s v="APROBAR"/>
    <n v="1"/>
    <e v="#N/A"/>
  </r>
  <r>
    <n v="8209659715"/>
    <s v="129"/>
    <x v="89"/>
    <d v="2026-10-12T10:44:31"/>
    <s v=""/>
    <s v="UNIDAD"/>
    <n v="7"/>
    <s v="PENDIENTE APROBACION  ENVIO TMS"/>
    <s v="000000008209659715"/>
    <x v="1"/>
    <x v="3"/>
    <s v="APROBAR"/>
    <n v="1"/>
    <e v="#N/A"/>
  </r>
  <r>
    <n v="1209659800"/>
    <s v="133"/>
    <x v="92"/>
    <d v="2026-10-12T10:44:32"/>
    <s v=""/>
    <s v="PACK"/>
    <n v="35"/>
    <s v="PENDIENTE APROBACION  ENVIO TMS"/>
    <s v="000000001209659800"/>
    <x v="2"/>
    <x v="0"/>
    <s v="APROBAR"/>
    <n v="1"/>
    <e v="#N/A"/>
  </r>
  <r>
    <n v="8209659804"/>
    <s v="140"/>
    <x v="93"/>
    <d v="2026-10-12T10:44:34"/>
    <s v=""/>
    <s v="UNIDAD"/>
    <n v="1"/>
    <s v="PENDIENTE APROBACION  ENVIO TMS"/>
    <s v="000000008209659804"/>
    <x v="1"/>
    <x v="3"/>
    <s v="APROBAR"/>
    <n v="1"/>
    <e v="#N/A"/>
  </r>
  <r>
    <n v="1209659720"/>
    <s v="129"/>
    <x v="89"/>
    <d v="2026-10-12T10:44:35"/>
    <s v=""/>
    <s v="PACK"/>
    <n v="9"/>
    <s v="PENDIENTE APROBACION  ENVIO TMS"/>
    <s v="000000001209659720"/>
    <x v="2"/>
    <x v="3"/>
    <s v="APROBAR"/>
    <n v="1"/>
    <e v="#N/A"/>
  </r>
  <r>
    <n v="1209659754"/>
    <s v="130"/>
    <x v="90"/>
    <d v="2026-10-12T10:44:36"/>
    <s v=""/>
    <s v="CAJA"/>
    <n v="6"/>
    <s v="PENDIENTE APROBACION  ENVIO TMS"/>
    <s v="000000001209659754"/>
    <x v="2"/>
    <x v="2"/>
    <s v="APROBAR"/>
    <n v="1"/>
    <e v="#N/A"/>
  </r>
  <r>
    <n v="1209659756"/>
    <s v="130"/>
    <x v="90"/>
    <d v="2026-10-12T10:44:37"/>
    <s v=""/>
    <s v="PACK"/>
    <n v="15"/>
    <s v="PENDIENTE APROBACION  ENVIO TMS"/>
    <s v="000000001209659756"/>
    <x v="2"/>
    <x v="2"/>
    <s v="APROBAR"/>
    <n v="1"/>
    <e v="#N/A"/>
  </r>
  <r>
    <n v="1209659722"/>
    <s v="129"/>
    <x v="89"/>
    <d v="2026-10-12T10:44:38"/>
    <s v=""/>
    <s v="CAJA"/>
    <n v="27"/>
    <s v="PENDIENTE APROBACION  ENVIO TMS"/>
    <s v="000000001209659722"/>
    <x v="2"/>
    <x v="3"/>
    <s v="APROBAR"/>
    <n v="1"/>
    <e v="#N/A"/>
  </r>
  <r>
    <n v="1209659687"/>
    <s v="128"/>
    <x v="91"/>
    <d v="2026-10-12T10:44:39"/>
    <s v=""/>
    <s v="PACK"/>
    <n v="7"/>
    <s v="PENDIENTE APROBACION  ENVIO TMS"/>
    <s v="000000001209659687"/>
    <x v="2"/>
    <x v="0"/>
    <s v="APROBAR"/>
    <n v="1"/>
    <e v="#N/A"/>
  </r>
  <r>
    <n v="8209659781"/>
    <s v="133"/>
    <x v="92"/>
    <d v="2026-10-12T10:44:41"/>
    <s v=""/>
    <s v="UNIDAD"/>
    <n v="4"/>
    <s v="PENDIENTE APROBACION  ENVIO TMS"/>
    <s v="000000008209659781"/>
    <x v="1"/>
    <x v="0"/>
    <s v="APROBAR"/>
    <n v="1"/>
    <e v="#N/A"/>
  </r>
  <r>
    <n v="1209659727"/>
    <s v="129"/>
    <x v="89"/>
    <d v="2026-10-12T10:44:41"/>
    <s v=""/>
    <s v="PACK"/>
    <n v="34"/>
    <s v="PENDIENTE APROBACION  ENVIO TMS"/>
    <s v="000000001209659727"/>
    <x v="2"/>
    <x v="3"/>
    <s v="APROBAR"/>
    <n v="1"/>
    <e v="#N/A"/>
  </r>
  <r>
    <n v="8209659714"/>
    <s v="129"/>
    <x v="89"/>
    <d v="2026-10-12T10:44:43"/>
    <s v=""/>
    <s v="UNIDAD"/>
    <n v="7"/>
    <s v="PENDIENTE APROBACION  ENVIO TMS"/>
    <s v="000000008209659714"/>
    <x v="1"/>
    <x v="3"/>
    <s v="APROBAR"/>
    <n v="1"/>
    <e v="#N/A"/>
  </r>
  <r>
    <n v="8209659791"/>
    <s v="133"/>
    <x v="92"/>
    <d v="2026-10-12T10:44:44"/>
    <s v=""/>
    <s v="UNIDAD"/>
    <n v="8"/>
    <s v="PENDIENTE APROBACION  ENVIO TMS"/>
    <s v="000000008209659791"/>
    <x v="1"/>
    <x v="0"/>
    <s v="APROBAR"/>
    <n v="1"/>
    <e v="#N/A"/>
  </r>
  <r>
    <n v="1209659801"/>
    <s v="133"/>
    <x v="92"/>
    <d v="2026-10-12T10:44:45"/>
    <s v=""/>
    <s v="CAJA"/>
    <n v="2"/>
    <s v="PENDIENTE APROBACION  ENVIO TMS"/>
    <s v="000000001209659801"/>
    <x v="2"/>
    <x v="0"/>
    <s v="APROBAR"/>
    <n v="1"/>
    <e v="#N/A"/>
  </r>
  <r>
    <n v="1209659829"/>
    <s v="140"/>
    <x v="93"/>
    <d v="2026-10-12T10:44:47"/>
    <s v=""/>
    <s v="CAJA"/>
    <n v="2"/>
    <s v="PENDIENTE APROBACION  ENVIO TMS"/>
    <s v="000000001209659829"/>
    <x v="2"/>
    <x v="3"/>
    <s v="APROBAR"/>
    <n v="1"/>
    <e v="#N/A"/>
  </r>
  <r>
    <n v="8209659680"/>
    <s v="128"/>
    <x v="91"/>
    <d v="2026-10-12T10:44:48"/>
    <s v=""/>
    <s v="UNIDAD"/>
    <n v="7"/>
    <s v="PENDIENTE APROBACION  ENVIO TMS"/>
    <s v="000000008209659680"/>
    <x v="1"/>
    <x v="0"/>
    <s v="APROBAR"/>
    <n v="1"/>
    <e v="#N/A"/>
  </r>
  <r>
    <n v="1209659758"/>
    <s v="130"/>
    <x v="90"/>
    <d v="2026-10-12T10:44:48"/>
    <s v=""/>
    <s v="CAJA"/>
    <n v="11"/>
    <s v="PENDIENTE APROBACION  ENVIO TMS"/>
    <s v="000000001209659758"/>
    <x v="2"/>
    <x v="2"/>
    <s v="APROBAR"/>
    <n v="1"/>
    <e v="#N/A"/>
  </r>
  <r>
    <n v="1209659691"/>
    <s v="128"/>
    <x v="91"/>
    <d v="2026-10-12T10:44:50"/>
    <s v=""/>
    <s v="CAJA"/>
    <n v="23"/>
    <s v="PENDIENTE APROBACION  ENVIO TMS"/>
    <s v="000000001209659691"/>
    <x v="2"/>
    <x v="0"/>
    <s v="APROBAR"/>
    <n v="1"/>
    <e v="#N/A"/>
  </r>
  <r>
    <n v="8209659761"/>
    <s v="130"/>
    <x v="90"/>
    <d v="2026-10-12T10:44:51"/>
    <s v=""/>
    <s v="UNIDAD"/>
    <n v="3"/>
    <s v="PENDIENTE APROBACION  ENVIO TMS"/>
    <s v="000000008209659761"/>
    <x v="1"/>
    <x v="2"/>
    <s v="APROBAR"/>
    <n v="1"/>
    <e v="#N/A"/>
  </r>
  <r>
    <n v="1209659763"/>
    <s v="130"/>
    <x v="90"/>
    <d v="2026-10-12T10:44:53"/>
    <s v=""/>
    <s v="CAJA"/>
    <n v="4"/>
    <s v="PENDIENTE APROBACION  ENVIO TMS"/>
    <s v="000000001209659763"/>
    <x v="2"/>
    <x v="2"/>
    <s v="APROBAR"/>
    <n v="1"/>
    <e v="#N/A"/>
  </r>
  <r>
    <n v="1209659786"/>
    <s v="133"/>
    <x v="92"/>
    <d v="2026-10-12T10:44:54"/>
    <s v=""/>
    <s v="UNIDAD"/>
    <n v="6"/>
    <s v="PENDIENTE APROBACION  ENVIO TMS"/>
    <s v="000000001209659786"/>
    <x v="2"/>
    <x v="0"/>
    <s v="APROBAR"/>
    <n v="1"/>
    <e v="#N/A"/>
  </r>
  <r>
    <n v="1209659811"/>
    <s v="140"/>
    <x v="93"/>
    <d v="2026-10-12T10:44:54"/>
    <s v=""/>
    <s v="CAJA"/>
    <n v="5"/>
    <s v="PENDIENTE APROBACION  ENVIO TMS"/>
    <s v="000000001209659811"/>
    <x v="2"/>
    <x v="3"/>
    <s v="APROBAR"/>
    <n v="1"/>
    <e v="#N/A"/>
  </r>
  <r>
    <n v="1209659812"/>
    <s v="140"/>
    <x v="93"/>
    <d v="2026-10-12T10:44:56"/>
    <s v=""/>
    <s v="CAJA"/>
    <n v="12"/>
    <s v="PENDIENTE APROBACION  ENVIO TMS"/>
    <s v="000000001209659812"/>
    <x v="2"/>
    <x v="3"/>
    <s v="APROBAR"/>
    <n v="1"/>
    <e v="#N/A"/>
  </r>
  <r>
    <n v="1209659790"/>
    <s v="133"/>
    <x v="92"/>
    <d v="2026-10-12T10:44:57"/>
    <s v=""/>
    <s v="CAJA"/>
    <n v="30"/>
    <s v="PENDIENTE APROBACION  ENVIO TMS"/>
    <s v="000000001209659790"/>
    <x v="2"/>
    <x v="0"/>
    <s v="APROBAR"/>
    <n v="1"/>
    <e v="#N/A"/>
  </r>
  <r>
    <n v="1209659699"/>
    <s v="128"/>
    <x v="91"/>
    <d v="2026-10-12T10:44:59"/>
    <s v=""/>
    <s v="PACK"/>
    <n v="14"/>
    <s v="PENDIENTE APROBACION  ENVIO TMS"/>
    <s v="000000001209659699"/>
    <x v="2"/>
    <x v="0"/>
    <s v="APROBAR"/>
    <n v="1"/>
    <e v="#N/A"/>
  </r>
  <r>
    <n v="1209659721"/>
    <s v="129"/>
    <x v="89"/>
    <d v="2026-10-12T10:45:00"/>
    <s v=""/>
    <s v="CAJA"/>
    <n v="17"/>
    <s v="PENDIENTE APROBACION  ENVIO TMS"/>
    <s v="000000001209659721"/>
    <x v="2"/>
    <x v="3"/>
    <s v="APROBAR"/>
    <n v="1"/>
    <e v="#N/A"/>
  </r>
  <r>
    <n v="1209659753"/>
    <s v="130"/>
    <x v="90"/>
    <d v="2026-10-12T10:45:00"/>
    <s v=""/>
    <s v="CAJA"/>
    <n v="8"/>
    <s v="PENDIENTE APROBACION  ENVIO TMS"/>
    <s v="000000001209659753"/>
    <x v="2"/>
    <x v="2"/>
    <s v="APROBAR"/>
    <n v="1"/>
    <e v="#N/A"/>
  </r>
  <r>
    <n v="8209659683"/>
    <s v="128"/>
    <x v="91"/>
    <d v="2026-10-12T10:45:02"/>
    <s v=""/>
    <s v="UNIDAD"/>
    <n v="16"/>
    <s v="PENDIENTE APROBACION  ENVIO TMS"/>
    <s v="000000008209659683"/>
    <x v="1"/>
    <x v="0"/>
    <s v="APROBAR"/>
    <n v="1"/>
    <e v="#N/A"/>
  </r>
  <r>
    <n v="1209659685"/>
    <s v="128"/>
    <x v="91"/>
    <d v="2026-10-12T10:45:03"/>
    <s v=""/>
    <s v="CAJA"/>
    <n v="3"/>
    <s v="PENDIENTE APROBACION  ENVIO TMS"/>
    <s v="000000001209659685"/>
    <x v="2"/>
    <x v="0"/>
    <s v="APROBAR"/>
    <n v="1"/>
    <e v="#N/A"/>
  </r>
  <r>
    <n v="1209659813"/>
    <s v="140"/>
    <x v="93"/>
    <d v="2026-10-12T10:45:04"/>
    <s v=""/>
    <s v="CAJA"/>
    <n v="12"/>
    <s v="PENDIENTE APROBACION  ENVIO TMS"/>
    <s v="000000001209659813"/>
    <x v="2"/>
    <x v="3"/>
    <s v="APROBAR"/>
    <n v="1"/>
    <e v="#N/A"/>
  </r>
  <r>
    <n v="8209659795"/>
    <s v="133"/>
    <x v="92"/>
    <d v="2026-10-12T10:45:05"/>
    <s v=""/>
    <s v="UNIDAD"/>
    <n v="4"/>
    <s v="PENDIENTE APROBACION  ENVIO TMS"/>
    <s v="000000008209659795"/>
    <x v="1"/>
    <x v="0"/>
    <s v="APROBAR"/>
    <n v="1"/>
    <e v="#N/A"/>
  </r>
  <r>
    <n v="1209659798"/>
    <s v="133"/>
    <x v="92"/>
    <d v="2026-10-12T10:45:06"/>
    <s v=""/>
    <s v="PACK"/>
    <n v="18"/>
    <s v="PENDIENTE APROBACION  ENVIO TMS"/>
    <s v="000000001209659798"/>
    <x v="2"/>
    <x v="0"/>
    <s v="APROBAR"/>
    <n v="1"/>
    <e v="#N/A"/>
  </r>
  <r>
    <n v="1209659799"/>
    <s v="133"/>
    <x v="92"/>
    <d v="2026-10-12T10:45:08"/>
    <s v=""/>
    <s v="PACK"/>
    <n v="28"/>
    <s v="PENDIENTE APROBACION  ENVIO TMS"/>
    <s v="000000001209659799"/>
    <x v="2"/>
    <x v="0"/>
    <s v="APROBAR"/>
    <n v="1"/>
    <e v="#N/A"/>
  </r>
  <r>
    <n v="8209659805"/>
    <s v="140"/>
    <x v="93"/>
    <d v="2026-10-12T10:45:09"/>
    <s v=""/>
    <s v="UNIDAD"/>
    <n v="1"/>
    <s v="PENDIENTE APROBACION  ENVIO TMS"/>
    <s v="000000008209659805"/>
    <x v="1"/>
    <x v="3"/>
    <s v="APROBAR"/>
    <n v="1"/>
    <e v="#N/A"/>
  </r>
  <r>
    <n v="1209659809"/>
    <s v="140"/>
    <x v="93"/>
    <d v="2026-10-12T10:45:11"/>
    <s v=""/>
    <s v="CAJA"/>
    <n v="3"/>
    <s v="PENDIENTE APROBACION  ENVIO TMS"/>
    <s v="000000001209659809"/>
    <x v="2"/>
    <x v="3"/>
    <s v="APROBAR"/>
    <n v="1"/>
    <e v="#N/A"/>
  </r>
  <r>
    <n v="8209659747"/>
    <s v="130"/>
    <x v="90"/>
    <d v="2026-10-12T10:45:11"/>
    <s v=""/>
    <s v="UNIDAD"/>
    <n v="2"/>
    <s v="PENDIENTE APROBACION  ENVIO TMS"/>
    <s v="000000008209659747"/>
    <x v="1"/>
    <x v="2"/>
    <s v="APROBAR"/>
    <n v="1"/>
    <e v="#N/A"/>
  </r>
  <r>
    <n v="1209659789"/>
    <s v="133"/>
    <x v="92"/>
    <d v="2026-10-12T10:45:12"/>
    <s v=""/>
    <s v="PACK"/>
    <n v="24"/>
    <s v="PENDIENTE APROBACION  ENVIO TMS"/>
    <s v="000000001209659789"/>
    <x v="2"/>
    <x v="0"/>
    <s v="APROBAR"/>
    <n v="1"/>
    <e v="#N/A"/>
  </r>
  <r>
    <n v="1209659717"/>
    <s v="129"/>
    <x v="89"/>
    <d v="2026-10-12T10:45:14"/>
    <s v=""/>
    <s v="CAJA"/>
    <n v="3"/>
    <s v="PENDIENTE APROBACION  ENVIO TMS"/>
    <s v="000000001209659717"/>
    <x v="2"/>
    <x v="3"/>
    <s v="APROBAR"/>
    <n v="1"/>
    <e v="#N/A"/>
  </r>
  <r>
    <n v="8209659682"/>
    <s v="128"/>
    <x v="91"/>
    <d v="2026-10-12T10:45:15"/>
    <s v=""/>
    <s v="UNIDAD"/>
    <n v="8"/>
    <s v="PENDIENTE APROBACION  ENVIO TMS"/>
    <s v="000000008209659682"/>
    <x v="1"/>
    <x v="0"/>
    <s v="APROBAR"/>
    <n v="1"/>
    <e v="#N/A"/>
  </r>
  <r>
    <n v="1209659723"/>
    <s v="129"/>
    <x v="89"/>
    <d v="2026-10-12T10:45:16"/>
    <s v=""/>
    <s v="PACK"/>
    <n v="31"/>
    <s v="PENDIENTE APROBACION  ENVIO TMS"/>
    <s v="000000001209659723"/>
    <x v="2"/>
    <x v="3"/>
    <s v="APROBAR"/>
    <n v="1"/>
    <e v="#N/A"/>
  </r>
  <r>
    <n v="1209659689"/>
    <s v="128"/>
    <x v="91"/>
    <d v="2026-10-12T10:45:17"/>
    <s v=""/>
    <s v="PACK"/>
    <n v="18"/>
    <s v="PENDIENTE APROBACION  ENVIO TMS"/>
    <s v="000000001209659689"/>
    <x v="2"/>
    <x v="0"/>
    <s v="APROBAR"/>
    <n v="1"/>
    <e v="#N/A"/>
  </r>
  <r>
    <n v="1209659690"/>
    <s v="128"/>
    <x v="91"/>
    <d v="2026-10-12T10:45:19"/>
    <s v=""/>
    <s v="CAJA"/>
    <n v="36"/>
    <s v="PENDIENTE APROBACION  ENVIO TMS"/>
    <s v="000000001209659690"/>
    <x v="2"/>
    <x v="0"/>
    <s v="APROBAR"/>
    <n v="1"/>
    <e v="#N/A"/>
  </r>
  <r>
    <n v="1209659692"/>
    <s v="128"/>
    <x v="91"/>
    <d v="2026-10-12T10:45:20"/>
    <s v=""/>
    <s v="CAJA"/>
    <n v="49"/>
    <s v="PENDIENTE APROBACION  ENVIO TMS"/>
    <s v="000000001209659692"/>
    <x v="2"/>
    <x v="0"/>
    <s v="APROBAR"/>
    <n v="1"/>
    <e v="#N/A"/>
  </r>
  <r>
    <n v="1209659764"/>
    <s v="130"/>
    <x v="90"/>
    <d v="2026-10-12T10:45:21"/>
    <s v=""/>
    <s v="CAJA"/>
    <n v="8"/>
    <s v="PENDIENTE APROBACION  ENVIO TMS"/>
    <s v="000000001209659764"/>
    <x v="2"/>
    <x v="2"/>
    <s v="APROBAR"/>
    <n v="1"/>
    <e v="#N/A"/>
  </r>
  <r>
    <n v="1209659728"/>
    <s v="129"/>
    <x v="89"/>
    <d v="2026-10-12T10:45:22"/>
    <s v=""/>
    <s v="CAJA"/>
    <n v="5"/>
    <s v="PENDIENTE APROBACION  ENVIO TMS"/>
    <s v="000000001209659728"/>
    <x v="2"/>
    <x v="3"/>
    <s v="APROBAR"/>
    <n v="1"/>
    <e v="#N/A"/>
  </r>
  <r>
    <n v="1209659787"/>
    <s v="133"/>
    <x v="92"/>
    <d v="2026-10-12T10:45:23"/>
    <s v=""/>
    <s v="CAJA"/>
    <n v="9"/>
    <s v="PENDIENTE APROBACION  ENVIO TMS"/>
    <s v="000000001209659787"/>
    <x v="2"/>
    <x v="0"/>
    <s v="APROBAR"/>
    <n v="1"/>
    <e v="#N/A"/>
  </r>
  <r>
    <n v="1209659788"/>
    <s v="133"/>
    <x v="92"/>
    <d v="2026-10-12T10:45:24"/>
    <s v=""/>
    <s v="CAJA"/>
    <n v="13"/>
    <s v="PENDIENTE APROBACION  ENVIO TMS"/>
    <s v="000000001209659788"/>
    <x v="2"/>
    <x v="0"/>
    <s v="APROBAR"/>
    <n v="1"/>
    <e v="#N/A"/>
  </r>
  <r>
    <n v="8209659792"/>
    <s v="133"/>
    <x v="92"/>
    <d v="2026-10-12T10:45:26"/>
    <s v=""/>
    <s v="UNIDAD"/>
    <n v="2"/>
    <s v="PENDIENTE APROBACION  ENVIO TMS"/>
    <s v="000000008209659792"/>
    <x v="1"/>
    <x v="0"/>
    <s v="APROBAR"/>
    <n v="1"/>
    <e v="#N/A"/>
  </r>
  <r>
    <n v="1209659796"/>
    <s v="133"/>
    <x v="92"/>
    <d v="2026-10-12T10:45:27"/>
    <s v=""/>
    <s v="CAJA"/>
    <n v="7"/>
    <s v="PENDIENTE APROBACION  ENVIO TMS"/>
    <s v="000000001209659796"/>
    <x v="2"/>
    <x v="0"/>
    <s v="APROBAR"/>
    <n v="1"/>
    <e v="#N/A"/>
  </r>
  <r>
    <n v="8209659802"/>
    <s v="140"/>
    <x v="93"/>
    <d v="2026-10-12T10:45:28"/>
    <s v=""/>
    <s v="UNIDAD"/>
    <n v="11"/>
    <s v="PENDIENTE APROBACION  ENVIO TMS"/>
    <s v="000000008209659802"/>
    <x v="1"/>
    <x v="3"/>
    <s v="APROBAR"/>
    <n v="1"/>
    <e v="#N/A"/>
  </r>
  <r>
    <n v="8209659806"/>
    <s v="140"/>
    <x v="93"/>
    <d v="2026-10-12T10:45:29"/>
    <s v=""/>
    <s v="UNIDAD"/>
    <n v="2"/>
    <s v="PENDIENTE APROBACION  ENVIO TMS"/>
    <s v="000000008209659806"/>
    <x v="1"/>
    <x v="3"/>
    <s v="APROBAR"/>
    <n v="1"/>
    <e v="#N/A"/>
  </r>
  <r>
    <n v="1209659862"/>
    <s v="141"/>
    <x v="94"/>
    <d v="2026-10-12T10:48:52"/>
    <s v=""/>
    <s v="CAJA"/>
    <n v="23"/>
    <s v="PENDIENTE APROBACION  ENVIO TMS"/>
    <s v="000000001209659862"/>
    <x v="2"/>
    <x v="3"/>
    <s v="APROBAR"/>
    <n v="1"/>
    <e v="#N/A"/>
  </r>
  <r>
    <n v="8209659993"/>
    <s v="144"/>
    <x v="95"/>
    <d v="2026-10-12T10:48:53"/>
    <s v=""/>
    <s v="UNIDAD"/>
    <n v="1"/>
    <s v="PENDIENTE APROBACION  ENVIO TMS"/>
    <s v="000000008209659993"/>
    <x v="1"/>
    <x v="2"/>
    <s v="APROBAR"/>
    <n v="1"/>
    <e v="#N/A"/>
  </r>
  <r>
    <n v="8209659920"/>
    <s v="142"/>
    <x v="96"/>
    <d v="2026-10-12T10:48:55"/>
    <s v=""/>
    <s v="UNIDAD"/>
    <n v="4"/>
    <s v="PENDIENTE APROBACION  ENVIO TMS"/>
    <s v="000000008209659920"/>
    <x v="1"/>
    <x v="1"/>
    <s v="APROBAR"/>
    <n v="1"/>
    <e v="#N/A"/>
  </r>
  <r>
    <n v="1209660004"/>
    <s v="144"/>
    <x v="95"/>
    <d v="2026-10-12T10:48:56"/>
    <s v=""/>
    <s v="PACK"/>
    <n v="24"/>
    <s v="PENDIENTE APROBACION  ENVIO TMS"/>
    <s v="000000001209660004"/>
    <x v="2"/>
    <x v="2"/>
    <s v="APROBAR"/>
    <n v="1"/>
    <e v="#N/A"/>
  </r>
  <r>
    <n v="1209659911"/>
    <s v="142"/>
    <x v="96"/>
    <d v="2026-10-12T10:48:57"/>
    <s v=""/>
    <s v="CAJA"/>
    <n v="21"/>
    <s v="PENDIENTE APROBACION  ENVIO TMS"/>
    <s v="000000001209659911"/>
    <x v="2"/>
    <x v="1"/>
    <s v="APROBAR"/>
    <n v="1"/>
    <e v="#N/A"/>
  </r>
  <r>
    <n v="1209659922"/>
    <s v="142"/>
    <x v="96"/>
    <d v="2026-10-12T10:48:59"/>
    <s v=""/>
    <s v="PACK"/>
    <n v="19"/>
    <s v="PENDIENTE APROBACION  ENVIO TMS"/>
    <s v="000000001209659922"/>
    <x v="2"/>
    <x v="1"/>
    <s v="APROBAR"/>
    <n v="1"/>
    <e v="#N/A"/>
  </r>
  <r>
    <n v="1209660007"/>
    <s v="144"/>
    <x v="95"/>
    <d v="2026-10-12T10:48:59"/>
    <s v=""/>
    <s v="CAJA"/>
    <n v="14"/>
    <s v="PENDIENTE APROBACION  ENVIO TMS"/>
    <s v="000000001209660007"/>
    <x v="2"/>
    <x v="2"/>
    <s v="APROBAR"/>
    <n v="1"/>
    <e v="#N/A"/>
  </r>
  <r>
    <n v="1209659950"/>
    <s v="143"/>
    <x v="97"/>
    <d v="2026-10-12T10:49:01"/>
    <s v=""/>
    <s v="CAJA"/>
    <n v="5"/>
    <s v="PENDIENTE APROBACION  ENVIO TMS"/>
    <s v="000000001209659950"/>
    <x v="2"/>
    <x v="3"/>
    <s v="APROBAR"/>
    <n v="1"/>
    <e v="#N/A"/>
  </r>
  <r>
    <n v="1209659999"/>
    <s v="144"/>
    <x v="95"/>
    <d v="2026-10-12T10:49:02"/>
    <s v=""/>
    <s v="PACK"/>
    <n v="10"/>
    <s v="PENDIENTE APROBACION  ENVIO TMS"/>
    <s v="000000001209659999"/>
    <x v="2"/>
    <x v="2"/>
    <s v="APROBAR"/>
    <n v="1"/>
    <e v="#N/A"/>
  </r>
  <r>
    <n v="8209659843"/>
    <s v="141"/>
    <x v="94"/>
    <d v="2026-10-12T10:49:03"/>
    <s v=""/>
    <s v="UNIDAD"/>
    <n v="13"/>
    <s v="PENDIENTE APROBACION  ENVIO TMS"/>
    <s v="000000008209659843"/>
    <x v="1"/>
    <x v="3"/>
    <s v="APROBAR"/>
    <n v="1"/>
    <e v="#N/A"/>
  </r>
  <r>
    <n v="1209659849"/>
    <s v="141"/>
    <x v="94"/>
    <d v="2026-10-12T10:49:05"/>
    <s v=""/>
    <s v="PACK"/>
    <n v="10"/>
    <s v="PENDIENTE APROBACION  ENVIO TMS"/>
    <s v="000000001209659849"/>
    <x v="2"/>
    <x v="3"/>
    <s v="APROBAR"/>
    <n v="1"/>
    <e v="#N/A"/>
  </r>
  <r>
    <n v="1209659850"/>
    <s v="141"/>
    <x v="94"/>
    <d v="2026-10-12T10:49:06"/>
    <s v=""/>
    <s v="CAJA"/>
    <n v="16"/>
    <s v="PENDIENTE APROBACION  ENVIO TMS"/>
    <s v="000000001209659850"/>
    <x v="2"/>
    <x v="3"/>
    <s v="APROBAR"/>
    <n v="1"/>
    <e v="#N/A"/>
  </r>
  <r>
    <n v="1209659851"/>
    <s v="141"/>
    <x v="94"/>
    <d v="2026-10-12T10:49:06"/>
    <s v=""/>
    <s v="CAJA"/>
    <n v="13"/>
    <s v="PENDIENTE APROBACION  ENVIO TMS"/>
    <s v="000000001209659851"/>
    <x v="2"/>
    <x v="3"/>
    <s v="APROBAR"/>
    <n v="1"/>
    <e v="#N/A"/>
  </r>
  <r>
    <n v="1209659853"/>
    <s v="141"/>
    <x v="94"/>
    <d v="2026-10-12T10:49:08"/>
    <s v=""/>
    <s v="CAJA"/>
    <n v="11"/>
    <s v="PENDIENTE APROBACION  ENVIO TMS"/>
    <s v="000000001209659853"/>
    <x v="2"/>
    <x v="3"/>
    <s v="APROBAR"/>
    <n v="1"/>
    <e v="#N/A"/>
  </r>
  <r>
    <n v="1209659895"/>
    <s v="142"/>
    <x v="96"/>
    <d v="2026-10-12T10:49:09"/>
    <s v=""/>
    <s v="PACK"/>
    <n v="16"/>
    <s v="PENDIENTE APROBACION  ENVIO TMS"/>
    <s v="000000001209659895"/>
    <x v="2"/>
    <x v="1"/>
    <s v="APROBAR"/>
    <n v="1"/>
    <e v="#N/A"/>
  </r>
  <r>
    <n v="8209659944"/>
    <s v="143"/>
    <x v="97"/>
    <d v="2026-10-12T10:49:11"/>
    <s v=""/>
    <s v="UNIDAD"/>
    <n v="6"/>
    <s v="PENDIENTE APROBACION  ENVIO TMS"/>
    <s v="000000008209659944"/>
    <x v="1"/>
    <x v="3"/>
    <s v="APROBAR"/>
    <n v="1"/>
    <e v="#N/A"/>
  </r>
  <r>
    <n v="8209659945"/>
    <s v="143"/>
    <x v="97"/>
    <d v="2026-10-12T10:49:12"/>
    <s v=""/>
    <s v="UNIDAD"/>
    <n v="7"/>
    <s v="PENDIENTE APROBACION  ENVIO TMS"/>
    <s v="000000008209659945"/>
    <x v="1"/>
    <x v="3"/>
    <s v="APROBAR"/>
    <n v="1"/>
    <e v="#N/A"/>
  </r>
  <r>
    <n v="1209659855"/>
    <s v="141"/>
    <x v="94"/>
    <d v="2026-10-12T10:49:13"/>
    <s v=""/>
    <s v="PACK"/>
    <n v="38"/>
    <s v="PENDIENTE APROBACION  ENVIO TMS"/>
    <s v="000000001209659855"/>
    <x v="2"/>
    <x v="3"/>
    <s v="APROBAR"/>
    <n v="1"/>
    <e v="#N/A"/>
  </r>
  <r>
    <n v="1209659952"/>
    <s v="143"/>
    <x v="97"/>
    <d v="2026-10-12T10:49:14"/>
    <s v=""/>
    <s v="PACK"/>
    <n v="9"/>
    <s v="PENDIENTE APROBACION  ENVIO TMS"/>
    <s v="000000001209659952"/>
    <x v="2"/>
    <x v="3"/>
    <s v="APROBAR"/>
    <n v="1"/>
    <e v="#N/A"/>
  </r>
  <r>
    <n v="1209659955"/>
    <s v="143"/>
    <x v="97"/>
    <d v="2026-10-12T10:49:15"/>
    <s v=""/>
    <s v="CAJA"/>
    <n v="13"/>
    <s v="PENDIENTE APROBACION  ENVIO TMS"/>
    <s v="000000001209659955"/>
    <x v="2"/>
    <x v="3"/>
    <s v="APROBAR"/>
    <n v="1"/>
    <e v="#N/A"/>
  </r>
  <r>
    <n v="8209659991"/>
    <s v="144"/>
    <x v="95"/>
    <d v="2026-10-12T10:49:17"/>
    <s v=""/>
    <s v="UNIDAD"/>
    <n v="3"/>
    <s v="PENDIENTE APROBACION  ENVIO TMS"/>
    <s v="000000008209659991"/>
    <x v="1"/>
    <x v="2"/>
    <s v="APROBAR"/>
    <n v="1"/>
    <e v="#N/A"/>
  </r>
  <r>
    <n v="8209659906"/>
    <s v="142"/>
    <x v="96"/>
    <d v="2026-10-12T10:49:18"/>
    <s v=""/>
    <s v="UNIDAD"/>
    <n v="79"/>
    <s v="PENDIENTE APROBACION  ENVIO TMS"/>
    <s v="000000008209659906"/>
    <x v="1"/>
    <x v="1"/>
    <s v="APROBAR"/>
    <n v="1"/>
    <e v="#N/A"/>
  </r>
  <r>
    <n v="1209659997"/>
    <s v="144"/>
    <x v="95"/>
    <d v="2026-10-12T10:49:18"/>
    <s v=""/>
    <s v="PACK"/>
    <n v="5"/>
    <s v="PENDIENTE APROBACION  ENVIO TMS"/>
    <s v="000000001209659997"/>
    <x v="2"/>
    <x v="2"/>
    <s v="APROBAR"/>
    <n v="1"/>
    <e v="#N/A"/>
  </r>
  <r>
    <n v="1209659908"/>
    <s v="142"/>
    <x v="96"/>
    <d v="2026-10-12T10:49:20"/>
    <s v=""/>
    <s v="CAJA"/>
    <n v="12"/>
    <s v="PENDIENTE APROBACION  ENVIO TMS"/>
    <s v="000000001209659908"/>
    <x v="2"/>
    <x v="1"/>
    <s v="APROBAR"/>
    <n v="1"/>
    <e v="#N/A"/>
  </r>
  <r>
    <n v="1209659909"/>
    <s v="142"/>
    <x v="96"/>
    <d v="2026-10-12T10:49:21"/>
    <s v=""/>
    <s v="CAJA"/>
    <n v="26"/>
    <s v="PENDIENTE APROBACION  ENVIO TMS"/>
    <s v="000000001209659909"/>
    <x v="2"/>
    <x v="1"/>
    <s v="APROBAR"/>
    <n v="1"/>
    <e v="#N/A"/>
  </r>
  <r>
    <n v="8209659948"/>
    <s v="143"/>
    <x v="97"/>
    <d v="2026-10-12T10:49:23"/>
    <s v=""/>
    <s v="UNIDAD"/>
    <n v="1"/>
    <s v="PENDIENTE APROBACION  ENVIO TMS"/>
    <s v="000000008209659948"/>
    <x v="1"/>
    <x v="3"/>
    <s v="APROBAR"/>
    <n v="1"/>
    <e v="#N/A"/>
  </r>
  <r>
    <n v="1209659957"/>
    <s v="143"/>
    <x v="97"/>
    <d v="2026-10-12T10:49:24"/>
    <s v=""/>
    <s v="CAJA"/>
    <n v="28"/>
    <s v="PENDIENTE APROBACION  ENVIO TMS"/>
    <s v="000000001209659957"/>
    <x v="2"/>
    <x v="3"/>
    <s v="APROBAR"/>
    <n v="1"/>
    <e v="#N/A"/>
  </r>
  <r>
    <n v="1209659989"/>
    <s v="144"/>
    <x v="95"/>
    <d v="2026-10-12T10:49:24"/>
    <s v=""/>
    <s v="PACK"/>
    <n v="27"/>
    <s v="PENDIENTE APROBACION  ENVIO TMS"/>
    <s v="000000001209659989"/>
    <x v="2"/>
    <x v="2"/>
    <s v="APROBAR"/>
    <n v="1"/>
    <e v="#N/A"/>
  </r>
  <r>
    <n v="8209659992"/>
    <s v="144"/>
    <x v="95"/>
    <d v="2026-10-12T10:49:26"/>
    <s v=""/>
    <s v="UNIDAD"/>
    <n v="3"/>
    <s v="PENDIENTE APROBACION  ENVIO TMS"/>
    <s v="000000008209659992"/>
    <x v="1"/>
    <x v="2"/>
    <s v="APROBAR"/>
    <n v="1"/>
    <e v="#N/A"/>
  </r>
  <r>
    <n v="8209659844"/>
    <s v="141"/>
    <x v="94"/>
    <d v="2026-10-12T10:49:27"/>
    <s v=""/>
    <s v="UNIDAD"/>
    <n v="2"/>
    <s v="PENDIENTE APROBACION  ENVIO TMS"/>
    <s v="000000008209659844"/>
    <x v="1"/>
    <x v="3"/>
    <s v="APROBAR"/>
    <n v="1"/>
    <e v="#N/A"/>
  </r>
  <r>
    <n v="8209659845"/>
    <s v="141"/>
    <x v="94"/>
    <d v="2026-10-12T10:49:28"/>
    <s v=""/>
    <s v="UNIDAD"/>
    <n v="6"/>
    <s v="PENDIENTE APROBACION  ENVIO TMS"/>
    <s v="000000008209659845"/>
    <x v="1"/>
    <x v="3"/>
    <s v="APROBAR"/>
    <n v="1"/>
    <e v="#N/A"/>
  </r>
  <r>
    <n v="1209660001"/>
    <s v="144"/>
    <x v="95"/>
    <d v="2026-10-12T10:49:29"/>
    <s v=""/>
    <s v="CAJA"/>
    <n v="8"/>
    <s v="PENDIENTE APROBACION  ENVIO TMS"/>
    <s v="000000001209660001"/>
    <x v="2"/>
    <x v="2"/>
    <s v="APROBAR"/>
    <n v="1"/>
    <e v="#N/A"/>
  </r>
  <r>
    <n v="1209659852"/>
    <s v="141"/>
    <x v="94"/>
    <d v="2026-10-12T10:49:30"/>
    <s v=""/>
    <s v="PACK"/>
    <n v="17"/>
    <s v="PENDIENTE APROBACION  ENVIO TMS"/>
    <s v="000000001209659852"/>
    <x v="2"/>
    <x v="3"/>
    <s v="APROBAR"/>
    <n v="1"/>
    <e v="#N/A"/>
  </r>
  <r>
    <n v="1209659910"/>
    <s v="142"/>
    <x v="96"/>
    <d v="2026-10-12T10:49:31"/>
    <s v=""/>
    <s v="UNIDAD"/>
    <n v="27"/>
    <s v="PENDIENTE APROBACION  ENVIO TMS"/>
    <s v="000000001209659910"/>
    <x v="2"/>
    <x v="1"/>
    <s v="APROBAR"/>
    <n v="1"/>
    <e v="#N/A"/>
  </r>
  <r>
    <n v="1209659923"/>
    <s v="142"/>
    <x v="96"/>
    <d v="2026-10-12T10:49:33"/>
    <s v=""/>
    <s v="CAJA"/>
    <n v="24"/>
    <s v="PENDIENTE APROBACION  ENVIO TMS"/>
    <s v="000000001209659923"/>
    <x v="2"/>
    <x v="1"/>
    <s v="APROBAR"/>
    <n v="1"/>
    <e v="#N/A"/>
  </r>
  <r>
    <n v="1209659925"/>
    <s v="142"/>
    <x v="96"/>
    <d v="2026-10-12T10:49:34"/>
    <s v=""/>
    <s v="CAJA"/>
    <n v="3"/>
    <s v="PENDIENTE APROBACION  ENVIO TMS"/>
    <s v="000000001209659925"/>
    <x v="2"/>
    <x v="1"/>
    <s v="APROBAR"/>
    <n v="1"/>
    <e v="#N/A"/>
  </r>
  <r>
    <n v="8209659994"/>
    <s v="144"/>
    <x v="95"/>
    <d v="2026-10-12T10:49:35"/>
    <s v=""/>
    <s v="UNIDAD"/>
    <n v="25"/>
    <s v="PENDIENTE APROBACION  ENVIO TMS"/>
    <s v="000000008209659994"/>
    <x v="1"/>
    <x v="2"/>
    <s v="APROBAR"/>
    <n v="1"/>
    <e v="#N/A"/>
  </r>
  <r>
    <n v="1209659898"/>
    <s v="142"/>
    <x v="96"/>
    <d v="2026-10-12T10:49:36"/>
    <s v=""/>
    <s v="PACK"/>
    <n v="47"/>
    <s v="PENDIENTE APROBACION  ENVIO TMS"/>
    <s v="000000001209659898"/>
    <x v="2"/>
    <x v="1"/>
    <s v="APROBAR"/>
    <n v="1"/>
    <e v="#N/A"/>
  </r>
  <r>
    <n v="8209659841"/>
    <s v="141"/>
    <x v="94"/>
    <d v="2026-10-12T10:49:37"/>
    <s v=""/>
    <s v="UNIDAD"/>
    <n v="1"/>
    <s v="PENDIENTE APROBACION  ENVIO TMS"/>
    <s v="000000008209659841"/>
    <x v="1"/>
    <x v="3"/>
    <s v="APROBAR"/>
    <n v="1"/>
    <e v="#N/A"/>
  </r>
  <r>
    <n v="8209659903"/>
    <s v="142"/>
    <x v="96"/>
    <d v="2026-10-12T10:49:39"/>
    <s v=""/>
    <s v="UNIDAD"/>
    <n v="1"/>
    <s v="PENDIENTE APROBACION  ENVIO TMS"/>
    <s v="000000008209659903"/>
    <x v="1"/>
    <x v="1"/>
    <s v="APROBAR"/>
    <n v="1"/>
    <e v="#N/A"/>
  </r>
  <r>
    <n v="1209659848"/>
    <s v="141"/>
    <x v="94"/>
    <d v="2026-10-12T10:49:40"/>
    <s v=""/>
    <s v="PACK"/>
    <n v="9"/>
    <s v="PENDIENTE APROBACION  ENVIO TMS"/>
    <s v="000000001209659848"/>
    <x v="2"/>
    <x v="3"/>
    <s v="APROBAR"/>
    <n v="1"/>
    <e v="#N/A"/>
  </r>
  <r>
    <n v="1209659949"/>
    <s v="143"/>
    <x v="97"/>
    <d v="2026-10-12T10:49:41"/>
    <s v=""/>
    <s v="UNIDAD"/>
    <n v="4"/>
    <s v="PENDIENTE APROBACION  ENVIO TMS"/>
    <s v="000000001209659949"/>
    <x v="2"/>
    <x v="3"/>
    <s v="APROBAR"/>
    <n v="1"/>
    <e v="#N/A"/>
  </r>
  <r>
    <n v="8209659858"/>
    <s v="141"/>
    <x v="94"/>
    <d v="2026-10-12T10:49:42"/>
    <s v=""/>
    <s v="UNIDAD"/>
    <n v="3"/>
    <s v="PENDIENTE APROBACION  ENVIO TMS"/>
    <s v="000000008209659858"/>
    <x v="1"/>
    <x v="3"/>
    <s v="APROBAR"/>
    <n v="1"/>
    <e v="#N/A"/>
  </r>
  <r>
    <n v="1209659859"/>
    <s v="141"/>
    <x v="94"/>
    <d v="2026-10-12T10:49:43"/>
    <s v=""/>
    <s v="PACK"/>
    <n v="14"/>
    <s v="PENDIENTE APROBACION  ENVIO TMS"/>
    <s v="000000001209659859"/>
    <x v="2"/>
    <x v="3"/>
    <s v="APROBAR"/>
    <n v="1"/>
    <e v="#N/A"/>
  </r>
  <r>
    <n v="1209659954"/>
    <s v="143"/>
    <x v="97"/>
    <d v="2026-10-12T10:49:45"/>
    <s v=""/>
    <s v="CAJA"/>
    <n v="17"/>
    <s v="PENDIENTE APROBACION  ENVIO TMS"/>
    <s v="000000001209659954"/>
    <x v="2"/>
    <x v="3"/>
    <s v="APROBAR"/>
    <n v="1"/>
    <e v="#N/A"/>
  </r>
  <r>
    <n v="1209659956"/>
    <s v="143"/>
    <x v="97"/>
    <d v="2026-10-12T10:49:46"/>
    <s v=""/>
    <s v="CAJA"/>
    <n v="1"/>
    <s v="PENDIENTE APROBACION  ENVIO TMS"/>
    <s v="000000001209659956"/>
    <x v="2"/>
    <x v="3"/>
    <s v="APROBAR"/>
    <n v="1"/>
    <e v="#N/A"/>
  </r>
  <r>
    <n v="1209659998"/>
    <s v="144"/>
    <x v="95"/>
    <d v="2026-10-12T10:49:47"/>
    <s v=""/>
    <s v="UNIDAD"/>
    <n v="20"/>
    <s v="PENDIENTE APROBACION  ENVIO TMS"/>
    <s v="000000001209659998"/>
    <x v="2"/>
    <x v="2"/>
    <s v="APROBAR"/>
    <n v="1"/>
    <e v="#N/A"/>
  </r>
  <r>
    <n v="8209659943"/>
    <s v="143"/>
    <x v="97"/>
    <d v="2026-10-12T10:49:48"/>
    <s v=""/>
    <s v="UNIDAD"/>
    <n v="1"/>
    <s v="PENDIENTE APROBACION  ENVIO TMS"/>
    <s v="000000008209659943"/>
    <x v="1"/>
    <x v="3"/>
    <s v="APROBAR"/>
    <n v="1"/>
    <e v="#N/A"/>
  </r>
  <r>
    <n v="8209659946"/>
    <s v="143"/>
    <x v="97"/>
    <d v="2026-10-12T10:49:49"/>
    <s v=""/>
    <s v="UNIDAD"/>
    <n v="1"/>
    <s v="PENDIENTE APROBACION  ENVIO TMS"/>
    <s v="000000008209659946"/>
    <x v="1"/>
    <x v="3"/>
    <s v="APROBAR"/>
    <n v="1"/>
    <e v="#N/A"/>
  </r>
  <r>
    <n v="1209659951"/>
    <s v="143"/>
    <x v="97"/>
    <d v="2026-10-12T10:49:51"/>
    <s v=""/>
    <s v="UNIDAD"/>
    <n v="18"/>
    <s v="PENDIENTE APROBACION  ENVIO TMS"/>
    <s v="000000001209659951"/>
    <x v="2"/>
    <x v="3"/>
    <s v="APROBAR"/>
    <n v="1"/>
    <e v="#N/A"/>
  </r>
  <r>
    <n v="1209659953"/>
    <s v="143"/>
    <x v="97"/>
    <d v="2026-10-12T10:49:52"/>
    <s v=""/>
    <s v="CAJA"/>
    <n v="11"/>
    <s v="PENDIENTE APROBACION  ENVIO TMS"/>
    <s v="000000001209659953"/>
    <x v="2"/>
    <x v="3"/>
    <s v="APROBAR"/>
    <n v="1"/>
    <e v="#N/A"/>
  </r>
  <r>
    <n v="1209659996"/>
    <s v="144"/>
    <x v="95"/>
    <d v="2026-10-12T10:49:52"/>
    <s v=""/>
    <s v="PACK"/>
    <n v="4"/>
    <s v="PENDIENTE APROBACION  ENVIO TMS"/>
    <s v="000000001209659996"/>
    <x v="2"/>
    <x v="2"/>
    <s v="APROBAR"/>
    <n v="1"/>
    <e v="#N/A"/>
  </r>
  <r>
    <n v="8209659889"/>
    <s v="142"/>
    <x v="96"/>
    <d v="2026-10-12T10:49:54"/>
    <s v=""/>
    <s v="UNIDAD"/>
    <n v="20"/>
    <s v="PENDIENTE APROBACION  ENVIO TMS"/>
    <s v="000000008209659889"/>
    <x v="1"/>
    <x v="1"/>
    <s v="APROBAR"/>
    <n v="1"/>
    <e v="#N/A"/>
  </r>
  <r>
    <n v="8209659905"/>
    <s v="142"/>
    <x v="96"/>
    <d v="2026-10-12T10:49:55"/>
    <s v=""/>
    <s v="UNIDAD"/>
    <n v="5"/>
    <s v="PENDIENTE APROBACION  ENVIO TMS"/>
    <s v="000000008209659905"/>
    <x v="1"/>
    <x v="1"/>
    <s v="APROBAR"/>
    <n v="1"/>
    <e v="#N/A"/>
  </r>
  <r>
    <n v="1209659907"/>
    <s v="142"/>
    <x v="96"/>
    <d v="2026-10-12T10:49:57"/>
    <s v=""/>
    <s v="CAJA"/>
    <n v="1"/>
    <s v="PENDIENTE APROBACION  ENVIO TMS"/>
    <s v="000000001209659907"/>
    <x v="2"/>
    <x v="1"/>
    <s v="APROBAR"/>
    <n v="1"/>
    <e v="#N/A"/>
  </r>
  <r>
    <n v="1209659921"/>
    <s v="142"/>
    <x v="96"/>
    <d v="2026-10-12T10:49:58"/>
    <s v=""/>
    <s v="CAJA"/>
    <n v="5"/>
    <s v="PENDIENTE APROBACION  ENVIO TMS"/>
    <s v="000000001209659921"/>
    <x v="2"/>
    <x v="1"/>
    <s v="APROBAR"/>
    <n v="1"/>
    <e v="#N/A"/>
  </r>
  <r>
    <n v="1209659942"/>
    <s v="143"/>
    <x v="97"/>
    <d v="2026-10-12T10:49:59"/>
    <s v=""/>
    <s v="CAJA"/>
    <n v="44"/>
    <s v="PENDIENTE APROBACION  ENVIO TMS"/>
    <s v="000000001209659942"/>
    <x v="2"/>
    <x v="3"/>
    <s v="APROBAR"/>
    <n v="1"/>
    <e v="#N/A"/>
  </r>
  <r>
    <n v="1209659857"/>
    <s v="141"/>
    <x v="94"/>
    <d v="2026-10-12T10:50:00"/>
    <s v=""/>
    <s v="CAJA"/>
    <n v="2"/>
    <s v="PENDIENTE APROBACION  ENVIO TMS"/>
    <s v="000000001209659857"/>
    <x v="2"/>
    <x v="3"/>
    <s v="APROBAR"/>
    <n v="1"/>
    <e v="#N/A"/>
  </r>
  <r>
    <n v="1209659959"/>
    <s v="143"/>
    <x v="97"/>
    <d v="2026-10-12T10:50:01"/>
    <s v=""/>
    <s v="PACK"/>
    <n v="37"/>
    <s v="PENDIENTE APROBACION  ENVIO TMS"/>
    <s v="000000001209659959"/>
    <x v="2"/>
    <x v="3"/>
    <s v="APROBAR"/>
    <n v="1"/>
    <e v="#N/A"/>
  </r>
  <r>
    <n v="8209659840"/>
    <s v="141"/>
    <x v="94"/>
    <d v="2026-10-12T10:50:03"/>
    <s v=""/>
    <s v="UNIDAD"/>
    <n v="5"/>
    <s v="PENDIENTE APROBACION  ENVIO TMS"/>
    <s v="000000008209659840"/>
    <x v="1"/>
    <x v="3"/>
    <s v="APROBAR"/>
    <n v="1"/>
    <e v="#N/A"/>
  </r>
  <r>
    <n v="8209659842"/>
    <s v="141"/>
    <x v="94"/>
    <d v="2026-10-12T10:50:04"/>
    <s v=""/>
    <s v="UNIDAD"/>
    <n v="7"/>
    <s v="PENDIENTE APROBACION  ENVIO TMS"/>
    <s v="000000008209659842"/>
    <x v="1"/>
    <x v="3"/>
    <s v="APROBAR"/>
    <n v="1"/>
    <e v="#N/A"/>
  </r>
  <r>
    <n v="1209660000"/>
    <s v="144"/>
    <x v="95"/>
    <d v="2026-10-12T10:50:05"/>
    <s v=""/>
    <s v="CAJA"/>
    <n v="11"/>
    <s v="PENDIENTE APROBACION  ENVIO TMS"/>
    <s v="000000001209660000"/>
    <x v="2"/>
    <x v="2"/>
    <s v="APROBAR"/>
    <n v="1"/>
    <e v="#N/A"/>
  </r>
  <r>
    <n v="1209659847"/>
    <s v="141"/>
    <x v="94"/>
    <d v="2026-10-12T10:50:06"/>
    <s v=""/>
    <s v="PACK"/>
    <n v="2"/>
    <s v="PENDIENTE APROBACION  ENVIO TMS"/>
    <s v="000000001209659847"/>
    <x v="2"/>
    <x v="3"/>
    <s v="APROBAR"/>
    <n v="1"/>
    <e v="#N/A"/>
  </r>
  <r>
    <n v="1209660002"/>
    <s v="144"/>
    <x v="95"/>
    <d v="2026-10-12T10:50:07"/>
    <s v=""/>
    <s v="CAJA"/>
    <n v="27"/>
    <s v="PENDIENTE APROBACION  ENVIO TMS"/>
    <s v="000000001209660002"/>
    <x v="2"/>
    <x v="2"/>
    <s v="APROBAR"/>
    <n v="1"/>
    <e v="#N/A"/>
  </r>
  <r>
    <n v="1209660005"/>
    <s v="144"/>
    <x v="95"/>
    <d v="2026-10-12T10:50:09"/>
    <s v=""/>
    <s v="CAJA"/>
    <n v="1"/>
    <s v="PENDIENTE APROBACION  ENVIO TMS"/>
    <s v="000000001209660005"/>
    <x v="2"/>
    <x v="2"/>
    <s v="APROBAR"/>
    <n v="1"/>
    <e v="#N/A"/>
  </r>
  <r>
    <n v="8209660006"/>
    <s v="144"/>
    <x v="95"/>
    <d v="2026-10-12T10:50:10"/>
    <s v=""/>
    <s v="UNIDAD"/>
    <n v="5"/>
    <s v="PENDIENTE APROBACION  ENVIO TMS"/>
    <s v="000000008209660006"/>
    <x v="1"/>
    <x v="2"/>
    <s v="APROBAR"/>
    <n v="1"/>
    <e v="#N/A"/>
  </r>
  <r>
    <n v="8209659947"/>
    <s v="143"/>
    <x v="97"/>
    <d v="2026-10-12T10:50:11"/>
    <s v=""/>
    <s v="UNIDAD"/>
    <n v="5"/>
    <s v="PENDIENTE APROBACION  ENVIO TMS"/>
    <s v="000000008209659947"/>
    <x v="1"/>
    <x v="3"/>
    <s v="APROBAR"/>
    <n v="1"/>
    <e v="#N/A"/>
  </r>
  <r>
    <n v="1209660083"/>
    <s v="156"/>
    <x v="98"/>
    <d v="2026-10-12T10:53:52"/>
    <s v=""/>
    <s v="CAJA"/>
    <n v="19"/>
    <s v="PENDIENTE APROBACION  ENVIO TMS"/>
    <s v="000000001209660083"/>
    <x v="2"/>
    <x v="0"/>
    <s v="APROBAR"/>
    <n v="1"/>
    <e v="#N/A"/>
  </r>
  <r>
    <n v="1209660051"/>
    <s v="150"/>
    <x v="99"/>
    <d v="2026-10-12T10:53:53"/>
    <s v=""/>
    <s v="CAJA"/>
    <n v="13"/>
    <s v="PENDIENTE APROBACION  ENVIO TMS"/>
    <s v="000000001209660051"/>
    <x v="2"/>
    <x v="2"/>
    <s v="APROBAR"/>
    <n v="1"/>
    <e v="#N/A"/>
  </r>
  <r>
    <n v="8209660087"/>
    <s v="159"/>
    <x v="100"/>
    <d v="2026-10-12T10:53:54"/>
    <s v=""/>
    <s v="UNIDAD"/>
    <n v="5"/>
    <s v="PENDIENTE APROBACION  ENVIO TMS"/>
    <s v="000000008209660087"/>
    <x v="1"/>
    <x v="2"/>
    <s v="APROBAR"/>
    <n v="1"/>
    <e v="#N/A"/>
  </r>
  <r>
    <n v="1209660193"/>
    <s v="162"/>
    <x v="101"/>
    <d v="2026-10-12T10:53:55"/>
    <s v=""/>
    <s v="CAJA"/>
    <n v="32"/>
    <s v="PENDIENTE APROBACION  ENVIO TMS"/>
    <s v="000000001209660193"/>
    <x v="2"/>
    <x v="1"/>
    <s v="APROBAR"/>
    <n v="1"/>
    <e v="#N/A"/>
  </r>
  <r>
    <n v="1209660194"/>
    <s v="162"/>
    <x v="101"/>
    <d v="2026-10-12T10:53:57"/>
    <s v=""/>
    <s v="CAJA"/>
    <n v="6"/>
    <s v="PENDIENTE APROBACION  ENVIO TMS"/>
    <s v="000000001209660194"/>
    <x v="2"/>
    <x v="1"/>
    <s v="APROBAR"/>
    <n v="1"/>
    <e v="#N/A"/>
  </r>
  <r>
    <n v="1209660072"/>
    <s v="156"/>
    <x v="98"/>
    <d v="2026-10-12T10:53:59"/>
    <s v=""/>
    <s v="CAJA"/>
    <n v="59"/>
    <s v="PENDIENTE APROBACION  ENVIO TMS"/>
    <s v="000000001209660072"/>
    <x v="2"/>
    <x v="0"/>
    <s v="APROBAR"/>
    <n v="1"/>
    <e v="#N/A"/>
  </r>
  <r>
    <n v="1209660128"/>
    <s v="160"/>
    <x v="102"/>
    <d v="2026-10-12T10:54:00"/>
    <s v=""/>
    <s v="PACK"/>
    <n v="27"/>
    <s v="PENDIENTE APROBACION  ENVIO TMS"/>
    <s v="000000001209660128"/>
    <x v="2"/>
    <x v="3"/>
    <s v="APROBAR"/>
    <n v="1"/>
    <e v="#N/A"/>
  </r>
  <r>
    <n v="1209660132"/>
    <s v="160"/>
    <x v="102"/>
    <d v="2026-10-12T10:54:02"/>
    <s v=""/>
    <s v="CAJA"/>
    <n v="4"/>
    <s v="PENDIENTE APROBACION  ENVIO TMS"/>
    <s v="000000001209660132"/>
    <x v="2"/>
    <x v="3"/>
    <s v="APROBAR"/>
    <n v="1"/>
    <e v="#N/A"/>
  </r>
  <r>
    <n v="8209660044"/>
    <s v="150"/>
    <x v="99"/>
    <d v="2026-10-12T10:54:03"/>
    <s v=""/>
    <s v="UNIDAD"/>
    <n v="5"/>
    <s v="PENDIENTE APROBACION  ENVIO TMS"/>
    <s v="000000008209660044"/>
    <x v="1"/>
    <x v="2"/>
    <s v="APROBAR"/>
    <n v="1"/>
    <e v="#N/A"/>
  </r>
  <r>
    <n v="1209660084"/>
    <s v="156"/>
    <x v="98"/>
    <d v="2026-10-12T10:54:04"/>
    <s v=""/>
    <s v="CAJA"/>
    <n v="1"/>
    <s v="PENDIENTE APROBACION  ENVIO TMS"/>
    <s v="000000001209660084"/>
    <x v="2"/>
    <x v="0"/>
    <s v="APROBAR"/>
    <n v="1"/>
    <e v="#N/A"/>
  </r>
  <r>
    <n v="1209660124"/>
    <s v="160"/>
    <x v="102"/>
    <d v="2026-10-12T10:54:06"/>
    <s v=""/>
    <s v="CAJA"/>
    <n v="10"/>
    <s v="PENDIENTE APROBACION  ENVIO TMS"/>
    <s v="000000001209660124"/>
    <x v="2"/>
    <x v="3"/>
    <s v="APROBAR"/>
    <n v="1"/>
    <e v="#N/A"/>
  </r>
  <r>
    <n v="8209660158"/>
    <s v="161"/>
    <x v="103"/>
    <d v="2026-10-12T10:54:06"/>
    <s v=""/>
    <s v="UNIDAD"/>
    <n v="8"/>
    <s v="PENDIENTE APROBACION  ENVIO TMS"/>
    <s v="000000008209660158"/>
    <x v="1"/>
    <x v="4"/>
    <s v="APROBAR"/>
    <n v="1"/>
    <e v="#N/A"/>
  </r>
  <r>
    <n v="8209660089"/>
    <s v="159"/>
    <x v="100"/>
    <d v="2026-10-12T10:54:08"/>
    <s v=""/>
    <s v="UNIDAD"/>
    <n v="13"/>
    <s v="PENDIENTE APROBACION  ENVIO TMS"/>
    <s v="000000008209660089"/>
    <x v="1"/>
    <x v="2"/>
    <s v="APROBAR"/>
    <n v="1"/>
    <e v="#N/A"/>
  </r>
  <r>
    <n v="8209660033"/>
    <s v="150"/>
    <x v="99"/>
    <d v="2026-10-12T10:54:09"/>
    <s v=""/>
    <s v="UNIDAD"/>
    <n v="19"/>
    <s v="PENDIENTE APROBACION  ENVIO TMS"/>
    <s v="000000008209660033"/>
    <x v="1"/>
    <x v="2"/>
    <s v="APROBAR"/>
    <n v="1"/>
    <e v="#N/A"/>
  </r>
  <r>
    <n v="8209660173"/>
    <s v="162"/>
    <x v="101"/>
    <d v="2026-10-12T10:54:10"/>
    <s v=""/>
    <s v="UNIDAD"/>
    <n v="19"/>
    <s v="PENDIENTE APROBACION  ENVIO TMS"/>
    <s v="000000008209660173"/>
    <x v="1"/>
    <x v="1"/>
    <s v="APROBAR"/>
    <n v="1"/>
    <e v="#N/A"/>
  </r>
  <r>
    <n v="8209660062"/>
    <s v="156"/>
    <x v="98"/>
    <d v="2026-10-12T10:54:12"/>
    <s v=""/>
    <s v="UNIDAD"/>
    <n v="7"/>
    <s v="PENDIENTE APROBACION  ENVIO TMS"/>
    <s v="000000008209660062"/>
    <x v="1"/>
    <x v="0"/>
    <s v="APROBAR"/>
    <n v="1"/>
    <e v="#N/A"/>
  </r>
  <r>
    <n v="1209660150"/>
    <s v="161"/>
    <x v="103"/>
    <d v="2026-10-12T10:54:12"/>
    <s v=""/>
    <s v="CAJA"/>
    <n v="10"/>
    <s v="PENDIENTE APROBACION  ENVIO TMS"/>
    <s v="000000001209660150"/>
    <x v="2"/>
    <x v="4"/>
    <s v="APROBAR"/>
    <n v="1"/>
    <e v="#N/A"/>
  </r>
  <r>
    <n v="1209660097"/>
    <s v="159"/>
    <x v="100"/>
    <d v="2026-10-12T10:54:14"/>
    <s v=""/>
    <s v="PACK"/>
    <n v="27"/>
    <s v="PENDIENTE APROBACION  ENVIO TMS"/>
    <s v="000000001209660097"/>
    <x v="2"/>
    <x v="2"/>
    <s v="APROBAR"/>
    <n v="1"/>
    <e v="#N/A"/>
  </r>
  <r>
    <n v="1209660185"/>
    <s v="162"/>
    <x v="101"/>
    <d v="2026-10-12T10:54:15"/>
    <s v=""/>
    <s v="CAJA"/>
    <n v="77"/>
    <s v="PENDIENTE APROBACION  ENVIO TMS"/>
    <s v="000000001209660185"/>
    <x v="2"/>
    <x v="1"/>
    <s v="APROBAR"/>
    <n v="1"/>
    <e v="#N/A"/>
  </r>
  <r>
    <n v="8209660117"/>
    <s v="160"/>
    <x v="102"/>
    <d v="2026-10-12T10:54:16"/>
    <s v=""/>
    <s v="UNIDAD"/>
    <n v="6"/>
    <s v="PENDIENTE APROBACION  ENVIO TMS"/>
    <s v="000000008209660117"/>
    <x v="1"/>
    <x v="3"/>
    <s v="APROBAR"/>
    <n v="1"/>
    <e v="#N/A"/>
  </r>
  <r>
    <n v="8209660118"/>
    <s v="160"/>
    <x v="102"/>
    <d v="2026-10-12T10:54:17"/>
    <s v=""/>
    <s v="UNIDAD"/>
    <n v="4"/>
    <s v="PENDIENTE APROBACION  ENVIO TMS"/>
    <s v="000000008209660118"/>
    <x v="1"/>
    <x v="3"/>
    <s v="APROBAR"/>
    <n v="1"/>
    <e v="#N/A"/>
  </r>
  <r>
    <n v="1209660154"/>
    <s v="161"/>
    <x v="103"/>
    <d v="2026-10-12T10:54:18"/>
    <s v=""/>
    <s v="PACK"/>
    <n v="21"/>
    <s v="PENDIENTE APROBACION  ENVIO TMS"/>
    <s v="000000001209660154"/>
    <x v="2"/>
    <x v="4"/>
    <s v="APROBAR"/>
    <n v="1"/>
    <e v="#N/A"/>
  </r>
  <r>
    <n v="8209660085"/>
    <s v="159"/>
    <x v="100"/>
    <d v="2026-10-12T10:54:20"/>
    <s v=""/>
    <s v="UNIDAD"/>
    <n v="21"/>
    <s v="PENDIENTE APROBACION  ENVIO TMS"/>
    <s v="000000008209660085"/>
    <x v="1"/>
    <x v="2"/>
    <s v="APROBAR"/>
    <n v="1"/>
    <e v="#N/A"/>
  </r>
  <r>
    <n v="1209660071"/>
    <s v="156"/>
    <x v="98"/>
    <d v="2026-10-12T10:54:21"/>
    <s v=""/>
    <s v="PACK"/>
    <n v="47"/>
    <s v="PENDIENTE APROBACION  ENVIO TMS"/>
    <s v="000000001209660071"/>
    <x v="2"/>
    <x v="0"/>
    <s v="APROBAR"/>
    <n v="1"/>
    <e v="#N/A"/>
  </r>
  <r>
    <n v="1209660092"/>
    <s v="159"/>
    <x v="100"/>
    <d v="2026-10-12T10:54:22"/>
    <s v=""/>
    <s v="CAJA"/>
    <n v="21"/>
    <s v="PENDIENTE APROBACION  ENVIO TMS"/>
    <s v="000000001209660092"/>
    <x v="2"/>
    <x v="2"/>
    <s v="APROBAR"/>
    <n v="1"/>
    <e v="#N/A"/>
  </r>
  <r>
    <n v="8209660031"/>
    <s v="150"/>
    <x v="99"/>
    <d v="2026-10-12T10:54:23"/>
    <s v=""/>
    <s v="UNIDAD"/>
    <n v="9"/>
    <s v="PENDIENTE APROBACION  ENVIO TMS"/>
    <s v="000000008209660031"/>
    <x v="1"/>
    <x v="2"/>
    <s v="APROBAR"/>
    <n v="1"/>
    <e v="#N/A"/>
  </r>
  <r>
    <n v="8209660032"/>
    <s v="150"/>
    <x v="99"/>
    <d v="2026-10-12T10:54:25"/>
    <s v=""/>
    <s v="UNIDAD"/>
    <n v="11"/>
    <s v="PENDIENTE APROBACION  ENVIO TMS"/>
    <s v="000000008209660032"/>
    <x v="1"/>
    <x v="2"/>
    <s v="APROBAR"/>
    <n v="1"/>
    <e v="#N/A"/>
  </r>
  <r>
    <n v="1209660034"/>
    <s v="150"/>
    <x v="99"/>
    <d v="2026-10-12T10:54:26"/>
    <s v=""/>
    <s v="UNIDAD"/>
    <n v="15"/>
    <s v="PENDIENTE APROBACION  ENVIO TMS"/>
    <s v="000000001209660034"/>
    <x v="2"/>
    <x v="2"/>
    <s v="APROBAR"/>
    <n v="1"/>
    <e v="#N/A"/>
  </r>
  <r>
    <n v="1209660035"/>
    <s v="150"/>
    <x v="99"/>
    <d v="2026-10-12T10:54:28"/>
    <s v=""/>
    <s v="PACK"/>
    <n v="8"/>
    <s v="PENDIENTE APROBACION  ENVIO TMS"/>
    <s v="000000001209660035"/>
    <x v="2"/>
    <x v="2"/>
    <s v="APROBAR"/>
    <n v="1"/>
    <e v="#N/A"/>
  </r>
  <r>
    <n v="1209660095"/>
    <s v="159"/>
    <x v="100"/>
    <d v="2026-10-12T10:54:29"/>
    <s v=""/>
    <s v="CAJA"/>
    <n v="4"/>
    <s v="PENDIENTE APROBACION  ENVIO TMS"/>
    <s v="000000001209660095"/>
    <x v="2"/>
    <x v="2"/>
    <s v="APROBAR"/>
    <n v="1"/>
    <e v="#N/A"/>
  </r>
  <r>
    <n v="8209660144"/>
    <s v="161"/>
    <x v="103"/>
    <d v="2026-10-12T10:54:29"/>
    <s v=""/>
    <s v="UNIDAD"/>
    <n v="1"/>
    <s v="PENDIENTE APROBACION  ENVIO TMS"/>
    <s v="000000008209660144"/>
    <x v="1"/>
    <x v="4"/>
    <s v="APROBAR"/>
    <n v="1"/>
    <e v="#N/A"/>
  </r>
  <r>
    <n v="8209660172"/>
    <s v="162"/>
    <x v="101"/>
    <d v="2026-10-12T10:54:31"/>
    <s v=""/>
    <s v="UNIDAD"/>
    <n v="32"/>
    <s v="PENDIENTE APROBACION  ENVIO TMS"/>
    <s v="000000008209660172"/>
    <x v="1"/>
    <x v="1"/>
    <s v="APROBAR"/>
    <n v="1"/>
    <e v="#N/A"/>
  </r>
  <r>
    <n v="1209660038"/>
    <s v="150"/>
    <x v="99"/>
    <d v="2026-10-12T10:54:32"/>
    <s v=""/>
    <s v="CAJA"/>
    <n v="16"/>
    <s v="PENDIENTE APROBACION  ENVIO TMS"/>
    <s v="000000001209660038"/>
    <x v="2"/>
    <x v="2"/>
    <s v="APROBAR"/>
    <n v="1"/>
    <e v="#N/A"/>
  </r>
  <r>
    <n v="1209660096"/>
    <s v="159"/>
    <x v="100"/>
    <d v="2026-10-12T10:54:33"/>
    <s v=""/>
    <s v="CAJA"/>
    <n v="54"/>
    <s v="PENDIENTE APROBACION  ENVIO TMS"/>
    <s v="000000001209660096"/>
    <x v="2"/>
    <x v="2"/>
    <s v="APROBAR"/>
    <n v="1"/>
    <e v="#N/A"/>
  </r>
  <r>
    <n v="1209660041"/>
    <s v="150"/>
    <x v="99"/>
    <d v="2026-10-12T10:54:35"/>
    <s v=""/>
    <s v="CAJA"/>
    <n v="30"/>
    <s v="PENDIENTE APROBACION  ENVIO TMS"/>
    <s v="000000001209660041"/>
    <x v="2"/>
    <x v="2"/>
    <s v="APROBAR"/>
    <n v="1"/>
    <e v="#N/A"/>
  </r>
  <r>
    <n v="1209660149"/>
    <s v="161"/>
    <x v="103"/>
    <d v="2026-10-12T10:54:35"/>
    <s v=""/>
    <s v="CAJA"/>
    <n v="8"/>
    <s v="PENDIENTE APROBACION  ENVIO TMS"/>
    <s v="000000001209660149"/>
    <x v="2"/>
    <x v="4"/>
    <s v="APROBAR"/>
    <n v="1"/>
    <e v="#N/A"/>
  </r>
  <r>
    <n v="1209660042"/>
    <s v="150"/>
    <x v="99"/>
    <d v="2026-10-12T10:54:37"/>
    <s v=""/>
    <s v="CAJA"/>
    <n v="35"/>
    <s v="PENDIENTE APROBACION  ENVIO TMS"/>
    <s v="000000001209660042"/>
    <x v="2"/>
    <x v="2"/>
    <s v="APROBAR"/>
    <n v="1"/>
    <e v="#N/A"/>
  </r>
  <r>
    <n v="1209660179"/>
    <s v="162"/>
    <x v="101"/>
    <d v="2026-10-12T10:54:38"/>
    <s v=""/>
    <s v="PACK"/>
    <n v="19"/>
    <s v="PENDIENTE APROBACION  ENVIO TMS"/>
    <s v="000000001209660179"/>
    <x v="2"/>
    <x v="1"/>
    <s v="APROBAR"/>
    <n v="1"/>
    <e v="#N/A"/>
  </r>
  <r>
    <n v="1209660131"/>
    <s v="160"/>
    <x v="102"/>
    <d v="2026-10-12T10:54:40"/>
    <s v=""/>
    <s v="CAJA"/>
    <n v="38"/>
    <s v="PENDIENTE APROBACION  ENVIO TMS"/>
    <s v="000000001209660131"/>
    <x v="2"/>
    <x v="3"/>
    <s v="APROBAR"/>
    <n v="1"/>
    <e v="#N/A"/>
  </r>
  <r>
    <n v="1209660043"/>
    <s v="150"/>
    <x v="99"/>
    <d v="2026-10-12T10:54:41"/>
    <s v=""/>
    <s v="PACK"/>
    <n v="36"/>
    <s v="PENDIENTE APROBACION  ENVIO TMS"/>
    <s v="000000001209660043"/>
    <x v="2"/>
    <x v="2"/>
    <s v="APROBAR"/>
    <n v="1"/>
    <e v="#N/A"/>
  </r>
  <r>
    <n v="8209660088"/>
    <s v="159"/>
    <x v="100"/>
    <d v="2026-10-12T10:54:42"/>
    <s v=""/>
    <s v="UNIDAD"/>
    <n v="4"/>
    <s v="PENDIENTE APROBACION  ENVIO TMS"/>
    <s v="000000008209660088"/>
    <x v="1"/>
    <x v="2"/>
    <s v="APROBAR"/>
    <n v="1"/>
    <e v="#N/A"/>
  </r>
  <r>
    <n v="1209660127"/>
    <s v="160"/>
    <x v="102"/>
    <d v="2026-10-12T10:54:43"/>
    <s v=""/>
    <s v="CAJA"/>
    <n v="27"/>
    <s v="PENDIENTE APROBACION  ENVIO TMS"/>
    <s v="000000001209660127"/>
    <x v="2"/>
    <x v="3"/>
    <s v="APROBAR"/>
    <n v="1"/>
    <e v="#N/A"/>
  </r>
  <r>
    <n v="1209660094"/>
    <s v="159"/>
    <x v="100"/>
    <d v="2026-10-12T10:54:44"/>
    <s v=""/>
    <s v="PACK"/>
    <n v="25"/>
    <s v="PENDIENTE APROBACION  ENVIO TMS"/>
    <s v="000000001209660094"/>
    <x v="2"/>
    <x v="2"/>
    <s v="APROBAR"/>
    <n v="1"/>
    <e v="#N/A"/>
  </r>
  <r>
    <n v="8209660145"/>
    <s v="161"/>
    <x v="103"/>
    <d v="2026-10-12T10:54:46"/>
    <s v=""/>
    <s v="UNIDAD"/>
    <n v="12"/>
    <s v="PENDIENTE APROBACION  ENVIO TMS"/>
    <s v="000000008209660145"/>
    <x v="1"/>
    <x v="4"/>
    <s v="APROBAR"/>
    <n v="1"/>
    <e v="#N/A"/>
  </r>
  <r>
    <n v="1209660037"/>
    <s v="150"/>
    <x v="99"/>
    <d v="2026-10-12T10:54:47"/>
    <s v=""/>
    <s v="CAJA"/>
    <n v="13"/>
    <s v="PENDIENTE APROBACION  ENVIO TMS"/>
    <s v="000000001209660037"/>
    <x v="2"/>
    <x v="2"/>
    <s v="APROBAR"/>
    <n v="1"/>
    <e v="#N/A"/>
  </r>
  <r>
    <n v="1209660039"/>
    <s v="150"/>
    <x v="99"/>
    <d v="2026-10-12T10:54:48"/>
    <s v=""/>
    <s v="CAJA"/>
    <n v="5"/>
    <s v="PENDIENTE APROBACION  ENVIO TMS"/>
    <s v="000000001209660039"/>
    <x v="2"/>
    <x v="2"/>
    <s v="APROBAR"/>
    <n v="1"/>
    <e v="#N/A"/>
  </r>
  <r>
    <n v="1209660040"/>
    <s v="150"/>
    <x v="99"/>
    <d v="2026-10-12T10:54:49"/>
    <s v=""/>
    <s v="CAJA"/>
    <n v="1"/>
    <s v="PENDIENTE APROBACION  ENVIO TMS"/>
    <s v="000000001209660040"/>
    <x v="2"/>
    <x v="2"/>
    <s v="APROBAR"/>
    <n v="1"/>
    <e v="#N/A"/>
  </r>
  <r>
    <n v="8209660147"/>
    <s v="161"/>
    <x v="103"/>
    <d v="2026-10-12T10:54:51"/>
    <s v=""/>
    <s v="UNIDAD"/>
    <n v="6"/>
    <s v="PENDIENTE APROBACION  ENVIO TMS"/>
    <s v="000000008209660147"/>
    <x v="1"/>
    <x v="4"/>
    <s v="APROBAR"/>
    <n v="1"/>
    <e v="#N/A"/>
  </r>
  <r>
    <n v="1209660148"/>
    <s v="161"/>
    <x v="103"/>
    <d v="2026-10-12T10:54:52"/>
    <s v=""/>
    <s v="CAJA"/>
    <n v="5"/>
    <s v="PENDIENTE APROBACION  ENVIO TMS"/>
    <s v="000000001209660148"/>
    <x v="2"/>
    <x v="4"/>
    <s v="APROBAR"/>
    <n v="1"/>
    <e v="#N/A"/>
  </r>
  <r>
    <n v="8209660176"/>
    <s v="162"/>
    <x v="101"/>
    <d v="2026-10-12T10:54:53"/>
    <s v=""/>
    <s v="UNIDAD"/>
    <n v="2"/>
    <s v="PENDIENTE APROBACION  ENVIO TMS"/>
    <s v="000000008209660176"/>
    <x v="1"/>
    <x v="1"/>
    <s v="APROBAR"/>
    <n v="1"/>
    <e v="#N/A"/>
  </r>
  <r>
    <n v="1209660074"/>
    <s v="156"/>
    <x v="98"/>
    <d v="2026-10-12T10:54:55"/>
    <s v=""/>
    <s v="PACK"/>
    <n v="49"/>
    <s v="PENDIENTE APROBACION  ENVIO TMS"/>
    <s v="000000001209660074"/>
    <x v="2"/>
    <x v="0"/>
    <s v="APROBAR"/>
    <n v="1"/>
    <e v="#N/A"/>
  </r>
  <r>
    <n v="1209660151"/>
    <s v="161"/>
    <x v="103"/>
    <d v="2026-10-12T10:54:56"/>
    <s v=""/>
    <s v="PACK"/>
    <n v="10"/>
    <s v="PENDIENTE APROBACION  ENVIO TMS"/>
    <s v="000000001209660151"/>
    <x v="2"/>
    <x v="4"/>
    <s v="APROBAR"/>
    <n v="1"/>
    <e v="#N/A"/>
  </r>
  <r>
    <n v="1209660130"/>
    <s v="160"/>
    <x v="102"/>
    <d v="2026-10-12T10:54:58"/>
    <s v=""/>
    <s v="PACK"/>
    <n v="33"/>
    <s v="PENDIENTE APROBACION  ENVIO TMS"/>
    <s v="000000001209660130"/>
    <x v="2"/>
    <x v="3"/>
    <s v="APROBAR"/>
    <n v="1"/>
    <e v="#N/A"/>
  </r>
  <r>
    <n v="1209660152"/>
    <s v="161"/>
    <x v="103"/>
    <d v="2026-10-12T10:54:58"/>
    <s v=""/>
    <s v="CAJA"/>
    <n v="8"/>
    <s v="PENDIENTE APROBACION  ENVIO TMS"/>
    <s v="000000001209660152"/>
    <x v="2"/>
    <x v="4"/>
    <s v="APROBAR"/>
    <n v="1"/>
    <e v="#N/A"/>
  </r>
  <r>
    <n v="1209660153"/>
    <s v="161"/>
    <x v="103"/>
    <d v="2026-10-12T10:55:00"/>
    <s v=""/>
    <s v="CAJA"/>
    <n v="10"/>
    <s v="PENDIENTE APROBACION  ENVIO TMS"/>
    <s v="000000001209660153"/>
    <x v="2"/>
    <x v="4"/>
    <s v="APROBAR"/>
    <n v="1"/>
    <e v="#N/A"/>
  </r>
  <r>
    <n v="8209660187"/>
    <s v="162"/>
    <x v="101"/>
    <d v="2026-10-12T10:55:01"/>
    <s v=""/>
    <s v="UNIDAD"/>
    <n v="11"/>
    <s v="PENDIENTE APROBACION  ENVIO TMS"/>
    <s v="000000008209660187"/>
    <x v="1"/>
    <x v="1"/>
    <s v="APROBAR"/>
    <n v="1"/>
    <e v="#N/A"/>
  </r>
  <r>
    <n v="1209660099"/>
    <s v="159"/>
    <x v="100"/>
    <d v="2026-10-12T10:55:02"/>
    <s v=""/>
    <s v="PACK"/>
    <n v="56"/>
    <s v="PENDIENTE APROBACION  ENVIO TMS"/>
    <s v="000000001209660099"/>
    <x v="2"/>
    <x v="2"/>
    <s v="APROBAR"/>
    <n v="1"/>
    <e v="#N/A"/>
  </r>
  <r>
    <n v="1209660136"/>
    <s v="160"/>
    <x v="102"/>
    <d v="2026-10-12T10:55:03"/>
    <s v=""/>
    <s v="CAJA"/>
    <n v="14"/>
    <s v="PENDIENTE APROBACION  ENVIO TMS"/>
    <s v="000000001209660136"/>
    <x v="2"/>
    <x v="3"/>
    <s v="APROBAR"/>
    <n v="1"/>
    <e v="#N/A"/>
  </r>
  <r>
    <n v="1209660162"/>
    <s v="161"/>
    <x v="103"/>
    <d v="2026-10-12T10:55:04"/>
    <s v=""/>
    <s v="PACK"/>
    <n v="21"/>
    <s v="PENDIENTE APROBACION  ENVIO TMS"/>
    <s v="000000001209660162"/>
    <x v="2"/>
    <x v="4"/>
    <s v="APROBAR"/>
    <n v="1"/>
    <e v="#N/A"/>
  </r>
  <r>
    <n v="1209660182"/>
    <s v="162"/>
    <x v="101"/>
    <d v="2026-10-12T10:55:06"/>
    <s v=""/>
    <s v="CAJA"/>
    <n v="29"/>
    <s v="PENDIENTE APROBACION  ENVIO TMS"/>
    <s v="000000001209660182"/>
    <x v="2"/>
    <x v="1"/>
    <s v="APROBAR"/>
    <n v="1"/>
    <e v="#N/A"/>
  </r>
  <r>
    <n v="1209660091"/>
    <s v="159"/>
    <x v="100"/>
    <d v="2026-10-12T10:55:07"/>
    <s v=""/>
    <s v="PACK"/>
    <n v="17"/>
    <s v="PENDIENTE APROBACION  ENVIO TMS"/>
    <s v="000000001209660091"/>
    <x v="2"/>
    <x v="2"/>
    <s v="APROBAR"/>
    <n v="1"/>
    <e v="#N/A"/>
  </r>
  <r>
    <n v="8209660030"/>
    <s v="150"/>
    <x v="99"/>
    <d v="2026-10-12T10:55:09"/>
    <s v=""/>
    <s v="UNIDAD"/>
    <n v="4"/>
    <s v="PENDIENTE APROBACION  ENVIO TMS"/>
    <s v="000000008209660030"/>
    <x v="1"/>
    <x v="2"/>
    <s v="APROBAR"/>
    <n v="1"/>
    <e v="#N/A"/>
  </r>
  <r>
    <n v="1209660036"/>
    <s v="150"/>
    <x v="99"/>
    <d v="2026-10-12T10:55:10"/>
    <s v=""/>
    <s v="PACK"/>
    <n v="8"/>
    <s v="PENDIENTE APROBACION  ENVIO TMS"/>
    <s v="000000001209660036"/>
    <x v="2"/>
    <x v="2"/>
    <s v="APROBAR"/>
    <n v="1"/>
    <e v="#N/A"/>
  </r>
  <r>
    <n v="1209660073"/>
    <s v="156"/>
    <x v="98"/>
    <d v="2026-10-12T10:55:11"/>
    <s v=""/>
    <s v="CAJA"/>
    <n v="49"/>
    <s v="PENDIENTE APROBACION  ENVIO TMS"/>
    <s v="000000001209660073"/>
    <x v="2"/>
    <x v="0"/>
    <s v="APROBAR"/>
    <n v="1"/>
    <e v="#N/A"/>
  </r>
  <r>
    <n v="8209660146"/>
    <s v="161"/>
    <x v="103"/>
    <d v="2026-10-12T10:55:12"/>
    <s v=""/>
    <s v="UNIDAD"/>
    <n v="77"/>
    <s v="PENDIENTE APROBACION  ENVIO TMS"/>
    <s v="000000008209660146"/>
    <x v="1"/>
    <x v="4"/>
    <s v="APROBAR"/>
    <n v="1"/>
    <e v="#N/A"/>
  </r>
  <r>
    <n v="8209660171"/>
    <s v="162"/>
    <x v="101"/>
    <d v="2026-10-12T10:55:14"/>
    <s v=""/>
    <s v="UNIDAD"/>
    <n v="9"/>
    <s v="PENDIENTE APROBACION  ENVIO TMS"/>
    <s v="000000008209660171"/>
    <x v="1"/>
    <x v="1"/>
    <s v="APROBAR"/>
    <n v="1"/>
    <e v="#N/A"/>
  </r>
  <r>
    <n v="8209660133"/>
    <s v="160"/>
    <x v="102"/>
    <d v="2026-10-12T10:55:15"/>
    <s v=""/>
    <s v="UNIDAD"/>
    <n v="32"/>
    <s v="PENDIENTE APROBACION  ENVIO TMS"/>
    <s v="000000008209660133"/>
    <x v="1"/>
    <x v="3"/>
    <s v="APROBAR"/>
    <n v="1"/>
    <e v="#N/A"/>
  </r>
  <r>
    <n v="1209660190"/>
    <s v="162"/>
    <x v="101"/>
    <d v="2026-10-12T10:55:16"/>
    <s v=""/>
    <s v="CAJA"/>
    <n v="19"/>
    <s v="PENDIENTE APROBACION  ENVIO TMS"/>
    <s v="000000001209660190"/>
    <x v="2"/>
    <x v="1"/>
    <s v="APROBAR"/>
    <n v="1"/>
    <e v="#N/A"/>
  </r>
  <r>
    <n v="1209660174"/>
    <s v="162"/>
    <x v="101"/>
    <d v="2026-10-12T10:55:17"/>
    <s v=""/>
    <s v="CAJA"/>
    <n v="1"/>
    <s v="PENDIENTE APROBACION  ENVIO TMS"/>
    <s v="000000001209660174"/>
    <x v="2"/>
    <x v="1"/>
    <s v="APROBAR"/>
    <n v="1"/>
    <e v="#N/A"/>
  </r>
  <r>
    <n v="8209660175"/>
    <s v="162"/>
    <x v="101"/>
    <d v="2026-10-12T10:55:18"/>
    <s v=""/>
    <s v="UNIDAD"/>
    <n v="1"/>
    <s v="PENDIENTE APROBACION  ENVIO TMS"/>
    <s v="000000008209660175"/>
    <x v="1"/>
    <x v="1"/>
    <s v="APROBAR"/>
    <n v="1"/>
    <e v="#N/A"/>
  </r>
  <r>
    <n v="8209660064"/>
    <s v="156"/>
    <x v="98"/>
    <d v="2026-10-12T10:55:20"/>
    <s v=""/>
    <s v="UNIDAD"/>
    <n v="2"/>
    <s v="PENDIENTE APROBACION  ENVIO TMS"/>
    <s v="000000008209660064"/>
    <x v="1"/>
    <x v="0"/>
    <s v="APROBAR"/>
    <n v="1"/>
    <e v="#N/A"/>
  </r>
  <r>
    <n v="8209660075"/>
    <s v="156"/>
    <x v="98"/>
    <d v="2026-10-12T10:55:21"/>
    <s v=""/>
    <s v="UNIDAD"/>
    <n v="6"/>
    <s v="PENDIENTE APROBACION  ENVIO TMS"/>
    <s v="000000008209660075"/>
    <x v="1"/>
    <x v="0"/>
    <s v="APROBAR"/>
    <n v="1"/>
    <e v="#N/A"/>
  </r>
  <r>
    <n v="1209660067"/>
    <s v="156"/>
    <x v="98"/>
    <d v="2026-10-12T10:55:22"/>
    <s v=""/>
    <s v="PACK"/>
    <n v="12"/>
    <s v="PENDIENTE APROBACION  ENVIO TMS"/>
    <s v="000000001209660067"/>
    <x v="2"/>
    <x v="0"/>
    <s v="APROBAR"/>
    <n v="1"/>
    <e v="#N/A"/>
  </r>
  <r>
    <n v="1209660068"/>
    <s v="156"/>
    <x v="98"/>
    <d v="2026-10-12T10:55:23"/>
    <s v=""/>
    <s v="PACK"/>
    <n v="13"/>
    <s v="PENDIENTE APROBACION  ENVIO TMS"/>
    <s v="000000001209660068"/>
    <x v="2"/>
    <x v="0"/>
    <s v="APROBAR"/>
    <n v="1"/>
    <e v="#N/A"/>
  </r>
  <r>
    <n v="1209660180"/>
    <s v="162"/>
    <x v="101"/>
    <d v="2026-10-12T10:55:24"/>
    <s v=""/>
    <s v="CAJA"/>
    <n v="36"/>
    <s v="PENDIENTE APROBACION  ENVIO TMS"/>
    <s v="000000001209660180"/>
    <x v="2"/>
    <x v="1"/>
    <s v="APROBAR"/>
    <n v="1"/>
    <e v="#N/A"/>
  </r>
  <r>
    <n v="8209660120"/>
    <s v="160"/>
    <x v="102"/>
    <d v="2026-10-12T10:55:26"/>
    <s v=""/>
    <s v="UNIDAD"/>
    <n v="8"/>
    <s v="PENDIENTE APROBACION  ENVIO TMS"/>
    <s v="000000008209660120"/>
    <x v="1"/>
    <x v="3"/>
    <s v="APROBAR"/>
    <n v="1"/>
    <e v="#N/A"/>
  </r>
  <r>
    <n v="8209660121"/>
    <s v="160"/>
    <x v="102"/>
    <d v="2026-10-12T10:55:27"/>
    <s v=""/>
    <s v="UNIDAD"/>
    <n v="6"/>
    <s v="PENDIENTE APROBACION  ENVIO TMS"/>
    <s v="000000008209660121"/>
    <x v="1"/>
    <x v="3"/>
    <s v="APROBAR"/>
    <n v="1"/>
    <e v="#N/A"/>
  </r>
  <r>
    <n v="8209660122"/>
    <s v="160"/>
    <x v="102"/>
    <d v="2026-10-12T10:55:27"/>
    <s v=""/>
    <s v="UNIDAD"/>
    <n v="6"/>
    <s v="PENDIENTE APROBACION  ENVIO TMS"/>
    <s v="000000008209660122"/>
    <x v="1"/>
    <x v="3"/>
    <s v="APROBAR"/>
    <n v="1"/>
    <e v="#N/A"/>
  </r>
  <r>
    <n v="8209660134"/>
    <s v="160"/>
    <x v="102"/>
    <d v="2026-10-12T10:55:29"/>
    <s v=""/>
    <s v="UNIDAD"/>
    <n v="18"/>
    <s v="PENDIENTE APROBACION  ENVIO TMS"/>
    <s v="000000008209660134"/>
    <x v="1"/>
    <x v="3"/>
    <s v="APROBAR"/>
    <n v="1"/>
    <e v="#N/A"/>
  </r>
  <r>
    <n v="1209660157"/>
    <s v="161"/>
    <x v="103"/>
    <d v="2026-10-12T10:55:30"/>
    <s v=""/>
    <s v="CAJA"/>
    <n v="1"/>
    <s v="PENDIENTE APROBACION  ENVIO TMS"/>
    <s v="000000001209660157"/>
    <x v="2"/>
    <x v="4"/>
    <s v="APROBAR"/>
    <n v="1"/>
    <e v="#N/A"/>
  </r>
  <r>
    <n v="1209660100"/>
    <s v="159"/>
    <x v="100"/>
    <d v="2026-10-12T10:55:32"/>
    <s v=""/>
    <s v="CAJA"/>
    <n v="57"/>
    <s v="PENDIENTE APROBACION  ENVIO TMS"/>
    <s v="000000001209660100"/>
    <x v="2"/>
    <x v="2"/>
    <s v="APROBAR"/>
    <n v="1"/>
    <e v="#N/A"/>
  </r>
  <r>
    <n v="1209660181"/>
    <s v="162"/>
    <x v="101"/>
    <d v="2026-10-12T10:55:32"/>
    <s v=""/>
    <s v="PACK"/>
    <n v="32"/>
    <s v="PENDIENTE APROBACION  ENVIO TMS"/>
    <s v="000000001209660181"/>
    <x v="2"/>
    <x v="1"/>
    <s v="APROBAR"/>
    <n v="1"/>
    <e v="#N/A"/>
  </r>
  <r>
    <n v="1209660123"/>
    <s v="160"/>
    <x v="102"/>
    <d v="2026-10-12T10:55:33"/>
    <s v=""/>
    <s v="PACK"/>
    <n v="5"/>
    <s v="PENDIENTE APROBACION  ENVIO TMS"/>
    <s v="000000001209660123"/>
    <x v="2"/>
    <x v="3"/>
    <s v="APROBAR"/>
    <n v="1"/>
    <e v="#N/A"/>
  </r>
  <r>
    <n v="1209660108"/>
    <s v="159"/>
    <x v="100"/>
    <d v="2026-10-12T10:55:35"/>
    <s v=""/>
    <s v="CAJA"/>
    <n v="19"/>
    <s v="PENDIENTE APROBACION  ENVIO TMS"/>
    <s v="000000001209660108"/>
    <x v="2"/>
    <x v="2"/>
    <s v="APROBAR"/>
    <n v="1"/>
    <e v="#N/A"/>
  </r>
  <r>
    <n v="1209660069"/>
    <s v="156"/>
    <x v="98"/>
    <d v="2026-10-12T10:55:36"/>
    <s v=""/>
    <s v="CAJA"/>
    <n v="18"/>
    <s v="PENDIENTE APROBACION  ENVIO TMS"/>
    <s v="000000001209660069"/>
    <x v="2"/>
    <x v="0"/>
    <s v="APROBAR"/>
    <n v="1"/>
    <e v="#N/A"/>
  </r>
  <r>
    <n v="1209660070"/>
    <s v="156"/>
    <x v="98"/>
    <d v="2026-10-12T10:55:38"/>
    <s v=""/>
    <s v="PACK"/>
    <n v="28"/>
    <s v="PENDIENTE APROBACION  ENVIO TMS"/>
    <s v="000000001209660070"/>
    <x v="2"/>
    <x v="0"/>
    <s v="APROBAR"/>
    <n v="1"/>
    <e v="#N/A"/>
  </r>
  <r>
    <n v="1209660156"/>
    <s v="161"/>
    <x v="103"/>
    <d v="2026-10-12T10:55:38"/>
    <s v=""/>
    <s v="CAJA"/>
    <n v="27"/>
    <s v="PENDIENTE APROBACION  ENVIO TMS"/>
    <s v="000000001209660156"/>
    <x v="2"/>
    <x v="4"/>
    <s v="APROBAR"/>
    <n v="1"/>
    <e v="#N/A"/>
  </r>
  <r>
    <n v="1209660090"/>
    <s v="159"/>
    <x v="100"/>
    <d v="2026-10-12T10:55:40"/>
    <s v=""/>
    <s v="CAJA"/>
    <n v="3"/>
    <s v="PENDIENTE APROBACION  ENVIO TMS"/>
    <s v="000000001209660090"/>
    <x v="2"/>
    <x v="2"/>
    <s v="APROBAR"/>
    <n v="1"/>
    <e v="#N/A"/>
  </r>
  <r>
    <n v="1209660183"/>
    <s v="162"/>
    <x v="101"/>
    <d v="2026-10-12T10:55:41"/>
    <s v=""/>
    <s v="CAJA"/>
    <n v="71"/>
    <s v="PENDIENTE APROBACION  ENVIO TMS"/>
    <s v="000000001209660183"/>
    <x v="2"/>
    <x v="1"/>
    <s v="APROBAR"/>
    <n v="1"/>
    <e v="#N/A"/>
  </r>
  <r>
    <n v="1209660093"/>
    <s v="159"/>
    <x v="100"/>
    <d v="2026-10-12T10:55:42"/>
    <s v=""/>
    <s v="PACK"/>
    <n v="36"/>
    <s v="PENDIENTE APROBACION  ENVIO TMS"/>
    <s v="000000001209660093"/>
    <x v="2"/>
    <x v="2"/>
    <s v="APROBAR"/>
    <n v="1"/>
    <e v="#N/A"/>
  </r>
  <r>
    <n v="1209660082"/>
    <s v="156"/>
    <x v="98"/>
    <d v="2026-10-12T10:55:44"/>
    <s v=""/>
    <s v="CAJA"/>
    <n v="17"/>
    <s v="PENDIENTE APROBACION  ENVIO TMS"/>
    <s v="000000001209660082"/>
    <x v="2"/>
    <x v="0"/>
    <s v="APROBAR"/>
    <n v="1"/>
    <e v="#N/A"/>
  </r>
  <r>
    <n v="8209660086"/>
    <s v="159"/>
    <x v="100"/>
    <d v="2026-10-12T10:55:44"/>
    <s v=""/>
    <s v="UNIDAD"/>
    <n v="2"/>
    <s v="PENDIENTE APROBACION  ENVIO TMS"/>
    <s v="000000008209660086"/>
    <x v="1"/>
    <x v="2"/>
    <s v="APROBAR"/>
    <n v="1"/>
    <e v="#N/A"/>
  </r>
  <r>
    <n v="1209660139"/>
    <s v="160"/>
    <x v="102"/>
    <d v="2026-10-12T10:55:46"/>
    <s v=""/>
    <s v="CAJA"/>
    <n v="18"/>
    <s v="PENDIENTE APROBACION  ENVIO TMS"/>
    <s v="000000001209660139"/>
    <x v="2"/>
    <x v="3"/>
    <s v="APROBAR"/>
    <n v="1"/>
    <e v="#N/A"/>
  </r>
  <r>
    <n v="8209660101"/>
    <s v="159"/>
    <x v="100"/>
    <d v="2026-10-12T10:55:47"/>
    <s v=""/>
    <s v="UNIDAD"/>
    <n v="5"/>
    <s v="PENDIENTE APROBACION  ENVIO TMS"/>
    <s v="000000008209660101"/>
    <x v="1"/>
    <x v="2"/>
    <s v="APROBAR"/>
    <n v="1"/>
    <e v="#N/A"/>
  </r>
  <r>
    <n v="1209660184"/>
    <s v="162"/>
    <x v="101"/>
    <d v="2026-10-12T10:55:49"/>
    <s v=""/>
    <s v="PACK"/>
    <n v="73"/>
    <s v="PENDIENTE APROBACION  ENVIO TMS"/>
    <s v="000000001209660184"/>
    <x v="2"/>
    <x v="1"/>
    <s v="APROBAR"/>
    <n v="1"/>
    <e v="#N/A"/>
  </r>
  <r>
    <n v="1209660143"/>
    <s v="160"/>
    <x v="102"/>
    <d v="2026-10-12T10:55:49"/>
    <s v=""/>
    <s v="PACK"/>
    <n v="59"/>
    <s v="PENDIENTE APROBACION  ENVIO TMS"/>
    <s v="000000001209660143"/>
    <x v="2"/>
    <x v="3"/>
    <s v="APROBAR"/>
    <n v="1"/>
    <e v="#N/A"/>
  </r>
  <r>
    <n v="1209660129"/>
    <s v="160"/>
    <x v="102"/>
    <d v="2026-10-12T10:55:51"/>
    <s v=""/>
    <s v="PACK"/>
    <n v="27"/>
    <s v="PENDIENTE APROBACION  ENVIO TMS"/>
    <s v="000000001209660129"/>
    <x v="2"/>
    <x v="3"/>
    <s v="APROBAR"/>
    <n v="1"/>
    <e v="#N/A"/>
  </r>
  <r>
    <n v="8209660063"/>
    <s v="156"/>
    <x v="98"/>
    <d v="2026-10-12T10:55:52"/>
    <s v=""/>
    <s v="UNIDAD"/>
    <n v="1"/>
    <s v="PENDIENTE APROBACION  ENVIO TMS"/>
    <s v="000000008209660063"/>
    <x v="1"/>
    <x v="0"/>
    <s v="APROBAR"/>
    <n v="1"/>
    <e v="#N/A"/>
  </r>
  <r>
    <n v="8209660065"/>
    <s v="156"/>
    <x v="98"/>
    <d v="2026-10-12T10:55:53"/>
    <s v=""/>
    <s v="UNIDAD"/>
    <n v="7"/>
    <s v="PENDIENTE APROBACION  ENVIO TMS"/>
    <s v="000000008209660065"/>
    <x v="1"/>
    <x v="0"/>
    <s v="APROBAR"/>
    <n v="1"/>
    <e v="#N/A"/>
  </r>
  <r>
    <n v="8209660186"/>
    <s v="162"/>
    <x v="101"/>
    <d v="2026-10-12T10:55:55"/>
    <s v=""/>
    <s v="UNIDAD"/>
    <n v="7"/>
    <s v="PENDIENTE APROBACION  ENVIO TMS"/>
    <s v="000000008209660186"/>
    <x v="1"/>
    <x v="1"/>
    <s v="APROBAR"/>
    <n v="1"/>
    <e v="#N/A"/>
  </r>
  <r>
    <n v="1209660155"/>
    <s v="161"/>
    <x v="103"/>
    <d v="2026-10-12T10:55:55"/>
    <s v=""/>
    <s v="PACK"/>
    <n v="26"/>
    <s v="PENDIENTE APROBACION  ENVIO TMS"/>
    <s v="000000001209660155"/>
    <x v="2"/>
    <x v="4"/>
    <s v="APROBAR"/>
    <n v="1"/>
    <e v="#N/A"/>
  </r>
  <r>
    <n v="8209660204"/>
    <s v="195"/>
    <x v="104"/>
    <d v="2026-10-12T10:58:52"/>
    <s v=""/>
    <s v="UNIDAD"/>
    <n v="4"/>
    <s v="PENDIENTE APROBACION  ENVIO TMS"/>
    <s v="000000008209660204"/>
    <x v="1"/>
    <x v="3"/>
    <s v="APROBAR"/>
    <n v="1"/>
    <e v="#N/A"/>
  </r>
  <r>
    <n v="1209660245"/>
    <s v="196"/>
    <x v="105"/>
    <d v="2026-10-12T10:58:53"/>
    <s v=""/>
    <s v="CAJA"/>
    <n v="18"/>
    <s v="PENDIENTE APROBACION  ENVIO TMS"/>
    <s v="000000001209660245"/>
    <x v="2"/>
    <x v="3"/>
    <s v="APROBAR"/>
    <n v="1"/>
    <e v="#N/A"/>
  </r>
  <r>
    <n v="1209660211"/>
    <s v="195"/>
    <x v="104"/>
    <d v="2026-10-12T10:58:54"/>
    <s v=""/>
    <s v="PACK"/>
    <n v="14"/>
    <s v="PENDIENTE APROBACION  ENVIO TMS"/>
    <s v="000000001209660211"/>
    <x v="2"/>
    <x v="3"/>
    <s v="APROBAR"/>
    <n v="1"/>
    <e v="#N/A"/>
  </r>
  <r>
    <n v="1209660252"/>
    <s v="196"/>
    <x v="105"/>
    <d v="2026-10-12T10:58:56"/>
    <s v=""/>
    <s v="CAJA"/>
    <n v="12"/>
    <s v="PENDIENTE APROBACION  ENVIO TMS"/>
    <s v="000000001209660252"/>
    <x v="2"/>
    <x v="3"/>
    <s v="APROBAR"/>
    <n v="1"/>
    <e v="#N/A"/>
  </r>
  <r>
    <n v="1209660285"/>
    <s v="204"/>
    <x v="106"/>
    <d v="2026-10-12T10:58:58"/>
    <s v=""/>
    <s v="PACK"/>
    <n v="8"/>
    <s v="PENDIENTE APROBACION  ENVIO TMS"/>
    <s v="000000001209660285"/>
    <x v="2"/>
    <x v="0"/>
    <s v="APROBAR"/>
    <n v="1"/>
    <e v="#N/A"/>
  </r>
  <r>
    <n v="8209660236"/>
    <s v="196"/>
    <x v="105"/>
    <d v="2026-10-12T10:59:00"/>
    <s v=""/>
    <s v="UNIDAD"/>
    <n v="3"/>
    <s v="PENDIENTE APROBACION  ENVIO TMS"/>
    <s v="000000008209660236"/>
    <x v="1"/>
    <x v="3"/>
    <s v="APROBAR"/>
    <n v="1"/>
    <e v="#N/A"/>
  </r>
  <r>
    <n v="1209660241"/>
    <s v="196"/>
    <x v="105"/>
    <d v="2026-10-12T10:59:01"/>
    <s v=""/>
    <s v="CAJA"/>
    <n v="16"/>
    <s v="PENDIENTE APROBACION  ENVIO TMS"/>
    <s v="000000001209660241"/>
    <x v="2"/>
    <x v="3"/>
    <s v="APROBAR"/>
    <n v="1"/>
    <e v="#N/A"/>
  </r>
  <r>
    <n v="1209660229"/>
    <s v="195"/>
    <x v="104"/>
    <d v="2026-10-12T10:59:02"/>
    <s v=""/>
    <s v="PACK"/>
    <n v="55"/>
    <s v="PENDIENTE APROBACION  ENVIO TMS"/>
    <s v="000000001209660229"/>
    <x v="2"/>
    <x v="3"/>
    <s v="APROBAR"/>
    <n v="1"/>
    <e v="#N/A"/>
  </r>
  <r>
    <n v="1209660209"/>
    <s v="195"/>
    <x v="104"/>
    <d v="2026-10-12T10:59:04"/>
    <s v=""/>
    <s v="PACK"/>
    <n v="8"/>
    <s v="PENDIENTE APROBACION  ENVIO TMS"/>
    <s v="000000001209660209"/>
    <x v="2"/>
    <x v="3"/>
    <s v="APROBAR"/>
    <n v="1"/>
    <e v="#N/A"/>
  </r>
  <r>
    <n v="1209660275"/>
    <s v="204"/>
    <x v="106"/>
    <d v="2026-10-12T10:59:05"/>
    <s v=""/>
    <s v="CAJA"/>
    <n v="13"/>
    <s v="PENDIENTE APROBACION  ENVIO TMS"/>
    <s v="000000001209660275"/>
    <x v="2"/>
    <x v="0"/>
    <s v="APROBAR"/>
    <n v="1"/>
    <e v="#N/A"/>
  </r>
  <r>
    <n v="8209660278"/>
    <s v="204"/>
    <x v="106"/>
    <d v="2026-10-12T10:59:06"/>
    <s v=""/>
    <s v="UNIDAD"/>
    <n v="11"/>
    <s v="PENDIENTE APROBACION  ENVIO TMS"/>
    <s v="000000008209660278"/>
    <x v="1"/>
    <x v="0"/>
    <s v="APROBAR"/>
    <n v="1"/>
    <e v="#N/A"/>
  </r>
  <r>
    <n v="1209660309"/>
    <s v="205"/>
    <x v="107"/>
    <d v="2026-10-12T10:59:08"/>
    <s v=""/>
    <s v="CAJA"/>
    <n v="3"/>
    <s v="PENDIENTE APROBACION  ENVIO TMS"/>
    <s v="000000001209660309"/>
    <x v="2"/>
    <x v="0"/>
    <s v="APROBAR"/>
    <n v="1"/>
    <e v="#N/A"/>
  </r>
  <r>
    <n v="8209660234"/>
    <s v="196"/>
    <x v="105"/>
    <d v="2026-10-12T10:59:09"/>
    <s v=""/>
    <s v="UNIDAD"/>
    <n v="2"/>
    <s v="PENDIENTE APROBACION  ENVIO TMS"/>
    <s v="000000008209660234"/>
    <x v="1"/>
    <x v="3"/>
    <s v="APROBAR"/>
    <n v="1"/>
    <e v="#N/A"/>
  </r>
  <r>
    <n v="1209660242"/>
    <s v="196"/>
    <x v="105"/>
    <d v="2026-10-12T10:59:11"/>
    <s v=""/>
    <s v="CAJA"/>
    <n v="8"/>
    <s v="PENDIENTE APROBACION  ENVIO TMS"/>
    <s v="000000001209660242"/>
    <x v="2"/>
    <x v="3"/>
    <s v="APROBAR"/>
    <n v="1"/>
    <e v="#N/A"/>
  </r>
  <r>
    <n v="1209660318"/>
    <s v="205"/>
    <x v="107"/>
    <d v="2026-10-12T10:59:11"/>
    <s v=""/>
    <s v="CAJA"/>
    <n v="11"/>
    <s v="PENDIENTE APROBACION  ENVIO TMS"/>
    <s v="000000001209660318"/>
    <x v="2"/>
    <x v="0"/>
    <s v="APROBAR"/>
    <n v="1"/>
    <e v="#N/A"/>
  </r>
  <r>
    <n v="1209660208"/>
    <s v="195"/>
    <x v="104"/>
    <d v="2026-10-12T10:59:12"/>
    <s v=""/>
    <s v="PACK"/>
    <n v="6"/>
    <s v="PENDIENTE APROBACION  ENVIO TMS"/>
    <s v="000000001209660208"/>
    <x v="2"/>
    <x v="3"/>
    <s v="APROBAR"/>
    <n v="1"/>
    <e v="#N/A"/>
  </r>
  <r>
    <n v="8209660307"/>
    <s v="205"/>
    <x v="107"/>
    <d v="2026-10-12T10:59:14"/>
    <s v=""/>
    <s v="UNIDAD"/>
    <n v="1"/>
    <s v="PENDIENTE APROBACION  ENVIO TMS"/>
    <s v="000000008209660307"/>
    <x v="1"/>
    <x v="0"/>
    <s v="APROBAR"/>
    <n v="1"/>
    <e v="#N/A"/>
  </r>
  <r>
    <n v="1209660214"/>
    <s v="195"/>
    <x v="104"/>
    <d v="2026-10-12T10:59:15"/>
    <s v=""/>
    <s v="PACK"/>
    <n v="20"/>
    <s v="PENDIENTE APROBACION  ENVIO TMS"/>
    <s v="000000001209660214"/>
    <x v="2"/>
    <x v="3"/>
    <s v="APROBAR"/>
    <n v="1"/>
    <e v="#N/A"/>
  </r>
  <r>
    <n v="1209660283"/>
    <s v="204"/>
    <x v="106"/>
    <d v="2026-10-12T10:59:16"/>
    <s v=""/>
    <s v="CAJA"/>
    <n v="4"/>
    <s v="PENDIENTE APROBACION  ENVIO TMS"/>
    <s v="000000001209660283"/>
    <x v="2"/>
    <x v="0"/>
    <s v="APROBAR"/>
    <n v="1"/>
    <e v="#N/A"/>
  </r>
  <r>
    <n v="1209660311"/>
    <s v="205"/>
    <x v="107"/>
    <d v="2026-10-12T10:59:18"/>
    <s v=""/>
    <s v="CAJA"/>
    <n v="5"/>
    <s v="PENDIENTE APROBACION  ENVIO TMS"/>
    <s v="000000001209660311"/>
    <x v="2"/>
    <x v="0"/>
    <s v="APROBAR"/>
    <n v="1"/>
    <e v="#N/A"/>
  </r>
  <r>
    <n v="1209660287"/>
    <s v="204"/>
    <x v="106"/>
    <d v="2026-10-12T10:59:19"/>
    <s v=""/>
    <s v="CAJA"/>
    <n v="24"/>
    <s v="PENDIENTE APROBACION  ENVIO TMS"/>
    <s v="000000001209660287"/>
    <x v="2"/>
    <x v="0"/>
    <s v="APROBAR"/>
    <n v="1"/>
    <e v="#N/A"/>
  </r>
  <r>
    <n v="1209660243"/>
    <s v="196"/>
    <x v="105"/>
    <d v="2026-10-12T10:59:21"/>
    <s v=""/>
    <s v="CAJA"/>
    <n v="21"/>
    <s v="PENDIENTE APROBACION  ENVIO TMS"/>
    <s v="000000001209660243"/>
    <x v="2"/>
    <x v="3"/>
    <s v="APROBAR"/>
    <n v="1"/>
    <e v="#N/A"/>
  </r>
  <r>
    <n v="1209660315"/>
    <s v="205"/>
    <x v="107"/>
    <d v="2026-10-12T10:59:23"/>
    <s v=""/>
    <s v="CAJA"/>
    <n v="8"/>
    <s v="PENDIENTE APROBACION  ENVIO TMS"/>
    <s v="000000001209660315"/>
    <x v="2"/>
    <x v="0"/>
    <s v="APROBAR"/>
    <n v="1"/>
    <e v="#N/A"/>
  </r>
  <r>
    <n v="8209660305"/>
    <s v="205"/>
    <x v="107"/>
    <d v="2026-10-12T10:59:23"/>
    <s v=""/>
    <s v="UNIDAD"/>
    <n v="1"/>
    <s v="PENDIENTE APROBACION  ENVIO TMS"/>
    <s v="000000008209660305"/>
    <x v="1"/>
    <x v="0"/>
    <s v="APROBAR"/>
    <n v="1"/>
    <e v="#N/A"/>
  </r>
  <r>
    <n v="1209660239"/>
    <s v="196"/>
    <x v="105"/>
    <d v="2026-10-12T10:59:24"/>
    <s v=""/>
    <s v="CAJA"/>
    <n v="5"/>
    <s v="PENDIENTE APROBACION  ENVIO TMS"/>
    <s v="000000001209660239"/>
    <x v="2"/>
    <x v="3"/>
    <s v="APROBAR"/>
    <n v="1"/>
    <e v="#N/A"/>
  </r>
  <r>
    <n v="1209660240"/>
    <s v="196"/>
    <x v="105"/>
    <d v="2026-10-12T10:59:26"/>
    <s v=""/>
    <s v="CAJA"/>
    <n v="8"/>
    <s v="PENDIENTE APROBACION  ENVIO TMS"/>
    <s v="000000001209660240"/>
    <x v="2"/>
    <x v="3"/>
    <s v="APROBAR"/>
    <n v="1"/>
    <e v="#N/A"/>
  </r>
  <r>
    <n v="1209660272"/>
    <s v="204"/>
    <x v="106"/>
    <d v="2026-10-12T10:59:27"/>
    <s v=""/>
    <s v="CAJA"/>
    <n v="14"/>
    <s v="PENDIENTE APROBACION  ENVIO TMS"/>
    <s v="000000001209660272"/>
    <x v="2"/>
    <x v="0"/>
    <s v="APROBAR"/>
    <n v="1"/>
    <e v="#N/A"/>
  </r>
  <r>
    <n v="8209660276"/>
    <s v="204"/>
    <x v="106"/>
    <d v="2026-10-12T10:59:29"/>
    <s v=""/>
    <s v="UNIDAD"/>
    <n v="3"/>
    <s v="PENDIENTE APROBACION  ENVIO TMS"/>
    <s v="000000008209660276"/>
    <x v="1"/>
    <x v="0"/>
    <s v="APROBAR"/>
    <n v="1"/>
    <e v="#N/A"/>
  </r>
  <r>
    <n v="8209660206"/>
    <s v="195"/>
    <x v="104"/>
    <d v="2026-10-12T10:59:29"/>
    <s v=""/>
    <s v="UNIDAD"/>
    <n v="5"/>
    <s v="PENDIENTE APROBACION  ENVIO TMS"/>
    <s v="000000008209660206"/>
    <x v="1"/>
    <x v="3"/>
    <s v="APROBAR"/>
    <n v="1"/>
    <e v="#N/A"/>
  </r>
  <r>
    <n v="1209660213"/>
    <s v="195"/>
    <x v="104"/>
    <d v="2026-10-12T10:59:30"/>
    <s v=""/>
    <s v="CAJA"/>
    <n v="32"/>
    <s v="PENDIENTE APROBACION  ENVIO TMS"/>
    <s v="000000001209660213"/>
    <x v="2"/>
    <x v="3"/>
    <s v="APROBAR"/>
    <n v="1"/>
    <e v="#N/A"/>
  </r>
  <r>
    <n v="8209660280"/>
    <s v="204"/>
    <x v="106"/>
    <d v="2026-10-12T10:59:32"/>
    <s v=""/>
    <s v="UNIDAD"/>
    <n v="42"/>
    <s v="PENDIENTE APROBACION  ENVIO TMS"/>
    <s v="000000008209660280"/>
    <x v="1"/>
    <x v="0"/>
    <s v="APROBAR"/>
    <n v="1"/>
    <e v="#N/A"/>
  </r>
  <r>
    <n v="1209660316"/>
    <s v="205"/>
    <x v="107"/>
    <d v="2026-10-12T10:59:33"/>
    <s v=""/>
    <s v="PACK"/>
    <n v="12"/>
    <s v="PENDIENTE APROBACION  ENVIO TMS"/>
    <s v="000000001209660316"/>
    <x v="2"/>
    <x v="0"/>
    <s v="APROBAR"/>
    <n v="1"/>
    <e v="#N/A"/>
  </r>
  <r>
    <n v="1209660293"/>
    <s v="204"/>
    <x v="106"/>
    <d v="2026-10-12T10:59:35"/>
    <s v=""/>
    <s v="CAJA"/>
    <n v="1"/>
    <s v="PENDIENTE APROBACION  ENVIO TMS"/>
    <s v="000000001209660293"/>
    <x v="2"/>
    <x v="0"/>
    <s v="APROBAR"/>
    <n v="1"/>
    <e v="#N/A"/>
  </r>
  <r>
    <n v="8209660202"/>
    <s v="195"/>
    <x v="104"/>
    <d v="2026-10-12T10:59:35"/>
    <s v=""/>
    <s v="UNIDAD"/>
    <n v="6"/>
    <s v="PENDIENTE APROBACION  ENVIO TMS"/>
    <s v="000000008209660202"/>
    <x v="1"/>
    <x v="3"/>
    <s v="APROBAR"/>
    <n v="1"/>
    <e v="#N/A"/>
  </r>
  <r>
    <n v="8209660205"/>
    <s v="195"/>
    <x v="104"/>
    <d v="2026-10-12T10:59:37"/>
    <s v=""/>
    <s v="UNIDAD"/>
    <n v="1"/>
    <s v="PENDIENTE APROBACION  ENVIO TMS"/>
    <s v="000000008209660205"/>
    <x v="1"/>
    <x v="3"/>
    <s v="APROBAR"/>
    <n v="1"/>
    <e v="#N/A"/>
  </r>
  <r>
    <n v="1209660247"/>
    <s v="196"/>
    <x v="105"/>
    <d v="2026-10-12T10:59:39"/>
    <s v=""/>
    <s v="PACK"/>
    <n v="40"/>
    <s v="PENDIENTE APROBACION  ENVIO TMS"/>
    <s v="000000001209660247"/>
    <x v="2"/>
    <x v="3"/>
    <s v="APROBAR"/>
    <n v="1"/>
    <e v="#N/A"/>
  </r>
  <r>
    <n v="8209660279"/>
    <s v="204"/>
    <x v="106"/>
    <d v="2026-10-12T10:59:40"/>
    <s v=""/>
    <s v="UNIDAD"/>
    <n v="1"/>
    <s v="PENDIENTE APROBACION  ENVIO TMS"/>
    <s v="000000008209660279"/>
    <x v="1"/>
    <x v="0"/>
    <s v="APROBAR"/>
    <n v="1"/>
    <e v="#N/A"/>
  </r>
  <r>
    <n v="8209660308"/>
    <s v="205"/>
    <x v="107"/>
    <d v="2026-10-12T10:59:41"/>
    <s v=""/>
    <s v="UNIDAD"/>
    <n v="1"/>
    <s v="PENDIENTE APROBACION  ENVIO TMS"/>
    <s v="000000008209660308"/>
    <x v="1"/>
    <x v="0"/>
    <s v="APROBAR"/>
    <n v="1"/>
    <e v="#N/A"/>
  </r>
  <r>
    <n v="1209660215"/>
    <s v="195"/>
    <x v="104"/>
    <d v="2026-10-12T10:59:43"/>
    <s v=""/>
    <s v="CAJA"/>
    <n v="51"/>
    <s v="PENDIENTE APROBACION  ENVIO TMS"/>
    <s v="000000001209660215"/>
    <x v="2"/>
    <x v="3"/>
    <s v="APROBAR"/>
    <n v="1"/>
    <e v="#N/A"/>
  </r>
  <r>
    <n v="1209660288"/>
    <s v="204"/>
    <x v="106"/>
    <d v="2026-10-12T10:59:44"/>
    <s v=""/>
    <s v="PACK"/>
    <n v="24"/>
    <s v="PENDIENTE APROBACION  ENVIO TMS"/>
    <s v="000000001209660288"/>
    <x v="2"/>
    <x v="0"/>
    <s v="APROBAR"/>
    <n v="1"/>
    <e v="#N/A"/>
  </r>
  <r>
    <n v="8209660235"/>
    <s v="196"/>
    <x v="105"/>
    <d v="2026-10-12T10:59:45"/>
    <s v=""/>
    <s v="UNIDAD"/>
    <n v="11"/>
    <s v="PENDIENTE APROBACION  ENVIO TMS"/>
    <s v="000000008209660235"/>
    <x v="1"/>
    <x v="3"/>
    <s v="APROBAR"/>
    <n v="1"/>
    <e v="#N/A"/>
  </r>
  <r>
    <n v="8209660238"/>
    <s v="196"/>
    <x v="105"/>
    <d v="2026-10-12T10:59:46"/>
    <s v=""/>
    <s v="UNIDAD"/>
    <n v="3"/>
    <s v="PENDIENTE APROBACION  ENVIO TMS"/>
    <s v="000000008209660238"/>
    <x v="1"/>
    <x v="3"/>
    <s v="APROBAR"/>
    <n v="1"/>
    <e v="#N/A"/>
  </r>
  <r>
    <n v="1209660289"/>
    <s v="204"/>
    <x v="106"/>
    <d v="2026-10-12T10:59:47"/>
    <s v=""/>
    <s v="PACK"/>
    <n v="37"/>
    <s v="PENDIENTE APROBACION  ENVIO TMS"/>
    <s v="000000001209660289"/>
    <x v="2"/>
    <x v="0"/>
    <s v="APROBAR"/>
    <n v="1"/>
    <e v="#N/A"/>
  </r>
  <r>
    <n v="8209660207"/>
    <s v="195"/>
    <x v="104"/>
    <d v="2026-10-12T10:59:49"/>
    <s v=""/>
    <s v="UNIDAD"/>
    <n v="6"/>
    <s v="PENDIENTE APROBACION  ENVIO TMS"/>
    <s v="000000008209660207"/>
    <x v="1"/>
    <x v="3"/>
    <s v="APROBAR"/>
    <n v="1"/>
    <e v="#N/A"/>
  </r>
  <r>
    <n v="1209660244"/>
    <s v="196"/>
    <x v="105"/>
    <d v="2026-10-12T10:59:51"/>
    <s v=""/>
    <s v="PACK"/>
    <n v="13"/>
    <s v="PENDIENTE APROBACION  ENVIO TMS"/>
    <s v="000000001209660244"/>
    <x v="2"/>
    <x v="3"/>
    <s v="APROBAR"/>
    <n v="1"/>
    <e v="#N/A"/>
  </r>
  <r>
    <n v="1209660210"/>
    <s v="195"/>
    <x v="104"/>
    <d v="2026-10-12T10:59:52"/>
    <s v=""/>
    <s v="CAJA"/>
    <n v="9"/>
    <s v="PENDIENTE APROBACION  ENVIO TMS"/>
    <s v="000000001209660210"/>
    <x v="2"/>
    <x v="3"/>
    <s v="APROBAR"/>
    <n v="1"/>
    <e v="#N/A"/>
  </r>
  <r>
    <n v="1209660212"/>
    <s v="195"/>
    <x v="104"/>
    <d v="2026-10-12T10:59:53"/>
    <s v=""/>
    <s v="CAJA"/>
    <n v="26"/>
    <s v="PENDIENTE APROBACION  ENVIO TMS"/>
    <s v="000000001209660212"/>
    <x v="2"/>
    <x v="3"/>
    <s v="APROBAR"/>
    <n v="1"/>
    <e v="#N/A"/>
  </r>
  <r>
    <n v="8209660277"/>
    <s v="204"/>
    <x v="106"/>
    <d v="2026-10-12T10:59:54"/>
    <s v=""/>
    <s v="UNIDAD"/>
    <n v="1"/>
    <s v="PENDIENTE APROBACION  ENVIO TMS"/>
    <s v="000000008209660277"/>
    <x v="1"/>
    <x v="0"/>
    <s v="APROBAR"/>
    <n v="1"/>
    <e v="#N/A"/>
  </r>
  <r>
    <n v="8209660306"/>
    <s v="205"/>
    <x v="107"/>
    <d v="2026-10-12T10:59:55"/>
    <s v=""/>
    <s v="UNIDAD"/>
    <n v="2"/>
    <s v="PENDIENTE APROBACION  ENVIO TMS"/>
    <s v="000000008209660306"/>
    <x v="1"/>
    <x v="0"/>
    <s v="APROBAR"/>
    <n v="1"/>
    <e v="#N/A"/>
  </r>
  <r>
    <n v="1209660312"/>
    <s v="205"/>
    <x v="107"/>
    <d v="2026-10-12T10:59:57"/>
    <s v=""/>
    <s v="CAJA"/>
    <n v="5"/>
    <s v="PENDIENTE APROBACION  ENVIO TMS"/>
    <s v="000000001209660312"/>
    <x v="2"/>
    <x v="0"/>
    <s v="APROBAR"/>
    <n v="1"/>
    <e v="#N/A"/>
  </r>
  <r>
    <n v="1209660286"/>
    <s v="204"/>
    <x v="106"/>
    <d v="2026-10-12T10:59:58"/>
    <s v=""/>
    <s v="CAJA"/>
    <n v="17"/>
    <s v="PENDIENTE APROBACION  ENVIO TMS"/>
    <s v="000000001209660286"/>
    <x v="2"/>
    <x v="0"/>
    <s v="APROBAR"/>
    <n v="1"/>
    <e v="#N/A"/>
  </r>
  <r>
    <n v="8209660203"/>
    <s v="195"/>
    <x v="104"/>
    <d v="2026-10-12T10:59:58"/>
    <s v=""/>
    <s v="UNIDAD"/>
    <n v="10"/>
    <s v="PENDIENTE APROBACION  ENVIO TMS"/>
    <s v="000000008209660203"/>
    <x v="1"/>
    <x v="3"/>
    <s v="APROBAR"/>
    <n v="1"/>
    <e v="#N/A"/>
  </r>
  <r>
    <n v="8209660251"/>
    <s v="196"/>
    <x v="105"/>
    <d v="2026-10-12T11:00:00"/>
    <s v=""/>
    <s v="UNIDAD"/>
    <n v="4"/>
    <s v="PENDIENTE APROBACION  ENVIO TMS"/>
    <s v="000000008209660251"/>
    <x v="1"/>
    <x v="3"/>
    <s v="APROBAR"/>
    <n v="1"/>
    <e v="#N/A"/>
  </r>
  <r>
    <n v="1209660282"/>
    <s v="204"/>
    <x v="106"/>
    <d v="2026-10-12T11:00:01"/>
    <s v=""/>
    <s v="PACK"/>
    <n v="6"/>
    <s v="PENDIENTE APROBACION  ENVIO TMS"/>
    <s v="000000001209660282"/>
    <x v="2"/>
    <x v="0"/>
    <s v="APROBAR"/>
    <n v="1"/>
    <e v="#N/A"/>
  </r>
  <r>
    <n v="1209660310"/>
    <s v="205"/>
    <x v="107"/>
    <d v="2026-10-12T11:00:02"/>
    <s v=""/>
    <s v="CAJA"/>
    <n v="4"/>
    <s v="PENDIENTE APROBACION  ENVIO TMS"/>
    <s v="000000001209660310"/>
    <x v="2"/>
    <x v="0"/>
    <s v="APROBAR"/>
    <n v="1"/>
    <e v="#N/A"/>
  </r>
  <r>
    <n v="1209660284"/>
    <s v="204"/>
    <x v="106"/>
    <d v="2026-10-12T11:00:04"/>
    <s v=""/>
    <s v="CAJA"/>
    <n v="9"/>
    <s v="PENDIENTE APROBACION  ENVIO TMS"/>
    <s v="000000001209660284"/>
    <x v="2"/>
    <x v="0"/>
    <s v="APROBAR"/>
    <n v="1"/>
    <e v="#N/A"/>
  </r>
  <r>
    <n v="8209660237"/>
    <s v="196"/>
    <x v="105"/>
    <d v="2026-10-12T11:00:04"/>
    <s v=""/>
    <s v="UNIDAD"/>
    <n v="1"/>
    <s v="PENDIENTE APROBACION  ENVIO TMS"/>
    <s v="000000008209660237"/>
    <x v="1"/>
    <x v="3"/>
    <s v="APROBAR"/>
    <n v="1"/>
    <e v="#N/A"/>
  </r>
  <r>
    <n v="8209660266"/>
    <s v="204"/>
    <x v="106"/>
    <d v="2026-10-12T11:00:06"/>
    <s v=""/>
    <s v="UNIDAD"/>
    <n v="1"/>
    <s v="PENDIENTE APROBACION  ENVIO TMS"/>
    <s v="000000008209660266"/>
    <x v="1"/>
    <x v="0"/>
    <s v="APROBAR"/>
    <n v="1"/>
    <e v="#N/A"/>
  </r>
  <r>
    <n v="1209660317"/>
    <s v="205"/>
    <x v="107"/>
    <d v="2026-10-12T11:00:07"/>
    <s v=""/>
    <s v="CAJA"/>
    <n v="15"/>
    <s v="PENDIENTE APROBACION  ENVIO TMS"/>
    <s v="000000001209660317"/>
    <x v="2"/>
    <x v="0"/>
    <s v="APROBAR"/>
    <n v="1"/>
    <e v="#N/A"/>
  </r>
  <r>
    <n v="1209660468"/>
    <s v="220"/>
    <x v="108"/>
    <d v="2026-10-12T11:03:55"/>
    <s v=""/>
    <s v="CAJA"/>
    <n v="43"/>
    <s v="PENDIENTE APROBACION  ENVIO TMS"/>
    <s v="000000001209660468"/>
    <x v="2"/>
    <x v="2"/>
    <s v="APROBAR"/>
    <n v="1"/>
    <e v="#N/A"/>
  </r>
  <r>
    <n v="1209660394"/>
    <s v="210"/>
    <x v="109"/>
    <d v="2026-10-12T11:03:56"/>
    <s v=""/>
    <s v="PACK"/>
    <n v="40"/>
    <s v="PENDIENTE APROBACION  ENVIO TMS"/>
    <s v="000000001209660394"/>
    <x v="2"/>
    <x v="2"/>
    <s v="APROBAR"/>
    <n v="1"/>
    <e v="#N/A"/>
  </r>
  <r>
    <n v="1209660520"/>
    <s v="224"/>
    <x v="110"/>
    <d v="2026-10-12T11:03:58"/>
    <s v=""/>
    <s v="PACK"/>
    <n v="35"/>
    <s v="PENDIENTE APROBACION  ENVIO TMS"/>
    <s v="000000001209660520"/>
    <x v="2"/>
    <x v="0"/>
    <s v="APROBAR"/>
    <n v="1"/>
    <e v="#N/A"/>
  </r>
  <r>
    <n v="8209660350"/>
    <s v="209"/>
    <x v="111"/>
    <d v="2026-10-12T11:03:59"/>
    <s v=""/>
    <s v="UNIDAD"/>
    <n v="4"/>
    <s v="PENDIENTE APROBACION  ENVIO TMS"/>
    <s v="000000008209660350"/>
    <x v="1"/>
    <x v="0"/>
    <s v="APROBAR"/>
    <n v="1"/>
    <e v="#N/A"/>
  </r>
  <r>
    <n v="1209660351"/>
    <s v="209"/>
    <x v="111"/>
    <d v="2026-10-12T11:04:00"/>
    <s v=""/>
    <s v="CAJA"/>
    <n v="1"/>
    <s v="PENDIENTE APROBACION  ENVIO TMS"/>
    <s v="000000001209660351"/>
    <x v="2"/>
    <x v="0"/>
    <s v="APROBAR"/>
    <n v="1"/>
    <e v="#N/A"/>
  </r>
  <r>
    <n v="8209660378"/>
    <s v="210"/>
    <x v="109"/>
    <d v="2026-10-12T11:04:01"/>
    <s v=""/>
    <s v="UNIDAD"/>
    <n v="5"/>
    <s v="PENDIENTE APROBACION  ENVIO TMS"/>
    <s v="000000008209660378"/>
    <x v="1"/>
    <x v="2"/>
    <s v="APROBAR"/>
    <n v="1"/>
    <e v="#N/A"/>
  </r>
  <r>
    <n v="8209660421"/>
    <s v="215"/>
    <x v="112"/>
    <d v="2026-10-12T11:04:02"/>
    <s v=""/>
    <s v="UNIDAD"/>
    <n v="6"/>
    <s v="PENDIENTE APROBACION  ENVIO TMS"/>
    <s v="000000008209660421"/>
    <x v="1"/>
    <x v="0"/>
    <s v="APROBAR"/>
    <n v="1"/>
    <e v="#N/A"/>
  </r>
  <r>
    <n v="8209660422"/>
    <s v="215"/>
    <x v="112"/>
    <d v="2026-10-12T11:04:04"/>
    <s v=""/>
    <s v="UNIDAD"/>
    <n v="1"/>
    <s v="PENDIENTE APROBACION  ENVIO TMS"/>
    <s v="000000008209660422"/>
    <x v="1"/>
    <x v="0"/>
    <s v="APROBAR"/>
    <n v="1"/>
    <e v="#N/A"/>
  </r>
  <r>
    <n v="1209660453"/>
    <s v="220"/>
    <x v="108"/>
    <d v="2026-10-12T11:04:05"/>
    <s v=""/>
    <s v="CAJA"/>
    <n v="5"/>
    <s v="PENDIENTE APROBACION  ENVIO TMS"/>
    <s v="000000001209660453"/>
    <x v="2"/>
    <x v="2"/>
    <s v="APROBAR"/>
    <n v="1"/>
    <e v="#N/A"/>
  </r>
  <r>
    <n v="8209660459"/>
    <s v="220"/>
    <x v="108"/>
    <d v="2026-10-12T11:04:06"/>
    <s v=""/>
    <s v="UNIDAD"/>
    <n v="1"/>
    <s v="PENDIENTE APROBACION  ENVIO TMS"/>
    <s v="000000008209660459"/>
    <x v="1"/>
    <x v="2"/>
    <s v="APROBAR"/>
    <n v="1"/>
    <e v="#N/A"/>
  </r>
  <r>
    <n v="1209660495"/>
    <s v="221"/>
    <x v="113"/>
    <d v="2026-10-12T11:04:07"/>
    <s v=""/>
    <s v="CAJA"/>
    <n v="4"/>
    <s v="PENDIENTE APROBACION  ENVIO TMS"/>
    <s v="000000001209660495"/>
    <x v="2"/>
    <x v="1"/>
    <s v="APROBAR"/>
    <n v="1"/>
    <e v="#N/A"/>
  </r>
  <r>
    <n v="1209660388"/>
    <s v="210"/>
    <x v="109"/>
    <d v="2026-10-12T11:04:09"/>
    <s v=""/>
    <s v="CAJA"/>
    <n v="13"/>
    <s v="PENDIENTE APROBACION  ENVIO TMS"/>
    <s v="000000001209660388"/>
    <x v="2"/>
    <x v="2"/>
    <s v="APROBAR"/>
    <n v="1"/>
    <e v="#N/A"/>
  </r>
  <r>
    <n v="1209660462"/>
    <s v="220"/>
    <x v="108"/>
    <d v="2026-10-12T11:04:10"/>
    <s v=""/>
    <s v="CAJA"/>
    <n v="3"/>
    <s v="PENDIENTE APROBACION  ENVIO TMS"/>
    <s v="000000001209660462"/>
    <x v="2"/>
    <x v="2"/>
    <s v="APROBAR"/>
    <n v="1"/>
    <e v="#N/A"/>
  </r>
  <r>
    <n v="1209660463"/>
    <s v="220"/>
    <x v="108"/>
    <d v="2026-10-12T11:04:12"/>
    <s v=""/>
    <s v="CAJA"/>
    <n v="18"/>
    <s v="PENDIENTE APROBACION  ENVIO TMS"/>
    <s v="000000001209660463"/>
    <x v="2"/>
    <x v="2"/>
    <s v="APROBAR"/>
    <n v="1"/>
    <e v="#N/A"/>
  </r>
  <r>
    <n v="1209660389"/>
    <s v="210"/>
    <x v="109"/>
    <d v="2026-10-12T11:04:13"/>
    <s v=""/>
    <s v="CAJA"/>
    <n v="27"/>
    <s v="PENDIENTE APROBACION  ENVIO TMS"/>
    <s v="000000001209660389"/>
    <x v="2"/>
    <x v="2"/>
    <s v="APROBAR"/>
    <n v="1"/>
    <e v="#N/A"/>
  </r>
  <r>
    <n v="1209660465"/>
    <s v="220"/>
    <x v="108"/>
    <d v="2026-10-12T11:04:15"/>
    <s v=""/>
    <s v="CAJA"/>
    <n v="25"/>
    <s v="PENDIENTE APROBACION  ENVIO TMS"/>
    <s v="000000001209660465"/>
    <x v="2"/>
    <x v="2"/>
    <s v="APROBAR"/>
    <n v="1"/>
    <e v="#N/A"/>
  </r>
  <r>
    <n v="8209660509"/>
    <s v="224"/>
    <x v="110"/>
    <d v="2026-10-12T11:04:16"/>
    <s v=""/>
    <s v="UNIDAD"/>
    <n v="6"/>
    <s v="PENDIENTE APROBACION  ENVIO TMS"/>
    <s v="000000008209660509"/>
    <x v="1"/>
    <x v="0"/>
    <s v="APROBAR"/>
    <n v="1"/>
    <e v="#N/A"/>
  </r>
  <r>
    <n v="8209660478"/>
    <s v="221"/>
    <x v="113"/>
    <d v="2026-10-12T11:04:17"/>
    <s v=""/>
    <s v="UNIDAD"/>
    <n v="6"/>
    <s v="PENDIENTE APROBACION  ENVIO TMS"/>
    <s v="000000008209660478"/>
    <x v="1"/>
    <x v="1"/>
    <s v="APROBAR"/>
    <n v="1"/>
    <e v="#N/A"/>
  </r>
  <r>
    <n v="1209660516"/>
    <s v="224"/>
    <x v="110"/>
    <d v="2026-10-12T11:04:18"/>
    <s v=""/>
    <s v="CAJA"/>
    <n v="21"/>
    <s v="PENDIENTE APROBACION  ENVIO TMS"/>
    <s v="000000001209660516"/>
    <x v="2"/>
    <x v="0"/>
    <s v="APROBAR"/>
    <n v="1"/>
    <e v="#N/A"/>
  </r>
  <r>
    <n v="1209660491"/>
    <s v="221"/>
    <x v="113"/>
    <d v="2026-10-12T11:04:19"/>
    <s v=""/>
    <s v="CAJA"/>
    <n v="12"/>
    <s v="PENDIENTE APROBACION  ENVIO TMS"/>
    <s v="000000001209660491"/>
    <x v="2"/>
    <x v="1"/>
    <s v="APROBAR"/>
    <n v="1"/>
    <e v="#N/A"/>
  </r>
  <r>
    <n v="8209660349"/>
    <s v="209"/>
    <x v="111"/>
    <d v="2026-10-12T11:04:21"/>
    <s v=""/>
    <s v="UNIDAD"/>
    <n v="1"/>
    <s v="PENDIENTE APROBACION  ENVIO TMS"/>
    <s v="000000008209660349"/>
    <x v="1"/>
    <x v="0"/>
    <s v="APROBAR"/>
    <n v="1"/>
    <e v="#N/A"/>
  </r>
  <r>
    <n v="1209660354"/>
    <s v="209"/>
    <x v="111"/>
    <d v="2026-10-12T11:04:22"/>
    <s v=""/>
    <s v="CAJA"/>
    <n v="15"/>
    <s v="PENDIENTE APROBACION  ENVIO TMS"/>
    <s v="000000001209660354"/>
    <x v="2"/>
    <x v="0"/>
    <s v="APROBAR"/>
    <n v="1"/>
    <e v="#N/A"/>
  </r>
  <r>
    <n v="8209660379"/>
    <s v="210"/>
    <x v="109"/>
    <d v="2026-10-12T11:04:24"/>
    <s v=""/>
    <s v="UNIDAD"/>
    <n v="8"/>
    <s v="PENDIENTE APROBACION  ENVIO TMS"/>
    <s v="000000008209660379"/>
    <x v="1"/>
    <x v="2"/>
    <s v="APROBAR"/>
    <n v="1"/>
    <e v="#N/A"/>
  </r>
  <r>
    <n v="1209660357"/>
    <s v="209"/>
    <x v="111"/>
    <d v="2026-10-12T11:04:25"/>
    <s v=""/>
    <s v="CAJA"/>
    <n v="11"/>
    <s v="PENDIENTE APROBACION  ENVIO TMS"/>
    <s v="000000001209660357"/>
    <x v="2"/>
    <x v="0"/>
    <s v="APROBAR"/>
    <n v="1"/>
    <e v="#N/A"/>
  </r>
  <r>
    <n v="8209660410"/>
    <s v="215"/>
    <x v="112"/>
    <d v="2026-10-12T11:04:27"/>
    <s v=""/>
    <s v="UNIDAD"/>
    <n v="5"/>
    <s v="PENDIENTE APROBACION  ENVIO TMS"/>
    <s v="000000008209660410"/>
    <x v="1"/>
    <x v="0"/>
    <s v="APROBAR"/>
    <n v="1"/>
    <e v="#N/A"/>
  </r>
  <r>
    <n v="8209660458"/>
    <s v="220"/>
    <x v="108"/>
    <d v="2026-10-12T11:04:29"/>
    <s v=""/>
    <s v="UNIDAD"/>
    <n v="1"/>
    <s v="PENDIENTE APROBACION  ENVIO TMS"/>
    <s v="000000008209660458"/>
    <x v="1"/>
    <x v="2"/>
    <s v="APROBAR"/>
    <n v="1"/>
    <e v="#N/A"/>
  </r>
  <r>
    <n v="8209660446"/>
    <s v="220"/>
    <x v="108"/>
    <d v="2026-10-12T11:04:30"/>
    <s v=""/>
    <s v="UNIDAD"/>
    <n v="18"/>
    <s v="PENDIENTE APROBACION  ENVIO TMS"/>
    <s v="000000008209660446"/>
    <x v="1"/>
    <x v="2"/>
    <s v="APROBAR"/>
    <n v="1"/>
    <e v="#N/A"/>
  </r>
  <r>
    <n v="8209660510"/>
    <s v="224"/>
    <x v="110"/>
    <d v="2026-10-12T11:04:32"/>
    <s v=""/>
    <s v="UNIDAD"/>
    <n v="1"/>
    <s v="PENDIENTE APROBACION  ENVIO TMS"/>
    <s v="000000008209660510"/>
    <x v="1"/>
    <x v="0"/>
    <s v="APROBAR"/>
    <n v="1"/>
    <e v="#N/A"/>
  </r>
  <r>
    <n v="8209660479"/>
    <s v="221"/>
    <x v="113"/>
    <d v="2026-10-12T11:04:34"/>
    <s v=""/>
    <s v="UNIDAD"/>
    <n v="13"/>
    <s v="PENDIENTE APROBACION  ENVIO TMS"/>
    <s v="000000008209660479"/>
    <x v="1"/>
    <x v="1"/>
    <s v="APROBAR"/>
    <n v="1"/>
    <e v="#N/A"/>
  </r>
  <r>
    <n v="1209660514"/>
    <s v="224"/>
    <x v="110"/>
    <d v="2026-10-12T11:04:35"/>
    <s v=""/>
    <s v="CAJA"/>
    <n v="2"/>
    <s v="PENDIENTE APROBACION  ENVIO TMS"/>
    <s v="000000001209660514"/>
    <x v="2"/>
    <x v="0"/>
    <s v="APROBAR"/>
    <n v="1"/>
    <e v="#N/A"/>
  </r>
  <r>
    <n v="1209660391"/>
    <s v="210"/>
    <x v="109"/>
    <d v="2026-10-12T11:04:36"/>
    <s v=""/>
    <s v="PACK"/>
    <n v="31"/>
    <s v="PENDIENTE APROBACION  ENVIO TMS"/>
    <s v="000000001209660391"/>
    <x v="2"/>
    <x v="2"/>
    <s v="APROBAR"/>
    <n v="1"/>
    <e v="#N/A"/>
  </r>
  <r>
    <n v="8209660484"/>
    <s v="221"/>
    <x v="113"/>
    <d v="2026-10-12T11:04:38"/>
    <s v=""/>
    <s v="UNIDAD"/>
    <n v="19"/>
    <s v="PENDIENTE APROBACION  ENVIO TMS"/>
    <s v="000000008209660484"/>
    <x v="1"/>
    <x v="1"/>
    <s v="APROBAR"/>
    <n v="1"/>
    <e v="#N/A"/>
  </r>
  <r>
    <n v="1209660486"/>
    <s v="221"/>
    <x v="113"/>
    <d v="2026-10-12T11:04:40"/>
    <s v=""/>
    <s v="UNIDAD"/>
    <n v="10"/>
    <s v="PENDIENTE APROBACION  ENVIO TMS"/>
    <s v="000000001209660486"/>
    <x v="2"/>
    <x v="1"/>
    <s v="APROBAR"/>
    <n v="1"/>
    <e v="#N/A"/>
  </r>
  <r>
    <n v="1209660417"/>
    <s v="215"/>
    <x v="112"/>
    <d v="2026-10-12T11:04:41"/>
    <s v=""/>
    <s v="PACK"/>
    <n v="16"/>
    <s v="PENDIENTE APROBACION  ENVIO TMS"/>
    <s v="000000001209660417"/>
    <x v="2"/>
    <x v="0"/>
    <s v="APROBAR"/>
    <n v="1"/>
    <e v="#N/A"/>
  </r>
  <r>
    <n v="8209660345"/>
    <s v="209"/>
    <x v="111"/>
    <d v="2026-10-12T11:04:42"/>
    <s v=""/>
    <s v="UNIDAD"/>
    <n v="3"/>
    <s v="PENDIENTE APROBACION  ENVIO TMS"/>
    <s v="000000008209660345"/>
    <x v="1"/>
    <x v="0"/>
    <s v="APROBAR"/>
    <n v="1"/>
    <e v="#N/A"/>
  </r>
  <r>
    <n v="1209660419"/>
    <s v="215"/>
    <x v="112"/>
    <d v="2026-10-12T11:04:43"/>
    <s v=""/>
    <s v="CAJA"/>
    <n v="17"/>
    <s v="PENDIENTE APROBACION  ENVIO TMS"/>
    <s v="000000001209660419"/>
    <x v="2"/>
    <x v="0"/>
    <s v="APROBAR"/>
    <n v="1"/>
    <e v="#N/A"/>
  </r>
  <r>
    <n v="1209660522"/>
    <s v="224"/>
    <x v="110"/>
    <d v="2026-10-12T11:04:44"/>
    <s v=""/>
    <s v="CAJA"/>
    <n v="3"/>
    <s v="PENDIENTE APROBACION  ENVIO TMS"/>
    <s v="000000001209660522"/>
    <x v="2"/>
    <x v="0"/>
    <s v="APROBAR"/>
    <n v="1"/>
    <e v="#N/A"/>
  </r>
  <r>
    <n v="1209660494"/>
    <s v="221"/>
    <x v="113"/>
    <d v="2026-10-12T11:04:46"/>
    <s v=""/>
    <s v="CAJA"/>
    <n v="47"/>
    <s v="PENDIENTE APROBACION  ENVIO TMS"/>
    <s v="000000001209660494"/>
    <x v="2"/>
    <x v="1"/>
    <s v="APROBAR"/>
    <n v="1"/>
    <e v="#N/A"/>
  </r>
  <r>
    <n v="1209660425"/>
    <s v="215"/>
    <x v="112"/>
    <d v="2026-10-12T11:04:47"/>
    <s v=""/>
    <s v="CAJA"/>
    <n v="29"/>
    <s v="PENDIENTE APROBACION  ENVIO TMS"/>
    <s v="000000001209660425"/>
    <x v="2"/>
    <x v="0"/>
    <s v="APROBAR"/>
    <n v="1"/>
    <e v="#N/A"/>
  </r>
  <r>
    <n v="8209660457"/>
    <s v="220"/>
    <x v="108"/>
    <d v="2026-10-12T11:04:48"/>
    <s v=""/>
    <s v="UNIDAD"/>
    <n v="24"/>
    <s v="PENDIENTE APROBACION  ENVIO TMS"/>
    <s v="000000008209660457"/>
    <x v="1"/>
    <x v="2"/>
    <s v="APROBAR"/>
    <n v="1"/>
    <e v="#N/A"/>
  </r>
  <r>
    <n v="1209660390"/>
    <s v="210"/>
    <x v="109"/>
    <d v="2026-10-12T11:04:49"/>
    <s v=""/>
    <s v="CAJA"/>
    <n v="32"/>
    <s v="PENDIENTE APROBACION  ENVIO TMS"/>
    <s v="000000001209660390"/>
    <x v="2"/>
    <x v="2"/>
    <s v="APROBAR"/>
    <n v="1"/>
    <e v="#N/A"/>
  </r>
  <r>
    <n v="8209660511"/>
    <s v="224"/>
    <x v="110"/>
    <d v="2026-10-12T11:04:50"/>
    <s v=""/>
    <s v="UNIDAD"/>
    <n v="5"/>
    <s v="PENDIENTE APROBACION  ENVIO TMS"/>
    <s v="000000008209660511"/>
    <x v="1"/>
    <x v="0"/>
    <s v="APROBAR"/>
    <n v="1"/>
    <e v="#N/A"/>
  </r>
  <r>
    <n v="8209660512"/>
    <s v="224"/>
    <x v="110"/>
    <d v="2026-10-12T11:04:52"/>
    <s v=""/>
    <s v="UNIDAD"/>
    <n v="1"/>
    <s v="PENDIENTE APROBACION  ENVIO TMS"/>
    <s v="000000008209660512"/>
    <x v="1"/>
    <x v="0"/>
    <s v="APROBAR"/>
    <n v="1"/>
    <e v="#N/A"/>
  </r>
  <r>
    <n v="1209660428"/>
    <s v="215"/>
    <x v="112"/>
    <d v="2026-10-12T11:04:53"/>
    <s v=""/>
    <s v="CAJA"/>
    <n v="42"/>
    <s v="PENDIENTE APROBACION  ENVIO TMS"/>
    <s v="000000001209660428"/>
    <x v="2"/>
    <x v="0"/>
    <s v="APROBAR"/>
    <n v="1"/>
    <e v="#N/A"/>
  </r>
  <r>
    <n v="8209660480"/>
    <s v="221"/>
    <x v="113"/>
    <d v="2026-10-12T11:04:54"/>
    <s v=""/>
    <s v="UNIDAD"/>
    <n v="3"/>
    <s v="PENDIENTE APROBACION  ENVIO TMS"/>
    <s v="000000008209660480"/>
    <x v="1"/>
    <x v="1"/>
    <s v="APROBAR"/>
    <n v="1"/>
    <e v="#N/A"/>
  </r>
  <r>
    <n v="1209660359"/>
    <s v="209"/>
    <x v="111"/>
    <d v="2026-10-12T11:04:55"/>
    <s v=""/>
    <s v="CAJA"/>
    <n v="2"/>
    <s v="PENDIENTE APROBACION  ENVIO TMS"/>
    <s v="000000001209660359"/>
    <x v="2"/>
    <x v="0"/>
    <s v="APROBAR"/>
    <n v="1"/>
    <e v="#N/A"/>
  </r>
  <r>
    <n v="1209660392"/>
    <s v="210"/>
    <x v="109"/>
    <d v="2026-10-12T11:04:57"/>
    <s v=""/>
    <s v="CAJA"/>
    <n v="38"/>
    <s v="PENDIENTE APROBACION  ENVIO TMS"/>
    <s v="000000001209660392"/>
    <x v="2"/>
    <x v="2"/>
    <s v="APROBAR"/>
    <n v="1"/>
    <e v="#N/A"/>
  </r>
  <r>
    <n v="1209660418"/>
    <s v="215"/>
    <x v="112"/>
    <d v="2026-10-12T11:04:58"/>
    <s v=""/>
    <s v="CAJA"/>
    <n v="20"/>
    <s v="PENDIENTE APROBACION  ENVIO TMS"/>
    <s v="000000001209660418"/>
    <x v="2"/>
    <x v="0"/>
    <s v="APROBAR"/>
    <n v="1"/>
    <e v="#N/A"/>
  </r>
  <r>
    <n v="1209660449"/>
    <s v="220"/>
    <x v="108"/>
    <d v="2026-10-12T11:04:59"/>
    <s v=""/>
    <s v="CAJA"/>
    <n v="18"/>
    <s v="PENDIENTE APROBACION  ENVIO TMS"/>
    <s v="000000001209660449"/>
    <x v="2"/>
    <x v="2"/>
    <s v="APROBAR"/>
    <n v="1"/>
    <e v="#N/A"/>
  </r>
  <r>
    <n v="1209660450"/>
    <s v="220"/>
    <x v="108"/>
    <d v="2026-10-12T11:05:01"/>
    <s v=""/>
    <s v="PACK"/>
    <n v="22"/>
    <s v="PENDIENTE APROBACION  ENVIO TMS"/>
    <s v="000000001209660450"/>
    <x v="2"/>
    <x v="2"/>
    <s v="APROBAR"/>
    <n v="1"/>
    <e v="#N/A"/>
  </r>
  <r>
    <n v="1209660420"/>
    <s v="215"/>
    <x v="112"/>
    <d v="2026-10-12T11:05:02"/>
    <s v=""/>
    <s v="CAJA"/>
    <n v="31"/>
    <s v="PENDIENTE APROBACION  ENVIO TMS"/>
    <s v="000000001209660420"/>
    <x v="2"/>
    <x v="0"/>
    <s v="APROBAR"/>
    <n v="1"/>
    <e v="#N/A"/>
  </r>
  <r>
    <n v="8209660380"/>
    <s v="210"/>
    <x v="109"/>
    <d v="2026-10-12T11:05:04"/>
    <s v=""/>
    <s v="UNIDAD"/>
    <n v="1"/>
    <s v="PENDIENTE APROBACION  ENVIO TMS"/>
    <s v="000000008209660380"/>
    <x v="1"/>
    <x v="2"/>
    <s v="APROBAR"/>
    <n v="1"/>
    <e v="#N/A"/>
  </r>
  <r>
    <n v="8209660381"/>
    <s v="210"/>
    <x v="109"/>
    <d v="2026-10-12T11:05:05"/>
    <s v=""/>
    <s v="UNIDAD"/>
    <n v="1"/>
    <s v="PENDIENTE APROBACION  ENVIO TMS"/>
    <s v="000000008209660381"/>
    <x v="1"/>
    <x v="2"/>
    <s v="APROBAR"/>
    <n v="1"/>
    <e v="#N/A"/>
  </r>
  <r>
    <n v="8209660382"/>
    <s v="210"/>
    <x v="109"/>
    <d v="2026-10-12T11:05:07"/>
    <s v=""/>
    <s v="UNIDAD"/>
    <n v="3"/>
    <s v="PENDIENTE APROBACION  ENVIO TMS"/>
    <s v="000000008209660382"/>
    <x v="1"/>
    <x v="2"/>
    <s v="APROBAR"/>
    <n v="1"/>
    <e v="#N/A"/>
  </r>
  <r>
    <n v="8209660383"/>
    <s v="210"/>
    <x v="109"/>
    <d v="2026-10-12T11:05:08"/>
    <s v=""/>
    <s v="UNIDAD"/>
    <n v="8"/>
    <s v="PENDIENTE APROBACION  ENVIO TMS"/>
    <s v="000000008209660383"/>
    <x v="1"/>
    <x v="2"/>
    <s v="APROBAR"/>
    <n v="1"/>
    <e v="#N/A"/>
  </r>
  <r>
    <n v="1209660386"/>
    <s v="210"/>
    <x v="109"/>
    <d v="2026-10-12T11:05:09"/>
    <s v=""/>
    <s v="PACK"/>
    <n v="13"/>
    <s v="PENDIENTE APROBACION  ENVIO TMS"/>
    <s v="000000001209660386"/>
    <x v="2"/>
    <x v="2"/>
    <s v="APROBAR"/>
    <n v="1"/>
    <e v="#N/A"/>
  </r>
  <r>
    <n v="8209660507"/>
    <s v="224"/>
    <x v="110"/>
    <d v="2026-10-12T11:05:10"/>
    <s v=""/>
    <s v="UNIDAD"/>
    <n v="1"/>
    <s v="PENDIENTE APROBACION  ENVIO TMS"/>
    <s v="000000008209660507"/>
    <x v="1"/>
    <x v="0"/>
    <s v="APROBAR"/>
    <n v="1"/>
    <e v="#N/A"/>
  </r>
  <r>
    <n v="1209660513"/>
    <s v="224"/>
    <x v="110"/>
    <d v="2026-10-12T11:05:11"/>
    <s v=""/>
    <s v="CAJA"/>
    <n v="7"/>
    <s v="PENDIENTE APROBACION  ENVIO TMS"/>
    <s v="000000001209660513"/>
    <x v="2"/>
    <x v="0"/>
    <s v="APROBAR"/>
    <n v="1"/>
    <e v="#N/A"/>
  </r>
  <r>
    <n v="1209660360"/>
    <s v="209"/>
    <x v="111"/>
    <d v="2026-10-12T11:05:13"/>
    <s v=""/>
    <s v="CAJA"/>
    <n v="39"/>
    <s v="PENDIENTE APROBACION  ENVIO TMS"/>
    <s v="000000001209660360"/>
    <x v="2"/>
    <x v="0"/>
    <s v="APROBAR"/>
    <n v="1"/>
    <e v="#N/A"/>
  </r>
  <r>
    <n v="8209660337"/>
    <s v="209"/>
    <x v="111"/>
    <d v="2026-10-12T11:05:15"/>
    <s v=""/>
    <s v="UNIDAD"/>
    <n v="3"/>
    <s v="PENDIENTE APROBACION  ENVIO TMS"/>
    <s v="000000008209660337"/>
    <x v="1"/>
    <x v="0"/>
    <s v="APROBAR"/>
    <n v="1"/>
    <e v="#N/A"/>
  </r>
  <r>
    <n v="1209660490"/>
    <s v="221"/>
    <x v="113"/>
    <d v="2026-10-12T11:05:16"/>
    <s v=""/>
    <s v="CAJA"/>
    <n v="15"/>
    <s v="PENDIENTE APROBACION  ENVIO TMS"/>
    <s v="000000001209660490"/>
    <x v="2"/>
    <x v="1"/>
    <s v="APROBAR"/>
    <n v="1"/>
    <e v="#N/A"/>
  </r>
  <r>
    <n v="8209660348"/>
    <s v="209"/>
    <x v="111"/>
    <d v="2026-10-12T11:05:17"/>
    <s v=""/>
    <s v="UNIDAD"/>
    <n v="3"/>
    <s v="PENDIENTE APROBACION  ENVIO TMS"/>
    <s v="000000008209660348"/>
    <x v="1"/>
    <x v="0"/>
    <s v="APROBAR"/>
    <n v="1"/>
    <e v="#N/A"/>
  </r>
  <r>
    <n v="1209660353"/>
    <s v="209"/>
    <x v="111"/>
    <d v="2026-10-12T11:05:18"/>
    <s v=""/>
    <s v="CAJA"/>
    <n v="8"/>
    <s v="PENDIENTE APROBACION  ENVIO TMS"/>
    <s v="000000001209660353"/>
    <x v="2"/>
    <x v="0"/>
    <s v="APROBAR"/>
    <n v="1"/>
    <e v="#N/A"/>
  </r>
  <r>
    <n v="8209660409"/>
    <s v="215"/>
    <x v="112"/>
    <d v="2026-10-12T11:05:19"/>
    <s v=""/>
    <s v="UNIDAD"/>
    <n v="4"/>
    <s v="PENDIENTE APROBACION  ENVIO TMS"/>
    <s v="000000008209660409"/>
    <x v="1"/>
    <x v="0"/>
    <s v="APROBAR"/>
    <n v="1"/>
    <e v="#N/A"/>
  </r>
  <r>
    <n v="1209660358"/>
    <s v="209"/>
    <x v="111"/>
    <d v="2026-10-12T11:05:21"/>
    <s v=""/>
    <s v="PACK"/>
    <n v="27"/>
    <s v="PENDIENTE APROBACION  ENVIO TMS"/>
    <s v="000000001209660358"/>
    <x v="2"/>
    <x v="0"/>
    <s v="APROBAR"/>
    <n v="1"/>
    <e v="#N/A"/>
  </r>
  <r>
    <n v="1209660424"/>
    <s v="215"/>
    <x v="112"/>
    <d v="2026-10-12T11:05:22"/>
    <s v=""/>
    <s v="CAJA"/>
    <n v="17"/>
    <s v="PENDIENTE APROBACION  ENVIO TMS"/>
    <s v="000000001209660424"/>
    <x v="2"/>
    <x v="0"/>
    <s v="APROBAR"/>
    <n v="1"/>
    <e v="#N/A"/>
  </r>
  <r>
    <n v="8209660442"/>
    <s v="220"/>
    <x v="108"/>
    <d v="2026-10-12T11:05:24"/>
    <s v=""/>
    <s v="UNIDAD"/>
    <n v="5"/>
    <s v="PENDIENTE APROBACION  ENVIO TMS"/>
    <s v="000000008209660442"/>
    <x v="1"/>
    <x v="2"/>
    <s v="APROBAR"/>
    <n v="1"/>
    <e v="#N/A"/>
  </r>
  <r>
    <n v="1209660415"/>
    <s v="215"/>
    <x v="112"/>
    <d v="2026-10-12T11:05:26"/>
    <s v=""/>
    <s v="CAJA"/>
    <n v="8"/>
    <s v="PENDIENTE APROBACION  ENVIO TMS"/>
    <s v="000000001209660415"/>
    <x v="2"/>
    <x v="0"/>
    <s v="APROBAR"/>
    <n v="1"/>
    <e v="#N/A"/>
  </r>
  <r>
    <n v="8209660481"/>
    <s v="221"/>
    <x v="113"/>
    <d v="2026-10-12T11:05:26"/>
    <s v=""/>
    <s v="UNIDAD"/>
    <n v="6"/>
    <s v="PENDIENTE APROBACION  ENVIO TMS"/>
    <s v="000000008209660481"/>
    <x v="1"/>
    <x v="1"/>
    <s v="APROBAR"/>
    <n v="1"/>
    <e v="#N/A"/>
  </r>
  <r>
    <n v="1209660467"/>
    <s v="220"/>
    <x v="108"/>
    <d v="2026-10-12T11:05:28"/>
    <s v=""/>
    <s v="PACK"/>
    <n v="49"/>
    <s v="PENDIENTE APROBACION  ENVIO TMS"/>
    <s v="000000001209660467"/>
    <x v="2"/>
    <x v="2"/>
    <s v="APROBAR"/>
    <n v="1"/>
    <e v="#N/A"/>
  </r>
  <r>
    <n v="1209660487"/>
    <s v="221"/>
    <x v="113"/>
    <d v="2026-10-12T11:05:29"/>
    <s v=""/>
    <s v="PACK"/>
    <n v="15"/>
    <s v="PENDIENTE APROBACION  ENVIO TMS"/>
    <s v="000000001209660487"/>
    <x v="2"/>
    <x v="1"/>
    <s v="APROBAR"/>
    <n v="1"/>
    <e v="#N/A"/>
  </r>
  <r>
    <n v="1209660517"/>
    <s v="224"/>
    <x v="110"/>
    <d v="2026-10-12T11:05:31"/>
    <s v=""/>
    <s v="PACK"/>
    <n v="17"/>
    <s v="PENDIENTE APROBACION  ENVIO TMS"/>
    <s v="000000001209660517"/>
    <x v="2"/>
    <x v="0"/>
    <s v="APROBAR"/>
    <n v="1"/>
    <e v="#N/A"/>
  </r>
  <r>
    <n v="1209660489"/>
    <s v="221"/>
    <x v="113"/>
    <d v="2026-10-12T11:05:32"/>
    <s v=""/>
    <s v="PACK"/>
    <n v="13"/>
    <s v="PENDIENTE APROBACION  ENVIO TMS"/>
    <s v="000000001209660489"/>
    <x v="2"/>
    <x v="1"/>
    <s v="APROBAR"/>
    <n v="1"/>
    <e v="#N/A"/>
  </r>
  <r>
    <n v="1209660518"/>
    <s v="224"/>
    <x v="110"/>
    <d v="2026-10-12T11:05:33"/>
    <s v=""/>
    <s v="CAJA"/>
    <n v="19"/>
    <s v="PENDIENTE APROBACION  ENVIO TMS"/>
    <s v="000000001209660518"/>
    <x v="2"/>
    <x v="0"/>
    <s v="APROBAR"/>
    <n v="1"/>
    <e v="#N/A"/>
  </r>
  <r>
    <n v="1209660519"/>
    <s v="224"/>
    <x v="110"/>
    <d v="2026-10-12T11:05:34"/>
    <s v=""/>
    <s v="CAJA"/>
    <n v="6"/>
    <s v="PENDIENTE APROBACION  ENVIO TMS"/>
    <s v="000000001209660519"/>
    <x v="2"/>
    <x v="0"/>
    <s v="APROBAR"/>
    <n v="1"/>
    <e v="#N/A"/>
  </r>
  <r>
    <n v="1209660341"/>
    <s v="209"/>
    <x v="111"/>
    <d v="2026-10-12T11:05:36"/>
    <s v=""/>
    <s v="CAJA"/>
    <n v="6"/>
    <s v="PENDIENTE APROBACION  ENVIO TMS"/>
    <s v="000000001209660341"/>
    <x v="2"/>
    <x v="0"/>
    <s v="APROBAR"/>
    <n v="1"/>
    <e v="#N/A"/>
  </r>
  <r>
    <n v="8209660346"/>
    <s v="209"/>
    <x v="111"/>
    <d v="2026-10-12T11:05:37"/>
    <s v=""/>
    <s v="UNIDAD"/>
    <n v="1"/>
    <s v="PENDIENTE APROBACION  ENVIO TMS"/>
    <s v="000000008209660346"/>
    <x v="1"/>
    <x v="0"/>
    <s v="APROBAR"/>
    <n v="1"/>
    <e v="#N/A"/>
  </r>
  <r>
    <n v="1209660352"/>
    <s v="209"/>
    <x v="111"/>
    <d v="2026-10-12T11:05:38"/>
    <s v=""/>
    <s v="CAJA"/>
    <n v="8"/>
    <s v="PENDIENTE APROBACION  ENVIO TMS"/>
    <s v="000000001209660352"/>
    <x v="2"/>
    <x v="0"/>
    <s v="APROBAR"/>
    <n v="1"/>
    <e v="#N/A"/>
  </r>
  <r>
    <n v="1209660470"/>
    <s v="220"/>
    <x v="108"/>
    <d v="2026-10-12T11:05:39"/>
    <s v=""/>
    <s v="PACK"/>
    <n v="52"/>
    <s v="PENDIENTE APROBACION  ENVIO TMS"/>
    <s v="000000001209660470"/>
    <x v="2"/>
    <x v="2"/>
    <s v="APROBAR"/>
    <n v="1"/>
    <e v="#N/A"/>
  </r>
  <r>
    <n v="8209660407"/>
    <s v="215"/>
    <x v="112"/>
    <d v="2026-10-12T11:05:40"/>
    <s v=""/>
    <s v="UNIDAD"/>
    <n v="9"/>
    <s v="PENDIENTE APROBACION  ENVIO TMS"/>
    <s v="000000008209660407"/>
    <x v="1"/>
    <x v="0"/>
    <s v="APROBAR"/>
    <n v="1"/>
    <e v="#N/A"/>
  </r>
  <r>
    <n v="8209660408"/>
    <s v="215"/>
    <x v="112"/>
    <d v="2026-10-12T11:05:42"/>
    <s v=""/>
    <s v="UNIDAD"/>
    <n v="5"/>
    <s v="PENDIENTE APROBACION  ENVIO TMS"/>
    <s v="000000008209660408"/>
    <x v="1"/>
    <x v="0"/>
    <s v="APROBAR"/>
    <n v="1"/>
    <e v="#N/A"/>
  </r>
  <r>
    <n v="8209660461"/>
    <s v="220"/>
    <x v="108"/>
    <d v="2026-10-12T11:05:43"/>
    <s v=""/>
    <s v="UNIDAD"/>
    <n v="1"/>
    <s v="PENDIENTE APROBACION  ENVIO TMS"/>
    <s v="000000008209660461"/>
    <x v="1"/>
    <x v="2"/>
    <s v="APROBAR"/>
    <n v="1"/>
    <e v="#N/A"/>
  </r>
  <r>
    <n v="8209660445"/>
    <s v="220"/>
    <x v="108"/>
    <d v="2026-10-12T11:05:44"/>
    <s v=""/>
    <s v="UNIDAD"/>
    <n v="19"/>
    <s v="PENDIENTE APROBACION  ENVIO TMS"/>
    <s v="000000008209660445"/>
    <x v="1"/>
    <x v="2"/>
    <s v="APROBAR"/>
    <n v="1"/>
    <e v="#N/A"/>
  </r>
  <r>
    <n v="8209660483"/>
    <s v="221"/>
    <x v="113"/>
    <d v="2026-10-12T11:05:45"/>
    <s v=""/>
    <s v="UNIDAD"/>
    <n v="2"/>
    <s v="PENDIENTE APROBACION  ENVIO TMS"/>
    <s v="000000008209660483"/>
    <x v="1"/>
    <x v="1"/>
    <s v="APROBAR"/>
    <n v="1"/>
    <e v="#N/A"/>
  </r>
  <r>
    <n v="1209660485"/>
    <s v="221"/>
    <x v="113"/>
    <d v="2026-10-12T11:05:46"/>
    <s v=""/>
    <s v="CAJA"/>
    <n v="1"/>
    <s v="PENDIENTE APROBACION  ENVIO TMS"/>
    <s v="000000001209660485"/>
    <x v="2"/>
    <x v="1"/>
    <s v="APROBAR"/>
    <n v="1"/>
    <e v="#N/A"/>
  </r>
  <r>
    <n v="1209660488"/>
    <s v="221"/>
    <x v="113"/>
    <d v="2026-10-12T11:05:48"/>
    <s v=""/>
    <s v="CAJA"/>
    <n v="11"/>
    <s v="PENDIENTE APROBACION  ENVIO TMS"/>
    <s v="000000001209660488"/>
    <x v="2"/>
    <x v="1"/>
    <s v="APROBAR"/>
    <n v="1"/>
    <e v="#N/A"/>
  </r>
  <r>
    <n v="8209660347"/>
    <s v="209"/>
    <x v="111"/>
    <d v="2026-10-12T11:05:50"/>
    <s v=""/>
    <s v="UNIDAD"/>
    <n v="6"/>
    <s v="PENDIENTE APROBACION  ENVIO TMS"/>
    <s v="000000008209660347"/>
    <x v="1"/>
    <x v="0"/>
    <s v="APROBAR"/>
    <n v="1"/>
    <e v="#N/A"/>
  </r>
  <r>
    <n v="1209660361"/>
    <s v="209"/>
    <x v="111"/>
    <d v="2026-10-12T11:05:51"/>
    <s v=""/>
    <s v="PACK"/>
    <n v="38"/>
    <s v="PENDIENTE APROBACION  ENVIO TMS"/>
    <s v="000000001209660361"/>
    <x v="2"/>
    <x v="0"/>
    <s v="APROBAR"/>
    <n v="1"/>
    <e v="#N/A"/>
  </r>
  <r>
    <n v="1209660384"/>
    <s v="210"/>
    <x v="109"/>
    <d v="2026-10-12T11:05:53"/>
    <s v=""/>
    <s v="CAJA"/>
    <n v="1"/>
    <s v="PENDIENTE APROBACION  ENVIO TMS"/>
    <s v="000000001209660384"/>
    <x v="2"/>
    <x v="2"/>
    <s v="APROBAR"/>
    <n v="1"/>
    <e v="#N/A"/>
  </r>
  <r>
    <n v="1209660387"/>
    <s v="210"/>
    <x v="109"/>
    <d v="2026-10-12T11:05:54"/>
    <s v=""/>
    <s v="CAJA"/>
    <n v="23"/>
    <s v="PENDIENTE APROBACION  ENVIO TMS"/>
    <s v="000000001209660387"/>
    <x v="2"/>
    <x v="2"/>
    <s v="APROBAR"/>
    <n v="1"/>
    <e v="#N/A"/>
  </r>
  <r>
    <n v="8209660460"/>
    <s v="220"/>
    <x v="108"/>
    <d v="2026-10-12T11:05:55"/>
    <s v=""/>
    <s v="UNIDAD"/>
    <n v="1"/>
    <s v="PENDIENTE APROBACION  ENVIO TMS"/>
    <s v="000000008209660460"/>
    <x v="1"/>
    <x v="2"/>
    <s v="APROBAR"/>
    <n v="1"/>
    <e v="#N/A"/>
  </r>
  <r>
    <n v="1209660426"/>
    <s v="215"/>
    <x v="112"/>
    <d v="2026-10-12T11:05:57"/>
    <s v=""/>
    <s v="PACK"/>
    <n v="38"/>
    <s v="PENDIENTE APROBACION  ENVIO TMS"/>
    <s v="000000001209660426"/>
    <x v="2"/>
    <x v="0"/>
    <s v="APROBAR"/>
    <n v="1"/>
    <e v="#N/A"/>
  </r>
  <r>
    <n v="1209660515"/>
    <s v="224"/>
    <x v="110"/>
    <d v="2026-10-12T11:05:59"/>
    <s v=""/>
    <s v="CAJA"/>
    <n v="8"/>
    <s v="PENDIENTE APROBACION  ENVIO TMS"/>
    <s v="000000001209660515"/>
    <x v="2"/>
    <x v="0"/>
    <s v="APROBAR"/>
    <n v="1"/>
    <e v="#N/A"/>
  </r>
  <r>
    <n v="1209660393"/>
    <s v="210"/>
    <x v="109"/>
    <d v="2026-10-12T11:06:01"/>
    <s v=""/>
    <s v="CAJA"/>
    <n v="2"/>
    <s v="PENDIENTE APROBACION  ENVIO TMS"/>
    <s v="000000001209660393"/>
    <x v="2"/>
    <x v="2"/>
    <s v="APROBAR"/>
    <n v="1"/>
    <e v="#N/A"/>
  </r>
  <r>
    <n v="1209660492"/>
    <s v="221"/>
    <x v="113"/>
    <d v="2026-10-12T11:06:02"/>
    <s v=""/>
    <s v="CAJA"/>
    <n v="22"/>
    <s v="PENDIENTE APROBACION  ENVIO TMS"/>
    <s v="000000001209660492"/>
    <x v="2"/>
    <x v="1"/>
    <s v="APROBAR"/>
    <n v="1"/>
    <e v="#N/A"/>
  </r>
  <r>
    <n v="1209660451"/>
    <s v="220"/>
    <x v="108"/>
    <d v="2026-10-12T11:06:04"/>
    <s v=""/>
    <s v="PACK"/>
    <n v="25"/>
    <s v="PENDIENTE APROBACION  ENVIO TMS"/>
    <s v="000000001209660451"/>
    <x v="2"/>
    <x v="2"/>
    <s v="APROBAR"/>
    <n v="1"/>
    <e v="#N/A"/>
  </r>
  <r>
    <n v="1209660521"/>
    <s v="224"/>
    <x v="110"/>
    <d v="2026-10-12T11:06:06"/>
    <s v=""/>
    <s v="PACK"/>
    <n v="41"/>
    <s v="PENDIENTE APROBACION  ENVIO TMS"/>
    <s v="000000001209660521"/>
    <x v="2"/>
    <x v="0"/>
    <s v="APROBAR"/>
    <n v="1"/>
    <e v="#N/A"/>
  </r>
  <r>
    <n v="1209660423"/>
    <s v="215"/>
    <x v="112"/>
    <d v="2026-10-12T11:06:07"/>
    <s v=""/>
    <s v="CAJA"/>
    <n v="1"/>
    <s v="PENDIENTE APROBACION  ENVIO TMS"/>
    <s v="000000001209660423"/>
    <x v="2"/>
    <x v="0"/>
    <s v="APROBAR"/>
    <n v="1"/>
    <e v="#N/A"/>
  </r>
  <r>
    <n v="1209660493"/>
    <s v="221"/>
    <x v="113"/>
    <d v="2026-10-12T11:06:09"/>
    <s v=""/>
    <s v="PACK"/>
    <n v="37"/>
    <s v="PENDIENTE APROBACION  ENVIO TMS"/>
    <s v="000000001209660493"/>
    <x v="2"/>
    <x v="1"/>
    <s v="APROBAR"/>
    <n v="1"/>
    <e v="#N/A"/>
  </r>
  <r>
    <n v="1209660355"/>
    <s v="209"/>
    <x v="111"/>
    <d v="2026-10-12T11:06:11"/>
    <s v=""/>
    <s v="PACK"/>
    <n v="15"/>
    <s v="PENDIENTE APROBACION  ENVIO TMS"/>
    <s v="000000001209660355"/>
    <x v="2"/>
    <x v="0"/>
    <s v="APROBAR"/>
    <n v="1"/>
    <e v="#N/A"/>
  </r>
  <r>
    <n v="1209660385"/>
    <s v="210"/>
    <x v="109"/>
    <d v="2026-10-12T11:06:13"/>
    <s v=""/>
    <s v="PACK"/>
    <n v="10"/>
    <s v="PENDIENTE APROBACION  ENVIO TMS"/>
    <s v="000000001209660385"/>
    <x v="2"/>
    <x v="2"/>
    <s v="APROBAR"/>
    <n v="1"/>
    <e v="#N/A"/>
  </r>
  <r>
    <n v="1209660464"/>
    <s v="220"/>
    <x v="108"/>
    <d v="2026-10-12T11:06:14"/>
    <s v=""/>
    <s v="PACK"/>
    <n v="11"/>
    <s v="PENDIENTE APROBACION  ENVIO TMS"/>
    <s v="000000001209660464"/>
    <x v="2"/>
    <x v="2"/>
    <s v="APROBAR"/>
    <n v="1"/>
    <e v="#N/A"/>
  </r>
  <r>
    <n v="8209660508"/>
    <s v="224"/>
    <x v="110"/>
    <d v="2026-10-12T11:06:16"/>
    <s v=""/>
    <s v="UNIDAD"/>
    <n v="3"/>
    <s v="PENDIENTE APROBACION  ENVIO TMS"/>
    <s v="000000008209660508"/>
    <x v="1"/>
    <x v="0"/>
    <s v="APROBAR"/>
    <n v="1"/>
    <e v="#N/A"/>
  </r>
  <r>
    <n v="8209660482"/>
    <s v="221"/>
    <x v="113"/>
    <d v="2026-10-12T11:06:17"/>
    <s v=""/>
    <s v="UNIDAD"/>
    <n v="9"/>
    <s v="PENDIENTE APROBACION  ENVIO TMS"/>
    <s v="000000008209660482"/>
    <x v="1"/>
    <x v="1"/>
    <s v="APROBAR"/>
    <n v="1"/>
    <e v="#N/A"/>
  </r>
  <r>
    <n v="1209660583"/>
    <s v="228"/>
    <x v="114"/>
    <d v="2026-10-12T11:08:53"/>
    <s v=""/>
    <s v="CAJA"/>
    <n v="35"/>
    <s v="PENDIENTE APROBACION  ENVIO TMS"/>
    <s v="000000001209660583"/>
    <x v="2"/>
    <x v="2"/>
    <s v="APROBAR"/>
    <n v="1"/>
    <e v="#N/A"/>
  </r>
  <r>
    <n v="8209660620"/>
    <s v="237"/>
    <x v="115"/>
    <d v="2026-10-12T11:08:53"/>
    <s v=""/>
    <s v="UNIDAD"/>
    <n v="3"/>
    <s v="PENDIENTE APROBACION  ENVIO TMS"/>
    <s v="000000008209660620"/>
    <x v="1"/>
    <x v="0"/>
    <s v="APROBAR"/>
    <n v="1"/>
    <e v="#N/A"/>
  </r>
  <r>
    <n v="8209660624"/>
    <s v="237"/>
    <x v="115"/>
    <d v="2026-10-12T11:08:54"/>
    <s v=""/>
    <s v="UNIDAD"/>
    <n v="1"/>
    <s v="PENDIENTE APROBACION  ENVIO TMS"/>
    <s v="000000008209660624"/>
    <x v="1"/>
    <x v="0"/>
    <s v="APROBAR"/>
    <n v="1"/>
    <e v="#N/A"/>
  </r>
  <r>
    <n v="8209660721"/>
    <s v="258"/>
    <x v="116"/>
    <d v="2026-10-12T11:08:56"/>
    <s v=""/>
    <s v="UNIDAD"/>
    <n v="3"/>
    <s v="PENDIENTE APROBACION  ENVIO TMS"/>
    <s v="000000008209660721"/>
    <x v="1"/>
    <x v="0"/>
    <s v="APROBAR"/>
    <n v="1"/>
    <e v="#N/A"/>
  </r>
  <r>
    <n v="8209660723"/>
    <s v="258"/>
    <x v="116"/>
    <d v="2026-10-12T11:08:57"/>
    <s v=""/>
    <s v="UNIDAD"/>
    <n v="1"/>
    <s v="PENDIENTE APROBACION  ENVIO TMS"/>
    <s v="000000008209660723"/>
    <x v="1"/>
    <x v="0"/>
    <s v="APROBAR"/>
    <n v="1"/>
    <e v="#N/A"/>
  </r>
  <r>
    <n v="8209660724"/>
    <s v="258"/>
    <x v="116"/>
    <d v="2026-10-12T11:08:59"/>
    <s v=""/>
    <s v="UNIDAD"/>
    <n v="1"/>
    <s v="PENDIENTE APROBACION  ENVIO TMS"/>
    <s v="000000008209660724"/>
    <x v="1"/>
    <x v="0"/>
    <s v="APROBAR"/>
    <n v="1"/>
    <e v="#N/A"/>
  </r>
  <r>
    <n v="1209660732"/>
    <s v="258"/>
    <x v="116"/>
    <d v="2026-10-12T11:09:00"/>
    <s v=""/>
    <s v="CAJA"/>
    <n v="13"/>
    <s v="PENDIENTE APROBACION  ENVIO TMS"/>
    <s v="000000001209660732"/>
    <x v="2"/>
    <x v="0"/>
    <s v="APROBAR"/>
    <n v="1"/>
    <e v="#N/A"/>
  </r>
  <r>
    <n v="8209660719"/>
    <s v="258"/>
    <x v="116"/>
    <d v="2026-10-12T11:09:01"/>
    <s v=""/>
    <s v="UNIDAD"/>
    <n v="2"/>
    <s v="PENDIENTE APROBACION  ENVIO TMS"/>
    <s v="000000008209660719"/>
    <x v="1"/>
    <x v="0"/>
    <s v="APROBAR"/>
    <n v="1"/>
    <e v="#N/A"/>
  </r>
  <r>
    <n v="8209660536"/>
    <s v="225"/>
    <x v="117"/>
    <d v="2026-10-12T11:09:02"/>
    <s v=""/>
    <s v="UNIDAD"/>
    <n v="21"/>
    <s v="PENDIENTE APROBACION  ENVIO TMS"/>
    <s v="000000008209660536"/>
    <x v="1"/>
    <x v="1"/>
    <s v="APROBAR"/>
    <n v="1"/>
    <e v="#N/A"/>
  </r>
  <r>
    <n v="8209660573"/>
    <s v="228"/>
    <x v="114"/>
    <d v="2026-10-12T11:09:04"/>
    <s v=""/>
    <s v="UNIDAD"/>
    <n v="5"/>
    <s v="PENDIENTE APROBACION  ENVIO TMS"/>
    <s v="000000008209660573"/>
    <x v="1"/>
    <x v="2"/>
    <s v="APROBAR"/>
    <n v="1"/>
    <e v="#N/A"/>
  </r>
  <r>
    <n v="1209660541"/>
    <s v="225"/>
    <x v="117"/>
    <d v="2026-10-12T11:09:05"/>
    <s v=""/>
    <s v="CAJA"/>
    <n v="16"/>
    <s v="PENDIENTE APROBACION  ENVIO TMS"/>
    <s v="000000001209660541"/>
    <x v="2"/>
    <x v="1"/>
    <s v="APROBAR"/>
    <n v="1"/>
    <e v="#N/A"/>
  </r>
  <r>
    <n v="8209660532"/>
    <s v="225"/>
    <x v="117"/>
    <d v="2026-10-12T11:09:07"/>
    <s v=""/>
    <s v="UNIDAD"/>
    <n v="7"/>
    <s v="PENDIENTE APROBACION  ENVIO TMS"/>
    <s v="000000008209660532"/>
    <x v="1"/>
    <x v="1"/>
    <s v="APROBAR"/>
    <n v="1"/>
    <e v="#N/A"/>
  </r>
  <r>
    <n v="8209660533"/>
    <s v="225"/>
    <x v="117"/>
    <d v="2026-10-12T11:09:09"/>
    <s v=""/>
    <s v="UNIDAD"/>
    <n v="1"/>
    <s v="PENDIENTE APROBACION  ENVIO TMS"/>
    <s v="000000008209660533"/>
    <x v="1"/>
    <x v="1"/>
    <s v="APROBAR"/>
    <n v="1"/>
    <e v="#N/A"/>
  </r>
  <r>
    <n v="8209660534"/>
    <s v="225"/>
    <x v="117"/>
    <d v="2026-10-12T11:09:10"/>
    <s v=""/>
    <s v="UNIDAD"/>
    <n v="2"/>
    <s v="PENDIENTE APROBACION  ENVIO TMS"/>
    <s v="000000008209660534"/>
    <x v="1"/>
    <x v="1"/>
    <s v="APROBAR"/>
    <n v="1"/>
    <e v="#N/A"/>
  </r>
  <r>
    <n v="1209660736"/>
    <s v="258"/>
    <x v="116"/>
    <d v="2026-10-12T11:09:12"/>
    <s v=""/>
    <s v="CAJA"/>
    <n v="2"/>
    <s v="PENDIENTE APROBACION  ENVIO TMS"/>
    <s v="000000001209660736"/>
    <x v="2"/>
    <x v="0"/>
    <s v="APROBAR"/>
    <n v="1"/>
    <e v="#N/A"/>
  </r>
  <r>
    <n v="1209660630"/>
    <s v="237"/>
    <x v="115"/>
    <d v="2026-10-12T11:09:14"/>
    <s v=""/>
    <s v="CAJA"/>
    <n v="13"/>
    <s v="PENDIENTE APROBACION  ENVIO TMS"/>
    <s v="000000001209660630"/>
    <x v="2"/>
    <x v="0"/>
    <s v="APROBAR"/>
    <n v="1"/>
    <e v="#N/A"/>
  </r>
  <r>
    <n v="1209660675"/>
    <s v="249"/>
    <x v="118"/>
    <d v="2026-10-12T11:09:15"/>
    <s v=""/>
    <s v="CAJA"/>
    <n v="19"/>
    <s v="PENDIENTE APROBACION  ENVIO TMS"/>
    <s v="000000001209660675"/>
    <x v="2"/>
    <x v="0"/>
    <s v="APROBAR"/>
    <n v="1"/>
    <e v="#N/A"/>
  </r>
  <r>
    <n v="1209660726"/>
    <s v="258"/>
    <x v="116"/>
    <d v="2026-10-12T11:09:16"/>
    <s v=""/>
    <s v="CAJA"/>
    <n v="7"/>
    <s v="PENDIENTE APROBACION  ENVIO TMS"/>
    <s v="000000001209660726"/>
    <x v="2"/>
    <x v="0"/>
    <s v="APROBAR"/>
    <n v="1"/>
    <e v="#N/A"/>
  </r>
  <r>
    <n v="1209660739"/>
    <s v="258"/>
    <x v="116"/>
    <d v="2026-10-12T11:09:17"/>
    <s v=""/>
    <s v="CAJA"/>
    <n v="8"/>
    <s v="PENDIENTE APROBACION  ENVIO TMS"/>
    <s v="000000001209660739"/>
    <x v="2"/>
    <x v="0"/>
    <s v="APROBAR"/>
    <n v="1"/>
    <e v="#N/A"/>
  </r>
  <r>
    <n v="1209660633"/>
    <s v="237"/>
    <x v="115"/>
    <d v="2026-10-12T11:09:19"/>
    <s v=""/>
    <s v="CAJA"/>
    <n v="10"/>
    <s v="PENDIENTE APROBACION  ENVIO TMS"/>
    <s v="000000001209660633"/>
    <x v="2"/>
    <x v="0"/>
    <s v="APROBAR"/>
    <n v="1"/>
    <e v="#N/A"/>
  </r>
  <r>
    <n v="1209660677"/>
    <s v="249"/>
    <x v="118"/>
    <d v="2026-10-12T11:09:20"/>
    <s v=""/>
    <s v="CAJA"/>
    <n v="18"/>
    <s v="PENDIENTE APROBACION  ENVIO TMS"/>
    <s v="000000001209660677"/>
    <x v="2"/>
    <x v="0"/>
    <s v="APROBAR"/>
    <n v="1"/>
    <e v="#N/A"/>
  </r>
  <r>
    <n v="1209660634"/>
    <s v="237"/>
    <x v="115"/>
    <d v="2026-10-12T11:09:21"/>
    <s v=""/>
    <s v="CAJA"/>
    <n v="22"/>
    <s v="PENDIENTE APROBACION  ENVIO TMS"/>
    <s v="000000001209660634"/>
    <x v="2"/>
    <x v="0"/>
    <s v="APROBAR"/>
    <n v="1"/>
    <e v="#N/A"/>
  </r>
  <r>
    <n v="1209660635"/>
    <s v="237"/>
    <x v="115"/>
    <d v="2026-10-12T11:09:22"/>
    <s v=""/>
    <s v="PACK"/>
    <n v="35"/>
    <s v="PENDIENTE APROBACION  ENVIO TMS"/>
    <s v="000000001209660635"/>
    <x v="2"/>
    <x v="0"/>
    <s v="APROBAR"/>
    <n v="1"/>
    <e v="#N/A"/>
  </r>
  <r>
    <n v="1209660577"/>
    <s v="228"/>
    <x v="114"/>
    <d v="2026-10-12T11:09:23"/>
    <s v=""/>
    <s v="CAJA"/>
    <n v="16"/>
    <s v="PENDIENTE APROBACION  ENVIO TMS"/>
    <s v="000000001209660577"/>
    <x v="2"/>
    <x v="2"/>
    <s v="APROBAR"/>
    <n v="1"/>
    <e v="#N/A"/>
  </r>
  <r>
    <n v="1209660579"/>
    <s v="228"/>
    <x v="114"/>
    <d v="2026-10-12T11:09:25"/>
    <s v=""/>
    <s v="CAJA"/>
    <n v="8"/>
    <s v="PENDIENTE APROBACION  ENVIO TMS"/>
    <s v="000000001209660579"/>
    <x v="2"/>
    <x v="2"/>
    <s v="APROBAR"/>
    <n v="1"/>
    <e v="#N/A"/>
  </r>
  <r>
    <n v="1209660545"/>
    <s v="225"/>
    <x v="117"/>
    <d v="2026-10-12T11:09:26"/>
    <s v=""/>
    <s v="CAJA"/>
    <n v="35"/>
    <s v="PENDIENTE APROBACION  ENVIO TMS"/>
    <s v="000000001209660545"/>
    <x v="2"/>
    <x v="1"/>
    <s v="APROBAR"/>
    <n v="1"/>
    <e v="#N/A"/>
  </r>
  <r>
    <n v="1209660681"/>
    <s v="249"/>
    <x v="118"/>
    <d v="2026-10-12T11:09:28"/>
    <s v=""/>
    <s v="CAJA"/>
    <n v="37"/>
    <s v="PENDIENTE APROBACION  ENVIO TMS"/>
    <s v="000000001209660681"/>
    <x v="2"/>
    <x v="0"/>
    <s v="APROBAR"/>
    <n v="1"/>
    <e v="#N/A"/>
  </r>
  <r>
    <n v="1209660627"/>
    <s v="237"/>
    <x v="115"/>
    <d v="2026-10-12T11:09:29"/>
    <s v=""/>
    <s v="CAJA"/>
    <n v="4"/>
    <s v="PENDIENTE APROBACION  ENVIO TMS"/>
    <s v="000000001209660627"/>
    <x v="2"/>
    <x v="0"/>
    <s v="APROBAR"/>
    <n v="1"/>
    <e v="#N/A"/>
  </r>
  <r>
    <n v="1209660674"/>
    <s v="249"/>
    <x v="118"/>
    <d v="2026-10-12T11:09:30"/>
    <s v=""/>
    <s v="CAJA"/>
    <n v="19"/>
    <s v="PENDIENTE APROBACION  ENVIO TMS"/>
    <s v="000000001209660674"/>
    <x v="2"/>
    <x v="0"/>
    <s v="APROBAR"/>
    <n v="1"/>
    <e v="#N/A"/>
  </r>
  <r>
    <n v="1209660727"/>
    <s v="258"/>
    <x v="116"/>
    <d v="2026-10-12T11:09:31"/>
    <s v=""/>
    <s v="CAJA"/>
    <n v="6"/>
    <s v="PENDIENTE APROBACION  ENVIO TMS"/>
    <s v="000000001209660727"/>
    <x v="2"/>
    <x v="0"/>
    <s v="APROBAR"/>
    <n v="1"/>
    <e v="#N/A"/>
  </r>
  <r>
    <n v="8209660537"/>
    <s v="225"/>
    <x v="117"/>
    <d v="2026-10-12T11:09:33"/>
    <s v=""/>
    <s v="UNIDAD"/>
    <n v="1"/>
    <s v="PENDIENTE APROBACION  ENVIO TMS"/>
    <s v="000000008209660537"/>
    <x v="1"/>
    <x v="1"/>
    <s v="APROBAR"/>
    <n v="1"/>
    <e v="#N/A"/>
  </r>
  <r>
    <n v="8209660572"/>
    <s v="228"/>
    <x v="114"/>
    <d v="2026-10-12T11:09:33"/>
    <s v=""/>
    <s v="UNIDAD"/>
    <n v="18"/>
    <s v="PENDIENTE APROBACION  ENVIO TMS"/>
    <s v="000000008209660572"/>
    <x v="1"/>
    <x v="2"/>
    <s v="APROBAR"/>
    <n v="1"/>
    <e v="#N/A"/>
  </r>
  <r>
    <n v="8209660538"/>
    <s v="225"/>
    <x v="117"/>
    <d v="2026-10-12T11:09:35"/>
    <s v=""/>
    <s v="UNIDAD"/>
    <n v="16"/>
    <s v="PENDIENTE APROBACION  ENVIO TMS"/>
    <s v="000000008209660538"/>
    <x v="1"/>
    <x v="1"/>
    <s v="APROBAR"/>
    <n v="1"/>
    <e v="#N/A"/>
  </r>
  <r>
    <n v="1209660576"/>
    <s v="228"/>
    <x v="114"/>
    <d v="2026-10-12T11:09:36"/>
    <s v=""/>
    <s v="PACK"/>
    <n v="22"/>
    <s v="PENDIENTE APROBACION  ENVIO TMS"/>
    <s v="000000001209660576"/>
    <x v="2"/>
    <x v="2"/>
    <s v="APROBAR"/>
    <n v="1"/>
    <e v="#N/A"/>
  </r>
  <r>
    <n v="1209660544"/>
    <s v="225"/>
    <x v="117"/>
    <d v="2026-10-12T11:09:37"/>
    <s v=""/>
    <s v="PACK"/>
    <n v="38"/>
    <s v="PENDIENTE APROBACION  ENVIO TMS"/>
    <s v="000000001209660544"/>
    <x v="2"/>
    <x v="1"/>
    <s v="APROBAR"/>
    <n v="1"/>
    <e v="#N/A"/>
  </r>
  <r>
    <n v="1209660585"/>
    <s v="228"/>
    <x v="114"/>
    <d v="2026-10-12T11:09:39"/>
    <s v=""/>
    <s v="CAJA"/>
    <n v="1"/>
    <s v="PENDIENTE APROBACION  ENVIO TMS"/>
    <s v="000000001209660585"/>
    <x v="2"/>
    <x v="2"/>
    <s v="APROBAR"/>
    <n v="1"/>
    <e v="#N/A"/>
  </r>
  <r>
    <n v="8209660621"/>
    <s v="237"/>
    <x v="115"/>
    <d v="2026-10-12T11:09:40"/>
    <s v=""/>
    <s v="UNIDAD"/>
    <n v="1"/>
    <s v="PENDIENTE APROBACION  ENVIO TMS"/>
    <s v="000000008209660621"/>
    <x v="1"/>
    <x v="0"/>
    <s v="APROBAR"/>
    <n v="1"/>
    <e v="#N/A"/>
  </r>
  <r>
    <n v="8209660622"/>
    <s v="237"/>
    <x v="115"/>
    <d v="2026-10-12T11:09:41"/>
    <s v=""/>
    <s v="UNIDAD"/>
    <n v="4"/>
    <s v="PENDIENTE APROBACION  ENVIO TMS"/>
    <s v="000000008209660622"/>
    <x v="1"/>
    <x v="0"/>
    <s v="APROBAR"/>
    <n v="1"/>
    <e v="#N/A"/>
  </r>
  <r>
    <n v="8209660535"/>
    <s v="225"/>
    <x v="117"/>
    <d v="2026-10-12T11:09:42"/>
    <s v=""/>
    <s v="UNIDAD"/>
    <n v="12"/>
    <s v="PENDIENTE APROBACION  ENVIO TMS"/>
    <s v="000000008209660535"/>
    <x v="1"/>
    <x v="1"/>
    <s v="APROBAR"/>
    <n v="1"/>
    <e v="#N/A"/>
  </r>
  <r>
    <n v="8209660571"/>
    <s v="228"/>
    <x v="114"/>
    <d v="2026-10-12T11:09:44"/>
    <s v=""/>
    <s v="UNIDAD"/>
    <n v="1"/>
    <s v="PENDIENTE APROBACION  ENVIO TMS"/>
    <s v="000000008209660571"/>
    <x v="1"/>
    <x v="2"/>
    <s v="APROBAR"/>
    <n v="1"/>
    <e v="#N/A"/>
  </r>
  <r>
    <n v="1209660734"/>
    <s v="258"/>
    <x v="116"/>
    <d v="2026-10-12T11:09:45"/>
    <s v=""/>
    <s v="PACK"/>
    <n v="29"/>
    <s v="PENDIENTE APROBACION  ENVIO TMS"/>
    <s v="000000001209660734"/>
    <x v="2"/>
    <x v="0"/>
    <s v="APROBAR"/>
    <n v="1"/>
    <e v="#N/A"/>
  </r>
  <r>
    <n v="1209660639"/>
    <s v="237"/>
    <x v="115"/>
    <d v="2026-10-12T11:09:46"/>
    <s v=""/>
    <s v="CAJA"/>
    <n v="47"/>
    <s v="PENDIENTE APROBACION  ENVIO TMS"/>
    <s v="000000001209660639"/>
    <x v="2"/>
    <x v="0"/>
    <s v="APROBAR"/>
    <n v="1"/>
    <e v="#N/A"/>
  </r>
  <r>
    <n v="1209660628"/>
    <s v="237"/>
    <x v="115"/>
    <d v="2026-10-12T11:09:47"/>
    <s v=""/>
    <s v="PACK"/>
    <n v="8"/>
    <s v="PENDIENTE APROBACION  ENVIO TMS"/>
    <s v="000000001209660628"/>
    <x v="2"/>
    <x v="0"/>
    <s v="APROBAR"/>
    <n v="1"/>
    <e v="#N/A"/>
  </r>
  <r>
    <n v="8209660662"/>
    <s v="249"/>
    <x v="118"/>
    <d v="2026-10-12T11:09:49"/>
    <s v=""/>
    <s v="UNIDAD"/>
    <n v="2"/>
    <s v="PENDIENTE APROBACION  ENVIO TMS"/>
    <s v="000000008209660662"/>
    <x v="1"/>
    <x v="0"/>
    <s v="APROBAR"/>
    <n v="1"/>
    <e v="#N/A"/>
  </r>
  <r>
    <n v="8209660664"/>
    <s v="249"/>
    <x v="118"/>
    <d v="2026-10-12T11:09:50"/>
    <s v=""/>
    <s v="UNIDAD"/>
    <n v="1"/>
    <s v="PENDIENTE APROBACION  ENVIO TMS"/>
    <s v="000000008209660664"/>
    <x v="1"/>
    <x v="0"/>
    <s v="APROBAR"/>
    <n v="1"/>
    <e v="#N/A"/>
  </r>
  <r>
    <n v="8209660665"/>
    <s v="249"/>
    <x v="118"/>
    <d v="2026-10-12T11:09:50"/>
    <s v=""/>
    <s v="UNIDAD"/>
    <n v="3"/>
    <s v="PENDIENTE APROBACION  ENVIO TMS"/>
    <s v="000000008209660665"/>
    <x v="1"/>
    <x v="0"/>
    <s v="APROBAR"/>
    <n v="1"/>
    <e v="#N/A"/>
  </r>
  <r>
    <n v="1209660728"/>
    <s v="258"/>
    <x v="116"/>
    <d v="2026-10-12T11:09:52"/>
    <s v=""/>
    <s v="CAJA"/>
    <n v="3"/>
    <s v="PENDIENTE APROBACION  ENVIO TMS"/>
    <s v="000000001209660728"/>
    <x v="2"/>
    <x v="0"/>
    <s v="APROBAR"/>
    <n v="1"/>
    <e v="#N/A"/>
  </r>
  <r>
    <n v="8209660738"/>
    <s v="258"/>
    <x v="116"/>
    <d v="2026-10-12T11:09:53"/>
    <s v=""/>
    <s v="UNIDAD"/>
    <n v="4"/>
    <s v="PENDIENTE APROBACION  ENVIO TMS"/>
    <s v="000000008209660738"/>
    <x v="1"/>
    <x v="0"/>
    <s v="APROBAR"/>
    <n v="1"/>
    <e v="#N/A"/>
  </r>
  <r>
    <n v="1209660540"/>
    <s v="225"/>
    <x v="117"/>
    <d v="2026-10-12T11:09:55"/>
    <s v=""/>
    <s v="CAJA"/>
    <n v="19"/>
    <s v="PENDIENTE APROBACION  ENVIO TMS"/>
    <s v="000000001209660540"/>
    <x v="2"/>
    <x v="1"/>
    <s v="APROBAR"/>
    <n v="1"/>
    <e v="#N/A"/>
  </r>
  <r>
    <n v="1209660580"/>
    <s v="228"/>
    <x v="114"/>
    <d v="2026-10-12T11:09:56"/>
    <s v=""/>
    <s v="PACK"/>
    <n v="18"/>
    <s v="PENDIENTE APROBACION  ENVIO TMS"/>
    <s v="000000001209660580"/>
    <x v="2"/>
    <x v="2"/>
    <s v="APROBAR"/>
    <n v="1"/>
    <e v="#N/A"/>
  </r>
  <r>
    <n v="1209660596"/>
    <s v="228"/>
    <x v="114"/>
    <d v="2026-10-12T11:09:57"/>
    <s v=""/>
    <s v="PACK"/>
    <n v="33"/>
    <s v="PENDIENTE APROBACION  ENVIO TMS"/>
    <s v="000000001209660596"/>
    <x v="2"/>
    <x v="2"/>
    <s v="APROBAR"/>
    <n v="1"/>
    <e v="#N/A"/>
  </r>
  <r>
    <n v="1209660547"/>
    <s v="225"/>
    <x v="117"/>
    <d v="2026-10-12T11:09:58"/>
    <s v=""/>
    <s v="CAJA"/>
    <n v="3"/>
    <s v="PENDIENTE APROBACION  ENVIO TMS"/>
    <s v="000000001209660547"/>
    <x v="2"/>
    <x v="1"/>
    <s v="APROBAR"/>
    <n v="1"/>
    <e v="#N/A"/>
  </r>
  <r>
    <n v="8209660625"/>
    <s v="237"/>
    <x v="115"/>
    <d v="2026-10-12T11:10:00"/>
    <s v=""/>
    <s v="UNIDAD"/>
    <n v="9"/>
    <s v="PENDIENTE APROBACION  ENVIO TMS"/>
    <s v="000000008209660625"/>
    <x v="1"/>
    <x v="0"/>
    <s v="APROBAR"/>
    <n v="1"/>
    <e v="#N/A"/>
  </r>
  <r>
    <n v="1209660672"/>
    <s v="249"/>
    <x v="118"/>
    <d v="2026-10-12T11:10:02"/>
    <s v=""/>
    <s v="CAJA"/>
    <n v="18"/>
    <s v="PENDIENTE APROBACION  ENVIO TMS"/>
    <s v="000000001209660672"/>
    <x v="2"/>
    <x v="0"/>
    <s v="APROBAR"/>
    <n v="1"/>
    <e v="#N/A"/>
  </r>
  <r>
    <n v="8209660722"/>
    <s v="258"/>
    <x v="116"/>
    <d v="2026-10-12T11:10:03"/>
    <s v=""/>
    <s v="UNIDAD"/>
    <n v="5"/>
    <s v="PENDIENTE APROBACION  ENVIO TMS"/>
    <s v="000000008209660722"/>
    <x v="1"/>
    <x v="0"/>
    <s v="APROBAR"/>
    <n v="1"/>
    <e v="#N/A"/>
  </r>
  <r>
    <n v="1209660629"/>
    <s v="237"/>
    <x v="115"/>
    <d v="2026-10-12T11:10:05"/>
    <s v=""/>
    <s v="CAJA"/>
    <n v="10"/>
    <s v="PENDIENTE APROBACION  ENVIO TMS"/>
    <s v="000000001209660629"/>
    <x v="2"/>
    <x v="0"/>
    <s v="APROBAR"/>
    <n v="1"/>
    <e v="#N/A"/>
  </r>
  <r>
    <n v="8209660663"/>
    <s v="249"/>
    <x v="118"/>
    <d v="2026-10-12T11:10:06"/>
    <s v=""/>
    <s v="UNIDAD"/>
    <n v="2"/>
    <s v="PENDIENTE APROBACION  ENVIO TMS"/>
    <s v="000000008209660663"/>
    <x v="1"/>
    <x v="0"/>
    <s v="APROBAR"/>
    <n v="1"/>
    <e v="#N/A"/>
  </r>
  <r>
    <n v="1209660729"/>
    <s v="258"/>
    <x v="116"/>
    <d v="2026-10-12T11:10:07"/>
    <s v=""/>
    <s v="CAJA"/>
    <n v="3"/>
    <s v="PENDIENTE APROBACION  ENVIO TMS"/>
    <s v="000000001209660729"/>
    <x v="2"/>
    <x v="0"/>
    <s v="APROBAR"/>
    <n v="1"/>
    <e v="#N/A"/>
  </r>
  <r>
    <n v="8209660667"/>
    <s v="249"/>
    <x v="118"/>
    <d v="2026-10-12T11:10:09"/>
    <s v=""/>
    <s v="UNIDAD"/>
    <n v="43"/>
    <s v="PENDIENTE APROBACION  ENVIO TMS"/>
    <s v="000000008209660667"/>
    <x v="1"/>
    <x v="0"/>
    <s v="APROBAR"/>
    <n v="1"/>
    <e v="#N/A"/>
  </r>
  <r>
    <n v="8209660575"/>
    <s v="228"/>
    <x v="114"/>
    <d v="2026-10-12T11:10:10"/>
    <s v=""/>
    <s v="UNIDAD"/>
    <n v="15"/>
    <s v="PENDIENTE APROBACION  ENVIO TMS"/>
    <s v="000000008209660575"/>
    <x v="1"/>
    <x v="2"/>
    <s v="APROBAR"/>
    <n v="1"/>
    <e v="#N/A"/>
  </r>
  <r>
    <n v="8209660568"/>
    <s v="228"/>
    <x v="114"/>
    <d v="2026-10-12T11:10:12"/>
    <s v=""/>
    <s v="UNIDAD"/>
    <n v="7"/>
    <s v="PENDIENTE APROBACION  ENVIO TMS"/>
    <s v="000000008209660568"/>
    <x v="1"/>
    <x v="2"/>
    <s v="APROBAR"/>
    <n v="1"/>
    <e v="#N/A"/>
  </r>
  <r>
    <n v="1209660731"/>
    <s v="258"/>
    <x v="116"/>
    <d v="2026-10-12T11:10:13"/>
    <s v=""/>
    <s v="CAJA"/>
    <n v="15"/>
    <s v="PENDIENTE APROBACION  ENVIO TMS"/>
    <s v="000000001209660731"/>
    <x v="2"/>
    <x v="0"/>
    <s v="APROBAR"/>
    <n v="1"/>
    <e v="#N/A"/>
  </r>
  <r>
    <n v="8209660642"/>
    <s v="237"/>
    <x v="115"/>
    <d v="2026-10-12T11:10:14"/>
    <s v=""/>
    <s v="UNIDAD"/>
    <n v="2"/>
    <s v="PENDIENTE APROBACION  ENVIO TMS"/>
    <s v="000000008209660642"/>
    <x v="1"/>
    <x v="0"/>
    <s v="APROBAR"/>
    <n v="1"/>
    <e v="#N/A"/>
  </r>
  <r>
    <n v="1209660668"/>
    <s v="249"/>
    <x v="118"/>
    <d v="2026-10-12T11:10:15"/>
    <s v=""/>
    <s v="CAJA"/>
    <n v="3"/>
    <s v="PENDIENTE APROBACION  ENVIO TMS"/>
    <s v="000000001209660668"/>
    <x v="2"/>
    <x v="0"/>
    <s v="APROBAR"/>
    <n v="1"/>
    <e v="#N/A"/>
  </r>
  <r>
    <n v="1209660574"/>
    <s v="228"/>
    <x v="114"/>
    <d v="2026-10-12T11:10:17"/>
    <s v=""/>
    <s v="PACK"/>
    <n v="1"/>
    <s v="PENDIENTE APROBACION  ENVIO TMS"/>
    <s v="000000001209660574"/>
    <x v="2"/>
    <x v="2"/>
    <s v="APROBAR"/>
    <n v="1"/>
    <e v="#N/A"/>
  </r>
  <r>
    <n v="1209660543"/>
    <s v="225"/>
    <x v="117"/>
    <d v="2026-10-12T11:10:18"/>
    <s v=""/>
    <s v="CAJA"/>
    <n v="32"/>
    <s v="PENDIENTE APROBACION  ENVIO TMS"/>
    <s v="000000001209660543"/>
    <x v="2"/>
    <x v="1"/>
    <s v="APROBAR"/>
    <n v="1"/>
    <e v="#N/A"/>
  </r>
  <r>
    <n v="1209660546"/>
    <s v="225"/>
    <x v="117"/>
    <d v="2026-10-12T11:10:20"/>
    <s v=""/>
    <s v="CAJA"/>
    <n v="38"/>
    <s v="PENDIENTE APROBACION  ENVIO TMS"/>
    <s v="000000001209660546"/>
    <x v="2"/>
    <x v="1"/>
    <s v="APROBAR"/>
    <n v="1"/>
    <e v="#N/A"/>
  </r>
  <r>
    <n v="8209660623"/>
    <s v="237"/>
    <x v="115"/>
    <d v="2026-10-12T11:10:21"/>
    <s v=""/>
    <s v="UNIDAD"/>
    <n v="3"/>
    <s v="PENDIENTE APROBACION  ENVIO TMS"/>
    <s v="000000008209660623"/>
    <x v="1"/>
    <x v="0"/>
    <s v="APROBAR"/>
    <n v="1"/>
    <e v="#N/A"/>
  </r>
  <r>
    <n v="1209660637"/>
    <s v="237"/>
    <x v="115"/>
    <d v="2026-10-12T11:10:22"/>
    <s v=""/>
    <s v="CAJA"/>
    <n v="1"/>
    <s v="PENDIENTE APROBACION  ENVIO TMS"/>
    <s v="000000001209660637"/>
    <x v="2"/>
    <x v="0"/>
    <s v="APROBAR"/>
    <n v="1"/>
    <e v="#N/A"/>
  </r>
  <r>
    <n v="1209660682"/>
    <s v="249"/>
    <x v="118"/>
    <d v="2026-10-12T11:10:24"/>
    <s v=""/>
    <s v="PACK"/>
    <n v="36"/>
    <s v="PENDIENTE APROBACION  ENVIO TMS"/>
    <s v="000000001209660682"/>
    <x v="2"/>
    <x v="0"/>
    <s v="APROBAR"/>
    <n v="1"/>
    <e v="#N/A"/>
  </r>
  <r>
    <n v="1209660631"/>
    <s v="237"/>
    <x v="115"/>
    <d v="2026-10-12T11:10:25"/>
    <s v=""/>
    <s v="CAJA"/>
    <n v="13"/>
    <s v="PENDIENTE APROBACION  ENVIO TMS"/>
    <s v="000000001209660631"/>
    <x v="2"/>
    <x v="0"/>
    <s v="APROBAR"/>
    <n v="1"/>
    <e v="#N/A"/>
  </r>
  <r>
    <n v="1209660730"/>
    <s v="258"/>
    <x v="116"/>
    <d v="2026-10-12T11:10:26"/>
    <s v=""/>
    <s v="PACK"/>
    <n v="15"/>
    <s v="PENDIENTE APROBACION  ENVIO TMS"/>
    <s v="000000001209660730"/>
    <x v="2"/>
    <x v="0"/>
    <s v="APROBAR"/>
    <n v="1"/>
    <e v="#N/A"/>
  </r>
  <r>
    <n v="1209660670"/>
    <s v="249"/>
    <x v="118"/>
    <d v="2026-10-12T11:10:28"/>
    <s v=""/>
    <s v="UNIDAD"/>
    <n v="7"/>
    <s v="PENDIENTE APROBACION  ENVIO TMS"/>
    <s v="000000001209660670"/>
    <x v="2"/>
    <x v="0"/>
    <s v="APROBAR"/>
    <n v="1"/>
    <e v="#N/A"/>
  </r>
  <r>
    <n v="1209660549"/>
    <s v="225"/>
    <x v="117"/>
    <d v="2026-10-12T11:10:29"/>
    <s v=""/>
    <s v="CAJA"/>
    <n v="39"/>
    <s v="PENDIENTE APROBACION  ENVIO TMS"/>
    <s v="000000001209660549"/>
    <x v="2"/>
    <x v="1"/>
    <s v="APROBAR"/>
    <n v="1"/>
    <e v="#N/A"/>
  </r>
  <r>
    <n v="8209660569"/>
    <s v="228"/>
    <x v="114"/>
    <d v="2026-10-12T11:10:30"/>
    <s v=""/>
    <s v="UNIDAD"/>
    <n v="2"/>
    <s v="PENDIENTE APROBACION  ENVIO TMS"/>
    <s v="000000008209660569"/>
    <x v="1"/>
    <x v="2"/>
    <s v="APROBAR"/>
    <n v="1"/>
    <e v="#N/A"/>
  </r>
  <r>
    <n v="8209660570"/>
    <s v="228"/>
    <x v="114"/>
    <d v="2026-10-12T11:10:31"/>
    <s v=""/>
    <s v="UNIDAD"/>
    <n v="5"/>
    <s v="PENDIENTE APROBACION  ENVIO TMS"/>
    <s v="000000008209660570"/>
    <x v="1"/>
    <x v="2"/>
    <s v="APROBAR"/>
    <n v="1"/>
    <e v="#N/A"/>
  </r>
  <r>
    <n v="1209660673"/>
    <s v="249"/>
    <x v="118"/>
    <d v="2026-10-12T11:10:33"/>
    <s v=""/>
    <s v="PACK"/>
    <n v="13"/>
    <s v="PENDIENTE APROBACION  ENVIO TMS"/>
    <s v="000000001209660673"/>
    <x v="2"/>
    <x v="0"/>
    <s v="APROBAR"/>
    <n v="1"/>
    <e v="#N/A"/>
  </r>
  <r>
    <n v="8209660661"/>
    <s v="249"/>
    <x v="118"/>
    <d v="2026-10-12T11:10:35"/>
    <s v=""/>
    <s v="UNIDAD"/>
    <n v="3"/>
    <s v="PENDIENTE APROBACION  ENVIO TMS"/>
    <s v="000000008209660661"/>
    <x v="1"/>
    <x v="0"/>
    <s v="APROBAR"/>
    <n v="1"/>
    <e v="#N/A"/>
  </r>
  <r>
    <n v="1209660678"/>
    <s v="249"/>
    <x v="118"/>
    <d v="2026-10-12T11:10:37"/>
    <s v=""/>
    <s v="CAJA"/>
    <n v="3"/>
    <s v="PENDIENTE APROBACION  ENVIO TMS"/>
    <s v="000000001209660678"/>
    <x v="2"/>
    <x v="0"/>
    <s v="APROBAR"/>
    <n v="1"/>
    <e v="#N/A"/>
  </r>
  <r>
    <n v="1209660644"/>
    <s v="237"/>
    <x v="115"/>
    <d v="2026-10-12T11:10:38"/>
    <s v=""/>
    <s v="PACK"/>
    <n v="3"/>
    <s v="PENDIENTE APROBACION  ENVIO TMS"/>
    <s v="000000001209660644"/>
    <x v="2"/>
    <x v="0"/>
    <s v="APROBAR"/>
    <n v="1"/>
    <e v="#N/A"/>
  </r>
  <r>
    <n v="1209660671"/>
    <s v="249"/>
    <x v="118"/>
    <d v="2026-10-12T11:10:39"/>
    <s v=""/>
    <s v="CAJA"/>
    <n v="13"/>
    <s v="PENDIENTE APROBACION  ENVIO TMS"/>
    <s v="000000001209660671"/>
    <x v="2"/>
    <x v="0"/>
    <s v="APROBAR"/>
    <n v="1"/>
    <e v="#N/A"/>
  </r>
  <r>
    <n v="1209660539"/>
    <s v="225"/>
    <x v="117"/>
    <d v="2026-10-12T11:10:41"/>
    <s v=""/>
    <s v="PACK"/>
    <n v="4"/>
    <s v="PENDIENTE APROBACION  ENVIO TMS"/>
    <s v="000000001209660539"/>
    <x v="2"/>
    <x v="1"/>
    <s v="APROBAR"/>
    <n v="1"/>
    <e v="#N/A"/>
  </r>
  <r>
    <n v="1209660550"/>
    <s v="225"/>
    <x v="117"/>
    <d v="2026-10-12T11:10:42"/>
    <s v=""/>
    <s v="PACK"/>
    <n v="62"/>
    <s v="PENDIENTE APROBACION  ENVIO TMS"/>
    <s v="000000001209660550"/>
    <x v="2"/>
    <x v="1"/>
    <s v="APROBAR"/>
    <n v="1"/>
    <e v="#N/A"/>
  </r>
  <r>
    <n v="1209660542"/>
    <s v="225"/>
    <x v="117"/>
    <d v="2026-10-12T11:10:43"/>
    <s v=""/>
    <s v="CAJA"/>
    <n v="14"/>
    <s v="PENDIENTE APROBACION  ENVIO TMS"/>
    <s v="000000001209660542"/>
    <x v="2"/>
    <x v="1"/>
    <s v="APROBAR"/>
    <n v="1"/>
    <e v="#N/A"/>
  </r>
  <r>
    <n v="1209660578"/>
    <s v="228"/>
    <x v="114"/>
    <d v="2026-10-12T11:10:44"/>
    <s v=""/>
    <s v="CAJA"/>
    <n v="27"/>
    <s v="PENDIENTE APROBACION  ENVIO TMS"/>
    <s v="000000001209660578"/>
    <x v="2"/>
    <x v="2"/>
    <s v="APROBAR"/>
    <n v="1"/>
    <e v="#N/A"/>
  </r>
  <r>
    <n v="1209660581"/>
    <s v="228"/>
    <x v="114"/>
    <d v="2026-10-12T11:10:46"/>
    <s v=""/>
    <s v="PACK"/>
    <n v="12"/>
    <s v="PENDIENTE APROBACION  ENVIO TMS"/>
    <s v="000000001209660581"/>
    <x v="2"/>
    <x v="2"/>
    <s v="APROBAR"/>
    <n v="1"/>
    <e v="#N/A"/>
  </r>
  <r>
    <n v="1209660582"/>
    <s v="228"/>
    <x v="114"/>
    <d v="2026-10-12T11:10:47"/>
    <s v=""/>
    <s v="PACK"/>
    <n v="29"/>
    <s v="PENDIENTE APROBACION  ENVIO TMS"/>
    <s v="000000001209660582"/>
    <x v="2"/>
    <x v="2"/>
    <s v="APROBAR"/>
    <n v="1"/>
    <e v="#N/A"/>
  </r>
  <r>
    <n v="1209660770"/>
    <s v="260"/>
    <x v="119"/>
    <d v="2026-10-12T11:13:52"/>
    <s v=""/>
    <s v="CAJA"/>
    <n v="11"/>
    <s v="PENDIENTE APROBACION  ENVIO TMS"/>
    <s v="000000001209660770"/>
    <x v="2"/>
    <x v="1"/>
    <s v="APROBAR"/>
    <n v="1"/>
    <e v="#N/A"/>
  </r>
  <r>
    <n v="1209660824"/>
    <s v="264"/>
    <x v="120"/>
    <d v="2026-10-12T11:13:54"/>
    <s v=""/>
    <s v="PACK"/>
    <n v="1"/>
    <s v="PENDIENTE APROBACION  ENVIO TMS"/>
    <s v="000000001209660824"/>
    <x v="2"/>
    <x v="2"/>
    <s v="APROBAR"/>
    <n v="1"/>
    <e v="#N/A"/>
  </r>
  <r>
    <n v="1209660826"/>
    <s v="264"/>
    <x v="120"/>
    <d v="2026-10-12T11:13:56"/>
    <s v=""/>
    <s v="PACK"/>
    <n v="6"/>
    <s v="PENDIENTE APROBACION  ENVIO TMS"/>
    <s v="000000001209660826"/>
    <x v="2"/>
    <x v="2"/>
    <s v="APROBAR"/>
    <n v="1"/>
    <e v="#N/A"/>
  </r>
  <r>
    <n v="1209660748"/>
    <s v="259"/>
    <x v="121"/>
    <d v="2026-10-12T11:13:59"/>
    <s v=""/>
    <s v="CAJA"/>
    <n v="12"/>
    <s v="PENDIENTE APROBACION  ENVIO TMS"/>
    <s v="000000001209660748"/>
    <x v="2"/>
    <x v="2"/>
    <s v="APROBAR"/>
    <n v="1"/>
    <e v="#N/A"/>
  </r>
  <r>
    <n v="1209660807"/>
    <s v="263"/>
    <x v="122"/>
    <d v="2026-10-12T11:14:01"/>
    <s v=""/>
    <s v="PACK"/>
    <n v="3"/>
    <s v="PENDIENTE APROBACION  ENVIO TMS"/>
    <s v="000000001209660807"/>
    <x v="2"/>
    <x v="0"/>
    <s v="APROBAR"/>
    <n v="1"/>
    <e v="#N/A"/>
  </r>
  <r>
    <n v="1209660829"/>
    <s v="264"/>
    <x v="120"/>
    <d v="2026-10-12T11:14:03"/>
    <s v=""/>
    <s v="PACK"/>
    <n v="14"/>
    <s v="PENDIENTE APROBACION  ENVIO TMS"/>
    <s v="000000001209660829"/>
    <x v="2"/>
    <x v="2"/>
    <s v="APROBAR"/>
    <n v="1"/>
    <e v="#N/A"/>
  </r>
  <r>
    <n v="1209660749"/>
    <s v="259"/>
    <x v="121"/>
    <d v="2026-10-12T11:14:04"/>
    <s v=""/>
    <s v="CAJA"/>
    <n v="6"/>
    <s v="PENDIENTE APROBACION  ENVIO TMS"/>
    <s v="000000001209660749"/>
    <x v="2"/>
    <x v="2"/>
    <s v="APROBAR"/>
    <n v="1"/>
    <e v="#N/A"/>
  </r>
  <r>
    <n v="1209660808"/>
    <s v="263"/>
    <x v="122"/>
    <d v="2026-10-12T11:14:07"/>
    <s v=""/>
    <s v="CAJA"/>
    <n v="18"/>
    <s v="PENDIENTE APROBACION  ENVIO TMS"/>
    <s v="000000001209660808"/>
    <x v="2"/>
    <x v="0"/>
    <s v="APROBAR"/>
    <n v="1"/>
    <e v="#N/A"/>
  </r>
  <r>
    <n v="8209660757"/>
    <s v="260"/>
    <x v="119"/>
    <d v="2026-10-12T11:14:08"/>
    <s v=""/>
    <s v="UNIDAD"/>
    <n v="3"/>
    <s v="PENDIENTE APROBACION  ENVIO TMS"/>
    <s v="000000008209660757"/>
    <x v="1"/>
    <x v="1"/>
    <s v="APROBAR"/>
    <n v="1"/>
    <e v="#N/A"/>
  </r>
  <r>
    <n v="8209660759"/>
    <s v="260"/>
    <x v="119"/>
    <d v="2026-10-12T11:14:09"/>
    <s v=""/>
    <s v="UNIDAD"/>
    <n v="1"/>
    <s v="PENDIENTE APROBACION  ENVIO TMS"/>
    <s v="000000008209660759"/>
    <x v="1"/>
    <x v="1"/>
    <s v="APROBAR"/>
    <n v="1"/>
    <e v="#N/A"/>
  </r>
  <r>
    <n v="8209660790"/>
    <s v="262"/>
    <x v="123"/>
    <d v="2026-10-12T11:14:10"/>
    <s v=""/>
    <s v="UNIDAD"/>
    <n v="6"/>
    <s v="PENDIENTE APROBACION  ENVIO TMS"/>
    <s v="000000008209660790"/>
    <x v="1"/>
    <x v="4"/>
    <s v="APROBAR"/>
    <n v="1"/>
    <e v="#N/A"/>
  </r>
  <r>
    <n v="8209660792"/>
    <s v="262"/>
    <x v="123"/>
    <d v="2026-10-12T11:14:12"/>
    <s v=""/>
    <s v="UNIDAD"/>
    <n v="1"/>
    <s v="PENDIENTE APROBACION  ENVIO TMS"/>
    <s v="000000008209660792"/>
    <x v="1"/>
    <x v="4"/>
    <s v="APROBAR"/>
    <n v="1"/>
    <e v="#N/A"/>
  </r>
  <r>
    <n v="1209660764"/>
    <s v="260"/>
    <x v="119"/>
    <d v="2026-10-12T11:14:13"/>
    <s v=""/>
    <s v="CAJA"/>
    <n v="3"/>
    <s v="PENDIENTE APROBACION  ENVIO TMS"/>
    <s v="000000001209660764"/>
    <x v="2"/>
    <x v="1"/>
    <s v="APROBAR"/>
    <n v="1"/>
    <e v="#N/A"/>
  </r>
  <r>
    <n v="1209660796"/>
    <s v="262"/>
    <x v="123"/>
    <d v="2026-10-12T11:14:14"/>
    <s v=""/>
    <s v="PACK"/>
    <n v="5"/>
    <s v="PENDIENTE APROBACION  ENVIO TMS"/>
    <s v="000000001209660796"/>
    <x v="2"/>
    <x v="4"/>
    <s v="APROBAR"/>
    <n v="1"/>
    <e v="#N/A"/>
  </r>
  <r>
    <n v="1209660817"/>
    <s v="263"/>
    <x v="122"/>
    <d v="2026-10-12T11:14:15"/>
    <s v=""/>
    <s v="CAJA"/>
    <n v="18"/>
    <s v="PENDIENTE APROBACION  ENVIO TMS"/>
    <s v="000000001209660817"/>
    <x v="2"/>
    <x v="0"/>
    <s v="APROBAR"/>
    <n v="1"/>
    <e v="#N/A"/>
  </r>
  <r>
    <n v="8209660819"/>
    <s v="264"/>
    <x v="120"/>
    <d v="2026-10-12T11:14:16"/>
    <s v=""/>
    <s v="UNIDAD"/>
    <n v="3"/>
    <s v="PENDIENTE APROBACION  ENVIO TMS"/>
    <s v="000000008209660819"/>
    <x v="1"/>
    <x v="2"/>
    <s v="APROBAR"/>
    <n v="1"/>
    <e v="#N/A"/>
  </r>
  <r>
    <n v="8209660740"/>
    <s v="259"/>
    <x v="121"/>
    <d v="2026-10-12T11:14:18"/>
    <s v=""/>
    <s v="UNIDAD"/>
    <n v="14"/>
    <s v="PENDIENTE APROBACION  ENVIO TMS"/>
    <s v="000000008209660740"/>
    <x v="1"/>
    <x v="2"/>
    <s v="APROBAR"/>
    <n v="1"/>
    <e v="#N/A"/>
  </r>
  <r>
    <n v="8209660744"/>
    <s v="259"/>
    <x v="121"/>
    <d v="2026-10-12T11:14:19"/>
    <s v=""/>
    <s v="UNIDAD"/>
    <n v="12"/>
    <s v="PENDIENTE APROBACION  ENVIO TMS"/>
    <s v="000000008209660744"/>
    <x v="1"/>
    <x v="2"/>
    <s v="APROBAR"/>
    <n v="1"/>
    <e v="#N/A"/>
  </r>
  <r>
    <n v="1209660750"/>
    <s v="259"/>
    <x v="121"/>
    <d v="2026-10-12T11:14:21"/>
    <s v=""/>
    <s v="CAJA"/>
    <n v="7"/>
    <s v="PENDIENTE APROBACION  ENVIO TMS"/>
    <s v="000000001209660750"/>
    <x v="2"/>
    <x v="2"/>
    <s v="APROBAR"/>
    <n v="1"/>
    <e v="#N/A"/>
  </r>
  <r>
    <n v="1209660751"/>
    <s v="259"/>
    <x v="121"/>
    <d v="2026-10-12T11:14:22"/>
    <s v=""/>
    <s v="CAJA"/>
    <n v="22"/>
    <s v="PENDIENTE APROBACION  ENVIO TMS"/>
    <s v="000000001209660751"/>
    <x v="2"/>
    <x v="2"/>
    <s v="APROBAR"/>
    <n v="1"/>
    <e v="#N/A"/>
  </r>
  <r>
    <n v="8209660788"/>
    <s v="262"/>
    <x v="123"/>
    <d v="2026-10-12T11:14:24"/>
    <s v=""/>
    <s v="UNIDAD"/>
    <n v="1"/>
    <s v="PENDIENTE APROBACION  ENVIO TMS"/>
    <s v="000000008209660788"/>
    <x v="1"/>
    <x v="4"/>
    <s v="APROBAR"/>
    <n v="1"/>
    <e v="#N/A"/>
  </r>
  <r>
    <n v="1209660809"/>
    <s v="263"/>
    <x v="122"/>
    <d v="2026-10-12T11:14:24"/>
    <s v=""/>
    <s v="PACK"/>
    <n v="20"/>
    <s v="PENDIENTE APROBACION  ENVIO TMS"/>
    <s v="000000001209660809"/>
    <x v="2"/>
    <x v="0"/>
    <s v="APROBAR"/>
    <n v="1"/>
    <e v="#N/A"/>
  </r>
  <r>
    <n v="1209660793"/>
    <s v="262"/>
    <x v="123"/>
    <d v="2026-10-12T11:14:25"/>
    <s v=""/>
    <s v="CAJA"/>
    <n v="3"/>
    <s v="PENDIENTE APROBACION  ENVIO TMS"/>
    <s v="000000001209660793"/>
    <x v="2"/>
    <x v="4"/>
    <s v="APROBAR"/>
    <n v="1"/>
    <e v="#N/A"/>
  </r>
  <r>
    <n v="8209660822"/>
    <s v="264"/>
    <x v="120"/>
    <d v="2026-10-12T11:14:27"/>
    <s v=""/>
    <s v="UNIDAD"/>
    <n v="1"/>
    <s v="PENDIENTE APROBACION  ENVIO TMS"/>
    <s v="000000008209660822"/>
    <x v="1"/>
    <x v="2"/>
    <s v="APROBAR"/>
    <n v="1"/>
    <e v="#N/A"/>
  </r>
  <r>
    <n v="1209660771"/>
    <s v="260"/>
    <x v="119"/>
    <d v="2026-10-12T11:14:28"/>
    <s v=""/>
    <s v="CAJA"/>
    <n v="2"/>
    <s v="PENDIENTE APROBACION  ENVIO TMS"/>
    <s v="000000001209660771"/>
    <x v="2"/>
    <x v="1"/>
    <s v="APROBAR"/>
    <n v="1"/>
    <e v="#N/A"/>
  </r>
  <r>
    <n v="1209660752"/>
    <s v="259"/>
    <x v="121"/>
    <d v="2026-10-12T11:14:31"/>
    <s v=""/>
    <s v="CAJA"/>
    <n v="17"/>
    <s v="PENDIENTE APROBACION  ENVIO TMS"/>
    <s v="000000001209660752"/>
    <x v="2"/>
    <x v="2"/>
    <s v="APROBAR"/>
    <n v="1"/>
    <e v="#N/A"/>
  </r>
  <r>
    <n v="8209660803"/>
    <s v="263"/>
    <x v="122"/>
    <d v="2026-10-12T11:14:31"/>
    <s v=""/>
    <s v="UNIDAD"/>
    <n v="13"/>
    <s v="PENDIENTE APROBACION  ENVIO TMS"/>
    <s v="000000008209660803"/>
    <x v="1"/>
    <x v="0"/>
    <s v="APROBAR"/>
    <n v="1"/>
    <e v="#N/A"/>
  </r>
  <r>
    <n v="1209660813"/>
    <s v="263"/>
    <x v="122"/>
    <d v="2026-10-12T11:14:33"/>
    <s v=""/>
    <s v="PACK"/>
    <n v="35"/>
    <s v="PENDIENTE APROBACION  ENVIO TMS"/>
    <s v="000000001209660813"/>
    <x v="2"/>
    <x v="0"/>
    <s v="APROBAR"/>
    <n v="1"/>
    <e v="#N/A"/>
  </r>
  <r>
    <n v="1209660765"/>
    <s v="260"/>
    <x v="119"/>
    <d v="2026-10-12T11:14:34"/>
    <s v=""/>
    <s v="CAJA"/>
    <n v="6"/>
    <s v="PENDIENTE APROBACION  ENVIO TMS"/>
    <s v="000000001209660765"/>
    <x v="2"/>
    <x v="1"/>
    <s v="APROBAR"/>
    <n v="1"/>
    <e v="#N/A"/>
  </r>
  <r>
    <n v="1209660768"/>
    <s v="260"/>
    <x v="119"/>
    <d v="2026-10-12T11:14:35"/>
    <s v=""/>
    <s v="CAJA"/>
    <n v="9"/>
    <s v="PENDIENTE APROBACION  ENVIO TMS"/>
    <s v="000000001209660768"/>
    <x v="2"/>
    <x v="1"/>
    <s v="APROBAR"/>
    <n v="1"/>
    <e v="#N/A"/>
  </r>
  <r>
    <n v="8209660818"/>
    <s v="264"/>
    <x v="120"/>
    <d v="2026-10-12T11:14:36"/>
    <s v=""/>
    <s v="UNIDAD"/>
    <n v="1"/>
    <s v="PENDIENTE APROBACION  ENVIO TMS"/>
    <s v="000000008209660818"/>
    <x v="1"/>
    <x v="2"/>
    <s v="APROBAR"/>
    <n v="1"/>
    <e v="#N/A"/>
  </r>
  <r>
    <n v="8209660820"/>
    <s v="264"/>
    <x v="120"/>
    <d v="2026-10-12T11:14:37"/>
    <s v=""/>
    <s v="UNIDAD"/>
    <n v="6"/>
    <s v="PENDIENTE APROBACION  ENVIO TMS"/>
    <s v="000000008209660820"/>
    <x v="1"/>
    <x v="2"/>
    <s v="APROBAR"/>
    <n v="1"/>
    <e v="#N/A"/>
  </r>
  <r>
    <n v="1209660746"/>
    <s v="259"/>
    <x v="121"/>
    <d v="2026-10-12T11:14:39"/>
    <s v=""/>
    <s v="CAJA"/>
    <n v="2"/>
    <s v="PENDIENTE APROBACION  ENVIO TMS"/>
    <s v="000000001209660746"/>
    <x v="2"/>
    <x v="2"/>
    <s v="APROBAR"/>
    <n v="1"/>
    <e v="#N/A"/>
  </r>
  <r>
    <n v="1209660806"/>
    <s v="263"/>
    <x v="122"/>
    <d v="2026-10-12T11:14:42"/>
    <s v=""/>
    <s v="CAJA"/>
    <n v="6"/>
    <s v="PENDIENTE APROBACION  ENVIO TMS"/>
    <s v="000000001209660806"/>
    <x v="2"/>
    <x v="0"/>
    <s v="APROBAR"/>
    <n v="1"/>
    <e v="#N/A"/>
  </r>
  <r>
    <n v="1209660830"/>
    <s v="264"/>
    <x v="120"/>
    <d v="2026-10-12T11:14:43"/>
    <s v=""/>
    <s v="PACK"/>
    <n v="11"/>
    <s v="PENDIENTE APROBACION  ENVIO TMS"/>
    <s v="000000001209660830"/>
    <x v="2"/>
    <x v="2"/>
    <s v="APROBAR"/>
    <n v="1"/>
    <e v="#N/A"/>
  </r>
  <r>
    <n v="1209660753"/>
    <s v="259"/>
    <x v="121"/>
    <d v="2026-10-12T11:14:46"/>
    <s v=""/>
    <s v="CAJA"/>
    <n v="4"/>
    <s v="PENDIENTE APROBACION  ENVIO TMS"/>
    <s v="000000001209660753"/>
    <x v="2"/>
    <x v="2"/>
    <s v="APROBAR"/>
    <n v="1"/>
    <e v="#N/A"/>
  </r>
  <r>
    <n v="1209660811"/>
    <s v="263"/>
    <x v="122"/>
    <d v="2026-10-12T11:14:48"/>
    <s v=""/>
    <s v="CAJA"/>
    <n v="3"/>
    <s v="PENDIENTE APROBACION  ENVIO TMS"/>
    <s v="000000001209660811"/>
    <x v="2"/>
    <x v="0"/>
    <s v="APROBAR"/>
    <n v="1"/>
    <e v="#N/A"/>
  </r>
  <r>
    <n v="1209660812"/>
    <s v="263"/>
    <x v="122"/>
    <d v="2026-10-12T11:14:49"/>
    <s v=""/>
    <s v="CAJA"/>
    <n v="26"/>
    <s v="PENDIENTE APROBACION  ENVIO TMS"/>
    <s v="000000001209660812"/>
    <x v="2"/>
    <x v="0"/>
    <s v="APROBAR"/>
    <n v="1"/>
    <e v="#N/A"/>
  </r>
  <r>
    <n v="8209660761"/>
    <s v="260"/>
    <x v="119"/>
    <d v="2026-10-12T11:14:53"/>
    <s v=""/>
    <s v="UNIDAD"/>
    <n v="4"/>
    <s v="PENDIENTE APROBACION  ENVIO TMS"/>
    <s v="000000008209660761"/>
    <x v="1"/>
    <x v="1"/>
    <s v="APROBAR"/>
    <n v="1"/>
    <e v="#N/A"/>
  </r>
  <r>
    <n v="1209660797"/>
    <s v="262"/>
    <x v="123"/>
    <d v="2026-10-12T11:14:54"/>
    <s v=""/>
    <s v="CAJA"/>
    <n v="7"/>
    <s v="PENDIENTE APROBACION  ENVIO TMS"/>
    <s v="000000001209660797"/>
    <x v="2"/>
    <x v="4"/>
    <s v="APROBAR"/>
    <n v="1"/>
    <e v="#N/A"/>
  </r>
  <r>
    <n v="8209660741"/>
    <s v="259"/>
    <x v="121"/>
    <d v="2026-10-12T11:14:55"/>
    <s v=""/>
    <s v="UNIDAD"/>
    <n v="1"/>
    <s v="PENDIENTE APROBACION  ENVIO TMS"/>
    <s v="000000008209660741"/>
    <x v="1"/>
    <x v="2"/>
    <s v="APROBAR"/>
    <n v="1"/>
    <e v="#N/A"/>
  </r>
  <r>
    <n v="8209660745"/>
    <s v="259"/>
    <x v="121"/>
    <d v="2026-10-12T11:14:56"/>
    <s v=""/>
    <s v="UNIDAD"/>
    <n v="6"/>
    <s v="PENDIENTE APROBACION  ENVIO TMS"/>
    <s v="000000008209660745"/>
    <x v="1"/>
    <x v="2"/>
    <s v="APROBAR"/>
    <n v="1"/>
    <e v="#N/A"/>
  </r>
  <r>
    <n v="1209660828"/>
    <s v="264"/>
    <x v="120"/>
    <d v="2026-10-12T11:14:58"/>
    <s v=""/>
    <s v="CAJA"/>
    <n v="9"/>
    <s v="PENDIENTE APROBACION  ENVIO TMS"/>
    <s v="000000001209660828"/>
    <x v="2"/>
    <x v="2"/>
    <s v="APROBAR"/>
    <n v="1"/>
    <e v="#N/A"/>
  </r>
  <r>
    <n v="1209660832"/>
    <s v="264"/>
    <x v="120"/>
    <d v="2026-10-12T11:14:59"/>
    <s v=""/>
    <s v="CAJA"/>
    <n v="23"/>
    <s v="PENDIENTE APROBACION  ENVIO TMS"/>
    <s v="000000001209660832"/>
    <x v="2"/>
    <x v="2"/>
    <s v="APROBAR"/>
    <n v="1"/>
    <e v="#N/A"/>
  </r>
  <r>
    <n v="1209660754"/>
    <s v="259"/>
    <x v="121"/>
    <d v="2026-10-12T11:15:00"/>
    <s v=""/>
    <s v="CAJA"/>
    <n v="40"/>
    <s v="PENDIENTE APROBACION  ENVIO TMS"/>
    <s v="000000001209660754"/>
    <x v="2"/>
    <x v="2"/>
    <s v="APROBAR"/>
    <n v="1"/>
    <e v="#N/A"/>
  </r>
  <r>
    <n v="1209660756"/>
    <s v="259"/>
    <x v="121"/>
    <d v="2026-10-12T11:15:01"/>
    <s v=""/>
    <s v="PACK"/>
    <n v="42"/>
    <s v="PENDIENTE APROBACION  ENVIO TMS"/>
    <s v="000000001209660756"/>
    <x v="2"/>
    <x v="2"/>
    <s v="APROBAR"/>
    <n v="1"/>
    <e v="#N/A"/>
  </r>
  <r>
    <n v="1209660760"/>
    <s v="260"/>
    <x v="119"/>
    <d v="2026-10-12T11:15:03"/>
    <s v=""/>
    <s v="CAJA"/>
    <n v="1"/>
    <s v="PENDIENTE APROBACION  ENVIO TMS"/>
    <s v="000000001209660760"/>
    <x v="2"/>
    <x v="1"/>
    <s v="APROBAR"/>
    <n v="1"/>
    <e v="#N/A"/>
  </r>
  <r>
    <n v="1209660794"/>
    <s v="262"/>
    <x v="123"/>
    <d v="2026-10-12T11:15:04"/>
    <s v=""/>
    <s v="CAJA"/>
    <n v="1"/>
    <s v="PENDIENTE APROBACION  ENVIO TMS"/>
    <s v="000000001209660794"/>
    <x v="2"/>
    <x v="4"/>
    <s v="APROBAR"/>
    <n v="1"/>
    <e v="#N/A"/>
  </r>
  <r>
    <n v="1209660766"/>
    <s v="260"/>
    <x v="119"/>
    <d v="2026-10-12T11:15:05"/>
    <s v=""/>
    <s v="CAJA"/>
    <n v="6"/>
    <s v="PENDIENTE APROBACION  ENVIO TMS"/>
    <s v="000000001209660766"/>
    <x v="2"/>
    <x v="1"/>
    <s v="APROBAR"/>
    <n v="1"/>
    <e v="#N/A"/>
  </r>
  <r>
    <n v="1209660798"/>
    <s v="262"/>
    <x v="123"/>
    <d v="2026-10-12T11:15:06"/>
    <s v=""/>
    <s v="CAJA"/>
    <n v="12"/>
    <s v="PENDIENTE APROBACION  ENVIO TMS"/>
    <s v="000000001209660798"/>
    <x v="2"/>
    <x v="4"/>
    <s v="APROBAR"/>
    <n v="1"/>
    <e v="#N/A"/>
  </r>
  <r>
    <n v="8209660802"/>
    <s v="263"/>
    <x v="122"/>
    <d v="2026-10-12T11:15:07"/>
    <s v=""/>
    <s v="UNIDAD"/>
    <n v="7"/>
    <s v="PENDIENTE APROBACION  ENVIO TMS"/>
    <s v="000000008209660802"/>
    <x v="1"/>
    <x v="0"/>
    <s v="APROBAR"/>
    <n v="1"/>
    <e v="#N/A"/>
  </r>
  <r>
    <n v="8209660821"/>
    <s v="264"/>
    <x v="120"/>
    <d v="2026-10-12T11:15:09"/>
    <s v=""/>
    <s v="UNIDAD"/>
    <n v="1"/>
    <s v="PENDIENTE APROBACION  ENVIO TMS"/>
    <s v="000000008209660821"/>
    <x v="1"/>
    <x v="2"/>
    <s v="APROBAR"/>
    <n v="1"/>
    <e v="#N/A"/>
  </r>
  <r>
    <n v="1209660747"/>
    <s v="259"/>
    <x v="121"/>
    <d v="2026-10-12T11:15:10"/>
    <s v=""/>
    <s v="CAJA"/>
    <n v="5"/>
    <s v="PENDIENTE APROBACION  ENVIO TMS"/>
    <s v="000000001209660747"/>
    <x v="2"/>
    <x v="2"/>
    <s v="APROBAR"/>
    <n v="1"/>
    <e v="#N/A"/>
  </r>
  <r>
    <n v="8209660804"/>
    <s v="263"/>
    <x v="122"/>
    <d v="2026-10-12T11:15:12"/>
    <s v=""/>
    <s v="UNIDAD"/>
    <n v="1"/>
    <s v="PENDIENTE APROBACION  ENVIO TMS"/>
    <s v="000000008209660804"/>
    <x v="1"/>
    <x v="0"/>
    <s v="APROBAR"/>
    <n v="1"/>
    <e v="#N/A"/>
  </r>
  <r>
    <n v="8209660805"/>
    <s v="263"/>
    <x v="122"/>
    <d v="2026-10-12T11:15:13"/>
    <s v=""/>
    <s v="UNIDAD"/>
    <n v="4"/>
    <s v="PENDIENTE APROBACION  ENVIO TMS"/>
    <s v="000000008209660805"/>
    <x v="1"/>
    <x v="0"/>
    <s v="APROBAR"/>
    <n v="1"/>
    <e v="#N/A"/>
  </r>
  <r>
    <n v="1209660827"/>
    <s v="264"/>
    <x v="120"/>
    <d v="2026-10-12T11:15:14"/>
    <s v=""/>
    <s v="CAJA"/>
    <n v="7"/>
    <s v="PENDIENTE APROBACION  ENVIO TMS"/>
    <s v="000000001209660827"/>
    <x v="2"/>
    <x v="2"/>
    <s v="APROBAR"/>
    <n v="1"/>
    <e v="#N/A"/>
  </r>
  <r>
    <n v="1209660810"/>
    <s v="263"/>
    <x v="122"/>
    <d v="2026-10-12T11:15:17"/>
    <s v=""/>
    <s v="PACK"/>
    <n v="16"/>
    <s v="PENDIENTE APROBACION  ENVIO TMS"/>
    <s v="000000001209660810"/>
    <x v="2"/>
    <x v="0"/>
    <s v="APROBAR"/>
    <n v="1"/>
    <e v="#N/A"/>
  </r>
  <r>
    <n v="1209660814"/>
    <s v="263"/>
    <x v="122"/>
    <d v="2026-10-12T11:15:19"/>
    <s v=""/>
    <s v="CAJA"/>
    <n v="36"/>
    <s v="PENDIENTE APROBACION  ENVIO TMS"/>
    <s v="000000001209660814"/>
    <x v="2"/>
    <x v="0"/>
    <s v="APROBAR"/>
    <n v="1"/>
    <e v="#N/A"/>
  </r>
  <r>
    <n v="1209660815"/>
    <s v="263"/>
    <x v="122"/>
    <d v="2026-10-12T11:15:21"/>
    <s v=""/>
    <s v="PACK"/>
    <n v="33"/>
    <s v="PENDIENTE APROBACION  ENVIO TMS"/>
    <s v="000000001209660815"/>
    <x v="2"/>
    <x v="0"/>
    <s v="APROBAR"/>
    <n v="1"/>
    <e v="#N/A"/>
  </r>
  <r>
    <n v="1209660800"/>
    <s v="262"/>
    <x v="123"/>
    <d v="2026-10-12T11:15:22"/>
    <s v=""/>
    <s v="CAJA"/>
    <n v="14"/>
    <s v="PENDIENTE APROBACION  ENVIO TMS"/>
    <s v="000000001209660800"/>
    <x v="2"/>
    <x v="4"/>
    <s v="APROBAR"/>
    <n v="1"/>
    <e v="#N/A"/>
  </r>
  <r>
    <n v="8209660742"/>
    <s v="259"/>
    <x v="121"/>
    <d v="2026-10-12T11:15:23"/>
    <s v=""/>
    <s v="UNIDAD"/>
    <n v="1"/>
    <s v="PENDIENTE APROBACION  ENVIO TMS"/>
    <s v="000000008209660742"/>
    <x v="1"/>
    <x v="2"/>
    <s v="APROBAR"/>
    <n v="1"/>
    <e v="#N/A"/>
  </r>
  <r>
    <n v="8209660743"/>
    <s v="259"/>
    <x v="121"/>
    <d v="2026-10-12T11:15:24"/>
    <s v=""/>
    <s v="UNIDAD"/>
    <n v="4"/>
    <s v="PENDIENTE APROBACION  ENVIO TMS"/>
    <s v="000000008209660743"/>
    <x v="1"/>
    <x v="2"/>
    <s v="APROBAR"/>
    <n v="1"/>
    <e v="#N/A"/>
  </r>
  <r>
    <n v="1209660823"/>
    <s v="264"/>
    <x v="120"/>
    <d v="2026-10-12T11:15:26"/>
    <s v=""/>
    <s v="CAJA"/>
    <n v="3"/>
    <s v="PENDIENTE APROBACION  ENVIO TMS"/>
    <s v="000000001209660823"/>
    <x v="2"/>
    <x v="2"/>
    <s v="APROBAR"/>
    <n v="1"/>
    <e v="#N/A"/>
  </r>
  <r>
    <n v="8209660758"/>
    <s v="260"/>
    <x v="119"/>
    <d v="2026-10-12T11:15:29"/>
    <s v=""/>
    <s v="UNIDAD"/>
    <n v="1"/>
    <s v="PENDIENTE APROBACION  ENVIO TMS"/>
    <s v="000000008209660758"/>
    <x v="1"/>
    <x v="1"/>
    <s v="APROBAR"/>
    <n v="1"/>
    <e v="#N/A"/>
  </r>
  <r>
    <n v="8209660789"/>
    <s v="262"/>
    <x v="123"/>
    <d v="2026-10-12T11:15:31"/>
    <s v=""/>
    <s v="UNIDAD"/>
    <n v="2"/>
    <s v="PENDIENTE APROBACION  ENVIO TMS"/>
    <s v="000000008209660789"/>
    <x v="1"/>
    <x v="4"/>
    <s v="APROBAR"/>
    <n v="1"/>
    <e v="#N/A"/>
  </r>
  <r>
    <n v="8209660791"/>
    <s v="262"/>
    <x v="123"/>
    <d v="2026-10-12T11:15:32"/>
    <s v=""/>
    <s v="UNIDAD"/>
    <n v="1"/>
    <s v="PENDIENTE APROBACION  ENVIO TMS"/>
    <s v="000000008209660791"/>
    <x v="1"/>
    <x v="4"/>
    <s v="APROBAR"/>
    <n v="1"/>
    <e v="#N/A"/>
  </r>
  <r>
    <n v="1209660763"/>
    <s v="260"/>
    <x v="119"/>
    <d v="2026-10-12T11:15:33"/>
    <s v=""/>
    <s v="CAJA"/>
    <n v="3"/>
    <s v="PENDIENTE APROBACION  ENVIO TMS"/>
    <s v="000000001209660763"/>
    <x v="2"/>
    <x v="1"/>
    <s v="APROBAR"/>
    <n v="1"/>
    <e v="#N/A"/>
  </r>
  <r>
    <n v="1209660801"/>
    <s v="262"/>
    <x v="123"/>
    <d v="2026-10-12T11:15:35"/>
    <s v=""/>
    <s v="CAJA"/>
    <n v="7"/>
    <s v="PENDIENTE APROBACION  ENVIO TMS"/>
    <s v="000000001209660801"/>
    <x v="2"/>
    <x v="4"/>
    <s v="APROBAR"/>
    <n v="1"/>
    <e v="#N/A"/>
  </r>
  <r>
    <n v="8209660816"/>
    <s v="263"/>
    <x v="122"/>
    <d v="2026-10-12T11:15:35"/>
    <s v=""/>
    <s v="UNIDAD"/>
    <n v="9"/>
    <s v="PENDIENTE APROBACION  ENVIO TMS"/>
    <s v="000000008209660816"/>
    <x v="1"/>
    <x v="0"/>
    <s v="APROBAR"/>
    <n v="1"/>
    <e v="#N/A"/>
  </r>
  <r>
    <n v="1209660825"/>
    <s v="264"/>
    <x v="120"/>
    <d v="2026-10-12T11:15:37"/>
    <s v=""/>
    <s v="CAJA"/>
    <n v="2"/>
    <s v="PENDIENTE APROBACION  ENVIO TMS"/>
    <s v="000000001209660825"/>
    <x v="2"/>
    <x v="2"/>
    <s v="APROBAR"/>
    <n v="1"/>
    <e v="#N/A"/>
  </r>
  <r>
    <n v="1209660831"/>
    <s v="264"/>
    <x v="120"/>
    <d v="2026-10-12T11:15:43"/>
    <s v=""/>
    <s v="CAJA"/>
    <n v="19"/>
    <s v="PENDIENTE APROBACION  ENVIO TMS"/>
    <s v="000000001209660831"/>
    <x v="2"/>
    <x v="2"/>
    <s v="APROBAR"/>
    <n v="1"/>
    <e v="#N/A"/>
  </r>
  <r>
    <n v="1209660755"/>
    <s v="259"/>
    <x v="121"/>
    <d v="2026-10-12T11:15:45"/>
    <s v=""/>
    <s v="CAJA"/>
    <n v="37"/>
    <s v="PENDIENTE APROBACION  ENVIO TMS"/>
    <s v="000000001209660755"/>
    <x v="2"/>
    <x v="2"/>
    <s v="APROBAR"/>
    <n v="1"/>
    <e v="#N/A"/>
  </r>
  <r>
    <n v="1209660762"/>
    <s v="260"/>
    <x v="119"/>
    <d v="2026-10-12T11:15:47"/>
    <s v=""/>
    <s v="CAJA"/>
    <n v="4"/>
    <s v="PENDIENTE APROBACION  ENVIO TMS"/>
    <s v="000000001209660762"/>
    <x v="2"/>
    <x v="1"/>
    <s v="APROBAR"/>
    <n v="1"/>
    <e v="#N/A"/>
  </r>
  <r>
    <n v="1209660795"/>
    <s v="262"/>
    <x v="123"/>
    <d v="2026-10-12T11:15:48"/>
    <s v=""/>
    <s v="CAJA"/>
    <n v="5"/>
    <s v="PENDIENTE APROBACION  ENVIO TMS"/>
    <s v="000000001209660795"/>
    <x v="2"/>
    <x v="4"/>
    <s v="APROBAR"/>
    <n v="1"/>
    <e v="#N/A"/>
  </r>
  <r>
    <n v="1209660767"/>
    <s v="260"/>
    <x v="119"/>
    <d v="2026-10-12T11:15:49"/>
    <s v=""/>
    <s v="PACK"/>
    <n v="9"/>
    <s v="PENDIENTE APROBACION  ENVIO TMS"/>
    <s v="000000001209660767"/>
    <x v="2"/>
    <x v="1"/>
    <s v="APROBAR"/>
    <n v="1"/>
    <e v="#N/A"/>
  </r>
  <r>
    <n v="1209660799"/>
    <s v="262"/>
    <x v="123"/>
    <d v="2026-10-12T11:15:50"/>
    <s v=""/>
    <s v="CAJA"/>
    <n v="10"/>
    <s v="PENDIENTE APROBACION  ENVIO TMS"/>
    <s v="000000001209660799"/>
    <x v="2"/>
    <x v="4"/>
    <s v="APROBAR"/>
    <n v="1"/>
    <e v="#N/A"/>
  </r>
  <r>
    <n v="1209660769"/>
    <s v="260"/>
    <x v="119"/>
    <d v="2026-10-12T11:15:51"/>
    <s v=""/>
    <s v="CAJA"/>
    <n v="10"/>
    <s v="PENDIENTE APROBACION  ENVIO TMS"/>
    <s v="000000001209660769"/>
    <x v="2"/>
    <x v="1"/>
    <s v="APROBAR"/>
    <n v="1"/>
    <e v="#N/A"/>
  </r>
  <r>
    <n v="1209660864"/>
    <s v="275"/>
    <x v="124"/>
    <d v="2026-10-12T11:18:53"/>
    <s v=""/>
    <s v="CAJA"/>
    <n v="7"/>
    <s v="PENDIENTE APROBACION  ENVIO TMS"/>
    <s v="000000001209660864"/>
    <x v="2"/>
    <x v="0"/>
    <s v="APROBAR"/>
    <n v="1"/>
    <e v="#N/A"/>
  </r>
  <r>
    <n v="8209660890"/>
    <s v="278"/>
    <x v="125"/>
    <d v="2026-10-12T11:18:55"/>
    <s v=""/>
    <s v="UNIDAD"/>
    <n v="3"/>
    <s v="PENDIENTE APROBACION  ENVIO TMS"/>
    <s v="000000008209660890"/>
    <x v="1"/>
    <x v="2"/>
    <s v="APROBAR"/>
    <n v="1"/>
    <e v="#N/A"/>
  </r>
  <r>
    <n v="1209660891"/>
    <s v="278"/>
    <x v="125"/>
    <d v="2026-10-12T11:18:56"/>
    <s v=""/>
    <s v="CAJA"/>
    <n v="1"/>
    <s v="PENDIENTE APROBACION  ENVIO TMS"/>
    <s v="000000001209660891"/>
    <x v="2"/>
    <x v="2"/>
    <s v="APROBAR"/>
    <n v="1"/>
    <e v="#N/A"/>
  </r>
  <r>
    <n v="1209660868"/>
    <s v="275"/>
    <x v="124"/>
    <d v="2026-10-12T11:18:58"/>
    <s v=""/>
    <s v="CAJA"/>
    <n v="1"/>
    <s v="PENDIENTE APROBACION  ENVIO TMS"/>
    <s v="000000001209660868"/>
    <x v="2"/>
    <x v="0"/>
    <s v="APROBAR"/>
    <n v="1"/>
    <e v="#N/A"/>
  </r>
  <r>
    <n v="1209660913"/>
    <s v="279"/>
    <x v="126"/>
    <d v="2026-10-12T11:18:59"/>
    <s v=""/>
    <s v="CAJA"/>
    <n v="6"/>
    <s v="PENDIENTE APROBACION  ENVIO TMS"/>
    <s v="000000001209660913"/>
    <x v="2"/>
    <x v="0"/>
    <s v="APROBAR"/>
    <n v="1"/>
    <e v="#N/A"/>
  </r>
  <r>
    <n v="1209660845"/>
    <s v="266"/>
    <x v="127"/>
    <d v="2026-10-12T11:19:01"/>
    <s v=""/>
    <s v="PACK"/>
    <n v="16"/>
    <s v="PENDIENTE APROBACION  ENVIO TMS"/>
    <s v="000000001209660845"/>
    <x v="2"/>
    <x v="0"/>
    <s v="APROBAR"/>
    <n v="1"/>
    <e v="#N/A"/>
  </r>
  <r>
    <n v="8209660876"/>
    <s v="277"/>
    <x v="128"/>
    <d v="2026-10-12T11:19:02"/>
    <s v=""/>
    <s v="UNIDAD"/>
    <n v="20"/>
    <s v="PENDIENTE APROBACION  ENVIO TMS"/>
    <s v="000000008209660876"/>
    <x v="1"/>
    <x v="2"/>
    <s v="APROBAR"/>
    <n v="1"/>
    <e v="#N/A"/>
  </r>
  <r>
    <n v="1209660880"/>
    <s v="277"/>
    <x v="128"/>
    <d v="2026-10-12T11:19:04"/>
    <s v=""/>
    <s v="CAJA"/>
    <n v="3"/>
    <s v="PENDIENTE APROBACION  ENVIO TMS"/>
    <s v="000000001209660880"/>
    <x v="2"/>
    <x v="2"/>
    <s v="APROBAR"/>
    <n v="1"/>
    <e v="#N/A"/>
  </r>
  <r>
    <n v="1209660900"/>
    <s v="278"/>
    <x v="125"/>
    <d v="2026-10-12T11:19:07"/>
    <s v=""/>
    <s v="CAJA"/>
    <n v="60"/>
    <s v="PENDIENTE APROBACION  ENVIO TMS"/>
    <s v="000000001209660900"/>
    <x v="2"/>
    <x v="2"/>
    <s v="APROBAR"/>
    <n v="1"/>
    <e v="#N/A"/>
  </r>
  <r>
    <n v="8209660886"/>
    <s v="278"/>
    <x v="125"/>
    <d v="2026-10-12T11:19:12"/>
    <s v=""/>
    <s v="UNIDAD"/>
    <n v="13"/>
    <s v="PENDIENTE APROBACION  ENVIO TMS"/>
    <s v="000000008209660886"/>
    <x v="1"/>
    <x v="2"/>
    <s v="APROBAR"/>
    <n v="1"/>
    <e v="#N/A"/>
  </r>
  <r>
    <n v="8209660892"/>
    <s v="278"/>
    <x v="125"/>
    <d v="2026-10-12T11:19:13"/>
    <s v=""/>
    <s v="UNIDAD"/>
    <n v="1"/>
    <s v="PENDIENTE APROBACION  ENVIO TMS"/>
    <s v="000000008209660892"/>
    <x v="1"/>
    <x v="2"/>
    <s v="APROBAR"/>
    <n v="1"/>
    <e v="#N/A"/>
  </r>
  <r>
    <n v="1209660894"/>
    <s v="278"/>
    <x v="125"/>
    <d v="2026-10-12T11:19:14"/>
    <s v=""/>
    <s v="CAJA"/>
    <n v="12"/>
    <s v="PENDIENTE APROBACION  ENVIO TMS"/>
    <s v="000000001209660894"/>
    <x v="2"/>
    <x v="2"/>
    <s v="APROBAR"/>
    <n v="1"/>
    <e v="#N/A"/>
  </r>
  <r>
    <n v="1209660866"/>
    <s v="275"/>
    <x v="124"/>
    <d v="2026-10-12T11:19:15"/>
    <s v=""/>
    <s v="CAJA"/>
    <n v="6"/>
    <s v="PENDIENTE APROBACION  ENVIO TMS"/>
    <s v="000000001209660866"/>
    <x v="2"/>
    <x v="0"/>
    <s v="APROBAR"/>
    <n v="1"/>
    <e v="#N/A"/>
  </r>
  <r>
    <n v="8209660906"/>
    <s v="279"/>
    <x v="126"/>
    <d v="2026-10-12T11:19:17"/>
    <s v=""/>
    <s v="UNIDAD"/>
    <n v="1"/>
    <s v="PENDIENTE APROBACION  ENVIO TMS"/>
    <s v="000000008209660906"/>
    <x v="1"/>
    <x v="0"/>
    <s v="APROBAR"/>
    <n v="1"/>
    <e v="#N/A"/>
  </r>
  <r>
    <n v="1209660910"/>
    <s v="279"/>
    <x v="126"/>
    <d v="2026-10-12T11:19:19"/>
    <s v=""/>
    <s v="CAJA"/>
    <n v="2"/>
    <s v="PENDIENTE APROBACION  ENVIO TMS"/>
    <s v="000000001209660910"/>
    <x v="2"/>
    <x v="0"/>
    <s v="APROBAR"/>
    <n v="1"/>
    <e v="#N/A"/>
  </r>
  <r>
    <n v="1209660897"/>
    <s v="278"/>
    <x v="125"/>
    <d v="2026-10-12T11:19:20"/>
    <s v=""/>
    <s v="PACK"/>
    <n v="22"/>
    <s v="PENDIENTE APROBACION  ENVIO TMS"/>
    <s v="000000001209660897"/>
    <x v="2"/>
    <x v="2"/>
    <s v="APROBAR"/>
    <n v="1"/>
    <e v="#N/A"/>
  </r>
  <r>
    <n v="1209660875"/>
    <s v="277"/>
    <x v="128"/>
    <d v="2026-10-12T11:19:22"/>
    <s v=""/>
    <s v="CAJA"/>
    <n v="1"/>
    <s v="PENDIENTE APROBACION  ENVIO TMS"/>
    <s v="000000001209660875"/>
    <x v="2"/>
    <x v="2"/>
    <s v="APROBAR"/>
    <n v="1"/>
    <e v="#N/A"/>
  </r>
  <r>
    <n v="1209660918"/>
    <s v="279"/>
    <x v="126"/>
    <d v="2026-10-12T11:19:24"/>
    <s v=""/>
    <s v="CAJA"/>
    <n v="7"/>
    <s v="PENDIENTE APROBACION  ENVIO TMS"/>
    <s v="000000001209660918"/>
    <x v="2"/>
    <x v="0"/>
    <s v="APROBAR"/>
    <n v="1"/>
    <e v="#N/A"/>
  </r>
  <r>
    <n v="1209660883"/>
    <s v="277"/>
    <x v="128"/>
    <d v="2026-10-12T11:19:28"/>
    <s v=""/>
    <s v="CAJA"/>
    <n v="19"/>
    <s v="PENDIENTE APROBACION  ENVIO TMS"/>
    <s v="000000001209660883"/>
    <x v="2"/>
    <x v="2"/>
    <s v="APROBAR"/>
    <n v="1"/>
    <e v="#N/A"/>
  </r>
  <r>
    <n v="8209660857"/>
    <s v="275"/>
    <x v="124"/>
    <d v="2026-10-12T11:19:33"/>
    <s v=""/>
    <s v="UNIDAD"/>
    <n v="1"/>
    <s v="PENDIENTE APROBACION  ENVIO TMS"/>
    <s v="000000008209660857"/>
    <x v="1"/>
    <x v="0"/>
    <s v="APROBAR"/>
    <n v="1"/>
    <e v="#N/A"/>
  </r>
  <r>
    <n v="8209660861"/>
    <s v="275"/>
    <x v="124"/>
    <d v="2026-10-12T11:19:35"/>
    <s v=""/>
    <s v="UNIDAD"/>
    <n v="4"/>
    <s v="PENDIENTE APROBACION  ENVIO TMS"/>
    <s v="000000008209660861"/>
    <x v="1"/>
    <x v="0"/>
    <s v="APROBAR"/>
    <n v="1"/>
    <e v="#N/A"/>
  </r>
  <r>
    <n v="8209660833"/>
    <s v="266"/>
    <x v="127"/>
    <d v="2026-10-12T11:19:36"/>
    <s v=""/>
    <s v="UNIDAD"/>
    <n v="3"/>
    <s v="PENDIENTE APROBACION  ENVIO TMS"/>
    <s v="000000008209660833"/>
    <x v="1"/>
    <x v="0"/>
    <s v="APROBAR"/>
    <n v="1"/>
    <e v="#N/A"/>
  </r>
  <r>
    <n v="8209660834"/>
    <s v="266"/>
    <x v="127"/>
    <d v="2026-10-12T11:19:38"/>
    <s v=""/>
    <s v="UNIDAD"/>
    <n v="8"/>
    <s v="PENDIENTE APROBACION  ENVIO TMS"/>
    <s v="000000008209660834"/>
    <x v="1"/>
    <x v="0"/>
    <s v="APROBAR"/>
    <n v="1"/>
    <e v="#N/A"/>
  </r>
  <r>
    <n v="8209660835"/>
    <s v="266"/>
    <x v="127"/>
    <d v="2026-10-12T11:19:40"/>
    <s v=""/>
    <s v="UNIDAD"/>
    <n v="7"/>
    <s v="PENDIENTE APROBACION  ENVIO TMS"/>
    <s v="000000008209660835"/>
    <x v="1"/>
    <x v="0"/>
    <s v="APROBAR"/>
    <n v="1"/>
    <e v="#N/A"/>
  </r>
  <r>
    <n v="8209660836"/>
    <s v="266"/>
    <x v="127"/>
    <d v="2026-10-12T11:19:42"/>
    <s v=""/>
    <s v="UNIDAD"/>
    <n v="7"/>
    <s v="PENDIENTE APROBACION  ENVIO TMS"/>
    <s v="000000008209660836"/>
    <x v="1"/>
    <x v="0"/>
    <s v="APROBAR"/>
    <n v="1"/>
    <e v="#N/A"/>
  </r>
  <r>
    <n v="1209660911"/>
    <s v="279"/>
    <x v="126"/>
    <d v="2026-10-12T11:19:43"/>
    <s v=""/>
    <s v="CAJA"/>
    <n v="5"/>
    <s v="PENDIENTE APROBACION  ENVIO TMS"/>
    <s v="000000001209660911"/>
    <x v="2"/>
    <x v="0"/>
    <s v="APROBAR"/>
    <n v="1"/>
    <e v="#N/A"/>
  </r>
  <r>
    <n v="1209660844"/>
    <s v="266"/>
    <x v="127"/>
    <d v="2026-10-12T11:19:45"/>
    <s v=""/>
    <s v="CAJA"/>
    <n v="15"/>
    <s v="PENDIENTE APROBACION  ENVIO TMS"/>
    <s v="000000001209660844"/>
    <x v="2"/>
    <x v="0"/>
    <s v="APROBAR"/>
    <n v="1"/>
    <e v="#N/A"/>
  </r>
  <r>
    <n v="1209660881"/>
    <s v="277"/>
    <x v="128"/>
    <d v="2026-10-12T11:19:46"/>
    <s v=""/>
    <s v="CAJA"/>
    <n v="24"/>
    <s v="PENDIENTE APROBACION  ENVIO TMS"/>
    <s v="000000001209660881"/>
    <x v="2"/>
    <x v="2"/>
    <s v="APROBAR"/>
    <n v="1"/>
    <e v="#N/A"/>
  </r>
  <r>
    <n v="1209660849"/>
    <s v="266"/>
    <x v="127"/>
    <d v="2026-10-12T11:19:48"/>
    <s v=""/>
    <s v="CAJA"/>
    <n v="40"/>
    <s v="PENDIENTE APROBACION  ENVIO TMS"/>
    <s v="000000001209660849"/>
    <x v="2"/>
    <x v="0"/>
    <s v="APROBAR"/>
    <n v="1"/>
    <e v="#N/A"/>
  </r>
  <r>
    <n v="8209660889"/>
    <s v="278"/>
    <x v="125"/>
    <d v="2026-10-12T11:19:54"/>
    <s v=""/>
    <s v="UNIDAD"/>
    <n v="7"/>
    <s v="PENDIENTE APROBACION  ENVIO TMS"/>
    <s v="000000008209660889"/>
    <x v="1"/>
    <x v="2"/>
    <s v="APROBAR"/>
    <n v="1"/>
    <e v="#N/A"/>
  </r>
  <r>
    <n v="8209660908"/>
    <s v="279"/>
    <x v="126"/>
    <d v="2026-10-12T11:19:56"/>
    <s v=""/>
    <s v="UNIDAD"/>
    <n v="2"/>
    <s v="PENDIENTE APROBACION  ENVIO TMS"/>
    <s v="000000008209660908"/>
    <x v="1"/>
    <x v="0"/>
    <s v="APROBAR"/>
    <n v="1"/>
    <e v="#N/A"/>
  </r>
  <r>
    <n v="1209660909"/>
    <s v="279"/>
    <x v="126"/>
    <d v="2026-10-12T11:19:57"/>
    <s v=""/>
    <s v="CAJA"/>
    <n v="5"/>
    <s v="PENDIENTE APROBACION  ENVIO TMS"/>
    <s v="000000001209660909"/>
    <x v="2"/>
    <x v="0"/>
    <s v="APROBAR"/>
    <n v="1"/>
    <e v="#N/A"/>
  </r>
  <r>
    <n v="1209660898"/>
    <s v="278"/>
    <x v="125"/>
    <d v="2026-10-12T11:19:59"/>
    <s v=""/>
    <s v="PACK"/>
    <n v="35"/>
    <s v="PENDIENTE APROBACION  ENVIO TMS"/>
    <s v="000000001209660898"/>
    <x v="2"/>
    <x v="2"/>
    <s v="APROBAR"/>
    <n v="1"/>
    <e v="#N/A"/>
  </r>
  <r>
    <n v="1209660848"/>
    <s v="266"/>
    <x v="127"/>
    <d v="2026-10-12T11:20:02"/>
    <s v=""/>
    <s v="PACK"/>
    <n v="35"/>
    <s v="PENDIENTE APROBACION  ENVIO TMS"/>
    <s v="000000001209660848"/>
    <x v="2"/>
    <x v="0"/>
    <s v="APROBAR"/>
    <n v="1"/>
    <e v="#N/A"/>
  </r>
  <r>
    <n v="1209660884"/>
    <s v="277"/>
    <x v="128"/>
    <d v="2026-10-12T11:20:07"/>
    <s v=""/>
    <s v="PACK"/>
    <n v="30"/>
    <s v="PENDIENTE APROBACION  ENVIO TMS"/>
    <s v="000000001209660884"/>
    <x v="2"/>
    <x v="2"/>
    <s v="APROBAR"/>
    <n v="1"/>
    <e v="#N/A"/>
  </r>
  <r>
    <n v="8209660859"/>
    <s v="275"/>
    <x v="124"/>
    <d v="2026-10-12T11:20:09"/>
    <s v=""/>
    <s v="UNIDAD"/>
    <n v="6"/>
    <s v="PENDIENTE APROBACION  ENVIO TMS"/>
    <s v="000000008209660859"/>
    <x v="1"/>
    <x v="0"/>
    <s v="APROBAR"/>
    <n v="1"/>
    <e v="#N/A"/>
  </r>
  <r>
    <n v="8209660860"/>
    <s v="275"/>
    <x v="124"/>
    <d v="2026-10-12T11:20:11"/>
    <s v=""/>
    <s v="UNIDAD"/>
    <n v="1"/>
    <s v="PENDIENTE APROBACION  ENVIO TMS"/>
    <s v="000000008209660860"/>
    <x v="1"/>
    <x v="0"/>
    <s v="APROBAR"/>
    <n v="1"/>
    <e v="#N/A"/>
  </r>
  <r>
    <n v="8209660888"/>
    <s v="278"/>
    <x v="125"/>
    <d v="2026-10-12T11:20:12"/>
    <s v=""/>
    <s v="UNIDAD"/>
    <n v="2"/>
    <s v="PENDIENTE APROBACION  ENVIO TMS"/>
    <s v="000000008209660888"/>
    <x v="1"/>
    <x v="2"/>
    <s v="APROBAR"/>
    <n v="1"/>
    <e v="#N/A"/>
  </r>
  <r>
    <n v="1209660901"/>
    <s v="278"/>
    <x v="125"/>
    <d v="2026-10-12T11:20:14"/>
    <s v=""/>
    <s v="PACK"/>
    <n v="80"/>
    <s v="PENDIENTE APROBACION  ENVIO TMS"/>
    <s v="000000001209660901"/>
    <x v="2"/>
    <x v="2"/>
    <s v="APROBAR"/>
    <n v="1"/>
    <e v="#N/A"/>
  </r>
  <r>
    <n v="1209660865"/>
    <s v="275"/>
    <x v="124"/>
    <d v="2026-10-12T11:20:16"/>
    <s v=""/>
    <s v="PACK"/>
    <n v="7"/>
    <s v="PENDIENTE APROBACION  ENVIO TMS"/>
    <s v="000000001209660865"/>
    <x v="2"/>
    <x v="0"/>
    <s v="APROBAR"/>
    <n v="1"/>
    <e v="#N/A"/>
  </r>
  <r>
    <n v="8209660871"/>
    <s v="275"/>
    <x v="124"/>
    <d v="2026-10-12T11:20:17"/>
    <s v=""/>
    <s v="UNIDAD"/>
    <n v="6"/>
    <s v="PENDIENTE APROBACION  ENVIO TMS"/>
    <s v="000000008209660871"/>
    <x v="1"/>
    <x v="0"/>
    <s v="APROBAR"/>
    <n v="1"/>
    <e v="#N/A"/>
  </r>
  <r>
    <n v="1209660915"/>
    <s v="279"/>
    <x v="126"/>
    <d v="2026-10-12T11:20:19"/>
    <s v=""/>
    <s v="CAJA"/>
    <n v="13"/>
    <s v="PENDIENTE APROBACION  ENVIO TMS"/>
    <s v="000000001209660915"/>
    <x v="2"/>
    <x v="0"/>
    <s v="APROBAR"/>
    <n v="1"/>
    <e v="#N/A"/>
  </r>
  <r>
    <n v="8209660873"/>
    <s v="277"/>
    <x v="128"/>
    <d v="2026-10-12T11:20:21"/>
    <s v=""/>
    <s v="UNIDAD"/>
    <n v="1"/>
    <s v="PENDIENTE APROBACION  ENVIO TMS"/>
    <s v="000000008209660873"/>
    <x v="1"/>
    <x v="2"/>
    <s v="APROBAR"/>
    <n v="1"/>
    <e v="#N/A"/>
  </r>
  <r>
    <n v="1209660916"/>
    <s v="279"/>
    <x v="126"/>
    <d v="2026-10-12T11:20:22"/>
    <s v=""/>
    <s v="CAJA"/>
    <n v="1"/>
    <s v="PENDIENTE APROBACION  ENVIO TMS"/>
    <s v="000000001209660916"/>
    <x v="2"/>
    <x v="0"/>
    <s v="APROBAR"/>
    <n v="1"/>
    <e v="#N/A"/>
  </r>
  <r>
    <n v="1209660899"/>
    <s v="278"/>
    <x v="125"/>
    <d v="2026-10-12T11:20:24"/>
    <s v=""/>
    <s v="PACK"/>
    <n v="54"/>
    <s v="PENDIENTE APROBACION  ENVIO TMS"/>
    <s v="000000001209660899"/>
    <x v="2"/>
    <x v="2"/>
    <s v="APROBAR"/>
    <n v="1"/>
    <e v="#N/A"/>
  </r>
  <r>
    <n v="8209660858"/>
    <s v="275"/>
    <x v="124"/>
    <d v="2026-10-12T11:20:28"/>
    <s v=""/>
    <s v="UNIDAD"/>
    <n v="2"/>
    <s v="PENDIENTE APROBACION  ENVIO TMS"/>
    <s v="000000008209660858"/>
    <x v="1"/>
    <x v="0"/>
    <s v="APROBAR"/>
    <n v="1"/>
    <e v="#N/A"/>
  </r>
  <r>
    <n v="8209660902"/>
    <s v="278"/>
    <x v="125"/>
    <d v="2026-10-12T11:20:30"/>
    <s v=""/>
    <s v="UNIDAD"/>
    <n v="2"/>
    <s v="PENDIENTE APROBACION  ENVIO TMS"/>
    <s v="000000008209660902"/>
    <x v="1"/>
    <x v="2"/>
    <s v="APROBAR"/>
    <n v="1"/>
    <e v="#N/A"/>
  </r>
  <r>
    <n v="1209660903"/>
    <s v="278"/>
    <x v="125"/>
    <d v="2026-10-12T11:20:32"/>
    <s v=""/>
    <s v="PACK"/>
    <n v="25"/>
    <s v="PENDIENTE APROBACION  ENVIO TMS"/>
    <s v="000000001209660903"/>
    <x v="2"/>
    <x v="2"/>
    <s v="APROBAR"/>
    <n v="1"/>
    <e v="#N/A"/>
  </r>
  <r>
    <n v="8209660904"/>
    <s v="279"/>
    <x v="126"/>
    <d v="2026-10-12T11:20:33"/>
    <s v=""/>
    <s v="UNIDAD"/>
    <n v="3"/>
    <s v="PENDIENTE APROBACION  ENVIO TMS"/>
    <s v="000000008209660904"/>
    <x v="1"/>
    <x v="0"/>
    <s v="APROBAR"/>
    <n v="1"/>
    <e v="#N/A"/>
  </r>
  <r>
    <n v="8209660905"/>
    <s v="279"/>
    <x v="126"/>
    <d v="2026-10-12T11:20:35"/>
    <s v=""/>
    <s v="UNIDAD"/>
    <n v="1"/>
    <s v="PENDIENTE APROBACION  ENVIO TMS"/>
    <s v="000000008209660905"/>
    <x v="1"/>
    <x v="0"/>
    <s v="APROBAR"/>
    <n v="1"/>
    <e v="#N/A"/>
  </r>
  <r>
    <n v="1209660914"/>
    <s v="279"/>
    <x v="126"/>
    <d v="2026-10-12T11:20:37"/>
    <s v=""/>
    <s v="CAJA"/>
    <n v="7"/>
    <s v="PENDIENTE APROBACION  ENVIO TMS"/>
    <s v="000000001209660914"/>
    <x v="2"/>
    <x v="0"/>
    <s v="APROBAR"/>
    <n v="1"/>
    <e v="#N/A"/>
  </r>
  <r>
    <n v="1209660872"/>
    <s v="275"/>
    <x v="124"/>
    <d v="2026-10-12T11:20:38"/>
    <s v=""/>
    <s v="PACK"/>
    <n v="12"/>
    <s v="PENDIENTE APROBACION  ENVIO TMS"/>
    <s v="000000001209660872"/>
    <x v="2"/>
    <x v="0"/>
    <s v="APROBAR"/>
    <n v="1"/>
    <e v="#N/A"/>
  </r>
  <r>
    <n v="8209660877"/>
    <s v="277"/>
    <x v="128"/>
    <d v="2026-10-12T11:20:40"/>
    <s v=""/>
    <s v="UNIDAD"/>
    <n v="7"/>
    <s v="PENDIENTE APROBACION  ENVIO TMS"/>
    <s v="000000008209660877"/>
    <x v="1"/>
    <x v="2"/>
    <s v="APROBAR"/>
    <n v="1"/>
    <e v="#N/A"/>
  </r>
  <r>
    <n v="1209660862"/>
    <s v="275"/>
    <x v="124"/>
    <d v="2026-10-12T11:20:51"/>
    <s v=""/>
    <s v="CAJA"/>
    <n v="8"/>
    <s v="PENDIENTE APROBACION  ENVIO TMS"/>
    <s v="000000001209660862"/>
    <x v="2"/>
    <x v="0"/>
    <s v="APROBAR"/>
    <n v="1"/>
    <e v="#N/A"/>
  </r>
  <r>
    <n v="1209660863"/>
    <s v="275"/>
    <x v="124"/>
    <d v="2026-10-12T11:20:52"/>
    <s v=""/>
    <s v="CAJA"/>
    <n v="10"/>
    <s v="PENDIENTE APROBACION  ENVIO TMS"/>
    <s v="000000001209660863"/>
    <x v="2"/>
    <x v="0"/>
    <s v="APROBAR"/>
    <n v="1"/>
    <e v="#N/A"/>
  </r>
  <r>
    <n v="1209660895"/>
    <s v="278"/>
    <x v="125"/>
    <d v="2026-10-12T11:20:54"/>
    <s v=""/>
    <s v="CAJA"/>
    <n v="21"/>
    <s v="PENDIENTE APROBACION  ENVIO TMS"/>
    <s v="000000001209660895"/>
    <x v="2"/>
    <x v="2"/>
    <s v="APROBAR"/>
    <n v="1"/>
    <e v="#N/A"/>
  </r>
  <r>
    <n v="1209660837"/>
    <s v="266"/>
    <x v="127"/>
    <d v="2026-10-12T11:20:55"/>
    <s v=""/>
    <s v="CAJA"/>
    <n v="1"/>
    <s v="PENDIENTE APROBACION  ENVIO TMS"/>
    <s v="000000001209660837"/>
    <x v="2"/>
    <x v="0"/>
    <s v="APROBAR"/>
    <n v="1"/>
    <e v="#N/A"/>
  </r>
  <r>
    <n v="8209660838"/>
    <s v="266"/>
    <x v="127"/>
    <d v="2026-10-12T11:20:57"/>
    <s v=""/>
    <s v="UNIDAD"/>
    <n v="5"/>
    <s v="PENDIENTE APROBACION  ENVIO TMS"/>
    <s v="000000008209660838"/>
    <x v="1"/>
    <x v="0"/>
    <s v="APROBAR"/>
    <n v="1"/>
    <e v="#N/A"/>
  </r>
  <r>
    <n v="8209660839"/>
    <s v="266"/>
    <x v="127"/>
    <d v="2026-10-12T11:20:58"/>
    <s v=""/>
    <s v="UNIDAD"/>
    <n v="6"/>
    <s v="PENDIENTE APROBACION  ENVIO TMS"/>
    <s v="000000008209660839"/>
    <x v="1"/>
    <x v="0"/>
    <s v="APROBAR"/>
    <n v="1"/>
    <e v="#N/A"/>
  </r>
  <r>
    <n v="1209660867"/>
    <s v="275"/>
    <x v="124"/>
    <d v="2026-10-12T11:20:59"/>
    <s v=""/>
    <s v="CAJA"/>
    <n v="15"/>
    <s v="PENDIENTE APROBACION  ENVIO TMS"/>
    <s v="000000001209660867"/>
    <x v="2"/>
    <x v="0"/>
    <s v="APROBAR"/>
    <n v="1"/>
    <e v="#N/A"/>
  </r>
  <r>
    <n v="1209660840"/>
    <s v="266"/>
    <x v="127"/>
    <d v="2026-10-12T11:21:01"/>
    <s v=""/>
    <s v="CAJA"/>
    <n v="10"/>
    <s v="PENDIENTE APROBACION  ENVIO TMS"/>
    <s v="000000001209660840"/>
    <x v="2"/>
    <x v="0"/>
    <s v="APROBAR"/>
    <n v="1"/>
    <e v="#N/A"/>
  </r>
  <r>
    <n v="1209660896"/>
    <s v="278"/>
    <x v="125"/>
    <d v="2026-10-12T11:21:02"/>
    <s v=""/>
    <s v="PACK"/>
    <n v="23"/>
    <s v="PENDIENTE APROBACION  ENVIO TMS"/>
    <s v="000000001209660896"/>
    <x v="2"/>
    <x v="2"/>
    <s v="APROBAR"/>
    <n v="1"/>
    <e v="#N/A"/>
  </r>
  <r>
    <n v="1209660843"/>
    <s v="266"/>
    <x v="127"/>
    <d v="2026-10-12T11:21:03"/>
    <s v=""/>
    <s v="PACK"/>
    <n v="10"/>
    <s v="PENDIENTE APROBACION  ENVIO TMS"/>
    <s v="000000001209660843"/>
    <x v="2"/>
    <x v="0"/>
    <s v="APROBAR"/>
    <n v="1"/>
    <e v="#N/A"/>
  </r>
  <r>
    <n v="1209660878"/>
    <s v="277"/>
    <x v="128"/>
    <d v="2026-10-12T11:21:04"/>
    <s v=""/>
    <s v="CAJA"/>
    <n v="5"/>
    <s v="PENDIENTE APROBACION  ENVIO TMS"/>
    <s v="000000001209660878"/>
    <x v="2"/>
    <x v="2"/>
    <s v="APROBAR"/>
    <n v="1"/>
    <e v="#N/A"/>
  </r>
  <r>
    <n v="1209660879"/>
    <s v="277"/>
    <x v="128"/>
    <d v="2026-10-12T11:21:06"/>
    <s v=""/>
    <s v="CAJA"/>
    <n v="6"/>
    <s v="PENDIENTE APROBACION  ENVIO TMS"/>
    <s v="000000001209660879"/>
    <x v="2"/>
    <x v="2"/>
    <s v="APROBAR"/>
    <n v="1"/>
    <e v="#N/A"/>
  </r>
  <r>
    <n v="1209660847"/>
    <s v="266"/>
    <x v="127"/>
    <d v="2026-10-12T11:21:08"/>
    <s v=""/>
    <s v="CAJA"/>
    <n v="1"/>
    <s v="PENDIENTE APROBACION  ENVIO TMS"/>
    <s v="000000001209660847"/>
    <x v="2"/>
    <x v="0"/>
    <s v="APROBAR"/>
    <n v="1"/>
    <e v="#N/A"/>
  </r>
  <r>
    <n v="1209660882"/>
    <s v="277"/>
    <x v="128"/>
    <d v="2026-10-12T11:21:11"/>
    <s v=""/>
    <s v="PACK"/>
    <n v="34"/>
    <s v="PENDIENTE APROBACION  ENVIO TMS"/>
    <s v="000000001209660882"/>
    <x v="2"/>
    <x v="2"/>
    <s v="APROBAR"/>
    <n v="1"/>
    <e v="#N/A"/>
  </r>
  <r>
    <n v="8209660887"/>
    <s v="278"/>
    <x v="125"/>
    <d v="2026-10-12T11:21:13"/>
    <s v=""/>
    <s v="UNIDAD"/>
    <n v="8"/>
    <s v="PENDIENTE APROBACION  ENVIO TMS"/>
    <s v="000000008209660887"/>
    <x v="1"/>
    <x v="2"/>
    <s v="APROBAR"/>
    <n v="1"/>
    <e v="#N/A"/>
  </r>
  <r>
    <n v="1209660893"/>
    <s v="278"/>
    <x v="125"/>
    <d v="2026-10-12T11:21:14"/>
    <s v=""/>
    <s v="CAJA"/>
    <n v="1"/>
    <s v="PENDIENTE APROBACION  ENVIO TMS"/>
    <s v="000000001209660893"/>
    <x v="2"/>
    <x v="2"/>
    <s v="APROBAR"/>
    <n v="1"/>
    <e v="#N/A"/>
  </r>
  <r>
    <n v="1209660841"/>
    <s v="266"/>
    <x v="127"/>
    <d v="2026-10-12T11:21:16"/>
    <s v=""/>
    <s v="CAJA"/>
    <n v="6"/>
    <s v="PENDIENTE APROBACION  ENVIO TMS"/>
    <s v="000000001209660841"/>
    <x v="2"/>
    <x v="0"/>
    <s v="APROBAR"/>
    <n v="1"/>
    <e v="#N/A"/>
  </r>
  <r>
    <n v="1209660869"/>
    <s v="275"/>
    <x v="124"/>
    <d v="2026-10-12T11:21:17"/>
    <s v=""/>
    <s v="PACK"/>
    <n v="17"/>
    <s v="PENDIENTE APROBACION  ENVIO TMS"/>
    <s v="000000001209660869"/>
    <x v="2"/>
    <x v="0"/>
    <s v="APROBAR"/>
    <n v="1"/>
    <e v="#N/A"/>
  </r>
  <r>
    <n v="8209660907"/>
    <s v="279"/>
    <x v="126"/>
    <d v="2026-10-12T11:21:18"/>
    <s v=""/>
    <s v="UNIDAD"/>
    <n v="2"/>
    <s v="PENDIENTE APROBACION  ENVIO TMS"/>
    <s v="000000008209660907"/>
    <x v="1"/>
    <x v="0"/>
    <s v="APROBAR"/>
    <n v="1"/>
    <e v="#N/A"/>
  </r>
  <r>
    <n v="1209660842"/>
    <s v="266"/>
    <x v="127"/>
    <d v="2026-10-12T11:21:19"/>
    <s v=""/>
    <s v="CAJA"/>
    <n v="7"/>
    <s v="PENDIENTE APROBACION  ENVIO TMS"/>
    <s v="000000001209660842"/>
    <x v="2"/>
    <x v="0"/>
    <s v="APROBAR"/>
    <n v="1"/>
    <e v="#N/A"/>
  </r>
  <r>
    <n v="1209660870"/>
    <s v="275"/>
    <x v="124"/>
    <d v="2026-10-12T11:21:21"/>
    <s v=""/>
    <s v="CAJA"/>
    <n v="21"/>
    <s v="PENDIENTE APROBACION  ENVIO TMS"/>
    <s v="000000001209660870"/>
    <x v="2"/>
    <x v="0"/>
    <s v="APROBAR"/>
    <n v="1"/>
    <e v="#N/A"/>
  </r>
  <r>
    <n v="1209660912"/>
    <s v="279"/>
    <x v="126"/>
    <d v="2026-10-12T11:21:23"/>
    <s v=""/>
    <s v="CAJA"/>
    <n v="6"/>
    <s v="PENDIENTE APROBACION  ENVIO TMS"/>
    <s v="000000001209660912"/>
    <x v="2"/>
    <x v="0"/>
    <s v="APROBAR"/>
    <n v="1"/>
    <e v="#N/A"/>
  </r>
  <r>
    <n v="8209660874"/>
    <s v="277"/>
    <x v="128"/>
    <d v="2026-10-12T11:21:24"/>
    <s v=""/>
    <s v="UNIDAD"/>
    <n v="1"/>
    <s v="PENDIENTE APROBACION  ENVIO TMS"/>
    <s v="000000008209660874"/>
    <x v="1"/>
    <x v="2"/>
    <s v="APROBAR"/>
    <n v="1"/>
    <e v="#N/A"/>
  </r>
  <r>
    <n v="1209660917"/>
    <s v="279"/>
    <x v="126"/>
    <d v="2026-10-12T11:21:25"/>
    <s v=""/>
    <s v="PACK"/>
    <n v="13"/>
    <s v="PENDIENTE APROBACION  ENVIO TMS"/>
    <s v="000000001209660917"/>
    <x v="2"/>
    <x v="0"/>
    <s v="APROBAR"/>
    <n v="1"/>
    <e v="#N/A"/>
  </r>
  <r>
    <n v="1209660846"/>
    <s v="266"/>
    <x v="127"/>
    <d v="2026-10-12T11:21:27"/>
    <s v=""/>
    <s v="CAJA"/>
    <n v="26"/>
    <s v="PENDIENTE APROBACION  ENVIO TMS"/>
    <s v="000000001209660846"/>
    <x v="2"/>
    <x v="0"/>
    <s v="APROBAR"/>
    <n v="1"/>
    <e v="#N/A"/>
  </r>
  <r>
    <n v="1209660885"/>
    <s v="277"/>
    <x v="128"/>
    <d v="2026-10-12T11:21:31"/>
    <s v=""/>
    <s v="CAJA"/>
    <n v="63"/>
    <s v="PENDIENTE APROBACION  ENVIO TMS"/>
    <s v="000000001209660885"/>
    <x v="2"/>
    <x v="2"/>
    <s v="APROBAR"/>
    <n v="1"/>
    <e v="#N/A"/>
  </r>
  <r>
    <n v="1209661005"/>
    <s v="296"/>
    <x v="129"/>
    <d v="2026-10-12T11:23:53"/>
    <s v=""/>
    <s v="CAJA"/>
    <n v="12"/>
    <s v="PENDIENTE APROBACION  ENVIO TMS"/>
    <s v="000000001209661005"/>
    <x v="2"/>
    <x v="2"/>
    <s v="APROBAR"/>
    <n v="1"/>
    <e v="#N/A"/>
  </r>
  <r>
    <n v="1209660944"/>
    <s v="281"/>
    <x v="130"/>
    <d v="2026-10-12T11:23:54"/>
    <s v=""/>
    <s v="CAJA"/>
    <n v="5"/>
    <s v="PENDIENTE APROBACION  ENVIO TMS"/>
    <s v="000000001209660944"/>
    <x v="2"/>
    <x v="0"/>
    <s v="APROBAR"/>
    <n v="1"/>
    <e v="#N/A"/>
  </r>
  <r>
    <n v="1209661008"/>
    <s v="296"/>
    <x v="129"/>
    <d v="2026-10-12T11:23:55"/>
    <s v=""/>
    <s v="CAJA"/>
    <n v="35"/>
    <s v="PENDIENTE APROBACION  ENVIO TMS"/>
    <s v="000000001209661008"/>
    <x v="2"/>
    <x v="2"/>
    <s v="APROBAR"/>
    <n v="1"/>
    <e v="#N/A"/>
  </r>
  <r>
    <n v="1209661011"/>
    <s v="297"/>
    <x v="131"/>
    <d v="2026-10-12T11:23:57"/>
    <s v=""/>
    <s v="PACK"/>
    <n v="3"/>
    <s v="PENDIENTE APROBACION  ENVIO TMS"/>
    <s v="000000001209661011"/>
    <x v="2"/>
    <x v="0"/>
    <s v="APROBAR"/>
    <n v="1"/>
    <e v="#N/A"/>
  </r>
  <r>
    <n v="1209660949"/>
    <s v="281"/>
    <x v="130"/>
    <d v="2026-10-12T11:23:59"/>
    <s v=""/>
    <s v="CAJA"/>
    <n v="27"/>
    <s v="PENDIENTE APROBACION  ENVIO TMS"/>
    <s v="000000001209660949"/>
    <x v="2"/>
    <x v="0"/>
    <s v="APROBAR"/>
    <n v="1"/>
    <e v="#N/A"/>
  </r>
  <r>
    <n v="8209660956"/>
    <s v="282"/>
    <x v="132"/>
    <d v="2026-10-12T11:24:00"/>
    <s v=""/>
    <s v="UNIDAD"/>
    <n v="3"/>
    <s v="PENDIENTE APROBACION  ENVIO TMS"/>
    <s v="000000008209660956"/>
    <x v="1"/>
    <x v="0"/>
    <s v="APROBAR"/>
    <n v="1"/>
    <e v="#N/A"/>
  </r>
  <r>
    <n v="1209660972"/>
    <s v="282"/>
    <x v="132"/>
    <d v="2026-10-12T11:24:02"/>
    <s v=""/>
    <s v="PACK"/>
    <n v="31"/>
    <s v="PENDIENTE APROBACION  ENVIO TMS"/>
    <s v="000000001209660972"/>
    <x v="2"/>
    <x v="0"/>
    <s v="APROBAR"/>
    <n v="1"/>
    <e v="#N/A"/>
  </r>
  <r>
    <n v="1209661016"/>
    <s v="297"/>
    <x v="131"/>
    <d v="2026-10-12T11:24:04"/>
    <s v=""/>
    <s v="CAJA"/>
    <n v="14"/>
    <s v="PENDIENTE APROBACION  ENVIO TMS"/>
    <s v="000000001209661016"/>
    <x v="2"/>
    <x v="0"/>
    <s v="APROBAR"/>
    <n v="1"/>
    <e v="#N/A"/>
  </r>
  <r>
    <n v="1209661017"/>
    <s v="297"/>
    <x v="131"/>
    <d v="2026-10-12T11:24:06"/>
    <s v=""/>
    <s v="PACK"/>
    <n v="15"/>
    <s v="PENDIENTE APROBACION  ENVIO TMS"/>
    <s v="000000001209661017"/>
    <x v="2"/>
    <x v="0"/>
    <s v="APROBAR"/>
    <n v="1"/>
    <e v="#N/A"/>
  </r>
  <r>
    <n v="1209661001"/>
    <s v="296"/>
    <x v="129"/>
    <d v="2026-10-12T11:24:07"/>
    <s v=""/>
    <s v="PACK"/>
    <n v="1"/>
    <s v="PENDIENTE APROBACION  ENVIO TMS"/>
    <s v="000000001209661001"/>
    <x v="2"/>
    <x v="2"/>
    <s v="APROBAR"/>
    <n v="1"/>
    <e v="#N/A"/>
  </r>
  <r>
    <n v="1209661002"/>
    <s v="296"/>
    <x v="129"/>
    <d v="2026-10-12T11:24:09"/>
    <s v=""/>
    <s v="CAJA"/>
    <n v="2"/>
    <s v="PENDIENTE APROBACION  ENVIO TMS"/>
    <s v="000000001209661002"/>
    <x v="2"/>
    <x v="2"/>
    <s v="APROBAR"/>
    <n v="1"/>
    <e v="#N/A"/>
  </r>
  <r>
    <n v="1209660965"/>
    <s v="282"/>
    <x v="132"/>
    <d v="2026-10-12T11:24:10"/>
    <s v=""/>
    <s v="CAJA"/>
    <n v="10"/>
    <s v="PENDIENTE APROBACION  ENVIO TMS"/>
    <s v="000000001209660965"/>
    <x v="2"/>
    <x v="0"/>
    <s v="APROBAR"/>
    <n v="1"/>
    <e v="#N/A"/>
  </r>
  <r>
    <n v="1209661012"/>
    <s v="297"/>
    <x v="131"/>
    <d v="2026-10-12T11:24:12"/>
    <s v=""/>
    <s v="CAJA"/>
    <n v="1"/>
    <s v="PENDIENTE APROBACION  ENVIO TMS"/>
    <s v="000000001209661012"/>
    <x v="2"/>
    <x v="0"/>
    <s v="APROBAR"/>
    <n v="1"/>
    <e v="#N/A"/>
  </r>
  <r>
    <n v="1209660980"/>
    <s v="282"/>
    <x v="132"/>
    <d v="2026-10-12T11:24:13"/>
    <s v=""/>
    <s v="PACK"/>
    <n v="3"/>
    <s v="PENDIENTE APROBACION  ENVIO TMS"/>
    <s v="000000001209660980"/>
    <x v="2"/>
    <x v="0"/>
    <s v="APROBAR"/>
    <n v="1"/>
    <e v="#N/A"/>
  </r>
  <r>
    <n v="8209660983"/>
    <s v="284"/>
    <x v="133"/>
    <d v="2026-10-12T11:24:15"/>
    <s v=""/>
    <s v="UNIDAD"/>
    <n v="1"/>
    <s v="PENDIENTE APROBACION  ENVIO TMS"/>
    <s v="000000008209660983"/>
    <x v="1"/>
    <x v="0"/>
    <s v="APROBAR"/>
    <n v="1"/>
    <e v="#N/A"/>
  </r>
  <r>
    <n v="1209660986"/>
    <s v="284"/>
    <x v="133"/>
    <d v="2026-10-12T11:24:17"/>
    <s v=""/>
    <s v="CAJA"/>
    <n v="1"/>
    <s v="PENDIENTE APROBACION  ENVIO TMS"/>
    <s v="000000001209660986"/>
    <x v="2"/>
    <x v="0"/>
    <s v="APROBAR"/>
    <n v="1"/>
    <e v="#N/A"/>
  </r>
  <r>
    <n v="1209660987"/>
    <s v="284"/>
    <x v="133"/>
    <d v="2026-10-12T11:24:18"/>
    <s v=""/>
    <s v="CAJA"/>
    <n v="7"/>
    <s v="PENDIENTE APROBACION  ENVIO TMS"/>
    <s v="000000001209660987"/>
    <x v="2"/>
    <x v="0"/>
    <s v="APROBAR"/>
    <n v="1"/>
    <e v="#N/A"/>
  </r>
  <r>
    <n v="8209660958"/>
    <s v="282"/>
    <x v="132"/>
    <d v="2026-10-12T11:24:20"/>
    <s v=""/>
    <s v="UNIDAD"/>
    <n v="4"/>
    <s v="PENDIENTE APROBACION  ENVIO TMS"/>
    <s v="000000008209660958"/>
    <x v="1"/>
    <x v="0"/>
    <s v="APROBAR"/>
    <n v="1"/>
    <e v="#N/A"/>
  </r>
  <r>
    <n v="8209660938"/>
    <s v="281"/>
    <x v="130"/>
    <d v="2026-10-12T11:24:27"/>
    <s v=""/>
    <s v="UNIDAD"/>
    <n v="3"/>
    <s v="PENDIENTE APROBACION  ENVIO TMS"/>
    <s v="000000008209660938"/>
    <x v="1"/>
    <x v="0"/>
    <s v="APROBAR"/>
    <n v="1"/>
    <e v="#N/A"/>
  </r>
  <r>
    <n v="1209660991"/>
    <s v="284"/>
    <x v="133"/>
    <d v="2026-10-12T11:24:28"/>
    <s v=""/>
    <s v="CAJA"/>
    <n v="9"/>
    <s v="PENDIENTE APROBACION  ENVIO TMS"/>
    <s v="000000001209660991"/>
    <x v="2"/>
    <x v="0"/>
    <s v="APROBAR"/>
    <n v="1"/>
    <e v="#N/A"/>
  </r>
  <r>
    <n v="1209660962"/>
    <s v="282"/>
    <x v="132"/>
    <d v="2026-10-12T11:24:29"/>
    <s v=""/>
    <s v="CAJA"/>
    <n v="11"/>
    <s v="PENDIENTE APROBACION  ENVIO TMS"/>
    <s v="000000001209660962"/>
    <x v="2"/>
    <x v="0"/>
    <s v="APROBAR"/>
    <n v="1"/>
    <e v="#N/A"/>
  </r>
  <r>
    <n v="1209660942"/>
    <s v="281"/>
    <x v="130"/>
    <d v="2026-10-12T11:24:30"/>
    <s v=""/>
    <s v="PACK"/>
    <n v="1"/>
    <s v="PENDIENTE APROBACION  ENVIO TMS"/>
    <s v="000000001209660942"/>
    <x v="2"/>
    <x v="0"/>
    <s v="APROBAR"/>
    <n v="1"/>
    <e v="#N/A"/>
  </r>
  <r>
    <n v="8209660940"/>
    <s v="281"/>
    <x v="130"/>
    <d v="2026-10-12T11:24:30"/>
    <s v=""/>
    <s v="UNIDAD"/>
    <n v="3"/>
    <s v="PENDIENTE APROBACION  ENVIO TMS"/>
    <s v="000000008209660940"/>
    <x v="1"/>
    <x v="0"/>
    <s v="APROBAR"/>
    <n v="1"/>
    <e v="#N/A"/>
  </r>
  <r>
    <n v="1209660996"/>
    <s v="284"/>
    <x v="133"/>
    <d v="2026-10-12T11:24:30"/>
    <s v=""/>
    <s v="PACK"/>
    <n v="3"/>
    <s v="PENDIENTE APROBACION  ENVIO TMS"/>
    <s v="000000001209660996"/>
    <x v="2"/>
    <x v="0"/>
    <s v="APROBAR"/>
    <n v="1"/>
    <e v="#N/A"/>
  </r>
  <r>
    <n v="8209660937"/>
    <s v="281"/>
    <x v="130"/>
    <d v="2026-10-12T11:24:31"/>
    <s v=""/>
    <s v="UNIDAD"/>
    <n v="7"/>
    <s v="PENDIENTE APROBACION  ENVIO TMS"/>
    <s v="000000008209660937"/>
    <x v="1"/>
    <x v="0"/>
    <s v="APROBAR"/>
    <n v="1"/>
    <e v="#N/A"/>
  </r>
  <r>
    <n v="1209661006"/>
    <s v="296"/>
    <x v="129"/>
    <d v="2026-10-12T11:24:33"/>
    <s v=""/>
    <s v="CAJA"/>
    <n v="5"/>
    <s v="PENDIENTE APROBACION  ENVIO TMS"/>
    <s v="000000001209661006"/>
    <x v="2"/>
    <x v="2"/>
    <s v="APROBAR"/>
    <n v="1"/>
    <e v="#N/A"/>
  </r>
  <r>
    <n v="1209661007"/>
    <s v="296"/>
    <x v="129"/>
    <d v="2026-10-12T11:24:34"/>
    <s v=""/>
    <s v="PACK"/>
    <n v="17"/>
    <s v="PENDIENTE APROBACION  ENVIO TMS"/>
    <s v="000000001209661007"/>
    <x v="2"/>
    <x v="2"/>
    <s v="APROBAR"/>
    <n v="1"/>
    <e v="#N/A"/>
  </r>
  <r>
    <n v="1209660946"/>
    <s v="281"/>
    <x v="130"/>
    <d v="2026-10-12T11:24:36"/>
    <s v=""/>
    <s v="CAJA"/>
    <n v="12"/>
    <s v="PENDIENTE APROBACION  ENVIO TMS"/>
    <s v="000000001209660946"/>
    <x v="2"/>
    <x v="0"/>
    <s v="APROBAR"/>
    <n v="1"/>
    <e v="#N/A"/>
  </r>
  <r>
    <n v="8209661009"/>
    <s v="297"/>
    <x v="131"/>
    <d v="2026-10-12T11:24:38"/>
    <s v=""/>
    <s v="UNIDAD"/>
    <n v="11"/>
    <s v="PENDIENTE APROBACION  ENVIO TMS"/>
    <s v="000000008209661009"/>
    <x v="1"/>
    <x v="0"/>
    <s v="APROBAR"/>
    <n v="1"/>
    <e v="#N/A"/>
  </r>
  <r>
    <n v="1209661014"/>
    <s v="297"/>
    <x v="131"/>
    <d v="2026-10-12T11:24:40"/>
    <s v=""/>
    <s v="CAJA"/>
    <n v="8"/>
    <s v="PENDIENTE APROBACION  ENVIO TMS"/>
    <s v="000000001209661014"/>
    <x v="2"/>
    <x v="0"/>
    <s v="APROBAR"/>
    <n v="1"/>
    <e v="#N/A"/>
  </r>
  <r>
    <n v="8209660998"/>
    <s v="296"/>
    <x v="129"/>
    <d v="2026-10-12T11:24:41"/>
    <s v=""/>
    <s v="UNIDAD"/>
    <n v="1"/>
    <s v="PENDIENTE APROBACION  ENVIO TMS"/>
    <s v="000000008209660998"/>
    <x v="1"/>
    <x v="2"/>
    <s v="APROBAR"/>
    <n v="1"/>
    <e v="#N/A"/>
  </r>
  <r>
    <n v="1209660964"/>
    <s v="282"/>
    <x v="132"/>
    <d v="2026-10-12T11:24:43"/>
    <s v=""/>
    <s v="CAJA"/>
    <n v="9"/>
    <s v="PENDIENTE APROBACION  ENVIO TMS"/>
    <s v="000000001209660964"/>
    <x v="2"/>
    <x v="0"/>
    <s v="APROBAR"/>
    <n v="1"/>
    <e v="#N/A"/>
  </r>
  <r>
    <n v="1209661004"/>
    <s v="296"/>
    <x v="129"/>
    <d v="2026-10-12T11:24:45"/>
    <s v=""/>
    <s v="CAJA"/>
    <n v="6"/>
    <s v="PENDIENTE APROBACION  ENVIO TMS"/>
    <s v="000000001209661004"/>
    <x v="2"/>
    <x v="2"/>
    <s v="APROBAR"/>
    <n v="1"/>
    <e v="#N/A"/>
  </r>
  <r>
    <n v="8209660936"/>
    <s v="281"/>
    <x v="130"/>
    <d v="2026-10-12T11:24:46"/>
    <s v=""/>
    <s v="UNIDAD"/>
    <n v="9"/>
    <s v="PENDIENTE APROBACION  ENVIO TMS"/>
    <s v="000000008209660936"/>
    <x v="1"/>
    <x v="0"/>
    <s v="APROBAR"/>
    <n v="1"/>
    <e v="#N/A"/>
  </r>
  <r>
    <n v="1209660945"/>
    <s v="281"/>
    <x v="130"/>
    <d v="2026-10-12T11:24:48"/>
    <s v=""/>
    <s v="CAJA"/>
    <n v="15"/>
    <s v="PENDIENTE APROBACION  ENVIO TMS"/>
    <s v="000000001209660945"/>
    <x v="2"/>
    <x v="0"/>
    <s v="APROBAR"/>
    <n v="1"/>
    <e v="#N/A"/>
  </r>
  <r>
    <n v="1209660947"/>
    <s v="281"/>
    <x v="130"/>
    <d v="2026-10-12T11:24:49"/>
    <s v=""/>
    <s v="CAJA"/>
    <n v="6"/>
    <s v="PENDIENTE APROBACION  ENVIO TMS"/>
    <s v="000000001209660947"/>
    <x v="2"/>
    <x v="0"/>
    <s v="APROBAR"/>
    <n v="1"/>
    <e v="#N/A"/>
  </r>
  <r>
    <n v="1209660948"/>
    <s v="281"/>
    <x v="130"/>
    <d v="2026-10-12T11:24:51"/>
    <s v=""/>
    <s v="PACK"/>
    <n v="18"/>
    <s v="PENDIENTE APROBACION  ENVIO TMS"/>
    <s v="000000001209660948"/>
    <x v="2"/>
    <x v="0"/>
    <s v="APROBAR"/>
    <n v="1"/>
    <e v="#N/A"/>
  </r>
  <r>
    <n v="1209661015"/>
    <s v="297"/>
    <x v="131"/>
    <d v="2026-10-12T11:24:53"/>
    <s v=""/>
    <s v="CAJA"/>
    <n v="8"/>
    <s v="PENDIENTE APROBACION  ENVIO TMS"/>
    <s v="000000001209661015"/>
    <x v="2"/>
    <x v="0"/>
    <s v="APROBAR"/>
    <n v="1"/>
    <e v="#N/A"/>
  </r>
  <r>
    <n v="1209660950"/>
    <s v="281"/>
    <x v="130"/>
    <d v="2026-10-12T11:24:54"/>
    <s v=""/>
    <s v="PACK"/>
    <n v="23"/>
    <s v="PENDIENTE APROBACION  ENVIO TMS"/>
    <s v="000000001209660950"/>
    <x v="2"/>
    <x v="0"/>
    <s v="APROBAR"/>
    <n v="1"/>
    <e v="#N/A"/>
  </r>
  <r>
    <n v="8209660982"/>
    <s v="284"/>
    <x v="133"/>
    <d v="2026-10-12T11:24:56"/>
    <s v=""/>
    <s v="UNIDAD"/>
    <n v="1"/>
    <s v="PENDIENTE APROBACION  ENVIO TMS"/>
    <s v="000000008209660982"/>
    <x v="1"/>
    <x v="0"/>
    <s v="APROBAR"/>
    <n v="1"/>
    <e v="#N/A"/>
  </r>
  <r>
    <n v="8209660997"/>
    <s v="296"/>
    <x v="129"/>
    <d v="2026-10-12T11:24:58"/>
    <s v=""/>
    <s v="UNIDAD"/>
    <n v="1"/>
    <s v="PENDIENTE APROBACION  ENVIO TMS"/>
    <s v="000000008209660997"/>
    <x v="1"/>
    <x v="2"/>
    <s v="APROBAR"/>
    <n v="1"/>
    <e v="#N/A"/>
  </r>
  <r>
    <n v="1209661003"/>
    <s v="296"/>
    <x v="129"/>
    <d v="2026-10-12T11:24:59"/>
    <s v=""/>
    <s v="CAJA"/>
    <n v="5"/>
    <s v="PENDIENTE APROBACION  ENVIO TMS"/>
    <s v="000000001209661003"/>
    <x v="2"/>
    <x v="2"/>
    <s v="APROBAR"/>
    <n v="1"/>
    <e v="#N/A"/>
  </r>
  <r>
    <n v="1209660967"/>
    <s v="282"/>
    <x v="132"/>
    <d v="2026-10-12T11:25:01"/>
    <s v=""/>
    <s v="CAJA"/>
    <n v="12"/>
    <s v="PENDIENTE APROBACION  ENVIO TMS"/>
    <s v="000000001209660967"/>
    <x v="2"/>
    <x v="0"/>
    <s v="APROBAR"/>
    <n v="1"/>
    <e v="#N/A"/>
  </r>
  <r>
    <n v="1209660941"/>
    <s v="281"/>
    <x v="130"/>
    <d v="2026-10-12T11:25:03"/>
    <s v=""/>
    <s v="PACK"/>
    <n v="4"/>
    <s v="PENDIENTE APROBACION  ENVIO TMS"/>
    <s v="000000001209660941"/>
    <x v="2"/>
    <x v="0"/>
    <s v="APROBAR"/>
    <n v="1"/>
    <e v="#N/A"/>
  </r>
  <r>
    <n v="8209660978"/>
    <s v="282"/>
    <x v="132"/>
    <d v="2026-10-12T11:25:04"/>
    <s v=""/>
    <s v="UNIDAD"/>
    <n v="3"/>
    <s v="PENDIENTE APROBACION  ENVIO TMS"/>
    <s v="000000008209660978"/>
    <x v="1"/>
    <x v="0"/>
    <s v="APROBAR"/>
    <n v="1"/>
    <e v="#N/A"/>
  </r>
  <r>
    <n v="8209660981"/>
    <s v="284"/>
    <x v="133"/>
    <d v="2026-10-12T11:25:06"/>
    <s v=""/>
    <s v="UNIDAD"/>
    <n v="1"/>
    <s v="PENDIENTE APROBACION  ENVIO TMS"/>
    <s v="000000008209660981"/>
    <x v="1"/>
    <x v="0"/>
    <s v="APROBAR"/>
    <n v="1"/>
    <e v="#N/A"/>
  </r>
  <r>
    <n v="1209660951"/>
    <s v="281"/>
    <x v="130"/>
    <d v="2026-10-12T11:25:07"/>
    <s v=""/>
    <s v="PACK"/>
    <n v="19"/>
    <s v="PENDIENTE APROBACION  ENVIO TMS"/>
    <s v="000000001209660951"/>
    <x v="2"/>
    <x v="0"/>
    <s v="APROBAR"/>
    <n v="1"/>
    <e v="#N/A"/>
  </r>
  <r>
    <n v="1209660994"/>
    <s v="284"/>
    <x v="133"/>
    <d v="2026-10-12T11:25:08"/>
    <s v=""/>
    <s v="PACK"/>
    <n v="21"/>
    <s v="PENDIENTE APROBACION  ENVIO TMS"/>
    <s v="000000001209660994"/>
    <x v="2"/>
    <x v="0"/>
    <s v="APROBAR"/>
    <n v="1"/>
    <e v="#N/A"/>
  </r>
  <r>
    <n v="8209660999"/>
    <s v="296"/>
    <x v="129"/>
    <d v="2026-10-12T11:25:09"/>
    <s v=""/>
    <s v="UNIDAD"/>
    <n v="2"/>
    <s v="PENDIENTE APROBACION  ENVIO TMS"/>
    <s v="000000008209660999"/>
    <x v="1"/>
    <x v="2"/>
    <s v="APROBAR"/>
    <n v="1"/>
    <e v="#N/A"/>
  </r>
  <r>
    <n v="8209660984"/>
    <s v="284"/>
    <x v="133"/>
    <d v="2026-10-12T11:25:14"/>
    <s v=""/>
    <s v="UNIDAD"/>
    <n v="5"/>
    <s v="PENDIENTE APROBACION  ENVIO TMS"/>
    <s v="000000008209660984"/>
    <x v="1"/>
    <x v="0"/>
    <s v="APROBAR"/>
    <n v="1"/>
    <e v="#N/A"/>
  </r>
  <r>
    <n v="8209660985"/>
    <s v="284"/>
    <x v="133"/>
    <d v="2026-10-12T11:25:16"/>
    <s v=""/>
    <s v="UNIDAD"/>
    <n v="1"/>
    <s v="PENDIENTE APROBACION  ENVIO TMS"/>
    <s v="000000008209660985"/>
    <x v="1"/>
    <x v="0"/>
    <s v="APROBAR"/>
    <n v="1"/>
    <e v="#N/A"/>
  </r>
  <r>
    <n v="1209660989"/>
    <s v="284"/>
    <x v="133"/>
    <d v="2026-10-12T11:25:17"/>
    <s v=""/>
    <s v="CAJA"/>
    <n v="3"/>
    <s v="PENDIENTE APROBACION  ENVIO TMS"/>
    <s v="000000001209660989"/>
    <x v="2"/>
    <x v="0"/>
    <s v="APROBAR"/>
    <n v="1"/>
    <e v="#N/A"/>
  </r>
  <r>
    <n v="1209660990"/>
    <s v="284"/>
    <x v="133"/>
    <d v="2026-10-12T11:25:19"/>
    <s v=""/>
    <s v="CAJA"/>
    <n v="4"/>
    <s v="PENDIENTE APROBACION  ENVIO TMS"/>
    <s v="000000001209660990"/>
    <x v="2"/>
    <x v="0"/>
    <s v="APROBAR"/>
    <n v="1"/>
    <e v="#N/A"/>
  </r>
  <r>
    <n v="1209660992"/>
    <s v="284"/>
    <x v="133"/>
    <d v="2026-10-12T11:25:20"/>
    <s v=""/>
    <s v="CAJA"/>
    <n v="15"/>
    <s v="PENDIENTE APROBACION  ENVIO TMS"/>
    <s v="000000001209660992"/>
    <x v="2"/>
    <x v="0"/>
    <s v="APROBAR"/>
    <n v="1"/>
    <e v="#N/A"/>
  </r>
  <r>
    <n v="1209660993"/>
    <s v="284"/>
    <x v="133"/>
    <d v="2026-10-12T11:25:21"/>
    <s v=""/>
    <s v="CAJA"/>
    <n v="11"/>
    <s v="PENDIENTE APROBACION  ENVIO TMS"/>
    <s v="000000001209660993"/>
    <x v="2"/>
    <x v="0"/>
    <s v="APROBAR"/>
    <n v="1"/>
    <e v="#N/A"/>
  </r>
  <r>
    <n v="1209660963"/>
    <s v="282"/>
    <x v="132"/>
    <d v="2026-10-12T11:25:25"/>
    <s v=""/>
    <s v="PACK"/>
    <n v="6"/>
    <s v="PENDIENTE APROBACION  ENVIO TMS"/>
    <s v="000000001209660963"/>
    <x v="2"/>
    <x v="0"/>
    <s v="APROBAR"/>
    <n v="1"/>
    <e v="#N/A"/>
  </r>
  <r>
    <n v="8209660995"/>
    <s v="284"/>
    <x v="133"/>
    <d v="2026-10-12T11:25:27"/>
    <s v=""/>
    <s v="UNIDAD"/>
    <n v="3"/>
    <s v="PENDIENTE APROBACION  ENVIO TMS"/>
    <s v="000000008209660995"/>
    <x v="1"/>
    <x v="0"/>
    <s v="APROBAR"/>
    <n v="1"/>
    <e v="#N/A"/>
  </r>
  <r>
    <n v="1209661000"/>
    <s v="296"/>
    <x v="129"/>
    <d v="2026-10-12T11:25:28"/>
    <s v=""/>
    <s v="CAJA"/>
    <n v="6"/>
    <s v="PENDIENTE APROBACION  ENVIO TMS"/>
    <s v="000000001209661000"/>
    <x v="2"/>
    <x v="2"/>
    <s v="APROBAR"/>
    <n v="1"/>
    <e v="#N/A"/>
  </r>
  <r>
    <n v="1209660966"/>
    <s v="282"/>
    <x v="132"/>
    <d v="2026-10-12T11:25:30"/>
    <s v=""/>
    <s v="CAJA"/>
    <n v="1"/>
    <s v="PENDIENTE APROBACION  ENVIO TMS"/>
    <s v="000000001209660966"/>
    <x v="2"/>
    <x v="0"/>
    <s v="APROBAR"/>
    <n v="1"/>
    <e v="#N/A"/>
  </r>
  <r>
    <n v="8209660939"/>
    <s v="281"/>
    <x v="130"/>
    <d v="2026-10-12T11:25:32"/>
    <s v=""/>
    <s v="UNIDAD"/>
    <n v="3"/>
    <s v="PENDIENTE APROBACION  ENVIO TMS"/>
    <s v="000000008209660939"/>
    <x v="1"/>
    <x v="0"/>
    <s v="APROBAR"/>
    <n v="1"/>
    <e v="#N/A"/>
  </r>
  <r>
    <n v="1209660943"/>
    <s v="281"/>
    <x v="130"/>
    <d v="2026-10-12T11:25:34"/>
    <s v=""/>
    <s v="CAJA"/>
    <n v="5"/>
    <s v="PENDIENTE APROBACION  ENVIO TMS"/>
    <s v="000000001209660943"/>
    <x v="2"/>
    <x v="0"/>
    <s v="APROBAR"/>
    <n v="1"/>
    <e v="#N/A"/>
  </r>
  <r>
    <n v="1209660968"/>
    <s v="282"/>
    <x v="132"/>
    <d v="2026-10-12T11:25:35"/>
    <s v=""/>
    <s v="CAJA"/>
    <n v="13"/>
    <s v="PENDIENTE APROBACION  ENVIO TMS"/>
    <s v="000000001209660968"/>
    <x v="2"/>
    <x v="0"/>
    <s v="APROBAR"/>
    <n v="1"/>
    <e v="#N/A"/>
  </r>
  <r>
    <n v="1209660969"/>
    <s v="282"/>
    <x v="132"/>
    <d v="2026-10-12T11:25:37"/>
    <s v=""/>
    <s v="CAJA"/>
    <n v="6"/>
    <s v="PENDIENTE APROBACION  ENVIO TMS"/>
    <s v="000000001209660969"/>
    <x v="2"/>
    <x v="0"/>
    <s v="APROBAR"/>
    <n v="1"/>
    <e v="#N/A"/>
  </r>
  <r>
    <n v="1209661010"/>
    <s v="297"/>
    <x v="131"/>
    <d v="2026-10-12T11:25:38"/>
    <s v=""/>
    <s v="CAJA"/>
    <n v="1"/>
    <s v="PENDIENTE APROBACION  ENVIO TMS"/>
    <s v="000000001209661010"/>
    <x v="2"/>
    <x v="0"/>
    <s v="APROBAR"/>
    <n v="1"/>
    <e v="#N/A"/>
  </r>
  <r>
    <n v="1209661013"/>
    <s v="297"/>
    <x v="131"/>
    <d v="2026-10-12T11:25:39"/>
    <s v=""/>
    <s v="CAJA"/>
    <n v="6"/>
    <s v="PENDIENTE APROBACION  ENVIO TMS"/>
    <s v="000000001209661013"/>
    <x v="2"/>
    <x v="0"/>
    <s v="APROBAR"/>
    <n v="1"/>
    <e v="#N/A"/>
  </r>
  <r>
    <n v="1209660988"/>
    <s v="284"/>
    <x v="133"/>
    <d v="2026-10-12T11:25:41"/>
    <s v=""/>
    <s v="CAJA"/>
    <n v="2"/>
    <s v="PENDIENTE APROBACION  ENVIO TMS"/>
    <s v="000000001209660988"/>
    <x v="2"/>
    <x v="0"/>
    <s v="APROBAR"/>
    <n v="1"/>
    <e v="#N/A"/>
  </r>
  <r>
    <n v="8209660959"/>
    <s v="282"/>
    <x v="132"/>
    <d v="2026-10-12T11:25:42"/>
    <s v=""/>
    <s v="UNIDAD"/>
    <n v="4"/>
    <s v="PENDIENTE APROBACION  ENVIO TMS"/>
    <s v="000000008209660959"/>
    <x v="1"/>
    <x v="0"/>
    <s v="APROBAR"/>
    <n v="1"/>
    <e v="#N/A"/>
  </r>
  <r>
    <n v="1209661018"/>
    <s v="297"/>
    <x v="131"/>
    <d v="2026-10-12T11:25:44"/>
    <s v=""/>
    <s v="PACK"/>
    <n v="24"/>
    <s v="PENDIENTE APROBACION  ENVIO TMS"/>
    <s v="000000001209661018"/>
    <x v="2"/>
    <x v="0"/>
    <s v="APROBAR"/>
    <n v="1"/>
    <e v="#N/A"/>
  </r>
  <r>
    <n v="1209661019"/>
    <s v="297"/>
    <x v="131"/>
    <d v="2026-10-12T11:25:44"/>
    <s v=""/>
    <s v="CAJA"/>
    <n v="27"/>
    <s v="PENDIENTE APROBACION  ENVIO TMS"/>
    <s v="000000001209661019"/>
    <x v="2"/>
    <x v="0"/>
    <s v="APROBAR"/>
    <n v="1"/>
    <e v="#N/A"/>
  </r>
  <r>
    <n v="1209660961"/>
    <s v="282"/>
    <x v="132"/>
    <d v="2026-10-12T11:25:46"/>
    <s v=""/>
    <s v="CAJA"/>
    <n v="4"/>
    <s v="PENDIENTE APROBACION  ENVIO TMS"/>
    <s v="000000001209660961"/>
    <x v="2"/>
    <x v="0"/>
    <s v="APROBAR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2EDA3-F816-4A3C-AE87-165452A59B52}" name="TablaDinámica3" cacheId="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139" firstHeaderRow="0" firstDataRow="1" firstDataCol="1" rowPageCount="2" colPageCount="1"/>
  <pivotFields count="14">
    <pivotField showAll="0"/>
    <pivotField showAll="0"/>
    <pivotField axis="axisRow" showAll="0" sortType="ascending">
      <items count="139">
        <item x="68"/>
        <item x="40"/>
        <item x="24"/>
        <item x="25"/>
        <item x="129"/>
        <item x="15"/>
        <item x="131"/>
        <item x="18"/>
        <item x="17"/>
        <item x="76"/>
        <item x="34"/>
        <item x="38"/>
        <item x="108"/>
        <item x="120"/>
        <item x="48"/>
        <item x="85"/>
        <item x="62"/>
        <item x="97"/>
        <item x="10"/>
        <item x="82"/>
        <item x="53"/>
        <item x="96"/>
        <item x="44"/>
        <item x="42"/>
        <item x="99"/>
        <item x="9"/>
        <item x="98"/>
        <item m="1" x="137"/>
        <item x="109"/>
        <item m="1" x="135"/>
        <item x="111"/>
        <item x="92"/>
        <item m="1" x="134"/>
        <item x="56"/>
        <item x="59"/>
        <item x="79"/>
        <item x="30"/>
        <item x="69"/>
        <item x="60"/>
        <item x="100"/>
        <item x="0"/>
        <item x="32"/>
        <item x="94"/>
        <item x="73"/>
        <item x="91"/>
        <item x="130"/>
        <item x="57"/>
        <item x="45"/>
        <item x="55"/>
        <item x="116"/>
        <item x="75"/>
        <item x="49"/>
        <item x="133"/>
        <item x="11"/>
        <item x="81"/>
        <item x="106"/>
        <item x="123"/>
        <item x="80"/>
        <item x="54"/>
        <item x="39"/>
        <item x="22"/>
        <item x="101"/>
        <item x="43"/>
        <item x="14"/>
        <item x="50"/>
        <item x="65"/>
        <item x="102"/>
        <item x="112"/>
        <item x="93"/>
        <item x="124"/>
        <item x="46"/>
        <item x="117"/>
        <item x="105"/>
        <item x="5"/>
        <item x="77"/>
        <item x="13"/>
        <item x="95"/>
        <item x="35"/>
        <item x="63"/>
        <item x="72"/>
        <item x="74"/>
        <item x="113"/>
        <item x="71"/>
        <item x="36"/>
        <item x="110"/>
        <item x="126"/>
        <item x="20"/>
        <item x="8"/>
        <item x="87"/>
        <item x="70"/>
        <item x="66"/>
        <item m="1" x="136"/>
        <item x="118"/>
        <item x="19"/>
        <item x="12"/>
        <item x="84"/>
        <item x="83"/>
        <item x="23"/>
        <item x="58"/>
        <item x="88"/>
        <item x="28"/>
        <item x="61"/>
        <item x="37"/>
        <item x="121"/>
        <item x="67"/>
        <item x="33"/>
        <item x="132"/>
        <item x="52"/>
        <item x="64"/>
        <item x="103"/>
        <item x="47"/>
        <item x="26"/>
        <item x="107"/>
        <item x="21"/>
        <item x="128"/>
        <item x="51"/>
        <item x="31"/>
        <item x="27"/>
        <item x="119"/>
        <item x="29"/>
        <item x="78"/>
        <item x="127"/>
        <item x="86"/>
        <item x="122"/>
        <item x="1"/>
        <item x="7"/>
        <item x="89"/>
        <item x="4"/>
        <item x="3"/>
        <item x="41"/>
        <item x="6"/>
        <item x="2"/>
        <item x="125"/>
        <item x="90"/>
        <item x="16"/>
        <item x="114"/>
        <item x="104"/>
        <item x="115"/>
        <item t="default"/>
      </items>
    </pivotField>
    <pivotField numFmtId="164"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x="2"/>
        <item h="1" x="1"/>
        <item x="0"/>
        <item t="default"/>
      </items>
    </pivotField>
    <pivotField axis="axisPage" showAll="0">
      <items count="6">
        <item x="0"/>
        <item x="4"/>
        <item x="2"/>
        <item x="3"/>
        <item x="1"/>
        <item t="default"/>
      </items>
    </pivotField>
    <pivotField showAll="0"/>
    <pivotField dataField="1" showAll="0"/>
    <pivotField showAll="0"/>
  </pivotFields>
  <rowFields count="1">
    <field x="2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Suma de CANTIDAD" fld="6" baseField="0" baseItem="0"/>
    <dataField name="Suma de CANTIDAD P" fld="12" baseField="0" baseItem="0"/>
  </dataFields>
  <formats count="8">
    <format dxfId="16">
      <pivotArea dataOnly="0" fieldPosition="0">
        <references count="1">
          <reference field="2" count="1">
            <x v="27"/>
          </reference>
        </references>
      </pivotArea>
    </format>
    <format dxfId="17">
      <pivotArea dataOnly="0" fieldPosition="0">
        <references count="1">
          <reference field="2" count="2">
            <x v="29"/>
            <x v="30"/>
          </reference>
        </references>
      </pivotArea>
    </format>
    <format dxfId="18">
      <pivotArea dataOnly="0" fieldPosition="0">
        <references count="1">
          <reference field="2" count="1">
            <x v="29"/>
          </reference>
        </references>
      </pivotArea>
    </format>
    <format dxfId="19">
      <pivotArea dataOnly="0" fieldPosition="0">
        <references count="1">
          <reference field="2" count="1">
            <x v="122"/>
          </reference>
        </references>
      </pivotArea>
    </format>
    <format dxfId="20">
      <pivotArea dataOnly="0" fieldPosition="0">
        <references count="1">
          <reference field="2" count="2">
            <x v="29"/>
            <x v="30"/>
          </reference>
        </references>
      </pivotArea>
    </format>
    <format dxfId="21">
      <pivotArea dataOnly="0" fieldPosition="0">
        <references count="1">
          <reference field="2" count="1">
            <x v="30"/>
          </reference>
        </references>
      </pivotArea>
    </format>
    <format dxfId="22">
      <pivotArea dataOnly="0" fieldPosition="0">
        <references count="1">
          <reference field="2" count="1">
            <x v="32"/>
          </reference>
        </references>
      </pivotArea>
    </format>
    <format dxfId="23">
      <pivotArea dataOnly="0" fieldPosition="0">
        <references count="1">
          <reference field="2" count="1">
            <x v="9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830B-49E9-44DF-8ED5-D12AB4972945}">
  <dimension ref="A1:C139"/>
  <sheetViews>
    <sheetView zoomScaleNormal="100" workbookViewId="0">
      <selection activeCell="B36" sqref="B36"/>
    </sheetView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9.33203125" bestFit="1" customWidth="1"/>
  </cols>
  <sheetData>
    <row r="1" spans="1:3" x14ac:dyDescent="0.3">
      <c r="A1" s="16" t="s">
        <v>2480</v>
      </c>
      <c r="B1" t="s">
        <v>2495</v>
      </c>
    </row>
    <row r="2" spans="1:3" x14ac:dyDescent="0.3">
      <c r="A2" s="16" t="s">
        <v>2492</v>
      </c>
      <c r="B2" t="s">
        <v>2493</v>
      </c>
    </row>
    <row r="4" spans="1:3" x14ac:dyDescent="0.3">
      <c r="A4" s="16" t="s">
        <v>2488</v>
      </c>
      <c r="B4" t="s">
        <v>2491</v>
      </c>
      <c r="C4" t="s">
        <v>2490</v>
      </c>
    </row>
    <row r="5" spans="1:3" x14ac:dyDescent="0.3">
      <c r="A5" s="17" t="s">
        <v>1186</v>
      </c>
      <c r="B5" s="18">
        <v>73</v>
      </c>
      <c r="C5" s="18">
        <v>10</v>
      </c>
    </row>
    <row r="6" spans="1:3" x14ac:dyDescent="0.3">
      <c r="A6" s="17" t="s">
        <v>732</v>
      </c>
      <c r="B6" s="18">
        <v>80</v>
      </c>
      <c r="C6" s="18">
        <v>8</v>
      </c>
    </row>
    <row r="7" spans="1:3" x14ac:dyDescent="0.3">
      <c r="A7" s="17" t="s">
        <v>406</v>
      </c>
      <c r="B7" s="18">
        <v>133</v>
      </c>
      <c r="C7" s="18">
        <v>10</v>
      </c>
    </row>
    <row r="8" spans="1:3" x14ac:dyDescent="0.3">
      <c r="A8" s="17" t="s">
        <v>409</v>
      </c>
      <c r="B8" s="18">
        <v>141</v>
      </c>
      <c r="C8" s="18">
        <v>9</v>
      </c>
    </row>
    <row r="9" spans="1:3" x14ac:dyDescent="0.3">
      <c r="A9" s="17" t="s">
        <v>2401</v>
      </c>
      <c r="B9" s="18">
        <v>89</v>
      </c>
      <c r="C9" s="18">
        <v>9</v>
      </c>
    </row>
    <row r="10" spans="1:3" x14ac:dyDescent="0.3">
      <c r="A10" s="17" t="s">
        <v>281</v>
      </c>
      <c r="B10" s="18">
        <v>104</v>
      </c>
      <c r="C10" s="18">
        <v>9</v>
      </c>
    </row>
    <row r="11" spans="1:3" x14ac:dyDescent="0.3">
      <c r="A11" s="17" t="s">
        <v>2408</v>
      </c>
      <c r="B11" s="18">
        <v>107</v>
      </c>
      <c r="C11" s="18">
        <v>10</v>
      </c>
    </row>
    <row r="12" spans="1:3" x14ac:dyDescent="0.3">
      <c r="A12" s="17" t="s">
        <v>295</v>
      </c>
      <c r="B12" s="18">
        <v>118</v>
      </c>
      <c r="C12" s="18">
        <v>9</v>
      </c>
    </row>
    <row r="13" spans="1:3" x14ac:dyDescent="0.3">
      <c r="A13" s="17" t="s">
        <v>289</v>
      </c>
      <c r="B13" s="18">
        <v>153</v>
      </c>
      <c r="C13" s="18">
        <v>9</v>
      </c>
    </row>
    <row r="14" spans="1:3" x14ac:dyDescent="0.3">
      <c r="A14" s="17" t="s">
        <v>1366</v>
      </c>
      <c r="B14" s="18">
        <v>266</v>
      </c>
      <c r="C14" s="18">
        <v>11</v>
      </c>
    </row>
    <row r="15" spans="1:3" x14ac:dyDescent="0.3">
      <c r="A15" s="17" t="s">
        <v>577</v>
      </c>
      <c r="B15" s="18">
        <v>153</v>
      </c>
      <c r="C15" s="18">
        <v>10</v>
      </c>
    </row>
    <row r="16" spans="1:3" x14ac:dyDescent="0.3">
      <c r="A16" s="17" t="s">
        <v>651</v>
      </c>
      <c r="B16" s="18">
        <v>162</v>
      </c>
      <c r="C16" s="18">
        <v>10</v>
      </c>
    </row>
    <row r="17" spans="1:3" x14ac:dyDescent="0.3">
      <c r="A17" s="17" t="s">
        <v>2012</v>
      </c>
      <c r="B17" s="18">
        <v>271</v>
      </c>
      <c r="C17" s="18">
        <v>11</v>
      </c>
    </row>
    <row r="18" spans="1:3" x14ac:dyDescent="0.3">
      <c r="A18" s="17" t="s">
        <v>2228</v>
      </c>
      <c r="B18" s="18">
        <v>95</v>
      </c>
      <c r="C18" s="18">
        <v>10</v>
      </c>
    </row>
    <row r="19" spans="1:3" x14ac:dyDescent="0.3">
      <c r="A19" s="17" t="s">
        <v>873</v>
      </c>
      <c r="B19" s="18">
        <v>242</v>
      </c>
      <c r="C19" s="18">
        <v>10</v>
      </c>
    </row>
    <row r="20" spans="1:3" x14ac:dyDescent="0.3">
      <c r="A20" s="17" t="s">
        <v>1556</v>
      </c>
      <c r="B20" s="18">
        <v>199</v>
      </c>
      <c r="C20" s="18">
        <v>11</v>
      </c>
    </row>
    <row r="21" spans="1:3" x14ac:dyDescent="0.3">
      <c r="A21" s="17" t="s">
        <v>1081</v>
      </c>
      <c r="B21" s="18">
        <v>121</v>
      </c>
      <c r="C21" s="18">
        <v>11</v>
      </c>
    </row>
    <row r="22" spans="1:3" x14ac:dyDescent="0.3">
      <c r="A22" s="17" t="s">
        <v>1770</v>
      </c>
      <c r="B22" s="18">
        <v>187</v>
      </c>
      <c r="C22" s="18">
        <v>11</v>
      </c>
    </row>
    <row r="23" spans="1:3" x14ac:dyDescent="0.3">
      <c r="A23" s="17" t="s">
        <v>182</v>
      </c>
      <c r="B23" s="18">
        <v>244</v>
      </c>
      <c r="C23" s="18">
        <v>11</v>
      </c>
    </row>
    <row r="24" spans="1:3" x14ac:dyDescent="0.3">
      <c r="A24" s="17" t="s">
        <v>1473</v>
      </c>
      <c r="B24" s="18">
        <v>151</v>
      </c>
      <c r="C24" s="18">
        <v>11</v>
      </c>
    </row>
    <row r="25" spans="1:3" x14ac:dyDescent="0.3">
      <c r="A25" s="17" t="s">
        <v>899</v>
      </c>
      <c r="B25" s="18">
        <v>397</v>
      </c>
      <c r="C25" s="18">
        <v>11</v>
      </c>
    </row>
    <row r="26" spans="1:3" x14ac:dyDescent="0.3">
      <c r="A26" s="17" t="s">
        <v>1763</v>
      </c>
      <c r="B26" s="18">
        <v>201</v>
      </c>
      <c r="C26" s="18">
        <v>11</v>
      </c>
    </row>
    <row r="27" spans="1:3" x14ac:dyDescent="0.3">
      <c r="A27" s="17" t="s">
        <v>802</v>
      </c>
      <c r="B27" s="18">
        <v>212</v>
      </c>
      <c r="C27" s="18">
        <v>10</v>
      </c>
    </row>
    <row r="28" spans="1:3" x14ac:dyDescent="0.3">
      <c r="A28" s="17" t="s">
        <v>740</v>
      </c>
      <c r="B28" s="18">
        <v>222</v>
      </c>
      <c r="C28" s="18">
        <v>9</v>
      </c>
    </row>
    <row r="29" spans="1:3" x14ac:dyDescent="0.3">
      <c r="A29" s="17" t="s">
        <v>1835</v>
      </c>
      <c r="B29" s="18">
        <v>180</v>
      </c>
      <c r="C29" s="18">
        <v>11</v>
      </c>
    </row>
    <row r="30" spans="1:3" x14ac:dyDescent="0.3">
      <c r="A30" s="17" t="s">
        <v>179</v>
      </c>
      <c r="B30" s="18">
        <v>147</v>
      </c>
      <c r="C30" s="18">
        <v>10</v>
      </c>
    </row>
    <row r="31" spans="1:3" x14ac:dyDescent="0.3">
      <c r="A31" s="17" t="s">
        <v>1832</v>
      </c>
      <c r="B31" s="18">
        <v>312</v>
      </c>
      <c r="C31" s="18">
        <v>11</v>
      </c>
    </row>
    <row r="32" spans="1:3" x14ac:dyDescent="0.3">
      <c r="A32" s="17" t="s">
        <v>2015</v>
      </c>
      <c r="B32" s="18">
        <v>230</v>
      </c>
      <c r="C32" s="18">
        <v>11</v>
      </c>
    </row>
    <row r="33" spans="1:3" x14ac:dyDescent="0.3">
      <c r="A33" s="19" t="s">
        <v>2021</v>
      </c>
      <c r="B33" s="20">
        <v>170</v>
      </c>
      <c r="C33" s="20">
        <v>11</v>
      </c>
    </row>
    <row r="34" spans="1:3" x14ac:dyDescent="0.3">
      <c r="A34" s="17" t="s">
        <v>1677</v>
      </c>
      <c r="B34" s="18">
        <v>189</v>
      </c>
      <c r="C34" s="18">
        <v>11</v>
      </c>
    </row>
    <row r="35" spans="1:3" x14ac:dyDescent="0.3">
      <c r="A35" s="17" t="s">
        <v>984</v>
      </c>
      <c r="B35" s="18">
        <v>280</v>
      </c>
      <c r="C35" s="18">
        <v>10</v>
      </c>
    </row>
    <row r="36" spans="1:3" x14ac:dyDescent="0.3">
      <c r="A36" s="17" t="s">
        <v>1066</v>
      </c>
      <c r="B36" s="18">
        <v>370</v>
      </c>
      <c r="C36" s="18">
        <v>11</v>
      </c>
    </row>
    <row r="37" spans="1:3" x14ac:dyDescent="0.3">
      <c r="A37" s="17" t="s">
        <v>1459</v>
      </c>
      <c r="B37" s="18">
        <v>118</v>
      </c>
      <c r="C37" s="18">
        <v>10</v>
      </c>
    </row>
    <row r="38" spans="1:3" x14ac:dyDescent="0.3">
      <c r="A38" s="17" t="s">
        <v>486</v>
      </c>
      <c r="B38" s="18">
        <v>322</v>
      </c>
      <c r="C38" s="18">
        <v>11</v>
      </c>
    </row>
    <row r="39" spans="1:3" x14ac:dyDescent="0.3">
      <c r="A39" s="17" t="s">
        <v>1262</v>
      </c>
      <c r="B39" s="18">
        <v>129</v>
      </c>
      <c r="C39" s="18">
        <v>10</v>
      </c>
    </row>
    <row r="40" spans="1:3" x14ac:dyDescent="0.3">
      <c r="A40" s="17" t="s">
        <v>1071</v>
      </c>
      <c r="B40" s="18">
        <v>161</v>
      </c>
      <c r="C40" s="18">
        <v>11</v>
      </c>
    </row>
    <row r="41" spans="1:3" x14ac:dyDescent="0.3">
      <c r="A41" s="17" t="s">
        <v>1838</v>
      </c>
      <c r="B41" s="18">
        <v>319</v>
      </c>
      <c r="C41" s="18">
        <v>11</v>
      </c>
    </row>
    <row r="42" spans="1:3" x14ac:dyDescent="0.3">
      <c r="A42" s="17" t="s">
        <v>15</v>
      </c>
      <c r="B42" s="18">
        <v>334</v>
      </c>
      <c r="C42" s="18">
        <v>23</v>
      </c>
    </row>
    <row r="43" spans="1:3" x14ac:dyDescent="0.3">
      <c r="A43" s="17" t="s">
        <v>568</v>
      </c>
      <c r="B43" s="18">
        <v>157</v>
      </c>
      <c r="C43" s="18">
        <v>11</v>
      </c>
    </row>
    <row r="44" spans="1:3" x14ac:dyDescent="0.3">
      <c r="A44" s="17" t="s">
        <v>1757</v>
      </c>
      <c r="B44" s="18">
        <v>155</v>
      </c>
      <c r="C44" s="18">
        <v>11</v>
      </c>
    </row>
    <row r="45" spans="1:3" x14ac:dyDescent="0.3">
      <c r="A45" s="17" t="s">
        <v>1357</v>
      </c>
      <c r="B45" s="18">
        <v>196</v>
      </c>
      <c r="C45" s="18">
        <v>11</v>
      </c>
    </row>
    <row r="46" spans="1:3" x14ac:dyDescent="0.3">
      <c r="A46" s="17" t="s">
        <v>1671</v>
      </c>
      <c r="B46" s="18">
        <v>222</v>
      </c>
      <c r="C46" s="18">
        <v>11</v>
      </c>
    </row>
    <row r="47" spans="1:3" x14ac:dyDescent="0.3">
      <c r="A47" s="17" t="s">
        <v>2404</v>
      </c>
      <c r="B47" s="18">
        <v>135</v>
      </c>
      <c r="C47" s="18">
        <v>11</v>
      </c>
    </row>
    <row r="48" spans="1:3" x14ac:dyDescent="0.3">
      <c r="A48" s="17" t="s">
        <v>988</v>
      </c>
      <c r="B48" s="18">
        <v>166</v>
      </c>
      <c r="C48" s="18">
        <v>11</v>
      </c>
    </row>
    <row r="49" spans="1:3" x14ac:dyDescent="0.3">
      <c r="A49" s="17" t="s">
        <v>805</v>
      </c>
      <c r="B49" s="18">
        <v>118</v>
      </c>
      <c r="C49" s="18">
        <v>9</v>
      </c>
    </row>
    <row r="50" spans="1:3" x14ac:dyDescent="0.3">
      <c r="A50" s="17" t="s">
        <v>977</v>
      </c>
      <c r="B50" s="18">
        <v>168</v>
      </c>
      <c r="C50" s="18">
        <v>11</v>
      </c>
    </row>
    <row r="51" spans="1:3" x14ac:dyDescent="0.3">
      <c r="A51" s="17" t="s">
        <v>2135</v>
      </c>
      <c r="B51" s="18">
        <v>101</v>
      </c>
      <c r="C51" s="18">
        <v>10</v>
      </c>
    </row>
    <row r="52" spans="1:3" x14ac:dyDescent="0.3">
      <c r="A52" s="17" t="s">
        <v>1363</v>
      </c>
      <c r="B52" s="18">
        <v>177</v>
      </c>
      <c r="C52" s="18">
        <v>11</v>
      </c>
    </row>
    <row r="53" spans="1:3" x14ac:dyDescent="0.3">
      <c r="A53" s="17" t="s">
        <v>876</v>
      </c>
      <c r="B53" s="18">
        <v>217</v>
      </c>
      <c r="C53" s="18">
        <v>11</v>
      </c>
    </row>
    <row r="54" spans="1:3" x14ac:dyDescent="0.3">
      <c r="A54" s="17" t="s">
        <v>2423</v>
      </c>
      <c r="B54" s="18">
        <v>76</v>
      </c>
      <c r="C54" s="18">
        <v>10</v>
      </c>
    </row>
    <row r="55" spans="1:3" x14ac:dyDescent="0.3">
      <c r="A55" s="17" t="s">
        <v>186</v>
      </c>
      <c r="B55" s="18">
        <v>131</v>
      </c>
      <c r="C55" s="18">
        <v>10</v>
      </c>
    </row>
    <row r="56" spans="1:3" x14ac:dyDescent="0.3">
      <c r="A56" s="17" t="s">
        <v>1468</v>
      </c>
      <c r="B56" s="18">
        <v>102</v>
      </c>
      <c r="C56" s="18">
        <v>11</v>
      </c>
    </row>
    <row r="57" spans="1:3" x14ac:dyDescent="0.3">
      <c r="A57" s="17" t="s">
        <v>1953</v>
      </c>
      <c r="B57" s="18">
        <v>157</v>
      </c>
      <c r="C57" s="18">
        <v>11</v>
      </c>
    </row>
    <row r="58" spans="1:3" x14ac:dyDescent="0.3">
      <c r="A58" s="17" t="s">
        <v>2243</v>
      </c>
      <c r="B58" s="18">
        <v>64</v>
      </c>
      <c r="C58" s="18">
        <v>9</v>
      </c>
    </row>
    <row r="59" spans="1:3" x14ac:dyDescent="0.3">
      <c r="A59" s="17" t="s">
        <v>1462</v>
      </c>
      <c r="B59" s="18">
        <v>74</v>
      </c>
      <c r="C59" s="18">
        <v>10</v>
      </c>
    </row>
    <row r="60" spans="1:3" x14ac:dyDescent="0.3">
      <c r="A60" s="17" t="s">
        <v>972</v>
      </c>
      <c r="B60" s="18">
        <v>239</v>
      </c>
      <c r="C60" s="18">
        <v>11</v>
      </c>
    </row>
    <row r="61" spans="1:3" x14ac:dyDescent="0.3">
      <c r="A61" s="17" t="s">
        <v>655</v>
      </c>
      <c r="B61" s="18">
        <v>196</v>
      </c>
      <c r="C61" s="18">
        <v>11</v>
      </c>
    </row>
    <row r="62" spans="1:3" x14ac:dyDescent="0.3">
      <c r="A62" s="17" t="s">
        <v>397</v>
      </c>
      <c r="B62" s="18">
        <v>42</v>
      </c>
      <c r="C62" s="18">
        <v>9</v>
      </c>
    </row>
    <row r="63" spans="1:3" x14ac:dyDescent="0.3">
      <c r="A63" s="17" t="s">
        <v>1841</v>
      </c>
      <c r="B63" s="18">
        <v>395</v>
      </c>
      <c r="C63" s="18">
        <v>11</v>
      </c>
    </row>
    <row r="64" spans="1:3" x14ac:dyDescent="0.3">
      <c r="A64" s="17" t="s">
        <v>744</v>
      </c>
      <c r="B64" s="18">
        <v>210</v>
      </c>
      <c r="C64" s="18">
        <v>11</v>
      </c>
    </row>
    <row r="65" spans="1:3" x14ac:dyDescent="0.3">
      <c r="A65" s="17" t="s">
        <v>278</v>
      </c>
      <c r="B65" s="18">
        <v>185</v>
      </c>
      <c r="C65" s="18">
        <v>9</v>
      </c>
    </row>
    <row r="66" spans="1:3" x14ac:dyDescent="0.3">
      <c r="A66" s="17" t="s">
        <v>879</v>
      </c>
      <c r="B66" s="18">
        <v>322</v>
      </c>
      <c r="C66" s="18">
        <v>10</v>
      </c>
    </row>
    <row r="67" spans="1:3" x14ac:dyDescent="0.3">
      <c r="A67" s="17" t="s">
        <v>1163</v>
      </c>
      <c r="B67" s="18">
        <v>243</v>
      </c>
      <c r="C67" s="18">
        <v>11</v>
      </c>
    </row>
    <row r="68" spans="1:3" x14ac:dyDescent="0.3">
      <c r="A68" s="17" t="s">
        <v>1846</v>
      </c>
      <c r="B68" s="18">
        <v>262</v>
      </c>
      <c r="C68" s="18">
        <v>11</v>
      </c>
    </row>
    <row r="69" spans="1:3" x14ac:dyDescent="0.3">
      <c r="A69" s="17" t="s">
        <v>2026</v>
      </c>
      <c r="B69" s="18">
        <v>219</v>
      </c>
      <c r="C69" s="18">
        <v>10</v>
      </c>
    </row>
    <row r="70" spans="1:3" x14ac:dyDescent="0.3">
      <c r="A70" s="17" t="s">
        <v>1680</v>
      </c>
      <c r="B70" s="18">
        <v>121</v>
      </c>
      <c r="C70" s="18">
        <v>10</v>
      </c>
    </row>
    <row r="71" spans="1:3" x14ac:dyDescent="0.3">
      <c r="A71" s="17" t="s">
        <v>2312</v>
      </c>
      <c r="B71" s="18">
        <v>104</v>
      </c>
      <c r="C71" s="18">
        <v>10</v>
      </c>
    </row>
    <row r="72" spans="1:3" x14ac:dyDescent="0.3">
      <c r="A72" s="17" t="s">
        <v>811</v>
      </c>
      <c r="B72" s="18">
        <v>139</v>
      </c>
      <c r="C72" s="18">
        <v>10</v>
      </c>
    </row>
    <row r="73" spans="1:3" x14ac:dyDescent="0.3">
      <c r="A73" s="17" t="s">
        <v>2142</v>
      </c>
      <c r="B73" s="18">
        <v>300</v>
      </c>
      <c r="C73" s="18">
        <v>11</v>
      </c>
    </row>
    <row r="74" spans="1:3" x14ac:dyDescent="0.3">
      <c r="A74" s="17" t="s">
        <v>1948</v>
      </c>
      <c r="B74" s="18">
        <v>141</v>
      </c>
      <c r="C74" s="18">
        <v>9</v>
      </c>
    </row>
    <row r="75" spans="1:3" x14ac:dyDescent="0.3">
      <c r="A75" s="17" t="s">
        <v>86</v>
      </c>
      <c r="B75" s="18">
        <v>180</v>
      </c>
      <c r="C75" s="18">
        <v>10</v>
      </c>
    </row>
    <row r="76" spans="1:3" x14ac:dyDescent="0.3">
      <c r="A76" s="17" t="s">
        <v>1373</v>
      </c>
      <c r="B76" s="18">
        <v>197</v>
      </c>
      <c r="C76" s="18">
        <v>11</v>
      </c>
    </row>
    <row r="77" spans="1:3" x14ac:dyDescent="0.3">
      <c r="A77" s="17" t="s">
        <v>204</v>
      </c>
      <c r="B77" s="18">
        <v>112</v>
      </c>
      <c r="C77" s="18">
        <v>11</v>
      </c>
    </row>
    <row r="78" spans="1:3" x14ac:dyDescent="0.3">
      <c r="A78" s="17" t="s">
        <v>1760</v>
      </c>
      <c r="B78" s="18">
        <v>151</v>
      </c>
      <c r="C78" s="18">
        <v>11</v>
      </c>
    </row>
    <row r="79" spans="1:3" x14ac:dyDescent="0.3">
      <c r="A79" s="17" t="s">
        <v>639</v>
      </c>
      <c r="B79" s="18">
        <v>196</v>
      </c>
      <c r="C79" s="18">
        <v>11</v>
      </c>
    </row>
    <row r="80" spans="1:3" x14ac:dyDescent="0.3">
      <c r="A80" s="17" t="s">
        <v>1157</v>
      </c>
      <c r="B80" s="18">
        <v>293</v>
      </c>
      <c r="C80" s="18">
        <v>11</v>
      </c>
    </row>
    <row r="81" spans="1:3" x14ac:dyDescent="0.3">
      <c r="A81" s="17" t="s">
        <v>1271</v>
      </c>
      <c r="B81" s="18">
        <v>197</v>
      </c>
      <c r="C81" s="18">
        <v>11</v>
      </c>
    </row>
    <row r="82" spans="1:3" x14ac:dyDescent="0.3">
      <c r="A82" s="17" t="s">
        <v>1360</v>
      </c>
      <c r="B82" s="18">
        <v>299</v>
      </c>
      <c r="C82" s="18">
        <v>11</v>
      </c>
    </row>
    <row r="83" spans="1:3" x14ac:dyDescent="0.3">
      <c r="A83" s="17" t="s">
        <v>2032</v>
      </c>
      <c r="B83" s="18">
        <v>187</v>
      </c>
      <c r="C83" s="18">
        <v>11</v>
      </c>
    </row>
    <row r="84" spans="1:3" x14ac:dyDescent="0.3">
      <c r="A84" s="17" t="s">
        <v>1268</v>
      </c>
      <c r="B84" s="18">
        <v>166</v>
      </c>
      <c r="C84" s="18">
        <v>11</v>
      </c>
    </row>
    <row r="85" spans="1:3" x14ac:dyDescent="0.3">
      <c r="A85" s="17" t="s">
        <v>642</v>
      </c>
      <c r="B85" s="18">
        <v>242</v>
      </c>
      <c r="C85" s="18">
        <v>10</v>
      </c>
    </row>
    <row r="86" spans="1:3" x14ac:dyDescent="0.3">
      <c r="A86" s="17" t="s">
        <v>2018</v>
      </c>
      <c r="B86" s="18">
        <v>159</v>
      </c>
      <c r="C86" s="18">
        <v>10</v>
      </c>
    </row>
    <row r="87" spans="1:3" x14ac:dyDescent="0.3">
      <c r="A87" s="17" t="s">
        <v>2320</v>
      </c>
      <c r="B87" s="18">
        <v>65</v>
      </c>
      <c r="C87" s="18">
        <v>10</v>
      </c>
    </row>
    <row r="88" spans="1:3" x14ac:dyDescent="0.3">
      <c r="A88" s="17" t="s">
        <v>302</v>
      </c>
      <c r="B88" s="18">
        <v>97</v>
      </c>
      <c r="C88" s="18">
        <v>10</v>
      </c>
    </row>
    <row r="89" spans="1:3" x14ac:dyDescent="0.3">
      <c r="A89" s="17" t="s">
        <v>171</v>
      </c>
      <c r="B89" s="18">
        <v>160</v>
      </c>
      <c r="C89" s="18">
        <v>10</v>
      </c>
    </row>
    <row r="90" spans="1:3" x14ac:dyDescent="0.3">
      <c r="A90" s="17" t="s">
        <v>1566</v>
      </c>
      <c r="B90" s="18">
        <v>237</v>
      </c>
      <c r="C90" s="18">
        <v>10</v>
      </c>
    </row>
    <row r="91" spans="1:3" x14ac:dyDescent="0.3">
      <c r="A91" s="17" t="s">
        <v>1265</v>
      </c>
      <c r="B91" s="18">
        <v>180</v>
      </c>
      <c r="C91" s="18">
        <v>11</v>
      </c>
    </row>
    <row r="92" spans="1:3" x14ac:dyDescent="0.3">
      <c r="A92" s="17" t="s">
        <v>1167</v>
      </c>
      <c r="B92" s="18">
        <v>250</v>
      </c>
      <c r="C92" s="18">
        <v>10</v>
      </c>
    </row>
    <row r="93" spans="1:3" x14ac:dyDescent="0.3">
      <c r="A93" s="17" t="s">
        <v>2152</v>
      </c>
      <c r="B93" s="18">
        <v>186</v>
      </c>
      <c r="C93" s="18">
        <v>11</v>
      </c>
    </row>
    <row r="94" spans="1:3" x14ac:dyDescent="0.3">
      <c r="A94" s="17" t="s">
        <v>299</v>
      </c>
      <c r="B94" s="18">
        <v>138</v>
      </c>
      <c r="C94" s="18">
        <v>10</v>
      </c>
    </row>
    <row r="95" spans="1:3" x14ac:dyDescent="0.3">
      <c r="A95" s="17" t="s">
        <v>191</v>
      </c>
      <c r="B95" s="18">
        <v>121</v>
      </c>
      <c r="C95" s="18">
        <v>11</v>
      </c>
    </row>
    <row r="96" spans="1:3" x14ac:dyDescent="0.3">
      <c r="A96" s="17" t="s">
        <v>1553</v>
      </c>
      <c r="B96" s="18">
        <v>279</v>
      </c>
      <c r="C96" s="18">
        <v>11</v>
      </c>
    </row>
    <row r="97" spans="1:3" x14ac:dyDescent="0.3">
      <c r="A97" s="17" t="s">
        <v>1549</v>
      </c>
      <c r="B97" s="18">
        <v>243</v>
      </c>
      <c r="C97" s="18">
        <v>10</v>
      </c>
    </row>
    <row r="98" spans="1:3" x14ac:dyDescent="0.3">
      <c r="A98" s="17" t="s">
        <v>401</v>
      </c>
      <c r="B98" s="18">
        <v>181</v>
      </c>
      <c r="C98" s="18">
        <v>9</v>
      </c>
    </row>
    <row r="99" spans="1:3" x14ac:dyDescent="0.3">
      <c r="A99" s="17" t="s">
        <v>1063</v>
      </c>
      <c r="B99" s="18">
        <v>206</v>
      </c>
      <c r="C99" s="18">
        <v>11</v>
      </c>
    </row>
    <row r="100" spans="1:3" x14ac:dyDescent="0.3">
      <c r="A100" s="17" t="s">
        <v>1572</v>
      </c>
      <c r="B100" s="18">
        <v>147</v>
      </c>
      <c r="C100" s="18">
        <v>11</v>
      </c>
    </row>
    <row r="101" spans="1:3" x14ac:dyDescent="0.3">
      <c r="A101" s="17" t="s">
        <v>479</v>
      </c>
      <c r="B101" s="18">
        <v>338</v>
      </c>
      <c r="C101" s="18">
        <v>11</v>
      </c>
    </row>
    <row r="102" spans="1:3" x14ac:dyDescent="0.3">
      <c r="A102" s="17" t="s">
        <v>1078</v>
      </c>
      <c r="B102" s="18">
        <v>302</v>
      </c>
      <c r="C102" s="18">
        <v>11</v>
      </c>
    </row>
    <row r="103" spans="1:3" x14ac:dyDescent="0.3">
      <c r="A103" s="17" t="s">
        <v>647</v>
      </c>
      <c r="B103" s="18">
        <v>155</v>
      </c>
      <c r="C103" s="18">
        <v>11</v>
      </c>
    </row>
    <row r="104" spans="1:3" x14ac:dyDescent="0.3">
      <c r="A104" s="17" t="s">
        <v>2232</v>
      </c>
      <c r="B104" s="18">
        <v>194</v>
      </c>
      <c r="C104" s="18">
        <v>11</v>
      </c>
    </row>
    <row r="105" spans="1:3" x14ac:dyDescent="0.3">
      <c r="A105" s="17" t="s">
        <v>1174</v>
      </c>
      <c r="B105" s="18">
        <v>151</v>
      </c>
      <c r="C105" s="18">
        <v>10</v>
      </c>
    </row>
    <row r="106" spans="1:3" x14ac:dyDescent="0.3">
      <c r="A106" s="17" t="s">
        <v>573</v>
      </c>
      <c r="B106" s="18">
        <v>180</v>
      </c>
      <c r="C106" s="18">
        <v>10</v>
      </c>
    </row>
    <row r="107" spans="1:3" x14ac:dyDescent="0.3">
      <c r="A107" s="17" t="s">
        <v>2412</v>
      </c>
      <c r="B107" s="18">
        <v>106</v>
      </c>
      <c r="C107" s="18">
        <v>11</v>
      </c>
    </row>
    <row r="108" spans="1:3" x14ac:dyDescent="0.3">
      <c r="A108" s="17" t="s">
        <v>888</v>
      </c>
      <c r="B108" s="18">
        <v>364</v>
      </c>
      <c r="C108" s="18">
        <v>10</v>
      </c>
    </row>
    <row r="109" spans="1:3" x14ac:dyDescent="0.3">
      <c r="A109" s="17" t="s">
        <v>1160</v>
      </c>
      <c r="B109" s="18">
        <v>123</v>
      </c>
      <c r="C109" s="18">
        <v>9</v>
      </c>
    </row>
    <row r="110" spans="1:3" x14ac:dyDescent="0.3">
      <c r="A110" s="17" t="s">
        <v>1853</v>
      </c>
      <c r="B110" s="18">
        <v>147</v>
      </c>
      <c r="C110" s="18">
        <v>11</v>
      </c>
    </row>
    <row r="111" spans="1:3" x14ac:dyDescent="0.3">
      <c r="A111" s="17" t="s">
        <v>814</v>
      </c>
      <c r="B111" s="18">
        <v>121</v>
      </c>
      <c r="C111" s="18">
        <v>11</v>
      </c>
    </row>
    <row r="112" spans="1:3" x14ac:dyDescent="0.3">
      <c r="A112" s="17" t="s">
        <v>471</v>
      </c>
      <c r="B112" s="18">
        <v>210</v>
      </c>
      <c r="C112" s="18">
        <v>9</v>
      </c>
    </row>
    <row r="113" spans="1:3" x14ac:dyDescent="0.3">
      <c r="A113" s="17" t="s">
        <v>1962</v>
      </c>
      <c r="B113" s="18">
        <v>63</v>
      </c>
      <c r="C113" s="18">
        <v>8</v>
      </c>
    </row>
    <row r="114" spans="1:3" x14ac:dyDescent="0.3">
      <c r="A114" s="17" t="s">
        <v>390</v>
      </c>
      <c r="B114" s="18">
        <v>220</v>
      </c>
      <c r="C114" s="18">
        <v>11</v>
      </c>
    </row>
    <row r="115" spans="1:3" x14ac:dyDescent="0.3">
      <c r="A115" s="17" t="s">
        <v>2326</v>
      </c>
      <c r="B115" s="18">
        <v>185</v>
      </c>
      <c r="C115" s="18">
        <v>9</v>
      </c>
    </row>
    <row r="116" spans="1:3" x14ac:dyDescent="0.3">
      <c r="A116" s="17" t="s">
        <v>882</v>
      </c>
      <c r="B116" s="18">
        <v>192</v>
      </c>
      <c r="C116" s="18">
        <v>10</v>
      </c>
    </row>
    <row r="117" spans="1:3" x14ac:dyDescent="0.3">
      <c r="A117" s="17" t="s">
        <v>565</v>
      </c>
      <c r="B117" s="18">
        <v>215</v>
      </c>
      <c r="C117" s="18">
        <v>11</v>
      </c>
    </row>
    <row r="118" spans="1:3" x14ac:dyDescent="0.3">
      <c r="A118" s="17" t="s">
        <v>474</v>
      </c>
      <c r="B118" s="18">
        <v>223</v>
      </c>
      <c r="C118" s="18">
        <v>11</v>
      </c>
    </row>
    <row r="119" spans="1:3" x14ac:dyDescent="0.3">
      <c r="A119" s="17" t="s">
        <v>2225</v>
      </c>
      <c r="B119" s="18">
        <v>64</v>
      </c>
      <c r="C119" s="18">
        <v>11</v>
      </c>
    </row>
    <row r="120" spans="1:3" x14ac:dyDescent="0.3">
      <c r="A120" s="17" t="s">
        <v>483</v>
      </c>
      <c r="B120" s="18">
        <v>228</v>
      </c>
      <c r="C120" s="18">
        <v>10</v>
      </c>
    </row>
    <row r="121" spans="1:3" x14ac:dyDescent="0.3">
      <c r="A121" s="17" t="s">
        <v>1456</v>
      </c>
      <c r="B121" s="18">
        <v>306</v>
      </c>
      <c r="C121" s="18">
        <v>11</v>
      </c>
    </row>
    <row r="122" spans="1:3" x14ac:dyDescent="0.3">
      <c r="A122" s="17" t="s">
        <v>2323</v>
      </c>
      <c r="B122" s="18">
        <v>167</v>
      </c>
      <c r="C122" s="18">
        <v>11</v>
      </c>
    </row>
    <row r="123" spans="1:3" x14ac:dyDescent="0.3">
      <c r="A123" s="19" t="s">
        <v>1561</v>
      </c>
      <c r="B123" s="20">
        <v>121</v>
      </c>
      <c r="C123" s="20">
        <v>10</v>
      </c>
    </row>
    <row r="124" spans="1:3" x14ac:dyDescent="0.3">
      <c r="A124" s="17" t="s">
        <v>2235</v>
      </c>
      <c r="B124" s="18">
        <v>214</v>
      </c>
      <c r="C124" s="18">
        <v>11</v>
      </c>
    </row>
    <row r="125" spans="1:3" x14ac:dyDescent="0.3">
      <c r="A125" s="17" t="s">
        <v>37</v>
      </c>
      <c r="B125" s="18">
        <v>149</v>
      </c>
      <c r="C125" s="18">
        <v>11</v>
      </c>
    </row>
    <row r="126" spans="1:3" x14ac:dyDescent="0.3">
      <c r="A126" s="17" t="s">
        <v>98</v>
      </c>
      <c r="B126" s="18">
        <v>128</v>
      </c>
      <c r="C126" s="18">
        <v>11</v>
      </c>
    </row>
    <row r="127" spans="1:3" x14ac:dyDescent="0.3">
      <c r="A127" s="17" t="s">
        <v>1663</v>
      </c>
      <c r="B127" s="18">
        <v>212</v>
      </c>
      <c r="C127" s="18">
        <v>11</v>
      </c>
    </row>
    <row r="128" spans="1:3" x14ac:dyDescent="0.3">
      <c r="A128" s="17" t="s">
        <v>80</v>
      </c>
      <c r="B128" s="18">
        <v>180</v>
      </c>
      <c r="C128" s="18">
        <v>11</v>
      </c>
    </row>
    <row r="129" spans="1:3" x14ac:dyDescent="0.3">
      <c r="A129" s="17" t="s">
        <v>76</v>
      </c>
      <c r="B129" s="18">
        <v>389</v>
      </c>
      <c r="C129" s="18">
        <v>11</v>
      </c>
    </row>
    <row r="130" spans="1:3" x14ac:dyDescent="0.3">
      <c r="A130" s="17" t="s">
        <v>736</v>
      </c>
      <c r="B130" s="18">
        <v>241</v>
      </c>
      <c r="C130" s="18">
        <v>10</v>
      </c>
    </row>
    <row r="131" spans="1:3" x14ac:dyDescent="0.3">
      <c r="A131" s="17" t="s">
        <v>92</v>
      </c>
      <c r="B131" s="18">
        <v>173</v>
      </c>
      <c r="C131" s="18">
        <v>11</v>
      </c>
    </row>
    <row r="132" spans="1:3" x14ac:dyDescent="0.3">
      <c r="A132" s="17" t="s">
        <v>42</v>
      </c>
      <c r="B132" s="18">
        <v>148</v>
      </c>
      <c r="C132" s="18">
        <v>10</v>
      </c>
    </row>
    <row r="133" spans="1:3" x14ac:dyDescent="0.3">
      <c r="A133" s="17" t="s">
        <v>2315</v>
      </c>
      <c r="B133" s="18">
        <v>334</v>
      </c>
      <c r="C133" s="18">
        <v>11</v>
      </c>
    </row>
    <row r="134" spans="1:3" x14ac:dyDescent="0.3">
      <c r="A134" s="17" t="s">
        <v>1666</v>
      </c>
      <c r="B134" s="18">
        <v>74</v>
      </c>
      <c r="C134" s="18">
        <v>10</v>
      </c>
    </row>
    <row r="135" spans="1:3" x14ac:dyDescent="0.3">
      <c r="A135" s="17" t="s">
        <v>284</v>
      </c>
      <c r="B135" s="18">
        <v>208</v>
      </c>
      <c r="C135" s="18">
        <v>10</v>
      </c>
    </row>
    <row r="136" spans="1:3" x14ac:dyDescent="0.3">
      <c r="A136" s="17" t="s">
        <v>2128</v>
      </c>
      <c r="B136" s="18">
        <v>202</v>
      </c>
      <c r="C136" s="18">
        <v>11</v>
      </c>
    </row>
    <row r="137" spans="1:3" x14ac:dyDescent="0.3">
      <c r="A137" s="17" t="s">
        <v>1945</v>
      </c>
      <c r="B137" s="18">
        <v>221</v>
      </c>
      <c r="C137" s="18">
        <v>9</v>
      </c>
    </row>
    <row r="138" spans="1:3" x14ac:dyDescent="0.3">
      <c r="A138" s="17" t="s">
        <v>2131</v>
      </c>
      <c r="B138" s="18">
        <v>166</v>
      </c>
      <c r="C138" s="18">
        <v>11</v>
      </c>
    </row>
    <row r="139" spans="1:3" x14ac:dyDescent="0.3">
      <c r="A139" s="17" t="s">
        <v>2489</v>
      </c>
      <c r="B139" s="18">
        <v>25199</v>
      </c>
      <c r="C139" s="18">
        <v>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2209"/>
  <sheetViews>
    <sheetView showGridLines="0" tabSelected="1" topLeftCell="B1" workbookViewId="0">
      <selection activeCell="K1" sqref="K1"/>
    </sheetView>
  </sheetViews>
  <sheetFormatPr baseColWidth="10" defaultRowHeight="15" customHeight="1" x14ac:dyDescent="0.3"/>
  <cols>
    <col min="1" max="1" width="24.88671875" customWidth="1"/>
    <col min="2" max="2" width="22.5546875" bestFit="1" customWidth="1"/>
    <col min="3" max="3" width="22.77734375" bestFit="1" customWidth="1"/>
    <col min="4" max="4" width="15.5546875" bestFit="1" customWidth="1"/>
    <col min="5" max="5" width="12.21875" bestFit="1" customWidth="1"/>
    <col min="6" max="6" width="13" customWidth="1"/>
    <col min="7" max="7" width="9.21875" bestFit="1" customWidth="1"/>
    <col min="8" max="8" width="28" bestFit="1" customWidth="1"/>
    <col min="9" max="15" width="21.5546875" customWidth="1"/>
  </cols>
  <sheetData>
    <row r="1" spans="1:14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2479</v>
      </c>
      <c r="J1" t="s">
        <v>2480</v>
      </c>
      <c r="K1" t="s">
        <v>7</v>
      </c>
      <c r="L1" t="s">
        <v>2494</v>
      </c>
      <c r="M1" t="s">
        <v>2481</v>
      </c>
      <c r="N1" t="s">
        <v>2482</v>
      </c>
    </row>
    <row r="2" spans="1:14" ht="15" customHeight="1" x14ac:dyDescent="0.3">
      <c r="A2" s="7">
        <v>209652813</v>
      </c>
      <c r="B2" s="3" t="s">
        <v>14</v>
      </c>
      <c r="C2" s="3" t="s">
        <v>15</v>
      </c>
      <c r="D2" s="4">
        <v>46305.710150462997</v>
      </c>
      <c r="E2" s="5" t="s">
        <v>10</v>
      </c>
      <c r="F2" s="5" t="s">
        <v>11</v>
      </c>
      <c r="G2" s="5">
        <v>2</v>
      </c>
      <c r="H2" s="5" t="s">
        <v>12</v>
      </c>
      <c r="I2" t="s">
        <v>13</v>
      </c>
      <c r="J2" t="s">
        <v>8</v>
      </c>
      <c r="K2" t="str">
        <f>+VLOOKUP(C2,'[1]TIENDAS 2025'!$A$1:$C$143,3,0)</f>
        <v>departamental</v>
      </c>
      <c r="L2" t="str">
        <f>+VLOOKUP(C2,[2]Hoja1!$A$1:$B$138,2,0)</f>
        <v>APROBAR</v>
      </c>
      <c r="M2">
        <v>1</v>
      </c>
      <c r="N2" t="e">
        <v>#N/A</v>
      </c>
    </row>
    <row r="3" spans="1:14" ht="15" customHeight="1" x14ac:dyDescent="0.3">
      <c r="A3" s="3">
        <v>8209654368</v>
      </c>
      <c r="B3" s="3" t="s">
        <v>14</v>
      </c>
      <c r="C3" s="3" t="s">
        <v>15</v>
      </c>
      <c r="D3" s="4">
        <v>46306.487372685202</v>
      </c>
      <c r="E3" s="5" t="s">
        <v>10</v>
      </c>
      <c r="F3" s="5" t="s">
        <v>16</v>
      </c>
      <c r="G3" s="5">
        <v>4</v>
      </c>
      <c r="H3" s="8" t="s">
        <v>12</v>
      </c>
      <c r="I3" t="s">
        <v>18</v>
      </c>
      <c r="K3" t="str">
        <f>+VLOOKUP(C3,'[1]TIENDAS 2025'!$A$1:$C$143,3,0)</f>
        <v>departamental</v>
      </c>
      <c r="L3" t="str">
        <f>+VLOOKUP(C3,[2]Hoja1!$A$1:$B$138,2,0)</f>
        <v>APROBAR</v>
      </c>
      <c r="M3">
        <v>1</v>
      </c>
      <c r="N3" t="e">
        <v>#N/A</v>
      </c>
    </row>
    <row r="4" spans="1:14" ht="15" customHeight="1" x14ac:dyDescent="0.3">
      <c r="A4" s="3">
        <v>1209654377</v>
      </c>
      <c r="B4" s="3" t="s">
        <v>14</v>
      </c>
      <c r="C4" s="3" t="s">
        <v>15</v>
      </c>
      <c r="D4" s="4">
        <v>46306.487384259301</v>
      </c>
      <c r="E4" s="5" t="s">
        <v>10</v>
      </c>
      <c r="F4" s="5" t="s">
        <v>11</v>
      </c>
      <c r="G4" s="5">
        <v>37</v>
      </c>
      <c r="H4" s="6" t="s">
        <v>12</v>
      </c>
      <c r="I4" t="s">
        <v>19</v>
      </c>
      <c r="J4" t="s">
        <v>2480</v>
      </c>
      <c r="K4" t="str">
        <f>+VLOOKUP(C4,'[1]TIENDAS 2025'!$A$1:$C$143,3,0)</f>
        <v>departamental</v>
      </c>
      <c r="L4" t="str">
        <f>+VLOOKUP(C4,[2]Hoja1!$A$1:$B$138,2,0)</f>
        <v>APROBAR</v>
      </c>
      <c r="M4">
        <v>1</v>
      </c>
      <c r="N4" t="e">
        <v>#N/A</v>
      </c>
    </row>
    <row r="5" spans="1:14" ht="15" customHeight="1" x14ac:dyDescent="0.3">
      <c r="A5" s="3">
        <v>1209654372</v>
      </c>
      <c r="B5" s="3" t="s">
        <v>14</v>
      </c>
      <c r="C5" s="3" t="s">
        <v>15</v>
      </c>
      <c r="D5" s="4">
        <v>46306.487511574102</v>
      </c>
      <c r="E5" s="5" t="s">
        <v>10</v>
      </c>
      <c r="F5" s="5" t="s">
        <v>11</v>
      </c>
      <c r="G5" s="5">
        <v>9</v>
      </c>
      <c r="H5" s="6" t="s">
        <v>12</v>
      </c>
      <c r="I5" t="s">
        <v>20</v>
      </c>
      <c r="J5" t="s">
        <v>2480</v>
      </c>
      <c r="K5" t="str">
        <f>+VLOOKUP(C5,'[1]TIENDAS 2025'!$A$1:$C$143,3,0)</f>
        <v>departamental</v>
      </c>
      <c r="L5" t="str">
        <f>+VLOOKUP(C5,[2]Hoja1!$A$1:$B$138,2,0)</f>
        <v>APROBAR</v>
      </c>
      <c r="M5">
        <v>1</v>
      </c>
      <c r="N5" t="e">
        <v>#N/A</v>
      </c>
    </row>
    <row r="6" spans="1:14" ht="15" customHeight="1" x14ac:dyDescent="0.3">
      <c r="A6" s="3">
        <v>1209654374</v>
      </c>
      <c r="B6" s="3" t="s">
        <v>14</v>
      </c>
      <c r="C6" s="3" t="s">
        <v>15</v>
      </c>
      <c r="D6" s="4">
        <v>46306.487534722197</v>
      </c>
      <c r="E6" s="5" t="s">
        <v>10</v>
      </c>
      <c r="F6" s="5" t="s">
        <v>11</v>
      </c>
      <c r="G6" s="5">
        <v>19</v>
      </c>
      <c r="H6" s="6" t="s">
        <v>12</v>
      </c>
      <c r="I6" t="s">
        <v>21</v>
      </c>
      <c r="J6" t="s">
        <v>2480</v>
      </c>
      <c r="K6" t="str">
        <f>+VLOOKUP(C6,'[1]TIENDAS 2025'!$A$1:$C$143,3,0)</f>
        <v>departamental</v>
      </c>
      <c r="L6" t="str">
        <f>+VLOOKUP(C6,[2]Hoja1!$A$1:$B$138,2,0)</f>
        <v>APROBAR</v>
      </c>
      <c r="M6">
        <v>1</v>
      </c>
      <c r="N6" t="e">
        <v>#N/A</v>
      </c>
    </row>
    <row r="7" spans="1:14" ht="15" customHeight="1" x14ac:dyDescent="0.3">
      <c r="A7" s="3">
        <v>1209654378</v>
      </c>
      <c r="B7" s="3" t="s">
        <v>14</v>
      </c>
      <c r="C7" s="3" t="s">
        <v>15</v>
      </c>
      <c r="D7" s="4">
        <v>46306.487592592603</v>
      </c>
      <c r="E7" s="5" t="s">
        <v>10</v>
      </c>
      <c r="F7" s="5" t="s">
        <v>17</v>
      </c>
      <c r="G7" s="5">
        <v>59</v>
      </c>
      <c r="H7" s="6" t="s">
        <v>12</v>
      </c>
      <c r="I7" t="s">
        <v>22</v>
      </c>
      <c r="J7" t="s">
        <v>2480</v>
      </c>
      <c r="K7" t="str">
        <f>+VLOOKUP(C7,'[1]TIENDAS 2025'!$A$1:$C$143,3,0)</f>
        <v>departamental</v>
      </c>
      <c r="L7" t="str">
        <f>+VLOOKUP(C7,[2]Hoja1!$A$1:$B$138,2,0)</f>
        <v>APROBAR</v>
      </c>
      <c r="M7">
        <v>1</v>
      </c>
      <c r="N7" t="e">
        <v>#N/A</v>
      </c>
    </row>
    <row r="8" spans="1:14" ht="15" customHeight="1" x14ac:dyDescent="0.3">
      <c r="A8" s="3">
        <v>8209654363</v>
      </c>
      <c r="B8" s="3" t="s">
        <v>14</v>
      </c>
      <c r="C8" s="3" t="s">
        <v>15</v>
      </c>
      <c r="D8" s="4">
        <v>46306.487708333298</v>
      </c>
      <c r="E8" s="5" t="s">
        <v>10</v>
      </c>
      <c r="F8" s="5" t="s">
        <v>16</v>
      </c>
      <c r="G8" s="5">
        <v>1</v>
      </c>
      <c r="H8" s="8" t="s">
        <v>12</v>
      </c>
      <c r="I8" t="s">
        <v>23</v>
      </c>
      <c r="K8" t="str">
        <f>+VLOOKUP(C8,'[1]TIENDAS 2025'!$A$1:$C$143,3,0)</f>
        <v>departamental</v>
      </c>
      <c r="L8" t="str">
        <f>+VLOOKUP(C8,[2]Hoja1!$A$1:$B$138,2,0)</f>
        <v>APROBAR</v>
      </c>
      <c r="M8">
        <v>1</v>
      </c>
      <c r="N8" t="e">
        <v>#N/A</v>
      </c>
    </row>
    <row r="9" spans="1:14" ht="15" customHeight="1" x14ac:dyDescent="0.3">
      <c r="A9" s="3">
        <v>1209654369</v>
      </c>
      <c r="B9" s="3" t="s">
        <v>14</v>
      </c>
      <c r="C9" s="3" t="s">
        <v>15</v>
      </c>
      <c r="D9" s="4">
        <v>46306.487743055601</v>
      </c>
      <c r="E9" s="5" t="s">
        <v>10</v>
      </c>
      <c r="F9" s="5" t="s">
        <v>17</v>
      </c>
      <c r="G9" s="5">
        <v>2</v>
      </c>
      <c r="H9" s="6" t="s">
        <v>12</v>
      </c>
      <c r="I9" t="s">
        <v>24</v>
      </c>
      <c r="J9" t="s">
        <v>2480</v>
      </c>
      <c r="K9" t="str">
        <f>+VLOOKUP(C9,'[1]TIENDAS 2025'!$A$1:$C$143,3,0)</f>
        <v>departamental</v>
      </c>
      <c r="L9" t="str">
        <f>+VLOOKUP(C9,[2]Hoja1!$A$1:$B$138,2,0)</f>
        <v>APROBAR</v>
      </c>
      <c r="M9">
        <v>1</v>
      </c>
      <c r="N9" t="e">
        <v>#N/A</v>
      </c>
    </row>
    <row r="10" spans="1:14" ht="15" customHeight="1" x14ac:dyDescent="0.3">
      <c r="A10" s="3">
        <v>1209654376</v>
      </c>
      <c r="B10" s="3" t="s">
        <v>14</v>
      </c>
      <c r="C10" s="3" t="s">
        <v>15</v>
      </c>
      <c r="D10" s="4">
        <v>46306.487777777802</v>
      </c>
      <c r="E10" s="5" t="s">
        <v>10</v>
      </c>
      <c r="F10" s="5" t="s">
        <v>11</v>
      </c>
      <c r="G10" s="5">
        <v>22</v>
      </c>
      <c r="H10" s="6" t="s">
        <v>12</v>
      </c>
      <c r="I10" t="s">
        <v>25</v>
      </c>
      <c r="J10" t="s">
        <v>2480</v>
      </c>
      <c r="K10" t="str">
        <f>+VLOOKUP(C10,'[1]TIENDAS 2025'!$A$1:$C$143,3,0)</f>
        <v>departamental</v>
      </c>
      <c r="L10" t="str">
        <f>+VLOOKUP(C10,[2]Hoja1!$A$1:$B$138,2,0)</f>
        <v>APROBAR</v>
      </c>
      <c r="M10">
        <v>1</v>
      </c>
      <c r="N10" t="e">
        <v>#N/A</v>
      </c>
    </row>
    <row r="11" spans="1:14" ht="15" customHeight="1" x14ac:dyDescent="0.3">
      <c r="A11" s="3">
        <v>8209654367</v>
      </c>
      <c r="B11" s="3" t="s">
        <v>14</v>
      </c>
      <c r="C11" s="3" t="s">
        <v>15</v>
      </c>
      <c r="D11" s="4">
        <v>46306.488032407397</v>
      </c>
      <c r="E11" s="5" t="s">
        <v>10</v>
      </c>
      <c r="F11" s="5" t="s">
        <v>16</v>
      </c>
      <c r="G11" s="5">
        <v>3</v>
      </c>
      <c r="H11" s="8" t="s">
        <v>12</v>
      </c>
      <c r="I11" t="s">
        <v>26</v>
      </c>
      <c r="K11" t="str">
        <f>+VLOOKUP(C11,'[1]TIENDAS 2025'!$A$1:$C$143,3,0)</f>
        <v>departamental</v>
      </c>
      <c r="L11" t="str">
        <f>+VLOOKUP(C11,[2]Hoja1!$A$1:$B$138,2,0)</f>
        <v>APROBAR</v>
      </c>
      <c r="M11">
        <v>1</v>
      </c>
      <c r="N11" t="e">
        <v>#N/A</v>
      </c>
    </row>
    <row r="12" spans="1:14" ht="15" customHeight="1" x14ac:dyDescent="0.3">
      <c r="A12" s="3">
        <v>1209654370</v>
      </c>
      <c r="B12" s="3" t="s">
        <v>14</v>
      </c>
      <c r="C12" s="3" t="s">
        <v>15</v>
      </c>
      <c r="D12" s="4">
        <v>46306.488055555601</v>
      </c>
      <c r="E12" s="5" t="s">
        <v>10</v>
      </c>
      <c r="F12" s="5" t="s">
        <v>11</v>
      </c>
      <c r="G12" s="5">
        <v>4</v>
      </c>
      <c r="H12" s="6" t="s">
        <v>12</v>
      </c>
      <c r="I12" t="s">
        <v>27</v>
      </c>
      <c r="J12" t="s">
        <v>2480</v>
      </c>
      <c r="K12" t="str">
        <f>+VLOOKUP(C12,'[1]TIENDAS 2025'!$A$1:$C$143,3,0)</f>
        <v>departamental</v>
      </c>
      <c r="L12" t="str">
        <f>+VLOOKUP(C12,[2]Hoja1!$A$1:$B$138,2,0)</f>
        <v>APROBAR</v>
      </c>
      <c r="M12">
        <v>1</v>
      </c>
      <c r="N12" t="e">
        <v>#N/A</v>
      </c>
    </row>
    <row r="13" spans="1:14" ht="15" customHeight="1" x14ac:dyDescent="0.3">
      <c r="A13" s="3">
        <v>8209654366</v>
      </c>
      <c r="B13" s="3" t="s">
        <v>14</v>
      </c>
      <c r="C13" s="3" t="s">
        <v>15</v>
      </c>
      <c r="D13" s="4">
        <v>46306.488391203697</v>
      </c>
      <c r="E13" s="5" t="s">
        <v>10</v>
      </c>
      <c r="F13" s="5" t="s">
        <v>16</v>
      </c>
      <c r="G13" s="5">
        <v>1</v>
      </c>
      <c r="H13" s="8" t="s">
        <v>12</v>
      </c>
      <c r="I13" t="s">
        <v>28</v>
      </c>
      <c r="K13" t="str">
        <f>+VLOOKUP(C13,'[1]TIENDAS 2025'!$A$1:$C$143,3,0)</f>
        <v>departamental</v>
      </c>
      <c r="L13" t="str">
        <f>+VLOOKUP(C13,[2]Hoja1!$A$1:$B$138,2,0)</f>
        <v>APROBAR</v>
      </c>
      <c r="M13">
        <v>1</v>
      </c>
      <c r="N13" t="e">
        <v>#N/A</v>
      </c>
    </row>
    <row r="14" spans="1:14" ht="15" customHeight="1" x14ac:dyDescent="0.3">
      <c r="A14" s="3">
        <v>1209654371</v>
      </c>
      <c r="B14" s="3" t="s">
        <v>14</v>
      </c>
      <c r="C14" s="3" t="s">
        <v>15</v>
      </c>
      <c r="D14" s="4">
        <v>46306.488425925898</v>
      </c>
      <c r="E14" s="5" t="s">
        <v>10</v>
      </c>
      <c r="F14" s="5" t="s">
        <v>11</v>
      </c>
      <c r="G14" s="5">
        <v>6</v>
      </c>
      <c r="H14" s="6" t="s">
        <v>12</v>
      </c>
      <c r="I14" t="s">
        <v>29</v>
      </c>
      <c r="J14" t="s">
        <v>2480</v>
      </c>
      <c r="K14" t="str">
        <f>+VLOOKUP(C14,'[1]TIENDAS 2025'!$A$1:$C$143,3,0)</f>
        <v>departamental</v>
      </c>
      <c r="L14" t="str">
        <f>+VLOOKUP(C14,[2]Hoja1!$A$1:$B$138,2,0)</f>
        <v>APROBAR</v>
      </c>
      <c r="M14">
        <v>1</v>
      </c>
      <c r="N14" t="e">
        <v>#N/A</v>
      </c>
    </row>
    <row r="15" spans="1:14" ht="15" customHeight="1" x14ac:dyDescent="0.3">
      <c r="A15" s="3">
        <v>1209654379</v>
      </c>
      <c r="B15" s="3" t="s">
        <v>14</v>
      </c>
      <c r="C15" s="3" t="s">
        <v>15</v>
      </c>
      <c r="D15" s="4">
        <v>46306.488460648201</v>
      </c>
      <c r="E15" s="5" t="s">
        <v>10</v>
      </c>
      <c r="F15" s="5" t="s">
        <v>11</v>
      </c>
      <c r="G15" s="5">
        <v>2</v>
      </c>
      <c r="H15" s="6" t="s">
        <v>12</v>
      </c>
      <c r="I15" t="s">
        <v>30</v>
      </c>
      <c r="J15" t="s">
        <v>2480</v>
      </c>
      <c r="K15" t="str">
        <f>+VLOOKUP(C15,'[1]TIENDAS 2025'!$A$1:$C$143,3,0)</f>
        <v>departamental</v>
      </c>
      <c r="L15" t="str">
        <f>+VLOOKUP(C15,[2]Hoja1!$A$1:$B$138,2,0)</f>
        <v>APROBAR</v>
      </c>
      <c r="M15">
        <v>1</v>
      </c>
      <c r="N15" t="e">
        <v>#N/A</v>
      </c>
    </row>
    <row r="16" spans="1:14" ht="15" customHeight="1" x14ac:dyDescent="0.3">
      <c r="A16" s="3">
        <v>8209654364</v>
      </c>
      <c r="B16" s="3" t="s">
        <v>14</v>
      </c>
      <c r="C16" s="3" t="s">
        <v>15</v>
      </c>
      <c r="D16" s="4">
        <v>46306.488576388903</v>
      </c>
      <c r="E16" s="5" t="s">
        <v>10</v>
      </c>
      <c r="F16" s="5" t="s">
        <v>16</v>
      </c>
      <c r="G16" s="5">
        <v>2</v>
      </c>
      <c r="H16" s="8" t="s">
        <v>12</v>
      </c>
      <c r="I16" t="s">
        <v>31</v>
      </c>
      <c r="K16" t="str">
        <f>+VLOOKUP(C16,'[1]TIENDAS 2025'!$A$1:$C$143,3,0)</f>
        <v>departamental</v>
      </c>
      <c r="L16" t="str">
        <f>+VLOOKUP(C16,[2]Hoja1!$A$1:$B$138,2,0)</f>
        <v>APROBAR</v>
      </c>
      <c r="M16">
        <v>1</v>
      </c>
      <c r="N16" t="e">
        <v>#N/A</v>
      </c>
    </row>
    <row r="17" spans="1:14" ht="15" customHeight="1" x14ac:dyDescent="0.3">
      <c r="A17" s="3">
        <v>8209654365</v>
      </c>
      <c r="B17" s="3" t="s">
        <v>14</v>
      </c>
      <c r="C17" s="3" t="s">
        <v>15</v>
      </c>
      <c r="D17" s="4">
        <v>46306.488587963002</v>
      </c>
      <c r="E17" s="5" t="s">
        <v>10</v>
      </c>
      <c r="F17" s="5" t="s">
        <v>16</v>
      </c>
      <c r="G17" s="5">
        <v>6</v>
      </c>
      <c r="H17" s="8" t="s">
        <v>12</v>
      </c>
      <c r="I17" t="s">
        <v>32</v>
      </c>
      <c r="K17" t="str">
        <f>+VLOOKUP(C17,'[1]TIENDAS 2025'!$A$1:$C$143,3,0)</f>
        <v>departamental</v>
      </c>
      <c r="L17" t="str">
        <f>+VLOOKUP(C17,[2]Hoja1!$A$1:$B$138,2,0)</f>
        <v>APROBAR</v>
      </c>
      <c r="M17">
        <v>1</v>
      </c>
      <c r="N17" t="e">
        <v>#N/A</v>
      </c>
    </row>
    <row r="18" spans="1:14" ht="15" customHeight="1" x14ac:dyDescent="0.3">
      <c r="A18" s="3">
        <v>1209654373</v>
      </c>
      <c r="B18" s="3" t="s">
        <v>14</v>
      </c>
      <c r="C18" s="3" t="s">
        <v>15</v>
      </c>
      <c r="D18" s="4">
        <v>46306.488599536999</v>
      </c>
      <c r="E18" s="5" t="s">
        <v>10</v>
      </c>
      <c r="F18" s="5" t="s">
        <v>11</v>
      </c>
      <c r="G18" s="5">
        <v>14</v>
      </c>
      <c r="H18" s="6" t="s">
        <v>12</v>
      </c>
      <c r="I18" t="s">
        <v>33</v>
      </c>
      <c r="J18" t="s">
        <v>2480</v>
      </c>
      <c r="K18" t="str">
        <f>+VLOOKUP(C18,'[1]TIENDAS 2025'!$A$1:$C$143,3,0)</f>
        <v>departamental</v>
      </c>
      <c r="L18" t="str">
        <f>+VLOOKUP(C18,[2]Hoja1!$A$1:$B$138,2,0)</f>
        <v>APROBAR</v>
      </c>
      <c r="M18">
        <v>1</v>
      </c>
      <c r="N18" t="e">
        <v>#N/A</v>
      </c>
    </row>
    <row r="19" spans="1:14" ht="15" customHeight="1" x14ac:dyDescent="0.3">
      <c r="A19" s="3">
        <v>1209654375</v>
      </c>
      <c r="B19" s="3" t="s">
        <v>14</v>
      </c>
      <c r="C19" s="3" t="s">
        <v>15</v>
      </c>
      <c r="D19" s="4">
        <v>46306.488634259302</v>
      </c>
      <c r="E19" s="5" t="s">
        <v>10</v>
      </c>
      <c r="F19" s="5" t="s">
        <v>11</v>
      </c>
      <c r="G19" s="5">
        <v>13</v>
      </c>
      <c r="H19" s="6" t="s">
        <v>12</v>
      </c>
      <c r="I19" t="s">
        <v>34</v>
      </c>
      <c r="J19" t="s">
        <v>2480</v>
      </c>
      <c r="K19" t="str">
        <f>+VLOOKUP(C19,'[1]TIENDAS 2025'!$A$1:$C$143,3,0)</f>
        <v>departamental</v>
      </c>
      <c r="L19" t="str">
        <f>+VLOOKUP(C19,[2]Hoja1!$A$1:$B$138,2,0)</f>
        <v>APROBAR</v>
      </c>
      <c r="M19">
        <v>1</v>
      </c>
      <c r="N19" t="e">
        <v>#N/A</v>
      </c>
    </row>
    <row r="20" spans="1:14" ht="15" customHeight="1" x14ac:dyDescent="0.3">
      <c r="A20" s="3">
        <v>1209656738</v>
      </c>
      <c r="B20" s="3" t="s">
        <v>36</v>
      </c>
      <c r="C20" s="3" t="s">
        <v>37</v>
      </c>
      <c r="D20" s="4">
        <v>46307.385231481501</v>
      </c>
      <c r="E20" s="5" t="s">
        <v>10</v>
      </c>
      <c r="F20" s="5" t="s">
        <v>17</v>
      </c>
      <c r="G20" s="5">
        <v>16</v>
      </c>
      <c r="H20" s="6" t="s">
        <v>12</v>
      </c>
      <c r="I20" t="s">
        <v>35</v>
      </c>
      <c r="J20" t="s">
        <v>2480</v>
      </c>
      <c r="K20" t="str">
        <f>+VLOOKUP(C20,'[1]TIENDAS 2025'!$A$1:$C$143,3,0)</f>
        <v>prioridad</v>
      </c>
      <c r="L20" t="str">
        <f>+VLOOKUP(C20,[2]Hoja1!$A$1:$B$138,2,0)</f>
        <v>APROBAR</v>
      </c>
      <c r="M20">
        <v>1</v>
      </c>
      <c r="N20" t="e">
        <v>#N/A</v>
      </c>
    </row>
    <row r="21" spans="1:14" ht="15" customHeight="1" x14ac:dyDescent="0.3">
      <c r="A21" s="3">
        <v>1209656740</v>
      </c>
      <c r="B21" s="3" t="s">
        <v>36</v>
      </c>
      <c r="C21" s="3" t="s">
        <v>37</v>
      </c>
      <c r="D21" s="4">
        <v>46307.385231481501</v>
      </c>
      <c r="E21" s="5" t="s">
        <v>10</v>
      </c>
      <c r="F21" s="5" t="s">
        <v>17</v>
      </c>
      <c r="G21" s="5">
        <v>23</v>
      </c>
      <c r="H21" s="6" t="s">
        <v>12</v>
      </c>
      <c r="I21" t="s">
        <v>38</v>
      </c>
      <c r="J21" t="s">
        <v>2480</v>
      </c>
      <c r="K21" t="str">
        <f>+VLOOKUP(C21,'[1]TIENDAS 2025'!$A$1:$C$143,3,0)</f>
        <v>prioridad</v>
      </c>
      <c r="L21" t="str">
        <f>+VLOOKUP(C21,[2]Hoja1!$A$1:$B$138,2,0)</f>
        <v>APROBAR</v>
      </c>
      <c r="M21">
        <v>1</v>
      </c>
      <c r="N21" t="e">
        <v>#N/A</v>
      </c>
    </row>
    <row r="22" spans="1:14" ht="15" customHeight="1" x14ac:dyDescent="0.3">
      <c r="A22" s="3">
        <v>1209656742</v>
      </c>
      <c r="B22" s="3" t="s">
        <v>36</v>
      </c>
      <c r="C22" s="3" t="s">
        <v>37</v>
      </c>
      <c r="D22" s="4">
        <v>46307.3852430556</v>
      </c>
      <c r="E22" s="5" t="s">
        <v>10</v>
      </c>
      <c r="F22" s="5" t="s">
        <v>11</v>
      </c>
      <c r="G22" s="5">
        <v>1</v>
      </c>
      <c r="H22" s="6" t="s">
        <v>12</v>
      </c>
      <c r="I22" t="s">
        <v>39</v>
      </c>
      <c r="J22" t="s">
        <v>2480</v>
      </c>
      <c r="K22" t="str">
        <f>+VLOOKUP(C22,'[1]TIENDAS 2025'!$A$1:$C$143,3,0)</f>
        <v>prioridad</v>
      </c>
      <c r="L22" t="str">
        <f>+VLOOKUP(C22,[2]Hoja1!$A$1:$B$138,2,0)</f>
        <v>APROBAR</v>
      </c>
      <c r="M22">
        <v>1</v>
      </c>
      <c r="N22" t="e">
        <v>#N/A</v>
      </c>
    </row>
    <row r="23" spans="1:14" ht="15" customHeight="1" x14ac:dyDescent="0.3">
      <c r="A23" s="3">
        <v>8209656709</v>
      </c>
      <c r="B23" s="3" t="s">
        <v>41</v>
      </c>
      <c r="C23" s="3" t="s">
        <v>42</v>
      </c>
      <c r="D23" s="4">
        <v>46307.3852430556</v>
      </c>
      <c r="E23" s="5" t="s">
        <v>10</v>
      </c>
      <c r="F23" s="5" t="s">
        <v>16</v>
      </c>
      <c r="G23" s="5">
        <v>2</v>
      </c>
      <c r="H23" s="8" t="s">
        <v>12</v>
      </c>
      <c r="I23" t="s">
        <v>40</v>
      </c>
      <c r="K23" t="str">
        <f>+VLOOKUP(C23,'[1]TIENDAS 2025'!$A$1:$C$143,3,0)</f>
        <v>local</v>
      </c>
      <c r="L23" t="str">
        <f>+VLOOKUP(C23,[2]Hoja1!$A$1:$B$138,2,0)</f>
        <v>APROBAR</v>
      </c>
      <c r="M23">
        <v>1</v>
      </c>
      <c r="N23" t="e">
        <v>#N/A</v>
      </c>
    </row>
    <row r="24" spans="1:14" ht="15" customHeight="1" x14ac:dyDescent="0.3">
      <c r="A24" s="3">
        <v>1209656751</v>
      </c>
      <c r="B24" s="3" t="s">
        <v>36</v>
      </c>
      <c r="C24" s="3" t="s">
        <v>37</v>
      </c>
      <c r="D24" s="4">
        <v>46307.385254629597</v>
      </c>
      <c r="E24" s="5" t="s">
        <v>10</v>
      </c>
      <c r="F24" s="5" t="s">
        <v>11</v>
      </c>
      <c r="G24" s="5">
        <v>18</v>
      </c>
      <c r="H24" s="6" t="s">
        <v>12</v>
      </c>
      <c r="I24" t="s">
        <v>43</v>
      </c>
      <c r="J24" t="s">
        <v>2480</v>
      </c>
      <c r="K24" t="str">
        <f>+VLOOKUP(C24,'[1]TIENDAS 2025'!$A$1:$C$143,3,0)</f>
        <v>prioridad</v>
      </c>
      <c r="L24" t="str">
        <f>+VLOOKUP(C24,[2]Hoja1!$A$1:$B$138,2,0)</f>
        <v>APROBAR</v>
      </c>
      <c r="M24">
        <v>1</v>
      </c>
      <c r="N24" t="e">
        <v>#N/A</v>
      </c>
    </row>
    <row r="25" spans="1:14" ht="15" customHeight="1" x14ac:dyDescent="0.3">
      <c r="A25" s="3">
        <v>1209656745</v>
      </c>
      <c r="B25" s="3" t="s">
        <v>36</v>
      </c>
      <c r="C25" s="3" t="s">
        <v>37</v>
      </c>
      <c r="D25" s="4">
        <v>46307.385266203702</v>
      </c>
      <c r="E25" s="5" t="s">
        <v>10</v>
      </c>
      <c r="F25" s="5" t="s">
        <v>17</v>
      </c>
      <c r="G25" s="5">
        <v>2</v>
      </c>
      <c r="H25" s="6" t="s">
        <v>12</v>
      </c>
      <c r="I25" t="s">
        <v>44</v>
      </c>
      <c r="J25" t="s">
        <v>2480</v>
      </c>
      <c r="K25" t="str">
        <f>+VLOOKUP(C25,'[1]TIENDAS 2025'!$A$1:$C$143,3,0)</f>
        <v>prioridad</v>
      </c>
      <c r="L25" t="str">
        <f>+VLOOKUP(C25,[2]Hoja1!$A$1:$B$138,2,0)</f>
        <v>APROBAR</v>
      </c>
      <c r="M25">
        <v>1</v>
      </c>
      <c r="N25" t="e">
        <v>#N/A</v>
      </c>
    </row>
    <row r="26" spans="1:14" ht="15" customHeight="1" x14ac:dyDescent="0.3">
      <c r="A26" s="3">
        <v>8209656732</v>
      </c>
      <c r="B26" s="3" t="s">
        <v>36</v>
      </c>
      <c r="C26" s="3" t="s">
        <v>37</v>
      </c>
      <c r="D26" s="4">
        <v>46307.385266203702</v>
      </c>
      <c r="E26" s="5" t="s">
        <v>10</v>
      </c>
      <c r="F26" s="5" t="s">
        <v>16</v>
      </c>
      <c r="G26" s="5">
        <v>16</v>
      </c>
      <c r="H26" s="8" t="s">
        <v>12</v>
      </c>
      <c r="I26" t="s">
        <v>45</v>
      </c>
      <c r="K26" t="str">
        <f>+VLOOKUP(C26,'[1]TIENDAS 2025'!$A$1:$C$143,3,0)</f>
        <v>prioridad</v>
      </c>
      <c r="L26" t="str">
        <f>+VLOOKUP(C26,[2]Hoja1!$A$1:$B$138,2,0)</f>
        <v>APROBAR</v>
      </c>
      <c r="M26">
        <v>1</v>
      </c>
      <c r="N26" t="e">
        <v>#N/A</v>
      </c>
    </row>
    <row r="27" spans="1:14" ht="15" customHeight="1" x14ac:dyDescent="0.3">
      <c r="A27" s="3">
        <v>8209656683</v>
      </c>
      <c r="B27" s="3" t="s">
        <v>41</v>
      </c>
      <c r="C27" s="3" t="s">
        <v>42</v>
      </c>
      <c r="D27" s="4">
        <v>46307.385289351798</v>
      </c>
      <c r="E27" s="5" t="s">
        <v>10</v>
      </c>
      <c r="F27" s="5" t="s">
        <v>16</v>
      </c>
      <c r="G27" s="5">
        <v>9</v>
      </c>
      <c r="H27" s="8" t="s">
        <v>12</v>
      </c>
      <c r="I27" t="s">
        <v>46</v>
      </c>
      <c r="K27" t="str">
        <f>+VLOOKUP(C27,'[1]TIENDAS 2025'!$A$1:$C$143,3,0)</f>
        <v>local</v>
      </c>
      <c r="L27" t="str">
        <f>+VLOOKUP(C27,[2]Hoja1!$A$1:$B$138,2,0)</f>
        <v>APROBAR</v>
      </c>
      <c r="M27">
        <v>1</v>
      </c>
      <c r="N27" t="e">
        <v>#N/A</v>
      </c>
    </row>
    <row r="28" spans="1:14" ht="15" customHeight="1" x14ac:dyDescent="0.3">
      <c r="A28" s="3">
        <v>8209656696</v>
      </c>
      <c r="B28" s="3" t="s">
        <v>41</v>
      </c>
      <c r="C28" s="3" t="s">
        <v>42</v>
      </c>
      <c r="D28" s="4">
        <v>46307.385300925896</v>
      </c>
      <c r="E28" s="5" t="s">
        <v>10</v>
      </c>
      <c r="F28" s="5" t="s">
        <v>16</v>
      </c>
      <c r="G28" s="5">
        <v>1</v>
      </c>
      <c r="H28" s="8" t="s">
        <v>12</v>
      </c>
      <c r="I28" t="s">
        <v>47</v>
      </c>
      <c r="K28" t="str">
        <f>+VLOOKUP(C28,'[1]TIENDAS 2025'!$A$1:$C$143,3,0)</f>
        <v>local</v>
      </c>
      <c r="L28" t="str">
        <f>+VLOOKUP(C28,[2]Hoja1!$A$1:$B$138,2,0)</f>
        <v>APROBAR</v>
      </c>
      <c r="M28">
        <v>1</v>
      </c>
      <c r="N28" t="e">
        <v>#N/A</v>
      </c>
    </row>
    <row r="29" spans="1:14" ht="15" customHeight="1" x14ac:dyDescent="0.3">
      <c r="A29" s="3">
        <v>8209656744</v>
      </c>
      <c r="B29" s="3" t="s">
        <v>36</v>
      </c>
      <c r="C29" s="3" t="s">
        <v>37</v>
      </c>
      <c r="D29" s="4">
        <v>46307.385312500002</v>
      </c>
      <c r="E29" s="5" t="s">
        <v>10</v>
      </c>
      <c r="F29" s="5" t="s">
        <v>16</v>
      </c>
      <c r="G29" s="5">
        <v>11</v>
      </c>
      <c r="H29" s="8" t="s">
        <v>12</v>
      </c>
      <c r="I29" t="s">
        <v>48</v>
      </c>
      <c r="K29" t="str">
        <f>+VLOOKUP(C29,'[1]TIENDAS 2025'!$A$1:$C$143,3,0)</f>
        <v>prioridad</v>
      </c>
      <c r="L29" t="str">
        <f>+VLOOKUP(C29,[2]Hoja1!$A$1:$B$138,2,0)</f>
        <v>APROBAR</v>
      </c>
      <c r="M29">
        <v>1</v>
      </c>
      <c r="N29" t="e">
        <v>#N/A</v>
      </c>
    </row>
    <row r="30" spans="1:14" ht="15" customHeight="1" x14ac:dyDescent="0.3">
      <c r="A30" s="3">
        <v>1209656690</v>
      </c>
      <c r="B30" s="3" t="s">
        <v>41</v>
      </c>
      <c r="C30" s="3" t="s">
        <v>42</v>
      </c>
      <c r="D30" s="4">
        <v>46307.385324074101</v>
      </c>
      <c r="E30" s="5" t="s">
        <v>10</v>
      </c>
      <c r="F30" s="5" t="s">
        <v>11</v>
      </c>
      <c r="G30" s="5">
        <v>15</v>
      </c>
      <c r="H30" s="6" t="s">
        <v>12</v>
      </c>
      <c r="I30" t="s">
        <v>49</v>
      </c>
      <c r="J30" t="s">
        <v>2480</v>
      </c>
      <c r="K30" t="str">
        <f>+VLOOKUP(C30,'[1]TIENDAS 2025'!$A$1:$C$143,3,0)</f>
        <v>local</v>
      </c>
      <c r="L30" t="str">
        <f>+VLOOKUP(C30,[2]Hoja1!$A$1:$B$138,2,0)</f>
        <v>APROBAR</v>
      </c>
      <c r="M30">
        <v>1</v>
      </c>
      <c r="N30" t="e">
        <v>#N/A</v>
      </c>
    </row>
    <row r="31" spans="1:14" ht="15" customHeight="1" x14ac:dyDescent="0.3">
      <c r="A31" s="3">
        <v>8209656708</v>
      </c>
      <c r="B31" s="3" t="s">
        <v>41</v>
      </c>
      <c r="C31" s="3" t="s">
        <v>42</v>
      </c>
      <c r="D31" s="4">
        <v>46307.385335648098</v>
      </c>
      <c r="E31" s="5" t="s">
        <v>10</v>
      </c>
      <c r="F31" s="5" t="s">
        <v>16</v>
      </c>
      <c r="G31" s="5">
        <v>2</v>
      </c>
      <c r="H31" s="8" t="s">
        <v>12</v>
      </c>
      <c r="I31" t="s">
        <v>50</v>
      </c>
      <c r="K31" t="str">
        <f>+VLOOKUP(C31,'[1]TIENDAS 2025'!$A$1:$C$143,3,0)</f>
        <v>local</v>
      </c>
      <c r="L31" t="str">
        <f>+VLOOKUP(C31,[2]Hoja1!$A$1:$B$138,2,0)</f>
        <v>APROBAR</v>
      </c>
      <c r="M31">
        <v>1</v>
      </c>
      <c r="N31" t="e">
        <v>#N/A</v>
      </c>
    </row>
    <row r="32" spans="1:14" ht="15" customHeight="1" x14ac:dyDescent="0.3">
      <c r="A32" s="3">
        <v>1209656701</v>
      </c>
      <c r="B32" s="3" t="s">
        <v>41</v>
      </c>
      <c r="C32" s="3" t="s">
        <v>42</v>
      </c>
      <c r="D32" s="4">
        <v>46307.385347222204</v>
      </c>
      <c r="E32" s="5" t="s">
        <v>10</v>
      </c>
      <c r="F32" s="5" t="s">
        <v>11</v>
      </c>
      <c r="G32" s="5">
        <v>9</v>
      </c>
      <c r="H32" s="6" t="s">
        <v>12</v>
      </c>
      <c r="I32" t="s">
        <v>51</v>
      </c>
      <c r="J32" t="s">
        <v>2480</v>
      </c>
      <c r="K32" t="str">
        <f>+VLOOKUP(C32,'[1]TIENDAS 2025'!$A$1:$C$143,3,0)</f>
        <v>local</v>
      </c>
      <c r="L32" t="str">
        <f>+VLOOKUP(C32,[2]Hoja1!$A$1:$B$138,2,0)</f>
        <v>APROBAR</v>
      </c>
      <c r="M32">
        <v>1</v>
      </c>
      <c r="N32" t="e">
        <v>#N/A</v>
      </c>
    </row>
    <row r="33" spans="1:14" ht="15" customHeight="1" x14ac:dyDescent="0.3">
      <c r="A33" s="3">
        <v>1209656735</v>
      </c>
      <c r="B33" s="3" t="s">
        <v>36</v>
      </c>
      <c r="C33" s="3" t="s">
        <v>37</v>
      </c>
      <c r="D33" s="4">
        <v>46307.385370370401</v>
      </c>
      <c r="E33" s="5" t="s">
        <v>10</v>
      </c>
      <c r="F33" s="5" t="s">
        <v>11</v>
      </c>
      <c r="G33" s="5">
        <v>11</v>
      </c>
      <c r="H33" s="6" t="s">
        <v>12</v>
      </c>
      <c r="I33" t="s">
        <v>52</v>
      </c>
      <c r="J33" t="s">
        <v>2480</v>
      </c>
      <c r="K33" t="str">
        <f>+VLOOKUP(C33,'[1]TIENDAS 2025'!$A$1:$C$143,3,0)</f>
        <v>prioridad</v>
      </c>
      <c r="L33" t="str">
        <f>+VLOOKUP(C33,[2]Hoja1!$A$1:$B$138,2,0)</f>
        <v>APROBAR</v>
      </c>
      <c r="M33">
        <v>1</v>
      </c>
      <c r="N33" t="e">
        <v>#N/A</v>
      </c>
    </row>
    <row r="34" spans="1:14" ht="15" customHeight="1" x14ac:dyDescent="0.3">
      <c r="A34" s="3">
        <v>1209656737</v>
      </c>
      <c r="B34" s="3" t="s">
        <v>36</v>
      </c>
      <c r="C34" s="3" t="s">
        <v>37</v>
      </c>
      <c r="D34" s="4">
        <v>46307.385381944398</v>
      </c>
      <c r="E34" s="5" t="s">
        <v>10</v>
      </c>
      <c r="F34" s="5" t="s">
        <v>17</v>
      </c>
      <c r="G34" s="5">
        <v>11</v>
      </c>
      <c r="H34" s="6" t="s">
        <v>12</v>
      </c>
      <c r="I34" t="s">
        <v>53</v>
      </c>
      <c r="J34" t="s">
        <v>2480</v>
      </c>
      <c r="K34" t="str">
        <f>+VLOOKUP(C34,'[1]TIENDAS 2025'!$A$1:$C$143,3,0)</f>
        <v>prioridad</v>
      </c>
      <c r="L34" t="str">
        <f>+VLOOKUP(C34,[2]Hoja1!$A$1:$B$138,2,0)</f>
        <v>APROBAR</v>
      </c>
      <c r="M34">
        <v>1</v>
      </c>
      <c r="N34" t="e">
        <v>#N/A</v>
      </c>
    </row>
    <row r="35" spans="1:14" ht="15" customHeight="1" x14ac:dyDescent="0.3">
      <c r="A35" s="3">
        <v>1209656741</v>
      </c>
      <c r="B35" s="3" t="s">
        <v>36</v>
      </c>
      <c r="C35" s="3" t="s">
        <v>37</v>
      </c>
      <c r="D35" s="4">
        <v>46307.385393518503</v>
      </c>
      <c r="E35" s="5" t="s">
        <v>10</v>
      </c>
      <c r="F35" s="5" t="s">
        <v>11</v>
      </c>
      <c r="G35" s="5">
        <v>12</v>
      </c>
      <c r="H35" s="6" t="s">
        <v>12</v>
      </c>
      <c r="I35" t="s">
        <v>54</v>
      </c>
      <c r="J35" t="s">
        <v>2480</v>
      </c>
      <c r="K35" t="str">
        <f>+VLOOKUP(C35,'[1]TIENDAS 2025'!$A$1:$C$143,3,0)</f>
        <v>prioridad</v>
      </c>
      <c r="L35" t="str">
        <f>+VLOOKUP(C35,[2]Hoja1!$A$1:$B$138,2,0)</f>
        <v>APROBAR</v>
      </c>
      <c r="M35">
        <v>1</v>
      </c>
      <c r="N35" t="e">
        <v>#N/A</v>
      </c>
    </row>
    <row r="36" spans="1:14" ht="15" customHeight="1" x14ac:dyDescent="0.3">
      <c r="A36" s="3">
        <v>1209656750</v>
      </c>
      <c r="B36" s="3" t="s">
        <v>36</v>
      </c>
      <c r="C36" s="3" t="s">
        <v>37</v>
      </c>
      <c r="D36" s="4">
        <v>46307.385405092602</v>
      </c>
      <c r="E36" s="5" t="s">
        <v>10</v>
      </c>
      <c r="F36" s="5" t="s">
        <v>17</v>
      </c>
      <c r="G36" s="5">
        <v>12</v>
      </c>
      <c r="H36" s="6" t="s">
        <v>12</v>
      </c>
      <c r="I36" t="s">
        <v>55</v>
      </c>
      <c r="J36" t="s">
        <v>2480</v>
      </c>
      <c r="K36" t="str">
        <f>+VLOOKUP(C36,'[1]TIENDAS 2025'!$A$1:$C$143,3,0)</f>
        <v>prioridad</v>
      </c>
      <c r="L36" t="str">
        <f>+VLOOKUP(C36,[2]Hoja1!$A$1:$B$138,2,0)</f>
        <v>APROBAR</v>
      </c>
      <c r="M36">
        <v>1</v>
      </c>
      <c r="N36" t="e">
        <v>#N/A</v>
      </c>
    </row>
    <row r="37" spans="1:14" ht="15" customHeight="1" x14ac:dyDescent="0.3">
      <c r="A37" s="3">
        <v>1209656753</v>
      </c>
      <c r="B37" s="3" t="s">
        <v>36</v>
      </c>
      <c r="C37" s="3" t="s">
        <v>37</v>
      </c>
      <c r="D37" s="4">
        <v>46307.385416666701</v>
      </c>
      <c r="E37" s="5" t="s">
        <v>10</v>
      </c>
      <c r="F37" s="5" t="s">
        <v>11</v>
      </c>
      <c r="G37" s="5">
        <v>31</v>
      </c>
      <c r="H37" s="6" t="s">
        <v>12</v>
      </c>
      <c r="I37" t="s">
        <v>56</v>
      </c>
      <c r="J37" t="s">
        <v>2480</v>
      </c>
      <c r="K37" t="str">
        <f>+VLOOKUP(C37,'[1]TIENDAS 2025'!$A$1:$C$143,3,0)</f>
        <v>prioridad</v>
      </c>
      <c r="L37" t="str">
        <f>+VLOOKUP(C37,[2]Hoja1!$A$1:$B$138,2,0)</f>
        <v>APROBAR</v>
      </c>
      <c r="M37">
        <v>1</v>
      </c>
      <c r="N37" t="e">
        <v>#N/A</v>
      </c>
    </row>
    <row r="38" spans="1:14" ht="15" customHeight="1" x14ac:dyDescent="0.3">
      <c r="A38" s="3">
        <v>1209656689</v>
      </c>
      <c r="B38" s="3" t="s">
        <v>41</v>
      </c>
      <c r="C38" s="3" t="s">
        <v>42</v>
      </c>
      <c r="D38" s="4">
        <v>46307.385439814803</v>
      </c>
      <c r="E38" s="5" t="s">
        <v>10</v>
      </c>
      <c r="F38" s="5" t="s">
        <v>11</v>
      </c>
      <c r="G38" s="5">
        <v>9</v>
      </c>
      <c r="H38" s="6" t="s">
        <v>12</v>
      </c>
      <c r="I38" t="s">
        <v>57</v>
      </c>
      <c r="J38" t="s">
        <v>2480</v>
      </c>
      <c r="K38" t="str">
        <f>+VLOOKUP(C38,'[1]TIENDAS 2025'!$A$1:$C$143,3,0)</f>
        <v>local</v>
      </c>
      <c r="L38" t="str">
        <f>+VLOOKUP(C38,[2]Hoja1!$A$1:$B$138,2,0)</f>
        <v>APROBAR</v>
      </c>
      <c r="M38">
        <v>1</v>
      </c>
      <c r="N38" t="e">
        <v>#N/A</v>
      </c>
    </row>
    <row r="39" spans="1:14" ht="15" customHeight="1" x14ac:dyDescent="0.3">
      <c r="A39" s="3">
        <v>1209656712</v>
      </c>
      <c r="B39" s="3" t="s">
        <v>41</v>
      </c>
      <c r="C39" s="3" t="s">
        <v>42</v>
      </c>
      <c r="D39" s="4">
        <v>46307.385451388902</v>
      </c>
      <c r="E39" s="5" t="s">
        <v>10</v>
      </c>
      <c r="F39" s="5" t="s">
        <v>17</v>
      </c>
      <c r="G39" s="5">
        <v>8</v>
      </c>
      <c r="H39" s="6" t="s">
        <v>12</v>
      </c>
      <c r="I39" t="s">
        <v>58</v>
      </c>
      <c r="J39" t="s">
        <v>2480</v>
      </c>
      <c r="K39" t="str">
        <f>+VLOOKUP(C39,'[1]TIENDAS 2025'!$A$1:$C$143,3,0)</f>
        <v>local</v>
      </c>
      <c r="L39" t="str">
        <f>+VLOOKUP(C39,[2]Hoja1!$A$1:$B$138,2,0)</f>
        <v>APROBAR</v>
      </c>
      <c r="M39">
        <v>1</v>
      </c>
      <c r="N39" t="e">
        <v>#N/A</v>
      </c>
    </row>
    <row r="40" spans="1:14" ht="15" customHeight="1" x14ac:dyDescent="0.3">
      <c r="A40" s="3">
        <v>1209656699</v>
      </c>
      <c r="B40" s="3" t="s">
        <v>41</v>
      </c>
      <c r="C40" s="3" t="s">
        <v>42</v>
      </c>
      <c r="D40" s="4">
        <v>46307.385462963</v>
      </c>
      <c r="E40" s="5" t="s">
        <v>10</v>
      </c>
      <c r="F40" s="5" t="s">
        <v>11</v>
      </c>
      <c r="G40" s="5">
        <v>1</v>
      </c>
      <c r="H40" s="6" t="s">
        <v>12</v>
      </c>
      <c r="I40" t="s">
        <v>59</v>
      </c>
      <c r="J40" t="s">
        <v>2480</v>
      </c>
      <c r="K40" t="str">
        <f>+VLOOKUP(C40,'[1]TIENDAS 2025'!$A$1:$C$143,3,0)</f>
        <v>local</v>
      </c>
      <c r="L40" t="str">
        <f>+VLOOKUP(C40,[2]Hoja1!$A$1:$B$138,2,0)</f>
        <v>APROBAR</v>
      </c>
      <c r="M40">
        <v>1</v>
      </c>
      <c r="N40" t="e">
        <v>#N/A</v>
      </c>
    </row>
    <row r="41" spans="1:14" ht="15" customHeight="1" x14ac:dyDescent="0.3">
      <c r="A41" s="3">
        <v>1209656705</v>
      </c>
      <c r="B41" s="3" t="s">
        <v>41</v>
      </c>
      <c r="C41" s="3" t="s">
        <v>42</v>
      </c>
      <c r="D41" s="4">
        <v>46307.385474536997</v>
      </c>
      <c r="E41" s="5" t="s">
        <v>10</v>
      </c>
      <c r="F41" s="5" t="s">
        <v>11</v>
      </c>
      <c r="G41" s="5">
        <v>39</v>
      </c>
      <c r="H41" s="6" t="s">
        <v>12</v>
      </c>
      <c r="I41" t="s">
        <v>60</v>
      </c>
      <c r="J41" t="s">
        <v>2480</v>
      </c>
      <c r="K41" t="str">
        <f>+VLOOKUP(C41,'[1]TIENDAS 2025'!$A$1:$C$143,3,0)</f>
        <v>local</v>
      </c>
      <c r="L41" t="str">
        <f>+VLOOKUP(C41,[2]Hoja1!$A$1:$B$138,2,0)</f>
        <v>APROBAR</v>
      </c>
      <c r="M41">
        <v>1</v>
      </c>
      <c r="N41" t="e">
        <v>#N/A</v>
      </c>
    </row>
    <row r="42" spans="1:14" ht="15" customHeight="1" x14ac:dyDescent="0.3">
      <c r="A42" s="3">
        <v>1209656736</v>
      </c>
      <c r="B42" s="3" t="s">
        <v>36</v>
      </c>
      <c r="C42" s="3" t="s">
        <v>37</v>
      </c>
      <c r="D42" s="4">
        <v>46307.385486111103</v>
      </c>
      <c r="E42" s="5" t="s">
        <v>10</v>
      </c>
      <c r="F42" s="5" t="s">
        <v>17</v>
      </c>
      <c r="G42" s="5">
        <v>12</v>
      </c>
      <c r="H42" s="6" t="s">
        <v>12</v>
      </c>
      <c r="I42" t="s">
        <v>61</v>
      </c>
      <c r="J42" t="s">
        <v>2480</v>
      </c>
      <c r="K42" t="str">
        <f>+VLOOKUP(C42,'[1]TIENDAS 2025'!$A$1:$C$143,3,0)</f>
        <v>prioridad</v>
      </c>
      <c r="L42" t="str">
        <f>+VLOOKUP(C42,[2]Hoja1!$A$1:$B$138,2,0)</f>
        <v>APROBAR</v>
      </c>
      <c r="M42">
        <v>1</v>
      </c>
      <c r="N42" t="e">
        <v>#N/A</v>
      </c>
    </row>
    <row r="43" spans="1:14" ht="15" customHeight="1" x14ac:dyDescent="0.3">
      <c r="A43" s="3">
        <v>8209656695</v>
      </c>
      <c r="B43" s="3" t="s">
        <v>41</v>
      </c>
      <c r="C43" s="3" t="s">
        <v>42</v>
      </c>
      <c r="D43" s="4">
        <v>46307.3855092593</v>
      </c>
      <c r="E43" s="5" t="s">
        <v>10</v>
      </c>
      <c r="F43" s="5" t="s">
        <v>16</v>
      </c>
      <c r="G43" s="5">
        <v>5</v>
      </c>
      <c r="H43" s="8" t="s">
        <v>12</v>
      </c>
      <c r="I43" t="s">
        <v>62</v>
      </c>
      <c r="K43" t="str">
        <f>+VLOOKUP(C43,'[1]TIENDAS 2025'!$A$1:$C$143,3,0)</f>
        <v>local</v>
      </c>
      <c r="L43" t="str">
        <f>+VLOOKUP(C43,[2]Hoja1!$A$1:$B$138,2,0)</f>
        <v>APROBAR</v>
      </c>
      <c r="M43">
        <v>1</v>
      </c>
      <c r="N43" t="e">
        <v>#N/A</v>
      </c>
    </row>
    <row r="44" spans="1:14" ht="15" customHeight="1" x14ac:dyDescent="0.3">
      <c r="A44" s="3">
        <v>1209656700</v>
      </c>
      <c r="B44" s="3" t="s">
        <v>41</v>
      </c>
      <c r="C44" s="3" t="s">
        <v>42</v>
      </c>
      <c r="D44" s="4">
        <v>46307.385520833297</v>
      </c>
      <c r="E44" s="5" t="s">
        <v>10</v>
      </c>
      <c r="F44" s="5" t="s">
        <v>11</v>
      </c>
      <c r="G44" s="5">
        <v>9</v>
      </c>
      <c r="H44" s="6" t="s">
        <v>12</v>
      </c>
      <c r="I44" t="s">
        <v>63</v>
      </c>
      <c r="J44" t="s">
        <v>2480</v>
      </c>
      <c r="K44" t="str">
        <f>+VLOOKUP(C44,'[1]TIENDAS 2025'!$A$1:$C$143,3,0)</f>
        <v>local</v>
      </c>
      <c r="L44" t="str">
        <f>+VLOOKUP(C44,[2]Hoja1!$A$1:$B$138,2,0)</f>
        <v>APROBAR</v>
      </c>
      <c r="M44">
        <v>1</v>
      </c>
      <c r="N44" t="e">
        <v>#N/A</v>
      </c>
    </row>
    <row r="45" spans="1:14" ht="15" customHeight="1" x14ac:dyDescent="0.3">
      <c r="A45" s="3">
        <v>8209656728</v>
      </c>
      <c r="B45" s="3" t="s">
        <v>36</v>
      </c>
      <c r="C45" s="3" t="s">
        <v>37</v>
      </c>
      <c r="D45" s="4">
        <v>46307.385532407403</v>
      </c>
      <c r="E45" s="5" t="s">
        <v>10</v>
      </c>
      <c r="F45" s="5" t="s">
        <v>16</v>
      </c>
      <c r="G45" s="5">
        <v>3</v>
      </c>
      <c r="H45" s="8" t="s">
        <v>12</v>
      </c>
      <c r="I45" t="s">
        <v>64</v>
      </c>
      <c r="K45" t="str">
        <f>+VLOOKUP(C45,'[1]TIENDAS 2025'!$A$1:$C$143,3,0)</f>
        <v>prioridad</v>
      </c>
      <c r="L45" t="str">
        <f>+VLOOKUP(C45,[2]Hoja1!$A$1:$B$138,2,0)</f>
        <v>APROBAR</v>
      </c>
      <c r="M45">
        <v>1</v>
      </c>
      <c r="N45" t="e">
        <v>#N/A</v>
      </c>
    </row>
    <row r="46" spans="1:14" ht="15" customHeight="1" x14ac:dyDescent="0.3">
      <c r="A46" s="3">
        <v>1209656704</v>
      </c>
      <c r="B46" s="3" t="s">
        <v>41</v>
      </c>
      <c r="C46" s="3" t="s">
        <v>42</v>
      </c>
      <c r="D46" s="4">
        <v>46307.385543981502</v>
      </c>
      <c r="E46" s="5" t="s">
        <v>10</v>
      </c>
      <c r="F46" s="5" t="s">
        <v>17</v>
      </c>
      <c r="G46" s="5">
        <v>28</v>
      </c>
      <c r="H46" s="6" t="s">
        <v>12</v>
      </c>
      <c r="I46" t="s">
        <v>65</v>
      </c>
      <c r="J46" t="s">
        <v>2480</v>
      </c>
      <c r="K46" t="str">
        <f>+VLOOKUP(C46,'[1]TIENDAS 2025'!$A$1:$C$143,3,0)</f>
        <v>local</v>
      </c>
      <c r="L46" t="str">
        <f>+VLOOKUP(C46,[2]Hoja1!$A$1:$B$138,2,0)</f>
        <v>APROBAR</v>
      </c>
      <c r="M46">
        <v>1</v>
      </c>
      <c r="N46" t="e">
        <v>#N/A</v>
      </c>
    </row>
    <row r="47" spans="1:14" ht="15" customHeight="1" x14ac:dyDescent="0.3">
      <c r="A47" s="3">
        <v>8209656682</v>
      </c>
      <c r="B47" s="3" t="s">
        <v>41</v>
      </c>
      <c r="C47" s="3" t="s">
        <v>42</v>
      </c>
      <c r="D47" s="4">
        <v>46307.385567129597</v>
      </c>
      <c r="E47" s="5" t="s">
        <v>10</v>
      </c>
      <c r="F47" s="5" t="s">
        <v>16</v>
      </c>
      <c r="G47" s="5">
        <v>4</v>
      </c>
      <c r="H47" s="8" t="s">
        <v>12</v>
      </c>
      <c r="I47" t="s">
        <v>66</v>
      </c>
      <c r="K47" t="str">
        <f>+VLOOKUP(C47,'[1]TIENDAS 2025'!$A$1:$C$143,3,0)</f>
        <v>local</v>
      </c>
      <c r="L47" t="str">
        <f>+VLOOKUP(C47,[2]Hoja1!$A$1:$B$138,2,0)</f>
        <v>APROBAR</v>
      </c>
      <c r="M47">
        <v>1</v>
      </c>
      <c r="N47" t="e">
        <v>#N/A</v>
      </c>
    </row>
    <row r="48" spans="1:14" ht="15" customHeight="1" x14ac:dyDescent="0.3">
      <c r="A48" s="3">
        <v>8209656743</v>
      </c>
      <c r="B48" s="3" t="s">
        <v>36</v>
      </c>
      <c r="C48" s="3" t="s">
        <v>37</v>
      </c>
      <c r="D48" s="4">
        <v>46307.385578703703</v>
      </c>
      <c r="E48" s="5" t="s">
        <v>10</v>
      </c>
      <c r="F48" s="5" t="s">
        <v>16</v>
      </c>
      <c r="G48" s="5">
        <v>11</v>
      </c>
      <c r="H48" s="8" t="s">
        <v>12</v>
      </c>
      <c r="I48" t="s">
        <v>67</v>
      </c>
      <c r="K48" t="str">
        <f>+VLOOKUP(C48,'[1]TIENDAS 2025'!$A$1:$C$143,3,0)</f>
        <v>prioridad</v>
      </c>
      <c r="L48" t="str">
        <f>+VLOOKUP(C48,[2]Hoja1!$A$1:$B$138,2,0)</f>
        <v>APROBAR</v>
      </c>
      <c r="M48">
        <v>1</v>
      </c>
      <c r="N48" t="e">
        <v>#N/A</v>
      </c>
    </row>
    <row r="49" spans="1:14" ht="15" customHeight="1" x14ac:dyDescent="0.3">
      <c r="A49" s="3">
        <v>1209656691</v>
      </c>
      <c r="B49" s="3" t="s">
        <v>41</v>
      </c>
      <c r="C49" s="3" t="s">
        <v>42</v>
      </c>
      <c r="D49" s="4">
        <v>46307.385590277801</v>
      </c>
      <c r="E49" s="5" t="s">
        <v>10</v>
      </c>
      <c r="F49" s="5" t="s">
        <v>11</v>
      </c>
      <c r="G49" s="5">
        <v>16</v>
      </c>
      <c r="H49" s="6" t="s">
        <v>12</v>
      </c>
      <c r="I49" t="s">
        <v>68</v>
      </c>
      <c r="J49" t="s">
        <v>2480</v>
      </c>
      <c r="K49" t="str">
        <f>+VLOOKUP(C49,'[1]TIENDAS 2025'!$A$1:$C$143,3,0)</f>
        <v>local</v>
      </c>
      <c r="L49" t="str">
        <f>+VLOOKUP(C49,[2]Hoja1!$A$1:$B$138,2,0)</f>
        <v>APROBAR</v>
      </c>
      <c r="M49">
        <v>1</v>
      </c>
      <c r="N49" t="e">
        <v>#N/A</v>
      </c>
    </row>
    <row r="50" spans="1:14" ht="15" customHeight="1" x14ac:dyDescent="0.3">
      <c r="A50" s="3">
        <v>1209656713</v>
      </c>
      <c r="B50" s="3" t="s">
        <v>41</v>
      </c>
      <c r="C50" s="3" t="s">
        <v>42</v>
      </c>
      <c r="D50" s="4">
        <v>46307.385601851798</v>
      </c>
      <c r="E50" s="5" t="s">
        <v>10</v>
      </c>
      <c r="F50" s="5" t="s">
        <v>11</v>
      </c>
      <c r="G50" s="5">
        <v>14</v>
      </c>
      <c r="H50" s="6" t="s">
        <v>12</v>
      </c>
      <c r="I50" t="s">
        <v>69</v>
      </c>
      <c r="J50" t="s">
        <v>2480</v>
      </c>
      <c r="K50" t="str">
        <f>+VLOOKUP(C50,'[1]TIENDAS 2025'!$A$1:$C$143,3,0)</f>
        <v>local</v>
      </c>
      <c r="L50" t="str">
        <f>+VLOOKUP(C50,[2]Hoja1!$A$1:$B$138,2,0)</f>
        <v>APROBAR</v>
      </c>
      <c r="M50">
        <v>1</v>
      </c>
      <c r="N50" t="e">
        <v>#N/A</v>
      </c>
    </row>
    <row r="51" spans="1:14" ht="15" customHeight="1" x14ac:dyDescent="0.3">
      <c r="A51" s="3">
        <v>8209656729</v>
      </c>
      <c r="B51" s="3" t="s">
        <v>36</v>
      </c>
      <c r="C51" s="3" t="s">
        <v>37</v>
      </c>
      <c r="D51" s="4">
        <v>46307.385613425897</v>
      </c>
      <c r="E51" s="5" t="s">
        <v>10</v>
      </c>
      <c r="F51" s="5" t="s">
        <v>16</v>
      </c>
      <c r="G51" s="5">
        <v>2</v>
      </c>
      <c r="H51" s="8" t="s">
        <v>12</v>
      </c>
      <c r="I51" t="s">
        <v>70</v>
      </c>
      <c r="K51" t="str">
        <f>+VLOOKUP(C51,'[1]TIENDAS 2025'!$A$1:$C$143,3,0)</f>
        <v>prioridad</v>
      </c>
      <c r="L51" t="str">
        <f>+VLOOKUP(C51,[2]Hoja1!$A$1:$B$138,2,0)</f>
        <v>APROBAR</v>
      </c>
      <c r="M51">
        <v>1</v>
      </c>
      <c r="N51" t="e">
        <v>#N/A</v>
      </c>
    </row>
    <row r="52" spans="1:14" ht="15" customHeight="1" x14ac:dyDescent="0.3">
      <c r="A52" s="3">
        <v>8209656730</v>
      </c>
      <c r="B52" s="3" t="s">
        <v>36</v>
      </c>
      <c r="C52" s="3" t="s">
        <v>37</v>
      </c>
      <c r="D52" s="4">
        <v>46307.385625000003</v>
      </c>
      <c r="E52" s="5" t="s">
        <v>10</v>
      </c>
      <c r="F52" s="5" t="s">
        <v>16</v>
      </c>
      <c r="G52" s="5">
        <v>8</v>
      </c>
      <c r="H52" s="8" t="s">
        <v>12</v>
      </c>
      <c r="I52" t="s">
        <v>71</v>
      </c>
      <c r="K52" t="str">
        <f>+VLOOKUP(C52,'[1]TIENDAS 2025'!$A$1:$C$143,3,0)</f>
        <v>prioridad</v>
      </c>
      <c r="L52" t="str">
        <f>+VLOOKUP(C52,[2]Hoja1!$A$1:$B$138,2,0)</f>
        <v>APROBAR</v>
      </c>
      <c r="M52">
        <v>1</v>
      </c>
      <c r="N52" t="e">
        <v>#N/A</v>
      </c>
    </row>
    <row r="53" spans="1:14" ht="15" customHeight="1" x14ac:dyDescent="0.3">
      <c r="A53" s="3">
        <v>8209656733</v>
      </c>
      <c r="B53" s="3" t="s">
        <v>36</v>
      </c>
      <c r="C53" s="3" t="s">
        <v>37</v>
      </c>
      <c r="D53" s="4">
        <v>46307.385648148098</v>
      </c>
      <c r="E53" s="5" t="s">
        <v>10</v>
      </c>
      <c r="F53" s="5" t="s">
        <v>16</v>
      </c>
      <c r="G53" s="5">
        <v>4</v>
      </c>
      <c r="H53" s="8" t="s">
        <v>12</v>
      </c>
      <c r="I53" t="s">
        <v>72</v>
      </c>
      <c r="K53" t="str">
        <f>+VLOOKUP(C53,'[1]TIENDAS 2025'!$A$1:$C$143,3,0)</f>
        <v>prioridad</v>
      </c>
      <c r="L53" t="str">
        <f>+VLOOKUP(C53,[2]Hoja1!$A$1:$B$138,2,0)</f>
        <v>APROBAR</v>
      </c>
      <c r="M53">
        <v>1</v>
      </c>
      <c r="N53" t="e">
        <v>#N/A</v>
      </c>
    </row>
    <row r="54" spans="1:14" ht="15" customHeight="1" x14ac:dyDescent="0.3">
      <c r="A54" s="3">
        <v>8209656681</v>
      </c>
      <c r="B54" s="3" t="s">
        <v>41</v>
      </c>
      <c r="C54" s="3" t="s">
        <v>42</v>
      </c>
      <c r="D54" s="4">
        <v>46307.385659722197</v>
      </c>
      <c r="E54" s="5" t="s">
        <v>10</v>
      </c>
      <c r="F54" s="5" t="s">
        <v>16</v>
      </c>
      <c r="G54" s="5">
        <v>5</v>
      </c>
      <c r="H54" s="8" t="s">
        <v>12</v>
      </c>
      <c r="I54" t="s">
        <v>73</v>
      </c>
      <c r="K54" t="str">
        <f>+VLOOKUP(C54,'[1]TIENDAS 2025'!$A$1:$C$143,3,0)</f>
        <v>local</v>
      </c>
      <c r="L54" t="str">
        <f>+VLOOKUP(C54,[2]Hoja1!$A$1:$B$138,2,0)</f>
        <v>APROBAR</v>
      </c>
      <c r="M54">
        <v>1</v>
      </c>
      <c r="N54" t="e">
        <v>#N/A</v>
      </c>
    </row>
    <row r="55" spans="1:14" ht="15" customHeight="1" x14ac:dyDescent="0.3">
      <c r="A55" s="3">
        <v>8209656826</v>
      </c>
      <c r="B55" s="3" t="s">
        <v>75</v>
      </c>
      <c r="C55" s="3" t="s">
        <v>76</v>
      </c>
      <c r="D55" s="4">
        <v>46307.388101851902</v>
      </c>
      <c r="E55" s="5" t="s">
        <v>10</v>
      </c>
      <c r="F55" s="5" t="s">
        <v>16</v>
      </c>
      <c r="G55" s="5">
        <v>4</v>
      </c>
      <c r="H55" s="8" t="s">
        <v>12</v>
      </c>
      <c r="I55" t="s">
        <v>74</v>
      </c>
      <c r="K55" t="str">
        <f>+VLOOKUP(C55,'[1]TIENDAS 2025'!$A$1:$C$143,3,0)</f>
        <v>prioridad</v>
      </c>
      <c r="L55" t="str">
        <f>+VLOOKUP(C55,[2]Hoja1!$A$1:$B$138,2,0)</f>
        <v>APROBAR</v>
      </c>
      <c r="M55">
        <v>1</v>
      </c>
      <c r="N55" t="e">
        <v>#N/A</v>
      </c>
    </row>
    <row r="56" spans="1:14" ht="15" customHeight="1" x14ac:dyDescent="0.3">
      <c r="A56" s="3">
        <v>8209656827</v>
      </c>
      <c r="B56" s="3" t="s">
        <v>75</v>
      </c>
      <c r="C56" s="3" t="s">
        <v>76</v>
      </c>
      <c r="D56" s="4">
        <v>46307.388124999998</v>
      </c>
      <c r="E56" s="5" t="s">
        <v>10</v>
      </c>
      <c r="F56" s="5" t="s">
        <v>16</v>
      </c>
      <c r="G56" s="5">
        <v>21</v>
      </c>
      <c r="H56" s="8" t="s">
        <v>12</v>
      </c>
      <c r="I56" t="s">
        <v>77</v>
      </c>
      <c r="K56" t="str">
        <f>+VLOOKUP(C56,'[1]TIENDAS 2025'!$A$1:$C$143,3,0)</f>
        <v>prioridad</v>
      </c>
      <c r="L56" t="str">
        <f>+VLOOKUP(C56,[2]Hoja1!$A$1:$B$138,2,0)</f>
        <v>APROBAR</v>
      </c>
      <c r="M56">
        <v>1</v>
      </c>
      <c r="N56" t="e">
        <v>#N/A</v>
      </c>
    </row>
    <row r="57" spans="1:14" ht="15" customHeight="1" x14ac:dyDescent="0.3">
      <c r="A57" s="3">
        <v>8209656798</v>
      </c>
      <c r="B57" s="3" t="s">
        <v>79</v>
      </c>
      <c r="C57" s="3" t="s">
        <v>80</v>
      </c>
      <c r="D57" s="4">
        <v>46307.388148148202</v>
      </c>
      <c r="E57" s="5" t="s">
        <v>10</v>
      </c>
      <c r="F57" s="5" t="s">
        <v>16</v>
      </c>
      <c r="G57" s="5">
        <v>10</v>
      </c>
      <c r="H57" s="8" t="s">
        <v>12</v>
      </c>
      <c r="I57" t="s">
        <v>78</v>
      </c>
      <c r="K57" t="str">
        <f>+VLOOKUP(C57,'[1]TIENDAS 2025'!$A$1:$C$143,3,0)</f>
        <v>prioridad</v>
      </c>
      <c r="L57" t="str">
        <f>+VLOOKUP(C57,[2]Hoja1!$A$1:$B$138,2,0)</f>
        <v>APROBAR</v>
      </c>
      <c r="M57">
        <v>1</v>
      </c>
      <c r="N57" t="e">
        <v>#N/A</v>
      </c>
    </row>
    <row r="58" spans="1:14" ht="15" customHeight="1" x14ac:dyDescent="0.3">
      <c r="A58" s="3">
        <v>8209656800</v>
      </c>
      <c r="B58" s="3" t="s">
        <v>79</v>
      </c>
      <c r="C58" s="3" t="s">
        <v>80</v>
      </c>
      <c r="D58" s="4">
        <v>46307.388148148202</v>
      </c>
      <c r="E58" s="5" t="s">
        <v>10</v>
      </c>
      <c r="F58" s="5" t="s">
        <v>16</v>
      </c>
      <c r="G58" s="5">
        <v>7</v>
      </c>
      <c r="H58" s="8" t="s">
        <v>12</v>
      </c>
      <c r="I58" t="s">
        <v>81</v>
      </c>
      <c r="K58" t="str">
        <f>+VLOOKUP(C58,'[1]TIENDAS 2025'!$A$1:$C$143,3,0)</f>
        <v>prioridad</v>
      </c>
      <c r="L58" t="str">
        <f>+VLOOKUP(C58,[2]Hoja1!$A$1:$B$138,2,0)</f>
        <v>APROBAR</v>
      </c>
      <c r="M58">
        <v>1</v>
      </c>
      <c r="N58" t="e">
        <v>#N/A</v>
      </c>
    </row>
    <row r="59" spans="1:14" ht="15" customHeight="1" x14ac:dyDescent="0.3">
      <c r="A59" s="3">
        <v>1209656802</v>
      </c>
      <c r="B59" s="3" t="s">
        <v>79</v>
      </c>
      <c r="C59" s="3" t="s">
        <v>80</v>
      </c>
      <c r="D59" s="4">
        <v>46307.388171296298</v>
      </c>
      <c r="E59" s="5" t="s">
        <v>10</v>
      </c>
      <c r="F59" s="5" t="s">
        <v>11</v>
      </c>
      <c r="G59" s="5">
        <v>8</v>
      </c>
      <c r="H59" s="6" t="s">
        <v>12</v>
      </c>
      <c r="I59" t="s">
        <v>82</v>
      </c>
      <c r="J59" t="s">
        <v>2480</v>
      </c>
      <c r="K59" t="str">
        <f>+VLOOKUP(C59,'[1]TIENDAS 2025'!$A$1:$C$143,3,0)</f>
        <v>prioridad</v>
      </c>
      <c r="L59" t="str">
        <f>+VLOOKUP(C59,[2]Hoja1!$A$1:$B$138,2,0)</f>
        <v>APROBAR</v>
      </c>
      <c r="M59">
        <v>1</v>
      </c>
      <c r="N59" t="e">
        <v>#N/A</v>
      </c>
    </row>
    <row r="60" spans="1:14" ht="15" customHeight="1" x14ac:dyDescent="0.3">
      <c r="A60" s="3">
        <v>1209656831</v>
      </c>
      <c r="B60" s="3" t="s">
        <v>75</v>
      </c>
      <c r="C60" s="3" t="s">
        <v>76</v>
      </c>
      <c r="D60" s="4">
        <v>46307.388182870403</v>
      </c>
      <c r="E60" s="5" t="s">
        <v>10</v>
      </c>
      <c r="F60" s="5" t="s">
        <v>17</v>
      </c>
      <c r="G60" s="5">
        <v>18</v>
      </c>
      <c r="H60" s="6" t="s">
        <v>12</v>
      </c>
      <c r="I60" t="s">
        <v>83</v>
      </c>
      <c r="J60" t="s">
        <v>2480</v>
      </c>
      <c r="K60" t="str">
        <f>+VLOOKUP(C60,'[1]TIENDAS 2025'!$A$1:$C$143,3,0)</f>
        <v>prioridad</v>
      </c>
      <c r="L60" t="str">
        <f>+VLOOKUP(C60,[2]Hoja1!$A$1:$B$138,2,0)</f>
        <v>APROBAR</v>
      </c>
      <c r="M60">
        <v>1</v>
      </c>
      <c r="N60" t="e">
        <v>#N/A</v>
      </c>
    </row>
    <row r="61" spans="1:14" ht="15" customHeight="1" x14ac:dyDescent="0.3">
      <c r="A61" s="3">
        <v>1209656908</v>
      </c>
      <c r="B61" s="3" t="s">
        <v>85</v>
      </c>
      <c r="C61" s="3" t="s">
        <v>86</v>
      </c>
      <c r="D61" s="4">
        <v>46307.3881944444</v>
      </c>
      <c r="E61" s="5" t="s">
        <v>10</v>
      </c>
      <c r="F61" s="5" t="s">
        <v>17</v>
      </c>
      <c r="G61" s="5">
        <v>21</v>
      </c>
      <c r="H61" s="6" t="s">
        <v>12</v>
      </c>
      <c r="I61" t="s">
        <v>84</v>
      </c>
      <c r="J61" t="s">
        <v>2480</v>
      </c>
      <c r="K61" t="str">
        <f>+VLOOKUP(C61,'[1]TIENDAS 2025'!$A$1:$C$143,3,0)</f>
        <v>departamental</v>
      </c>
      <c r="L61" t="str">
        <f>+VLOOKUP(C61,[2]Hoja1!$A$1:$B$138,2,0)</f>
        <v>APROBAR</v>
      </c>
      <c r="M61">
        <v>1</v>
      </c>
      <c r="N61" t="e">
        <v>#N/A</v>
      </c>
    </row>
    <row r="62" spans="1:14" ht="15" customHeight="1" x14ac:dyDescent="0.3">
      <c r="A62" s="3">
        <v>1209656804</v>
      </c>
      <c r="B62" s="3" t="s">
        <v>79</v>
      </c>
      <c r="C62" s="3" t="s">
        <v>80</v>
      </c>
      <c r="D62" s="4">
        <v>46307.388206018499</v>
      </c>
      <c r="E62" s="5" t="s">
        <v>10</v>
      </c>
      <c r="F62" s="5" t="s">
        <v>17</v>
      </c>
      <c r="G62" s="5">
        <v>12</v>
      </c>
      <c r="H62" s="6" t="s">
        <v>12</v>
      </c>
      <c r="I62" t="s">
        <v>87</v>
      </c>
      <c r="J62" t="s">
        <v>2480</v>
      </c>
      <c r="K62" t="str">
        <f>+VLOOKUP(C62,'[1]TIENDAS 2025'!$A$1:$C$143,3,0)</f>
        <v>prioridad</v>
      </c>
      <c r="L62" t="str">
        <f>+VLOOKUP(C62,[2]Hoja1!$A$1:$B$138,2,0)</f>
        <v>APROBAR</v>
      </c>
      <c r="M62">
        <v>1</v>
      </c>
      <c r="N62" t="e">
        <v>#N/A</v>
      </c>
    </row>
    <row r="63" spans="1:14" ht="15" customHeight="1" x14ac:dyDescent="0.3">
      <c r="A63" s="3">
        <v>1209656923</v>
      </c>
      <c r="B63" s="3" t="s">
        <v>85</v>
      </c>
      <c r="C63" s="3" t="s">
        <v>86</v>
      </c>
      <c r="D63" s="4">
        <v>46307.388229166703</v>
      </c>
      <c r="E63" s="5" t="s">
        <v>10</v>
      </c>
      <c r="F63" s="5" t="s">
        <v>11</v>
      </c>
      <c r="G63" s="5">
        <v>15</v>
      </c>
      <c r="H63" s="6" t="s">
        <v>12</v>
      </c>
      <c r="I63" t="s">
        <v>88</v>
      </c>
      <c r="J63" t="s">
        <v>2480</v>
      </c>
      <c r="K63" t="str">
        <f>+VLOOKUP(C63,'[1]TIENDAS 2025'!$A$1:$C$143,3,0)</f>
        <v>departamental</v>
      </c>
      <c r="L63" t="str">
        <f>+VLOOKUP(C63,[2]Hoja1!$A$1:$B$138,2,0)</f>
        <v>APROBAR</v>
      </c>
      <c r="M63">
        <v>1</v>
      </c>
      <c r="N63" t="e">
        <v>#N/A</v>
      </c>
    </row>
    <row r="64" spans="1:14" ht="15" customHeight="1" x14ac:dyDescent="0.3">
      <c r="A64" s="3">
        <v>1209656806</v>
      </c>
      <c r="B64" s="3" t="s">
        <v>79</v>
      </c>
      <c r="C64" s="3" t="s">
        <v>80</v>
      </c>
      <c r="D64" s="4">
        <v>46307.3882407407</v>
      </c>
      <c r="E64" s="5" t="s">
        <v>10</v>
      </c>
      <c r="F64" s="5" t="s">
        <v>11</v>
      </c>
      <c r="G64" s="5">
        <v>13</v>
      </c>
      <c r="H64" s="6" t="s">
        <v>12</v>
      </c>
      <c r="I64" t="s">
        <v>89</v>
      </c>
      <c r="J64" t="s">
        <v>2480</v>
      </c>
      <c r="K64" t="str">
        <f>+VLOOKUP(C64,'[1]TIENDAS 2025'!$A$1:$C$143,3,0)</f>
        <v>prioridad</v>
      </c>
      <c r="L64" t="str">
        <f>+VLOOKUP(C64,[2]Hoja1!$A$1:$B$138,2,0)</f>
        <v>APROBAR</v>
      </c>
      <c r="M64">
        <v>1</v>
      </c>
      <c r="N64" t="e">
        <v>#N/A</v>
      </c>
    </row>
    <row r="65" spans="1:14" ht="15" customHeight="1" x14ac:dyDescent="0.3">
      <c r="A65" s="3">
        <v>8209656866</v>
      </c>
      <c r="B65" s="3" t="s">
        <v>91</v>
      </c>
      <c r="C65" s="3" t="s">
        <v>92</v>
      </c>
      <c r="D65" s="4">
        <v>46307.388252314799</v>
      </c>
      <c r="E65" s="5" t="s">
        <v>10</v>
      </c>
      <c r="F65" s="5" t="s">
        <v>16</v>
      </c>
      <c r="G65" s="5">
        <v>6</v>
      </c>
      <c r="H65" s="8" t="s">
        <v>12</v>
      </c>
      <c r="I65" t="s">
        <v>90</v>
      </c>
      <c r="K65" t="str">
        <f>+VLOOKUP(C65,'[1]TIENDAS 2025'!$A$1:$C$143,3,0)</f>
        <v>local</v>
      </c>
      <c r="L65" t="str">
        <f>+VLOOKUP(C65,[2]Hoja1!$A$1:$B$138,2,0)</f>
        <v>APROBAR</v>
      </c>
      <c r="M65">
        <v>1</v>
      </c>
      <c r="N65" t="e">
        <v>#N/A</v>
      </c>
    </row>
    <row r="66" spans="1:14" ht="15" customHeight="1" x14ac:dyDescent="0.3">
      <c r="A66" s="3">
        <v>1209656875</v>
      </c>
      <c r="B66" s="3" t="s">
        <v>91</v>
      </c>
      <c r="C66" s="3" t="s">
        <v>92</v>
      </c>
      <c r="D66" s="4">
        <v>46307.388263888897</v>
      </c>
      <c r="E66" s="5" t="s">
        <v>10</v>
      </c>
      <c r="F66" s="5" t="s">
        <v>11</v>
      </c>
      <c r="G66" s="5">
        <v>44</v>
      </c>
      <c r="H66" s="6" t="s">
        <v>12</v>
      </c>
      <c r="I66" t="s">
        <v>93</v>
      </c>
      <c r="J66" t="s">
        <v>2480</v>
      </c>
      <c r="K66" t="str">
        <f>+VLOOKUP(C66,'[1]TIENDAS 2025'!$A$1:$C$143,3,0)</f>
        <v>local</v>
      </c>
      <c r="L66" t="str">
        <f>+VLOOKUP(C66,[2]Hoja1!$A$1:$B$138,2,0)</f>
        <v>APROBAR</v>
      </c>
      <c r="M66">
        <v>1</v>
      </c>
      <c r="N66" t="e">
        <v>#N/A</v>
      </c>
    </row>
    <row r="67" spans="1:14" ht="15" customHeight="1" x14ac:dyDescent="0.3">
      <c r="A67" s="3">
        <v>1209656912</v>
      </c>
      <c r="B67" s="3" t="s">
        <v>85</v>
      </c>
      <c r="C67" s="3" t="s">
        <v>86</v>
      </c>
      <c r="D67" s="4">
        <v>46307.388275463003</v>
      </c>
      <c r="E67" s="5" t="s">
        <v>10</v>
      </c>
      <c r="F67" s="5" t="s">
        <v>11</v>
      </c>
      <c r="G67" s="5">
        <v>21</v>
      </c>
      <c r="H67" s="6" t="s">
        <v>12</v>
      </c>
      <c r="I67" t="s">
        <v>94</v>
      </c>
      <c r="J67" t="s">
        <v>2480</v>
      </c>
      <c r="K67" t="str">
        <f>+VLOOKUP(C67,'[1]TIENDAS 2025'!$A$1:$C$143,3,0)</f>
        <v>departamental</v>
      </c>
      <c r="L67" t="str">
        <f>+VLOOKUP(C67,[2]Hoja1!$A$1:$B$138,2,0)</f>
        <v>APROBAR</v>
      </c>
      <c r="M67">
        <v>1</v>
      </c>
      <c r="N67" t="e">
        <v>#N/A</v>
      </c>
    </row>
    <row r="68" spans="1:14" ht="15" customHeight="1" x14ac:dyDescent="0.3">
      <c r="A68" s="3">
        <v>1209656834</v>
      </c>
      <c r="B68" s="3" t="s">
        <v>75</v>
      </c>
      <c r="C68" s="3" t="s">
        <v>76</v>
      </c>
      <c r="D68" s="4">
        <v>46307.388298611098</v>
      </c>
      <c r="E68" s="5" t="s">
        <v>10</v>
      </c>
      <c r="F68" s="5" t="s">
        <v>17</v>
      </c>
      <c r="G68" s="5">
        <v>46</v>
      </c>
      <c r="H68" s="6" t="s">
        <v>12</v>
      </c>
      <c r="I68" t="s">
        <v>95</v>
      </c>
      <c r="J68" t="s">
        <v>2480</v>
      </c>
      <c r="K68" t="str">
        <f>+VLOOKUP(C68,'[1]TIENDAS 2025'!$A$1:$C$143,3,0)</f>
        <v>prioridad</v>
      </c>
      <c r="L68" t="str">
        <f>+VLOOKUP(C68,[2]Hoja1!$A$1:$B$138,2,0)</f>
        <v>APROBAR</v>
      </c>
      <c r="M68">
        <v>1</v>
      </c>
      <c r="N68" t="e">
        <v>#N/A</v>
      </c>
    </row>
    <row r="69" spans="1:14" ht="15" customHeight="1" x14ac:dyDescent="0.3">
      <c r="A69" s="3">
        <v>1209656764</v>
      </c>
      <c r="B69" s="3" t="s">
        <v>97</v>
      </c>
      <c r="C69" s="3" t="s">
        <v>98</v>
      </c>
      <c r="D69" s="4">
        <v>46307.388310185197</v>
      </c>
      <c r="E69" s="5" t="s">
        <v>10</v>
      </c>
      <c r="F69" s="5" t="s">
        <v>11</v>
      </c>
      <c r="G69" s="5">
        <v>8</v>
      </c>
      <c r="H69" s="6" t="s">
        <v>12</v>
      </c>
      <c r="I69" t="s">
        <v>96</v>
      </c>
      <c r="J69" t="s">
        <v>2480</v>
      </c>
      <c r="K69" t="str">
        <f>+VLOOKUP(C69,'[1]TIENDAS 2025'!$A$1:$C$143,3,0)</f>
        <v>prioridad</v>
      </c>
      <c r="L69" t="str">
        <f>+VLOOKUP(C69,[2]Hoja1!$A$1:$B$138,2,0)</f>
        <v>APROBAR</v>
      </c>
      <c r="M69">
        <v>1</v>
      </c>
      <c r="N69" t="e">
        <v>#N/A</v>
      </c>
    </row>
    <row r="70" spans="1:14" ht="15" customHeight="1" x14ac:dyDescent="0.3">
      <c r="A70" s="3">
        <v>1209656884</v>
      </c>
      <c r="B70" s="3" t="s">
        <v>91</v>
      </c>
      <c r="C70" s="3" t="s">
        <v>92</v>
      </c>
      <c r="D70" s="4">
        <v>46307.3883333333</v>
      </c>
      <c r="E70" s="5" t="s">
        <v>10</v>
      </c>
      <c r="F70" s="5" t="s">
        <v>11</v>
      </c>
      <c r="G70" s="5">
        <v>15</v>
      </c>
      <c r="H70" s="6" t="s">
        <v>12</v>
      </c>
      <c r="I70" t="s">
        <v>99</v>
      </c>
      <c r="J70" t="s">
        <v>2480</v>
      </c>
      <c r="K70" t="str">
        <f>+VLOOKUP(C70,'[1]TIENDAS 2025'!$A$1:$C$143,3,0)</f>
        <v>local</v>
      </c>
      <c r="L70" t="str">
        <f>+VLOOKUP(C70,[2]Hoja1!$A$1:$B$138,2,0)</f>
        <v>APROBAR</v>
      </c>
      <c r="M70">
        <v>1</v>
      </c>
      <c r="N70" t="e">
        <v>#N/A</v>
      </c>
    </row>
    <row r="71" spans="1:14" ht="15" customHeight="1" x14ac:dyDescent="0.3">
      <c r="A71" s="3">
        <v>8209656881</v>
      </c>
      <c r="B71" s="3" t="s">
        <v>91</v>
      </c>
      <c r="C71" s="3" t="s">
        <v>92</v>
      </c>
      <c r="D71" s="4">
        <v>46307.3883333333</v>
      </c>
      <c r="E71" s="5" t="s">
        <v>10</v>
      </c>
      <c r="F71" s="5" t="s">
        <v>16</v>
      </c>
      <c r="G71" s="5">
        <v>79</v>
      </c>
      <c r="H71" s="8" t="s">
        <v>12</v>
      </c>
      <c r="I71" t="s">
        <v>100</v>
      </c>
      <c r="K71" t="str">
        <f>+VLOOKUP(C71,'[1]TIENDAS 2025'!$A$1:$C$143,3,0)</f>
        <v>local</v>
      </c>
      <c r="L71" t="str">
        <f>+VLOOKUP(C71,[2]Hoja1!$A$1:$B$138,2,0)</f>
        <v>APROBAR</v>
      </c>
      <c r="M71">
        <v>1</v>
      </c>
      <c r="N71" t="e">
        <v>#N/A</v>
      </c>
    </row>
    <row r="72" spans="1:14" ht="15" customHeight="1" x14ac:dyDescent="0.3">
      <c r="A72" s="3">
        <v>8209656824</v>
      </c>
      <c r="B72" s="3" t="s">
        <v>75</v>
      </c>
      <c r="C72" s="3" t="s">
        <v>76</v>
      </c>
      <c r="D72" s="4">
        <v>46307.388344907398</v>
      </c>
      <c r="E72" s="5" t="s">
        <v>10</v>
      </c>
      <c r="F72" s="5" t="s">
        <v>16</v>
      </c>
      <c r="G72" s="5">
        <v>33</v>
      </c>
      <c r="H72" s="8" t="s">
        <v>12</v>
      </c>
      <c r="I72" t="s">
        <v>101</v>
      </c>
      <c r="K72" t="str">
        <f>+VLOOKUP(C72,'[1]TIENDAS 2025'!$A$1:$C$143,3,0)</f>
        <v>prioridad</v>
      </c>
      <c r="L72" t="str">
        <f>+VLOOKUP(C72,[2]Hoja1!$A$1:$B$138,2,0)</f>
        <v>APROBAR</v>
      </c>
      <c r="M72">
        <v>1</v>
      </c>
      <c r="N72" t="e">
        <v>#N/A</v>
      </c>
    </row>
    <row r="73" spans="1:14" ht="15" customHeight="1" x14ac:dyDescent="0.3">
      <c r="A73" s="3">
        <v>8209656825</v>
      </c>
      <c r="B73" s="3" t="s">
        <v>75</v>
      </c>
      <c r="C73" s="3" t="s">
        <v>76</v>
      </c>
      <c r="D73" s="4">
        <v>46307.388368055603</v>
      </c>
      <c r="E73" s="5" t="s">
        <v>10</v>
      </c>
      <c r="F73" s="5" t="s">
        <v>16</v>
      </c>
      <c r="G73" s="5">
        <v>6</v>
      </c>
      <c r="H73" s="8" t="s">
        <v>12</v>
      </c>
      <c r="I73" t="s">
        <v>102</v>
      </c>
      <c r="K73" t="str">
        <f>+VLOOKUP(C73,'[1]TIENDAS 2025'!$A$1:$C$143,3,0)</f>
        <v>prioridad</v>
      </c>
      <c r="L73" t="str">
        <f>+VLOOKUP(C73,[2]Hoja1!$A$1:$B$138,2,0)</f>
        <v>APROBAR</v>
      </c>
      <c r="M73">
        <v>1</v>
      </c>
      <c r="N73" t="e">
        <v>#N/A</v>
      </c>
    </row>
    <row r="74" spans="1:14" ht="15" customHeight="1" x14ac:dyDescent="0.3">
      <c r="A74" s="3">
        <v>1209656907</v>
      </c>
      <c r="B74" s="3" t="s">
        <v>85</v>
      </c>
      <c r="C74" s="3" t="s">
        <v>86</v>
      </c>
      <c r="D74" s="4">
        <v>46307.3883796296</v>
      </c>
      <c r="E74" s="5" t="s">
        <v>10</v>
      </c>
      <c r="F74" s="5" t="s">
        <v>11</v>
      </c>
      <c r="G74" s="5">
        <v>10</v>
      </c>
      <c r="H74" s="6" t="s">
        <v>12</v>
      </c>
      <c r="I74" t="s">
        <v>103</v>
      </c>
      <c r="J74" t="s">
        <v>2480</v>
      </c>
      <c r="K74" t="str">
        <f>+VLOOKUP(C74,'[1]TIENDAS 2025'!$A$1:$C$143,3,0)</f>
        <v>departamental</v>
      </c>
      <c r="L74" t="str">
        <f>+VLOOKUP(C74,[2]Hoja1!$A$1:$B$138,2,0)</f>
        <v>APROBAR</v>
      </c>
      <c r="M74">
        <v>1</v>
      </c>
      <c r="N74" t="e">
        <v>#N/A</v>
      </c>
    </row>
    <row r="75" spans="1:14" ht="15" customHeight="1" x14ac:dyDescent="0.3">
      <c r="A75" s="3">
        <v>1209656803</v>
      </c>
      <c r="B75" s="3" t="s">
        <v>79</v>
      </c>
      <c r="C75" s="3" t="s">
        <v>80</v>
      </c>
      <c r="D75" s="4">
        <v>46307.388391203698</v>
      </c>
      <c r="E75" s="5" t="s">
        <v>10</v>
      </c>
      <c r="F75" s="5" t="s">
        <v>11</v>
      </c>
      <c r="G75" s="5">
        <v>9</v>
      </c>
      <c r="H75" s="6" t="s">
        <v>12</v>
      </c>
      <c r="I75" t="s">
        <v>104</v>
      </c>
      <c r="J75" t="s">
        <v>2480</v>
      </c>
      <c r="K75" t="str">
        <f>+VLOOKUP(C75,'[1]TIENDAS 2025'!$A$1:$C$143,3,0)</f>
        <v>prioridad</v>
      </c>
      <c r="L75" t="str">
        <f>+VLOOKUP(C75,[2]Hoja1!$A$1:$B$138,2,0)</f>
        <v>APROBAR</v>
      </c>
      <c r="M75">
        <v>1</v>
      </c>
      <c r="N75" t="e">
        <v>#N/A</v>
      </c>
    </row>
    <row r="76" spans="1:14" ht="15" customHeight="1" x14ac:dyDescent="0.3">
      <c r="A76" s="3">
        <v>1209656776</v>
      </c>
      <c r="B76" s="3" t="s">
        <v>97</v>
      </c>
      <c r="C76" s="3" t="s">
        <v>98</v>
      </c>
      <c r="D76" s="4">
        <v>46307.388402777797</v>
      </c>
      <c r="E76" s="5" t="s">
        <v>10</v>
      </c>
      <c r="F76" s="5" t="s">
        <v>11</v>
      </c>
      <c r="G76" s="5">
        <v>6</v>
      </c>
      <c r="H76" s="6" t="s">
        <v>12</v>
      </c>
      <c r="I76" t="s">
        <v>105</v>
      </c>
      <c r="J76" t="s">
        <v>2480</v>
      </c>
      <c r="K76" t="str">
        <f>+VLOOKUP(C76,'[1]TIENDAS 2025'!$A$1:$C$143,3,0)</f>
        <v>prioridad</v>
      </c>
      <c r="L76" t="str">
        <f>+VLOOKUP(C76,[2]Hoja1!$A$1:$B$138,2,0)</f>
        <v>APROBAR</v>
      </c>
      <c r="M76">
        <v>1</v>
      </c>
      <c r="N76" t="e">
        <v>#N/A</v>
      </c>
    </row>
    <row r="77" spans="1:14" ht="15" customHeight="1" x14ac:dyDescent="0.3">
      <c r="A77" s="3">
        <v>8209656862</v>
      </c>
      <c r="B77" s="3" t="s">
        <v>91</v>
      </c>
      <c r="C77" s="3" t="s">
        <v>92</v>
      </c>
      <c r="D77" s="4">
        <v>46307.388425925899</v>
      </c>
      <c r="E77" s="5" t="s">
        <v>10</v>
      </c>
      <c r="F77" s="5" t="s">
        <v>16</v>
      </c>
      <c r="G77" s="5">
        <v>1</v>
      </c>
      <c r="H77" s="8" t="s">
        <v>12</v>
      </c>
      <c r="I77" t="s">
        <v>106</v>
      </c>
      <c r="K77" t="str">
        <f>+VLOOKUP(C77,'[1]TIENDAS 2025'!$A$1:$C$143,3,0)</f>
        <v>local</v>
      </c>
      <c r="L77" t="str">
        <f>+VLOOKUP(C77,[2]Hoja1!$A$1:$B$138,2,0)</f>
        <v>APROBAR</v>
      </c>
      <c r="M77">
        <v>1</v>
      </c>
      <c r="N77" t="e">
        <v>#N/A</v>
      </c>
    </row>
    <row r="78" spans="1:14" ht="15" customHeight="1" x14ac:dyDescent="0.3">
      <c r="A78" s="3">
        <v>1209656924</v>
      </c>
      <c r="B78" s="3" t="s">
        <v>85</v>
      </c>
      <c r="C78" s="3" t="s">
        <v>86</v>
      </c>
      <c r="D78" s="4">
        <v>46307.388437499998</v>
      </c>
      <c r="E78" s="5" t="s">
        <v>10</v>
      </c>
      <c r="F78" s="5" t="s">
        <v>11</v>
      </c>
      <c r="G78" s="5">
        <v>44</v>
      </c>
      <c r="H78" s="6" t="s">
        <v>12</v>
      </c>
      <c r="I78" t="s">
        <v>107</v>
      </c>
      <c r="J78" t="s">
        <v>2480</v>
      </c>
      <c r="K78" t="str">
        <f>+VLOOKUP(C78,'[1]TIENDAS 2025'!$A$1:$C$143,3,0)</f>
        <v>departamental</v>
      </c>
      <c r="L78" t="str">
        <f>+VLOOKUP(C78,[2]Hoja1!$A$1:$B$138,2,0)</f>
        <v>APROBAR</v>
      </c>
      <c r="M78">
        <v>1</v>
      </c>
      <c r="N78" t="e">
        <v>#N/A</v>
      </c>
    </row>
    <row r="79" spans="1:14" ht="15" customHeight="1" x14ac:dyDescent="0.3">
      <c r="A79" s="3">
        <v>8209656865</v>
      </c>
      <c r="B79" s="3" t="s">
        <v>91</v>
      </c>
      <c r="C79" s="3" t="s">
        <v>92</v>
      </c>
      <c r="D79" s="4">
        <v>46307.388449074097</v>
      </c>
      <c r="E79" s="5" t="s">
        <v>10</v>
      </c>
      <c r="F79" s="5" t="s">
        <v>16</v>
      </c>
      <c r="G79" s="5">
        <v>6</v>
      </c>
      <c r="H79" s="8" t="s">
        <v>12</v>
      </c>
      <c r="I79" t="s">
        <v>108</v>
      </c>
      <c r="K79" t="str">
        <f>+VLOOKUP(C79,'[1]TIENDAS 2025'!$A$1:$C$143,3,0)</f>
        <v>local</v>
      </c>
      <c r="L79" t="str">
        <f>+VLOOKUP(C79,[2]Hoja1!$A$1:$B$138,2,0)</f>
        <v>APROBAR</v>
      </c>
      <c r="M79">
        <v>1</v>
      </c>
      <c r="N79" t="e">
        <v>#N/A</v>
      </c>
    </row>
    <row r="80" spans="1:14" ht="15" customHeight="1" x14ac:dyDescent="0.3">
      <c r="A80" s="3">
        <v>1209656833</v>
      </c>
      <c r="B80" s="3" t="s">
        <v>75</v>
      </c>
      <c r="C80" s="3" t="s">
        <v>76</v>
      </c>
      <c r="D80" s="4">
        <v>46307.388460648202</v>
      </c>
      <c r="E80" s="5" t="s">
        <v>10</v>
      </c>
      <c r="F80" s="5" t="s">
        <v>11</v>
      </c>
      <c r="G80" s="5">
        <v>28</v>
      </c>
      <c r="H80" s="6" t="s">
        <v>12</v>
      </c>
      <c r="I80" t="s">
        <v>109</v>
      </c>
      <c r="J80" t="s">
        <v>2480</v>
      </c>
      <c r="K80" t="str">
        <f>+VLOOKUP(C80,'[1]TIENDAS 2025'!$A$1:$C$143,3,0)</f>
        <v>prioridad</v>
      </c>
      <c r="L80" t="str">
        <f>+VLOOKUP(C80,[2]Hoja1!$A$1:$B$138,2,0)</f>
        <v>APROBAR</v>
      </c>
      <c r="M80">
        <v>1</v>
      </c>
      <c r="N80" t="e">
        <v>#N/A</v>
      </c>
    </row>
    <row r="81" spans="1:14" ht="15" customHeight="1" x14ac:dyDescent="0.3">
      <c r="A81" s="3">
        <v>1209656808</v>
      </c>
      <c r="B81" s="3" t="s">
        <v>79</v>
      </c>
      <c r="C81" s="3" t="s">
        <v>80</v>
      </c>
      <c r="D81" s="4">
        <v>46307.388472222199</v>
      </c>
      <c r="E81" s="5" t="s">
        <v>10</v>
      </c>
      <c r="F81" s="5" t="s">
        <v>11</v>
      </c>
      <c r="G81" s="5">
        <v>26</v>
      </c>
      <c r="H81" s="6" t="s">
        <v>12</v>
      </c>
      <c r="I81" t="s">
        <v>110</v>
      </c>
      <c r="J81" t="s">
        <v>2480</v>
      </c>
      <c r="K81" t="str">
        <f>+VLOOKUP(C81,'[1]TIENDAS 2025'!$A$1:$C$143,3,0)</f>
        <v>prioridad</v>
      </c>
      <c r="L81" t="str">
        <f>+VLOOKUP(C81,[2]Hoja1!$A$1:$B$138,2,0)</f>
        <v>APROBAR</v>
      </c>
      <c r="M81">
        <v>1</v>
      </c>
      <c r="N81" t="e">
        <v>#N/A</v>
      </c>
    </row>
    <row r="82" spans="1:14" ht="15" customHeight="1" x14ac:dyDescent="0.3">
      <c r="A82" s="3">
        <v>1209656766</v>
      </c>
      <c r="B82" s="3" t="s">
        <v>97</v>
      </c>
      <c r="C82" s="3" t="s">
        <v>98</v>
      </c>
      <c r="D82" s="4">
        <v>46307.388483796298</v>
      </c>
      <c r="E82" s="5" t="s">
        <v>10</v>
      </c>
      <c r="F82" s="5" t="s">
        <v>17</v>
      </c>
      <c r="G82" s="5">
        <v>8</v>
      </c>
      <c r="H82" s="6" t="s">
        <v>12</v>
      </c>
      <c r="I82" t="s">
        <v>111</v>
      </c>
      <c r="J82" t="s">
        <v>2480</v>
      </c>
      <c r="K82" t="str">
        <f>+VLOOKUP(C82,'[1]TIENDAS 2025'!$A$1:$C$143,3,0)</f>
        <v>prioridad</v>
      </c>
      <c r="L82" t="str">
        <f>+VLOOKUP(C82,[2]Hoja1!$A$1:$B$138,2,0)</f>
        <v>APROBAR</v>
      </c>
      <c r="M82">
        <v>1</v>
      </c>
      <c r="N82" t="e">
        <v>#N/A</v>
      </c>
    </row>
    <row r="83" spans="1:14" ht="15" customHeight="1" x14ac:dyDescent="0.3">
      <c r="A83" s="3">
        <v>1209656767</v>
      </c>
      <c r="B83" s="3" t="s">
        <v>97</v>
      </c>
      <c r="C83" s="3" t="s">
        <v>98</v>
      </c>
      <c r="D83" s="4">
        <v>46307.3885069444</v>
      </c>
      <c r="E83" s="5" t="s">
        <v>10</v>
      </c>
      <c r="F83" s="5" t="s">
        <v>11</v>
      </c>
      <c r="G83" s="5">
        <v>20</v>
      </c>
      <c r="H83" s="6" t="s">
        <v>12</v>
      </c>
      <c r="I83" t="s">
        <v>112</v>
      </c>
      <c r="J83" t="s">
        <v>2480</v>
      </c>
      <c r="K83" t="str">
        <f>+VLOOKUP(C83,'[1]TIENDAS 2025'!$A$1:$C$143,3,0)</f>
        <v>prioridad</v>
      </c>
      <c r="L83" t="str">
        <f>+VLOOKUP(C83,[2]Hoja1!$A$1:$B$138,2,0)</f>
        <v>APROBAR</v>
      </c>
      <c r="M83">
        <v>1</v>
      </c>
      <c r="N83" t="e">
        <v>#N/A</v>
      </c>
    </row>
    <row r="84" spans="1:14" ht="15" customHeight="1" x14ac:dyDescent="0.3">
      <c r="A84" s="3">
        <v>8209656797</v>
      </c>
      <c r="B84" s="3" t="s">
        <v>79</v>
      </c>
      <c r="C84" s="3" t="s">
        <v>80</v>
      </c>
      <c r="D84" s="4">
        <v>46307.388518518499</v>
      </c>
      <c r="E84" s="5" t="s">
        <v>10</v>
      </c>
      <c r="F84" s="5" t="s">
        <v>16</v>
      </c>
      <c r="G84" s="5">
        <v>5</v>
      </c>
      <c r="H84" s="8" t="s">
        <v>12</v>
      </c>
      <c r="I84" t="s">
        <v>113</v>
      </c>
      <c r="K84" t="str">
        <f>+VLOOKUP(C84,'[1]TIENDAS 2025'!$A$1:$C$143,3,0)</f>
        <v>prioridad</v>
      </c>
      <c r="L84" t="str">
        <f>+VLOOKUP(C84,[2]Hoja1!$A$1:$B$138,2,0)</f>
        <v>APROBAR</v>
      </c>
      <c r="M84">
        <v>1</v>
      </c>
      <c r="N84" t="e">
        <v>#N/A</v>
      </c>
    </row>
    <row r="85" spans="1:14" ht="15" customHeight="1" x14ac:dyDescent="0.3">
      <c r="A85" s="3">
        <v>1209656805</v>
      </c>
      <c r="B85" s="3" t="s">
        <v>79</v>
      </c>
      <c r="C85" s="3" t="s">
        <v>80</v>
      </c>
      <c r="D85" s="4">
        <v>46307.388530092598</v>
      </c>
      <c r="E85" s="5" t="s">
        <v>10</v>
      </c>
      <c r="F85" s="5" t="s">
        <v>17</v>
      </c>
      <c r="G85" s="5">
        <v>22</v>
      </c>
      <c r="H85" s="6" t="s">
        <v>12</v>
      </c>
      <c r="I85" t="s">
        <v>114</v>
      </c>
      <c r="J85" t="s">
        <v>2480</v>
      </c>
      <c r="K85" t="str">
        <f>+VLOOKUP(C85,'[1]TIENDAS 2025'!$A$1:$C$143,3,0)</f>
        <v>prioridad</v>
      </c>
      <c r="L85" t="str">
        <f>+VLOOKUP(C85,[2]Hoja1!$A$1:$B$138,2,0)</f>
        <v>APROBAR</v>
      </c>
      <c r="M85">
        <v>1</v>
      </c>
      <c r="N85" t="e">
        <v>#N/A</v>
      </c>
    </row>
    <row r="86" spans="1:14" ht="15" customHeight="1" x14ac:dyDescent="0.3">
      <c r="A86" s="3">
        <v>8209656758</v>
      </c>
      <c r="B86" s="3" t="s">
        <v>97</v>
      </c>
      <c r="C86" s="3" t="s">
        <v>98</v>
      </c>
      <c r="D86" s="4">
        <v>46307.388541666704</v>
      </c>
      <c r="E86" s="5" t="s">
        <v>10</v>
      </c>
      <c r="F86" s="5" t="s">
        <v>16</v>
      </c>
      <c r="G86" s="5">
        <v>1</v>
      </c>
      <c r="H86" s="8" t="s">
        <v>12</v>
      </c>
      <c r="I86" t="s">
        <v>115</v>
      </c>
      <c r="K86" t="str">
        <f>+VLOOKUP(C86,'[1]TIENDAS 2025'!$A$1:$C$143,3,0)</f>
        <v>prioridad</v>
      </c>
      <c r="L86" t="str">
        <f>+VLOOKUP(C86,[2]Hoja1!$A$1:$B$138,2,0)</f>
        <v>APROBAR</v>
      </c>
      <c r="M86">
        <v>1</v>
      </c>
      <c r="N86" t="e">
        <v>#N/A</v>
      </c>
    </row>
    <row r="87" spans="1:14" ht="15" customHeight="1" x14ac:dyDescent="0.3">
      <c r="A87" s="3">
        <v>1209656842</v>
      </c>
      <c r="B87" s="3" t="s">
        <v>75</v>
      </c>
      <c r="C87" s="3" t="s">
        <v>76</v>
      </c>
      <c r="D87" s="4">
        <v>46307.3885532407</v>
      </c>
      <c r="E87" s="5" t="s">
        <v>10</v>
      </c>
      <c r="F87" s="5" t="s">
        <v>11</v>
      </c>
      <c r="G87" s="5">
        <v>74</v>
      </c>
      <c r="H87" s="6" t="s">
        <v>12</v>
      </c>
      <c r="I87" t="s">
        <v>116</v>
      </c>
      <c r="J87" t="s">
        <v>2480</v>
      </c>
      <c r="K87" t="str">
        <f>+VLOOKUP(C87,'[1]TIENDAS 2025'!$A$1:$C$143,3,0)</f>
        <v>prioridad</v>
      </c>
      <c r="L87" t="str">
        <f>+VLOOKUP(C87,[2]Hoja1!$A$1:$B$138,2,0)</f>
        <v>APROBAR</v>
      </c>
      <c r="M87">
        <v>1</v>
      </c>
      <c r="N87" t="e">
        <v>#N/A</v>
      </c>
    </row>
    <row r="88" spans="1:14" ht="15" customHeight="1" x14ac:dyDescent="0.3">
      <c r="A88" s="3">
        <v>1209656763</v>
      </c>
      <c r="B88" s="3" t="s">
        <v>97</v>
      </c>
      <c r="C88" s="3" t="s">
        <v>98</v>
      </c>
      <c r="D88" s="4">
        <v>46307.388576388897</v>
      </c>
      <c r="E88" s="5" t="s">
        <v>10</v>
      </c>
      <c r="F88" s="5" t="s">
        <v>11</v>
      </c>
      <c r="G88" s="5">
        <v>4</v>
      </c>
      <c r="H88" s="6" t="s">
        <v>12</v>
      </c>
      <c r="I88" t="s">
        <v>117</v>
      </c>
      <c r="J88" t="s">
        <v>2480</v>
      </c>
      <c r="K88" t="str">
        <f>+VLOOKUP(C88,'[1]TIENDAS 2025'!$A$1:$C$143,3,0)</f>
        <v>prioridad</v>
      </c>
      <c r="L88" t="str">
        <f>+VLOOKUP(C88,[2]Hoja1!$A$1:$B$138,2,0)</f>
        <v>APROBAR</v>
      </c>
      <c r="M88">
        <v>1</v>
      </c>
      <c r="N88" t="e">
        <v>#N/A</v>
      </c>
    </row>
    <row r="89" spans="1:14" ht="15" customHeight="1" x14ac:dyDescent="0.3">
      <c r="A89" s="3">
        <v>1209656810</v>
      </c>
      <c r="B89" s="3" t="s">
        <v>79</v>
      </c>
      <c r="C89" s="3" t="s">
        <v>80</v>
      </c>
      <c r="D89" s="4">
        <v>46307.388587963003</v>
      </c>
      <c r="E89" s="5" t="s">
        <v>10</v>
      </c>
      <c r="F89" s="5" t="s">
        <v>11</v>
      </c>
      <c r="G89" s="5">
        <v>3</v>
      </c>
      <c r="H89" s="6" t="s">
        <v>12</v>
      </c>
      <c r="I89" t="s">
        <v>118</v>
      </c>
      <c r="J89" t="s">
        <v>2480</v>
      </c>
      <c r="K89" t="str">
        <f>+VLOOKUP(C89,'[1]TIENDAS 2025'!$A$1:$C$143,3,0)</f>
        <v>prioridad</v>
      </c>
      <c r="L89" t="str">
        <f>+VLOOKUP(C89,[2]Hoja1!$A$1:$B$138,2,0)</f>
        <v>APROBAR</v>
      </c>
      <c r="M89">
        <v>1</v>
      </c>
      <c r="N89" t="e">
        <v>#N/A</v>
      </c>
    </row>
    <row r="90" spans="1:14" ht="15" customHeight="1" x14ac:dyDescent="0.3">
      <c r="A90" s="3">
        <v>8209656880</v>
      </c>
      <c r="B90" s="3" t="s">
        <v>91</v>
      </c>
      <c r="C90" s="3" t="s">
        <v>92</v>
      </c>
      <c r="D90" s="4">
        <v>46307.388599537</v>
      </c>
      <c r="E90" s="5" t="s">
        <v>10</v>
      </c>
      <c r="F90" s="5" t="s">
        <v>16</v>
      </c>
      <c r="G90" s="5">
        <v>1</v>
      </c>
      <c r="H90" s="8" t="s">
        <v>12</v>
      </c>
      <c r="I90" t="s">
        <v>119</v>
      </c>
      <c r="K90" t="str">
        <f>+VLOOKUP(C90,'[1]TIENDAS 2025'!$A$1:$C$143,3,0)</f>
        <v>local</v>
      </c>
      <c r="L90" t="str">
        <f>+VLOOKUP(C90,[2]Hoja1!$A$1:$B$138,2,0)</f>
        <v>APROBAR</v>
      </c>
      <c r="M90">
        <v>1</v>
      </c>
      <c r="N90" t="e">
        <v>#N/A</v>
      </c>
    </row>
    <row r="91" spans="1:14" ht="15" customHeight="1" x14ac:dyDescent="0.3">
      <c r="A91" s="3">
        <v>1209656871</v>
      </c>
      <c r="B91" s="3" t="s">
        <v>91</v>
      </c>
      <c r="C91" s="3" t="s">
        <v>92</v>
      </c>
      <c r="D91" s="4">
        <v>46307.388611111099</v>
      </c>
      <c r="E91" s="5" t="s">
        <v>10</v>
      </c>
      <c r="F91" s="5" t="s">
        <v>11</v>
      </c>
      <c r="G91" s="5">
        <v>15</v>
      </c>
      <c r="H91" s="6" t="s">
        <v>12</v>
      </c>
      <c r="I91" t="s">
        <v>120</v>
      </c>
      <c r="J91" t="s">
        <v>2480</v>
      </c>
      <c r="K91" t="str">
        <f>+VLOOKUP(C91,'[1]TIENDAS 2025'!$A$1:$C$143,3,0)</f>
        <v>local</v>
      </c>
      <c r="L91" t="str">
        <f>+VLOOKUP(C91,[2]Hoja1!$A$1:$B$138,2,0)</f>
        <v>APROBAR</v>
      </c>
      <c r="M91">
        <v>1</v>
      </c>
      <c r="N91" t="e">
        <v>#N/A</v>
      </c>
    </row>
    <row r="92" spans="1:14" ht="15" customHeight="1" x14ac:dyDescent="0.3">
      <c r="A92" s="3">
        <v>1209656837</v>
      </c>
      <c r="B92" s="3" t="s">
        <v>75</v>
      </c>
      <c r="C92" s="3" t="s">
        <v>76</v>
      </c>
      <c r="D92" s="4">
        <v>46307.388622685197</v>
      </c>
      <c r="E92" s="5" t="s">
        <v>10</v>
      </c>
      <c r="F92" s="5" t="s">
        <v>11</v>
      </c>
      <c r="G92" s="5">
        <v>3</v>
      </c>
      <c r="H92" s="6" t="s">
        <v>12</v>
      </c>
      <c r="I92" t="s">
        <v>121</v>
      </c>
      <c r="J92" t="s">
        <v>2480</v>
      </c>
      <c r="K92" t="str">
        <f>+VLOOKUP(C92,'[1]TIENDAS 2025'!$A$1:$C$143,3,0)</f>
        <v>prioridad</v>
      </c>
      <c r="L92" t="str">
        <f>+VLOOKUP(C92,[2]Hoja1!$A$1:$B$138,2,0)</f>
        <v>APROBAR</v>
      </c>
      <c r="M92">
        <v>1</v>
      </c>
      <c r="N92" t="e">
        <v>#N/A</v>
      </c>
    </row>
    <row r="93" spans="1:14" ht="15" customHeight="1" x14ac:dyDescent="0.3">
      <c r="A93" s="3">
        <v>8209656794</v>
      </c>
      <c r="B93" s="3" t="s">
        <v>79</v>
      </c>
      <c r="C93" s="3" t="s">
        <v>80</v>
      </c>
      <c r="D93" s="4">
        <v>46307.3886458333</v>
      </c>
      <c r="E93" s="5" t="s">
        <v>10</v>
      </c>
      <c r="F93" s="5" t="s">
        <v>16</v>
      </c>
      <c r="G93" s="5">
        <v>4</v>
      </c>
      <c r="H93" s="8" t="s">
        <v>12</v>
      </c>
      <c r="I93" t="s">
        <v>122</v>
      </c>
      <c r="K93" t="str">
        <f>+VLOOKUP(C93,'[1]TIENDAS 2025'!$A$1:$C$143,3,0)</f>
        <v>prioridad</v>
      </c>
      <c r="L93" t="str">
        <f>+VLOOKUP(C93,[2]Hoja1!$A$1:$B$138,2,0)</f>
        <v>APROBAR</v>
      </c>
      <c r="M93">
        <v>1</v>
      </c>
      <c r="N93" t="e">
        <v>#N/A</v>
      </c>
    </row>
    <row r="94" spans="1:14" ht="15" customHeight="1" x14ac:dyDescent="0.3">
      <c r="A94" s="3">
        <v>8209656795</v>
      </c>
      <c r="B94" s="3" t="s">
        <v>79</v>
      </c>
      <c r="C94" s="3" t="s">
        <v>80</v>
      </c>
      <c r="D94" s="4">
        <v>46307.388657407399</v>
      </c>
      <c r="E94" s="5" t="s">
        <v>10</v>
      </c>
      <c r="F94" s="5" t="s">
        <v>16</v>
      </c>
      <c r="G94" s="5">
        <v>1</v>
      </c>
      <c r="H94" s="8" t="s">
        <v>12</v>
      </c>
      <c r="I94" t="s">
        <v>123</v>
      </c>
      <c r="K94" t="str">
        <f>+VLOOKUP(C94,'[1]TIENDAS 2025'!$A$1:$C$143,3,0)</f>
        <v>prioridad</v>
      </c>
      <c r="L94" t="str">
        <f>+VLOOKUP(C94,[2]Hoja1!$A$1:$B$138,2,0)</f>
        <v>APROBAR</v>
      </c>
      <c r="M94">
        <v>1</v>
      </c>
      <c r="N94" t="e">
        <v>#N/A</v>
      </c>
    </row>
    <row r="95" spans="1:14" ht="15" customHeight="1" x14ac:dyDescent="0.3">
      <c r="A95" s="3">
        <v>1209656812</v>
      </c>
      <c r="B95" s="3" t="s">
        <v>79</v>
      </c>
      <c r="C95" s="3" t="s">
        <v>80</v>
      </c>
      <c r="D95" s="4">
        <v>46307.388668981497</v>
      </c>
      <c r="E95" s="5" t="s">
        <v>10</v>
      </c>
      <c r="F95" s="5" t="s">
        <v>11</v>
      </c>
      <c r="G95" s="5">
        <v>16</v>
      </c>
      <c r="H95" s="6" t="s">
        <v>12</v>
      </c>
      <c r="I95" t="s">
        <v>124</v>
      </c>
      <c r="J95" t="s">
        <v>2480</v>
      </c>
      <c r="K95" t="str">
        <f>+VLOOKUP(C95,'[1]TIENDAS 2025'!$A$1:$C$143,3,0)</f>
        <v>prioridad</v>
      </c>
      <c r="L95" t="str">
        <f>+VLOOKUP(C95,[2]Hoja1!$A$1:$B$138,2,0)</f>
        <v>APROBAR</v>
      </c>
      <c r="M95">
        <v>1</v>
      </c>
      <c r="N95" t="e">
        <v>#N/A</v>
      </c>
    </row>
    <row r="96" spans="1:14" ht="15" customHeight="1" x14ac:dyDescent="0.3">
      <c r="A96" s="3">
        <v>1209656801</v>
      </c>
      <c r="B96" s="3" t="s">
        <v>79</v>
      </c>
      <c r="C96" s="3" t="s">
        <v>80</v>
      </c>
      <c r="D96" s="4">
        <v>46307.388680555603</v>
      </c>
      <c r="E96" s="5" t="s">
        <v>10</v>
      </c>
      <c r="F96" s="5" t="s">
        <v>17</v>
      </c>
      <c r="G96" s="5">
        <v>2</v>
      </c>
      <c r="H96" s="6" t="s">
        <v>12</v>
      </c>
      <c r="I96" t="s">
        <v>125</v>
      </c>
      <c r="J96" t="s">
        <v>2480</v>
      </c>
      <c r="K96" t="str">
        <f>+VLOOKUP(C96,'[1]TIENDAS 2025'!$A$1:$C$143,3,0)</f>
        <v>prioridad</v>
      </c>
      <c r="L96" t="str">
        <f>+VLOOKUP(C96,[2]Hoja1!$A$1:$B$138,2,0)</f>
        <v>APROBAR</v>
      </c>
      <c r="M96">
        <v>1</v>
      </c>
      <c r="N96" t="e">
        <v>#N/A</v>
      </c>
    </row>
    <row r="97" spans="1:14" ht="15" customHeight="1" x14ac:dyDescent="0.3">
      <c r="A97" s="3">
        <v>1209656909</v>
      </c>
      <c r="B97" s="3" t="s">
        <v>85</v>
      </c>
      <c r="C97" s="3" t="s">
        <v>86</v>
      </c>
      <c r="D97" s="4">
        <v>46307.3886921296</v>
      </c>
      <c r="E97" s="5" t="s">
        <v>10</v>
      </c>
      <c r="F97" s="5" t="s">
        <v>17</v>
      </c>
      <c r="G97" s="5">
        <v>10</v>
      </c>
      <c r="H97" s="6" t="s">
        <v>12</v>
      </c>
      <c r="I97" t="s">
        <v>126</v>
      </c>
      <c r="J97" t="s">
        <v>2480</v>
      </c>
      <c r="K97" t="str">
        <f>+VLOOKUP(C97,'[1]TIENDAS 2025'!$A$1:$C$143,3,0)</f>
        <v>departamental</v>
      </c>
      <c r="L97" t="str">
        <f>+VLOOKUP(C97,[2]Hoja1!$A$1:$B$138,2,0)</f>
        <v>APROBAR</v>
      </c>
      <c r="M97">
        <v>1</v>
      </c>
      <c r="N97" t="e">
        <v>#N/A</v>
      </c>
    </row>
    <row r="98" spans="1:14" ht="15" customHeight="1" x14ac:dyDescent="0.3">
      <c r="A98" s="3">
        <v>1209656807</v>
      </c>
      <c r="B98" s="3" t="s">
        <v>79</v>
      </c>
      <c r="C98" s="3" t="s">
        <v>80</v>
      </c>
      <c r="D98" s="4">
        <v>46307.388715277797</v>
      </c>
      <c r="E98" s="5" t="s">
        <v>10</v>
      </c>
      <c r="F98" s="5" t="s">
        <v>17</v>
      </c>
      <c r="G98" s="5">
        <v>17</v>
      </c>
      <c r="H98" s="6" t="s">
        <v>12</v>
      </c>
      <c r="I98" t="s">
        <v>127</v>
      </c>
      <c r="J98" t="s">
        <v>2480</v>
      </c>
      <c r="K98" t="str">
        <f>+VLOOKUP(C98,'[1]TIENDAS 2025'!$A$1:$C$143,3,0)</f>
        <v>prioridad</v>
      </c>
      <c r="L98" t="str">
        <f>+VLOOKUP(C98,[2]Hoja1!$A$1:$B$138,2,0)</f>
        <v>APROBAR</v>
      </c>
      <c r="M98">
        <v>1</v>
      </c>
      <c r="N98" t="e">
        <v>#N/A</v>
      </c>
    </row>
    <row r="99" spans="1:14" ht="15" customHeight="1" x14ac:dyDescent="0.3">
      <c r="A99" s="3">
        <v>1209656868</v>
      </c>
      <c r="B99" s="3" t="s">
        <v>91</v>
      </c>
      <c r="C99" s="3" t="s">
        <v>92</v>
      </c>
      <c r="D99" s="4">
        <v>46307.388726851903</v>
      </c>
      <c r="E99" s="5" t="s">
        <v>10</v>
      </c>
      <c r="F99" s="5" t="s">
        <v>11</v>
      </c>
      <c r="G99" s="5">
        <v>12</v>
      </c>
      <c r="H99" s="6" t="s">
        <v>12</v>
      </c>
      <c r="I99" t="s">
        <v>128</v>
      </c>
      <c r="J99" t="s">
        <v>2480</v>
      </c>
      <c r="K99" t="str">
        <f>+VLOOKUP(C99,'[1]TIENDAS 2025'!$A$1:$C$143,3,0)</f>
        <v>local</v>
      </c>
      <c r="L99" t="str">
        <f>+VLOOKUP(C99,[2]Hoja1!$A$1:$B$138,2,0)</f>
        <v>APROBAR</v>
      </c>
      <c r="M99">
        <v>1</v>
      </c>
      <c r="N99" t="e">
        <v>#N/A</v>
      </c>
    </row>
    <row r="100" spans="1:14" ht="15" customHeight="1" x14ac:dyDescent="0.3">
      <c r="A100" s="3">
        <v>1209656876</v>
      </c>
      <c r="B100" s="3" t="s">
        <v>91</v>
      </c>
      <c r="C100" s="3" t="s">
        <v>92</v>
      </c>
      <c r="D100" s="4">
        <v>46307.388726851903</v>
      </c>
      <c r="E100" s="5" t="s">
        <v>10</v>
      </c>
      <c r="F100" s="5" t="s">
        <v>11</v>
      </c>
      <c r="G100" s="5">
        <v>4</v>
      </c>
      <c r="H100" s="6" t="s">
        <v>12</v>
      </c>
      <c r="I100" t="s">
        <v>129</v>
      </c>
      <c r="J100" t="s">
        <v>2480</v>
      </c>
      <c r="K100" t="str">
        <f>+VLOOKUP(C100,'[1]TIENDAS 2025'!$A$1:$C$143,3,0)</f>
        <v>local</v>
      </c>
      <c r="L100" t="str">
        <f>+VLOOKUP(C100,[2]Hoja1!$A$1:$B$138,2,0)</f>
        <v>APROBAR</v>
      </c>
      <c r="M100">
        <v>1</v>
      </c>
      <c r="N100" t="e">
        <v>#N/A</v>
      </c>
    </row>
    <row r="101" spans="1:14" ht="15" customHeight="1" x14ac:dyDescent="0.3">
      <c r="A101" s="3">
        <v>1209656870</v>
      </c>
      <c r="B101" s="3" t="s">
        <v>91</v>
      </c>
      <c r="C101" s="3" t="s">
        <v>92</v>
      </c>
      <c r="D101" s="4">
        <v>46307.388749999998</v>
      </c>
      <c r="E101" s="5" t="s">
        <v>10</v>
      </c>
      <c r="F101" s="5" t="s">
        <v>11</v>
      </c>
      <c r="G101" s="5">
        <v>7</v>
      </c>
      <c r="H101" s="6" t="s">
        <v>12</v>
      </c>
      <c r="I101" t="s">
        <v>130</v>
      </c>
      <c r="J101" t="s">
        <v>2480</v>
      </c>
      <c r="K101" t="str">
        <f>+VLOOKUP(C101,'[1]TIENDAS 2025'!$A$1:$C$143,3,0)</f>
        <v>local</v>
      </c>
      <c r="L101" t="str">
        <f>+VLOOKUP(C101,[2]Hoja1!$A$1:$B$138,2,0)</f>
        <v>APROBAR</v>
      </c>
      <c r="M101">
        <v>1</v>
      </c>
      <c r="N101" t="e">
        <v>#N/A</v>
      </c>
    </row>
    <row r="102" spans="1:14" ht="15" customHeight="1" x14ac:dyDescent="0.3">
      <c r="A102" s="3">
        <v>8209656822</v>
      </c>
      <c r="B102" s="3" t="s">
        <v>75</v>
      </c>
      <c r="C102" s="3" t="s">
        <v>76</v>
      </c>
      <c r="D102" s="4">
        <v>46307.388761574097</v>
      </c>
      <c r="E102" s="5" t="s">
        <v>10</v>
      </c>
      <c r="F102" s="5" t="s">
        <v>16</v>
      </c>
      <c r="G102" s="5">
        <v>15</v>
      </c>
      <c r="H102" s="8" t="s">
        <v>12</v>
      </c>
      <c r="I102" t="s">
        <v>131</v>
      </c>
      <c r="K102" t="str">
        <f>+VLOOKUP(C102,'[1]TIENDAS 2025'!$A$1:$C$143,3,0)</f>
        <v>prioridad</v>
      </c>
      <c r="L102" t="str">
        <f>+VLOOKUP(C102,[2]Hoja1!$A$1:$B$138,2,0)</f>
        <v>APROBAR</v>
      </c>
      <c r="M102">
        <v>1</v>
      </c>
      <c r="N102" t="e">
        <v>#N/A</v>
      </c>
    </row>
    <row r="103" spans="1:14" ht="15" customHeight="1" x14ac:dyDescent="0.3">
      <c r="A103" s="3">
        <v>8209656917</v>
      </c>
      <c r="B103" s="3" t="s">
        <v>85</v>
      </c>
      <c r="C103" s="3" t="s">
        <v>86</v>
      </c>
      <c r="D103" s="4">
        <v>46307.388784722199</v>
      </c>
      <c r="E103" s="5" t="s">
        <v>10</v>
      </c>
      <c r="F103" s="5" t="s">
        <v>16</v>
      </c>
      <c r="G103" s="5">
        <v>5</v>
      </c>
      <c r="H103" s="8" t="s">
        <v>12</v>
      </c>
      <c r="I103" t="s">
        <v>132</v>
      </c>
      <c r="K103" t="str">
        <f>+VLOOKUP(C103,'[1]TIENDAS 2025'!$A$1:$C$143,3,0)</f>
        <v>departamental</v>
      </c>
      <c r="L103" t="str">
        <f>+VLOOKUP(C103,[2]Hoja1!$A$1:$B$138,2,0)</f>
        <v>APROBAR</v>
      </c>
      <c r="M103">
        <v>1</v>
      </c>
      <c r="N103" t="e">
        <v>#N/A</v>
      </c>
    </row>
    <row r="104" spans="1:14" ht="15" customHeight="1" x14ac:dyDescent="0.3">
      <c r="A104" s="3">
        <v>1209656769</v>
      </c>
      <c r="B104" s="3" t="s">
        <v>97</v>
      </c>
      <c r="C104" s="3" t="s">
        <v>98</v>
      </c>
      <c r="D104" s="4">
        <v>46307.388796296298</v>
      </c>
      <c r="E104" s="5" t="s">
        <v>10</v>
      </c>
      <c r="F104" s="5" t="s">
        <v>11</v>
      </c>
      <c r="G104" s="5">
        <v>35</v>
      </c>
      <c r="H104" s="6" t="s">
        <v>12</v>
      </c>
      <c r="I104" t="s">
        <v>133</v>
      </c>
      <c r="J104" t="s">
        <v>2480</v>
      </c>
      <c r="K104" t="str">
        <f>+VLOOKUP(C104,'[1]TIENDAS 2025'!$A$1:$C$143,3,0)</f>
        <v>prioridad</v>
      </c>
      <c r="L104" t="str">
        <f>+VLOOKUP(C104,[2]Hoja1!$A$1:$B$138,2,0)</f>
        <v>APROBAR</v>
      </c>
      <c r="M104">
        <v>1</v>
      </c>
      <c r="N104" t="e">
        <v>#N/A</v>
      </c>
    </row>
    <row r="105" spans="1:14" ht="15" customHeight="1" x14ac:dyDescent="0.3">
      <c r="A105" s="3">
        <v>1209656922</v>
      </c>
      <c r="B105" s="3" t="s">
        <v>85</v>
      </c>
      <c r="C105" s="3" t="s">
        <v>86</v>
      </c>
      <c r="D105" s="4">
        <v>46307.388807870397</v>
      </c>
      <c r="E105" s="5" t="s">
        <v>10</v>
      </c>
      <c r="F105" s="5" t="s">
        <v>17</v>
      </c>
      <c r="G105" s="5">
        <v>16</v>
      </c>
      <c r="H105" s="6" t="s">
        <v>12</v>
      </c>
      <c r="I105" t="s">
        <v>134</v>
      </c>
      <c r="J105" t="s">
        <v>2480</v>
      </c>
      <c r="K105" t="str">
        <f>+VLOOKUP(C105,'[1]TIENDAS 2025'!$A$1:$C$143,3,0)</f>
        <v>departamental</v>
      </c>
      <c r="L105" t="str">
        <f>+VLOOKUP(C105,[2]Hoja1!$A$1:$B$138,2,0)</f>
        <v>APROBAR</v>
      </c>
      <c r="M105">
        <v>1</v>
      </c>
      <c r="N105" t="e">
        <v>#N/A</v>
      </c>
    </row>
    <row r="106" spans="1:14" ht="15" customHeight="1" x14ac:dyDescent="0.3">
      <c r="A106" s="3">
        <v>1209656760</v>
      </c>
      <c r="B106" s="3" t="s">
        <v>97</v>
      </c>
      <c r="C106" s="3" t="s">
        <v>98</v>
      </c>
      <c r="D106" s="4">
        <v>46307.388819444401</v>
      </c>
      <c r="E106" s="5" t="s">
        <v>10</v>
      </c>
      <c r="F106" s="5" t="s">
        <v>17</v>
      </c>
      <c r="G106" s="5">
        <v>1</v>
      </c>
      <c r="H106" s="6" t="s">
        <v>12</v>
      </c>
      <c r="I106" t="s">
        <v>135</v>
      </c>
      <c r="J106" t="s">
        <v>2480</v>
      </c>
      <c r="K106" t="str">
        <f>+VLOOKUP(C106,'[1]TIENDAS 2025'!$A$1:$C$143,3,0)</f>
        <v>prioridad</v>
      </c>
      <c r="L106" t="str">
        <f>+VLOOKUP(C106,[2]Hoja1!$A$1:$B$138,2,0)</f>
        <v>APROBAR</v>
      </c>
      <c r="M106">
        <v>1</v>
      </c>
      <c r="N106" t="e">
        <v>#N/A</v>
      </c>
    </row>
    <row r="107" spans="1:14" ht="15" customHeight="1" x14ac:dyDescent="0.3">
      <c r="A107" s="3">
        <v>1209656811</v>
      </c>
      <c r="B107" s="3" t="s">
        <v>79</v>
      </c>
      <c r="C107" s="3" t="s">
        <v>80</v>
      </c>
      <c r="D107" s="4">
        <v>46307.388842592598</v>
      </c>
      <c r="E107" s="5" t="s">
        <v>10</v>
      </c>
      <c r="F107" s="5" t="s">
        <v>17</v>
      </c>
      <c r="G107" s="5">
        <v>52</v>
      </c>
      <c r="H107" s="6" t="s">
        <v>12</v>
      </c>
      <c r="I107" t="s">
        <v>136</v>
      </c>
      <c r="J107" t="s">
        <v>2480</v>
      </c>
      <c r="K107" t="str">
        <f>+VLOOKUP(C107,'[1]TIENDAS 2025'!$A$1:$C$143,3,0)</f>
        <v>prioridad</v>
      </c>
      <c r="L107" t="str">
        <f>+VLOOKUP(C107,[2]Hoja1!$A$1:$B$138,2,0)</f>
        <v>APROBAR</v>
      </c>
      <c r="M107">
        <v>1</v>
      </c>
      <c r="N107" t="e">
        <v>#N/A</v>
      </c>
    </row>
    <row r="108" spans="1:14" ht="15" customHeight="1" x14ac:dyDescent="0.3">
      <c r="A108" s="3">
        <v>8209656905</v>
      </c>
      <c r="B108" s="3" t="s">
        <v>85</v>
      </c>
      <c r="C108" s="3" t="s">
        <v>86</v>
      </c>
      <c r="D108" s="4">
        <v>46307.388854166697</v>
      </c>
      <c r="E108" s="5" t="s">
        <v>10</v>
      </c>
      <c r="F108" s="5" t="s">
        <v>16</v>
      </c>
      <c r="G108" s="5">
        <v>5</v>
      </c>
      <c r="H108" s="8" t="s">
        <v>12</v>
      </c>
      <c r="I108" t="s">
        <v>137</v>
      </c>
      <c r="K108" t="str">
        <f>+VLOOKUP(C108,'[1]TIENDAS 2025'!$A$1:$C$143,3,0)</f>
        <v>departamental</v>
      </c>
      <c r="L108" t="str">
        <f>+VLOOKUP(C108,[2]Hoja1!$A$1:$B$138,2,0)</f>
        <v>APROBAR</v>
      </c>
      <c r="M108">
        <v>1</v>
      </c>
      <c r="N108" t="e">
        <v>#N/A</v>
      </c>
    </row>
    <row r="109" spans="1:14" ht="15" customHeight="1" x14ac:dyDescent="0.3">
      <c r="A109" s="3">
        <v>8209656828</v>
      </c>
      <c r="B109" s="3" t="s">
        <v>75</v>
      </c>
      <c r="C109" s="3" t="s">
        <v>76</v>
      </c>
      <c r="D109" s="4">
        <v>46307.388865740701</v>
      </c>
      <c r="E109" s="5" t="s">
        <v>10</v>
      </c>
      <c r="F109" s="5" t="s">
        <v>16</v>
      </c>
      <c r="G109" s="5">
        <v>8</v>
      </c>
      <c r="H109" s="8" t="s">
        <v>12</v>
      </c>
      <c r="I109" t="s">
        <v>138</v>
      </c>
      <c r="K109" t="str">
        <f>+VLOOKUP(C109,'[1]TIENDAS 2025'!$A$1:$C$143,3,0)</f>
        <v>prioridad</v>
      </c>
      <c r="L109" t="str">
        <f>+VLOOKUP(C109,[2]Hoja1!$A$1:$B$138,2,0)</f>
        <v>APROBAR</v>
      </c>
      <c r="M109">
        <v>1</v>
      </c>
      <c r="N109" t="e">
        <v>#N/A</v>
      </c>
    </row>
    <row r="110" spans="1:14" ht="15" customHeight="1" x14ac:dyDescent="0.3">
      <c r="A110" s="3">
        <v>8209656799</v>
      </c>
      <c r="B110" s="3" t="s">
        <v>79</v>
      </c>
      <c r="C110" s="3" t="s">
        <v>80</v>
      </c>
      <c r="D110" s="4">
        <v>46307.388877314799</v>
      </c>
      <c r="E110" s="5" t="s">
        <v>10</v>
      </c>
      <c r="F110" s="5" t="s">
        <v>16</v>
      </c>
      <c r="G110" s="5">
        <v>14</v>
      </c>
      <c r="H110" s="8" t="s">
        <v>12</v>
      </c>
      <c r="I110" t="s">
        <v>139</v>
      </c>
      <c r="K110" t="str">
        <f>+VLOOKUP(C110,'[1]TIENDAS 2025'!$A$1:$C$143,3,0)</f>
        <v>prioridad</v>
      </c>
      <c r="L110" t="str">
        <f>+VLOOKUP(C110,[2]Hoja1!$A$1:$B$138,2,0)</f>
        <v>APROBAR</v>
      </c>
      <c r="M110">
        <v>1</v>
      </c>
      <c r="N110" t="e">
        <v>#N/A</v>
      </c>
    </row>
    <row r="111" spans="1:14" ht="15" customHeight="1" x14ac:dyDescent="0.3">
      <c r="A111" s="3">
        <v>1209656840</v>
      </c>
      <c r="B111" s="3" t="s">
        <v>75</v>
      </c>
      <c r="C111" s="3" t="s">
        <v>76</v>
      </c>
      <c r="D111" s="4">
        <v>46307.388888888898</v>
      </c>
      <c r="E111" s="5" t="s">
        <v>10</v>
      </c>
      <c r="F111" s="5" t="s">
        <v>17</v>
      </c>
      <c r="G111" s="5">
        <v>78</v>
      </c>
      <c r="H111" s="6" t="s">
        <v>12</v>
      </c>
      <c r="I111" t="s">
        <v>140</v>
      </c>
      <c r="J111" t="s">
        <v>2480</v>
      </c>
      <c r="K111" t="str">
        <f>+VLOOKUP(C111,'[1]TIENDAS 2025'!$A$1:$C$143,3,0)</f>
        <v>prioridad</v>
      </c>
      <c r="L111" t="str">
        <f>+VLOOKUP(C111,[2]Hoja1!$A$1:$B$138,2,0)</f>
        <v>APROBAR</v>
      </c>
      <c r="M111">
        <v>1</v>
      </c>
      <c r="N111" t="e">
        <v>#N/A</v>
      </c>
    </row>
    <row r="112" spans="1:14" ht="15" customHeight="1" x14ac:dyDescent="0.3">
      <c r="A112" s="3">
        <v>8209656863</v>
      </c>
      <c r="B112" s="3" t="s">
        <v>91</v>
      </c>
      <c r="C112" s="3" t="s">
        <v>92</v>
      </c>
      <c r="D112" s="4">
        <v>46307.388900462996</v>
      </c>
      <c r="E112" s="5" t="s">
        <v>10</v>
      </c>
      <c r="F112" s="5" t="s">
        <v>16</v>
      </c>
      <c r="G112" s="5">
        <v>4</v>
      </c>
      <c r="H112" s="8" t="s">
        <v>12</v>
      </c>
      <c r="I112" t="s">
        <v>141</v>
      </c>
      <c r="K112" t="str">
        <f>+VLOOKUP(C112,'[1]TIENDAS 2025'!$A$1:$C$143,3,0)</f>
        <v>local</v>
      </c>
      <c r="L112" t="str">
        <f>+VLOOKUP(C112,[2]Hoja1!$A$1:$B$138,2,0)</f>
        <v>APROBAR</v>
      </c>
      <c r="M112">
        <v>1</v>
      </c>
      <c r="N112" t="e">
        <v>#N/A</v>
      </c>
    </row>
    <row r="113" spans="1:14" ht="15" customHeight="1" x14ac:dyDescent="0.3">
      <c r="A113" s="3">
        <v>8209656755</v>
      </c>
      <c r="B113" s="3" t="s">
        <v>97</v>
      </c>
      <c r="C113" s="3" t="s">
        <v>98</v>
      </c>
      <c r="D113" s="4">
        <v>46307.388923611099</v>
      </c>
      <c r="E113" s="5" t="s">
        <v>10</v>
      </c>
      <c r="F113" s="5" t="s">
        <v>16</v>
      </c>
      <c r="G113" s="5">
        <v>1</v>
      </c>
      <c r="H113" s="8" t="s">
        <v>12</v>
      </c>
      <c r="I113" t="s">
        <v>142</v>
      </c>
      <c r="K113" t="str">
        <f>+VLOOKUP(C113,'[1]TIENDAS 2025'!$A$1:$C$143,3,0)</f>
        <v>prioridad</v>
      </c>
      <c r="L113" t="str">
        <f>+VLOOKUP(C113,[2]Hoja1!$A$1:$B$138,2,0)</f>
        <v>APROBAR</v>
      </c>
      <c r="M113">
        <v>1</v>
      </c>
      <c r="N113" t="e">
        <v>#N/A</v>
      </c>
    </row>
    <row r="114" spans="1:14" ht="15" customHeight="1" x14ac:dyDescent="0.3">
      <c r="A114" s="3">
        <v>8209656756</v>
      </c>
      <c r="B114" s="3" t="s">
        <v>97</v>
      </c>
      <c r="C114" s="3" t="s">
        <v>98</v>
      </c>
      <c r="D114" s="4">
        <v>46307.388935185198</v>
      </c>
      <c r="E114" s="5" t="s">
        <v>10</v>
      </c>
      <c r="F114" s="5" t="s">
        <v>16</v>
      </c>
      <c r="G114" s="5">
        <v>6</v>
      </c>
      <c r="H114" s="8" t="s">
        <v>12</v>
      </c>
      <c r="I114" t="s">
        <v>143</v>
      </c>
      <c r="K114" t="str">
        <f>+VLOOKUP(C114,'[1]TIENDAS 2025'!$A$1:$C$143,3,0)</f>
        <v>prioridad</v>
      </c>
      <c r="L114" t="str">
        <f>+VLOOKUP(C114,[2]Hoja1!$A$1:$B$138,2,0)</f>
        <v>APROBAR</v>
      </c>
      <c r="M114">
        <v>1</v>
      </c>
      <c r="N114" t="e">
        <v>#N/A</v>
      </c>
    </row>
    <row r="115" spans="1:14" ht="15" customHeight="1" x14ac:dyDescent="0.3">
      <c r="A115" s="3">
        <v>1209656762</v>
      </c>
      <c r="B115" s="3" t="s">
        <v>97</v>
      </c>
      <c r="C115" s="3" t="s">
        <v>98</v>
      </c>
      <c r="D115" s="4">
        <v>46307.388946759304</v>
      </c>
      <c r="E115" s="5" t="s">
        <v>10</v>
      </c>
      <c r="F115" s="5" t="s">
        <v>11</v>
      </c>
      <c r="G115" s="5">
        <v>3</v>
      </c>
      <c r="H115" s="6" t="s">
        <v>12</v>
      </c>
      <c r="I115" t="s">
        <v>144</v>
      </c>
      <c r="J115" t="s">
        <v>2480</v>
      </c>
      <c r="K115" t="str">
        <f>+VLOOKUP(C115,'[1]TIENDAS 2025'!$A$1:$C$143,3,0)</f>
        <v>prioridad</v>
      </c>
      <c r="L115" t="str">
        <f>+VLOOKUP(C115,[2]Hoja1!$A$1:$B$138,2,0)</f>
        <v>APROBAR</v>
      </c>
      <c r="M115">
        <v>1</v>
      </c>
      <c r="N115" t="e">
        <v>#N/A</v>
      </c>
    </row>
    <row r="116" spans="1:14" ht="15" customHeight="1" x14ac:dyDescent="0.3">
      <c r="A116" s="3">
        <v>1209656765</v>
      </c>
      <c r="B116" s="3" t="s">
        <v>97</v>
      </c>
      <c r="C116" s="3" t="s">
        <v>98</v>
      </c>
      <c r="D116" s="4">
        <v>46307.3889583333</v>
      </c>
      <c r="E116" s="5" t="s">
        <v>10</v>
      </c>
      <c r="F116" s="5" t="s">
        <v>11</v>
      </c>
      <c r="G116" s="5">
        <v>14</v>
      </c>
      <c r="H116" s="6" t="s">
        <v>12</v>
      </c>
      <c r="I116" t="s">
        <v>145</v>
      </c>
      <c r="J116" t="s">
        <v>2480</v>
      </c>
      <c r="K116" t="str">
        <f>+VLOOKUP(C116,'[1]TIENDAS 2025'!$A$1:$C$143,3,0)</f>
        <v>prioridad</v>
      </c>
      <c r="L116" t="str">
        <f>+VLOOKUP(C116,[2]Hoja1!$A$1:$B$138,2,0)</f>
        <v>APROBAR</v>
      </c>
      <c r="M116">
        <v>1</v>
      </c>
      <c r="N116" t="e">
        <v>#N/A</v>
      </c>
    </row>
    <row r="117" spans="1:14" ht="15" customHeight="1" x14ac:dyDescent="0.3">
      <c r="A117" s="3">
        <v>1209656869</v>
      </c>
      <c r="B117" s="3" t="s">
        <v>91</v>
      </c>
      <c r="C117" s="3" t="s">
        <v>92</v>
      </c>
      <c r="D117" s="4">
        <v>46307.388981481497</v>
      </c>
      <c r="E117" s="5" t="s">
        <v>10</v>
      </c>
      <c r="F117" s="5" t="s">
        <v>11</v>
      </c>
      <c r="G117" s="5">
        <v>12</v>
      </c>
      <c r="H117" s="6" t="s">
        <v>12</v>
      </c>
      <c r="I117" t="s">
        <v>146</v>
      </c>
      <c r="J117" t="s">
        <v>2480</v>
      </c>
      <c r="K117" t="str">
        <f>+VLOOKUP(C117,'[1]TIENDAS 2025'!$A$1:$C$143,3,0)</f>
        <v>local</v>
      </c>
      <c r="L117" t="str">
        <f>+VLOOKUP(C117,[2]Hoja1!$A$1:$B$138,2,0)</f>
        <v>APROBAR</v>
      </c>
      <c r="M117">
        <v>1</v>
      </c>
      <c r="N117" t="e">
        <v>#N/A</v>
      </c>
    </row>
    <row r="118" spans="1:14" ht="15" customHeight="1" x14ac:dyDescent="0.3">
      <c r="A118" s="3">
        <v>8209656904</v>
      </c>
      <c r="B118" s="3" t="s">
        <v>85</v>
      </c>
      <c r="C118" s="3" t="s">
        <v>86</v>
      </c>
      <c r="D118" s="4">
        <v>46307.388993055603</v>
      </c>
      <c r="E118" s="5" t="s">
        <v>10</v>
      </c>
      <c r="F118" s="5" t="s">
        <v>16</v>
      </c>
      <c r="G118" s="5">
        <v>13</v>
      </c>
      <c r="H118" s="8" t="s">
        <v>12</v>
      </c>
      <c r="I118" t="s">
        <v>147</v>
      </c>
      <c r="K118" t="str">
        <f>+VLOOKUP(C118,'[1]TIENDAS 2025'!$A$1:$C$143,3,0)</f>
        <v>departamental</v>
      </c>
      <c r="L118" t="str">
        <f>+VLOOKUP(C118,[2]Hoja1!$A$1:$B$138,2,0)</f>
        <v>APROBAR</v>
      </c>
      <c r="M118">
        <v>1</v>
      </c>
      <c r="N118" t="e">
        <v>#N/A</v>
      </c>
    </row>
    <row r="119" spans="1:14" ht="15" customHeight="1" x14ac:dyDescent="0.3">
      <c r="A119" s="3">
        <v>1209656872</v>
      </c>
      <c r="B119" s="3" t="s">
        <v>91</v>
      </c>
      <c r="C119" s="3" t="s">
        <v>92</v>
      </c>
      <c r="D119" s="4">
        <v>46307.388993055603</v>
      </c>
      <c r="E119" s="5" t="s">
        <v>10</v>
      </c>
      <c r="F119" s="5" t="s">
        <v>11</v>
      </c>
      <c r="G119" s="5">
        <v>13</v>
      </c>
      <c r="H119" s="6" t="s">
        <v>12</v>
      </c>
      <c r="I119" t="s">
        <v>148</v>
      </c>
      <c r="J119" t="s">
        <v>2480</v>
      </c>
      <c r="K119" t="str">
        <f>+VLOOKUP(C119,'[1]TIENDAS 2025'!$A$1:$C$143,3,0)</f>
        <v>local</v>
      </c>
      <c r="L119" t="str">
        <f>+VLOOKUP(C119,[2]Hoja1!$A$1:$B$138,2,0)</f>
        <v>APROBAR</v>
      </c>
      <c r="M119">
        <v>1</v>
      </c>
      <c r="N119" t="e">
        <v>#N/A</v>
      </c>
    </row>
    <row r="120" spans="1:14" ht="15" customHeight="1" x14ac:dyDescent="0.3">
      <c r="A120" s="3">
        <v>8209656796</v>
      </c>
      <c r="B120" s="3" t="s">
        <v>79</v>
      </c>
      <c r="C120" s="3" t="s">
        <v>80</v>
      </c>
      <c r="D120" s="4">
        <v>46307.389016203699</v>
      </c>
      <c r="E120" s="5" t="s">
        <v>10</v>
      </c>
      <c r="F120" s="5" t="s">
        <v>16</v>
      </c>
      <c r="G120" s="5">
        <v>9</v>
      </c>
      <c r="H120" s="8" t="s">
        <v>12</v>
      </c>
      <c r="I120" t="s">
        <v>149</v>
      </c>
      <c r="K120" t="str">
        <f>+VLOOKUP(C120,'[1]TIENDAS 2025'!$A$1:$C$143,3,0)</f>
        <v>prioridad</v>
      </c>
      <c r="L120" t="str">
        <f>+VLOOKUP(C120,[2]Hoja1!$A$1:$B$138,2,0)</f>
        <v>APROBAR</v>
      </c>
      <c r="M120">
        <v>1</v>
      </c>
      <c r="N120" t="e">
        <v>#N/A</v>
      </c>
    </row>
    <row r="121" spans="1:14" ht="15" customHeight="1" x14ac:dyDescent="0.3">
      <c r="A121" s="3">
        <v>1209656839</v>
      </c>
      <c r="B121" s="3" t="s">
        <v>75</v>
      </c>
      <c r="C121" s="3" t="s">
        <v>76</v>
      </c>
      <c r="D121" s="4">
        <v>46307.389027777797</v>
      </c>
      <c r="E121" s="5" t="s">
        <v>10</v>
      </c>
      <c r="F121" s="5" t="s">
        <v>17</v>
      </c>
      <c r="G121" s="5">
        <v>51</v>
      </c>
      <c r="H121" s="6" t="s">
        <v>12</v>
      </c>
      <c r="I121" t="s">
        <v>150</v>
      </c>
      <c r="J121" t="s">
        <v>2480</v>
      </c>
      <c r="K121" t="str">
        <f>+VLOOKUP(C121,'[1]TIENDAS 2025'!$A$1:$C$143,3,0)</f>
        <v>prioridad</v>
      </c>
      <c r="L121" t="str">
        <f>+VLOOKUP(C121,[2]Hoja1!$A$1:$B$138,2,0)</f>
        <v>APROBAR</v>
      </c>
      <c r="M121">
        <v>1</v>
      </c>
      <c r="N121" t="e">
        <v>#N/A</v>
      </c>
    </row>
    <row r="122" spans="1:14" ht="15" customHeight="1" x14ac:dyDescent="0.3">
      <c r="A122" s="3">
        <v>1209656829</v>
      </c>
      <c r="B122" s="3" t="s">
        <v>75</v>
      </c>
      <c r="C122" s="3" t="s">
        <v>76</v>
      </c>
      <c r="D122" s="4">
        <v>46307.3890509259</v>
      </c>
      <c r="E122" s="5" t="s">
        <v>10</v>
      </c>
      <c r="F122" s="5" t="s">
        <v>17</v>
      </c>
      <c r="G122" s="5">
        <v>4</v>
      </c>
      <c r="H122" s="6" t="s">
        <v>12</v>
      </c>
      <c r="I122" t="s">
        <v>151</v>
      </c>
      <c r="J122" t="s">
        <v>2480</v>
      </c>
      <c r="K122" t="str">
        <f>+VLOOKUP(C122,'[1]TIENDAS 2025'!$A$1:$C$143,3,0)</f>
        <v>prioridad</v>
      </c>
      <c r="L122" t="str">
        <f>+VLOOKUP(C122,[2]Hoja1!$A$1:$B$138,2,0)</f>
        <v>APROBAR</v>
      </c>
      <c r="M122">
        <v>1</v>
      </c>
      <c r="N122" t="e">
        <v>#N/A</v>
      </c>
    </row>
    <row r="123" spans="1:14" ht="15" customHeight="1" x14ac:dyDescent="0.3">
      <c r="A123" s="3">
        <v>1209656919</v>
      </c>
      <c r="B123" s="3" t="s">
        <v>85</v>
      </c>
      <c r="C123" s="3" t="s">
        <v>86</v>
      </c>
      <c r="D123" s="4">
        <v>46307.389062499999</v>
      </c>
      <c r="E123" s="5" t="s">
        <v>10</v>
      </c>
      <c r="F123" s="5" t="s">
        <v>11</v>
      </c>
      <c r="G123" s="5">
        <v>5</v>
      </c>
      <c r="H123" s="6" t="s">
        <v>12</v>
      </c>
      <c r="I123" t="s">
        <v>152</v>
      </c>
      <c r="J123" t="s">
        <v>2480</v>
      </c>
      <c r="K123" t="str">
        <f>+VLOOKUP(C123,'[1]TIENDAS 2025'!$A$1:$C$143,3,0)</f>
        <v>departamental</v>
      </c>
      <c r="L123" t="str">
        <f>+VLOOKUP(C123,[2]Hoja1!$A$1:$B$138,2,0)</f>
        <v>APROBAR</v>
      </c>
      <c r="M123">
        <v>1</v>
      </c>
      <c r="N123" t="e">
        <v>#N/A</v>
      </c>
    </row>
    <row r="124" spans="1:14" ht="15" customHeight="1" x14ac:dyDescent="0.3">
      <c r="A124" s="3">
        <v>1209656832</v>
      </c>
      <c r="B124" s="3" t="s">
        <v>75</v>
      </c>
      <c r="C124" s="3" t="s">
        <v>76</v>
      </c>
      <c r="D124" s="4">
        <v>46307.389062499999</v>
      </c>
      <c r="E124" s="5" t="s">
        <v>10</v>
      </c>
      <c r="F124" s="5" t="s">
        <v>16</v>
      </c>
      <c r="G124" s="5">
        <v>26</v>
      </c>
      <c r="H124" s="6" t="s">
        <v>12</v>
      </c>
      <c r="I124" t="s">
        <v>153</v>
      </c>
      <c r="J124" t="s">
        <v>2480</v>
      </c>
      <c r="K124" t="str">
        <f>+VLOOKUP(C124,'[1]TIENDAS 2025'!$A$1:$C$143,3,0)</f>
        <v>prioridad</v>
      </c>
      <c r="L124" t="str">
        <f>+VLOOKUP(C124,[2]Hoja1!$A$1:$B$138,2,0)</f>
        <v>APROBAR</v>
      </c>
      <c r="M124">
        <v>1</v>
      </c>
      <c r="N124" t="e">
        <v>#N/A</v>
      </c>
    </row>
    <row r="125" spans="1:14" ht="15" customHeight="1" x14ac:dyDescent="0.3">
      <c r="A125" s="3">
        <v>8209656864</v>
      </c>
      <c r="B125" s="3" t="s">
        <v>91</v>
      </c>
      <c r="C125" s="3" t="s">
        <v>92</v>
      </c>
      <c r="D125" s="4">
        <v>46307.389085648101</v>
      </c>
      <c r="E125" s="5" t="s">
        <v>10</v>
      </c>
      <c r="F125" s="5" t="s">
        <v>16</v>
      </c>
      <c r="G125" s="5">
        <v>14</v>
      </c>
      <c r="H125" s="8" t="s">
        <v>12</v>
      </c>
      <c r="I125" t="s">
        <v>154</v>
      </c>
      <c r="K125" t="str">
        <f>+VLOOKUP(C125,'[1]TIENDAS 2025'!$A$1:$C$143,3,0)</f>
        <v>local</v>
      </c>
      <c r="L125" t="str">
        <f>+VLOOKUP(C125,[2]Hoja1!$A$1:$B$138,2,0)</f>
        <v>APROBAR</v>
      </c>
      <c r="M125">
        <v>1</v>
      </c>
      <c r="N125" t="e">
        <v>#N/A</v>
      </c>
    </row>
    <row r="126" spans="1:14" ht="15" customHeight="1" x14ac:dyDescent="0.3">
      <c r="A126" s="3">
        <v>8209656757</v>
      </c>
      <c r="B126" s="3" t="s">
        <v>97</v>
      </c>
      <c r="C126" s="3" t="s">
        <v>98</v>
      </c>
      <c r="D126" s="4">
        <v>46307.389108796298</v>
      </c>
      <c r="E126" s="5" t="s">
        <v>10</v>
      </c>
      <c r="F126" s="5" t="s">
        <v>16</v>
      </c>
      <c r="G126" s="5">
        <v>1</v>
      </c>
      <c r="H126" s="8" t="s">
        <v>12</v>
      </c>
      <c r="I126" t="s">
        <v>155</v>
      </c>
      <c r="K126" t="str">
        <f>+VLOOKUP(C126,'[1]TIENDAS 2025'!$A$1:$C$143,3,0)</f>
        <v>prioridad</v>
      </c>
      <c r="L126" t="str">
        <f>+VLOOKUP(C126,[2]Hoja1!$A$1:$B$138,2,0)</f>
        <v>APROBAR</v>
      </c>
      <c r="M126">
        <v>1</v>
      </c>
      <c r="N126" t="e">
        <v>#N/A</v>
      </c>
    </row>
    <row r="127" spans="1:14" ht="15" customHeight="1" x14ac:dyDescent="0.3">
      <c r="A127" s="3">
        <v>8209656759</v>
      </c>
      <c r="B127" s="3" t="s">
        <v>97</v>
      </c>
      <c r="C127" s="3" t="s">
        <v>98</v>
      </c>
      <c r="D127" s="4">
        <v>46307.389120370397</v>
      </c>
      <c r="E127" s="5" t="s">
        <v>10</v>
      </c>
      <c r="F127" s="5" t="s">
        <v>16</v>
      </c>
      <c r="G127" s="5">
        <v>4</v>
      </c>
      <c r="H127" s="8" t="s">
        <v>12</v>
      </c>
      <c r="I127" t="s">
        <v>156</v>
      </c>
      <c r="K127" t="str">
        <f>+VLOOKUP(C127,'[1]TIENDAS 2025'!$A$1:$C$143,3,0)</f>
        <v>prioridad</v>
      </c>
      <c r="L127" t="str">
        <f>+VLOOKUP(C127,[2]Hoja1!$A$1:$B$138,2,0)</f>
        <v>APROBAR</v>
      </c>
      <c r="M127">
        <v>1</v>
      </c>
      <c r="N127" t="e">
        <v>#N/A</v>
      </c>
    </row>
    <row r="128" spans="1:14" ht="15" customHeight="1" x14ac:dyDescent="0.3">
      <c r="A128" s="3">
        <v>1209656882</v>
      </c>
      <c r="B128" s="3" t="s">
        <v>91</v>
      </c>
      <c r="C128" s="3" t="s">
        <v>92</v>
      </c>
      <c r="D128" s="4">
        <v>46307.389120370397</v>
      </c>
      <c r="E128" s="5" t="s">
        <v>10</v>
      </c>
      <c r="F128" s="5" t="s">
        <v>11</v>
      </c>
      <c r="G128" s="5">
        <v>2</v>
      </c>
      <c r="H128" s="6" t="s">
        <v>12</v>
      </c>
      <c r="I128" t="s">
        <v>157</v>
      </c>
      <c r="J128" t="s">
        <v>2480</v>
      </c>
      <c r="K128" t="str">
        <f>+VLOOKUP(C128,'[1]TIENDAS 2025'!$A$1:$C$143,3,0)</f>
        <v>local</v>
      </c>
      <c r="L128" t="str">
        <f>+VLOOKUP(C128,[2]Hoja1!$A$1:$B$138,2,0)</f>
        <v>APROBAR</v>
      </c>
      <c r="M128">
        <v>1</v>
      </c>
      <c r="N128" t="e">
        <v>#N/A</v>
      </c>
    </row>
    <row r="129" spans="1:14" ht="15" customHeight="1" x14ac:dyDescent="0.3">
      <c r="A129" s="3">
        <v>1209656835</v>
      </c>
      <c r="B129" s="3" t="s">
        <v>75</v>
      </c>
      <c r="C129" s="3" t="s">
        <v>76</v>
      </c>
      <c r="D129" s="4">
        <v>46307.3891435185</v>
      </c>
      <c r="E129" s="5" t="s">
        <v>10</v>
      </c>
      <c r="F129" s="5" t="s">
        <v>17</v>
      </c>
      <c r="G129" s="5">
        <v>39</v>
      </c>
      <c r="H129" s="6" t="s">
        <v>12</v>
      </c>
      <c r="I129" t="s">
        <v>158</v>
      </c>
      <c r="J129" t="s">
        <v>2480</v>
      </c>
      <c r="K129" t="str">
        <f>+VLOOKUP(C129,'[1]TIENDAS 2025'!$A$1:$C$143,3,0)</f>
        <v>prioridad</v>
      </c>
      <c r="L129" t="str">
        <f>+VLOOKUP(C129,[2]Hoja1!$A$1:$B$138,2,0)</f>
        <v>APROBAR</v>
      </c>
      <c r="M129">
        <v>1</v>
      </c>
      <c r="N129" t="e">
        <v>#N/A</v>
      </c>
    </row>
    <row r="130" spans="1:14" ht="15" customHeight="1" x14ac:dyDescent="0.3">
      <c r="A130" s="3">
        <v>1209656883</v>
      </c>
      <c r="B130" s="3" t="s">
        <v>91</v>
      </c>
      <c r="C130" s="3" t="s">
        <v>92</v>
      </c>
      <c r="D130" s="4">
        <v>46307.389155092598</v>
      </c>
      <c r="E130" s="5" t="s">
        <v>10</v>
      </c>
      <c r="F130" s="5" t="s">
        <v>17</v>
      </c>
      <c r="G130" s="5">
        <v>8</v>
      </c>
      <c r="H130" s="6" t="s">
        <v>12</v>
      </c>
      <c r="I130" t="s">
        <v>159</v>
      </c>
      <c r="J130" t="s">
        <v>2480</v>
      </c>
      <c r="K130" t="str">
        <f>+VLOOKUP(C130,'[1]TIENDAS 2025'!$A$1:$C$143,3,0)</f>
        <v>local</v>
      </c>
      <c r="L130" t="str">
        <f>+VLOOKUP(C130,[2]Hoja1!$A$1:$B$138,2,0)</f>
        <v>APROBAR</v>
      </c>
      <c r="M130">
        <v>1</v>
      </c>
      <c r="N130" t="e">
        <v>#N/A</v>
      </c>
    </row>
    <row r="131" spans="1:14" ht="15" customHeight="1" x14ac:dyDescent="0.3">
      <c r="A131" s="3">
        <v>8209656823</v>
      </c>
      <c r="B131" s="3" t="s">
        <v>75</v>
      </c>
      <c r="C131" s="3" t="s">
        <v>76</v>
      </c>
      <c r="D131" s="4">
        <v>46307.389178240701</v>
      </c>
      <c r="E131" s="5" t="s">
        <v>10</v>
      </c>
      <c r="F131" s="5" t="s">
        <v>16</v>
      </c>
      <c r="G131" s="5">
        <v>9</v>
      </c>
      <c r="H131" s="8" t="s">
        <v>12</v>
      </c>
      <c r="I131" t="s">
        <v>160</v>
      </c>
      <c r="K131" t="str">
        <f>+VLOOKUP(C131,'[1]TIENDAS 2025'!$A$1:$C$143,3,0)</f>
        <v>prioridad</v>
      </c>
      <c r="L131" t="str">
        <f>+VLOOKUP(C131,[2]Hoja1!$A$1:$B$138,2,0)</f>
        <v>APROBAR</v>
      </c>
      <c r="M131">
        <v>1</v>
      </c>
      <c r="N131" t="e">
        <v>#N/A</v>
      </c>
    </row>
    <row r="132" spans="1:14" ht="15" customHeight="1" x14ac:dyDescent="0.3">
      <c r="A132" s="3">
        <v>8209656903</v>
      </c>
      <c r="B132" s="3" t="s">
        <v>85</v>
      </c>
      <c r="C132" s="3" t="s">
        <v>86</v>
      </c>
      <c r="D132" s="4">
        <v>46307.389189814799</v>
      </c>
      <c r="E132" s="5" t="s">
        <v>10</v>
      </c>
      <c r="F132" s="5" t="s">
        <v>16</v>
      </c>
      <c r="G132" s="5">
        <v>2</v>
      </c>
      <c r="H132" s="8" t="s">
        <v>12</v>
      </c>
      <c r="I132" t="s">
        <v>161</v>
      </c>
      <c r="K132" t="str">
        <f>+VLOOKUP(C132,'[1]TIENDAS 2025'!$A$1:$C$143,3,0)</f>
        <v>departamental</v>
      </c>
      <c r="L132" t="str">
        <f>+VLOOKUP(C132,[2]Hoja1!$A$1:$B$138,2,0)</f>
        <v>APROBAR</v>
      </c>
      <c r="M132">
        <v>1</v>
      </c>
      <c r="N132" t="e">
        <v>#N/A</v>
      </c>
    </row>
    <row r="133" spans="1:14" ht="15" customHeight="1" x14ac:dyDescent="0.3">
      <c r="A133" s="3">
        <v>1209656768</v>
      </c>
      <c r="B133" s="3" t="s">
        <v>97</v>
      </c>
      <c r="C133" s="3" t="s">
        <v>98</v>
      </c>
      <c r="D133" s="4">
        <v>46307.389201388898</v>
      </c>
      <c r="E133" s="5" t="s">
        <v>10</v>
      </c>
      <c r="F133" s="5" t="s">
        <v>17</v>
      </c>
      <c r="G133" s="5">
        <v>27</v>
      </c>
      <c r="H133" s="6" t="s">
        <v>12</v>
      </c>
      <c r="I133" t="s">
        <v>162</v>
      </c>
      <c r="J133" t="s">
        <v>2480</v>
      </c>
      <c r="K133" t="str">
        <f>+VLOOKUP(C133,'[1]TIENDAS 2025'!$A$1:$C$143,3,0)</f>
        <v>prioridad</v>
      </c>
      <c r="L133" t="str">
        <f>+VLOOKUP(C133,[2]Hoja1!$A$1:$B$138,2,0)</f>
        <v>APROBAR</v>
      </c>
      <c r="M133">
        <v>1</v>
      </c>
      <c r="N133" t="e">
        <v>#N/A</v>
      </c>
    </row>
    <row r="134" spans="1:14" ht="15" customHeight="1" x14ac:dyDescent="0.3">
      <c r="A134" s="3">
        <v>1209656916</v>
      </c>
      <c r="B134" s="3" t="s">
        <v>85</v>
      </c>
      <c r="C134" s="3" t="s">
        <v>86</v>
      </c>
      <c r="D134" s="4">
        <v>46307.389212962997</v>
      </c>
      <c r="E134" s="5" t="s">
        <v>10</v>
      </c>
      <c r="F134" s="5" t="s">
        <v>17</v>
      </c>
      <c r="G134" s="5">
        <v>14</v>
      </c>
      <c r="H134" s="6" t="s">
        <v>12</v>
      </c>
      <c r="I134" t="s">
        <v>163</v>
      </c>
      <c r="J134" t="s">
        <v>2480</v>
      </c>
      <c r="K134" t="str">
        <f>+VLOOKUP(C134,'[1]TIENDAS 2025'!$A$1:$C$143,3,0)</f>
        <v>departamental</v>
      </c>
      <c r="L134" t="str">
        <f>+VLOOKUP(C134,[2]Hoja1!$A$1:$B$138,2,0)</f>
        <v>APROBAR</v>
      </c>
      <c r="M134">
        <v>1</v>
      </c>
      <c r="N134" t="e">
        <v>#N/A</v>
      </c>
    </row>
    <row r="135" spans="1:14" ht="15" customHeight="1" x14ac:dyDescent="0.3">
      <c r="A135" s="3">
        <v>8209656918</v>
      </c>
      <c r="B135" s="3" t="s">
        <v>85</v>
      </c>
      <c r="C135" s="3" t="s">
        <v>86</v>
      </c>
      <c r="D135" s="4">
        <v>46307.389224537001</v>
      </c>
      <c r="E135" s="5" t="s">
        <v>10</v>
      </c>
      <c r="F135" s="5" t="s">
        <v>16</v>
      </c>
      <c r="G135" s="5">
        <v>68</v>
      </c>
      <c r="H135" s="8" t="s">
        <v>12</v>
      </c>
      <c r="I135" t="s">
        <v>164</v>
      </c>
      <c r="K135" t="str">
        <f>+VLOOKUP(C135,'[1]TIENDAS 2025'!$A$1:$C$143,3,0)</f>
        <v>departamental</v>
      </c>
      <c r="L135" t="str">
        <f>+VLOOKUP(C135,[2]Hoja1!$A$1:$B$138,2,0)</f>
        <v>APROBAR</v>
      </c>
      <c r="M135">
        <v>1</v>
      </c>
      <c r="N135" t="e">
        <v>#N/A</v>
      </c>
    </row>
    <row r="136" spans="1:14" ht="15" customHeight="1" x14ac:dyDescent="0.3">
      <c r="A136" s="3">
        <v>1209656830</v>
      </c>
      <c r="B136" s="3" t="s">
        <v>75</v>
      </c>
      <c r="C136" s="3" t="s">
        <v>76</v>
      </c>
      <c r="D136" s="4">
        <v>46307.389247685198</v>
      </c>
      <c r="E136" s="5" t="s">
        <v>10</v>
      </c>
      <c r="F136" s="5" t="s">
        <v>17</v>
      </c>
      <c r="G136" s="5">
        <v>22</v>
      </c>
      <c r="H136" s="6" t="s">
        <v>12</v>
      </c>
      <c r="I136" t="s">
        <v>165</v>
      </c>
      <c r="J136" t="s">
        <v>2480</v>
      </c>
      <c r="K136" t="str">
        <f>+VLOOKUP(C136,'[1]TIENDAS 2025'!$A$1:$C$143,3,0)</f>
        <v>prioridad</v>
      </c>
      <c r="L136" t="str">
        <f>+VLOOKUP(C136,[2]Hoja1!$A$1:$B$138,2,0)</f>
        <v>APROBAR</v>
      </c>
      <c r="M136">
        <v>1</v>
      </c>
      <c r="N136" t="e">
        <v>#N/A</v>
      </c>
    </row>
    <row r="137" spans="1:14" ht="15" customHeight="1" x14ac:dyDescent="0.3">
      <c r="A137" s="3">
        <v>1209656874</v>
      </c>
      <c r="B137" s="3" t="s">
        <v>91</v>
      </c>
      <c r="C137" s="3" t="s">
        <v>92</v>
      </c>
      <c r="D137" s="4">
        <v>46307.389259259297</v>
      </c>
      <c r="E137" s="5" t="s">
        <v>10</v>
      </c>
      <c r="F137" s="5" t="s">
        <v>17</v>
      </c>
      <c r="G137" s="5">
        <v>41</v>
      </c>
      <c r="H137" s="6" t="s">
        <v>12</v>
      </c>
      <c r="I137" t="s">
        <v>166</v>
      </c>
      <c r="J137" t="s">
        <v>2480</v>
      </c>
      <c r="K137" t="str">
        <f>+VLOOKUP(C137,'[1]TIENDAS 2025'!$A$1:$C$143,3,0)</f>
        <v>local</v>
      </c>
      <c r="L137" t="str">
        <f>+VLOOKUP(C137,[2]Hoja1!$A$1:$B$138,2,0)</f>
        <v>APROBAR</v>
      </c>
      <c r="M137">
        <v>1</v>
      </c>
      <c r="N137" t="e">
        <v>#N/A</v>
      </c>
    </row>
    <row r="138" spans="1:14" ht="15" customHeight="1" x14ac:dyDescent="0.3">
      <c r="A138" s="3">
        <v>1209656926</v>
      </c>
      <c r="B138" s="3" t="s">
        <v>85</v>
      </c>
      <c r="C138" s="3" t="s">
        <v>86</v>
      </c>
      <c r="D138" s="4">
        <v>46307.389270833301</v>
      </c>
      <c r="E138" s="5" t="s">
        <v>10</v>
      </c>
      <c r="F138" s="5" t="s">
        <v>17</v>
      </c>
      <c r="G138" s="5">
        <v>24</v>
      </c>
      <c r="H138" s="6" t="s">
        <v>12</v>
      </c>
      <c r="I138" t="s">
        <v>167</v>
      </c>
      <c r="J138" t="s">
        <v>2480</v>
      </c>
      <c r="K138" t="str">
        <f>+VLOOKUP(C138,'[1]TIENDAS 2025'!$A$1:$C$143,3,0)</f>
        <v>departamental</v>
      </c>
      <c r="L138" t="str">
        <f>+VLOOKUP(C138,[2]Hoja1!$A$1:$B$138,2,0)</f>
        <v>APROBAR</v>
      </c>
      <c r="M138">
        <v>1</v>
      </c>
      <c r="N138" t="e">
        <v>#N/A</v>
      </c>
    </row>
    <row r="139" spans="1:14" ht="15" customHeight="1" x14ac:dyDescent="0.3">
      <c r="A139" s="3">
        <v>1209656761</v>
      </c>
      <c r="B139" s="3" t="s">
        <v>97</v>
      </c>
      <c r="C139" s="3" t="s">
        <v>98</v>
      </c>
      <c r="D139" s="4">
        <v>46307.389282407399</v>
      </c>
      <c r="E139" s="5" t="s">
        <v>10</v>
      </c>
      <c r="F139" s="5" t="s">
        <v>11</v>
      </c>
      <c r="G139" s="5">
        <v>2</v>
      </c>
      <c r="H139" s="6" t="s">
        <v>12</v>
      </c>
      <c r="I139" t="s">
        <v>168</v>
      </c>
      <c r="J139" t="s">
        <v>2480</v>
      </c>
      <c r="K139" t="str">
        <f>+VLOOKUP(C139,'[1]TIENDAS 2025'!$A$1:$C$143,3,0)</f>
        <v>prioridad</v>
      </c>
      <c r="L139" t="str">
        <f>+VLOOKUP(C139,[2]Hoja1!$A$1:$B$138,2,0)</f>
        <v>APROBAR</v>
      </c>
      <c r="M139">
        <v>1</v>
      </c>
      <c r="N139" t="e">
        <v>#N/A</v>
      </c>
    </row>
    <row r="140" spans="1:14" ht="15" customHeight="1" x14ac:dyDescent="0.3">
      <c r="A140" s="3">
        <v>8209656938</v>
      </c>
      <c r="B140" s="3" t="s">
        <v>170</v>
      </c>
      <c r="C140" s="3" t="s">
        <v>171</v>
      </c>
      <c r="D140" s="4">
        <v>46307.391574074099</v>
      </c>
      <c r="E140" s="5" t="s">
        <v>10</v>
      </c>
      <c r="F140" s="5" t="s">
        <v>16</v>
      </c>
      <c r="G140" s="5">
        <v>4</v>
      </c>
      <c r="H140" s="8" t="s">
        <v>12</v>
      </c>
      <c r="I140" t="s">
        <v>169</v>
      </c>
      <c r="K140" t="str">
        <f>+VLOOKUP(C140,'[1]TIENDAS 2025'!$A$1:$C$143,3,0)</f>
        <v>departamental</v>
      </c>
      <c r="L140" t="str">
        <f>+VLOOKUP(C140,[2]Hoja1!$A$1:$B$138,2,0)</f>
        <v>APROBAR</v>
      </c>
      <c r="M140">
        <v>1</v>
      </c>
      <c r="N140" t="e">
        <v>#N/A</v>
      </c>
    </row>
    <row r="141" spans="1:14" ht="15" customHeight="1" x14ac:dyDescent="0.3">
      <c r="A141" s="3">
        <v>1209656942</v>
      </c>
      <c r="B141" s="3" t="s">
        <v>170</v>
      </c>
      <c r="C141" s="3" t="s">
        <v>171</v>
      </c>
      <c r="D141" s="4">
        <v>46307.391585648104</v>
      </c>
      <c r="E141" s="5" t="s">
        <v>10</v>
      </c>
      <c r="F141" s="5" t="s">
        <v>11</v>
      </c>
      <c r="G141" s="5">
        <v>4</v>
      </c>
      <c r="H141" s="6" t="s">
        <v>12</v>
      </c>
      <c r="I141" t="s">
        <v>172</v>
      </c>
      <c r="J141" t="s">
        <v>2480</v>
      </c>
      <c r="K141" t="str">
        <f>+VLOOKUP(C141,'[1]TIENDAS 2025'!$A$1:$C$143,3,0)</f>
        <v>departamental</v>
      </c>
      <c r="L141" t="str">
        <f>+VLOOKUP(C141,[2]Hoja1!$A$1:$B$138,2,0)</f>
        <v>APROBAR</v>
      </c>
      <c r="M141">
        <v>1</v>
      </c>
      <c r="N141" t="e">
        <v>#N/A</v>
      </c>
    </row>
    <row r="142" spans="1:14" ht="15" customHeight="1" x14ac:dyDescent="0.3">
      <c r="A142" s="3">
        <v>1209656946</v>
      </c>
      <c r="B142" s="3" t="s">
        <v>170</v>
      </c>
      <c r="C142" s="3" t="s">
        <v>171</v>
      </c>
      <c r="D142" s="4">
        <v>46307.391597222202</v>
      </c>
      <c r="E142" s="5" t="s">
        <v>10</v>
      </c>
      <c r="F142" s="5" t="s">
        <v>11</v>
      </c>
      <c r="G142" s="5">
        <v>14</v>
      </c>
      <c r="H142" s="6" t="s">
        <v>12</v>
      </c>
      <c r="I142" t="s">
        <v>173</v>
      </c>
      <c r="J142" t="s">
        <v>2480</v>
      </c>
      <c r="K142" t="str">
        <f>+VLOOKUP(C142,'[1]TIENDAS 2025'!$A$1:$C$143,3,0)</f>
        <v>departamental</v>
      </c>
      <c r="L142" t="str">
        <f>+VLOOKUP(C142,[2]Hoja1!$A$1:$B$138,2,0)</f>
        <v>APROBAR</v>
      </c>
      <c r="M142">
        <v>1</v>
      </c>
      <c r="N142" t="e">
        <v>#N/A</v>
      </c>
    </row>
    <row r="143" spans="1:14" ht="15" customHeight="1" x14ac:dyDescent="0.3">
      <c r="A143" s="3">
        <v>1209656948</v>
      </c>
      <c r="B143" s="3" t="s">
        <v>170</v>
      </c>
      <c r="C143" s="3" t="s">
        <v>171</v>
      </c>
      <c r="D143" s="4">
        <v>46307.391608796301</v>
      </c>
      <c r="E143" s="5" t="s">
        <v>10</v>
      </c>
      <c r="F143" s="5" t="s">
        <v>11</v>
      </c>
      <c r="G143" s="5">
        <v>1</v>
      </c>
      <c r="H143" s="6" t="s">
        <v>12</v>
      </c>
      <c r="I143" t="s">
        <v>174</v>
      </c>
      <c r="J143" t="s">
        <v>2480</v>
      </c>
      <c r="K143" t="str">
        <f>+VLOOKUP(C143,'[1]TIENDAS 2025'!$A$1:$C$143,3,0)</f>
        <v>departamental</v>
      </c>
      <c r="L143" t="str">
        <f>+VLOOKUP(C143,[2]Hoja1!$A$1:$B$138,2,0)</f>
        <v>APROBAR</v>
      </c>
      <c r="M143">
        <v>1</v>
      </c>
      <c r="N143" t="e">
        <v>#N/A</v>
      </c>
    </row>
    <row r="144" spans="1:14" ht="15" customHeight="1" x14ac:dyDescent="0.3">
      <c r="A144" s="3">
        <v>1209656952</v>
      </c>
      <c r="B144" s="3" t="s">
        <v>170</v>
      </c>
      <c r="C144" s="3" t="s">
        <v>171</v>
      </c>
      <c r="D144" s="4">
        <v>46307.391620370399</v>
      </c>
      <c r="E144" s="5" t="s">
        <v>10</v>
      </c>
      <c r="F144" s="5" t="s">
        <v>11</v>
      </c>
      <c r="G144" s="5">
        <v>6</v>
      </c>
      <c r="H144" s="6" t="s">
        <v>12</v>
      </c>
      <c r="I144" t="s">
        <v>175</v>
      </c>
      <c r="J144" t="s">
        <v>2480</v>
      </c>
      <c r="K144" t="str">
        <f>+VLOOKUP(C144,'[1]TIENDAS 2025'!$A$1:$C$143,3,0)</f>
        <v>departamental</v>
      </c>
      <c r="L144" t="str">
        <f>+VLOOKUP(C144,[2]Hoja1!$A$1:$B$138,2,0)</f>
        <v>APROBAR</v>
      </c>
      <c r="M144">
        <v>1</v>
      </c>
      <c r="N144" t="e">
        <v>#N/A</v>
      </c>
    </row>
    <row r="145" spans="1:14" ht="15" customHeight="1" x14ac:dyDescent="0.3">
      <c r="A145" s="3">
        <v>1209656953</v>
      </c>
      <c r="B145" s="3" t="s">
        <v>170</v>
      </c>
      <c r="C145" s="3" t="s">
        <v>171</v>
      </c>
      <c r="D145" s="4">
        <v>46307.391643518502</v>
      </c>
      <c r="E145" s="5" t="s">
        <v>10</v>
      </c>
      <c r="F145" s="5" t="s">
        <v>11</v>
      </c>
      <c r="G145" s="5">
        <v>15</v>
      </c>
      <c r="H145" s="6" t="s">
        <v>12</v>
      </c>
      <c r="I145" t="s">
        <v>176</v>
      </c>
      <c r="J145" t="s">
        <v>2480</v>
      </c>
      <c r="K145" t="str">
        <f>+VLOOKUP(C145,'[1]TIENDAS 2025'!$A$1:$C$143,3,0)</f>
        <v>departamental</v>
      </c>
      <c r="L145" t="str">
        <f>+VLOOKUP(C145,[2]Hoja1!$A$1:$B$138,2,0)</f>
        <v>APROBAR</v>
      </c>
      <c r="M145">
        <v>1</v>
      </c>
      <c r="N145" t="e">
        <v>#N/A</v>
      </c>
    </row>
    <row r="146" spans="1:14" ht="15" customHeight="1" x14ac:dyDescent="0.3">
      <c r="A146" s="3">
        <v>1209657049</v>
      </c>
      <c r="B146" s="3" t="s">
        <v>178</v>
      </c>
      <c r="C146" s="3" t="s">
        <v>179</v>
      </c>
      <c r="D146" s="4">
        <v>46307.391655092601</v>
      </c>
      <c r="E146" s="5" t="s">
        <v>10</v>
      </c>
      <c r="F146" s="5" t="s">
        <v>11</v>
      </c>
      <c r="G146" s="5">
        <v>43</v>
      </c>
      <c r="H146" s="6" t="s">
        <v>12</v>
      </c>
      <c r="I146" t="s">
        <v>177</v>
      </c>
      <c r="J146" t="s">
        <v>2480</v>
      </c>
      <c r="K146" t="str">
        <f>+VLOOKUP(C146,'[1]TIENDAS 2025'!$A$1:$C$143,3,0)</f>
        <v>local</v>
      </c>
      <c r="L146" t="str">
        <f>+VLOOKUP(C146,[2]Hoja1!$A$1:$B$138,2,0)</f>
        <v>APROBAR</v>
      </c>
      <c r="M146">
        <v>1</v>
      </c>
      <c r="N146" t="e">
        <v>#N/A</v>
      </c>
    </row>
    <row r="147" spans="1:14" ht="15" customHeight="1" x14ac:dyDescent="0.3">
      <c r="A147" s="3">
        <v>1209656985</v>
      </c>
      <c r="B147" s="3" t="s">
        <v>181</v>
      </c>
      <c r="C147" s="3" t="s">
        <v>182</v>
      </c>
      <c r="D147" s="4">
        <v>46307.391666666699</v>
      </c>
      <c r="E147" s="5" t="s">
        <v>10</v>
      </c>
      <c r="F147" s="5" t="s">
        <v>11</v>
      </c>
      <c r="G147" s="5">
        <v>57</v>
      </c>
      <c r="H147" s="6" t="s">
        <v>12</v>
      </c>
      <c r="I147" t="s">
        <v>180</v>
      </c>
      <c r="J147" t="s">
        <v>2480</v>
      </c>
      <c r="K147" t="str">
        <f>+VLOOKUP(C147,'[1]TIENDAS 2025'!$A$1:$C$143,3,0)</f>
        <v>local</v>
      </c>
      <c r="L147" t="str">
        <f>+VLOOKUP(C147,[2]Hoja1!$A$1:$B$138,2,0)</f>
        <v>APROBAR</v>
      </c>
      <c r="M147">
        <v>1</v>
      </c>
      <c r="N147" t="e">
        <v>#N/A</v>
      </c>
    </row>
    <row r="148" spans="1:14" ht="15" customHeight="1" x14ac:dyDescent="0.3">
      <c r="A148" s="3">
        <v>8209656970</v>
      </c>
      <c r="B148" s="3" t="s">
        <v>181</v>
      </c>
      <c r="C148" s="3" t="s">
        <v>182</v>
      </c>
      <c r="D148" s="4">
        <v>46307.391678240703</v>
      </c>
      <c r="E148" s="5" t="s">
        <v>10</v>
      </c>
      <c r="F148" s="5" t="s">
        <v>16</v>
      </c>
      <c r="G148" s="5">
        <v>20</v>
      </c>
      <c r="H148" s="8" t="s">
        <v>12</v>
      </c>
      <c r="I148" t="s">
        <v>183</v>
      </c>
      <c r="K148" t="str">
        <f>+VLOOKUP(C148,'[1]TIENDAS 2025'!$A$1:$C$143,3,0)</f>
        <v>local</v>
      </c>
      <c r="L148" t="str">
        <f>+VLOOKUP(C148,[2]Hoja1!$A$1:$B$138,2,0)</f>
        <v>APROBAR</v>
      </c>
      <c r="M148">
        <v>1</v>
      </c>
      <c r="N148" t="e">
        <v>#N/A</v>
      </c>
    </row>
    <row r="149" spans="1:14" ht="15" customHeight="1" x14ac:dyDescent="0.3">
      <c r="A149" s="3">
        <v>1209657067</v>
      </c>
      <c r="B149" s="3" t="s">
        <v>185</v>
      </c>
      <c r="C149" s="3" t="s">
        <v>186</v>
      </c>
      <c r="D149" s="4">
        <v>46307.3917013889</v>
      </c>
      <c r="E149" s="5" t="s">
        <v>10</v>
      </c>
      <c r="F149" s="5" t="s">
        <v>11</v>
      </c>
      <c r="G149" s="5">
        <v>5</v>
      </c>
      <c r="H149" s="6" t="s">
        <v>12</v>
      </c>
      <c r="I149" t="s">
        <v>184</v>
      </c>
      <c r="J149" t="s">
        <v>2480</v>
      </c>
      <c r="K149" t="str">
        <f>+VLOOKUP(C149,'[1]TIENDAS 2025'!$A$1:$C$143,3,0)</f>
        <v>prioridad</v>
      </c>
      <c r="L149" t="str">
        <f>+VLOOKUP(C149,[2]Hoja1!$A$1:$B$138,2,0)</f>
        <v>APROBAR</v>
      </c>
      <c r="M149">
        <v>1</v>
      </c>
      <c r="N149" t="e">
        <v>#N/A</v>
      </c>
    </row>
    <row r="150" spans="1:14" ht="15" customHeight="1" x14ac:dyDescent="0.3">
      <c r="A150" s="3">
        <v>1209656975</v>
      </c>
      <c r="B150" s="3" t="s">
        <v>181</v>
      </c>
      <c r="C150" s="3" t="s">
        <v>182</v>
      </c>
      <c r="D150" s="4">
        <v>46307.391712962999</v>
      </c>
      <c r="E150" s="5" t="s">
        <v>10</v>
      </c>
      <c r="F150" s="5" t="s">
        <v>17</v>
      </c>
      <c r="G150" s="5">
        <v>1</v>
      </c>
      <c r="H150" s="6" t="s">
        <v>12</v>
      </c>
      <c r="I150" t="s">
        <v>187</v>
      </c>
      <c r="J150" t="s">
        <v>2480</v>
      </c>
      <c r="K150" t="str">
        <f>+VLOOKUP(C150,'[1]TIENDAS 2025'!$A$1:$C$143,3,0)</f>
        <v>local</v>
      </c>
      <c r="L150" t="str">
        <f>+VLOOKUP(C150,[2]Hoja1!$A$1:$B$138,2,0)</f>
        <v>APROBAR</v>
      </c>
      <c r="M150">
        <v>1</v>
      </c>
      <c r="N150" t="e">
        <v>#N/A</v>
      </c>
    </row>
    <row r="151" spans="1:14" ht="15" customHeight="1" x14ac:dyDescent="0.3">
      <c r="A151" s="3">
        <v>1209657034</v>
      </c>
      <c r="B151" s="3" t="s">
        <v>178</v>
      </c>
      <c r="C151" s="3" t="s">
        <v>179</v>
      </c>
      <c r="D151" s="4">
        <v>46307.391724537003</v>
      </c>
      <c r="E151" s="5" t="s">
        <v>10</v>
      </c>
      <c r="F151" s="5" t="s">
        <v>11</v>
      </c>
      <c r="G151" s="5">
        <v>4</v>
      </c>
      <c r="H151" s="6" t="s">
        <v>12</v>
      </c>
      <c r="I151" t="s">
        <v>188</v>
      </c>
      <c r="J151" t="s">
        <v>2480</v>
      </c>
      <c r="K151" t="str">
        <f>+VLOOKUP(C151,'[1]TIENDAS 2025'!$A$1:$C$143,3,0)</f>
        <v>local</v>
      </c>
      <c r="L151" t="str">
        <f>+VLOOKUP(C151,[2]Hoja1!$A$1:$B$138,2,0)</f>
        <v>APROBAR</v>
      </c>
      <c r="M151">
        <v>1</v>
      </c>
      <c r="N151" t="e">
        <v>#N/A</v>
      </c>
    </row>
    <row r="152" spans="1:14" ht="15" customHeight="1" x14ac:dyDescent="0.3">
      <c r="A152" s="3">
        <v>1209657097</v>
      </c>
      <c r="B152" s="3" t="s">
        <v>190</v>
      </c>
      <c r="C152" s="3" t="s">
        <v>191</v>
      </c>
      <c r="D152" s="4">
        <v>46307.391736111102</v>
      </c>
      <c r="E152" s="5" t="s">
        <v>10</v>
      </c>
      <c r="F152" s="5" t="s">
        <v>11</v>
      </c>
      <c r="G152" s="5">
        <v>6</v>
      </c>
      <c r="H152" s="6" t="s">
        <v>12</v>
      </c>
      <c r="I152" t="s">
        <v>189</v>
      </c>
      <c r="J152" t="s">
        <v>2480</v>
      </c>
      <c r="K152" t="str">
        <f>+VLOOKUP(C152,'[1]TIENDAS 2025'!$A$1:$C$143,3,0)</f>
        <v>local</v>
      </c>
      <c r="L152" t="str">
        <f>+VLOOKUP(C152,[2]Hoja1!$A$1:$B$138,2,0)</f>
        <v>APROBAR</v>
      </c>
      <c r="M152">
        <v>1</v>
      </c>
      <c r="N152" t="e">
        <v>#N/A</v>
      </c>
    </row>
    <row r="153" spans="1:14" ht="15" customHeight="1" x14ac:dyDescent="0.3">
      <c r="A153" s="3">
        <v>8209657105</v>
      </c>
      <c r="B153" s="3" t="s">
        <v>190</v>
      </c>
      <c r="C153" s="3" t="s">
        <v>191</v>
      </c>
      <c r="D153" s="4">
        <v>46307.3917476852</v>
      </c>
      <c r="E153" s="5" t="s">
        <v>10</v>
      </c>
      <c r="F153" s="5" t="s">
        <v>16</v>
      </c>
      <c r="G153" s="5">
        <v>1</v>
      </c>
      <c r="H153" s="8" t="s">
        <v>12</v>
      </c>
      <c r="I153" t="s">
        <v>192</v>
      </c>
      <c r="K153" t="str">
        <f>+VLOOKUP(C153,'[1]TIENDAS 2025'!$A$1:$C$143,3,0)</f>
        <v>local</v>
      </c>
      <c r="L153" t="str">
        <f>+VLOOKUP(C153,[2]Hoja1!$A$1:$B$138,2,0)</f>
        <v>APROBAR</v>
      </c>
      <c r="M153">
        <v>1</v>
      </c>
      <c r="N153" t="e">
        <v>#N/A</v>
      </c>
    </row>
    <row r="154" spans="1:14" ht="15" customHeight="1" x14ac:dyDescent="0.3">
      <c r="A154" s="3">
        <v>1209657113</v>
      </c>
      <c r="B154" s="3" t="s">
        <v>190</v>
      </c>
      <c r="C154" s="3" t="s">
        <v>191</v>
      </c>
      <c r="D154" s="4">
        <v>46307.391759259299</v>
      </c>
      <c r="E154" s="5" t="s">
        <v>10</v>
      </c>
      <c r="F154" s="5" t="s">
        <v>17</v>
      </c>
      <c r="G154" s="5">
        <v>30</v>
      </c>
      <c r="H154" s="6" t="s">
        <v>12</v>
      </c>
      <c r="I154" t="s">
        <v>193</v>
      </c>
      <c r="J154" t="s">
        <v>2480</v>
      </c>
      <c r="K154" t="str">
        <f>+VLOOKUP(C154,'[1]TIENDAS 2025'!$A$1:$C$143,3,0)</f>
        <v>local</v>
      </c>
      <c r="L154" t="str">
        <f>+VLOOKUP(C154,[2]Hoja1!$A$1:$B$138,2,0)</f>
        <v>APROBAR</v>
      </c>
      <c r="M154">
        <v>1</v>
      </c>
      <c r="N154" t="e">
        <v>#N/A</v>
      </c>
    </row>
    <row r="155" spans="1:14" ht="15" customHeight="1" x14ac:dyDescent="0.3">
      <c r="A155" s="3">
        <v>1209656981</v>
      </c>
      <c r="B155" s="3" t="s">
        <v>181</v>
      </c>
      <c r="C155" s="3" t="s">
        <v>182</v>
      </c>
      <c r="D155" s="4">
        <v>46307.391782407401</v>
      </c>
      <c r="E155" s="5" t="s">
        <v>10</v>
      </c>
      <c r="F155" s="5" t="s">
        <v>11</v>
      </c>
      <c r="G155" s="5">
        <v>26</v>
      </c>
      <c r="H155" s="6" t="s">
        <v>12</v>
      </c>
      <c r="I155" t="s">
        <v>194</v>
      </c>
      <c r="J155" t="s">
        <v>2480</v>
      </c>
      <c r="K155" t="str">
        <f>+VLOOKUP(C155,'[1]TIENDAS 2025'!$A$1:$C$143,3,0)</f>
        <v>local</v>
      </c>
      <c r="L155" t="str">
        <f>+VLOOKUP(C155,[2]Hoja1!$A$1:$B$138,2,0)</f>
        <v>APROBAR</v>
      </c>
      <c r="M155">
        <v>1</v>
      </c>
      <c r="N155" t="e">
        <v>#N/A</v>
      </c>
    </row>
    <row r="156" spans="1:14" ht="15" customHeight="1" x14ac:dyDescent="0.3">
      <c r="A156" s="3">
        <v>1209657040</v>
      </c>
      <c r="B156" s="3" t="s">
        <v>178</v>
      </c>
      <c r="C156" s="3" t="s">
        <v>179</v>
      </c>
      <c r="D156" s="4">
        <v>46307.3917939815</v>
      </c>
      <c r="E156" s="5" t="s">
        <v>10</v>
      </c>
      <c r="F156" s="5" t="s">
        <v>11</v>
      </c>
      <c r="G156" s="5">
        <v>3</v>
      </c>
      <c r="H156" s="6" t="s">
        <v>12</v>
      </c>
      <c r="I156" t="s">
        <v>195</v>
      </c>
      <c r="J156" t="s">
        <v>2480</v>
      </c>
      <c r="K156" t="str">
        <f>+VLOOKUP(C156,'[1]TIENDAS 2025'!$A$1:$C$143,3,0)</f>
        <v>local</v>
      </c>
      <c r="L156" t="str">
        <f>+VLOOKUP(C156,[2]Hoja1!$A$1:$B$138,2,0)</f>
        <v>APROBAR</v>
      </c>
      <c r="M156">
        <v>1</v>
      </c>
      <c r="N156" t="e">
        <v>#N/A</v>
      </c>
    </row>
    <row r="157" spans="1:14" ht="15" customHeight="1" x14ac:dyDescent="0.3">
      <c r="A157" s="3">
        <v>8209657029</v>
      </c>
      <c r="B157" s="3" t="s">
        <v>178</v>
      </c>
      <c r="C157" s="3" t="s">
        <v>179</v>
      </c>
      <c r="D157" s="4">
        <v>46307.391805555599</v>
      </c>
      <c r="E157" s="5" t="s">
        <v>10</v>
      </c>
      <c r="F157" s="5" t="s">
        <v>16</v>
      </c>
      <c r="G157" s="5">
        <v>4</v>
      </c>
      <c r="H157" s="8" t="s">
        <v>12</v>
      </c>
      <c r="I157" t="s">
        <v>196</v>
      </c>
      <c r="K157" t="str">
        <f>+VLOOKUP(C157,'[1]TIENDAS 2025'!$A$1:$C$143,3,0)</f>
        <v>local</v>
      </c>
      <c r="L157" t="str">
        <f>+VLOOKUP(C157,[2]Hoja1!$A$1:$B$138,2,0)</f>
        <v>APROBAR</v>
      </c>
      <c r="M157">
        <v>1</v>
      </c>
      <c r="N157" t="e">
        <v>#N/A</v>
      </c>
    </row>
    <row r="158" spans="1:14" ht="15" customHeight="1" x14ac:dyDescent="0.3">
      <c r="A158" s="3">
        <v>1209657044</v>
      </c>
      <c r="B158" s="3" t="s">
        <v>178</v>
      </c>
      <c r="C158" s="3" t="s">
        <v>179</v>
      </c>
      <c r="D158" s="4">
        <v>46307.391817129603</v>
      </c>
      <c r="E158" s="5" t="s">
        <v>10</v>
      </c>
      <c r="F158" s="5" t="s">
        <v>11</v>
      </c>
      <c r="G158" s="5">
        <v>2</v>
      </c>
      <c r="H158" s="6" t="s">
        <v>12</v>
      </c>
      <c r="I158" t="s">
        <v>197</v>
      </c>
      <c r="J158" t="s">
        <v>2480</v>
      </c>
      <c r="K158" t="str">
        <f>+VLOOKUP(C158,'[1]TIENDAS 2025'!$A$1:$C$143,3,0)</f>
        <v>local</v>
      </c>
      <c r="L158" t="str">
        <f>+VLOOKUP(C158,[2]Hoja1!$A$1:$B$138,2,0)</f>
        <v>APROBAR</v>
      </c>
      <c r="M158">
        <v>1</v>
      </c>
      <c r="N158" t="e">
        <v>#N/A</v>
      </c>
    </row>
    <row r="159" spans="1:14" ht="15" customHeight="1" x14ac:dyDescent="0.3">
      <c r="A159" s="3">
        <v>8209656969</v>
      </c>
      <c r="B159" s="3" t="s">
        <v>181</v>
      </c>
      <c r="C159" s="3" t="s">
        <v>182</v>
      </c>
      <c r="D159" s="4">
        <v>46307.391828703701</v>
      </c>
      <c r="E159" s="5" t="s">
        <v>10</v>
      </c>
      <c r="F159" s="5" t="s">
        <v>16</v>
      </c>
      <c r="G159" s="5">
        <v>1</v>
      </c>
      <c r="H159" s="8" t="s">
        <v>12</v>
      </c>
      <c r="I159" t="s">
        <v>198</v>
      </c>
      <c r="K159" t="str">
        <f>+VLOOKUP(C159,'[1]TIENDAS 2025'!$A$1:$C$143,3,0)</f>
        <v>local</v>
      </c>
      <c r="L159" t="str">
        <f>+VLOOKUP(C159,[2]Hoja1!$A$1:$B$138,2,0)</f>
        <v>APROBAR</v>
      </c>
      <c r="M159">
        <v>1</v>
      </c>
      <c r="N159" t="e">
        <v>#N/A</v>
      </c>
    </row>
    <row r="160" spans="1:14" ht="15" customHeight="1" x14ac:dyDescent="0.3">
      <c r="A160" s="3">
        <v>8209657062</v>
      </c>
      <c r="B160" s="3" t="s">
        <v>185</v>
      </c>
      <c r="C160" s="3" t="s">
        <v>186</v>
      </c>
      <c r="D160" s="4">
        <v>46307.391851851899</v>
      </c>
      <c r="E160" s="5" t="s">
        <v>10</v>
      </c>
      <c r="F160" s="5" t="s">
        <v>16</v>
      </c>
      <c r="G160" s="5">
        <v>7</v>
      </c>
      <c r="H160" s="8" t="s">
        <v>12</v>
      </c>
      <c r="I160" t="s">
        <v>199</v>
      </c>
      <c r="K160" t="str">
        <f>+VLOOKUP(C160,'[1]TIENDAS 2025'!$A$1:$C$143,3,0)</f>
        <v>prioridad</v>
      </c>
      <c r="L160" t="str">
        <f>+VLOOKUP(C160,[2]Hoja1!$A$1:$B$138,2,0)</f>
        <v>APROBAR</v>
      </c>
      <c r="M160">
        <v>1</v>
      </c>
      <c r="N160" t="e">
        <v>#N/A</v>
      </c>
    </row>
    <row r="161" spans="1:14" ht="15" customHeight="1" x14ac:dyDescent="0.3">
      <c r="A161" s="3">
        <v>8209657065</v>
      </c>
      <c r="B161" s="3" t="s">
        <v>185</v>
      </c>
      <c r="C161" s="3" t="s">
        <v>186</v>
      </c>
      <c r="D161" s="4">
        <v>46307.391863425903</v>
      </c>
      <c r="E161" s="5" t="s">
        <v>10</v>
      </c>
      <c r="F161" s="5" t="s">
        <v>16</v>
      </c>
      <c r="G161" s="5">
        <v>6</v>
      </c>
      <c r="H161" s="8" t="s">
        <v>12</v>
      </c>
      <c r="I161" t="s">
        <v>200</v>
      </c>
      <c r="K161" t="str">
        <f>+VLOOKUP(C161,'[1]TIENDAS 2025'!$A$1:$C$143,3,0)</f>
        <v>prioridad</v>
      </c>
      <c r="L161" t="str">
        <f>+VLOOKUP(C161,[2]Hoja1!$A$1:$B$138,2,0)</f>
        <v>APROBAR</v>
      </c>
      <c r="M161">
        <v>1</v>
      </c>
      <c r="N161" t="e">
        <v>#N/A</v>
      </c>
    </row>
    <row r="162" spans="1:14" ht="15" customHeight="1" x14ac:dyDescent="0.3">
      <c r="A162" s="3">
        <v>1209656980</v>
      </c>
      <c r="B162" s="3" t="s">
        <v>181</v>
      </c>
      <c r="C162" s="3" t="s">
        <v>182</v>
      </c>
      <c r="D162" s="4">
        <v>46307.3918865741</v>
      </c>
      <c r="E162" s="5" t="s">
        <v>10</v>
      </c>
      <c r="F162" s="5" t="s">
        <v>11</v>
      </c>
      <c r="G162" s="5">
        <v>24</v>
      </c>
      <c r="H162" s="6" t="s">
        <v>12</v>
      </c>
      <c r="I162" t="s">
        <v>201</v>
      </c>
      <c r="J162" t="s">
        <v>2480</v>
      </c>
      <c r="K162" t="str">
        <f>+VLOOKUP(C162,'[1]TIENDAS 2025'!$A$1:$C$143,3,0)</f>
        <v>local</v>
      </c>
      <c r="L162" t="str">
        <f>+VLOOKUP(C162,[2]Hoja1!$A$1:$B$138,2,0)</f>
        <v>APROBAR</v>
      </c>
      <c r="M162">
        <v>1</v>
      </c>
      <c r="N162" t="e">
        <v>#N/A</v>
      </c>
    </row>
    <row r="163" spans="1:14" ht="15" customHeight="1" x14ac:dyDescent="0.3">
      <c r="A163" s="3">
        <v>8209656993</v>
      </c>
      <c r="B163" s="3" t="s">
        <v>203</v>
      </c>
      <c r="C163" s="3" t="s">
        <v>204</v>
      </c>
      <c r="D163" s="4">
        <v>46307.3918865741</v>
      </c>
      <c r="E163" s="5" t="s">
        <v>10</v>
      </c>
      <c r="F163" s="5" t="s">
        <v>16</v>
      </c>
      <c r="G163" s="5">
        <v>23</v>
      </c>
      <c r="H163" s="8" t="s">
        <v>12</v>
      </c>
      <c r="I163" t="s">
        <v>202</v>
      </c>
      <c r="K163" t="str">
        <f>+VLOOKUP(C163,'[1]TIENDAS 2025'!$A$1:$C$143,3,0)</f>
        <v>local</v>
      </c>
      <c r="L163" t="str">
        <f>+VLOOKUP(C163,[2]Hoja1!$A$1:$B$138,2,0)</f>
        <v>APROBAR</v>
      </c>
      <c r="M163">
        <v>1</v>
      </c>
      <c r="N163" t="e">
        <v>#N/A</v>
      </c>
    </row>
    <row r="164" spans="1:14" ht="15" customHeight="1" x14ac:dyDescent="0.3">
      <c r="A164" s="3">
        <v>1209657078</v>
      </c>
      <c r="B164" s="3" t="s">
        <v>185</v>
      </c>
      <c r="C164" s="3" t="s">
        <v>186</v>
      </c>
      <c r="D164" s="4">
        <v>46307.391909722202</v>
      </c>
      <c r="E164" s="5" t="s">
        <v>10</v>
      </c>
      <c r="F164" s="5" t="s">
        <v>11</v>
      </c>
      <c r="G164" s="5">
        <v>13</v>
      </c>
      <c r="H164" s="6" t="s">
        <v>12</v>
      </c>
      <c r="I164" t="s">
        <v>205</v>
      </c>
      <c r="J164" t="s">
        <v>2480</v>
      </c>
      <c r="K164" t="str">
        <f>+VLOOKUP(C164,'[1]TIENDAS 2025'!$A$1:$C$143,3,0)</f>
        <v>prioridad</v>
      </c>
      <c r="L164" t="str">
        <f>+VLOOKUP(C164,[2]Hoja1!$A$1:$B$138,2,0)</f>
        <v>APROBAR</v>
      </c>
      <c r="M164">
        <v>1</v>
      </c>
      <c r="N164" t="e">
        <v>#N/A</v>
      </c>
    </row>
    <row r="165" spans="1:14" ht="15" customHeight="1" x14ac:dyDescent="0.3">
      <c r="A165" s="3">
        <v>1209657107</v>
      </c>
      <c r="B165" s="3" t="s">
        <v>190</v>
      </c>
      <c r="C165" s="3" t="s">
        <v>191</v>
      </c>
      <c r="D165" s="4">
        <v>46307.391921296301</v>
      </c>
      <c r="E165" s="5" t="s">
        <v>10</v>
      </c>
      <c r="F165" s="5" t="s">
        <v>11</v>
      </c>
      <c r="G165" s="5">
        <v>4</v>
      </c>
      <c r="H165" s="6" t="s">
        <v>12</v>
      </c>
      <c r="I165" t="s">
        <v>206</v>
      </c>
      <c r="J165" t="s">
        <v>2480</v>
      </c>
      <c r="K165" t="str">
        <f>+VLOOKUP(C165,'[1]TIENDAS 2025'!$A$1:$C$143,3,0)</f>
        <v>local</v>
      </c>
      <c r="L165" t="str">
        <f>+VLOOKUP(C165,[2]Hoja1!$A$1:$B$138,2,0)</f>
        <v>APROBAR</v>
      </c>
      <c r="M165">
        <v>1</v>
      </c>
      <c r="N165" t="e">
        <v>#N/A</v>
      </c>
    </row>
    <row r="166" spans="1:14" ht="15" customHeight="1" x14ac:dyDescent="0.3">
      <c r="A166" s="3">
        <v>1209657108</v>
      </c>
      <c r="B166" s="3" t="s">
        <v>190</v>
      </c>
      <c r="C166" s="3" t="s">
        <v>191</v>
      </c>
      <c r="D166" s="4">
        <v>46307.3919328704</v>
      </c>
      <c r="E166" s="5" t="s">
        <v>10</v>
      </c>
      <c r="F166" s="5" t="s">
        <v>11</v>
      </c>
      <c r="G166" s="5">
        <v>16</v>
      </c>
      <c r="H166" s="6" t="s">
        <v>12</v>
      </c>
      <c r="I166" t="s">
        <v>207</v>
      </c>
      <c r="J166" t="s">
        <v>2480</v>
      </c>
      <c r="K166" t="str">
        <f>+VLOOKUP(C166,'[1]TIENDAS 2025'!$A$1:$C$143,3,0)</f>
        <v>local</v>
      </c>
      <c r="L166" t="str">
        <f>+VLOOKUP(C166,[2]Hoja1!$A$1:$B$138,2,0)</f>
        <v>APROBAR</v>
      </c>
      <c r="M166">
        <v>1</v>
      </c>
      <c r="N166" t="e">
        <v>#N/A</v>
      </c>
    </row>
    <row r="167" spans="1:14" ht="15" customHeight="1" x14ac:dyDescent="0.3">
      <c r="A167" s="3">
        <v>1209657002</v>
      </c>
      <c r="B167" s="3" t="s">
        <v>203</v>
      </c>
      <c r="C167" s="3" t="s">
        <v>204</v>
      </c>
      <c r="D167" s="4">
        <v>46307.391944444404</v>
      </c>
      <c r="E167" s="5" t="s">
        <v>10</v>
      </c>
      <c r="F167" s="5" t="s">
        <v>11</v>
      </c>
      <c r="G167" s="5">
        <v>13</v>
      </c>
      <c r="H167" s="6" t="s">
        <v>12</v>
      </c>
      <c r="I167" t="s">
        <v>208</v>
      </c>
      <c r="J167" t="s">
        <v>2480</v>
      </c>
      <c r="K167" t="str">
        <f>+VLOOKUP(C167,'[1]TIENDAS 2025'!$A$1:$C$143,3,0)</f>
        <v>local</v>
      </c>
      <c r="L167" t="str">
        <f>+VLOOKUP(C167,[2]Hoja1!$A$1:$B$138,2,0)</f>
        <v>APROBAR</v>
      </c>
      <c r="M167">
        <v>1</v>
      </c>
      <c r="N167" t="e">
        <v>#N/A</v>
      </c>
    </row>
    <row r="168" spans="1:14" ht="15" customHeight="1" x14ac:dyDescent="0.3">
      <c r="A168" s="3">
        <v>1209656983</v>
      </c>
      <c r="B168" s="3" t="s">
        <v>181</v>
      </c>
      <c r="C168" s="3" t="s">
        <v>182</v>
      </c>
      <c r="D168" s="4">
        <v>46307.391956018502</v>
      </c>
      <c r="E168" s="5" t="s">
        <v>10</v>
      </c>
      <c r="F168" s="5" t="s">
        <v>17</v>
      </c>
      <c r="G168" s="5">
        <v>43</v>
      </c>
      <c r="H168" s="6" t="s">
        <v>12</v>
      </c>
      <c r="I168" t="s">
        <v>209</v>
      </c>
      <c r="J168" t="s">
        <v>2480</v>
      </c>
      <c r="K168" t="str">
        <f>+VLOOKUP(C168,'[1]TIENDAS 2025'!$A$1:$C$143,3,0)</f>
        <v>local</v>
      </c>
      <c r="L168" t="str">
        <f>+VLOOKUP(C168,[2]Hoja1!$A$1:$B$138,2,0)</f>
        <v>APROBAR</v>
      </c>
      <c r="M168">
        <v>1</v>
      </c>
      <c r="N168" t="e">
        <v>#N/A</v>
      </c>
    </row>
    <row r="169" spans="1:14" ht="15" customHeight="1" x14ac:dyDescent="0.3">
      <c r="A169" s="3">
        <v>8209657063</v>
      </c>
      <c r="B169" s="3" t="s">
        <v>185</v>
      </c>
      <c r="C169" s="3" t="s">
        <v>186</v>
      </c>
      <c r="D169" s="4">
        <v>46307.391967592601</v>
      </c>
      <c r="E169" s="5" t="s">
        <v>10</v>
      </c>
      <c r="F169" s="5" t="s">
        <v>16</v>
      </c>
      <c r="G169" s="5">
        <v>5</v>
      </c>
      <c r="H169" s="8" t="s">
        <v>12</v>
      </c>
      <c r="I169" t="s">
        <v>210</v>
      </c>
      <c r="K169" t="str">
        <f>+VLOOKUP(C169,'[1]TIENDAS 2025'!$A$1:$C$143,3,0)</f>
        <v>prioridad</v>
      </c>
      <c r="L169" t="str">
        <f>+VLOOKUP(C169,[2]Hoja1!$A$1:$B$138,2,0)</f>
        <v>APROBAR</v>
      </c>
      <c r="M169">
        <v>1</v>
      </c>
      <c r="N169" t="e">
        <v>#N/A</v>
      </c>
    </row>
    <row r="170" spans="1:14" ht="15" customHeight="1" x14ac:dyDescent="0.3">
      <c r="A170" s="3">
        <v>8209657064</v>
      </c>
      <c r="B170" s="3" t="s">
        <v>185</v>
      </c>
      <c r="C170" s="3" t="s">
        <v>186</v>
      </c>
      <c r="D170" s="4">
        <v>46307.391990740703</v>
      </c>
      <c r="E170" s="5" t="s">
        <v>10</v>
      </c>
      <c r="F170" s="5" t="s">
        <v>16</v>
      </c>
      <c r="G170" s="5">
        <v>7</v>
      </c>
      <c r="H170" s="8" t="s">
        <v>12</v>
      </c>
      <c r="I170" t="s">
        <v>211</v>
      </c>
      <c r="K170" t="str">
        <f>+VLOOKUP(C170,'[1]TIENDAS 2025'!$A$1:$C$143,3,0)</f>
        <v>prioridad</v>
      </c>
      <c r="L170" t="str">
        <f>+VLOOKUP(C170,[2]Hoja1!$A$1:$B$138,2,0)</f>
        <v>APROBAR</v>
      </c>
      <c r="M170">
        <v>1</v>
      </c>
      <c r="N170" t="e">
        <v>#N/A</v>
      </c>
    </row>
    <row r="171" spans="1:14" ht="15" customHeight="1" x14ac:dyDescent="0.3">
      <c r="A171" s="3">
        <v>1209657046</v>
      </c>
      <c r="B171" s="3" t="s">
        <v>178</v>
      </c>
      <c r="C171" s="3" t="s">
        <v>179</v>
      </c>
      <c r="D171" s="4">
        <v>46307.392002314802</v>
      </c>
      <c r="E171" s="5" t="s">
        <v>10</v>
      </c>
      <c r="F171" s="5" t="s">
        <v>11</v>
      </c>
      <c r="G171" s="5">
        <v>19</v>
      </c>
      <c r="H171" s="6" t="s">
        <v>12</v>
      </c>
      <c r="I171" t="s">
        <v>212</v>
      </c>
      <c r="J171" t="s">
        <v>2480</v>
      </c>
      <c r="K171" t="str">
        <f>+VLOOKUP(C171,'[1]TIENDAS 2025'!$A$1:$C$143,3,0)</f>
        <v>local</v>
      </c>
      <c r="L171" t="str">
        <f>+VLOOKUP(C171,[2]Hoja1!$A$1:$B$138,2,0)</f>
        <v>APROBAR</v>
      </c>
      <c r="M171">
        <v>1</v>
      </c>
      <c r="N171" t="e">
        <v>#N/A</v>
      </c>
    </row>
    <row r="172" spans="1:14" ht="15" customHeight="1" x14ac:dyDescent="0.3">
      <c r="A172" s="3">
        <v>1209657068</v>
      </c>
      <c r="B172" s="3" t="s">
        <v>185</v>
      </c>
      <c r="C172" s="3" t="s">
        <v>186</v>
      </c>
      <c r="D172" s="4">
        <v>46307.392013888901</v>
      </c>
      <c r="E172" s="5" t="s">
        <v>10</v>
      </c>
      <c r="F172" s="5" t="s">
        <v>17</v>
      </c>
      <c r="G172" s="5">
        <v>6</v>
      </c>
      <c r="H172" s="6" t="s">
        <v>12</v>
      </c>
      <c r="I172" t="s">
        <v>213</v>
      </c>
      <c r="J172" t="s">
        <v>2480</v>
      </c>
      <c r="K172" t="str">
        <f>+VLOOKUP(C172,'[1]TIENDAS 2025'!$A$1:$C$143,3,0)</f>
        <v>prioridad</v>
      </c>
      <c r="L172" t="str">
        <f>+VLOOKUP(C172,[2]Hoja1!$A$1:$B$138,2,0)</f>
        <v>APROBAR</v>
      </c>
      <c r="M172">
        <v>1</v>
      </c>
      <c r="N172" t="e">
        <v>#N/A</v>
      </c>
    </row>
    <row r="173" spans="1:14" ht="15" customHeight="1" x14ac:dyDescent="0.3">
      <c r="A173" s="3">
        <v>1209656977</v>
      </c>
      <c r="B173" s="3" t="s">
        <v>181</v>
      </c>
      <c r="C173" s="3" t="s">
        <v>182</v>
      </c>
      <c r="D173" s="4">
        <v>46307.392025462999</v>
      </c>
      <c r="E173" s="5" t="s">
        <v>10</v>
      </c>
      <c r="F173" s="5" t="s">
        <v>17</v>
      </c>
      <c r="G173" s="5">
        <v>21</v>
      </c>
      <c r="H173" s="6" t="s">
        <v>12</v>
      </c>
      <c r="I173" t="s">
        <v>214</v>
      </c>
      <c r="J173" t="s">
        <v>2480</v>
      </c>
      <c r="K173" t="str">
        <f>+VLOOKUP(C173,'[1]TIENDAS 2025'!$A$1:$C$143,3,0)</f>
        <v>local</v>
      </c>
      <c r="L173" t="str">
        <f>+VLOOKUP(C173,[2]Hoja1!$A$1:$B$138,2,0)</f>
        <v>APROBAR</v>
      </c>
      <c r="M173">
        <v>1</v>
      </c>
      <c r="N173" t="e">
        <v>#N/A</v>
      </c>
    </row>
    <row r="174" spans="1:14" ht="15" customHeight="1" x14ac:dyDescent="0.3">
      <c r="A174" s="3">
        <v>1209657076</v>
      </c>
      <c r="B174" s="3" t="s">
        <v>185</v>
      </c>
      <c r="C174" s="3" t="s">
        <v>186</v>
      </c>
      <c r="D174" s="4">
        <v>46307.392037037003</v>
      </c>
      <c r="E174" s="5" t="s">
        <v>10</v>
      </c>
      <c r="F174" s="5" t="s">
        <v>11</v>
      </c>
      <c r="G174" s="5">
        <v>4</v>
      </c>
      <c r="H174" s="6" t="s">
        <v>12</v>
      </c>
      <c r="I174" t="s">
        <v>215</v>
      </c>
      <c r="J174" t="s">
        <v>2480</v>
      </c>
      <c r="K174" t="str">
        <f>+VLOOKUP(C174,'[1]TIENDAS 2025'!$A$1:$C$143,3,0)</f>
        <v>prioridad</v>
      </c>
      <c r="L174" t="str">
        <f>+VLOOKUP(C174,[2]Hoja1!$A$1:$B$138,2,0)</f>
        <v>APROBAR</v>
      </c>
      <c r="M174">
        <v>1</v>
      </c>
      <c r="N174" t="e">
        <v>#N/A</v>
      </c>
    </row>
    <row r="175" spans="1:14" ht="15" customHeight="1" x14ac:dyDescent="0.3">
      <c r="A175" s="3">
        <v>1209656956</v>
      </c>
      <c r="B175" s="3" t="s">
        <v>170</v>
      </c>
      <c r="C175" s="3" t="s">
        <v>171</v>
      </c>
      <c r="D175" s="4">
        <v>46307.392060185201</v>
      </c>
      <c r="E175" s="5" t="s">
        <v>10</v>
      </c>
      <c r="F175" s="5" t="s">
        <v>11</v>
      </c>
      <c r="G175" s="5">
        <v>37</v>
      </c>
      <c r="H175" s="6" t="s">
        <v>12</v>
      </c>
      <c r="I175" t="s">
        <v>216</v>
      </c>
      <c r="J175" t="s">
        <v>2480</v>
      </c>
      <c r="K175" t="str">
        <f>+VLOOKUP(C175,'[1]TIENDAS 2025'!$A$1:$C$143,3,0)</f>
        <v>departamental</v>
      </c>
      <c r="L175" t="str">
        <f>+VLOOKUP(C175,[2]Hoja1!$A$1:$B$138,2,0)</f>
        <v>APROBAR</v>
      </c>
      <c r="M175">
        <v>1</v>
      </c>
      <c r="N175" t="e">
        <v>#N/A</v>
      </c>
    </row>
    <row r="176" spans="1:14" ht="15" customHeight="1" x14ac:dyDescent="0.3">
      <c r="A176" s="3">
        <v>1209656949</v>
      </c>
      <c r="B176" s="3" t="s">
        <v>170</v>
      </c>
      <c r="C176" s="3" t="s">
        <v>171</v>
      </c>
      <c r="D176" s="4">
        <v>46307.392071759299</v>
      </c>
      <c r="E176" s="5" t="s">
        <v>10</v>
      </c>
      <c r="F176" s="5" t="s">
        <v>17</v>
      </c>
      <c r="G176" s="5">
        <v>29</v>
      </c>
      <c r="H176" s="6" t="s">
        <v>12</v>
      </c>
      <c r="I176" t="s">
        <v>217</v>
      </c>
      <c r="J176" t="s">
        <v>2480</v>
      </c>
      <c r="K176" t="str">
        <f>+VLOOKUP(C176,'[1]TIENDAS 2025'!$A$1:$C$143,3,0)</f>
        <v>departamental</v>
      </c>
      <c r="L176" t="str">
        <f>+VLOOKUP(C176,[2]Hoja1!$A$1:$B$138,2,0)</f>
        <v>APROBAR</v>
      </c>
      <c r="M176">
        <v>1</v>
      </c>
      <c r="N176" t="e">
        <v>#N/A</v>
      </c>
    </row>
    <row r="177" spans="1:14" ht="15" customHeight="1" x14ac:dyDescent="0.3">
      <c r="A177" s="3">
        <v>8209656937</v>
      </c>
      <c r="B177" s="3" t="s">
        <v>170</v>
      </c>
      <c r="C177" s="3" t="s">
        <v>171</v>
      </c>
      <c r="D177" s="4">
        <v>46307.392071759299</v>
      </c>
      <c r="E177" s="5" t="s">
        <v>10</v>
      </c>
      <c r="F177" s="5" t="s">
        <v>16</v>
      </c>
      <c r="G177" s="5">
        <v>4</v>
      </c>
      <c r="H177" s="8" t="s">
        <v>12</v>
      </c>
      <c r="I177" t="s">
        <v>218</v>
      </c>
      <c r="K177" t="str">
        <f>+VLOOKUP(C177,'[1]TIENDAS 2025'!$A$1:$C$143,3,0)</f>
        <v>departamental</v>
      </c>
      <c r="L177" t="str">
        <f>+VLOOKUP(C177,[2]Hoja1!$A$1:$B$138,2,0)</f>
        <v>APROBAR</v>
      </c>
      <c r="M177">
        <v>1</v>
      </c>
      <c r="N177" t="e">
        <v>#N/A</v>
      </c>
    </row>
    <row r="178" spans="1:14" ht="15" customHeight="1" x14ac:dyDescent="0.3">
      <c r="A178" s="3">
        <v>8209656950</v>
      </c>
      <c r="B178" s="3" t="s">
        <v>170</v>
      </c>
      <c r="C178" s="3" t="s">
        <v>171</v>
      </c>
      <c r="D178" s="4">
        <v>46307.392094907402</v>
      </c>
      <c r="E178" s="5" t="s">
        <v>10</v>
      </c>
      <c r="F178" s="5" t="s">
        <v>16</v>
      </c>
      <c r="G178" s="5">
        <v>4</v>
      </c>
      <c r="H178" s="8" t="s">
        <v>12</v>
      </c>
      <c r="I178" t="s">
        <v>219</v>
      </c>
      <c r="K178" t="str">
        <f>+VLOOKUP(C178,'[1]TIENDAS 2025'!$A$1:$C$143,3,0)</f>
        <v>departamental</v>
      </c>
      <c r="L178" t="str">
        <f>+VLOOKUP(C178,[2]Hoja1!$A$1:$B$138,2,0)</f>
        <v>APROBAR</v>
      </c>
      <c r="M178">
        <v>1</v>
      </c>
      <c r="N178" t="e">
        <v>#N/A</v>
      </c>
    </row>
    <row r="179" spans="1:14" ht="15" customHeight="1" x14ac:dyDescent="0.3">
      <c r="A179" s="3">
        <v>1209657005</v>
      </c>
      <c r="B179" s="3" t="s">
        <v>203</v>
      </c>
      <c r="C179" s="3" t="s">
        <v>204</v>
      </c>
      <c r="D179" s="4">
        <v>46307.3921527778</v>
      </c>
      <c r="E179" s="5" t="s">
        <v>10</v>
      </c>
      <c r="F179" s="5" t="s">
        <v>11</v>
      </c>
      <c r="G179" s="5">
        <v>1</v>
      </c>
      <c r="H179" s="6" t="s">
        <v>12</v>
      </c>
      <c r="I179" t="s">
        <v>220</v>
      </c>
      <c r="J179" t="s">
        <v>2480</v>
      </c>
      <c r="K179" t="str">
        <f>+VLOOKUP(C179,'[1]TIENDAS 2025'!$A$1:$C$143,3,0)</f>
        <v>local</v>
      </c>
      <c r="L179" t="str">
        <f>+VLOOKUP(C179,[2]Hoja1!$A$1:$B$138,2,0)</f>
        <v>APROBAR</v>
      </c>
      <c r="M179">
        <v>1</v>
      </c>
      <c r="N179" t="e">
        <v>#N/A</v>
      </c>
    </row>
    <row r="180" spans="1:14" ht="15" customHeight="1" x14ac:dyDescent="0.3">
      <c r="A180" s="3">
        <v>1209656984</v>
      </c>
      <c r="B180" s="3" t="s">
        <v>181</v>
      </c>
      <c r="C180" s="3" t="s">
        <v>182</v>
      </c>
      <c r="D180" s="4">
        <v>46307.392164351899</v>
      </c>
      <c r="E180" s="5" t="s">
        <v>10</v>
      </c>
      <c r="F180" s="5" t="s">
        <v>11</v>
      </c>
      <c r="G180" s="5">
        <v>1</v>
      </c>
      <c r="H180" s="6" t="s">
        <v>12</v>
      </c>
      <c r="I180" t="s">
        <v>221</v>
      </c>
      <c r="J180" t="s">
        <v>2480</v>
      </c>
      <c r="K180" t="str">
        <f>+VLOOKUP(C180,'[1]TIENDAS 2025'!$A$1:$C$143,3,0)</f>
        <v>local</v>
      </c>
      <c r="L180" t="str">
        <f>+VLOOKUP(C180,[2]Hoja1!$A$1:$B$138,2,0)</f>
        <v>APROBAR</v>
      </c>
      <c r="M180">
        <v>1</v>
      </c>
      <c r="N180" t="e">
        <v>#N/A</v>
      </c>
    </row>
    <row r="181" spans="1:14" ht="15" customHeight="1" x14ac:dyDescent="0.3">
      <c r="A181" s="3">
        <v>8209656991</v>
      </c>
      <c r="B181" s="3" t="s">
        <v>203</v>
      </c>
      <c r="C181" s="3" t="s">
        <v>204</v>
      </c>
      <c r="D181" s="4">
        <v>46307.392187500001</v>
      </c>
      <c r="E181" s="5" t="s">
        <v>10</v>
      </c>
      <c r="F181" s="5" t="s">
        <v>16</v>
      </c>
      <c r="G181" s="5">
        <v>3</v>
      </c>
      <c r="H181" s="8" t="s">
        <v>12</v>
      </c>
      <c r="I181" t="s">
        <v>222</v>
      </c>
      <c r="K181" t="str">
        <f>+VLOOKUP(C181,'[1]TIENDAS 2025'!$A$1:$C$143,3,0)</f>
        <v>local</v>
      </c>
      <c r="L181" t="str">
        <f>+VLOOKUP(C181,[2]Hoja1!$A$1:$B$138,2,0)</f>
        <v>APROBAR</v>
      </c>
      <c r="M181">
        <v>1</v>
      </c>
      <c r="N181" t="e">
        <v>#N/A</v>
      </c>
    </row>
    <row r="182" spans="1:14" ht="15" customHeight="1" x14ac:dyDescent="0.3">
      <c r="A182" s="3">
        <v>8209656972</v>
      </c>
      <c r="B182" s="3" t="s">
        <v>181</v>
      </c>
      <c r="C182" s="3" t="s">
        <v>182</v>
      </c>
      <c r="D182" s="4">
        <v>46307.3921990741</v>
      </c>
      <c r="E182" s="5" t="s">
        <v>10</v>
      </c>
      <c r="F182" s="5" t="s">
        <v>16</v>
      </c>
      <c r="G182" s="5">
        <v>10</v>
      </c>
      <c r="H182" s="8" t="s">
        <v>12</v>
      </c>
      <c r="I182" t="s">
        <v>223</v>
      </c>
      <c r="K182" t="str">
        <f>+VLOOKUP(C182,'[1]TIENDAS 2025'!$A$1:$C$143,3,0)</f>
        <v>local</v>
      </c>
      <c r="L182" t="str">
        <f>+VLOOKUP(C182,[2]Hoja1!$A$1:$B$138,2,0)</f>
        <v>APROBAR</v>
      </c>
      <c r="M182">
        <v>1</v>
      </c>
      <c r="N182" t="e">
        <v>#N/A</v>
      </c>
    </row>
    <row r="183" spans="1:14" ht="15" customHeight="1" x14ac:dyDescent="0.3">
      <c r="A183" s="3">
        <v>8209657031</v>
      </c>
      <c r="B183" s="3" t="s">
        <v>178</v>
      </c>
      <c r="C183" s="3" t="s">
        <v>179</v>
      </c>
      <c r="D183" s="4">
        <v>46307.3921990741</v>
      </c>
      <c r="E183" s="5" t="s">
        <v>10</v>
      </c>
      <c r="F183" s="5" t="s">
        <v>16</v>
      </c>
      <c r="G183" s="5">
        <v>6</v>
      </c>
      <c r="H183" s="8" t="s">
        <v>12</v>
      </c>
      <c r="I183" t="s">
        <v>224</v>
      </c>
      <c r="K183" t="str">
        <f>+VLOOKUP(C183,'[1]TIENDAS 2025'!$A$1:$C$143,3,0)</f>
        <v>local</v>
      </c>
      <c r="L183" t="str">
        <f>+VLOOKUP(C183,[2]Hoja1!$A$1:$B$138,2,0)</f>
        <v>APROBAR</v>
      </c>
      <c r="M183">
        <v>1</v>
      </c>
      <c r="N183" t="e">
        <v>#N/A</v>
      </c>
    </row>
    <row r="184" spans="1:14" ht="15" customHeight="1" x14ac:dyDescent="0.3">
      <c r="A184" s="3">
        <v>1209656995</v>
      </c>
      <c r="B184" s="3" t="s">
        <v>203</v>
      </c>
      <c r="C184" s="3" t="s">
        <v>204</v>
      </c>
      <c r="D184" s="4">
        <v>46307.392222222203</v>
      </c>
      <c r="E184" s="5" t="s">
        <v>10</v>
      </c>
      <c r="F184" s="5" t="s">
        <v>11</v>
      </c>
      <c r="G184" s="5">
        <v>2</v>
      </c>
      <c r="H184" s="6" t="s">
        <v>12</v>
      </c>
      <c r="I184" t="s">
        <v>225</v>
      </c>
      <c r="J184" t="s">
        <v>2480</v>
      </c>
      <c r="K184" t="str">
        <f>+VLOOKUP(C184,'[1]TIENDAS 2025'!$A$1:$C$143,3,0)</f>
        <v>local</v>
      </c>
      <c r="L184" t="str">
        <f>+VLOOKUP(C184,[2]Hoja1!$A$1:$B$138,2,0)</f>
        <v>APROBAR</v>
      </c>
      <c r="M184">
        <v>1</v>
      </c>
      <c r="N184" t="e">
        <v>#N/A</v>
      </c>
    </row>
    <row r="185" spans="1:14" ht="15" customHeight="1" x14ac:dyDescent="0.3">
      <c r="A185" s="3">
        <v>8209656973</v>
      </c>
      <c r="B185" s="3" t="s">
        <v>181</v>
      </c>
      <c r="C185" s="3" t="s">
        <v>182</v>
      </c>
      <c r="D185" s="4">
        <v>46307.392233796301</v>
      </c>
      <c r="E185" s="5" t="s">
        <v>10</v>
      </c>
      <c r="F185" s="5" t="s">
        <v>16</v>
      </c>
      <c r="G185" s="5">
        <v>5</v>
      </c>
      <c r="H185" s="8" t="s">
        <v>12</v>
      </c>
      <c r="I185" t="s">
        <v>226</v>
      </c>
      <c r="K185" t="str">
        <f>+VLOOKUP(C185,'[1]TIENDAS 2025'!$A$1:$C$143,3,0)</f>
        <v>local</v>
      </c>
      <c r="L185" t="str">
        <f>+VLOOKUP(C185,[2]Hoja1!$A$1:$B$138,2,0)</f>
        <v>APROBAR</v>
      </c>
      <c r="M185">
        <v>1</v>
      </c>
      <c r="N185" t="e">
        <v>#N/A</v>
      </c>
    </row>
    <row r="186" spans="1:14" ht="15" customHeight="1" x14ac:dyDescent="0.3">
      <c r="A186" s="3">
        <v>1209657069</v>
      </c>
      <c r="B186" s="3" t="s">
        <v>185</v>
      </c>
      <c r="C186" s="3" t="s">
        <v>186</v>
      </c>
      <c r="D186" s="4">
        <v>46307.3922453704</v>
      </c>
      <c r="E186" s="5" t="s">
        <v>10</v>
      </c>
      <c r="F186" s="5" t="s">
        <v>11</v>
      </c>
      <c r="G186" s="5">
        <v>8</v>
      </c>
      <c r="H186" s="6" t="s">
        <v>12</v>
      </c>
      <c r="I186" t="s">
        <v>227</v>
      </c>
      <c r="J186" t="s">
        <v>2480</v>
      </c>
      <c r="K186" t="str">
        <f>+VLOOKUP(C186,'[1]TIENDAS 2025'!$A$1:$C$143,3,0)</f>
        <v>prioridad</v>
      </c>
      <c r="L186" t="str">
        <f>+VLOOKUP(C186,[2]Hoja1!$A$1:$B$138,2,0)</f>
        <v>APROBAR</v>
      </c>
      <c r="M186">
        <v>1</v>
      </c>
      <c r="N186" t="e">
        <v>#N/A</v>
      </c>
    </row>
    <row r="187" spans="1:14" ht="15" customHeight="1" x14ac:dyDescent="0.3">
      <c r="A187" s="3">
        <v>1209657077</v>
      </c>
      <c r="B187" s="3" t="s">
        <v>185</v>
      </c>
      <c r="C187" s="3" t="s">
        <v>186</v>
      </c>
      <c r="D187" s="4">
        <v>46307.392268518503</v>
      </c>
      <c r="E187" s="5" t="s">
        <v>10</v>
      </c>
      <c r="F187" s="5" t="s">
        <v>17</v>
      </c>
      <c r="G187" s="5">
        <v>3</v>
      </c>
      <c r="H187" s="6" t="s">
        <v>12</v>
      </c>
      <c r="I187" t="s">
        <v>228</v>
      </c>
      <c r="J187" t="s">
        <v>2480</v>
      </c>
      <c r="K187" t="str">
        <f>+VLOOKUP(C187,'[1]TIENDAS 2025'!$A$1:$C$143,3,0)</f>
        <v>prioridad</v>
      </c>
      <c r="L187" t="str">
        <f>+VLOOKUP(C187,[2]Hoja1!$A$1:$B$138,2,0)</f>
        <v>APROBAR</v>
      </c>
      <c r="M187">
        <v>1</v>
      </c>
      <c r="N187" t="e">
        <v>#N/A</v>
      </c>
    </row>
    <row r="188" spans="1:14" ht="15" customHeight="1" x14ac:dyDescent="0.3">
      <c r="A188" s="3">
        <v>8209657093</v>
      </c>
      <c r="B188" s="3" t="s">
        <v>190</v>
      </c>
      <c r="C188" s="3" t="s">
        <v>191</v>
      </c>
      <c r="D188" s="4">
        <v>46307.392268518503</v>
      </c>
      <c r="E188" s="5" t="s">
        <v>10</v>
      </c>
      <c r="F188" s="5" t="s">
        <v>16</v>
      </c>
      <c r="G188" s="5">
        <v>1</v>
      </c>
      <c r="H188" s="8" t="s">
        <v>12</v>
      </c>
      <c r="I188" t="s">
        <v>229</v>
      </c>
      <c r="K188" t="str">
        <f>+VLOOKUP(C188,'[1]TIENDAS 2025'!$A$1:$C$143,3,0)</f>
        <v>local</v>
      </c>
      <c r="L188" t="str">
        <f>+VLOOKUP(C188,[2]Hoja1!$A$1:$B$138,2,0)</f>
        <v>APROBAR</v>
      </c>
      <c r="M188">
        <v>1</v>
      </c>
      <c r="N188" t="e">
        <v>#N/A</v>
      </c>
    </row>
    <row r="189" spans="1:14" ht="15" customHeight="1" x14ac:dyDescent="0.3">
      <c r="A189" s="3">
        <v>8209657094</v>
      </c>
      <c r="B189" s="3" t="s">
        <v>190</v>
      </c>
      <c r="C189" s="3" t="s">
        <v>191</v>
      </c>
      <c r="D189" s="4">
        <v>46307.3922916667</v>
      </c>
      <c r="E189" s="5" t="s">
        <v>10</v>
      </c>
      <c r="F189" s="5" t="s">
        <v>16</v>
      </c>
      <c r="G189" s="5">
        <v>3</v>
      </c>
      <c r="H189" s="8" t="s">
        <v>12</v>
      </c>
      <c r="I189" t="s">
        <v>230</v>
      </c>
      <c r="K189" t="str">
        <f>+VLOOKUP(C189,'[1]TIENDAS 2025'!$A$1:$C$143,3,0)</f>
        <v>local</v>
      </c>
      <c r="L189" t="str">
        <f>+VLOOKUP(C189,[2]Hoja1!$A$1:$B$138,2,0)</f>
        <v>APROBAR</v>
      </c>
      <c r="M189">
        <v>1</v>
      </c>
      <c r="N189" t="e">
        <v>#N/A</v>
      </c>
    </row>
    <row r="190" spans="1:14" ht="15" customHeight="1" x14ac:dyDescent="0.3">
      <c r="A190" s="3">
        <v>1209657099</v>
      </c>
      <c r="B190" s="3" t="s">
        <v>190</v>
      </c>
      <c r="C190" s="3" t="s">
        <v>191</v>
      </c>
      <c r="D190" s="4">
        <v>46307.392303240696</v>
      </c>
      <c r="E190" s="5" t="s">
        <v>10</v>
      </c>
      <c r="F190" s="5" t="s">
        <v>11</v>
      </c>
      <c r="G190" s="5">
        <v>3</v>
      </c>
      <c r="H190" s="6" t="s">
        <v>12</v>
      </c>
      <c r="I190" t="s">
        <v>231</v>
      </c>
      <c r="J190" t="s">
        <v>2480</v>
      </c>
      <c r="K190" t="str">
        <f>+VLOOKUP(C190,'[1]TIENDAS 2025'!$A$1:$C$143,3,0)</f>
        <v>local</v>
      </c>
      <c r="L190" t="str">
        <f>+VLOOKUP(C190,[2]Hoja1!$A$1:$B$138,2,0)</f>
        <v>APROBAR</v>
      </c>
      <c r="M190">
        <v>1</v>
      </c>
      <c r="N190" t="e">
        <v>#N/A</v>
      </c>
    </row>
    <row r="191" spans="1:14" ht="15" customHeight="1" x14ac:dyDescent="0.3">
      <c r="A191" s="3">
        <v>8209657104</v>
      </c>
      <c r="B191" s="3" t="s">
        <v>190</v>
      </c>
      <c r="C191" s="3" t="s">
        <v>191</v>
      </c>
      <c r="D191" s="4">
        <v>46307.392314814802</v>
      </c>
      <c r="E191" s="5" t="s">
        <v>10</v>
      </c>
      <c r="F191" s="5" t="s">
        <v>16</v>
      </c>
      <c r="G191" s="5">
        <v>3</v>
      </c>
      <c r="H191" s="8" t="s">
        <v>12</v>
      </c>
      <c r="I191" t="s">
        <v>232</v>
      </c>
      <c r="K191" t="str">
        <f>+VLOOKUP(C191,'[1]TIENDAS 2025'!$A$1:$C$143,3,0)</f>
        <v>local</v>
      </c>
      <c r="L191" t="str">
        <f>+VLOOKUP(C191,[2]Hoja1!$A$1:$B$138,2,0)</f>
        <v>APROBAR</v>
      </c>
      <c r="M191">
        <v>1</v>
      </c>
      <c r="N191" t="e">
        <v>#N/A</v>
      </c>
    </row>
    <row r="192" spans="1:14" ht="15" customHeight="1" x14ac:dyDescent="0.3">
      <c r="A192" s="3">
        <v>8209656936</v>
      </c>
      <c r="B192" s="3" t="s">
        <v>170</v>
      </c>
      <c r="C192" s="3" t="s">
        <v>171</v>
      </c>
      <c r="D192" s="4">
        <v>46307.392326388901</v>
      </c>
      <c r="E192" s="5" t="s">
        <v>10</v>
      </c>
      <c r="F192" s="5" t="s">
        <v>16</v>
      </c>
      <c r="G192" s="5">
        <v>3</v>
      </c>
      <c r="H192" s="8" t="s">
        <v>12</v>
      </c>
      <c r="I192" t="s">
        <v>233</v>
      </c>
      <c r="K192" t="str">
        <f>+VLOOKUP(C192,'[1]TIENDAS 2025'!$A$1:$C$143,3,0)</f>
        <v>departamental</v>
      </c>
      <c r="L192" t="str">
        <f>+VLOOKUP(C192,[2]Hoja1!$A$1:$B$138,2,0)</f>
        <v>APROBAR</v>
      </c>
      <c r="M192">
        <v>1</v>
      </c>
      <c r="N192" t="e">
        <v>#N/A</v>
      </c>
    </row>
    <row r="193" spans="1:14" ht="15" customHeight="1" x14ac:dyDescent="0.3">
      <c r="A193" s="3">
        <v>8209656939</v>
      </c>
      <c r="B193" s="3" t="s">
        <v>170</v>
      </c>
      <c r="C193" s="3" t="s">
        <v>171</v>
      </c>
      <c r="D193" s="4">
        <v>46307.392337963</v>
      </c>
      <c r="E193" s="5" t="s">
        <v>10</v>
      </c>
      <c r="F193" s="5" t="s">
        <v>16</v>
      </c>
      <c r="G193" s="5">
        <v>4</v>
      </c>
      <c r="H193" s="8" t="s">
        <v>12</v>
      </c>
      <c r="I193" t="s">
        <v>234</v>
      </c>
      <c r="K193" t="str">
        <f>+VLOOKUP(C193,'[1]TIENDAS 2025'!$A$1:$C$143,3,0)</f>
        <v>departamental</v>
      </c>
      <c r="L193" t="str">
        <f>+VLOOKUP(C193,[2]Hoja1!$A$1:$B$138,2,0)</f>
        <v>APROBAR</v>
      </c>
      <c r="M193">
        <v>1</v>
      </c>
      <c r="N193" t="e">
        <v>#N/A</v>
      </c>
    </row>
    <row r="194" spans="1:14" ht="15" customHeight="1" x14ac:dyDescent="0.3">
      <c r="A194" s="3">
        <v>1209657003</v>
      </c>
      <c r="B194" s="3" t="s">
        <v>203</v>
      </c>
      <c r="C194" s="3" t="s">
        <v>204</v>
      </c>
      <c r="D194" s="4">
        <v>46307.392361111102</v>
      </c>
      <c r="E194" s="5" t="s">
        <v>10</v>
      </c>
      <c r="F194" s="5" t="s">
        <v>17</v>
      </c>
      <c r="G194" s="5">
        <v>22</v>
      </c>
      <c r="H194" s="6" t="s">
        <v>12</v>
      </c>
      <c r="I194" t="s">
        <v>235</v>
      </c>
      <c r="J194" t="s">
        <v>2480</v>
      </c>
      <c r="K194" t="str">
        <f>+VLOOKUP(C194,'[1]TIENDAS 2025'!$A$1:$C$143,3,0)</f>
        <v>local</v>
      </c>
      <c r="L194" t="str">
        <f>+VLOOKUP(C194,[2]Hoja1!$A$1:$B$138,2,0)</f>
        <v>APROBAR</v>
      </c>
      <c r="M194">
        <v>1</v>
      </c>
      <c r="N194" t="e">
        <v>#N/A</v>
      </c>
    </row>
    <row r="195" spans="1:14" ht="15" customHeight="1" x14ac:dyDescent="0.3">
      <c r="A195" s="3">
        <v>8209657041</v>
      </c>
      <c r="B195" s="3" t="s">
        <v>178</v>
      </c>
      <c r="C195" s="3" t="s">
        <v>179</v>
      </c>
      <c r="D195" s="4">
        <v>46307.392372685201</v>
      </c>
      <c r="E195" s="5" t="s">
        <v>10</v>
      </c>
      <c r="F195" s="5" t="s">
        <v>16</v>
      </c>
      <c r="G195" s="5">
        <v>4</v>
      </c>
      <c r="H195" s="8" t="s">
        <v>12</v>
      </c>
      <c r="I195" t="s">
        <v>236</v>
      </c>
      <c r="K195" t="str">
        <f>+VLOOKUP(C195,'[1]TIENDAS 2025'!$A$1:$C$143,3,0)</f>
        <v>local</v>
      </c>
      <c r="L195" t="str">
        <f>+VLOOKUP(C195,[2]Hoja1!$A$1:$B$138,2,0)</f>
        <v>APROBAR</v>
      </c>
      <c r="M195">
        <v>1</v>
      </c>
      <c r="N195" t="e">
        <v>#N/A</v>
      </c>
    </row>
    <row r="196" spans="1:14" ht="15" customHeight="1" x14ac:dyDescent="0.3">
      <c r="A196" s="3">
        <v>8209657042</v>
      </c>
      <c r="B196" s="3" t="s">
        <v>178</v>
      </c>
      <c r="C196" s="3" t="s">
        <v>179</v>
      </c>
      <c r="D196" s="4">
        <v>46307.392384259299</v>
      </c>
      <c r="E196" s="5" t="s">
        <v>10</v>
      </c>
      <c r="F196" s="5" t="s">
        <v>16</v>
      </c>
      <c r="G196" s="5">
        <v>1</v>
      </c>
      <c r="H196" s="8" t="s">
        <v>12</v>
      </c>
      <c r="I196" t="s">
        <v>237</v>
      </c>
      <c r="K196" t="str">
        <f>+VLOOKUP(C196,'[1]TIENDAS 2025'!$A$1:$C$143,3,0)</f>
        <v>local</v>
      </c>
      <c r="L196" t="str">
        <f>+VLOOKUP(C196,[2]Hoja1!$A$1:$B$138,2,0)</f>
        <v>APROBAR</v>
      </c>
      <c r="M196">
        <v>1</v>
      </c>
      <c r="N196" t="e">
        <v>#N/A</v>
      </c>
    </row>
    <row r="197" spans="1:14" ht="15" customHeight="1" x14ac:dyDescent="0.3">
      <c r="A197" s="3">
        <v>8209656992</v>
      </c>
      <c r="B197" s="3" t="s">
        <v>203</v>
      </c>
      <c r="C197" s="3" t="s">
        <v>204</v>
      </c>
      <c r="D197" s="4">
        <v>46307.392395833303</v>
      </c>
      <c r="E197" s="5" t="s">
        <v>10</v>
      </c>
      <c r="F197" s="5" t="s">
        <v>16</v>
      </c>
      <c r="G197" s="5">
        <v>4</v>
      </c>
      <c r="H197" s="8" t="s">
        <v>12</v>
      </c>
      <c r="I197" t="s">
        <v>238</v>
      </c>
      <c r="K197" t="str">
        <f>+VLOOKUP(C197,'[1]TIENDAS 2025'!$A$1:$C$143,3,0)</f>
        <v>local</v>
      </c>
      <c r="L197" t="str">
        <f>+VLOOKUP(C197,[2]Hoja1!$A$1:$B$138,2,0)</f>
        <v>APROBAR</v>
      </c>
      <c r="M197">
        <v>1</v>
      </c>
      <c r="N197" t="e">
        <v>#N/A</v>
      </c>
    </row>
    <row r="198" spans="1:14" ht="15" customHeight="1" x14ac:dyDescent="0.3">
      <c r="A198" s="3">
        <v>8209656971</v>
      </c>
      <c r="B198" s="3" t="s">
        <v>181</v>
      </c>
      <c r="C198" s="3" t="s">
        <v>182</v>
      </c>
      <c r="D198" s="4">
        <v>46307.392407407402</v>
      </c>
      <c r="E198" s="5" t="s">
        <v>10</v>
      </c>
      <c r="F198" s="5" t="s">
        <v>16</v>
      </c>
      <c r="G198" s="5">
        <v>4</v>
      </c>
      <c r="H198" s="8" t="s">
        <v>12</v>
      </c>
      <c r="I198" t="s">
        <v>239</v>
      </c>
      <c r="K198" t="str">
        <f>+VLOOKUP(C198,'[1]TIENDAS 2025'!$A$1:$C$143,3,0)</f>
        <v>local</v>
      </c>
      <c r="L198" t="str">
        <f>+VLOOKUP(C198,[2]Hoja1!$A$1:$B$138,2,0)</f>
        <v>APROBAR</v>
      </c>
      <c r="M198">
        <v>1</v>
      </c>
      <c r="N198" t="e">
        <v>#N/A</v>
      </c>
    </row>
    <row r="199" spans="1:14" ht="15" customHeight="1" x14ac:dyDescent="0.3">
      <c r="A199" s="3">
        <v>8209656974</v>
      </c>
      <c r="B199" s="3" t="s">
        <v>181</v>
      </c>
      <c r="C199" s="3" t="s">
        <v>182</v>
      </c>
      <c r="D199" s="4">
        <v>46307.392430555599</v>
      </c>
      <c r="E199" s="5" t="s">
        <v>10</v>
      </c>
      <c r="F199" s="5" t="s">
        <v>16</v>
      </c>
      <c r="G199" s="5">
        <v>10</v>
      </c>
      <c r="H199" s="8" t="s">
        <v>12</v>
      </c>
      <c r="I199" t="s">
        <v>240</v>
      </c>
      <c r="K199" t="str">
        <f>+VLOOKUP(C199,'[1]TIENDAS 2025'!$A$1:$C$143,3,0)</f>
        <v>local</v>
      </c>
      <c r="L199" t="str">
        <f>+VLOOKUP(C199,[2]Hoja1!$A$1:$B$138,2,0)</f>
        <v>APROBAR</v>
      </c>
      <c r="M199">
        <v>1</v>
      </c>
      <c r="N199" t="e">
        <v>#N/A</v>
      </c>
    </row>
    <row r="200" spans="1:14" ht="15" customHeight="1" x14ac:dyDescent="0.3">
      <c r="A200" s="3">
        <v>1209656997</v>
      </c>
      <c r="B200" s="3" t="s">
        <v>203</v>
      </c>
      <c r="C200" s="3" t="s">
        <v>204</v>
      </c>
      <c r="D200" s="4">
        <v>46307.392442129603</v>
      </c>
      <c r="E200" s="5" t="s">
        <v>10</v>
      </c>
      <c r="F200" s="5" t="s">
        <v>11</v>
      </c>
      <c r="G200" s="5">
        <v>2</v>
      </c>
      <c r="H200" s="6" t="s">
        <v>12</v>
      </c>
      <c r="I200" t="s">
        <v>241</v>
      </c>
      <c r="J200" t="s">
        <v>2480</v>
      </c>
      <c r="K200" t="str">
        <f>+VLOOKUP(C200,'[1]TIENDAS 2025'!$A$1:$C$143,3,0)</f>
        <v>local</v>
      </c>
      <c r="L200" t="str">
        <f>+VLOOKUP(C200,[2]Hoja1!$A$1:$B$138,2,0)</f>
        <v>APROBAR</v>
      </c>
      <c r="M200">
        <v>1</v>
      </c>
      <c r="N200" t="e">
        <v>#N/A</v>
      </c>
    </row>
    <row r="201" spans="1:14" ht="15" customHeight="1" x14ac:dyDescent="0.3">
      <c r="A201" s="3">
        <v>1209657047</v>
      </c>
      <c r="B201" s="3" t="s">
        <v>178</v>
      </c>
      <c r="C201" s="3" t="s">
        <v>179</v>
      </c>
      <c r="D201" s="4">
        <v>46307.392453703702</v>
      </c>
      <c r="E201" s="5" t="s">
        <v>10</v>
      </c>
      <c r="F201" s="5" t="s">
        <v>17</v>
      </c>
      <c r="G201" s="5">
        <v>27</v>
      </c>
      <c r="H201" s="6" t="s">
        <v>12</v>
      </c>
      <c r="I201" t="s">
        <v>242</v>
      </c>
      <c r="J201" t="s">
        <v>2480</v>
      </c>
      <c r="K201" t="str">
        <f>+VLOOKUP(C201,'[1]TIENDAS 2025'!$A$1:$C$143,3,0)</f>
        <v>local</v>
      </c>
      <c r="L201" t="str">
        <f>+VLOOKUP(C201,[2]Hoja1!$A$1:$B$138,2,0)</f>
        <v>APROBAR</v>
      </c>
      <c r="M201">
        <v>1</v>
      </c>
      <c r="N201" t="e">
        <v>#N/A</v>
      </c>
    </row>
    <row r="202" spans="1:14" ht="15" customHeight="1" x14ac:dyDescent="0.3">
      <c r="A202" s="3">
        <v>1209657001</v>
      </c>
      <c r="B202" s="3" t="s">
        <v>203</v>
      </c>
      <c r="C202" s="3" t="s">
        <v>204</v>
      </c>
      <c r="D202" s="4">
        <v>46307.392465277801</v>
      </c>
      <c r="E202" s="5" t="s">
        <v>10</v>
      </c>
      <c r="F202" s="5" t="s">
        <v>11</v>
      </c>
      <c r="G202" s="5">
        <v>8</v>
      </c>
      <c r="H202" s="6" t="s">
        <v>12</v>
      </c>
      <c r="I202" t="s">
        <v>243</v>
      </c>
      <c r="J202" t="s">
        <v>2480</v>
      </c>
      <c r="K202" t="str">
        <f>+VLOOKUP(C202,'[1]TIENDAS 2025'!$A$1:$C$143,3,0)</f>
        <v>local</v>
      </c>
      <c r="L202" t="str">
        <f>+VLOOKUP(C202,[2]Hoja1!$A$1:$B$138,2,0)</f>
        <v>APROBAR</v>
      </c>
      <c r="M202">
        <v>1</v>
      </c>
      <c r="N202" t="e">
        <v>#N/A</v>
      </c>
    </row>
    <row r="203" spans="1:14" ht="15" customHeight="1" x14ac:dyDescent="0.3">
      <c r="A203" s="3">
        <v>1209657074</v>
      </c>
      <c r="B203" s="3" t="s">
        <v>185</v>
      </c>
      <c r="C203" s="3" t="s">
        <v>186</v>
      </c>
      <c r="D203" s="4">
        <v>46307.392476851899</v>
      </c>
      <c r="E203" s="5" t="s">
        <v>10</v>
      </c>
      <c r="F203" s="5" t="s">
        <v>17</v>
      </c>
      <c r="G203" s="5">
        <v>40</v>
      </c>
      <c r="H203" s="6" t="s">
        <v>12</v>
      </c>
      <c r="I203" t="s">
        <v>244</v>
      </c>
      <c r="J203" t="s">
        <v>2480</v>
      </c>
      <c r="K203" t="str">
        <f>+VLOOKUP(C203,'[1]TIENDAS 2025'!$A$1:$C$143,3,0)</f>
        <v>prioridad</v>
      </c>
      <c r="L203" t="str">
        <f>+VLOOKUP(C203,[2]Hoja1!$A$1:$B$138,2,0)</f>
        <v>APROBAR</v>
      </c>
      <c r="M203">
        <v>1</v>
      </c>
      <c r="N203" t="e">
        <v>#N/A</v>
      </c>
    </row>
    <row r="204" spans="1:14" ht="15" customHeight="1" x14ac:dyDescent="0.3">
      <c r="A204" s="3">
        <v>8209657095</v>
      </c>
      <c r="B204" s="3" t="s">
        <v>190</v>
      </c>
      <c r="C204" s="3" t="s">
        <v>191</v>
      </c>
      <c r="D204" s="4">
        <v>46307.392500000002</v>
      </c>
      <c r="E204" s="5" t="s">
        <v>10</v>
      </c>
      <c r="F204" s="5" t="s">
        <v>16</v>
      </c>
      <c r="G204" s="5">
        <v>1</v>
      </c>
      <c r="H204" s="8" t="s">
        <v>12</v>
      </c>
      <c r="I204" t="s">
        <v>245</v>
      </c>
      <c r="K204" t="str">
        <f>+VLOOKUP(C204,'[1]TIENDAS 2025'!$A$1:$C$143,3,0)</f>
        <v>local</v>
      </c>
      <c r="L204" t="str">
        <f>+VLOOKUP(C204,[2]Hoja1!$A$1:$B$138,2,0)</f>
        <v>APROBAR</v>
      </c>
      <c r="M204">
        <v>1</v>
      </c>
      <c r="N204" t="e">
        <v>#N/A</v>
      </c>
    </row>
    <row r="205" spans="1:14" ht="15" customHeight="1" x14ac:dyDescent="0.3">
      <c r="A205" s="3">
        <v>1209657100</v>
      </c>
      <c r="B205" s="3" t="s">
        <v>190</v>
      </c>
      <c r="C205" s="3" t="s">
        <v>191</v>
      </c>
      <c r="D205" s="4">
        <v>46307.3925115741</v>
      </c>
      <c r="E205" s="5" t="s">
        <v>10</v>
      </c>
      <c r="F205" s="5" t="s">
        <v>16</v>
      </c>
      <c r="G205" s="5">
        <v>17</v>
      </c>
      <c r="H205" s="6" t="s">
        <v>12</v>
      </c>
      <c r="I205" t="s">
        <v>246</v>
      </c>
      <c r="J205" t="s">
        <v>2480</v>
      </c>
      <c r="K205" t="str">
        <f>+VLOOKUP(C205,'[1]TIENDAS 2025'!$A$1:$C$143,3,0)</f>
        <v>local</v>
      </c>
      <c r="L205" t="str">
        <f>+VLOOKUP(C205,[2]Hoja1!$A$1:$B$138,2,0)</f>
        <v>APROBAR</v>
      </c>
      <c r="M205">
        <v>1</v>
      </c>
      <c r="N205" t="e">
        <v>#N/A</v>
      </c>
    </row>
    <row r="206" spans="1:14" ht="15" customHeight="1" x14ac:dyDescent="0.3">
      <c r="A206" s="3">
        <v>1209657101</v>
      </c>
      <c r="B206" s="3" t="s">
        <v>190</v>
      </c>
      <c r="C206" s="3" t="s">
        <v>191</v>
      </c>
      <c r="D206" s="4">
        <v>46307.392534722203</v>
      </c>
      <c r="E206" s="5" t="s">
        <v>10</v>
      </c>
      <c r="F206" s="5" t="s">
        <v>11</v>
      </c>
      <c r="G206" s="5">
        <v>11</v>
      </c>
      <c r="H206" s="6" t="s">
        <v>12</v>
      </c>
      <c r="I206" t="s">
        <v>247</v>
      </c>
      <c r="J206" t="s">
        <v>2480</v>
      </c>
      <c r="K206" t="str">
        <f>+VLOOKUP(C206,'[1]TIENDAS 2025'!$A$1:$C$143,3,0)</f>
        <v>local</v>
      </c>
      <c r="L206" t="str">
        <f>+VLOOKUP(C206,[2]Hoja1!$A$1:$B$138,2,0)</f>
        <v>APROBAR</v>
      </c>
      <c r="M206">
        <v>1</v>
      </c>
      <c r="N206" t="e">
        <v>#N/A</v>
      </c>
    </row>
    <row r="207" spans="1:14" ht="15" customHeight="1" x14ac:dyDescent="0.3">
      <c r="A207" s="3">
        <v>1209657102</v>
      </c>
      <c r="B207" s="3" t="s">
        <v>190</v>
      </c>
      <c r="C207" s="3" t="s">
        <v>191</v>
      </c>
      <c r="D207" s="4">
        <v>46307.392534722203</v>
      </c>
      <c r="E207" s="5" t="s">
        <v>10</v>
      </c>
      <c r="F207" s="5" t="s">
        <v>11</v>
      </c>
      <c r="G207" s="5">
        <v>11</v>
      </c>
      <c r="H207" s="6" t="s">
        <v>12</v>
      </c>
      <c r="I207" t="s">
        <v>248</v>
      </c>
      <c r="J207" t="s">
        <v>2480</v>
      </c>
      <c r="K207" t="str">
        <f>+VLOOKUP(C207,'[1]TIENDAS 2025'!$A$1:$C$143,3,0)</f>
        <v>local</v>
      </c>
      <c r="L207" t="str">
        <f>+VLOOKUP(C207,[2]Hoja1!$A$1:$B$138,2,0)</f>
        <v>APROBAR</v>
      </c>
      <c r="M207">
        <v>1</v>
      </c>
      <c r="N207" t="e">
        <v>#N/A</v>
      </c>
    </row>
    <row r="208" spans="1:14" ht="15" customHeight="1" x14ac:dyDescent="0.3">
      <c r="A208" s="3">
        <v>1209657103</v>
      </c>
      <c r="B208" s="3" t="s">
        <v>190</v>
      </c>
      <c r="C208" s="3" t="s">
        <v>191</v>
      </c>
      <c r="D208" s="4">
        <v>46307.392546296302</v>
      </c>
      <c r="E208" s="5" t="s">
        <v>10</v>
      </c>
      <c r="F208" s="5" t="s">
        <v>11</v>
      </c>
      <c r="G208" s="5">
        <v>2</v>
      </c>
      <c r="H208" s="6" t="s">
        <v>12</v>
      </c>
      <c r="I208" t="s">
        <v>249</v>
      </c>
      <c r="J208" t="s">
        <v>2480</v>
      </c>
      <c r="K208" t="str">
        <f>+VLOOKUP(C208,'[1]TIENDAS 2025'!$A$1:$C$143,3,0)</f>
        <v>local</v>
      </c>
      <c r="L208" t="str">
        <f>+VLOOKUP(C208,[2]Hoja1!$A$1:$B$138,2,0)</f>
        <v>APROBAR</v>
      </c>
      <c r="M208">
        <v>1</v>
      </c>
      <c r="N208" t="e">
        <v>#N/A</v>
      </c>
    </row>
    <row r="209" spans="1:14" ht="15" customHeight="1" x14ac:dyDescent="0.3">
      <c r="A209" s="3">
        <v>1209656982</v>
      </c>
      <c r="B209" s="3" t="s">
        <v>181</v>
      </c>
      <c r="C209" s="3" t="s">
        <v>182</v>
      </c>
      <c r="D209" s="4">
        <v>46307.392569444397</v>
      </c>
      <c r="E209" s="5" t="s">
        <v>10</v>
      </c>
      <c r="F209" s="5" t="s">
        <v>11</v>
      </c>
      <c r="G209" s="5">
        <v>33</v>
      </c>
      <c r="H209" s="6" t="s">
        <v>12</v>
      </c>
      <c r="I209" t="s">
        <v>250</v>
      </c>
      <c r="J209" t="s">
        <v>2480</v>
      </c>
      <c r="K209" t="str">
        <f>+VLOOKUP(C209,'[1]TIENDAS 2025'!$A$1:$C$143,3,0)</f>
        <v>local</v>
      </c>
      <c r="L209" t="str">
        <f>+VLOOKUP(C209,[2]Hoja1!$A$1:$B$138,2,0)</f>
        <v>APROBAR</v>
      </c>
      <c r="M209">
        <v>1</v>
      </c>
      <c r="N209" t="e">
        <v>#N/A</v>
      </c>
    </row>
    <row r="210" spans="1:14" ht="15" customHeight="1" x14ac:dyDescent="0.3">
      <c r="A210" s="3">
        <v>1209657037</v>
      </c>
      <c r="B210" s="3" t="s">
        <v>178</v>
      </c>
      <c r="C210" s="3" t="s">
        <v>179</v>
      </c>
      <c r="D210" s="4">
        <v>46307.392581018503</v>
      </c>
      <c r="E210" s="5" t="s">
        <v>10</v>
      </c>
      <c r="F210" s="5" t="s">
        <v>17</v>
      </c>
      <c r="G210" s="5">
        <v>16</v>
      </c>
      <c r="H210" s="6" t="s">
        <v>12</v>
      </c>
      <c r="I210" t="s">
        <v>251</v>
      </c>
      <c r="J210" t="s">
        <v>2480</v>
      </c>
      <c r="K210" t="str">
        <f>+VLOOKUP(C210,'[1]TIENDAS 2025'!$A$1:$C$143,3,0)</f>
        <v>local</v>
      </c>
      <c r="L210" t="str">
        <f>+VLOOKUP(C210,[2]Hoja1!$A$1:$B$138,2,0)</f>
        <v>APROBAR</v>
      </c>
      <c r="M210">
        <v>1</v>
      </c>
      <c r="N210" t="e">
        <v>#N/A</v>
      </c>
    </row>
    <row r="211" spans="1:14" ht="15" customHeight="1" x14ac:dyDescent="0.3">
      <c r="A211" s="3">
        <v>1209657039</v>
      </c>
      <c r="B211" s="3" t="s">
        <v>178</v>
      </c>
      <c r="C211" s="3" t="s">
        <v>179</v>
      </c>
      <c r="D211" s="4">
        <v>46307.392592592601</v>
      </c>
      <c r="E211" s="5" t="s">
        <v>10</v>
      </c>
      <c r="F211" s="5" t="s">
        <v>11</v>
      </c>
      <c r="G211" s="5">
        <v>14</v>
      </c>
      <c r="H211" s="6" t="s">
        <v>12</v>
      </c>
      <c r="I211" t="s">
        <v>252</v>
      </c>
      <c r="J211" t="s">
        <v>2480</v>
      </c>
      <c r="K211" t="str">
        <f>+VLOOKUP(C211,'[1]TIENDAS 2025'!$A$1:$C$143,3,0)</f>
        <v>local</v>
      </c>
      <c r="L211" t="str">
        <f>+VLOOKUP(C211,[2]Hoja1!$A$1:$B$138,2,0)</f>
        <v>APROBAR</v>
      </c>
      <c r="M211">
        <v>1</v>
      </c>
      <c r="N211" t="e">
        <v>#N/A</v>
      </c>
    </row>
    <row r="212" spans="1:14" ht="15" customHeight="1" x14ac:dyDescent="0.3">
      <c r="A212" s="3">
        <v>1209657045</v>
      </c>
      <c r="B212" s="3" t="s">
        <v>178</v>
      </c>
      <c r="C212" s="3" t="s">
        <v>179</v>
      </c>
      <c r="D212" s="4">
        <v>46307.3926041667</v>
      </c>
      <c r="E212" s="5" t="s">
        <v>10</v>
      </c>
      <c r="F212" s="5" t="s">
        <v>17</v>
      </c>
      <c r="G212" s="5">
        <v>11</v>
      </c>
      <c r="H212" s="6" t="s">
        <v>12</v>
      </c>
      <c r="I212" t="s">
        <v>253</v>
      </c>
      <c r="J212" t="s">
        <v>2480</v>
      </c>
      <c r="K212" t="str">
        <f>+VLOOKUP(C212,'[1]TIENDAS 2025'!$A$1:$C$143,3,0)</f>
        <v>local</v>
      </c>
      <c r="L212" t="str">
        <f>+VLOOKUP(C212,[2]Hoja1!$A$1:$B$138,2,0)</f>
        <v>APROBAR</v>
      </c>
      <c r="M212">
        <v>1</v>
      </c>
      <c r="N212" t="e">
        <v>#N/A</v>
      </c>
    </row>
    <row r="213" spans="1:14" ht="15" customHeight="1" x14ac:dyDescent="0.3">
      <c r="A213" s="3">
        <v>8209656994</v>
      </c>
      <c r="B213" s="3" t="s">
        <v>203</v>
      </c>
      <c r="C213" s="3" t="s">
        <v>204</v>
      </c>
      <c r="D213" s="4">
        <v>46307.392615740697</v>
      </c>
      <c r="E213" s="5" t="s">
        <v>10</v>
      </c>
      <c r="F213" s="5" t="s">
        <v>16</v>
      </c>
      <c r="G213" s="5">
        <v>2</v>
      </c>
      <c r="H213" s="8" t="s">
        <v>12</v>
      </c>
      <c r="I213" t="s">
        <v>254</v>
      </c>
      <c r="K213" t="str">
        <f>+VLOOKUP(C213,'[1]TIENDAS 2025'!$A$1:$C$143,3,0)</f>
        <v>local</v>
      </c>
      <c r="L213" t="str">
        <f>+VLOOKUP(C213,[2]Hoja1!$A$1:$B$138,2,0)</f>
        <v>APROBAR</v>
      </c>
      <c r="M213">
        <v>1</v>
      </c>
      <c r="N213" t="e">
        <v>#N/A</v>
      </c>
    </row>
    <row r="214" spans="1:14" ht="15" customHeight="1" x14ac:dyDescent="0.3">
      <c r="A214" s="3">
        <v>1209656996</v>
      </c>
      <c r="B214" s="3" t="s">
        <v>203</v>
      </c>
      <c r="C214" s="3" t="s">
        <v>204</v>
      </c>
      <c r="D214" s="4">
        <v>46307.392638888901</v>
      </c>
      <c r="E214" s="5" t="s">
        <v>10</v>
      </c>
      <c r="F214" s="5" t="s">
        <v>11</v>
      </c>
      <c r="G214" s="5">
        <v>5</v>
      </c>
      <c r="H214" s="6" t="s">
        <v>12</v>
      </c>
      <c r="I214" t="s">
        <v>255</v>
      </c>
      <c r="J214" t="s">
        <v>2480</v>
      </c>
      <c r="K214" t="str">
        <f>+VLOOKUP(C214,'[1]TIENDAS 2025'!$A$1:$C$143,3,0)</f>
        <v>local</v>
      </c>
      <c r="L214" t="str">
        <f>+VLOOKUP(C214,[2]Hoja1!$A$1:$B$138,2,0)</f>
        <v>APROBAR</v>
      </c>
      <c r="M214">
        <v>1</v>
      </c>
      <c r="N214" t="e">
        <v>#N/A</v>
      </c>
    </row>
    <row r="215" spans="1:14" ht="15" customHeight="1" x14ac:dyDescent="0.3">
      <c r="A215" s="3">
        <v>1209656976</v>
      </c>
      <c r="B215" s="3" t="s">
        <v>181</v>
      </c>
      <c r="C215" s="3" t="s">
        <v>182</v>
      </c>
      <c r="D215" s="4">
        <v>46307.392650463</v>
      </c>
      <c r="E215" s="5" t="s">
        <v>10</v>
      </c>
      <c r="F215" s="5" t="s">
        <v>11</v>
      </c>
      <c r="G215" s="5">
        <v>10</v>
      </c>
      <c r="H215" s="6" t="s">
        <v>12</v>
      </c>
      <c r="I215" t="s">
        <v>256</v>
      </c>
      <c r="J215" t="s">
        <v>2480</v>
      </c>
      <c r="K215" t="str">
        <f>+VLOOKUP(C215,'[1]TIENDAS 2025'!$A$1:$C$143,3,0)</f>
        <v>local</v>
      </c>
      <c r="L215" t="str">
        <f>+VLOOKUP(C215,[2]Hoja1!$A$1:$B$138,2,0)</f>
        <v>APROBAR</v>
      </c>
      <c r="M215">
        <v>1</v>
      </c>
      <c r="N215" t="e">
        <v>#N/A</v>
      </c>
    </row>
    <row r="216" spans="1:14" ht="15" customHeight="1" x14ac:dyDescent="0.3">
      <c r="A216" s="3">
        <v>1209657071</v>
      </c>
      <c r="B216" s="3" t="s">
        <v>185</v>
      </c>
      <c r="C216" s="3" t="s">
        <v>186</v>
      </c>
      <c r="D216" s="4">
        <v>46307.392662036997</v>
      </c>
      <c r="E216" s="5" t="s">
        <v>10</v>
      </c>
      <c r="F216" s="5" t="s">
        <v>11</v>
      </c>
      <c r="G216" s="5">
        <v>15</v>
      </c>
      <c r="H216" s="6" t="s">
        <v>12</v>
      </c>
      <c r="I216" t="s">
        <v>257</v>
      </c>
      <c r="J216" t="s">
        <v>2480</v>
      </c>
      <c r="K216" t="str">
        <f>+VLOOKUP(C216,'[1]TIENDAS 2025'!$A$1:$C$143,3,0)</f>
        <v>prioridad</v>
      </c>
      <c r="L216" t="str">
        <f>+VLOOKUP(C216,[2]Hoja1!$A$1:$B$138,2,0)</f>
        <v>APROBAR</v>
      </c>
      <c r="M216">
        <v>1</v>
      </c>
      <c r="N216" t="e">
        <v>#N/A</v>
      </c>
    </row>
    <row r="217" spans="1:14" ht="15" customHeight="1" x14ac:dyDescent="0.3">
      <c r="A217" s="3">
        <v>1209656943</v>
      </c>
      <c r="B217" s="3" t="s">
        <v>170</v>
      </c>
      <c r="C217" s="3" t="s">
        <v>171</v>
      </c>
      <c r="D217" s="4">
        <v>46307.392673611103</v>
      </c>
      <c r="E217" s="5" t="s">
        <v>10</v>
      </c>
      <c r="F217" s="5" t="s">
        <v>16</v>
      </c>
      <c r="G217" s="5">
        <v>21</v>
      </c>
      <c r="H217" s="6" t="s">
        <v>12</v>
      </c>
      <c r="I217" t="s">
        <v>258</v>
      </c>
      <c r="J217" t="s">
        <v>2480</v>
      </c>
      <c r="K217" t="str">
        <f>+VLOOKUP(C217,'[1]TIENDAS 2025'!$A$1:$C$143,3,0)</f>
        <v>departamental</v>
      </c>
      <c r="L217" t="str">
        <f>+VLOOKUP(C217,[2]Hoja1!$A$1:$B$138,2,0)</f>
        <v>APROBAR</v>
      </c>
      <c r="M217">
        <v>1</v>
      </c>
      <c r="N217" t="e">
        <v>#N/A</v>
      </c>
    </row>
    <row r="218" spans="1:14" ht="15" customHeight="1" x14ac:dyDescent="0.3">
      <c r="A218" s="3">
        <v>1209656944</v>
      </c>
      <c r="B218" s="3" t="s">
        <v>170</v>
      </c>
      <c r="C218" s="3" t="s">
        <v>171</v>
      </c>
      <c r="D218" s="4">
        <v>46307.392685185201</v>
      </c>
      <c r="E218" s="5" t="s">
        <v>10</v>
      </c>
      <c r="F218" s="5" t="s">
        <v>11</v>
      </c>
      <c r="G218" s="5">
        <v>16</v>
      </c>
      <c r="H218" s="6" t="s">
        <v>12</v>
      </c>
      <c r="I218" t="s">
        <v>259</v>
      </c>
      <c r="J218" t="s">
        <v>2480</v>
      </c>
      <c r="K218" t="str">
        <f>+VLOOKUP(C218,'[1]TIENDAS 2025'!$A$1:$C$143,3,0)</f>
        <v>departamental</v>
      </c>
      <c r="L218" t="str">
        <f>+VLOOKUP(C218,[2]Hoja1!$A$1:$B$138,2,0)</f>
        <v>APROBAR</v>
      </c>
      <c r="M218">
        <v>1</v>
      </c>
      <c r="N218" t="e">
        <v>#N/A</v>
      </c>
    </row>
    <row r="219" spans="1:14" ht="15" customHeight="1" x14ac:dyDescent="0.3">
      <c r="A219" s="3">
        <v>8209656951</v>
      </c>
      <c r="B219" s="3" t="s">
        <v>170</v>
      </c>
      <c r="C219" s="3" t="s">
        <v>171</v>
      </c>
      <c r="D219" s="4">
        <v>46307.392708333296</v>
      </c>
      <c r="E219" s="5" t="s">
        <v>10</v>
      </c>
      <c r="F219" s="5" t="s">
        <v>16</v>
      </c>
      <c r="G219" s="5">
        <v>1</v>
      </c>
      <c r="H219" s="8" t="s">
        <v>12</v>
      </c>
      <c r="I219" t="s">
        <v>260</v>
      </c>
      <c r="K219" t="str">
        <f>+VLOOKUP(C219,'[1]TIENDAS 2025'!$A$1:$C$143,3,0)</f>
        <v>departamental</v>
      </c>
      <c r="L219" t="str">
        <f>+VLOOKUP(C219,[2]Hoja1!$A$1:$B$138,2,0)</f>
        <v>APROBAR</v>
      </c>
      <c r="M219">
        <v>1</v>
      </c>
      <c r="N219" t="e">
        <v>#N/A</v>
      </c>
    </row>
    <row r="220" spans="1:14" ht="15" customHeight="1" x14ac:dyDescent="0.3">
      <c r="A220" s="3">
        <v>1209657073</v>
      </c>
      <c r="B220" s="3" t="s">
        <v>185</v>
      </c>
      <c r="C220" s="3" t="s">
        <v>186</v>
      </c>
      <c r="D220" s="4">
        <v>46307.392719907402</v>
      </c>
      <c r="E220" s="5" t="s">
        <v>10</v>
      </c>
      <c r="F220" s="5" t="s">
        <v>11</v>
      </c>
      <c r="G220" s="5">
        <v>32</v>
      </c>
      <c r="H220" s="6" t="s">
        <v>12</v>
      </c>
      <c r="I220" t="s">
        <v>261</v>
      </c>
      <c r="J220" t="s">
        <v>2480</v>
      </c>
      <c r="K220" t="str">
        <f>+VLOOKUP(C220,'[1]TIENDAS 2025'!$A$1:$C$143,3,0)</f>
        <v>prioridad</v>
      </c>
      <c r="L220" t="str">
        <f>+VLOOKUP(C220,[2]Hoja1!$A$1:$B$138,2,0)</f>
        <v>APROBAR</v>
      </c>
      <c r="M220">
        <v>1</v>
      </c>
      <c r="N220" t="e">
        <v>#N/A</v>
      </c>
    </row>
    <row r="221" spans="1:14" ht="15" customHeight="1" x14ac:dyDescent="0.3">
      <c r="A221" s="3">
        <v>8209657028</v>
      </c>
      <c r="B221" s="3" t="s">
        <v>178</v>
      </c>
      <c r="C221" s="3" t="s">
        <v>179</v>
      </c>
      <c r="D221" s="4">
        <v>46307.392731481501</v>
      </c>
      <c r="E221" s="5" t="s">
        <v>10</v>
      </c>
      <c r="F221" s="5" t="s">
        <v>16</v>
      </c>
      <c r="G221" s="5">
        <v>1</v>
      </c>
      <c r="H221" s="8" t="s">
        <v>12</v>
      </c>
      <c r="I221" t="s">
        <v>262</v>
      </c>
      <c r="K221" t="str">
        <f>+VLOOKUP(C221,'[1]TIENDAS 2025'!$A$1:$C$143,3,0)</f>
        <v>local</v>
      </c>
      <c r="L221" t="str">
        <f>+VLOOKUP(C221,[2]Hoja1!$A$1:$B$138,2,0)</f>
        <v>APROBAR</v>
      </c>
      <c r="M221">
        <v>1</v>
      </c>
      <c r="N221" t="e">
        <v>#N/A</v>
      </c>
    </row>
    <row r="222" spans="1:14" ht="15" customHeight="1" x14ac:dyDescent="0.3">
      <c r="A222" s="3">
        <v>1209657070</v>
      </c>
      <c r="B222" s="3" t="s">
        <v>185</v>
      </c>
      <c r="C222" s="3" t="s">
        <v>186</v>
      </c>
      <c r="D222" s="4">
        <v>46307.3927430556</v>
      </c>
      <c r="E222" s="5" t="s">
        <v>10</v>
      </c>
      <c r="F222" s="5" t="s">
        <v>11</v>
      </c>
      <c r="G222" s="5">
        <v>5</v>
      </c>
      <c r="H222" s="6" t="s">
        <v>12</v>
      </c>
      <c r="I222" t="s">
        <v>263</v>
      </c>
      <c r="J222" t="s">
        <v>2480</v>
      </c>
      <c r="K222" t="str">
        <f>+VLOOKUP(C222,'[1]TIENDAS 2025'!$A$1:$C$143,3,0)</f>
        <v>prioridad</v>
      </c>
      <c r="L222" t="str">
        <f>+VLOOKUP(C222,[2]Hoja1!$A$1:$B$138,2,0)</f>
        <v>APROBAR</v>
      </c>
      <c r="M222">
        <v>1</v>
      </c>
      <c r="N222" t="e">
        <v>#N/A</v>
      </c>
    </row>
    <row r="223" spans="1:14" ht="15" customHeight="1" x14ac:dyDescent="0.3">
      <c r="A223" s="3">
        <v>1209656998</v>
      </c>
      <c r="B223" s="3" t="s">
        <v>203</v>
      </c>
      <c r="C223" s="3" t="s">
        <v>204</v>
      </c>
      <c r="D223" s="4">
        <v>46307.392754629604</v>
      </c>
      <c r="E223" s="5" t="s">
        <v>10</v>
      </c>
      <c r="F223" s="5" t="s">
        <v>11</v>
      </c>
      <c r="G223" s="5">
        <v>8</v>
      </c>
      <c r="H223" s="6" t="s">
        <v>12</v>
      </c>
      <c r="I223" t="s">
        <v>264</v>
      </c>
      <c r="J223" t="s">
        <v>2480</v>
      </c>
      <c r="K223" t="str">
        <f>+VLOOKUP(C223,'[1]TIENDAS 2025'!$A$1:$C$143,3,0)</f>
        <v>local</v>
      </c>
      <c r="L223" t="str">
        <f>+VLOOKUP(C223,[2]Hoja1!$A$1:$B$138,2,0)</f>
        <v>APROBAR</v>
      </c>
      <c r="M223">
        <v>1</v>
      </c>
      <c r="N223" t="e">
        <v>#N/A</v>
      </c>
    </row>
    <row r="224" spans="1:14" ht="15" customHeight="1" x14ac:dyDescent="0.3">
      <c r="A224" s="3">
        <v>1209656999</v>
      </c>
      <c r="B224" s="3" t="s">
        <v>203</v>
      </c>
      <c r="C224" s="3" t="s">
        <v>204</v>
      </c>
      <c r="D224" s="4">
        <v>46307.392777777801</v>
      </c>
      <c r="E224" s="5" t="s">
        <v>10</v>
      </c>
      <c r="F224" s="5" t="s">
        <v>16</v>
      </c>
      <c r="G224" s="5">
        <v>18</v>
      </c>
      <c r="H224" s="6" t="s">
        <v>12</v>
      </c>
      <c r="I224" t="s">
        <v>265</v>
      </c>
      <c r="J224" t="s">
        <v>2480</v>
      </c>
      <c r="K224" t="str">
        <f>+VLOOKUP(C224,'[1]TIENDAS 2025'!$A$1:$C$143,3,0)</f>
        <v>local</v>
      </c>
      <c r="L224" t="str">
        <f>+VLOOKUP(C224,[2]Hoja1!$A$1:$B$138,2,0)</f>
        <v>APROBAR</v>
      </c>
      <c r="M224">
        <v>1</v>
      </c>
      <c r="N224" t="e">
        <v>#N/A</v>
      </c>
    </row>
    <row r="225" spans="1:14" ht="15" customHeight="1" x14ac:dyDescent="0.3">
      <c r="A225" s="3">
        <v>1209657000</v>
      </c>
      <c r="B225" s="3" t="s">
        <v>203</v>
      </c>
      <c r="C225" s="3" t="s">
        <v>204</v>
      </c>
      <c r="D225" s="4">
        <v>46307.392789351798</v>
      </c>
      <c r="E225" s="5" t="s">
        <v>10</v>
      </c>
      <c r="F225" s="5" t="s">
        <v>11</v>
      </c>
      <c r="G225" s="5">
        <v>13</v>
      </c>
      <c r="H225" s="6" t="s">
        <v>12</v>
      </c>
      <c r="I225" t="s">
        <v>266</v>
      </c>
      <c r="J225" t="s">
        <v>2480</v>
      </c>
      <c r="K225" t="str">
        <f>+VLOOKUP(C225,'[1]TIENDAS 2025'!$A$1:$C$143,3,0)</f>
        <v>local</v>
      </c>
      <c r="L225" t="str">
        <f>+VLOOKUP(C225,[2]Hoja1!$A$1:$B$138,2,0)</f>
        <v>APROBAR</v>
      </c>
      <c r="M225">
        <v>1</v>
      </c>
      <c r="N225" t="e">
        <v>#N/A</v>
      </c>
    </row>
    <row r="226" spans="1:14" ht="15" customHeight="1" x14ac:dyDescent="0.3">
      <c r="A226" s="3">
        <v>1209656978</v>
      </c>
      <c r="B226" s="3" t="s">
        <v>181</v>
      </c>
      <c r="C226" s="3" t="s">
        <v>182</v>
      </c>
      <c r="D226" s="4">
        <v>46307.392800925903</v>
      </c>
      <c r="E226" s="5" t="s">
        <v>10</v>
      </c>
      <c r="F226" s="5" t="s">
        <v>17</v>
      </c>
      <c r="G226" s="5">
        <v>14</v>
      </c>
      <c r="H226" s="6" t="s">
        <v>12</v>
      </c>
      <c r="I226" t="s">
        <v>267</v>
      </c>
      <c r="J226" t="s">
        <v>2480</v>
      </c>
      <c r="K226" t="str">
        <f>+VLOOKUP(C226,'[1]TIENDAS 2025'!$A$1:$C$143,3,0)</f>
        <v>local</v>
      </c>
      <c r="L226" t="str">
        <f>+VLOOKUP(C226,[2]Hoja1!$A$1:$B$138,2,0)</f>
        <v>APROBAR</v>
      </c>
      <c r="M226">
        <v>1</v>
      </c>
      <c r="N226" t="e">
        <v>#N/A</v>
      </c>
    </row>
    <row r="227" spans="1:14" ht="15" customHeight="1" x14ac:dyDescent="0.3">
      <c r="A227" s="3">
        <v>1209657035</v>
      </c>
      <c r="B227" s="3" t="s">
        <v>178</v>
      </c>
      <c r="C227" s="3" t="s">
        <v>179</v>
      </c>
      <c r="D227" s="4">
        <v>46307.392812500002</v>
      </c>
      <c r="E227" s="5" t="s">
        <v>10</v>
      </c>
      <c r="F227" s="5" t="s">
        <v>11</v>
      </c>
      <c r="G227" s="5">
        <v>8</v>
      </c>
      <c r="H227" s="6" t="s">
        <v>12</v>
      </c>
      <c r="I227" t="s">
        <v>268</v>
      </c>
      <c r="J227" t="s">
        <v>2480</v>
      </c>
      <c r="K227" t="str">
        <f>+VLOOKUP(C227,'[1]TIENDAS 2025'!$A$1:$C$143,3,0)</f>
        <v>local</v>
      </c>
      <c r="L227" t="str">
        <f>+VLOOKUP(C227,[2]Hoja1!$A$1:$B$138,2,0)</f>
        <v>APROBAR</v>
      </c>
      <c r="M227">
        <v>1</v>
      </c>
      <c r="N227" t="e">
        <v>#N/A</v>
      </c>
    </row>
    <row r="228" spans="1:14" ht="15" customHeight="1" x14ac:dyDescent="0.3">
      <c r="A228" s="3">
        <v>8209657075</v>
      </c>
      <c r="B228" s="3" t="s">
        <v>185</v>
      </c>
      <c r="C228" s="3" t="s">
        <v>186</v>
      </c>
      <c r="D228" s="4">
        <v>46307.392824074101</v>
      </c>
      <c r="E228" s="5" t="s">
        <v>10</v>
      </c>
      <c r="F228" s="5" t="s">
        <v>16</v>
      </c>
      <c r="G228" s="5">
        <v>3</v>
      </c>
      <c r="H228" s="8" t="s">
        <v>12</v>
      </c>
      <c r="I228" t="s">
        <v>269</v>
      </c>
      <c r="K228" t="str">
        <f>+VLOOKUP(C228,'[1]TIENDAS 2025'!$A$1:$C$143,3,0)</f>
        <v>prioridad</v>
      </c>
      <c r="L228" t="str">
        <f>+VLOOKUP(C228,[2]Hoja1!$A$1:$B$138,2,0)</f>
        <v>APROBAR</v>
      </c>
      <c r="M228">
        <v>1</v>
      </c>
      <c r="N228" t="e">
        <v>#N/A</v>
      </c>
    </row>
    <row r="229" spans="1:14" ht="15" customHeight="1" x14ac:dyDescent="0.3">
      <c r="A229" s="3">
        <v>1209656947</v>
      </c>
      <c r="B229" s="3" t="s">
        <v>170</v>
      </c>
      <c r="C229" s="3" t="s">
        <v>171</v>
      </c>
      <c r="D229" s="4">
        <v>46307.392847222203</v>
      </c>
      <c r="E229" s="5" t="s">
        <v>10</v>
      </c>
      <c r="F229" s="5" t="s">
        <v>11</v>
      </c>
      <c r="G229" s="5">
        <v>17</v>
      </c>
      <c r="H229" s="6" t="s">
        <v>12</v>
      </c>
      <c r="I229" t="s">
        <v>270</v>
      </c>
      <c r="J229" t="s">
        <v>2480</v>
      </c>
      <c r="K229" t="str">
        <f>+VLOOKUP(C229,'[1]TIENDAS 2025'!$A$1:$C$143,3,0)</f>
        <v>departamental</v>
      </c>
      <c r="L229" t="str">
        <f>+VLOOKUP(C229,[2]Hoja1!$A$1:$B$138,2,0)</f>
        <v>APROBAR</v>
      </c>
      <c r="M229">
        <v>1</v>
      </c>
      <c r="N229" t="e">
        <v>#N/A</v>
      </c>
    </row>
    <row r="230" spans="1:14" ht="15" customHeight="1" x14ac:dyDescent="0.3">
      <c r="A230" s="3">
        <v>1209656979</v>
      </c>
      <c r="B230" s="3" t="s">
        <v>181</v>
      </c>
      <c r="C230" s="3" t="s">
        <v>182</v>
      </c>
      <c r="D230" s="4">
        <v>46307.392858796302</v>
      </c>
      <c r="E230" s="5" t="s">
        <v>10</v>
      </c>
      <c r="F230" s="5" t="s">
        <v>11</v>
      </c>
      <c r="G230" s="5">
        <v>14</v>
      </c>
      <c r="H230" s="6" t="s">
        <v>12</v>
      </c>
      <c r="I230" t="s">
        <v>271</v>
      </c>
      <c r="J230" t="s">
        <v>2480</v>
      </c>
      <c r="K230" t="str">
        <f>+VLOOKUP(C230,'[1]TIENDAS 2025'!$A$1:$C$143,3,0)</f>
        <v>local</v>
      </c>
      <c r="L230" t="str">
        <f>+VLOOKUP(C230,[2]Hoja1!$A$1:$B$138,2,0)</f>
        <v>APROBAR</v>
      </c>
      <c r="M230">
        <v>1</v>
      </c>
      <c r="N230" t="e">
        <v>#N/A</v>
      </c>
    </row>
    <row r="231" spans="1:14" ht="15" customHeight="1" x14ac:dyDescent="0.3">
      <c r="A231" s="3">
        <v>1209657004</v>
      </c>
      <c r="B231" s="3" t="s">
        <v>203</v>
      </c>
      <c r="C231" s="3" t="s">
        <v>204</v>
      </c>
      <c r="D231" s="4">
        <v>46307.3928703704</v>
      </c>
      <c r="E231" s="5" t="s">
        <v>10</v>
      </c>
      <c r="F231" s="5" t="s">
        <v>11</v>
      </c>
      <c r="G231" s="5">
        <v>20</v>
      </c>
      <c r="H231" s="6" t="s">
        <v>12</v>
      </c>
      <c r="I231" t="s">
        <v>272</v>
      </c>
      <c r="J231" t="s">
        <v>2480</v>
      </c>
      <c r="K231" t="str">
        <f>+VLOOKUP(C231,'[1]TIENDAS 2025'!$A$1:$C$143,3,0)</f>
        <v>local</v>
      </c>
      <c r="L231" t="str">
        <f>+VLOOKUP(C231,[2]Hoja1!$A$1:$B$138,2,0)</f>
        <v>APROBAR</v>
      </c>
      <c r="M231">
        <v>1</v>
      </c>
      <c r="N231" t="e">
        <v>#N/A</v>
      </c>
    </row>
    <row r="232" spans="1:14" ht="15" customHeight="1" x14ac:dyDescent="0.3">
      <c r="A232" s="3">
        <v>8209657043</v>
      </c>
      <c r="B232" s="3" t="s">
        <v>178</v>
      </c>
      <c r="C232" s="3" t="s">
        <v>179</v>
      </c>
      <c r="D232" s="4">
        <v>46307.392881944397</v>
      </c>
      <c r="E232" s="5" t="s">
        <v>10</v>
      </c>
      <c r="F232" s="5" t="s">
        <v>16</v>
      </c>
      <c r="G232" s="5">
        <v>2</v>
      </c>
      <c r="H232" s="8" t="s">
        <v>12</v>
      </c>
      <c r="I232" t="s">
        <v>273</v>
      </c>
      <c r="K232" t="str">
        <f>+VLOOKUP(C232,'[1]TIENDAS 2025'!$A$1:$C$143,3,0)</f>
        <v>local</v>
      </c>
      <c r="L232" t="str">
        <f>+VLOOKUP(C232,[2]Hoja1!$A$1:$B$138,2,0)</f>
        <v>APROBAR</v>
      </c>
      <c r="M232">
        <v>1</v>
      </c>
      <c r="N232" t="e">
        <v>#N/A</v>
      </c>
    </row>
    <row r="233" spans="1:14" ht="15" customHeight="1" x14ac:dyDescent="0.3">
      <c r="A233" s="3">
        <v>1209657106</v>
      </c>
      <c r="B233" s="3" t="s">
        <v>190</v>
      </c>
      <c r="C233" s="3" t="s">
        <v>191</v>
      </c>
      <c r="D233" s="4">
        <v>46307.392893518503</v>
      </c>
      <c r="E233" s="5" t="s">
        <v>10</v>
      </c>
      <c r="F233" s="5" t="s">
        <v>17</v>
      </c>
      <c r="G233" s="5">
        <v>3</v>
      </c>
      <c r="H233" s="6" t="s">
        <v>12</v>
      </c>
      <c r="I233" t="s">
        <v>274</v>
      </c>
      <c r="J233" t="s">
        <v>2480</v>
      </c>
      <c r="K233" t="str">
        <f>+VLOOKUP(C233,'[1]TIENDAS 2025'!$A$1:$C$143,3,0)</f>
        <v>local</v>
      </c>
      <c r="L233" t="str">
        <f>+VLOOKUP(C233,[2]Hoja1!$A$1:$B$138,2,0)</f>
        <v>APROBAR</v>
      </c>
      <c r="M233">
        <v>1</v>
      </c>
      <c r="N233" t="e">
        <v>#N/A</v>
      </c>
    </row>
    <row r="234" spans="1:14" ht="15" customHeight="1" x14ac:dyDescent="0.3">
      <c r="A234" s="3">
        <v>1209657109</v>
      </c>
      <c r="B234" s="3" t="s">
        <v>190</v>
      </c>
      <c r="C234" s="3" t="s">
        <v>191</v>
      </c>
      <c r="D234" s="4">
        <v>46307.392905092602</v>
      </c>
      <c r="E234" s="5" t="s">
        <v>10</v>
      </c>
      <c r="F234" s="5" t="s">
        <v>11</v>
      </c>
      <c r="G234" s="5">
        <v>18</v>
      </c>
      <c r="H234" s="6" t="s">
        <v>12</v>
      </c>
      <c r="I234" t="s">
        <v>275</v>
      </c>
      <c r="J234" t="s">
        <v>2480</v>
      </c>
      <c r="K234" t="str">
        <f>+VLOOKUP(C234,'[1]TIENDAS 2025'!$A$1:$C$143,3,0)</f>
        <v>local</v>
      </c>
      <c r="L234" t="str">
        <f>+VLOOKUP(C234,[2]Hoja1!$A$1:$B$138,2,0)</f>
        <v>APROBAR</v>
      </c>
      <c r="M234">
        <v>1</v>
      </c>
      <c r="N234" t="e">
        <v>#N/A</v>
      </c>
    </row>
    <row r="235" spans="1:14" ht="15" customHeight="1" x14ac:dyDescent="0.3">
      <c r="A235" s="3">
        <v>1209657226</v>
      </c>
      <c r="B235" s="3" t="s">
        <v>277</v>
      </c>
      <c r="C235" s="3" t="s">
        <v>278</v>
      </c>
      <c r="D235" s="4">
        <v>46307.395046296297</v>
      </c>
      <c r="E235" s="5" t="s">
        <v>10</v>
      </c>
      <c r="F235" s="5" t="s">
        <v>11</v>
      </c>
      <c r="G235" s="5">
        <v>16</v>
      </c>
      <c r="H235" s="6" t="s">
        <v>12</v>
      </c>
      <c r="I235" t="s">
        <v>276</v>
      </c>
      <c r="J235" t="s">
        <v>2480</v>
      </c>
      <c r="K235" t="str">
        <f>+VLOOKUP(C235,'[1]TIENDAS 2025'!$A$1:$C$143,3,0)</f>
        <v>local</v>
      </c>
      <c r="L235" t="str">
        <f>+VLOOKUP(C235,[2]Hoja1!$A$1:$B$138,2,0)</f>
        <v>APROBAR</v>
      </c>
      <c r="M235">
        <v>1</v>
      </c>
      <c r="N235" t="e">
        <v>#N/A</v>
      </c>
    </row>
    <row r="236" spans="1:14" ht="15" customHeight="1" x14ac:dyDescent="0.3">
      <c r="A236" s="3">
        <v>1209657249</v>
      </c>
      <c r="B236" s="3" t="s">
        <v>280</v>
      </c>
      <c r="C236" s="3" t="s">
        <v>281</v>
      </c>
      <c r="D236" s="4">
        <v>46307.395057870403</v>
      </c>
      <c r="E236" s="5" t="s">
        <v>10</v>
      </c>
      <c r="F236" s="5" t="s">
        <v>11</v>
      </c>
      <c r="G236" s="5">
        <v>22</v>
      </c>
      <c r="H236" s="6" t="s">
        <v>12</v>
      </c>
      <c r="I236" t="s">
        <v>279</v>
      </c>
      <c r="J236" t="s">
        <v>2480</v>
      </c>
      <c r="K236" t="str">
        <f>+VLOOKUP(C236,'[1]TIENDAS 2025'!$A$1:$C$143,3,0)</f>
        <v>local</v>
      </c>
      <c r="L236" t="str">
        <f>+VLOOKUP(C236,[2]Hoja1!$A$1:$B$138,2,0)</f>
        <v>APROBAR</v>
      </c>
      <c r="M236">
        <v>1</v>
      </c>
      <c r="N236" t="e">
        <v>#N/A</v>
      </c>
    </row>
    <row r="237" spans="1:14" ht="15" customHeight="1" x14ac:dyDescent="0.3">
      <c r="A237" s="3">
        <v>1209657276</v>
      </c>
      <c r="B237" s="3" t="s">
        <v>283</v>
      </c>
      <c r="C237" s="3" t="s">
        <v>284</v>
      </c>
      <c r="D237" s="4">
        <v>46307.395057870403</v>
      </c>
      <c r="E237" s="5" t="s">
        <v>10</v>
      </c>
      <c r="F237" s="5" t="s">
        <v>17</v>
      </c>
      <c r="G237" s="5">
        <v>42</v>
      </c>
      <c r="H237" s="6" t="s">
        <v>12</v>
      </c>
      <c r="I237" t="s">
        <v>282</v>
      </c>
      <c r="J237" t="s">
        <v>2480</v>
      </c>
      <c r="K237" t="str">
        <f>+VLOOKUP(C237,'[1]TIENDAS 2025'!$A$1:$C$143,3,0)</f>
        <v>local</v>
      </c>
      <c r="L237" t="str">
        <f>+VLOOKUP(C237,[2]Hoja1!$A$1:$B$138,2,0)</f>
        <v>APROBAR</v>
      </c>
      <c r="M237">
        <v>1</v>
      </c>
      <c r="N237" t="e">
        <v>#N/A</v>
      </c>
    </row>
    <row r="238" spans="1:14" ht="15" customHeight="1" x14ac:dyDescent="0.3">
      <c r="A238" s="3">
        <v>1209657236</v>
      </c>
      <c r="B238" s="3" t="s">
        <v>277</v>
      </c>
      <c r="C238" s="3" t="s">
        <v>278</v>
      </c>
      <c r="D238" s="4">
        <v>46307.395081018498</v>
      </c>
      <c r="E238" s="5" t="s">
        <v>10</v>
      </c>
      <c r="F238" s="5" t="s">
        <v>11</v>
      </c>
      <c r="G238" s="5">
        <v>4</v>
      </c>
      <c r="H238" s="6" t="s">
        <v>12</v>
      </c>
      <c r="I238" t="s">
        <v>285</v>
      </c>
      <c r="J238" t="s">
        <v>2480</v>
      </c>
      <c r="K238" t="str">
        <f>+VLOOKUP(C238,'[1]TIENDAS 2025'!$A$1:$C$143,3,0)</f>
        <v>local</v>
      </c>
      <c r="L238" t="str">
        <f>+VLOOKUP(C238,[2]Hoja1!$A$1:$B$138,2,0)</f>
        <v>APROBAR</v>
      </c>
      <c r="M238">
        <v>1</v>
      </c>
      <c r="N238" t="e">
        <v>#N/A</v>
      </c>
    </row>
    <row r="239" spans="1:14" ht="15" customHeight="1" x14ac:dyDescent="0.3">
      <c r="A239" s="3">
        <v>8209657264</v>
      </c>
      <c r="B239" s="3" t="s">
        <v>283</v>
      </c>
      <c r="C239" s="3" t="s">
        <v>284</v>
      </c>
      <c r="D239" s="4">
        <v>46307.395092592596</v>
      </c>
      <c r="E239" s="5" t="s">
        <v>10</v>
      </c>
      <c r="F239" s="5" t="s">
        <v>16</v>
      </c>
      <c r="G239" s="5">
        <v>4</v>
      </c>
      <c r="H239" s="8" t="s">
        <v>12</v>
      </c>
      <c r="I239" t="s">
        <v>286</v>
      </c>
      <c r="K239" t="str">
        <f>+VLOOKUP(C239,'[1]TIENDAS 2025'!$A$1:$C$143,3,0)</f>
        <v>local</v>
      </c>
      <c r="L239" t="str">
        <f>+VLOOKUP(C239,[2]Hoja1!$A$1:$B$138,2,0)</f>
        <v>APROBAR</v>
      </c>
      <c r="M239">
        <v>1</v>
      </c>
      <c r="N239" t="e">
        <v>#N/A</v>
      </c>
    </row>
    <row r="240" spans="1:14" ht="15" customHeight="1" x14ac:dyDescent="0.3">
      <c r="A240" s="3">
        <v>8209657199</v>
      </c>
      <c r="B240" s="3" t="s">
        <v>288</v>
      </c>
      <c r="C240" s="3" t="s">
        <v>289</v>
      </c>
      <c r="D240" s="4">
        <v>46307.395115740699</v>
      </c>
      <c r="E240" s="5" t="s">
        <v>10</v>
      </c>
      <c r="F240" s="5" t="s">
        <v>16</v>
      </c>
      <c r="G240" s="5">
        <v>1</v>
      </c>
      <c r="H240" s="8" t="s">
        <v>12</v>
      </c>
      <c r="I240" t="s">
        <v>287</v>
      </c>
      <c r="K240" t="str">
        <f>+VLOOKUP(C240,'[1]TIENDAS 2025'!$A$1:$C$143,3,0)</f>
        <v>prioridad</v>
      </c>
      <c r="L240" t="str">
        <f>+VLOOKUP(C240,[2]Hoja1!$A$1:$B$138,2,0)</f>
        <v>APROBAR</v>
      </c>
      <c r="M240">
        <v>1</v>
      </c>
      <c r="N240" t="e">
        <v>#N/A</v>
      </c>
    </row>
    <row r="241" spans="1:14" ht="15" customHeight="1" x14ac:dyDescent="0.3">
      <c r="A241" s="3">
        <v>1209657224</v>
      </c>
      <c r="B241" s="3" t="s">
        <v>277</v>
      </c>
      <c r="C241" s="3" t="s">
        <v>278</v>
      </c>
      <c r="D241" s="4">
        <v>46307.395127314798</v>
      </c>
      <c r="E241" s="5" t="s">
        <v>10</v>
      </c>
      <c r="F241" s="5" t="s">
        <v>11</v>
      </c>
      <c r="G241" s="5">
        <v>10</v>
      </c>
      <c r="H241" s="6" t="s">
        <v>12</v>
      </c>
      <c r="I241" t="s">
        <v>290</v>
      </c>
      <c r="J241" t="s">
        <v>2480</v>
      </c>
      <c r="K241" t="str">
        <f>+VLOOKUP(C241,'[1]TIENDAS 2025'!$A$1:$C$143,3,0)</f>
        <v>local</v>
      </c>
      <c r="L241" t="str">
        <f>+VLOOKUP(C241,[2]Hoja1!$A$1:$B$138,2,0)</f>
        <v>APROBAR</v>
      </c>
      <c r="M241">
        <v>1</v>
      </c>
      <c r="N241" t="e">
        <v>#N/A</v>
      </c>
    </row>
    <row r="242" spans="1:14" ht="15" customHeight="1" x14ac:dyDescent="0.3">
      <c r="A242" s="3">
        <v>1209657272</v>
      </c>
      <c r="B242" s="3" t="s">
        <v>283</v>
      </c>
      <c r="C242" s="3" t="s">
        <v>284</v>
      </c>
      <c r="D242" s="4">
        <v>46307.395127314798</v>
      </c>
      <c r="E242" s="5" t="s">
        <v>10</v>
      </c>
      <c r="F242" s="5" t="s">
        <v>17</v>
      </c>
      <c r="G242" s="5">
        <v>16</v>
      </c>
      <c r="H242" s="6" t="s">
        <v>12</v>
      </c>
      <c r="I242" t="s">
        <v>291</v>
      </c>
      <c r="J242" t="s">
        <v>2480</v>
      </c>
      <c r="K242" t="str">
        <f>+VLOOKUP(C242,'[1]TIENDAS 2025'!$A$1:$C$143,3,0)</f>
        <v>local</v>
      </c>
      <c r="L242" t="str">
        <f>+VLOOKUP(C242,[2]Hoja1!$A$1:$B$138,2,0)</f>
        <v>APROBAR</v>
      </c>
      <c r="M242">
        <v>1</v>
      </c>
      <c r="N242" t="e">
        <v>#N/A</v>
      </c>
    </row>
    <row r="243" spans="1:14" ht="15" customHeight="1" x14ac:dyDescent="0.3">
      <c r="A243" s="3">
        <v>1209657242</v>
      </c>
      <c r="B243" s="3" t="s">
        <v>280</v>
      </c>
      <c r="C243" s="3" t="s">
        <v>281</v>
      </c>
      <c r="D243" s="4">
        <v>46307.395150463002</v>
      </c>
      <c r="E243" s="5" t="s">
        <v>10</v>
      </c>
      <c r="F243" s="5" t="s">
        <v>11</v>
      </c>
      <c r="G243" s="5">
        <v>2</v>
      </c>
      <c r="H243" s="6" t="s">
        <v>12</v>
      </c>
      <c r="I243" t="s">
        <v>292</v>
      </c>
      <c r="J243" t="s">
        <v>2480</v>
      </c>
      <c r="K243" t="str">
        <f>+VLOOKUP(C243,'[1]TIENDAS 2025'!$A$1:$C$143,3,0)</f>
        <v>local</v>
      </c>
      <c r="L243" t="str">
        <f>+VLOOKUP(C243,[2]Hoja1!$A$1:$B$138,2,0)</f>
        <v>APROBAR</v>
      </c>
      <c r="M243">
        <v>1</v>
      </c>
      <c r="N243" t="e">
        <v>#N/A</v>
      </c>
    </row>
    <row r="244" spans="1:14" ht="15" customHeight="1" x14ac:dyDescent="0.3">
      <c r="A244" s="3">
        <v>1209657180</v>
      </c>
      <c r="B244" s="3" t="s">
        <v>294</v>
      </c>
      <c r="C244" s="3" t="s">
        <v>295</v>
      </c>
      <c r="D244" s="4">
        <v>46307.395162036999</v>
      </c>
      <c r="E244" s="5" t="s">
        <v>10</v>
      </c>
      <c r="F244" s="5" t="s">
        <v>11</v>
      </c>
      <c r="G244" s="5">
        <v>3</v>
      </c>
      <c r="H244" s="6" t="s">
        <v>12</v>
      </c>
      <c r="I244" t="s">
        <v>293</v>
      </c>
      <c r="J244" t="s">
        <v>2480</v>
      </c>
      <c r="K244" t="str">
        <f>+VLOOKUP(C244,'[1]TIENDAS 2025'!$A$1:$C$143,3,0)</f>
        <v>prioridad</v>
      </c>
      <c r="L244" t="str">
        <f>+VLOOKUP(C244,[2]Hoja1!$A$1:$B$138,2,0)</f>
        <v>APROBAR</v>
      </c>
      <c r="M244">
        <v>1</v>
      </c>
      <c r="N244" t="e">
        <v>#N/A</v>
      </c>
    </row>
    <row r="245" spans="1:14" ht="15" customHeight="1" x14ac:dyDescent="0.3">
      <c r="A245" s="3">
        <v>1209657181</v>
      </c>
      <c r="B245" s="3" t="s">
        <v>294</v>
      </c>
      <c r="C245" s="3" t="s">
        <v>295</v>
      </c>
      <c r="D245" s="4">
        <v>46307.395185185203</v>
      </c>
      <c r="E245" s="5" t="s">
        <v>10</v>
      </c>
      <c r="F245" s="5" t="s">
        <v>11</v>
      </c>
      <c r="G245" s="5">
        <v>6</v>
      </c>
      <c r="H245" s="6" t="s">
        <v>12</v>
      </c>
      <c r="I245" t="s">
        <v>296</v>
      </c>
      <c r="J245" t="s">
        <v>2480</v>
      </c>
      <c r="K245" t="str">
        <f>+VLOOKUP(C245,'[1]TIENDAS 2025'!$A$1:$C$143,3,0)</f>
        <v>prioridad</v>
      </c>
      <c r="L245" t="str">
        <f>+VLOOKUP(C245,[2]Hoja1!$A$1:$B$138,2,0)</f>
        <v>APROBAR</v>
      </c>
      <c r="M245">
        <v>1</v>
      </c>
      <c r="N245" t="e">
        <v>#N/A</v>
      </c>
    </row>
    <row r="246" spans="1:14" ht="15" customHeight="1" x14ac:dyDescent="0.3">
      <c r="A246" s="3">
        <v>1209657165</v>
      </c>
      <c r="B246" s="3" t="s">
        <v>298</v>
      </c>
      <c r="C246" s="3" t="s">
        <v>299</v>
      </c>
      <c r="D246" s="4">
        <v>46307.395185185203</v>
      </c>
      <c r="E246" s="5" t="s">
        <v>10</v>
      </c>
      <c r="F246" s="5" t="s">
        <v>11</v>
      </c>
      <c r="G246" s="5">
        <v>34</v>
      </c>
      <c r="H246" s="6" t="s">
        <v>12</v>
      </c>
      <c r="I246" t="s">
        <v>297</v>
      </c>
      <c r="J246" t="s">
        <v>2480</v>
      </c>
      <c r="K246" t="str">
        <f>+VLOOKUP(C246,'[1]TIENDAS 2025'!$A$1:$C$143,3,0)</f>
        <v>prioridad</v>
      </c>
      <c r="L246" t="str">
        <f>+VLOOKUP(C246,[2]Hoja1!$A$1:$B$138,2,0)</f>
        <v>APROBAR</v>
      </c>
      <c r="M246">
        <v>1</v>
      </c>
      <c r="N246" t="e">
        <v>#N/A</v>
      </c>
    </row>
    <row r="247" spans="1:14" ht="15" customHeight="1" x14ac:dyDescent="0.3">
      <c r="A247" s="3">
        <v>8209657123</v>
      </c>
      <c r="B247" s="3" t="s">
        <v>301</v>
      </c>
      <c r="C247" s="3" t="s">
        <v>302</v>
      </c>
      <c r="D247" s="4">
        <v>46307.395196759302</v>
      </c>
      <c r="E247" s="5" t="s">
        <v>10</v>
      </c>
      <c r="F247" s="5" t="s">
        <v>16</v>
      </c>
      <c r="G247" s="5">
        <v>5</v>
      </c>
      <c r="H247" s="8" t="s">
        <v>12</v>
      </c>
      <c r="I247" t="s">
        <v>300</v>
      </c>
      <c r="K247" t="str">
        <f>+VLOOKUP(C247,'[1]TIENDAS 2025'!$A$1:$C$143,3,0)</f>
        <v>prioridad</v>
      </c>
      <c r="L247" t="str">
        <f>+VLOOKUP(C247,[2]Hoja1!$A$1:$B$138,2,0)</f>
        <v>APROBAR</v>
      </c>
      <c r="M247">
        <v>1</v>
      </c>
      <c r="N247" t="e">
        <v>#N/A</v>
      </c>
    </row>
    <row r="248" spans="1:14" ht="15" customHeight="1" x14ac:dyDescent="0.3">
      <c r="A248" s="3">
        <v>1209657124</v>
      </c>
      <c r="B248" s="3" t="s">
        <v>301</v>
      </c>
      <c r="C248" s="3" t="s">
        <v>302</v>
      </c>
      <c r="D248" s="4">
        <v>46307.395219907397</v>
      </c>
      <c r="E248" s="5" t="s">
        <v>10</v>
      </c>
      <c r="F248" s="5" t="s">
        <v>17</v>
      </c>
      <c r="G248" s="5">
        <v>1</v>
      </c>
      <c r="H248" s="6" t="s">
        <v>12</v>
      </c>
      <c r="I248" t="s">
        <v>303</v>
      </c>
      <c r="J248" t="s">
        <v>2480</v>
      </c>
      <c r="K248" t="str">
        <f>+VLOOKUP(C248,'[1]TIENDAS 2025'!$A$1:$C$143,3,0)</f>
        <v>prioridad</v>
      </c>
      <c r="L248" t="str">
        <f>+VLOOKUP(C248,[2]Hoja1!$A$1:$B$138,2,0)</f>
        <v>APROBAR</v>
      </c>
      <c r="M248">
        <v>1</v>
      </c>
      <c r="N248" t="e">
        <v>#N/A</v>
      </c>
    </row>
    <row r="249" spans="1:14" ht="15" customHeight="1" x14ac:dyDescent="0.3">
      <c r="A249" s="3">
        <v>1209657132</v>
      </c>
      <c r="B249" s="3" t="s">
        <v>301</v>
      </c>
      <c r="C249" s="3" t="s">
        <v>302</v>
      </c>
      <c r="D249" s="4">
        <v>46307.395231481503</v>
      </c>
      <c r="E249" s="5" t="s">
        <v>10</v>
      </c>
      <c r="F249" s="5" t="s">
        <v>17</v>
      </c>
      <c r="G249" s="5">
        <v>22</v>
      </c>
      <c r="H249" s="6" t="s">
        <v>12</v>
      </c>
      <c r="I249" t="s">
        <v>304</v>
      </c>
      <c r="J249" t="s">
        <v>2480</v>
      </c>
      <c r="K249" t="str">
        <f>+VLOOKUP(C249,'[1]TIENDAS 2025'!$A$1:$C$143,3,0)</f>
        <v>prioridad</v>
      </c>
      <c r="L249" t="str">
        <f>+VLOOKUP(C249,[2]Hoja1!$A$1:$B$138,2,0)</f>
        <v>APROBAR</v>
      </c>
      <c r="M249">
        <v>1</v>
      </c>
      <c r="N249" t="e">
        <v>#N/A</v>
      </c>
    </row>
    <row r="250" spans="1:14" ht="15" customHeight="1" x14ac:dyDescent="0.3">
      <c r="A250" s="3">
        <v>1209657245</v>
      </c>
      <c r="B250" s="3" t="s">
        <v>280</v>
      </c>
      <c r="C250" s="3" t="s">
        <v>281</v>
      </c>
      <c r="D250" s="4">
        <v>46307.395254629599</v>
      </c>
      <c r="E250" s="5" t="s">
        <v>10</v>
      </c>
      <c r="F250" s="5" t="s">
        <v>11</v>
      </c>
      <c r="G250" s="5">
        <v>9</v>
      </c>
      <c r="H250" s="6" t="s">
        <v>12</v>
      </c>
      <c r="I250" t="s">
        <v>305</v>
      </c>
      <c r="J250" t="s">
        <v>2480</v>
      </c>
      <c r="K250" t="str">
        <f>+VLOOKUP(C250,'[1]TIENDAS 2025'!$A$1:$C$143,3,0)</f>
        <v>local</v>
      </c>
      <c r="L250" t="str">
        <f>+VLOOKUP(C250,[2]Hoja1!$A$1:$B$138,2,0)</f>
        <v>APROBAR</v>
      </c>
      <c r="M250">
        <v>1</v>
      </c>
      <c r="N250" t="e">
        <v>#N/A</v>
      </c>
    </row>
    <row r="251" spans="1:14" ht="15" customHeight="1" x14ac:dyDescent="0.3">
      <c r="A251" s="3">
        <v>1209657274</v>
      </c>
      <c r="B251" s="3" t="s">
        <v>283</v>
      </c>
      <c r="C251" s="3" t="s">
        <v>284</v>
      </c>
      <c r="D251" s="4">
        <v>46307.395254629599</v>
      </c>
      <c r="E251" s="5" t="s">
        <v>10</v>
      </c>
      <c r="F251" s="5" t="s">
        <v>11</v>
      </c>
      <c r="G251" s="5">
        <v>16</v>
      </c>
      <c r="H251" s="6" t="s">
        <v>12</v>
      </c>
      <c r="I251" t="s">
        <v>306</v>
      </c>
      <c r="J251" t="s">
        <v>2480</v>
      </c>
      <c r="K251" t="str">
        <f>+VLOOKUP(C251,'[1]TIENDAS 2025'!$A$1:$C$143,3,0)</f>
        <v>local</v>
      </c>
      <c r="L251" t="str">
        <f>+VLOOKUP(C251,[2]Hoja1!$A$1:$B$138,2,0)</f>
        <v>APROBAR</v>
      </c>
      <c r="M251">
        <v>1</v>
      </c>
      <c r="N251" t="e">
        <v>#N/A</v>
      </c>
    </row>
    <row r="252" spans="1:14" ht="15" customHeight="1" x14ac:dyDescent="0.3">
      <c r="A252" s="3">
        <v>8209657263</v>
      </c>
      <c r="B252" s="3" t="s">
        <v>283</v>
      </c>
      <c r="C252" s="3" t="s">
        <v>284</v>
      </c>
      <c r="D252" s="4">
        <v>46307.395277777803</v>
      </c>
      <c r="E252" s="5" t="s">
        <v>10</v>
      </c>
      <c r="F252" s="5" t="s">
        <v>16</v>
      </c>
      <c r="G252" s="5">
        <v>1</v>
      </c>
      <c r="H252" s="8" t="s">
        <v>12</v>
      </c>
      <c r="I252" t="s">
        <v>307</v>
      </c>
      <c r="K252" t="str">
        <f>+VLOOKUP(C252,'[1]TIENDAS 2025'!$A$1:$C$143,3,0)</f>
        <v>local</v>
      </c>
      <c r="L252" t="str">
        <f>+VLOOKUP(C252,[2]Hoja1!$A$1:$B$138,2,0)</f>
        <v>APROBAR</v>
      </c>
      <c r="M252">
        <v>1</v>
      </c>
      <c r="N252" t="e">
        <v>#N/A</v>
      </c>
    </row>
    <row r="253" spans="1:14" ht="15" customHeight="1" x14ac:dyDescent="0.3">
      <c r="A253" s="3">
        <v>1209657204</v>
      </c>
      <c r="B253" s="3" t="s">
        <v>288</v>
      </c>
      <c r="C253" s="3" t="s">
        <v>289</v>
      </c>
      <c r="D253" s="4">
        <v>46307.395289351902</v>
      </c>
      <c r="E253" s="5" t="s">
        <v>10</v>
      </c>
      <c r="F253" s="5" t="s">
        <v>11</v>
      </c>
      <c r="G253" s="5">
        <v>7</v>
      </c>
      <c r="H253" s="6" t="s">
        <v>12</v>
      </c>
      <c r="I253" t="s">
        <v>308</v>
      </c>
      <c r="J253" t="s">
        <v>2480</v>
      </c>
      <c r="K253" t="str">
        <f>+VLOOKUP(C253,'[1]TIENDAS 2025'!$A$1:$C$143,3,0)</f>
        <v>prioridad</v>
      </c>
      <c r="L253" t="str">
        <f>+VLOOKUP(C253,[2]Hoja1!$A$1:$B$138,2,0)</f>
        <v>APROBAR</v>
      </c>
      <c r="M253">
        <v>1</v>
      </c>
      <c r="N253" t="e">
        <v>#N/A</v>
      </c>
    </row>
    <row r="254" spans="1:14" ht="15" customHeight="1" x14ac:dyDescent="0.3">
      <c r="A254" s="3">
        <v>8209657223</v>
      </c>
      <c r="B254" s="3" t="s">
        <v>277</v>
      </c>
      <c r="C254" s="3" t="s">
        <v>278</v>
      </c>
      <c r="D254" s="4">
        <v>46307.395300925898</v>
      </c>
      <c r="E254" s="5" t="s">
        <v>10</v>
      </c>
      <c r="F254" s="5" t="s">
        <v>16</v>
      </c>
      <c r="G254" s="5">
        <v>5</v>
      </c>
      <c r="H254" s="8" t="s">
        <v>12</v>
      </c>
      <c r="I254" t="s">
        <v>309</v>
      </c>
      <c r="K254" t="str">
        <f>+VLOOKUP(C254,'[1]TIENDAS 2025'!$A$1:$C$143,3,0)</f>
        <v>local</v>
      </c>
      <c r="L254" t="str">
        <f>+VLOOKUP(C254,[2]Hoja1!$A$1:$B$138,2,0)</f>
        <v>APROBAR</v>
      </c>
      <c r="M254">
        <v>1</v>
      </c>
      <c r="N254" t="e">
        <v>#N/A</v>
      </c>
    </row>
    <row r="255" spans="1:14" ht="15" customHeight="1" x14ac:dyDescent="0.3">
      <c r="A255" s="3">
        <v>8209657240</v>
      </c>
      <c r="B255" s="3" t="s">
        <v>280</v>
      </c>
      <c r="C255" s="3" t="s">
        <v>281</v>
      </c>
      <c r="D255" s="4">
        <v>46307.395324074103</v>
      </c>
      <c r="E255" s="5" t="s">
        <v>10</v>
      </c>
      <c r="F255" s="5" t="s">
        <v>16</v>
      </c>
      <c r="G255" s="5">
        <v>1</v>
      </c>
      <c r="H255" s="8" t="s">
        <v>12</v>
      </c>
      <c r="I255" t="s">
        <v>310</v>
      </c>
      <c r="K255" t="str">
        <f>+VLOOKUP(C255,'[1]TIENDAS 2025'!$A$1:$C$143,3,0)</f>
        <v>local</v>
      </c>
      <c r="L255" t="str">
        <f>+VLOOKUP(C255,[2]Hoja1!$A$1:$B$138,2,0)</f>
        <v>APROBAR</v>
      </c>
      <c r="M255">
        <v>1</v>
      </c>
      <c r="N255" t="e">
        <v>#N/A</v>
      </c>
    </row>
    <row r="256" spans="1:14" ht="15" customHeight="1" x14ac:dyDescent="0.3">
      <c r="A256" s="3">
        <v>8209657241</v>
      </c>
      <c r="B256" s="3" t="s">
        <v>280</v>
      </c>
      <c r="C256" s="3" t="s">
        <v>281</v>
      </c>
      <c r="D256" s="4">
        <v>46307.395324074103</v>
      </c>
      <c r="E256" s="5" t="s">
        <v>10</v>
      </c>
      <c r="F256" s="5" t="s">
        <v>16</v>
      </c>
      <c r="G256" s="5">
        <v>5</v>
      </c>
      <c r="H256" s="8" t="s">
        <v>12</v>
      </c>
      <c r="I256" t="s">
        <v>311</v>
      </c>
      <c r="K256" t="str">
        <f>+VLOOKUP(C256,'[1]TIENDAS 2025'!$A$1:$C$143,3,0)</f>
        <v>local</v>
      </c>
      <c r="L256" t="str">
        <f>+VLOOKUP(C256,[2]Hoja1!$A$1:$B$138,2,0)</f>
        <v>APROBAR</v>
      </c>
      <c r="M256">
        <v>1</v>
      </c>
      <c r="N256" t="e">
        <v>#N/A</v>
      </c>
    </row>
    <row r="257" spans="1:14" ht="15" customHeight="1" x14ac:dyDescent="0.3">
      <c r="A257" s="3">
        <v>1209657244</v>
      </c>
      <c r="B257" s="3" t="s">
        <v>280</v>
      </c>
      <c r="C257" s="3" t="s">
        <v>281</v>
      </c>
      <c r="D257" s="4">
        <v>46307.395335648202</v>
      </c>
      <c r="E257" s="5" t="s">
        <v>10</v>
      </c>
      <c r="F257" s="5" t="s">
        <v>11</v>
      </c>
      <c r="G257" s="5">
        <v>4</v>
      </c>
      <c r="H257" s="6" t="s">
        <v>12</v>
      </c>
      <c r="I257" t="s">
        <v>312</v>
      </c>
      <c r="J257" t="s">
        <v>2480</v>
      </c>
      <c r="K257" t="str">
        <f>+VLOOKUP(C257,'[1]TIENDAS 2025'!$A$1:$C$143,3,0)</f>
        <v>local</v>
      </c>
      <c r="L257" t="str">
        <f>+VLOOKUP(C257,[2]Hoja1!$A$1:$B$138,2,0)</f>
        <v>APROBAR</v>
      </c>
      <c r="M257">
        <v>1</v>
      </c>
      <c r="N257" t="e">
        <v>#N/A</v>
      </c>
    </row>
    <row r="258" spans="1:14" ht="15" customHeight="1" x14ac:dyDescent="0.3">
      <c r="A258" s="3">
        <v>1209657273</v>
      </c>
      <c r="B258" s="3" t="s">
        <v>283</v>
      </c>
      <c r="C258" s="3" t="s">
        <v>284</v>
      </c>
      <c r="D258" s="4">
        <v>46307.395358796297</v>
      </c>
      <c r="E258" s="5" t="s">
        <v>10</v>
      </c>
      <c r="F258" s="5" t="s">
        <v>11</v>
      </c>
      <c r="G258" s="5">
        <v>19</v>
      </c>
      <c r="H258" s="6" t="s">
        <v>12</v>
      </c>
      <c r="I258" t="s">
        <v>313</v>
      </c>
      <c r="J258" t="s">
        <v>2480</v>
      </c>
      <c r="K258" t="str">
        <f>+VLOOKUP(C258,'[1]TIENDAS 2025'!$A$1:$C$143,3,0)</f>
        <v>local</v>
      </c>
      <c r="L258" t="str">
        <f>+VLOOKUP(C258,[2]Hoja1!$A$1:$B$138,2,0)</f>
        <v>APROBAR</v>
      </c>
      <c r="M258">
        <v>1</v>
      </c>
      <c r="N258" t="e">
        <v>#N/A</v>
      </c>
    </row>
    <row r="259" spans="1:14" ht="15" customHeight="1" x14ac:dyDescent="0.3">
      <c r="A259" s="3">
        <v>8209657151</v>
      </c>
      <c r="B259" s="3" t="s">
        <v>298</v>
      </c>
      <c r="C259" s="3" t="s">
        <v>299</v>
      </c>
      <c r="D259" s="4">
        <v>46307.395370370403</v>
      </c>
      <c r="E259" s="5" t="s">
        <v>10</v>
      </c>
      <c r="F259" s="5" t="s">
        <v>16</v>
      </c>
      <c r="G259" s="5">
        <v>3</v>
      </c>
      <c r="H259" s="8" t="s">
        <v>12</v>
      </c>
      <c r="I259" t="s">
        <v>314</v>
      </c>
      <c r="K259" t="str">
        <f>+VLOOKUP(C259,'[1]TIENDAS 2025'!$A$1:$C$143,3,0)</f>
        <v>prioridad</v>
      </c>
      <c r="L259" t="str">
        <f>+VLOOKUP(C259,[2]Hoja1!$A$1:$B$138,2,0)</f>
        <v>APROBAR</v>
      </c>
      <c r="M259">
        <v>1</v>
      </c>
      <c r="N259" t="e">
        <v>#N/A</v>
      </c>
    </row>
    <row r="260" spans="1:14" ht="15" customHeight="1" x14ac:dyDescent="0.3">
      <c r="A260" s="3">
        <v>1209657160</v>
      </c>
      <c r="B260" s="3" t="s">
        <v>298</v>
      </c>
      <c r="C260" s="3" t="s">
        <v>299</v>
      </c>
      <c r="D260" s="4">
        <v>46307.3953819444</v>
      </c>
      <c r="E260" s="5" t="s">
        <v>10</v>
      </c>
      <c r="F260" s="5" t="s">
        <v>11</v>
      </c>
      <c r="G260" s="5">
        <v>11</v>
      </c>
      <c r="H260" s="6" t="s">
        <v>12</v>
      </c>
      <c r="I260" t="s">
        <v>315</v>
      </c>
      <c r="J260" t="s">
        <v>2480</v>
      </c>
      <c r="K260" t="str">
        <f>+VLOOKUP(C260,'[1]TIENDAS 2025'!$A$1:$C$143,3,0)</f>
        <v>prioridad</v>
      </c>
      <c r="L260" t="str">
        <f>+VLOOKUP(C260,[2]Hoja1!$A$1:$B$138,2,0)</f>
        <v>APROBAR</v>
      </c>
      <c r="M260">
        <v>1</v>
      </c>
      <c r="N260" t="e">
        <v>#N/A</v>
      </c>
    </row>
    <row r="261" spans="1:14" ht="15" customHeight="1" x14ac:dyDescent="0.3">
      <c r="A261" s="3">
        <v>1209657164</v>
      </c>
      <c r="B261" s="3" t="s">
        <v>298</v>
      </c>
      <c r="C261" s="3" t="s">
        <v>299</v>
      </c>
      <c r="D261" s="4">
        <v>46307.395393518498</v>
      </c>
      <c r="E261" s="5" t="s">
        <v>10</v>
      </c>
      <c r="F261" s="5" t="s">
        <v>17</v>
      </c>
      <c r="G261" s="5">
        <v>29</v>
      </c>
      <c r="H261" s="6" t="s">
        <v>12</v>
      </c>
      <c r="I261" t="s">
        <v>316</v>
      </c>
      <c r="J261" t="s">
        <v>2480</v>
      </c>
      <c r="K261" t="str">
        <f>+VLOOKUP(C261,'[1]TIENDAS 2025'!$A$1:$C$143,3,0)</f>
        <v>prioridad</v>
      </c>
      <c r="L261" t="str">
        <f>+VLOOKUP(C261,[2]Hoja1!$A$1:$B$138,2,0)</f>
        <v>APROBAR</v>
      </c>
      <c r="M261">
        <v>1</v>
      </c>
      <c r="N261" t="e">
        <v>#N/A</v>
      </c>
    </row>
    <row r="262" spans="1:14" ht="15" customHeight="1" x14ac:dyDescent="0.3">
      <c r="A262" s="3">
        <v>1209657183</v>
      </c>
      <c r="B262" s="3" t="s">
        <v>294</v>
      </c>
      <c r="C262" s="3" t="s">
        <v>295</v>
      </c>
      <c r="D262" s="4">
        <v>46307.395405092597</v>
      </c>
      <c r="E262" s="5" t="s">
        <v>10</v>
      </c>
      <c r="F262" s="5" t="s">
        <v>11</v>
      </c>
      <c r="G262" s="5">
        <v>8</v>
      </c>
      <c r="H262" s="6" t="s">
        <v>12</v>
      </c>
      <c r="I262" t="s">
        <v>317</v>
      </c>
      <c r="J262" t="s">
        <v>2480</v>
      </c>
      <c r="K262" t="str">
        <f>+VLOOKUP(C262,'[1]TIENDAS 2025'!$A$1:$C$143,3,0)</f>
        <v>prioridad</v>
      </c>
      <c r="L262" t="str">
        <f>+VLOOKUP(C262,[2]Hoja1!$A$1:$B$138,2,0)</f>
        <v>APROBAR</v>
      </c>
      <c r="M262">
        <v>1</v>
      </c>
      <c r="N262" t="e">
        <v>#N/A</v>
      </c>
    </row>
    <row r="263" spans="1:14" ht="15" customHeight="1" x14ac:dyDescent="0.3">
      <c r="A263" s="3">
        <v>1209657139</v>
      </c>
      <c r="B263" s="3" t="s">
        <v>301</v>
      </c>
      <c r="C263" s="3" t="s">
        <v>302</v>
      </c>
      <c r="D263" s="4">
        <v>46307.395416666703</v>
      </c>
      <c r="E263" s="5" t="s">
        <v>10</v>
      </c>
      <c r="F263" s="5" t="s">
        <v>17</v>
      </c>
      <c r="G263" s="5">
        <v>11</v>
      </c>
      <c r="H263" s="6" t="s">
        <v>12</v>
      </c>
      <c r="I263" t="s">
        <v>318</v>
      </c>
      <c r="J263" t="s">
        <v>2480</v>
      </c>
      <c r="K263" t="str">
        <f>+VLOOKUP(C263,'[1]TIENDAS 2025'!$A$1:$C$143,3,0)</f>
        <v>prioridad</v>
      </c>
      <c r="L263" t="str">
        <f>+VLOOKUP(C263,[2]Hoja1!$A$1:$B$138,2,0)</f>
        <v>APROBAR</v>
      </c>
      <c r="M263">
        <v>1</v>
      </c>
      <c r="N263" t="e">
        <v>#N/A</v>
      </c>
    </row>
    <row r="264" spans="1:14" ht="15" customHeight="1" x14ac:dyDescent="0.3">
      <c r="A264" s="3">
        <v>1209657130</v>
      </c>
      <c r="B264" s="3" t="s">
        <v>301</v>
      </c>
      <c r="C264" s="3" t="s">
        <v>302</v>
      </c>
      <c r="D264" s="4">
        <v>46307.395439814798</v>
      </c>
      <c r="E264" s="5" t="s">
        <v>10</v>
      </c>
      <c r="F264" s="5" t="s">
        <v>11</v>
      </c>
      <c r="G264" s="5">
        <v>7</v>
      </c>
      <c r="H264" s="6" t="s">
        <v>12</v>
      </c>
      <c r="I264" t="s">
        <v>319</v>
      </c>
      <c r="J264" t="s">
        <v>2480</v>
      </c>
      <c r="K264" t="str">
        <f>+VLOOKUP(C264,'[1]TIENDAS 2025'!$A$1:$C$143,3,0)</f>
        <v>prioridad</v>
      </c>
      <c r="L264" t="str">
        <f>+VLOOKUP(C264,[2]Hoja1!$A$1:$B$138,2,0)</f>
        <v>APROBAR</v>
      </c>
      <c r="M264">
        <v>1</v>
      </c>
      <c r="N264" t="e">
        <v>#N/A</v>
      </c>
    </row>
    <row r="265" spans="1:14" ht="15" customHeight="1" x14ac:dyDescent="0.3">
      <c r="A265" s="3">
        <v>1209657250</v>
      </c>
      <c r="B265" s="3" t="s">
        <v>280</v>
      </c>
      <c r="C265" s="3" t="s">
        <v>281</v>
      </c>
      <c r="D265" s="4">
        <v>46307.395451388897</v>
      </c>
      <c r="E265" s="5" t="s">
        <v>10</v>
      </c>
      <c r="F265" s="5" t="s">
        <v>17</v>
      </c>
      <c r="G265" s="5">
        <v>21</v>
      </c>
      <c r="H265" s="6" t="s">
        <v>12</v>
      </c>
      <c r="I265" t="s">
        <v>320</v>
      </c>
      <c r="J265" t="s">
        <v>2480</v>
      </c>
      <c r="K265" t="str">
        <f>+VLOOKUP(C265,'[1]TIENDAS 2025'!$A$1:$C$143,3,0)</f>
        <v>local</v>
      </c>
      <c r="L265" t="str">
        <f>+VLOOKUP(C265,[2]Hoja1!$A$1:$B$138,2,0)</f>
        <v>APROBAR</v>
      </c>
      <c r="M265">
        <v>1</v>
      </c>
      <c r="N265" t="e">
        <v>#N/A</v>
      </c>
    </row>
    <row r="266" spans="1:14" ht="15" customHeight="1" x14ac:dyDescent="0.3">
      <c r="A266" s="3">
        <v>8209657265</v>
      </c>
      <c r="B266" s="3" t="s">
        <v>283</v>
      </c>
      <c r="C266" s="3" t="s">
        <v>284</v>
      </c>
      <c r="D266" s="4">
        <v>46307.395462963003</v>
      </c>
      <c r="E266" s="5" t="s">
        <v>10</v>
      </c>
      <c r="F266" s="5" t="s">
        <v>16</v>
      </c>
      <c r="G266" s="5">
        <v>1</v>
      </c>
      <c r="H266" s="8" t="s">
        <v>12</v>
      </c>
      <c r="I266" t="s">
        <v>321</v>
      </c>
      <c r="K266" t="str">
        <f>+VLOOKUP(C266,'[1]TIENDAS 2025'!$A$1:$C$143,3,0)</f>
        <v>local</v>
      </c>
      <c r="L266" t="str">
        <f>+VLOOKUP(C266,[2]Hoja1!$A$1:$B$138,2,0)</f>
        <v>APROBAR</v>
      </c>
      <c r="M266">
        <v>1</v>
      </c>
      <c r="N266" t="e">
        <v>#N/A</v>
      </c>
    </row>
    <row r="267" spans="1:14" ht="15" customHeight="1" x14ac:dyDescent="0.3">
      <c r="A267" s="3">
        <v>8209657266</v>
      </c>
      <c r="B267" s="3" t="s">
        <v>283</v>
      </c>
      <c r="C267" s="3" t="s">
        <v>284</v>
      </c>
      <c r="D267" s="4">
        <v>46307.395474536999</v>
      </c>
      <c r="E267" s="5" t="s">
        <v>10</v>
      </c>
      <c r="F267" s="5" t="s">
        <v>16</v>
      </c>
      <c r="G267" s="5">
        <v>52</v>
      </c>
      <c r="H267" s="8" t="s">
        <v>12</v>
      </c>
      <c r="I267" t="s">
        <v>322</v>
      </c>
      <c r="K267" t="str">
        <f>+VLOOKUP(C267,'[1]TIENDAS 2025'!$A$1:$C$143,3,0)</f>
        <v>local</v>
      </c>
      <c r="L267" t="str">
        <f>+VLOOKUP(C267,[2]Hoja1!$A$1:$B$138,2,0)</f>
        <v>APROBAR</v>
      </c>
      <c r="M267">
        <v>1</v>
      </c>
      <c r="N267" t="e">
        <v>#N/A</v>
      </c>
    </row>
    <row r="268" spans="1:14" ht="15" customHeight="1" x14ac:dyDescent="0.3">
      <c r="A268" s="3">
        <v>1209657237</v>
      </c>
      <c r="B268" s="3" t="s">
        <v>277</v>
      </c>
      <c r="C268" s="3" t="s">
        <v>278</v>
      </c>
      <c r="D268" s="4">
        <v>46307.395497685196</v>
      </c>
      <c r="E268" s="5" t="s">
        <v>10</v>
      </c>
      <c r="F268" s="5" t="s">
        <v>11</v>
      </c>
      <c r="G268" s="5">
        <v>33</v>
      </c>
      <c r="H268" s="6" t="s">
        <v>12</v>
      </c>
      <c r="I268" t="s">
        <v>323</v>
      </c>
      <c r="J268" t="s">
        <v>2480</v>
      </c>
      <c r="K268" t="str">
        <f>+VLOOKUP(C268,'[1]TIENDAS 2025'!$A$1:$C$143,3,0)</f>
        <v>local</v>
      </c>
      <c r="L268" t="str">
        <f>+VLOOKUP(C268,[2]Hoja1!$A$1:$B$138,2,0)</f>
        <v>APROBAR</v>
      </c>
      <c r="M268">
        <v>1</v>
      </c>
      <c r="N268" t="e">
        <v>#N/A</v>
      </c>
    </row>
    <row r="269" spans="1:14" ht="15" customHeight="1" x14ac:dyDescent="0.3">
      <c r="A269" s="3">
        <v>1209657206</v>
      </c>
      <c r="B269" s="3" t="s">
        <v>288</v>
      </c>
      <c r="C269" s="3" t="s">
        <v>289</v>
      </c>
      <c r="D269" s="4">
        <v>46307.395509259302</v>
      </c>
      <c r="E269" s="5" t="s">
        <v>10</v>
      </c>
      <c r="F269" s="5" t="s">
        <v>11</v>
      </c>
      <c r="G269" s="5">
        <v>12</v>
      </c>
      <c r="H269" s="6" t="s">
        <v>12</v>
      </c>
      <c r="I269" t="s">
        <v>324</v>
      </c>
      <c r="J269" t="s">
        <v>2480</v>
      </c>
      <c r="K269" t="str">
        <f>+VLOOKUP(C269,'[1]TIENDAS 2025'!$A$1:$C$143,3,0)</f>
        <v>prioridad</v>
      </c>
      <c r="L269" t="str">
        <f>+VLOOKUP(C269,[2]Hoja1!$A$1:$B$138,2,0)</f>
        <v>APROBAR</v>
      </c>
      <c r="M269">
        <v>1</v>
      </c>
      <c r="N269" t="e">
        <v>#N/A</v>
      </c>
    </row>
    <row r="270" spans="1:14" ht="15" customHeight="1" x14ac:dyDescent="0.3">
      <c r="A270" s="3">
        <v>1209657187</v>
      </c>
      <c r="B270" s="3" t="s">
        <v>294</v>
      </c>
      <c r="C270" s="3" t="s">
        <v>295</v>
      </c>
      <c r="D270" s="4">
        <v>46307.395520833299</v>
      </c>
      <c r="E270" s="5" t="s">
        <v>10</v>
      </c>
      <c r="F270" s="5" t="s">
        <v>11</v>
      </c>
      <c r="G270" s="5">
        <v>41</v>
      </c>
      <c r="H270" s="6" t="s">
        <v>12</v>
      </c>
      <c r="I270" t="s">
        <v>325</v>
      </c>
      <c r="J270" t="s">
        <v>2480</v>
      </c>
      <c r="K270" t="str">
        <f>+VLOOKUP(C270,'[1]TIENDAS 2025'!$A$1:$C$143,3,0)</f>
        <v>prioridad</v>
      </c>
      <c r="L270" t="str">
        <f>+VLOOKUP(C270,[2]Hoja1!$A$1:$B$138,2,0)</f>
        <v>APROBAR</v>
      </c>
      <c r="M270">
        <v>1</v>
      </c>
      <c r="N270" t="e">
        <v>#N/A</v>
      </c>
    </row>
    <row r="271" spans="1:14" ht="15" customHeight="1" x14ac:dyDescent="0.3">
      <c r="A271" s="3">
        <v>8209657152</v>
      </c>
      <c r="B271" s="3" t="s">
        <v>298</v>
      </c>
      <c r="C271" s="3" t="s">
        <v>299</v>
      </c>
      <c r="D271" s="4">
        <v>46307.395532407398</v>
      </c>
      <c r="E271" s="5" t="s">
        <v>10</v>
      </c>
      <c r="F271" s="5" t="s">
        <v>16</v>
      </c>
      <c r="G271" s="5">
        <v>5</v>
      </c>
      <c r="H271" s="8" t="s">
        <v>12</v>
      </c>
      <c r="I271" t="s">
        <v>326</v>
      </c>
      <c r="K271" t="str">
        <f>+VLOOKUP(C271,'[1]TIENDAS 2025'!$A$1:$C$143,3,0)</f>
        <v>prioridad</v>
      </c>
      <c r="L271" t="str">
        <f>+VLOOKUP(C271,[2]Hoja1!$A$1:$B$138,2,0)</f>
        <v>APROBAR</v>
      </c>
      <c r="M271">
        <v>1</v>
      </c>
      <c r="N271" t="e">
        <v>#N/A</v>
      </c>
    </row>
    <row r="272" spans="1:14" ht="15" customHeight="1" x14ac:dyDescent="0.3">
      <c r="A272" s="3">
        <v>1209657157</v>
      </c>
      <c r="B272" s="3" t="s">
        <v>298</v>
      </c>
      <c r="C272" s="3" t="s">
        <v>299</v>
      </c>
      <c r="D272" s="4">
        <v>46307.395543981504</v>
      </c>
      <c r="E272" s="5" t="s">
        <v>10</v>
      </c>
      <c r="F272" s="5" t="s">
        <v>11</v>
      </c>
      <c r="G272" s="5">
        <v>5</v>
      </c>
      <c r="H272" s="6" t="s">
        <v>12</v>
      </c>
      <c r="I272" t="s">
        <v>327</v>
      </c>
      <c r="J272" t="s">
        <v>2480</v>
      </c>
      <c r="K272" t="str">
        <f>+VLOOKUP(C272,'[1]TIENDAS 2025'!$A$1:$C$143,3,0)</f>
        <v>prioridad</v>
      </c>
      <c r="L272" t="str">
        <f>+VLOOKUP(C272,[2]Hoja1!$A$1:$B$138,2,0)</f>
        <v>APROBAR</v>
      </c>
      <c r="M272">
        <v>1</v>
      </c>
      <c r="N272" t="e">
        <v>#N/A</v>
      </c>
    </row>
    <row r="273" spans="1:14" ht="15" customHeight="1" x14ac:dyDescent="0.3">
      <c r="A273" s="3">
        <v>1209657158</v>
      </c>
      <c r="B273" s="3" t="s">
        <v>298</v>
      </c>
      <c r="C273" s="3" t="s">
        <v>299</v>
      </c>
      <c r="D273" s="4">
        <v>46307.395555555602</v>
      </c>
      <c r="E273" s="5" t="s">
        <v>10</v>
      </c>
      <c r="F273" s="5" t="s">
        <v>11</v>
      </c>
      <c r="G273" s="5">
        <v>7</v>
      </c>
      <c r="H273" s="6" t="s">
        <v>12</v>
      </c>
      <c r="I273" t="s">
        <v>328</v>
      </c>
      <c r="J273" t="s">
        <v>2480</v>
      </c>
      <c r="K273" t="str">
        <f>+VLOOKUP(C273,'[1]TIENDAS 2025'!$A$1:$C$143,3,0)</f>
        <v>prioridad</v>
      </c>
      <c r="L273" t="str">
        <f>+VLOOKUP(C273,[2]Hoja1!$A$1:$B$138,2,0)</f>
        <v>APROBAR</v>
      </c>
      <c r="M273">
        <v>1</v>
      </c>
      <c r="N273" t="e">
        <v>#N/A</v>
      </c>
    </row>
    <row r="274" spans="1:14" ht="15" customHeight="1" x14ac:dyDescent="0.3">
      <c r="A274" s="3">
        <v>1209657179</v>
      </c>
      <c r="B274" s="3" t="s">
        <v>294</v>
      </c>
      <c r="C274" s="3" t="s">
        <v>295</v>
      </c>
      <c r="D274" s="4">
        <v>46307.395578703698</v>
      </c>
      <c r="E274" s="5" t="s">
        <v>10</v>
      </c>
      <c r="F274" s="5" t="s">
        <v>11</v>
      </c>
      <c r="G274" s="5">
        <v>1</v>
      </c>
      <c r="H274" s="6" t="s">
        <v>12</v>
      </c>
      <c r="I274" t="s">
        <v>329</v>
      </c>
      <c r="J274" t="s">
        <v>2480</v>
      </c>
      <c r="K274" t="str">
        <f>+VLOOKUP(C274,'[1]TIENDAS 2025'!$A$1:$C$143,3,0)</f>
        <v>prioridad</v>
      </c>
      <c r="L274" t="str">
        <f>+VLOOKUP(C274,[2]Hoja1!$A$1:$B$138,2,0)</f>
        <v>APROBAR</v>
      </c>
      <c r="M274">
        <v>1</v>
      </c>
      <c r="N274" t="e">
        <v>#N/A</v>
      </c>
    </row>
    <row r="275" spans="1:14" ht="15" customHeight="1" x14ac:dyDescent="0.3">
      <c r="A275" s="3">
        <v>8209657121</v>
      </c>
      <c r="B275" s="3" t="s">
        <v>301</v>
      </c>
      <c r="C275" s="3" t="s">
        <v>302</v>
      </c>
      <c r="D275" s="4">
        <v>46307.395590277803</v>
      </c>
      <c r="E275" s="5" t="s">
        <v>10</v>
      </c>
      <c r="F275" s="5" t="s">
        <v>16</v>
      </c>
      <c r="G275" s="5">
        <v>1</v>
      </c>
      <c r="H275" s="8" t="s">
        <v>12</v>
      </c>
      <c r="I275" t="s">
        <v>330</v>
      </c>
      <c r="K275" t="str">
        <f>+VLOOKUP(C275,'[1]TIENDAS 2025'!$A$1:$C$143,3,0)</f>
        <v>prioridad</v>
      </c>
      <c r="L275" t="str">
        <f>+VLOOKUP(C275,[2]Hoja1!$A$1:$B$138,2,0)</f>
        <v>APROBAR</v>
      </c>
      <c r="M275">
        <v>1</v>
      </c>
      <c r="N275" t="e">
        <v>#N/A</v>
      </c>
    </row>
    <row r="276" spans="1:14" ht="15" customHeight="1" x14ac:dyDescent="0.3">
      <c r="A276" s="3">
        <v>1209657129</v>
      </c>
      <c r="B276" s="3" t="s">
        <v>301</v>
      </c>
      <c r="C276" s="3" t="s">
        <v>302</v>
      </c>
      <c r="D276" s="4">
        <v>46307.395601851902</v>
      </c>
      <c r="E276" s="5" t="s">
        <v>10</v>
      </c>
      <c r="F276" s="5" t="s">
        <v>11</v>
      </c>
      <c r="G276" s="5">
        <v>8</v>
      </c>
      <c r="H276" s="6" t="s">
        <v>12</v>
      </c>
      <c r="I276" t="s">
        <v>331</v>
      </c>
      <c r="J276" t="s">
        <v>2480</v>
      </c>
      <c r="K276" t="str">
        <f>+VLOOKUP(C276,'[1]TIENDAS 2025'!$A$1:$C$143,3,0)</f>
        <v>prioridad</v>
      </c>
      <c r="L276" t="str">
        <f>+VLOOKUP(C276,[2]Hoja1!$A$1:$B$138,2,0)</f>
        <v>APROBAR</v>
      </c>
      <c r="M276">
        <v>1</v>
      </c>
      <c r="N276" t="e">
        <v>#N/A</v>
      </c>
    </row>
    <row r="277" spans="1:14" ht="15" customHeight="1" x14ac:dyDescent="0.3">
      <c r="A277" s="3">
        <v>1209657246</v>
      </c>
      <c r="B277" s="3" t="s">
        <v>280</v>
      </c>
      <c r="C277" s="3" t="s">
        <v>281</v>
      </c>
      <c r="D277" s="4">
        <v>46307.395613425899</v>
      </c>
      <c r="E277" s="5" t="s">
        <v>10</v>
      </c>
      <c r="F277" s="5" t="s">
        <v>11</v>
      </c>
      <c r="G277" s="5">
        <v>11</v>
      </c>
      <c r="H277" s="6" t="s">
        <v>12</v>
      </c>
      <c r="I277" t="s">
        <v>332</v>
      </c>
      <c r="J277" t="s">
        <v>2480</v>
      </c>
      <c r="K277" t="str">
        <f>+VLOOKUP(C277,'[1]TIENDAS 2025'!$A$1:$C$143,3,0)</f>
        <v>local</v>
      </c>
      <c r="L277" t="str">
        <f>+VLOOKUP(C277,[2]Hoja1!$A$1:$B$138,2,0)</f>
        <v>APROBAR</v>
      </c>
      <c r="M277">
        <v>1</v>
      </c>
      <c r="N277" t="e">
        <v>#N/A</v>
      </c>
    </row>
    <row r="278" spans="1:14" ht="15" customHeight="1" x14ac:dyDescent="0.3">
      <c r="A278" s="3">
        <v>1209657227</v>
      </c>
      <c r="B278" s="3" t="s">
        <v>277</v>
      </c>
      <c r="C278" s="3" t="s">
        <v>278</v>
      </c>
      <c r="D278" s="4">
        <v>46307.395624999997</v>
      </c>
      <c r="E278" s="5" t="s">
        <v>10</v>
      </c>
      <c r="F278" s="5" t="s">
        <v>11</v>
      </c>
      <c r="G278" s="5">
        <v>12</v>
      </c>
      <c r="H278" s="6" t="s">
        <v>12</v>
      </c>
      <c r="I278" t="s">
        <v>333</v>
      </c>
      <c r="J278" t="s">
        <v>2480</v>
      </c>
      <c r="K278" t="str">
        <f>+VLOOKUP(C278,'[1]TIENDAS 2025'!$A$1:$C$143,3,0)</f>
        <v>local</v>
      </c>
      <c r="L278" t="str">
        <f>+VLOOKUP(C278,[2]Hoja1!$A$1:$B$138,2,0)</f>
        <v>APROBAR</v>
      </c>
      <c r="M278">
        <v>1</v>
      </c>
      <c r="N278" t="e">
        <v>#N/A</v>
      </c>
    </row>
    <row r="279" spans="1:14" ht="15" customHeight="1" x14ac:dyDescent="0.3">
      <c r="A279" s="3">
        <v>1209657270</v>
      </c>
      <c r="B279" s="3" t="s">
        <v>283</v>
      </c>
      <c r="C279" s="3" t="s">
        <v>284</v>
      </c>
      <c r="D279" s="4">
        <v>46307.395648148202</v>
      </c>
      <c r="E279" s="5" t="s">
        <v>10</v>
      </c>
      <c r="F279" s="5" t="s">
        <v>17</v>
      </c>
      <c r="G279" s="5">
        <v>10</v>
      </c>
      <c r="H279" s="6" t="s">
        <v>12</v>
      </c>
      <c r="I279" t="s">
        <v>334</v>
      </c>
      <c r="J279" t="s">
        <v>2480</v>
      </c>
      <c r="K279" t="str">
        <f>+VLOOKUP(C279,'[1]TIENDAS 2025'!$A$1:$C$143,3,0)</f>
        <v>local</v>
      </c>
      <c r="L279" t="str">
        <f>+VLOOKUP(C279,[2]Hoja1!$A$1:$B$138,2,0)</f>
        <v>APROBAR</v>
      </c>
      <c r="M279">
        <v>1</v>
      </c>
      <c r="N279" t="e">
        <v>#N/A</v>
      </c>
    </row>
    <row r="280" spans="1:14" ht="15" customHeight="1" x14ac:dyDescent="0.3">
      <c r="A280" s="3">
        <v>1209657205</v>
      </c>
      <c r="B280" s="3" t="s">
        <v>288</v>
      </c>
      <c r="C280" s="3" t="s">
        <v>289</v>
      </c>
      <c r="D280" s="4">
        <v>46307.395659722199</v>
      </c>
      <c r="E280" s="5" t="s">
        <v>10</v>
      </c>
      <c r="F280" s="5" t="s">
        <v>11</v>
      </c>
      <c r="G280" s="5">
        <v>11</v>
      </c>
      <c r="H280" s="6" t="s">
        <v>12</v>
      </c>
      <c r="I280" t="s">
        <v>335</v>
      </c>
      <c r="J280" t="s">
        <v>2480</v>
      </c>
      <c r="K280" t="str">
        <f>+VLOOKUP(C280,'[1]TIENDAS 2025'!$A$1:$C$143,3,0)</f>
        <v>prioridad</v>
      </c>
      <c r="L280" t="str">
        <f>+VLOOKUP(C280,[2]Hoja1!$A$1:$B$138,2,0)</f>
        <v>APROBAR</v>
      </c>
      <c r="M280">
        <v>1</v>
      </c>
      <c r="N280" t="e">
        <v>#N/A</v>
      </c>
    </row>
    <row r="281" spans="1:14" ht="15" customHeight="1" x14ac:dyDescent="0.3">
      <c r="A281" s="3">
        <v>8209657153</v>
      </c>
      <c r="B281" s="3" t="s">
        <v>298</v>
      </c>
      <c r="C281" s="3" t="s">
        <v>299</v>
      </c>
      <c r="D281" s="4">
        <v>46307.395659722199</v>
      </c>
      <c r="E281" s="5" t="s">
        <v>10</v>
      </c>
      <c r="F281" s="5" t="s">
        <v>16</v>
      </c>
      <c r="G281" s="5">
        <v>2</v>
      </c>
      <c r="H281" s="8" t="s">
        <v>12</v>
      </c>
      <c r="I281" t="s">
        <v>336</v>
      </c>
      <c r="K281" t="str">
        <f>+VLOOKUP(C281,'[1]TIENDAS 2025'!$A$1:$C$143,3,0)</f>
        <v>prioridad</v>
      </c>
      <c r="L281" t="str">
        <f>+VLOOKUP(C281,[2]Hoja1!$A$1:$B$138,2,0)</f>
        <v>APROBAR</v>
      </c>
      <c r="M281">
        <v>1</v>
      </c>
      <c r="N281" t="e">
        <v>#N/A</v>
      </c>
    </row>
    <row r="282" spans="1:14" ht="15" customHeight="1" x14ac:dyDescent="0.3">
      <c r="A282" s="3">
        <v>8209657177</v>
      </c>
      <c r="B282" s="3" t="s">
        <v>294</v>
      </c>
      <c r="C282" s="3" t="s">
        <v>295</v>
      </c>
      <c r="D282" s="4">
        <v>46307.395682870403</v>
      </c>
      <c r="E282" s="5" t="s">
        <v>10</v>
      </c>
      <c r="F282" s="5" t="s">
        <v>16</v>
      </c>
      <c r="G282" s="5">
        <v>5</v>
      </c>
      <c r="H282" s="8" t="s">
        <v>12</v>
      </c>
      <c r="I282" t="s">
        <v>337</v>
      </c>
      <c r="K282" t="str">
        <f>+VLOOKUP(C282,'[1]TIENDAS 2025'!$A$1:$C$143,3,0)</f>
        <v>prioridad</v>
      </c>
      <c r="L282" t="str">
        <f>+VLOOKUP(C282,[2]Hoja1!$A$1:$B$138,2,0)</f>
        <v>APROBAR</v>
      </c>
      <c r="M282">
        <v>1</v>
      </c>
      <c r="N282" t="e">
        <v>#N/A</v>
      </c>
    </row>
    <row r="283" spans="1:14" ht="15" customHeight="1" x14ac:dyDescent="0.3">
      <c r="A283" s="3">
        <v>1209657182</v>
      </c>
      <c r="B283" s="3" t="s">
        <v>294</v>
      </c>
      <c r="C283" s="3" t="s">
        <v>295</v>
      </c>
      <c r="D283" s="4">
        <v>46307.3956944444</v>
      </c>
      <c r="E283" s="5" t="s">
        <v>10</v>
      </c>
      <c r="F283" s="5" t="s">
        <v>11</v>
      </c>
      <c r="G283" s="5">
        <v>7</v>
      </c>
      <c r="H283" s="6" t="s">
        <v>12</v>
      </c>
      <c r="I283" t="s">
        <v>338</v>
      </c>
      <c r="J283" t="s">
        <v>2480</v>
      </c>
      <c r="K283" t="str">
        <f>+VLOOKUP(C283,'[1]TIENDAS 2025'!$A$1:$C$143,3,0)</f>
        <v>prioridad</v>
      </c>
      <c r="L283" t="str">
        <f>+VLOOKUP(C283,[2]Hoja1!$A$1:$B$138,2,0)</f>
        <v>APROBAR</v>
      </c>
      <c r="M283">
        <v>1</v>
      </c>
      <c r="N283" t="e">
        <v>#N/A</v>
      </c>
    </row>
    <row r="284" spans="1:14" ht="15" customHeight="1" x14ac:dyDescent="0.3">
      <c r="A284" s="3">
        <v>1209657210</v>
      </c>
      <c r="B284" s="3" t="s">
        <v>288</v>
      </c>
      <c r="C284" s="3" t="s">
        <v>289</v>
      </c>
      <c r="D284" s="4">
        <v>46307.395717592597</v>
      </c>
      <c r="E284" s="5" t="s">
        <v>10</v>
      </c>
      <c r="F284" s="5" t="s">
        <v>11</v>
      </c>
      <c r="G284" s="5">
        <v>35</v>
      </c>
      <c r="H284" s="6" t="s">
        <v>12</v>
      </c>
      <c r="I284" t="s">
        <v>339</v>
      </c>
      <c r="J284" t="s">
        <v>2480</v>
      </c>
      <c r="K284" t="str">
        <f>+VLOOKUP(C284,'[1]TIENDAS 2025'!$A$1:$C$143,3,0)</f>
        <v>prioridad</v>
      </c>
      <c r="L284" t="str">
        <f>+VLOOKUP(C284,[2]Hoja1!$A$1:$B$138,2,0)</f>
        <v>APROBAR</v>
      </c>
      <c r="M284">
        <v>1</v>
      </c>
      <c r="N284" t="e">
        <v>#N/A</v>
      </c>
    </row>
    <row r="285" spans="1:14" ht="15" customHeight="1" x14ac:dyDescent="0.3">
      <c r="A285" s="3">
        <v>8209657219</v>
      </c>
      <c r="B285" s="3" t="s">
        <v>277</v>
      </c>
      <c r="C285" s="3" t="s">
        <v>278</v>
      </c>
      <c r="D285" s="4">
        <v>46307.395729166703</v>
      </c>
      <c r="E285" s="5" t="s">
        <v>10</v>
      </c>
      <c r="F285" s="5" t="s">
        <v>16</v>
      </c>
      <c r="G285" s="5">
        <v>5</v>
      </c>
      <c r="H285" s="8" t="s">
        <v>12</v>
      </c>
      <c r="I285" t="s">
        <v>340</v>
      </c>
      <c r="K285" t="str">
        <f>+VLOOKUP(C285,'[1]TIENDAS 2025'!$A$1:$C$143,3,0)</f>
        <v>local</v>
      </c>
      <c r="L285" t="str">
        <f>+VLOOKUP(C285,[2]Hoja1!$A$1:$B$138,2,0)</f>
        <v>APROBAR</v>
      </c>
      <c r="M285">
        <v>1</v>
      </c>
      <c r="N285" t="e">
        <v>#N/A</v>
      </c>
    </row>
    <row r="286" spans="1:14" ht="15" customHeight="1" x14ac:dyDescent="0.3">
      <c r="A286" s="3">
        <v>8209657200</v>
      </c>
      <c r="B286" s="3" t="s">
        <v>288</v>
      </c>
      <c r="C286" s="3" t="s">
        <v>289</v>
      </c>
      <c r="D286" s="4">
        <v>46307.3957407407</v>
      </c>
      <c r="E286" s="5" t="s">
        <v>10</v>
      </c>
      <c r="F286" s="5" t="s">
        <v>16</v>
      </c>
      <c r="G286" s="5">
        <v>4</v>
      </c>
      <c r="H286" s="8" t="s">
        <v>12</v>
      </c>
      <c r="I286" t="s">
        <v>341</v>
      </c>
      <c r="K286" t="str">
        <f>+VLOOKUP(C286,'[1]TIENDAS 2025'!$A$1:$C$143,3,0)</f>
        <v>prioridad</v>
      </c>
      <c r="L286" t="str">
        <f>+VLOOKUP(C286,[2]Hoja1!$A$1:$B$138,2,0)</f>
        <v>APROBAR</v>
      </c>
      <c r="M286">
        <v>1</v>
      </c>
      <c r="N286" t="e">
        <v>#N/A</v>
      </c>
    </row>
    <row r="287" spans="1:14" ht="15" customHeight="1" x14ac:dyDescent="0.3">
      <c r="A287" s="3">
        <v>1209657238</v>
      </c>
      <c r="B287" s="3" t="s">
        <v>277</v>
      </c>
      <c r="C287" s="3" t="s">
        <v>278</v>
      </c>
      <c r="D287" s="4">
        <v>46307.395752314798</v>
      </c>
      <c r="E287" s="5" t="s">
        <v>10</v>
      </c>
      <c r="F287" s="5" t="s">
        <v>11</v>
      </c>
      <c r="G287" s="5">
        <v>36</v>
      </c>
      <c r="H287" s="6" t="s">
        <v>12</v>
      </c>
      <c r="I287" t="s">
        <v>342</v>
      </c>
      <c r="J287" t="s">
        <v>2480</v>
      </c>
      <c r="K287" t="str">
        <f>+VLOOKUP(C287,'[1]TIENDAS 2025'!$A$1:$C$143,3,0)</f>
        <v>local</v>
      </c>
      <c r="L287" t="str">
        <f>+VLOOKUP(C287,[2]Hoja1!$A$1:$B$138,2,0)</f>
        <v>APROBAR</v>
      </c>
      <c r="M287">
        <v>1</v>
      </c>
      <c r="N287" t="e">
        <v>#N/A</v>
      </c>
    </row>
    <row r="288" spans="1:14" ht="15" customHeight="1" x14ac:dyDescent="0.3">
      <c r="A288" s="3">
        <v>1209657243</v>
      </c>
      <c r="B288" s="3" t="s">
        <v>280</v>
      </c>
      <c r="C288" s="3" t="s">
        <v>281</v>
      </c>
      <c r="D288" s="4">
        <v>46307.395763888897</v>
      </c>
      <c r="E288" s="5" t="s">
        <v>10</v>
      </c>
      <c r="F288" s="5" t="s">
        <v>11</v>
      </c>
      <c r="G288" s="5">
        <v>6</v>
      </c>
      <c r="H288" s="6" t="s">
        <v>12</v>
      </c>
      <c r="I288" t="s">
        <v>343</v>
      </c>
      <c r="J288" t="s">
        <v>2480</v>
      </c>
      <c r="K288" t="str">
        <f>+VLOOKUP(C288,'[1]TIENDAS 2025'!$A$1:$C$143,3,0)</f>
        <v>local</v>
      </c>
      <c r="L288" t="str">
        <f>+VLOOKUP(C288,[2]Hoja1!$A$1:$B$138,2,0)</f>
        <v>APROBAR</v>
      </c>
      <c r="M288">
        <v>1</v>
      </c>
      <c r="N288" t="e">
        <v>#N/A</v>
      </c>
    </row>
    <row r="289" spans="1:14" ht="15" customHeight="1" x14ac:dyDescent="0.3">
      <c r="A289" s="3">
        <v>1209657186</v>
      </c>
      <c r="B289" s="3" t="s">
        <v>294</v>
      </c>
      <c r="C289" s="3" t="s">
        <v>295</v>
      </c>
      <c r="D289" s="4">
        <v>46307.395787037</v>
      </c>
      <c r="E289" s="5" t="s">
        <v>10</v>
      </c>
      <c r="F289" s="5" t="s">
        <v>17</v>
      </c>
      <c r="G289" s="5">
        <v>26</v>
      </c>
      <c r="H289" s="6" t="s">
        <v>12</v>
      </c>
      <c r="I289" t="s">
        <v>344</v>
      </c>
      <c r="J289" t="s">
        <v>2480</v>
      </c>
      <c r="K289" t="str">
        <f>+VLOOKUP(C289,'[1]TIENDAS 2025'!$A$1:$C$143,3,0)</f>
        <v>prioridad</v>
      </c>
      <c r="L289" t="str">
        <f>+VLOOKUP(C289,[2]Hoja1!$A$1:$B$138,2,0)</f>
        <v>APROBAR</v>
      </c>
      <c r="M289">
        <v>1</v>
      </c>
      <c r="N289" t="e">
        <v>#N/A</v>
      </c>
    </row>
    <row r="290" spans="1:14" ht="15" customHeight="1" x14ac:dyDescent="0.3">
      <c r="A290" s="3">
        <v>8209657154</v>
      </c>
      <c r="B290" s="3" t="s">
        <v>298</v>
      </c>
      <c r="C290" s="3" t="s">
        <v>299</v>
      </c>
      <c r="D290" s="4">
        <v>46307.395798611098</v>
      </c>
      <c r="E290" s="5" t="s">
        <v>10</v>
      </c>
      <c r="F290" s="5" t="s">
        <v>16</v>
      </c>
      <c r="G290" s="5">
        <v>7</v>
      </c>
      <c r="H290" s="8" t="s">
        <v>12</v>
      </c>
      <c r="I290" t="s">
        <v>345</v>
      </c>
      <c r="K290" t="str">
        <f>+VLOOKUP(C290,'[1]TIENDAS 2025'!$A$1:$C$143,3,0)</f>
        <v>prioridad</v>
      </c>
      <c r="L290" t="str">
        <f>+VLOOKUP(C290,[2]Hoja1!$A$1:$B$138,2,0)</f>
        <v>APROBAR</v>
      </c>
      <c r="M290">
        <v>1</v>
      </c>
      <c r="N290" t="e">
        <v>#N/A</v>
      </c>
    </row>
    <row r="291" spans="1:14" ht="15" customHeight="1" x14ac:dyDescent="0.3">
      <c r="A291" s="3">
        <v>8209657155</v>
      </c>
      <c r="B291" s="3" t="s">
        <v>298</v>
      </c>
      <c r="C291" s="3" t="s">
        <v>299</v>
      </c>
      <c r="D291" s="4">
        <v>46307.395810185197</v>
      </c>
      <c r="E291" s="5" t="s">
        <v>10</v>
      </c>
      <c r="F291" s="5" t="s">
        <v>16</v>
      </c>
      <c r="G291" s="5">
        <v>5</v>
      </c>
      <c r="H291" s="8" t="s">
        <v>12</v>
      </c>
      <c r="I291" t="s">
        <v>346</v>
      </c>
      <c r="K291" t="str">
        <f>+VLOOKUP(C291,'[1]TIENDAS 2025'!$A$1:$C$143,3,0)</f>
        <v>prioridad</v>
      </c>
      <c r="L291" t="str">
        <f>+VLOOKUP(C291,[2]Hoja1!$A$1:$B$138,2,0)</f>
        <v>APROBAR</v>
      </c>
      <c r="M291">
        <v>1</v>
      </c>
      <c r="N291" t="e">
        <v>#N/A</v>
      </c>
    </row>
    <row r="292" spans="1:14" ht="15" customHeight="1" x14ac:dyDescent="0.3">
      <c r="A292" s="3">
        <v>1209657156</v>
      </c>
      <c r="B292" s="3" t="s">
        <v>298</v>
      </c>
      <c r="C292" s="3" t="s">
        <v>299</v>
      </c>
      <c r="D292" s="4">
        <v>46307.395821759303</v>
      </c>
      <c r="E292" s="5" t="s">
        <v>10</v>
      </c>
      <c r="F292" s="5" t="s">
        <v>11</v>
      </c>
      <c r="G292" s="5">
        <v>1</v>
      </c>
      <c r="H292" s="6" t="s">
        <v>12</v>
      </c>
      <c r="I292" t="s">
        <v>347</v>
      </c>
      <c r="J292" t="s">
        <v>2480</v>
      </c>
      <c r="K292" t="str">
        <f>+VLOOKUP(C292,'[1]TIENDAS 2025'!$A$1:$C$143,3,0)</f>
        <v>prioridad</v>
      </c>
      <c r="L292" t="str">
        <f>+VLOOKUP(C292,[2]Hoja1!$A$1:$B$138,2,0)</f>
        <v>APROBAR</v>
      </c>
      <c r="M292">
        <v>1</v>
      </c>
      <c r="N292" t="e">
        <v>#N/A</v>
      </c>
    </row>
    <row r="293" spans="1:14" ht="15" customHeight="1" x14ac:dyDescent="0.3">
      <c r="A293" s="3">
        <v>1209657163</v>
      </c>
      <c r="B293" s="3" t="s">
        <v>298</v>
      </c>
      <c r="C293" s="3" t="s">
        <v>299</v>
      </c>
      <c r="D293" s="4">
        <v>46307.395833333299</v>
      </c>
      <c r="E293" s="5" t="s">
        <v>10</v>
      </c>
      <c r="F293" s="5" t="s">
        <v>11</v>
      </c>
      <c r="G293" s="5">
        <v>14</v>
      </c>
      <c r="H293" s="6" t="s">
        <v>12</v>
      </c>
      <c r="I293" t="s">
        <v>348</v>
      </c>
      <c r="J293" t="s">
        <v>2480</v>
      </c>
      <c r="K293" t="str">
        <f>+VLOOKUP(C293,'[1]TIENDAS 2025'!$A$1:$C$143,3,0)</f>
        <v>prioridad</v>
      </c>
      <c r="L293" t="str">
        <f>+VLOOKUP(C293,[2]Hoja1!$A$1:$B$138,2,0)</f>
        <v>APROBAR</v>
      </c>
      <c r="M293">
        <v>1</v>
      </c>
      <c r="N293" t="e">
        <v>#N/A</v>
      </c>
    </row>
    <row r="294" spans="1:14" ht="15" customHeight="1" x14ac:dyDescent="0.3">
      <c r="A294" s="3">
        <v>1209657185</v>
      </c>
      <c r="B294" s="3" t="s">
        <v>294</v>
      </c>
      <c r="C294" s="3" t="s">
        <v>295</v>
      </c>
      <c r="D294" s="4">
        <v>46307.395856481497</v>
      </c>
      <c r="E294" s="5" t="s">
        <v>10</v>
      </c>
      <c r="F294" s="5" t="s">
        <v>11</v>
      </c>
      <c r="G294" s="5">
        <v>7</v>
      </c>
      <c r="H294" s="6" t="s">
        <v>12</v>
      </c>
      <c r="I294" t="s">
        <v>349</v>
      </c>
      <c r="J294" t="s">
        <v>2480</v>
      </c>
      <c r="K294" t="str">
        <f>+VLOOKUP(C294,'[1]TIENDAS 2025'!$A$1:$C$143,3,0)</f>
        <v>prioridad</v>
      </c>
      <c r="L294" t="str">
        <f>+VLOOKUP(C294,[2]Hoja1!$A$1:$B$138,2,0)</f>
        <v>APROBAR</v>
      </c>
      <c r="M294">
        <v>1</v>
      </c>
      <c r="N294" t="e">
        <v>#N/A</v>
      </c>
    </row>
    <row r="295" spans="1:14" ht="15" customHeight="1" x14ac:dyDescent="0.3">
      <c r="A295" s="3">
        <v>8209657118</v>
      </c>
      <c r="B295" s="3" t="s">
        <v>301</v>
      </c>
      <c r="C295" s="3" t="s">
        <v>302</v>
      </c>
      <c r="D295" s="4">
        <v>46307.395868055602</v>
      </c>
      <c r="E295" s="5" t="s">
        <v>10</v>
      </c>
      <c r="F295" s="5" t="s">
        <v>16</v>
      </c>
      <c r="G295" s="5">
        <v>1</v>
      </c>
      <c r="H295" s="8" t="s">
        <v>12</v>
      </c>
      <c r="I295" t="s">
        <v>350</v>
      </c>
      <c r="K295" t="str">
        <f>+VLOOKUP(C295,'[1]TIENDAS 2025'!$A$1:$C$143,3,0)</f>
        <v>prioridad</v>
      </c>
      <c r="L295" t="str">
        <f>+VLOOKUP(C295,[2]Hoja1!$A$1:$B$138,2,0)</f>
        <v>APROBAR</v>
      </c>
      <c r="M295">
        <v>1</v>
      </c>
      <c r="N295" t="e">
        <v>#N/A</v>
      </c>
    </row>
    <row r="296" spans="1:14" ht="15" customHeight="1" x14ac:dyDescent="0.3">
      <c r="A296" s="3">
        <v>8209657122</v>
      </c>
      <c r="B296" s="3" t="s">
        <v>301</v>
      </c>
      <c r="C296" s="3" t="s">
        <v>302</v>
      </c>
      <c r="D296" s="4">
        <v>46307.395868055602</v>
      </c>
      <c r="E296" s="5" t="s">
        <v>10</v>
      </c>
      <c r="F296" s="5" t="s">
        <v>16</v>
      </c>
      <c r="G296" s="5">
        <v>1</v>
      </c>
      <c r="H296" s="8" t="s">
        <v>12</v>
      </c>
      <c r="I296" t="s">
        <v>351</v>
      </c>
      <c r="K296" t="str">
        <f>+VLOOKUP(C296,'[1]TIENDAS 2025'!$A$1:$C$143,3,0)</f>
        <v>prioridad</v>
      </c>
      <c r="L296" t="str">
        <f>+VLOOKUP(C296,[2]Hoja1!$A$1:$B$138,2,0)</f>
        <v>APROBAR</v>
      </c>
      <c r="M296">
        <v>1</v>
      </c>
      <c r="N296" t="e">
        <v>#N/A</v>
      </c>
    </row>
    <row r="297" spans="1:14" ht="15" customHeight="1" x14ac:dyDescent="0.3">
      <c r="A297" s="3">
        <v>1209657126</v>
      </c>
      <c r="B297" s="3" t="s">
        <v>301</v>
      </c>
      <c r="C297" s="3" t="s">
        <v>302</v>
      </c>
      <c r="D297" s="4">
        <v>46307.395891203698</v>
      </c>
      <c r="E297" s="5" t="s">
        <v>10</v>
      </c>
      <c r="F297" s="5" t="s">
        <v>11</v>
      </c>
      <c r="G297" s="5">
        <v>6</v>
      </c>
      <c r="H297" s="6" t="s">
        <v>12</v>
      </c>
      <c r="I297" t="s">
        <v>352</v>
      </c>
      <c r="J297" t="s">
        <v>2480</v>
      </c>
      <c r="K297" t="str">
        <f>+VLOOKUP(C297,'[1]TIENDAS 2025'!$A$1:$C$143,3,0)</f>
        <v>prioridad</v>
      </c>
      <c r="L297" t="str">
        <f>+VLOOKUP(C297,[2]Hoja1!$A$1:$B$138,2,0)</f>
        <v>APROBAR</v>
      </c>
      <c r="M297">
        <v>1</v>
      </c>
      <c r="N297" t="e">
        <v>#N/A</v>
      </c>
    </row>
    <row r="298" spans="1:14" ht="15" customHeight="1" x14ac:dyDescent="0.3">
      <c r="A298" s="3">
        <v>1209657208</v>
      </c>
      <c r="B298" s="3" t="s">
        <v>288</v>
      </c>
      <c r="C298" s="3" t="s">
        <v>289</v>
      </c>
      <c r="D298" s="4">
        <v>46307.395902777796</v>
      </c>
      <c r="E298" s="5" t="s">
        <v>10</v>
      </c>
      <c r="F298" s="5" t="s">
        <v>11</v>
      </c>
      <c r="G298" s="5">
        <v>31</v>
      </c>
      <c r="H298" s="6" t="s">
        <v>12</v>
      </c>
      <c r="I298" t="s">
        <v>353</v>
      </c>
      <c r="J298" t="s">
        <v>2480</v>
      </c>
      <c r="K298" t="str">
        <f>+VLOOKUP(C298,'[1]TIENDAS 2025'!$A$1:$C$143,3,0)</f>
        <v>prioridad</v>
      </c>
      <c r="L298" t="str">
        <f>+VLOOKUP(C298,[2]Hoja1!$A$1:$B$138,2,0)</f>
        <v>APROBAR</v>
      </c>
      <c r="M298">
        <v>1</v>
      </c>
      <c r="N298" t="e">
        <v>#N/A</v>
      </c>
    </row>
    <row r="299" spans="1:14" ht="15" customHeight="1" x14ac:dyDescent="0.3">
      <c r="A299" s="3">
        <v>1209657209</v>
      </c>
      <c r="B299" s="3" t="s">
        <v>288</v>
      </c>
      <c r="C299" s="3" t="s">
        <v>289</v>
      </c>
      <c r="D299" s="4">
        <v>46307.395925925899</v>
      </c>
      <c r="E299" s="5" t="s">
        <v>10</v>
      </c>
      <c r="F299" s="5" t="s">
        <v>17</v>
      </c>
      <c r="G299" s="5">
        <v>40</v>
      </c>
      <c r="H299" s="6" t="s">
        <v>12</v>
      </c>
      <c r="I299" t="s">
        <v>354</v>
      </c>
      <c r="J299" t="s">
        <v>2480</v>
      </c>
      <c r="K299" t="str">
        <f>+VLOOKUP(C299,'[1]TIENDAS 2025'!$A$1:$C$143,3,0)</f>
        <v>prioridad</v>
      </c>
      <c r="L299" t="str">
        <f>+VLOOKUP(C299,[2]Hoja1!$A$1:$B$138,2,0)</f>
        <v>APROBAR</v>
      </c>
      <c r="M299">
        <v>1</v>
      </c>
      <c r="N299" t="e">
        <v>#N/A</v>
      </c>
    </row>
    <row r="300" spans="1:14" ht="15" customHeight="1" x14ac:dyDescent="0.3">
      <c r="A300" s="3">
        <v>1209657277</v>
      </c>
      <c r="B300" s="3" t="s">
        <v>283</v>
      </c>
      <c r="C300" s="3" t="s">
        <v>284</v>
      </c>
      <c r="D300" s="4">
        <v>46307.395925925899</v>
      </c>
      <c r="E300" s="5" t="s">
        <v>10</v>
      </c>
      <c r="F300" s="5" t="s">
        <v>11</v>
      </c>
      <c r="G300" s="5">
        <v>55</v>
      </c>
      <c r="H300" s="6" t="s">
        <v>12</v>
      </c>
      <c r="I300" t="s">
        <v>355</v>
      </c>
      <c r="J300" t="s">
        <v>2480</v>
      </c>
      <c r="K300" t="str">
        <f>+VLOOKUP(C300,'[1]TIENDAS 2025'!$A$1:$C$143,3,0)</f>
        <v>local</v>
      </c>
      <c r="L300" t="str">
        <f>+VLOOKUP(C300,[2]Hoja1!$A$1:$B$138,2,0)</f>
        <v>APROBAR</v>
      </c>
      <c r="M300">
        <v>1</v>
      </c>
      <c r="N300" t="e">
        <v>#N/A</v>
      </c>
    </row>
    <row r="301" spans="1:14" ht="15" customHeight="1" x14ac:dyDescent="0.3">
      <c r="A301" s="3">
        <v>1209657159</v>
      </c>
      <c r="B301" s="3" t="s">
        <v>298</v>
      </c>
      <c r="C301" s="3" t="s">
        <v>299</v>
      </c>
      <c r="D301" s="4">
        <v>46307.395937499998</v>
      </c>
      <c r="E301" s="5" t="s">
        <v>10</v>
      </c>
      <c r="F301" s="5" t="s">
        <v>17</v>
      </c>
      <c r="G301" s="5">
        <v>7</v>
      </c>
      <c r="H301" s="6" t="s">
        <v>12</v>
      </c>
      <c r="I301" t="s">
        <v>356</v>
      </c>
      <c r="J301" t="s">
        <v>2480</v>
      </c>
      <c r="K301" t="str">
        <f>+VLOOKUP(C301,'[1]TIENDAS 2025'!$A$1:$C$143,3,0)</f>
        <v>prioridad</v>
      </c>
      <c r="L301" t="str">
        <f>+VLOOKUP(C301,[2]Hoja1!$A$1:$B$138,2,0)</f>
        <v>APROBAR</v>
      </c>
      <c r="M301">
        <v>1</v>
      </c>
      <c r="N301" t="e">
        <v>#N/A</v>
      </c>
    </row>
    <row r="302" spans="1:14" ht="15" customHeight="1" x14ac:dyDescent="0.3">
      <c r="A302" s="3">
        <v>8209657178</v>
      </c>
      <c r="B302" s="3" t="s">
        <v>294</v>
      </c>
      <c r="C302" s="3" t="s">
        <v>295</v>
      </c>
      <c r="D302" s="4">
        <v>46307.395960648202</v>
      </c>
      <c r="E302" s="5" t="s">
        <v>10</v>
      </c>
      <c r="F302" s="5" t="s">
        <v>16</v>
      </c>
      <c r="G302" s="5">
        <v>3</v>
      </c>
      <c r="H302" s="8" t="s">
        <v>12</v>
      </c>
      <c r="I302" t="s">
        <v>357</v>
      </c>
      <c r="K302" t="str">
        <f>+VLOOKUP(C302,'[1]TIENDAS 2025'!$A$1:$C$143,3,0)</f>
        <v>prioridad</v>
      </c>
      <c r="L302" t="str">
        <f>+VLOOKUP(C302,[2]Hoja1!$A$1:$B$138,2,0)</f>
        <v>APROBAR</v>
      </c>
      <c r="M302">
        <v>1</v>
      </c>
      <c r="N302" t="e">
        <v>#N/A</v>
      </c>
    </row>
    <row r="303" spans="1:14" ht="15" customHeight="1" x14ac:dyDescent="0.3">
      <c r="A303" s="3">
        <v>1209657184</v>
      </c>
      <c r="B303" s="3" t="s">
        <v>294</v>
      </c>
      <c r="C303" s="3" t="s">
        <v>295</v>
      </c>
      <c r="D303" s="4">
        <v>46307.395972222199</v>
      </c>
      <c r="E303" s="5" t="s">
        <v>10</v>
      </c>
      <c r="F303" s="5" t="s">
        <v>11</v>
      </c>
      <c r="G303" s="5">
        <v>19</v>
      </c>
      <c r="H303" s="6" t="s">
        <v>12</v>
      </c>
      <c r="I303" t="s">
        <v>358</v>
      </c>
      <c r="J303" t="s">
        <v>2480</v>
      </c>
      <c r="K303" t="str">
        <f>+VLOOKUP(C303,'[1]TIENDAS 2025'!$A$1:$C$143,3,0)</f>
        <v>prioridad</v>
      </c>
      <c r="L303" t="str">
        <f>+VLOOKUP(C303,[2]Hoja1!$A$1:$B$138,2,0)</f>
        <v>APROBAR</v>
      </c>
      <c r="M303">
        <v>1</v>
      </c>
      <c r="N303" t="e">
        <v>#N/A</v>
      </c>
    </row>
    <row r="304" spans="1:14" ht="15" customHeight="1" x14ac:dyDescent="0.3">
      <c r="A304" s="3">
        <v>8209657119</v>
      </c>
      <c r="B304" s="3" t="s">
        <v>301</v>
      </c>
      <c r="C304" s="3" t="s">
        <v>302</v>
      </c>
      <c r="D304" s="4">
        <v>46307.395983796298</v>
      </c>
      <c r="E304" s="5" t="s">
        <v>10</v>
      </c>
      <c r="F304" s="5" t="s">
        <v>16</v>
      </c>
      <c r="G304" s="5">
        <v>1</v>
      </c>
      <c r="H304" s="8" t="s">
        <v>12</v>
      </c>
      <c r="I304" t="s">
        <v>359</v>
      </c>
      <c r="K304" t="str">
        <f>+VLOOKUP(C304,'[1]TIENDAS 2025'!$A$1:$C$143,3,0)</f>
        <v>prioridad</v>
      </c>
      <c r="L304" t="str">
        <f>+VLOOKUP(C304,[2]Hoja1!$A$1:$B$138,2,0)</f>
        <v>APROBAR</v>
      </c>
      <c r="M304">
        <v>1</v>
      </c>
      <c r="N304" t="e">
        <v>#N/A</v>
      </c>
    </row>
    <row r="305" spans="1:14" ht="15" customHeight="1" x14ac:dyDescent="0.3">
      <c r="A305" s="3">
        <v>1209657125</v>
      </c>
      <c r="B305" s="3" t="s">
        <v>301</v>
      </c>
      <c r="C305" s="3" t="s">
        <v>302</v>
      </c>
      <c r="D305" s="4">
        <v>46307.3960069444</v>
      </c>
      <c r="E305" s="5" t="s">
        <v>10</v>
      </c>
      <c r="F305" s="5" t="s">
        <v>17</v>
      </c>
      <c r="G305" s="5">
        <v>5</v>
      </c>
      <c r="H305" s="6" t="s">
        <v>12</v>
      </c>
      <c r="I305" t="s">
        <v>360</v>
      </c>
      <c r="J305" t="s">
        <v>2480</v>
      </c>
      <c r="K305" t="str">
        <f>+VLOOKUP(C305,'[1]TIENDAS 2025'!$A$1:$C$143,3,0)</f>
        <v>prioridad</v>
      </c>
      <c r="L305" t="str">
        <f>+VLOOKUP(C305,[2]Hoja1!$A$1:$B$138,2,0)</f>
        <v>APROBAR</v>
      </c>
      <c r="M305">
        <v>1</v>
      </c>
      <c r="N305" t="e">
        <v>#N/A</v>
      </c>
    </row>
    <row r="306" spans="1:14" ht="15" customHeight="1" x14ac:dyDescent="0.3">
      <c r="A306" s="3">
        <v>8209657120</v>
      </c>
      <c r="B306" s="3" t="s">
        <v>301</v>
      </c>
      <c r="C306" s="3" t="s">
        <v>302</v>
      </c>
      <c r="D306" s="4">
        <v>46307.3960069444</v>
      </c>
      <c r="E306" s="5" t="s">
        <v>10</v>
      </c>
      <c r="F306" s="5" t="s">
        <v>16</v>
      </c>
      <c r="G306" s="5">
        <v>2</v>
      </c>
      <c r="H306" s="8" t="s">
        <v>12</v>
      </c>
      <c r="I306" t="s">
        <v>361</v>
      </c>
      <c r="K306" t="str">
        <f>+VLOOKUP(C306,'[1]TIENDAS 2025'!$A$1:$C$143,3,0)</f>
        <v>prioridad</v>
      </c>
      <c r="L306" t="str">
        <f>+VLOOKUP(C306,[2]Hoja1!$A$1:$B$138,2,0)</f>
        <v>APROBAR</v>
      </c>
      <c r="M306">
        <v>1</v>
      </c>
      <c r="N306" t="e">
        <v>#N/A</v>
      </c>
    </row>
    <row r="307" spans="1:14" ht="15" customHeight="1" x14ac:dyDescent="0.3">
      <c r="A307" s="3">
        <v>1209657131</v>
      </c>
      <c r="B307" s="3" t="s">
        <v>301</v>
      </c>
      <c r="C307" s="3" t="s">
        <v>302</v>
      </c>
      <c r="D307" s="4">
        <v>46307.396018518499</v>
      </c>
      <c r="E307" s="5" t="s">
        <v>10</v>
      </c>
      <c r="F307" s="5" t="s">
        <v>11</v>
      </c>
      <c r="G307" s="5">
        <v>20</v>
      </c>
      <c r="H307" s="6" t="s">
        <v>12</v>
      </c>
      <c r="I307" t="s">
        <v>362</v>
      </c>
      <c r="J307" t="s">
        <v>2480</v>
      </c>
      <c r="K307" t="str">
        <f>+VLOOKUP(C307,'[1]TIENDAS 2025'!$A$1:$C$143,3,0)</f>
        <v>prioridad</v>
      </c>
      <c r="L307" t="str">
        <f>+VLOOKUP(C307,[2]Hoja1!$A$1:$B$138,2,0)</f>
        <v>APROBAR</v>
      </c>
      <c r="M307">
        <v>1</v>
      </c>
      <c r="N307" t="e">
        <v>#N/A</v>
      </c>
    </row>
    <row r="308" spans="1:14" ht="15" customHeight="1" x14ac:dyDescent="0.3">
      <c r="A308" s="3">
        <v>1209657247</v>
      </c>
      <c r="B308" s="3" t="s">
        <v>280</v>
      </c>
      <c r="C308" s="3" t="s">
        <v>281</v>
      </c>
      <c r="D308" s="4">
        <v>46307.396041666703</v>
      </c>
      <c r="E308" s="5" t="s">
        <v>10</v>
      </c>
      <c r="F308" s="5" t="s">
        <v>11</v>
      </c>
      <c r="G308" s="5">
        <v>15</v>
      </c>
      <c r="H308" s="6" t="s">
        <v>12</v>
      </c>
      <c r="I308" t="s">
        <v>363</v>
      </c>
      <c r="J308" t="s">
        <v>2480</v>
      </c>
      <c r="K308" t="str">
        <f>+VLOOKUP(C308,'[1]TIENDAS 2025'!$A$1:$C$143,3,0)</f>
        <v>local</v>
      </c>
      <c r="L308" t="str">
        <f>+VLOOKUP(C308,[2]Hoja1!$A$1:$B$138,2,0)</f>
        <v>APROBAR</v>
      </c>
      <c r="M308">
        <v>1</v>
      </c>
      <c r="N308" t="e">
        <v>#N/A</v>
      </c>
    </row>
    <row r="309" spans="1:14" ht="15" customHeight="1" x14ac:dyDescent="0.3">
      <c r="A309" s="3">
        <v>1209657248</v>
      </c>
      <c r="B309" s="3" t="s">
        <v>280</v>
      </c>
      <c r="C309" s="3" t="s">
        <v>281</v>
      </c>
      <c r="D309" s="4">
        <v>46307.3960532407</v>
      </c>
      <c r="E309" s="5" t="s">
        <v>10</v>
      </c>
      <c r="F309" s="5" t="s">
        <v>11</v>
      </c>
      <c r="G309" s="5">
        <v>14</v>
      </c>
      <c r="H309" s="6" t="s">
        <v>12</v>
      </c>
      <c r="I309" t="s">
        <v>364</v>
      </c>
      <c r="J309" t="s">
        <v>2480</v>
      </c>
      <c r="K309" t="str">
        <f>+VLOOKUP(C309,'[1]TIENDAS 2025'!$A$1:$C$143,3,0)</f>
        <v>local</v>
      </c>
      <c r="L309" t="str">
        <f>+VLOOKUP(C309,[2]Hoja1!$A$1:$B$138,2,0)</f>
        <v>APROBAR</v>
      </c>
      <c r="M309">
        <v>1</v>
      </c>
      <c r="N309" t="e">
        <v>#N/A</v>
      </c>
    </row>
    <row r="310" spans="1:14" ht="15" customHeight="1" x14ac:dyDescent="0.3">
      <c r="A310" s="3">
        <v>1209657228</v>
      </c>
      <c r="B310" s="3" t="s">
        <v>277</v>
      </c>
      <c r="C310" s="3" t="s">
        <v>278</v>
      </c>
      <c r="D310" s="4">
        <v>46307.396064814799</v>
      </c>
      <c r="E310" s="5" t="s">
        <v>10</v>
      </c>
      <c r="F310" s="5" t="s">
        <v>17</v>
      </c>
      <c r="G310" s="5">
        <v>18</v>
      </c>
      <c r="H310" s="6" t="s">
        <v>12</v>
      </c>
      <c r="I310" t="s">
        <v>365</v>
      </c>
      <c r="J310" t="s">
        <v>2480</v>
      </c>
      <c r="K310" t="str">
        <f>+VLOOKUP(C310,'[1]TIENDAS 2025'!$A$1:$C$143,3,0)</f>
        <v>local</v>
      </c>
      <c r="L310" t="str">
        <f>+VLOOKUP(C310,[2]Hoja1!$A$1:$B$138,2,0)</f>
        <v>APROBAR</v>
      </c>
      <c r="M310">
        <v>1</v>
      </c>
      <c r="N310" t="e">
        <v>#N/A</v>
      </c>
    </row>
    <row r="311" spans="1:14" ht="15" customHeight="1" x14ac:dyDescent="0.3">
      <c r="A311" s="3">
        <v>1209657230</v>
      </c>
      <c r="B311" s="3" t="s">
        <v>277</v>
      </c>
      <c r="C311" s="3" t="s">
        <v>278</v>
      </c>
      <c r="D311" s="4">
        <v>46307.396076388897</v>
      </c>
      <c r="E311" s="5" t="s">
        <v>10</v>
      </c>
      <c r="F311" s="5" t="s">
        <v>17</v>
      </c>
      <c r="G311" s="5">
        <v>34</v>
      </c>
      <c r="H311" s="6" t="s">
        <v>12</v>
      </c>
      <c r="I311" t="s">
        <v>366</v>
      </c>
      <c r="J311" t="s">
        <v>2480</v>
      </c>
      <c r="K311" t="str">
        <f>+VLOOKUP(C311,'[1]TIENDAS 2025'!$A$1:$C$143,3,0)</f>
        <v>local</v>
      </c>
      <c r="L311" t="str">
        <f>+VLOOKUP(C311,[2]Hoja1!$A$1:$B$138,2,0)</f>
        <v>APROBAR</v>
      </c>
      <c r="M311">
        <v>1</v>
      </c>
      <c r="N311" t="e">
        <v>#N/A</v>
      </c>
    </row>
    <row r="312" spans="1:14" ht="15" customHeight="1" x14ac:dyDescent="0.3">
      <c r="A312" s="3">
        <v>1209657278</v>
      </c>
      <c r="B312" s="3" t="s">
        <v>283</v>
      </c>
      <c r="C312" s="3" t="s">
        <v>284</v>
      </c>
      <c r="D312" s="4">
        <v>46307.396099537</v>
      </c>
      <c r="E312" s="5" t="s">
        <v>10</v>
      </c>
      <c r="F312" s="5" t="s">
        <v>11</v>
      </c>
      <c r="G312" s="5">
        <v>27</v>
      </c>
      <c r="H312" s="6" t="s">
        <v>12</v>
      </c>
      <c r="I312" t="s">
        <v>367</v>
      </c>
      <c r="J312" t="s">
        <v>2480</v>
      </c>
      <c r="K312" t="str">
        <f>+VLOOKUP(C312,'[1]TIENDAS 2025'!$A$1:$C$143,3,0)</f>
        <v>local</v>
      </c>
      <c r="L312" t="str">
        <f>+VLOOKUP(C312,[2]Hoja1!$A$1:$B$138,2,0)</f>
        <v>APROBAR</v>
      </c>
      <c r="M312">
        <v>1</v>
      </c>
      <c r="N312" t="e">
        <v>#N/A</v>
      </c>
    </row>
    <row r="313" spans="1:14" ht="15" customHeight="1" x14ac:dyDescent="0.3">
      <c r="A313" s="3">
        <v>8209657267</v>
      </c>
      <c r="B313" s="3" t="s">
        <v>283</v>
      </c>
      <c r="C313" s="3" t="s">
        <v>284</v>
      </c>
      <c r="D313" s="4">
        <v>46307.396111111098</v>
      </c>
      <c r="E313" s="5" t="s">
        <v>10</v>
      </c>
      <c r="F313" s="5" t="s">
        <v>16</v>
      </c>
      <c r="G313" s="5">
        <v>5</v>
      </c>
      <c r="H313" s="8" t="s">
        <v>12</v>
      </c>
      <c r="I313" t="s">
        <v>368</v>
      </c>
      <c r="K313" t="str">
        <f>+VLOOKUP(C313,'[1]TIENDAS 2025'!$A$1:$C$143,3,0)</f>
        <v>local</v>
      </c>
      <c r="L313" t="str">
        <f>+VLOOKUP(C313,[2]Hoja1!$A$1:$B$138,2,0)</f>
        <v>APROBAR</v>
      </c>
      <c r="M313">
        <v>1</v>
      </c>
      <c r="N313" t="e">
        <v>#N/A</v>
      </c>
    </row>
    <row r="314" spans="1:14" ht="15" customHeight="1" x14ac:dyDescent="0.3">
      <c r="A314" s="3">
        <v>8209657201</v>
      </c>
      <c r="B314" s="3" t="s">
        <v>288</v>
      </c>
      <c r="C314" s="3" t="s">
        <v>289</v>
      </c>
      <c r="D314" s="4">
        <v>46307.396134259303</v>
      </c>
      <c r="E314" s="5" t="s">
        <v>10</v>
      </c>
      <c r="F314" s="5" t="s">
        <v>16</v>
      </c>
      <c r="G314" s="5">
        <v>4</v>
      </c>
      <c r="H314" s="8" t="s">
        <v>12</v>
      </c>
      <c r="I314" t="s">
        <v>369</v>
      </c>
      <c r="K314" t="str">
        <f>+VLOOKUP(C314,'[1]TIENDAS 2025'!$A$1:$C$143,3,0)</f>
        <v>prioridad</v>
      </c>
      <c r="L314" t="str">
        <f>+VLOOKUP(C314,[2]Hoja1!$A$1:$B$138,2,0)</f>
        <v>APROBAR</v>
      </c>
      <c r="M314">
        <v>1</v>
      </c>
      <c r="N314" t="e">
        <v>#N/A</v>
      </c>
    </row>
    <row r="315" spans="1:14" ht="15" customHeight="1" x14ac:dyDescent="0.3">
      <c r="A315" s="3">
        <v>8209657268</v>
      </c>
      <c r="B315" s="3" t="s">
        <v>283</v>
      </c>
      <c r="C315" s="3" t="s">
        <v>284</v>
      </c>
      <c r="D315" s="4">
        <v>46307.396134259303</v>
      </c>
      <c r="E315" s="5" t="s">
        <v>10</v>
      </c>
      <c r="F315" s="5" t="s">
        <v>16</v>
      </c>
      <c r="G315" s="5">
        <v>12</v>
      </c>
      <c r="H315" s="8" t="s">
        <v>12</v>
      </c>
      <c r="I315" t="s">
        <v>370</v>
      </c>
      <c r="K315" t="str">
        <f>+VLOOKUP(C315,'[1]TIENDAS 2025'!$A$1:$C$143,3,0)</f>
        <v>local</v>
      </c>
      <c r="L315" t="str">
        <f>+VLOOKUP(C315,[2]Hoja1!$A$1:$B$138,2,0)</f>
        <v>APROBAR</v>
      </c>
      <c r="M315">
        <v>1</v>
      </c>
      <c r="N315" t="e">
        <v>#N/A</v>
      </c>
    </row>
    <row r="316" spans="1:14" ht="15" customHeight="1" x14ac:dyDescent="0.3">
      <c r="A316" s="3">
        <v>1209657202</v>
      </c>
      <c r="B316" s="3" t="s">
        <v>288</v>
      </c>
      <c r="C316" s="3" t="s">
        <v>289</v>
      </c>
      <c r="D316" s="4">
        <v>46307.396157407398</v>
      </c>
      <c r="E316" s="5" t="s">
        <v>10</v>
      </c>
      <c r="F316" s="5" t="s">
        <v>11</v>
      </c>
      <c r="G316" s="5">
        <v>2</v>
      </c>
      <c r="H316" s="6" t="s">
        <v>12</v>
      </c>
      <c r="I316" t="s">
        <v>371</v>
      </c>
      <c r="J316" t="s">
        <v>2480</v>
      </c>
      <c r="K316" t="str">
        <f>+VLOOKUP(C316,'[1]TIENDAS 2025'!$A$1:$C$143,3,0)</f>
        <v>prioridad</v>
      </c>
      <c r="L316" t="str">
        <f>+VLOOKUP(C316,[2]Hoja1!$A$1:$B$138,2,0)</f>
        <v>APROBAR</v>
      </c>
      <c r="M316">
        <v>1</v>
      </c>
      <c r="N316" t="e">
        <v>#N/A</v>
      </c>
    </row>
    <row r="317" spans="1:14" ht="15" customHeight="1" x14ac:dyDescent="0.3">
      <c r="A317" s="3">
        <v>8209657222</v>
      </c>
      <c r="B317" s="3" t="s">
        <v>277</v>
      </c>
      <c r="C317" s="3" t="s">
        <v>278</v>
      </c>
      <c r="D317" s="4">
        <v>46307.396168981497</v>
      </c>
      <c r="E317" s="5" t="s">
        <v>10</v>
      </c>
      <c r="F317" s="5" t="s">
        <v>16</v>
      </c>
      <c r="G317" s="5">
        <v>6</v>
      </c>
      <c r="H317" s="8" t="s">
        <v>12</v>
      </c>
      <c r="I317" t="s">
        <v>372</v>
      </c>
      <c r="K317" t="str">
        <f>+VLOOKUP(C317,'[1]TIENDAS 2025'!$A$1:$C$143,3,0)</f>
        <v>local</v>
      </c>
      <c r="L317" t="str">
        <f>+VLOOKUP(C317,[2]Hoja1!$A$1:$B$138,2,0)</f>
        <v>APROBAR</v>
      </c>
      <c r="M317">
        <v>1</v>
      </c>
      <c r="N317" t="e">
        <v>#N/A</v>
      </c>
    </row>
    <row r="318" spans="1:14" ht="15" customHeight="1" x14ac:dyDescent="0.3">
      <c r="A318" s="3">
        <v>1209657207</v>
      </c>
      <c r="B318" s="3" t="s">
        <v>288</v>
      </c>
      <c r="C318" s="3" t="s">
        <v>289</v>
      </c>
      <c r="D318" s="4">
        <v>46307.396180555603</v>
      </c>
      <c r="E318" s="5" t="s">
        <v>10</v>
      </c>
      <c r="F318" s="5" t="s">
        <v>11</v>
      </c>
      <c r="G318" s="5">
        <v>11</v>
      </c>
      <c r="H318" s="6" t="s">
        <v>12</v>
      </c>
      <c r="I318" t="s">
        <v>373</v>
      </c>
      <c r="J318" t="s">
        <v>2480</v>
      </c>
      <c r="K318" t="str">
        <f>+VLOOKUP(C318,'[1]TIENDAS 2025'!$A$1:$C$143,3,0)</f>
        <v>prioridad</v>
      </c>
      <c r="L318" t="str">
        <f>+VLOOKUP(C318,[2]Hoja1!$A$1:$B$138,2,0)</f>
        <v>APROBAR</v>
      </c>
      <c r="M318">
        <v>1</v>
      </c>
      <c r="N318" t="e">
        <v>#N/A</v>
      </c>
    </row>
    <row r="319" spans="1:14" ht="15" customHeight="1" x14ac:dyDescent="0.3">
      <c r="A319" s="3">
        <v>1209657161</v>
      </c>
      <c r="B319" s="3" t="s">
        <v>298</v>
      </c>
      <c r="C319" s="3" t="s">
        <v>299</v>
      </c>
      <c r="D319" s="4">
        <v>46307.396203703698</v>
      </c>
      <c r="E319" s="5" t="s">
        <v>10</v>
      </c>
      <c r="F319" s="5" t="s">
        <v>11</v>
      </c>
      <c r="G319" s="5">
        <v>16</v>
      </c>
      <c r="H319" s="6" t="s">
        <v>12</v>
      </c>
      <c r="I319" t="s">
        <v>374</v>
      </c>
      <c r="J319" t="s">
        <v>2480</v>
      </c>
      <c r="K319" t="str">
        <f>+VLOOKUP(C319,'[1]TIENDAS 2025'!$A$1:$C$143,3,0)</f>
        <v>prioridad</v>
      </c>
      <c r="L319" t="str">
        <f>+VLOOKUP(C319,[2]Hoja1!$A$1:$B$138,2,0)</f>
        <v>APROBAR</v>
      </c>
      <c r="M319">
        <v>1</v>
      </c>
      <c r="N319" t="e">
        <v>#N/A</v>
      </c>
    </row>
    <row r="320" spans="1:14" ht="15" customHeight="1" x14ac:dyDescent="0.3">
      <c r="A320" s="3">
        <v>1209657162</v>
      </c>
      <c r="B320" s="3" t="s">
        <v>298</v>
      </c>
      <c r="C320" s="3" t="s">
        <v>299</v>
      </c>
      <c r="D320" s="4">
        <v>46307.396203703698</v>
      </c>
      <c r="E320" s="5" t="s">
        <v>10</v>
      </c>
      <c r="F320" s="5" t="s">
        <v>11</v>
      </c>
      <c r="G320" s="5">
        <v>14</v>
      </c>
      <c r="H320" s="6" t="s">
        <v>12</v>
      </c>
      <c r="I320" t="s">
        <v>375</v>
      </c>
      <c r="J320" t="s">
        <v>2480</v>
      </c>
      <c r="K320" t="str">
        <f>+VLOOKUP(C320,'[1]TIENDAS 2025'!$A$1:$C$143,3,0)</f>
        <v>prioridad</v>
      </c>
      <c r="L320" t="str">
        <f>+VLOOKUP(C320,[2]Hoja1!$A$1:$B$138,2,0)</f>
        <v>APROBAR</v>
      </c>
      <c r="M320">
        <v>1</v>
      </c>
      <c r="N320" t="e">
        <v>#N/A</v>
      </c>
    </row>
    <row r="321" spans="1:14" ht="15" customHeight="1" x14ac:dyDescent="0.3">
      <c r="A321" s="3">
        <v>1209657127</v>
      </c>
      <c r="B321" s="3" t="s">
        <v>301</v>
      </c>
      <c r="C321" s="3" t="s">
        <v>302</v>
      </c>
      <c r="D321" s="4">
        <v>46307.396226851903</v>
      </c>
      <c r="E321" s="5" t="s">
        <v>10</v>
      </c>
      <c r="F321" s="5" t="s">
        <v>11</v>
      </c>
      <c r="G321" s="5">
        <v>5</v>
      </c>
      <c r="H321" s="6" t="s">
        <v>12</v>
      </c>
      <c r="I321" t="s">
        <v>376</v>
      </c>
      <c r="J321" t="s">
        <v>2480</v>
      </c>
      <c r="K321" t="str">
        <f>+VLOOKUP(C321,'[1]TIENDAS 2025'!$A$1:$C$143,3,0)</f>
        <v>prioridad</v>
      </c>
      <c r="L321" t="str">
        <f>+VLOOKUP(C321,[2]Hoja1!$A$1:$B$138,2,0)</f>
        <v>APROBAR</v>
      </c>
      <c r="M321">
        <v>1</v>
      </c>
      <c r="N321" t="e">
        <v>#N/A</v>
      </c>
    </row>
    <row r="322" spans="1:14" ht="15" customHeight="1" x14ac:dyDescent="0.3">
      <c r="A322" s="3">
        <v>1209657128</v>
      </c>
      <c r="B322" s="3" t="s">
        <v>301</v>
      </c>
      <c r="C322" s="3" t="s">
        <v>302</v>
      </c>
      <c r="D322" s="4">
        <v>46307.396238425899</v>
      </c>
      <c r="E322" s="5" t="s">
        <v>10</v>
      </c>
      <c r="F322" s="5" t="s">
        <v>11</v>
      </c>
      <c r="G322" s="5">
        <v>12</v>
      </c>
      <c r="H322" s="6" t="s">
        <v>12</v>
      </c>
      <c r="I322" t="s">
        <v>377</v>
      </c>
      <c r="J322" t="s">
        <v>2480</v>
      </c>
      <c r="K322" t="str">
        <f>+VLOOKUP(C322,'[1]TIENDAS 2025'!$A$1:$C$143,3,0)</f>
        <v>prioridad</v>
      </c>
      <c r="L322" t="str">
        <f>+VLOOKUP(C322,[2]Hoja1!$A$1:$B$138,2,0)</f>
        <v>APROBAR</v>
      </c>
      <c r="M322">
        <v>1</v>
      </c>
      <c r="N322" t="e">
        <v>#N/A</v>
      </c>
    </row>
    <row r="323" spans="1:14" ht="15" customHeight="1" x14ac:dyDescent="0.3">
      <c r="A323" s="3">
        <v>1209657229</v>
      </c>
      <c r="B323" s="3" t="s">
        <v>277</v>
      </c>
      <c r="C323" s="3" t="s">
        <v>278</v>
      </c>
      <c r="D323" s="4">
        <v>46307.396261574097</v>
      </c>
      <c r="E323" s="5" t="s">
        <v>10</v>
      </c>
      <c r="F323" s="5" t="s">
        <v>11</v>
      </c>
      <c r="G323" s="5">
        <v>22</v>
      </c>
      <c r="H323" s="6" t="s">
        <v>12</v>
      </c>
      <c r="I323" t="s">
        <v>378</v>
      </c>
      <c r="J323" t="s">
        <v>2480</v>
      </c>
      <c r="K323" t="str">
        <f>+VLOOKUP(C323,'[1]TIENDAS 2025'!$A$1:$C$143,3,0)</f>
        <v>local</v>
      </c>
      <c r="L323" t="str">
        <f>+VLOOKUP(C323,[2]Hoja1!$A$1:$B$138,2,0)</f>
        <v>APROBAR</v>
      </c>
      <c r="M323">
        <v>1</v>
      </c>
      <c r="N323" t="e">
        <v>#N/A</v>
      </c>
    </row>
    <row r="324" spans="1:14" ht="15" customHeight="1" x14ac:dyDescent="0.3">
      <c r="A324" s="3">
        <v>1209657275</v>
      </c>
      <c r="B324" s="3" t="s">
        <v>283</v>
      </c>
      <c r="C324" s="3" t="s">
        <v>284</v>
      </c>
      <c r="D324" s="4">
        <v>46307.396261574097</v>
      </c>
      <c r="E324" s="5" t="s">
        <v>10</v>
      </c>
      <c r="F324" s="5" t="s">
        <v>11</v>
      </c>
      <c r="G324" s="5">
        <v>1</v>
      </c>
      <c r="H324" s="6" t="s">
        <v>12</v>
      </c>
      <c r="I324" t="s">
        <v>379</v>
      </c>
      <c r="J324" t="s">
        <v>2480</v>
      </c>
      <c r="K324" t="str">
        <f>+VLOOKUP(C324,'[1]TIENDAS 2025'!$A$1:$C$143,3,0)</f>
        <v>local</v>
      </c>
      <c r="L324" t="str">
        <f>+VLOOKUP(C324,[2]Hoja1!$A$1:$B$138,2,0)</f>
        <v>APROBAR</v>
      </c>
      <c r="M324">
        <v>1</v>
      </c>
      <c r="N324" t="e">
        <v>#N/A</v>
      </c>
    </row>
    <row r="325" spans="1:14" ht="15" customHeight="1" x14ac:dyDescent="0.3">
      <c r="A325" s="3">
        <v>8209657234</v>
      </c>
      <c r="B325" s="3" t="s">
        <v>277</v>
      </c>
      <c r="C325" s="3" t="s">
        <v>278</v>
      </c>
      <c r="D325" s="4">
        <v>46307.396284722199</v>
      </c>
      <c r="E325" s="5" t="s">
        <v>10</v>
      </c>
      <c r="F325" s="5" t="s">
        <v>16</v>
      </c>
      <c r="G325" s="5">
        <v>5</v>
      </c>
      <c r="H325" s="8" t="s">
        <v>12</v>
      </c>
      <c r="I325" t="s">
        <v>380</v>
      </c>
      <c r="K325" t="str">
        <f>+VLOOKUP(C325,'[1]TIENDAS 2025'!$A$1:$C$143,3,0)</f>
        <v>local</v>
      </c>
      <c r="L325" t="str">
        <f>+VLOOKUP(C325,[2]Hoja1!$A$1:$B$138,2,0)</f>
        <v>APROBAR</v>
      </c>
      <c r="M325">
        <v>1</v>
      </c>
      <c r="N325" t="e">
        <v>#N/A</v>
      </c>
    </row>
    <row r="326" spans="1:14" ht="15" customHeight="1" x14ac:dyDescent="0.3">
      <c r="A326" s="3">
        <v>8209657220</v>
      </c>
      <c r="B326" s="3" t="s">
        <v>277</v>
      </c>
      <c r="C326" s="3" t="s">
        <v>278</v>
      </c>
      <c r="D326" s="4">
        <v>46307.396296296298</v>
      </c>
      <c r="E326" s="5" t="s">
        <v>10</v>
      </c>
      <c r="F326" s="5" t="s">
        <v>16</v>
      </c>
      <c r="G326" s="5">
        <v>6</v>
      </c>
      <c r="H326" s="8" t="s">
        <v>12</v>
      </c>
      <c r="I326" t="s">
        <v>381</v>
      </c>
      <c r="K326" t="str">
        <f>+VLOOKUP(C326,'[1]TIENDAS 2025'!$A$1:$C$143,3,0)</f>
        <v>local</v>
      </c>
      <c r="L326" t="str">
        <f>+VLOOKUP(C326,[2]Hoja1!$A$1:$B$138,2,0)</f>
        <v>APROBAR</v>
      </c>
      <c r="M326">
        <v>1</v>
      </c>
      <c r="N326" t="e">
        <v>#N/A</v>
      </c>
    </row>
    <row r="327" spans="1:14" ht="15" customHeight="1" x14ac:dyDescent="0.3">
      <c r="A327" s="3">
        <v>1209657269</v>
      </c>
      <c r="B327" s="3" t="s">
        <v>283</v>
      </c>
      <c r="C327" s="3" t="s">
        <v>284</v>
      </c>
      <c r="D327" s="4">
        <v>46307.396307870396</v>
      </c>
      <c r="E327" s="5" t="s">
        <v>10</v>
      </c>
      <c r="F327" s="5" t="s">
        <v>11</v>
      </c>
      <c r="G327" s="5">
        <v>2</v>
      </c>
      <c r="H327" s="6" t="s">
        <v>12</v>
      </c>
      <c r="I327" t="s">
        <v>382</v>
      </c>
      <c r="J327" t="s">
        <v>2480</v>
      </c>
      <c r="K327" t="str">
        <f>+VLOOKUP(C327,'[1]TIENDAS 2025'!$A$1:$C$143,3,0)</f>
        <v>local</v>
      </c>
      <c r="L327" t="str">
        <f>+VLOOKUP(C327,[2]Hoja1!$A$1:$B$138,2,0)</f>
        <v>APROBAR</v>
      </c>
      <c r="M327">
        <v>1</v>
      </c>
      <c r="N327" t="e">
        <v>#N/A</v>
      </c>
    </row>
    <row r="328" spans="1:14" ht="15" customHeight="1" x14ac:dyDescent="0.3">
      <c r="A328" s="3">
        <v>8209657198</v>
      </c>
      <c r="B328" s="3" t="s">
        <v>288</v>
      </c>
      <c r="C328" s="3" t="s">
        <v>289</v>
      </c>
      <c r="D328" s="4">
        <v>46307.396331018499</v>
      </c>
      <c r="E328" s="5" t="s">
        <v>10</v>
      </c>
      <c r="F328" s="5" t="s">
        <v>16</v>
      </c>
      <c r="G328" s="5">
        <v>1</v>
      </c>
      <c r="H328" s="8" t="s">
        <v>12</v>
      </c>
      <c r="I328" t="s">
        <v>383</v>
      </c>
      <c r="K328" t="str">
        <f>+VLOOKUP(C328,'[1]TIENDAS 2025'!$A$1:$C$143,3,0)</f>
        <v>prioridad</v>
      </c>
      <c r="L328" t="str">
        <f>+VLOOKUP(C328,[2]Hoja1!$A$1:$B$138,2,0)</f>
        <v>APROBAR</v>
      </c>
      <c r="M328">
        <v>1</v>
      </c>
      <c r="N328" t="e">
        <v>#N/A</v>
      </c>
    </row>
    <row r="329" spans="1:14" ht="15" customHeight="1" x14ac:dyDescent="0.3">
      <c r="A329" s="3">
        <v>1209657203</v>
      </c>
      <c r="B329" s="3" t="s">
        <v>288</v>
      </c>
      <c r="C329" s="3" t="s">
        <v>289</v>
      </c>
      <c r="D329" s="4">
        <v>46307.396342592598</v>
      </c>
      <c r="E329" s="5" t="s">
        <v>10</v>
      </c>
      <c r="F329" s="5" t="s">
        <v>11</v>
      </c>
      <c r="G329" s="5">
        <v>4</v>
      </c>
      <c r="H329" s="6" t="s">
        <v>12</v>
      </c>
      <c r="I329" t="s">
        <v>384</v>
      </c>
      <c r="J329" t="s">
        <v>2480</v>
      </c>
      <c r="K329" t="str">
        <f>+VLOOKUP(C329,'[1]TIENDAS 2025'!$A$1:$C$143,3,0)</f>
        <v>prioridad</v>
      </c>
      <c r="L329" t="str">
        <f>+VLOOKUP(C329,[2]Hoja1!$A$1:$B$138,2,0)</f>
        <v>APROBAR</v>
      </c>
      <c r="M329">
        <v>1</v>
      </c>
      <c r="N329" t="e">
        <v>#N/A</v>
      </c>
    </row>
    <row r="330" spans="1:14" ht="15" customHeight="1" x14ac:dyDescent="0.3">
      <c r="A330" s="3">
        <v>1209657271</v>
      </c>
      <c r="B330" s="3" t="s">
        <v>283</v>
      </c>
      <c r="C330" s="3" t="s">
        <v>284</v>
      </c>
      <c r="D330" s="4">
        <v>46307.396354166704</v>
      </c>
      <c r="E330" s="5" t="s">
        <v>10</v>
      </c>
      <c r="F330" s="5" t="s">
        <v>17</v>
      </c>
      <c r="G330" s="5">
        <v>20</v>
      </c>
      <c r="H330" s="6" t="s">
        <v>12</v>
      </c>
      <c r="I330" t="s">
        <v>385</v>
      </c>
      <c r="J330" t="s">
        <v>2480</v>
      </c>
      <c r="K330" t="str">
        <f>+VLOOKUP(C330,'[1]TIENDAS 2025'!$A$1:$C$143,3,0)</f>
        <v>local</v>
      </c>
      <c r="L330" t="str">
        <f>+VLOOKUP(C330,[2]Hoja1!$A$1:$B$138,2,0)</f>
        <v>APROBAR</v>
      </c>
      <c r="M330">
        <v>1</v>
      </c>
      <c r="N330" t="e">
        <v>#N/A</v>
      </c>
    </row>
    <row r="331" spans="1:14" ht="15" customHeight="1" x14ac:dyDescent="0.3">
      <c r="A331" s="3">
        <v>8209657239</v>
      </c>
      <c r="B331" s="3" t="s">
        <v>280</v>
      </c>
      <c r="C331" s="3" t="s">
        <v>281</v>
      </c>
      <c r="D331" s="4">
        <v>46307.3963657407</v>
      </c>
      <c r="E331" s="5" t="s">
        <v>10</v>
      </c>
      <c r="F331" s="5" t="s">
        <v>16</v>
      </c>
      <c r="G331" s="5">
        <v>2</v>
      </c>
      <c r="H331" s="8" t="s">
        <v>12</v>
      </c>
      <c r="I331" t="s">
        <v>386</v>
      </c>
      <c r="K331" t="str">
        <f>+VLOOKUP(C331,'[1]TIENDAS 2025'!$A$1:$C$143,3,0)</f>
        <v>local</v>
      </c>
      <c r="L331" t="str">
        <f>+VLOOKUP(C331,[2]Hoja1!$A$1:$B$138,2,0)</f>
        <v>APROBAR</v>
      </c>
      <c r="M331">
        <v>1</v>
      </c>
      <c r="N331" t="e">
        <v>#N/A</v>
      </c>
    </row>
    <row r="332" spans="1:14" ht="15" customHeight="1" x14ac:dyDescent="0.3">
      <c r="A332" s="3">
        <v>8209657150</v>
      </c>
      <c r="B332" s="3" t="s">
        <v>298</v>
      </c>
      <c r="C332" s="3" t="s">
        <v>299</v>
      </c>
      <c r="D332" s="4">
        <v>46307.396377314799</v>
      </c>
      <c r="E332" s="5" t="s">
        <v>10</v>
      </c>
      <c r="F332" s="5" t="s">
        <v>16</v>
      </c>
      <c r="G332" s="5">
        <v>7</v>
      </c>
      <c r="H332" s="8" t="s">
        <v>12</v>
      </c>
      <c r="I332" t="s">
        <v>387</v>
      </c>
      <c r="K332" t="str">
        <f>+VLOOKUP(C332,'[1]TIENDAS 2025'!$A$1:$C$143,3,0)</f>
        <v>prioridad</v>
      </c>
      <c r="L332" t="str">
        <f>+VLOOKUP(C332,[2]Hoja1!$A$1:$B$138,2,0)</f>
        <v>APROBAR</v>
      </c>
      <c r="M332">
        <v>1</v>
      </c>
      <c r="N332" t="e">
        <v>#N/A</v>
      </c>
    </row>
    <row r="333" spans="1:14" ht="15" customHeight="1" x14ac:dyDescent="0.3">
      <c r="A333" s="3">
        <v>1209657295</v>
      </c>
      <c r="B333" s="3" t="s">
        <v>389</v>
      </c>
      <c r="C333" s="3" t="s">
        <v>390</v>
      </c>
      <c r="D333" s="4">
        <v>46307.398518518501</v>
      </c>
      <c r="E333" s="5" t="s">
        <v>10</v>
      </c>
      <c r="F333" s="5" t="s">
        <v>11</v>
      </c>
      <c r="G333" s="5">
        <v>13</v>
      </c>
      <c r="H333" s="6" t="s">
        <v>12</v>
      </c>
      <c r="I333" t="s">
        <v>388</v>
      </c>
      <c r="J333" t="s">
        <v>2480</v>
      </c>
      <c r="K333" t="str">
        <f>+VLOOKUP(C333,'[1]TIENDAS 2025'!$A$1:$C$143,3,0)</f>
        <v>departamental</v>
      </c>
      <c r="L333" t="str">
        <f>+VLOOKUP(C333,[2]Hoja1!$A$1:$B$138,2,0)</f>
        <v>APROBAR</v>
      </c>
      <c r="M333">
        <v>1</v>
      </c>
      <c r="N333" t="e">
        <v>#N/A</v>
      </c>
    </row>
    <row r="334" spans="1:14" ht="15" customHeight="1" x14ac:dyDescent="0.3">
      <c r="A334" s="3">
        <v>1209657296</v>
      </c>
      <c r="B334" s="3" t="s">
        <v>389</v>
      </c>
      <c r="C334" s="3" t="s">
        <v>390</v>
      </c>
      <c r="D334" s="4">
        <v>46307.3985300926</v>
      </c>
      <c r="E334" s="5" t="s">
        <v>10</v>
      </c>
      <c r="F334" s="5" t="s">
        <v>11</v>
      </c>
      <c r="G334" s="5">
        <v>3</v>
      </c>
      <c r="H334" s="6" t="s">
        <v>12</v>
      </c>
      <c r="I334" t="s">
        <v>391</v>
      </c>
      <c r="J334" t="s">
        <v>2480</v>
      </c>
      <c r="K334" t="str">
        <f>+VLOOKUP(C334,'[1]TIENDAS 2025'!$A$1:$C$143,3,0)</f>
        <v>departamental</v>
      </c>
      <c r="L334" t="str">
        <f>+VLOOKUP(C334,[2]Hoja1!$A$1:$B$138,2,0)</f>
        <v>APROBAR</v>
      </c>
      <c r="M334">
        <v>1</v>
      </c>
      <c r="N334" t="e">
        <v>#N/A</v>
      </c>
    </row>
    <row r="335" spans="1:14" ht="15" customHeight="1" x14ac:dyDescent="0.3">
      <c r="A335" s="3">
        <v>8209657304</v>
      </c>
      <c r="B335" s="3" t="s">
        <v>389</v>
      </c>
      <c r="C335" s="3" t="s">
        <v>390</v>
      </c>
      <c r="D335" s="4">
        <v>46307.398541666698</v>
      </c>
      <c r="E335" s="5" t="s">
        <v>10</v>
      </c>
      <c r="F335" s="5" t="s">
        <v>16</v>
      </c>
      <c r="G335" s="5">
        <v>1</v>
      </c>
      <c r="H335" s="8" t="s">
        <v>12</v>
      </c>
      <c r="I335" t="s">
        <v>392</v>
      </c>
      <c r="K335" t="str">
        <f>+VLOOKUP(C335,'[1]TIENDAS 2025'!$A$1:$C$143,3,0)</f>
        <v>departamental</v>
      </c>
      <c r="L335" t="str">
        <f>+VLOOKUP(C335,[2]Hoja1!$A$1:$B$138,2,0)</f>
        <v>APROBAR</v>
      </c>
      <c r="M335">
        <v>1</v>
      </c>
      <c r="N335" t="e">
        <v>#N/A</v>
      </c>
    </row>
    <row r="336" spans="1:14" ht="15" customHeight="1" x14ac:dyDescent="0.3">
      <c r="A336" s="3">
        <v>1209657306</v>
      </c>
      <c r="B336" s="3" t="s">
        <v>389</v>
      </c>
      <c r="C336" s="3" t="s">
        <v>390</v>
      </c>
      <c r="D336" s="4">
        <v>46307.398553240702</v>
      </c>
      <c r="E336" s="5" t="s">
        <v>10</v>
      </c>
      <c r="F336" s="5" t="s">
        <v>11</v>
      </c>
      <c r="G336" s="5">
        <v>2</v>
      </c>
      <c r="H336" s="6" t="s">
        <v>12</v>
      </c>
      <c r="I336" t="s">
        <v>393</v>
      </c>
      <c r="J336" t="s">
        <v>2480</v>
      </c>
      <c r="K336" t="str">
        <f>+VLOOKUP(C336,'[1]TIENDAS 2025'!$A$1:$C$143,3,0)</f>
        <v>departamental</v>
      </c>
      <c r="L336" t="str">
        <f>+VLOOKUP(C336,[2]Hoja1!$A$1:$B$138,2,0)</f>
        <v>APROBAR</v>
      </c>
      <c r="M336">
        <v>1</v>
      </c>
      <c r="N336" t="e">
        <v>#N/A</v>
      </c>
    </row>
    <row r="337" spans="1:14" ht="15" customHeight="1" x14ac:dyDescent="0.3">
      <c r="A337" s="3">
        <v>1209657308</v>
      </c>
      <c r="B337" s="3" t="s">
        <v>389</v>
      </c>
      <c r="C337" s="3" t="s">
        <v>390</v>
      </c>
      <c r="D337" s="4">
        <v>46307.398564814801</v>
      </c>
      <c r="E337" s="5" t="s">
        <v>10</v>
      </c>
      <c r="F337" s="5" t="s">
        <v>11</v>
      </c>
      <c r="G337" s="5">
        <v>15</v>
      </c>
      <c r="H337" s="6" t="s">
        <v>12</v>
      </c>
      <c r="I337" t="s">
        <v>394</v>
      </c>
      <c r="J337" t="s">
        <v>2480</v>
      </c>
      <c r="K337" t="str">
        <f>+VLOOKUP(C337,'[1]TIENDAS 2025'!$A$1:$C$143,3,0)</f>
        <v>departamental</v>
      </c>
      <c r="L337" t="str">
        <f>+VLOOKUP(C337,[2]Hoja1!$A$1:$B$138,2,0)</f>
        <v>APROBAR</v>
      </c>
      <c r="M337">
        <v>1</v>
      </c>
      <c r="N337" t="e">
        <v>#N/A</v>
      </c>
    </row>
    <row r="338" spans="1:14" ht="15" customHeight="1" x14ac:dyDescent="0.3">
      <c r="A338" s="3">
        <v>1209657374</v>
      </c>
      <c r="B338" s="3" t="s">
        <v>396</v>
      </c>
      <c r="C338" s="3" t="s">
        <v>397</v>
      </c>
      <c r="D338" s="4">
        <v>46307.398587962998</v>
      </c>
      <c r="E338" s="5" t="s">
        <v>10</v>
      </c>
      <c r="F338" s="5" t="s">
        <v>11</v>
      </c>
      <c r="G338" s="5">
        <v>2</v>
      </c>
      <c r="H338" s="6" t="s">
        <v>12</v>
      </c>
      <c r="I338" t="s">
        <v>395</v>
      </c>
      <c r="J338" t="s">
        <v>2480</v>
      </c>
      <c r="K338" t="str">
        <f>+VLOOKUP(C338,'[1]TIENDAS 2025'!$A$1:$C$143,3,0)</f>
        <v>local</v>
      </c>
      <c r="L338" t="str">
        <f>+VLOOKUP(C338,[2]Hoja1!$A$1:$B$138,2,0)</f>
        <v>APROBAR</v>
      </c>
      <c r="M338">
        <v>1</v>
      </c>
      <c r="N338" t="e">
        <v>#N/A</v>
      </c>
    </row>
    <row r="339" spans="1:14" ht="15" customHeight="1" x14ac:dyDescent="0.3">
      <c r="A339" s="3">
        <v>1209657375</v>
      </c>
      <c r="B339" s="3" t="s">
        <v>396</v>
      </c>
      <c r="C339" s="3" t="s">
        <v>397</v>
      </c>
      <c r="D339" s="4">
        <v>46307.398599537002</v>
      </c>
      <c r="E339" s="5" t="s">
        <v>10</v>
      </c>
      <c r="F339" s="5" t="s">
        <v>11</v>
      </c>
      <c r="G339" s="5">
        <v>3</v>
      </c>
      <c r="H339" s="6" t="s">
        <v>12</v>
      </c>
      <c r="I339" t="s">
        <v>398</v>
      </c>
      <c r="J339" t="s">
        <v>2480</v>
      </c>
      <c r="K339" t="str">
        <f>+VLOOKUP(C339,'[1]TIENDAS 2025'!$A$1:$C$143,3,0)</f>
        <v>local</v>
      </c>
      <c r="L339" t="str">
        <f>+VLOOKUP(C339,[2]Hoja1!$A$1:$B$138,2,0)</f>
        <v>APROBAR</v>
      </c>
      <c r="M339">
        <v>1</v>
      </c>
      <c r="N339" t="e">
        <v>#N/A</v>
      </c>
    </row>
    <row r="340" spans="1:14" ht="15" customHeight="1" x14ac:dyDescent="0.3">
      <c r="A340" s="3">
        <v>1209657443</v>
      </c>
      <c r="B340" s="3" t="s">
        <v>400</v>
      </c>
      <c r="C340" s="3" t="s">
        <v>401</v>
      </c>
      <c r="D340" s="4">
        <v>46307.398611111101</v>
      </c>
      <c r="E340" s="5" t="s">
        <v>10</v>
      </c>
      <c r="F340" s="5" t="s">
        <v>11</v>
      </c>
      <c r="G340" s="5">
        <v>5</v>
      </c>
      <c r="H340" s="6" t="s">
        <v>12</v>
      </c>
      <c r="I340" t="s">
        <v>399</v>
      </c>
      <c r="J340" t="s">
        <v>2480</v>
      </c>
      <c r="K340" t="str">
        <f>+VLOOKUP(C340,'[1]TIENDAS 2025'!$A$1:$C$143,3,0)</f>
        <v>local</v>
      </c>
      <c r="L340" t="str">
        <f>+VLOOKUP(C340,[2]Hoja1!$A$1:$B$138,2,0)</f>
        <v>APROBAR</v>
      </c>
      <c r="M340">
        <v>1</v>
      </c>
      <c r="N340" t="e">
        <v>#N/A</v>
      </c>
    </row>
    <row r="341" spans="1:14" ht="15" customHeight="1" x14ac:dyDescent="0.3">
      <c r="A341" s="3">
        <v>1209657447</v>
      </c>
      <c r="B341" s="3" t="s">
        <v>400</v>
      </c>
      <c r="C341" s="3" t="s">
        <v>401</v>
      </c>
      <c r="D341" s="4">
        <v>46307.398622685199</v>
      </c>
      <c r="E341" s="5" t="s">
        <v>10</v>
      </c>
      <c r="F341" s="5" t="s">
        <v>16</v>
      </c>
      <c r="G341" s="5">
        <v>23</v>
      </c>
      <c r="H341" s="6" t="s">
        <v>12</v>
      </c>
      <c r="I341" t="s">
        <v>402</v>
      </c>
      <c r="J341" t="s">
        <v>2480</v>
      </c>
      <c r="K341" t="str">
        <f>+VLOOKUP(C341,'[1]TIENDAS 2025'!$A$1:$C$143,3,0)</f>
        <v>local</v>
      </c>
      <c r="L341" t="str">
        <f>+VLOOKUP(C341,[2]Hoja1!$A$1:$B$138,2,0)</f>
        <v>APROBAR</v>
      </c>
      <c r="M341">
        <v>1</v>
      </c>
      <c r="N341" t="e">
        <v>#N/A</v>
      </c>
    </row>
    <row r="342" spans="1:14" ht="15" customHeight="1" x14ac:dyDescent="0.3">
      <c r="A342" s="3">
        <v>1209657448</v>
      </c>
      <c r="B342" s="3" t="s">
        <v>400</v>
      </c>
      <c r="C342" s="3" t="s">
        <v>401</v>
      </c>
      <c r="D342" s="4">
        <v>46307.398634259298</v>
      </c>
      <c r="E342" s="5" t="s">
        <v>10</v>
      </c>
      <c r="F342" s="5" t="s">
        <v>17</v>
      </c>
      <c r="G342" s="5">
        <v>20</v>
      </c>
      <c r="H342" s="6" t="s">
        <v>12</v>
      </c>
      <c r="I342" t="s">
        <v>403</v>
      </c>
      <c r="J342" t="s">
        <v>2480</v>
      </c>
      <c r="K342" t="str">
        <f>+VLOOKUP(C342,'[1]TIENDAS 2025'!$A$1:$C$143,3,0)</f>
        <v>local</v>
      </c>
      <c r="L342" t="str">
        <f>+VLOOKUP(C342,[2]Hoja1!$A$1:$B$138,2,0)</f>
        <v>APROBAR</v>
      </c>
      <c r="M342">
        <v>1</v>
      </c>
      <c r="N342" t="e">
        <v>#N/A</v>
      </c>
    </row>
    <row r="343" spans="1:14" ht="15" customHeight="1" x14ac:dyDescent="0.3">
      <c r="A343" s="3">
        <v>1209657411</v>
      </c>
      <c r="B343" s="3" t="s">
        <v>405</v>
      </c>
      <c r="C343" s="3" t="s">
        <v>406</v>
      </c>
      <c r="D343" s="4">
        <v>46307.398657407401</v>
      </c>
      <c r="E343" s="5" t="s">
        <v>10</v>
      </c>
      <c r="F343" s="5" t="s">
        <v>17</v>
      </c>
      <c r="G343" s="5">
        <v>5</v>
      </c>
      <c r="H343" s="6" t="s">
        <v>12</v>
      </c>
      <c r="I343" t="s">
        <v>404</v>
      </c>
      <c r="J343" t="s">
        <v>2480</v>
      </c>
      <c r="K343" t="str">
        <f>+VLOOKUP(C343,'[1]TIENDAS 2025'!$A$1:$C$143,3,0)</f>
        <v>local</v>
      </c>
      <c r="L343" t="str">
        <f>+VLOOKUP(C343,[2]Hoja1!$A$1:$B$138,2,0)</f>
        <v>APROBAR</v>
      </c>
      <c r="M343">
        <v>1</v>
      </c>
      <c r="N343" t="e">
        <v>#N/A</v>
      </c>
    </row>
    <row r="344" spans="1:14" ht="15" customHeight="1" x14ac:dyDescent="0.3">
      <c r="A344" s="3">
        <v>8209657325</v>
      </c>
      <c r="B344" s="3" t="s">
        <v>408</v>
      </c>
      <c r="C344" s="3" t="s">
        <v>409</v>
      </c>
      <c r="D344" s="4">
        <v>46307.398668981499</v>
      </c>
      <c r="E344" s="5" t="s">
        <v>10</v>
      </c>
      <c r="F344" s="5" t="s">
        <v>16</v>
      </c>
      <c r="G344" s="5">
        <v>1</v>
      </c>
      <c r="H344" s="8" t="s">
        <v>12</v>
      </c>
      <c r="I344" t="s">
        <v>407</v>
      </c>
      <c r="K344" t="str">
        <f>+VLOOKUP(C344,'[1]TIENDAS 2025'!$A$1:$C$143,3,0)</f>
        <v>local</v>
      </c>
      <c r="L344" t="str">
        <f>+VLOOKUP(C344,[2]Hoja1!$A$1:$B$138,2,0)</f>
        <v>APROBAR</v>
      </c>
      <c r="M344">
        <v>1</v>
      </c>
      <c r="N344" t="e">
        <v>#N/A</v>
      </c>
    </row>
    <row r="345" spans="1:14" ht="15" customHeight="1" x14ac:dyDescent="0.3">
      <c r="A345" s="3">
        <v>8209657300</v>
      </c>
      <c r="B345" s="3" t="s">
        <v>389</v>
      </c>
      <c r="C345" s="3" t="s">
        <v>390</v>
      </c>
      <c r="D345" s="4">
        <v>46307.398668981499</v>
      </c>
      <c r="E345" s="5" t="s">
        <v>10</v>
      </c>
      <c r="F345" s="5" t="s">
        <v>16</v>
      </c>
      <c r="G345" s="5">
        <v>2</v>
      </c>
      <c r="H345" s="8" t="s">
        <v>12</v>
      </c>
      <c r="I345" t="s">
        <v>410</v>
      </c>
      <c r="K345" t="str">
        <f>+VLOOKUP(C345,'[1]TIENDAS 2025'!$A$1:$C$143,3,0)</f>
        <v>departamental</v>
      </c>
      <c r="L345" t="str">
        <f>+VLOOKUP(C345,[2]Hoja1!$A$1:$B$138,2,0)</f>
        <v>APROBAR</v>
      </c>
      <c r="M345">
        <v>1</v>
      </c>
      <c r="N345" t="e">
        <v>#N/A</v>
      </c>
    </row>
    <row r="346" spans="1:14" ht="15" customHeight="1" x14ac:dyDescent="0.3">
      <c r="A346" s="3">
        <v>1209657336</v>
      </c>
      <c r="B346" s="3" t="s">
        <v>408</v>
      </c>
      <c r="C346" s="3" t="s">
        <v>409</v>
      </c>
      <c r="D346" s="4">
        <v>46307.398692129602</v>
      </c>
      <c r="E346" s="5" t="s">
        <v>10</v>
      </c>
      <c r="F346" s="5" t="s">
        <v>11</v>
      </c>
      <c r="G346" s="5">
        <v>40</v>
      </c>
      <c r="H346" s="6" t="s">
        <v>12</v>
      </c>
      <c r="I346" t="s">
        <v>411</v>
      </c>
      <c r="J346" t="s">
        <v>2480</v>
      </c>
      <c r="K346" t="str">
        <f>+VLOOKUP(C346,'[1]TIENDAS 2025'!$A$1:$C$143,3,0)</f>
        <v>local</v>
      </c>
      <c r="L346" t="str">
        <f>+VLOOKUP(C346,[2]Hoja1!$A$1:$B$138,2,0)</f>
        <v>APROBAR</v>
      </c>
      <c r="M346">
        <v>1</v>
      </c>
      <c r="N346" t="e">
        <v>#N/A</v>
      </c>
    </row>
    <row r="347" spans="1:14" ht="15" customHeight="1" x14ac:dyDescent="0.3">
      <c r="A347" s="3">
        <v>8209657305</v>
      </c>
      <c r="B347" s="3" t="s">
        <v>389</v>
      </c>
      <c r="C347" s="3" t="s">
        <v>390</v>
      </c>
      <c r="D347" s="4">
        <v>46307.3987037037</v>
      </c>
      <c r="E347" s="5" t="s">
        <v>10</v>
      </c>
      <c r="F347" s="5" t="s">
        <v>16</v>
      </c>
      <c r="G347" s="5">
        <v>1</v>
      </c>
      <c r="H347" s="8" t="s">
        <v>12</v>
      </c>
      <c r="I347" t="s">
        <v>412</v>
      </c>
      <c r="K347" t="str">
        <f>+VLOOKUP(C347,'[1]TIENDAS 2025'!$A$1:$C$143,3,0)</f>
        <v>departamental</v>
      </c>
      <c r="L347" t="str">
        <f>+VLOOKUP(C347,[2]Hoja1!$A$1:$B$138,2,0)</f>
        <v>APROBAR</v>
      </c>
      <c r="M347">
        <v>1</v>
      </c>
      <c r="N347" t="e">
        <v>#N/A</v>
      </c>
    </row>
    <row r="348" spans="1:14" ht="15" customHeight="1" x14ac:dyDescent="0.3">
      <c r="A348" s="3">
        <v>1209657376</v>
      </c>
      <c r="B348" s="3" t="s">
        <v>396</v>
      </c>
      <c r="C348" s="3" t="s">
        <v>397</v>
      </c>
      <c r="D348" s="4">
        <v>46307.398726851898</v>
      </c>
      <c r="E348" s="5" t="s">
        <v>10</v>
      </c>
      <c r="F348" s="5" t="s">
        <v>11</v>
      </c>
      <c r="G348" s="5">
        <v>6</v>
      </c>
      <c r="H348" s="6" t="s">
        <v>12</v>
      </c>
      <c r="I348" t="s">
        <v>413</v>
      </c>
      <c r="J348" t="s">
        <v>2480</v>
      </c>
      <c r="K348" t="str">
        <f>+VLOOKUP(C348,'[1]TIENDAS 2025'!$A$1:$C$143,3,0)</f>
        <v>local</v>
      </c>
      <c r="L348" t="str">
        <f>+VLOOKUP(C348,[2]Hoja1!$A$1:$B$138,2,0)</f>
        <v>APROBAR</v>
      </c>
      <c r="M348">
        <v>1</v>
      </c>
      <c r="N348" t="e">
        <v>#N/A</v>
      </c>
    </row>
    <row r="349" spans="1:14" ht="15" customHeight="1" x14ac:dyDescent="0.3">
      <c r="A349" s="3">
        <v>1209657378</v>
      </c>
      <c r="B349" s="3" t="s">
        <v>396</v>
      </c>
      <c r="C349" s="3" t="s">
        <v>397</v>
      </c>
      <c r="D349" s="4">
        <v>46307.398726851898</v>
      </c>
      <c r="E349" s="5" t="s">
        <v>10</v>
      </c>
      <c r="F349" s="5" t="s">
        <v>11</v>
      </c>
      <c r="G349" s="5">
        <v>3</v>
      </c>
      <c r="H349" s="6" t="s">
        <v>12</v>
      </c>
      <c r="I349" t="s">
        <v>414</v>
      </c>
      <c r="J349" t="s">
        <v>2480</v>
      </c>
      <c r="K349" t="str">
        <f>+VLOOKUP(C349,'[1]TIENDAS 2025'!$A$1:$C$143,3,0)</f>
        <v>local</v>
      </c>
      <c r="L349" t="str">
        <f>+VLOOKUP(C349,[2]Hoja1!$A$1:$B$138,2,0)</f>
        <v>APROBAR</v>
      </c>
      <c r="M349">
        <v>1</v>
      </c>
      <c r="N349" t="e">
        <v>#N/A</v>
      </c>
    </row>
    <row r="350" spans="1:14" ht="15" customHeight="1" x14ac:dyDescent="0.3">
      <c r="A350" s="3">
        <v>1209657446</v>
      </c>
      <c r="B350" s="3" t="s">
        <v>400</v>
      </c>
      <c r="C350" s="3" t="s">
        <v>401</v>
      </c>
      <c r="D350" s="4">
        <v>46307.398738425902</v>
      </c>
      <c r="E350" s="5" t="s">
        <v>10</v>
      </c>
      <c r="F350" s="5" t="s">
        <v>11</v>
      </c>
      <c r="G350" s="5">
        <v>17</v>
      </c>
      <c r="H350" s="6" t="s">
        <v>12</v>
      </c>
      <c r="I350" t="s">
        <v>415</v>
      </c>
      <c r="J350" t="s">
        <v>2480</v>
      </c>
      <c r="K350" t="str">
        <f>+VLOOKUP(C350,'[1]TIENDAS 2025'!$A$1:$C$143,3,0)</f>
        <v>local</v>
      </c>
      <c r="L350" t="str">
        <f>+VLOOKUP(C350,[2]Hoja1!$A$1:$B$138,2,0)</f>
        <v>APROBAR</v>
      </c>
      <c r="M350">
        <v>1</v>
      </c>
      <c r="N350" t="e">
        <v>#N/A</v>
      </c>
    </row>
    <row r="351" spans="1:14" ht="15" customHeight="1" x14ac:dyDescent="0.3">
      <c r="A351" s="3">
        <v>8209657327</v>
      </c>
      <c r="B351" s="3" t="s">
        <v>408</v>
      </c>
      <c r="C351" s="3" t="s">
        <v>409</v>
      </c>
      <c r="D351" s="4">
        <v>46307.398761574099</v>
      </c>
      <c r="E351" s="5" t="s">
        <v>10</v>
      </c>
      <c r="F351" s="5" t="s">
        <v>16</v>
      </c>
      <c r="G351" s="5">
        <v>24</v>
      </c>
      <c r="H351" s="8" t="s">
        <v>12</v>
      </c>
      <c r="I351" t="s">
        <v>416</v>
      </c>
      <c r="K351" t="str">
        <f>+VLOOKUP(C351,'[1]TIENDAS 2025'!$A$1:$C$143,3,0)</f>
        <v>local</v>
      </c>
      <c r="L351" t="str">
        <f>+VLOOKUP(C351,[2]Hoja1!$A$1:$B$138,2,0)</f>
        <v>APROBAR</v>
      </c>
      <c r="M351">
        <v>1</v>
      </c>
      <c r="N351" t="e">
        <v>#N/A</v>
      </c>
    </row>
    <row r="352" spans="1:14" ht="15" customHeight="1" x14ac:dyDescent="0.3">
      <c r="A352" s="3">
        <v>1209657329</v>
      </c>
      <c r="B352" s="3" t="s">
        <v>408</v>
      </c>
      <c r="C352" s="3" t="s">
        <v>409</v>
      </c>
      <c r="D352" s="4">
        <v>46307.398773148103</v>
      </c>
      <c r="E352" s="5" t="s">
        <v>10</v>
      </c>
      <c r="F352" s="5" t="s">
        <v>17</v>
      </c>
      <c r="G352" s="5">
        <v>4</v>
      </c>
      <c r="H352" s="6" t="s">
        <v>12</v>
      </c>
      <c r="I352" t="s">
        <v>417</v>
      </c>
      <c r="J352" t="s">
        <v>2480</v>
      </c>
      <c r="K352" t="str">
        <f>+VLOOKUP(C352,'[1]TIENDAS 2025'!$A$1:$C$143,3,0)</f>
        <v>local</v>
      </c>
      <c r="L352" t="str">
        <f>+VLOOKUP(C352,[2]Hoja1!$A$1:$B$138,2,0)</f>
        <v>APROBAR</v>
      </c>
      <c r="M352">
        <v>1</v>
      </c>
      <c r="N352" t="e">
        <v>#N/A</v>
      </c>
    </row>
    <row r="353" spans="1:14" ht="15" customHeight="1" x14ac:dyDescent="0.3">
      <c r="A353" s="3">
        <v>1209657331</v>
      </c>
      <c r="B353" s="3" t="s">
        <v>408</v>
      </c>
      <c r="C353" s="3" t="s">
        <v>409</v>
      </c>
      <c r="D353" s="4">
        <v>46307.398784722202</v>
      </c>
      <c r="E353" s="5" t="s">
        <v>10</v>
      </c>
      <c r="F353" s="5" t="s">
        <v>11</v>
      </c>
      <c r="G353" s="5">
        <v>29</v>
      </c>
      <c r="H353" s="6" t="s">
        <v>12</v>
      </c>
      <c r="I353" t="s">
        <v>418</v>
      </c>
      <c r="J353" t="s">
        <v>2480</v>
      </c>
      <c r="K353" t="str">
        <f>+VLOOKUP(C353,'[1]TIENDAS 2025'!$A$1:$C$143,3,0)</f>
        <v>local</v>
      </c>
      <c r="L353" t="str">
        <f>+VLOOKUP(C353,[2]Hoja1!$A$1:$B$138,2,0)</f>
        <v>APROBAR</v>
      </c>
      <c r="M353">
        <v>1</v>
      </c>
      <c r="N353" t="e">
        <v>#N/A</v>
      </c>
    </row>
    <row r="354" spans="1:14" ht="15" customHeight="1" x14ac:dyDescent="0.3">
      <c r="A354" s="3">
        <v>1209657315</v>
      </c>
      <c r="B354" s="3" t="s">
        <v>389</v>
      </c>
      <c r="C354" s="3" t="s">
        <v>390</v>
      </c>
      <c r="D354" s="4">
        <v>46307.3987962963</v>
      </c>
      <c r="E354" s="5" t="s">
        <v>10</v>
      </c>
      <c r="F354" s="5" t="s">
        <v>11</v>
      </c>
      <c r="G354" s="5">
        <v>59</v>
      </c>
      <c r="H354" s="6" t="s">
        <v>12</v>
      </c>
      <c r="I354" t="s">
        <v>419</v>
      </c>
      <c r="J354" t="s">
        <v>2480</v>
      </c>
      <c r="K354" t="str">
        <f>+VLOOKUP(C354,'[1]TIENDAS 2025'!$A$1:$C$143,3,0)</f>
        <v>departamental</v>
      </c>
      <c r="L354" t="str">
        <f>+VLOOKUP(C354,[2]Hoja1!$A$1:$B$138,2,0)</f>
        <v>APROBAR</v>
      </c>
      <c r="M354">
        <v>1</v>
      </c>
      <c r="N354" t="e">
        <v>#N/A</v>
      </c>
    </row>
    <row r="355" spans="1:14" ht="15" customHeight="1" x14ac:dyDescent="0.3">
      <c r="A355" s="3">
        <v>1209657309</v>
      </c>
      <c r="B355" s="3" t="s">
        <v>389</v>
      </c>
      <c r="C355" s="3" t="s">
        <v>390</v>
      </c>
      <c r="D355" s="4">
        <v>46307.398807870399</v>
      </c>
      <c r="E355" s="5" t="s">
        <v>10</v>
      </c>
      <c r="F355" s="5" t="s">
        <v>17</v>
      </c>
      <c r="G355" s="5">
        <v>16</v>
      </c>
      <c r="H355" s="6" t="s">
        <v>12</v>
      </c>
      <c r="I355" t="s">
        <v>420</v>
      </c>
      <c r="J355" t="s">
        <v>2480</v>
      </c>
      <c r="K355" t="str">
        <f>+VLOOKUP(C355,'[1]TIENDAS 2025'!$A$1:$C$143,3,0)</f>
        <v>departamental</v>
      </c>
      <c r="L355" t="str">
        <f>+VLOOKUP(C355,[2]Hoja1!$A$1:$B$138,2,0)</f>
        <v>APROBAR</v>
      </c>
      <c r="M355">
        <v>1</v>
      </c>
      <c r="N355" t="e">
        <v>#N/A</v>
      </c>
    </row>
    <row r="356" spans="1:14" ht="15" customHeight="1" x14ac:dyDescent="0.3">
      <c r="A356" s="3">
        <v>1209657367</v>
      </c>
      <c r="B356" s="3" t="s">
        <v>396</v>
      </c>
      <c r="C356" s="3" t="s">
        <v>397</v>
      </c>
      <c r="D356" s="4">
        <v>46307.398831018501</v>
      </c>
      <c r="E356" s="5" t="s">
        <v>10</v>
      </c>
      <c r="F356" s="5" t="s">
        <v>11</v>
      </c>
      <c r="G356" s="5">
        <v>2</v>
      </c>
      <c r="H356" s="6" t="s">
        <v>12</v>
      </c>
      <c r="I356" t="s">
        <v>421</v>
      </c>
      <c r="J356" t="s">
        <v>2480</v>
      </c>
      <c r="K356" t="str">
        <f>+VLOOKUP(C356,'[1]TIENDAS 2025'!$A$1:$C$143,3,0)</f>
        <v>local</v>
      </c>
      <c r="L356" t="str">
        <f>+VLOOKUP(C356,[2]Hoja1!$A$1:$B$138,2,0)</f>
        <v>APROBAR</v>
      </c>
      <c r="M356">
        <v>1</v>
      </c>
      <c r="N356" t="e">
        <v>#N/A</v>
      </c>
    </row>
    <row r="357" spans="1:14" ht="15" customHeight="1" x14ac:dyDescent="0.3">
      <c r="A357" s="3">
        <v>8209657372</v>
      </c>
      <c r="B357" s="3" t="s">
        <v>396</v>
      </c>
      <c r="C357" s="3" t="s">
        <v>397</v>
      </c>
      <c r="D357" s="4">
        <v>46307.3988425926</v>
      </c>
      <c r="E357" s="5" t="s">
        <v>10</v>
      </c>
      <c r="F357" s="5" t="s">
        <v>16</v>
      </c>
      <c r="G357" s="5">
        <v>2</v>
      </c>
      <c r="H357" s="8" t="s">
        <v>12</v>
      </c>
      <c r="I357" t="s">
        <v>422</v>
      </c>
      <c r="K357" t="str">
        <f>+VLOOKUP(C357,'[1]TIENDAS 2025'!$A$1:$C$143,3,0)</f>
        <v>local</v>
      </c>
      <c r="L357" t="str">
        <f>+VLOOKUP(C357,[2]Hoja1!$A$1:$B$138,2,0)</f>
        <v>APROBAR</v>
      </c>
      <c r="M357">
        <v>1</v>
      </c>
      <c r="N357" t="e">
        <v>#N/A</v>
      </c>
    </row>
    <row r="358" spans="1:14" ht="15" customHeight="1" x14ac:dyDescent="0.3">
      <c r="A358" s="3">
        <v>8209657438</v>
      </c>
      <c r="B358" s="3" t="s">
        <v>400</v>
      </c>
      <c r="C358" s="3" t="s">
        <v>401</v>
      </c>
      <c r="D358" s="4">
        <v>46307.398854166699</v>
      </c>
      <c r="E358" s="5" t="s">
        <v>10</v>
      </c>
      <c r="F358" s="5" t="s">
        <v>16</v>
      </c>
      <c r="G358" s="5">
        <v>2</v>
      </c>
      <c r="H358" s="8" t="s">
        <v>12</v>
      </c>
      <c r="I358" t="s">
        <v>423</v>
      </c>
      <c r="K358" t="str">
        <f>+VLOOKUP(C358,'[1]TIENDAS 2025'!$A$1:$C$143,3,0)</f>
        <v>local</v>
      </c>
      <c r="L358" t="str">
        <f>+VLOOKUP(C358,[2]Hoja1!$A$1:$B$138,2,0)</f>
        <v>APROBAR</v>
      </c>
      <c r="M358">
        <v>1</v>
      </c>
      <c r="N358" t="e">
        <v>#N/A</v>
      </c>
    </row>
    <row r="359" spans="1:14" ht="15" customHeight="1" x14ac:dyDescent="0.3">
      <c r="A359" s="3">
        <v>8209657439</v>
      </c>
      <c r="B359" s="3" t="s">
        <v>400</v>
      </c>
      <c r="C359" s="3" t="s">
        <v>401</v>
      </c>
      <c r="D359" s="4">
        <v>46307.398865740703</v>
      </c>
      <c r="E359" s="5" t="s">
        <v>10</v>
      </c>
      <c r="F359" s="5" t="s">
        <v>16</v>
      </c>
      <c r="G359" s="5">
        <v>2</v>
      </c>
      <c r="H359" s="8" t="s">
        <v>12</v>
      </c>
      <c r="I359" t="s">
        <v>424</v>
      </c>
      <c r="K359" t="str">
        <f>+VLOOKUP(C359,'[1]TIENDAS 2025'!$A$1:$C$143,3,0)</f>
        <v>local</v>
      </c>
      <c r="L359" t="str">
        <f>+VLOOKUP(C359,[2]Hoja1!$A$1:$B$138,2,0)</f>
        <v>APROBAR</v>
      </c>
      <c r="M359">
        <v>1</v>
      </c>
      <c r="N359" t="e">
        <v>#N/A</v>
      </c>
    </row>
    <row r="360" spans="1:14" ht="15" customHeight="1" x14ac:dyDescent="0.3">
      <c r="A360" s="3">
        <v>8209657440</v>
      </c>
      <c r="B360" s="3" t="s">
        <v>400</v>
      </c>
      <c r="C360" s="3" t="s">
        <v>401</v>
      </c>
      <c r="D360" s="4">
        <v>46307.398877314801</v>
      </c>
      <c r="E360" s="5" t="s">
        <v>10</v>
      </c>
      <c r="F360" s="5" t="s">
        <v>16</v>
      </c>
      <c r="G360" s="5">
        <v>3</v>
      </c>
      <c r="H360" s="8" t="s">
        <v>12</v>
      </c>
      <c r="I360" t="s">
        <v>425</v>
      </c>
      <c r="K360" t="str">
        <f>+VLOOKUP(C360,'[1]TIENDAS 2025'!$A$1:$C$143,3,0)</f>
        <v>local</v>
      </c>
      <c r="L360" t="str">
        <f>+VLOOKUP(C360,[2]Hoja1!$A$1:$B$138,2,0)</f>
        <v>APROBAR</v>
      </c>
      <c r="M360">
        <v>1</v>
      </c>
      <c r="N360" t="e">
        <v>#N/A</v>
      </c>
    </row>
    <row r="361" spans="1:14" ht="15" customHeight="1" x14ac:dyDescent="0.3">
      <c r="A361" s="3">
        <v>8209657290</v>
      </c>
      <c r="B361" s="3" t="s">
        <v>389</v>
      </c>
      <c r="C361" s="3" t="s">
        <v>390</v>
      </c>
      <c r="D361" s="4">
        <v>46307.3988888889</v>
      </c>
      <c r="E361" s="5" t="s">
        <v>10</v>
      </c>
      <c r="F361" s="5" t="s">
        <v>16</v>
      </c>
      <c r="G361" s="5">
        <v>7</v>
      </c>
      <c r="H361" s="8" t="s">
        <v>12</v>
      </c>
      <c r="I361" t="s">
        <v>426</v>
      </c>
      <c r="K361" t="str">
        <f>+VLOOKUP(C361,'[1]TIENDAS 2025'!$A$1:$C$143,3,0)</f>
        <v>departamental</v>
      </c>
      <c r="L361" t="str">
        <f>+VLOOKUP(C361,[2]Hoja1!$A$1:$B$138,2,0)</f>
        <v>APROBAR</v>
      </c>
      <c r="M361">
        <v>1</v>
      </c>
      <c r="N361" t="e">
        <v>#N/A</v>
      </c>
    </row>
    <row r="362" spans="1:14" ht="15" customHeight="1" x14ac:dyDescent="0.3">
      <c r="A362" s="3">
        <v>1209657330</v>
      </c>
      <c r="B362" s="3" t="s">
        <v>408</v>
      </c>
      <c r="C362" s="3" t="s">
        <v>409</v>
      </c>
      <c r="D362" s="4">
        <v>46307.398912037002</v>
      </c>
      <c r="E362" s="5" t="s">
        <v>10</v>
      </c>
      <c r="F362" s="5" t="s">
        <v>11</v>
      </c>
      <c r="G362" s="5">
        <v>11</v>
      </c>
      <c r="H362" s="6" t="s">
        <v>12</v>
      </c>
      <c r="I362" t="s">
        <v>427</v>
      </c>
      <c r="J362" t="s">
        <v>2480</v>
      </c>
      <c r="K362" t="str">
        <f>+VLOOKUP(C362,'[1]TIENDAS 2025'!$A$1:$C$143,3,0)</f>
        <v>local</v>
      </c>
      <c r="L362" t="str">
        <f>+VLOOKUP(C362,[2]Hoja1!$A$1:$B$138,2,0)</f>
        <v>APROBAR</v>
      </c>
      <c r="M362">
        <v>1</v>
      </c>
      <c r="N362" t="e">
        <v>#N/A</v>
      </c>
    </row>
    <row r="363" spans="1:14" ht="15" customHeight="1" x14ac:dyDescent="0.3">
      <c r="A363" s="3">
        <v>8209657364</v>
      </c>
      <c r="B363" s="3" t="s">
        <v>396</v>
      </c>
      <c r="C363" s="3" t="s">
        <v>397</v>
      </c>
      <c r="D363" s="4">
        <v>46307.398923611101</v>
      </c>
      <c r="E363" s="5" t="s">
        <v>10</v>
      </c>
      <c r="F363" s="5" t="s">
        <v>16</v>
      </c>
      <c r="G363" s="5">
        <v>2</v>
      </c>
      <c r="H363" s="8" t="s">
        <v>12</v>
      </c>
      <c r="I363" t="s">
        <v>428</v>
      </c>
      <c r="K363" t="str">
        <f>+VLOOKUP(C363,'[1]TIENDAS 2025'!$A$1:$C$143,3,0)</f>
        <v>local</v>
      </c>
      <c r="L363" t="str">
        <f>+VLOOKUP(C363,[2]Hoja1!$A$1:$B$138,2,0)</f>
        <v>APROBAR</v>
      </c>
      <c r="M363">
        <v>1</v>
      </c>
      <c r="N363" t="e">
        <v>#N/A</v>
      </c>
    </row>
    <row r="364" spans="1:14" ht="15" customHeight="1" x14ac:dyDescent="0.3">
      <c r="A364" s="3">
        <v>1209657417</v>
      </c>
      <c r="B364" s="3" t="s">
        <v>405</v>
      </c>
      <c r="C364" s="3" t="s">
        <v>406</v>
      </c>
      <c r="D364" s="4">
        <v>46307.3989351852</v>
      </c>
      <c r="E364" s="5" t="s">
        <v>10</v>
      </c>
      <c r="F364" s="5" t="s">
        <v>17</v>
      </c>
      <c r="G364" s="5">
        <v>1</v>
      </c>
      <c r="H364" s="6" t="s">
        <v>12</v>
      </c>
      <c r="I364" t="s">
        <v>429</v>
      </c>
      <c r="J364" t="s">
        <v>2480</v>
      </c>
      <c r="K364" t="str">
        <f>+VLOOKUP(C364,'[1]TIENDAS 2025'!$A$1:$C$143,3,0)</f>
        <v>local</v>
      </c>
      <c r="L364" t="str">
        <f>+VLOOKUP(C364,[2]Hoja1!$A$1:$B$138,2,0)</f>
        <v>APROBAR</v>
      </c>
      <c r="M364">
        <v>1</v>
      </c>
      <c r="N364" t="e">
        <v>#N/A</v>
      </c>
    </row>
    <row r="365" spans="1:14" ht="15" customHeight="1" x14ac:dyDescent="0.3">
      <c r="A365" s="3">
        <v>1209657444</v>
      </c>
      <c r="B365" s="3" t="s">
        <v>400</v>
      </c>
      <c r="C365" s="3" t="s">
        <v>401</v>
      </c>
      <c r="D365" s="4">
        <v>46307.398946759298</v>
      </c>
      <c r="E365" s="5" t="s">
        <v>10</v>
      </c>
      <c r="F365" s="5" t="s">
        <v>11</v>
      </c>
      <c r="G365" s="5">
        <v>9</v>
      </c>
      <c r="H365" s="6" t="s">
        <v>12</v>
      </c>
      <c r="I365" t="s">
        <v>430</v>
      </c>
      <c r="J365" t="s">
        <v>2480</v>
      </c>
      <c r="K365" t="str">
        <f>+VLOOKUP(C365,'[1]TIENDAS 2025'!$A$1:$C$143,3,0)</f>
        <v>local</v>
      </c>
      <c r="L365" t="str">
        <f>+VLOOKUP(C365,[2]Hoja1!$A$1:$B$138,2,0)</f>
        <v>APROBAR</v>
      </c>
      <c r="M365">
        <v>1</v>
      </c>
      <c r="N365" t="e">
        <v>#N/A</v>
      </c>
    </row>
    <row r="366" spans="1:14" ht="15" customHeight="1" x14ac:dyDescent="0.3">
      <c r="A366" s="3">
        <v>1209657445</v>
      </c>
      <c r="B366" s="3" t="s">
        <v>400</v>
      </c>
      <c r="C366" s="3" t="s">
        <v>401</v>
      </c>
      <c r="D366" s="4">
        <v>46307.398958333302</v>
      </c>
      <c r="E366" s="5" t="s">
        <v>10</v>
      </c>
      <c r="F366" s="5" t="s">
        <v>17</v>
      </c>
      <c r="G366" s="5">
        <v>7</v>
      </c>
      <c r="H366" s="6" t="s">
        <v>12</v>
      </c>
      <c r="I366" t="s">
        <v>431</v>
      </c>
      <c r="J366" t="s">
        <v>2480</v>
      </c>
      <c r="K366" t="str">
        <f>+VLOOKUP(C366,'[1]TIENDAS 2025'!$A$1:$C$143,3,0)</f>
        <v>local</v>
      </c>
      <c r="L366" t="str">
        <f>+VLOOKUP(C366,[2]Hoja1!$A$1:$B$138,2,0)</f>
        <v>APROBAR</v>
      </c>
      <c r="M366">
        <v>1</v>
      </c>
      <c r="N366" t="e">
        <v>#N/A</v>
      </c>
    </row>
    <row r="367" spans="1:14" ht="15" customHeight="1" x14ac:dyDescent="0.3">
      <c r="A367" s="3">
        <v>8209657405</v>
      </c>
      <c r="B367" s="3" t="s">
        <v>405</v>
      </c>
      <c r="C367" s="3" t="s">
        <v>406</v>
      </c>
      <c r="D367" s="4">
        <v>46307.3989814815</v>
      </c>
      <c r="E367" s="5" t="s">
        <v>10</v>
      </c>
      <c r="F367" s="5" t="s">
        <v>16</v>
      </c>
      <c r="G367" s="5">
        <v>1</v>
      </c>
      <c r="H367" s="8" t="s">
        <v>12</v>
      </c>
      <c r="I367" t="s">
        <v>432</v>
      </c>
      <c r="K367" t="str">
        <f>+VLOOKUP(C367,'[1]TIENDAS 2025'!$A$1:$C$143,3,0)</f>
        <v>local</v>
      </c>
      <c r="L367" t="str">
        <f>+VLOOKUP(C367,[2]Hoja1!$A$1:$B$138,2,0)</f>
        <v>APROBAR</v>
      </c>
      <c r="M367">
        <v>1</v>
      </c>
      <c r="N367" t="e">
        <v>#N/A</v>
      </c>
    </row>
    <row r="368" spans="1:14" ht="15" customHeight="1" x14ac:dyDescent="0.3">
      <c r="A368" s="3">
        <v>1209657292</v>
      </c>
      <c r="B368" s="3" t="s">
        <v>389</v>
      </c>
      <c r="C368" s="3" t="s">
        <v>390</v>
      </c>
      <c r="D368" s="4">
        <v>46307.398993055598</v>
      </c>
      <c r="E368" s="5" t="s">
        <v>10</v>
      </c>
      <c r="F368" s="5" t="s">
        <v>11</v>
      </c>
      <c r="G368" s="5">
        <v>6</v>
      </c>
      <c r="H368" s="6" t="s">
        <v>12</v>
      </c>
      <c r="I368" t="s">
        <v>433</v>
      </c>
      <c r="J368" t="s">
        <v>2480</v>
      </c>
      <c r="K368" t="str">
        <f>+VLOOKUP(C368,'[1]TIENDAS 2025'!$A$1:$C$143,3,0)</f>
        <v>departamental</v>
      </c>
      <c r="L368" t="str">
        <f>+VLOOKUP(C368,[2]Hoja1!$A$1:$B$138,2,0)</f>
        <v>APROBAR</v>
      </c>
      <c r="M368">
        <v>1</v>
      </c>
      <c r="N368" t="e">
        <v>#N/A</v>
      </c>
    </row>
    <row r="369" spans="1:14" ht="15" customHeight="1" x14ac:dyDescent="0.3">
      <c r="A369" s="3">
        <v>8209657291</v>
      </c>
      <c r="B369" s="3" t="s">
        <v>389</v>
      </c>
      <c r="C369" s="3" t="s">
        <v>390</v>
      </c>
      <c r="D369" s="4">
        <v>46307.398993055598</v>
      </c>
      <c r="E369" s="5" t="s">
        <v>10</v>
      </c>
      <c r="F369" s="5" t="s">
        <v>16</v>
      </c>
      <c r="G369" s="5">
        <v>7</v>
      </c>
      <c r="H369" s="8" t="s">
        <v>12</v>
      </c>
      <c r="I369" t="s">
        <v>434</v>
      </c>
      <c r="K369" t="str">
        <f>+VLOOKUP(C369,'[1]TIENDAS 2025'!$A$1:$C$143,3,0)</f>
        <v>departamental</v>
      </c>
      <c r="L369" t="str">
        <f>+VLOOKUP(C369,[2]Hoja1!$A$1:$B$138,2,0)</f>
        <v>APROBAR</v>
      </c>
      <c r="M369">
        <v>1</v>
      </c>
      <c r="N369" t="e">
        <v>#N/A</v>
      </c>
    </row>
    <row r="370" spans="1:14" ht="15" customHeight="1" x14ac:dyDescent="0.3">
      <c r="A370" s="3">
        <v>8209657326</v>
      </c>
      <c r="B370" s="3" t="s">
        <v>408</v>
      </c>
      <c r="C370" s="3" t="s">
        <v>409</v>
      </c>
      <c r="D370" s="4">
        <v>46307.399016203701</v>
      </c>
      <c r="E370" s="5" t="s">
        <v>10</v>
      </c>
      <c r="F370" s="5" t="s">
        <v>16</v>
      </c>
      <c r="G370" s="5">
        <v>3</v>
      </c>
      <c r="H370" s="8" t="s">
        <v>12</v>
      </c>
      <c r="I370" t="s">
        <v>435</v>
      </c>
      <c r="K370" t="str">
        <f>+VLOOKUP(C370,'[1]TIENDAS 2025'!$A$1:$C$143,3,0)</f>
        <v>local</v>
      </c>
      <c r="L370" t="str">
        <f>+VLOOKUP(C370,[2]Hoja1!$A$1:$B$138,2,0)</f>
        <v>APROBAR</v>
      </c>
      <c r="M370">
        <v>1</v>
      </c>
      <c r="N370" t="e">
        <v>#N/A</v>
      </c>
    </row>
    <row r="371" spans="1:14" ht="15" customHeight="1" x14ac:dyDescent="0.3">
      <c r="A371" s="3">
        <v>1209657414</v>
      </c>
      <c r="B371" s="3" t="s">
        <v>405</v>
      </c>
      <c r="C371" s="3" t="s">
        <v>406</v>
      </c>
      <c r="D371" s="4">
        <v>46307.399027777799</v>
      </c>
      <c r="E371" s="5" t="s">
        <v>10</v>
      </c>
      <c r="F371" s="5" t="s">
        <v>11</v>
      </c>
      <c r="G371" s="5">
        <v>27</v>
      </c>
      <c r="H371" s="6" t="s">
        <v>12</v>
      </c>
      <c r="I371" t="s">
        <v>436</v>
      </c>
      <c r="J371" t="s">
        <v>2480</v>
      </c>
      <c r="K371" t="str">
        <f>+VLOOKUP(C371,'[1]TIENDAS 2025'!$A$1:$C$143,3,0)</f>
        <v>local</v>
      </c>
      <c r="L371" t="str">
        <f>+VLOOKUP(C371,[2]Hoja1!$A$1:$B$138,2,0)</f>
        <v>APROBAR</v>
      </c>
      <c r="M371">
        <v>1</v>
      </c>
      <c r="N371" t="e">
        <v>#N/A</v>
      </c>
    </row>
    <row r="372" spans="1:14" ht="15" customHeight="1" x14ac:dyDescent="0.3">
      <c r="A372" s="3">
        <v>1209657380</v>
      </c>
      <c r="B372" s="3" t="s">
        <v>396</v>
      </c>
      <c r="C372" s="3" t="s">
        <v>397</v>
      </c>
      <c r="D372" s="4">
        <v>46307.399050925902</v>
      </c>
      <c r="E372" s="5" t="s">
        <v>10</v>
      </c>
      <c r="F372" s="5" t="s">
        <v>17</v>
      </c>
      <c r="G372" s="5">
        <v>9</v>
      </c>
      <c r="H372" s="6" t="s">
        <v>12</v>
      </c>
      <c r="I372" t="s">
        <v>437</v>
      </c>
      <c r="J372" t="s">
        <v>2480</v>
      </c>
      <c r="K372" t="str">
        <f>+VLOOKUP(C372,'[1]TIENDAS 2025'!$A$1:$C$143,3,0)</f>
        <v>local</v>
      </c>
      <c r="L372" t="str">
        <f>+VLOOKUP(C372,[2]Hoja1!$A$1:$B$138,2,0)</f>
        <v>APROBAR</v>
      </c>
      <c r="M372">
        <v>1</v>
      </c>
      <c r="N372" t="e">
        <v>#N/A</v>
      </c>
    </row>
    <row r="373" spans="1:14" ht="15" customHeight="1" x14ac:dyDescent="0.3">
      <c r="A373" s="3">
        <v>8209657371</v>
      </c>
      <c r="B373" s="3" t="s">
        <v>396</v>
      </c>
      <c r="C373" s="3" t="s">
        <v>397</v>
      </c>
      <c r="D373" s="4">
        <v>46307.399050925902</v>
      </c>
      <c r="E373" s="5" t="s">
        <v>10</v>
      </c>
      <c r="F373" s="5" t="s">
        <v>16</v>
      </c>
      <c r="G373" s="5">
        <v>2</v>
      </c>
      <c r="H373" s="8" t="s">
        <v>12</v>
      </c>
      <c r="I373" t="s">
        <v>438</v>
      </c>
      <c r="K373" t="str">
        <f>+VLOOKUP(C373,'[1]TIENDAS 2025'!$A$1:$C$143,3,0)</f>
        <v>local</v>
      </c>
      <c r="L373" t="str">
        <f>+VLOOKUP(C373,[2]Hoja1!$A$1:$B$138,2,0)</f>
        <v>APROBAR</v>
      </c>
      <c r="M373">
        <v>1</v>
      </c>
      <c r="N373" t="e">
        <v>#N/A</v>
      </c>
    </row>
    <row r="374" spans="1:14" ht="15" customHeight="1" x14ac:dyDescent="0.3">
      <c r="A374" s="3">
        <v>8209657441</v>
      </c>
      <c r="B374" s="3" t="s">
        <v>400</v>
      </c>
      <c r="C374" s="3" t="s">
        <v>401</v>
      </c>
      <c r="D374" s="4">
        <v>46307.399062500001</v>
      </c>
      <c r="E374" s="5" t="s">
        <v>10</v>
      </c>
      <c r="F374" s="5" t="s">
        <v>16</v>
      </c>
      <c r="G374" s="5">
        <v>4</v>
      </c>
      <c r="H374" s="8" t="s">
        <v>12</v>
      </c>
      <c r="I374" t="s">
        <v>439</v>
      </c>
      <c r="K374" t="str">
        <f>+VLOOKUP(C374,'[1]TIENDAS 2025'!$A$1:$C$143,3,0)</f>
        <v>local</v>
      </c>
      <c r="L374" t="str">
        <f>+VLOOKUP(C374,[2]Hoja1!$A$1:$B$138,2,0)</f>
        <v>APROBAR</v>
      </c>
      <c r="M374">
        <v>1</v>
      </c>
      <c r="N374" t="e">
        <v>#N/A</v>
      </c>
    </row>
    <row r="375" spans="1:14" ht="15" customHeight="1" x14ac:dyDescent="0.3">
      <c r="A375" s="3">
        <v>8209657406</v>
      </c>
      <c r="B375" s="3" t="s">
        <v>405</v>
      </c>
      <c r="C375" s="3" t="s">
        <v>406</v>
      </c>
      <c r="D375" s="4">
        <v>46307.399085648103</v>
      </c>
      <c r="E375" s="5" t="s">
        <v>10</v>
      </c>
      <c r="F375" s="5" t="s">
        <v>16</v>
      </c>
      <c r="G375" s="5">
        <v>2</v>
      </c>
      <c r="H375" s="8" t="s">
        <v>12</v>
      </c>
      <c r="I375" t="s">
        <v>440</v>
      </c>
      <c r="K375" t="str">
        <f>+VLOOKUP(C375,'[1]TIENDAS 2025'!$A$1:$C$143,3,0)</f>
        <v>local</v>
      </c>
      <c r="L375" t="str">
        <f>+VLOOKUP(C375,[2]Hoja1!$A$1:$B$138,2,0)</f>
        <v>APROBAR</v>
      </c>
      <c r="M375">
        <v>1</v>
      </c>
      <c r="N375" t="e">
        <v>#N/A</v>
      </c>
    </row>
    <row r="376" spans="1:14" ht="15" customHeight="1" x14ac:dyDescent="0.3">
      <c r="A376" s="3">
        <v>1209657408</v>
      </c>
      <c r="B376" s="3" t="s">
        <v>405</v>
      </c>
      <c r="C376" s="3" t="s">
        <v>406</v>
      </c>
      <c r="D376" s="4">
        <v>46307.399097222202</v>
      </c>
      <c r="E376" s="5" t="s">
        <v>10</v>
      </c>
      <c r="F376" s="5" t="s">
        <v>17</v>
      </c>
      <c r="G376" s="5">
        <v>3</v>
      </c>
      <c r="H376" s="6" t="s">
        <v>12</v>
      </c>
      <c r="I376" t="s">
        <v>441</v>
      </c>
      <c r="J376" t="s">
        <v>2480</v>
      </c>
      <c r="K376" t="str">
        <f>+VLOOKUP(C376,'[1]TIENDAS 2025'!$A$1:$C$143,3,0)</f>
        <v>local</v>
      </c>
      <c r="L376" t="str">
        <f>+VLOOKUP(C376,[2]Hoja1!$A$1:$B$138,2,0)</f>
        <v>APROBAR</v>
      </c>
      <c r="M376">
        <v>1</v>
      </c>
      <c r="N376" t="e">
        <v>#N/A</v>
      </c>
    </row>
    <row r="377" spans="1:14" ht="15" customHeight="1" x14ac:dyDescent="0.3">
      <c r="A377" s="3">
        <v>1209657409</v>
      </c>
      <c r="B377" s="3" t="s">
        <v>405</v>
      </c>
      <c r="C377" s="3" t="s">
        <v>406</v>
      </c>
      <c r="D377" s="4">
        <v>46307.3991087963</v>
      </c>
      <c r="E377" s="5" t="s">
        <v>10</v>
      </c>
      <c r="F377" s="5" t="s">
        <v>17</v>
      </c>
      <c r="G377" s="5">
        <v>4</v>
      </c>
      <c r="H377" s="6" t="s">
        <v>12</v>
      </c>
      <c r="I377" t="s">
        <v>442</v>
      </c>
      <c r="J377" t="s">
        <v>2480</v>
      </c>
      <c r="K377" t="str">
        <f>+VLOOKUP(C377,'[1]TIENDAS 2025'!$A$1:$C$143,3,0)</f>
        <v>local</v>
      </c>
      <c r="L377" t="str">
        <f>+VLOOKUP(C377,[2]Hoja1!$A$1:$B$138,2,0)</f>
        <v>APROBAR</v>
      </c>
      <c r="M377">
        <v>1</v>
      </c>
      <c r="N377" t="e">
        <v>#N/A</v>
      </c>
    </row>
    <row r="378" spans="1:14" ht="15" customHeight="1" x14ac:dyDescent="0.3">
      <c r="A378" s="3">
        <v>1209657313</v>
      </c>
      <c r="B378" s="3" t="s">
        <v>389</v>
      </c>
      <c r="C378" s="3" t="s">
        <v>390</v>
      </c>
      <c r="D378" s="4">
        <v>46307.399120370399</v>
      </c>
      <c r="E378" s="5" t="s">
        <v>10</v>
      </c>
      <c r="F378" s="5" t="s">
        <v>17</v>
      </c>
      <c r="G378" s="5">
        <v>29</v>
      </c>
      <c r="H378" s="6" t="s">
        <v>12</v>
      </c>
      <c r="I378" t="s">
        <v>443</v>
      </c>
      <c r="J378" t="s">
        <v>2480</v>
      </c>
      <c r="K378" t="str">
        <f>+VLOOKUP(C378,'[1]TIENDAS 2025'!$A$1:$C$143,3,0)</f>
        <v>departamental</v>
      </c>
      <c r="L378" t="str">
        <f>+VLOOKUP(C378,[2]Hoja1!$A$1:$B$138,2,0)</f>
        <v>APROBAR</v>
      </c>
      <c r="M378">
        <v>1</v>
      </c>
      <c r="N378" t="e">
        <v>#N/A</v>
      </c>
    </row>
    <row r="379" spans="1:14" ht="15" customHeight="1" x14ac:dyDescent="0.3">
      <c r="A379" s="3">
        <v>8209657301</v>
      </c>
      <c r="B379" s="3" t="s">
        <v>389</v>
      </c>
      <c r="C379" s="3" t="s">
        <v>390</v>
      </c>
      <c r="D379" s="4">
        <v>46307.399131944403</v>
      </c>
      <c r="E379" s="5" t="s">
        <v>10</v>
      </c>
      <c r="F379" s="5" t="s">
        <v>16</v>
      </c>
      <c r="G379" s="5">
        <v>1</v>
      </c>
      <c r="H379" s="8" t="s">
        <v>12</v>
      </c>
      <c r="I379" t="s">
        <v>444</v>
      </c>
      <c r="K379" t="str">
        <f>+VLOOKUP(C379,'[1]TIENDAS 2025'!$A$1:$C$143,3,0)</f>
        <v>departamental</v>
      </c>
      <c r="L379" t="str">
        <f>+VLOOKUP(C379,[2]Hoja1!$A$1:$B$138,2,0)</f>
        <v>APROBAR</v>
      </c>
      <c r="M379">
        <v>1</v>
      </c>
      <c r="N379" t="e">
        <v>#N/A</v>
      </c>
    </row>
    <row r="380" spans="1:14" ht="15" customHeight="1" x14ac:dyDescent="0.3">
      <c r="A380" s="3">
        <v>1209657452</v>
      </c>
      <c r="B380" s="3" t="s">
        <v>400</v>
      </c>
      <c r="C380" s="3" t="s">
        <v>401</v>
      </c>
      <c r="D380" s="4">
        <v>46307.3991550926</v>
      </c>
      <c r="E380" s="5" t="s">
        <v>10</v>
      </c>
      <c r="F380" s="5" t="s">
        <v>17</v>
      </c>
      <c r="G380" s="5">
        <v>45</v>
      </c>
      <c r="H380" s="6" t="s">
        <v>12</v>
      </c>
      <c r="I380" t="s">
        <v>445</v>
      </c>
      <c r="J380" t="s">
        <v>2480</v>
      </c>
      <c r="K380" t="str">
        <f>+VLOOKUP(C380,'[1]TIENDAS 2025'!$A$1:$C$143,3,0)</f>
        <v>local</v>
      </c>
      <c r="L380" t="str">
        <f>+VLOOKUP(C380,[2]Hoja1!$A$1:$B$138,2,0)</f>
        <v>APROBAR</v>
      </c>
      <c r="M380">
        <v>1</v>
      </c>
      <c r="N380" t="e">
        <v>#N/A</v>
      </c>
    </row>
    <row r="381" spans="1:14" ht="15" customHeight="1" x14ac:dyDescent="0.3">
      <c r="A381" s="3">
        <v>1209657377</v>
      </c>
      <c r="B381" s="3" t="s">
        <v>396</v>
      </c>
      <c r="C381" s="3" t="s">
        <v>397</v>
      </c>
      <c r="D381" s="4">
        <v>46307.399166666699</v>
      </c>
      <c r="E381" s="5" t="s">
        <v>10</v>
      </c>
      <c r="F381" s="5" t="s">
        <v>11</v>
      </c>
      <c r="G381" s="5">
        <v>7</v>
      </c>
      <c r="H381" s="6" t="s">
        <v>12</v>
      </c>
      <c r="I381" t="s">
        <v>446</v>
      </c>
      <c r="J381" t="s">
        <v>2480</v>
      </c>
      <c r="K381" t="str">
        <f>+VLOOKUP(C381,'[1]TIENDAS 2025'!$A$1:$C$143,3,0)</f>
        <v>local</v>
      </c>
      <c r="L381" t="str">
        <f>+VLOOKUP(C381,[2]Hoja1!$A$1:$B$138,2,0)</f>
        <v>APROBAR</v>
      </c>
      <c r="M381">
        <v>1</v>
      </c>
      <c r="N381" t="e">
        <v>#N/A</v>
      </c>
    </row>
    <row r="382" spans="1:14" ht="15" customHeight="1" x14ac:dyDescent="0.3">
      <c r="A382" s="3">
        <v>8209657416</v>
      </c>
      <c r="B382" s="3" t="s">
        <v>405</v>
      </c>
      <c r="C382" s="3" t="s">
        <v>406</v>
      </c>
      <c r="D382" s="4">
        <v>46307.399178240703</v>
      </c>
      <c r="E382" s="5" t="s">
        <v>10</v>
      </c>
      <c r="F382" s="5" t="s">
        <v>16</v>
      </c>
      <c r="G382" s="5">
        <v>2</v>
      </c>
      <c r="H382" s="8" t="s">
        <v>12</v>
      </c>
      <c r="I382" t="s">
        <v>447</v>
      </c>
      <c r="K382" t="str">
        <f>+VLOOKUP(C382,'[1]TIENDAS 2025'!$A$1:$C$143,3,0)</f>
        <v>local</v>
      </c>
      <c r="L382" t="str">
        <f>+VLOOKUP(C382,[2]Hoja1!$A$1:$B$138,2,0)</f>
        <v>APROBAR</v>
      </c>
      <c r="M382">
        <v>1</v>
      </c>
      <c r="N382" t="e">
        <v>#N/A</v>
      </c>
    </row>
    <row r="383" spans="1:14" ht="15" customHeight="1" x14ac:dyDescent="0.3">
      <c r="A383" s="3">
        <v>1209657418</v>
      </c>
      <c r="B383" s="3" t="s">
        <v>405</v>
      </c>
      <c r="C383" s="3" t="s">
        <v>406</v>
      </c>
      <c r="D383" s="4">
        <v>46307.399189814802</v>
      </c>
      <c r="E383" s="5" t="s">
        <v>10</v>
      </c>
      <c r="F383" s="5" t="s">
        <v>11</v>
      </c>
      <c r="G383" s="5">
        <v>6</v>
      </c>
      <c r="H383" s="6" t="s">
        <v>12</v>
      </c>
      <c r="I383" t="s">
        <v>448</v>
      </c>
      <c r="J383" t="s">
        <v>2480</v>
      </c>
      <c r="K383" t="str">
        <f>+VLOOKUP(C383,'[1]TIENDAS 2025'!$A$1:$C$143,3,0)</f>
        <v>local</v>
      </c>
      <c r="L383" t="str">
        <f>+VLOOKUP(C383,[2]Hoja1!$A$1:$B$138,2,0)</f>
        <v>APROBAR</v>
      </c>
      <c r="M383">
        <v>1</v>
      </c>
      <c r="N383" t="e">
        <v>#N/A</v>
      </c>
    </row>
    <row r="384" spans="1:14" ht="15" customHeight="1" x14ac:dyDescent="0.3">
      <c r="A384" s="3">
        <v>1209657425</v>
      </c>
      <c r="B384" s="3" t="s">
        <v>405</v>
      </c>
      <c r="C384" s="3" t="s">
        <v>406</v>
      </c>
      <c r="D384" s="4">
        <v>46307.3992013889</v>
      </c>
      <c r="E384" s="5" t="s">
        <v>10</v>
      </c>
      <c r="F384" s="5" t="s">
        <v>11</v>
      </c>
      <c r="G384" s="5">
        <v>43</v>
      </c>
      <c r="H384" s="6" t="s">
        <v>12</v>
      </c>
      <c r="I384" t="s">
        <v>449</v>
      </c>
      <c r="J384" t="s">
        <v>2480</v>
      </c>
      <c r="K384" t="str">
        <f>+VLOOKUP(C384,'[1]TIENDAS 2025'!$A$1:$C$143,3,0)</f>
        <v>local</v>
      </c>
      <c r="L384" t="str">
        <f>+VLOOKUP(C384,[2]Hoja1!$A$1:$B$138,2,0)</f>
        <v>APROBAR</v>
      </c>
      <c r="M384">
        <v>1</v>
      </c>
      <c r="N384" t="e">
        <v>#N/A</v>
      </c>
    </row>
    <row r="385" spans="1:14" ht="15" customHeight="1" x14ac:dyDescent="0.3">
      <c r="A385" s="3">
        <v>1209657312</v>
      </c>
      <c r="B385" s="3" t="s">
        <v>389</v>
      </c>
      <c r="C385" s="3" t="s">
        <v>390</v>
      </c>
      <c r="D385" s="4">
        <v>46307.399212962999</v>
      </c>
      <c r="E385" s="5" t="s">
        <v>10</v>
      </c>
      <c r="F385" s="5" t="s">
        <v>17</v>
      </c>
      <c r="G385" s="5">
        <v>38</v>
      </c>
      <c r="H385" s="6" t="s">
        <v>12</v>
      </c>
      <c r="I385" t="s">
        <v>450</v>
      </c>
      <c r="J385" t="s">
        <v>2480</v>
      </c>
      <c r="K385" t="str">
        <f>+VLOOKUP(C385,'[1]TIENDAS 2025'!$A$1:$C$143,3,0)</f>
        <v>departamental</v>
      </c>
      <c r="L385" t="str">
        <f>+VLOOKUP(C385,[2]Hoja1!$A$1:$B$138,2,0)</f>
        <v>APROBAR</v>
      </c>
      <c r="M385">
        <v>1</v>
      </c>
      <c r="N385" t="e">
        <v>#N/A</v>
      </c>
    </row>
    <row r="386" spans="1:14" ht="15" customHeight="1" x14ac:dyDescent="0.3">
      <c r="A386" s="3">
        <v>1209657328</v>
      </c>
      <c r="B386" s="3" t="s">
        <v>408</v>
      </c>
      <c r="C386" s="3" t="s">
        <v>409</v>
      </c>
      <c r="D386" s="4">
        <v>46307.399236111101</v>
      </c>
      <c r="E386" s="5" t="s">
        <v>10</v>
      </c>
      <c r="F386" s="5" t="s">
        <v>17</v>
      </c>
      <c r="G386" s="5">
        <v>1</v>
      </c>
      <c r="H386" s="6" t="s">
        <v>12</v>
      </c>
      <c r="I386" t="s">
        <v>451</v>
      </c>
      <c r="J386" t="s">
        <v>2480</v>
      </c>
      <c r="K386" t="str">
        <f>+VLOOKUP(C386,'[1]TIENDAS 2025'!$A$1:$C$143,3,0)</f>
        <v>local</v>
      </c>
      <c r="L386" t="str">
        <f>+VLOOKUP(C386,[2]Hoja1!$A$1:$B$138,2,0)</f>
        <v>APROBAR</v>
      </c>
      <c r="M386">
        <v>1</v>
      </c>
      <c r="N386" t="e">
        <v>#N/A</v>
      </c>
    </row>
    <row r="387" spans="1:14" ht="15" customHeight="1" x14ac:dyDescent="0.3">
      <c r="A387" s="3">
        <v>1209657332</v>
      </c>
      <c r="B387" s="3" t="s">
        <v>408</v>
      </c>
      <c r="C387" s="3" t="s">
        <v>409</v>
      </c>
      <c r="D387" s="4">
        <v>46307.3992476852</v>
      </c>
      <c r="E387" s="5" t="s">
        <v>10</v>
      </c>
      <c r="F387" s="5" t="s">
        <v>17</v>
      </c>
      <c r="G387" s="5">
        <v>10</v>
      </c>
      <c r="H387" s="6" t="s">
        <v>12</v>
      </c>
      <c r="I387" t="s">
        <v>452</v>
      </c>
      <c r="J387" t="s">
        <v>2480</v>
      </c>
      <c r="K387" t="str">
        <f>+VLOOKUP(C387,'[1]TIENDAS 2025'!$A$1:$C$143,3,0)</f>
        <v>local</v>
      </c>
      <c r="L387" t="str">
        <f>+VLOOKUP(C387,[2]Hoja1!$A$1:$B$138,2,0)</f>
        <v>APROBAR</v>
      </c>
      <c r="M387">
        <v>1</v>
      </c>
      <c r="N387" t="e">
        <v>#N/A</v>
      </c>
    </row>
    <row r="388" spans="1:14" ht="15" customHeight="1" x14ac:dyDescent="0.3">
      <c r="A388" s="3">
        <v>1209657334</v>
      </c>
      <c r="B388" s="3" t="s">
        <v>408</v>
      </c>
      <c r="C388" s="3" t="s">
        <v>409</v>
      </c>
      <c r="D388" s="4">
        <v>46307.3992476852</v>
      </c>
      <c r="E388" s="5" t="s">
        <v>10</v>
      </c>
      <c r="F388" s="5" t="s">
        <v>11</v>
      </c>
      <c r="G388" s="5">
        <v>7</v>
      </c>
      <c r="H388" s="6" t="s">
        <v>12</v>
      </c>
      <c r="I388" t="s">
        <v>453</v>
      </c>
      <c r="J388" t="s">
        <v>2480</v>
      </c>
      <c r="K388" t="str">
        <f>+VLOOKUP(C388,'[1]TIENDAS 2025'!$A$1:$C$143,3,0)</f>
        <v>local</v>
      </c>
      <c r="L388" t="str">
        <f>+VLOOKUP(C388,[2]Hoja1!$A$1:$B$138,2,0)</f>
        <v>APROBAR</v>
      </c>
      <c r="M388">
        <v>1</v>
      </c>
      <c r="N388" t="e">
        <v>#N/A</v>
      </c>
    </row>
    <row r="389" spans="1:14" ht="15" customHeight="1" x14ac:dyDescent="0.3">
      <c r="A389" s="3">
        <v>1209657335</v>
      </c>
      <c r="B389" s="3" t="s">
        <v>408</v>
      </c>
      <c r="C389" s="3" t="s">
        <v>409</v>
      </c>
      <c r="D389" s="4">
        <v>46307.399270833303</v>
      </c>
      <c r="E389" s="5" t="s">
        <v>10</v>
      </c>
      <c r="F389" s="5" t="s">
        <v>17</v>
      </c>
      <c r="G389" s="5">
        <v>27</v>
      </c>
      <c r="H389" s="6" t="s">
        <v>12</v>
      </c>
      <c r="I389" t="s">
        <v>454</v>
      </c>
      <c r="J389" t="s">
        <v>2480</v>
      </c>
      <c r="K389" t="str">
        <f>+VLOOKUP(C389,'[1]TIENDAS 2025'!$A$1:$C$143,3,0)</f>
        <v>local</v>
      </c>
      <c r="L389" t="str">
        <f>+VLOOKUP(C389,[2]Hoja1!$A$1:$B$138,2,0)</f>
        <v>APROBAR</v>
      </c>
      <c r="M389">
        <v>1</v>
      </c>
      <c r="N389" t="e">
        <v>#N/A</v>
      </c>
    </row>
    <row r="390" spans="1:14" ht="15" customHeight="1" x14ac:dyDescent="0.3">
      <c r="A390" s="3">
        <v>8209657303</v>
      </c>
      <c r="B390" s="3" t="s">
        <v>389</v>
      </c>
      <c r="C390" s="3" t="s">
        <v>390</v>
      </c>
      <c r="D390" s="4">
        <v>46307.399282407401</v>
      </c>
      <c r="E390" s="5" t="s">
        <v>10</v>
      </c>
      <c r="F390" s="5" t="s">
        <v>16</v>
      </c>
      <c r="G390" s="5">
        <v>6</v>
      </c>
      <c r="H390" s="8" t="s">
        <v>12</v>
      </c>
      <c r="I390" t="s">
        <v>455</v>
      </c>
      <c r="K390" t="str">
        <f>+VLOOKUP(C390,'[1]TIENDAS 2025'!$A$1:$C$143,3,0)</f>
        <v>departamental</v>
      </c>
      <c r="L390" t="str">
        <f>+VLOOKUP(C390,[2]Hoja1!$A$1:$B$138,2,0)</f>
        <v>APROBAR</v>
      </c>
      <c r="M390">
        <v>1</v>
      </c>
      <c r="N390" t="e">
        <v>#N/A</v>
      </c>
    </row>
    <row r="391" spans="1:14" ht="15" customHeight="1" x14ac:dyDescent="0.3">
      <c r="A391" s="3">
        <v>1209657307</v>
      </c>
      <c r="B391" s="3" t="s">
        <v>389</v>
      </c>
      <c r="C391" s="3" t="s">
        <v>390</v>
      </c>
      <c r="D391" s="4">
        <v>46307.399305555598</v>
      </c>
      <c r="E391" s="5" t="s">
        <v>10</v>
      </c>
      <c r="F391" s="5" t="s">
        <v>11</v>
      </c>
      <c r="G391" s="5">
        <v>16</v>
      </c>
      <c r="H391" s="6" t="s">
        <v>12</v>
      </c>
      <c r="I391" t="s">
        <v>456</v>
      </c>
      <c r="J391" t="s">
        <v>2480</v>
      </c>
      <c r="K391" t="str">
        <f>+VLOOKUP(C391,'[1]TIENDAS 2025'!$A$1:$C$143,3,0)</f>
        <v>departamental</v>
      </c>
      <c r="L391" t="str">
        <f>+VLOOKUP(C391,[2]Hoja1!$A$1:$B$138,2,0)</f>
        <v>APROBAR</v>
      </c>
      <c r="M391">
        <v>1</v>
      </c>
      <c r="N391" t="e">
        <v>#N/A</v>
      </c>
    </row>
    <row r="392" spans="1:14" ht="15" customHeight="1" x14ac:dyDescent="0.3">
      <c r="A392" s="3">
        <v>1209657419</v>
      </c>
      <c r="B392" s="3" t="s">
        <v>405</v>
      </c>
      <c r="C392" s="3" t="s">
        <v>406</v>
      </c>
      <c r="D392" s="4">
        <v>46307.399317129602</v>
      </c>
      <c r="E392" s="5" t="s">
        <v>10</v>
      </c>
      <c r="F392" s="5" t="s">
        <v>11</v>
      </c>
      <c r="G392" s="5">
        <v>15</v>
      </c>
      <c r="H392" s="6" t="s">
        <v>12</v>
      </c>
      <c r="I392" t="s">
        <v>457</v>
      </c>
      <c r="J392" t="s">
        <v>2480</v>
      </c>
      <c r="K392" t="str">
        <f>+VLOOKUP(C392,'[1]TIENDAS 2025'!$A$1:$C$143,3,0)</f>
        <v>local</v>
      </c>
      <c r="L392" t="str">
        <f>+VLOOKUP(C392,[2]Hoja1!$A$1:$B$138,2,0)</f>
        <v>APROBAR</v>
      </c>
      <c r="M392">
        <v>1</v>
      </c>
      <c r="N392" t="e">
        <v>#N/A</v>
      </c>
    </row>
    <row r="393" spans="1:14" ht="15" customHeight="1" x14ac:dyDescent="0.3">
      <c r="A393" s="3">
        <v>8209657442</v>
      </c>
      <c r="B393" s="3" t="s">
        <v>400</v>
      </c>
      <c r="C393" s="3" t="s">
        <v>401</v>
      </c>
      <c r="D393" s="4">
        <v>46307.399328703701</v>
      </c>
      <c r="E393" s="5" t="s">
        <v>10</v>
      </c>
      <c r="F393" s="5" t="s">
        <v>16</v>
      </c>
      <c r="G393" s="5">
        <v>4</v>
      </c>
      <c r="H393" s="8" t="s">
        <v>12</v>
      </c>
      <c r="I393" t="s">
        <v>458</v>
      </c>
      <c r="K393" t="str">
        <f>+VLOOKUP(C393,'[1]TIENDAS 2025'!$A$1:$C$143,3,0)</f>
        <v>local</v>
      </c>
      <c r="L393" t="str">
        <f>+VLOOKUP(C393,[2]Hoja1!$A$1:$B$138,2,0)</f>
        <v>APROBAR</v>
      </c>
      <c r="M393">
        <v>1</v>
      </c>
      <c r="N393" t="e">
        <v>#N/A</v>
      </c>
    </row>
    <row r="394" spans="1:14" ht="15" customHeight="1" x14ac:dyDescent="0.3">
      <c r="A394" s="3">
        <v>1209657449</v>
      </c>
      <c r="B394" s="3" t="s">
        <v>400</v>
      </c>
      <c r="C394" s="3" t="s">
        <v>401</v>
      </c>
      <c r="D394" s="4">
        <v>46307.3993402778</v>
      </c>
      <c r="E394" s="5" t="s">
        <v>10</v>
      </c>
      <c r="F394" s="5" t="s">
        <v>11</v>
      </c>
      <c r="G394" s="5">
        <v>20</v>
      </c>
      <c r="H394" s="6" t="s">
        <v>12</v>
      </c>
      <c r="I394" t="s">
        <v>459</v>
      </c>
      <c r="J394" t="s">
        <v>2480</v>
      </c>
      <c r="K394" t="str">
        <f>+VLOOKUP(C394,'[1]TIENDAS 2025'!$A$1:$C$143,3,0)</f>
        <v>local</v>
      </c>
      <c r="L394" t="str">
        <f>+VLOOKUP(C394,[2]Hoja1!$A$1:$B$138,2,0)</f>
        <v>APROBAR</v>
      </c>
      <c r="M394">
        <v>1</v>
      </c>
      <c r="N394" t="e">
        <v>#N/A</v>
      </c>
    </row>
    <row r="395" spans="1:14" ht="15" customHeight="1" x14ac:dyDescent="0.3">
      <c r="A395" s="3">
        <v>1209657333</v>
      </c>
      <c r="B395" s="3" t="s">
        <v>408</v>
      </c>
      <c r="C395" s="3" t="s">
        <v>409</v>
      </c>
      <c r="D395" s="4">
        <v>46307.399351851898</v>
      </c>
      <c r="E395" s="5" t="s">
        <v>10</v>
      </c>
      <c r="F395" s="5" t="s">
        <v>17</v>
      </c>
      <c r="G395" s="5">
        <v>12</v>
      </c>
      <c r="H395" s="6" t="s">
        <v>12</v>
      </c>
      <c r="I395" t="s">
        <v>460</v>
      </c>
      <c r="J395" t="s">
        <v>2480</v>
      </c>
      <c r="K395" t="str">
        <f>+VLOOKUP(C395,'[1]TIENDAS 2025'!$A$1:$C$143,3,0)</f>
        <v>local</v>
      </c>
      <c r="L395" t="str">
        <f>+VLOOKUP(C395,[2]Hoja1!$A$1:$B$138,2,0)</f>
        <v>APROBAR</v>
      </c>
      <c r="M395">
        <v>1</v>
      </c>
      <c r="N395" t="e">
        <v>#N/A</v>
      </c>
    </row>
    <row r="396" spans="1:14" ht="15" customHeight="1" x14ac:dyDescent="0.3">
      <c r="A396" s="3">
        <v>1209657311</v>
      </c>
      <c r="B396" s="3" t="s">
        <v>389</v>
      </c>
      <c r="C396" s="3" t="s">
        <v>390</v>
      </c>
      <c r="D396" s="4">
        <v>46307.399375000001</v>
      </c>
      <c r="E396" s="5" t="s">
        <v>10</v>
      </c>
      <c r="F396" s="5" t="s">
        <v>11</v>
      </c>
      <c r="G396" s="5">
        <v>23</v>
      </c>
      <c r="H396" s="6" t="s">
        <v>12</v>
      </c>
      <c r="I396" t="s">
        <v>461</v>
      </c>
      <c r="J396" t="s">
        <v>2480</v>
      </c>
      <c r="K396" t="str">
        <f>+VLOOKUP(C396,'[1]TIENDAS 2025'!$A$1:$C$143,3,0)</f>
        <v>departamental</v>
      </c>
      <c r="L396" t="str">
        <f>+VLOOKUP(C396,[2]Hoja1!$A$1:$B$138,2,0)</f>
        <v>APROBAR</v>
      </c>
      <c r="M396">
        <v>1</v>
      </c>
      <c r="N396" t="e">
        <v>#N/A</v>
      </c>
    </row>
    <row r="397" spans="1:14" ht="15" customHeight="1" x14ac:dyDescent="0.3">
      <c r="A397" s="3">
        <v>8209657302</v>
      </c>
      <c r="B397" s="3" t="s">
        <v>389</v>
      </c>
      <c r="C397" s="3" t="s">
        <v>390</v>
      </c>
      <c r="D397" s="4">
        <v>46307.399375000001</v>
      </c>
      <c r="E397" s="5" t="s">
        <v>10</v>
      </c>
      <c r="F397" s="5" t="s">
        <v>16</v>
      </c>
      <c r="G397" s="5">
        <v>2</v>
      </c>
      <c r="H397" s="8" t="s">
        <v>12</v>
      </c>
      <c r="I397" t="s">
        <v>462</v>
      </c>
      <c r="K397" t="str">
        <f>+VLOOKUP(C397,'[1]TIENDAS 2025'!$A$1:$C$143,3,0)</f>
        <v>departamental</v>
      </c>
      <c r="L397" t="str">
        <f>+VLOOKUP(C397,[2]Hoja1!$A$1:$B$138,2,0)</f>
        <v>APROBAR</v>
      </c>
      <c r="M397">
        <v>1</v>
      </c>
      <c r="N397" t="e">
        <v>#N/A</v>
      </c>
    </row>
    <row r="398" spans="1:14" ht="15" customHeight="1" x14ac:dyDescent="0.3">
      <c r="A398" s="3">
        <v>1209657451</v>
      </c>
      <c r="B398" s="3" t="s">
        <v>400</v>
      </c>
      <c r="C398" s="3" t="s">
        <v>401</v>
      </c>
      <c r="D398" s="4">
        <v>46307.399386574099</v>
      </c>
      <c r="E398" s="5" t="s">
        <v>10</v>
      </c>
      <c r="F398" s="5" t="s">
        <v>11</v>
      </c>
      <c r="G398" s="5">
        <v>35</v>
      </c>
      <c r="H398" s="6" t="s">
        <v>12</v>
      </c>
      <c r="I398" t="s">
        <v>463</v>
      </c>
      <c r="J398" t="s">
        <v>2480</v>
      </c>
      <c r="K398" t="str">
        <f>+VLOOKUP(C398,'[1]TIENDAS 2025'!$A$1:$C$143,3,0)</f>
        <v>local</v>
      </c>
      <c r="L398" t="str">
        <f>+VLOOKUP(C398,[2]Hoja1!$A$1:$B$138,2,0)</f>
        <v>APROBAR</v>
      </c>
      <c r="M398">
        <v>1</v>
      </c>
      <c r="N398" t="e">
        <v>#N/A</v>
      </c>
    </row>
    <row r="399" spans="1:14" ht="15" customHeight="1" x14ac:dyDescent="0.3">
      <c r="A399" s="3">
        <v>8209657373</v>
      </c>
      <c r="B399" s="3" t="s">
        <v>396</v>
      </c>
      <c r="C399" s="3" t="s">
        <v>397</v>
      </c>
      <c r="D399" s="4">
        <v>46307.399409722202</v>
      </c>
      <c r="E399" s="5" t="s">
        <v>10</v>
      </c>
      <c r="F399" s="5" t="s">
        <v>16</v>
      </c>
      <c r="G399" s="5">
        <v>4</v>
      </c>
      <c r="H399" s="8" t="s">
        <v>12</v>
      </c>
      <c r="I399" t="s">
        <v>464</v>
      </c>
      <c r="K399" t="str">
        <f>+VLOOKUP(C399,'[1]TIENDAS 2025'!$A$1:$C$143,3,0)</f>
        <v>local</v>
      </c>
      <c r="L399" t="str">
        <f>+VLOOKUP(C399,[2]Hoja1!$A$1:$B$138,2,0)</f>
        <v>APROBAR</v>
      </c>
      <c r="M399">
        <v>1</v>
      </c>
      <c r="N399" t="e">
        <v>#N/A</v>
      </c>
    </row>
    <row r="400" spans="1:14" ht="15" customHeight="1" x14ac:dyDescent="0.3">
      <c r="A400" s="3">
        <v>1209657379</v>
      </c>
      <c r="B400" s="3" t="s">
        <v>396</v>
      </c>
      <c r="C400" s="3" t="s">
        <v>397</v>
      </c>
      <c r="D400" s="4">
        <v>46307.399421296301</v>
      </c>
      <c r="E400" s="5" t="s">
        <v>10</v>
      </c>
      <c r="F400" s="5" t="s">
        <v>11</v>
      </c>
      <c r="G400" s="5">
        <v>8</v>
      </c>
      <c r="H400" s="6" t="s">
        <v>12</v>
      </c>
      <c r="I400" t="s">
        <v>465</v>
      </c>
      <c r="J400" t="s">
        <v>2480</v>
      </c>
      <c r="K400" t="str">
        <f>+VLOOKUP(C400,'[1]TIENDAS 2025'!$A$1:$C$143,3,0)</f>
        <v>local</v>
      </c>
      <c r="L400" t="str">
        <f>+VLOOKUP(C400,[2]Hoja1!$A$1:$B$138,2,0)</f>
        <v>APROBAR</v>
      </c>
      <c r="M400">
        <v>1</v>
      </c>
      <c r="N400" t="e">
        <v>#N/A</v>
      </c>
    </row>
    <row r="401" spans="1:14" ht="15" customHeight="1" x14ac:dyDescent="0.3">
      <c r="A401" s="3">
        <v>1209657385</v>
      </c>
      <c r="B401" s="3" t="s">
        <v>396</v>
      </c>
      <c r="C401" s="3" t="s">
        <v>397</v>
      </c>
      <c r="D401" s="4">
        <v>46307.399444444403</v>
      </c>
      <c r="E401" s="5" t="s">
        <v>10</v>
      </c>
      <c r="F401" s="5" t="s">
        <v>11</v>
      </c>
      <c r="G401" s="5">
        <v>2</v>
      </c>
      <c r="H401" s="6" t="s">
        <v>12</v>
      </c>
      <c r="I401" t="s">
        <v>466</v>
      </c>
      <c r="J401" t="s">
        <v>2480</v>
      </c>
      <c r="K401" t="str">
        <f>+VLOOKUP(C401,'[1]TIENDAS 2025'!$A$1:$C$143,3,0)</f>
        <v>local</v>
      </c>
      <c r="L401" t="str">
        <f>+VLOOKUP(C401,[2]Hoja1!$A$1:$B$138,2,0)</f>
        <v>APROBAR</v>
      </c>
      <c r="M401">
        <v>1</v>
      </c>
      <c r="N401" t="e">
        <v>#N/A</v>
      </c>
    </row>
    <row r="402" spans="1:14" ht="15" customHeight="1" x14ac:dyDescent="0.3">
      <c r="A402" s="3">
        <v>1209657410</v>
      </c>
      <c r="B402" s="3" t="s">
        <v>405</v>
      </c>
      <c r="C402" s="3" t="s">
        <v>406</v>
      </c>
      <c r="D402" s="4">
        <v>46307.399456018502</v>
      </c>
      <c r="E402" s="5" t="s">
        <v>10</v>
      </c>
      <c r="F402" s="5" t="s">
        <v>11</v>
      </c>
      <c r="G402" s="5">
        <v>7</v>
      </c>
      <c r="H402" s="6" t="s">
        <v>12</v>
      </c>
      <c r="I402" t="s">
        <v>467</v>
      </c>
      <c r="J402" t="s">
        <v>2480</v>
      </c>
      <c r="K402" t="str">
        <f>+VLOOKUP(C402,'[1]TIENDAS 2025'!$A$1:$C$143,3,0)</f>
        <v>local</v>
      </c>
      <c r="L402" t="str">
        <f>+VLOOKUP(C402,[2]Hoja1!$A$1:$B$138,2,0)</f>
        <v>APROBAR</v>
      </c>
      <c r="M402">
        <v>1</v>
      </c>
      <c r="N402" t="e">
        <v>#N/A</v>
      </c>
    </row>
    <row r="403" spans="1:14" ht="15" customHeight="1" x14ac:dyDescent="0.3">
      <c r="A403" s="3">
        <v>1209657420</v>
      </c>
      <c r="B403" s="3" t="s">
        <v>405</v>
      </c>
      <c r="C403" s="3" t="s">
        <v>406</v>
      </c>
      <c r="D403" s="4">
        <v>46307.399456018502</v>
      </c>
      <c r="E403" s="5" t="s">
        <v>10</v>
      </c>
      <c r="F403" s="5" t="s">
        <v>17</v>
      </c>
      <c r="G403" s="5">
        <v>22</v>
      </c>
      <c r="H403" s="6" t="s">
        <v>12</v>
      </c>
      <c r="I403" t="s">
        <v>468</v>
      </c>
      <c r="J403" t="s">
        <v>2480</v>
      </c>
      <c r="K403" t="str">
        <f>+VLOOKUP(C403,'[1]TIENDAS 2025'!$A$1:$C$143,3,0)</f>
        <v>local</v>
      </c>
      <c r="L403" t="str">
        <f>+VLOOKUP(C403,[2]Hoja1!$A$1:$B$138,2,0)</f>
        <v>APROBAR</v>
      </c>
      <c r="M403">
        <v>1</v>
      </c>
      <c r="N403" t="e">
        <v>#N/A</v>
      </c>
    </row>
    <row r="404" spans="1:14" ht="15" customHeight="1" x14ac:dyDescent="0.3">
      <c r="A404" s="3">
        <v>8209657526</v>
      </c>
      <c r="B404" s="3" t="s">
        <v>470</v>
      </c>
      <c r="C404" s="3" t="s">
        <v>471</v>
      </c>
      <c r="D404" s="4">
        <v>46307.401979166701</v>
      </c>
      <c r="E404" s="5" t="s">
        <v>10</v>
      </c>
      <c r="F404" s="5" t="s">
        <v>16</v>
      </c>
      <c r="G404" s="5">
        <v>1</v>
      </c>
      <c r="H404" s="8" t="s">
        <v>12</v>
      </c>
      <c r="I404" t="s">
        <v>469</v>
      </c>
      <c r="K404" t="str">
        <f>+VLOOKUP(C404,'[1]TIENDAS 2025'!$A$1:$C$143,3,0)</f>
        <v>departamental</v>
      </c>
      <c r="L404" t="str">
        <f>+VLOOKUP(C404,[2]Hoja1!$A$1:$B$138,2,0)</f>
        <v>APROBAR</v>
      </c>
      <c r="M404">
        <v>1</v>
      </c>
      <c r="N404" t="e">
        <v>#N/A</v>
      </c>
    </row>
    <row r="405" spans="1:14" ht="15" customHeight="1" x14ac:dyDescent="0.3">
      <c r="A405" s="3">
        <v>1209657474</v>
      </c>
      <c r="B405" s="3" t="s">
        <v>473</v>
      </c>
      <c r="C405" s="3" t="s">
        <v>474</v>
      </c>
      <c r="D405" s="4">
        <v>46307.402002314797</v>
      </c>
      <c r="E405" s="5" t="s">
        <v>10</v>
      </c>
      <c r="F405" s="5" t="s">
        <v>11</v>
      </c>
      <c r="G405" s="5">
        <v>11</v>
      </c>
      <c r="H405" s="6" t="s">
        <v>12</v>
      </c>
      <c r="I405" t="s">
        <v>472</v>
      </c>
      <c r="J405" t="s">
        <v>2480</v>
      </c>
      <c r="K405" t="str">
        <f>+VLOOKUP(C405,'[1]TIENDAS 2025'!$A$1:$C$143,3,0)</f>
        <v>local</v>
      </c>
      <c r="L405" t="str">
        <f>+VLOOKUP(C405,[2]Hoja1!$A$1:$B$138,2,0)</f>
        <v>APROBAR</v>
      </c>
      <c r="M405">
        <v>1</v>
      </c>
      <c r="N405" t="e">
        <v>#N/A</v>
      </c>
    </row>
    <row r="406" spans="1:14" ht="15" customHeight="1" x14ac:dyDescent="0.3">
      <c r="A406" s="3">
        <v>8209657530</v>
      </c>
      <c r="B406" s="3" t="s">
        <v>470</v>
      </c>
      <c r="C406" s="3" t="s">
        <v>471</v>
      </c>
      <c r="D406" s="4">
        <v>46307.402013888903</v>
      </c>
      <c r="E406" s="5" t="s">
        <v>10</v>
      </c>
      <c r="F406" s="5" t="s">
        <v>16</v>
      </c>
      <c r="G406" s="5">
        <v>4</v>
      </c>
      <c r="H406" s="8" t="s">
        <v>12</v>
      </c>
      <c r="I406" t="s">
        <v>475</v>
      </c>
      <c r="K406" t="str">
        <f>+VLOOKUP(C406,'[1]TIENDAS 2025'!$A$1:$C$143,3,0)</f>
        <v>departamental</v>
      </c>
      <c r="L406" t="str">
        <f>+VLOOKUP(C406,[2]Hoja1!$A$1:$B$138,2,0)</f>
        <v>APROBAR</v>
      </c>
      <c r="M406">
        <v>1</v>
      </c>
      <c r="N406" t="e">
        <v>#N/A</v>
      </c>
    </row>
    <row r="407" spans="1:14" ht="15" customHeight="1" x14ac:dyDescent="0.3">
      <c r="A407" s="3">
        <v>1209657477</v>
      </c>
      <c r="B407" s="3" t="s">
        <v>473</v>
      </c>
      <c r="C407" s="3" t="s">
        <v>474</v>
      </c>
      <c r="D407" s="4">
        <v>46307.402037036998</v>
      </c>
      <c r="E407" s="5" t="s">
        <v>10</v>
      </c>
      <c r="F407" s="5" t="s">
        <v>17</v>
      </c>
      <c r="G407" s="5">
        <v>18</v>
      </c>
      <c r="H407" s="6" t="s">
        <v>12</v>
      </c>
      <c r="I407" t="s">
        <v>476</v>
      </c>
      <c r="J407" t="s">
        <v>2480</v>
      </c>
      <c r="K407" t="str">
        <f>+VLOOKUP(C407,'[1]TIENDAS 2025'!$A$1:$C$143,3,0)</f>
        <v>local</v>
      </c>
      <c r="L407" t="str">
        <f>+VLOOKUP(C407,[2]Hoja1!$A$1:$B$138,2,0)</f>
        <v>APROBAR</v>
      </c>
      <c r="M407">
        <v>1</v>
      </c>
      <c r="N407" t="e">
        <v>#N/A</v>
      </c>
    </row>
    <row r="408" spans="1:14" ht="15" customHeight="1" x14ac:dyDescent="0.3">
      <c r="A408" s="3">
        <v>1209657519</v>
      </c>
      <c r="B408" s="3" t="s">
        <v>478</v>
      </c>
      <c r="C408" s="3" t="s">
        <v>479</v>
      </c>
      <c r="D408" s="4">
        <v>46307.402048611097</v>
      </c>
      <c r="E408" s="5" t="s">
        <v>10</v>
      </c>
      <c r="F408" s="5" t="s">
        <v>11</v>
      </c>
      <c r="G408" s="5">
        <v>2</v>
      </c>
      <c r="H408" s="6" t="s">
        <v>12</v>
      </c>
      <c r="I408" t="s">
        <v>477</v>
      </c>
      <c r="J408" t="s">
        <v>2480</v>
      </c>
      <c r="K408" t="str">
        <f>+VLOOKUP(C408,'[1]TIENDAS 2025'!$A$1:$C$143,3,0)</f>
        <v>prioridad</v>
      </c>
      <c r="L408" t="str">
        <f>+VLOOKUP(C408,[2]Hoja1!$A$1:$B$138,2,0)</f>
        <v>APROBAR</v>
      </c>
      <c r="M408">
        <v>1</v>
      </c>
      <c r="N408" t="e">
        <v>#N/A</v>
      </c>
    </row>
    <row r="409" spans="1:14" ht="15" customHeight="1" x14ac:dyDescent="0.3">
      <c r="A409" s="3">
        <v>8209657467</v>
      </c>
      <c r="B409" s="3" t="s">
        <v>473</v>
      </c>
      <c r="C409" s="3" t="s">
        <v>474</v>
      </c>
      <c r="D409" s="4">
        <v>46307.402048611097</v>
      </c>
      <c r="E409" s="5" t="s">
        <v>10</v>
      </c>
      <c r="F409" s="5" t="s">
        <v>16</v>
      </c>
      <c r="G409" s="5">
        <v>1</v>
      </c>
      <c r="H409" s="8" t="s">
        <v>12</v>
      </c>
      <c r="I409" t="s">
        <v>480</v>
      </c>
      <c r="K409" t="str">
        <f>+VLOOKUP(C409,'[1]TIENDAS 2025'!$A$1:$C$143,3,0)</f>
        <v>local</v>
      </c>
      <c r="L409" t="str">
        <f>+VLOOKUP(C409,[2]Hoja1!$A$1:$B$138,2,0)</f>
        <v>APROBAR</v>
      </c>
      <c r="M409">
        <v>1</v>
      </c>
      <c r="N409" t="e">
        <v>#N/A</v>
      </c>
    </row>
    <row r="410" spans="1:14" ht="15" customHeight="1" x14ac:dyDescent="0.3">
      <c r="A410" s="3">
        <v>1209657611</v>
      </c>
      <c r="B410" s="3" t="s">
        <v>482</v>
      </c>
      <c r="C410" s="3" t="s">
        <v>483</v>
      </c>
      <c r="D410" s="4">
        <v>46307.402071759301</v>
      </c>
      <c r="E410" s="5" t="s">
        <v>10</v>
      </c>
      <c r="F410" s="5" t="s">
        <v>11</v>
      </c>
      <c r="G410" s="5">
        <v>14</v>
      </c>
      <c r="H410" s="6" t="s">
        <v>12</v>
      </c>
      <c r="I410" t="s">
        <v>481</v>
      </c>
      <c r="J410" t="s">
        <v>2480</v>
      </c>
      <c r="K410" t="str">
        <f>+VLOOKUP(C410,'[1]TIENDAS 2025'!$A$1:$C$143,3,0)</f>
        <v>departamental</v>
      </c>
      <c r="L410" t="str">
        <f>+VLOOKUP(C410,[2]Hoja1!$A$1:$B$138,2,0)</f>
        <v>APROBAR</v>
      </c>
      <c r="M410">
        <v>1</v>
      </c>
      <c r="N410" t="e">
        <v>#N/A</v>
      </c>
    </row>
    <row r="411" spans="1:14" ht="15" customHeight="1" x14ac:dyDescent="0.3">
      <c r="A411" s="3">
        <v>1209657577</v>
      </c>
      <c r="B411" s="3" t="s">
        <v>485</v>
      </c>
      <c r="C411" s="3" t="s">
        <v>486</v>
      </c>
      <c r="D411" s="4">
        <v>46307.402083333298</v>
      </c>
      <c r="E411" s="5" t="s">
        <v>10</v>
      </c>
      <c r="F411" s="5" t="s">
        <v>17</v>
      </c>
      <c r="G411" s="5">
        <v>47</v>
      </c>
      <c r="H411" s="6" t="s">
        <v>12</v>
      </c>
      <c r="I411" t="s">
        <v>484</v>
      </c>
      <c r="J411" t="s">
        <v>2480</v>
      </c>
      <c r="K411" t="str">
        <f>+VLOOKUP(C411,'[1]TIENDAS 2025'!$A$1:$C$143,3,0)</f>
        <v>local</v>
      </c>
      <c r="L411" t="str">
        <f>+VLOOKUP(C411,[2]Hoja1!$A$1:$B$138,2,0)</f>
        <v>APROBAR</v>
      </c>
      <c r="M411">
        <v>1</v>
      </c>
      <c r="N411" t="e">
        <v>#N/A</v>
      </c>
    </row>
    <row r="412" spans="1:14" ht="15" customHeight="1" x14ac:dyDescent="0.3">
      <c r="A412" s="3">
        <v>1209657571</v>
      </c>
      <c r="B412" s="3" t="s">
        <v>485</v>
      </c>
      <c r="C412" s="3" t="s">
        <v>486</v>
      </c>
      <c r="D412" s="4">
        <v>46307.402106481502</v>
      </c>
      <c r="E412" s="5" t="s">
        <v>10</v>
      </c>
      <c r="F412" s="5" t="s">
        <v>17</v>
      </c>
      <c r="G412" s="5">
        <v>36</v>
      </c>
      <c r="H412" s="6" t="s">
        <v>12</v>
      </c>
      <c r="I412" t="s">
        <v>487</v>
      </c>
      <c r="J412" t="s">
        <v>2480</v>
      </c>
      <c r="K412" t="str">
        <f>+VLOOKUP(C412,'[1]TIENDAS 2025'!$A$1:$C$143,3,0)</f>
        <v>local</v>
      </c>
      <c r="L412" t="str">
        <f>+VLOOKUP(C412,[2]Hoja1!$A$1:$B$138,2,0)</f>
        <v>APROBAR</v>
      </c>
      <c r="M412">
        <v>1</v>
      </c>
      <c r="N412" t="e">
        <v>#N/A</v>
      </c>
    </row>
    <row r="413" spans="1:14" ht="15" customHeight="1" x14ac:dyDescent="0.3">
      <c r="A413" s="3">
        <v>1209657575</v>
      </c>
      <c r="B413" s="3" t="s">
        <v>485</v>
      </c>
      <c r="C413" s="3" t="s">
        <v>486</v>
      </c>
      <c r="D413" s="4">
        <v>46307.402118055601</v>
      </c>
      <c r="E413" s="5" t="s">
        <v>10</v>
      </c>
      <c r="F413" s="5" t="s">
        <v>11</v>
      </c>
      <c r="G413" s="5">
        <v>8</v>
      </c>
      <c r="H413" s="6" t="s">
        <v>12</v>
      </c>
      <c r="I413" t="s">
        <v>488</v>
      </c>
      <c r="J413" t="s">
        <v>2480</v>
      </c>
      <c r="K413" t="str">
        <f>+VLOOKUP(C413,'[1]TIENDAS 2025'!$A$1:$C$143,3,0)</f>
        <v>local</v>
      </c>
      <c r="L413" t="str">
        <f>+VLOOKUP(C413,[2]Hoja1!$A$1:$B$138,2,0)</f>
        <v>APROBAR</v>
      </c>
      <c r="M413">
        <v>1</v>
      </c>
      <c r="N413" t="e">
        <v>#N/A</v>
      </c>
    </row>
    <row r="414" spans="1:14" ht="15" customHeight="1" x14ac:dyDescent="0.3">
      <c r="A414" s="3">
        <v>1209657491</v>
      </c>
      <c r="B414" s="3" t="s">
        <v>473</v>
      </c>
      <c r="C414" s="3" t="s">
        <v>474</v>
      </c>
      <c r="D414" s="4">
        <v>46307.402129629598</v>
      </c>
      <c r="E414" s="5" t="s">
        <v>10</v>
      </c>
      <c r="F414" s="5" t="s">
        <v>11</v>
      </c>
      <c r="G414" s="5">
        <v>37</v>
      </c>
      <c r="H414" s="6" t="s">
        <v>12</v>
      </c>
      <c r="I414" t="s">
        <v>489</v>
      </c>
      <c r="J414" t="s">
        <v>2480</v>
      </c>
      <c r="K414" t="str">
        <f>+VLOOKUP(C414,'[1]TIENDAS 2025'!$A$1:$C$143,3,0)</f>
        <v>local</v>
      </c>
      <c r="L414" t="str">
        <f>+VLOOKUP(C414,[2]Hoja1!$A$1:$B$138,2,0)</f>
        <v>APROBAR</v>
      </c>
      <c r="M414">
        <v>1</v>
      </c>
      <c r="N414" t="e">
        <v>#N/A</v>
      </c>
    </row>
    <row r="415" spans="1:14" ht="15" customHeight="1" x14ac:dyDescent="0.3">
      <c r="A415" s="3">
        <v>8209657525</v>
      </c>
      <c r="B415" s="3" t="s">
        <v>470</v>
      </c>
      <c r="C415" s="3" t="s">
        <v>471</v>
      </c>
      <c r="D415" s="4">
        <v>46307.402141203696</v>
      </c>
      <c r="E415" s="5" t="s">
        <v>10</v>
      </c>
      <c r="F415" s="5" t="s">
        <v>16</v>
      </c>
      <c r="G415" s="5">
        <v>3</v>
      </c>
      <c r="H415" s="8" t="s">
        <v>12</v>
      </c>
      <c r="I415" t="s">
        <v>490</v>
      </c>
      <c r="K415" t="str">
        <f>+VLOOKUP(C415,'[1]TIENDAS 2025'!$A$1:$C$143,3,0)</f>
        <v>departamental</v>
      </c>
      <c r="L415" t="str">
        <f>+VLOOKUP(C415,[2]Hoja1!$A$1:$B$138,2,0)</f>
        <v>APROBAR</v>
      </c>
      <c r="M415">
        <v>1</v>
      </c>
      <c r="N415" t="e">
        <v>#N/A</v>
      </c>
    </row>
    <row r="416" spans="1:14" ht="15" customHeight="1" x14ac:dyDescent="0.3">
      <c r="A416" s="3">
        <v>8209657517</v>
      </c>
      <c r="B416" s="3" t="s">
        <v>478</v>
      </c>
      <c r="C416" s="3" t="s">
        <v>479</v>
      </c>
      <c r="D416" s="4">
        <v>46307.402152777802</v>
      </c>
      <c r="E416" s="5" t="s">
        <v>10</v>
      </c>
      <c r="F416" s="5" t="s">
        <v>16</v>
      </c>
      <c r="G416" s="5">
        <v>25</v>
      </c>
      <c r="H416" s="8" t="s">
        <v>12</v>
      </c>
      <c r="I416" t="s">
        <v>491</v>
      </c>
      <c r="K416" t="str">
        <f>+VLOOKUP(C416,'[1]TIENDAS 2025'!$A$1:$C$143,3,0)</f>
        <v>prioridad</v>
      </c>
      <c r="L416" t="str">
        <f>+VLOOKUP(C416,[2]Hoja1!$A$1:$B$138,2,0)</f>
        <v>APROBAR</v>
      </c>
      <c r="M416">
        <v>1</v>
      </c>
      <c r="N416" t="e">
        <v>#N/A</v>
      </c>
    </row>
    <row r="417" spans="1:14" ht="15" customHeight="1" x14ac:dyDescent="0.3">
      <c r="A417" s="3">
        <v>1209657508</v>
      </c>
      <c r="B417" s="3" t="s">
        <v>478</v>
      </c>
      <c r="C417" s="3" t="s">
        <v>479</v>
      </c>
      <c r="D417" s="4">
        <v>46307.402175925898</v>
      </c>
      <c r="E417" s="5" t="s">
        <v>10</v>
      </c>
      <c r="F417" s="5" t="s">
        <v>11</v>
      </c>
      <c r="G417" s="5">
        <v>11</v>
      </c>
      <c r="H417" s="6" t="s">
        <v>12</v>
      </c>
      <c r="I417" t="s">
        <v>492</v>
      </c>
      <c r="J417" t="s">
        <v>2480</v>
      </c>
      <c r="K417" t="str">
        <f>+VLOOKUP(C417,'[1]TIENDAS 2025'!$A$1:$C$143,3,0)</f>
        <v>prioridad</v>
      </c>
      <c r="L417" t="str">
        <f>+VLOOKUP(C417,[2]Hoja1!$A$1:$B$138,2,0)</f>
        <v>APROBAR</v>
      </c>
      <c r="M417">
        <v>1</v>
      </c>
      <c r="N417" t="e">
        <v>#N/A</v>
      </c>
    </row>
    <row r="418" spans="1:14" ht="15" customHeight="1" x14ac:dyDescent="0.3">
      <c r="A418" s="3">
        <v>1209657522</v>
      </c>
      <c r="B418" s="3" t="s">
        <v>478</v>
      </c>
      <c r="C418" s="3" t="s">
        <v>479</v>
      </c>
      <c r="D418" s="4">
        <v>46307.402175925898</v>
      </c>
      <c r="E418" s="5" t="s">
        <v>10</v>
      </c>
      <c r="F418" s="5" t="s">
        <v>11</v>
      </c>
      <c r="G418" s="5">
        <v>40</v>
      </c>
      <c r="H418" s="6" t="s">
        <v>12</v>
      </c>
      <c r="I418" t="s">
        <v>493</v>
      </c>
      <c r="J418" t="s">
        <v>2480</v>
      </c>
      <c r="K418" t="str">
        <f>+VLOOKUP(C418,'[1]TIENDAS 2025'!$A$1:$C$143,3,0)</f>
        <v>prioridad</v>
      </c>
      <c r="L418" t="str">
        <f>+VLOOKUP(C418,[2]Hoja1!$A$1:$B$138,2,0)</f>
        <v>APROBAR</v>
      </c>
      <c r="M418">
        <v>1</v>
      </c>
      <c r="N418" t="e">
        <v>#N/A</v>
      </c>
    </row>
    <row r="419" spans="1:14" ht="15" customHeight="1" x14ac:dyDescent="0.3">
      <c r="A419" s="3">
        <v>1209657579</v>
      </c>
      <c r="B419" s="3" t="s">
        <v>485</v>
      </c>
      <c r="C419" s="3" t="s">
        <v>486</v>
      </c>
      <c r="D419" s="4">
        <v>46307.402199074102</v>
      </c>
      <c r="E419" s="5" t="s">
        <v>10</v>
      </c>
      <c r="F419" s="5" t="s">
        <v>17</v>
      </c>
      <c r="G419" s="5">
        <v>19</v>
      </c>
      <c r="H419" s="6" t="s">
        <v>12</v>
      </c>
      <c r="I419" t="s">
        <v>494</v>
      </c>
      <c r="J419" t="s">
        <v>2480</v>
      </c>
      <c r="K419" t="str">
        <f>+VLOOKUP(C419,'[1]TIENDAS 2025'!$A$1:$C$143,3,0)</f>
        <v>local</v>
      </c>
      <c r="L419" t="str">
        <f>+VLOOKUP(C419,[2]Hoja1!$A$1:$B$138,2,0)</f>
        <v>APROBAR</v>
      </c>
      <c r="M419">
        <v>1</v>
      </c>
      <c r="N419" t="e">
        <v>#N/A</v>
      </c>
    </row>
    <row r="420" spans="1:14" ht="15" customHeight="1" x14ac:dyDescent="0.3">
      <c r="A420" s="3">
        <v>1209657473</v>
      </c>
      <c r="B420" s="3" t="s">
        <v>473</v>
      </c>
      <c r="C420" s="3" t="s">
        <v>474</v>
      </c>
      <c r="D420" s="4">
        <v>46307.402210648099</v>
      </c>
      <c r="E420" s="5" t="s">
        <v>10</v>
      </c>
      <c r="F420" s="5" t="s">
        <v>17</v>
      </c>
      <c r="G420" s="5">
        <v>4</v>
      </c>
      <c r="H420" s="6" t="s">
        <v>12</v>
      </c>
      <c r="I420" t="s">
        <v>495</v>
      </c>
      <c r="J420" t="s">
        <v>2480</v>
      </c>
      <c r="K420" t="str">
        <f>+VLOOKUP(C420,'[1]TIENDAS 2025'!$A$1:$C$143,3,0)</f>
        <v>local</v>
      </c>
      <c r="L420" t="str">
        <f>+VLOOKUP(C420,[2]Hoja1!$A$1:$B$138,2,0)</f>
        <v>APROBAR</v>
      </c>
      <c r="M420">
        <v>1</v>
      </c>
      <c r="N420" t="e">
        <v>#N/A</v>
      </c>
    </row>
    <row r="421" spans="1:14" ht="15" customHeight="1" x14ac:dyDescent="0.3">
      <c r="A421" s="3">
        <v>1209657536</v>
      </c>
      <c r="B421" s="3" t="s">
        <v>470</v>
      </c>
      <c r="C421" s="3" t="s">
        <v>471</v>
      </c>
      <c r="D421" s="4">
        <v>46307.402222222197</v>
      </c>
      <c r="E421" s="5" t="s">
        <v>10</v>
      </c>
      <c r="F421" s="5" t="s">
        <v>11</v>
      </c>
      <c r="G421" s="5">
        <v>17</v>
      </c>
      <c r="H421" s="6" t="s">
        <v>12</v>
      </c>
      <c r="I421" t="s">
        <v>496</v>
      </c>
      <c r="J421" t="s">
        <v>2480</v>
      </c>
      <c r="K421" t="str">
        <f>+VLOOKUP(C421,'[1]TIENDAS 2025'!$A$1:$C$143,3,0)</f>
        <v>departamental</v>
      </c>
      <c r="L421" t="str">
        <f>+VLOOKUP(C421,[2]Hoja1!$A$1:$B$138,2,0)</f>
        <v>APROBAR</v>
      </c>
      <c r="M421">
        <v>1</v>
      </c>
      <c r="N421" t="e">
        <v>#N/A</v>
      </c>
    </row>
    <row r="422" spans="1:14" ht="15" customHeight="1" x14ac:dyDescent="0.3">
      <c r="A422" s="3">
        <v>1209657514</v>
      </c>
      <c r="B422" s="3" t="s">
        <v>478</v>
      </c>
      <c r="C422" s="3" t="s">
        <v>479</v>
      </c>
      <c r="D422" s="4">
        <v>46307.402245370402</v>
      </c>
      <c r="E422" s="5" t="s">
        <v>10</v>
      </c>
      <c r="F422" s="5" t="s">
        <v>17</v>
      </c>
      <c r="G422" s="5">
        <v>37</v>
      </c>
      <c r="H422" s="6" t="s">
        <v>12</v>
      </c>
      <c r="I422" t="s">
        <v>497</v>
      </c>
      <c r="J422" t="s">
        <v>2480</v>
      </c>
      <c r="K422" t="str">
        <f>+VLOOKUP(C422,'[1]TIENDAS 2025'!$A$1:$C$143,3,0)</f>
        <v>prioridad</v>
      </c>
      <c r="L422" t="str">
        <f>+VLOOKUP(C422,[2]Hoja1!$A$1:$B$138,2,0)</f>
        <v>APROBAR</v>
      </c>
      <c r="M422">
        <v>1</v>
      </c>
      <c r="N422" t="e">
        <v>#N/A</v>
      </c>
    </row>
    <row r="423" spans="1:14" ht="15" customHeight="1" x14ac:dyDescent="0.3">
      <c r="A423" s="3">
        <v>1209657542</v>
      </c>
      <c r="B423" s="3" t="s">
        <v>470</v>
      </c>
      <c r="C423" s="3" t="s">
        <v>471</v>
      </c>
      <c r="D423" s="4">
        <v>46307.402245370402</v>
      </c>
      <c r="E423" s="5" t="s">
        <v>10</v>
      </c>
      <c r="F423" s="5" t="s">
        <v>17</v>
      </c>
      <c r="G423" s="5">
        <v>53</v>
      </c>
      <c r="H423" s="6" t="s">
        <v>12</v>
      </c>
      <c r="I423" t="s">
        <v>498</v>
      </c>
      <c r="J423" t="s">
        <v>2480</v>
      </c>
      <c r="K423" t="str">
        <f>+VLOOKUP(C423,'[1]TIENDAS 2025'!$A$1:$C$143,3,0)</f>
        <v>departamental</v>
      </c>
      <c r="L423" t="str">
        <f>+VLOOKUP(C423,[2]Hoja1!$A$1:$B$138,2,0)</f>
        <v>APROBAR</v>
      </c>
      <c r="M423">
        <v>1</v>
      </c>
      <c r="N423" t="e">
        <v>#N/A</v>
      </c>
    </row>
    <row r="424" spans="1:14" ht="15" customHeight="1" x14ac:dyDescent="0.3">
      <c r="A424" s="3">
        <v>8209657502</v>
      </c>
      <c r="B424" s="3" t="s">
        <v>478</v>
      </c>
      <c r="C424" s="3" t="s">
        <v>479</v>
      </c>
      <c r="D424" s="4">
        <v>46307.402268518497</v>
      </c>
      <c r="E424" s="5" t="s">
        <v>10</v>
      </c>
      <c r="F424" s="5" t="s">
        <v>16</v>
      </c>
      <c r="G424" s="5">
        <v>21</v>
      </c>
      <c r="H424" s="8" t="s">
        <v>12</v>
      </c>
      <c r="I424" t="s">
        <v>499</v>
      </c>
      <c r="K424" t="str">
        <f>+VLOOKUP(C424,'[1]TIENDAS 2025'!$A$1:$C$143,3,0)</f>
        <v>prioridad</v>
      </c>
      <c r="L424" t="str">
        <f>+VLOOKUP(C424,[2]Hoja1!$A$1:$B$138,2,0)</f>
        <v>APROBAR</v>
      </c>
      <c r="M424">
        <v>1</v>
      </c>
      <c r="N424" t="e">
        <v>#N/A</v>
      </c>
    </row>
    <row r="425" spans="1:14" ht="15" customHeight="1" x14ac:dyDescent="0.3">
      <c r="A425" s="3">
        <v>8209657466</v>
      </c>
      <c r="B425" s="3" t="s">
        <v>473</v>
      </c>
      <c r="C425" s="3" t="s">
        <v>474</v>
      </c>
      <c r="D425" s="4">
        <v>46307.402280092603</v>
      </c>
      <c r="E425" s="5" t="s">
        <v>10</v>
      </c>
      <c r="F425" s="5" t="s">
        <v>16</v>
      </c>
      <c r="G425" s="5">
        <v>6</v>
      </c>
      <c r="H425" s="8" t="s">
        <v>12</v>
      </c>
      <c r="I425" t="s">
        <v>500</v>
      </c>
      <c r="K425" t="str">
        <f>+VLOOKUP(C425,'[1]TIENDAS 2025'!$A$1:$C$143,3,0)</f>
        <v>local</v>
      </c>
      <c r="L425" t="str">
        <f>+VLOOKUP(C425,[2]Hoja1!$A$1:$B$138,2,0)</f>
        <v>APROBAR</v>
      </c>
      <c r="M425">
        <v>1</v>
      </c>
      <c r="N425" t="e">
        <v>#N/A</v>
      </c>
    </row>
    <row r="426" spans="1:14" ht="15" customHeight="1" x14ac:dyDescent="0.3">
      <c r="A426" s="3">
        <v>8209657484</v>
      </c>
      <c r="B426" s="3" t="s">
        <v>473</v>
      </c>
      <c r="C426" s="3" t="s">
        <v>474</v>
      </c>
      <c r="D426" s="4">
        <v>46307.402291666702</v>
      </c>
      <c r="E426" s="5" t="s">
        <v>10</v>
      </c>
      <c r="F426" s="5" t="s">
        <v>16</v>
      </c>
      <c r="G426" s="5">
        <v>2</v>
      </c>
      <c r="H426" s="8" t="s">
        <v>12</v>
      </c>
      <c r="I426" t="s">
        <v>501</v>
      </c>
      <c r="K426" t="str">
        <f>+VLOOKUP(C426,'[1]TIENDAS 2025'!$A$1:$C$143,3,0)</f>
        <v>local</v>
      </c>
      <c r="L426" t="str">
        <f>+VLOOKUP(C426,[2]Hoja1!$A$1:$B$138,2,0)</f>
        <v>APROBAR</v>
      </c>
      <c r="M426">
        <v>1</v>
      </c>
      <c r="N426" t="e">
        <v>#N/A</v>
      </c>
    </row>
    <row r="427" spans="1:14" ht="15" customHeight="1" x14ac:dyDescent="0.3">
      <c r="A427" s="3">
        <v>1209657609</v>
      </c>
      <c r="B427" s="3" t="s">
        <v>482</v>
      </c>
      <c r="C427" s="3" t="s">
        <v>483</v>
      </c>
      <c r="D427" s="4">
        <v>46307.402314814797</v>
      </c>
      <c r="E427" s="5" t="s">
        <v>10</v>
      </c>
      <c r="F427" s="5" t="s">
        <v>11</v>
      </c>
      <c r="G427" s="5">
        <v>16</v>
      </c>
      <c r="H427" s="6" t="s">
        <v>12</v>
      </c>
      <c r="I427" t="s">
        <v>502</v>
      </c>
      <c r="J427" t="s">
        <v>2480</v>
      </c>
      <c r="K427" t="str">
        <f>+VLOOKUP(C427,'[1]TIENDAS 2025'!$A$1:$C$143,3,0)</f>
        <v>departamental</v>
      </c>
      <c r="L427" t="str">
        <f>+VLOOKUP(C427,[2]Hoja1!$A$1:$B$138,2,0)</f>
        <v>APROBAR</v>
      </c>
      <c r="M427">
        <v>1</v>
      </c>
      <c r="N427" t="e">
        <v>#N/A</v>
      </c>
    </row>
    <row r="428" spans="1:14" ht="15" customHeight="1" x14ac:dyDescent="0.3">
      <c r="A428" s="3">
        <v>8209657617</v>
      </c>
      <c r="B428" s="3" t="s">
        <v>482</v>
      </c>
      <c r="C428" s="3" t="s">
        <v>483</v>
      </c>
      <c r="D428" s="4">
        <v>46307.402314814797</v>
      </c>
      <c r="E428" s="5" t="s">
        <v>10</v>
      </c>
      <c r="F428" s="5" t="s">
        <v>16</v>
      </c>
      <c r="G428" s="5">
        <v>5</v>
      </c>
      <c r="H428" s="8" t="s">
        <v>12</v>
      </c>
      <c r="I428" t="s">
        <v>503</v>
      </c>
      <c r="K428" t="str">
        <f>+VLOOKUP(C428,'[1]TIENDAS 2025'!$A$1:$C$143,3,0)</f>
        <v>departamental</v>
      </c>
      <c r="L428" t="str">
        <f>+VLOOKUP(C428,[2]Hoja1!$A$1:$B$138,2,0)</f>
        <v>APROBAR</v>
      </c>
      <c r="M428">
        <v>1</v>
      </c>
      <c r="N428" t="e">
        <v>#N/A</v>
      </c>
    </row>
    <row r="429" spans="1:14" ht="15" customHeight="1" x14ac:dyDescent="0.3">
      <c r="A429" s="3">
        <v>1209657570</v>
      </c>
      <c r="B429" s="3" t="s">
        <v>485</v>
      </c>
      <c r="C429" s="3" t="s">
        <v>486</v>
      </c>
      <c r="D429" s="4">
        <v>46307.402337963002</v>
      </c>
      <c r="E429" s="5" t="s">
        <v>10</v>
      </c>
      <c r="F429" s="5" t="s">
        <v>17</v>
      </c>
      <c r="G429" s="5">
        <v>22</v>
      </c>
      <c r="H429" s="6" t="s">
        <v>12</v>
      </c>
      <c r="I429" t="s">
        <v>504</v>
      </c>
      <c r="J429" t="s">
        <v>2480</v>
      </c>
      <c r="K429" t="str">
        <f>+VLOOKUP(C429,'[1]TIENDAS 2025'!$A$1:$C$143,3,0)</f>
        <v>local</v>
      </c>
      <c r="L429" t="str">
        <f>+VLOOKUP(C429,[2]Hoja1!$A$1:$B$138,2,0)</f>
        <v>APROBAR</v>
      </c>
      <c r="M429">
        <v>1</v>
      </c>
      <c r="N429" t="e">
        <v>#N/A</v>
      </c>
    </row>
    <row r="430" spans="1:14" ht="15" customHeight="1" x14ac:dyDescent="0.3">
      <c r="A430" s="3">
        <v>1209657573</v>
      </c>
      <c r="B430" s="3" t="s">
        <v>485</v>
      </c>
      <c r="C430" s="3" t="s">
        <v>486</v>
      </c>
      <c r="D430" s="4">
        <v>46307.402349536998</v>
      </c>
      <c r="E430" s="5" t="s">
        <v>10</v>
      </c>
      <c r="F430" s="5" t="s">
        <v>11</v>
      </c>
      <c r="G430" s="5">
        <v>32</v>
      </c>
      <c r="H430" s="6" t="s">
        <v>12</v>
      </c>
      <c r="I430" t="s">
        <v>505</v>
      </c>
      <c r="J430" t="s">
        <v>2480</v>
      </c>
      <c r="K430" t="str">
        <f>+VLOOKUP(C430,'[1]TIENDAS 2025'!$A$1:$C$143,3,0)</f>
        <v>local</v>
      </c>
      <c r="L430" t="str">
        <f>+VLOOKUP(C430,[2]Hoja1!$A$1:$B$138,2,0)</f>
        <v>APROBAR</v>
      </c>
      <c r="M430">
        <v>1</v>
      </c>
      <c r="N430" t="e">
        <v>#N/A</v>
      </c>
    </row>
    <row r="431" spans="1:14" ht="15" customHeight="1" x14ac:dyDescent="0.3">
      <c r="A431" s="3">
        <v>1209657535</v>
      </c>
      <c r="B431" s="3" t="s">
        <v>470</v>
      </c>
      <c r="C431" s="3" t="s">
        <v>471</v>
      </c>
      <c r="D431" s="4">
        <v>46307.402372685203</v>
      </c>
      <c r="E431" s="5" t="s">
        <v>10</v>
      </c>
      <c r="F431" s="5" t="s">
        <v>17</v>
      </c>
      <c r="G431" s="5">
        <v>19</v>
      </c>
      <c r="H431" s="6" t="s">
        <v>12</v>
      </c>
      <c r="I431" t="s">
        <v>506</v>
      </c>
      <c r="J431" t="s">
        <v>2480</v>
      </c>
      <c r="K431" t="str">
        <f>+VLOOKUP(C431,'[1]TIENDAS 2025'!$A$1:$C$143,3,0)</f>
        <v>departamental</v>
      </c>
      <c r="L431" t="str">
        <f>+VLOOKUP(C431,[2]Hoja1!$A$1:$B$138,2,0)</f>
        <v>APROBAR</v>
      </c>
      <c r="M431">
        <v>1</v>
      </c>
      <c r="N431" t="e">
        <v>#N/A</v>
      </c>
    </row>
    <row r="432" spans="1:14" ht="15" customHeight="1" x14ac:dyDescent="0.3">
      <c r="A432" s="3">
        <v>8209657524</v>
      </c>
      <c r="B432" s="3" t="s">
        <v>470</v>
      </c>
      <c r="C432" s="3" t="s">
        <v>471</v>
      </c>
      <c r="D432" s="4">
        <v>46307.402372685203</v>
      </c>
      <c r="E432" s="5" t="s">
        <v>10</v>
      </c>
      <c r="F432" s="5" t="s">
        <v>16</v>
      </c>
      <c r="G432" s="5">
        <v>2</v>
      </c>
      <c r="H432" s="8" t="s">
        <v>12</v>
      </c>
      <c r="I432" t="s">
        <v>507</v>
      </c>
      <c r="K432" t="str">
        <f>+VLOOKUP(C432,'[1]TIENDAS 2025'!$A$1:$C$143,3,0)</f>
        <v>departamental</v>
      </c>
      <c r="L432" t="str">
        <f>+VLOOKUP(C432,[2]Hoja1!$A$1:$B$138,2,0)</f>
        <v>APROBAR</v>
      </c>
      <c r="M432">
        <v>1</v>
      </c>
      <c r="N432" t="e">
        <v>#N/A</v>
      </c>
    </row>
    <row r="433" spans="1:14" ht="15" customHeight="1" x14ac:dyDescent="0.3">
      <c r="A433" s="3">
        <v>1209657532</v>
      </c>
      <c r="B433" s="3" t="s">
        <v>470</v>
      </c>
      <c r="C433" s="3" t="s">
        <v>471</v>
      </c>
      <c r="D433" s="4">
        <v>46307.402384259301</v>
      </c>
      <c r="E433" s="5" t="s">
        <v>10</v>
      </c>
      <c r="F433" s="5" t="s">
        <v>11</v>
      </c>
      <c r="G433" s="5">
        <v>14</v>
      </c>
      <c r="H433" s="6" t="s">
        <v>12</v>
      </c>
      <c r="I433" t="s">
        <v>508</v>
      </c>
      <c r="J433" t="s">
        <v>2480</v>
      </c>
      <c r="K433" t="str">
        <f>+VLOOKUP(C433,'[1]TIENDAS 2025'!$A$1:$C$143,3,0)</f>
        <v>departamental</v>
      </c>
      <c r="L433" t="str">
        <f>+VLOOKUP(C433,[2]Hoja1!$A$1:$B$138,2,0)</f>
        <v>APROBAR</v>
      </c>
      <c r="M433">
        <v>1</v>
      </c>
      <c r="N433" t="e">
        <v>#N/A</v>
      </c>
    </row>
    <row r="434" spans="1:14" ht="15" customHeight="1" x14ac:dyDescent="0.3">
      <c r="A434" s="3">
        <v>1209657537</v>
      </c>
      <c r="B434" s="3" t="s">
        <v>470</v>
      </c>
      <c r="C434" s="3" t="s">
        <v>471</v>
      </c>
      <c r="D434" s="4">
        <v>46307.402407407397</v>
      </c>
      <c r="E434" s="5" t="s">
        <v>10</v>
      </c>
      <c r="F434" s="5" t="s">
        <v>17</v>
      </c>
      <c r="G434" s="5">
        <v>31</v>
      </c>
      <c r="H434" s="6" t="s">
        <v>12</v>
      </c>
      <c r="I434" t="s">
        <v>509</v>
      </c>
      <c r="J434" t="s">
        <v>2480</v>
      </c>
      <c r="K434" t="str">
        <f>+VLOOKUP(C434,'[1]TIENDAS 2025'!$A$1:$C$143,3,0)</f>
        <v>departamental</v>
      </c>
      <c r="L434" t="str">
        <f>+VLOOKUP(C434,[2]Hoja1!$A$1:$B$138,2,0)</f>
        <v>APROBAR</v>
      </c>
      <c r="M434">
        <v>1</v>
      </c>
      <c r="N434" t="e">
        <v>#N/A</v>
      </c>
    </row>
    <row r="435" spans="1:14" ht="15" customHeight="1" x14ac:dyDescent="0.3">
      <c r="A435" s="3">
        <v>1209657516</v>
      </c>
      <c r="B435" s="3" t="s">
        <v>478</v>
      </c>
      <c r="C435" s="3" t="s">
        <v>479</v>
      </c>
      <c r="D435" s="4">
        <v>46307.402418981503</v>
      </c>
      <c r="E435" s="5" t="s">
        <v>10</v>
      </c>
      <c r="F435" s="5" t="s">
        <v>11</v>
      </c>
      <c r="G435" s="5">
        <v>2</v>
      </c>
      <c r="H435" s="6" t="s">
        <v>12</v>
      </c>
      <c r="I435" t="s">
        <v>510</v>
      </c>
      <c r="J435" t="s">
        <v>2480</v>
      </c>
      <c r="K435" t="str">
        <f>+VLOOKUP(C435,'[1]TIENDAS 2025'!$A$1:$C$143,3,0)</f>
        <v>prioridad</v>
      </c>
      <c r="L435" t="str">
        <f>+VLOOKUP(C435,[2]Hoja1!$A$1:$B$138,2,0)</f>
        <v>APROBAR</v>
      </c>
      <c r="M435">
        <v>1</v>
      </c>
      <c r="N435" t="e">
        <v>#N/A</v>
      </c>
    </row>
    <row r="436" spans="1:14" ht="15" customHeight="1" x14ac:dyDescent="0.3">
      <c r="A436" s="3">
        <v>8209657567</v>
      </c>
      <c r="B436" s="3" t="s">
        <v>485</v>
      </c>
      <c r="C436" s="3" t="s">
        <v>486</v>
      </c>
      <c r="D436" s="4">
        <v>46307.402430555601</v>
      </c>
      <c r="E436" s="5" t="s">
        <v>10</v>
      </c>
      <c r="F436" s="5" t="s">
        <v>16</v>
      </c>
      <c r="G436" s="5">
        <v>29</v>
      </c>
      <c r="H436" s="8" t="s">
        <v>12</v>
      </c>
      <c r="I436" t="s">
        <v>511</v>
      </c>
      <c r="K436" t="str">
        <f>+VLOOKUP(C436,'[1]TIENDAS 2025'!$A$1:$C$143,3,0)</f>
        <v>local</v>
      </c>
      <c r="L436" t="str">
        <f>+VLOOKUP(C436,[2]Hoja1!$A$1:$B$138,2,0)</f>
        <v>APROBAR</v>
      </c>
      <c r="M436">
        <v>1</v>
      </c>
      <c r="N436" t="e">
        <v>#N/A</v>
      </c>
    </row>
    <row r="437" spans="1:14" ht="15" customHeight="1" x14ac:dyDescent="0.3">
      <c r="A437" s="3">
        <v>8209657503</v>
      </c>
      <c r="B437" s="3" t="s">
        <v>478</v>
      </c>
      <c r="C437" s="3" t="s">
        <v>479</v>
      </c>
      <c r="D437" s="4">
        <v>46307.402442129598</v>
      </c>
      <c r="E437" s="5" t="s">
        <v>10</v>
      </c>
      <c r="F437" s="5" t="s">
        <v>16</v>
      </c>
      <c r="G437" s="5">
        <v>6</v>
      </c>
      <c r="H437" s="8" t="s">
        <v>12</v>
      </c>
      <c r="I437" t="s">
        <v>512</v>
      </c>
      <c r="K437" t="str">
        <f>+VLOOKUP(C437,'[1]TIENDAS 2025'!$A$1:$C$143,3,0)</f>
        <v>prioridad</v>
      </c>
      <c r="L437" t="str">
        <f>+VLOOKUP(C437,[2]Hoja1!$A$1:$B$138,2,0)</f>
        <v>APROBAR</v>
      </c>
      <c r="M437">
        <v>1</v>
      </c>
      <c r="N437" t="e">
        <v>#N/A</v>
      </c>
    </row>
    <row r="438" spans="1:14" ht="15" customHeight="1" x14ac:dyDescent="0.3">
      <c r="A438" s="3">
        <v>8209657468</v>
      </c>
      <c r="B438" s="3" t="s">
        <v>473</v>
      </c>
      <c r="C438" s="3" t="s">
        <v>474</v>
      </c>
      <c r="D438" s="4">
        <v>46307.402453703697</v>
      </c>
      <c r="E438" s="5" t="s">
        <v>10</v>
      </c>
      <c r="F438" s="5" t="s">
        <v>16</v>
      </c>
      <c r="G438" s="5">
        <v>9</v>
      </c>
      <c r="H438" s="8" t="s">
        <v>12</v>
      </c>
      <c r="I438" t="s">
        <v>513</v>
      </c>
      <c r="K438" t="str">
        <f>+VLOOKUP(C438,'[1]TIENDAS 2025'!$A$1:$C$143,3,0)</f>
        <v>local</v>
      </c>
      <c r="L438" t="str">
        <f>+VLOOKUP(C438,[2]Hoja1!$A$1:$B$138,2,0)</f>
        <v>APROBAR</v>
      </c>
      <c r="M438">
        <v>1</v>
      </c>
      <c r="N438" t="e">
        <v>#N/A</v>
      </c>
    </row>
    <row r="439" spans="1:14" ht="15" customHeight="1" x14ac:dyDescent="0.3">
      <c r="A439" s="3">
        <v>8209657600</v>
      </c>
      <c r="B439" s="3" t="s">
        <v>482</v>
      </c>
      <c r="C439" s="3" t="s">
        <v>483</v>
      </c>
      <c r="D439" s="4">
        <v>46307.402465277803</v>
      </c>
      <c r="E439" s="5" t="s">
        <v>10</v>
      </c>
      <c r="F439" s="5" t="s">
        <v>16</v>
      </c>
      <c r="G439" s="5">
        <v>11</v>
      </c>
      <c r="H439" s="8" t="s">
        <v>12</v>
      </c>
      <c r="I439" t="s">
        <v>514</v>
      </c>
      <c r="K439" t="str">
        <f>+VLOOKUP(C439,'[1]TIENDAS 2025'!$A$1:$C$143,3,0)</f>
        <v>departamental</v>
      </c>
      <c r="L439" t="str">
        <f>+VLOOKUP(C439,[2]Hoja1!$A$1:$B$138,2,0)</f>
        <v>APROBAR</v>
      </c>
      <c r="M439">
        <v>1</v>
      </c>
      <c r="N439" t="e">
        <v>#N/A</v>
      </c>
    </row>
    <row r="440" spans="1:14" ht="15" customHeight="1" x14ac:dyDescent="0.3">
      <c r="A440" s="3">
        <v>8209657618</v>
      </c>
      <c r="B440" s="3" t="s">
        <v>482</v>
      </c>
      <c r="C440" s="3" t="s">
        <v>483</v>
      </c>
      <c r="D440" s="4">
        <v>46307.402488425898</v>
      </c>
      <c r="E440" s="5" t="s">
        <v>10</v>
      </c>
      <c r="F440" s="5" t="s">
        <v>16</v>
      </c>
      <c r="G440" s="5">
        <v>1</v>
      </c>
      <c r="H440" s="8" t="s">
        <v>12</v>
      </c>
      <c r="I440" t="s">
        <v>515</v>
      </c>
      <c r="K440" t="str">
        <f>+VLOOKUP(C440,'[1]TIENDAS 2025'!$A$1:$C$143,3,0)</f>
        <v>departamental</v>
      </c>
      <c r="L440" t="str">
        <f>+VLOOKUP(C440,[2]Hoja1!$A$1:$B$138,2,0)</f>
        <v>APROBAR</v>
      </c>
      <c r="M440">
        <v>1</v>
      </c>
      <c r="N440" t="e">
        <v>#N/A</v>
      </c>
    </row>
    <row r="441" spans="1:14" ht="15" customHeight="1" x14ac:dyDescent="0.3">
      <c r="A441" s="3">
        <v>1209657511</v>
      </c>
      <c r="B441" s="3" t="s">
        <v>478</v>
      </c>
      <c r="C441" s="3" t="s">
        <v>479</v>
      </c>
      <c r="D441" s="4">
        <v>46307.402499999997</v>
      </c>
      <c r="E441" s="5" t="s">
        <v>10</v>
      </c>
      <c r="F441" s="5" t="s">
        <v>11</v>
      </c>
      <c r="G441" s="5">
        <v>30</v>
      </c>
      <c r="H441" s="6" t="s">
        <v>12</v>
      </c>
      <c r="I441" t="s">
        <v>516</v>
      </c>
      <c r="J441" t="s">
        <v>2480</v>
      </c>
      <c r="K441" t="str">
        <f>+VLOOKUP(C441,'[1]TIENDAS 2025'!$A$1:$C$143,3,0)</f>
        <v>prioridad</v>
      </c>
      <c r="L441" t="str">
        <f>+VLOOKUP(C441,[2]Hoja1!$A$1:$B$138,2,0)</f>
        <v>APROBAR</v>
      </c>
      <c r="M441">
        <v>1</v>
      </c>
      <c r="N441" t="e">
        <v>#N/A</v>
      </c>
    </row>
    <row r="442" spans="1:14" ht="15" customHeight="1" x14ac:dyDescent="0.3">
      <c r="A442" s="3">
        <v>1209657512</v>
      </c>
      <c r="B442" s="3" t="s">
        <v>478</v>
      </c>
      <c r="C442" s="3" t="s">
        <v>479</v>
      </c>
      <c r="D442" s="4">
        <v>46307.402511574102</v>
      </c>
      <c r="E442" s="5" t="s">
        <v>10</v>
      </c>
      <c r="F442" s="5" t="s">
        <v>11</v>
      </c>
      <c r="G442" s="5">
        <v>38</v>
      </c>
      <c r="H442" s="6" t="s">
        <v>12</v>
      </c>
      <c r="I442" t="s">
        <v>517</v>
      </c>
      <c r="J442" t="s">
        <v>2480</v>
      </c>
      <c r="K442" t="str">
        <f>+VLOOKUP(C442,'[1]TIENDAS 2025'!$A$1:$C$143,3,0)</f>
        <v>prioridad</v>
      </c>
      <c r="L442" t="str">
        <f>+VLOOKUP(C442,[2]Hoja1!$A$1:$B$138,2,0)</f>
        <v>APROBAR</v>
      </c>
      <c r="M442">
        <v>1</v>
      </c>
      <c r="N442" t="e">
        <v>#N/A</v>
      </c>
    </row>
    <row r="443" spans="1:14" ht="15" customHeight="1" x14ac:dyDescent="0.3">
      <c r="A443" s="3">
        <v>8209657529</v>
      </c>
      <c r="B443" s="3" t="s">
        <v>470</v>
      </c>
      <c r="C443" s="3" t="s">
        <v>471</v>
      </c>
      <c r="D443" s="4">
        <v>46307.402523148201</v>
      </c>
      <c r="E443" s="5" t="s">
        <v>10</v>
      </c>
      <c r="F443" s="5" t="s">
        <v>16</v>
      </c>
      <c r="G443" s="5">
        <v>54</v>
      </c>
      <c r="H443" s="8" t="s">
        <v>12</v>
      </c>
      <c r="I443" t="s">
        <v>518</v>
      </c>
      <c r="K443" t="str">
        <f>+VLOOKUP(C443,'[1]TIENDAS 2025'!$A$1:$C$143,3,0)</f>
        <v>departamental</v>
      </c>
      <c r="L443" t="str">
        <f>+VLOOKUP(C443,[2]Hoja1!$A$1:$B$138,2,0)</f>
        <v>APROBAR</v>
      </c>
      <c r="M443">
        <v>1</v>
      </c>
      <c r="N443" t="e">
        <v>#N/A</v>
      </c>
    </row>
    <row r="444" spans="1:14" ht="15" customHeight="1" x14ac:dyDescent="0.3">
      <c r="A444" s="3">
        <v>1209657476</v>
      </c>
      <c r="B444" s="3" t="s">
        <v>473</v>
      </c>
      <c r="C444" s="3" t="s">
        <v>474</v>
      </c>
      <c r="D444" s="4">
        <v>46307.402534722198</v>
      </c>
      <c r="E444" s="5" t="s">
        <v>10</v>
      </c>
      <c r="F444" s="5" t="s">
        <v>17</v>
      </c>
      <c r="G444" s="5">
        <v>18</v>
      </c>
      <c r="H444" s="6" t="s">
        <v>12</v>
      </c>
      <c r="I444" t="s">
        <v>519</v>
      </c>
      <c r="J444" t="s">
        <v>2480</v>
      </c>
      <c r="K444" t="str">
        <f>+VLOOKUP(C444,'[1]TIENDAS 2025'!$A$1:$C$143,3,0)</f>
        <v>local</v>
      </c>
      <c r="L444" t="str">
        <f>+VLOOKUP(C444,[2]Hoja1!$A$1:$B$138,2,0)</f>
        <v>APROBAR</v>
      </c>
      <c r="M444">
        <v>1</v>
      </c>
      <c r="N444" t="e">
        <v>#N/A</v>
      </c>
    </row>
    <row r="445" spans="1:14" ht="15" customHeight="1" x14ac:dyDescent="0.3">
      <c r="A445" s="3">
        <v>1209657515</v>
      </c>
      <c r="B445" s="3" t="s">
        <v>478</v>
      </c>
      <c r="C445" s="3" t="s">
        <v>479</v>
      </c>
      <c r="D445" s="4">
        <v>46307.402557870402</v>
      </c>
      <c r="E445" s="5" t="s">
        <v>10</v>
      </c>
      <c r="F445" s="5" t="s">
        <v>17</v>
      </c>
      <c r="G445" s="5">
        <v>49</v>
      </c>
      <c r="H445" s="6" t="s">
        <v>12</v>
      </c>
      <c r="I445" t="s">
        <v>520</v>
      </c>
      <c r="J445" t="s">
        <v>2480</v>
      </c>
      <c r="K445" t="str">
        <f>+VLOOKUP(C445,'[1]TIENDAS 2025'!$A$1:$C$143,3,0)</f>
        <v>prioridad</v>
      </c>
      <c r="L445" t="str">
        <f>+VLOOKUP(C445,[2]Hoja1!$A$1:$B$138,2,0)</f>
        <v>APROBAR</v>
      </c>
      <c r="M445">
        <v>1</v>
      </c>
      <c r="N445" t="e">
        <v>#N/A</v>
      </c>
    </row>
    <row r="446" spans="1:14" ht="15" customHeight="1" x14ac:dyDescent="0.3">
      <c r="A446" s="3">
        <v>8209657504</v>
      </c>
      <c r="B446" s="3" t="s">
        <v>478</v>
      </c>
      <c r="C446" s="3" t="s">
        <v>479</v>
      </c>
      <c r="D446" s="4">
        <v>46307.402557870402</v>
      </c>
      <c r="E446" s="5" t="s">
        <v>10</v>
      </c>
      <c r="F446" s="5" t="s">
        <v>16</v>
      </c>
      <c r="G446" s="5">
        <v>30</v>
      </c>
      <c r="H446" s="8" t="s">
        <v>12</v>
      </c>
      <c r="I446" t="s">
        <v>521</v>
      </c>
      <c r="K446" t="str">
        <f>+VLOOKUP(C446,'[1]TIENDAS 2025'!$A$1:$C$143,3,0)</f>
        <v>prioridad</v>
      </c>
      <c r="L446" t="str">
        <f>+VLOOKUP(C446,[2]Hoja1!$A$1:$B$138,2,0)</f>
        <v>APROBAR</v>
      </c>
      <c r="M446">
        <v>1</v>
      </c>
      <c r="N446" t="e">
        <v>#N/A</v>
      </c>
    </row>
    <row r="447" spans="1:14" ht="15" customHeight="1" x14ac:dyDescent="0.3">
      <c r="A447" s="3">
        <v>8209657469</v>
      </c>
      <c r="B447" s="3" t="s">
        <v>473</v>
      </c>
      <c r="C447" s="3" t="s">
        <v>474</v>
      </c>
      <c r="D447" s="4">
        <v>46307.402581018498</v>
      </c>
      <c r="E447" s="5" t="s">
        <v>10</v>
      </c>
      <c r="F447" s="5" t="s">
        <v>16</v>
      </c>
      <c r="G447" s="5">
        <v>10</v>
      </c>
      <c r="H447" s="8" t="s">
        <v>12</v>
      </c>
      <c r="I447" t="s">
        <v>522</v>
      </c>
      <c r="K447" t="str">
        <f>+VLOOKUP(C447,'[1]TIENDAS 2025'!$A$1:$C$143,3,0)</f>
        <v>local</v>
      </c>
      <c r="L447" t="str">
        <f>+VLOOKUP(C447,[2]Hoja1!$A$1:$B$138,2,0)</f>
        <v>APROBAR</v>
      </c>
      <c r="M447">
        <v>1</v>
      </c>
      <c r="N447" t="e">
        <v>#N/A</v>
      </c>
    </row>
    <row r="448" spans="1:14" ht="15" customHeight="1" x14ac:dyDescent="0.3">
      <c r="A448" s="3">
        <v>1209657482</v>
      </c>
      <c r="B448" s="3" t="s">
        <v>473</v>
      </c>
      <c r="C448" s="3" t="s">
        <v>474</v>
      </c>
      <c r="D448" s="4">
        <v>46307.402592592603</v>
      </c>
      <c r="E448" s="5" t="s">
        <v>10</v>
      </c>
      <c r="F448" s="5" t="s">
        <v>11</v>
      </c>
      <c r="G448" s="5">
        <v>1</v>
      </c>
      <c r="H448" s="6" t="s">
        <v>12</v>
      </c>
      <c r="I448" t="s">
        <v>523</v>
      </c>
      <c r="J448" t="s">
        <v>2480</v>
      </c>
      <c r="K448" t="str">
        <f>+VLOOKUP(C448,'[1]TIENDAS 2025'!$A$1:$C$143,3,0)</f>
        <v>local</v>
      </c>
      <c r="L448" t="str">
        <f>+VLOOKUP(C448,[2]Hoja1!$A$1:$B$138,2,0)</f>
        <v>APROBAR</v>
      </c>
      <c r="M448">
        <v>1</v>
      </c>
      <c r="N448" t="e">
        <v>#N/A</v>
      </c>
    </row>
    <row r="449" spans="1:14" ht="15" customHeight="1" x14ac:dyDescent="0.3">
      <c r="A449" s="3">
        <v>8209657470</v>
      </c>
      <c r="B449" s="3" t="s">
        <v>473</v>
      </c>
      <c r="C449" s="3" t="s">
        <v>474</v>
      </c>
      <c r="D449" s="4">
        <v>46307.402604166702</v>
      </c>
      <c r="E449" s="5" t="s">
        <v>10</v>
      </c>
      <c r="F449" s="5" t="s">
        <v>16</v>
      </c>
      <c r="G449" s="5">
        <v>43</v>
      </c>
      <c r="H449" s="8" t="s">
        <v>12</v>
      </c>
      <c r="I449" t="s">
        <v>524</v>
      </c>
      <c r="K449" t="str">
        <f>+VLOOKUP(C449,'[1]TIENDAS 2025'!$A$1:$C$143,3,0)</f>
        <v>local</v>
      </c>
      <c r="L449" t="str">
        <f>+VLOOKUP(C449,[2]Hoja1!$A$1:$B$138,2,0)</f>
        <v>APROBAR</v>
      </c>
      <c r="M449">
        <v>1</v>
      </c>
      <c r="N449" t="e">
        <v>#N/A</v>
      </c>
    </row>
    <row r="450" spans="1:14" ht="15" customHeight="1" x14ac:dyDescent="0.3">
      <c r="A450" s="3">
        <v>1209657612</v>
      </c>
      <c r="B450" s="3" t="s">
        <v>482</v>
      </c>
      <c r="C450" s="3" t="s">
        <v>483</v>
      </c>
      <c r="D450" s="4">
        <v>46307.402627314797</v>
      </c>
      <c r="E450" s="5" t="s">
        <v>10</v>
      </c>
      <c r="F450" s="5" t="s">
        <v>17</v>
      </c>
      <c r="G450" s="5">
        <v>26</v>
      </c>
      <c r="H450" s="6" t="s">
        <v>12</v>
      </c>
      <c r="I450" t="s">
        <v>525</v>
      </c>
      <c r="J450" t="s">
        <v>2480</v>
      </c>
      <c r="K450" t="str">
        <f>+VLOOKUP(C450,'[1]TIENDAS 2025'!$A$1:$C$143,3,0)</f>
        <v>departamental</v>
      </c>
      <c r="L450" t="str">
        <f>+VLOOKUP(C450,[2]Hoja1!$A$1:$B$138,2,0)</f>
        <v>APROBAR</v>
      </c>
      <c r="M450">
        <v>1</v>
      </c>
      <c r="N450" t="e">
        <v>#N/A</v>
      </c>
    </row>
    <row r="451" spans="1:14" ht="15" customHeight="1" x14ac:dyDescent="0.3">
      <c r="A451" s="3">
        <v>1209657619</v>
      </c>
      <c r="B451" s="3" t="s">
        <v>482</v>
      </c>
      <c r="C451" s="3" t="s">
        <v>483</v>
      </c>
      <c r="D451" s="4">
        <v>46307.402627314797</v>
      </c>
      <c r="E451" s="5" t="s">
        <v>10</v>
      </c>
      <c r="F451" s="5" t="s">
        <v>17</v>
      </c>
      <c r="G451" s="5">
        <v>3</v>
      </c>
      <c r="H451" s="6" t="s">
        <v>12</v>
      </c>
      <c r="I451" t="s">
        <v>526</v>
      </c>
      <c r="J451" t="s">
        <v>2480</v>
      </c>
      <c r="K451" t="str">
        <f>+VLOOKUP(C451,'[1]TIENDAS 2025'!$A$1:$C$143,3,0)</f>
        <v>departamental</v>
      </c>
      <c r="L451" t="str">
        <f>+VLOOKUP(C451,[2]Hoja1!$A$1:$B$138,2,0)</f>
        <v>APROBAR</v>
      </c>
      <c r="M451">
        <v>1</v>
      </c>
      <c r="N451" t="e">
        <v>#N/A</v>
      </c>
    </row>
    <row r="452" spans="1:14" ht="15" customHeight="1" x14ac:dyDescent="0.3">
      <c r="A452" s="3">
        <v>1209657621</v>
      </c>
      <c r="B452" s="3" t="s">
        <v>482</v>
      </c>
      <c r="C452" s="3" t="s">
        <v>483</v>
      </c>
      <c r="D452" s="4">
        <v>46307.402638888903</v>
      </c>
      <c r="E452" s="5" t="s">
        <v>10</v>
      </c>
      <c r="F452" s="5" t="s">
        <v>11</v>
      </c>
      <c r="G452" s="5">
        <v>37</v>
      </c>
      <c r="H452" s="6" t="s">
        <v>12</v>
      </c>
      <c r="I452" t="s">
        <v>527</v>
      </c>
      <c r="J452" t="s">
        <v>2480</v>
      </c>
      <c r="K452" t="str">
        <f>+VLOOKUP(C452,'[1]TIENDAS 2025'!$A$1:$C$143,3,0)</f>
        <v>departamental</v>
      </c>
      <c r="L452" t="str">
        <f>+VLOOKUP(C452,[2]Hoja1!$A$1:$B$138,2,0)</f>
        <v>APROBAR</v>
      </c>
      <c r="M452">
        <v>1</v>
      </c>
      <c r="N452" t="e">
        <v>#N/A</v>
      </c>
    </row>
    <row r="453" spans="1:14" ht="15" customHeight="1" x14ac:dyDescent="0.3">
      <c r="A453" s="3">
        <v>1209657610</v>
      </c>
      <c r="B453" s="3" t="s">
        <v>482</v>
      </c>
      <c r="C453" s="3" t="s">
        <v>483</v>
      </c>
      <c r="D453" s="4">
        <v>46307.402662036999</v>
      </c>
      <c r="E453" s="5" t="s">
        <v>10</v>
      </c>
      <c r="F453" s="5" t="s">
        <v>17</v>
      </c>
      <c r="G453" s="5">
        <v>19</v>
      </c>
      <c r="H453" s="6" t="s">
        <v>12</v>
      </c>
      <c r="I453" t="s">
        <v>528</v>
      </c>
      <c r="J453" t="s">
        <v>2480</v>
      </c>
      <c r="K453" t="str">
        <f>+VLOOKUP(C453,'[1]TIENDAS 2025'!$A$1:$C$143,3,0)</f>
        <v>departamental</v>
      </c>
      <c r="L453" t="str">
        <f>+VLOOKUP(C453,[2]Hoja1!$A$1:$B$138,2,0)</f>
        <v>APROBAR</v>
      </c>
      <c r="M453">
        <v>1</v>
      </c>
      <c r="N453" t="e">
        <v>#N/A</v>
      </c>
    </row>
    <row r="454" spans="1:14" ht="15" customHeight="1" x14ac:dyDescent="0.3">
      <c r="A454" s="3">
        <v>1209657523</v>
      </c>
      <c r="B454" s="3" t="s">
        <v>478</v>
      </c>
      <c r="C454" s="3" t="s">
        <v>479</v>
      </c>
      <c r="D454" s="4">
        <v>46307.402673611097</v>
      </c>
      <c r="E454" s="5" t="s">
        <v>10</v>
      </c>
      <c r="F454" s="5" t="s">
        <v>11</v>
      </c>
      <c r="G454" s="5">
        <v>69</v>
      </c>
      <c r="H454" s="6" t="s">
        <v>12</v>
      </c>
      <c r="I454" t="s">
        <v>529</v>
      </c>
      <c r="J454" t="s">
        <v>2480</v>
      </c>
      <c r="K454" t="str">
        <f>+VLOOKUP(C454,'[1]TIENDAS 2025'!$A$1:$C$143,3,0)</f>
        <v>prioridad</v>
      </c>
      <c r="L454" t="str">
        <f>+VLOOKUP(C454,[2]Hoja1!$A$1:$B$138,2,0)</f>
        <v>APROBAR</v>
      </c>
      <c r="M454">
        <v>1</v>
      </c>
      <c r="N454" t="e">
        <v>#N/A</v>
      </c>
    </row>
    <row r="455" spans="1:14" ht="15" customHeight="1" x14ac:dyDescent="0.3">
      <c r="A455" s="3">
        <v>1209657569</v>
      </c>
      <c r="B455" s="3" t="s">
        <v>485</v>
      </c>
      <c r="C455" s="3" t="s">
        <v>486</v>
      </c>
      <c r="D455" s="4">
        <v>46307.402696759302</v>
      </c>
      <c r="E455" s="5" t="s">
        <v>10</v>
      </c>
      <c r="F455" s="5" t="s">
        <v>16</v>
      </c>
      <c r="G455" s="5">
        <v>30</v>
      </c>
      <c r="H455" s="6" t="s">
        <v>12</v>
      </c>
      <c r="I455" t="s">
        <v>530</v>
      </c>
      <c r="J455" t="s">
        <v>2480</v>
      </c>
      <c r="K455" t="str">
        <f>+VLOOKUP(C455,'[1]TIENDAS 2025'!$A$1:$C$143,3,0)</f>
        <v>local</v>
      </c>
      <c r="L455" t="str">
        <f>+VLOOKUP(C455,[2]Hoja1!$A$1:$B$138,2,0)</f>
        <v>APROBAR</v>
      </c>
      <c r="M455">
        <v>1</v>
      </c>
      <c r="N455" t="e">
        <v>#N/A</v>
      </c>
    </row>
    <row r="456" spans="1:14" ht="15" customHeight="1" x14ac:dyDescent="0.3">
      <c r="A456" s="3">
        <v>8209657518</v>
      </c>
      <c r="B456" s="3" t="s">
        <v>478</v>
      </c>
      <c r="C456" s="3" t="s">
        <v>479</v>
      </c>
      <c r="D456" s="4">
        <v>46307.402708333299</v>
      </c>
      <c r="E456" s="5" t="s">
        <v>10</v>
      </c>
      <c r="F456" s="5" t="s">
        <v>16</v>
      </c>
      <c r="G456" s="5">
        <v>3</v>
      </c>
      <c r="H456" s="8" t="s">
        <v>12</v>
      </c>
      <c r="I456" t="s">
        <v>531</v>
      </c>
      <c r="K456" t="str">
        <f>+VLOOKUP(C456,'[1]TIENDAS 2025'!$A$1:$C$143,3,0)</f>
        <v>prioridad</v>
      </c>
      <c r="L456" t="str">
        <f>+VLOOKUP(C456,[2]Hoja1!$A$1:$B$138,2,0)</f>
        <v>APROBAR</v>
      </c>
      <c r="M456">
        <v>1</v>
      </c>
      <c r="N456" t="e">
        <v>#N/A</v>
      </c>
    </row>
    <row r="457" spans="1:14" ht="15" customHeight="1" x14ac:dyDescent="0.3">
      <c r="A457" s="3">
        <v>8209657601</v>
      </c>
      <c r="B457" s="3" t="s">
        <v>482</v>
      </c>
      <c r="C457" s="3" t="s">
        <v>483</v>
      </c>
      <c r="D457" s="4">
        <v>46307.402719907397</v>
      </c>
      <c r="E457" s="5" t="s">
        <v>10</v>
      </c>
      <c r="F457" s="5" t="s">
        <v>16</v>
      </c>
      <c r="G457" s="5">
        <v>2</v>
      </c>
      <c r="H457" s="8" t="s">
        <v>12</v>
      </c>
      <c r="I457" t="s">
        <v>532</v>
      </c>
      <c r="K457" t="str">
        <f>+VLOOKUP(C457,'[1]TIENDAS 2025'!$A$1:$C$143,3,0)</f>
        <v>departamental</v>
      </c>
      <c r="L457" t="str">
        <f>+VLOOKUP(C457,[2]Hoja1!$A$1:$B$138,2,0)</f>
        <v>APROBAR</v>
      </c>
      <c r="M457">
        <v>1</v>
      </c>
      <c r="N457" t="e">
        <v>#N/A</v>
      </c>
    </row>
    <row r="458" spans="1:14" ht="15" customHeight="1" x14ac:dyDescent="0.3">
      <c r="A458" s="3">
        <v>1209657583</v>
      </c>
      <c r="B458" s="3" t="s">
        <v>485</v>
      </c>
      <c r="C458" s="3" t="s">
        <v>486</v>
      </c>
      <c r="D458" s="4">
        <v>46307.402731481503</v>
      </c>
      <c r="E458" s="5" t="s">
        <v>10</v>
      </c>
      <c r="F458" s="5" t="s">
        <v>11</v>
      </c>
      <c r="G458" s="5">
        <v>36</v>
      </c>
      <c r="H458" s="6" t="s">
        <v>12</v>
      </c>
      <c r="I458" t="s">
        <v>533</v>
      </c>
      <c r="J458" t="s">
        <v>2480</v>
      </c>
      <c r="K458" t="str">
        <f>+VLOOKUP(C458,'[1]TIENDAS 2025'!$A$1:$C$143,3,0)</f>
        <v>local</v>
      </c>
      <c r="L458" t="str">
        <f>+VLOOKUP(C458,[2]Hoja1!$A$1:$B$138,2,0)</f>
        <v>APROBAR</v>
      </c>
      <c r="M458">
        <v>1</v>
      </c>
      <c r="N458" t="e">
        <v>#N/A</v>
      </c>
    </row>
    <row r="459" spans="1:14" ht="15" customHeight="1" x14ac:dyDescent="0.3">
      <c r="A459" s="3">
        <v>1209657606</v>
      </c>
      <c r="B459" s="3" t="s">
        <v>482</v>
      </c>
      <c r="C459" s="3" t="s">
        <v>483</v>
      </c>
      <c r="D459" s="4">
        <v>46307.402754629598</v>
      </c>
      <c r="E459" s="5" t="s">
        <v>10</v>
      </c>
      <c r="F459" s="5" t="s">
        <v>11</v>
      </c>
      <c r="G459" s="5">
        <v>11</v>
      </c>
      <c r="H459" s="6" t="s">
        <v>12</v>
      </c>
      <c r="I459" t="s">
        <v>534</v>
      </c>
      <c r="J459" t="s">
        <v>2480</v>
      </c>
      <c r="K459" t="str">
        <f>+VLOOKUP(C459,'[1]TIENDAS 2025'!$A$1:$C$143,3,0)</f>
        <v>departamental</v>
      </c>
      <c r="L459" t="str">
        <f>+VLOOKUP(C459,[2]Hoja1!$A$1:$B$138,2,0)</f>
        <v>APROBAR</v>
      </c>
      <c r="M459">
        <v>1</v>
      </c>
      <c r="N459" t="e">
        <v>#N/A</v>
      </c>
    </row>
    <row r="460" spans="1:14" ht="15" customHeight="1" x14ac:dyDescent="0.3">
      <c r="A460" s="3">
        <v>1209657578</v>
      </c>
      <c r="B460" s="3" t="s">
        <v>485</v>
      </c>
      <c r="C460" s="3" t="s">
        <v>486</v>
      </c>
      <c r="D460" s="4">
        <v>46307.402766203697</v>
      </c>
      <c r="E460" s="5" t="s">
        <v>10</v>
      </c>
      <c r="F460" s="5" t="s">
        <v>11</v>
      </c>
      <c r="G460" s="5">
        <v>55</v>
      </c>
      <c r="H460" s="6" t="s">
        <v>12</v>
      </c>
      <c r="I460" t="s">
        <v>535</v>
      </c>
      <c r="J460" t="s">
        <v>2480</v>
      </c>
      <c r="K460" t="str">
        <f>+VLOOKUP(C460,'[1]TIENDAS 2025'!$A$1:$C$143,3,0)</f>
        <v>local</v>
      </c>
      <c r="L460" t="str">
        <f>+VLOOKUP(C460,[2]Hoja1!$A$1:$B$138,2,0)</f>
        <v>APROBAR</v>
      </c>
      <c r="M460">
        <v>1</v>
      </c>
      <c r="N460" t="e">
        <v>#N/A</v>
      </c>
    </row>
    <row r="461" spans="1:14" ht="15" customHeight="1" x14ac:dyDescent="0.3">
      <c r="A461" s="3">
        <v>8209657527</v>
      </c>
      <c r="B461" s="3" t="s">
        <v>470</v>
      </c>
      <c r="C461" s="3" t="s">
        <v>471</v>
      </c>
      <c r="D461" s="4">
        <v>46307.402777777803</v>
      </c>
      <c r="E461" s="5" t="s">
        <v>10</v>
      </c>
      <c r="F461" s="5" t="s">
        <v>16</v>
      </c>
      <c r="G461" s="5">
        <v>2</v>
      </c>
      <c r="H461" s="8" t="s">
        <v>12</v>
      </c>
      <c r="I461" t="s">
        <v>536</v>
      </c>
      <c r="K461" t="str">
        <f>+VLOOKUP(C461,'[1]TIENDAS 2025'!$A$1:$C$143,3,0)</f>
        <v>departamental</v>
      </c>
      <c r="L461" t="str">
        <f>+VLOOKUP(C461,[2]Hoja1!$A$1:$B$138,2,0)</f>
        <v>APROBAR</v>
      </c>
      <c r="M461">
        <v>1</v>
      </c>
      <c r="N461" t="e">
        <v>#N/A</v>
      </c>
    </row>
    <row r="462" spans="1:14" ht="15" customHeight="1" x14ac:dyDescent="0.3">
      <c r="A462" s="3">
        <v>1209657531</v>
      </c>
      <c r="B462" s="3" t="s">
        <v>470</v>
      </c>
      <c r="C462" s="3" t="s">
        <v>471</v>
      </c>
      <c r="D462" s="4">
        <v>46307.402789351901</v>
      </c>
      <c r="E462" s="5" t="s">
        <v>10</v>
      </c>
      <c r="F462" s="5" t="s">
        <v>11</v>
      </c>
      <c r="G462" s="5">
        <v>7</v>
      </c>
      <c r="H462" s="6" t="s">
        <v>12</v>
      </c>
      <c r="I462" t="s">
        <v>537</v>
      </c>
      <c r="J462" t="s">
        <v>2480</v>
      </c>
      <c r="K462" t="str">
        <f>+VLOOKUP(C462,'[1]TIENDAS 2025'!$A$1:$C$143,3,0)</f>
        <v>departamental</v>
      </c>
      <c r="L462" t="str">
        <f>+VLOOKUP(C462,[2]Hoja1!$A$1:$B$138,2,0)</f>
        <v>APROBAR</v>
      </c>
      <c r="M462">
        <v>1</v>
      </c>
      <c r="N462" t="e">
        <v>#N/A</v>
      </c>
    </row>
    <row r="463" spans="1:14" ht="15" customHeight="1" x14ac:dyDescent="0.3">
      <c r="A463" s="3">
        <v>1209657478</v>
      </c>
      <c r="B463" s="3" t="s">
        <v>473</v>
      </c>
      <c r="C463" s="3" t="s">
        <v>474</v>
      </c>
      <c r="D463" s="4">
        <v>46307.402800925898</v>
      </c>
      <c r="E463" s="5" t="s">
        <v>10</v>
      </c>
      <c r="F463" s="5" t="s">
        <v>11</v>
      </c>
      <c r="G463" s="5">
        <v>15</v>
      </c>
      <c r="H463" s="6" t="s">
        <v>12</v>
      </c>
      <c r="I463" t="s">
        <v>538</v>
      </c>
      <c r="J463" t="s">
        <v>2480</v>
      </c>
      <c r="K463" t="str">
        <f>+VLOOKUP(C463,'[1]TIENDAS 2025'!$A$1:$C$143,3,0)</f>
        <v>local</v>
      </c>
      <c r="L463" t="str">
        <f>+VLOOKUP(C463,[2]Hoja1!$A$1:$B$138,2,0)</f>
        <v>APROBAR</v>
      </c>
      <c r="M463">
        <v>1</v>
      </c>
      <c r="N463" t="e">
        <v>#N/A</v>
      </c>
    </row>
    <row r="464" spans="1:14" ht="15" customHeight="1" x14ac:dyDescent="0.3">
      <c r="A464" s="3">
        <v>8209657563</v>
      </c>
      <c r="B464" s="3" t="s">
        <v>485</v>
      </c>
      <c r="C464" s="3" t="s">
        <v>486</v>
      </c>
      <c r="D464" s="4">
        <v>46307.402824074103</v>
      </c>
      <c r="E464" s="5" t="s">
        <v>10</v>
      </c>
      <c r="F464" s="5" t="s">
        <v>16</v>
      </c>
      <c r="G464" s="5">
        <v>32</v>
      </c>
      <c r="H464" s="8" t="s">
        <v>12</v>
      </c>
      <c r="I464" t="s">
        <v>539</v>
      </c>
      <c r="K464" t="str">
        <f>+VLOOKUP(C464,'[1]TIENDAS 2025'!$A$1:$C$143,3,0)</f>
        <v>local</v>
      </c>
      <c r="L464" t="str">
        <f>+VLOOKUP(C464,[2]Hoja1!$A$1:$B$138,2,0)</f>
        <v>APROBAR</v>
      </c>
      <c r="M464">
        <v>1</v>
      </c>
      <c r="N464" t="e">
        <v>#N/A</v>
      </c>
    </row>
    <row r="465" spans="1:14" ht="15" customHeight="1" x14ac:dyDescent="0.3">
      <c r="A465" s="3">
        <v>1209657479</v>
      </c>
      <c r="B465" s="3" t="s">
        <v>473</v>
      </c>
      <c r="C465" s="3" t="s">
        <v>474</v>
      </c>
      <c r="D465" s="4">
        <v>46307.402835648201</v>
      </c>
      <c r="E465" s="5" t="s">
        <v>10</v>
      </c>
      <c r="F465" s="5" t="s">
        <v>11</v>
      </c>
      <c r="G465" s="5">
        <v>24</v>
      </c>
      <c r="H465" s="6" t="s">
        <v>12</v>
      </c>
      <c r="I465" t="s">
        <v>540</v>
      </c>
      <c r="J465" t="s">
        <v>2480</v>
      </c>
      <c r="K465" t="str">
        <f>+VLOOKUP(C465,'[1]TIENDAS 2025'!$A$1:$C$143,3,0)</f>
        <v>local</v>
      </c>
      <c r="L465" t="str">
        <f>+VLOOKUP(C465,[2]Hoja1!$A$1:$B$138,2,0)</f>
        <v>APROBAR</v>
      </c>
      <c r="M465">
        <v>1</v>
      </c>
      <c r="N465" t="e">
        <v>#N/A</v>
      </c>
    </row>
    <row r="466" spans="1:14" ht="15" customHeight="1" x14ac:dyDescent="0.3">
      <c r="A466" s="3">
        <v>8209657566</v>
      </c>
      <c r="B466" s="3" t="s">
        <v>485</v>
      </c>
      <c r="C466" s="3" t="s">
        <v>486</v>
      </c>
      <c r="D466" s="4">
        <v>46307.402847222198</v>
      </c>
      <c r="E466" s="5" t="s">
        <v>10</v>
      </c>
      <c r="F466" s="5" t="s">
        <v>16</v>
      </c>
      <c r="G466" s="5">
        <v>13</v>
      </c>
      <c r="H466" s="8" t="s">
        <v>12</v>
      </c>
      <c r="I466" t="s">
        <v>541</v>
      </c>
      <c r="K466" t="str">
        <f>+VLOOKUP(C466,'[1]TIENDAS 2025'!$A$1:$C$143,3,0)</f>
        <v>local</v>
      </c>
      <c r="L466" t="str">
        <f>+VLOOKUP(C466,[2]Hoja1!$A$1:$B$138,2,0)</f>
        <v>APROBAR</v>
      </c>
      <c r="M466">
        <v>1</v>
      </c>
      <c r="N466" t="e">
        <v>#N/A</v>
      </c>
    </row>
    <row r="467" spans="1:14" ht="15" customHeight="1" x14ac:dyDescent="0.3">
      <c r="A467" s="3">
        <v>1209657521</v>
      </c>
      <c r="B467" s="3" t="s">
        <v>478</v>
      </c>
      <c r="C467" s="3" t="s">
        <v>479</v>
      </c>
      <c r="D467" s="4">
        <v>46307.402858796297</v>
      </c>
      <c r="E467" s="5" t="s">
        <v>10</v>
      </c>
      <c r="F467" s="5" t="s">
        <v>17</v>
      </c>
      <c r="G467" s="5">
        <v>21</v>
      </c>
      <c r="H467" s="6" t="s">
        <v>12</v>
      </c>
      <c r="I467" t="s">
        <v>542</v>
      </c>
      <c r="J467" t="s">
        <v>2480</v>
      </c>
      <c r="K467" t="str">
        <f>+VLOOKUP(C467,'[1]TIENDAS 2025'!$A$1:$C$143,3,0)</f>
        <v>prioridad</v>
      </c>
      <c r="L467" t="str">
        <f>+VLOOKUP(C467,[2]Hoja1!$A$1:$B$138,2,0)</f>
        <v>APROBAR</v>
      </c>
      <c r="M467">
        <v>1</v>
      </c>
      <c r="N467" t="e">
        <v>#N/A</v>
      </c>
    </row>
    <row r="468" spans="1:14" ht="15" customHeight="1" x14ac:dyDescent="0.3">
      <c r="A468" s="3">
        <v>1209657480</v>
      </c>
      <c r="B468" s="3" t="s">
        <v>473</v>
      </c>
      <c r="C468" s="3" t="s">
        <v>474</v>
      </c>
      <c r="D468" s="4">
        <v>46307.402870370403</v>
      </c>
      <c r="E468" s="5" t="s">
        <v>10</v>
      </c>
      <c r="F468" s="5" t="s">
        <v>17</v>
      </c>
      <c r="G468" s="5">
        <v>38</v>
      </c>
      <c r="H468" s="6" t="s">
        <v>12</v>
      </c>
      <c r="I468" t="s">
        <v>543</v>
      </c>
      <c r="J468" t="s">
        <v>2480</v>
      </c>
      <c r="K468" t="str">
        <f>+VLOOKUP(C468,'[1]TIENDAS 2025'!$A$1:$C$143,3,0)</f>
        <v>local</v>
      </c>
      <c r="L468" t="str">
        <f>+VLOOKUP(C468,[2]Hoja1!$A$1:$B$138,2,0)</f>
        <v>APROBAR</v>
      </c>
      <c r="M468">
        <v>1</v>
      </c>
      <c r="N468" t="e">
        <v>#N/A</v>
      </c>
    </row>
    <row r="469" spans="1:14" ht="15" customHeight="1" x14ac:dyDescent="0.3">
      <c r="A469" s="3">
        <v>1209657622</v>
      </c>
      <c r="B469" s="3" t="s">
        <v>482</v>
      </c>
      <c r="C469" s="3" t="s">
        <v>483</v>
      </c>
      <c r="D469" s="4">
        <v>46307.402893518498</v>
      </c>
      <c r="E469" s="5" t="s">
        <v>10</v>
      </c>
      <c r="F469" s="5" t="s">
        <v>17</v>
      </c>
      <c r="G469" s="5">
        <v>41</v>
      </c>
      <c r="H469" s="6" t="s">
        <v>12</v>
      </c>
      <c r="I469" t="s">
        <v>544</v>
      </c>
      <c r="J469" t="s">
        <v>2480</v>
      </c>
      <c r="K469" t="str">
        <f>+VLOOKUP(C469,'[1]TIENDAS 2025'!$A$1:$C$143,3,0)</f>
        <v>departamental</v>
      </c>
      <c r="L469" t="str">
        <f>+VLOOKUP(C469,[2]Hoja1!$A$1:$B$138,2,0)</f>
        <v>APROBAR</v>
      </c>
      <c r="M469">
        <v>1</v>
      </c>
      <c r="N469" t="e">
        <v>#N/A</v>
      </c>
    </row>
    <row r="470" spans="1:14" ht="15" customHeight="1" x14ac:dyDescent="0.3">
      <c r="A470" s="3">
        <v>1209657623</v>
      </c>
      <c r="B470" s="3" t="s">
        <v>482</v>
      </c>
      <c r="C470" s="3" t="s">
        <v>483</v>
      </c>
      <c r="D470" s="4">
        <v>46307.402905092596</v>
      </c>
      <c r="E470" s="5" t="s">
        <v>10</v>
      </c>
      <c r="F470" s="5" t="s">
        <v>11</v>
      </c>
      <c r="G470" s="5">
        <v>52</v>
      </c>
      <c r="H470" s="6" t="s">
        <v>12</v>
      </c>
      <c r="I470" t="s">
        <v>545</v>
      </c>
      <c r="J470" t="s">
        <v>2480</v>
      </c>
      <c r="K470" t="str">
        <f>+VLOOKUP(C470,'[1]TIENDAS 2025'!$A$1:$C$143,3,0)</f>
        <v>departamental</v>
      </c>
      <c r="L470" t="str">
        <f>+VLOOKUP(C470,[2]Hoja1!$A$1:$B$138,2,0)</f>
        <v>APROBAR</v>
      </c>
      <c r="M470">
        <v>1</v>
      </c>
      <c r="N470" t="e">
        <v>#N/A</v>
      </c>
    </row>
    <row r="471" spans="1:14" ht="15" customHeight="1" x14ac:dyDescent="0.3">
      <c r="A471" s="3">
        <v>8209657603</v>
      </c>
      <c r="B471" s="3" t="s">
        <v>482</v>
      </c>
      <c r="C471" s="3" t="s">
        <v>483</v>
      </c>
      <c r="D471" s="4">
        <v>46307.402916666702</v>
      </c>
      <c r="E471" s="5" t="s">
        <v>10</v>
      </c>
      <c r="F471" s="5" t="s">
        <v>16</v>
      </c>
      <c r="G471" s="5">
        <v>3</v>
      </c>
      <c r="H471" s="8" t="s">
        <v>12</v>
      </c>
      <c r="I471" t="s">
        <v>546</v>
      </c>
      <c r="K471" t="str">
        <f>+VLOOKUP(C471,'[1]TIENDAS 2025'!$A$1:$C$143,3,0)</f>
        <v>departamental</v>
      </c>
      <c r="L471" t="str">
        <f>+VLOOKUP(C471,[2]Hoja1!$A$1:$B$138,2,0)</f>
        <v>APROBAR</v>
      </c>
      <c r="M471">
        <v>1</v>
      </c>
      <c r="N471" t="e">
        <v>#N/A</v>
      </c>
    </row>
    <row r="472" spans="1:14" ht="15" customHeight="1" x14ac:dyDescent="0.3">
      <c r="A472" s="3">
        <v>1209657572</v>
      </c>
      <c r="B472" s="3" t="s">
        <v>485</v>
      </c>
      <c r="C472" s="3" t="s">
        <v>486</v>
      </c>
      <c r="D472" s="4">
        <v>46307.402928240699</v>
      </c>
      <c r="E472" s="5" t="s">
        <v>10</v>
      </c>
      <c r="F472" s="5" t="s">
        <v>16</v>
      </c>
      <c r="G472" s="5">
        <v>35</v>
      </c>
      <c r="H472" s="6" t="s">
        <v>12</v>
      </c>
      <c r="I472" t="s">
        <v>547</v>
      </c>
      <c r="J472" t="s">
        <v>2480</v>
      </c>
      <c r="K472" t="str">
        <f>+VLOOKUP(C472,'[1]TIENDAS 2025'!$A$1:$C$143,3,0)</f>
        <v>local</v>
      </c>
      <c r="L472" t="str">
        <f>+VLOOKUP(C472,[2]Hoja1!$A$1:$B$138,2,0)</f>
        <v>APROBAR</v>
      </c>
      <c r="M472">
        <v>1</v>
      </c>
      <c r="N472" t="e">
        <v>#N/A</v>
      </c>
    </row>
    <row r="473" spans="1:14" ht="15" customHeight="1" x14ac:dyDescent="0.3">
      <c r="A473" s="3">
        <v>1209657490</v>
      </c>
      <c r="B473" s="3" t="s">
        <v>473</v>
      </c>
      <c r="C473" s="3" t="s">
        <v>474</v>
      </c>
      <c r="D473" s="4">
        <v>46307.402939814798</v>
      </c>
      <c r="E473" s="5" t="s">
        <v>10</v>
      </c>
      <c r="F473" s="5" t="s">
        <v>17</v>
      </c>
      <c r="G473" s="5">
        <v>8</v>
      </c>
      <c r="H473" s="6" t="s">
        <v>12</v>
      </c>
      <c r="I473" t="s">
        <v>548</v>
      </c>
      <c r="J473" t="s">
        <v>2480</v>
      </c>
      <c r="K473" t="str">
        <f>+VLOOKUP(C473,'[1]TIENDAS 2025'!$A$1:$C$143,3,0)</f>
        <v>local</v>
      </c>
      <c r="L473" t="str">
        <f>+VLOOKUP(C473,[2]Hoja1!$A$1:$B$138,2,0)</f>
        <v>APROBAR</v>
      </c>
      <c r="M473">
        <v>1</v>
      </c>
      <c r="N473" t="e">
        <v>#N/A</v>
      </c>
    </row>
    <row r="474" spans="1:14" ht="15" customHeight="1" x14ac:dyDescent="0.3">
      <c r="A474" s="3">
        <v>8209657528</v>
      </c>
      <c r="B474" s="3" t="s">
        <v>470</v>
      </c>
      <c r="C474" s="3" t="s">
        <v>471</v>
      </c>
      <c r="D474" s="4">
        <v>46307.402962963002</v>
      </c>
      <c r="E474" s="5" t="s">
        <v>10</v>
      </c>
      <c r="F474" s="5" t="s">
        <v>16</v>
      </c>
      <c r="G474" s="5">
        <v>4</v>
      </c>
      <c r="H474" s="8" t="s">
        <v>12</v>
      </c>
      <c r="I474" t="s">
        <v>549</v>
      </c>
      <c r="K474" t="str">
        <f>+VLOOKUP(C474,'[1]TIENDAS 2025'!$A$1:$C$143,3,0)</f>
        <v>departamental</v>
      </c>
      <c r="L474" t="str">
        <f>+VLOOKUP(C474,[2]Hoja1!$A$1:$B$138,2,0)</f>
        <v>APROBAR</v>
      </c>
      <c r="M474">
        <v>1</v>
      </c>
      <c r="N474" t="e">
        <v>#N/A</v>
      </c>
    </row>
    <row r="475" spans="1:14" ht="15" customHeight="1" x14ac:dyDescent="0.3">
      <c r="A475" s="3">
        <v>1209657513</v>
      </c>
      <c r="B475" s="3" t="s">
        <v>478</v>
      </c>
      <c r="C475" s="3" t="s">
        <v>479</v>
      </c>
      <c r="D475" s="4">
        <v>46307.402974536999</v>
      </c>
      <c r="E475" s="5" t="s">
        <v>10</v>
      </c>
      <c r="F475" s="5" t="s">
        <v>17</v>
      </c>
      <c r="G475" s="5">
        <v>39</v>
      </c>
      <c r="H475" s="6" t="s">
        <v>12</v>
      </c>
      <c r="I475" t="s">
        <v>550</v>
      </c>
      <c r="J475" t="s">
        <v>2480</v>
      </c>
      <c r="K475" t="str">
        <f>+VLOOKUP(C475,'[1]TIENDAS 2025'!$A$1:$C$143,3,0)</f>
        <v>prioridad</v>
      </c>
      <c r="L475" t="str">
        <f>+VLOOKUP(C475,[2]Hoja1!$A$1:$B$138,2,0)</f>
        <v>APROBAR</v>
      </c>
      <c r="M475">
        <v>1</v>
      </c>
      <c r="N475" t="e">
        <v>#N/A</v>
      </c>
    </row>
    <row r="476" spans="1:14" ht="15" customHeight="1" x14ac:dyDescent="0.3">
      <c r="A476" s="3">
        <v>1209657534</v>
      </c>
      <c r="B476" s="3" t="s">
        <v>470</v>
      </c>
      <c r="C476" s="3" t="s">
        <v>471</v>
      </c>
      <c r="D476" s="4">
        <v>46307.402974536999</v>
      </c>
      <c r="E476" s="5" t="s">
        <v>10</v>
      </c>
      <c r="F476" s="5" t="s">
        <v>11</v>
      </c>
      <c r="G476" s="5">
        <v>19</v>
      </c>
      <c r="H476" s="6" t="s">
        <v>12</v>
      </c>
      <c r="I476" t="s">
        <v>551</v>
      </c>
      <c r="J476" t="s">
        <v>2480</v>
      </c>
      <c r="K476" t="str">
        <f>+VLOOKUP(C476,'[1]TIENDAS 2025'!$A$1:$C$143,3,0)</f>
        <v>departamental</v>
      </c>
      <c r="L476" t="str">
        <f>+VLOOKUP(C476,[2]Hoja1!$A$1:$B$138,2,0)</f>
        <v>APROBAR</v>
      </c>
      <c r="M476">
        <v>1</v>
      </c>
      <c r="N476" t="e">
        <v>#N/A</v>
      </c>
    </row>
    <row r="477" spans="1:14" ht="15" customHeight="1" x14ac:dyDescent="0.3">
      <c r="A477" s="3">
        <v>1209657533</v>
      </c>
      <c r="B477" s="3" t="s">
        <v>470</v>
      </c>
      <c r="C477" s="3" t="s">
        <v>471</v>
      </c>
      <c r="D477" s="4">
        <v>46307.402997685203</v>
      </c>
      <c r="E477" s="5" t="s">
        <v>10</v>
      </c>
      <c r="F477" s="5" t="s">
        <v>11</v>
      </c>
      <c r="G477" s="5">
        <v>11</v>
      </c>
      <c r="H477" s="6" t="s">
        <v>12</v>
      </c>
      <c r="I477" t="s">
        <v>552</v>
      </c>
      <c r="J477" t="s">
        <v>2480</v>
      </c>
      <c r="K477" t="str">
        <f>+VLOOKUP(C477,'[1]TIENDAS 2025'!$A$1:$C$143,3,0)</f>
        <v>departamental</v>
      </c>
      <c r="L477" t="str">
        <f>+VLOOKUP(C477,[2]Hoja1!$A$1:$B$138,2,0)</f>
        <v>APROBAR</v>
      </c>
      <c r="M477">
        <v>1</v>
      </c>
      <c r="N477" t="e">
        <v>#N/A</v>
      </c>
    </row>
    <row r="478" spans="1:14" ht="15" customHeight="1" x14ac:dyDescent="0.3">
      <c r="A478" s="3">
        <v>1209657540</v>
      </c>
      <c r="B478" s="3" t="s">
        <v>470</v>
      </c>
      <c r="C478" s="3" t="s">
        <v>471</v>
      </c>
      <c r="D478" s="4">
        <v>46307.403009259302</v>
      </c>
      <c r="E478" s="5" t="s">
        <v>10</v>
      </c>
      <c r="F478" s="5" t="s">
        <v>11</v>
      </c>
      <c r="G478" s="5">
        <v>39</v>
      </c>
      <c r="H478" s="6" t="s">
        <v>12</v>
      </c>
      <c r="I478" t="s">
        <v>553</v>
      </c>
      <c r="J478" t="s">
        <v>2480</v>
      </c>
      <c r="K478" t="str">
        <f>+VLOOKUP(C478,'[1]TIENDAS 2025'!$A$1:$C$143,3,0)</f>
        <v>departamental</v>
      </c>
      <c r="L478" t="str">
        <f>+VLOOKUP(C478,[2]Hoja1!$A$1:$B$138,2,0)</f>
        <v>APROBAR</v>
      </c>
      <c r="M478">
        <v>1</v>
      </c>
      <c r="N478" t="e">
        <v>#N/A</v>
      </c>
    </row>
    <row r="479" spans="1:14" ht="15" customHeight="1" x14ac:dyDescent="0.3">
      <c r="A479" s="3">
        <v>8209657564</v>
      </c>
      <c r="B479" s="3" t="s">
        <v>485</v>
      </c>
      <c r="C479" s="3" t="s">
        <v>486</v>
      </c>
      <c r="D479" s="4">
        <v>46307.403032407397</v>
      </c>
      <c r="E479" s="5" t="s">
        <v>10</v>
      </c>
      <c r="F479" s="5" t="s">
        <v>16</v>
      </c>
      <c r="G479" s="5">
        <v>3</v>
      </c>
      <c r="H479" s="8" t="s">
        <v>12</v>
      </c>
      <c r="I479" t="s">
        <v>554</v>
      </c>
      <c r="K479" t="str">
        <f>+VLOOKUP(C479,'[1]TIENDAS 2025'!$A$1:$C$143,3,0)</f>
        <v>local</v>
      </c>
      <c r="L479" t="str">
        <f>+VLOOKUP(C479,[2]Hoja1!$A$1:$B$138,2,0)</f>
        <v>APROBAR</v>
      </c>
      <c r="M479">
        <v>1</v>
      </c>
      <c r="N479" t="e">
        <v>#N/A</v>
      </c>
    </row>
    <row r="480" spans="1:14" ht="15" customHeight="1" x14ac:dyDescent="0.3">
      <c r="A480" s="3">
        <v>1209657568</v>
      </c>
      <c r="B480" s="3" t="s">
        <v>485</v>
      </c>
      <c r="C480" s="3" t="s">
        <v>486</v>
      </c>
      <c r="D480" s="4">
        <v>46307.403043981503</v>
      </c>
      <c r="E480" s="5" t="s">
        <v>10</v>
      </c>
      <c r="F480" s="5" t="s">
        <v>17</v>
      </c>
      <c r="G480" s="5">
        <v>2</v>
      </c>
      <c r="H480" s="6" t="s">
        <v>12</v>
      </c>
      <c r="I480" t="s">
        <v>555</v>
      </c>
      <c r="J480" t="s">
        <v>2480</v>
      </c>
      <c r="K480" t="str">
        <f>+VLOOKUP(C480,'[1]TIENDAS 2025'!$A$1:$C$143,3,0)</f>
        <v>local</v>
      </c>
      <c r="L480" t="str">
        <f>+VLOOKUP(C480,[2]Hoja1!$A$1:$B$138,2,0)</f>
        <v>APROBAR</v>
      </c>
      <c r="M480">
        <v>1</v>
      </c>
      <c r="N480" t="e">
        <v>#N/A</v>
      </c>
    </row>
    <row r="481" spans="1:14" ht="15" customHeight="1" x14ac:dyDescent="0.3">
      <c r="A481" s="3">
        <v>8209657565</v>
      </c>
      <c r="B481" s="3" t="s">
        <v>485</v>
      </c>
      <c r="C481" s="3" t="s">
        <v>486</v>
      </c>
      <c r="D481" s="4">
        <v>46307.403043981503</v>
      </c>
      <c r="E481" s="5" t="s">
        <v>10</v>
      </c>
      <c r="F481" s="5" t="s">
        <v>16</v>
      </c>
      <c r="G481" s="5">
        <v>3</v>
      </c>
      <c r="H481" s="8" t="s">
        <v>12</v>
      </c>
      <c r="I481" t="s">
        <v>556</v>
      </c>
      <c r="K481" t="str">
        <f>+VLOOKUP(C481,'[1]TIENDAS 2025'!$A$1:$C$143,3,0)</f>
        <v>local</v>
      </c>
      <c r="L481" t="str">
        <f>+VLOOKUP(C481,[2]Hoja1!$A$1:$B$138,2,0)</f>
        <v>APROBAR</v>
      </c>
      <c r="M481">
        <v>1</v>
      </c>
      <c r="N481" t="e">
        <v>#N/A</v>
      </c>
    </row>
    <row r="482" spans="1:14" ht="15" customHeight="1" x14ac:dyDescent="0.3">
      <c r="A482" s="3">
        <v>1209657481</v>
      </c>
      <c r="B482" s="3" t="s">
        <v>473</v>
      </c>
      <c r="C482" s="3" t="s">
        <v>474</v>
      </c>
      <c r="D482" s="4">
        <v>46307.403067129599</v>
      </c>
      <c r="E482" s="5" t="s">
        <v>10</v>
      </c>
      <c r="F482" s="5" t="s">
        <v>11</v>
      </c>
      <c r="G482" s="5">
        <v>49</v>
      </c>
      <c r="H482" s="6" t="s">
        <v>12</v>
      </c>
      <c r="I482" t="s">
        <v>557</v>
      </c>
      <c r="J482" t="s">
        <v>2480</v>
      </c>
      <c r="K482" t="str">
        <f>+VLOOKUP(C482,'[1]TIENDAS 2025'!$A$1:$C$143,3,0)</f>
        <v>local</v>
      </c>
      <c r="L482" t="str">
        <f>+VLOOKUP(C482,[2]Hoja1!$A$1:$B$138,2,0)</f>
        <v>APROBAR</v>
      </c>
      <c r="M482">
        <v>1</v>
      </c>
      <c r="N482" t="e">
        <v>#N/A</v>
      </c>
    </row>
    <row r="483" spans="1:14" ht="15" customHeight="1" x14ac:dyDescent="0.3">
      <c r="A483" s="3">
        <v>8209657505</v>
      </c>
      <c r="B483" s="3" t="s">
        <v>478</v>
      </c>
      <c r="C483" s="3" t="s">
        <v>479</v>
      </c>
      <c r="D483" s="4">
        <v>46307.403078703697</v>
      </c>
      <c r="E483" s="5" t="s">
        <v>10</v>
      </c>
      <c r="F483" s="5" t="s">
        <v>16</v>
      </c>
      <c r="G483" s="5">
        <v>3</v>
      </c>
      <c r="H483" s="8" t="s">
        <v>12</v>
      </c>
      <c r="I483" t="s">
        <v>558</v>
      </c>
      <c r="K483" t="str">
        <f>+VLOOKUP(C483,'[1]TIENDAS 2025'!$A$1:$C$143,3,0)</f>
        <v>prioridad</v>
      </c>
      <c r="L483" t="str">
        <f>+VLOOKUP(C483,[2]Hoja1!$A$1:$B$138,2,0)</f>
        <v>APROBAR</v>
      </c>
      <c r="M483">
        <v>1</v>
      </c>
      <c r="N483" t="e">
        <v>#N/A</v>
      </c>
    </row>
    <row r="484" spans="1:14" ht="15" customHeight="1" x14ac:dyDescent="0.3">
      <c r="A484" s="3">
        <v>8209657471</v>
      </c>
      <c r="B484" s="3" t="s">
        <v>473</v>
      </c>
      <c r="C484" s="3" t="s">
        <v>474</v>
      </c>
      <c r="D484" s="4">
        <v>46307.403090277803</v>
      </c>
      <c r="E484" s="5" t="s">
        <v>10</v>
      </c>
      <c r="F484" s="5" t="s">
        <v>16</v>
      </c>
      <c r="G484" s="5">
        <v>6</v>
      </c>
      <c r="H484" s="8" t="s">
        <v>12</v>
      </c>
      <c r="I484" t="s">
        <v>559</v>
      </c>
      <c r="K484" t="str">
        <f>+VLOOKUP(C484,'[1]TIENDAS 2025'!$A$1:$C$143,3,0)</f>
        <v>local</v>
      </c>
      <c r="L484" t="str">
        <f>+VLOOKUP(C484,[2]Hoja1!$A$1:$B$138,2,0)</f>
        <v>APROBAR</v>
      </c>
      <c r="M484">
        <v>1</v>
      </c>
      <c r="N484" t="e">
        <v>#N/A</v>
      </c>
    </row>
    <row r="485" spans="1:14" ht="15" customHeight="1" x14ac:dyDescent="0.3">
      <c r="A485" s="3">
        <v>8209657599</v>
      </c>
      <c r="B485" s="3" t="s">
        <v>482</v>
      </c>
      <c r="C485" s="3" t="s">
        <v>483</v>
      </c>
      <c r="D485" s="4">
        <v>46307.403113425898</v>
      </c>
      <c r="E485" s="5" t="s">
        <v>10</v>
      </c>
      <c r="F485" s="5" t="s">
        <v>16</v>
      </c>
      <c r="G485" s="5">
        <v>4</v>
      </c>
      <c r="H485" s="8" t="s">
        <v>12</v>
      </c>
      <c r="I485" t="s">
        <v>560</v>
      </c>
      <c r="K485" t="str">
        <f>+VLOOKUP(C485,'[1]TIENDAS 2025'!$A$1:$C$143,3,0)</f>
        <v>departamental</v>
      </c>
      <c r="L485" t="str">
        <f>+VLOOKUP(C485,[2]Hoja1!$A$1:$B$138,2,0)</f>
        <v>APROBAR</v>
      </c>
      <c r="M485">
        <v>1</v>
      </c>
      <c r="N485" t="e">
        <v>#N/A</v>
      </c>
    </row>
    <row r="486" spans="1:14" ht="15" customHeight="1" x14ac:dyDescent="0.3">
      <c r="A486" s="3">
        <v>8209657602</v>
      </c>
      <c r="B486" s="3" t="s">
        <v>482</v>
      </c>
      <c r="C486" s="3" t="s">
        <v>483</v>
      </c>
      <c r="D486" s="4">
        <v>46307.403113425898</v>
      </c>
      <c r="E486" s="5" t="s">
        <v>10</v>
      </c>
      <c r="F486" s="5" t="s">
        <v>16</v>
      </c>
      <c r="G486" s="5">
        <v>4</v>
      </c>
      <c r="H486" s="8" t="s">
        <v>12</v>
      </c>
      <c r="I486" t="s">
        <v>561</v>
      </c>
      <c r="K486" t="str">
        <f>+VLOOKUP(C486,'[1]TIENDAS 2025'!$A$1:$C$143,3,0)</f>
        <v>departamental</v>
      </c>
      <c r="L486" t="str">
        <f>+VLOOKUP(C486,[2]Hoja1!$A$1:$B$138,2,0)</f>
        <v>APROBAR</v>
      </c>
      <c r="M486">
        <v>1</v>
      </c>
      <c r="N486" t="e">
        <v>#N/A</v>
      </c>
    </row>
    <row r="487" spans="1:14" ht="15" customHeight="1" x14ac:dyDescent="0.3">
      <c r="A487" s="3">
        <v>1209657620</v>
      </c>
      <c r="B487" s="3" t="s">
        <v>482</v>
      </c>
      <c r="C487" s="3" t="s">
        <v>483</v>
      </c>
      <c r="D487" s="4">
        <v>46307.403124999997</v>
      </c>
      <c r="E487" s="5" t="s">
        <v>10</v>
      </c>
      <c r="F487" s="5" t="s">
        <v>17</v>
      </c>
      <c r="G487" s="5">
        <v>9</v>
      </c>
      <c r="H487" s="6" t="s">
        <v>12</v>
      </c>
      <c r="I487" t="s">
        <v>562</v>
      </c>
      <c r="J487" t="s">
        <v>2480</v>
      </c>
      <c r="K487" t="str">
        <f>+VLOOKUP(C487,'[1]TIENDAS 2025'!$A$1:$C$143,3,0)</f>
        <v>departamental</v>
      </c>
      <c r="L487" t="str">
        <f>+VLOOKUP(C487,[2]Hoja1!$A$1:$B$138,2,0)</f>
        <v>APROBAR</v>
      </c>
      <c r="M487">
        <v>1</v>
      </c>
      <c r="N487" t="e">
        <v>#N/A</v>
      </c>
    </row>
    <row r="488" spans="1:14" ht="15" customHeight="1" x14ac:dyDescent="0.3">
      <c r="A488" s="3">
        <v>1209657652</v>
      </c>
      <c r="B488" s="3" t="s">
        <v>564</v>
      </c>
      <c r="C488" s="3" t="s">
        <v>565</v>
      </c>
      <c r="D488" s="4">
        <v>46307.405462962997</v>
      </c>
      <c r="E488" s="5" t="s">
        <v>10</v>
      </c>
      <c r="F488" s="5" t="s">
        <v>17</v>
      </c>
      <c r="G488" s="5">
        <v>10</v>
      </c>
      <c r="H488" s="6" t="s">
        <v>12</v>
      </c>
      <c r="I488" t="s">
        <v>563</v>
      </c>
      <c r="J488" t="s">
        <v>2480</v>
      </c>
      <c r="K488" t="str">
        <f>+VLOOKUP(C488,'[1]TIENDAS 2025'!$A$1:$C$143,3,0)</f>
        <v>prioridad</v>
      </c>
      <c r="L488" t="str">
        <f>+VLOOKUP(C488,[2]Hoja1!$A$1:$B$138,2,0)</f>
        <v>APROBAR</v>
      </c>
      <c r="M488">
        <v>1</v>
      </c>
      <c r="N488" t="e">
        <v>#N/A</v>
      </c>
    </row>
    <row r="489" spans="1:14" ht="15" customHeight="1" x14ac:dyDescent="0.3">
      <c r="A489" s="3">
        <v>1209657801</v>
      </c>
      <c r="B489" s="3" t="s">
        <v>567</v>
      </c>
      <c r="C489" s="3" t="s">
        <v>568</v>
      </c>
      <c r="D489" s="4">
        <v>46307.405474537001</v>
      </c>
      <c r="E489" s="5" t="s">
        <v>10</v>
      </c>
      <c r="F489" s="5" t="s">
        <v>17</v>
      </c>
      <c r="G489" s="5">
        <v>18</v>
      </c>
      <c r="H489" s="6" t="s">
        <v>12</v>
      </c>
      <c r="I489" t="s">
        <v>566</v>
      </c>
      <c r="J489" t="s">
        <v>2480</v>
      </c>
      <c r="K489" t="str">
        <f>+VLOOKUP(C489,'[1]TIENDAS 2025'!$A$1:$C$143,3,0)</f>
        <v>prioridad</v>
      </c>
      <c r="L489" t="str">
        <f>+VLOOKUP(C489,[2]Hoja1!$A$1:$B$138,2,0)</f>
        <v>APROBAR</v>
      </c>
      <c r="M489">
        <v>1</v>
      </c>
      <c r="N489" t="e">
        <v>#N/A</v>
      </c>
    </row>
    <row r="490" spans="1:14" ht="15" customHeight="1" x14ac:dyDescent="0.3">
      <c r="A490" s="3">
        <v>1209657808</v>
      </c>
      <c r="B490" s="3" t="s">
        <v>567</v>
      </c>
      <c r="C490" s="3" t="s">
        <v>568</v>
      </c>
      <c r="D490" s="4">
        <v>46307.4054861111</v>
      </c>
      <c r="E490" s="5" t="s">
        <v>10</v>
      </c>
      <c r="F490" s="5" t="s">
        <v>11</v>
      </c>
      <c r="G490" s="5">
        <v>2</v>
      </c>
      <c r="H490" s="6" t="s">
        <v>12</v>
      </c>
      <c r="I490" t="s">
        <v>569</v>
      </c>
      <c r="J490" t="s">
        <v>2480</v>
      </c>
      <c r="K490" t="str">
        <f>+VLOOKUP(C490,'[1]TIENDAS 2025'!$A$1:$C$143,3,0)</f>
        <v>prioridad</v>
      </c>
      <c r="L490" t="str">
        <f>+VLOOKUP(C490,[2]Hoja1!$A$1:$B$138,2,0)</f>
        <v>APROBAR</v>
      </c>
      <c r="M490">
        <v>1</v>
      </c>
      <c r="N490" t="e">
        <v>#N/A</v>
      </c>
    </row>
    <row r="491" spans="1:14" ht="15" customHeight="1" x14ac:dyDescent="0.3">
      <c r="A491" s="3">
        <v>1209657809</v>
      </c>
      <c r="B491" s="3" t="s">
        <v>567</v>
      </c>
      <c r="C491" s="3" t="s">
        <v>568</v>
      </c>
      <c r="D491" s="4">
        <v>46307.405509259297</v>
      </c>
      <c r="E491" s="5" t="s">
        <v>10</v>
      </c>
      <c r="F491" s="5" t="s">
        <v>17</v>
      </c>
      <c r="G491" s="5">
        <v>11</v>
      </c>
      <c r="H491" s="6" t="s">
        <v>12</v>
      </c>
      <c r="I491" t="s">
        <v>570</v>
      </c>
      <c r="J491" t="s">
        <v>2480</v>
      </c>
      <c r="K491" t="str">
        <f>+VLOOKUP(C491,'[1]TIENDAS 2025'!$A$1:$C$143,3,0)</f>
        <v>prioridad</v>
      </c>
      <c r="L491" t="str">
        <f>+VLOOKUP(C491,[2]Hoja1!$A$1:$B$138,2,0)</f>
        <v>APROBAR</v>
      </c>
      <c r="M491">
        <v>1</v>
      </c>
      <c r="N491" t="e">
        <v>#N/A</v>
      </c>
    </row>
    <row r="492" spans="1:14" ht="15" customHeight="1" x14ac:dyDescent="0.3">
      <c r="A492" s="3">
        <v>1209657694</v>
      </c>
      <c r="B492" s="3" t="s">
        <v>572</v>
      </c>
      <c r="C492" s="3" t="s">
        <v>573</v>
      </c>
      <c r="D492" s="4">
        <v>46307.405520833301</v>
      </c>
      <c r="E492" s="5" t="s">
        <v>10</v>
      </c>
      <c r="F492" s="5" t="s">
        <v>11</v>
      </c>
      <c r="G492" s="5">
        <v>17</v>
      </c>
      <c r="H492" s="6" t="s">
        <v>12</v>
      </c>
      <c r="I492" t="s">
        <v>571</v>
      </c>
      <c r="J492" t="s">
        <v>2480</v>
      </c>
      <c r="K492" t="str">
        <f>+VLOOKUP(C492,'[1]TIENDAS 2025'!$A$1:$C$143,3,0)</f>
        <v>local</v>
      </c>
      <c r="L492" t="str">
        <f>+VLOOKUP(C492,[2]Hoja1!$A$1:$B$138,2,0)</f>
        <v>APROBAR</v>
      </c>
      <c r="M492">
        <v>1</v>
      </c>
      <c r="N492" t="e">
        <v>#N/A</v>
      </c>
    </row>
    <row r="493" spans="1:14" ht="15" customHeight="1" x14ac:dyDescent="0.3">
      <c r="A493" s="3">
        <v>8209657698</v>
      </c>
      <c r="B493" s="3" t="s">
        <v>572</v>
      </c>
      <c r="C493" s="3" t="s">
        <v>573</v>
      </c>
      <c r="D493" s="4">
        <v>46307.4055324074</v>
      </c>
      <c r="E493" s="5" t="s">
        <v>10</v>
      </c>
      <c r="F493" s="5" t="s">
        <v>16</v>
      </c>
      <c r="G493" s="5">
        <v>1</v>
      </c>
      <c r="H493" s="8" t="s">
        <v>12</v>
      </c>
      <c r="I493" t="s">
        <v>574</v>
      </c>
      <c r="K493" t="str">
        <f>+VLOOKUP(C493,'[1]TIENDAS 2025'!$A$1:$C$143,3,0)</f>
        <v>local</v>
      </c>
      <c r="L493" t="str">
        <f>+VLOOKUP(C493,[2]Hoja1!$A$1:$B$138,2,0)</f>
        <v>APROBAR</v>
      </c>
      <c r="M493">
        <v>1</v>
      </c>
      <c r="N493" t="e">
        <v>#N/A</v>
      </c>
    </row>
    <row r="494" spans="1:14" ht="15" customHeight="1" x14ac:dyDescent="0.3">
      <c r="A494" s="3">
        <v>1209657775</v>
      </c>
      <c r="B494" s="3" t="s">
        <v>576</v>
      </c>
      <c r="C494" s="3" t="s">
        <v>577</v>
      </c>
      <c r="D494" s="4">
        <v>46307.405555555597</v>
      </c>
      <c r="E494" s="5" t="s">
        <v>10</v>
      </c>
      <c r="F494" s="5" t="s">
        <v>11</v>
      </c>
      <c r="G494" s="5">
        <v>15</v>
      </c>
      <c r="H494" s="6" t="s">
        <v>12</v>
      </c>
      <c r="I494" t="s">
        <v>575</v>
      </c>
      <c r="J494" t="s">
        <v>2480</v>
      </c>
      <c r="K494" t="str">
        <f>+VLOOKUP(C494,'[1]TIENDAS 2025'!$A$1:$C$143,3,0)</f>
        <v>prioridad</v>
      </c>
      <c r="L494" t="str">
        <f>+VLOOKUP(C494,[2]Hoja1!$A$1:$B$138,2,0)</f>
        <v>APROBAR</v>
      </c>
      <c r="M494">
        <v>1</v>
      </c>
      <c r="N494" t="e">
        <v>#N/A</v>
      </c>
    </row>
    <row r="495" spans="1:14" ht="15" customHeight="1" x14ac:dyDescent="0.3">
      <c r="A495" s="3">
        <v>1209657777</v>
      </c>
      <c r="B495" s="3" t="s">
        <v>576</v>
      </c>
      <c r="C495" s="3" t="s">
        <v>577</v>
      </c>
      <c r="D495" s="4">
        <v>46307.405590277798</v>
      </c>
      <c r="E495" s="5" t="s">
        <v>10</v>
      </c>
      <c r="F495" s="5" t="s">
        <v>17</v>
      </c>
      <c r="G495" s="5">
        <v>29</v>
      </c>
      <c r="H495" s="6" t="s">
        <v>12</v>
      </c>
      <c r="I495" t="s">
        <v>578</v>
      </c>
      <c r="J495" t="s">
        <v>2480</v>
      </c>
      <c r="K495" t="str">
        <f>+VLOOKUP(C495,'[1]TIENDAS 2025'!$A$1:$C$143,3,0)</f>
        <v>prioridad</v>
      </c>
      <c r="L495" t="str">
        <f>+VLOOKUP(C495,[2]Hoja1!$A$1:$B$138,2,0)</f>
        <v>APROBAR</v>
      </c>
      <c r="M495">
        <v>1</v>
      </c>
      <c r="N495" t="e">
        <v>#N/A</v>
      </c>
    </row>
    <row r="496" spans="1:14" ht="15" customHeight="1" x14ac:dyDescent="0.3">
      <c r="A496" s="3">
        <v>8209657649</v>
      </c>
      <c r="B496" s="3" t="s">
        <v>564</v>
      </c>
      <c r="C496" s="3" t="s">
        <v>565</v>
      </c>
      <c r="D496" s="4">
        <v>46307.405624999999</v>
      </c>
      <c r="E496" s="5" t="s">
        <v>10</v>
      </c>
      <c r="F496" s="5" t="s">
        <v>16</v>
      </c>
      <c r="G496" s="5">
        <v>6</v>
      </c>
      <c r="H496" s="8" t="s">
        <v>12</v>
      </c>
      <c r="I496" t="s">
        <v>579</v>
      </c>
      <c r="K496" t="str">
        <f>+VLOOKUP(C496,'[1]TIENDAS 2025'!$A$1:$C$143,3,0)</f>
        <v>prioridad</v>
      </c>
      <c r="L496" t="str">
        <f>+VLOOKUP(C496,[2]Hoja1!$A$1:$B$138,2,0)</f>
        <v>APROBAR</v>
      </c>
      <c r="M496">
        <v>1</v>
      </c>
      <c r="N496" t="e">
        <v>#N/A</v>
      </c>
    </row>
    <row r="497" spans="1:14" ht="15" customHeight="1" x14ac:dyDescent="0.3">
      <c r="A497" s="3">
        <v>8209657650</v>
      </c>
      <c r="B497" s="3" t="s">
        <v>564</v>
      </c>
      <c r="C497" s="3" t="s">
        <v>565</v>
      </c>
      <c r="D497" s="4">
        <v>46307.405636574098</v>
      </c>
      <c r="E497" s="5" t="s">
        <v>10</v>
      </c>
      <c r="F497" s="5" t="s">
        <v>16</v>
      </c>
      <c r="G497" s="5">
        <v>1</v>
      </c>
      <c r="H497" s="8" t="s">
        <v>12</v>
      </c>
      <c r="I497" t="s">
        <v>580</v>
      </c>
      <c r="K497" t="str">
        <f>+VLOOKUP(C497,'[1]TIENDAS 2025'!$A$1:$C$143,3,0)</f>
        <v>prioridad</v>
      </c>
      <c r="L497" t="str">
        <f>+VLOOKUP(C497,[2]Hoja1!$A$1:$B$138,2,0)</f>
        <v>APROBAR</v>
      </c>
      <c r="M497">
        <v>1</v>
      </c>
      <c r="N497" t="e">
        <v>#N/A</v>
      </c>
    </row>
    <row r="498" spans="1:14" ht="15" customHeight="1" x14ac:dyDescent="0.3">
      <c r="A498" s="3">
        <v>8209657806</v>
      </c>
      <c r="B498" s="3" t="s">
        <v>567</v>
      </c>
      <c r="C498" s="3" t="s">
        <v>568</v>
      </c>
      <c r="D498" s="4">
        <v>46307.405648148102</v>
      </c>
      <c r="E498" s="5" t="s">
        <v>10</v>
      </c>
      <c r="F498" s="5" t="s">
        <v>16</v>
      </c>
      <c r="G498" s="5">
        <v>1</v>
      </c>
      <c r="H498" s="8" t="s">
        <v>12</v>
      </c>
      <c r="I498" t="s">
        <v>581</v>
      </c>
      <c r="K498" t="str">
        <f>+VLOOKUP(C498,'[1]TIENDAS 2025'!$A$1:$C$143,3,0)</f>
        <v>prioridad</v>
      </c>
      <c r="L498" t="str">
        <f>+VLOOKUP(C498,[2]Hoja1!$A$1:$B$138,2,0)</f>
        <v>APROBAR</v>
      </c>
      <c r="M498">
        <v>1</v>
      </c>
      <c r="N498" t="e">
        <v>#N/A</v>
      </c>
    </row>
    <row r="499" spans="1:14" ht="15" customHeight="1" x14ac:dyDescent="0.3">
      <c r="A499" s="3">
        <v>1209657659</v>
      </c>
      <c r="B499" s="3" t="s">
        <v>564</v>
      </c>
      <c r="C499" s="3" t="s">
        <v>565</v>
      </c>
      <c r="D499" s="4">
        <v>46307.405671296299</v>
      </c>
      <c r="E499" s="5" t="s">
        <v>10</v>
      </c>
      <c r="F499" s="5" t="s">
        <v>17</v>
      </c>
      <c r="G499" s="5">
        <v>46</v>
      </c>
      <c r="H499" s="6" t="s">
        <v>12</v>
      </c>
      <c r="I499" t="s">
        <v>582</v>
      </c>
      <c r="J499" t="s">
        <v>2480</v>
      </c>
      <c r="K499" t="str">
        <f>+VLOOKUP(C499,'[1]TIENDAS 2025'!$A$1:$C$143,3,0)</f>
        <v>prioridad</v>
      </c>
      <c r="L499" t="str">
        <f>+VLOOKUP(C499,[2]Hoja1!$A$1:$B$138,2,0)</f>
        <v>APROBAR</v>
      </c>
      <c r="M499">
        <v>1</v>
      </c>
      <c r="N499" t="e">
        <v>#N/A</v>
      </c>
    </row>
    <row r="500" spans="1:14" ht="15" customHeight="1" x14ac:dyDescent="0.3">
      <c r="A500" s="3">
        <v>1209657696</v>
      </c>
      <c r="B500" s="3" t="s">
        <v>572</v>
      </c>
      <c r="C500" s="3" t="s">
        <v>573</v>
      </c>
      <c r="D500" s="4">
        <v>46307.405682870398</v>
      </c>
      <c r="E500" s="5" t="s">
        <v>10</v>
      </c>
      <c r="F500" s="5" t="s">
        <v>11</v>
      </c>
      <c r="G500" s="5">
        <v>12</v>
      </c>
      <c r="H500" s="6" t="s">
        <v>12</v>
      </c>
      <c r="I500" t="s">
        <v>583</v>
      </c>
      <c r="J500" t="s">
        <v>2480</v>
      </c>
      <c r="K500" t="str">
        <f>+VLOOKUP(C500,'[1]TIENDAS 2025'!$A$1:$C$143,3,0)</f>
        <v>local</v>
      </c>
      <c r="L500" t="str">
        <f>+VLOOKUP(C500,[2]Hoja1!$A$1:$B$138,2,0)</f>
        <v>APROBAR</v>
      </c>
      <c r="M500">
        <v>1</v>
      </c>
      <c r="N500" t="e">
        <v>#N/A</v>
      </c>
    </row>
    <row r="501" spans="1:14" ht="15" customHeight="1" x14ac:dyDescent="0.3">
      <c r="A501" s="3">
        <v>1209657774</v>
      </c>
      <c r="B501" s="3" t="s">
        <v>576</v>
      </c>
      <c r="C501" s="3" t="s">
        <v>577</v>
      </c>
      <c r="D501" s="4">
        <v>46307.405694444402</v>
      </c>
      <c r="E501" s="5" t="s">
        <v>10</v>
      </c>
      <c r="F501" s="5" t="s">
        <v>17</v>
      </c>
      <c r="G501" s="5">
        <v>13</v>
      </c>
      <c r="H501" s="6" t="s">
        <v>12</v>
      </c>
      <c r="I501" t="s">
        <v>584</v>
      </c>
      <c r="J501" t="s">
        <v>2480</v>
      </c>
      <c r="K501" t="str">
        <f>+VLOOKUP(C501,'[1]TIENDAS 2025'!$A$1:$C$143,3,0)</f>
        <v>prioridad</v>
      </c>
      <c r="L501" t="str">
        <f>+VLOOKUP(C501,[2]Hoja1!$A$1:$B$138,2,0)</f>
        <v>APROBAR</v>
      </c>
      <c r="M501">
        <v>1</v>
      </c>
      <c r="N501" t="e">
        <v>#N/A</v>
      </c>
    </row>
    <row r="502" spans="1:14" ht="15" customHeight="1" x14ac:dyDescent="0.3">
      <c r="A502" s="3">
        <v>8209657789</v>
      </c>
      <c r="B502" s="3" t="s">
        <v>567</v>
      </c>
      <c r="C502" s="3" t="s">
        <v>568</v>
      </c>
      <c r="D502" s="4">
        <v>46307.405717592599</v>
      </c>
      <c r="E502" s="5" t="s">
        <v>10</v>
      </c>
      <c r="F502" s="5" t="s">
        <v>16</v>
      </c>
      <c r="G502" s="5">
        <v>3</v>
      </c>
      <c r="H502" s="8" t="s">
        <v>12</v>
      </c>
      <c r="I502" t="s">
        <v>585</v>
      </c>
      <c r="K502" t="str">
        <f>+VLOOKUP(C502,'[1]TIENDAS 2025'!$A$1:$C$143,3,0)</f>
        <v>prioridad</v>
      </c>
      <c r="L502" t="str">
        <f>+VLOOKUP(C502,[2]Hoja1!$A$1:$B$138,2,0)</f>
        <v>APROBAR</v>
      </c>
      <c r="M502">
        <v>1</v>
      </c>
      <c r="N502" t="e">
        <v>#N/A</v>
      </c>
    </row>
    <row r="503" spans="1:14" ht="15" customHeight="1" x14ac:dyDescent="0.3">
      <c r="A503" s="3">
        <v>8209657792</v>
      </c>
      <c r="B503" s="3" t="s">
        <v>567</v>
      </c>
      <c r="C503" s="3" t="s">
        <v>568</v>
      </c>
      <c r="D503" s="4">
        <v>46307.405729166698</v>
      </c>
      <c r="E503" s="5" t="s">
        <v>10</v>
      </c>
      <c r="F503" s="5" t="s">
        <v>16</v>
      </c>
      <c r="G503" s="5">
        <v>12</v>
      </c>
      <c r="H503" s="8" t="s">
        <v>12</v>
      </c>
      <c r="I503" t="s">
        <v>586</v>
      </c>
      <c r="K503" t="str">
        <f>+VLOOKUP(C503,'[1]TIENDAS 2025'!$A$1:$C$143,3,0)</f>
        <v>prioridad</v>
      </c>
      <c r="L503" t="str">
        <f>+VLOOKUP(C503,[2]Hoja1!$A$1:$B$138,2,0)</f>
        <v>APROBAR</v>
      </c>
      <c r="M503">
        <v>1</v>
      </c>
      <c r="N503" t="e">
        <v>#N/A</v>
      </c>
    </row>
    <row r="504" spans="1:14" ht="15" customHeight="1" x14ac:dyDescent="0.3">
      <c r="A504" s="3">
        <v>8209657757</v>
      </c>
      <c r="B504" s="3" t="s">
        <v>576</v>
      </c>
      <c r="C504" s="3" t="s">
        <v>577</v>
      </c>
      <c r="D504" s="4">
        <v>46307.405740740702</v>
      </c>
      <c r="E504" s="5" t="s">
        <v>10</v>
      </c>
      <c r="F504" s="5" t="s">
        <v>16</v>
      </c>
      <c r="G504" s="5">
        <v>2</v>
      </c>
      <c r="H504" s="8" t="s">
        <v>12</v>
      </c>
      <c r="I504" t="s">
        <v>587</v>
      </c>
      <c r="K504" t="str">
        <f>+VLOOKUP(C504,'[1]TIENDAS 2025'!$A$1:$C$143,3,0)</f>
        <v>prioridad</v>
      </c>
      <c r="L504" t="str">
        <f>+VLOOKUP(C504,[2]Hoja1!$A$1:$B$138,2,0)</f>
        <v>APROBAR</v>
      </c>
      <c r="M504">
        <v>1</v>
      </c>
      <c r="N504" t="e">
        <v>#N/A</v>
      </c>
    </row>
    <row r="505" spans="1:14" ht="15" customHeight="1" x14ac:dyDescent="0.3">
      <c r="A505" s="3">
        <v>8209657771</v>
      </c>
      <c r="B505" s="3" t="s">
        <v>576</v>
      </c>
      <c r="C505" s="3" t="s">
        <v>577</v>
      </c>
      <c r="D505" s="4">
        <v>46307.405763888899</v>
      </c>
      <c r="E505" s="5" t="s">
        <v>10</v>
      </c>
      <c r="F505" s="5" t="s">
        <v>16</v>
      </c>
      <c r="G505" s="5">
        <v>4</v>
      </c>
      <c r="H505" s="8" t="s">
        <v>12</v>
      </c>
      <c r="I505" t="s">
        <v>588</v>
      </c>
      <c r="K505" t="str">
        <f>+VLOOKUP(C505,'[1]TIENDAS 2025'!$A$1:$C$143,3,0)</f>
        <v>prioridad</v>
      </c>
      <c r="L505" t="str">
        <f>+VLOOKUP(C505,[2]Hoja1!$A$1:$B$138,2,0)</f>
        <v>APROBAR</v>
      </c>
      <c r="M505">
        <v>1</v>
      </c>
      <c r="N505" t="e">
        <v>#N/A</v>
      </c>
    </row>
    <row r="506" spans="1:14" ht="15" customHeight="1" x14ac:dyDescent="0.3">
      <c r="A506" s="3">
        <v>1209657695</v>
      </c>
      <c r="B506" s="3" t="s">
        <v>572</v>
      </c>
      <c r="C506" s="3" t="s">
        <v>573</v>
      </c>
      <c r="D506" s="4">
        <v>46307.405775462998</v>
      </c>
      <c r="E506" s="5" t="s">
        <v>10</v>
      </c>
      <c r="F506" s="5" t="s">
        <v>11</v>
      </c>
      <c r="G506" s="5">
        <v>20</v>
      </c>
      <c r="H506" s="6" t="s">
        <v>12</v>
      </c>
      <c r="I506" t="s">
        <v>589</v>
      </c>
      <c r="J506" t="s">
        <v>2480</v>
      </c>
      <c r="K506" t="str">
        <f>+VLOOKUP(C506,'[1]TIENDAS 2025'!$A$1:$C$143,3,0)</f>
        <v>local</v>
      </c>
      <c r="L506" t="str">
        <f>+VLOOKUP(C506,[2]Hoja1!$A$1:$B$138,2,0)</f>
        <v>APROBAR</v>
      </c>
      <c r="M506">
        <v>1</v>
      </c>
      <c r="N506" t="e">
        <v>#N/A</v>
      </c>
    </row>
    <row r="507" spans="1:14" ht="15" customHeight="1" x14ac:dyDescent="0.3">
      <c r="A507" s="3">
        <v>8209657699</v>
      </c>
      <c r="B507" s="3" t="s">
        <v>572</v>
      </c>
      <c r="C507" s="3" t="s">
        <v>573</v>
      </c>
      <c r="D507" s="4">
        <v>46307.405787037002</v>
      </c>
      <c r="E507" s="5" t="s">
        <v>10</v>
      </c>
      <c r="F507" s="5" t="s">
        <v>16</v>
      </c>
      <c r="G507" s="5">
        <v>10</v>
      </c>
      <c r="H507" s="8" t="s">
        <v>12</v>
      </c>
      <c r="I507" t="s">
        <v>590</v>
      </c>
      <c r="K507" t="str">
        <f>+VLOOKUP(C507,'[1]TIENDAS 2025'!$A$1:$C$143,3,0)</f>
        <v>local</v>
      </c>
      <c r="L507" t="str">
        <f>+VLOOKUP(C507,[2]Hoja1!$A$1:$B$138,2,0)</f>
        <v>APROBAR</v>
      </c>
      <c r="M507">
        <v>1</v>
      </c>
      <c r="N507" t="e">
        <v>#N/A</v>
      </c>
    </row>
    <row r="508" spans="1:14" ht="15" customHeight="1" x14ac:dyDescent="0.3">
      <c r="A508" s="3">
        <v>1209657762</v>
      </c>
      <c r="B508" s="3" t="s">
        <v>576</v>
      </c>
      <c r="C508" s="3" t="s">
        <v>577</v>
      </c>
      <c r="D508" s="4">
        <v>46307.4057986111</v>
      </c>
      <c r="E508" s="5" t="s">
        <v>10</v>
      </c>
      <c r="F508" s="5" t="s">
        <v>17</v>
      </c>
      <c r="G508" s="5">
        <v>9</v>
      </c>
      <c r="H508" s="6" t="s">
        <v>12</v>
      </c>
      <c r="I508" t="s">
        <v>591</v>
      </c>
      <c r="J508" t="s">
        <v>2480</v>
      </c>
      <c r="K508" t="str">
        <f>+VLOOKUP(C508,'[1]TIENDAS 2025'!$A$1:$C$143,3,0)</f>
        <v>prioridad</v>
      </c>
      <c r="L508" t="str">
        <f>+VLOOKUP(C508,[2]Hoja1!$A$1:$B$138,2,0)</f>
        <v>APROBAR</v>
      </c>
      <c r="M508">
        <v>1</v>
      </c>
      <c r="N508" t="e">
        <v>#N/A</v>
      </c>
    </row>
    <row r="509" spans="1:14" ht="15" customHeight="1" x14ac:dyDescent="0.3">
      <c r="A509" s="3">
        <v>1209657701</v>
      </c>
      <c r="B509" s="3" t="s">
        <v>572</v>
      </c>
      <c r="C509" s="3" t="s">
        <v>573</v>
      </c>
      <c r="D509" s="4">
        <v>46307.405810185199</v>
      </c>
      <c r="E509" s="5" t="s">
        <v>10</v>
      </c>
      <c r="F509" s="5" t="s">
        <v>17</v>
      </c>
      <c r="G509" s="5">
        <v>9</v>
      </c>
      <c r="H509" s="6" t="s">
        <v>12</v>
      </c>
      <c r="I509" t="s">
        <v>592</v>
      </c>
      <c r="J509" t="s">
        <v>2480</v>
      </c>
      <c r="K509" t="str">
        <f>+VLOOKUP(C509,'[1]TIENDAS 2025'!$A$1:$C$143,3,0)</f>
        <v>local</v>
      </c>
      <c r="L509" t="str">
        <f>+VLOOKUP(C509,[2]Hoja1!$A$1:$B$138,2,0)</f>
        <v>APROBAR</v>
      </c>
      <c r="M509">
        <v>1</v>
      </c>
      <c r="N509" t="e">
        <v>#N/A</v>
      </c>
    </row>
    <row r="510" spans="1:14" ht="15" customHeight="1" x14ac:dyDescent="0.3">
      <c r="A510" s="3">
        <v>1209657778</v>
      </c>
      <c r="B510" s="3" t="s">
        <v>576</v>
      </c>
      <c r="C510" s="3" t="s">
        <v>577</v>
      </c>
      <c r="D510" s="4">
        <v>46307.405833333301</v>
      </c>
      <c r="E510" s="5" t="s">
        <v>10</v>
      </c>
      <c r="F510" s="5" t="s">
        <v>11</v>
      </c>
      <c r="G510" s="5">
        <v>3</v>
      </c>
      <c r="H510" s="6" t="s">
        <v>12</v>
      </c>
      <c r="I510" t="s">
        <v>593</v>
      </c>
      <c r="J510" t="s">
        <v>2480</v>
      </c>
      <c r="K510" t="str">
        <f>+VLOOKUP(C510,'[1]TIENDAS 2025'!$A$1:$C$143,3,0)</f>
        <v>prioridad</v>
      </c>
      <c r="L510" t="str">
        <f>+VLOOKUP(C510,[2]Hoja1!$A$1:$B$138,2,0)</f>
        <v>APROBAR</v>
      </c>
      <c r="M510">
        <v>1</v>
      </c>
      <c r="N510" t="e">
        <v>#N/A</v>
      </c>
    </row>
    <row r="511" spans="1:14" ht="15" customHeight="1" x14ac:dyDescent="0.3">
      <c r="A511" s="3">
        <v>1209657798</v>
      </c>
      <c r="B511" s="3" t="s">
        <v>567</v>
      </c>
      <c r="C511" s="3" t="s">
        <v>568</v>
      </c>
      <c r="D511" s="4">
        <v>46307.4058449074</v>
      </c>
      <c r="E511" s="5" t="s">
        <v>10</v>
      </c>
      <c r="F511" s="5" t="s">
        <v>11</v>
      </c>
      <c r="G511" s="5">
        <v>11</v>
      </c>
      <c r="H511" s="6" t="s">
        <v>12</v>
      </c>
      <c r="I511" t="s">
        <v>594</v>
      </c>
      <c r="J511" t="s">
        <v>2480</v>
      </c>
      <c r="K511" t="str">
        <f>+VLOOKUP(C511,'[1]TIENDAS 2025'!$A$1:$C$143,3,0)</f>
        <v>prioridad</v>
      </c>
      <c r="L511" t="str">
        <f>+VLOOKUP(C511,[2]Hoja1!$A$1:$B$138,2,0)</f>
        <v>APROBAR</v>
      </c>
      <c r="M511">
        <v>1</v>
      </c>
      <c r="N511" t="e">
        <v>#N/A</v>
      </c>
    </row>
    <row r="512" spans="1:14" ht="15" customHeight="1" x14ac:dyDescent="0.3">
      <c r="A512" s="3">
        <v>8209657805</v>
      </c>
      <c r="B512" s="3" t="s">
        <v>567</v>
      </c>
      <c r="C512" s="3" t="s">
        <v>568</v>
      </c>
      <c r="D512" s="4">
        <v>46307.405856481499</v>
      </c>
      <c r="E512" s="5" t="s">
        <v>10</v>
      </c>
      <c r="F512" s="5" t="s">
        <v>16</v>
      </c>
      <c r="G512" s="5">
        <v>6</v>
      </c>
      <c r="H512" s="8" t="s">
        <v>12</v>
      </c>
      <c r="I512" t="s">
        <v>595</v>
      </c>
      <c r="K512" t="str">
        <f>+VLOOKUP(C512,'[1]TIENDAS 2025'!$A$1:$C$143,3,0)</f>
        <v>prioridad</v>
      </c>
      <c r="L512" t="str">
        <f>+VLOOKUP(C512,[2]Hoja1!$A$1:$B$138,2,0)</f>
        <v>APROBAR</v>
      </c>
      <c r="M512">
        <v>1</v>
      </c>
      <c r="N512" t="e">
        <v>#N/A</v>
      </c>
    </row>
    <row r="513" spans="1:14" ht="15" customHeight="1" x14ac:dyDescent="0.3">
      <c r="A513" s="3">
        <v>8209657636</v>
      </c>
      <c r="B513" s="3" t="s">
        <v>564</v>
      </c>
      <c r="C513" s="3" t="s">
        <v>565</v>
      </c>
      <c r="D513" s="4">
        <v>46307.405868055597</v>
      </c>
      <c r="E513" s="5" t="s">
        <v>10</v>
      </c>
      <c r="F513" s="5" t="s">
        <v>16</v>
      </c>
      <c r="G513" s="5">
        <v>2</v>
      </c>
      <c r="H513" s="8" t="s">
        <v>12</v>
      </c>
      <c r="I513" t="s">
        <v>596</v>
      </c>
      <c r="K513" t="str">
        <f>+VLOOKUP(C513,'[1]TIENDAS 2025'!$A$1:$C$143,3,0)</f>
        <v>prioridad</v>
      </c>
      <c r="L513" t="str">
        <f>+VLOOKUP(C513,[2]Hoja1!$A$1:$B$138,2,0)</f>
        <v>APROBAR</v>
      </c>
      <c r="M513">
        <v>1</v>
      </c>
      <c r="N513" t="e">
        <v>#N/A</v>
      </c>
    </row>
    <row r="514" spans="1:14" ht="15" customHeight="1" x14ac:dyDescent="0.3">
      <c r="A514" s="3">
        <v>1209657812</v>
      </c>
      <c r="B514" s="3" t="s">
        <v>567</v>
      </c>
      <c r="C514" s="3" t="s">
        <v>568</v>
      </c>
      <c r="D514" s="4">
        <v>46307.405879629601</v>
      </c>
      <c r="E514" s="5" t="s">
        <v>10</v>
      </c>
      <c r="F514" s="5" t="s">
        <v>17</v>
      </c>
      <c r="G514" s="5">
        <v>41</v>
      </c>
      <c r="H514" s="6" t="s">
        <v>12</v>
      </c>
      <c r="I514" t="s">
        <v>597</v>
      </c>
      <c r="J514" t="s">
        <v>2480</v>
      </c>
      <c r="K514" t="str">
        <f>+VLOOKUP(C514,'[1]TIENDAS 2025'!$A$1:$C$143,3,0)</f>
        <v>prioridad</v>
      </c>
      <c r="L514" t="str">
        <f>+VLOOKUP(C514,[2]Hoja1!$A$1:$B$138,2,0)</f>
        <v>APROBAR</v>
      </c>
      <c r="M514">
        <v>1</v>
      </c>
      <c r="N514" t="e">
        <v>#N/A</v>
      </c>
    </row>
    <row r="515" spans="1:14" ht="15" customHeight="1" x14ac:dyDescent="0.3">
      <c r="A515" s="3">
        <v>1209657776</v>
      </c>
      <c r="B515" s="3" t="s">
        <v>576</v>
      </c>
      <c r="C515" s="3" t="s">
        <v>577</v>
      </c>
      <c r="D515" s="4">
        <v>46307.405902777798</v>
      </c>
      <c r="E515" s="5" t="s">
        <v>10</v>
      </c>
      <c r="F515" s="5" t="s">
        <v>17</v>
      </c>
      <c r="G515" s="5">
        <v>18</v>
      </c>
      <c r="H515" s="6" t="s">
        <v>12</v>
      </c>
      <c r="I515" t="s">
        <v>598</v>
      </c>
      <c r="J515" t="s">
        <v>2480</v>
      </c>
      <c r="K515" t="str">
        <f>+VLOOKUP(C515,'[1]TIENDAS 2025'!$A$1:$C$143,3,0)</f>
        <v>prioridad</v>
      </c>
      <c r="L515" t="str">
        <f>+VLOOKUP(C515,[2]Hoja1!$A$1:$B$138,2,0)</f>
        <v>APROBAR</v>
      </c>
      <c r="M515">
        <v>1</v>
      </c>
      <c r="N515" t="e">
        <v>#N/A</v>
      </c>
    </row>
    <row r="516" spans="1:14" ht="15" customHeight="1" x14ac:dyDescent="0.3">
      <c r="A516" s="3">
        <v>1209657800</v>
      </c>
      <c r="B516" s="3" t="s">
        <v>567</v>
      </c>
      <c r="C516" s="3" t="s">
        <v>568</v>
      </c>
      <c r="D516" s="4">
        <v>46307.405925925901</v>
      </c>
      <c r="E516" s="5" t="s">
        <v>10</v>
      </c>
      <c r="F516" s="5" t="s">
        <v>17</v>
      </c>
      <c r="G516" s="5">
        <v>12</v>
      </c>
      <c r="H516" s="6" t="s">
        <v>12</v>
      </c>
      <c r="I516" t="s">
        <v>599</v>
      </c>
      <c r="J516" t="s">
        <v>2480</v>
      </c>
      <c r="K516" t="str">
        <f>+VLOOKUP(C516,'[1]TIENDAS 2025'!$A$1:$C$143,3,0)</f>
        <v>prioridad</v>
      </c>
      <c r="L516" t="str">
        <f>+VLOOKUP(C516,[2]Hoja1!$A$1:$B$138,2,0)</f>
        <v>APROBAR</v>
      </c>
      <c r="M516">
        <v>1</v>
      </c>
      <c r="N516" t="e">
        <v>#N/A</v>
      </c>
    </row>
    <row r="517" spans="1:14" ht="15" customHeight="1" x14ac:dyDescent="0.3">
      <c r="A517" s="3">
        <v>8209657651</v>
      </c>
      <c r="B517" s="3" t="s">
        <v>564</v>
      </c>
      <c r="C517" s="3" t="s">
        <v>565</v>
      </c>
      <c r="D517" s="4">
        <v>46307.4059375</v>
      </c>
      <c r="E517" s="5" t="s">
        <v>10</v>
      </c>
      <c r="F517" s="5" t="s">
        <v>16</v>
      </c>
      <c r="G517" s="5">
        <v>1</v>
      </c>
      <c r="H517" s="8" t="s">
        <v>12</v>
      </c>
      <c r="I517" t="s">
        <v>600</v>
      </c>
      <c r="K517" t="str">
        <f>+VLOOKUP(C517,'[1]TIENDAS 2025'!$A$1:$C$143,3,0)</f>
        <v>prioridad</v>
      </c>
      <c r="L517" t="str">
        <f>+VLOOKUP(C517,[2]Hoja1!$A$1:$B$138,2,0)</f>
        <v>APROBAR</v>
      </c>
      <c r="M517">
        <v>1</v>
      </c>
      <c r="N517" t="e">
        <v>#N/A</v>
      </c>
    </row>
    <row r="518" spans="1:14" ht="15" customHeight="1" x14ac:dyDescent="0.3">
      <c r="A518" s="3">
        <v>1209657692</v>
      </c>
      <c r="B518" s="3" t="s">
        <v>572</v>
      </c>
      <c r="C518" s="3" t="s">
        <v>573</v>
      </c>
      <c r="D518" s="4">
        <v>46307.405949074098</v>
      </c>
      <c r="E518" s="5" t="s">
        <v>10</v>
      </c>
      <c r="F518" s="5" t="s">
        <v>17</v>
      </c>
      <c r="G518" s="5">
        <v>9</v>
      </c>
      <c r="H518" s="6" t="s">
        <v>12</v>
      </c>
      <c r="I518" t="s">
        <v>601</v>
      </c>
      <c r="J518" t="s">
        <v>2480</v>
      </c>
      <c r="K518" t="str">
        <f>+VLOOKUP(C518,'[1]TIENDAS 2025'!$A$1:$C$143,3,0)</f>
        <v>local</v>
      </c>
      <c r="L518" t="str">
        <f>+VLOOKUP(C518,[2]Hoja1!$A$1:$B$138,2,0)</f>
        <v>APROBAR</v>
      </c>
      <c r="M518">
        <v>1</v>
      </c>
      <c r="N518" t="e">
        <v>#N/A</v>
      </c>
    </row>
    <row r="519" spans="1:14" ht="15" customHeight="1" x14ac:dyDescent="0.3">
      <c r="A519" s="3">
        <v>1209657760</v>
      </c>
      <c r="B519" s="3" t="s">
        <v>576</v>
      </c>
      <c r="C519" s="3" t="s">
        <v>577</v>
      </c>
      <c r="D519" s="4">
        <v>46307.4059837963</v>
      </c>
      <c r="E519" s="5" t="s">
        <v>10</v>
      </c>
      <c r="F519" s="5" t="s">
        <v>16</v>
      </c>
      <c r="G519" s="5">
        <v>16</v>
      </c>
      <c r="H519" s="6" t="s">
        <v>12</v>
      </c>
      <c r="I519" t="s">
        <v>602</v>
      </c>
      <c r="J519" t="s">
        <v>2480</v>
      </c>
      <c r="K519" t="str">
        <f>+VLOOKUP(C519,'[1]TIENDAS 2025'!$A$1:$C$143,3,0)</f>
        <v>prioridad</v>
      </c>
      <c r="L519" t="str">
        <f>+VLOOKUP(C519,[2]Hoja1!$A$1:$B$138,2,0)</f>
        <v>APROBAR</v>
      </c>
      <c r="M519">
        <v>1</v>
      </c>
      <c r="N519" t="e">
        <v>#N/A</v>
      </c>
    </row>
    <row r="520" spans="1:14" ht="15" customHeight="1" x14ac:dyDescent="0.3">
      <c r="A520" s="3">
        <v>8209657637</v>
      </c>
      <c r="B520" s="3" t="s">
        <v>564</v>
      </c>
      <c r="C520" s="3" t="s">
        <v>565</v>
      </c>
      <c r="D520" s="4">
        <v>46307.4059837963</v>
      </c>
      <c r="E520" s="5" t="s">
        <v>10</v>
      </c>
      <c r="F520" s="5" t="s">
        <v>16</v>
      </c>
      <c r="G520" s="5">
        <v>6</v>
      </c>
      <c r="H520" s="8" t="s">
        <v>12</v>
      </c>
      <c r="I520" t="s">
        <v>603</v>
      </c>
      <c r="K520" t="str">
        <f>+VLOOKUP(C520,'[1]TIENDAS 2025'!$A$1:$C$143,3,0)</f>
        <v>prioridad</v>
      </c>
      <c r="L520" t="str">
        <f>+VLOOKUP(C520,[2]Hoja1!$A$1:$B$138,2,0)</f>
        <v>APROBAR</v>
      </c>
      <c r="M520">
        <v>1</v>
      </c>
      <c r="N520" t="e">
        <v>#N/A</v>
      </c>
    </row>
    <row r="521" spans="1:14" ht="15" customHeight="1" x14ac:dyDescent="0.3">
      <c r="A521" s="3">
        <v>1209657697</v>
      </c>
      <c r="B521" s="3" t="s">
        <v>572</v>
      </c>
      <c r="C521" s="3" t="s">
        <v>573</v>
      </c>
      <c r="D521" s="4">
        <v>46307.406006944402</v>
      </c>
      <c r="E521" s="5" t="s">
        <v>10</v>
      </c>
      <c r="F521" s="5" t="s">
        <v>11</v>
      </c>
      <c r="G521" s="5">
        <v>2</v>
      </c>
      <c r="H521" s="6" t="s">
        <v>12</v>
      </c>
      <c r="I521" t="s">
        <v>604</v>
      </c>
      <c r="J521" t="s">
        <v>2480</v>
      </c>
      <c r="K521" t="str">
        <f>+VLOOKUP(C521,'[1]TIENDAS 2025'!$A$1:$C$143,3,0)</f>
        <v>local</v>
      </c>
      <c r="L521" t="str">
        <f>+VLOOKUP(C521,[2]Hoja1!$A$1:$B$138,2,0)</f>
        <v>APROBAR</v>
      </c>
      <c r="M521">
        <v>1</v>
      </c>
      <c r="N521" t="e">
        <v>#N/A</v>
      </c>
    </row>
    <row r="522" spans="1:14" ht="15" customHeight="1" x14ac:dyDescent="0.3">
      <c r="A522" s="3">
        <v>1209657641</v>
      </c>
      <c r="B522" s="3" t="s">
        <v>564</v>
      </c>
      <c r="C522" s="3" t="s">
        <v>565</v>
      </c>
      <c r="D522" s="4">
        <v>46307.406018518501</v>
      </c>
      <c r="E522" s="5" t="s">
        <v>10</v>
      </c>
      <c r="F522" s="5" t="s">
        <v>11</v>
      </c>
      <c r="G522" s="5">
        <v>1</v>
      </c>
      <c r="H522" s="6" t="s">
        <v>12</v>
      </c>
      <c r="I522" t="s">
        <v>605</v>
      </c>
      <c r="J522" t="s">
        <v>2480</v>
      </c>
      <c r="K522" t="str">
        <f>+VLOOKUP(C522,'[1]TIENDAS 2025'!$A$1:$C$143,3,0)</f>
        <v>prioridad</v>
      </c>
      <c r="L522" t="str">
        <f>+VLOOKUP(C522,[2]Hoja1!$A$1:$B$138,2,0)</f>
        <v>APROBAR</v>
      </c>
      <c r="M522">
        <v>1</v>
      </c>
      <c r="N522" t="e">
        <v>#N/A</v>
      </c>
    </row>
    <row r="523" spans="1:14" ht="15" customHeight="1" x14ac:dyDescent="0.3">
      <c r="A523" s="3">
        <v>1209657661</v>
      </c>
      <c r="B523" s="3" t="s">
        <v>564</v>
      </c>
      <c r="C523" s="3" t="s">
        <v>565</v>
      </c>
      <c r="D523" s="4">
        <v>46307.406030092599</v>
      </c>
      <c r="E523" s="5" t="s">
        <v>10</v>
      </c>
      <c r="F523" s="5" t="s">
        <v>11</v>
      </c>
      <c r="G523" s="5">
        <v>50</v>
      </c>
      <c r="H523" s="6" t="s">
        <v>12</v>
      </c>
      <c r="I523" t="s">
        <v>606</v>
      </c>
      <c r="J523" t="s">
        <v>2480</v>
      </c>
      <c r="K523" t="str">
        <f>+VLOOKUP(C523,'[1]TIENDAS 2025'!$A$1:$C$143,3,0)</f>
        <v>prioridad</v>
      </c>
      <c r="L523" t="str">
        <f>+VLOOKUP(C523,[2]Hoja1!$A$1:$B$138,2,0)</f>
        <v>APROBAR</v>
      </c>
      <c r="M523">
        <v>1</v>
      </c>
      <c r="N523" t="e">
        <v>#N/A</v>
      </c>
    </row>
    <row r="524" spans="1:14" ht="15" customHeight="1" x14ac:dyDescent="0.3">
      <c r="A524" s="3">
        <v>8209657791</v>
      </c>
      <c r="B524" s="3" t="s">
        <v>567</v>
      </c>
      <c r="C524" s="3" t="s">
        <v>568</v>
      </c>
      <c r="D524" s="4">
        <v>46307.406064814801</v>
      </c>
      <c r="E524" s="5" t="s">
        <v>10</v>
      </c>
      <c r="F524" s="5" t="s">
        <v>16</v>
      </c>
      <c r="G524" s="5">
        <v>3</v>
      </c>
      <c r="H524" s="8" t="s">
        <v>12</v>
      </c>
      <c r="I524" t="s">
        <v>607</v>
      </c>
      <c r="K524" t="str">
        <f>+VLOOKUP(C524,'[1]TIENDAS 2025'!$A$1:$C$143,3,0)</f>
        <v>prioridad</v>
      </c>
      <c r="L524" t="str">
        <f>+VLOOKUP(C524,[2]Hoja1!$A$1:$B$138,2,0)</f>
        <v>APROBAR</v>
      </c>
      <c r="M524">
        <v>1</v>
      </c>
      <c r="N524" t="e">
        <v>#N/A</v>
      </c>
    </row>
    <row r="525" spans="1:14" ht="15" customHeight="1" x14ac:dyDescent="0.3">
      <c r="A525" s="3">
        <v>8209657758</v>
      </c>
      <c r="B525" s="3" t="s">
        <v>576</v>
      </c>
      <c r="C525" s="3" t="s">
        <v>577</v>
      </c>
      <c r="D525" s="4">
        <v>46307.406122685199</v>
      </c>
      <c r="E525" s="5" t="s">
        <v>10</v>
      </c>
      <c r="F525" s="5" t="s">
        <v>16</v>
      </c>
      <c r="G525" s="5">
        <v>6</v>
      </c>
      <c r="H525" s="8" t="s">
        <v>12</v>
      </c>
      <c r="I525" t="s">
        <v>608</v>
      </c>
      <c r="K525" t="str">
        <f>+VLOOKUP(C525,'[1]TIENDAS 2025'!$A$1:$C$143,3,0)</f>
        <v>prioridad</v>
      </c>
      <c r="L525" t="str">
        <f>+VLOOKUP(C525,[2]Hoja1!$A$1:$B$138,2,0)</f>
        <v>APROBAR</v>
      </c>
      <c r="M525">
        <v>1</v>
      </c>
      <c r="N525" t="e">
        <v>#N/A</v>
      </c>
    </row>
    <row r="526" spans="1:14" ht="15" customHeight="1" x14ac:dyDescent="0.3">
      <c r="A526" s="3">
        <v>1209657803</v>
      </c>
      <c r="B526" s="3" t="s">
        <v>567</v>
      </c>
      <c r="C526" s="3" t="s">
        <v>568</v>
      </c>
      <c r="D526" s="4">
        <v>46307.406122685199</v>
      </c>
      <c r="E526" s="5" t="s">
        <v>10</v>
      </c>
      <c r="F526" s="5" t="s">
        <v>11</v>
      </c>
      <c r="G526" s="5">
        <v>3</v>
      </c>
      <c r="H526" s="6" t="s">
        <v>12</v>
      </c>
      <c r="I526" t="s">
        <v>609</v>
      </c>
      <c r="J526" t="s">
        <v>2480</v>
      </c>
      <c r="K526" t="str">
        <f>+VLOOKUP(C526,'[1]TIENDAS 2025'!$A$1:$C$143,3,0)</f>
        <v>prioridad</v>
      </c>
      <c r="L526" t="str">
        <f>+VLOOKUP(C526,[2]Hoja1!$A$1:$B$138,2,0)</f>
        <v>APROBAR</v>
      </c>
      <c r="M526">
        <v>1</v>
      </c>
      <c r="N526" t="e">
        <v>#N/A</v>
      </c>
    </row>
    <row r="527" spans="1:14" ht="15" customHeight="1" x14ac:dyDescent="0.3">
      <c r="A527" s="3">
        <v>8209657768</v>
      </c>
      <c r="B527" s="3" t="s">
        <v>576</v>
      </c>
      <c r="C527" s="3" t="s">
        <v>577</v>
      </c>
      <c r="D527" s="4">
        <v>46307.406134259298</v>
      </c>
      <c r="E527" s="5" t="s">
        <v>10</v>
      </c>
      <c r="F527" s="5" t="s">
        <v>16</v>
      </c>
      <c r="G527" s="5">
        <v>15</v>
      </c>
      <c r="H527" s="8" t="s">
        <v>12</v>
      </c>
      <c r="I527" t="s">
        <v>610</v>
      </c>
      <c r="K527" t="str">
        <f>+VLOOKUP(C527,'[1]TIENDAS 2025'!$A$1:$C$143,3,0)</f>
        <v>prioridad</v>
      </c>
      <c r="L527" t="str">
        <f>+VLOOKUP(C527,[2]Hoja1!$A$1:$B$138,2,0)</f>
        <v>APROBAR</v>
      </c>
      <c r="M527">
        <v>1</v>
      </c>
      <c r="N527" t="e">
        <v>#N/A</v>
      </c>
    </row>
    <row r="528" spans="1:14" ht="15" customHeight="1" x14ac:dyDescent="0.3">
      <c r="A528" s="3">
        <v>1209657811</v>
      </c>
      <c r="B528" s="3" t="s">
        <v>567</v>
      </c>
      <c r="C528" s="3" t="s">
        <v>568</v>
      </c>
      <c r="D528" s="4">
        <v>46307.4061574074</v>
      </c>
      <c r="E528" s="5" t="s">
        <v>10</v>
      </c>
      <c r="F528" s="5" t="s">
        <v>11</v>
      </c>
      <c r="G528" s="5">
        <v>23</v>
      </c>
      <c r="H528" s="6" t="s">
        <v>12</v>
      </c>
      <c r="I528" t="s">
        <v>611</v>
      </c>
      <c r="J528" t="s">
        <v>2480</v>
      </c>
      <c r="K528" t="str">
        <f>+VLOOKUP(C528,'[1]TIENDAS 2025'!$A$1:$C$143,3,0)</f>
        <v>prioridad</v>
      </c>
      <c r="L528" t="str">
        <f>+VLOOKUP(C528,[2]Hoja1!$A$1:$B$138,2,0)</f>
        <v>APROBAR</v>
      </c>
      <c r="M528">
        <v>1</v>
      </c>
      <c r="N528" t="e">
        <v>#N/A</v>
      </c>
    </row>
    <row r="529" spans="1:14" ht="15" customHeight="1" x14ac:dyDescent="0.3">
      <c r="A529" s="3">
        <v>1209657657</v>
      </c>
      <c r="B529" s="3" t="s">
        <v>564</v>
      </c>
      <c r="C529" s="3" t="s">
        <v>565</v>
      </c>
      <c r="D529" s="4">
        <v>46307.406168981499</v>
      </c>
      <c r="E529" s="5" t="s">
        <v>10</v>
      </c>
      <c r="F529" s="5" t="s">
        <v>11</v>
      </c>
      <c r="G529" s="5">
        <v>1</v>
      </c>
      <c r="H529" s="6" t="s">
        <v>12</v>
      </c>
      <c r="I529" t="s">
        <v>612</v>
      </c>
      <c r="J529" t="s">
        <v>2480</v>
      </c>
      <c r="K529" t="str">
        <f>+VLOOKUP(C529,'[1]TIENDAS 2025'!$A$1:$C$143,3,0)</f>
        <v>prioridad</v>
      </c>
      <c r="L529" t="str">
        <f>+VLOOKUP(C529,[2]Hoja1!$A$1:$B$138,2,0)</f>
        <v>APROBAR</v>
      </c>
      <c r="M529">
        <v>1</v>
      </c>
      <c r="N529" t="e">
        <v>#N/A</v>
      </c>
    </row>
    <row r="530" spans="1:14" ht="15" customHeight="1" x14ac:dyDescent="0.3">
      <c r="A530" s="3">
        <v>1209657700</v>
      </c>
      <c r="B530" s="3" t="s">
        <v>572</v>
      </c>
      <c r="C530" s="3" t="s">
        <v>573</v>
      </c>
      <c r="D530" s="4">
        <v>46307.406180555598</v>
      </c>
      <c r="E530" s="5" t="s">
        <v>10</v>
      </c>
      <c r="F530" s="5" t="s">
        <v>11</v>
      </c>
      <c r="G530" s="5">
        <v>6</v>
      </c>
      <c r="H530" s="6" t="s">
        <v>12</v>
      </c>
      <c r="I530" t="s">
        <v>613</v>
      </c>
      <c r="J530" t="s">
        <v>2480</v>
      </c>
      <c r="K530" t="str">
        <f>+VLOOKUP(C530,'[1]TIENDAS 2025'!$A$1:$C$143,3,0)</f>
        <v>local</v>
      </c>
      <c r="L530" t="str">
        <f>+VLOOKUP(C530,[2]Hoja1!$A$1:$B$138,2,0)</f>
        <v>APROBAR</v>
      </c>
      <c r="M530">
        <v>1</v>
      </c>
      <c r="N530" t="e">
        <v>#N/A</v>
      </c>
    </row>
    <row r="531" spans="1:14" ht="15" customHeight="1" x14ac:dyDescent="0.3">
      <c r="A531" s="3">
        <v>8209657688</v>
      </c>
      <c r="B531" s="3" t="s">
        <v>572</v>
      </c>
      <c r="C531" s="3" t="s">
        <v>573</v>
      </c>
      <c r="D531" s="4">
        <v>46307.406192129602</v>
      </c>
      <c r="E531" s="5" t="s">
        <v>10</v>
      </c>
      <c r="F531" s="5" t="s">
        <v>16</v>
      </c>
      <c r="G531" s="5">
        <v>4</v>
      </c>
      <c r="H531" s="8" t="s">
        <v>12</v>
      </c>
      <c r="I531" t="s">
        <v>614</v>
      </c>
      <c r="K531" t="str">
        <f>+VLOOKUP(C531,'[1]TIENDAS 2025'!$A$1:$C$143,3,0)</f>
        <v>local</v>
      </c>
      <c r="L531" t="str">
        <f>+VLOOKUP(C531,[2]Hoja1!$A$1:$B$138,2,0)</f>
        <v>APROBAR</v>
      </c>
      <c r="M531">
        <v>1</v>
      </c>
      <c r="N531" t="e">
        <v>#N/A</v>
      </c>
    </row>
    <row r="532" spans="1:14" ht="15" customHeight="1" x14ac:dyDescent="0.3">
      <c r="A532" s="3">
        <v>8209657790</v>
      </c>
      <c r="B532" s="3" t="s">
        <v>567</v>
      </c>
      <c r="C532" s="3" t="s">
        <v>568</v>
      </c>
      <c r="D532" s="4">
        <v>46307.4062037037</v>
      </c>
      <c r="E532" s="5" t="s">
        <v>10</v>
      </c>
      <c r="F532" s="5" t="s">
        <v>16</v>
      </c>
      <c r="G532" s="5">
        <v>1</v>
      </c>
      <c r="H532" s="8" t="s">
        <v>12</v>
      </c>
      <c r="I532" t="s">
        <v>615</v>
      </c>
      <c r="K532" t="str">
        <f>+VLOOKUP(C532,'[1]TIENDAS 2025'!$A$1:$C$143,3,0)</f>
        <v>prioridad</v>
      </c>
      <c r="L532" t="str">
        <f>+VLOOKUP(C532,[2]Hoja1!$A$1:$B$138,2,0)</f>
        <v>APROBAR</v>
      </c>
      <c r="M532">
        <v>1</v>
      </c>
      <c r="N532" t="e">
        <v>#N/A</v>
      </c>
    </row>
    <row r="533" spans="1:14" ht="15" customHeight="1" x14ac:dyDescent="0.3">
      <c r="A533" s="3">
        <v>1209657648</v>
      </c>
      <c r="B533" s="3" t="s">
        <v>564</v>
      </c>
      <c r="C533" s="3" t="s">
        <v>565</v>
      </c>
      <c r="D533" s="4">
        <v>46307.406215277799</v>
      </c>
      <c r="E533" s="5" t="s">
        <v>10</v>
      </c>
      <c r="F533" s="5" t="s">
        <v>11</v>
      </c>
      <c r="G533" s="5">
        <v>32</v>
      </c>
      <c r="H533" s="6" t="s">
        <v>12</v>
      </c>
      <c r="I533" t="s">
        <v>616</v>
      </c>
      <c r="J533" t="s">
        <v>2480</v>
      </c>
      <c r="K533" t="str">
        <f>+VLOOKUP(C533,'[1]TIENDAS 2025'!$A$1:$C$143,3,0)</f>
        <v>prioridad</v>
      </c>
      <c r="L533" t="str">
        <f>+VLOOKUP(C533,[2]Hoja1!$A$1:$B$138,2,0)</f>
        <v>APROBAR</v>
      </c>
      <c r="M533">
        <v>1</v>
      </c>
      <c r="N533" t="e">
        <v>#N/A</v>
      </c>
    </row>
    <row r="534" spans="1:14" ht="15" customHeight="1" x14ac:dyDescent="0.3">
      <c r="A534" s="3">
        <v>1209657655</v>
      </c>
      <c r="B534" s="3" t="s">
        <v>564</v>
      </c>
      <c r="C534" s="3" t="s">
        <v>565</v>
      </c>
      <c r="D534" s="4">
        <v>46307.406238425901</v>
      </c>
      <c r="E534" s="5" t="s">
        <v>10</v>
      </c>
      <c r="F534" s="5" t="s">
        <v>11</v>
      </c>
      <c r="G534" s="5">
        <v>16</v>
      </c>
      <c r="H534" s="6" t="s">
        <v>12</v>
      </c>
      <c r="I534" t="s">
        <v>617</v>
      </c>
      <c r="J534" t="s">
        <v>2480</v>
      </c>
      <c r="K534" t="str">
        <f>+VLOOKUP(C534,'[1]TIENDAS 2025'!$A$1:$C$143,3,0)</f>
        <v>prioridad</v>
      </c>
      <c r="L534" t="str">
        <f>+VLOOKUP(C534,[2]Hoja1!$A$1:$B$138,2,0)</f>
        <v>APROBAR</v>
      </c>
      <c r="M534">
        <v>1</v>
      </c>
      <c r="N534" t="e">
        <v>#N/A</v>
      </c>
    </row>
    <row r="535" spans="1:14" ht="15" customHeight="1" x14ac:dyDescent="0.3">
      <c r="A535" s="3">
        <v>8209657638</v>
      </c>
      <c r="B535" s="3" t="s">
        <v>564</v>
      </c>
      <c r="C535" s="3" t="s">
        <v>565</v>
      </c>
      <c r="D535" s="4">
        <v>46307.40625</v>
      </c>
      <c r="E535" s="5" t="s">
        <v>10</v>
      </c>
      <c r="F535" s="5" t="s">
        <v>16</v>
      </c>
      <c r="G535" s="5">
        <v>3</v>
      </c>
      <c r="H535" s="8" t="s">
        <v>12</v>
      </c>
      <c r="I535" t="s">
        <v>618</v>
      </c>
      <c r="K535" t="str">
        <f>+VLOOKUP(C535,'[1]TIENDAS 2025'!$A$1:$C$143,3,0)</f>
        <v>prioridad</v>
      </c>
      <c r="L535" t="str">
        <f>+VLOOKUP(C535,[2]Hoja1!$A$1:$B$138,2,0)</f>
        <v>APROBAR</v>
      </c>
      <c r="M535">
        <v>1</v>
      </c>
      <c r="N535" t="e">
        <v>#N/A</v>
      </c>
    </row>
    <row r="536" spans="1:14" ht="15" customHeight="1" x14ac:dyDescent="0.3">
      <c r="A536" s="3">
        <v>1209657772</v>
      </c>
      <c r="B536" s="3" t="s">
        <v>576</v>
      </c>
      <c r="C536" s="3" t="s">
        <v>577</v>
      </c>
      <c r="D536" s="4">
        <v>46307.406261574099</v>
      </c>
      <c r="E536" s="5" t="s">
        <v>10</v>
      </c>
      <c r="F536" s="5" t="s">
        <v>11</v>
      </c>
      <c r="G536" s="5">
        <v>8</v>
      </c>
      <c r="H536" s="6" t="s">
        <v>12</v>
      </c>
      <c r="I536" t="s">
        <v>619</v>
      </c>
      <c r="J536" t="s">
        <v>2480</v>
      </c>
      <c r="K536" t="str">
        <f>+VLOOKUP(C536,'[1]TIENDAS 2025'!$A$1:$C$143,3,0)</f>
        <v>prioridad</v>
      </c>
      <c r="L536" t="str">
        <f>+VLOOKUP(C536,[2]Hoja1!$A$1:$B$138,2,0)</f>
        <v>APROBAR</v>
      </c>
      <c r="M536">
        <v>1</v>
      </c>
      <c r="N536" t="e">
        <v>#N/A</v>
      </c>
    </row>
    <row r="537" spans="1:14" ht="15" customHeight="1" x14ac:dyDescent="0.3">
      <c r="A537" s="3">
        <v>1209657702</v>
      </c>
      <c r="B537" s="3" t="s">
        <v>572</v>
      </c>
      <c r="C537" s="3" t="s">
        <v>573</v>
      </c>
      <c r="D537" s="4">
        <v>46307.406307870398</v>
      </c>
      <c r="E537" s="5" t="s">
        <v>10</v>
      </c>
      <c r="F537" s="5" t="s">
        <v>11</v>
      </c>
      <c r="G537" s="5">
        <v>23</v>
      </c>
      <c r="H537" s="6" t="s">
        <v>12</v>
      </c>
      <c r="I537" t="s">
        <v>620</v>
      </c>
      <c r="J537" t="s">
        <v>2480</v>
      </c>
      <c r="K537" t="str">
        <f>+VLOOKUP(C537,'[1]TIENDAS 2025'!$A$1:$C$143,3,0)</f>
        <v>local</v>
      </c>
      <c r="L537" t="str">
        <f>+VLOOKUP(C537,[2]Hoja1!$A$1:$B$138,2,0)</f>
        <v>APROBAR</v>
      </c>
      <c r="M537">
        <v>1</v>
      </c>
      <c r="N537" t="e">
        <v>#N/A</v>
      </c>
    </row>
    <row r="538" spans="1:14" ht="15" customHeight="1" x14ac:dyDescent="0.3">
      <c r="A538" s="3">
        <v>1209657644</v>
      </c>
      <c r="B538" s="3" t="s">
        <v>564</v>
      </c>
      <c r="C538" s="3" t="s">
        <v>565</v>
      </c>
      <c r="D538" s="4">
        <v>46307.406319444402</v>
      </c>
      <c r="E538" s="5" t="s">
        <v>10</v>
      </c>
      <c r="F538" s="5" t="s">
        <v>11</v>
      </c>
      <c r="G538" s="5">
        <v>10</v>
      </c>
      <c r="H538" s="6" t="s">
        <v>12</v>
      </c>
      <c r="I538" t="s">
        <v>621</v>
      </c>
      <c r="J538" t="s">
        <v>2480</v>
      </c>
      <c r="K538" t="str">
        <f>+VLOOKUP(C538,'[1]TIENDAS 2025'!$A$1:$C$143,3,0)</f>
        <v>prioridad</v>
      </c>
      <c r="L538" t="str">
        <f>+VLOOKUP(C538,[2]Hoja1!$A$1:$B$138,2,0)</f>
        <v>APROBAR</v>
      </c>
      <c r="M538">
        <v>1</v>
      </c>
      <c r="N538" t="e">
        <v>#N/A</v>
      </c>
    </row>
    <row r="539" spans="1:14" ht="15" customHeight="1" x14ac:dyDescent="0.3">
      <c r="A539" s="3">
        <v>8209657687</v>
      </c>
      <c r="B539" s="3" t="s">
        <v>572</v>
      </c>
      <c r="C539" s="3" t="s">
        <v>573</v>
      </c>
      <c r="D539" s="4">
        <v>46307.406331018501</v>
      </c>
      <c r="E539" s="5" t="s">
        <v>10</v>
      </c>
      <c r="F539" s="5" t="s">
        <v>16</v>
      </c>
      <c r="G539" s="5">
        <v>1</v>
      </c>
      <c r="H539" s="8" t="s">
        <v>12</v>
      </c>
      <c r="I539" t="s">
        <v>622</v>
      </c>
      <c r="K539" t="str">
        <f>+VLOOKUP(C539,'[1]TIENDAS 2025'!$A$1:$C$143,3,0)</f>
        <v>local</v>
      </c>
      <c r="L539" t="str">
        <f>+VLOOKUP(C539,[2]Hoja1!$A$1:$B$138,2,0)</f>
        <v>APROBAR</v>
      </c>
      <c r="M539">
        <v>1</v>
      </c>
      <c r="N539" t="e">
        <v>#N/A</v>
      </c>
    </row>
    <row r="540" spans="1:14" ht="15" customHeight="1" x14ac:dyDescent="0.3">
      <c r="A540" s="3">
        <v>1209657705</v>
      </c>
      <c r="B540" s="3" t="s">
        <v>572</v>
      </c>
      <c r="C540" s="3" t="s">
        <v>573</v>
      </c>
      <c r="D540" s="4">
        <v>46307.4063425926</v>
      </c>
      <c r="E540" s="5" t="s">
        <v>10</v>
      </c>
      <c r="F540" s="5" t="s">
        <v>11</v>
      </c>
      <c r="G540" s="5">
        <v>42</v>
      </c>
      <c r="H540" s="6" t="s">
        <v>12</v>
      </c>
      <c r="I540" t="s">
        <v>623</v>
      </c>
      <c r="J540" t="s">
        <v>2480</v>
      </c>
      <c r="K540" t="str">
        <f>+VLOOKUP(C540,'[1]TIENDAS 2025'!$A$1:$C$143,3,0)</f>
        <v>local</v>
      </c>
      <c r="L540" t="str">
        <f>+VLOOKUP(C540,[2]Hoja1!$A$1:$B$138,2,0)</f>
        <v>APROBAR</v>
      </c>
      <c r="M540">
        <v>1</v>
      </c>
      <c r="N540" t="e">
        <v>#N/A</v>
      </c>
    </row>
    <row r="541" spans="1:14" ht="15" customHeight="1" x14ac:dyDescent="0.3">
      <c r="A541" s="3">
        <v>1209657779</v>
      </c>
      <c r="B541" s="3" t="s">
        <v>576</v>
      </c>
      <c r="C541" s="3" t="s">
        <v>577</v>
      </c>
      <c r="D541" s="4">
        <v>46307.406354166698</v>
      </c>
      <c r="E541" s="5" t="s">
        <v>10</v>
      </c>
      <c r="F541" s="5" t="s">
        <v>11</v>
      </c>
      <c r="G541" s="5">
        <v>34</v>
      </c>
      <c r="H541" s="6" t="s">
        <v>12</v>
      </c>
      <c r="I541" t="s">
        <v>624</v>
      </c>
      <c r="J541" t="s">
        <v>2480</v>
      </c>
      <c r="K541" t="str">
        <f>+VLOOKUP(C541,'[1]TIENDAS 2025'!$A$1:$C$143,3,0)</f>
        <v>prioridad</v>
      </c>
      <c r="L541" t="str">
        <f>+VLOOKUP(C541,[2]Hoja1!$A$1:$B$138,2,0)</f>
        <v>APROBAR</v>
      </c>
      <c r="M541">
        <v>1</v>
      </c>
      <c r="N541" t="e">
        <v>#N/A</v>
      </c>
    </row>
    <row r="542" spans="1:14" ht="15" customHeight="1" x14ac:dyDescent="0.3">
      <c r="A542" s="3">
        <v>1209657646</v>
      </c>
      <c r="B542" s="3" t="s">
        <v>564</v>
      </c>
      <c r="C542" s="3" t="s">
        <v>565</v>
      </c>
      <c r="D542" s="4">
        <v>46307.406377314801</v>
      </c>
      <c r="E542" s="5" t="s">
        <v>10</v>
      </c>
      <c r="F542" s="5" t="s">
        <v>11</v>
      </c>
      <c r="G542" s="5">
        <v>10</v>
      </c>
      <c r="H542" s="6" t="s">
        <v>12</v>
      </c>
      <c r="I542" t="s">
        <v>625</v>
      </c>
      <c r="J542" t="s">
        <v>2480</v>
      </c>
      <c r="K542" t="str">
        <f>+VLOOKUP(C542,'[1]TIENDAS 2025'!$A$1:$C$143,3,0)</f>
        <v>prioridad</v>
      </c>
      <c r="L542" t="str">
        <f>+VLOOKUP(C542,[2]Hoja1!$A$1:$B$138,2,0)</f>
        <v>APROBAR</v>
      </c>
      <c r="M542">
        <v>1</v>
      </c>
      <c r="N542" t="e">
        <v>#N/A</v>
      </c>
    </row>
    <row r="543" spans="1:14" ht="15" customHeight="1" x14ac:dyDescent="0.3">
      <c r="A543" s="3">
        <v>1209657647</v>
      </c>
      <c r="B543" s="3" t="s">
        <v>564</v>
      </c>
      <c r="C543" s="3" t="s">
        <v>565</v>
      </c>
      <c r="D543" s="4">
        <v>46307.4063888889</v>
      </c>
      <c r="E543" s="5" t="s">
        <v>10</v>
      </c>
      <c r="F543" s="5" t="s">
        <v>17</v>
      </c>
      <c r="G543" s="5">
        <v>12</v>
      </c>
      <c r="H543" s="6" t="s">
        <v>12</v>
      </c>
      <c r="I543" t="s">
        <v>626</v>
      </c>
      <c r="J543" t="s">
        <v>2480</v>
      </c>
      <c r="K543" t="str">
        <f>+VLOOKUP(C543,'[1]TIENDAS 2025'!$A$1:$C$143,3,0)</f>
        <v>prioridad</v>
      </c>
      <c r="L543" t="str">
        <f>+VLOOKUP(C543,[2]Hoja1!$A$1:$B$138,2,0)</f>
        <v>APROBAR</v>
      </c>
      <c r="M543">
        <v>1</v>
      </c>
      <c r="N543" t="e">
        <v>#N/A</v>
      </c>
    </row>
    <row r="544" spans="1:14" ht="15" customHeight="1" x14ac:dyDescent="0.3">
      <c r="A544" s="3">
        <v>1209657797</v>
      </c>
      <c r="B544" s="3" t="s">
        <v>567</v>
      </c>
      <c r="C544" s="3" t="s">
        <v>568</v>
      </c>
      <c r="D544" s="4">
        <v>46307.406412037002</v>
      </c>
      <c r="E544" s="5" t="s">
        <v>10</v>
      </c>
      <c r="F544" s="5" t="s">
        <v>11</v>
      </c>
      <c r="G544" s="5">
        <v>6</v>
      </c>
      <c r="H544" s="6" t="s">
        <v>12</v>
      </c>
      <c r="I544" t="s">
        <v>627</v>
      </c>
      <c r="J544" t="s">
        <v>2480</v>
      </c>
      <c r="K544" t="str">
        <f>+VLOOKUP(C544,'[1]TIENDAS 2025'!$A$1:$C$143,3,0)</f>
        <v>prioridad</v>
      </c>
      <c r="L544" t="str">
        <f>+VLOOKUP(C544,[2]Hoja1!$A$1:$B$138,2,0)</f>
        <v>APROBAR</v>
      </c>
      <c r="M544">
        <v>1</v>
      </c>
      <c r="N544" t="e">
        <v>#N/A</v>
      </c>
    </row>
    <row r="545" spans="1:14" ht="15" customHeight="1" x14ac:dyDescent="0.3">
      <c r="A545" s="3">
        <v>1209657799</v>
      </c>
      <c r="B545" s="3" t="s">
        <v>567</v>
      </c>
      <c r="C545" s="3" t="s">
        <v>568</v>
      </c>
      <c r="D545" s="4">
        <v>46307.406423611101</v>
      </c>
      <c r="E545" s="5" t="s">
        <v>10</v>
      </c>
      <c r="F545" s="5" t="s">
        <v>17</v>
      </c>
      <c r="G545" s="5">
        <v>12</v>
      </c>
      <c r="H545" s="6" t="s">
        <v>12</v>
      </c>
      <c r="I545" t="s">
        <v>628</v>
      </c>
      <c r="J545" t="s">
        <v>2480</v>
      </c>
      <c r="K545" t="str">
        <f>+VLOOKUP(C545,'[1]TIENDAS 2025'!$A$1:$C$143,3,0)</f>
        <v>prioridad</v>
      </c>
      <c r="L545" t="str">
        <f>+VLOOKUP(C545,[2]Hoja1!$A$1:$B$138,2,0)</f>
        <v>APROBAR</v>
      </c>
      <c r="M545">
        <v>1</v>
      </c>
      <c r="N545" t="e">
        <v>#N/A</v>
      </c>
    </row>
    <row r="546" spans="1:14" ht="15" customHeight="1" x14ac:dyDescent="0.3">
      <c r="A546" s="3">
        <v>8209657807</v>
      </c>
      <c r="B546" s="3" t="s">
        <v>567</v>
      </c>
      <c r="C546" s="3" t="s">
        <v>568</v>
      </c>
      <c r="D546" s="4">
        <v>46307.406446759298</v>
      </c>
      <c r="E546" s="5" t="s">
        <v>10</v>
      </c>
      <c r="F546" s="5" t="s">
        <v>16</v>
      </c>
      <c r="G546" s="5">
        <v>2</v>
      </c>
      <c r="H546" s="8" t="s">
        <v>12</v>
      </c>
      <c r="I546" t="s">
        <v>629</v>
      </c>
      <c r="K546" t="str">
        <f>+VLOOKUP(C546,'[1]TIENDAS 2025'!$A$1:$C$143,3,0)</f>
        <v>prioridad</v>
      </c>
      <c r="L546" t="str">
        <f>+VLOOKUP(C546,[2]Hoja1!$A$1:$B$138,2,0)</f>
        <v>APROBAR</v>
      </c>
      <c r="M546">
        <v>1</v>
      </c>
      <c r="N546" t="e">
        <v>#N/A</v>
      </c>
    </row>
    <row r="547" spans="1:14" ht="15" customHeight="1" x14ac:dyDescent="0.3">
      <c r="A547" s="3">
        <v>1209657810</v>
      </c>
      <c r="B547" s="3" t="s">
        <v>567</v>
      </c>
      <c r="C547" s="3" t="s">
        <v>568</v>
      </c>
      <c r="D547" s="4">
        <v>46307.406458333302</v>
      </c>
      <c r="E547" s="5" t="s">
        <v>10</v>
      </c>
      <c r="F547" s="5" t="s">
        <v>11</v>
      </c>
      <c r="G547" s="5">
        <v>18</v>
      </c>
      <c r="H547" s="6" t="s">
        <v>12</v>
      </c>
      <c r="I547" t="s">
        <v>630</v>
      </c>
      <c r="J547" t="s">
        <v>2480</v>
      </c>
      <c r="K547" t="str">
        <f>+VLOOKUP(C547,'[1]TIENDAS 2025'!$A$1:$C$143,3,0)</f>
        <v>prioridad</v>
      </c>
      <c r="L547" t="str">
        <f>+VLOOKUP(C547,[2]Hoja1!$A$1:$B$138,2,0)</f>
        <v>APROBAR</v>
      </c>
      <c r="M547">
        <v>1</v>
      </c>
      <c r="N547" t="e">
        <v>#N/A</v>
      </c>
    </row>
    <row r="548" spans="1:14" ht="15" customHeight="1" x14ac:dyDescent="0.3">
      <c r="A548" s="3">
        <v>1209657656</v>
      </c>
      <c r="B548" s="3" t="s">
        <v>564</v>
      </c>
      <c r="C548" s="3" t="s">
        <v>565</v>
      </c>
      <c r="D548" s="4">
        <v>46307.406469907401</v>
      </c>
      <c r="E548" s="5" t="s">
        <v>10</v>
      </c>
      <c r="F548" s="5" t="s">
        <v>11</v>
      </c>
      <c r="G548" s="5">
        <v>27</v>
      </c>
      <c r="H548" s="6" t="s">
        <v>12</v>
      </c>
      <c r="I548" t="s">
        <v>631</v>
      </c>
      <c r="J548" t="s">
        <v>2480</v>
      </c>
      <c r="K548" t="str">
        <f>+VLOOKUP(C548,'[1]TIENDAS 2025'!$A$1:$C$143,3,0)</f>
        <v>prioridad</v>
      </c>
      <c r="L548" t="str">
        <f>+VLOOKUP(C548,[2]Hoja1!$A$1:$B$138,2,0)</f>
        <v>APROBAR</v>
      </c>
      <c r="M548">
        <v>1</v>
      </c>
      <c r="N548" t="e">
        <v>#N/A</v>
      </c>
    </row>
    <row r="549" spans="1:14" ht="15" customHeight="1" x14ac:dyDescent="0.3">
      <c r="A549" s="3">
        <v>8209657769</v>
      </c>
      <c r="B549" s="3" t="s">
        <v>576</v>
      </c>
      <c r="C549" s="3" t="s">
        <v>577</v>
      </c>
      <c r="D549" s="4">
        <v>46307.406481481499</v>
      </c>
      <c r="E549" s="5" t="s">
        <v>10</v>
      </c>
      <c r="F549" s="5" t="s">
        <v>16</v>
      </c>
      <c r="G549" s="5">
        <v>3</v>
      </c>
      <c r="H549" s="8" t="s">
        <v>12</v>
      </c>
      <c r="I549" t="s">
        <v>632</v>
      </c>
      <c r="K549" t="str">
        <f>+VLOOKUP(C549,'[1]TIENDAS 2025'!$A$1:$C$143,3,0)</f>
        <v>prioridad</v>
      </c>
      <c r="L549" t="str">
        <f>+VLOOKUP(C549,[2]Hoja1!$A$1:$B$138,2,0)</f>
        <v>APROBAR</v>
      </c>
      <c r="M549">
        <v>1</v>
      </c>
      <c r="N549" t="e">
        <v>#N/A</v>
      </c>
    </row>
    <row r="550" spans="1:14" ht="15" customHeight="1" x14ac:dyDescent="0.3">
      <c r="A550" s="3">
        <v>8209657770</v>
      </c>
      <c r="B550" s="3" t="s">
        <v>576</v>
      </c>
      <c r="C550" s="3" t="s">
        <v>577</v>
      </c>
      <c r="D550" s="4">
        <v>46307.406493055598</v>
      </c>
      <c r="E550" s="5" t="s">
        <v>10</v>
      </c>
      <c r="F550" s="5" t="s">
        <v>16</v>
      </c>
      <c r="G550" s="5">
        <v>1</v>
      </c>
      <c r="H550" s="8" t="s">
        <v>12</v>
      </c>
      <c r="I550" t="s">
        <v>633</v>
      </c>
      <c r="K550" t="str">
        <f>+VLOOKUP(C550,'[1]TIENDAS 2025'!$A$1:$C$143,3,0)</f>
        <v>prioridad</v>
      </c>
      <c r="L550" t="str">
        <f>+VLOOKUP(C550,[2]Hoja1!$A$1:$B$138,2,0)</f>
        <v>APROBAR</v>
      </c>
      <c r="M550">
        <v>1</v>
      </c>
      <c r="N550" t="e">
        <v>#N/A</v>
      </c>
    </row>
    <row r="551" spans="1:14" ht="15" customHeight="1" x14ac:dyDescent="0.3">
      <c r="A551" s="3">
        <v>1209657773</v>
      </c>
      <c r="B551" s="3" t="s">
        <v>576</v>
      </c>
      <c r="C551" s="3" t="s">
        <v>577</v>
      </c>
      <c r="D551" s="4">
        <v>46307.4065162037</v>
      </c>
      <c r="E551" s="5" t="s">
        <v>10</v>
      </c>
      <c r="F551" s="5" t="s">
        <v>11</v>
      </c>
      <c r="G551" s="5">
        <v>8</v>
      </c>
      <c r="H551" s="6" t="s">
        <v>12</v>
      </c>
      <c r="I551" t="s">
        <v>634</v>
      </c>
      <c r="J551" t="s">
        <v>2480</v>
      </c>
      <c r="K551" t="str">
        <f>+VLOOKUP(C551,'[1]TIENDAS 2025'!$A$1:$C$143,3,0)</f>
        <v>prioridad</v>
      </c>
      <c r="L551" t="str">
        <f>+VLOOKUP(C551,[2]Hoja1!$A$1:$B$138,2,0)</f>
        <v>APROBAR</v>
      </c>
      <c r="M551">
        <v>1</v>
      </c>
      <c r="N551" t="e">
        <v>#N/A</v>
      </c>
    </row>
    <row r="552" spans="1:14" ht="15" customHeight="1" x14ac:dyDescent="0.3">
      <c r="A552" s="3">
        <v>8209657686</v>
      </c>
      <c r="B552" s="3" t="s">
        <v>572</v>
      </c>
      <c r="C552" s="3" t="s">
        <v>573</v>
      </c>
      <c r="D552" s="4">
        <v>46307.406539351898</v>
      </c>
      <c r="E552" s="5" t="s">
        <v>10</v>
      </c>
      <c r="F552" s="5" t="s">
        <v>16</v>
      </c>
      <c r="G552" s="5">
        <v>4</v>
      </c>
      <c r="H552" s="8" t="s">
        <v>12</v>
      </c>
      <c r="I552" t="s">
        <v>635</v>
      </c>
      <c r="K552" t="str">
        <f>+VLOOKUP(C552,'[1]TIENDAS 2025'!$A$1:$C$143,3,0)</f>
        <v>local</v>
      </c>
      <c r="L552" t="str">
        <f>+VLOOKUP(C552,[2]Hoja1!$A$1:$B$138,2,0)</f>
        <v>APROBAR</v>
      </c>
      <c r="M552">
        <v>1</v>
      </c>
      <c r="N552" t="e">
        <v>#N/A</v>
      </c>
    </row>
    <row r="553" spans="1:14" ht="15" customHeight="1" x14ac:dyDescent="0.3">
      <c r="A553" s="3">
        <v>1209657706</v>
      </c>
      <c r="B553" s="3" t="s">
        <v>572</v>
      </c>
      <c r="C553" s="3" t="s">
        <v>573</v>
      </c>
      <c r="D553" s="4">
        <v>46307.406550925902</v>
      </c>
      <c r="E553" s="5" t="s">
        <v>10</v>
      </c>
      <c r="F553" s="5" t="s">
        <v>17</v>
      </c>
      <c r="G553" s="5">
        <v>40</v>
      </c>
      <c r="H553" s="6" t="s">
        <v>12</v>
      </c>
      <c r="I553" t="s">
        <v>636</v>
      </c>
      <c r="J553" t="s">
        <v>2480</v>
      </c>
      <c r="K553" t="str">
        <f>+VLOOKUP(C553,'[1]TIENDAS 2025'!$A$1:$C$143,3,0)</f>
        <v>local</v>
      </c>
      <c r="L553" t="str">
        <f>+VLOOKUP(C553,[2]Hoja1!$A$1:$B$138,2,0)</f>
        <v>APROBAR</v>
      </c>
      <c r="M553">
        <v>1</v>
      </c>
      <c r="N553" t="e">
        <v>#N/A</v>
      </c>
    </row>
    <row r="554" spans="1:14" ht="15" customHeight="1" x14ac:dyDescent="0.3">
      <c r="A554" s="3">
        <v>1209657946</v>
      </c>
      <c r="B554" s="3" t="s">
        <v>638</v>
      </c>
      <c r="C554" s="3" t="s">
        <v>639</v>
      </c>
      <c r="D554" s="4">
        <v>46307.408923611103</v>
      </c>
      <c r="E554" s="5" t="s">
        <v>10</v>
      </c>
      <c r="F554" s="5" t="s">
        <v>11</v>
      </c>
      <c r="G554" s="5">
        <v>10</v>
      </c>
      <c r="H554" s="6" t="s">
        <v>12</v>
      </c>
      <c r="I554" t="s">
        <v>637</v>
      </c>
      <c r="J554" t="s">
        <v>2480</v>
      </c>
      <c r="K554" t="str">
        <f>+VLOOKUP(C554,'[1]TIENDAS 2025'!$A$1:$C$143,3,0)</f>
        <v>departamental</v>
      </c>
      <c r="L554" t="str">
        <f>+VLOOKUP(C554,[2]Hoja1!$A$1:$B$138,2,0)</f>
        <v>APROBAR</v>
      </c>
      <c r="M554">
        <v>1</v>
      </c>
      <c r="N554" t="e">
        <v>#N/A</v>
      </c>
    </row>
    <row r="555" spans="1:14" ht="15" customHeight="1" x14ac:dyDescent="0.3">
      <c r="A555" s="3">
        <v>8209657817</v>
      </c>
      <c r="B555" s="3" t="s">
        <v>641</v>
      </c>
      <c r="C555" s="3" t="s">
        <v>642</v>
      </c>
      <c r="D555" s="4">
        <v>46307.4089467593</v>
      </c>
      <c r="E555" s="5" t="s">
        <v>10</v>
      </c>
      <c r="F555" s="5" t="s">
        <v>16</v>
      </c>
      <c r="G555" s="5">
        <v>2</v>
      </c>
      <c r="H555" s="8" t="s">
        <v>12</v>
      </c>
      <c r="I555" t="s">
        <v>640</v>
      </c>
      <c r="K555" t="str">
        <f>+VLOOKUP(C555,'[1]TIENDAS 2025'!$A$1:$C$143,3,0)</f>
        <v>departamental</v>
      </c>
      <c r="L555" t="str">
        <f>+VLOOKUP(C555,[2]Hoja1!$A$1:$B$138,2,0)</f>
        <v>APROBAR</v>
      </c>
      <c r="M555">
        <v>1</v>
      </c>
      <c r="N555" t="e">
        <v>#N/A</v>
      </c>
    </row>
    <row r="556" spans="1:14" ht="15" customHeight="1" x14ac:dyDescent="0.3">
      <c r="A556" s="3">
        <v>1209657949</v>
      </c>
      <c r="B556" s="3" t="s">
        <v>638</v>
      </c>
      <c r="C556" s="3" t="s">
        <v>639</v>
      </c>
      <c r="D556" s="4">
        <v>46307.408958333297</v>
      </c>
      <c r="E556" s="5" t="s">
        <v>10</v>
      </c>
      <c r="F556" s="5" t="s">
        <v>11</v>
      </c>
      <c r="G556" s="5">
        <v>17</v>
      </c>
      <c r="H556" s="6" t="s">
        <v>12</v>
      </c>
      <c r="I556" t="s">
        <v>643</v>
      </c>
      <c r="J556" t="s">
        <v>2480</v>
      </c>
      <c r="K556" t="str">
        <f>+VLOOKUP(C556,'[1]TIENDAS 2025'!$A$1:$C$143,3,0)</f>
        <v>departamental</v>
      </c>
      <c r="L556" t="str">
        <f>+VLOOKUP(C556,[2]Hoja1!$A$1:$B$138,2,0)</f>
        <v>APROBAR</v>
      </c>
      <c r="M556">
        <v>1</v>
      </c>
      <c r="N556" t="e">
        <v>#N/A</v>
      </c>
    </row>
    <row r="557" spans="1:14" ht="15" customHeight="1" x14ac:dyDescent="0.3">
      <c r="A557" s="3">
        <v>1209657958</v>
      </c>
      <c r="B557" s="3" t="s">
        <v>638</v>
      </c>
      <c r="C557" s="3" t="s">
        <v>639</v>
      </c>
      <c r="D557" s="4">
        <v>46307.408981481502</v>
      </c>
      <c r="E557" s="5" t="s">
        <v>10</v>
      </c>
      <c r="F557" s="5" t="s">
        <v>11</v>
      </c>
      <c r="G557" s="5">
        <v>2</v>
      </c>
      <c r="H557" s="6" t="s">
        <v>12</v>
      </c>
      <c r="I557" t="s">
        <v>644</v>
      </c>
      <c r="J557" t="s">
        <v>2480</v>
      </c>
      <c r="K557" t="str">
        <f>+VLOOKUP(C557,'[1]TIENDAS 2025'!$A$1:$C$143,3,0)</f>
        <v>departamental</v>
      </c>
      <c r="L557" t="str">
        <f>+VLOOKUP(C557,[2]Hoja1!$A$1:$B$138,2,0)</f>
        <v>APROBAR</v>
      </c>
      <c r="M557">
        <v>1</v>
      </c>
      <c r="N557" t="e">
        <v>#N/A</v>
      </c>
    </row>
    <row r="558" spans="1:14" ht="15" customHeight="1" x14ac:dyDescent="0.3">
      <c r="A558" s="3">
        <v>1209657852</v>
      </c>
      <c r="B558" s="3" t="s">
        <v>646</v>
      </c>
      <c r="C558" s="3" t="s">
        <v>647</v>
      </c>
      <c r="D558" s="4">
        <v>46307.408981481502</v>
      </c>
      <c r="E558" s="5" t="s">
        <v>10</v>
      </c>
      <c r="F558" s="5" t="s">
        <v>11</v>
      </c>
      <c r="G558" s="5">
        <v>1</v>
      </c>
      <c r="H558" s="6" t="s">
        <v>12</v>
      </c>
      <c r="I558" t="s">
        <v>645</v>
      </c>
      <c r="J558" t="s">
        <v>2480</v>
      </c>
      <c r="K558" t="str">
        <f>+VLOOKUP(C558,'[1]TIENDAS 2025'!$A$1:$C$143,3,0)</f>
        <v>local</v>
      </c>
      <c r="L558" t="str">
        <f>+VLOOKUP(C558,[2]Hoja1!$A$1:$B$138,2,0)</f>
        <v>APROBAR</v>
      </c>
      <c r="M558">
        <v>1</v>
      </c>
      <c r="N558" t="e">
        <v>#N/A</v>
      </c>
    </row>
    <row r="559" spans="1:14" ht="15" customHeight="1" x14ac:dyDescent="0.3">
      <c r="A559" s="3">
        <v>8209657941</v>
      </c>
      <c r="B559" s="3" t="s">
        <v>638</v>
      </c>
      <c r="C559" s="3" t="s">
        <v>639</v>
      </c>
      <c r="D559" s="4">
        <v>46307.4089930556</v>
      </c>
      <c r="E559" s="5" t="s">
        <v>10</v>
      </c>
      <c r="F559" s="5" t="s">
        <v>16</v>
      </c>
      <c r="G559" s="5">
        <v>8</v>
      </c>
      <c r="H559" s="8" t="s">
        <v>12</v>
      </c>
      <c r="I559" t="s">
        <v>648</v>
      </c>
      <c r="K559" t="str">
        <f>+VLOOKUP(C559,'[1]TIENDAS 2025'!$A$1:$C$143,3,0)</f>
        <v>departamental</v>
      </c>
      <c r="L559" t="str">
        <f>+VLOOKUP(C559,[2]Hoja1!$A$1:$B$138,2,0)</f>
        <v>APROBAR</v>
      </c>
      <c r="M559">
        <v>1</v>
      </c>
      <c r="N559" t="e">
        <v>#N/A</v>
      </c>
    </row>
    <row r="560" spans="1:14" ht="15" customHeight="1" x14ac:dyDescent="0.3">
      <c r="A560" s="3">
        <v>8209657919</v>
      </c>
      <c r="B560" s="3" t="s">
        <v>650</v>
      </c>
      <c r="C560" s="3" t="s">
        <v>651</v>
      </c>
      <c r="D560" s="4">
        <v>46307.409016203703</v>
      </c>
      <c r="E560" s="5" t="s">
        <v>10</v>
      </c>
      <c r="F560" s="5" t="s">
        <v>16</v>
      </c>
      <c r="G560" s="5">
        <v>2</v>
      </c>
      <c r="H560" s="8" t="s">
        <v>12</v>
      </c>
      <c r="I560" t="s">
        <v>649</v>
      </c>
      <c r="K560" t="str">
        <f>+VLOOKUP(C560,'[1]TIENDAS 2025'!$A$1:$C$143,3,0)</f>
        <v>nocturna</v>
      </c>
      <c r="L560" t="str">
        <f>+VLOOKUP(C560,[2]Hoja1!$A$1:$B$138,2,0)</f>
        <v>APROBAR</v>
      </c>
      <c r="M560">
        <v>1</v>
      </c>
      <c r="N560" t="e">
        <v>#N/A</v>
      </c>
    </row>
    <row r="561" spans="1:14" ht="15" customHeight="1" x14ac:dyDescent="0.3">
      <c r="A561" s="3">
        <v>1209657860</v>
      </c>
      <c r="B561" s="3" t="s">
        <v>646</v>
      </c>
      <c r="C561" s="3" t="s">
        <v>647</v>
      </c>
      <c r="D561" s="4">
        <v>46307.409027777801</v>
      </c>
      <c r="E561" s="5" t="s">
        <v>10</v>
      </c>
      <c r="F561" s="5" t="s">
        <v>11</v>
      </c>
      <c r="G561" s="5">
        <v>32</v>
      </c>
      <c r="H561" s="6" t="s">
        <v>12</v>
      </c>
      <c r="I561" t="s">
        <v>652</v>
      </c>
      <c r="J561" t="s">
        <v>2480</v>
      </c>
      <c r="K561" t="str">
        <f>+VLOOKUP(C561,'[1]TIENDAS 2025'!$A$1:$C$143,3,0)</f>
        <v>local</v>
      </c>
      <c r="L561" t="str">
        <f>+VLOOKUP(C561,[2]Hoja1!$A$1:$B$138,2,0)</f>
        <v>APROBAR</v>
      </c>
      <c r="M561">
        <v>1</v>
      </c>
      <c r="N561" t="e">
        <v>#N/A</v>
      </c>
    </row>
    <row r="562" spans="1:14" ht="15" customHeight="1" x14ac:dyDescent="0.3">
      <c r="A562" s="3">
        <v>1209657897</v>
      </c>
      <c r="B562" s="3" t="s">
        <v>654</v>
      </c>
      <c r="C562" s="3" t="s">
        <v>655</v>
      </c>
      <c r="D562" s="4">
        <v>46307.409039351798</v>
      </c>
      <c r="E562" s="5" t="s">
        <v>10</v>
      </c>
      <c r="F562" s="5" t="s">
        <v>11</v>
      </c>
      <c r="G562" s="5">
        <v>6</v>
      </c>
      <c r="H562" s="6" t="s">
        <v>12</v>
      </c>
      <c r="I562" t="s">
        <v>653</v>
      </c>
      <c r="J562" t="s">
        <v>2480</v>
      </c>
      <c r="K562" t="str">
        <f>+VLOOKUP(C562,'[1]TIENDAS 2025'!$A$1:$C$143,3,0)</f>
        <v>departamental</v>
      </c>
      <c r="L562" t="str">
        <f>+VLOOKUP(C562,[2]Hoja1!$A$1:$B$138,2,0)</f>
        <v>APROBAR</v>
      </c>
      <c r="M562">
        <v>1</v>
      </c>
      <c r="N562" t="e">
        <v>#N/A</v>
      </c>
    </row>
    <row r="563" spans="1:14" ht="15" customHeight="1" x14ac:dyDescent="0.3">
      <c r="A563" s="3">
        <v>1209657945</v>
      </c>
      <c r="B563" s="3" t="s">
        <v>638</v>
      </c>
      <c r="C563" s="3" t="s">
        <v>639</v>
      </c>
      <c r="D563" s="4">
        <v>46307.409050925897</v>
      </c>
      <c r="E563" s="5" t="s">
        <v>10</v>
      </c>
      <c r="F563" s="5" t="s">
        <v>11</v>
      </c>
      <c r="G563" s="5">
        <v>11</v>
      </c>
      <c r="H563" s="6" t="s">
        <v>12</v>
      </c>
      <c r="I563" t="s">
        <v>656</v>
      </c>
      <c r="J563" t="s">
        <v>2480</v>
      </c>
      <c r="K563" t="str">
        <f>+VLOOKUP(C563,'[1]TIENDAS 2025'!$A$1:$C$143,3,0)</f>
        <v>departamental</v>
      </c>
      <c r="L563" t="str">
        <f>+VLOOKUP(C563,[2]Hoja1!$A$1:$B$138,2,0)</f>
        <v>APROBAR</v>
      </c>
      <c r="M563">
        <v>1</v>
      </c>
      <c r="N563" t="e">
        <v>#N/A</v>
      </c>
    </row>
    <row r="564" spans="1:14" ht="15" customHeight="1" x14ac:dyDescent="0.3">
      <c r="A564" s="3">
        <v>1209657947</v>
      </c>
      <c r="B564" s="3" t="s">
        <v>638</v>
      </c>
      <c r="C564" s="3" t="s">
        <v>639</v>
      </c>
      <c r="D564" s="4">
        <v>46307.409062500003</v>
      </c>
      <c r="E564" s="5" t="s">
        <v>10</v>
      </c>
      <c r="F564" s="5" t="s">
        <v>17</v>
      </c>
      <c r="G564" s="5">
        <v>11</v>
      </c>
      <c r="H564" s="6" t="s">
        <v>12</v>
      </c>
      <c r="I564" t="s">
        <v>657</v>
      </c>
      <c r="J564" t="s">
        <v>2480</v>
      </c>
      <c r="K564" t="str">
        <f>+VLOOKUP(C564,'[1]TIENDAS 2025'!$A$1:$C$143,3,0)</f>
        <v>departamental</v>
      </c>
      <c r="L564" t="str">
        <f>+VLOOKUP(C564,[2]Hoja1!$A$1:$B$138,2,0)</f>
        <v>APROBAR</v>
      </c>
      <c r="M564">
        <v>1</v>
      </c>
      <c r="N564" t="e">
        <v>#N/A</v>
      </c>
    </row>
    <row r="565" spans="1:14" ht="15" customHeight="1" x14ac:dyDescent="0.3">
      <c r="A565" s="3">
        <v>1209657819</v>
      </c>
      <c r="B565" s="3" t="s">
        <v>641</v>
      </c>
      <c r="C565" s="3" t="s">
        <v>642</v>
      </c>
      <c r="D565" s="4">
        <v>46307.409085648098</v>
      </c>
      <c r="E565" s="5" t="s">
        <v>10</v>
      </c>
      <c r="F565" s="5" t="s">
        <v>17</v>
      </c>
      <c r="G565" s="5">
        <v>15</v>
      </c>
      <c r="H565" s="6" t="s">
        <v>12</v>
      </c>
      <c r="I565" t="s">
        <v>658</v>
      </c>
      <c r="J565" t="s">
        <v>2480</v>
      </c>
      <c r="K565" t="str">
        <f>+VLOOKUP(C565,'[1]TIENDAS 2025'!$A$1:$C$143,3,0)</f>
        <v>departamental</v>
      </c>
      <c r="L565" t="str">
        <f>+VLOOKUP(C565,[2]Hoja1!$A$1:$B$138,2,0)</f>
        <v>APROBAR</v>
      </c>
      <c r="M565">
        <v>1</v>
      </c>
      <c r="N565" t="e">
        <v>#N/A</v>
      </c>
    </row>
    <row r="566" spans="1:14" ht="15" customHeight="1" x14ac:dyDescent="0.3">
      <c r="A566" s="3">
        <v>1209657925</v>
      </c>
      <c r="B566" s="3" t="s">
        <v>650</v>
      </c>
      <c r="C566" s="3" t="s">
        <v>651</v>
      </c>
      <c r="D566" s="4">
        <v>46307.409097222197</v>
      </c>
      <c r="E566" s="5" t="s">
        <v>10</v>
      </c>
      <c r="F566" s="5" t="s">
        <v>17</v>
      </c>
      <c r="G566" s="5">
        <v>11</v>
      </c>
      <c r="H566" s="6" t="s">
        <v>12</v>
      </c>
      <c r="I566" t="s">
        <v>659</v>
      </c>
      <c r="J566" t="s">
        <v>2480</v>
      </c>
      <c r="K566" t="str">
        <f>+VLOOKUP(C566,'[1]TIENDAS 2025'!$A$1:$C$143,3,0)</f>
        <v>nocturna</v>
      </c>
      <c r="L566" t="str">
        <f>+VLOOKUP(C566,[2]Hoja1!$A$1:$B$138,2,0)</f>
        <v>APROBAR</v>
      </c>
      <c r="M566">
        <v>1</v>
      </c>
      <c r="N566" t="e">
        <v>#N/A</v>
      </c>
    </row>
    <row r="567" spans="1:14" ht="15" customHeight="1" x14ac:dyDescent="0.3">
      <c r="A567" s="3">
        <v>1209657907</v>
      </c>
      <c r="B567" s="3" t="s">
        <v>654</v>
      </c>
      <c r="C567" s="3" t="s">
        <v>655</v>
      </c>
      <c r="D567" s="4">
        <v>46307.409108796302</v>
      </c>
      <c r="E567" s="5" t="s">
        <v>10</v>
      </c>
      <c r="F567" s="5" t="s">
        <v>17</v>
      </c>
      <c r="G567" s="5">
        <v>34</v>
      </c>
      <c r="H567" s="6" t="s">
        <v>12</v>
      </c>
      <c r="I567" t="s">
        <v>660</v>
      </c>
      <c r="J567" t="s">
        <v>2480</v>
      </c>
      <c r="K567" t="str">
        <f>+VLOOKUP(C567,'[1]TIENDAS 2025'!$A$1:$C$143,3,0)</f>
        <v>departamental</v>
      </c>
      <c r="L567" t="str">
        <f>+VLOOKUP(C567,[2]Hoja1!$A$1:$B$138,2,0)</f>
        <v>APROBAR</v>
      </c>
      <c r="M567">
        <v>1</v>
      </c>
      <c r="N567" t="e">
        <v>#N/A</v>
      </c>
    </row>
    <row r="568" spans="1:14" ht="15" customHeight="1" x14ac:dyDescent="0.3">
      <c r="A568" s="3">
        <v>8209657886</v>
      </c>
      <c r="B568" s="3" t="s">
        <v>654</v>
      </c>
      <c r="C568" s="3" t="s">
        <v>655</v>
      </c>
      <c r="D568" s="4">
        <v>46307.409120370401</v>
      </c>
      <c r="E568" s="5" t="s">
        <v>10</v>
      </c>
      <c r="F568" s="5" t="s">
        <v>16</v>
      </c>
      <c r="G568" s="5">
        <v>4</v>
      </c>
      <c r="H568" s="8" t="s">
        <v>12</v>
      </c>
      <c r="I568" t="s">
        <v>661</v>
      </c>
      <c r="K568" t="str">
        <f>+VLOOKUP(C568,'[1]TIENDAS 2025'!$A$1:$C$143,3,0)</f>
        <v>departamental</v>
      </c>
      <c r="L568" t="str">
        <f>+VLOOKUP(C568,[2]Hoja1!$A$1:$B$138,2,0)</f>
        <v>APROBAR</v>
      </c>
      <c r="M568">
        <v>1</v>
      </c>
      <c r="N568" t="e">
        <v>#N/A</v>
      </c>
    </row>
    <row r="569" spans="1:14" ht="15" customHeight="1" x14ac:dyDescent="0.3">
      <c r="A569" s="3">
        <v>8209657889</v>
      </c>
      <c r="B569" s="3" t="s">
        <v>654</v>
      </c>
      <c r="C569" s="3" t="s">
        <v>655</v>
      </c>
      <c r="D569" s="4">
        <v>46307.409131944398</v>
      </c>
      <c r="E569" s="5" t="s">
        <v>10</v>
      </c>
      <c r="F569" s="5" t="s">
        <v>16</v>
      </c>
      <c r="G569" s="5">
        <v>1</v>
      </c>
      <c r="H569" s="8" t="s">
        <v>12</v>
      </c>
      <c r="I569" t="s">
        <v>662</v>
      </c>
      <c r="K569" t="str">
        <f>+VLOOKUP(C569,'[1]TIENDAS 2025'!$A$1:$C$143,3,0)</f>
        <v>departamental</v>
      </c>
      <c r="L569" t="str">
        <f>+VLOOKUP(C569,[2]Hoja1!$A$1:$B$138,2,0)</f>
        <v>APROBAR</v>
      </c>
      <c r="M569">
        <v>1</v>
      </c>
      <c r="N569" t="e">
        <v>#N/A</v>
      </c>
    </row>
    <row r="570" spans="1:14" ht="15" customHeight="1" x14ac:dyDescent="0.3">
      <c r="A570" s="3">
        <v>8209657932</v>
      </c>
      <c r="B570" s="3" t="s">
        <v>650</v>
      </c>
      <c r="C570" s="3" t="s">
        <v>651</v>
      </c>
      <c r="D570" s="4">
        <v>46307.409143518496</v>
      </c>
      <c r="E570" s="5" t="s">
        <v>10</v>
      </c>
      <c r="F570" s="5" t="s">
        <v>16</v>
      </c>
      <c r="G570" s="5">
        <v>2</v>
      </c>
      <c r="H570" s="8" t="s">
        <v>12</v>
      </c>
      <c r="I570" t="s">
        <v>663</v>
      </c>
      <c r="K570" t="str">
        <f>+VLOOKUP(C570,'[1]TIENDAS 2025'!$A$1:$C$143,3,0)</f>
        <v>nocturna</v>
      </c>
      <c r="L570" t="str">
        <f>+VLOOKUP(C570,[2]Hoja1!$A$1:$B$138,2,0)</f>
        <v>APROBAR</v>
      </c>
      <c r="M570">
        <v>1</v>
      </c>
      <c r="N570" t="e">
        <v>#N/A</v>
      </c>
    </row>
    <row r="571" spans="1:14" ht="15" customHeight="1" x14ac:dyDescent="0.3">
      <c r="A571" s="3">
        <v>1209657954</v>
      </c>
      <c r="B571" s="3" t="s">
        <v>638</v>
      </c>
      <c r="C571" s="3" t="s">
        <v>639</v>
      </c>
      <c r="D571" s="4">
        <v>46307.409166666701</v>
      </c>
      <c r="E571" s="5" t="s">
        <v>10</v>
      </c>
      <c r="F571" s="5" t="s">
        <v>17</v>
      </c>
      <c r="G571" s="5">
        <v>28</v>
      </c>
      <c r="H571" s="6" t="s">
        <v>12</v>
      </c>
      <c r="I571" t="s">
        <v>664</v>
      </c>
      <c r="J571" t="s">
        <v>2480</v>
      </c>
      <c r="K571" t="str">
        <f>+VLOOKUP(C571,'[1]TIENDAS 2025'!$A$1:$C$143,3,0)</f>
        <v>departamental</v>
      </c>
      <c r="L571" t="str">
        <f>+VLOOKUP(C571,[2]Hoja1!$A$1:$B$138,2,0)</f>
        <v>APROBAR</v>
      </c>
      <c r="M571">
        <v>1</v>
      </c>
      <c r="N571" t="e">
        <v>#N/A</v>
      </c>
    </row>
    <row r="572" spans="1:14" ht="15" customHeight="1" x14ac:dyDescent="0.3">
      <c r="A572" s="3">
        <v>8209657813</v>
      </c>
      <c r="B572" s="3" t="s">
        <v>641</v>
      </c>
      <c r="C572" s="3" t="s">
        <v>642</v>
      </c>
      <c r="D572" s="4">
        <v>46307.409178240698</v>
      </c>
      <c r="E572" s="5" t="s">
        <v>10</v>
      </c>
      <c r="F572" s="5" t="s">
        <v>16</v>
      </c>
      <c r="G572" s="5">
        <v>1</v>
      </c>
      <c r="H572" s="8" t="s">
        <v>12</v>
      </c>
      <c r="I572" t="s">
        <v>665</v>
      </c>
      <c r="K572" t="str">
        <f>+VLOOKUP(C572,'[1]TIENDAS 2025'!$A$1:$C$143,3,0)</f>
        <v>departamental</v>
      </c>
      <c r="L572" t="str">
        <f>+VLOOKUP(C572,[2]Hoja1!$A$1:$B$138,2,0)</f>
        <v>APROBAR</v>
      </c>
      <c r="M572">
        <v>1</v>
      </c>
      <c r="N572" t="e">
        <v>#N/A</v>
      </c>
    </row>
    <row r="573" spans="1:14" ht="15" customHeight="1" x14ac:dyDescent="0.3">
      <c r="A573" s="3">
        <v>8209657818</v>
      </c>
      <c r="B573" s="3" t="s">
        <v>641</v>
      </c>
      <c r="C573" s="3" t="s">
        <v>642</v>
      </c>
      <c r="D573" s="4">
        <v>46307.409178240698</v>
      </c>
      <c r="E573" s="5" t="s">
        <v>10</v>
      </c>
      <c r="F573" s="5" t="s">
        <v>16</v>
      </c>
      <c r="G573" s="5">
        <v>94</v>
      </c>
      <c r="H573" s="8" t="s">
        <v>12</v>
      </c>
      <c r="I573" t="s">
        <v>666</v>
      </c>
      <c r="K573" t="str">
        <f>+VLOOKUP(C573,'[1]TIENDAS 2025'!$A$1:$C$143,3,0)</f>
        <v>departamental</v>
      </c>
      <c r="L573" t="str">
        <f>+VLOOKUP(C573,[2]Hoja1!$A$1:$B$138,2,0)</f>
        <v>APROBAR</v>
      </c>
      <c r="M573">
        <v>1</v>
      </c>
      <c r="N573" t="e">
        <v>#N/A</v>
      </c>
    </row>
    <row r="574" spans="1:14" ht="15" customHeight="1" x14ac:dyDescent="0.3">
      <c r="A574" s="3">
        <v>8209657900</v>
      </c>
      <c r="B574" s="3" t="s">
        <v>654</v>
      </c>
      <c r="C574" s="3" t="s">
        <v>655</v>
      </c>
      <c r="D574" s="4">
        <v>46307.409201388902</v>
      </c>
      <c r="E574" s="5" t="s">
        <v>10</v>
      </c>
      <c r="F574" s="5" t="s">
        <v>16</v>
      </c>
      <c r="G574" s="5">
        <v>1</v>
      </c>
      <c r="H574" s="8" t="s">
        <v>12</v>
      </c>
      <c r="I574" t="s">
        <v>667</v>
      </c>
      <c r="K574" t="str">
        <f>+VLOOKUP(C574,'[1]TIENDAS 2025'!$A$1:$C$143,3,0)</f>
        <v>departamental</v>
      </c>
      <c r="L574" t="str">
        <f>+VLOOKUP(C574,[2]Hoja1!$A$1:$B$138,2,0)</f>
        <v>APROBAR</v>
      </c>
      <c r="M574">
        <v>1</v>
      </c>
      <c r="N574" t="e">
        <v>#N/A</v>
      </c>
    </row>
    <row r="575" spans="1:14" ht="15" customHeight="1" x14ac:dyDescent="0.3">
      <c r="A575" s="3">
        <v>1209657901</v>
      </c>
      <c r="B575" s="3" t="s">
        <v>654</v>
      </c>
      <c r="C575" s="3" t="s">
        <v>655</v>
      </c>
      <c r="D575" s="4">
        <v>46307.409212963001</v>
      </c>
      <c r="E575" s="5" t="s">
        <v>10</v>
      </c>
      <c r="F575" s="5" t="s">
        <v>11</v>
      </c>
      <c r="G575" s="5">
        <v>3</v>
      </c>
      <c r="H575" s="6" t="s">
        <v>12</v>
      </c>
      <c r="I575" t="s">
        <v>668</v>
      </c>
      <c r="J575" t="s">
        <v>2480</v>
      </c>
      <c r="K575" t="str">
        <f>+VLOOKUP(C575,'[1]TIENDAS 2025'!$A$1:$C$143,3,0)</f>
        <v>departamental</v>
      </c>
      <c r="L575" t="str">
        <f>+VLOOKUP(C575,[2]Hoja1!$A$1:$B$138,2,0)</f>
        <v>APROBAR</v>
      </c>
      <c r="M575">
        <v>1</v>
      </c>
      <c r="N575" t="e">
        <v>#N/A</v>
      </c>
    </row>
    <row r="576" spans="1:14" ht="15" customHeight="1" x14ac:dyDescent="0.3">
      <c r="A576" s="3">
        <v>1209657928</v>
      </c>
      <c r="B576" s="3" t="s">
        <v>650</v>
      </c>
      <c r="C576" s="3" t="s">
        <v>651</v>
      </c>
      <c r="D576" s="4">
        <v>46307.409236111103</v>
      </c>
      <c r="E576" s="5" t="s">
        <v>10</v>
      </c>
      <c r="F576" s="5" t="s">
        <v>17</v>
      </c>
      <c r="G576" s="5">
        <v>25</v>
      </c>
      <c r="H576" s="6" t="s">
        <v>12</v>
      </c>
      <c r="I576" t="s">
        <v>669</v>
      </c>
      <c r="J576" t="s">
        <v>2480</v>
      </c>
      <c r="K576" t="str">
        <f>+VLOOKUP(C576,'[1]TIENDAS 2025'!$A$1:$C$143,3,0)</f>
        <v>nocturna</v>
      </c>
      <c r="L576" t="str">
        <f>+VLOOKUP(C576,[2]Hoja1!$A$1:$B$138,2,0)</f>
        <v>APROBAR</v>
      </c>
      <c r="M576">
        <v>1</v>
      </c>
      <c r="N576" t="e">
        <v>#N/A</v>
      </c>
    </row>
    <row r="577" spans="1:14" ht="15" customHeight="1" x14ac:dyDescent="0.3">
      <c r="A577" s="3">
        <v>1209657822</v>
      </c>
      <c r="B577" s="3" t="s">
        <v>641</v>
      </c>
      <c r="C577" s="3" t="s">
        <v>642</v>
      </c>
      <c r="D577" s="4">
        <v>46307.409236111103</v>
      </c>
      <c r="E577" s="5" t="s">
        <v>10</v>
      </c>
      <c r="F577" s="5" t="s">
        <v>11</v>
      </c>
      <c r="G577" s="5">
        <v>14</v>
      </c>
      <c r="H577" s="6" t="s">
        <v>12</v>
      </c>
      <c r="I577" t="s">
        <v>670</v>
      </c>
      <c r="J577" t="s">
        <v>2480</v>
      </c>
      <c r="K577" t="str">
        <f>+VLOOKUP(C577,'[1]TIENDAS 2025'!$A$1:$C$143,3,0)</f>
        <v>departamental</v>
      </c>
      <c r="L577" t="str">
        <f>+VLOOKUP(C577,[2]Hoja1!$A$1:$B$138,2,0)</f>
        <v>APROBAR</v>
      </c>
      <c r="M577">
        <v>1</v>
      </c>
      <c r="N577" t="e">
        <v>#N/A</v>
      </c>
    </row>
    <row r="578" spans="1:14" ht="15" customHeight="1" x14ac:dyDescent="0.3">
      <c r="A578" s="3">
        <v>8209657885</v>
      </c>
      <c r="B578" s="3" t="s">
        <v>654</v>
      </c>
      <c r="C578" s="3" t="s">
        <v>655</v>
      </c>
      <c r="D578" s="4">
        <v>46307.409247685202</v>
      </c>
      <c r="E578" s="5" t="s">
        <v>10</v>
      </c>
      <c r="F578" s="5" t="s">
        <v>16</v>
      </c>
      <c r="G578" s="5">
        <v>7</v>
      </c>
      <c r="H578" s="8" t="s">
        <v>12</v>
      </c>
      <c r="I578" t="s">
        <v>671</v>
      </c>
      <c r="K578" t="str">
        <f>+VLOOKUP(C578,'[1]TIENDAS 2025'!$A$1:$C$143,3,0)</f>
        <v>departamental</v>
      </c>
      <c r="L578" t="str">
        <f>+VLOOKUP(C578,[2]Hoja1!$A$1:$B$138,2,0)</f>
        <v>APROBAR</v>
      </c>
      <c r="M578">
        <v>1</v>
      </c>
      <c r="N578" t="e">
        <v>#N/A</v>
      </c>
    </row>
    <row r="579" spans="1:14" ht="15" customHeight="1" x14ac:dyDescent="0.3">
      <c r="A579" s="3">
        <v>1209657825</v>
      </c>
      <c r="B579" s="3" t="s">
        <v>641</v>
      </c>
      <c r="C579" s="3" t="s">
        <v>642</v>
      </c>
      <c r="D579" s="4">
        <v>46307.409270833297</v>
      </c>
      <c r="E579" s="5" t="s">
        <v>10</v>
      </c>
      <c r="F579" s="5" t="s">
        <v>17</v>
      </c>
      <c r="G579" s="5">
        <v>62</v>
      </c>
      <c r="H579" s="6" t="s">
        <v>12</v>
      </c>
      <c r="I579" t="s">
        <v>672</v>
      </c>
      <c r="J579" t="s">
        <v>2480</v>
      </c>
      <c r="K579" t="str">
        <f>+VLOOKUP(C579,'[1]TIENDAS 2025'!$A$1:$C$143,3,0)</f>
        <v>departamental</v>
      </c>
      <c r="L579" t="str">
        <f>+VLOOKUP(C579,[2]Hoja1!$A$1:$B$138,2,0)</f>
        <v>APROBAR</v>
      </c>
      <c r="M579">
        <v>1</v>
      </c>
      <c r="N579" t="e">
        <v>#N/A</v>
      </c>
    </row>
    <row r="580" spans="1:14" ht="15" customHeight="1" x14ac:dyDescent="0.3">
      <c r="A580" s="3">
        <v>8209657845</v>
      </c>
      <c r="B580" s="3" t="s">
        <v>646</v>
      </c>
      <c r="C580" s="3" t="s">
        <v>647</v>
      </c>
      <c r="D580" s="4">
        <v>46307.409293981502</v>
      </c>
      <c r="E580" s="5" t="s">
        <v>10</v>
      </c>
      <c r="F580" s="5" t="s">
        <v>16</v>
      </c>
      <c r="G580" s="5">
        <v>1</v>
      </c>
      <c r="H580" s="8" t="s">
        <v>12</v>
      </c>
      <c r="I580" t="s">
        <v>673</v>
      </c>
      <c r="K580" t="str">
        <f>+VLOOKUP(C580,'[1]TIENDAS 2025'!$A$1:$C$143,3,0)</f>
        <v>local</v>
      </c>
      <c r="L580" t="str">
        <f>+VLOOKUP(C580,[2]Hoja1!$A$1:$B$138,2,0)</f>
        <v>APROBAR</v>
      </c>
      <c r="M580">
        <v>1</v>
      </c>
      <c r="N580" t="e">
        <v>#N/A</v>
      </c>
    </row>
    <row r="581" spans="1:14" ht="15" customHeight="1" x14ac:dyDescent="0.3">
      <c r="A581" s="3">
        <v>8209657847</v>
      </c>
      <c r="B581" s="3" t="s">
        <v>646</v>
      </c>
      <c r="C581" s="3" t="s">
        <v>647</v>
      </c>
      <c r="D581" s="4">
        <v>46307.4093055556</v>
      </c>
      <c r="E581" s="5" t="s">
        <v>10</v>
      </c>
      <c r="F581" s="5" t="s">
        <v>16</v>
      </c>
      <c r="G581" s="5">
        <v>3</v>
      </c>
      <c r="H581" s="8" t="s">
        <v>12</v>
      </c>
      <c r="I581" t="s">
        <v>674</v>
      </c>
      <c r="K581" t="str">
        <f>+VLOOKUP(C581,'[1]TIENDAS 2025'!$A$1:$C$143,3,0)</f>
        <v>local</v>
      </c>
      <c r="L581" t="str">
        <f>+VLOOKUP(C581,[2]Hoja1!$A$1:$B$138,2,0)</f>
        <v>APROBAR</v>
      </c>
      <c r="M581">
        <v>1</v>
      </c>
      <c r="N581" t="e">
        <v>#N/A</v>
      </c>
    </row>
    <row r="582" spans="1:14" ht="15" customHeight="1" x14ac:dyDescent="0.3">
      <c r="A582" s="3">
        <v>1209657931</v>
      </c>
      <c r="B582" s="3" t="s">
        <v>650</v>
      </c>
      <c r="C582" s="3" t="s">
        <v>651</v>
      </c>
      <c r="D582" s="4">
        <v>46307.409317129597</v>
      </c>
      <c r="E582" s="5" t="s">
        <v>10</v>
      </c>
      <c r="F582" s="5" t="s">
        <v>11</v>
      </c>
      <c r="G582" s="5">
        <v>2</v>
      </c>
      <c r="H582" s="6" t="s">
        <v>12</v>
      </c>
      <c r="I582" t="s">
        <v>675</v>
      </c>
      <c r="J582" t="s">
        <v>2480</v>
      </c>
      <c r="K582" t="str">
        <f>+VLOOKUP(C582,'[1]TIENDAS 2025'!$A$1:$C$143,3,0)</f>
        <v>nocturna</v>
      </c>
      <c r="L582" t="str">
        <f>+VLOOKUP(C582,[2]Hoja1!$A$1:$B$138,2,0)</f>
        <v>APROBAR</v>
      </c>
      <c r="M582">
        <v>1</v>
      </c>
      <c r="N582" t="e">
        <v>#N/A</v>
      </c>
    </row>
    <row r="583" spans="1:14" ht="15" customHeight="1" x14ac:dyDescent="0.3">
      <c r="A583" s="3">
        <v>1209657853</v>
      </c>
      <c r="B583" s="3" t="s">
        <v>646</v>
      </c>
      <c r="C583" s="3" t="s">
        <v>647</v>
      </c>
      <c r="D583" s="4">
        <v>46307.409328703703</v>
      </c>
      <c r="E583" s="5" t="s">
        <v>10</v>
      </c>
      <c r="F583" s="5" t="s">
        <v>17</v>
      </c>
      <c r="G583" s="5">
        <v>4</v>
      </c>
      <c r="H583" s="6" t="s">
        <v>12</v>
      </c>
      <c r="I583" t="s">
        <v>676</v>
      </c>
      <c r="J583" t="s">
        <v>2480</v>
      </c>
      <c r="K583" t="str">
        <f>+VLOOKUP(C583,'[1]TIENDAS 2025'!$A$1:$C$143,3,0)</f>
        <v>local</v>
      </c>
      <c r="L583" t="str">
        <f>+VLOOKUP(C583,[2]Hoja1!$A$1:$B$138,2,0)</f>
        <v>APROBAR</v>
      </c>
      <c r="M583">
        <v>1</v>
      </c>
      <c r="N583" t="e">
        <v>#N/A</v>
      </c>
    </row>
    <row r="584" spans="1:14" ht="15" customHeight="1" x14ac:dyDescent="0.3">
      <c r="A584" s="3">
        <v>1209657933</v>
      </c>
      <c r="B584" s="3" t="s">
        <v>650</v>
      </c>
      <c r="C584" s="3" t="s">
        <v>651</v>
      </c>
      <c r="D584" s="4">
        <v>46307.409340277802</v>
      </c>
      <c r="E584" s="5" t="s">
        <v>10</v>
      </c>
      <c r="F584" s="5" t="s">
        <v>11</v>
      </c>
      <c r="G584" s="5">
        <v>8</v>
      </c>
      <c r="H584" s="6" t="s">
        <v>12</v>
      </c>
      <c r="I584" t="s">
        <v>677</v>
      </c>
      <c r="J584" t="s">
        <v>2480</v>
      </c>
      <c r="K584" t="str">
        <f>+VLOOKUP(C584,'[1]TIENDAS 2025'!$A$1:$C$143,3,0)</f>
        <v>nocturna</v>
      </c>
      <c r="L584" t="str">
        <f>+VLOOKUP(C584,[2]Hoja1!$A$1:$B$138,2,0)</f>
        <v>APROBAR</v>
      </c>
      <c r="M584">
        <v>1</v>
      </c>
      <c r="N584" t="e">
        <v>#N/A</v>
      </c>
    </row>
    <row r="585" spans="1:14" ht="15" customHeight="1" x14ac:dyDescent="0.3">
      <c r="A585" s="3">
        <v>1209657855</v>
      </c>
      <c r="B585" s="3" t="s">
        <v>646</v>
      </c>
      <c r="C585" s="3" t="s">
        <v>647</v>
      </c>
      <c r="D585" s="4">
        <v>46307.409351851798</v>
      </c>
      <c r="E585" s="5" t="s">
        <v>10</v>
      </c>
      <c r="F585" s="5" t="s">
        <v>11</v>
      </c>
      <c r="G585" s="5">
        <v>10</v>
      </c>
      <c r="H585" s="6" t="s">
        <v>12</v>
      </c>
      <c r="I585" t="s">
        <v>678</v>
      </c>
      <c r="J585" t="s">
        <v>2480</v>
      </c>
      <c r="K585" t="str">
        <f>+VLOOKUP(C585,'[1]TIENDAS 2025'!$A$1:$C$143,3,0)</f>
        <v>local</v>
      </c>
      <c r="L585" t="str">
        <f>+VLOOKUP(C585,[2]Hoja1!$A$1:$B$138,2,0)</f>
        <v>APROBAR</v>
      </c>
      <c r="M585">
        <v>1</v>
      </c>
      <c r="N585" t="e">
        <v>#N/A</v>
      </c>
    </row>
    <row r="586" spans="1:14" ht="15" customHeight="1" x14ac:dyDescent="0.3">
      <c r="A586" s="3">
        <v>8209657939</v>
      </c>
      <c r="B586" s="3" t="s">
        <v>638</v>
      </c>
      <c r="C586" s="3" t="s">
        <v>639</v>
      </c>
      <c r="D586" s="4">
        <v>46307.409363425897</v>
      </c>
      <c r="E586" s="5" t="s">
        <v>10</v>
      </c>
      <c r="F586" s="5" t="s">
        <v>16</v>
      </c>
      <c r="G586" s="5">
        <v>11</v>
      </c>
      <c r="H586" s="8" t="s">
        <v>12</v>
      </c>
      <c r="I586" t="s">
        <v>679</v>
      </c>
      <c r="K586" t="str">
        <f>+VLOOKUP(C586,'[1]TIENDAS 2025'!$A$1:$C$143,3,0)</f>
        <v>departamental</v>
      </c>
      <c r="L586" t="str">
        <f>+VLOOKUP(C586,[2]Hoja1!$A$1:$B$138,2,0)</f>
        <v>APROBAR</v>
      </c>
      <c r="M586">
        <v>1</v>
      </c>
      <c r="N586" t="e">
        <v>#N/A</v>
      </c>
    </row>
    <row r="587" spans="1:14" ht="15" customHeight="1" x14ac:dyDescent="0.3">
      <c r="A587" s="3">
        <v>8209657940</v>
      </c>
      <c r="B587" s="3" t="s">
        <v>638</v>
      </c>
      <c r="C587" s="3" t="s">
        <v>639</v>
      </c>
      <c r="D587" s="4">
        <v>46307.409375000003</v>
      </c>
      <c r="E587" s="5" t="s">
        <v>10</v>
      </c>
      <c r="F587" s="5" t="s">
        <v>16</v>
      </c>
      <c r="G587" s="5">
        <v>4</v>
      </c>
      <c r="H587" s="8" t="s">
        <v>12</v>
      </c>
      <c r="I587" t="s">
        <v>680</v>
      </c>
      <c r="K587" t="str">
        <f>+VLOOKUP(C587,'[1]TIENDAS 2025'!$A$1:$C$143,3,0)</f>
        <v>departamental</v>
      </c>
      <c r="L587" t="str">
        <f>+VLOOKUP(C587,[2]Hoja1!$A$1:$B$138,2,0)</f>
        <v>APROBAR</v>
      </c>
      <c r="M587">
        <v>1</v>
      </c>
      <c r="N587" t="e">
        <v>#N/A</v>
      </c>
    </row>
    <row r="588" spans="1:14" ht="15" customHeight="1" x14ac:dyDescent="0.3">
      <c r="A588" s="3">
        <v>8209657942</v>
      </c>
      <c r="B588" s="3" t="s">
        <v>638</v>
      </c>
      <c r="C588" s="3" t="s">
        <v>639</v>
      </c>
      <c r="D588" s="4">
        <v>46307.409398148098</v>
      </c>
      <c r="E588" s="5" t="s">
        <v>10</v>
      </c>
      <c r="F588" s="5" t="s">
        <v>16</v>
      </c>
      <c r="G588" s="5">
        <v>1</v>
      </c>
      <c r="H588" s="8" t="s">
        <v>12</v>
      </c>
      <c r="I588" t="s">
        <v>681</v>
      </c>
      <c r="K588" t="str">
        <f>+VLOOKUP(C588,'[1]TIENDAS 2025'!$A$1:$C$143,3,0)</f>
        <v>departamental</v>
      </c>
      <c r="L588" t="str">
        <f>+VLOOKUP(C588,[2]Hoja1!$A$1:$B$138,2,0)</f>
        <v>APROBAR</v>
      </c>
      <c r="M588">
        <v>1</v>
      </c>
      <c r="N588" t="e">
        <v>#N/A</v>
      </c>
    </row>
    <row r="589" spans="1:14" ht="15" customHeight="1" x14ac:dyDescent="0.3">
      <c r="A589" s="3">
        <v>1209657859</v>
      </c>
      <c r="B589" s="3" t="s">
        <v>646</v>
      </c>
      <c r="C589" s="3" t="s">
        <v>647</v>
      </c>
      <c r="D589" s="4">
        <v>46307.409409722197</v>
      </c>
      <c r="E589" s="5" t="s">
        <v>10</v>
      </c>
      <c r="F589" s="5" t="s">
        <v>11</v>
      </c>
      <c r="G589" s="5">
        <v>1</v>
      </c>
      <c r="H589" s="6" t="s">
        <v>12</v>
      </c>
      <c r="I589" t="s">
        <v>682</v>
      </c>
      <c r="J589" t="s">
        <v>2480</v>
      </c>
      <c r="K589" t="str">
        <f>+VLOOKUP(C589,'[1]TIENDAS 2025'!$A$1:$C$143,3,0)</f>
        <v>local</v>
      </c>
      <c r="L589" t="str">
        <f>+VLOOKUP(C589,[2]Hoja1!$A$1:$B$138,2,0)</f>
        <v>APROBAR</v>
      </c>
      <c r="M589">
        <v>1</v>
      </c>
      <c r="N589" t="e">
        <v>#N/A</v>
      </c>
    </row>
    <row r="590" spans="1:14" ht="15" customHeight="1" x14ac:dyDescent="0.3">
      <c r="A590" s="3">
        <v>8209657922</v>
      </c>
      <c r="B590" s="3" t="s">
        <v>650</v>
      </c>
      <c r="C590" s="3" t="s">
        <v>651</v>
      </c>
      <c r="D590" s="4">
        <v>46307.409421296303</v>
      </c>
      <c r="E590" s="5" t="s">
        <v>10</v>
      </c>
      <c r="F590" s="5" t="s">
        <v>16</v>
      </c>
      <c r="G590" s="5">
        <v>13</v>
      </c>
      <c r="H590" s="8" t="s">
        <v>12</v>
      </c>
      <c r="I590" t="s">
        <v>683</v>
      </c>
      <c r="K590" t="str">
        <f>+VLOOKUP(C590,'[1]TIENDAS 2025'!$A$1:$C$143,3,0)</f>
        <v>nocturna</v>
      </c>
      <c r="L590" t="str">
        <f>+VLOOKUP(C590,[2]Hoja1!$A$1:$B$138,2,0)</f>
        <v>APROBAR</v>
      </c>
      <c r="M590">
        <v>1</v>
      </c>
      <c r="N590" t="e">
        <v>#N/A</v>
      </c>
    </row>
    <row r="591" spans="1:14" ht="15" customHeight="1" x14ac:dyDescent="0.3">
      <c r="A591" s="3">
        <v>1209657948</v>
      </c>
      <c r="B591" s="3" t="s">
        <v>638</v>
      </c>
      <c r="C591" s="3" t="s">
        <v>639</v>
      </c>
      <c r="D591" s="4">
        <v>46307.409432870401</v>
      </c>
      <c r="E591" s="5" t="s">
        <v>10</v>
      </c>
      <c r="F591" s="5" t="s">
        <v>17</v>
      </c>
      <c r="G591" s="5">
        <v>9</v>
      </c>
      <c r="H591" s="6" t="s">
        <v>12</v>
      </c>
      <c r="I591" t="s">
        <v>684</v>
      </c>
      <c r="J591" t="s">
        <v>2480</v>
      </c>
      <c r="K591" t="str">
        <f>+VLOOKUP(C591,'[1]TIENDAS 2025'!$A$1:$C$143,3,0)</f>
        <v>departamental</v>
      </c>
      <c r="L591" t="str">
        <f>+VLOOKUP(C591,[2]Hoja1!$A$1:$B$138,2,0)</f>
        <v>APROBAR</v>
      </c>
      <c r="M591">
        <v>1</v>
      </c>
      <c r="N591" t="e">
        <v>#N/A</v>
      </c>
    </row>
    <row r="592" spans="1:14" ht="15" customHeight="1" x14ac:dyDescent="0.3">
      <c r="A592" s="3">
        <v>1209657902</v>
      </c>
      <c r="B592" s="3" t="s">
        <v>654</v>
      </c>
      <c r="C592" s="3" t="s">
        <v>655</v>
      </c>
      <c r="D592" s="4">
        <v>46307.409444444398</v>
      </c>
      <c r="E592" s="5" t="s">
        <v>10</v>
      </c>
      <c r="F592" s="5" t="s">
        <v>11</v>
      </c>
      <c r="G592" s="5">
        <v>4</v>
      </c>
      <c r="H592" s="6" t="s">
        <v>12</v>
      </c>
      <c r="I592" t="s">
        <v>685</v>
      </c>
      <c r="J592" t="s">
        <v>2480</v>
      </c>
      <c r="K592" t="str">
        <f>+VLOOKUP(C592,'[1]TIENDAS 2025'!$A$1:$C$143,3,0)</f>
        <v>departamental</v>
      </c>
      <c r="L592" t="str">
        <f>+VLOOKUP(C592,[2]Hoja1!$A$1:$B$138,2,0)</f>
        <v>APROBAR</v>
      </c>
      <c r="M592">
        <v>1</v>
      </c>
      <c r="N592" t="e">
        <v>#N/A</v>
      </c>
    </row>
    <row r="593" spans="1:14" ht="15" customHeight="1" x14ac:dyDescent="0.3">
      <c r="A593" s="3">
        <v>1209657951</v>
      </c>
      <c r="B593" s="3" t="s">
        <v>638</v>
      </c>
      <c r="C593" s="3" t="s">
        <v>639</v>
      </c>
      <c r="D593" s="4">
        <v>46307.409456018497</v>
      </c>
      <c r="E593" s="5" t="s">
        <v>10</v>
      </c>
      <c r="F593" s="5" t="s">
        <v>17</v>
      </c>
      <c r="G593" s="5">
        <v>31</v>
      </c>
      <c r="H593" s="6" t="s">
        <v>12</v>
      </c>
      <c r="I593" t="s">
        <v>686</v>
      </c>
      <c r="J593" t="s">
        <v>2480</v>
      </c>
      <c r="K593" t="str">
        <f>+VLOOKUP(C593,'[1]TIENDAS 2025'!$A$1:$C$143,3,0)</f>
        <v>departamental</v>
      </c>
      <c r="L593" t="str">
        <f>+VLOOKUP(C593,[2]Hoja1!$A$1:$B$138,2,0)</f>
        <v>APROBAR</v>
      </c>
      <c r="M593">
        <v>1</v>
      </c>
      <c r="N593" t="e">
        <v>#N/A</v>
      </c>
    </row>
    <row r="594" spans="1:14" ht="15" customHeight="1" x14ac:dyDescent="0.3">
      <c r="A594" s="3">
        <v>1209657953</v>
      </c>
      <c r="B594" s="3" t="s">
        <v>638</v>
      </c>
      <c r="C594" s="3" t="s">
        <v>639</v>
      </c>
      <c r="D594" s="4">
        <v>46307.409479166701</v>
      </c>
      <c r="E594" s="5" t="s">
        <v>10</v>
      </c>
      <c r="F594" s="5" t="s">
        <v>17</v>
      </c>
      <c r="G594" s="5">
        <v>32</v>
      </c>
      <c r="H594" s="6" t="s">
        <v>12</v>
      </c>
      <c r="I594" t="s">
        <v>687</v>
      </c>
      <c r="J594" t="s">
        <v>2480</v>
      </c>
      <c r="K594" t="str">
        <f>+VLOOKUP(C594,'[1]TIENDAS 2025'!$A$1:$C$143,3,0)</f>
        <v>departamental</v>
      </c>
      <c r="L594" t="str">
        <f>+VLOOKUP(C594,[2]Hoja1!$A$1:$B$138,2,0)</f>
        <v>APROBAR</v>
      </c>
      <c r="M594">
        <v>1</v>
      </c>
      <c r="N594" t="e">
        <v>#N/A</v>
      </c>
    </row>
    <row r="595" spans="1:14" ht="15" customHeight="1" x14ac:dyDescent="0.3">
      <c r="A595" s="3">
        <v>8209657887</v>
      </c>
      <c r="B595" s="3" t="s">
        <v>654</v>
      </c>
      <c r="C595" s="3" t="s">
        <v>655</v>
      </c>
      <c r="D595" s="4">
        <v>46307.409490740698</v>
      </c>
      <c r="E595" s="5" t="s">
        <v>10</v>
      </c>
      <c r="F595" s="5" t="s">
        <v>16</v>
      </c>
      <c r="G595" s="5">
        <v>5</v>
      </c>
      <c r="H595" s="8" t="s">
        <v>12</v>
      </c>
      <c r="I595" t="s">
        <v>688</v>
      </c>
      <c r="K595" t="str">
        <f>+VLOOKUP(C595,'[1]TIENDAS 2025'!$A$1:$C$143,3,0)</f>
        <v>departamental</v>
      </c>
      <c r="L595" t="str">
        <f>+VLOOKUP(C595,[2]Hoja1!$A$1:$B$138,2,0)</f>
        <v>APROBAR</v>
      </c>
      <c r="M595">
        <v>1</v>
      </c>
      <c r="N595" t="e">
        <v>#N/A</v>
      </c>
    </row>
    <row r="596" spans="1:14" ht="15" customHeight="1" x14ac:dyDescent="0.3">
      <c r="A596" s="3">
        <v>1209657930</v>
      </c>
      <c r="B596" s="3" t="s">
        <v>650</v>
      </c>
      <c r="C596" s="3" t="s">
        <v>651</v>
      </c>
      <c r="D596" s="4">
        <v>46307.409502314797</v>
      </c>
      <c r="E596" s="5" t="s">
        <v>10</v>
      </c>
      <c r="F596" s="5" t="s">
        <v>17</v>
      </c>
      <c r="G596" s="5">
        <v>36</v>
      </c>
      <c r="H596" s="6" t="s">
        <v>12</v>
      </c>
      <c r="I596" t="s">
        <v>689</v>
      </c>
      <c r="J596" t="s">
        <v>2480</v>
      </c>
      <c r="K596" t="str">
        <f>+VLOOKUP(C596,'[1]TIENDAS 2025'!$A$1:$C$143,3,0)</f>
        <v>nocturna</v>
      </c>
      <c r="L596" t="str">
        <f>+VLOOKUP(C596,[2]Hoja1!$A$1:$B$138,2,0)</f>
        <v>APROBAR</v>
      </c>
      <c r="M596">
        <v>1</v>
      </c>
      <c r="N596" t="e">
        <v>#N/A</v>
      </c>
    </row>
    <row r="597" spans="1:14" ht="15" customHeight="1" x14ac:dyDescent="0.3">
      <c r="A597" s="3">
        <v>1209657826</v>
      </c>
      <c r="B597" s="3" t="s">
        <v>641</v>
      </c>
      <c r="C597" s="3" t="s">
        <v>642</v>
      </c>
      <c r="D597" s="4">
        <v>46307.409513888902</v>
      </c>
      <c r="E597" s="5" t="s">
        <v>10</v>
      </c>
      <c r="F597" s="5" t="s">
        <v>17</v>
      </c>
      <c r="G597" s="5">
        <v>27</v>
      </c>
      <c r="H597" s="6" t="s">
        <v>12</v>
      </c>
      <c r="I597" t="s">
        <v>690</v>
      </c>
      <c r="J597" t="s">
        <v>2480</v>
      </c>
      <c r="K597" t="str">
        <f>+VLOOKUP(C597,'[1]TIENDAS 2025'!$A$1:$C$143,3,0)</f>
        <v>departamental</v>
      </c>
      <c r="L597" t="str">
        <f>+VLOOKUP(C597,[2]Hoja1!$A$1:$B$138,2,0)</f>
        <v>APROBAR</v>
      </c>
      <c r="M597">
        <v>1</v>
      </c>
      <c r="N597" t="e">
        <v>#N/A</v>
      </c>
    </row>
    <row r="598" spans="1:14" ht="15" customHeight="1" x14ac:dyDescent="0.3">
      <c r="A598" s="3">
        <v>8209657849</v>
      </c>
      <c r="B598" s="3" t="s">
        <v>646</v>
      </c>
      <c r="C598" s="3" t="s">
        <v>647</v>
      </c>
      <c r="D598" s="4">
        <v>46307.409525463001</v>
      </c>
      <c r="E598" s="5" t="s">
        <v>10</v>
      </c>
      <c r="F598" s="5" t="s">
        <v>16</v>
      </c>
      <c r="G598" s="5">
        <v>5</v>
      </c>
      <c r="H598" s="8" t="s">
        <v>12</v>
      </c>
      <c r="I598" t="s">
        <v>691</v>
      </c>
      <c r="K598" t="str">
        <f>+VLOOKUP(C598,'[1]TIENDAS 2025'!$A$1:$C$143,3,0)</f>
        <v>local</v>
      </c>
      <c r="L598" t="str">
        <f>+VLOOKUP(C598,[2]Hoja1!$A$1:$B$138,2,0)</f>
        <v>APROBAR</v>
      </c>
      <c r="M598">
        <v>1</v>
      </c>
      <c r="N598" t="e">
        <v>#N/A</v>
      </c>
    </row>
    <row r="599" spans="1:14" ht="15" customHeight="1" x14ac:dyDescent="0.3">
      <c r="A599" s="3">
        <v>1209657854</v>
      </c>
      <c r="B599" s="3" t="s">
        <v>646</v>
      </c>
      <c r="C599" s="3" t="s">
        <v>647</v>
      </c>
      <c r="D599" s="4">
        <v>46307.409548611096</v>
      </c>
      <c r="E599" s="5" t="s">
        <v>10</v>
      </c>
      <c r="F599" s="5" t="s">
        <v>11</v>
      </c>
      <c r="G599" s="5">
        <v>9</v>
      </c>
      <c r="H599" s="6" t="s">
        <v>12</v>
      </c>
      <c r="I599" t="s">
        <v>692</v>
      </c>
      <c r="J599" t="s">
        <v>2480</v>
      </c>
      <c r="K599" t="str">
        <f>+VLOOKUP(C599,'[1]TIENDAS 2025'!$A$1:$C$143,3,0)</f>
        <v>local</v>
      </c>
      <c r="L599" t="str">
        <f>+VLOOKUP(C599,[2]Hoja1!$A$1:$B$138,2,0)</f>
        <v>APROBAR</v>
      </c>
      <c r="M599">
        <v>1</v>
      </c>
      <c r="N599" t="e">
        <v>#N/A</v>
      </c>
    </row>
    <row r="600" spans="1:14" ht="15" customHeight="1" x14ac:dyDescent="0.3">
      <c r="A600" s="3">
        <v>8209657918</v>
      </c>
      <c r="B600" s="3" t="s">
        <v>650</v>
      </c>
      <c r="C600" s="3" t="s">
        <v>651</v>
      </c>
      <c r="D600" s="4">
        <v>46307.409560185202</v>
      </c>
      <c r="E600" s="5" t="s">
        <v>10</v>
      </c>
      <c r="F600" s="5" t="s">
        <v>16</v>
      </c>
      <c r="G600" s="5">
        <v>2</v>
      </c>
      <c r="H600" s="8" t="s">
        <v>12</v>
      </c>
      <c r="I600" t="s">
        <v>693</v>
      </c>
      <c r="K600" t="str">
        <f>+VLOOKUP(C600,'[1]TIENDAS 2025'!$A$1:$C$143,3,0)</f>
        <v>nocturna</v>
      </c>
      <c r="L600" t="str">
        <f>+VLOOKUP(C600,[2]Hoja1!$A$1:$B$138,2,0)</f>
        <v>APROBAR</v>
      </c>
      <c r="M600">
        <v>1</v>
      </c>
      <c r="N600" t="e">
        <v>#N/A</v>
      </c>
    </row>
    <row r="601" spans="1:14" ht="15" customHeight="1" x14ac:dyDescent="0.3">
      <c r="A601" s="3">
        <v>8209657815</v>
      </c>
      <c r="B601" s="3" t="s">
        <v>641</v>
      </c>
      <c r="C601" s="3" t="s">
        <v>642</v>
      </c>
      <c r="D601" s="4">
        <v>46307.409571759301</v>
      </c>
      <c r="E601" s="5" t="s">
        <v>10</v>
      </c>
      <c r="F601" s="5" t="s">
        <v>16</v>
      </c>
      <c r="G601" s="5">
        <v>4</v>
      </c>
      <c r="H601" s="8" t="s">
        <v>12</v>
      </c>
      <c r="I601" t="s">
        <v>694</v>
      </c>
      <c r="K601" t="str">
        <f>+VLOOKUP(C601,'[1]TIENDAS 2025'!$A$1:$C$143,3,0)</f>
        <v>departamental</v>
      </c>
      <c r="L601" t="str">
        <f>+VLOOKUP(C601,[2]Hoja1!$A$1:$B$138,2,0)</f>
        <v>APROBAR</v>
      </c>
      <c r="M601">
        <v>1</v>
      </c>
      <c r="N601" t="e">
        <v>#N/A</v>
      </c>
    </row>
    <row r="602" spans="1:14" ht="15" customHeight="1" x14ac:dyDescent="0.3">
      <c r="A602" s="3">
        <v>8209657816</v>
      </c>
      <c r="B602" s="3" t="s">
        <v>641</v>
      </c>
      <c r="C602" s="3" t="s">
        <v>642</v>
      </c>
      <c r="D602" s="4">
        <v>46307.409583333298</v>
      </c>
      <c r="E602" s="5" t="s">
        <v>10</v>
      </c>
      <c r="F602" s="5" t="s">
        <v>16</v>
      </c>
      <c r="G602" s="5">
        <v>2</v>
      </c>
      <c r="H602" s="8" t="s">
        <v>12</v>
      </c>
      <c r="I602" t="s">
        <v>695</v>
      </c>
      <c r="K602" t="str">
        <f>+VLOOKUP(C602,'[1]TIENDAS 2025'!$A$1:$C$143,3,0)</f>
        <v>departamental</v>
      </c>
      <c r="L602" t="str">
        <f>+VLOOKUP(C602,[2]Hoja1!$A$1:$B$138,2,0)</f>
        <v>APROBAR</v>
      </c>
      <c r="M602">
        <v>1</v>
      </c>
      <c r="N602" t="e">
        <v>#N/A</v>
      </c>
    </row>
    <row r="603" spans="1:14" ht="15" customHeight="1" x14ac:dyDescent="0.3">
      <c r="A603" s="3">
        <v>1209657870</v>
      </c>
      <c r="B603" s="3" t="s">
        <v>646</v>
      </c>
      <c r="C603" s="3" t="s">
        <v>647</v>
      </c>
      <c r="D603" s="4">
        <v>46307.409594907404</v>
      </c>
      <c r="E603" s="5" t="s">
        <v>10</v>
      </c>
      <c r="F603" s="5" t="s">
        <v>11</v>
      </c>
      <c r="G603" s="5">
        <v>20</v>
      </c>
      <c r="H603" s="6" t="s">
        <v>12</v>
      </c>
      <c r="I603" t="s">
        <v>696</v>
      </c>
      <c r="J603" t="s">
        <v>2480</v>
      </c>
      <c r="K603" t="str">
        <f>+VLOOKUP(C603,'[1]TIENDAS 2025'!$A$1:$C$143,3,0)</f>
        <v>local</v>
      </c>
      <c r="L603" t="str">
        <f>+VLOOKUP(C603,[2]Hoja1!$A$1:$B$138,2,0)</f>
        <v>APROBAR</v>
      </c>
      <c r="M603">
        <v>1</v>
      </c>
      <c r="N603" t="e">
        <v>#N/A</v>
      </c>
    </row>
    <row r="604" spans="1:14" ht="15" customHeight="1" x14ac:dyDescent="0.3">
      <c r="A604" s="3">
        <v>1209657950</v>
      </c>
      <c r="B604" s="3" t="s">
        <v>638</v>
      </c>
      <c r="C604" s="3" t="s">
        <v>639</v>
      </c>
      <c r="D604" s="4">
        <v>46307.409606481502</v>
      </c>
      <c r="E604" s="5" t="s">
        <v>10</v>
      </c>
      <c r="F604" s="5" t="s">
        <v>11</v>
      </c>
      <c r="G604" s="5">
        <v>13</v>
      </c>
      <c r="H604" s="6" t="s">
        <v>12</v>
      </c>
      <c r="I604" t="s">
        <v>697</v>
      </c>
      <c r="J604" t="s">
        <v>2480</v>
      </c>
      <c r="K604" t="str">
        <f>+VLOOKUP(C604,'[1]TIENDAS 2025'!$A$1:$C$143,3,0)</f>
        <v>departamental</v>
      </c>
      <c r="L604" t="str">
        <f>+VLOOKUP(C604,[2]Hoja1!$A$1:$B$138,2,0)</f>
        <v>APROBAR</v>
      </c>
      <c r="M604">
        <v>1</v>
      </c>
      <c r="N604" t="e">
        <v>#N/A</v>
      </c>
    </row>
    <row r="605" spans="1:14" ht="15" customHeight="1" x14ac:dyDescent="0.3">
      <c r="A605" s="3">
        <v>8209657888</v>
      </c>
      <c r="B605" s="3" t="s">
        <v>654</v>
      </c>
      <c r="C605" s="3" t="s">
        <v>655</v>
      </c>
      <c r="D605" s="4">
        <v>46307.409629629597</v>
      </c>
      <c r="E605" s="5" t="s">
        <v>10</v>
      </c>
      <c r="F605" s="5" t="s">
        <v>16</v>
      </c>
      <c r="G605" s="5">
        <v>13</v>
      </c>
      <c r="H605" s="8" t="s">
        <v>12</v>
      </c>
      <c r="I605" t="s">
        <v>698</v>
      </c>
      <c r="K605" t="str">
        <f>+VLOOKUP(C605,'[1]TIENDAS 2025'!$A$1:$C$143,3,0)</f>
        <v>departamental</v>
      </c>
      <c r="L605" t="str">
        <f>+VLOOKUP(C605,[2]Hoja1!$A$1:$B$138,2,0)</f>
        <v>APROBAR</v>
      </c>
      <c r="M605">
        <v>1</v>
      </c>
      <c r="N605" t="e">
        <v>#N/A</v>
      </c>
    </row>
    <row r="606" spans="1:14" ht="15" customHeight="1" x14ac:dyDescent="0.3">
      <c r="A606" s="3">
        <v>8209657846</v>
      </c>
      <c r="B606" s="3" t="s">
        <v>646</v>
      </c>
      <c r="C606" s="3" t="s">
        <v>647</v>
      </c>
      <c r="D606" s="4">
        <v>46307.409641203703</v>
      </c>
      <c r="E606" s="5" t="s">
        <v>10</v>
      </c>
      <c r="F606" s="5" t="s">
        <v>16</v>
      </c>
      <c r="G606" s="5">
        <v>4</v>
      </c>
      <c r="H606" s="8" t="s">
        <v>12</v>
      </c>
      <c r="I606" t="s">
        <v>699</v>
      </c>
      <c r="K606" t="str">
        <f>+VLOOKUP(C606,'[1]TIENDAS 2025'!$A$1:$C$143,3,0)</f>
        <v>local</v>
      </c>
      <c r="L606" t="str">
        <f>+VLOOKUP(C606,[2]Hoja1!$A$1:$B$138,2,0)</f>
        <v>APROBAR</v>
      </c>
      <c r="M606">
        <v>1</v>
      </c>
      <c r="N606" t="e">
        <v>#N/A</v>
      </c>
    </row>
    <row r="607" spans="1:14" ht="15" customHeight="1" x14ac:dyDescent="0.3">
      <c r="A607" s="3">
        <v>1209657856</v>
      </c>
      <c r="B607" s="3" t="s">
        <v>646</v>
      </c>
      <c r="C607" s="3" t="s">
        <v>647</v>
      </c>
      <c r="D607" s="4">
        <v>46307.409652777802</v>
      </c>
      <c r="E607" s="5" t="s">
        <v>10</v>
      </c>
      <c r="F607" s="5" t="s">
        <v>17</v>
      </c>
      <c r="G607" s="5">
        <v>20</v>
      </c>
      <c r="H607" s="6" t="s">
        <v>12</v>
      </c>
      <c r="I607" t="s">
        <v>700</v>
      </c>
      <c r="J607" t="s">
        <v>2480</v>
      </c>
      <c r="K607" t="str">
        <f>+VLOOKUP(C607,'[1]TIENDAS 2025'!$A$1:$C$143,3,0)</f>
        <v>local</v>
      </c>
      <c r="L607" t="str">
        <f>+VLOOKUP(C607,[2]Hoja1!$A$1:$B$138,2,0)</f>
        <v>APROBAR</v>
      </c>
      <c r="M607">
        <v>1</v>
      </c>
      <c r="N607" t="e">
        <v>#N/A</v>
      </c>
    </row>
    <row r="608" spans="1:14" ht="15" customHeight="1" x14ac:dyDescent="0.3">
      <c r="A608" s="3">
        <v>1209657858</v>
      </c>
      <c r="B608" s="3" t="s">
        <v>646</v>
      </c>
      <c r="C608" s="3" t="s">
        <v>647</v>
      </c>
      <c r="D608" s="4">
        <v>46307.409664351799</v>
      </c>
      <c r="E608" s="5" t="s">
        <v>10</v>
      </c>
      <c r="F608" s="5" t="s">
        <v>11</v>
      </c>
      <c r="G608" s="5">
        <v>9</v>
      </c>
      <c r="H608" s="6" t="s">
        <v>12</v>
      </c>
      <c r="I608" t="s">
        <v>701</v>
      </c>
      <c r="J608" t="s">
        <v>2480</v>
      </c>
      <c r="K608" t="str">
        <f>+VLOOKUP(C608,'[1]TIENDAS 2025'!$A$1:$C$143,3,0)</f>
        <v>local</v>
      </c>
      <c r="L608" t="str">
        <f>+VLOOKUP(C608,[2]Hoja1!$A$1:$B$138,2,0)</f>
        <v>APROBAR</v>
      </c>
      <c r="M608">
        <v>1</v>
      </c>
      <c r="N608" t="e">
        <v>#N/A</v>
      </c>
    </row>
    <row r="609" spans="1:14" ht="15" customHeight="1" x14ac:dyDescent="0.3">
      <c r="A609" s="3">
        <v>8209657943</v>
      </c>
      <c r="B609" s="3" t="s">
        <v>638</v>
      </c>
      <c r="C609" s="3" t="s">
        <v>639</v>
      </c>
      <c r="D609" s="4">
        <v>46307.409675925897</v>
      </c>
      <c r="E609" s="5" t="s">
        <v>10</v>
      </c>
      <c r="F609" s="5" t="s">
        <v>16</v>
      </c>
      <c r="G609" s="5">
        <v>10</v>
      </c>
      <c r="H609" s="8" t="s">
        <v>12</v>
      </c>
      <c r="I609" t="s">
        <v>702</v>
      </c>
      <c r="K609" t="str">
        <f>+VLOOKUP(C609,'[1]TIENDAS 2025'!$A$1:$C$143,3,0)</f>
        <v>departamental</v>
      </c>
      <c r="L609" t="str">
        <f>+VLOOKUP(C609,[2]Hoja1!$A$1:$B$138,2,0)</f>
        <v>APROBAR</v>
      </c>
      <c r="M609">
        <v>1</v>
      </c>
      <c r="N609" t="e">
        <v>#N/A</v>
      </c>
    </row>
    <row r="610" spans="1:14" ht="15" customHeight="1" x14ac:dyDescent="0.3">
      <c r="A610" s="3">
        <v>1209657896</v>
      </c>
      <c r="B610" s="3" t="s">
        <v>654</v>
      </c>
      <c r="C610" s="3" t="s">
        <v>655</v>
      </c>
      <c r="D610" s="4">
        <v>46307.409687500003</v>
      </c>
      <c r="E610" s="5" t="s">
        <v>10</v>
      </c>
      <c r="F610" s="5" t="s">
        <v>11</v>
      </c>
      <c r="G610" s="5">
        <v>14</v>
      </c>
      <c r="H610" s="6" t="s">
        <v>12</v>
      </c>
      <c r="I610" t="s">
        <v>703</v>
      </c>
      <c r="J610" t="s">
        <v>2480</v>
      </c>
      <c r="K610" t="str">
        <f>+VLOOKUP(C610,'[1]TIENDAS 2025'!$A$1:$C$143,3,0)</f>
        <v>departamental</v>
      </c>
      <c r="L610" t="str">
        <f>+VLOOKUP(C610,[2]Hoja1!$A$1:$B$138,2,0)</f>
        <v>APROBAR</v>
      </c>
      <c r="M610">
        <v>1</v>
      </c>
      <c r="N610" t="e">
        <v>#N/A</v>
      </c>
    </row>
    <row r="611" spans="1:14" ht="15" customHeight="1" x14ac:dyDescent="0.3">
      <c r="A611" s="3">
        <v>8209657814</v>
      </c>
      <c r="B611" s="3" t="s">
        <v>641</v>
      </c>
      <c r="C611" s="3" t="s">
        <v>642</v>
      </c>
      <c r="D611" s="4">
        <v>46307.409710648099</v>
      </c>
      <c r="E611" s="5" t="s">
        <v>10</v>
      </c>
      <c r="F611" s="5" t="s">
        <v>16</v>
      </c>
      <c r="G611" s="5">
        <v>7</v>
      </c>
      <c r="H611" s="8" t="s">
        <v>12</v>
      </c>
      <c r="I611" t="s">
        <v>704</v>
      </c>
      <c r="K611" t="str">
        <f>+VLOOKUP(C611,'[1]TIENDAS 2025'!$A$1:$C$143,3,0)</f>
        <v>departamental</v>
      </c>
      <c r="L611" t="str">
        <f>+VLOOKUP(C611,[2]Hoja1!$A$1:$B$138,2,0)</f>
        <v>APROBAR</v>
      </c>
      <c r="M611">
        <v>1</v>
      </c>
      <c r="N611" t="e">
        <v>#N/A</v>
      </c>
    </row>
    <row r="612" spans="1:14" ht="15" customHeight="1" x14ac:dyDescent="0.3">
      <c r="A612" s="3">
        <v>1209657861</v>
      </c>
      <c r="B612" s="3" t="s">
        <v>646</v>
      </c>
      <c r="C612" s="3" t="s">
        <v>647</v>
      </c>
      <c r="D612" s="4">
        <v>46307.409710648099</v>
      </c>
      <c r="E612" s="5" t="s">
        <v>10</v>
      </c>
      <c r="F612" s="5" t="s">
        <v>17</v>
      </c>
      <c r="G612" s="5">
        <v>37</v>
      </c>
      <c r="H612" s="6" t="s">
        <v>12</v>
      </c>
      <c r="I612" t="s">
        <v>705</v>
      </c>
      <c r="J612" t="s">
        <v>2480</v>
      </c>
      <c r="K612" t="str">
        <f>+VLOOKUP(C612,'[1]TIENDAS 2025'!$A$1:$C$143,3,0)</f>
        <v>local</v>
      </c>
      <c r="L612" t="str">
        <f>+VLOOKUP(C612,[2]Hoja1!$A$1:$B$138,2,0)</f>
        <v>APROBAR</v>
      </c>
      <c r="M612">
        <v>1</v>
      </c>
      <c r="N612" t="e">
        <v>#N/A</v>
      </c>
    </row>
    <row r="613" spans="1:14" ht="15" customHeight="1" x14ac:dyDescent="0.3">
      <c r="A613" s="3">
        <v>1209657952</v>
      </c>
      <c r="B613" s="3" t="s">
        <v>638</v>
      </c>
      <c r="C613" s="3" t="s">
        <v>639</v>
      </c>
      <c r="D613" s="4">
        <v>46307.409733796303</v>
      </c>
      <c r="E613" s="5" t="s">
        <v>10</v>
      </c>
      <c r="F613" s="5" t="s">
        <v>11</v>
      </c>
      <c r="G613" s="5">
        <v>32</v>
      </c>
      <c r="H613" s="6" t="s">
        <v>12</v>
      </c>
      <c r="I613" t="s">
        <v>706</v>
      </c>
      <c r="J613" t="s">
        <v>2480</v>
      </c>
      <c r="K613" t="str">
        <f>+VLOOKUP(C613,'[1]TIENDAS 2025'!$A$1:$C$143,3,0)</f>
        <v>departamental</v>
      </c>
      <c r="L613" t="str">
        <f>+VLOOKUP(C613,[2]Hoja1!$A$1:$B$138,2,0)</f>
        <v>APROBAR</v>
      </c>
      <c r="M613">
        <v>1</v>
      </c>
      <c r="N613" t="e">
        <v>#N/A</v>
      </c>
    </row>
    <row r="614" spans="1:14" ht="15" customHeight="1" x14ac:dyDescent="0.3">
      <c r="A614" s="3">
        <v>1209657823</v>
      </c>
      <c r="B614" s="3" t="s">
        <v>641</v>
      </c>
      <c r="C614" s="3" t="s">
        <v>642</v>
      </c>
      <c r="D614" s="4">
        <v>46307.409745370402</v>
      </c>
      <c r="E614" s="5" t="s">
        <v>10</v>
      </c>
      <c r="F614" s="5" t="s">
        <v>17</v>
      </c>
      <c r="G614" s="5">
        <v>27</v>
      </c>
      <c r="H614" s="6" t="s">
        <v>12</v>
      </c>
      <c r="I614" t="s">
        <v>707</v>
      </c>
      <c r="J614" t="s">
        <v>2480</v>
      </c>
      <c r="K614" t="str">
        <f>+VLOOKUP(C614,'[1]TIENDAS 2025'!$A$1:$C$143,3,0)</f>
        <v>departamental</v>
      </c>
      <c r="L614" t="str">
        <f>+VLOOKUP(C614,[2]Hoja1!$A$1:$B$138,2,0)</f>
        <v>APROBAR</v>
      </c>
      <c r="M614">
        <v>1</v>
      </c>
      <c r="N614" t="e">
        <v>#N/A</v>
      </c>
    </row>
    <row r="615" spans="1:14" ht="15" customHeight="1" x14ac:dyDescent="0.3">
      <c r="A615" s="3">
        <v>8209657851</v>
      </c>
      <c r="B615" s="3" t="s">
        <v>646</v>
      </c>
      <c r="C615" s="3" t="s">
        <v>647</v>
      </c>
      <c r="D615" s="4">
        <v>46307.409756944398</v>
      </c>
      <c r="E615" s="5" t="s">
        <v>10</v>
      </c>
      <c r="F615" s="5" t="s">
        <v>16</v>
      </c>
      <c r="G615" s="5">
        <v>6</v>
      </c>
      <c r="H615" s="8" t="s">
        <v>12</v>
      </c>
      <c r="I615" t="s">
        <v>708</v>
      </c>
      <c r="K615" t="str">
        <f>+VLOOKUP(C615,'[1]TIENDAS 2025'!$A$1:$C$143,3,0)</f>
        <v>local</v>
      </c>
      <c r="L615" t="str">
        <f>+VLOOKUP(C615,[2]Hoja1!$A$1:$B$138,2,0)</f>
        <v>APROBAR</v>
      </c>
      <c r="M615">
        <v>1</v>
      </c>
      <c r="N615" t="e">
        <v>#N/A</v>
      </c>
    </row>
    <row r="616" spans="1:14" ht="15" customHeight="1" x14ac:dyDescent="0.3">
      <c r="A616" s="3">
        <v>1209657934</v>
      </c>
      <c r="B616" s="3" t="s">
        <v>650</v>
      </c>
      <c r="C616" s="3" t="s">
        <v>651</v>
      </c>
      <c r="D616" s="4">
        <v>46307.409768518497</v>
      </c>
      <c r="E616" s="5" t="s">
        <v>10</v>
      </c>
      <c r="F616" s="5" t="s">
        <v>11</v>
      </c>
      <c r="G616" s="5">
        <v>17</v>
      </c>
      <c r="H616" s="6" t="s">
        <v>12</v>
      </c>
      <c r="I616" t="s">
        <v>709</v>
      </c>
      <c r="J616" t="s">
        <v>2480</v>
      </c>
      <c r="K616" t="str">
        <f>+VLOOKUP(C616,'[1]TIENDAS 2025'!$A$1:$C$143,3,0)</f>
        <v>nocturna</v>
      </c>
      <c r="L616" t="str">
        <f>+VLOOKUP(C616,[2]Hoja1!$A$1:$B$138,2,0)</f>
        <v>APROBAR</v>
      </c>
      <c r="M616">
        <v>1</v>
      </c>
      <c r="N616" t="e">
        <v>#N/A</v>
      </c>
    </row>
    <row r="617" spans="1:14" ht="15" customHeight="1" x14ac:dyDescent="0.3">
      <c r="A617" s="3">
        <v>1209657827</v>
      </c>
      <c r="B617" s="3" t="s">
        <v>641</v>
      </c>
      <c r="C617" s="3" t="s">
        <v>642</v>
      </c>
      <c r="D617" s="4">
        <v>46307.409780092603</v>
      </c>
      <c r="E617" s="5" t="s">
        <v>10</v>
      </c>
      <c r="F617" s="5" t="s">
        <v>11</v>
      </c>
      <c r="G617" s="5">
        <v>19</v>
      </c>
      <c r="H617" s="6" t="s">
        <v>12</v>
      </c>
      <c r="I617" t="s">
        <v>710</v>
      </c>
      <c r="J617" t="s">
        <v>2480</v>
      </c>
      <c r="K617" t="str">
        <f>+VLOOKUP(C617,'[1]TIENDAS 2025'!$A$1:$C$143,3,0)</f>
        <v>departamental</v>
      </c>
      <c r="L617" t="str">
        <f>+VLOOKUP(C617,[2]Hoja1!$A$1:$B$138,2,0)</f>
        <v>APROBAR</v>
      </c>
      <c r="M617">
        <v>1</v>
      </c>
      <c r="N617" t="e">
        <v>#N/A</v>
      </c>
    </row>
    <row r="618" spans="1:14" ht="15" customHeight="1" x14ac:dyDescent="0.3">
      <c r="A618" s="3">
        <v>1209657892</v>
      </c>
      <c r="B618" s="3" t="s">
        <v>654</v>
      </c>
      <c r="C618" s="3" t="s">
        <v>655</v>
      </c>
      <c r="D618" s="4">
        <v>46307.409791666701</v>
      </c>
      <c r="E618" s="5" t="s">
        <v>10</v>
      </c>
      <c r="F618" s="5" t="s">
        <v>11</v>
      </c>
      <c r="G618" s="5">
        <v>11</v>
      </c>
      <c r="H618" s="6" t="s">
        <v>12</v>
      </c>
      <c r="I618" t="s">
        <v>711</v>
      </c>
      <c r="J618" t="s">
        <v>2480</v>
      </c>
      <c r="K618" t="str">
        <f>+VLOOKUP(C618,'[1]TIENDAS 2025'!$A$1:$C$143,3,0)</f>
        <v>departamental</v>
      </c>
      <c r="L618" t="str">
        <f>+VLOOKUP(C618,[2]Hoja1!$A$1:$B$138,2,0)</f>
        <v>APROBAR</v>
      </c>
      <c r="M618">
        <v>1</v>
      </c>
      <c r="N618" t="e">
        <v>#N/A</v>
      </c>
    </row>
    <row r="619" spans="1:14" ht="15" customHeight="1" x14ac:dyDescent="0.3">
      <c r="A619" s="3">
        <v>1209657829</v>
      </c>
      <c r="B619" s="3" t="s">
        <v>641</v>
      </c>
      <c r="C619" s="3" t="s">
        <v>642</v>
      </c>
      <c r="D619" s="4">
        <v>46307.409814814797</v>
      </c>
      <c r="E619" s="5" t="s">
        <v>10</v>
      </c>
      <c r="F619" s="5" t="s">
        <v>11</v>
      </c>
      <c r="G619" s="5">
        <v>32</v>
      </c>
      <c r="H619" s="6" t="s">
        <v>12</v>
      </c>
      <c r="I619" t="s">
        <v>712</v>
      </c>
      <c r="J619" t="s">
        <v>2480</v>
      </c>
      <c r="K619" t="str">
        <f>+VLOOKUP(C619,'[1]TIENDAS 2025'!$A$1:$C$143,3,0)</f>
        <v>departamental</v>
      </c>
      <c r="L619" t="str">
        <f>+VLOOKUP(C619,[2]Hoja1!$A$1:$B$138,2,0)</f>
        <v>APROBAR</v>
      </c>
      <c r="M619">
        <v>1</v>
      </c>
      <c r="N619" t="e">
        <v>#N/A</v>
      </c>
    </row>
    <row r="620" spans="1:14" ht="15" customHeight="1" x14ac:dyDescent="0.3">
      <c r="A620" s="3">
        <v>1209657894</v>
      </c>
      <c r="B620" s="3" t="s">
        <v>654</v>
      </c>
      <c r="C620" s="3" t="s">
        <v>655</v>
      </c>
      <c r="D620" s="4">
        <v>46307.409826388903</v>
      </c>
      <c r="E620" s="5" t="s">
        <v>10</v>
      </c>
      <c r="F620" s="5" t="s">
        <v>11</v>
      </c>
      <c r="G620" s="5">
        <v>11</v>
      </c>
      <c r="H620" s="6" t="s">
        <v>12</v>
      </c>
      <c r="I620" t="s">
        <v>713</v>
      </c>
      <c r="J620" t="s">
        <v>2480</v>
      </c>
      <c r="K620" t="str">
        <f>+VLOOKUP(C620,'[1]TIENDAS 2025'!$A$1:$C$143,3,0)</f>
        <v>departamental</v>
      </c>
      <c r="L620" t="str">
        <f>+VLOOKUP(C620,[2]Hoja1!$A$1:$B$138,2,0)</f>
        <v>APROBAR</v>
      </c>
      <c r="M620">
        <v>1</v>
      </c>
      <c r="N620" t="e">
        <v>#N/A</v>
      </c>
    </row>
    <row r="621" spans="1:14" ht="15" customHeight="1" x14ac:dyDescent="0.3">
      <c r="A621" s="3">
        <v>8209657920</v>
      </c>
      <c r="B621" s="3" t="s">
        <v>650</v>
      </c>
      <c r="C621" s="3" t="s">
        <v>651</v>
      </c>
      <c r="D621" s="4">
        <v>46307.409849536998</v>
      </c>
      <c r="E621" s="5" t="s">
        <v>10</v>
      </c>
      <c r="F621" s="5" t="s">
        <v>16</v>
      </c>
      <c r="G621" s="5">
        <v>2</v>
      </c>
      <c r="H621" s="8" t="s">
        <v>12</v>
      </c>
      <c r="I621" t="s">
        <v>714</v>
      </c>
      <c r="K621" t="str">
        <f>+VLOOKUP(C621,'[1]TIENDAS 2025'!$A$1:$C$143,3,0)</f>
        <v>nocturna</v>
      </c>
      <c r="L621" t="str">
        <f>+VLOOKUP(C621,[2]Hoja1!$A$1:$B$138,2,0)</f>
        <v>APROBAR</v>
      </c>
      <c r="M621">
        <v>1</v>
      </c>
      <c r="N621" t="e">
        <v>#N/A</v>
      </c>
    </row>
    <row r="622" spans="1:14" ht="15" customHeight="1" x14ac:dyDescent="0.3">
      <c r="A622" s="3">
        <v>1209657895</v>
      </c>
      <c r="B622" s="3" t="s">
        <v>654</v>
      </c>
      <c r="C622" s="3" t="s">
        <v>655</v>
      </c>
      <c r="D622" s="4">
        <v>46307.409849536998</v>
      </c>
      <c r="E622" s="5" t="s">
        <v>10</v>
      </c>
      <c r="F622" s="5" t="s">
        <v>11</v>
      </c>
      <c r="G622" s="5">
        <v>11</v>
      </c>
      <c r="H622" s="6" t="s">
        <v>12</v>
      </c>
      <c r="I622" t="s">
        <v>715</v>
      </c>
      <c r="J622" t="s">
        <v>2480</v>
      </c>
      <c r="K622" t="str">
        <f>+VLOOKUP(C622,'[1]TIENDAS 2025'!$A$1:$C$143,3,0)</f>
        <v>departamental</v>
      </c>
      <c r="L622" t="str">
        <f>+VLOOKUP(C622,[2]Hoja1!$A$1:$B$138,2,0)</f>
        <v>APROBAR</v>
      </c>
      <c r="M622">
        <v>1</v>
      </c>
      <c r="N622" t="e">
        <v>#N/A</v>
      </c>
    </row>
    <row r="623" spans="1:14" ht="15" customHeight="1" x14ac:dyDescent="0.3">
      <c r="A623" s="3">
        <v>1209657924</v>
      </c>
      <c r="B623" s="3" t="s">
        <v>650</v>
      </c>
      <c r="C623" s="3" t="s">
        <v>651</v>
      </c>
      <c r="D623" s="4">
        <v>46307.409861111097</v>
      </c>
      <c r="E623" s="5" t="s">
        <v>10</v>
      </c>
      <c r="F623" s="5" t="s">
        <v>11</v>
      </c>
      <c r="G623" s="5">
        <v>13</v>
      </c>
      <c r="H623" s="6" t="s">
        <v>12</v>
      </c>
      <c r="I623" t="s">
        <v>716</v>
      </c>
      <c r="J623" t="s">
        <v>2480</v>
      </c>
      <c r="K623" t="str">
        <f>+VLOOKUP(C623,'[1]TIENDAS 2025'!$A$1:$C$143,3,0)</f>
        <v>nocturna</v>
      </c>
      <c r="L623" t="str">
        <f>+VLOOKUP(C623,[2]Hoja1!$A$1:$B$138,2,0)</f>
        <v>APROBAR</v>
      </c>
      <c r="M623">
        <v>1</v>
      </c>
      <c r="N623" t="e">
        <v>#N/A</v>
      </c>
    </row>
    <row r="624" spans="1:14" ht="15" customHeight="1" x14ac:dyDescent="0.3">
      <c r="A624" s="3">
        <v>1209657899</v>
      </c>
      <c r="B624" s="3" t="s">
        <v>654</v>
      </c>
      <c r="C624" s="3" t="s">
        <v>655</v>
      </c>
      <c r="D624" s="4">
        <v>46307.409884259301</v>
      </c>
      <c r="E624" s="5" t="s">
        <v>10</v>
      </c>
      <c r="F624" s="5" t="s">
        <v>17</v>
      </c>
      <c r="G624" s="5">
        <v>47</v>
      </c>
      <c r="H624" s="6" t="s">
        <v>12</v>
      </c>
      <c r="I624" t="s">
        <v>717</v>
      </c>
      <c r="J624" t="s">
        <v>2480</v>
      </c>
      <c r="K624" t="str">
        <f>+VLOOKUP(C624,'[1]TIENDAS 2025'!$A$1:$C$143,3,0)</f>
        <v>departamental</v>
      </c>
      <c r="L624" t="str">
        <f>+VLOOKUP(C624,[2]Hoja1!$A$1:$B$138,2,0)</f>
        <v>APROBAR</v>
      </c>
      <c r="M624">
        <v>1</v>
      </c>
      <c r="N624" t="e">
        <v>#N/A</v>
      </c>
    </row>
    <row r="625" spans="1:14" ht="15" customHeight="1" x14ac:dyDescent="0.3">
      <c r="A625" s="3">
        <v>1209657926</v>
      </c>
      <c r="B625" s="3" t="s">
        <v>650</v>
      </c>
      <c r="C625" s="3" t="s">
        <v>651</v>
      </c>
      <c r="D625" s="4">
        <v>46307.409895833298</v>
      </c>
      <c r="E625" s="5" t="s">
        <v>10</v>
      </c>
      <c r="F625" s="5" t="s">
        <v>11</v>
      </c>
      <c r="G625" s="5">
        <v>7</v>
      </c>
      <c r="H625" s="6" t="s">
        <v>12</v>
      </c>
      <c r="I625" t="s">
        <v>718</v>
      </c>
      <c r="J625" t="s">
        <v>2480</v>
      </c>
      <c r="K625" t="str">
        <f>+VLOOKUP(C625,'[1]TIENDAS 2025'!$A$1:$C$143,3,0)</f>
        <v>nocturna</v>
      </c>
      <c r="L625" t="str">
        <f>+VLOOKUP(C625,[2]Hoja1!$A$1:$B$138,2,0)</f>
        <v>APROBAR</v>
      </c>
      <c r="M625">
        <v>1</v>
      </c>
      <c r="N625" t="e">
        <v>#N/A</v>
      </c>
    </row>
    <row r="626" spans="1:14" ht="15" customHeight="1" x14ac:dyDescent="0.3">
      <c r="A626" s="3">
        <v>1209657821</v>
      </c>
      <c r="B626" s="3" t="s">
        <v>641</v>
      </c>
      <c r="C626" s="3" t="s">
        <v>642</v>
      </c>
      <c r="D626" s="4">
        <v>46307.409907407397</v>
      </c>
      <c r="E626" s="5" t="s">
        <v>10</v>
      </c>
      <c r="F626" s="5" t="s">
        <v>11</v>
      </c>
      <c r="G626" s="5">
        <v>13</v>
      </c>
      <c r="H626" s="6" t="s">
        <v>12</v>
      </c>
      <c r="I626" t="s">
        <v>719</v>
      </c>
      <c r="J626" t="s">
        <v>2480</v>
      </c>
      <c r="K626" t="str">
        <f>+VLOOKUP(C626,'[1]TIENDAS 2025'!$A$1:$C$143,3,0)</f>
        <v>departamental</v>
      </c>
      <c r="L626" t="str">
        <f>+VLOOKUP(C626,[2]Hoja1!$A$1:$B$138,2,0)</f>
        <v>APROBAR</v>
      </c>
      <c r="M626">
        <v>1</v>
      </c>
      <c r="N626" t="e">
        <v>#N/A</v>
      </c>
    </row>
    <row r="627" spans="1:14" ht="15" customHeight="1" x14ac:dyDescent="0.3">
      <c r="A627" s="3">
        <v>1209657891</v>
      </c>
      <c r="B627" s="3" t="s">
        <v>654</v>
      </c>
      <c r="C627" s="3" t="s">
        <v>655</v>
      </c>
      <c r="D627" s="4">
        <v>46307.409918981502</v>
      </c>
      <c r="E627" s="5" t="s">
        <v>10</v>
      </c>
      <c r="F627" s="5" t="s">
        <v>11</v>
      </c>
      <c r="G627" s="5">
        <v>8</v>
      </c>
      <c r="H627" s="6" t="s">
        <v>12</v>
      </c>
      <c r="I627" t="s">
        <v>720</v>
      </c>
      <c r="J627" t="s">
        <v>2480</v>
      </c>
      <c r="K627" t="str">
        <f>+VLOOKUP(C627,'[1]TIENDAS 2025'!$A$1:$C$143,3,0)</f>
        <v>departamental</v>
      </c>
      <c r="L627" t="str">
        <f>+VLOOKUP(C627,[2]Hoja1!$A$1:$B$138,2,0)</f>
        <v>APROBAR</v>
      </c>
      <c r="M627">
        <v>1</v>
      </c>
      <c r="N627" t="e">
        <v>#N/A</v>
      </c>
    </row>
    <row r="628" spans="1:14" ht="15" customHeight="1" x14ac:dyDescent="0.3">
      <c r="A628" s="3">
        <v>1209657857</v>
      </c>
      <c r="B628" s="3" t="s">
        <v>646</v>
      </c>
      <c r="C628" s="3" t="s">
        <v>647</v>
      </c>
      <c r="D628" s="4">
        <v>46307.409930555601</v>
      </c>
      <c r="E628" s="5" t="s">
        <v>10</v>
      </c>
      <c r="F628" s="5" t="s">
        <v>11</v>
      </c>
      <c r="G628" s="5">
        <v>12</v>
      </c>
      <c r="H628" s="6" t="s">
        <v>12</v>
      </c>
      <c r="I628" t="s">
        <v>721</v>
      </c>
      <c r="J628" t="s">
        <v>2480</v>
      </c>
      <c r="K628" t="str">
        <f>+VLOOKUP(C628,'[1]TIENDAS 2025'!$A$1:$C$143,3,0)</f>
        <v>local</v>
      </c>
      <c r="L628" t="str">
        <f>+VLOOKUP(C628,[2]Hoja1!$A$1:$B$138,2,0)</f>
        <v>APROBAR</v>
      </c>
      <c r="M628">
        <v>1</v>
      </c>
      <c r="N628" t="e">
        <v>#N/A</v>
      </c>
    </row>
    <row r="629" spans="1:14" ht="15" customHeight="1" x14ac:dyDescent="0.3">
      <c r="A629" s="3">
        <v>1209657898</v>
      </c>
      <c r="B629" s="3" t="s">
        <v>654</v>
      </c>
      <c r="C629" s="3" t="s">
        <v>655</v>
      </c>
      <c r="D629" s="4">
        <v>46307.409953703696</v>
      </c>
      <c r="E629" s="5" t="s">
        <v>10</v>
      </c>
      <c r="F629" s="5" t="s">
        <v>11</v>
      </c>
      <c r="G629" s="5">
        <v>47</v>
      </c>
      <c r="H629" s="6" t="s">
        <v>12</v>
      </c>
      <c r="I629" t="s">
        <v>722</v>
      </c>
      <c r="J629" t="s">
        <v>2480</v>
      </c>
      <c r="K629" t="str">
        <f>+VLOOKUP(C629,'[1]TIENDAS 2025'!$A$1:$C$143,3,0)</f>
        <v>departamental</v>
      </c>
      <c r="L629" t="str">
        <f>+VLOOKUP(C629,[2]Hoja1!$A$1:$B$138,2,0)</f>
        <v>APROBAR</v>
      </c>
      <c r="M629">
        <v>1</v>
      </c>
      <c r="N629" t="e">
        <v>#N/A</v>
      </c>
    </row>
    <row r="630" spans="1:14" ht="15" customHeight="1" x14ac:dyDescent="0.3">
      <c r="A630" s="3">
        <v>1209657927</v>
      </c>
      <c r="B630" s="3" t="s">
        <v>650</v>
      </c>
      <c r="C630" s="3" t="s">
        <v>651</v>
      </c>
      <c r="D630" s="4">
        <v>46307.409965277802</v>
      </c>
      <c r="E630" s="5" t="s">
        <v>10</v>
      </c>
      <c r="F630" s="5" t="s">
        <v>17</v>
      </c>
      <c r="G630" s="5">
        <v>15</v>
      </c>
      <c r="H630" s="6" t="s">
        <v>12</v>
      </c>
      <c r="I630" t="s">
        <v>723</v>
      </c>
      <c r="J630" t="s">
        <v>2480</v>
      </c>
      <c r="K630" t="str">
        <f>+VLOOKUP(C630,'[1]TIENDAS 2025'!$A$1:$C$143,3,0)</f>
        <v>nocturna</v>
      </c>
      <c r="L630" t="str">
        <f>+VLOOKUP(C630,[2]Hoja1!$A$1:$B$138,2,0)</f>
        <v>APROBAR</v>
      </c>
      <c r="M630">
        <v>1</v>
      </c>
      <c r="N630" t="e">
        <v>#N/A</v>
      </c>
    </row>
    <row r="631" spans="1:14" ht="15" customHeight="1" x14ac:dyDescent="0.3">
      <c r="A631" s="3">
        <v>1209657820</v>
      </c>
      <c r="B631" s="3" t="s">
        <v>641</v>
      </c>
      <c r="C631" s="3" t="s">
        <v>642</v>
      </c>
      <c r="D631" s="4">
        <v>46307.409965277802</v>
      </c>
      <c r="E631" s="5" t="s">
        <v>10</v>
      </c>
      <c r="F631" s="5" t="s">
        <v>11</v>
      </c>
      <c r="G631" s="5">
        <v>14</v>
      </c>
      <c r="H631" s="6" t="s">
        <v>12</v>
      </c>
      <c r="I631" t="s">
        <v>724</v>
      </c>
      <c r="J631" t="s">
        <v>2480</v>
      </c>
      <c r="K631" t="str">
        <f>+VLOOKUP(C631,'[1]TIENDAS 2025'!$A$1:$C$143,3,0)</f>
        <v>departamental</v>
      </c>
      <c r="L631" t="str">
        <f>+VLOOKUP(C631,[2]Hoja1!$A$1:$B$138,2,0)</f>
        <v>APROBAR</v>
      </c>
      <c r="M631">
        <v>1</v>
      </c>
      <c r="N631" t="e">
        <v>#N/A</v>
      </c>
    </row>
    <row r="632" spans="1:14" ht="15" customHeight="1" x14ac:dyDescent="0.3">
      <c r="A632" s="3">
        <v>1209657929</v>
      </c>
      <c r="B632" s="3" t="s">
        <v>650</v>
      </c>
      <c r="C632" s="3" t="s">
        <v>651</v>
      </c>
      <c r="D632" s="4">
        <v>46307.409988425898</v>
      </c>
      <c r="E632" s="5" t="s">
        <v>10</v>
      </c>
      <c r="F632" s="5" t="s">
        <v>11</v>
      </c>
      <c r="G632" s="5">
        <v>28</v>
      </c>
      <c r="H632" s="6" t="s">
        <v>12</v>
      </c>
      <c r="I632" t="s">
        <v>725</v>
      </c>
      <c r="J632" t="s">
        <v>2480</v>
      </c>
      <c r="K632" t="str">
        <f>+VLOOKUP(C632,'[1]TIENDAS 2025'!$A$1:$C$143,3,0)</f>
        <v>nocturna</v>
      </c>
      <c r="L632" t="str">
        <f>+VLOOKUP(C632,[2]Hoja1!$A$1:$B$138,2,0)</f>
        <v>APROBAR</v>
      </c>
      <c r="M632">
        <v>1</v>
      </c>
      <c r="N632" t="e">
        <v>#N/A</v>
      </c>
    </row>
    <row r="633" spans="1:14" ht="15" customHeight="1" x14ac:dyDescent="0.3">
      <c r="A633" s="3">
        <v>1209657824</v>
      </c>
      <c r="B633" s="3" t="s">
        <v>641</v>
      </c>
      <c r="C633" s="3" t="s">
        <v>642</v>
      </c>
      <c r="D633" s="4">
        <v>46307.41</v>
      </c>
      <c r="E633" s="5" t="s">
        <v>10</v>
      </c>
      <c r="F633" s="5" t="s">
        <v>11</v>
      </c>
      <c r="G633" s="5">
        <v>19</v>
      </c>
      <c r="H633" s="6" t="s">
        <v>12</v>
      </c>
      <c r="I633" t="s">
        <v>726</v>
      </c>
      <c r="J633" t="s">
        <v>2480</v>
      </c>
      <c r="K633" t="str">
        <f>+VLOOKUP(C633,'[1]TIENDAS 2025'!$A$1:$C$143,3,0)</f>
        <v>departamental</v>
      </c>
      <c r="L633" t="str">
        <f>+VLOOKUP(C633,[2]Hoja1!$A$1:$B$138,2,0)</f>
        <v>APROBAR</v>
      </c>
      <c r="M633">
        <v>1</v>
      </c>
      <c r="N633" t="e">
        <v>#N/A</v>
      </c>
    </row>
    <row r="634" spans="1:14" ht="15" customHeight="1" x14ac:dyDescent="0.3">
      <c r="A634" s="3">
        <v>8209657848</v>
      </c>
      <c r="B634" s="3" t="s">
        <v>646</v>
      </c>
      <c r="C634" s="3" t="s">
        <v>647</v>
      </c>
      <c r="D634" s="4">
        <v>46307.410011574102</v>
      </c>
      <c r="E634" s="5" t="s">
        <v>10</v>
      </c>
      <c r="F634" s="5" t="s">
        <v>16</v>
      </c>
      <c r="G634" s="5">
        <v>4</v>
      </c>
      <c r="H634" s="8" t="s">
        <v>12</v>
      </c>
      <c r="I634" t="s">
        <v>727</v>
      </c>
      <c r="K634" t="str">
        <f>+VLOOKUP(C634,'[1]TIENDAS 2025'!$A$1:$C$143,3,0)</f>
        <v>local</v>
      </c>
      <c r="L634" t="str">
        <f>+VLOOKUP(C634,[2]Hoja1!$A$1:$B$138,2,0)</f>
        <v>APROBAR</v>
      </c>
      <c r="M634">
        <v>1</v>
      </c>
      <c r="N634" t="e">
        <v>#N/A</v>
      </c>
    </row>
    <row r="635" spans="1:14" ht="15" customHeight="1" x14ac:dyDescent="0.3">
      <c r="A635" s="3">
        <v>8209657944</v>
      </c>
      <c r="B635" s="3" t="s">
        <v>638</v>
      </c>
      <c r="C635" s="3" t="s">
        <v>639</v>
      </c>
      <c r="D635" s="4">
        <v>46307.410034722197</v>
      </c>
      <c r="E635" s="5" t="s">
        <v>10</v>
      </c>
      <c r="F635" s="5" t="s">
        <v>16</v>
      </c>
      <c r="G635" s="5">
        <v>119</v>
      </c>
      <c r="H635" s="8" t="s">
        <v>12</v>
      </c>
      <c r="I635" t="s">
        <v>728</v>
      </c>
      <c r="K635" t="str">
        <f>+VLOOKUP(C635,'[1]TIENDAS 2025'!$A$1:$C$143,3,0)</f>
        <v>departamental</v>
      </c>
      <c r="L635" t="str">
        <f>+VLOOKUP(C635,[2]Hoja1!$A$1:$B$138,2,0)</f>
        <v>APROBAR</v>
      </c>
      <c r="M635">
        <v>1</v>
      </c>
      <c r="N635" t="e">
        <v>#N/A</v>
      </c>
    </row>
    <row r="636" spans="1:14" ht="15" customHeight="1" x14ac:dyDescent="0.3">
      <c r="A636" s="3">
        <v>8209657850</v>
      </c>
      <c r="B636" s="3" t="s">
        <v>646</v>
      </c>
      <c r="C636" s="3" t="s">
        <v>647</v>
      </c>
      <c r="D636" s="4">
        <v>46307.410034722197</v>
      </c>
      <c r="E636" s="5" t="s">
        <v>10</v>
      </c>
      <c r="F636" s="5" t="s">
        <v>16</v>
      </c>
      <c r="G636" s="5">
        <v>1</v>
      </c>
      <c r="H636" s="8" t="s">
        <v>12</v>
      </c>
      <c r="I636" t="s">
        <v>729</v>
      </c>
      <c r="K636" t="str">
        <f>+VLOOKUP(C636,'[1]TIENDAS 2025'!$A$1:$C$143,3,0)</f>
        <v>local</v>
      </c>
      <c r="L636" t="str">
        <f>+VLOOKUP(C636,[2]Hoja1!$A$1:$B$138,2,0)</f>
        <v>APROBAR</v>
      </c>
      <c r="M636">
        <v>1</v>
      </c>
      <c r="N636" t="e">
        <v>#N/A</v>
      </c>
    </row>
    <row r="637" spans="1:14" ht="15" customHeight="1" x14ac:dyDescent="0.3">
      <c r="A637" s="3">
        <v>8209658013</v>
      </c>
      <c r="B637" s="3" t="s">
        <v>731</v>
      </c>
      <c r="C637" s="3" t="s">
        <v>732</v>
      </c>
      <c r="D637" s="4">
        <v>46307.412407407399</v>
      </c>
      <c r="E637" s="5" t="s">
        <v>10</v>
      </c>
      <c r="F637" s="5" t="s">
        <v>16</v>
      </c>
      <c r="G637" s="5">
        <v>2</v>
      </c>
      <c r="H637" s="8" t="s">
        <v>12</v>
      </c>
      <c r="I637" t="s">
        <v>730</v>
      </c>
      <c r="K637" t="str">
        <f>+VLOOKUP(C637,'[1]TIENDAS 2025'!$A$1:$C$143,3,0)</f>
        <v>local</v>
      </c>
      <c r="L637" t="str">
        <f>+VLOOKUP(C637,[2]Hoja1!$A$1:$B$138,2,0)</f>
        <v>APROBAR</v>
      </c>
      <c r="M637">
        <v>1</v>
      </c>
      <c r="N637" t="e">
        <v>#N/A</v>
      </c>
    </row>
    <row r="638" spans="1:14" ht="15" customHeight="1" x14ac:dyDescent="0.3">
      <c r="A638" s="3">
        <v>1209658015</v>
      </c>
      <c r="B638" s="3" t="s">
        <v>731</v>
      </c>
      <c r="C638" s="3" t="s">
        <v>732</v>
      </c>
      <c r="D638" s="4">
        <v>46307.412418981497</v>
      </c>
      <c r="E638" s="5" t="s">
        <v>10</v>
      </c>
      <c r="F638" s="5" t="s">
        <v>11</v>
      </c>
      <c r="G638" s="5">
        <v>1</v>
      </c>
      <c r="H638" s="6" t="s">
        <v>12</v>
      </c>
      <c r="I638" t="s">
        <v>733</v>
      </c>
      <c r="J638" t="s">
        <v>2480</v>
      </c>
      <c r="K638" t="str">
        <f>+VLOOKUP(C638,'[1]TIENDAS 2025'!$A$1:$C$143,3,0)</f>
        <v>local</v>
      </c>
      <c r="L638" t="str">
        <f>+VLOOKUP(C638,[2]Hoja1!$A$1:$B$138,2,0)</f>
        <v>APROBAR</v>
      </c>
      <c r="M638">
        <v>1</v>
      </c>
      <c r="N638" t="e">
        <v>#N/A</v>
      </c>
    </row>
    <row r="639" spans="1:14" ht="15" customHeight="1" x14ac:dyDescent="0.3">
      <c r="A639" s="3">
        <v>1209658062</v>
      </c>
      <c r="B639" s="3" t="s">
        <v>735</v>
      </c>
      <c r="C639" s="3" t="s">
        <v>736</v>
      </c>
      <c r="D639" s="4">
        <v>46307.412418981497</v>
      </c>
      <c r="E639" s="5" t="s">
        <v>10</v>
      </c>
      <c r="F639" s="5" t="s">
        <v>11</v>
      </c>
      <c r="G639" s="5">
        <v>26</v>
      </c>
      <c r="H639" s="6" t="s">
        <v>12</v>
      </c>
      <c r="I639" t="s">
        <v>734</v>
      </c>
      <c r="J639" t="s">
        <v>2480</v>
      </c>
      <c r="K639" t="str">
        <f>+VLOOKUP(C639,'[1]TIENDAS 2025'!$A$1:$C$143,3,0)</f>
        <v>local</v>
      </c>
      <c r="L639" t="str">
        <f>+VLOOKUP(C639,[2]Hoja1!$A$1:$B$138,2,0)</f>
        <v>APROBAR</v>
      </c>
      <c r="M639">
        <v>1</v>
      </c>
      <c r="N639" t="e">
        <v>#N/A</v>
      </c>
    </row>
    <row r="640" spans="1:14" ht="15" customHeight="1" x14ac:dyDescent="0.3">
      <c r="A640" s="3">
        <v>1209658021</v>
      </c>
      <c r="B640" s="3" t="s">
        <v>731</v>
      </c>
      <c r="C640" s="3" t="s">
        <v>732</v>
      </c>
      <c r="D640" s="4">
        <v>46307.4124421296</v>
      </c>
      <c r="E640" s="5" t="s">
        <v>10</v>
      </c>
      <c r="F640" s="5" t="s">
        <v>11</v>
      </c>
      <c r="G640" s="5">
        <v>14</v>
      </c>
      <c r="H640" s="6" t="s">
        <v>12</v>
      </c>
      <c r="I640" t="s">
        <v>737</v>
      </c>
      <c r="J640" t="s">
        <v>2480</v>
      </c>
      <c r="K640" t="str">
        <f>+VLOOKUP(C640,'[1]TIENDAS 2025'!$A$1:$C$143,3,0)</f>
        <v>local</v>
      </c>
      <c r="L640" t="str">
        <f>+VLOOKUP(C640,[2]Hoja1!$A$1:$B$138,2,0)</f>
        <v>APROBAR</v>
      </c>
      <c r="M640">
        <v>1</v>
      </c>
      <c r="N640" t="e">
        <v>#N/A</v>
      </c>
    </row>
    <row r="641" spans="1:14" ht="15" customHeight="1" x14ac:dyDescent="0.3">
      <c r="A641" s="3">
        <v>1209658045</v>
      </c>
      <c r="B641" s="3" t="s">
        <v>739</v>
      </c>
      <c r="C641" s="3" t="s">
        <v>740</v>
      </c>
      <c r="D641" s="4">
        <v>46307.412453703699</v>
      </c>
      <c r="E641" s="5" t="s">
        <v>10</v>
      </c>
      <c r="F641" s="5" t="s">
        <v>17</v>
      </c>
      <c r="G641" s="5">
        <v>48</v>
      </c>
      <c r="H641" s="6" t="s">
        <v>12</v>
      </c>
      <c r="I641" t="s">
        <v>738</v>
      </c>
      <c r="J641" t="s">
        <v>2480</v>
      </c>
      <c r="K641" t="str">
        <f>+VLOOKUP(C641,'[1]TIENDAS 2025'!$A$1:$C$143,3,0)</f>
        <v>local</v>
      </c>
      <c r="L641" t="str">
        <f>+VLOOKUP(C641,[2]Hoja1!$A$1:$B$138,2,0)</f>
        <v>APROBAR</v>
      </c>
      <c r="M641">
        <v>1</v>
      </c>
      <c r="N641" t="e">
        <v>#N/A</v>
      </c>
    </row>
    <row r="642" spans="1:14" ht="15" customHeight="1" x14ac:dyDescent="0.3">
      <c r="A642" s="3">
        <v>1209658065</v>
      </c>
      <c r="B642" s="3" t="s">
        <v>735</v>
      </c>
      <c r="C642" s="3" t="s">
        <v>736</v>
      </c>
      <c r="D642" s="4">
        <v>46307.4124884259</v>
      </c>
      <c r="E642" s="5" t="s">
        <v>10</v>
      </c>
      <c r="F642" s="5" t="s">
        <v>11</v>
      </c>
      <c r="G642" s="5">
        <v>48</v>
      </c>
      <c r="H642" s="6" t="s">
        <v>12</v>
      </c>
      <c r="I642" t="s">
        <v>741</v>
      </c>
      <c r="J642" t="s">
        <v>2480</v>
      </c>
      <c r="K642" t="str">
        <f>+VLOOKUP(C642,'[1]TIENDAS 2025'!$A$1:$C$143,3,0)</f>
        <v>local</v>
      </c>
      <c r="L642" t="str">
        <f>+VLOOKUP(C642,[2]Hoja1!$A$1:$B$138,2,0)</f>
        <v>APROBAR</v>
      </c>
      <c r="M642">
        <v>1</v>
      </c>
      <c r="N642" t="e">
        <v>#N/A</v>
      </c>
    </row>
    <row r="643" spans="1:14" ht="15" customHeight="1" x14ac:dyDescent="0.3">
      <c r="A643" s="3">
        <v>1209657985</v>
      </c>
      <c r="B643" s="3" t="s">
        <v>743</v>
      </c>
      <c r="C643" s="3" t="s">
        <v>744</v>
      </c>
      <c r="D643" s="4">
        <v>46307.412499999999</v>
      </c>
      <c r="E643" s="5" t="s">
        <v>10</v>
      </c>
      <c r="F643" s="5" t="s">
        <v>17</v>
      </c>
      <c r="G643" s="5">
        <v>8</v>
      </c>
      <c r="H643" s="6" t="s">
        <v>12</v>
      </c>
      <c r="I643" t="s">
        <v>742</v>
      </c>
      <c r="J643" t="s">
        <v>2480</v>
      </c>
      <c r="K643" t="str">
        <f>+VLOOKUP(C643,'[1]TIENDAS 2025'!$A$1:$C$143,3,0)</f>
        <v>departamental</v>
      </c>
      <c r="L643" t="str">
        <f>+VLOOKUP(C643,[2]Hoja1!$A$1:$B$138,2,0)</f>
        <v>APROBAR</v>
      </c>
      <c r="M643">
        <v>1</v>
      </c>
      <c r="N643" t="e">
        <v>#N/A</v>
      </c>
    </row>
    <row r="644" spans="1:14" ht="15" customHeight="1" x14ac:dyDescent="0.3">
      <c r="A644" s="3">
        <v>8209658047</v>
      </c>
      <c r="B644" s="3" t="s">
        <v>739</v>
      </c>
      <c r="C644" s="3" t="s">
        <v>740</v>
      </c>
      <c r="D644" s="4">
        <v>46307.412523148101</v>
      </c>
      <c r="E644" s="5" t="s">
        <v>10</v>
      </c>
      <c r="F644" s="5" t="s">
        <v>16</v>
      </c>
      <c r="G644" s="5">
        <v>4</v>
      </c>
      <c r="H644" s="8" t="s">
        <v>12</v>
      </c>
      <c r="I644" t="s">
        <v>745</v>
      </c>
      <c r="K644" t="str">
        <f>+VLOOKUP(C644,'[1]TIENDAS 2025'!$A$1:$C$143,3,0)</f>
        <v>local</v>
      </c>
      <c r="L644" t="str">
        <f>+VLOOKUP(C644,[2]Hoja1!$A$1:$B$138,2,0)</f>
        <v>APROBAR</v>
      </c>
      <c r="M644">
        <v>1</v>
      </c>
      <c r="N644" t="e">
        <v>#N/A</v>
      </c>
    </row>
    <row r="645" spans="1:14" ht="15" customHeight="1" x14ac:dyDescent="0.3">
      <c r="A645" s="3">
        <v>1209657986</v>
      </c>
      <c r="B645" s="3" t="s">
        <v>743</v>
      </c>
      <c r="C645" s="3" t="s">
        <v>744</v>
      </c>
      <c r="D645" s="4">
        <v>46307.4125347222</v>
      </c>
      <c r="E645" s="5" t="s">
        <v>10</v>
      </c>
      <c r="F645" s="5" t="s">
        <v>11</v>
      </c>
      <c r="G645" s="5">
        <v>13</v>
      </c>
      <c r="H645" s="6" t="s">
        <v>12</v>
      </c>
      <c r="I645" t="s">
        <v>746</v>
      </c>
      <c r="J645" t="s">
        <v>2480</v>
      </c>
      <c r="K645" t="str">
        <f>+VLOOKUP(C645,'[1]TIENDAS 2025'!$A$1:$C$143,3,0)</f>
        <v>departamental</v>
      </c>
      <c r="L645" t="str">
        <f>+VLOOKUP(C645,[2]Hoja1!$A$1:$B$138,2,0)</f>
        <v>APROBAR</v>
      </c>
      <c r="M645">
        <v>1</v>
      </c>
      <c r="N645" t="e">
        <v>#N/A</v>
      </c>
    </row>
    <row r="646" spans="1:14" ht="15" customHeight="1" x14ac:dyDescent="0.3">
      <c r="A646" s="3">
        <v>1209658049</v>
      </c>
      <c r="B646" s="3" t="s">
        <v>739</v>
      </c>
      <c r="C646" s="3" t="s">
        <v>740</v>
      </c>
      <c r="D646" s="4">
        <v>46307.412546296298</v>
      </c>
      <c r="E646" s="5" t="s">
        <v>10</v>
      </c>
      <c r="F646" s="5" t="s">
        <v>17</v>
      </c>
      <c r="G646" s="5">
        <v>21</v>
      </c>
      <c r="H646" s="6" t="s">
        <v>12</v>
      </c>
      <c r="I646" t="s">
        <v>747</v>
      </c>
      <c r="J646" t="s">
        <v>2480</v>
      </c>
      <c r="K646" t="str">
        <f>+VLOOKUP(C646,'[1]TIENDAS 2025'!$A$1:$C$143,3,0)</f>
        <v>local</v>
      </c>
      <c r="L646" t="str">
        <f>+VLOOKUP(C646,[2]Hoja1!$A$1:$B$138,2,0)</f>
        <v>APROBAR</v>
      </c>
      <c r="M646">
        <v>1</v>
      </c>
      <c r="N646" t="e">
        <v>#N/A</v>
      </c>
    </row>
    <row r="647" spans="1:14" ht="15" customHeight="1" x14ac:dyDescent="0.3">
      <c r="A647" s="3">
        <v>1209657987</v>
      </c>
      <c r="B647" s="3" t="s">
        <v>743</v>
      </c>
      <c r="C647" s="3" t="s">
        <v>744</v>
      </c>
      <c r="D647" s="4">
        <v>46307.412569444401</v>
      </c>
      <c r="E647" s="5" t="s">
        <v>10</v>
      </c>
      <c r="F647" s="5" t="s">
        <v>11</v>
      </c>
      <c r="G647" s="5">
        <v>21</v>
      </c>
      <c r="H647" s="6" t="s">
        <v>12</v>
      </c>
      <c r="I647" t="s">
        <v>748</v>
      </c>
      <c r="J647" t="s">
        <v>2480</v>
      </c>
      <c r="K647" t="str">
        <f>+VLOOKUP(C647,'[1]TIENDAS 2025'!$A$1:$C$143,3,0)</f>
        <v>departamental</v>
      </c>
      <c r="L647" t="str">
        <f>+VLOOKUP(C647,[2]Hoja1!$A$1:$B$138,2,0)</f>
        <v>APROBAR</v>
      </c>
      <c r="M647">
        <v>1</v>
      </c>
      <c r="N647" t="e">
        <v>#N/A</v>
      </c>
    </row>
    <row r="648" spans="1:14" ht="15" customHeight="1" x14ac:dyDescent="0.3">
      <c r="A648" s="3">
        <v>1209658067</v>
      </c>
      <c r="B648" s="3" t="s">
        <v>735</v>
      </c>
      <c r="C648" s="3" t="s">
        <v>736</v>
      </c>
      <c r="D648" s="4">
        <v>46307.412569444401</v>
      </c>
      <c r="E648" s="5" t="s">
        <v>10</v>
      </c>
      <c r="F648" s="5" t="s">
        <v>11</v>
      </c>
      <c r="G648" s="5">
        <v>5</v>
      </c>
      <c r="H648" s="6" t="s">
        <v>12</v>
      </c>
      <c r="I648" t="s">
        <v>749</v>
      </c>
      <c r="J648" t="s">
        <v>2480</v>
      </c>
      <c r="K648" t="str">
        <f>+VLOOKUP(C648,'[1]TIENDAS 2025'!$A$1:$C$143,3,0)</f>
        <v>local</v>
      </c>
      <c r="L648" t="str">
        <f>+VLOOKUP(C648,[2]Hoja1!$A$1:$B$138,2,0)</f>
        <v>APROBAR</v>
      </c>
      <c r="M648">
        <v>1</v>
      </c>
      <c r="N648" t="e">
        <v>#N/A</v>
      </c>
    </row>
    <row r="649" spans="1:14" ht="15" customHeight="1" x14ac:dyDescent="0.3">
      <c r="A649" s="3">
        <v>8209658057</v>
      </c>
      <c r="B649" s="3" t="s">
        <v>735</v>
      </c>
      <c r="C649" s="3" t="s">
        <v>736</v>
      </c>
      <c r="D649" s="4">
        <v>46307.412592592598</v>
      </c>
      <c r="E649" s="5" t="s">
        <v>10</v>
      </c>
      <c r="F649" s="5" t="s">
        <v>16</v>
      </c>
      <c r="G649" s="5">
        <v>5</v>
      </c>
      <c r="H649" s="8" t="s">
        <v>12</v>
      </c>
      <c r="I649" t="s">
        <v>750</v>
      </c>
      <c r="K649" t="str">
        <f>+VLOOKUP(C649,'[1]TIENDAS 2025'!$A$1:$C$143,3,0)</f>
        <v>local</v>
      </c>
      <c r="L649" t="str">
        <f>+VLOOKUP(C649,[2]Hoja1!$A$1:$B$138,2,0)</f>
        <v>APROBAR</v>
      </c>
      <c r="M649">
        <v>1</v>
      </c>
      <c r="N649" t="e">
        <v>#N/A</v>
      </c>
    </row>
    <row r="650" spans="1:14" ht="15" customHeight="1" x14ac:dyDescent="0.3">
      <c r="A650" s="3">
        <v>8209658011</v>
      </c>
      <c r="B650" s="3" t="s">
        <v>731</v>
      </c>
      <c r="C650" s="3" t="s">
        <v>732</v>
      </c>
      <c r="D650" s="4">
        <v>46307.412604166697</v>
      </c>
      <c r="E650" s="5" t="s">
        <v>10</v>
      </c>
      <c r="F650" s="5" t="s">
        <v>16</v>
      </c>
      <c r="G650" s="5">
        <v>2</v>
      </c>
      <c r="H650" s="8" t="s">
        <v>12</v>
      </c>
      <c r="I650" t="s">
        <v>751</v>
      </c>
      <c r="K650" t="str">
        <f>+VLOOKUP(C650,'[1]TIENDAS 2025'!$A$1:$C$143,3,0)</f>
        <v>local</v>
      </c>
      <c r="L650" t="str">
        <f>+VLOOKUP(C650,[2]Hoja1!$A$1:$B$138,2,0)</f>
        <v>APROBAR</v>
      </c>
      <c r="M650">
        <v>1</v>
      </c>
      <c r="N650" t="e">
        <v>#N/A</v>
      </c>
    </row>
    <row r="651" spans="1:14" ht="15" customHeight="1" x14ac:dyDescent="0.3">
      <c r="A651" s="3">
        <v>1209658018</v>
      </c>
      <c r="B651" s="3" t="s">
        <v>731</v>
      </c>
      <c r="C651" s="3" t="s">
        <v>732</v>
      </c>
      <c r="D651" s="4">
        <v>46307.412615740701</v>
      </c>
      <c r="E651" s="5" t="s">
        <v>10</v>
      </c>
      <c r="F651" s="5" t="s">
        <v>11</v>
      </c>
      <c r="G651" s="5">
        <v>7</v>
      </c>
      <c r="H651" s="6" t="s">
        <v>12</v>
      </c>
      <c r="I651" t="s">
        <v>752</v>
      </c>
      <c r="J651" t="s">
        <v>2480</v>
      </c>
      <c r="K651" t="str">
        <f>+VLOOKUP(C651,'[1]TIENDAS 2025'!$A$1:$C$143,3,0)</f>
        <v>local</v>
      </c>
      <c r="L651" t="str">
        <f>+VLOOKUP(C651,[2]Hoja1!$A$1:$B$138,2,0)</f>
        <v>APROBAR</v>
      </c>
      <c r="M651">
        <v>1</v>
      </c>
      <c r="N651" t="e">
        <v>#N/A</v>
      </c>
    </row>
    <row r="652" spans="1:14" ht="15" customHeight="1" x14ac:dyDescent="0.3">
      <c r="A652" s="3">
        <v>1209658020</v>
      </c>
      <c r="B652" s="3" t="s">
        <v>731</v>
      </c>
      <c r="C652" s="3" t="s">
        <v>732</v>
      </c>
      <c r="D652" s="4">
        <v>46307.412627314799</v>
      </c>
      <c r="E652" s="5" t="s">
        <v>10</v>
      </c>
      <c r="F652" s="5" t="s">
        <v>11</v>
      </c>
      <c r="G652" s="5">
        <v>17</v>
      </c>
      <c r="H652" s="6" t="s">
        <v>12</v>
      </c>
      <c r="I652" t="s">
        <v>753</v>
      </c>
      <c r="J652" t="s">
        <v>2480</v>
      </c>
      <c r="K652" t="str">
        <f>+VLOOKUP(C652,'[1]TIENDAS 2025'!$A$1:$C$143,3,0)</f>
        <v>local</v>
      </c>
      <c r="L652" t="str">
        <f>+VLOOKUP(C652,[2]Hoja1!$A$1:$B$138,2,0)</f>
        <v>APROBAR</v>
      </c>
      <c r="M652">
        <v>1</v>
      </c>
      <c r="N652" t="e">
        <v>#N/A</v>
      </c>
    </row>
    <row r="653" spans="1:14" ht="15" customHeight="1" x14ac:dyDescent="0.3">
      <c r="A653" s="3">
        <v>1209658022</v>
      </c>
      <c r="B653" s="3" t="s">
        <v>731</v>
      </c>
      <c r="C653" s="3" t="s">
        <v>732</v>
      </c>
      <c r="D653" s="4">
        <v>46307.412638888898</v>
      </c>
      <c r="E653" s="5" t="s">
        <v>10</v>
      </c>
      <c r="F653" s="5" t="s">
        <v>11</v>
      </c>
      <c r="G653" s="5">
        <v>23</v>
      </c>
      <c r="H653" s="6" t="s">
        <v>12</v>
      </c>
      <c r="I653" t="s">
        <v>754</v>
      </c>
      <c r="J653" t="s">
        <v>2480</v>
      </c>
      <c r="K653" t="str">
        <f>+VLOOKUP(C653,'[1]TIENDAS 2025'!$A$1:$C$143,3,0)</f>
        <v>local</v>
      </c>
      <c r="L653" t="str">
        <f>+VLOOKUP(C653,[2]Hoja1!$A$1:$B$138,2,0)</f>
        <v>APROBAR</v>
      </c>
      <c r="M653">
        <v>1</v>
      </c>
      <c r="N653" t="e">
        <v>#N/A</v>
      </c>
    </row>
    <row r="654" spans="1:14" ht="15" customHeight="1" x14ac:dyDescent="0.3">
      <c r="A654" s="3">
        <v>1209657989</v>
      </c>
      <c r="B654" s="3" t="s">
        <v>743</v>
      </c>
      <c r="C654" s="3" t="s">
        <v>744</v>
      </c>
      <c r="D654" s="4">
        <v>46307.412696759297</v>
      </c>
      <c r="E654" s="5" t="s">
        <v>10</v>
      </c>
      <c r="F654" s="5" t="s">
        <v>11</v>
      </c>
      <c r="G654" s="5">
        <v>3</v>
      </c>
      <c r="H654" s="6" t="s">
        <v>12</v>
      </c>
      <c r="I654" t="s">
        <v>755</v>
      </c>
      <c r="J654" t="s">
        <v>2480</v>
      </c>
      <c r="K654" t="str">
        <f>+VLOOKUP(C654,'[1]TIENDAS 2025'!$A$1:$C$143,3,0)</f>
        <v>departamental</v>
      </c>
      <c r="L654" t="str">
        <f>+VLOOKUP(C654,[2]Hoja1!$A$1:$B$138,2,0)</f>
        <v>APROBAR</v>
      </c>
      <c r="M654">
        <v>1</v>
      </c>
      <c r="N654" t="e">
        <v>#N/A</v>
      </c>
    </row>
    <row r="655" spans="1:14" ht="15" customHeight="1" x14ac:dyDescent="0.3">
      <c r="A655" s="3">
        <v>8209658054</v>
      </c>
      <c r="B655" s="3" t="s">
        <v>735</v>
      </c>
      <c r="C655" s="3" t="s">
        <v>736</v>
      </c>
      <c r="D655" s="4">
        <v>46307.412708333301</v>
      </c>
      <c r="E655" s="5" t="s">
        <v>10</v>
      </c>
      <c r="F655" s="5" t="s">
        <v>16</v>
      </c>
      <c r="G655" s="5">
        <v>12</v>
      </c>
      <c r="H655" s="8" t="s">
        <v>12</v>
      </c>
      <c r="I655" t="s">
        <v>756</v>
      </c>
      <c r="K655" t="str">
        <f>+VLOOKUP(C655,'[1]TIENDAS 2025'!$A$1:$C$143,3,0)</f>
        <v>local</v>
      </c>
      <c r="L655" t="str">
        <f>+VLOOKUP(C655,[2]Hoja1!$A$1:$B$138,2,0)</f>
        <v>APROBAR</v>
      </c>
      <c r="M655">
        <v>1</v>
      </c>
      <c r="N655" t="e">
        <v>#N/A</v>
      </c>
    </row>
    <row r="656" spans="1:14" ht="15" customHeight="1" x14ac:dyDescent="0.3">
      <c r="A656" s="3">
        <v>1209658059</v>
      </c>
      <c r="B656" s="3" t="s">
        <v>735</v>
      </c>
      <c r="C656" s="3" t="s">
        <v>736</v>
      </c>
      <c r="D656" s="4">
        <v>46307.412719907399</v>
      </c>
      <c r="E656" s="5" t="s">
        <v>10</v>
      </c>
      <c r="F656" s="5" t="s">
        <v>17</v>
      </c>
      <c r="G656" s="5">
        <v>11</v>
      </c>
      <c r="H656" s="6" t="s">
        <v>12</v>
      </c>
      <c r="I656" t="s">
        <v>757</v>
      </c>
      <c r="J656" t="s">
        <v>2480</v>
      </c>
      <c r="K656" t="str">
        <f>+VLOOKUP(C656,'[1]TIENDAS 2025'!$A$1:$C$143,3,0)</f>
        <v>local</v>
      </c>
      <c r="L656" t="str">
        <f>+VLOOKUP(C656,[2]Hoja1!$A$1:$B$138,2,0)</f>
        <v>APROBAR</v>
      </c>
      <c r="M656">
        <v>1</v>
      </c>
      <c r="N656" t="e">
        <v>#N/A</v>
      </c>
    </row>
    <row r="657" spans="1:14" ht="15" customHeight="1" x14ac:dyDescent="0.3">
      <c r="A657" s="3">
        <v>1209658016</v>
      </c>
      <c r="B657" s="3" t="s">
        <v>731</v>
      </c>
      <c r="C657" s="3" t="s">
        <v>732</v>
      </c>
      <c r="D657" s="4">
        <v>46307.412743055596</v>
      </c>
      <c r="E657" s="5" t="s">
        <v>10</v>
      </c>
      <c r="F657" s="5" t="s">
        <v>11</v>
      </c>
      <c r="G657" s="5">
        <v>1</v>
      </c>
      <c r="H657" s="6" t="s">
        <v>12</v>
      </c>
      <c r="I657" t="s">
        <v>758</v>
      </c>
      <c r="J657" t="s">
        <v>2480</v>
      </c>
      <c r="K657" t="str">
        <f>+VLOOKUP(C657,'[1]TIENDAS 2025'!$A$1:$C$143,3,0)</f>
        <v>local</v>
      </c>
      <c r="L657" t="str">
        <f>+VLOOKUP(C657,[2]Hoja1!$A$1:$B$138,2,0)</f>
        <v>APROBAR</v>
      </c>
      <c r="M657">
        <v>1</v>
      </c>
      <c r="N657" t="e">
        <v>#N/A</v>
      </c>
    </row>
    <row r="658" spans="1:14" ht="15" customHeight="1" x14ac:dyDescent="0.3">
      <c r="A658" s="3">
        <v>1209658040</v>
      </c>
      <c r="B658" s="3" t="s">
        <v>739</v>
      </c>
      <c r="C658" s="3" t="s">
        <v>740</v>
      </c>
      <c r="D658" s="4">
        <v>46307.412743055596</v>
      </c>
      <c r="E658" s="5" t="s">
        <v>10</v>
      </c>
      <c r="F658" s="5" t="s">
        <v>11</v>
      </c>
      <c r="G658" s="5">
        <v>10</v>
      </c>
      <c r="H658" s="6" t="s">
        <v>12</v>
      </c>
      <c r="I658" t="s">
        <v>759</v>
      </c>
      <c r="J658" t="s">
        <v>2480</v>
      </c>
      <c r="K658" t="str">
        <f>+VLOOKUP(C658,'[1]TIENDAS 2025'!$A$1:$C$143,3,0)</f>
        <v>local</v>
      </c>
      <c r="L658" t="str">
        <f>+VLOOKUP(C658,[2]Hoja1!$A$1:$B$138,2,0)</f>
        <v>APROBAR</v>
      </c>
      <c r="M658">
        <v>1</v>
      </c>
      <c r="N658" t="e">
        <v>#N/A</v>
      </c>
    </row>
    <row r="659" spans="1:14" ht="15" customHeight="1" x14ac:dyDescent="0.3">
      <c r="A659" s="3">
        <v>1209657984</v>
      </c>
      <c r="B659" s="3" t="s">
        <v>743</v>
      </c>
      <c r="C659" s="3" t="s">
        <v>744</v>
      </c>
      <c r="D659" s="4">
        <v>46307.412789351903</v>
      </c>
      <c r="E659" s="5" t="s">
        <v>10</v>
      </c>
      <c r="F659" s="5" t="s">
        <v>11</v>
      </c>
      <c r="G659" s="5">
        <v>9</v>
      </c>
      <c r="H659" s="6" t="s">
        <v>12</v>
      </c>
      <c r="I659" t="s">
        <v>760</v>
      </c>
      <c r="J659" t="s">
        <v>2480</v>
      </c>
      <c r="K659" t="str">
        <f>+VLOOKUP(C659,'[1]TIENDAS 2025'!$A$1:$C$143,3,0)</f>
        <v>departamental</v>
      </c>
      <c r="L659" t="str">
        <f>+VLOOKUP(C659,[2]Hoja1!$A$1:$B$138,2,0)</f>
        <v>APROBAR</v>
      </c>
      <c r="M659">
        <v>1</v>
      </c>
      <c r="N659" t="e">
        <v>#N/A</v>
      </c>
    </row>
    <row r="660" spans="1:14" ht="15" customHeight="1" x14ac:dyDescent="0.3">
      <c r="A660" s="3">
        <v>8209658055</v>
      </c>
      <c r="B660" s="3" t="s">
        <v>735</v>
      </c>
      <c r="C660" s="3" t="s">
        <v>736</v>
      </c>
      <c r="D660" s="4">
        <v>46307.4128009259</v>
      </c>
      <c r="E660" s="5" t="s">
        <v>10</v>
      </c>
      <c r="F660" s="5" t="s">
        <v>16</v>
      </c>
      <c r="G660" s="5">
        <v>5</v>
      </c>
      <c r="H660" s="8" t="s">
        <v>12</v>
      </c>
      <c r="I660" t="s">
        <v>761</v>
      </c>
      <c r="K660" t="str">
        <f>+VLOOKUP(C660,'[1]TIENDAS 2025'!$A$1:$C$143,3,0)</f>
        <v>local</v>
      </c>
      <c r="L660" t="str">
        <f>+VLOOKUP(C660,[2]Hoja1!$A$1:$B$138,2,0)</f>
        <v>APROBAR</v>
      </c>
      <c r="M660">
        <v>1</v>
      </c>
      <c r="N660" t="e">
        <v>#N/A</v>
      </c>
    </row>
    <row r="661" spans="1:14" ht="15" customHeight="1" x14ac:dyDescent="0.3">
      <c r="A661" s="3">
        <v>1209657991</v>
      </c>
      <c r="B661" s="3" t="s">
        <v>743</v>
      </c>
      <c r="C661" s="3" t="s">
        <v>744</v>
      </c>
      <c r="D661" s="4">
        <v>46307.412824074097</v>
      </c>
      <c r="E661" s="5" t="s">
        <v>10</v>
      </c>
      <c r="F661" s="5" t="s">
        <v>11</v>
      </c>
      <c r="G661" s="5">
        <v>52</v>
      </c>
      <c r="H661" s="6" t="s">
        <v>12</v>
      </c>
      <c r="I661" t="s">
        <v>762</v>
      </c>
      <c r="J661" t="s">
        <v>2480</v>
      </c>
      <c r="K661" t="str">
        <f>+VLOOKUP(C661,'[1]TIENDAS 2025'!$A$1:$C$143,3,0)</f>
        <v>departamental</v>
      </c>
      <c r="L661" t="str">
        <f>+VLOOKUP(C661,[2]Hoja1!$A$1:$B$138,2,0)</f>
        <v>APROBAR</v>
      </c>
      <c r="M661">
        <v>1</v>
      </c>
      <c r="N661" t="e">
        <v>#N/A</v>
      </c>
    </row>
    <row r="662" spans="1:14" ht="15" customHeight="1" x14ac:dyDescent="0.3">
      <c r="A662" s="3">
        <v>8209658056</v>
      </c>
      <c r="B662" s="3" t="s">
        <v>735</v>
      </c>
      <c r="C662" s="3" t="s">
        <v>736</v>
      </c>
      <c r="D662" s="4">
        <v>46307.412824074097</v>
      </c>
      <c r="E662" s="5" t="s">
        <v>10</v>
      </c>
      <c r="F662" s="5" t="s">
        <v>16</v>
      </c>
      <c r="G662" s="5">
        <v>6</v>
      </c>
      <c r="H662" s="8" t="s">
        <v>12</v>
      </c>
      <c r="I662" t="s">
        <v>763</v>
      </c>
      <c r="K662" t="str">
        <f>+VLOOKUP(C662,'[1]TIENDAS 2025'!$A$1:$C$143,3,0)</f>
        <v>local</v>
      </c>
      <c r="L662" t="str">
        <f>+VLOOKUP(C662,[2]Hoja1!$A$1:$B$138,2,0)</f>
        <v>APROBAR</v>
      </c>
      <c r="M662">
        <v>1</v>
      </c>
      <c r="N662" t="e">
        <v>#N/A</v>
      </c>
    </row>
    <row r="663" spans="1:14" ht="15" customHeight="1" x14ac:dyDescent="0.3">
      <c r="A663" s="3">
        <v>8209658009</v>
      </c>
      <c r="B663" s="3" t="s">
        <v>731</v>
      </c>
      <c r="C663" s="3" t="s">
        <v>732</v>
      </c>
      <c r="D663" s="4">
        <v>46307.412835648101</v>
      </c>
      <c r="E663" s="5" t="s">
        <v>10</v>
      </c>
      <c r="F663" s="5" t="s">
        <v>16</v>
      </c>
      <c r="G663" s="5">
        <v>1</v>
      </c>
      <c r="H663" s="8" t="s">
        <v>12</v>
      </c>
      <c r="I663" t="s">
        <v>764</v>
      </c>
      <c r="K663" t="str">
        <f>+VLOOKUP(C663,'[1]TIENDAS 2025'!$A$1:$C$143,3,0)</f>
        <v>local</v>
      </c>
      <c r="L663" t="str">
        <f>+VLOOKUP(C663,[2]Hoja1!$A$1:$B$138,2,0)</f>
        <v>APROBAR</v>
      </c>
      <c r="M663">
        <v>1</v>
      </c>
      <c r="N663" t="e">
        <v>#N/A</v>
      </c>
    </row>
    <row r="664" spans="1:14" ht="15" customHeight="1" x14ac:dyDescent="0.3">
      <c r="A664" s="3">
        <v>1209658042</v>
      </c>
      <c r="B664" s="3" t="s">
        <v>739</v>
      </c>
      <c r="C664" s="3" t="s">
        <v>740</v>
      </c>
      <c r="D664" s="4">
        <v>46307.412858796299</v>
      </c>
      <c r="E664" s="5" t="s">
        <v>10</v>
      </c>
      <c r="F664" s="5" t="s">
        <v>17</v>
      </c>
      <c r="G664" s="5">
        <v>23</v>
      </c>
      <c r="H664" s="6" t="s">
        <v>12</v>
      </c>
      <c r="I664" t="s">
        <v>765</v>
      </c>
      <c r="J664" t="s">
        <v>2480</v>
      </c>
      <c r="K664" t="str">
        <f>+VLOOKUP(C664,'[1]TIENDAS 2025'!$A$1:$C$143,3,0)</f>
        <v>local</v>
      </c>
      <c r="L664" t="str">
        <f>+VLOOKUP(C664,[2]Hoja1!$A$1:$B$138,2,0)</f>
        <v>APROBAR</v>
      </c>
      <c r="M664">
        <v>1</v>
      </c>
      <c r="N664" t="e">
        <v>#N/A</v>
      </c>
    </row>
    <row r="665" spans="1:14" ht="15" customHeight="1" x14ac:dyDescent="0.3">
      <c r="A665" s="3">
        <v>1209658019</v>
      </c>
      <c r="B665" s="3" t="s">
        <v>731</v>
      </c>
      <c r="C665" s="3" t="s">
        <v>732</v>
      </c>
      <c r="D665" s="4">
        <v>46307.412870370397</v>
      </c>
      <c r="E665" s="5" t="s">
        <v>10</v>
      </c>
      <c r="F665" s="5" t="s">
        <v>11</v>
      </c>
      <c r="G665" s="5">
        <v>13</v>
      </c>
      <c r="H665" s="6" t="s">
        <v>12</v>
      </c>
      <c r="I665" t="s">
        <v>766</v>
      </c>
      <c r="J665" t="s">
        <v>2480</v>
      </c>
      <c r="K665" t="str">
        <f>+VLOOKUP(C665,'[1]TIENDAS 2025'!$A$1:$C$143,3,0)</f>
        <v>local</v>
      </c>
      <c r="L665" t="str">
        <f>+VLOOKUP(C665,[2]Hoja1!$A$1:$B$138,2,0)</f>
        <v>APROBAR</v>
      </c>
      <c r="M665">
        <v>1</v>
      </c>
      <c r="N665" t="e">
        <v>#N/A</v>
      </c>
    </row>
    <row r="666" spans="1:14" ht="15" customHeight="1" x14ac:dyDescent="0.3">
      <c r="A666" s="3">
        <v>1209658044</v>
      </c>
      <c r="B666" s="3" t="s">
        <v>739</v>
      </c>
      <c r="C666" s="3" t="s">
        <v>740</v>
      </c>
      <c r="D666" s="4">
        <v>46307.4128935185</v>
      </c>
      <c r="E666" s="5" t="s">
        <v>10</v>
      </c>
      <c r="F666" s="5" t="s">
        <v>11</v>
      </c>
      <c r="G666" s="5">
        <v>18</v>
      </c>
      <c r="H666" s="6" t="s">
        <v>12</v>
      </c>
      <c r="I666" t="s">
        <v>767</v>
      </c>
      <c r="J666" t="s">
        <v>2480</v>
      </c>
      <c r="K666" t="str">
        <f>+VLOOKUP(C666,'[1]TIENDAS 2025'!$A$1:$C$143,3,0)</f>
        <v>local</v>
      </c>
      <c r="L666" t="str">
        <f>+VLOOKUP(C666,[2]Hoja1!$A$1:$B$138,2,0)</f>
        <v>APROBAR</v>
      </c>
      <c r="M666">
        <v>1</v>
      </c>
      <c r="N666" t="e">
        <v>#N/A</v>
      </c>
    </row>
    <row r="667" spans="1:14" ht="15" customHeight="1" x14ac:dyDescent="0.3">
      <c r="A667" s="3">
        <v>1209658063</v>
      </c>
      <c r="B667" s="3" t="s">
        <v>735</v>
      </c>
      <c r="C667" s="3" t="s">
        <v>736</v>
      </c>
      <c r="D667" s="4">
        <v>46307.4128935185</v>
      </c>
      <c r="E667" s="5" t="s">
        <v>10</v>
      </c>
      <c r="F667" s="5" t="s">
        <v>17</v>
      </c>
      <c r="G667" s="5">
        <v>21</v>
      </c>
      <c r="H667" s="6" t="s">
        <v>12</v>
      </c>
      <c r="I667" t="s">
        <v>768</v>
      </c>
      <c r="J667" t="s">
        <v>2480</v>
      </c>
      <c r="K667" t="str">
        <f>+VLOOKUP(C667,'[1]TIENDAS 2025'!$A$1:$C$143,3,0)</f>
        <v>local</v>
      </c>
      <c r="L667" t="str">
        <f>+VLOOKUP(C667,[2]Hoja1!$A$1:$B$138,2,0)</f>
        <v>APROBAR</v>
      </c>
      <c r="M667">
        <v>1</v>
      </c>
      <c r="N667" t="e">
        <v>#N/A</v>
      </c>
    </row>
    <row r="668" spans="1:14" ht="15" customHeight="1" x14ac:dyDescent="0.3">
      <c r="A668" s="3">
        <v>1209658064</v>
      </c>
      <c r="B668" s="3" t="s">
        <v>735</v>
      </c>
      <c r="C668" s="3" t="s">
        <v>736</v>
      </c>
      <c r="D668" s="4">
        <v>46307.412905092599</v>
      </c>
      <c r="E668" s="5" t="s">
        <v>10</v>
      </c>
      <c r="F668" s="5" t="s">
        <v>11</v>
      </c>
      <c r="G668" s="5">
        <v>41</v>
      </c>
      <c r="H668" s="6" t="s">
        <v>12</v>
      </c>
      <c r="I668" t="s">
        <v>769</v>
      </c>
      <c r="J668" t="s">
        <v>2480</v>
      </c>
      <c r="K668" t="str">
        <f>+VLOOKUP(C668,'[1]TIENDAS 2025'!$A$1:$C$143,3,0)</f>
        <v>local</v>
      </c>
      <c r="L668" t="str">
        <f>+VLOOKUP(C668,[2]Hoja1!$A$1:$B$138,2,0)</f>
        <v>APROBAR</v>
      </c>
      <c r="M668">
        <v>1</v>
      </c>
      <c r="N668" t="e">
        <v>#N/A</v>
      </c>
    </row>
    <row r="669" spans="1:14" ht="15" customHeight="1" x14ac:dyDescent="0.3">
      <c r="A669" s="3">
        <v>1209658048</v>
      </c>
      <c r="B669" s="3" t="s">
        <v>739</v>
      </c>
      <c r="C669" s="3" t="s">
        <v>740</v>
      </c>
      <c r="D669" s="4">
        <v>46307.412928240701</v>
      </c>
      <c r="E669" s="5" t="s">
        <v>10</v>
      </c>
      <c r="F669" s="5" t="s">
        <v>17</v>
      </c>
      <c r="G669" s="5">
        <v>8</v>
      </c>
      <c r="H669" s="6" t="s">
        <v>12</v>
      </c>
      <c r="I669" t="s">
        <v>770</v>
      </c>
      <c r="J669" t="s">
        <v>2480</v>
      </c>
      <c r="K669" t="str">
        <f>+VLOOKUP(C669,'[1]TIENDAS 2025'!$A$1:$C$143,3,0)</f>
        <v>local</v>
      </c>
      <c r="L669" t="str">
        <f>+VLOOKUP(C669,[2]Hoja1!$A$1:$B$138,2,0)</f>
        <v>APROBAR</v>
      </c>
      <c r="M669">
        <v>1</v>
      </c>
      <c r="N669" t="e">
        <v>#N/A</v>
      </c>
    </row>
    <row r="670" spans="1:14" ht="15" customHeight="1" x14ac:dyDescent="0.3">
      <c r="A670" s="3">
        <v>8209658037</v>
      </c>
      <c r="B670" s="3" t="s">
        <v>739</v>
      </c>
      <c r="C670" s="3" t="s">
        <v>740</v>
      </c>
      <c r="D670" s="4">
        <v>46307.4129398148</v>
      </c>
      <c r="E670" s="5" t="s">
        <v>10</v>
      </c>
      <c r="F670" s="5" t="s">
        <v>16</v>
      </c>
      <c r="G670" s="5">
        <v>6</v>
      </c>
      <c r="H670" s="8" t="s">
        <v>12</v>
      </c>
      <c r="I670" t="s">
        <v>771</v>
      </c>
      <c r="K670" t="str">
        <f>+VLOOKUP(C670,'[1]TIENDAS 2025'!$A$1:$C$143,3,0)</f>
        <v>local</v>
      </c>
      <c r="L670" t="str">
        <f>+VLOOKUP(C670,[2]Hoja1!$A$1:$B$138,2,0)</f>
        <v>APROBAR</v>
      </c>
      <c r="M670">
        <v>1</v>
      </c>
      <c r="N670" t="e">
        <v>#N/A</v>
      </c>
    </row>
    <row r="671" spans="1:14" ht="15" customHeight="1" x14ac:dyDescent="0.3">
      <c r="A671" s="3">
        <v>8209658038</v>
      </c>
      <c r="B671" s="3" t="s">
        <v>739</v>
      </c>
      <c r="C671" s="3" t="s">
        <v>740</v>
      </c>
      <c r="D671" s="4">
        <v>46307.412951388898</v>
      </c>
      <c r="E671" s="5" t="s">
        <v>10</v>
      </c>
      <c r="F671" s="5" t="s">
        <v>16</v>
      </c>
      <c r="G671" s="5">
        <v>4</v>
      </c>
      <c r="H671" s="8" t="s">
        <v>12</v>
      </c>
      <c r="I671" t="s">
        <v>772</v>
      </c>
      <c r="K671" t="str">
        <f>+VLOOKUP(C671,'[1]TIENDAS 2025'!$A$1:$C$143,3,0)</f>
        <v>local</v>
      </c>
      <c r="L671" t="str">
        <f>+VLOOKUP(C671,[2]Hoja1!$A$1:$B$138,2,0)</f>
        <v>APROBAR</v>
      </c>
      <c r="M671">
        <v>1</v>
      </c>
      <c r="N671" t="e">
        <v>#N/A</v>
      </c>
    </row>
    <row r="672" spans="1:14" ht="15" customHeight="1" x14ac:dyDescent="0.3">
      <c r="A672" s="3">
        <v>8209657979</v>
      </c>
      <c r="B672" s="3" t="s">
        <v>743</v>
      </c>
      <c r="C672" s="3" t="s">
        <v>744</v>
      </c>
      <c r="D672" s="4">
        <v>46307.412962962997</v>
      </c>
      <c r="E672" s="5" t="s">
        <v>10</v>
      </c>
      <c r="F672" s="5" t="s">
        <v>16</v>
      </c>
      <c r="G672" s="5">
        <v>3</v>
      </c>
      <c r="H672" s="8" t="s">
        <v>12</v>
      </c>
      <c r="I672" t="s">
        <v>773</v>
      </c>
      <c r="K672" t="str">
        <f>+VLOOKUP(C672,'[1]TIENDAS 2025'!$A$1:$C$143,3,0)</f>
        <v>departamental</v>
      </c>
      <c r="L672" t="str">
        <f>+VLOOKUP(C672,[2]Hoja1!$A$1:$B$138,2,0)</f>
        <v>APROBAR</v>
      </c>
      <c r="M672">
        <v>1</v>
      </c>
      <c r="N672" t="e">
        <v>#N/A</v>
      </c>
    </row>
    <row r="673" spans="1:14" ht="15" customHeight="1" x14ac:dyDescent="0.3">
      <c r="A673" s="3">
        <v>8209657980</v>
      </c>
      <c r="B673" s="3" t="s">
        <v>743</v>
      </c>
      <c r="C673" s="3" t="s">
        <v>744</v>
      </c>
      <c r="D673" s="4">
        <v>46307.412974537001</v>
      </c>
      <c r="E673" s="5" t="s">
        <v>10</v>
      </c>
      <c r="F673" s="5" t="s">
        <v>16</v>
      </c>
      <c r="G673" s="5">
        <v>6</v>
      </c>
      <c r="H673" s="8" t="s">
        <v>12</v>
      </c>
      <c r="I673" t="s">
        <v>774</v>
      </c>
      <c r="K673" t="str">
        <f>+VLOOKUP(C673,'[1]TIENDAS 2025'!$A$1:$C$143,3,0)</f>
        <v>departamental</v>
      </c>
      <c r="L673" t="str">
        <f>+VLOOKUP(C673,[2]Hoja1!$A$1:$B$138,2,0)</f>
        <v>APROBAR</v>
      </c>
      <c r="M673">
        <v>1</v>
      </c>
      <c r="N673" t="e">
        <v>#N/A</v>
      </c>
    </row>
    <row r="674" spans="1:14" ht="15" customHeight="1" x14ac:dyDescent="0.3">
      <c r="A674" s="3">
        <v>8209657981</v>
      </c>
      <c r="B674" s="3" t="s">
        <v>743</v>
      </c>
      <c r="C674" s="3" t="s">
        <v>744</v>
      </c>
      <c r="D674" s="4">
        <v>46307.4129861111</v>
      </c>
      <c r="E674" s="5" t="s">
        <v>10</v>
      </c>
      <c r="F674" s="5" t="s">
        <v>16</v>
      </c>
      <c r="G674" s="5">
        <v>1</v>
      </c>
      <c r="H674" s="8" t="s">
        <v>12</v>
      </c>
      <c r="I674" t="s">
        <v>775</v>
      </c>
      <c r="K674" t="str">
        <f>+VLOOKUP(C674,'[1]TIENDAS 2025'!$A$1:$C$143,3,0)</f>
        <v>departamental</v>
      </c>
      <c r="L674" t="str">
        <f>+VLOOKUP(C674,[2]Hoja1!$A$1:$B$138,2,0)</f>
        <v>APROBAR</v>
      </c>
      <c r="M674">
        <v>1</v>
      </c>
      <c r="N674" t="e">
        <v>#N/A</v>
      </c>
    </row>
    <row r="675" spans="1:14" ht="15" customHeight="1" x14ac:dyDescent="0.3">
      <c r="A675" s="3">
        <v>8209658046</v>
      </c>
      <c r="B675" s="3" t="s">
        <v>739</v>
      </c>
      <c r="C675" s="3" t="s">
        <v>740</v>
      </c>
      <c r="D675" s="4">
        <v>46307.413009259297</v>
      </c>
      <c r="E675" s="5" t="s">
        <v>10</v>
      </c>
      <c r="F675" s="5" t="s">
        <v>16</v>
      </c>
      <c r="G675" s="5">
        <v>3</v>
      </c>
      <c r="H675" s="8" t="s">
        <v>12</v>
      </c>
      <c r="I675" t="s">
        <v>776</v>
      </c>
      <c r="K675" t="str">
        <f>+VLOOKUP(C675,'[1]TIENDAS 2025'!$A$1:$C$143,3,0)</f>
        <v>local</v>
      </c>
      <c r="L675" t="str">
        <f>+VLOOKUP(C675,[2]Hoja1!$A$1:$B$138,2,0)</f>
        <v>APROBAR</v>
      </c>
      <c r="M675">
        <v>1</v>
      </c>
      <c r="N675" t="e">
        <v>#N/A</v>
      </c>
    </row>
    <row r="676" spans="1:14" ht="15" customHeight="1" x14ac:dyDescent="0.3">
      <c r="A676" s="3">
        <v>8209658051</v>
      </c>
      <c r="B676" s="3" t="s">
        <v>735</v>
      </c>
      <c r="C676" s="3" t="s">
        <v>736</v>
      </c>
      <c r="D676" s="4">
        <v>46307.413020833301</v>
      </c>
      <c r="E676" s="5" t="s">
        <v>10</v>
      </c>
      <c r="F676" s="5" t="s">
        <v>16</v>
      </c>
      <c r="G676" s="5">
        <v>1</v>
      </c>
      <c r="H676" s="8" t="s">
        <v>12</v>
      </c>
      <c r="I676" t="s">
        <v>777</v>
      </c>
      <c r="K676" t="str">
        <f>+VLOOKUP(C676,'[1]TIENDAS 2025'!$A$1:$C$143,3,0)</f>
        <v>local</v>
      </c>
      <c r="L676" t="str">
        <f>+VLOOKUP(C676,[2]Hoja1!$A$1:$B$138,2,0)</f>
        <v>APROBAR</v>
      </c>
      <c r="M676">
        <v>1</v>
      </c>
      <c r="N676" t="e">
        <v>#N/A</v>
      </c>
    </row>
    <row r="677" spans="1:14" ht="15" customHeight="1" x14ac:dyDescent="0.3">
      <c r="A677" s="3">
        <v>8209658053</v>
      </c>
      <c r="B677" s="3" t="s">
        <v>735</v>
      </c>
      <c r="C677" s="3" t="s">
        <v>736</v>
      </c>
      <c r="D677" s="4">
        <v>46307.413043981498</v>
      </c>
      <c r="E677" s="5" t="s">
        <v>10</v>
      </c>
      <c r="F677" s="5" t="s">
        <v>16</v>
      </c>
      <c r="G677" s="5">
        <v>2</v>
      </c>
      <c r="H677" s="8" t="s">
        <v>12</v>
      </c>
      <c r="I677" t="s">
        <v>778</v>
      </c>
      <c r="K677" t="str">
        <f>+VLOOKUP(C677,'[1]TIENDAS 2025'!$A$1:$C$143,3,0)</f>
        <v>local</v>
      </c>
      <c r="L677" t="str">
        <f>+VLOOKUP(C677,[2]Hoja1!$A$1:$B$138,2,0)</f>
        <v>APROBAR</v>
      </c>
      <c r="M677">
        <v>1</v>
      </c>
      <c r="N677" t="e">
        <v>#N/A</v>
      </c>
    </row>
    <row r="678" spans="1:14" ht="15" customHeight="1" x14ac:dyDescent="0.3">
      <c r="A678" s="3">
        <v>8209658014</v>
      </c>
      <c r="B678" s="3" t="s">
        <v>731</v>
      </c>
      <c r="C678" s="3" t="s">
        <v>732</v>
      </c>
      <c r="D678" s="4">
        <v>46307.413055555597</v>
      </c>
      <c r="E678" s="5" t="s">
        <v>10</v>
      </c>
      <c r="F678" s="5" t="s">
        <v>16</v>
      </c>
      <c r="G678" s="5">
        <v>1</v>
      </c>
      <c r="H678" s="8" t="s">
        <v>12</v>
      </c>
      <c r="I678" t="s">
        <v>779</v>
      </c>
      <c r="K678" t="str">
        <f>+VLOOKUP(C678,'[1]TIENDAS 2025'!$A$1:$C$143,3,0)</f>
        <v>local</v>
      </c>
      <c r="L678" t="str">
        <f>+VLOOKUP(C678,[2]Hoja1!$A$1:$B$138,2,0)</f>
        <v>APROBAR</v>
      </c>
      <c r="M678">
        <v>1</v>
      </c>
      <c r="N678" t="e">
        <v>#N/A</v>
      </c>
    </row>
    <row r="679" spans="1:14" ht="15" customHeight="1" x14ac:dyDescent="0.3">
      <c r="A679" s="3">
        <v>1209657993</v>
      </c>
      <c r="B679" s="3" t="s">
        <v>743</v>
      </c>
      <c r="C679" s="3" t="s">
        <v>744</v>
      </c>
      <c r="D679" s="4">
        <v>46307.413067129601</v>
      </c>
      <c r="E679" s="5" t="s">
        <v>10</v>
      </c>
      <c r="F679" s="5" t="s">
        <v>11</v>
      </c>
      <c r="G679" s="5">
        <v>10</v>
      </c>
      <c r="H679" s="6" t="s">
        <v>12</v>
      </c>
      <c r="I679" t="s">
        <v>780</v>
      </c>
      <c r="J679" t="s">
        <v>2480</v>
      </c>
      <c r="K679" t="str">
        <f>+VLOOKUP(C679,'[1]TIENDAS 2025'!$A$1:$C$143,3,0)</f>
        <v>departamental</v>
      </c>
      <c r="L679" t="str">
        <f>+VLOOKUP(C679,[2]Hoja1!$A$1:$B$138,2,0)</f>
        <v>APROBAR</v>
      </c>
      <c r="M679">
        <v>1</v>
      </c>
      <c r="N679" t="e">
        <v>#N/A</v>
      </c>
    </row>
    <row r="680" spans="1:14" ht="15" customHeight="1" x14ac:dyDescent="0.3">
      <c r="A680" s="3">
        <v>1209658043</v>
      </c>
      <c r="B680" s="3" t="s">
        <v>739</v>
      </c>
      <c r="C680" s="3" t="s">
        <v>740</v>
      </c>
      <c r="D680" s="4">
        <v>46307.413090277798</v>
      </c>
      <c r="E680" s="5" t="s">
        <v>10</v>
      </c>
      <c r="F680" s="5" t="s">
        <v>11</v>
      </c>
      <c r="G680" s="5">
        <v>17</v>
      </c>
      <c r="H680" s="6" t="s">
        <v>12</v>
      </c>
      <c r="I680" t="s">
        <v>781</v>
      </c>
      <c r="J680" t="s">
        <v>2480</v>
      </c>
      <c r="K680" t="str">
        <f>+VLOOKUP(C680,'[1]TIENDAS 2025'!$A$1:$C$143,3,0)</f>
        <v>local</v>
      </c>
      <c r="L680" t="str">
        <f>+VLOOKUP(C680,[2]Hoja1!$A$1:$B$138,2,0)</f>
        <v>APROBAR</v>
      </c>
      <c r="M680">
        <v>1</v>
      </c>
      <c r="N680" t="e">
        <v>#N/A</v>
      </c>
    </row>
    <row r="681" spans="1:14" ht="15" customHeight="1" x14ac:dyDescent="0.3">
      <c r="A681" s="3">
        <v>8209657977</v>
      </c>
      <c r="B681" s="3" t="s">
        <v>743</v>
      </c>
      <c r="C681" s="3" t="s">
        <v>744</v>
      </c>
      <c r="D681" s="4">
        <v>46307.413090277798</v>
      </c>
      <c r="E681" s="5" t="s">
        <v>10</v>
      </c>
      <c r="F681" s="5" t="s">
        <v>16</v>
      </c>
      <c r="G681" s="5">
        <v>9</v>
      </c>
      <c r="H681" s="8" t="s">
        <v>12</v>
      </c>
      <c r="I681" t="s">
        <v>782</v>
      </c>
      <c r="K681" t="str">
        <f>+VLOOKUP(C681,'[1]TIENDAS 2025'!$A$1:$C$143,3,0)</f>
        <v>departamental</v>
      </c>
      <c r="L681" t="str">
        <f>+VLOOKUP(C681,[2]Hoja1!$A$1:$B$138,2,0)</f>
        <v>APROBAR</v>
      </c>
      <c r="M681">
        <v>1</v>
      </c>
      <c r="N681" t="e">
        <v>#N/A</v>
      </c>
    </row>
    <row r="682" spans="1:14" ht="15" customHeight="1" x14ac:dyDescent="0.3">
      <c r="A682" s="3">
        <v>1209657982</v>
      </c>
      <c r="B682" s="3" t="s">
        <v>743</v>
      </c>
      <c r="C682" s="3" t="s">
        <v>744</v>
      </c>
      <c r="D682" s="4">
        <v>46307.413113425901</v>
      </c>
      <c r="E682" s="5" t="s">
        <v>10</v>
      </c>
      <c r="F682" s="5" t="s">
        <v>11</v>
      </c>
      <c r="G682" s="5">
        <v>2</v>
      </c>
      <c r="H682" s="6" t="s">
        <v>12</v>
      </c>
      <c r="I682" t="s">
        <v>783</v>
      </c>
      <c r="J682" t="s">
        <v>2480</v>
      </c>
      <c r="K682" t="str">
        <f>+VLOOKUP(C682,'[1]TIENDAS 2025'!$A$1:$C$143,3,0)</f>
        <v>departamental</v>
      </c>
      <c r="L682" t="str">
        <f>+VLOOKUP(C682,[2]Hoja1!$A$1:$B$138,2,0)</f>
        <v>APROBAR</v>
      </c>
      <c r="M682">
        <v>1</v>
      </c>
      <c r="N682" t="e">
        <v>#N/A</v>
      </c>
    </row>
    <row r="683" spans="1:14" ht="15" customHeight="1" x14ac:dyDescent="0.3">
      <c r="A683" s="3">
        <v>1209658050</v>
      </c>
      <c r="B683" s="3" t="s">
        <v>739</v>
      </c>
      <c r="C683" s="3" t="s">
        <v>740</v>
      </c>
      <c r="D683" s="4">
        <v>46307.413136574098</v>
      </c>
      <c r="E683" s="5" t="s">
        <v>10</v>
      </c>
      <c r="F683" s="5" t="s">
        <v>11</v>
      </c>
      <c r="G683" s="5">
        <v>69</v>
      </c>
      <c r="H683" s="6" t="s">
        <v>12</v>
      </c>
      <c r="I683" t="s">
        <v>784</v>
      </c>
      <c r="J683" t="s">
        <v>2480</v>
      </c>
      <c r="K683" t="str">
        <f>+VLOOKUP(C683,'[1]TIENDAS 2025'!$A$1:$C$143,3,0)</f>
        <v>local</v>
      </c>
      <c r="L683" t="str">
        <f>+VLOOKUP(C683,[2]Hoja1!$A$1:$B$138,2,0)</f>
        <v>APROBAR</v>
      </c>
      <c r="M683">
        <v>1</v>
      </c>
      <c r="N683" t="e">
        <v>#N/A</v>
      </c>
    </row>
    <row r="684" spans="1:14" ht="15" customHeight="1" x14ac:dyDescent="0.3">
      <c r="A684" s="3">
        <v>1209657990</v>
      </c>
      <c r="B684" s="3" t="s">
        <v>743</v>
      </c>
      <c r="C684" s="3" t="s">
        <v>744</v>
      </c>
      <c r="D684" s="4">
        <v>46307.413171296299</v>
      </c>
      <c r="E684" s="5" t="s">
        <v>10</v>
      </c>
      <c r="F684" s="5" t="s">
        <v>17</v>
      </c>
      <c r="G684" s="5">
        <v>30</v>
      </c>
      <c r="H684" s="6" t="s">
        <v>12</v>
      </c>
      <c r="I684" t="s">
        <v>785</v>
      </c>
      <c r="J684" t="s">
        <v>2480</v>
      </c>
      <c r="K684" t="str">
        <f>+VLOOKUP(C684,'[1]TIENDAS 2025'!$A$1:$C$143,3,0)</f>
        <v>departamental</v>
      </c>
      <c r="L684" t="str">
        <f>+VLOOKUP(C684,[2]Hoja1!$A$1:$B$138,2,0)</f>
        <v>APROBAR</v>
      </c>
      <c r="M684">
        <v>1</v>
      </c>
      <c r="N684" t="e">
        <v>#N/A</v>
      </c>
    </row>
    <row r="685" spans="1:14" ht="15" customHeight="1" x14ac:dyDescent="0.3">
      <c r="A685" s="3">
        <v>8209658035</v>
      </c>
      <c r="B685" s="3" t="s">
        <v>739</v>
      </c>
      <c r="C685" s="3" t="s">
        <v>740</v>
      </c>
      <c r="D685" s="4">
        <v>46307.413182870398</v>
      </c>
      <c r="E685" s="5" t="s">
        <v>10</v>
      </c>
      <c r="F685" s="5" t="s">
        <v>16</v>
      </c>
      <c r="G685" s="5">
        <v>2</v>
      </c>
      <c r="H685" s="8" t="s">
        <v>12</v>
      </c>
      <c r="I685" t="s">
        <v>786</v>
      </c>
      <c r="K685" t="str">
        <f>+VLOOKUP(C685,'[1]TIENDAS 2025'!$A$1:$C$143,3,0)</f>
        <v>local</v>
      </c>
      <c r="L685" t="str">
        <f>+VLOOKUP(C685,[2]Hoja1!$A$1:$B$138,2,0)</f>
        <v>APROBAR</v>
      </c>
      <c r="M685">
        <v>1</v>
      </c>
      <c r="N685" t="e">
        <v>#N/A</v>
      </c>
    </row>
    <row r="686" spans="1:14" ht="15" customHeight="1" x14ac:dyDescent="0.3">
      <c r="A686" s="3">
        <v>8209658010</v>
      </c>
      <c r="B686" s="3" t="s">
        <v>731</v>
      </c>
      <c r="C686" s="3" t="s">
        <v>732</v>
      </c>
      <c r="D686" s="4">
        <v>46307.4132060185</v>
      </c>
      <c r="E686" s="5" t="s">
        <v>10</v>
      </c>
      <c r="F686" s="5" t="s">
        <v>16</v>
      </c>
      <c r="G686" s="5">
        <v>2</v>
      </c>
      <c r="H686" s="8" t="s">
        <v>12</v>
      </c>
      <c r="I686" t="s">
        <v>787</v>
      </c>
      <c r="K686" t="str">
        <f>+VLOOKUP(C686,'[1]TIENDAS 2025'!$A$1:$C$143,3,0)</f>
        <v>local</v>
      </c>
      <c r="L686" t="str">
        <f>+VLOOKUP(C686,[2]Hoja1!$A$1:$B$138,2,0)</f>
        <v>APROBAR</v>
      </c>
      <c r="M686">
        <v>1</v>
      </c>
      <c r="N686" t="e">
        <v>#N/A</v>
      </c>
    </row>
    <row r="687" spans="1:14" ht="15" customHeight="1" x14ac:dyDescent="0.3">
      <c r="A687" s="3">
        <v>1209658061</v>
      </c>
      <c r="B687" s="3" t="s">
        <v>735</v>
      </c>
      <c r="C687" s="3" t="s">
        <v>736</v>
      </c>
      <c r="D687" s="4">
        <v>46307.413217592599</v>
      </c>
      <c r="E687" s="5" t="s">
        <v>10</v>
      </c>
      <c r="F687" s="5" t="s">
        <v>11</v>
      </c>
      <c r="G687" s="5">
        <v>21</v>
      </c>
      <c r="H687" s="6" t="s">
        <v>12</v>
      </c>
      <c r="I687" t="s">
        <v>788</v>
      </c>
      <c r="J687" t="s">
        <v>2480</v>
      </c>
      <c r="K687" t="str">
        <f>+VLOOKUP(C687,'[1]TIENDAS 2025'!$A$1:$C$143,3,0)</f>
        <v>local</v>
      </c>
      <c r="L687" t="str">
        <f>+VLOOKUP(C687,[2]Hoja1!$A$1:$B$138,2,0)</f>
        <v>APROBAR</v>
      </c>
      <c r="M687">
        <v>1</v>
      </c>
      <c r="N687" t="e">
        <v>#N/A</v>
      </c>
    </row>
    <row r="688" spans="1:14" ht="15" customHeight="1" x14ac:dyDescent="0.3">
      <c r="A688" s="3">
        <v>1209658017</v>
      </c>
      <c r="B688" s="3" t="s">
        <v>731</v>
      </c>
      <c r="C688" s="3" t="s">
        <v>732</v>
      </c>
      <c r="D688" s="4">
        <v>46307.413229166697</v>
      </c>
      <c r="E688" s="5" t="s">
        <v>10</v>
      </c>
      <c r="F688" s="5" t="s">
        <v>11</v>
      </c>
      <c r="G688" s="5">
        <v>4</v>
      </c>
      <c r="H688" s="6" t="s">
        <v>12</v>
      </c>
      <c r="I688" t="s">
        <v>789</v>
      </c>
      <c r="J688" t="s">
        <v>2480</v>
      </c>
      <c r="K688" t="str">
        <f>+VLOOKUP(C688,'[1]TIENDAS 2025'!$A$1:$C$143,3,0)</f>
        <v>local</v>
      </c>
      <c r="L688" t="str">
        <f>+VLOOKUP(C688,[2]Hoja1!$A$1:$B$138,2,0)</f>
        <v>APROBAR</v>
      </c>
      <c r="M688">
        <v>1</v>
      </c>
      <c r="N688" t="e">
        <v>#N/A</v>
      </c>
    </row>
    <row r="689" spans="1:14" ht="15" customHeight="1" x14ac:dyDescent="0.3">
      <c r="A689" s="3">
        <v>8209657978</v>
      </c>
      <c r="B689" s="3" t="s">
        <v>743</v>
      </c>
      <c r="C689" s="3" t="s">
        <v>744</v>
      </c>
      <c r="D689" s="4">
        <v>46307.413240740701</v>
      </c>
      <c r="E689" s="5" t="s">
        <v>10</v>
      </c>
      <c r="F689" s="5" t="s">
        <v>16</v>
      </c>
      <c r="G689" s="5">
        <v>2</v>
      </c>
      <c r="H689" s="8" t="s">
        <v>12</v>
      </c>
      <c r="I689" t="s">
        <v>790</v>
      </c>
      <c r="K689" t="str">
        <f>+VLOOKUP(C689,'[1]TIENDAS 2025'!$A$1:$C$143,3,0)</f>
        <v>departamental</v>
      </c>
      <c r="L689" t="str">
        <f>+VLOOKUP(C689,[2]Hoja1!$A$1:$B$138,2,0)</f>
        <v>APROBAR</v>
      </c>
      <c r="M689">
        <v>1</v>
      </c>
      <c r="N689" t="e">
        <v>#N/A</v>
      </c>
    </row>
    <row r="690" spans="1:14" ht="15" customHeight="1" x14ac:dyDescent="0.3">
      <c r="A690" s="3">
        <v>1209657988</v>
      </c>
      <c r="B690" s="3" t="s">
        <v>743</v>
      </c>
      <c r="C690" s="3" t="s">
        <v>744</v>
      </c>
      <c r="D690" s="4">
        <v>46307.413287037001</v>
      </c>
      <c r="E690" s="5" t="s">
        <v>10</v>
      </c>
      <c r="F690" s="5" t="s">
        <v>17</v>
      </c>
      <c r="G690" s="5">
        <v>25</v>
      </c>
      <c r="H690" s="6" t="s">
        <v>12</v>
      </c>
      <c r="I690" t="s">
        <v>791</v>
      </c>
      <c r="J690" t="s">
        <v>2480</v>
      </c>
      <c r="K690" t="str">
        <f>+VLOOKUP(C690,'[1]TIENDAS 2025'!$A$1:$C$143,3,0)</f>
        <v>departamental</v>
      </c>
      <c r="L690" t="str">
        <f>+VLOOKUP(C690,[2]Hoja1!$A$1:$B$138,2,0)</f>
        <v>APROBAR</v>
      </c>
      <c r="M690">
        <v>1</v>
      </c>
      <c r="N690" t="e">
        <v>#N/A</v>
      </c>
    </row>
    <row r="691" spans="1:14" ht="15" customHeight="1" x14ac:dyDescent="0.3">
      <c r="A691" s="3">
        <v>1209658066</v>
      </c>
      <c r="B691" s="3" t="s">
        <v>735</v>
      </c>
      <c r="C691" s="3" t="s">
        <v>736</v>
      </c>
      <c r="D691" s="4">
        <v>46307.413287037001</v>
      </c>
      <c r="E691" s="5" t="s">
        <v>10</v>
      </c>
      <c r="F691" s="5" t="s">
        <v>17</v>
      </c>
      <c r="G691" s="5">
        <v>45</v>
      </c>
      <c r="H691" s="6" t="s">
        <v>12</v>
      </c>
      <c r="I691" t="s">
        <v>792</v>
      </c>
      <c r="J691" t="s">
        <v>2480</v>
      </c>
      <c r="K691" t="str">
        <f>+VLOOKUP(C691,'[1]TIENDAS 2025'!$A$1:$C$143,3,0)</f>
        <v>local</v>
      </c>
      <c r="L691" t="str">
        <f>+VLOOKUP(C691,[2]Hoja1!$A$1:$B$138,2,0)</f>
        <v>APROBAR</v>
      </c>
      <c r="M691">
        <v>1</v>
      </c>
      <c r="N691" t="e">
        <v>#N/A</v>
      </c>
    </row>
    <row r="692" spans="1:14" ht="15" customHeight="1" x14ac:dyDescent="0.3">
      <c r="A692" s="3">
        <v>8209658052</v>
      </c>
      <c r="B692" s="3" t="s">
        <v>735</v>
      </c>
      <c r="C692" s="3" t="s">
        <v>736</v>
      </c>
      <c r="D692" s="4">
        <v>46307.413310185198</v>
      </c>
      <c r="E692" s="5" t="s">
        <v>10</v>
      </c>
      <c r="F692" s="5" t="s">
        <v>16</v>
      </c>
      <c r="G692" s="5">
        <v>2</v>
      </c>
      <c r="H692" s="8" t="s">
        <v>12</v>
      </c>
      <c r="I692" t="s">
        <v>793</v>
      </c>
      <c r="K692" t="str">
        <f>+VLOOKUP(C692,'[1]TIENDAS 2025'!$A$1:$C$143,3,0)</f>
        <v>local</v>
      </c>
      <c r="L692" t="str">
        <f>+VLOOKUP(C692,[2]Hoja1!$A$1:$B$138,2,0)</f>
        <v>APROBAR</v>
      </c>
      <c r="M692">
        <v>1</v>
      </c>
      <c r="N692" t="e">
        <v>#N/A</v>
      </c>
    </row>
    <row r="693" spans="1:14" ht="15" customHeight="1" x14ac:dyDescent="0.3">
      <c r="A693" s="3">
        <v>8209658036</v>
      </c>
      <c r="B693" s="3" t="s">
        <v>739</v>
      </c>
      <c r="C693" s="3" t="s">
        <v>740</v>
      </c>
      <c r="D693" s="4">
        <v>46307.413321759297</v>
      </c>
      <c r="E693" s="5" t="s">
        <v>10</v>
      </c>
      <c r="F693" s="5" t="s">
        <v>16</v>
      </c>
      <c r="G693" s="5">
        <v>2</v>
      </c>
      <c r="H693" s="8" t="s">
        <v>12</v>
      </c>
      <c r="I693" t="s">
        <v>794</v>
      </c>
      <c r="K693" t="str">
        <f>+VLOOKUP(C693,'[1]TIENDAS 2025'!$A$1:$C$143,3,0)</f>
        <v>local</v>
      </c>
      <c r="L693" t="str">
        <f>+VLOOKUP(C693,[2]Hoja1!$A$1:$B$138,2,0)</f>
        <v>APROBAR</v>
      </c>
      <c r="M693">
        <v>1</v>
      </c>
      <c r="N693" t="e">
        <v>#N/A</v>
      </c>
    </row>
    <row r="694" spans="1:14" ht="15" customHeight="1" x14ac:dyDescent="0.3">
      <c r="A694" s="3">
        <v>1209658058</v>
      </c>
      <c r="B694" s="3" t="s">
        <v>735</v>
      </c>
      <c r="C694" s="3" t="s">
        <v>736</v>
      </c>
      <c r="D694" s="4">
        <v>46307.413333333301</v>
      </c>
      <c r="E694" s="5" t="s">
        <v>10</v>
      </c>
      <c r="F694" s="5" t="s">
        <v>11</v>
      </c>
      <c r="G694" s="5">
        <v>8</v>
      </c>
      <c r="H694" s="6" t="s">
        <v>12</v>
      </c>
      <c r="I694" t="s">
        <v>795</v>
      </c>
      <c r="J694" t="s">
        <v>2480</v>
      </c>
      <c r="K694" t="str">
        <f>+VLOOKUP(C694,'[1]TIENDAS 2025'!$A$1:$C$143,3,0)</f>
        <v>local</v>
      </c>
      <c r="L694" t="str">
        <f>+VLOOKUP(C694,[2]Hoja1!$A$1:$B$138,2,0)</f>
        <v>APROBAR</v>
      </c>
      <c r="M694">
        <v>1</v>
      </c>
      <c r="N694" t="e">
        <v>#N/A</v>
      </c>
    </row>
    <row r="695" spans="1:14" ht="15" customHeight="1" x14ac:dyDescent="0.3">
      <c r="A695" s="3">
        <v>8209658012</v>
      </c>
      <c r="B695" s="3" t="s">
        <v>731</v>
      </c>
      <c r="C695" s="3" t="s">
        <v>732</v>
      </c>
      <c r="D695" s="4">
        <v>46307.413356481498</v>
      </c>
      <c r="E695" s="5" t="s">
        <v>10</v>
      </c>
      <c r="F695" s="5" t="s">
        <v>16</v>
      </c>
      <c r="G695" s="5">
        <v>3</v>
      </c>
      <c r="H695" s="8" t="s">
        <v>12</v>
      </c>
      <c r="I695" t="s">
        <v>796</v>
      </c>
      <c r="K695" t="str">
        <f>+VLOOKUP(C695,'[1]TIENDAS 2025'!$A$1:$C$143,3,0)</f>
        <v>local</v>
      </c>
      <c r="L695" t="str">
        <f>+VLOOKUP(C695,[2]Hoja1!$A$1:$B$138,2,0)</f>
        <v>APROBAR</v>
      </c>
      <c r="M695">
        <v>1</v>
      </c>
      <c r="N695" t="e">
        <v>#N/A</v>
      </c>
    </row>
    <row r="696" spans="1:14" ht="15" customHeight="1" x14ac:dyDescent="0.3">
      <c r="A696" s="3">
        <v>1209658060</v>
      </c>
      <c r="B696" s="3" t="s">
        <v>735</v>
      </c>
      <c r="C696" s="3" t="s">
        <v>736</v>
      </c>
      <c r="D696" s="4">
        <v>46307.413356481498</v>
      </c>
      <c r="E696" s="5" t="s">
        <v>10</v>
      </c>
      <c r="F696" s="5" t="s">
        <v>11</v>
      </c>
      <c r="G696" s="5">
        <v>15</v>
      </c>
      <c r="H696" s="6" t="s">
        <v>12</v>
      </c>
      <c r="I696" t="s">
        <v>797</v>
      </c>
      <c r="J696" t="s">
        <v>2480</v>
      </c>
      <c r="K696" t="str">
        <f>+VLOOKUP(C696,'[1]TIENDAS 2025'!$A$1:$C$143,3,0)</f>
        <v>local</v>
      </c>
      <c r="L696" t="str">
        <f>+VLOOKUP(C696,[2]Hoja1!$A$1:$B$138,2,0)</f>
        <v>APROBAR</v>
      </c>
      <c r="M696">
        <v>1</v>
      </c>
      <c r="N696" t="e">
        <v>#N/A</v>
      </c>
    </row>
    <row r="697" spans="1:14" ht="15" customHeight="1" x14ac:dyDescent="0.3">
      <c r="A697" s="3">
        <v>1209658041</v>
      </c>
      <c r="B697" s="3" t="s">
        <v>739</v>
      </c>
      <c r="C697" s="3" t="s">
        <v>740</v>
      </c>
      <c r="D697" s="4">
        <v>46307.4133912037</v>
      </c>
      <c r="E697" s="5" t="s">
        <v>10</v>
      </c>
      <c r="F697" s="5" t="s">
        <v>17</v>
      </c>
      <c r="G697" s="5">
        <v>8</v>
      </c>
      <c r="H697" s="6" t="s">
        <v>12</v>
      </c>
      <c r="I697" t="s">
        <v>798</v>
      </c>
      <c r="J697" t="s">
        <v>2480</v>
      </c>
      <c r="K697" t="str">
        <f>+VLOOKUP(C697,'[1]TIENDAS 2025'!$A$1:$C$143,3,0)</f>
        <v>local</v>
      </c>
      <c r="L697" t="str">
        <f>+VLOOKUP(C697,[2]Hoja1!$A$1:$B$138,2,0)</f>
        <v>APROBAR</v>
      </c>
      <c r="M697">
        <v>1</v>
      </c>
      <c r="N697" t="e">
        <v>#N/A</v>
      </c>
    </row>
    <row r="698" spans="1:14" ht="15" customHeight="1" x14ac:dyDescent="0.3">
      <c r="A698" s="3">
        <v>1209657999</v>
      </c>
      <c r="B698" s="3" t="s">
        <v>743</v>
      </c>
      <c r="C698" s="3" t="s">
        <v>744</v>
      </c>
      <c r="D698" s="4">
        <v>46307.413402777798</v>
      </c>
      <c r="E698" s="5" t="s">
        <v>10</v>
      </c>
      <c r="F698" s="5" t="s">
        <v>11</v>
      </c>
      <c r="G698" s="5">
        <v>37</v>
      </c>
      <c r="H698" s="6" t="s">
        <v>12</v>
      </c>
      <c r="I698" t="s">
        <v>799</v>
      </c>
      <c r="J698" t="s">
        <v>2480</v>
      </c>
      <c r="K698" t="str">
        <f>+VLOOKUP(C698,'[1]TIENDAS 2025'!$A$1:$C$143,3,0)</f>
        <v>departamental</v>
      </c>
      <c r="L698" t="str">
        <f>+VLOOKUP(C698,[2]Hoja1!$A$1:$B$138,2,0)</f>
        <v>APROBAR</v>
      </c>
      <c r="M698">
        <v>1</v>
      </c>
      <c r="N698" t="e">
        <v>#N/A</v>
      </c>
    </row>
    <row r="699" spans="1:14" ht="15" customHeight="1" x14ac:dyDescent="0.3">
      <c r="A699" s="3">
        <v>8209658137</v>
      </c>
      <c r="B699" s="3" t="s">
        <v>801</v>
      </c>
      <c r="C699" s="3" t="s">
        <v>802</v>
      </c>
      <c r="D699" s="4">
        <v>46307.415879629603</v>
      </c>
      <c r="E699" s="5" t="s">
        <v>10</v>
      </c>
      <c r="F699" s="5" t="s">
        <v>16</v>
      </c>
      <c r="G699" s="5">
        <v>5</v>
      </c>
      <c r="H699" s="8" t="s">
        <v>12</v>
      </c>
      <c r="I699" t="s">
        <v>800</v>
      </c>
      <c r="K699" t="str">
        <f>+VLOOKUP(C699,'[1]TIENDAS 2025'!$A$1:$C$143,3,0)</f>
        <v>nocturna</v>
      </c>
      <c r="L699" t="str">
        <f>+VLOOKUP(C699,[2]Hoja1!$A$1:$B$138,2,0)</f>
        <v>APROBAR</v>
      </c>
      <c r="M699">
        <v>1</v>
      </c>
      <c r="N699" t="e">
        <v>#N/A</v>
      </c>
    </row>
    <row r="700" spans="1:14" ht="15" customHeight="1" x14ac:dyDescent="0.3">
      <c r="A700" s="3">
        <v>1209658207</v>
      </c>
      <c r="B700" s="3" t="s">
        <v>804</v>
      </c>
      <c r="C700" s="3" t="s">
        <v>805</v>
      </c>
      <c r="D700" s="4">
        <v>46307.415879629603</v>
      </c>
      <c r="E700" s="5" t="s">
        <v>10</v>
      </c>
      <c r="F700" s="5" t="s">
        <v>11</v>
      </c>
      <c r="G700" s="5">
        <v>4</v>
      </c>
      <c r="H700" s="6" t="s">
        <v>12</v>
      </c>
      <c r="I700" t="s">
        <v>803</v>
      </c>
      <c r="J700" t="s">
        <v>2480</v>
      </c>
      <c r="K700" t="str">
        <f>+VLOOKUP(C700,'[1]TIENDAS 2025'!$A$1:$C$143,3,0)</f>
        <v>departamental</v>
      </c>
      <c r="L700" t="str">
        <f>+VLOOKUP(C700,[2]Hoja1!$A$1:$B$138,2,0)</f>
        <v>APROBAR</v>
      </c>
      <c r="M700">
        <v>1</v>
      </c>
      <c r="N700" t="e">
        <v>#N/A</v>
      </c>
    </row>
    <row r="701" spans="1:14" ht="15" customHeight="1" x14ac:dyDescent="0.3">
      <c r="A701" s="3">
        <v>8209658191</v>
      </c>
      <c r="B701" s="3" t="s">
        <v>804</v>
      </c>
      <c r="C701" s="3" t="s">
        <v>805</v>
      </c>
      <c r="D701" s="4">
        <v>46307.415902777801</v>
      </c>
      <c r="E701" s="5" t="s">
        <v>10</v>
      </c>
      <c r="F701" s="5" t="s">
        <v>16</v>
      </c>
      <c r="G701" s="5">
        <v>4</v>
      </c>
      <c r="H701" s="8" t="s">
        <v>12</v>
      </c>
      <c r="I701" t="s">
        <v>806</v>
      </c>
      <c r="K701" t="str">
        <f>+VLOOKUP(C701,'[1]TIENDAS 2025'!$A$1:$C$143,3,0)</f>
        <v>departamental</v>
      </c>
      <c r="L701" t="str">
        <f>+VLOOKUP(C701,[2]Hoja1!$A$1:$B$138,2,0)</f>
        <v>APROBAR</v>
      </c>
      <c r="M701">
        <v>1</v>
      </c>
      <c r="N701" t="e">
        <v>#N/A</v>
      </c>
    </row>
    <row r="702" spans="1:14" ht="15" customHeight="1" x14ac:dyDescent="0.3">
      <c r="A702" s="3">
        <v>8209658140</v>
      </c>
      <c r="B702" s="3" t="s">
        <v>801</v>
      </c>
      <c r="C702" s="3" t="s">
        <v>802</v>
      </c>
      <c r="D702" s="4">
        <v>46307.415914351899</v>
      </c>
      <c r="E702" s="5" t="s">
        <v>10</v>
      </c>
      <c r="F702" s="5" t="s">
        <v>16</v>
      </c>
      <c r="G702" s="5">
        <v>11</v>
      </c>
      <c r="H702" s="8" t="s">
        <v>12</v>
      </c>
      <c r="I702" t="s">
        <v>807</v>
      </c>
      <c r="K702" t="str">
        <f>+VLOOKUP(C702,'[1]TIENDAS 2025'!$A$1:$C$143,3,0)</f>
        <v>nocturna</v>
      </c>
      <c r="L702" t="str">
        <f>+VLOOKUP(C702,[2]Hoja1!$A$1:$B$138,2,0)</f>
        <v>APROBAR</v>
      </c>
      <c r="M702">
        <v>1</v>
      </c>
      <c r="N702" t="e">
        <v>#N/A</v>
      </c>
    </row>
    <row r="703" spans="1:14" ht="15" customHeight="1" x14ac:dyDescent="0.3">
      <c r="A703" s="3">
        <v>1209658143</v>
      </c>
      <c r="B703" s="3" t="s">
        <v>801</v>
      </c>
      <c r="C703" s="3" t="s">
        <v>802</v>
      </c>
      <c r="D703" s="4">
        <v>46307.415925925903</v>
      </c>
      <c r="E703" s="5" t="s">
        <v>10</v>
      </c>
      <c r="F703" s="5" t="s">
        <v>11</v>
      </c>
      <c r="G703" s="5">
        <v>14</v>
      </c>
      <c r="H703" s="6" t="s">
        <v>12</v>
      </c>
      <c r="I703" t="s">
        <v>808</v>
      </c>
      <c r="J703" t="s">
        <v>2480</v>
      </c>
      <c r="K703" t="str">
        <f>+VLOOKUP(C703,'[1]TIENDAS 2025'!$A$1:$C$143,3,0)</f>
        <v>nocturna</v>
      </c>
      <c r="L703" t="str">
        <f>+VLOOKUP(C703,[2]Hoja1!$A$1:$B$138,2,0)</f>
        <v>APROBAR</v>
      </c>
      <c r="M703">
        <v>1</v>
      </c>
      <c r="N703" t="e">
        <v>#N/A</v>
      </c>
    </row>
    <row r="704" spans="1:14" ht="15" customHeight="1" x14ac:dyDescent="0.3">
      <c r="A704" s="3">
        <v>1209658219</v>
      </c>
      <c r="B704" s="3" t="s">
        <v>810</v>
      </c>
      <c r="C704" s="3" t="s">
        <v>811</v>
      </c>
      <c r="D704" s="4">
        <v>46307.415937500002</v>
      </c>
      <c r="E704" s="5" t="s">
        <v>10</v>
      </c>
      <c r="F704" s="5" t="s">
        <v>11</v>
      </c>
      <c r="G704" s="5">
        <v>4</v>
      </c>
      <c r="H704" s="6" t="s">
        <v>12</v>
      </c>
      <c r="I704" t="s">
        <v>809</v>
      </c>
      <c r="J704" t="s">
        <v>2480</v>
      </c>
      <c r="K704" t="str">
        <f>+VLOOKUP(C704,'[1]TIENDAS 2025'!$A$1:$C$143,3,0)</f>
        <v>prioridad</v>
      </c>
      <c r="L704" t="str">
        <f>+VLOOKUP(C704,[2]Hoja1!$A$1:$B$138,2,0)</f>
        <v>APROBAR</v>
      </c>
      <c r="M704">
        <v>1</v>
      </c>
      <c r="N704" t="e">
        <v>#N/A</v>
      </c>
    </row>
    <row r="705" spans="1:14" ht="15" customHeight="1" x14ac:dyDescent="0.3">
      <c r="A705" s="3">
        <v>1209658270</v>
      </c>
      <c r="B705" s="3" t="s">
        <v>813</v>
      </c>
      <c r="C705" s="3" t="s">
        <v>814</v>
      </c>
      <c r="D705" s="4">
        <v>46307.4159490741</v>
      </c>
      <c r="E705" s="5" t="s">
        <v>10</v>
      </c>
      <c r="F705" s="5" t="s">
        <v>11</v>
      </c>
      <c r="G705" s="5">
        <v>21</v>
      </c>
      <c r="H705" s="6" t="s">
        <v>12</v>
      </c>
      <c r="I705" t="s">
        <v>812</v>
      </c>
      <c r="J705" t="s">
        <v>2480</v>
      </c>
      <c r="K705" t="str">
        <f>+VLOOKUP(C705,'[1]TIENDAS 2025'!$A$1:$C$143,3,0)</f>
        <v>departamental</v>
      </c>
      <c r="L705" t="str">
        <f>+VLOOKUP(C705,[2]Hoja1!$A$1:$B$138,2,0)</f>
        <v>APROBAR</v>
      </c>
      <c r="M705">
        <v>1</v>
      </c>
      <c r="N705" t="e">
        <v>#N/A</v>
      </c>
    </row>
    <row r="706" spans="1:14" ht="15" customHeight="1" x14ac:dyDescent="0.3">
      <c r="A706" s="3">
        <v>1209658141</v>
      </c>
      <c r="B706" s="3" t="s">
        <v>801</v>
      </c>
      <c r="C706" s="3" t="s">
        <v>802</v>
      </c>
      <c r="D706" s="4">
        <v>46307.415972222203</v>
      </c>
      <c r="E706" s="5" t="s">
        <v>10</v>
      </c>
      <c r="F706" s="5" t="s">
        <v>11</v>
      </c>
      <c r="G706" s="5">
        <v>1</v>
      </c>
      <c r="H706" s="6" t="s">
        <v>12</v>
      </c>
      <c r="I706" t="s">
        <v>815</v>
      </c>
      <c r="J706" t="s">
        <v>2480</v>
      </c>
      <c r="K706" t="str">
        <f>+VLOOKUP(C706,'[1]TIENDAS 2025'!$A$1:$C$143,3,0)</f>
        <v>nocturna</v>
      </c>
      <c r="L706" t="str">
        <f>+VLOOKUP(C706,[2]Hoja1!$A$1:$B$138,2,0)</f>
        <v>APROBAR</v>
      </c>
      <c r="M706">
        <v>1</v>
      </c>
      <c r="N706" t="e">
        <v>#N/A</v>
      </c>
    </row>
    <row r="707" spans="1:14" ht="15" customHeight="1" x14ac:dyDescent="0.3">
      <c r="A707" s="3">
        <v>1209658276</v>
      </c>
      <c r="B707" s="3" t="s">
        <v>813</v>
      </c>
      <c r="C707" s="3" t="s">
        <v>814</v>
      </c>
      <c r="D707" s="4">
        <v>46307.415983796302</v>
      </c>
      <c r="E707" s="5" t="s">
        <v>10</v>
      </c>
      <c r="F707" s="5" t="s">
        <v>11</v>
      </c>
      <c r="G707" s="5">
        <v>2</v>
      </c>
      <c r="H707" s="6" t="s">
        <v>12</v>
      </c>
      <c r="I707" t="s">
        <v>816</v>
      </c>
      <c r="J707" t="s">
        <v>2480</v>
      </c>
      <c r="K707" t="str">
        <f>+VLOOKUP(C707,'[1]TIENDAS 2025'!$A$1:$C$143,3,0)</f>
        <v>departamental</v>
      </c>
      <c r="L707" t="str">
        <f>+VLOOKUP(C707,[2]Hoja1!$A$1:$B$138,2,0)</f>
        <v>APROBAR</v>
      </c>
      <c r="M707">
        <v>1</v>
      </c>
      <c r="N707" t="e">
        <v>#N/A</v>
      </c>
    </row>
    <row r="708" spans="1:14" ht="15" customHeight="1" x14ac:dyDescent="0.3">
      <c r="A708" s="3">
        <v>1209658146</v>
      </c>
      <c r="B708" s="3" t="s">
        <v>801</v>
      </c>
      <c r="C708" s="3" t="s">
        <v>802</v>
      </c>
      <c r="D708" s="4">
        <v>46307.416006944397</v>
      </c>
      <c r="E708" s="5" t="s">
        <v>10</v>
      </c>
      <c r="F708" s="5" t="s">
        <v>17</v>
      </c>
      <c r="G708" s="5">
        <v>17</v>
      </c>
      <c r="H708" s="6" t="s">
        <v>12</v>
      </c>
      <c r="I708" t="s">
        <v>817</v>
      </c>
      <c r="J708" t="s">
        <v>2480</v>
      </c>
      <c r="K708" t="str">
        <f>+VLOOKUP(C708,'[1]TIENDAS 2025'!$A$1:$C$143,3,0)</f>
        <v>nocturna</v>
      </c>
      <c r="L708" t="str">
        <f>+VLOOKUP(C708,[2]Hoja1!$A$1:$B$138,2,0)</f>
        <v>APROBAR</v>
      </c>
      <c r="M708">
        <v>1</v>
      </c>
      <c r="N708" t="e">
        <v>#N/A</v>
      </c>
    </row>
    <row r="709" spans="1:14" ht="15" customHeight="1" x14ac:dyDescent="0.3">
      <c r="A709" s="3">
        <v>8209658233</v>
      </c>
      <c r="B709" s="3" t="s">
        <v>810</v>
      </c>
      <c r="C709" s="3" t="s">
        <v>811</v>
      </c>
      <c r="D709" s="4">
        <v>46307.416006944397</v>
      </c>
      <c r="E709" s="5" t="s">
        <v>10</v>
      </c>
      <c r="F709" s="5" t="s">
        <v>16</v>
      </c>
      <c r="G709" s="5">
        <v>5</v>
      </c>
      <c r="H709" s="8" t="s">
        <v>12</v>
      </c>
      <c r="I709" t="s">
        <v>818</v>
      </c>
      <c r="K709" t="str">
        <f>+VLOOKUP(C709,'[1]TIENDAS 2025'!$A$1:$C$143,3,0)</f>
        <v>prioridad</v>
      </c>
      <c r="L709" t="str">
        <f>+VLOOKUP(C709,[2]Hoja1!$A$1:$B$138,2,0)</f>
        <v>APROBAR</v>
      </c>
      <c r="M709">
        <v>1</v>
      </c>
      <c r="N709" t="e">
        <v>#N/A</v>
      </c>
    </row>
    <row r="710" spans="1:14" ht="15" customHeight="1" x14ac:dyDescent="0.3">
      <c r="A710" s="3">
        <v>8209658261</v>
      </c>
      <c r="B710" s="3" t="s">
        <v>813</v>
      </c>
      <c r="C710" s="3" t="s">
        <v>814</v>
      </c>
      <c r="D710" s="4">
        <v>46307.416030092601</v>
      </c>
      <c r="E710" s="5" t="s">
        <v>10</v>
      </c>
      <c r="F710" s="5" t="s">
        <v>16</v>
      </c>
      <c r="G710" s="5">
        <v>11</v>
      </c>
      <c r="H710" s="8" t="s">
        <v>12</v>
      </c>
      <c r="I710" t="s">
        <v>819</v>
      </c>
      <c r="K710" t="str">
        <f>+VLOOKUP(C710,'[1]TIENDAS 2025'!$A$1:$C$143,3,0)</f>
        <v>departamental</v>
      </c>
      <c r="L710" t="str">
        <f>+VLOOKUP(C710,[2]Hoja1!$A$1:$B$138,2,0)</f>
        <v>APROBAR</v>
      </c>
      <c r="M710">
        <v>1</v>
      </c>
      <c r="N710" t="e">
        <v>#N/A</v>
      </c>
    </row>
    <row r="711" spans="1:14" ht="15" customHeight="1" x14ac:dyDescent="0.3">
      <c r="A711" s="3">
        <v>1209658265</v>
      </c>
      <c r="B711" s="3" t="s">
        <v>813</v>
      </c>
      <c r="C711" s="3" t="s">
        <v>814</v>
      </c>
      <c r="D711" s="4">
        <v>46307.4160416667</v>
      </c>
      <c r="E711" s="5" t="s">
        <v>10</v>
      </c>
      <c r="F711" s="5" t="s">
        <v>11</v>
      </c>
      <c r="G711" s="5">
        <v>7</v>
      </c>
      <c r="H711" s="6" t="s">
        <v>12</v>
      </c>
      <c r="I711" t="s">
        <v>820</v>
      </c>
      <c r="J711" t="s">
        <v>2480</v>
      </c>
      <c r="K711" t="str">
        <f>+VLOOKUP(C711,'[1]TIENDAS 2025'!$A$1:$C$143,3,0)</f>
        <v>departamental</v>
      </c>
      <c r="L711" t="str">
        <f>+VLOOKUP(C711,[2]Hoja1!$A$1:$B$138,2,0)</f>
        <v>APROBAR</v>
      </c>
      <c r="M711">
        <v>1</v>
      </c>
      <c r="N711" t="e">
        <v>#N/A</v>
      </c>
    </row>
    <row r="712" spans="1:14" ht="15" customHeight="1" x14ac:dyDescent="0.3">
      <c r="A712" s="3">
        <v>1209658266</v>
      </c>
      <c r="B712" s="3" t="s">
        <v>813</v>
      </c>
      <c r="C712" s="3" t="s">
        <v>814</v>
      </c>
      <c r="D712" s="4">
        <v>46307.416053240697</v>
      </c>
      <c r="E712" s="5" t="s">
        <v>10</v>
      </c>
      <c r="F712" s="5" t="s">
        <v>11</v>
      </c>
      <c r="G712" s="5">
        <v>8</v>
      </c>
      <c r="H712" s="6" t="s">
        <v>12</v>
      </c>
      <c r="I712" t="s">
        <v>821</v>
      </c>
      <c r="J712" t="s">
        <v>2480</v>
      </c>
      <c r="K712" t="str">
        <f>+VLOOKUP(C712,'[1]TIENDAS 2025'!$A$1:$C$143,3,0)</f>
        <v>departamental</v>
      </c>
      <c r="L712" t="str">
        <f>+VLOOKUP(C712,[2]Hoja1!$A$1:$B$138,2,0)</f>
        <v>APROBAR</v>
      </c>
      <c r="M712">
        <v>1</v>
      </c>
      <c r="N712" t="e">
        <v>#N/A</v>
      </c>
    </row>
    <row r="713" spans="1:14" ht="15" customHeight="1" x14ac:dyDescent="0.3">
      <c r="A713" s="3">
        <v>8209658139</v>
      </c>
      <c r="B713" s="3" t="s">
        <v>801</v>
      </c>
      <c r="C713" s="3" t="s">
        <v>802</v>
      </c>
      <c r="D713" s="4">
        <v>46307.416076388901</v>
      </c>
      <c r="E713" s="5" t="s">
        <v>10</v>
      </c>
      <c r="F713" s="5" t="s">
        <v>16</v>
      </c>
      <c r="G713" s="5">
        <v>4</v>
      </c>
      <c r="H713" s="8" t="s">
        <v>12</v>
      </c>
      <c r="I713" t="s">
        <v>822</v>
      </c>
      <c r="K713" t="str">
        <f>+VLOOKUP(C713,'[1]TIENDAS 2025'!$A$1:$C$143,3,0)</f>
        <v>nocturna</v>
      </c>
      <c r="L713" t="str">
        <f>+VLOOKUP(C713,[2]Hoja1!$A$1:$B$138,2,0)</f>
        <v>APROBAR</v>
      </c>
      <c r="M713">
        <v>1</v>
      </c>
      <c r="N713" t="e">
        <v>#N/A</v>
      </c>
    </row>
    <row r="714" spans="1:14" ht="15" customHeight="1" x14ac:dyDescent="0.3">
      <c r="A714" s="3">
        <v>8209658189</v>
      </c>
      <c r="B714" s="3" t="s">
        <v>804</v>
      </c>
      <c r="C714" s="3" t="s">
        <v>805</v>
      </c>
      <c r="D714" s="4">
        <v>46307.416076388901</v>
      </c>
      <c r="E714" s="5" t="s">
        <v>10</v>
      </c>
      <c r="F714" s="5" t="s">
        <v>16</v>
      </c>
      <c r="G714" s="5">
        <v>1</v>
      </c>
      <c r="H714" s="8" t="s">
        <v>12</v>
      </c>
      <c r="I714" t="s">
        <v>823</v>
      </c>
      <c r="K714" t="str">
        <f>+VLOOKUP(C714,'[1]TIENDAS 2025'!$A$1:$C$143,3,0)</f>
        <v>departamental</v>
      </c>
      <c r="L714" t="str">
        <f>+VLOOKUP(C714,[2]Hoja1!$A$1:$B$138,2,0)</f>
        <v>APROBAR</v>
      </c>
      <c r="M714">
        <v>1</v>
      </c>
      <c r="N714" t="e">
        <v>#N/A</v>
      </c>
    </row>
    <row r="715" spans="1:14" ht="15" customHeight="1" x14ac:dyDescent="0.3">
      <c r="A715" s="3">
        <v>8209658190</v>
      </c>
      <c r="B715" s="3" t="s">
        <v>804</v>
      </c>
      <c r="C715" s="3" t="s">
        <v>805</v>
      </c>
      <c r="D715" s="4">
        <v>46307.416099536997</v>
      </c>
      <c r="E715" s="5" t="s">
        <v>10</v>
      </c>
      <c r="F715" s="5" t="s">
        <v>16</v>
      </c>
      <c r="G715" s="5">
        <v>2</v>
      </c>
      <c r="H715" s="8" t="s">
        <v>12</v>
      </c>
      <c r="I715" t="s">
        <v>824</v>
      </c>
      <c r="K715" t="str">
        <f>+VLOOKUP(C715,'[1]TIENDAS 2025'!$A$1:$C$143,3,0)</f>
        <v>departamental</v>
      </c>
      <c r="L715" t="str">
        <f>+VLOOKUP(C715,[2]Hoja1!$A$1:$B$138,2,0)</f>
        <v>APROBAR</v>
      </c>
      <c r="M715">
        <v>1</v>
      </c>
      <c r="N715" t="e">
        <v>#N/A</v>
      </c>
    </row>
    <row r="716" spans="1:14" ht="15" customHeight="1" x14ac:dyDescent="0.3">
      <c r="A716" s="3">
        <v>1209658144</v>
      </c>
      <c r="B716" s="3" t="s">
        <v>801</v>
      </c>
      <c r="C716" s="3" t="s">
        <v>802</v>
      </c>
      <c r="D716" s="4">
        <v>46307.416111111103</v>
      </c>
      <c r="E716" s="5" t="s">
        <v>10</v>
      </c>
      <c r="F716" s="5" t="s">
        <v>11</v>
      </c>
      <c r="G716" s="5">
        <v>20</v>
      </c>
      <c r="H716" s="6" t="s">
        <v>12</v>
      </c>
      <c r="I716" t="s">
        <v>825</v>
      </c>
      <c r="J716" t="s">
        <v>2480</v>
      </c>
      <c r="K716" t="str">
        <f>+VLOOKUP(C716,'[1]TIENDAS 2025'!$A$1:$C$143,3,0)</f>
        <v>nocturna</v>
      </c>
      <c r="L716" t="str">
        <f>+VLOOKUP(C716,[2]Hoja1!$A$1:$B$138,2,0)</f>
        <v>APROBAR</v>
      </c>
      <c r="M716">
        <v>1</v>
      </c>
      <c r="N716" t="e">
        <v>#N/A</v>
      </c>
    </row>
    <row r="717" spans="1:14" ht="15" customHeight="1" x14ac:dyDescent="0.3">
      <c r="A717" s="3">
        <v>1209658226</v>
      </c>
      <c r="B717" s="3" t="s">
        <v>810</v>
      </c>
      <c r="C717" s="3" t="s">
        <v>811</v>
      </c>
      <c r="D717" s="4">
        <v>46307.416122685201</v>
      </c>
      <c r="E717" s="5" t="s">
        <v>10</v>
      </c>
      <c r="F717" s="5" t="s">
        <v>11</v>
      </c>
      <c r="G717" s="5">
        <v>4</v>
      </c>
      <c r="H717" s="6" t="s">
        <v>12</v>
      </c>
      <c r="I717" t="s">
        <v>826</v>
      </c>
      <c r="J717" t="s">
        <v>2480</v>
      </c>
      <c r="K717" t="str">
        <f>+VLOOKUP(C717,'[1]TIENDAS 2025'!$A$1:$C$143,3,0)</f>
        <v>prioridad</v>
      </c>
      <c r="L717" t="str">
        <f>+VLOOKUP(C717,[2]Hoja1!$A$1:$B$138,2,0)</f>
        <v>APROBAR</v>
      </c>
      <c r="M717">
        <v>1</v>
      </c>
      <c r="N717" t="e">
        <v>#N/A</v>
      </c>
    </row>
    <row r="718" spans="1:14" ht="15" customHeight="1" x14ac:dyDescent="0.3">
      <c r="A718" s="3">
        <v>1209658262</v>
      </c>
      <c r="B718" s="3" t="s">
        <v>813</v>
      </c>
      <c r="C718" s="3" t="s">
        <v>814</v>
      </c>
      <c r="D718" s="4">
        <v>46307.4161342593</v>
      </c>
      <c r="E718" s="5" t="s">
        <v>10</v>
      </c>
      <c r="F718" s="5" t="s">
        <v>11</v>
      </c>
      <c r="G718" s="5">
        <v>2</v>
      </c>
      <c r="H718" s="6" t="s">
        <v>12</v>
      </c>
      <c r="I718" t="s">
        <v>827</v>
      </c>
      <c r="J718" t="s">
        <v>2480</v>
      </c>
      <c r="K718" t="str">
        <f>+VLOOKUP(C718,'[1]TIENDAS 2025'!$A$1:$C$143,3,0)</f>
        <v>departamental</v>
      </c>
      <c r="L718" t="str">
        <f>+VLOOKUP(C718,[2]Hoja1!$A$1:$B$138,2,0)</f>
        <v>APROBAR</v>
      </c>
      <c r="M718">
        <v>1</v>
      </c>
      <c r="N718" t="e">
        <v>#N/A</v>
      </c>
    </row>
    <row r="719" spans="1:14" ht="15" customHeight="1" x14ac:dyDescent="0.3">
      <c r="A719" s="3">
        <v>1209658152</v>
      </c>
      <c r="B719" s="3" t="s">
        <v>801</v>
      </c>
      <c r="C719" s="3" t="s">
        <v>802</v>
      </c>
      <c r="D719" s="4">
        <v>46307.416145833296</v>
      </c>
      <c r="E719" s="5" t="s">
        <v>10</v>
      </c>
      <c r="F719" s="5" t="s">
        <v>11</v>
      </c>
      <c r="G719" s="5">
        <v>7</v>
      </c>
      <c r="H719" s="6" t="s">
        <v>12</v>
      </c>
      <c r="I719" t="s">
        <v>828</v>
      </c>
      <c r="J719" t="s">
        <v>2480</v>
      </c>
      <c r="K719" t="str">
        <f>+VLOOKUP(C719,'[1]TIENDAS 2025'!$A$1:$C$143,3,0)</f>
        <v>nocturna</v>
      </c>
      <c r="L719" t="str">
        <f>+VLOOKUP(C719,[2]Hoja1!$A$1:$B$138,2,0)</f>
        <v>APROBAR</v>
      </c>
      <c r="M719">
        <v>1</v>
      </c>
      <c r="N719" t="e">
        <v>#N/A</v>
      </c>
    </row>
    <row r="720" spans="1:14" ht="15" customHeight="1" x14ac:dyDescent="0.3">
      <c r="A720" s="3">
        <v>1209658193</v>
      </c>
      <c r="B720" s="3" t="s">
        <v>804</v>
      </c>
      <c r="C720" s="3" t="s">
        <v>805</v>
      </c>
      <c r="D720" s="4">
        <v>46307.416168981501</v>
      </c>
      <c r="E720" s="5" t="s">
        <v>10</v>
      </c>
      <c r="F720" s="5" t="s">
        <v>11</v>
      </c>
      <c r="G720" s="5">
        <v>5</v>
      </c>
      <c r="H720" s="6" t="s">
        <v>12</v>
      </c>
      <c r="I720" t="s">
        <v>829</v>
      </c>
      <c r="J720" t="s">
        <v>2480</v>
      </c>
      <c r="K720" t="str">
        <f>+VLOOKUP(C720,'[1]TIENDAS 2025'!$A$1:$C$143,3,0)</f>
        <v>departamental</v>
      </c>
      <c r="L720" t="str">
        <f>+VLOOKUP(C720,[2]Hoja1!$A$1:$B$138,2,0)</f>
        <v>APROBAR</v>
      </c>
      <c r="M720">
        <v>1</v>
      </c>
      <c r="N720" t="e">
        <v>#N/A</v>
      </c>
    </row>
    <row r="721" spans="1:14" ht="15" customHeight="1" x14ac:dyDescent="0.3">
      <c r="A721" s="3">
        <v>1209658209</v>
      </c>
      <c r="B721" s="3" t="s">
        <v>804</v>
      </c>
      <c r="C721" s="3" t="s">
        <v>805</v>
      </c>
      <c r="D721" s="4">
        <v>46307.4161805556</v>
      </c>
      <c r="E721" s="5" t="s">
        <v>10</v>
      </c>
      <c r="F721" s="5" t="s">
        <v>17</v>
      </c>
      <c r="G721" s="5">
        <v>14</v>
      </c>
      <c r="H721" s="6" t="s">
        <v>12</v>
      </c>
      <c r="I721" t="s">
        <v>830</v>
      </c>
      <c r="J721" t="s">
        <v>2480</v>
      </c>
      <c r="K721" t="str">
        <f>+VLOOKUP(C721,'[1]TIENDAS 2025'!$A$1:$C$143,3,0)</f>
        <v>departamental</v>
      </c>
      <c r="L721" t="str">
        <f>+VLOOKUP(C721,[2]Hoja1!$A$1:$B$138,2,0)</f>
        <v>APROBAR</v>
      </c>
      <c r="M721">
        <v>1</v>
      </c>
      <c r="N721" t="e">
        <v>#N/A</v>
      </c>
    </row>
    <row r="722" spans="1:14" ht="15" customHeight="1" x14ac:dyDescent="0.3">
      <c r="A722" s="3">
        <v>1209658235</v>
      </c>
      <c r="B722" s="3" t="s">
        <v>810</v>
      </c>
      <c r="C722" s="3" t="s">
        <v>811</v>
      </c>
      <c r="D722" s="4">
        <v>46307.416192129604</v>
      </c>
      <c r="E722" s="5" t="s">
        <v>10</v>
      </c>
      <c r="F722" s="5" t="s">
        <v>11</v>
      </c>
      <c r="G722" s="5">
        <v>11</v>
      </c>
      <c r="H722" s="6" t="s">
        <v>12</v>
      </c>
      <c r="I722" t="s">
        <v>831</v>
      </c>
      <c r="J722" t="s">
        <v>2480</v>
      </c>
      <c r="K722" t="str">
        <f>+VLOOKUP(C722,'[1]TIENDAS 2025'!$A$1:$C$143,3,0)</f>
        <v>prioridad</v>
      </c>
      <c r="L722" t="str">
        <f>+VLOOKUP(C722,[2]Hoja1!$A$1:$B$138,2,0)</f>
        <v>APROBAR</v>
      </c>
      <c r="M722">
        <v>1</v>
      </c>
      <c r="N722" t="e">
        <v>#N/A</v>
      </c>
    </row>
    <row r="723" spans="1:14" ht="15" customHeight="1" x14ac:dyDescent="0.3">
      <c r="A723" s="3">
        <v>8209658257</v>
      </c>
      <c r="B723" s="3" t="s">
        <v>813</v>
      </c>
      <c r="C723" s="3" t="s">
        <v>814</v>
      </c>
      <c r="D723" s="4">
        <v>46307.416203703702</v>
      </c>
      <c r="E723" s="5" t="s">
        <v>10</v>
      </c>
      <c r="F723" s="5" t="s">
        <v>16</v>
      </c>
      <c r="G723" s="5">
        <v>4</v>
      </c>
      <c r="H723" s="8" t="s">
        <v>12</v>
      </c>
      <c r="I723" t="s">
        <v>832</v>
      </c>
      <c r="K723" t="str">
        <f>+VLOOKUP(C723,'[1]TIENDAS 2025'!$A$1:$C$143,3,0)</f>
        <v>departamental</v>
      </c>
      <c r="L723" t="str">
        <f>+VLOOKUP(C723,[2]Hoja1!$A$1:$B$138,2,0)</f>
        <v>APROBAR</v>
      </c>
      <c r="M723">
        <v>1</v>
      </c>
      <c r="N723" t="e">
        <v>#N/A</v>
      </c>
    </row>
    <row r="724" spans="1:14" ht="15" customHeight="1" x14ac:dyDescent="0.3">
      <c r="A724" s="3">
        <v>1209658239</v>
      </c>
      <c r="B724" s="3" t="s">
        <v>810</v>
      </c>
      <c r="C724" s="3" t="s">
        <v>811</v>
      </c>
      <c r="D724" s="4">
        <v>46307.416215277801</v>
      </c>
      <c r="E724" s="5" t="s">
        <v>10</v>
      </c>
      <c r="F724" s="5" t="s">
        <v>11</v>
      </c>
      <c r="G724" s="5">
        <v>25</v>
      </c>
      <c r="H724" s="6" t="s">
        <v>12</v>
      </c>
      <c r="I724" t="s">
        <v>833</v>
      </c>
      <c r="J724" t="s">
        <v>2480</v>
      </c>
      <c r="K724" t="str">
        <f>+VLOOKUP(C724,'[1]TIENDAS 2025'!$A$1:$C$143,3,0)</f>
        <v>prioridad</v>
      </c>
      <c r="L724" t="str">
        <f>+VLOOKUP(C724,[2]Hoja1!$A$1:$B$138,2,0)</f>
        <v>APROBAR</v>
      </c>
      <c r="M724">
        <v>1</v>
      </c>
      <c r="N724" t="e">
        <v>#N/A</v>
      </c>
    </row>
    <row r="725" spans="1:14" ht="15" customHeight="1" x14ac:dyDescent="0.3">
      <c r="A725" s="3">
        <v>1209658240</v>
      </c>
      <c r="B725" s="3" t="s">
        <v>810</v>
      </c>
      <c r="C725" s="3" t="s">
        <v>811</v>
      </c>
      <c r="D725" s="4">
        <v>46307.416226851798</v>
      </c>
      <c r="E725" s="5" t="s">
        <v>10</v>
      </c>
      <c r="F725" s="5" t="s">
        <v>11</v>
      </c>
      <c r="G725" s="5">
        <v>21</v>
      </c>
      <c r="H725" s="6" t="s">
        <v>12</v>
      </c>
      <c r="I725" t="s">
        <v>834</v>
      </c>
      <c r="J725" t="s">
        <v>2480</v>
      </c>
      <c r="K725" t="str">
        <f>+VLOOKUP(C725,'[1]TIENDAS 2025'!$A$1:$C$143,3,0)</f>
        <v>prioridad</v>
      </c>
      <c r="L725" t="str">
        <f>+VLOOKUP(C725,[2]Hoja1!$A$1:$B$138,2,0)</f>
        <v>APROBAR</v>
      </c>
      <c r="M725">
        <v>1</v>
      </c>
      <c r="N725" t="e">
        <v>#N/A</v>
      </c>
    </row>
    <row r="726" spans="1:14" ht="15" customHeight="1" x14ac:dyDescent="0.3">
      <c r="A726" s="3">
        <v>1209658268</v>
      </c>
      <c r="B726" s="3" t="s">
        <v>813</v>
      </c>
      <c r="C726" s="3" t="s">
        <v>814</v>
      </c>
      <c r="D726" s="4">
        <v>46307.416250000002</v>
      </c>
      <c r="E726" s="5" t="s">
        <v>10</v>
      </c>
      <c r="F726" s="5" t="s">
        <v>11</v>
      </c>
      <c r="G726" s="5">
        <v>24</v>
      </c>
      <c r="H726" s="6" t="s">
        <v>12</v>
      </c>
      <c r="I726" t="s">
        <v>835</v>
      </c>
      <c r="J726" t="s">
        <v>2480</v>
      </c>
      <c r="K726" t="str">
        <f>+VLOOKUP(C726,'[1]TIENDAS 2025'!$A$1:$C$143,3,0)</f>
        <v>departamental</v>
      </c>
      <c r="L726" t="str">
        <f>+VLOOKUP(C726,[2]Hoja1!$A$1:$B$138,2,0)</f>
        <v>APROBAR</v>
      </c>
      <c r="M726">
        <v>1</v>
      </c>
      <c r="N726" t="e">
        <v>#N/A</v>
      </c>
    </row>
    <row r="727" spans="1:14" ht="15" customHeight="1" x14ac:dyDescent="0.3">
      <c r="A727" s="3">
        <v>1209658269</v>
      </c>
      <c r="B727" s="3" t="s">
        <v>813</v>
      </c>
      <c r="C727" s="3" t="s">
        <v>814</v>
      </c>
      <c r="D727" s="4">
        <v>46307.416261574101</v>
      </c>
      <c r="E727" s="5" t="s">
        <v>10</v>
      </c>
      <c r="F727" s="5" t="s">
        <v>17</v>
      </c>
      <c r="G727" s="5">
        <v>22</v>
      </c>
      <c r="H727" s="6" t="s">
        <v>12</v>
      </c>
      <c r="I727" t="s">
        <v>836</v>
      </c>
      <c r="J727" t="s">
        <v>2480</v>
      </c>
      <c r="K727" t="str">
        <f>+VLOOKUP(C727,'[1]TIENDAS 2025'!$A$1:$C$143,3,0)</f>
        <v>departamental</v>
      </c>
      <c r="L727" t="str">
        <f>+VLOOKUP(C727,[2]Hoja1!$A$1:$B$138,2,0)</f>
        <v>APROBAR</v>
      </c>
      <c r="M727">
        <v>1</v>
      </c>
      <c r="N727" t="e">
        <v>#N/A</v>
      </c>
    </row>
    <row r="728" spans="1:14" ht="15" customHeight="1" x14ac:dyDescent="0.3">
      <c r="A728" s="3">
        <v>8209658138</v>
      </c>
      <c r="B728" s="3" t="s">
        <v>801</v>
      </c>
      <c r="C728" s="3" t="s">
        <v>802</v>
      </c>
      <c r="D728" s="4">
        <v>46307.416273148097</v>
      </c>
      <c r="E728" s="5" t="s">
        <v>10</v>
      </c>
      <c r="F728" s="5" t="s">
        <v>16</v>
      </c>
      <c r="G728" s="5">
        <v>3</v>
      </c>
      <c r="H728" s="8" t="s">
        <v>12</v>
      </c>
      <c r="I728" t="s">
        <v>837</v>
      </c>
      <c r="K728" t="str">
        <f>+VLOOKUP(C728,'[1]TIENDAS 2025'!$A$1:$C$143,3,0)</f>
        <v>nocturna</v>
      </c>
      <c r="L728" t="str">
        <f>+VLOOKUP(C728,[2]Hoja1!$A$1:$B$138,2,0)</f>
        <v>APROBAR</v>
      </c>
      <c r="M728">
        <v>1</v>
      </c>
      <c r="N728" t="e">
        <v>#N/A</v>
      </c>
    </row>
    <row r="729" spans="1:14" ht="15" customHeight="1" x14ac:dyDescent="0.3">
      <c r="A729" s="3">
        <v>1209658273</v>
      </c>
      <c r="B729" s="3" t="s">
        <v>813</v>
      </c>
      <c r="C729" s="3" t="s">
        <v>814</v>
      </c>
      <c r="D729" s="4">
        <v>46307.416284722203</v>
      </c>
      <c r="E729" s="5" t="s">
        <v>10</v>
      </c>
      <c r="F729" s="5" t="s">
        <v>11</v>
      </c>
      <c r="G729" s="5">
        <v>18</v>
      </c>
      <c r="H729" s="6" t="s">
        <v>12</v>
      </c>
      <c r="I729" t="s">
        <v>838</v>
      </c>
      <c r="J729" t="s">
        <v>2480</v>
      </c>
      <c r="K729" t="str">
        <f>+VLOOKUP(C729,'[1]TIENDAS 2025'!$A$1:$C$143,3,0)</f>
        <v>departamental</v>
      </c>
      <c r="L729" t="str">
        <f>+VLOOKUP(C729,[2]Hoja1!$A$1:$B$138,2,0)</f>
        <v>APROBAR</v>
      </c>
      <c r="M729">
        <v>1</v>
      </c>
      <c r="N729" t="e">
        <v>#N/A</v>
      </c>
    </row>
    <row r="730" spans="1:14" ht="15" customHeight="1" x14ac:dyDescent="0.3">
      <c r="A730" s="3">
        <v>8209658217</v>
      </c>
      <c r="B730" s="3" t="s">
        <v>810</v>
      </c>
      <c r="C730" s="3" t="s">
        <v>811</v>
      </c>
      <c r="D730" s="4">
        <v>46307.416296296302</v>
      </c>
      <c r="E730" s="5" t="s">
        <v>10</v>
      </c>
      <c r="F730" s="5" t="s">
        <v>16</v>
      </c>
      <c r="G730" s="5">
        <v>6</v>
      </c>
      <c r="H730" s="8" t="s">
        <v>12</v>
      </c>
      <c r="I730" t="s">
        <v>839</v>
      </c>
      <c r="K730" t="str">
        <f>+VLOOKUP(C730,'[1]TIENDAS 2025'!$A$1:$C$143,3,0)</f>
        <v>prioridad</v>
      </c>
      <c r="L730" t="str">
        <f>+VLOOKUP(C730,[2]Hoja1!$A$1:$B$138,2,0)</f>
        <v>APROBAR</v>
      </c>
      <c r="M730">
        <v>1</v>
      </c>
      <c r="N730" t="e">
        <v>#N/A</v>
      </c>
    </row>
    <row r="731" spans="1:14" ht="15" customHeight="1" x14ac:dyDescent="0.3">
      <c r="A731" s="3">
        <v>1209658220</v>
      </c>
      <c r="B731" s="3" t="s">
        <v>810</v>
      </c>
      <c r="C731" s="3" t="s">
        <v>811</v>
      </c>
      <c r="D731" s="4">
        <v>46307.416319444397</v>
      </c>
      <c r="E731" s="5" t="s">
        <v>10</v>
      </c>
      <c r="F731" s="5" t="s">
        <v>11</v>
      </c>
      <c r="G731" s="5">
        <v>16</v>
      </c>
      <c r="H731" s="6" t="s">
        <v>12</v>
      </c>
      <c r="I731" t="s">
        <v>840</v>
      </c>
      <c r="J731" t="s">
        <v>2480</v>
      </c>
      <c r="K731" t="str">
        <f>+VLOOKUP(C731,'[1]TIENDAS 2025'!$A$1:$C$143,3,0)</f>
        <v>prioridad</v>
      </c>
      <c r="L731" t="str">
        <f>+VLOOKUP(C731,[2]Hoja1!$A$1:$B$138,2,0)</f>
        <v>APROBAR</v>
      </c>
      <c r="M731">
        <v>1</v>
      </c>
      <c r="N731" t="e">
        <v>#N/A</v>
      </c>
    </row>
    <row r="732" spans="1:14" ht="15" customHeight="1" x14ac:dyDescent="0.3">
      <c r="A732" s="3">
        <v>1209658199</v>
      </c>
      <c r="B732" s="3" t="s">
        <v>804</v>
      </c>
      <c r="C732" s="3" t="s">
        <v>805</v>
      </c>
      <c r="D732" s="4">
        <v>46307.416331018503</v>
      </c>
      <c r="E732" s="5" t="s">
        <v>10</v>
      </c>
      <c r="F732" s="5" t="s">
        <v>17</v>
      </c>
      <c r="G732" s="5">
        <v>21</v>
      </c>
      <c r="H732" s="6" t="s">
        <v>12</v>
      </c>
      <c r="I732" t="s">
        <v>841</v>
      </c>
      <c r="J732" t="s">
        <v>2480</v>
      </c>
      <c r="K732" t="str">
        <f>+VLOOKUP(C732,'[1]TIENDAS 2025'!$A$1:$C$143,3,0)</f>
        <v>departamental</v>
      </c>
      <c r="L732" t="str">
        <f>+VLOOKUP(C732,[2]Hoja1!$A$1:$B$138,2,0)</f>
        <v>APROBAR</v>
      </c>
      <c r="M732">
        <v>1</v>
      </c>
      <c r="N732" t="e">
        <v>#N/A</v>
      </c>
    </row>
    <row r="733" spans="1:14" ht="15" customHeight="1" x14ac:dyDescent="0.3">
      <c r="A733" s="3">
        <v>1209658200</v>
      </c>
      <c r="B733" s="3" t="s">
        <v>804</v>
      </c>
      <c r="C733" s="3" t="s">
        <v>805</v>
      </c>
      <c r="D733" s="4">
        <v>46307.416342592602</v>
      </c>
      <c r="E733" s="5" t="s">
        <v>10</v>
      </c>
      <c r="F733" s="5" t="s">
        <v>11</v>
      </c>
      <c r="G733" s="5">
        <v>18</v>
      </c>
      <c r="H733" s="6" t="s">
        <v>12</v>
      </c>
      <c r="I733" t="s">
        <v>842</v>
      </c>
      <c r="J733" t="s">
        <v>2480</v>
      </c>
      <c r="K733" t="str">
        <f>+VLOOKUP(C733,'[1]TIENDAS 2025'!$A$1:$C$143,3,0)</f>
        <v>departamental</v>
      </c>
      <c r="L733" t="str">
        <f>+VLOOKUP(C733,[2]Hoja1!$A$1:$B$138,2,0)</f>
        <v>APROBAR</v>
      </c>
      <c r="M733">
        <v>1</v>
      </c>
      <c r="N733" t="e">
        <v>#N/A</v>
      </c>
    </row>
    <row r="734" spans="1:14" ht="15" customHeight="1" x14ac:dyDescent="0.3">
      <c r="A734" s="3">
        <v>1209658149</v>
      </c>
      <c r="B734" s="3" t="s">
        <v>801</v>
      </c>
      <c r="C734" s="3" t="s">
        <v>802</v>
      </c>
      <c r="D734" s="4">
        <v>46307.4163541667</v>
      </c>
      <c r="E734" s="5" t="s">
        <v>10</v>
      </c>
      <c r="F734" s="5" t="s">
        <v>11</v>
      </c>
      <c r="G734" s="5">
        <v>44</v>
      </c>
      <c r="H734" s="6" t="s">
        <v>12</v>
      </c>
      <c r="I734" t="s">
        <v>843</v>
      </c>
      <c r="J734" t="s">
        <v>2480</v>
      </c>
      <c r="K734" t="str">
        <f>+VLOOKUP(C734,'[1]TIENDAS 2025'!$A$1:$C$143,3,0)</f>
        <v>nocturna</v>
      </c>
      <c r="L734" t="str">
        <f>+VLOOKUP(C734,[2]Hoja1!$A$1:$B$138,2,0)</f>
        <v>APROBAR</v>
      </c>
      <c r="M734">
        <v>1</v>
      </c>
      <c r="N734" t="e">
        <v>#N/A</v>
      </c>
    </row>
    <row r="735" spans="1:14" ht="15" customHeight="1" x14ac:dyDescent="0.3">
      <c r="A735" s="3">
        <v>1209658142</v>
      </c>
      <c r="B735" s="3" t="s">
        <v>801</v>
      </c>
      <c r="C735" s="3" t="s">
        <v>802</v>
      </c>
      <c r="D735" s="4">
        <v>46307.416365740697</v>
      </c>
      <c r="E735" s="5" t="s">
        <v>10</v>
      </c>
      <c r="F735" s="5" t="s">
        <v>11</v>
      </c>
      <c r="G735" s="5">
        <v>10</v>
      </c>
      <c r="H735" s="6" t="s">
        <v>12</v>
      </c>
      <c r="I735" t="s">
        <v>844</v>
      </c>
      <c r="J735" t="s">
        <v>2480</v>
      </c>
      <c r="K735" t="str">
        <f>+VLOOKUP(C735,'[1]TIENDAS 2025'!$A$1:$C$143,3,0)</f>
        <v>nocturna</v>
      </c>
      <c r="L735" t="str">
        <f>+VLOOKUP(C735,[2]Hoja1!$A$1:$B$138,2,0)</f>
        <v>APROBAR</v>
      </c>
      <c r="M735">
        <v>1</v>
      </c>
      <c r="N735" t="e">
        <v>#N/A</v>
      </c>
    </row>
    <row r="736" spans="1:14" ht="15" customHeight="1" x14ac:dyDescent="0.3">
      <c r="A736" s="3">
        <v>1209658145</v>
      </c>
      <c r="B736" s="3" t="s">
        <v>801</v>
      </c>
      <c r="C736" s="3" t="s">
        <v>802</v>
      </c>
      <c r="D736" s="4">
        <v>46307.416388888902</v>
      </c>
      <c r="E736" s="5" t="s">
        <v>10</v>
      </c>
      <c r="F736" s="5" t="s">
        <v>17</v>
      </c>
      <c r="G736" s="5">
        <v>28</v>
      </c>
      <c r="H736" s="6" t="s">
        <v>12</v>
      </c>
      <c r="I736" t="s">
        <v>845</v>
      </c>
      <c r="J736" t="s">
        <v>2480</v>
      </c>
      <c r="K736" t="str">
        <f>+VLOOKUP(C736,'[1]TIENDAS 2025'!$A$1:$C$143,3,0)</f>
        <v>nocturna</v>
      </c>
      <c r="L736" t="str">
        <f>+VLOOKUP(C736,[2]Hoja1!$A$1:$B$138,2,0)</f>
        <v>APROBAR</v>
      </c>
      <c r="M736">
        <v>1</v>
      </c>
      <c r="N736" t="e">
        <v>#N/A</v>
      </c>
    </row>
    <row r="737" spans="1:14" ht="15" customHeight="1" x14ac:dyDescent="0.3">
      <c r="A737" s="3">
        <v>8209658216</v>
      </c>
      <c r="B737" s="3" t="s">
        <v>810</v>
      </c>
      <c r="C737" s="3" t="s">
        <v>811</v>
      </c>
      <c r="D737" s="4">
        <v>46307.416400463</v>
      </c>
      <c r="E737" s="5" t="s">
        <v>10</v>
      </c>
      <c r="F737" s="5" t="s">
        <v>16</v>
      </c>
      <c r="G737" s="5">
        <v>4</v>
      </c>
      <c r="H737" s="8" t="s">
        <v>12</v>
      </c>
      <c r="I737" t="s">
        <v>846</v>
      </c>
      <c r="K737" t="str">
        <f>+VLOOKUP(C737,'[1]TIENDAS 2025'!$A$1:$C$143,3,0)</f>
        <v>prioridad</v>
      </c>
      <c r="L737" t="str">
        <f>+VLOOKUP(C737,[2]Hoja1!$A$1:$B$138,2,0)</f>
        <v>APROBAR</v>
      </c>
      <c r="M737">
        <v>1</v>
      </c>
      <c r="N737" t="e">
        <v>#N/A</v>
      </c>
    </row>
    <row r="738" spans="1:14" ht="15" customHeight="1" x14ac:dyDescent="0.3">
      <c r="A738" s="3">
        <v>1209658236</v>
      </c>
      <c r="B738" s="3" t="s">
        <v>810</v>
      </c>
      <c r="C738" s="3" t="s">
        <v>811</v>
      </c>
      <c r="D738" s="4">
        <v>46307.416412036997</v>
      </c>
      <c r="E738" s="5" t="s">
        <v>10</v>
      </c>
      <c r="F738" s="5" t="s">
        <v>11</v>
      </c>
      <c r="G738" s="5">
        <v>15</v>
      </c>
      <c r="H738" s="6" t="s">
        <v>12</v>
      </c>
      <c r="I738" t="s">
        <v>847</v>
      </c>
      <c r="J738" t="s">
        <v>2480</v>
      </c>
      <c r="K738" t="str">
        <f>+VLOOKUP(C738,'[1]TIENDAS 2025'!$A$1:$C$143,3,0)</f>
        <v>prioridad</v>
      </c>
      <c r="L738" t="str">
        <f>+VLOOKUP(C738,[2]Hoja1!$A$1:$B$138,2,0)</f>
        <v>APROBAR</v>
      </c>
      <c r="M738">
        <v>1</v>
      </c>
      <c r="N738" t="e">
        <v>#N/A</v>
      </c>
    </row>
    <row r="739" spans="1:14" ht="15" customHeight="1" x14ac:dyDescent="0.3">
      <c r="A739" s="3">
        <v>1209658238</v>
      </c>
      <c r="B739" s="3" t="s">
        <v>810</v>
      </c>
      <c r="C739" s="3" t="s">
        <v>811</v>
      </c>
      <c r="D739" s="4">
        <v>46307.416423611103</v>
      </c>
      <c r="E739" s="5" t="s">
        <v>10</v>
      </c>
      <c r="F739" s="5" t="s">
        <v>17</v>
      </c>
      <c r="G739" s="5">
        <v>19</v>
      </c>
      <c r="H739" s="6" t="s">
        <v>12</v>
      </c>
      <c r="I739" t="s">
        <v>848</v>
      </c>
      <c r="J739" t="s">
        <v>2480</v>
      </c>
      <c r="K739" t="str">
        <f>+VLOOKUP(C739,'[1]TIENDAS 2025'!$A$1:$C$143,3,0)</f>
        <v>prioridad</v>
      </c>
      <c r="L739" t="str">
        <f>+VLOOKUP(C739,[2]Hoja1!$A$1:$B$138,2,0)</f>
        <v>APROBAR</v>
      </c>
      <c r="M739">
        <v>1</v>
      </c>
      <c r="N739" t="e">
        <v>#N/A</v>
      </c>
    </row>
    <row r="740" spans="1:14" ht="15" customHeight="1" x14ac:dyDescent="0.3">
      <c r="A740" s="3">
        <v>8209658259</v>
      </c>
      <c r="B740" s="3" t="s">
        <v>813</v>
      </c>
      <c r="C740" s="3" t="s">
        <v>814</v>
      </c>
      <c r="D740" s="4">
        <v>46307.416435185201</v>
      </c>
      <c r="E740" s="5" t="s">
        <v>10</v>
      </c>
      <c r="F740" s="5" t="s">
        <v>16</v>
      </c>
      <c r="G740" s="5">
        <v>4</v>
      </c>
      <c r="H740" s="8" t="s">
        <v>12</v>
      </c>
      <c r="I740" t="s">
        <v>849</v>
      </c>
      <c r="K740" t="str">
        <f>+VLOOKUP(C740,'[1]TIENDAS 2025'!$A$1:$C$143,3,0)</f>
        <v>departamental</v>
      </c>
      <c r="L740" t="str">
        <f>+VLOOKUP(C740,[2]Hoja1!$A$1:$B$138,2,0)</f>
        <v>APROBAR</v>
      </c>
      <c r="M740">
        <v>1</v>
      </c>
      <c r="N740" t="e">
        <v>#N/A</v>
      </c>
    </row>
    <row r="741" spans="1:14" ht="15" customHeight="1" x14ac:dyDescent="0.3">
      <c r="A741" s="3">
        <v>1209658263</v>
      </c>
      <c r="B741" s="3" t="s">
        <v>813</v>
      </c>
      <c r="C741" s="3" t="s">
        <v>814</v>
      </c>
      <c r="D741" s="4">
        <v>46307.416458333297</v>
      </c>
      <c r="E741" s="5" t="s">
        <v>10</v>
      </c>
      <c r="F741" s="5" t="s">
        <v>11</v>
      </c>
      <c r="G741" s="5">
        <v>2</v>
      </c>
      <c r="H741" s="6" t="s">
        <v>12</v>
      </c>
      <c r="I741" t="s">
        <v>850</v>
      </c>
      <c r="J741" t="s">
        <v>2480</v>
      </c>
      <c r="K741" t="str">
        <f>+VLOOKUP(C741,'[1]TIENDAS 2025'!$A$1:$C$143,3,0)</f>
        <v>departamental</v>
      </c>
      <c r="L741" t="str">
        <f>+VLOOKUP(C741,[2]Hoja1!$A$1:$B$138,2,0)</f>
        <v>APROBAR</v>
      </c>
      <c r="M741">
        <v>1</v>
      </c>
      <c r="N741" t="e">
        <v>#N/A</v>
      </c>
    </row>
    <row r="742" spans="1:14" ht="15" customHeight="1" x14ac:dyDescent="0.3">
      <c r="A742" s="3">
        <v>1209658264</v>
      </c>
      <c r="B742" s="3" t="s">
        <v>813</v>
      </c>
      <c r="C742" s="3" t="s">
        <v>814</v>
      </c>
      <c r="D742" s="4">
        <v>46307.416458333297</v>
      </c>
      <c r="E742" s="5" t="s">
        <v>10</v>
      </c>
      <c r="F742" s="5" t="s">
        <v>11</v>
      </c>
      <c r="G742" s="5">
        <v>4</v>
      </c>
      <c r="H742" s="6" t="s">
        <v>12</v>
      </c>
      <c r="I742" t="s">
        <v>851</v>
      </c>
      <c r="J742" t="s">
        <v>2480</v>
      </c>
      <c r="K742" t="str">
        <f>+VLOOKUP(C742,'[1]TIENDAS 2025'!$A$1:$C$143,3,0)</f>
        <v>departamental</v>
      </c>
      <c r="L742" t="str">
        <f>+VLOOKUP(C742,[2]Hoja1!$A$1:$B$138,2,0)</f>
        <v>APROBAR</v>
      </c>
      <c r="M742">
        <v>1</v>
      </c>
      <c r="N742" t="e">
        <v>#N/A</v>
      </c>
    </row>
    <row r="743" spans="1:14" ht="15" customHeight="1" x14ac:dyDescent="0.3">
      <c r="A743" s="3">
        <v>8209658205</v>
      </c>
      <c r="B743" s="3" t="s">
        <v>804</v>
      </c>
      <c r="C743" s="3" t="s">
        <v>805</v>
      </c>
      <c r="D743" s="4">
        <v>46307.416481481501</v>
      </c>
      <c r="E743" s="5" t="s">
        <v>10</v>
      </c>
      <c r="F743" s="5" t="s">
        <v>16</v>
      </c>
      <c r="G743" s="5">
        <v>5</v>
      </c>
      <c r="H743" s="8" t="s">
        <v>12</v>
      </c>
      <c r="I743" t="s">
        <v>852</v>
      </c>
      <c r="K743" t="str">
        <f>+VLOOKUP(C743,'[1]TIENDAS 2025'!$A$1:$C$143,3,0)</f>
        <v>departamental</v>
      </c>
      <c r="L743" t="str">
        <f>+VLOOKUP(C743,[2]Hoja1!$A$1:$B$138,2,0)</f>
        <v>APROBAR</v>
      </c>
      <c r="M743">
        <v>1</v>
      </c>
      <c r="N743" t="e">
        <v>#N/A</v>
      </c>
    </row>
    <row r="744" spans="1:14" ht="15" customHeight="1" x14ac:dyDescent="0.3">
      <c r="A744" s="3">
        <v>8209658136</v>
      </c>
      <c r="B744" s="3" t="s">
        <v>801</v>
      </c>
      <c r="C744" s="3" t="s">
        <v>802</v>
      </c>
      <c r="D744" s="4">
        <v>46307.4164930556</v>
      </c>
      <c r="E744" s="5" t="s">
        <v>10</v>
      </c>
      <c r="F744" s="5" t="s">
        <v>16</v>
      </c>
      <c r="G744" s="5">
        <v>7</v>
      </c>
      <c r="H744" s="8" t="s">
        <v>12</v>
      </c>
      <c r="I744" t="s">
        <v>853</v>
      </c>
      <c r="K744" t="str">
        <f>+VLOOKUP(C744,'[1]TIENDAS 2025'!$A$1:$C$143,3,0)</f>
        <v>nocturna</v>
      </c>
      <c r="L744" t="str">
        <f>+VLOOKUP(C744,[2]Hoja1!$A$1:$B$138,2,0)</f>
        <v>APROBAR</v>
      </c>
      <c r="M744">
        <v>1</v>
      </c>
      <c r="N744" t="e">
        <v>#N/A</v>
      </c>
    </row>
    <row r="745" spans="1:14" ht="15" customHeight="1" x14ac:dyDescent="0.3">
      <c r="A745" s="3">
        <v>1209658154</v>
      </c>
      <c r="B745" s="3" t="s">
        <v>801</v>
      </c>
      <c r="C745" s="3" t="s">
        <v>802</v>
      </c>
      <c r="D745" s="4">
        <v>46307.416504629597</v>
      </c>
      <c r="E745" s="5" t="s">
        <v>10</v>
      </c>
      <c r="F745" s="5" t="s">
        <v>17</v>
      </c>
      <c r="G745" s="5">
        <v>23</v>
      </c>
      <c r="H745" s="6" t="s">
        <v>12</v>
      </c>
      <c r="I745" t="s">
        <v>854</v>
      </c>
      <c r="J745" t="s">
        <v>2480</v>
      </c>
      <c r="K745" t="str">
        <f>+VLOOKUP(C745,'[1]TIENDAS 2025'!$A$1:$C$143,3,0)</f>
        <v>nocturna</v>
      </c>
      <c r="L745" t="str">
        <f>+VLOOKUP(C745,[2]Hoja1!$A$1:$B$138,2,0)</f>
        <v>APROBAR</v>
      </c>
      <c r="M745">
        <v>1</v>
      </c>
      <c r="N745" t="e">
        <v>#N/A</v>
      </c>
    </row>
    <row r="746" spans="1:14" ht="15" customHeight="1" x14ac:dyDescent="0.3">
      <c r="A746" s="3">
        <v>1209658194</v>
      </c>
      <c r="B746" s="3" t="s">
        <v>804</v>
      </c>
      <c r="C746" s="3" t="s">
        <v>805</v>
      </c>
      <c r="D746" s="4">
        <v>46307.416516203702</v>
      </c>
      <c r="E746" s="5" t="s">
        <v>10</v>
      </c>
      <c r="F746" s="5" t="s">
        <v>16</v>
      </c>
      <c r="G746" s="5">
        <v>18</v>
      </c>
      <c r="H746" s="6" t="s">
        <v>12</v>
      </c>
      <c r="I746" t="s">
        <v>855</v>
      </c>
      <c r="J746" t="s">
        <v>2480</v>
      </c>
      <c r="K746" t="str">
        <f>+VLOOKUP(C746,'[1]TIENDAS 2025'!$A$1:$C$143,3,0)</f>
        <v>departamental</v>
      </c>
      <c r="L746" t="str">
        <f>+VLOOKUP(C746,[2]Hoja1!$A$1:$B$138,2,0)</f>
        <v>APROBAR</v>
      </c>
      <c r="M746">
        <v>1</v>
      </c>
      <c r="N746" t="e">
        <v>#N/A</v>
      </c>
    </row>
    <row r="747" spans="1:14" ht="15" customHeight="1" x14ac:dyDescent="0.3">
      <c r="A747" s="3">
        <v>1209658195</v>
      </c>
      <c r="B747" s="3" t="s">
        <v>804</v>
      </c>
      <c r="C747" s="3" t="s">
        <v>805</v>
      </c>
      <c r="D747" s="4">
        <v>46307.416527777801</v>
      </c>
      <c r="E747" s="5" t="s">
        <v>10</v>
      </c>
      <c r="F747" s="5" t="s">
        <v>11</v>
      </c>
      <c r="G747" s="5">
        <v>11</v>
      </c>
      <c r="H747" s="6" t="s">
        <v>12</v>
      </c>
      <c r="I747" t="s">
        <v>856</v>
      </c>
      <c r="J747" t="s">
        <v>2480</v>
      </c>
      <c r="K747" t="str">
        <f>+VLOOKUP(C747,'[1]TIENDAS 2025'!$A$1:$C$143,3,0)</f>
        <v>departamental</v>
      </c>
      <c r="L747" t="str">
        <f>+VLOOKUP(C747,[2]Hoja1!$A$1:$B$138,2,0)</f>
        <v>APROBAR</v>
      </c>
      <c r="M747">
        <v>1</v>
      </c>
      <c r="N747" t="e">
        <v>#N/A</v>
      </c>
    </row>
    <row r="748" spans="1:14" ht="15" customHeight="1" x14ac:dyDescent="0.3">
      <c r="A748" s="3">
        <v>1209658196</v>
      </c>
      <c r="B748" s="3" t="s">
        <v>804</v>
      </c>
      <c r="C748" s="3" t="s">
        <v>805</v>
      </c>
      <c r="D748" s="4">
        <v>46307.416539351798</v>
      </c>
      <c r="E748" s="5" t="s">
        <v>10</v>
      </c>
      <c r="F748" s="5" t="s">
        <v>11</v>
      </c>
      <c r="G748" s="5">
        <v>10</v>
      </c>
      <c r="H748" s="6" t="s">
        <v>12</v>
      </c>
      <c r="I748" t="s">
        <v>857</v>
      </c>
      <c r="J748" t="s">
        <v>2480</v>
      </c>
      <c r="K748" t="str">
        <f>+VLOOKUP(C748,'[1]TIENDAS 2025'!$A$1:$C$143,3,0)</f>
        <v>departamental</v>
      </c>
      <c r="L748" t="str">
        <f>+VLOOKUP(C748,[2]Hoja1!$A$1:$B$138,2,0)</f>
        <v>APROBAR</v>
      </c>
      <c r="M748">
        <v>1</v>
      </c>
      <c r="N748" t="e">
        <v>#N/A</v>
      </c>
    </row>
    <row r="749" spans="1:14" ht="15" customHeight="1" x14ac:dyDescent="0.3">
      <c r="A749" s="3">
        <v>8209658230</v>
      </c>
      <c r="B749" s="3" t="s">
        <v>810</v>
      </c>
      <c r="C749" s="3" t="s">
        <v>811</v>
      </c>
      <c r="D749" s="4">
        <v>46307.416562500002</v>
      </c>
      <c r="E749" s="5" t="s">
        <v>10</v>
      </c>
      <c r="F749" s="5" t="s">
        <v>16</v>
      </c>
      <c r="G749" s="5">
        <v>9</v>
      </c>
      <c r="H749" s="8" t="s">
        <v>12</v>
      </c>
      <c r="I749" t="s">
        <v>858</v>
      </c>
      <c r="K749" t="str">
        <f>+VLOOKUP(C749,'[1]TIENDAS 2025'!$A$1:$C$143,3,0)</f>
        <v>prioridad</v>
      </c>
      <c r="L749" t="str">
        <f>+VLOOKUP(C749,[2]Hoja1!$A$1:$B$138,2,0)</f>
        <v>APROBAR</v>
      </c>
      <c r="M749">
        <v>1</v>
      </c>
      <c r="N749" t="e">
        <v>#N/A</v>
      </c>
    </row>
    <row r="750" spans="1:14" ht="15" customHeight="1" x14ac:dyDescent="0.3">
      <c r="A750" s="3">
        <v>1209658237</v>
      </c>
      <c r="B750" s="3" t="s">
        <v>810</v>
      </c>
      <c r="C750" s="3" t="s">
        <v>811</v>
      </c>
      <c r="D750" s="4">
        <v>46307.416574074101</v>
      </c>
      <c r="E750" s="5" t="s">
        <v>10</v>
      </c>
      <c r="F750" s="5" t="s">
        <v>11</v>
      </c>
      <c r="G750" s="5">
        <v>16</v>
      </c>
      <c r="H750" s="6" t="s">
        <v>12</v>
      </c>
      <c r="I750" t="s">
        <v>859</v>
      </c>
      <c r="J750" t="s">
        <v>2480</v>
      </c>
      <c r="K750" t="str">
        <f>+VLOOKUP(C750,'[1]TIENDAS 2025'!$A$1:$C$143,3,0)</f>
        <v>prioridad</v>
      </c>
      <c r="L750" t="str">
        <f>+VLOOKUP(C750,[2]Hoja1!$A$1:$B$138,2,0)</f>
        <v>APROBAR</v>
      </c>
      <c r="M750">
        <v>1</v>
      </c>
      <c r="N750" t="e">
        <v>#N/A</v>
      </c>
    </row>
    <row r="751" spans="1:14" ht="15" customHeight="1" x14ac:dyDescent="0.3">
      <c r="A751" s="3">
        <v>8209658256</v>
      </c>
      <c r="B751" s="3" t="s">
        <v>813</v>
      </c>
      <c r="C751" s="3" t="s">
        <v>814</v>
      </c>
      <c r="D751" s="4">
        <v>46307.416585648098</v>
      </c>
      <c r="E751" s="5" t="s">
        <v>10</v>
      </c>
      <c r="F751" s="5" t="s">
        <v>16</v>
      </c>
      <c r="G751" s="5">
        <v>3</v>
      </c>
      <c r="H751" s="8" t="s">
        <v>12</v>
      </c>
      <c r="I751" t="s">
        <v>860</v>
      </c>
      <c r="K751" t="str">
        <f>+VLOOKUP(C751,'[1]TIENDAS 2025'!$A$1:$C$143,3,0)</f>
        <v>departamental</v>
      </c>
      <c r="L751" t="str">
        <f>+VLOOKUP(C751,[2]Hoja1!$A$1:$B$138,2,0)</f>
        <v>APROBAR</v>
      </c>
      <c r="M751">
        <v>1</v>
      </c>
      <c r="N751" t="e">
        <v>#N/A</v>
      </c>
    </row>
    <row r="752" spans="1:14" ht="15" customHeight="1" x14ac:dyDescent="0.3">
      <c r="A752" s="3">
        <v>8209658187</v>
      </c>
      <c r="B752" s="3" t="s">
        <v>804</v>
      </c>
      <c r="C752" s="3" t="s">
        <v>805</v>
      </c>
      <c r="D752" s="4">
        <v>46307.416608796302</v>
      </c>
      <c r="E752" s="5" t="s">
        <v>10</v>
      </c>
      <c r="F752" s="5" t="s">
        <v>16</v>
      </c>
      <c r="G752" s="5">
        <v>5</v>
      </c>
      <c r="H752" s="8" t="s">
        <v>12</v>
      </c>
      <c r="I752" t="s">
        <v>861</v>
      </c>
      <c r="K752" t="str">
        <f>+VLOOKUP(C752,'[1]TIENDAS 2025'!$A$1:$C$143,3,0)</f>
        <v>departamental</v>
      </c>
      <c r="L752" t="str">
        <f>+VLOOKUP(C752,[2]Hoja1!$A$1:$B$138,2,0)</f>
        <v>APROBAR</v>
      </c>
      <c r="M752">
        <v>1</v>
      </c>
      <c r="N752" t="e">
        <v>#N/A</v>
      </c>
    </row>
    <row r="753" spans="1:14" ht="15" customHeight="1" x14ac:dyDescent="0.3">
      <c r="A753" s="3">
        <v>8209658258</v>
      </c>
      <c r="B753" s="3" t="s">
        <v>813</v>
      </c>
      <c r="C753" s="3" t="s">
        <v>814</v>
      </c>
      <c r="D753" s="4">
        <v>46307.416608796302</v>
      </c>
      <c r="E753" s="5" t="s">
        <v>10</v>
      </c>
      <c r="F753" s="5" t="s">
        <v>16</v>
      </c>
      <c r="G753" s="5">
        <v>7</v>
      </c>
      <c r="H753" s="8" t="s">
        <v>12</v>
      </c>
      <c r="I753" t="s">
        <v>862</v>
      </c>
      <c r="K753" t="str">
        <f>+VLOOKUP(C753,'[1]TIENDAS 2025'!$A$1:$C$143,3,0)</f>
        <v>departamental</v>
      </c>
      <c r="L753" t="str">
        <f>+VLOOKUP(C753,[2]Hoja1!$A$1:$B$138,2,0)</f>
        <v>APROBAR</v>
      </c>
      <c r="M753">
        <v>1</v>
      </c>
      <c r="N753" t="e">
        <v>#N/A</v>
      </c>
    </row>
    <row r="754" spans="1:14" ht="15" customHeight="1" x14ac:dyDescent="0.3">
      <c r="A754" s="3">
        <v>8209658151</v>
      </c>
      <c r="B754" s="3" t="s">
        <v>801</v>
      </c>
      <c r="C754" s="3" t="s">
        <v>802</v>
      </c>
      <c r="D754" s="4">
        <v>46307.416631944398</v>
      </c>
      <c r="E754" s="5" t="s">
        <v>10</v>
      </c>
      <c r="F754" s="5" t="s">
        <v>16</v>
      </c>
      <c r="G754" s="5">
        <v>1</v>
      </c>
      <c r="H754" s="8" t="s">
        <v>12</v>
      </c>
      <c r="I754" t="s">
        <v>863</v>
      </c>
      <c r="K754" t="str">
        <f>+VLOOKUP(C754,'[1]TIENDAS 2025'!$A$1:$C$143,3,0)</f>
        <v>nocturna</v>
      </c>
      <c r="L754" t="str">
        <f>+VLOOKUP(C754,[2]Hoja1!$A$1:$B$138,2,0)</f>
        <v>APROBAR</v>
      </c>
      <c r="M754">
        <v>1</v>
      </c>
      <c r="N754" t="e">
        <v>#N/A</v>
      </c>
    </row>
    <row r="755" spans="1:14" ht="15" customHeight="1" x14ac:dyDescent="0.3">
      <c r="A755" s="3">
        <v>1209658197</v>
      </c>
      <c r="B755" s="3" t="s">
        <v>804</v>
      </c>
      <c r="C755" s="3" t="s">
        <v>805</v>
      </c>
      <c r="D755" s="4">
        <v>46307.416643518503</v>
      </c>
      <c r="E755" s="5" t="s">
        <v>10</v>
      </c>
      <c r="F755" s="5" t="s">
        <v>11</v>
      </c>
      <c r="G755" s="5">
        <v>17</v>
      </c>
      <c r="H755" s="6" t="s">
        <v>12</v>
      </c>
      <c r="I755" t="s">
        <v>864</v>
      </c>
      <c r="J755" t="s">
        <v>2480</v>
      </c>
      <c r="K755" t="str">
        <f>+VLOOKUP(C755,'[1]TIENDAS 2025'!$A$1:$C$143,3,0)</f>
        <v>departamental</v>
      </c>
      <c r="L755" t="str">
        <f>+VLOOKUP(C755,[2]Hoja1!$A$1:$B$138,2,0)</f>
        <v>APROBAR</v>
      </c>
      <c r="M755">
        <v>1</v>
      </c>
      <c r="N755" t="e">
        <v>#N/A</v>
      </c>
    </row>
    <row r="756" spans="1:14" ht="15" customHeight="1" x14ac:dyDescent="0.3">
      <c r="A756" s="3">
        <v>8209658231</v>
      </c>
      <c r="B756" s="3" t="s">
        <v>810</v>
      </c>
      <c r="C756" s="3" t="s">
        <v>811</v>
      </c>
      <c r="D756" s="4">
        <v>46307.416655092602</v>
      </c>
      <c r="E756" s="5" t="s">
        <v>10</v>
      </c>
      <c r="F756" s="5" t="s">
        <v>16</v>
      </c>
      <c r="G756" s="5">
        <v>6</v>
      </c>
      <c r="H756" s="8" t="s">
        <v>12</v>
      </c>
      <c r="I756" t="s">
        <v>865</v>
      </c>
      <c r="K756" t="str">
        <f>+VLOOKUP(C756,'[1]TIENDAS 2025'!$A$1:$C$143,3,0)</f>
        <v>prioridad</v>
      </c>
      <c r="L756" t="str">
        <f>+VLOOKUP(C756,[2]Hoja1!$A$1:$B$138,2,0)</f>
        <v>APROBAR</v>
      </c>
      <c r="M756">
        <v>1</v>
      </c>
      <c r="N756" t="e">
        <v>#N/A</v>
      </c>
    </row>
    <row r="757" spans="1:14" ht="15" customHeight="1" x14ac:dyDescent="0.3">
      <c r="A757" s="3">
        <v>8209658232</v>
      </c>
      <c r="B757" s="3" t="s">
        <v>810</v>
      </c>
      <c r="C757" s="3" t="s">
        <v>811</v>
      </c>
      <c r="D757" s="4">
        <v>46307.416666666701</v>
      </c>
      <c r="E757" s="5" t="s">
        <v>10</v>
      </c>
      <c r="F757" s="5" t="s">
        <v>16</v>
      </c>
      <c r="G757" s="5">
        <v>1</v>
      </c>
      <c r="H757" s="8" t="s">
        <v>12</v>
      </c>
      <c r="I757" t="s">
        <v>866</v>
      </c>
      <c r="K757" t="str">
        <f>+VLOOKUP(C757,'[1]TIENDAS 2025'!$A$1:$C$143,3,0)</f>
        <v>prioridad</v>
      </c>
      <c r="L757" t="str">
        <f>+VLOOKUP(C757,[2]Hoja1!$A$1:$B$138,2,0)</f>
        <v>APROBAR</v>
      </c>
      <c r="M757">
        <v>1</v>
      </c>
      <c r="N757" t="e">
        <v>#N/A</v>
      </c>
    </row>
    <row r="758" spans="1:14" ht="15" customHeight="1" x14ac:dyDescent="0.3">
      <c r="A758" s="3">
        <v>1209658234</v>
      </c>
      <c r="B758" s="3" t="s">
        <v>810</v>
      </c>
      <c r="C758" s="3" t="s">
        <v>811</v>
      </c>
      <c r="D758" s="4">
        <v>46307.416678240697</v>
      </c>
      <c r="E758" s="5" t="s">
        <v>10</v>
      </c>
      <c r="F758" s="5" t="s">
        <v>11</v>
      </c>
      <c r="G758" s="5">
        <v>8</v>
      </c>
      <c r="H758" s="6" t="s">
        <v>12</v>
      </c>
      <c r="I758" t="s">
        <v>867</v>
      </c>
      <c r="J758" t="s">
        <v>2480</v>
      </c>
      <c r="K758" t="str">
        <f>+VLOOKUP(C758,'[1]TIENDAS 2025'!$A$1:$C$143,3,0)</f>
        <v>prioridad</v>
      </c>
      <c r="L758" t="str">
        <f>+VLOOKUP(C758,[2]Hoja1!$A$1:$B$138,2,0)</f>
        <v>APROBAR</v>
      </c>
      <c r="M758">
        <v>1</v>
      </c>
      <c r="N758" t="e">
        <v>#N/A</v>
      </c>
    </row>
    <row r="759" spans="1:14" ht="15" customHeight="1" x14ac:dyDescent="0.3">
      <c r="A759" s="3">
        <v>1209658148</v>
      </c>
      <c r="B759" s="3" t="s">
        <v>801</v>
      </c>
      <c r="C759" s="3" t="s">
        <v>802</v>
      </c>
      <c r="D759" s="4">
        <v>46307.416701388902</v>
      </c>
      <c r="E759" s="5" t="s">
        <v>10</v>
      </c>
      <c r="F759" s="5" t="s">
        <v>17</v>
      </c>
      <c r="G759" s="5">
        <v>48</v>
      </c>
      <c r="H759" s="6" t="s">
        <v>12</v>
      </c>
      <c r="I759" t="s">
        <v>868</v>
      </c>
      <c r="J759" t="s">
        <v>2480</v>
      </c>
      <c r="K759" t="str">
        <f>+VLOOKUP(C759,'[1]TIENDAS 2025'!$A$1:$C$143,3,0)</f>
        <v>nocturna</v>
      </c>
      <c r="L759" t="str">
        <f>+VLOOKUP(C759,[2]Hoja1!$A$1:$B$138,2,0)</f>
        <v>APROBAR</v>
      </c>
      <c r="M759">
        <v>1</v>
      </c>
      <c r="N759" t="e">
        <v>#N/A</v>
      </c>
    </row>
    <row r="760" spans="1:14" ht="15" customHeight="1" x14ac:dyDescent="0.3">
      <c r="A760" s="3">
        <v>8209658260</v>
      </c>
      <c r="B760" s="3" t="s">
        <v>813</v>
      </c>
      <c r="C760" s="3" t="s">
        <v>814</v>
      </c>
      <c r="D760" s="4">
        <v>46307.416712963</v>
      </c>
      <c r="E760" s="5" t="s">
        <v>10</v>
      </c>
      <c r="F760" s="5" t="s">
        <v>16</v>
      </c>
      <c r="G760" s="5">
        <v>6</v>
      </c>
      <c r="H760" s="8" t="s">
        <v>12</v>
      </c>
      <c r="I760" t="s">
        <v>869</v>
      </c>
      <c r="K760" t="str">
        <f>+VLOOKUP(C760,'[1]TIENDAS 2025'!$A$1:$C$143,3,0)</f>
        <v>departamental</v>
      </c>
      <c r="L760" t="str">
        <f>+VLOOKUP(C760,[2]Hoja1!$A$1:$B$138,2,0)</f>
        <v>APROBAR</v>
      </c>
      <c r="M760">
        <v>1</v>
      </c>
      <c r="N760" t="e">
        <v>#N/A</v>
      </c>
    </row>
    <row r="761" spans="1:14" ht="15" customHeight="1" x14ac:dyDescent="0.3">
      <c r="A761" s="3">
        <v>1209658267</v>
      </c>
      <c r="B761" s="3" t="s">
        <v>813</v>
      </c>
      <c r="C761" s="3" t="s">
        <v>814</v>
      </c>
      <c r="D761" s="4">
        <v>46307.416724536997</v>
      </c>
      <c r="E761" s="5" t="s">
        <v>10</v>
      </c>
      <c r="F761" s="5" t="s">
        <v>11</v>
      </c>
      <c r="G761" s="5">
        <v>11</v>
      </c>
      <c r="H761" s="6" t="s">
        <v>12</v>
      </c>
      <c r="I761" t="s">
        <v>870</v>
      </c>
      <c r="J761" t="s">
        <v>2480</v>
      </c>
      <c r="K761" t="str">
        <f>+VLOOKUP(C761,'[1]TIENDAS 2025'!$A$1:$C$143,3,0)</f>
        <v>departamental</v>
      </c>
      <c r="L761" t="str">
        <f>+VLOOKUP(C761,[2]Hoja1!$A$1:$B$138,2,0)</f>
        <v>APROBAR</v>
      </c>
      <c r="M761">
        <v>1</v>
      </c>
      <c r="N761" t="e">
        <v>#N/A</v>
      </c>
    </row>
    <row r="762" spans="1:14" ht="15" customHeight="1" x14ac:dyDescent="0.3">
      <c r="A762" s="3">
        <v>1209658327</v>
      </c>
      <c r="B762" s="3" t="s">
        <v>872</v>
      </c>
      <c r="C762" s="3" t="s">
        <v>873</v>
      </c>
      <c r="D762" s="4">
        <v>46307.419409722199</v>
      </c>
      <c r="E762" s="5" t="s">
        <v>10</v>
      </c>
      <c r="F762" s="5" t="s">
        <v>11</v>
      </c>
      <c r="G762" s="5">
        <v>43</v>
      </c>
      <c r="H762" s="6" t="s">
        <v>12</v>
      </c>
      <c r="I762" t="s">
        <v>871</v>
      </c>
      <c r="J762" t="s">
        <v>2480</v>
      </c>
      <c r="K762" t="str">
        <f>+VLOOKUP(C762,'[1]TIENDAS 2025'!$A$1:$C$143,3,0)</f>
        <v>nocturna</v>
      </c>
      <c r="L762" t="str">
        <f>+VLOOKUP(C762,[2]Hoja1!$A$1:$B$138,2,0)</f>
        <v>APROBAR</v>
      </c>
      <c r="M762">
        <v>1</v>
      </c>
      <c r="N762" t="e">
        <v>#N/A</v>
      </c>
    </row>
    <row r="763" spans="1:14" ht="15" customHeight="1" x14ac:dyDescent="0.3">
      <c r="A763" s="3">
        <v>8209658352</v>
      </c>
      <c r="B763" s="3" t="s">
        <v>875</v>
      </c>
      <c r="C763" s="3" t="s">
        <v>876</v>
      </c>
      <c r="D763" s="4">
        <v>46307.419409722199</v>
      </c>
      <c r="E763" s="5" t="s">
        <v>10</v>
      </c>
      <c r="F763" s="5" t="s">
        <v>16</v>
      </c>
      <c r="G763" s="5">
        <v>3</v>
      </c>
      <c r="H763" s="8" t="s">
        <v>12</v>
      </c>
      <c r="I763" t="s">
        <v>874</v>
      </c>
      <c r="K763" t="str">
        <f>+VLOOKUP(C763,'[1]TIENDAS 2025'!$A$1:$C$143,3,0)</f>
        <v>departamental</v>
      </c>
      <c r="L763" t="str">
        <f>+VLOOKUP(C763,[2]Hoja1!$A$1:$B$138,2,0)</f>
        <v>APROBAR</v>
      </c>
      <c r="M763">
        <v>1</v>
      </c>
      <c r="N763" t="e">
        <v>#N/A</v>
      </c>
    </row>
    <row r="764" spans="1:14" ht="15" customHeight="1" x14ac:dyDescent="0.3">
      <c r="A764" s="3">
        <v>1209658384</v>
      </c>
      <c r="B764" s="3" t="s">
        <v>878</v>
      </c>
      <c r="C764" s="3" t="s">
        <v>879</v>
      </c>
      <c r="D764" s="4">
        <v>46307.419432870403</v>
      </c>
      <c r="E764" s="5" t="s">
        <v>10</v>
      </c>
      <c r="F764" s="5" t="s">
        <v>11</v>
      </c>
      <c r="G764" s="5">
        <v>14</v>
      </c>
      <c r="H764" s="6" t="s">
        <v>12</v>
      </c>
      <c r="I764" t="s">
        <v>877</v>
      </c>
      <c r="J764" t="s">
        <v>2480</v>
      </c>
      <c r="K764" t="str">
        <f>+VLOOKUP(C764,'[1]TIENDAS 2025'!$A$1:$C$143,3,0)</f>
        <v>nocturna</v>
      </c>
      <c r="L764" t="str">
        <f>+VLOOKUP(C764,[2]Hoja1!$A$1:$B$138,2,0)</f>
        <v>APROBAR</v>
      </c>
      <c r="M764">
        <v>1</v>
      </c>
      <c r="N764" t="e">
        <v>#N/A</v>
      </c>
    </row>
    <row r="765" spans="1:14" ht="15" customHeight="1" x14ac:dyDescent="0.3">
      <c r="A765" s="3">
        <v>1209658467</v>
      </c>
      <c r="B765" s="3" t="s">
        <v>881</v>
      </c>
      <c r="C765" s="3" t="s">
        <v>882</v>
      </c>
      <c r="D765" s="4">
        <v>46307.4194444444</v>
      </c>
      <c r="E765" s="5" t="s">
        <v>10</v>
      </c>
      <c r="F765" s="5" t="s">
        <v>11</v>
      </c>
      <c r="G765" s="5">
        <v>10</v>
      </c>
      <c r="H765" s="6" t="s">
        <v>12</v>
      </c>
      <c r="I765" t="s">
        <v>880</v>
      </c>
      <c r="J765" t="s">
        <v>2480</v>
      </c>
      <c r="K765" t="str">
        <f>+VLOOKUP(C765,'[1]TIENDAS 2025'!$A$1:$C$143,3,0)</f>
        <v>local</v>
      </c>
      <c r="L765" t="str">
        <f>+VLOOKUP(C765,[2]Hoja1!$A$1:$B$138,2,0)</f>
        <v>APROBAR</v>
      </c>
      <c r="M765">
        <v>1</v>
      </c>
      <c r="N765" t="e">
        <v>#N/A</v>
      </c>
    </row>
    <row r="766" spans="1:14" ht="15" customHeight="1" x14ac:dyDescent="0.3">
      <c r="A766" s="3">
        <v>1209658385</v>
      </c>
      <c r="B766" s="3" t="s">
        <v>878</v>
      </c>
      <c r="C766" s="3" t="s">
        <v>879</v>
      </c>
      <c r="D766" s="4">
        <v>46307.419456018499</v>
      </c>
      <c r="E766" s="5" t="s">
        <v>10</v>
      </c>
      <c r="F766" s="5" t="s">
        <v>17</v>
      </c>
      <c r="G766" s="5">
        <v>20</v>
      </c>
      <c r="H766" s="6" t="s">
        <v>12</v>
      </c>
      <c r="I766" t="s">
        <v>883</v>
      </c>
      <c r="J766" t="s">
        <v>2480</v>
      </c>
      <c r="K766" t="str">
        <f>+VLOOKUP(C766,'[1]TIENDAS 2025'!$A$1:$C$143,3,0)</f>
        <v>nocturna</v>
      </c>
      <c r="L766" t="str">
        <f>+VLOOKUP(C766,[2]Hoja1!$A$1:$B$138,2,0)</f>
        <v>APROBAR</v>
      </c>
      <c r="M766">
        <v>1</v>
      </c>
      <c r="N766" t="e">
        <v>#N/A</v>
      </c>
    </row>
    <row r="767" spans="1:14" ht="15" customHeight="1" x14ac:dyDescent="0.3">
      <c r="A767" s="3">
        <v>1209658377</v>
      </c>
      <c r="B767" s="3" t="s">
        <v>878</v>
      </c>
      <c r="C767" s="3" t="s">
        <v>879</v>
      </c>
      <c r="D767" s="4">
        <v>46307.419467592597</v>
      </c>
      <c r="E767" s="5" t="s">
        <v>10</v>
      </c>
      <c r="F767" s="5" t="s">
        <v>11</v>
      </c>
      <c r="G767" s="5">
        <v>25</v>
      </c>
      <c r="H767" s="6" t="s">
        <v>12</v>
      </c>
      <c r="I767" t="s">
        <v>884</v>
      </c>
      <c r="J767" t="s">
        <v>2480</v>
      </c>
      <c r="K767" t="str">
        <f>+VLOOKUP(C767,'[1]TIENDAS 2025'!$A$1:$C$143,3,0)</f>
        <v>nocturna</v>
      </c>
      <c r="L767" t="str">
        <f>+VLOOKUP(C767,[2]Hoja1!$A$1:$B$138,2,0)</f>
        <v>APROBAR</v>
      </c>
      <c r="M767">
        <v>1</v>
      </c>
      <c r="N767" t="e">
        <v>#N/A</v>
      </c>
    </row>
    <row r="768" spans="1:14" ht="15" customHeight="1" x14ac:dyDescent="0.3">
      <c r="A768" s="3">
        <v>8209658373</v>
      </c>
      <c r="B768" s="3" t="s">
        <v>878</v>
      </c>
      <c r="C768" s="3" t="s">
        <v>879</v>
      </c>
      <c r="D768" s="4">
        <v>46307.419479166703</v>
      </c>
      <c r="E768" s="5" t="s">
        <v>10</v>
      </c>
      <c r="F768" s="5" t="s">
        <v>16</v>
      </c>
      <c r="G768" s="5">
        <v>17</v>
      </c>
      <c r="H768" s="8" t="s">
        <v>12</v>
      </c>
      <c r="I768" t="s">
        <v>885</v>
      </c>
      <c r="K768" t="str">
        <f>+VLOOKUP(C768,'[1]TIENDAS 2025'!$A$1:$C$143,3,0)</f>
        <v>nocturna</v>
      </c>
      <c r="L768" t="str">
        <f>+VLOOKUP(C768,[2]Hoja1!$A$1:$B$138,2,0)</f>
        <v>APROBAR</v>
      </c>
      <c r="M768">
        <v>1</v>
      </c>
      <c r="N768" t="e">
        <v>#N/A</v>
      </c>
    </row>
    <row r="769" spans="1:14" ht="15" customHeight="1" x14ac:dyDescent="0.3">
      <c r="A769" s="3">
        <v>1209658411</v>
      </c>
      <c r="B769" s="3" t="s">
        <v>887</v>
      </c>
      <c r="C769" s="3" t="s">
        <v>888</v>
      </c>
      <c r="D769" s="4">
        <v>46307.419502314799</v>
      </c>
      <c r="E769" s="5" t="s">
        <v>10</v>
      </c>
      <c r="F769" s="5" t="s">
        <v>11</v>
      </c>
      <c r="G769" s="5">
        <v>31</v>
      </c>
      <c r="H769" s="6" t="s">
        <v>12</v>
      </c>
      <c r="I769" t="s">
        <v>886</v>
      </c>
      <c r="J769" t="s">
        <v>2480</v>
      </c>
      <c r="K769" t="str">
        <f>+VLOOKUP(C769,'[1]TIENDAS 2025'!$A$1:$C$143,3,0)</f>
        <v>nocturna</v>
      </c>
      <c r="L769" t="str">
        <f>+VLOOKUP(C769,[2]Hoja1!$A$1:$B$138,2,0)</f>
        <v>APROBAR</v>
      </c>
      <c r="M769">
        <v>1</v>
      </c>
      <c r="N769" t="e">
        <v>#N/A</v>
      </c>
    </row>
    <row r="770" spans="1:14" ht="15" customHeight="1" x14ac:dyDescent="0.3">
      <c r="A770" s="3">
        <v>1209658357</v>
      </c>
      <c r="B770" s="3" t="s">
        <v>875</v>
      </c>
      <c r="C770" s="3" t="s">
        <v>876</v>
      </c>
      <c r="D770" s="4">
        <v>46307.419513888897</v>
      </c>
      <c r="E770" s="5" t="s">
        <v>10</v>
      </c>
      <c r="F770" s="5" t="s">
        <v>11</v>
      </c>
      <c r="G770" s="5">
        <v>41</v>
      </c>
      <c r="H770" s="6" t="s">
        <v>12</v>
      </c>
      <c r="I770" t="s">
        <v>889</v>
      </c>
      <c r="J770" t="s">
        <v>2480</v>
      </c>
      <c r="K770" t="str">
        <f>+VLOOKUP(C770,'[1]TIENDAS 2025'!$A$1:$C$143,3,0)</f>
        <v>departamental</v>
      </c>
      <c r="L770" t="str">
        <f>+VLOOKUP(C770,[2]Hoja1!$A$1:$B$138,2,0)</f>
        <v>APROBAR</v>
      </c>
      <c r="M770">
        <v>1</v>
      </c>
      <c r="N770" t="e">
        <v>#N/A</v>
      </c>
    </row>
    <row r="771" spans="1:14" ht="15" customHeight="1" x14ac:dyDescent="0.3">
      <c r="A771" s="3">
        <v>1209658328</v>
      </c>
      <c r="B771" s="3" t="s">
        <v>872</v>
      </c>
      <c r="C771" s="3" t="s">
        <v>873</v>
      </c>
      <c r="D771" s="4">
        <v>46307.419525463003</v>
      </c>
      <c r="E771" s="5" t="s">
        <v>10</v>
      </c>
      <c r="F771" s="5" t="s">
        <v>11</v>
      </c>
      <c r="G771" s="5">
        <v>3</v>
      </c>
      <c r="H771" s="6" t="s">
        <v>12</v>
      </c>
      <c r="I771" t="s">
        <v>890</v>
      </c>
      <c r="J771" t="s">
        <v>2480</v>
      </c>
      <c r="K771" t="str">
        <f>+VLOOKUP(C771,'[1]TIENDAS 2025'!$A$1:$C$143,3,0)</f>
        <v>nocturna</v>
      </c>
      <c r="L771" t="str">
        <f>+VLOOKUP(C771,[2]Hoja1!$A$1:$B$138,2,0)</f>
        <v>APROBAR</v>
      </c>
      <c r="M771">
        <v>1</v>
      </c>
      <c r="N771" t="e">
        <v>#N/A</v>
      </c>
    </row>
    <row r="772" spans="1:14" ht="15" customHeight="1" x14ac:dyDescent="0.3">
      <c r="A772" s="3">
        <v>8209658336</v>
      </c>
      <c r="B772" s="3" t="s">
        <v>875</v>
      </c>
      <c r="C772" s="3" t="s">
        <v>876</v>
      </c>
      <c r="D772" s="4">
        <v>46307.419537037</v>
      </c>
      <c r="E772" s="5" t="s">
        <v>10</v>
      </c>
      <c r="F772" s="5" t="s">
        <v>16</v>
      </c>
      <c r="G772" s="5">
        <v>13</v>
      </c>
      <c r="H772" s="8" t="s">
        <v>12</v>
      </c>
      <c r="I772" t="s">
        <v>891</v>
      </c>
      <c r="K772" t="str">
        <f>+VLOOKUP(C772,'[1]TIENDAS 2025'!$A$1:$C$143,3,0)</f>
        <v>departamental</v>
      </c>
      <c r="L772" t="str">
        <f>+VLOOKUP(C772,[2]Hoja1!$A$1:$B$138,2,0)</f>
        <v>APROBAR</v>
      </c>
      <c r="M772">
        <v>1</v>
      </c>
      <c r="N772" t="e">
        <v>#N/A</v>
      </c>
    </row>
    <row r="773" spans="1:14" ht="15" customHeight="1" x14ac:dyDescent="0.3">
      <c r="A773" s="3">
        <v>8209658316</v>
      </c>
      <c r="B773" s="3" t="s">
        <v>872</v>
      </c>
      <c r="C773" s="3" t="s">
        <v>873</v>
      </c>
      <c r="D773" s="4">
        <v>46307.419560185197</v>
      </c>
      <c r="E773" s="5" t="s">
        <v>10</v>
      </c>
      <c r="F773" s="5" t="s">
        <v>16</v>
      </c>
      <c r="G773" s="5">
        <v>40</v>
      </c>
      <c r="H773" s="8" t="s">
        <v>12</v>
      </c>
      <c r="I773" t="s">
        <v>892</v>
      </c>
      <c r="K773" t="str">
        <f>+VLOOKUP(C773,'[1]TIENDAS 2025'!$A$1:$C$143,3,0)</f>
        <v>nocturna</v>
      </c>
      <c r="L773" t="str">
        <f>+VLOOKUP(C773,[2]Hoja1!$A$1:$B$138,2,0)</f>
        <v>APROBAR</v>
      </c>
      <c r="M773">
        <v>1</v>
      </c>
      <c r="N773" t="e">
        <v>#N/A</v>
      </c>
    </row>
    <row r="774" spans="1:14" ht="15" customHeight="1" x14ac:dyDescent="0.3">
      <c r="A774" s="3">
        <v>8209658341</v>
      </c>
      <c r="B774" s="3" t="s">
        <v>875</v>
      </c>
      <c r="C774" s="3" t="s">
        <v>876</v>
      </c>
      <c r="D774" s="4">
        <v>46307.419571759303</v>
      </c>
      <c r="E774" s="5" t="s">
        <v>10</v>
      </c>
      <c r="F774" s="5" t="s">
        <v>16</v>
      </c>
      <c r="G774" s="5">
        <v>5</v>
      </c>
      <c r="H774" s="8" t="s">
        <v>12</v>
      </c>
      <c r="I774" t="s">
        <v>893</v>
      </c>
      <c r="K774" t="str">
        <f>+VLOOKUP(C774,'[1]TIENDAS 2025'!$A$1:$C$143,3,0)</f>
        <v>departamental</v>
      </c>
      <c r="L774" t="str">
        <f>+VLOOKUP(C774,[2]Hoja1!$A$1:$B$138,2,0)</f>
        <v>APROBAR</v>
      </c>
      <c r="M774">
        <v>1</v>
      </c>
      <c r="N774" t="e">
        <v>#N/A</v>
      </c>
    </row>
    <row r="775" spans="1:14" ht="15" customHeight="1" x14ac:dyDescent="0.3">
      <c r="A775" s="3">
        <v>1209658322</v>
      </c>
      <c r="B775" s="3" t="s">
        <v>872</v>
      </c>
      <c r="C775" s="3" t="s">
        <v>873</v>
      </c>
      <c r="D775" s="4">
        <v>46307.4195833333</v>
      </c>
      <c r="E775" s="5" t="s">
        <v>10</v>
      </c>
      <c r="F775" s="5" t="s">
        <v>11</v>
      </c>
      <c r="G775" s="5">
        <v>21</v>
      </c>
      <c r="H775" s="6" t="s">
        <v>12</v>
      </c>
      <c r="I775" t="s">
        <v>894</v>
      </c>
      <c r="J775" t="s">
        <v>2480</v>
      </c>
      <c r="K775" t="str">
        <f>+VLOOKUP(C775,'[1]TIENDAS 2025'!$A$1:$C$143,3,0)</f>
        <v>nocturna</v>
      </c>
      <c r="L775" t="str">
        <f>+VLOOKUP(C775,[2]Hoja1!$A$1:$B$138,2,0)</f>
        <v>APROBAR</v>
      </c>
      <c r="M775">
        <v>1</v>
      </c>
      <c r="N775" t="e">
        <v>#N/A</v>
      </c>
    </row>
    <row r="776" spans="1:14" ht="15" customHeight="1" x14ac:dyDescent="0.3">
      <c r="A776" s="3">
        <v>1209658344</v>
      </c>
      <c r="B776" s="3" t="s">
        <v>875</v>
      </c>
      <c r="C776" s="3" t="s">
        <v>876</v>
      </c>
      <c r="D776" s="4">
        <v>46307.419594907398</v>
      </c>
      <c r="E776" s="5" t="s">
        <v>10</v>
      </c>
      <c r="F776" s="5" t="s">
        <v>11</v>
      </c>
      <c r="G776" s="5">
        <v>15</v>
      </c>
      <c r="H776" s="6" t="s">
        <v>12</v>
      </c>
      <c r="I776" t="s">
        <v>895</v>
      </c>
      <c r="J776" t="s">
        <v>2480</v>
      </c>
      <c r="K776" t="str">
        <f>+VLOOKUP(C776,'[1]TIENDAS 2025'!$A$1:$C$143,3,0)</f>
        <v>departamental</v>
      </c>
      <c r="L776" t="str">
        <f>+VLOOKUP(C776,[2]Hoja1!$A$1:$B$138,2,0)</f>
        <v>APROBAR</v>
      </c>
      <c r="M776">
        <v>1</v>
      </c>
      <c r="N776" t="e">
        <v>#N/A</v>
      </c>
    </row>
    <row r="777" spans="1:14" ht="15" customHeight="1" x14ac:dyDescent="0.3">
      <c r="A777" s="3">
        <v>8209658380</v>
      </c>
      <c r="B777" s="3" t="s">
        <v>878</v>
      </c>
      <c r="C777" s="3" t="s">
        <v>879</v>
      </c>
      <c r="D777" s="4">
        <v>46307.419606481497</v>
      </c>
      <c r="E777" s="5" t="s">
        <v>10</v>
      </c>
      <c r="F777" s="5" t="s">
        <v>16</v>
      </c>
      <c r="G777" s="5">
        <v>28</v>
      </c>
      <c r="H777" s="8" t="s">
        <v>12</v>
      </c>
      <c r="I777" t="s">
        <v>896</v>
      </c>
      <c r="K777" t="str">
        <f>+VLOOKUP(C777,'[1]TIENDAS 2025'!$A$1:$C$143,3,0)</f>
        <v>nocturna</v>
      </c>
      <c r="L777" t="str">
        <f>+VLOOKUP(C777,[2]Hoja1!$A$1:$B$138,2,0)</f>
        <v>APROBAR</v>
      </c>
      <c r="M777">
        <v>1</v>
      </c>
      <c r="N777" t="e">
        <v>#N/A</v>
      </c>
    </row>
    <row r="778" spans="1:14" ht="15" customHeight="1" x14ac:dyDescent="0.3">
      <c r="A778" s="3">
        <v>1209658431</v>
      </c>
      <c r="B778" s="3" t="s">
        <v>898</v>
      </c>
      <c r="C778" s="3" t="s">
        <v>899</v>
      </c>
      <c r="D778" s="4">
        <v>46307.4196296296</v>
      </c>
      <c r="E778" s="5" t="s">
        <v>10</v>
      </c>
      <c r="F778" s="5" t="s">
        <v>17</v>
      </c>
      <c r="G778" s="5">
        <v>24</v>
      </c>
      <c r="H778" s="6" t="s">
        <v>12</v>
      </c>
      <c r="I778" t="s">
        <v>897</v>
      </c>
      <c r="J778" t="s">
        <v>2480</v>
      </c>
      <c r="K778" t="str">
        <f>+VLOOKUP(C778,'[1]TIENDAS 2025'!$A$1:$C$143,3,0)</f>
        <v>prioridad</v>
      </c>
      <c r="L778" t="str">
        <f>+VLOOKUP(C778,[2]Hoja1!$A$1:$B$138,2,0)</f>
        <v>APROBAR</v>
      </c>
      <c r="M778">
        <v>1</v>
      </c>
      <c r="N778" t="e">
        <v>#N/A</v>
      </c>
    </row>
    <row r="779" spans="1:14" ht="15" customHeight="1" x14ac:dyDescent="0.3">
      <c r="A779" s="3">
        <v>8209658404</v>
      </c>
      <c r="B779" s="3" t="s">
        <v>887</v>
      </c>
      <c r="C779" s="3" t="s">
        <v>888</v>
      </c>
      <c r="D779" s="4">
        <v>46307.419641203698</v>
      </c>
      <c r="E779" s="5" t="s">
        <v>10</v>
      </c>
      <c r="F779" s="5" t="s">
        <v>16</v>
      </c>
      <c r="G779" s="5">
        <v>8</v>
      </c>
      <c r="H779" s="8" t="s">
        <v>12</v>
      </c>
      <c r="I779" t="s">
        <v>900</v>
      </c>
      <c r="K779" t="str">
        <f>+VLOOKUP(C779,'[1]TIENDAS 2025'!$A$1:$C$143,3,0)</f>
        <v>nocturna</v>
      </c>
      <c r="L779" t="str">
        <f>+VLOOKUP(C779,[2]Hoja1!$A$1:$B$138,2,0)</f>
        <v>APROBAR</v>
      </c>
      <c r="M779">
        <v>1</v>
      </c>
      <c r="N779" t="e">
        <v>#N/A</v>
      </c>
    </row>
    <row r="780" spans="1:14" ht="15" customHeight="1" x14ac:dyDescent="0.3">
      <c r="A780" s="3">
        <v>8209658418</v>
      </c>
      <c r="B780" s="3" t="s">
        <v>887</v>
      </c>
      <c r="C780" s="3" t="s">
        <v>888</v>
      </c>
      <c r="D780" s="4">
        <v>46307.419652777797</v>
      </c>
      <c r="E780" s="5" t="s">
        <v>10</v>
      </c>
      <c r="F780" s="5" t="s">
        <v>16</v>
      </c>
      <c r="G780" s="5">
        <v>3</v>
      </c>
      <c r="H780" s="8" t="s">
        <v>12</v>
      </c>
      <c r="I780" t="s">
        <v>901</v>
      </c>
      <c r="K780" t="str">
        <f>+VLOOKUP(C780,'[1]TIENDAS 2025'!$A$1:$C$143,3,0)</f>
        <v>nocturna</v>
      </c>
      <c r="L780" t="str">
        <f>+VLOOKUP(C780,[2]Hoja1!$A$1:$B$138,2,0)</f>
        <v>APROBAR</v>
      </c>
      <c r="M780">
        <v>1</v>
      </c>
      <c r="N780" t="e">
        <v>#N/A</v>
      </c>
    </row>
    <row r="781" spans="1:14" ht="15" customHeight="1" x14ac:dyDescent="0.3">
      <c r="A781" s="3">
        <v>1209658434</v>
      </c>
      <c r="B781" s="3" t="s">
        <v>898</v>
      </c>
      <c r="C781" s="3" t="s">
        <v>899</v>
      </c>
      <c r="D781" s="4">
        <v>46307.419664351903</v>
      </c>
      <c r="E781" s="5" t="s">
        <v>10</v>
      </c>
      <c r="F781" s="5" t="s">
        <v>11</v>
      </c>
      <c r="G781" s="5">
        <v>42</v>
      </c>
      <c r="H781" s="6" t="s">
        <v>12</v>
      </c>
      <c r="I781" t="s">
        <v>902</v>
      </c>
      <c r="J781" t="s">
        <v>2480</v>
      </c>
      <c r="K781" t="str">
        <f>+VLOOKUP(C781,'[1]TIENDAS 2025'!$A$1:$C$143,3,0)</f>
        <v>prioridad</v>
      </c>
      <c r="L781" t="str">
        <f>+VLOOKUP(C781,[2]Hoja1!$A$1:$B$138,2,0)</f>
        <v>APROBAR</v>
      </c>
      <c r="M781">
        <v>1</v>
      </c>
      <c r="N781" t="e">
        <v>#N/A</v>
      </c>
    </row>
    <row r="782" spans="1:14" ht="15" customHeight="1" x14ac:dyDescent="0.3">
      <c r="A782" s="3">
        <v>8209658422</v>
      </c>
      <c r="B782" s="3" t="s">
        <v>898</v>
      </c>
      <c r="C782" s="3" t="s">
        <v>899</v>
      </c>
      <c r="D782" s="4">
        <v>46307.419675925899</v>
      </c>
      <c r="E782" s="5" t="s">
        <v>10</v>
      </c>
      <c r="F782" s="5" t="s">
        <v>16</v>
      </c>
      <c r="G782" s="5">
        <v>13</v>
      </c>
      <c r="H782" s="8" t="s">
        <v>12</v>
      </c>
      <c r="I782" t="s">
        <v>903</v>
      </c>
      <c r="K782" t="str">
        <f>+VLOOKUP(C782,'[1]TIENDAS 2025'!$A$1:$C$143,3,0)</f>
        <v>prioridad</v>
      </c>
      <c r="L782" t="str">
        <f>+VLOOKUP(C782,[2]Hoja1!$A$1:$B$138,2,0)</f>
        <v>APROBAR</v>
      </c>
      <c r="M782">
        <v>1</v>
      </c>
      <c r="N782" t="e">
        <v>#N/A</v>
      </c>
    </row>
    <row r="783" spans="1:14" ht="15" customHeight="1" x14ac:dyDescent="0.3">
      <c r="A783" s="3">
        <v>1209658436</v>
      </c>
      <c r="B783" s="3" t="s">
        <v>898</v>
      </c>
      <c r="C783" s="3" t="s">
        <v>899</v>
      </c>
      <c r="D783" s="4">
        <v>46307.419699074097</v>
      </c>
      <c r="E783" s="5" t="s">
        <v>10</v>
      </c>
      <c r="F783" s="5" t="s">
        <v>11</v>
      </c>
      <c r="G783" s="5">
        <v>45</v>
      </c>
      <c r="H783" s="6" t="s">
        <v>12</v>
      </c>
      <c r="I783" t="s">
        <v>904</v>
      </c>
      <c r="J783" t="s">
        <v>2480</v>
      </c>
      <c r="K783" t="str">
        <f>+VLOOKUP(C783,'[1]TIENDAS 2025'!$A$1:$C$143,3,0)</f>
        <v>prioridad</v>
      </c>
      <c r="L783" t="str">
        <f>+VLOOKUP(C783,[2]Hoja1!$A$1:$B$138,2,0)</f>
        <v>APROBAR</v>
      </c>
      <c r="M783">
        <v>1</v>
      </c>
      <c r="N783" t="e">
        <v>#N/A</v>
      </c>
    </row>
    <row r="784" spans="1:14" ht="15" customHeight="1" x14ac:dyDescent="0.3">
      <c r="A784" s="3">
        <v>1209658348</v>
      </c>
      <c r="B784" s="3" t="s">
        <v>875</v>
      </c>
      <c r="C784" s="3" t="s">
        <v>876</v>
      </c>
      <c r="D784" s="4">
        <v>46307.419710648202</v>
      </c>
      <c r="E784" s="5" t="s">
        <v>10</v>
      </c>
      <c r="F784" s="5" t="s">
        <v>11</v>
      </c>
      <c r="G784" s="5">
        <v>16</v>
      </c>
      <c r="H784" s="6" t="s">
        <v>12</v>
      </c>
      <c r="I784" t="s">
        <v>905</v>
      </c>
      <c r="J784" t="s">
        <v>2480</v>
      </c>
      <c r="K784" t="str">
        <f>+VLOOKUP(C784,'[1]TIENDAS 2025'!$A$1:$C$143,3,0)</f>
        <v>departamental</v>
      </c>
      <c r="L784" t="str">
        <f>+VLOOKUP(C784,[2]Hoja1!$A$1:$B$138,2,0)</f>
        <v>APROBAR</v>
      </c>
      <c r="M784">
        <v>1</v>
      </c>
      <c r="N784" t="e">
        <v>#N/A</v>
      </c>
    </row>
    <row r="785" spans="1:14" ht="15" customHeight="1" x14ac:dyDescent="0.3">
      <c r="A785" s="3">
        <v>1209658329</v>
      </c>
      <c r="B785" s="3" t="s">
        <v>872</v>
      </c>
      <c r="C785" s="3" t="s">
        <v>873</v>
      </c>
      <c r="D785" s="4">
        <v>46307.419722222199</v>
      </c>
      <c r="E785" s="5" t="s">
        <v>10</v>
      </c>
      <c r="F785" s="5" t="s">
        <v>17</v>
      </c>
      <c r="G785" s="5">
        <v>64</v>
      </c>
      <c r="H785" s="6" t="s">
        <v>12</v>
      </c>
      <c r="I785" t="s">
        <v>906</v>
      </c>
      <c r="J785" t="s">
        <v>2480</v>
      </c>
      <c r="K785" t="str">
        <f>+VLOOKUP(C785,'[1]TIENDAS 2025'!$A$1:$C$143,3,0)</f>
        <v>nocturna</v>
      </c>
      <c r="L785" t="str">
        <f>+VLOOKUP(C785,[2]Hoja1!$A$1:$B$138,2,0)</f>
        <v>APROBAR</v>
      </c>
      <c r="M785">
        <v>1</v>
      </c>
      <c r="N785" t="e">
        <v>#N/A</v>
      </c>
    </row>
    <row r="786" spans="1:14" ht="15" customHeight="1" x14ac:dyDescent="0.3">
      <c r="A786" s="3">
        <v>1209658351</v>
      </c>
      <c r="B786" s="3" t="s">
        <v>875</v>
      </c>
      <c r="C786" s="3" t="s">
        <v>876</v>
      </c>
      <c r="D786" s="4">
        <v>46307.419733796298</v>
      </c>
      <c r="E786" s="5" t="s">
        <v>10</v>
      </c>
      <c r="F786" s="5" t="s">
        <v>11</v>
      </c>
      <c r="G786" s="5">
        <v>1</v>
      </c>
      <c r="H786" s="6" t="s">
        <v>12</v>
      </c>
      <c r="I786" t="s">
        <v>907</v>
      </c>
      <c r="J786" t="s">
        <v>2480</v>
      </c>
      <c r="K786" t="str">
        <f>+VLOOKUP(C786,'[1]TIENDAS 2025'!$A$1:$C$143,3,0)</f>
        <v>departamental</v>
      </c>
      <c r="L786" t="str">
        <f>+VLOOKUP(C786,[2]Hoja1!$A$1:$B$138,2,0)</f>
        <v>APROBAR</v>
      </c>
      <c r="M786">
        <v>1</v>
      </c>
      <c r="N786" t="e">
        <v>#N/A</v>
      </c>
    </row>
    <row r="787" spans="1:14" ht="15" customHeight="1" x14ac:dyDescent="0.3">
      <c r="A787" s="3">
        <v>8209658423</v>
      </c>
      <c r="B787" s="3" t="s">
        <v>898</v>
      </c>
      <c r="C787" s="3" t="s">
        <v>899</v>
      </c>
      <c r="D787" s="4">
        <v>46307.419745370396</v>
      </c>
      <c r="E787" s="5" t="s">
        <v>10</v>
      </c>
      <c r="F787" s="5" t="s">
        <v>16</v>
      </c>
      <c r="G787" s="5">
        <v>32</v>
      </c>
      <c r="H787" s="8" t="s">
        <v>12</v>
      </c>
      <c r="I787" t="s">
        <v>908</v>
      </c>
      <c r="K787" t="str">
        <f>+VLOOKUP(C787,'[1]TIENDAS 2025'!$A$1:$C$143,3,0)</f>
        <v>prioridad</v>
      </c>
      <c r="L787" t="str">
        <f>+VLOOKUP(C787,[2]Hoja1!$A$1:$B$138,2,0)</f>
        <v>APROBAR</v>
      </c>
      <c r="M787">
        <v>1</v>
      </c>
      <c r="N787" t="e">
        <v>#N/A</v>
      </c>
    </row>
    <row r="788" spans="1:14" ht="15" customHeight="1" x14ac:dyDescent="0.3">
      <c r="A788" s="3">
        <v>1209658354</v>
      </c>
      <c r="B788" s="3" t="s">
        <v>875</v>
      </c>
      <c r="C788" s="3" t="s">
        <v>876</v>
      </c>
      <c r="D788" s="4">
        <v>46307.419768518499</v>
      </c>
      <c r="E788" s="5" t="s">
        <v>10</v>
      </c>
      <c r="F788" s="5" t="s">
        <v>11</v>
      </c>
      <c r="G788" s="5">
        <v>10</v>
      </c>
      <c r="H788" s="6" t="s">
        <v>12</v>
      </c>
      <c r="I788" t="s">
        <v>909</v>
      </c>
      <c r="J788" t="s">
        <v>2480</v>
      </c>
      <c r="K788" t="str">
        <f>+VLOOKUP(C788,'[1]TIENDAS 2025'!$A$1:$C$143,3,0)</f>
        <v>departamental</v>
      </c>
      <c r="L788" t="str">
        <f>+VLOOKUP(C788,[2]Hoja1!$A$1:$B$138,2,0)</f>
        <v>APROBAR</v>
      </c>
      <c r="M788">
        <v>1</v>
      </c>
      <c r="N788" t="e">
        <v>#N/A</v>
      </c>
    </row>
    <row r="789" spans="1:14" ht="15" customHeight="1" x14ac:dyDescent="0.3">
      <c r="A789" s="3">
        <v>1209658321</v>
      </c>
      <c r="B789" s="3" t="s">
        <v>872</v>
      </c>
      <c r="C789" s="3" t="s">
        <v>873</v>
      </c>
      <c r="D789" s="4">
        <v>46307.419780092598</v>
      </c>
      <c r="E789" s="5" t="s">
        <v>10</v>
      </c>
      <c r="F789" s="5" t="s">
        <v>17</v>
      </c>
      <c r="G789" s="5">
        <v>21</v>
      </c>
      <c r="H789" s="6" t="s">
        <v>12</v>
      </c>
      <c r="I789" t="s">
        <v>910</v>
      </c>
      <c r="J789" t="s">
        <v>2480</v>
      </c>
      <c r="K789" t="str">
        <f>+VLOOKUP(C789,'[1]TIENDAS 2025'!$A$1:$C$143,3,0)</f>
        <v>nocturna</v>
      </c>
      <c r="L789" t="str">
        <f>+VLOOKUP(C789,[2]Hoja1!$A$1:$B$138,2,0)</f>
        <v>APROBAR</v>
      </c>
      <c r="M789">
        <v>1</v>
      </c>
      <c r="N789" t="e">
        <v>#N/A</v>
      </c>
    </row>
    <row r="790" spans="1:14" ht="15" customHeight="1" x14ac:dyDescent="0.3">
      <c r="A790" s="3">
        <v>1209658323</v>
      </c>
      <c r="B790" s="3" t="s">
        <v>872</v>
      </c>
      <c r="C790" s="3" t="s">
        <v>873</v>
      </c>
      <c r="D790" s="4">
        <v>46307.419791666704</v>
      </c>
      <c r="E790" s="5" t="s">
        <v>10</v>
      </c>
      <c r="F790" s="5" t="s">
        <v>11</v>
      </c>
      <c r="G790" s="5">
        <v>26</v>
      </c>
      <c r="H790" s="6" t="s">
        <v>12</v>
      </c>
      <c r="I790" t="s">
        <v>911</v>
      </c>
      <c r="J790" t="s">
        <v>2480</v>
      </c>
      <c r="K790" t="str">
        <f>+VLOOKUP(C790,'[1]TIENDAS 2025'!$A$1:$C$143,3,0)</f>
        <v>nocturna</v>
      </c>
      <c r="L790" t="str">
        <f>+VLOOKUP(C790,[2]Hoja1!$A$1:$B$138,2,0)</f>
        <v>APROBAR</v>
      </c>
      <c r="M790">
        <v>1</v>
      </c>
      <c r="N790" t="e">
        <v>#N/A</v>
      </c>
    </row>
    <row r="791" spans="1:14" ht="15" customHeight="1" x14ac:dyDescent="0.3">
      <c r="A791" s="3">
        <v>1209658395</v>
      </c>
      <c r="B791" s="3" t="s">
        <v>878</v>
      </c>
      <c r="C791" s="3" t="s">
        <v>879</v>
      </c>
      <c r="D791" s="4">
        <v>46307.4198032407</v>
      </c>
      <c r="E791" s="5" t="s">
        <v>10</v>
      </c>
      <c r="F791" s="5" t="s">
        <v>11</v>
      </c>
      <c r="G791" s="5">
        <v>69</v>
      </c>
      <c r="H791" s="6" t="s">
        <v>12</v>
      </c>
      <c r="I791" t="s">
        <v>912</v>
      </c>
      <c r="J791" t="s">
        <v>2480</v>
      </c>
      <c r="K791" t="str">
        <f>+VLOOKUP(C791,'[1]TIENDAS 2025'!$A$1:$C$143,3,0)</f>
        <v>nocturna</v>
      </c>
      <c r="L791" t="str">
        <f>+VLOOKUP(C791,[2]Hoja1!$A$1:$B$138,2,0)</f>
        <v>APROBAR</v>
      </c>
      <c r="M791">
        <v>1</v>
      </c>
      <c r="N791" t="e">
        <v>#N/A</v>
      </c>
    </row>
    <row r="792" spans="1:14" ht="15" customHeight="1" x14ac:dyDescent="0.3">
      <c r="A792" s="3">
        <v>8209658424</v>
      </c>
      <c r="B792" s="3" t="s">
        <v>898</v>
      </c>
      <c r="C792" s="3" t="s">
        <v>899</v>
      </c>
      <c r="D792" s="4">
        <v>46307.419814814799</v>
      </c>
      <c r="E792" s="5" t="s">
        <v>10</v>
      </c>
      <c r="F792" s="5" t="s">
        <v>16</v>
      </c>
      <c r="G792" s="5">
        <v>23</v>
      </c>
      <c r="H792" s="8" t="s">
        <v>12</v>
      </c>
      <c r="I792" t="s">
        <v>913</v>
      </c>
      <c r="K792" t="str">
        <f>+VLOOKUP(C792,'[1]TIENDAS 2025'!$A$1:$C$143,3,0)</f>
        <v>prioridad</v>
      </c>
      <c r="L792" t="str">
        <f>+VLOOKUP(C792,[2]Hoja1!$A$1:$B$138,2,0)</f>
        <v>APROBAR</v>
      </c>
      <c r="M792">
        <v>1</v>
      </c>
      <c r="N792" t="e">
        <v>#N/A</v>
      </c>
    </row>
    <row r="793" spans="1:14" ht="15" customHeight="1" x14ac:dyDescent="0.3">
      <c r="A793" s="3">
        <v>8209658429</v>
      </c>
      <c r="B793" s="3" t="s">
        <v>898</v>
      </c>
      <c r="C793" s="3" t="s">
        <v>899</v>
      </c>
      <c r="D793" s="4">
        <v>46307.419837963003</v>
      </c>
      <c r="E793" s="5" t="s">
        <v>10</v>
      </c>
      <c r="F793" s="5" t="s">
        <v>16</v>
      </c>
      <c r="G793" s="5">
        <v>1</v>
      </c>
      <c r="H793" s="8" t="s">
        <v>12</v>
      </c>
      <c r="I793" t="s">
        <v>914</v>
      </c>
      <c r="K793" t="str">
        <f>+VLOOKUP(C793,'[1]TIENDAS 2025'!$A$1:$C$143,3,0)</f>
        <v>prioridad</v>
      </c>
      <c r="L793" t="str">
        <f>+VLOOKUP(C793,[2]Hoja1!$A$1:$B$138,2,0)</f>
        <v>APROBAR</v>
      </c>
      <c r="M793">
        <v>1</v>
      </c>
      <c r="N793" t="e">
        <v>#N/A</v>
      </c>
    </row>
    <row r="794" spans="1:14" ht="15" customHeight="1" x14ac:dyDescent="0.3">
      <c r="A794" s="3">
        <v>1209658386</v>
      </c>
      <c r="B794" s="3" t="s">
        <v>878</v>
      </c>
      <c r="C794" s="3" t="s">
        <v>879</v>
      </c>
      <c r="D794" s="4">
        <v>46307.419849537</v>
      </c>
      <c r="E794" s="5" t="s">
        <v>10</v>
      </c>
      <c r="F794" s="5" t="s">
        <v>17</v>
      </c>
      <c r="G794" s="5">
        <v>20</v>
      </c>
      <c r="H794" s="6" t="s">
        <v>12</v>
      </c>
      <c r="I794" t="s">
        <v>915</v>
      </c>
      <c r="J794" t="s">
        <v>2480</v>
      </c>
      <c r="K794" t="str">
        <f>+VLOOKUP(C794,'[1]TIENDAS 2025'!$A$1:$C$143,3,0)</f>
        <v>nocturna</v>
      </c>
      <c r="L794" t="str">
        <f>+VLOOKUP(C794,[2]Hoja1!$A$1:$B$138,2,0)</f>
        <v>APROBAR</v>
      </c>
      <c r="M794">
        <v>1</v>
      </c>
      <c r="N794" t="e">
        <v>#N/A</v>
      </c>
    </row>
    <row r="795" spans="1:14" ht="15" customHeight="1" x14ac:dyDescent="0.3">
      <c r="A795" s="3">
        <v>1209658415</v>
      </c>
      <c r="B795" s="3" t="s">
        <v>887</v>
      </c>
      <c r="C795" s="3" t="s">
        <v>888</v>
      </c>
      <c r="D795" s="4">
        <v>46307.419849537</v>
      </c>
      <c r="E795" s="5" t="s">
        <v>10</v>
      </c>
      <c r="F795" s="5" t="s">
        <v>11</v>
      </c>
      <c r="G795" s="5">
        <v>54</v>
      </c>
      <c r="H795" s="6" t="s">
        <v>12</v>
      </c>
      <c r="I795" t="s">
        <v>916</v>
      </c>
      <c r="J795" t="s">
        <v>2480</v>
      </c>
      <c r="K795" t="str">
        <f>+VLOOKUP(C795,'[1]TIENDAS 2025'!$A$1:$C$143,3,0)</f>
        <v>nocturna</v>
      </c>
      <c r="L795" t="str">
        <f>+VLOOKUP(C795,[2]Hoja1!$A$1:$B$138,2,0)</f>
        <v>APROBAR</v>
      </c>
      <c r="M795">
        <v>1</v>
      </c>
      <c r="N795" t="e">
        <v>#N/A</v>
      </c>
    </row>
    <row r="796" spans="1:14" ht="15" customHeight="1" x14ac:dyDescent="0.3">
      <c r="A796" s="3">
        <v>1209658393</v>
      </c>
      <c r="B796" s="3" t="s">
        <v>878</v>
      </c>
      <c r="C796" s="3" t="s">
        <v>879</v>
      </c>
      <c r="D796" s="4">
        <v>46307.419872685197</v>
      </c>
      <c r="E796" s="5" t="s">
        <v>10</v>
      </c>
      <c r="F796" s="5" t="s">
        <v>17</v>
      </c>
      <c r="G796" s="5">
        <v>67</v>
      </c>
      <c r="H796" s="6" t="s">
        <v>12</v>
      </c>
      <c r="I796" t="s">
        <v>917</v>
      </c>
      <c r="J796" t="s">
        <v>2480</v>
      </c>
      <c r="K796" t="str">
        <f>+VLOOKUP(C796,'[1]TIENDAS 2025'!$A$1:$C$143,3,0)</f>
        <v>nocturna</v>
      </c>
      <c r="L796" t="str">
        <f>+VLOOKUP(C796,[2]Hoja1!$A$1:$B$138,2,0)</f>
        <v>APROBAR</v>
      </c>
      <c r="M796">
        <v>1</v>
      </c>
      <c r="N796" t="e">
        <v>#N/A</v>
      </c>
    </row>
    <row r="797" spans="1:14" ht="15" customHeight="1" x14ac:dyDescent="0.3">
      <c r="A797" s="3">
        <v>1209658412</v>
      </c>
      <c r="B797" s="3" t="s">
        <v>887</v>
      </c>
      <c r="C797" s="3" t="s">
        <v>888</v>
      </c>
      <c r="D797" s="4">
        <v>46307.419884259303</v>
      </c>
      <c r="E797" s="5" t="s">
        <v>10</v>
      </c>
      <c r="F797" s="5" t="s">
        <v>17</v>
      </c>
      <c r="G797" s="5">
        <v>28</v>
      </c>
      <c r="H797" s="6" t="s">
        <v>12</v>
      </c>
      <c r="I797" t="s">
        <v>918</v>
      </c>
      <c r="J797" t="s">
        <v>2480</v>
      </c>
      <c r="K797" t="str">
        <f>+VLOOKUP(C797,'[1]TIENDAS 2025'!$A$1:$C$143,3,0)</f>
        <v>nocturna</v>
      </c>
      <c r="L797" t="str">
        <f>+VLOOKUP(C797,[2]Hoja1!$A$1:$B$138,2,0)</f>
        <v>APROBAR</v>
      </c>
      <c r="M797">
        <v>1</v>
      </c>
      <c r="N797" t="e">
        <v>#N/A</v>
      </c>
    </row>
    <row r="798" spans="1:14" ht="15" customHeight="1" x14ac:dyDescent="0.3">
      <c r="A798" s="3">
        <v>1209658347</v>
      </c>
      <c r="B798" s="3" t="s">
        <v>875</v>
      </c>
      <c r="C798" s="3" t="s">
        <v>876</v>
      </c>
      <c r="D798" s="4">
        <v>46307.419907407399</v>
      </c>
      <c r="E798" s="5" t="s">
        <v>10</v>
      </c>
      <c r="F798" s="5" t="s">
        <v>11</v>
      </c>
      <c r="G798" s="5">
        <v>22</v>
      </c>
      <c r="H798" s="6" t="s">
        <v>12</v>
      </c>
      <c r="I798" t="s">
        <v>919</v>
      </c>
      <c r="J798" t="s">
        <v>2480</v>
      </c>
      <c r="K798" t="str">
        <f>+VLOOKUP(C798,'[1]TIENDAS 2025'!$A$1:$C$143,3,0)</f>
        <v>departamental</v>
      </c>
      <c r="L798" t="str">
        <f>+VLOOKUP(C798,[2]Hoja1!$A$1:$B$138,2,0)</f>
        <v>APROBAR</v>
      </c>
      <c r="M798">
        <v>1</v>
      </c>
      <c r="N798" t="e">
        <v>#N/A</v>
      </c>
    </row>
    <row r="799" spans="1:14" ht="15" customHeight="1" x14ac:dyDescent="0.3">
      <c r="A799" s="3">
        <v>1209658310</v>
      </c>
      <c r="B799" s="3" t="s">
        <v>872</v>
      </c>
      <c r="C799" s="3" t="s">
        <v>873</v>
      </c>
      <c r="D799" s="4">
        <v>46307.419918981497</v>
      </c>
      <c r="E799" s="5" t="s">
        <v>10</v>
      </c>
      <c r="F799" s="5" t="s">
        <v>11</v>
      </c>
      <c r="G799" s="5">
        <v>22</v>
      </c>
      <c r="H799" s="6" t="s">
        <v>12</v>
      </c>
      <c r="I799" t="s">
        <v>920</v>
      </c>
      <c r="J799" t="s">
        <v>2480</v>
      </c>
      <c r="K799" t="str">
        <f>+VLOOKUP(C799,'[1]TIENDAS 2025'!$A$1:$C$143,3,0)</f>
        <v>nocturna</v>
      </c>
      <c r="L799" t="str">
        <f>+VLOOKUP(C799,[2]Hoja1!$A$1:$B$138,2,0)</f>
        <v>APROBAR</v>
      </c>
      <c r="M799">
        <v>1</v>
      </c>
      <c r="N799" t="e">
        <v>#N/A</v>
      </c>
    </row>
    <row r="800" spans="1:14" ht="15" customHeight="1" x14ac:dyDescent="0.3">
      <c r="A800" s="3">
        <v>8209658314</v>
      </c>
      <c r="B800" s="3" t="s">
        <v>872</v>
      </c>
      <c r="C800" s="3" t="s">
        <v>873</v>
      </c>
      <c r="D800" s="4">
        <v>46307.419930555603</v>
      </c>
      <c r="E800" s="5" t="s">
        <v>10</v>
      </c>
      <c r="F800" s="5" t="s">
        <v>16</v>
      </c>
      <c r="G800" s="5">
        <v>1</v>
      </c>
      <c r="H800" s="8" t="s">
        <v>12</v>
      </c>
      <c r="I800" t="s">
        <v>921</v>
      </c>
      <c r="K800" t="str">
        <f>+VLOOKUP(C800,'[1]TIENDAS 2025'!$A$1:$C$143,3,0)</f>
        <v>nocturna</v>
      </c>
      <c r="L800" t="str">
        <f>+VLOOKUP(C800,[2]Hoja1!$A$1:$B$138,2,0)</f>
        <v>APROBAR</v>
      </c>
      <c r="M800">
        <v>1</v>
      </c>
      <c r="N800" t="e">
        <v>#N/A</v>
      </c>
    </row>
    <row r="801" spans="1:14" ht="15" customHeight="1" x14ac:dyDescent="0.3">
      <c r="A801" s="3">
        <v>8209658315</v>
      </c>
      <c r="B801" s="3" t="s">
        <v>872</v>
      </c>
      <c r="C801" s="3" t="s">
        <v>873</v>
      </c>
      <c r="D801" s="4">
        <v>46307.4199421296</v>
      </c>
      <c r="E801" s="5" t="s">
        <v>10</v>
      </c>
      <c r="F801" s="5" t="s">
        <v>16</v>
      </c>
      <c r="G801" s="5">
        <v>12</v>
      </c>
      <c r="H801" s="8" t="s">
        <v>12</v>
      </c>
      <c r="I801" t="s">
        <v>922</v>
      </c>
      <c r="K801" t="str">
        <f>+VLOOKUP(C801,'[1]TIENDAS 2025'!$A$1:$C$143,3,0)</f>
        <v>nocturna</v>
      </c>
      <c r="L801" t="str">
        <f>+VLOOKUP(C801,[2]Hoja1!$A$1:$B$138,2,0)</f>
        <v>APROBAR</v>
      </c>
      <c r="M801">
        <v>1</v>
      </c>
      <c r="N801" t="e">
        <v>#N/A</v>
      </c>
    </row>
    <row r="802" spans="1:14" ht="15" customHeight="1" x14ac:dyDescent="0.3">
      <c r="A802" s="3">
        <v>8209658340</v>
      </c>
      <c r="B802" s="3" t="s">
        <v>875</v>
      </c>
      <c r="C802" s="3" t="s">
        <v>876</v>
      </c>
      <c r="D802" s="4">
        <v>46307.419953703698</v>
      </c>
      <c r="E802" s="5" t="s">
        <v>10</v>
      </c>
      <c r="F802" s="5" t="s">
        <v>16</v>
      </c>
      <c r="G802" s="5">
        <v>10</v>
      </c>
      <c r="H802" s="8" t="s">
        <v>12</v>
      </c>
      <c r="I802" t="s">
        <v>923</v>
      </c>
      <c r="K802" t="str">
        <f>+VLOOKUP(C802,'[1]TIENDAS 2025'!$A$1:$C$143,3,0)</f>
        <v>departamental</v>
      </c>
      <c r="L802" t="str">
        <f>+VLOOKUP(C802,[2]Hoja1!$A$1:$B$138,2,0)</f>
        <v>APROBAR</v>
      </c>
      <c r="M802">
        <v>1</v>
      </c>
      <c r="N802" t="e">
        <v>#N/A</v>
      </c>
    </row>
    <row r="803" spans="1:14" ht="15" customHeight="1" x14ac:dyDescent="0.3">
      <c r="A803" s="3">
        <v>8209658302</v>
      </c>
      <c r="B803" s="3" t="s">
        <v>872</v>
      </c>
      <c r="C803" s="3" t="s">
        <v>873</v>
      </c>
      <c r="D803" s="4">
        <v>46307.419976851903</v>
      </c>
      <c r="E803" s="5" t="s">
        <v>10</v>
      </c>
      <c r="F803" s="5" t="s">
        <v>16</v>
      </c>
      <c r="G803" s="5">
        <v>3</v>
      </c>
      <c r="H803" s="8" t="s">
        <v>12</v>
      </c>
      <c r="I803" t="s">
        <v>924</v>
      </c>
      <c r="K803" t="str">
        <f>+VLOOKUP(C803,'[1]TIENDAS 2025'!$A$1:$C$143,3,0)</f>
        <v>nocturna</v>
      </c>
      <c r="L803" t="str">
        <f>+VLOOKUP(C803,[2]Hoja1!$A$1:$B$138,2,0)</f>
        <v>APROBAR</v>
      </c>
      <c r="M803">
        <v>1</v>
      </c>
      <c r="N803" t="e">
        <v>#N/A</v>
      </c>
    </row>
    <row r="804" spans="1:14" ht="15" customHeight="1" x14ac:dyDescent="0.3">
      <c r="A804" s="3">
        <v>1209658378</v>
      </c>
      <c r="B804" s="3" t="s">
        <v>878</v>
      </c>
      <c r="C804" s="3" t="s">
        <v>879</v>
      </c>
      <c r="D804" s="4">
        <v>46307.4199884259</v>
      </c>
      <c r="E804" s="5" t="s">
        <v>10</v>
      </c>
      <c r="F804" s="5" t="s">
        <v>11</v>
      </c>
      <c r="G804" s="5">
        <v>30</v>
      </c>
      <c r="H804" s="6" t="s">
        <v>12</v>
      </c>
      <c r="I804" t="s">
        <v>925</v>
      </c>
      <c r="J804" t="s">
        <v>2480</v>
      </c>
      <c r="K804" t="str">
        <f>+VLOOKUP(C804,'[1]TIENDAS 2025'!$A$1:$C$143,3,0)</f>
        <v>nocturna</v>
      </c>
      <c r="L804" t="str">
        <f>+VLOOKUP(C804,[2]Hoja1!$A$1:$B$138,2,0)</f>
        <v>APROBAR</v>
      </c>
      <c r="M804">
        <v>1</v>
      </c>
      <c r="N804" t="e">
        <v>#N/A</v>
      </c>
    </row>
    <row r="805" spans="1:14" ht="15" customHeight="1" x14ac:dyDescent="0.3">
      <c r="A805" s="3">
        <v>1209658427</v>
      </c>
      <c r="B805" s="3" t="s">
        <v>898</v>
      </c>
      <c r="C805" s="3" t="s">
        <v>899</v>
      </c>
      <c r="D805" s="4">
        <v>46307.42</v>
      </c>
      <c r="E805" s="5" t="s">
        <v>10</v>
      </c>
      <c r="F805" s="5" t="s">
        <v>16</v>
      </c>
      <c r="G805" s="5">
        <v>2</v>
      </c>
      <c r="H805" s="6" t="s">
        <v>12</v>
      </c>
      <c r="I805" t="s">
        <v>926</v>
      </c>
      <c r="J805" t="s">
        <v>2480</v>
      </c>
      <c r="K805" t="str">
        <f>+VLOOKUP(C805,'[1]TIENDAS 2025'!$A$1:$C$143,3,0)</f>
        <v>prioridad</v>
      </c>
      <c r="L805" t="str">
        <f>+VLOOKUP(C805,[2]Hoja1!$A$1:$B$138,2,0)</f>
        <v>APROBAR</v>
      </c>
      <c r="M805">
        <v>1</v>
      </c>
      <c r="N805" t="e">
        <v>#N/A</v>
      </c>
    </row>
    <row r="806" spans="1:14" ht="15" customHeight="1" x14ac:dyDescent="0.3">
      <c r="A806" s="3">
        <v>1209658430</v>
      </c>
      <c r="B806" s="3" t="s">
        <v>898</v>
      </c>
      <c r="C806" s="3" t="s">
        <v>899</v>
      </c>
      <c r="D806" s="4">
        <v>46307.420011574097</v>
      </c>
      <c r="E806" s="5" t="s">
        <v>10</v>
      </c>
      <c r="F806" s="5" t="s">
        <v>17</v>
      </c>
      <c r="G806" s="5">
        <v>26</v>
      </c>
      <c r="H806" s="6" t="s">
        <v>12</v>
      </c>
      <c r="I806" t="s">
        <v>927</v>
      </c>
      <c r="J806" t="s">
        <v>2480</v>
      </c>
      <c r="K806" t="str">
        <f>+VLOOKUP(C806,'[1]TIENDAS 2025'!$A$1:$C$143,3,0)</f>
        <v>prioridad</v>
      </c>
      <c r="L806" t="str">
        <f>+VLOOKUP(C806,[2]Hoja1!$A$1:$B$138,2,0)</f>
        <v>APROBAR</v>
      </c>
      <c r="M806">
        <v>1</v>
      </c>
      <c r="N806" t="e">
        <v>#N/A</v>
      </c>
    </row>
    <row r="807" spans="1:14" ht="15" customHeight="1" x14ac:dyDescent="0.3">
      <c r="A807" s="3">
        <v>8209658406</v>
      </c>
      <c r="B807" s="3" t="s">
        <v>887</v>
      </c>
      <c r="C807" s="3" t="s">
        <v>888</v>
      </c>
      <c r="D807" s="4">
        <v>46307.420034722199</v>
      </c>
      <c r="E807" s="5" t="s">
        <v>10</v>
      </c>
      <c r="F807" s="5" t="s">
        <v>16</v>
      </c>
      <c r="G807" s="5">
        <v>15</v>
      </c>
      <c r="H807" s="8" t="s">
        <v>12</v>
      </c>
      <c r="I807" t="s">
        <v>928</v>
      </c>
      <c r="K807" t="str">
        <f>+VLOOKUP(C807,'[1]TIENDAS 2025'!$A$1:$C$143,3,0)</f>
        <v>nocturna</v>
      </c>
      <c r="L807" t="str">
        <f>+VLOOKUP(C807,[2]Hoja1!$A$1:$B$138,2,0)</f>
        <v>APROBAR</v>
      </c>
      <c r="M807">
        <v>1</v>
      </c>
      <c r="N807" t="e">
        <v>#N/A</v>
      </c>
    </row>
    <row r="808" spans="1:14" ht="15" customHeight="1" x14ac:dyDescent="0.3">
      <c r="A808" s="3">
        <v>1209658417</v>
      </c>
      <c r="B808" s="3" t="s">
        <v>887</v>
      </c>
      <c r="C808" s="3" t="s">
        <v>888</v>
      </c>
      <c r="D808" s="4">
        <v>46307.420046296298</v>
      </c>
      <c r="E808" s="5" t="s">
        <v>10</v>
      </c>
      <c r="F808" s="5" t="s">
        <v>17</v>
      </c>
      <c r="G808" s="5">
        <v>61</v>
      </c>
      <c r="H808" s="6" t="s">
        <v>12</v>
      </c>
      <c r="I808" t="s">
        <v>929</v>
      </c>
      <c r="J808" t="s">
        <v>2480</v>
      </c>
      <c r="K808" t="str">
        <f>+VLOOKUP(C808,'[1]TIENDAS 2025'!$A$1:$C$143,3,0)</f>
        <v>nocturna</v>
      </c>
      <c r="L808" t="str">
        <f>+VLOOKUP(C808,[2]Hoja1!$A$1:$B$138,2,0)</f>
        <v>APROBAR</v>
      </c>
      <c r="M808">
        <v>1</v>
      </c>
      <c r="N808" t="e">
        <v>#N/A</v>
      </c>
    </row>
    <row r="809" spans="1:14" ht="15" customHeight="1" x14ac:dyDescent="0.3">
      <c r="A809" s="3">
        <v>1209658433</v>
      </c>
      <c r="B809" s="3" t="s">
        <v>898</v>
      </c>
      <c r="C809" s="3" t="s">
        <v>899</v>
      </c>
      <c r="D809" s="4">
        <v>46307.420057870397</v>
      </c>
      <c r="E809" s="5" t="s">
        <v>10</v>
      </c>
      <c r="F809" s="5" t="s">
        <v>11</v>
      </c>
      <c r="G809" s="5">
        <v>40</v>
      </c>
      <c r="H809" s="6" t="s">
        <v>12</v>
      </c>
      <c r="I809" t="s">
        <v>930</v>
      </c>
      <c r="J809" t="s">
        <v>2480</v>
      </c>
      <c r="K809" t="str">
        <f>+VLOOKUP(C809,'[1]TIENDAS 2025'!$A$1:$C$143,3,0)</f>
        <v>prioridad</v>
      </c>
      <c r="L809" t="str">
        <f>+VLOOKUP(C809,[2]Hoja1!$A$1:$B$138,2,0)</f>
        <v>APROBAR</v>
      </c>
      <c r="M809">
        <v>1</v>
      </c>
      <c r="N809" t="e">
        <v>#N/A</v>
      </c>
    </row>
    <row r="810" spans="1:14" ht="15" customHeight="1" x14ac:dyDescent="0.3">
      <c r="A810" s="3">
        <v>1209658346</v>
      </c>
      <c r="B810" s="3" t="s">
        <v>875</v>
      </c>
      <c r="C810" s="3" t="s">
        <v>876</v>
      </c>
      <c r="D810" s="4">
        <v>46307.420069444401</v>
      </c>
      <c r="E810" s="5" t="s">
        <v>10</v>
      </c>
      <c r="F810" s="5" t="s">
        <v>11</v>
      </c>
      <c r="G810" s="5">
        <v>18</v>
      </c>
      <c r="H810" s="6" t="s">
        <v>12</v>
      </c>
      <c r="I810" t="s">
        <v>931</v>
      </c>
      <c r="J810" t="s">
        <v>2480</v>
      </c>
      <c r="K810" t="str">
        <f>+VLOOKUP(C810,'[1]TIENDAS 2025'!$A$1:$C$143,3,0)</f>
        <v>departamental</v>
      </c>
      <c r="L810" t="str">
        <f>+VLOOKUP(C810,[2]Hoja1!$A$1:$B$138,2,0)</f>
        <v>APROBAR</v>
      </c>
      <c r="M810">
        <v>1</v>
      </c>
      <c r="N810" t="e">
        <v>#N/A</v>
      </c>
    </row>
    <row r="811" spans="1:14" ht="15" customHeight="1" x14ac:dyDescent="0.3">
      <c r="A811" s="3">
        <v>8209658339</v>
      </c>
      <c r="B811" s="3" t="s">
        <v>875</v>
      </c>
      <c r="C811" s="3" t="s">
        <v>876</v>
      </c>
      <c r="D811" s="4">
        <v>46307.420092592598</v>
      </c>
      <c r="E811" s="5" t="s">
        <v>10</v>
      </c>
      <c r="F811" s="5" t="s">
        <v>16</v>
      </c>
      <c r="G811" s="5">
        <v>1</v>
      </c>
      <c r="H811" s="8" t="s">
        <v>12</v>
      </c>
      <c r="I811" t="s">
        <v>932</v>
      </c>
      <c r="K811" t="str">
        <f>+VLOOKUP(C811,'[1]TIENDAS 2025'!$A$1:$C$143,3,0)</f>
        <v>departamental</v>
      </c>
      <c r="L811" t="str">
        <f>+VLOOKUP(C811,[2]Hoja1!$A$1:$B$138,2,0)</f>
        <v>APROBAR</v>
      </c>
      <c r="M811">
        <v>1</v>
      </c>
      <c r="N811" t="e">
        <v>#N/A</v>
      </c>
    </row>
    <row r="812" spans="1:14" ht="15" customHeight="1" x14ac:dyDescent="0.3">
      <c r="A812" s="3">
        <v>1209658324</v>
      </c>
      <c r="B812" s="3" t="s">
        <v>872</v>
      </c>
      <c r="C812" s="3" t="s">
        <v>873</v>
      </c>
      <c r="D812" s="4">
        <v>46307.420104166697</v>
      </c>
      <c r="E812" s="5" t="s">
        <v>10</v>
      </c>
      <c r="F812" s="5" t="s">
        <v>17</v>
      </c>
      <c r="G812" s="5">
        <v>18</v>
      </c>
      <c r="H812" s="6" t="s">
        <v>12</v>
      </c>
      <c r="I812" t="s">
        <v>933</v>
      </c>
      <c r="J812" t="s">
        <v>2480</v>
      </c>
      <c r="K812" t="str">
        <f>+VLOOKUP(C812,'[1]TIENDAS 2025'!$A$1:$C$143,3,0)</f>
        <v>nocturna</v>
      </c>
      <c r="L812" t="str">
        <f>+VLOOKUP(C812,[2]Hoja1!$A$1:$B$138,2,0)</f>
        <v>APROBAR</v>
      </c>
      <c r="M812">
        <v>1</v>
      </c>
      <c r="N812" t="e">
        <v>#N/A</v>
      </c>
    </row>
    <row r="813" spans="1:14" ht="15" customHeight="1" x14ac:dyDescent="0.3">
      <c r="A813" s="3">
        <v>1209658413</v>
      </c>
      <c r="B813" s="3" t="s">
        <v>887</v>
      </c>
      <c r="C813" s="3" t="s">
        <v>888</v>
      </c>
      <c r="D813" s="4">
        <v>46307.420115740701</v>
      </c>
      <c r="E813" s="5" t="s">
        <v>10</v>
      </c>
      <c r="F813" s="5" t="s">
        <v>17</v>
      </c>
      <c r="G813" s="5">
        <v>31</v>
      </c>
      <c r="H813" s="6" t="s">
        <v>12</v>
      </c>
      <c r="I813" t="s">
        <v>934</v>
      </c>
      <c r="J813" t="s">
        <v>2480</v>
      </c>
      <c r="K813" t="str">
        <f>+VLOOKUP(C813,'[1]TIENDAS 2025'!$A$1:$C$143,3,0)</f>
        <v>nocturna</v>
      </c>
      <c r="L813" t="str">
        <f>+VLOOKUP(C813,[2]Hoja1!$A$1:$B$138,2,0)</f>
        <v>APROBAR</v>
      </c>
      <c r="M813">
        <v>1</v>
      </c>
      <c r="N813" t="e">
        <v>#N/A</v>
      </c>
    </row>
    <row r="814" spans="1:14" ht="15" customHeight="1" x14ac:dyDescent="0.3">
      <c r="A814" s="3">
        <v>8209658426</v>
      </c>
      <c r="B814" s="3" t="s">
        <v>898</v>
      </c>
      <c r="C814" s="3" t="s">
        <v>899</v>
      </c>
      <c r="D814" s="4">
        <v>46307.420127314799</v>
      </c>
      <c r="E814" s="5" t="s">
        <v>10</v>
      </c>
      <c r="F814" s="5" t="s">
        <v>16</v>
      </c>
      <c r="G814" s="5">
        <v>6</v>
      </c>
      <c r="H814" s="8" t="s">
        <v>12</v>
      </c>
      <c r="I814" t="s">
        <v>935</v>
      </c>
      <c r="K814" t="str">
        <f>+VLOOKUP(C814,'[1]TIENDAS 2025'!$A$1:$C$143,3,0)</f>
        <v>prioridad</v>
      </c>
      <c r="L814" t="str">
        <f>+VLOOKUP(C814,[2]Hoja1!$A$1:$B$138,2,0)</f>
        <v>APROBAR</v>
      </c>
      <c r="M814">
        <v>1</v>
      </c>
      <c r="N814" t="e">
        <v>#N/A</v>
      </c>
    </row>
    <row r="815" spans="1:14" ht="15" customHeight="1" x14ac:dyDescent="0.3">
      <c r="A815" s="3">
        <v>1209658414</v>
      </c>
      <c r="B815" s="3" t="s">
        <v>887</v>
      </c>
      <c r="C815" s="3" t="s">
        <v>888</v>
      </c>
      <c r="D815" s="4">
        <v>46307.420138888898</v>
      </c>
      <c r="E815" s="5" t="s">
        <v>10</v>
      </c>
      <c r="F815" s="5" t="s">
        <v>16</v>
      </c>
      <c r="G815" s="5">
        <v>46</v>
      </c>
      <c r="H815" s="6" t="s">
        <v>12</v>
      </c>
      <c r="I815" t="s">
        <v>936</v>
      </c>
      <c r="J815" t="s">
        <v>2480</v>
      </c>
      <c r="K815" t="str">
        <f>+VLOOKUP(C815,'[1]TIENDAS 2025'!$A$1:$C$143,3,0)</f>
        <v>nocturna</v>
      </c>
      <c r="L815" t="str">
        <f>+VLOOKUP(C815,[2]Hoja1!$A$1:$B$138,2,0)</f>
        <v>APROBAR</v>
      </c>
      <c r="M815">
        <v>1</v>
      </c>
      <c r="N815" t="e">
        <v>#N/A</v>
      </c>
    </row>
    <row r="816" spans="1:14" ht="15" customHeight="1" x14ac:dyDescent="0.3">
      <c r="A816" s="3">
        <v>8209658419</v>
      </c>
      <c r="B816" s="3" t="s">
        <v>887</v>
      </c>
      <c r="C816" s="3" t="s">
        <v>888</v>
      </c>
      <c r="D816" s="4">
        <v>46307.420162037</v>
      </c>
      <c r="E816" s="5" t="s">
        <v>10</v>
      </c>
      <c r="F816" s="5" t="s">
        <v>16</v>
      </c>
      <c r="G816" s="5">
        <v>3</v>
      </c>
      <c r="H816" s="8" t="s">
        <v>12</v>
      </c>
      <c r="I816" t="s">
        <v>937</v>
      </c>
      <c r="K816" t="str">
        <f>+VLOOKUP(C816,'[1]TIENDAS 2025'!$A$1:$C$143,3,0)</f>
        <v>nocturna</v>
      </c>
      <c r="L816" t="str">
        <f>+VLOOKUP(C816,[2]Hoja1!$A$1:$B$138,2,0)</f>
        <v>APROBAR</v>
      </c>
      <c r="M816">
        <v>1</v>
      </c>
      <c r="N816" t="e">
        <v>#N/A</v>
      </c>
    </row>
    <row r="817" spans="1:14" ht="15" customHeight="1" x14ac:dyDescent="0.3">
      <c r="A817" s="3">
        <v>8209658372</v>
      </c>
      <c r="B817" s="3" t="s">
        <v>878</v>
      </c>
      <c r="C817" s="3" t="s">
        <v>879</v>
      </c>
      <c r="D817" s="4">
        <v>46307.420173611099</v>
      </c>
      <c r="E817" s="5" t="s">
        <v>10</v>
      </c>
      <c r="F817" s="5" t="s">
        <v>16</v>
      </c>
      <c r="G817" s="5">
        <v>9</v>
      </c>
      <c r="H817" s="8" t="s">
        <v>12</v>
      </c>
      <c r="I817" t="s">
        <v>938</v>
      </c>
      <c r="K817" t="str">
        <f>+VLOOKUP(C817,'[1]TIENDAS 2025'!$A$1:$C$143,3,0)</f>
        <v>nocturna</v>
      </c>
      <c r="L817" t="str">
        <f>+VLOOKUP(C817,[2]Hoja1!$A$1:$B$138,2,0)</f>
        <v>APROBAR</v>
      </c>
      <c r="M817">
        <v>1</v>
      </c>
      <c r="N817" t="e">
        <v>#N/A</v>
      </c>
    </row>
    <row r="818" spans="1:14" ht="15" customHeight="1" x14ac:dyDescent="0.3">
      <c r="A818" s="3">
        <v>8209658374</v>
      </c>
      <c r="B818" s="3" t="s">
        <v>878</v>
      </c>
      <c r="C818" s="3" t="s">
        <v>879</v>
      </c>
      <c r="D818" s="4">
        <v>46307.420185185198</v>
      </c>
      <c r="E818" s="5" t="s">
        <v>10</v>
      </c>
      <c r="F818" s="5" t="s">
        <v>16</v>
      </c>
      <c r="G818" s="5">
        <v>5</v>
      </c>
      <c r="H818" s="8" t="s">
        <v>12</v>
      </c>
      <c r="I818" t="s">
        <v>939</v>
      </c>
      <c r="K818" t="str">
        <f>+VLOOKUP(C818,'[1]TIENDAS 2025'!$A$1:$C$143,3,0)</f>
        <v>nocturna</v>
      </c>
      <c r="L818" t="str">
        <f>+VLOOKUP(C818,[2]Hoja1!$A$1:$B$138,2,0)</f>
        <v>APROBAR</v>
      </c>
      <c r="M818">
        <v>1</v>
      </c>
      <c r="N818" t="e">
        <v>#N/A</v>
      </c>
    </row>
    <row r="819" spans="1:14" ht="15" customHeight="1" x14ac:dyDescent="0.3">
      <c r="A819" s="3">
        <v>1209658376</v>
      </c>
      <c r="B819" s="3" t="s">
        <v>878</v>
      </c>
      <c r="C819" s="3" t="s">
        <v>879</v>
      </c>
      <c r="D819" s="4">
        <v>46307.420196759304</v>
      </c>
      <c r="E819" s="5" t="s">
        <v>10</v>
      </c>
      <c r="F819" s="5" t="s">
        <v>17</v>
      </c>
      <c r="G819" s="5">
        <v>27</v>
      </c>
      <c r="H819" s="6" t="s">
        <v>12</v>
      </c>
      <c r="I819" t="s">
        <v>940</v>
      </c>
      <c r="J819" t="s">
        <v>2480</v>
      </c>
      <c r="K819" t="str">
        <f>+VLOOKUP(C819,'[1]TIENDAS 2025'!$A$1:$C$143,3,0)</f>
        <v>nocturna</v>
      </c>
      <c r="L819" t="str">
        <f>+VLOOKUP(C819,[2]Hoja1!$A$1:$B$138,2,0)</f>
        <v>APROBAR</v>
      </c>
      <c r="M819">
        <v>1</v>
      </c>
      <c r="N819" t="e">
        <v>#N/A</v>
      </c>
    </row>
    <row r="820" spans="1:14" ht="15" customHeight="1" x14ac:dyDescent="0.3">
      <c r="A820" s="3">
        <v>8209658338</v>
      </c>
      <c r="B820" s="3" t="s">
        <v>875</v>
      </c>
      <c r="C820" s="3" t="s">
        <v>876</v>
      </c>
      <c r="D820" s="4">
        <v>46307.4202083333</v>
      </c>
      <c r="E820" s="5" t="s">
        <v>10</v>
      </c>
      <c r="F820" s="5" t="s">
        <v>16</v>
      </c>
      <c r="G820" s="5">
        <v>1</v>
      </c>
      <c r="H820" s="8" t="s">
        <v>12</v>
      </c>
      <c r="I820" t="s">
        <v>941</v>
      </c>
      <c r="K820" t="str">
        <f>+VLOOKUP(C820,'[1]TIENDAS 2025'!$A$1:$C$143,3,0)</f>
        <v>departamental</v>
      </c>
      <c r="L820" t="str">
        <f>+VLOOKUP(C820,[2]Hoja1!$A$1:$B$138,2,0)</f>
        <v>APROBAR</v>
      </c>
      <c r="M820">
        <v>1</v>
      </c>
      <c r="N820" t="e">
        <v>#N/A</v>
      </c>
    </row>
    <row r="821" spans="1:14" ht="15" customHeight="1" x14ac:dyDescent="0.3">
      <c r="A821" s="3">
        <v>1209658438</v>
      </c>
      <c r="B821" s="3" t="s">
        <v>898</v>
      </c>
      <c r="C821" s="3" t="s">
        <v>899</v>
      </c>
      <c r="D821" s="4">
        <v>46307.420231481497</v>
      </c>
      <c r="E821" s="5" t="s">
        <v>10</v>
      </c>
      <c r="F821" s="5" t="s">
        <v>11</v>
      </c>
      <c r="G821" s="5">
        <v>59</v>
      </c>
      <c r="H821" s="6" t="s">
        <v>12</v>
      </c>
      <c r="I821" t="s">
        <v>942</v>
      </c>
      <c r="J821" t="s">
        <v>2480</v>
      </c>
      <c r="K821" t="str">
        <f>+VLOOKUP(C821,'[1]TIENDAS 2025'!$A$1:$C$143,3,0)</f>
        <v>prioridad</v>
      </c>
      <c r="L821" t="str">
        <f>+VLOOKUP(C821,[2]Hoja1!$A$1:$B$138,2,0)</f>
        <v>APROBAR</v>
      </c>
      <c r="M821">
        <v>1</v>
      </c>
      <c r="N821" t="e">
        <v>#N/A</v>
      </c>
    </row>
    <row r="822" spans="1:14" ht="15" customHeight="1" x14ac:dyDescent="0.3">
      <c r="A822" s="3">
        <v>8209658460</v>
      </c>
      <c r="B822" s="3" t="s">
        <v>881</v>
      </c>
      <c r="C822" s="3" t="s">
        <v>882</v>
      </c>
      <c r="D822" s="4">
        <v>46307.420243055603</v>
      </c>
      <c r="E822" s="5" t="s">
        <v>10</v>
      </c>
      <c r="F822" s="5" t="s">
        <v>16</v>
      </c>
      <c r="G822" s="5">
        <v>2</v>
      </c>
      <c r="H822" s="8" t="s">
        <v>12</v>
      </c>
      <c r="I822" t="s">
        <v>943</v>
      </c>
      <c r="K822" t="str">
        <f>+VLOOKUP(C822,'[1]TIENDAS 2025'!$A$1:$C$143,3,0)</f>
        <v>local</v>
      </c>
      <c r="L822" t="str">
        <f>+VLOOKUP(C822,[2]Hoja1!$A$1:$B$138,2,0)</f>
        <v>APROBAR</v>
      </c>
      <c r="M822">
        <v>1</v>
      </c>
      <c r="N822" t="e">
        <v>#N/A</v>
      </c>
    </row>
    <row r="823" spans="1:14" ht="15" customHeight="1" x14ac:dyDescent="0.3">
      <c r="A823" s="3">
        <v>8209658405</v>
      </c>
      <c r="B823" s="3" t="s">
        <v>887</v>
      </c>
      <c r="C823" s="3" t="s">
        <v>888</v>
      </c>
      <c r="D823" s="4">
        <v>46307.4202546296</v>
      </c>
      <c r="E823" s="5" t="s">
        <v>10</v>
      </c>
      <c r="F823" s="5" t="s">
        <v>16</v>
      </c>
      <c r="G823" s="5">
        <v>10</v>
      </c>
      <c r="H823" s="8" t="s">
        <v>12</v>
      </c>
      <c r="I823" t="s">
        <v>944</v>
      </c>
      <c r="K823" t="str">
        <f>+VLOOKUP(C823,'[1]TIENDAS 2025'!$A$1:$C$143,3,0)</f>
        <v>nocturna</v>
      </c>
      <c r="L823" t="str">
        <f>+VLOOKUP(C823,[2]Hoja1!$A$1:$B$138,2,0)</f>
        <v>APROBAR</v>
      </c>
      <c r="M823">
        <v>1</v>
      </c>
      <c r="N823" t="e">
        <v>#N/A</v>
      </c>
    </row>
    <row r="824" spans="1:14" ht="15" customHeight="1" x14ac:dyDescent="0.3">
      <c r="A824" s="3">
        <v>1209658432</v>
      </c>
      <c r="B824" s="3" t="s">
        <v>898</v>
      </c>
      <c r="C824" s="3" t="s">
        <v>899</v>
      </c>
      <c r="D824" s="4">
        <v>46307.420266203699</v>
      </c>
      <c r="E824" s="5" t="s">
        <v>10</v>
      </c>
      <c r="F824" s="5" t="s">
        <v>16</v>
      </c>
      <c r="G824" s="5">
        <v>37</v>
      </c>
      <c r="H824" s="6" t="s">
        <v>12</v>
      </c>
      <c r="I824" t="s">
        <v>945</v>
      </c>
      <c r="J824" t="s">
        <v>2480</v>
      </c>
      <c r="K824" t="str">
        <f>+VLOOKUP(C824,'[1]TIENDAS 2025'!$A$1:$C$143,3,0)</f>
        <v>prioridad</v>
      </c>
      <c r="L824" t="str">
        <f>+VLOOKUP(C824,[2]Hoja1!$A$1:$B$138,2,0)</f>
        <v>APROBAR</v>
      </c>
      <c r="M824">
        <v>1</v>
      </c>
      <c r="N824" t="e">
        <v>#N/A</v>
      </c>
    </row>
    <row r="825" spans="1:14" ht="15" customHeight="1" x14ac:dyDescent="0.3">
      <c r="A825" s="3">
        <v>1209658435</v>
      </c>
      <c r="B825" s="3" t="s">
        <v>898</v>
      </c>
      <c r="C825" s="3" t="s">
        <v>899</v>
      </c>
      <c r="D825" s="4">
        <v>46307.420277777797</v>
      </c>
      <c r="E825" s="5" t="s">
        <v>10</v>
      </c>
      <c r="F825" s="5" t="s">
        <v>17</v>
      </c>
      <c r="G825" s="5">
        <v>46</v>
      </c>
      <c r="H825" s="6" t="s">
        <v>12</v>
      </c>
      <c r="I825" t="s">
        <v>946</v>
      </c>
      <c r="J825" t="s">
        <v>2480</v>
      </c>
      <c r="K825" t="str">
        <f>+VLOOKUP(C825,'[1]TIENDAS 2025'!$A$1:$C$143,3,0)</f>
        <v>prioridad</v>
      </c>
      <c r="L825" t="str">
        <f>+VLOOKUP(C825,[2]Hoja1!$A$1:$B$138,2,0)</f>
        <v>APROBAR</v>
      </c>
      <c r="M825">
        <v>1</v>
      </c>
      <c r="N825" t="e">
        <v>#N/A</v>
      </c>
    </row>
    <row r="826" spans="1:14" ht="15" customHeight="1" x14ac:dyDescent="0.3">
      <c r="A826" s="3">
        <v>1209658350</v>
      </c>
      <c r="B826" s="3" t="s">
        <v>875</v>
      </c>
      <c r="C826" s="3" t="s">
        <v>876</v>
      </c>
      <c r="D826" s="4">
        <v>46307.4203009259</v>
      </c>
      <c r="E826" s="5" t="s">
        <v>10</v>
      </c>
      <c r="F826" s="5" t="s">
        <v>17</v>
      </c>
      <c r="G826" s="5">
        <v>43</v>
      </c>
      <c r="H826" s="6" t="s">
        <v>12</v>
      </c>
      <c r="I826" t="s">
        <v>947</v>
      </c>
      <c r="J826" t="s">
        <v>2480</v>
      </c>
      <c r="K826" t="str">
        <f>+VLOOKUP(C826,'[1]TIENDAS 2025'!$A$1:$C$143,3,0)</f>
        <v>departamental</v>
      </c>
      <c r="L826" t="str">
        <f>+VLOOKUP(C826,[2]Hoja1!$A$1:$B$138,2,0)</f>
        <v>APROBAR</v>
      </c>
      <c r="M826">
        <v>1</v>
      </c>
      <c r="N826" t="e">
        <v>#N/A</v>
      </c>
    </row>
    <row r="827" spans="1:14" ht="15" customHeight="1" x14ac:dyDescent="0.3">
      <c r="A827" s="3">
        <v>1209658353</v>
      </c>
      <c r="B827" s="3" t="s">
        <v>875</v>
      </c>
      <c r="C827" s="3" t="s">
        <v>876</v>
      </c>
      <c r="D827" s="4">
        <v>46307.420312499999</v>
      </c>
      <c r="E827" s="5" t="s">
        <v>10</v>
      </c>
      <c r="F827" s="5" t="s">
        <v>17</v>
      </c>
      <c r="G827" s="5">
        <v>2</v>
      </c>
      <c r="H827" s="6" t="s">
        <v>12</v>
      </c>
      <c r="I827" t="s">
        <v>948</v>
      </c>
      <c r="J827" t="s">
        <v>2480</v>
      </c>
      <c r="K827" t="str">
        <f>+VLOOKUP(C827,'[1]TIENDAS 2025'!$A$1:$C$143,3,0)</f>
        <v>departamental</v>
      </c>
      <c r="L827" t="str">
        <f>+VLOOKUP(C827,[2]Hoja1!$A$1:$B$138,2,0)</f>
        <v>APROBAR</v>
      </c>
      <c r="M827">
        <v>1</v>
      </c>
      <c r="N827" t="e">
        <v>#N/A</v>
      </c>
    </row>
    <row r="828" spans="1:14" ht="15" customHeight="1" x14ac:dyDescent="0.3">
      <c r="A828" s="3">
        <v>1209658319</v>
      </c>
      <c r="B828" s="3" t="s">
        <v>872</v>
      </c>
      <c r="C828" s="3" t="s">
        <v>873</v>
      </c>
      <c r="D828" s="4">
        <v>46307.420324074097</v>
      </c>
      <c r="E828" s="5" t="s">
        <v>10</v>
      </c>
      <c r="F828" s="5" t="s">
        <v>11</v>
      </c>
      <c r="G828" s="5">
        <v>12</v>
      </c>
      <c r="H828" s="6" t="s">
        <v>12</v>
      </c>
      <c r="I828" t="s">
        <v>949</v>
      </c>
      <c r="J828" t="s">
        <v>2480</v>
      </c>
      <c r="K828" t="str">
        <f>+VLOOKUP(C828,'[1]TIENDAS 2025'!$A$1:$C$143,3,0)</f>
        <v>nocturna</v>
      </c>
      <c r="L828" t="str">
        <f>+VLOOKUP(C828,[2]Hoja1!$A$1:$B$138,2,0)</f>
        <v>APROBAR</v>
      </c>
      <c r="M828">
        <v>1</v>
      </c>
      <c r="N828" t="e">
        <v>#N/A</v>
      </c>
    </row>
    <row r="829" spans="1:14" ht="15" customHeight="1" x14ac:dyDescent="0.3">
      <c r="A829" s="3">
        <v>1209658320</v>
      </c>
      <c r="B829" s="3" t="s">
        <v>872</v>
      </c>
      <c r="C829" s="3" t="s">
        <v>873</v>
      </c>
      <c r="D829" s="4">
        <v>46307.420335648101</v>
      </c>
      <c r="E829" s="5" t="s">
        <v>10</v>
      </c>
      <c r="F829" s="5" t="s">
        <v>11</v>
      </c>
      <c r="G829" s="5">
        <v>12</v>
      </c>
      <c r="H829" s="6" t="s">
        <v>12</v>
      </c>
      <c r="I829" t="s">
        <v>950</v>
      </c>
      <c r="J829" t="s">
        <v>2480</v>
      </c>
      <c r="K829" t="str">
        <f>+VLOOKUP(C829,'[1]TIENDAS 2025'!$A$1:$C$143,3,0)</f>
        <v>nocturna</v>
      </c>
      <c r="L829" t="str">
        <f>+VLOOKUP(C829,[2]Hoja1!$A$1:$B$138,2,0)</f>
        <v>APROBAR</v>
      </c>
      <c r="M829">
        <v>1</v>
      </c>
      <c r="N829" t="e">
        <v>#N/A</v>
      </c>
    </row>
    <row r="830" spans="1:14" ht="15" customHeight="1" x14ac:dyDescent="0.3">
      <c r="A830" s="3">
        <v>8209658379</v>
      </c>
      <c r="B830" s="3" t="s">
        <v>878</v>
      </c>
      <c r="C830" s="3" t="s">
        <v>879</v>
      </c>
      <c r="D830" s="4">
        <v>46307.420358796298</v>
      </c>
      <c r="E830" s="5" t="s">
        <v>10</v>
      </c>
      <c r="F830" s="5" t="s">
        <v>16</v>
      </c>
      <c r="G830" s="5">
        <v>1</v>
      </c>
      <c r="H830" s="8" t="s">
        <v>12</v>
      </c>
      <c r="I830" t="s">
        <v>951</v>
      </c>
      <c r="K830" t="str">
        <f>+VLOOKUP(C830,'[1]TIENDAS 2025'!$A$1:$C$143,3,0)</f>
        <v>nocturna</v>
      </c>
      <c r="L830" t="str">
        <f>+VLOOKUP(C830,[2]Hoja1!$A$1:$B$138,2,0)</f>
        <v>APROBAR</v>
      </c>
      <c r="M830">
        <v>1</v>
      </c>
      <c r="N830" t="e">
        <v>#N/A</v>
      </c>
    </row>
    <row r="831" spans="1:14" ht="15" customHeight="1" x14ac:dyDescent="0.3">
      <c r="A831" s="3">
        <v>8209658381</v>
      </c>
      <c r="B831" s="3" t="s">
        <v>878</v>
      </c>
      <c r="C831" s="3" t="s">
        <v>879</v>
      </c>
      <c r="D831" s="4">
        <v>46307.420370370397</v>
      </c>
      <c r="E831" s="5" t="s">
        <v>10</v>
      </c>
      <c r="F831" s="5" t="s">
        <v>16</v>
      </c>
      <c r="G831" s="5">
        <v>14</v>
      </c>
      <c r="H831" s="8" t="s">
        <v>12</v>
      </c>
      <c r="I831" t="s">
        <v>952</v>
      </c>
      <c r="K831" t="str">
        <f>+VLOOKUP(C831,'[1]TIENDAS 2025'!$A$1:$C$143,3,0)</f>
        <v>nocturna</v>
      </c>
      <c r="L831" t="str">
        <f>+VLOOKUP(C831,[2]Hoja1!$A$1:$B$138,2,0)</f>
        <v>APROBAR</v>
      </c>
      <c r="M831">
        <v>1</v>
      </c>
      <c r="N831" t="e">
        <v>#N/A</v>
      </c>
    </row>
    <row r="832" spans="1:14" ht="15" customHeight="1" x14ac:dyDescent="0.3">
      <c r="A832" s="3">
        <v>8209658382</v>
      </c>
      <c r="B832" s="3" t="s">
        <v>878</v>
      </c>
      <c r="C832" s="3" t="s">
        <v>879</v>
      </c>
      <c r="D832" s="4">
        <v>46307.420381944401</v>
      </c>
      <c r="E832" s="5" t="s">
        <v>10</v>
      </c>
      <c r="F832" s="5" t="s">
        <v>16</v>
      </c>
      <c r="G832" s="5">
        <v>4</v>
      </c>
      <c r="H832" s="8" t="s">
        <v>12</v>
      </c>
      <c r="I832" t="s">
        <v>953</v>
      </c>
      <c r="K832" t="str">
        <f>+VLOOKUP(C832,'[1]TIENDAS 2025'!$A$1:$C$143,3,0)</f>
        <v>nocturna</v>
      </c>
      <c r="L832" t="str">
        <f>+VLOOKUP(C832,[2]Hoja1!$A$1:$B$138,2,0)</f>
        <v>APROBAR</v>
      </c>
      <c r="M832">
        <v>1</v>
      </c>
      <c r="N832" t="e">
        <v>#N/A</v>
      </c>
    </row>
    <row r="833" spans="1:14" ht="15" customHeight="1" x14ac:dyDescent="0.3">
      <c r="A833" s="3">
        <v>1209658383</v>
      </c>
      <c r="B833" s="3" t="s">
        <v>878</v>
      </c>
      <c r="C833" s="3" t="s">
        <v>879</v>
      </c>
      <c r="D833" s="4">
        <v>46307.4203935185</v>
      </c>
      <c r="E833" s="5" t="s">
        <v>10</v>
      </c>
      <c r="F833" s="5" t="s">
        <v>11</v>
      </c>
      <c r="G833" s="5">
        <v>5</v>
      </c>
      <c r="H833" s="6" t="s">
        <v>12</v>
      </c>
      <c r="I833" t="s">
        <v>954</v>
      </c>
      <c r="J833" t="s">
        <v>2480</v>
      </c>
      <c r="K833" t="str">
        <f>+VLOOKUP(C833,'[1]TIENDAS 2025'!$A$1:$C$143,3,0)</f>
        <v>nocturna</v>
      </c>
      <c r="L833" t="str">
        <f>+VLOOKUP(C833,[2]Hoja1!$A$1:$B$138,2,0)</f>
        <v>APROBAR</v>
      </c>
      <c r="M833">
        <v>1</v>
      </c>
      <c r="N833" t="e">
        <v>#N/A</v>
      </c>
    </row>
    <row r="834" spans="1:14" ht="15" customHeight="1" x14ac:dyDescent="0.3">
      <c r="A834" s="3">
        <v>8209658425</v>
      </c>
      <c r="B834" s="3" t="s">
        <v>898</v>
      </c>
      <c r="C834" s="3" t="s">
        <v>899</v>
      </c>
      <c r="D834" s="4">
        <v>46307.420405092598</v>
      </c>
      <c r="E834" s="5" t="s">
        <v>10</v>
      </c>
      <c r="F834" s="5" t="s">
        <v>16</v>
      </c>
      <c r="G834" s="5">
        <v>20</v>
      </c>
      <c r="H834" s="8" t="s">
        <v>12</v>
      </c>
      <c r="I834" t="s">
        <v>955</v>
      </c>
      <c r="K834" t="str">
        <f>+VLOOKUP(C834,'[1]TIENDAS 2025'!$A$1:$C$143,3,0)</f>
        <v>prioridad</v>
      </c>
      <c r="L834" t="str">
        <f>+VLOOKUP(C834,[2]Hoja1!$A$1:$B$138,2,0)</f>
        <v>APROBAR</v>
      </c>
      <c r="M834">
        <v>1</v>
      </c>
      <c r="N834" t="e">
        <v>#N/A</v>
      </c>
    </row>
    <row r="835" spans="1:14" ht="15" customHeight="1" x14ac:dyDescent="0.3">
      <c r="A835" s="3">
        <v>8209658428</v>
      </c>
      <c r="B835" s="3" t="s">
        <v>898</v>
      </c>
      <c r="C835" s="3" t="s">
        <v>899</v>
      </c>
      <c r="D835" s="4">
        <v>46307.420416666697</v>
      </c>
      <c r="E835" s="5" t="s">
        <v>10</v>
      </c>
      <c r="F835" s="5" t="s">
        <v>16</v>
      </c>
      <c r="G835" s="5">
        <v>4</v>
      </c>
      <c r="H835" s="8" t="s">
        <v>12</v>
      </c>
      <c r="I835" t="s">
        <v>956</v>
      </c>
      <c r="K835" t="str">
        <f>+VLOOKUP(C835,'[1]TIENDAS 2025'!$A$1:$C$143,3,0)</f>
        <v>prioridad</v>
      </c>
      <c r="L835" t="str">
        <f>+VLOOKUP(C835,[2]Hoja1!$A$1:$B$138,2,0)</f>
        <v>APROBAR</v>
      </c>
      <c r="M835">
        <v>1</v>
      </c>
      <c r="N835" t="e">
        <v>#N/A</v>
      </c>
    </row>
    <row r="836" spans="1:14" ht="15" customHeight="1" x14ac:dyDescent="0.3">
      <c r="A836" s="3">
        <v>8209658407</v>
      </c>
      <c r="B836" s="3" t="s">
        <v>887</v>
      </c>
      <c r="C836" s="3" t="s">
        <v>888</v>
      </c>
      <c r="D836" s="4">
        <v>46307.420439814799</v>
      </c>
      <c r="E836" s="5" t="s">
        <v>10</v>
      </c>
      <c r="F836" s="5" t="s">
        <v>16</v>
      </c>
      <c r="G836" s="5">
        <v>8</v>
      </c>
      <c r="H836" s="8" t="s">
        <v>12</v>
      </c>
      <c r="I836" t="s">
        <v>957</v>
      </c>
      <c r="K836" t="str">
        <f>+VLOOKUP(C836,'[1]TIENDAS 2025'!$A$1:$C$143,3,0)</f>
        <v>nocturna</v>
      </c>
      <c r="L836" t="str">
        <f>+VLOOKUP(C836,[2]Hoja1!$A$1:$B$138,2,0)</f>
        <v>APROBAR</v>
      </c>
      <c r="M836">
        <v>1</v>
      </c>
      <c r="N836" t="e">
        <v>#N/A</v>
      </c>
    </row>
    <row r="837" spans="1:14" ht="15" customHeight="1" x14ac:dyDescent="0.3">
      <c r="A837" s="3">
        <v>1209658391</v>
      </c>
      <c r="B837" s="3" t="s">
        <v>878</v>
      </c>
      <c r="C837" s="3" t="s">
        <v>879</v>
      </c>
      <c r="D837" s="4">
        <v>46307.420451388898</v>
      </c>
      <c r="E837" s="5" t="s">
        <v>10</v>
      </c>
      <c r="F837" s="5" t="s">
        <v>11</v>
      </c>
      <c r="G837" s="5">
        <v>45</v>
      </c>
      <c r="H837" s="6" t="s">
        <v>12</v>
      </c>
      <c r="I837" t="s">
        <v>958</v>
      </c>
      <c r="J837" t="s">
        <v>2480</v>
      </c>
      <c r="K837" t="str">
        <f>+VLOOKUP(C837,'[1]TIENDAS 2025'!$A$1:$C$143,3,0)</f>
        <v>nocturna</v>
      </c>
      <c r="L837" t="str">
        <f>+VLOOKUP(C837,[2]Hoja1!$A$1:$B$138,2,0)</f>
        <v>APROBAR</v>
      </c>
      <c r="M837">
        <v>1</v>
      </c>
      <c r="N837" t="e">
        <v>#N/A</v>
      </c>
    </row>
    <row r="838" spans="1:14" ht="15" customHeight="1" x14ac:dyDescent="0.3">
      <c r="A838" s="3">
        <v>1209658437</v>
      </c>
      <c r="B838" s="3" t="s">
        <v>898</v>
      </c>
      <c r="C838" s="3" t="s">
        <v>899</v>
      </c>
      <c r="D838" s="4">
        <v>46307.420462962997</v>
      </c>
      <c r="E838" s="5" t="s">
        <v>10</v>
      </c>
      <c r="F838" s="5" t="s">
        <v>11</v>
      </c>
      <c r="G838" s="5">
        <v>8</v>
      </c>
      <c r="H838" s="6" t="s">
        <v>12</v>
      </c>
      <c r="I838" t="s">
        <v>959</v>
      </c>
      <c r="J838" t="s">
        <v>2480</v>
      </c>
      <c r="K838" t="str">
        <f>+VLOOKUP(C838,'[1]TIENDAS 2025'!$A$1:$C$143,3,0)</f>
        <v>prioridad</v>
      </c>
      <c r="L838" t="str">
        <f>+VLOOKUP(C838,[2]Hoja1!$A$1:$B$138,2,0)</f>
        <v>APROBAR</v>
      </c>
      <c r="M838">
        <v>1</v>
      </c>
      <c r="N838" t="e">
        <v>#N/A</v>
      </c>
    </row>
    <row r="839" spans="1:14" ht="15" customHeight="1" x14ac:dyDescent="0.3">
      <c r="A839" s="3">
        <v>8209658317</v>
      </c>
      <c r="B839" s="3" t="s">
        <v>872</v>
      </c>
      <c r="C839" s="3" t="s">
        <v>873</v>
      </c>
      <c r="D839" s="4">
        <v>46307.420474537001</v>
      </c>
      <c r="E839" s="5" t="s">
        <v>10</v>
      </c>
      <c r="F839" s="5" t="s">
        <v>16</v>
      </c>
      <c r="G839" s="5">
        <v>10</v>
      </c>
      <c r="H839" s="8" t="s">
        <v>12</v>
      </c>
      <c r="I839" t="s">
        <v>960</v>
      </c>
      <c r="K839" t="str">
        <f>+VLOOKUP(C839,'[1]TIENDAS 2025'!$A$1:$C$143,3,0)</f>
        <v>nocturna</v>
      </c>
      <c r="L839" t="str">
        <f>+VLOOKUP(C839,[2]Hoja1!$A$1:$B$138,2,0)</f>
        <v>APROBAR</v>
      </c>
      <c r="M839">
        <v>1</v>
      </c>
      <c r="N839" t="e">
        <v>#N/A</v>
      </c>
    </row>
    <row r="840" spans="1:14" ht="15" customHeight="1" x14ac:dyDescent="0.3">
      <c r="A840" s="3">
        <v>1209658355</v>
      </c>
      <c r="B840" s="3" t="s">
        <v>875</v>
      </c>
      <c r="C840" s="3" t="s">
        <v>876</v>
      </c>
      <c r="D840" s="4">
        <v>46307.420486111099</v>
      </c>
      <c r="E840" s="5" t="s">
        <v>10</v>
      </c>
      <c r="F840" s="5" t="s">
        <v>17</v>
      </c>
      <c r="G840" s="5">
        <v>14</v>
      </c>
      <c r="H840" s="6" t="s">
        <v>12</v>
      </c>
      <c r="I840" t="s">
        <v>961</v>
      </c>
      <c r="J840" t="s">
        <v>2480</v>
      </c>
      <c r="K840" t="str">
        <f>+VLOOKUP(C840,'[1]TIENDAS 2025'!$A$1:$C$143,3,0)</f>
        <v>departamental</v>
      </c>
      <c r="L840" t="str">
        <f>+VLOOKUP(C840,[2]Hoja1!$A$1:$B$138,2,0)</f>
        <v>APROBAR</v>
      </c>
      <c r="M840">
        <v>1</v>
      </c>
      <c r="N840" t="e">
        <v>#N/A</v>
      </c>
    </row>
    <row r="841" spans="1:14" ht="15" customHeight="1" x14ac:dyDescent="0.3">
      <c r="A841" s="3">
        <v>1209658356</v>
      </c>
      <c r="B841" s="3" t="s">
        <v>875</v>
      </c>
      <c r="C841" s="3" t="s">
        <v>876</v>
      </c>
      <c r="D841" s="4">
        <v>46307.420509259297</v>
      </c>
      <c r="E841" s="5" t="s">
        <v>10</v>
      </c>
      <c r="F841" s="5" t="s">
        <v>17</v>
      </c>
      <c r="G841" s="5">
        <v>35</v>
      </c>
      <c r="H841" s="6" t="s">
        <v>12</v>
      </c>
      <c r="I841" t="s">
        <v>962</v>
      </c>
      <c r="J841" t="s">
        <v>2480</v>
      </c>
      <c r="K841" t="str">
        <f>+VLOOKUP(C841,'[1]TIENDAS 2025'!$A$1:$C$143,3,0)</f>
        <v>departamental</v>
      </c>
      <c r="L841" t="str">
        <f>+VLOOKUP(C841,[2]Hoja1!$A$1:$B$138,2,0)</f>
        <v>APROBAR</v>
      </c>
      <c r="M841">
        <v>1</v>
      </c>
      <c r="N841" t="e">
        <v>#N/A</v>
      </c>
    </row>
    <row r="842" spans="1:14" ht="15" customHeight="1" x14ac:dyDescent="0.3">
      <c r="A842" s="3">
        <v>8209658403</v>
      </c>
      <c r="B842" s="3" t="s">
        <v>887</v>
      </c>
      <c r="C842" s="3" t="s">
        <v>888</v>
      </c>
      <c r="D842" s="4">
        <v>46307.420520833301</v>
      </c>
      <c r="E842" s="5" t="s">
        <v>10</v>
      </c>
      <c r="F842" s="5" t="s">
        <v>16</v>
      </c>
      <c r="G842" s="5">
        <v>3</v>
      </c>
      <c r="H842" s="8" t="s">
        <v>12</v>
      </c>
      <c r="I842" t="s">
        <v>963</v>
      </c>
      <c r="K842" t="str">
        <f>+VLOOKUP(C842,'[1]TIENDAS 2025'!$A$1:$C$143,3,0)</f>
        <v>nocturna</v>
      </c>
      <c r="L842" t="str">
        <f>+VLOOKUP(C842,[2]Hoja1!$A$1:$B$138,2,0)</f>
        <v>APROBAR</v>
      </c>
      <c r="M842">
        <v>1</v>
      </c>
      <c r="N842" t="e">
        <v>#N/A</v>
      </c>
    </row>
    <row r="843" spans="1:14" ht="15" customHeight="1" x14ac:dyDescent="0.3">
      <c r="A843" s="3">
        <v>1209658439</v>
      </c>
      <c r="B843" s="3" t="s">
        <v>898</v>
      </c>
      <c r="C843" s="3" t="s">
        <v>899</v>
      </c>
      <c r="D843" s="4">
        <v>46307.420532407399</v>
      </c>
      <c r="E843" s="5" t="s">
        <v>10</v>
      </c>
      <c r="F843" s="5" t="s">
        <v>17</v>
      </c>
      <c r="G843" s="5">
        <v>68</v>
      </c>
      <c r="H843" s="6" t="s">
        <v>12</v>
      </c>
      <c r="I843" t="s">
        <v>964</v>
      </c>
      <c r="J843" t="s">
        <v>2480</v>
      </c>
      <c r="K843" t="str">
        <f>+VLOOKUP(C843,'[1]TIENDAS 2025'!$A$1:$C$143,3,0)</f>
        <v>prioridad</v>
      </c>
      <c r="L843" t="str">
        <f>+VLOOKUP(C843,[2]Hoja1!$A$1:$B$138,2,0)</f>
        <v>APROBAR</v>
      </c>
      <c r="M843">
        <v>1</v>
      </c>
      <c r="N843" t="e">
        <v>#N/A</v>
      </c>
    </row>
    <row r="844" spans="1:14" ht="15" customHeight="1" x14ac:dyDescent="0.3">
      <c r="A844" s="3">
        <v>1209658416</v>
      </c>
      <c r="B844" s="3" t="s">
        <v>887</v>
      </c>
      <c r="C844" s="3" t="s">
        <v>888</v>
      </c>
      <c r="D844" s="4">
        <v>46307.420543981498</v>
      </c>
      <c r="E844" s="5" t="s">
        <v>10</v>
      </c>
      <c r="F844" s="5" t="s">
        <v>11</v>
      </c>
      <c r="G844" s="5">
        <v>8</v>
      </c>
      <c r="H844" s="6" t="s">
        <v>12</v>
      </c>
      <c r="I844" t="s">
        <v>965</v>
      </c>
      <c r="J844" t="s">
        <v>2480</v>
      </c>
      <c r="K844" t="str">
        <f>+VLOOKUP(C844,'[1]TIENDAS 2025'!$A$1:$C$143,3,0)</f>
        <v>nocturna</v>
      </c>
      <c r="L844" t="str">
        <f>+VLOOKUP(C844,[2]Hoja1!$A$1:$B$138,2,0)</f>
        <v>APROBAR</v>
      </c>
      <c r="M844">
        <v>1</v>
      </c>
      <c r="N844" t="e">
        <v>#N/A</v>
      </c>
    </row>
    <row r="845" spans="1:14" ht="15" customHeight="1" x14ac:dyDescent="0.3">
      <c r="A845" s="3">
        <v>1209658420</v>
      </c>
      <c r="B845" s="3" t="s">
        <v>887</v>
      </c>
      <c r="C845" s="3" t="s">
        <v>888</v>
      </c>
      <c r="D845" s="4">
        <v>46307.4205671296</v>
      </c>
      <c r="E845" s="5" t="s">
        <v>10</v>
      </c>
      <c r="F845" s="5" t="s">
        <v>17</v>
      </c>
      <c r="G845" s="5">
        <v>30</v>
      </c>
      <c r="H845" s="6" t="s">
        <v>12</v>
      </c>
      <c r="I845" t="s">
        <v>966</v>
      </c>
      <c r="J845" t="s">
        <v>2480</v>
      </c>
      <c r="K845" t="str">
        <f>+VLOOKUP(C845,'[1]TIENDAS 2025'!$A$1:$C$143,3,0)</f>
        <v>nocturna</v>
      </c>
      <c r="L845" t="str">
        <f>+VLOOKUP(C845,[2]Hoja1!$A$1:$B$138,2,0)</f>
        <v>APROBAR</v>
      </c>
      <c r="M845">
        <v>1</v>
      </c>
      <c r="N845" t="e">
        <v>#N/A</v>
      </c>
    </row>
    <row r="846" spans="1:14" ht="15" customHeight="1" x14ac:dyDescent="0.3">
      <c r="A846" s="3">
        <v>1209658410</v>
      </c>
      <c r="B846" s="3" t="s">
        <v>887</v>
      </c>
      <c r="C846" s="3" t="s">
        <v>888</v>
      </c>
      <c r="D846" s="4">
        <v>46307.420578703699</v>
      </c>
      <c r="E846" s="5" t="s">
        <v>10</v>
      </c>
      <c r="F846" s="5" t="s">
        <v>11</v>
      </c>
      <c r="G846" s="5">
        <v>25</v>
      </c>
      <c r="H846" s="6" t="s">
        <v>12</v>
      </c>
      <c r="I846" t="s">
        <v>967</v>
      </c>
      <c r="J846" t="s">
        <v>2480</v>
      </c>
      <c r="K846" t="str">
        <f>+VLOOKUP(C846,'[1]TIENDAS 2025'!$A$1:$C$143,3,0)</f>
        <v>nocturna</v>
      </c>
      <c r="L846" t="str">
        <f>+VLOOKUP(C846,[2]Hoja1!$A$1:$B$138,2,0)</f>
        <v>APROBAR</v>
      </c>
      <c r="M846">
        <v>1</v>
      </c>
      <c r="N846" t="e">
        <v>#N/A</v>
      </c>
    </row>
    <row r="847" spans="1:14" ht="15" customHeight="1" x14ac:dyDescent="0.3">
      <c r="A847" s="3">
        <v>1209658421</v>
      </c>
      <c r="B847" s="3" t="s">
        <v>887</v>
      </c>
      <c r="C847" s="3" t="s">
        <v>888</v>
      </c>
      <c r="D847" s="4">
        <v>46307.420578703699</v>
      </c>
      <c r="E847" s="5" t="s">
        <v>10</v>
      </c>
      <c r="F847" s="5" t="s">
        <v>11</v>
      </c>
      <c r="G847" s="5">
        <v>50</v>
      </c>
      <c r="H847" s="6" t="s">
        <v>12</v>
      </c>
      <c r="I847" t="s">
        <v>968</v>
      </c>
      <c r="J847" t="s">
        <v>2480</v>
      </c>
      <c r="K847" t="str">
        <f>+VLOOKUP(C847,'[1]TIENDAS 2025'!$A$1:$C$143,3,0)</f>
        <v>nocturna</v>
      </c>
      <c r="L847" t="str">
        <f>+VLOOKUP(C847,[2]Hoja1!$A$1:$B$138,2,0)</f>
        <v>APROBAR</v>
      </c>
      <c r="M847">
        <v>1</v>
      </c>
      <c r="N847" t="e">
        <v>#N/A</v>
      </c>
    </row>
    <row r="848" spans="1:14" ht="15" customHeight="1" x14ac:dyDescent="0.3">
      <c r="A848" s="3">
        <v>1209658477</v>
      </c>
      <c r="B848" s="3" t="s">
        <v>881</v>
      </c>
      <c r="C848" s="3" t="s">
        <v>882</v>
      </c>
      <c r="D848" s="4">
        <v>46307.422824074099</v>
      </c>
      <c r="E848" s="5" t="s">
        <v>10</v>
      </c>
      <c r="F848" s="5" t="s">
        <v>11</v>
      </c>
      <c r="G848" s="5">
        <v>55</v>
      </c>
      <c r="H848" s="6" t="s">
        <v>12</v>
      </c>
      <c r="I848" t="s">
        <v>969</v>
      </c>
      <c r="J848" t="s">
        <v>2480</v>
      </c>
      <c r="K848" t="str">
        <f>+VLOOKUP(C848,'[1]TIENDAS 2025'!$A$1:$C$143,3,0)</f>
        <v>local</v>
      </c>
      <c r="L848" t="str">
        <f>+VLOOKUP(C848,[2]Hoja1!$A$1:$B$138,2,0)</f>
        <v>APROBAR</v>
      </c>
      <c r="M848">
        <v>1</v>
      </c>
      <c r="N848" t="e">
        <v>#N/A</v>
      </c>
    </row>
    <row r="849" spans="1:14" ht="15" customHeight="1" x14ac:dyDescent="0.3">
      <c r="A849" s="3">
        <v>8209658562</v>
      </c>
      <c r="B849" s="3" t="s">
        <v>971</v>
      </c>
      <c r="C849" s="3" t="s">
        <v>972</v>
      </c>
      <c r="D849" s="4">
        <v>46307.422835648104</v>
      </c>
      <c r="E849" s="5" t="s">
        <v>10</v>
      </c>
      <c r="F849" s="5" t="s">
        <v>16</v>
      </c>
      <c r="G849" s="5">
        <v>5</v>
      </c>
      <c r="H849" s="8" t="s">
        <v>12</v>
      </c>
      <c r="I849" t="s">
        <v>970</v>
      </c>
      <c r="K849" t="str">
        <f>+VLOOKUP(C849,'[1]TIENDAS 2025'!$A$1:$C$143,3,0)</f>
        <v>prioridad</v>
      </c>
      <c r="L849" t="str">
        <f>+VLOOKUP(C849,[2]Hoja1!$A$1:$B$138,2,0)</f>
        <v>APROBAR</v>
      </c>
      <c r="M849">
        <v>1</v>
      </c>
      <c r="N849" t="e">
        <v>#N/A</v>
      </c>
    </row>
    <row r="850" spans="1:14" ht="15" customHeight="1" x14ac:dyDescent="0.3">
      <c r="A850" s="3">
        <v>8209658564</v>
      </c>
      <c r="B850" s="3" t="s">
        <v>971</v>
      </c>
      <c r="C850" s="3" t="s">
        <v>972</v>
      </c>
      <c r="D850" s="4">
        <v>46307.422847222202</v>
      </c>
      <c r="E850" s="5" t="s">
        <v>10</v>
      </c>
      <c r="F850" s="5" t="s">
        <v>16</v>
      </c>
      <c r="G850" s="5">
        <v>1</v>
      </c>
      <c r="H850" s="8" t="s">
        <v>12</v>
      </c>
      <c r="I850" t="s">
        <v>973</v>
      </c>
      <c r="K850" t="str">
        <f>+VLOOKUP(C850,'[1]TIENDAS 2025'!$A$1:$C$143,3,0)</f>
        <v>prioridad</v>
      </c>
      <c r="L850" t="str">
        <f>+VLOOKUP(C850,[2]Hoja1!$A$1:$B$138,2,0)</f>
        <v>APROBAR</v>
      </c>
      <c r="M850">
        <v>1</v>
      </c>
      <c r="N850" t="e">
        <v>#N/A</v>
      </c>
    </row>
    <row r="851" spans="1:14" ht="15" customHeight="1" x14ac:dyDescent="0.3">
      <c r="A851" s="3">
        <v>8209658565</v>
      </c>
      <c r="B851" s="3" t="s">
        <v>971</v>
      </c>
      <c r="C851" s="3" t="s">
        <v>972</v>
      </c>
      <c r="D851" s="4">
        <v>46307.422858796301</v>
      </c>
      <c r="E851" s="5" t="s">
        <v>10</v>
      </c>
      <c r="F851" s="5" t="s">
        <v>16</v>
      </c>
      <c r="G851" s="5">
        <v>8</v>
      </c>
      <c r="H851" s="8" t="s">
        <v>12</v>
      </c>
      <c r="I851" t="s">
        <v>974</v>
      </c>
      <c r="K851" t="str">
        <f>+VLOOKUP(C851,'[1]TIENDAS 2025'!$A$1:$C$143,3,0)</f>
        <v>prioridad</v>
      </c>
      <c r="L851" t="str">
        <f>+VLOOKUP(C851,[2]Hoja1!$A$1:$B$138,2,0)</f>
        <v>APROBAR</v>
      </c>
      <c r="M851">
        <v>1</v>
      </c>
      <c r="N851" t="e">
        <v>#N/A</v>
      </c>
    </row>
    <row r="852" spans="1:14" ht="15" customHeight="1" x14ac:dyDescent="0.3">
      <c r="A852" s="3">
        <v>1209658611</v>
      </c>
      <c r="B852" s="3" t="s">
        <v>976</v>
      </c>
      <c r="C852" s="3" t="s">
        <v>977</v>
      </c>
      <c r="D852" s="4">
        <v>46307.422881944403</v>
      </c>
      <c r="E852" s="5" t="s">
        <v>10</v>
      </c>
      <c r="F852" s="5" t="s">
        <v>11</v>
      </c>
      <c r="G852" s="5">
        <v>8</v>
      </c>
      <c r="H852" s="6" t="s">
        <v>12</v>
      </c>
      <c r="I852" t="s">
        <v>975</v>
      </c>
      <c r="J852" t="s">
        <v>2480</v>
      </c>
      <c r="K852" t="str">
        <f>+VLOOKUP(C852,'[1]TIENDAS 2025'!$A$1:$C$143,3,0)</f>
        <v>departamental</v>
      </c>
      <c r="L852" t="str">
        <f>+VLOOKUP(C852,[2]Hoja1!$A$1:$B$138,2,0)</f>
        <v>APROBAR</v>
      </c>
      <c r="M852">
        <v>1</v>
      </c>
      <c r="N852" t="e">
        <v>#N/A</v>
      </c>
    </row>
    <row r="853" spans="1:14" ht="15" customHeight="1" x14ac:dyDescent="0.3">
      <c r="A853" s="3">
        <v>8209658457</v>
      </c>
      <c r="B853" s="3" t="s">
        <v>881</v>
      </c>
      <c r="C853" s="3" t="s">
        <v>882</v>
      </c>
      <c r="D853" s="4">
        <v>46307.422893518502</v>
      </c>
      <c r="E853" s="5" t="s">
        <v>10</v>
      </c>
      <c r="F853" s="5" t="s">
        <v>16</v>
      </c>
      <c r="G853" s="5">
        <v>2</v>
      </c>
      <c r="H853" s="8" t="s">
        <v>12</v>
      </c>
      <c r="I853" t="s">
        <v>978</v>
      </c>
      <c r="K853" t="str">
        <f>+VLOOKUP(C853,'[1]TIENDAS 2025'!$A$1:$C$143,3,0)</f>
        <v>local</v>
      </c>
      <c r="L853" t="str">
        <f>+VLOOKUP(C853,[2]Hoja1!$A$1:$B$138,2,0)</f>
        <v>APROBAR</v>
      </c>
      <c r="M853">
        <v>1</v>
      </c>
      <c r="N853" t="e">
        <v>#N/A</v>
      </c>
    </row>
    <row r="854" spans="1:14" ht="15" customHeight="1" x14ac:dyDescent="0.3">
      <c r="A854" s="3">
        <v>1209658572</v>
      </c>
      <c r="B854" s="3" t="s">
        <v>971</v>
      </c>
      <c r="C854" s="3" t="s">
        <v>972</v>
      </c>
      <c r="D854" s="4">
        <v>46307.422905092601</v>
      </c>
      <c r="E854" s="5" t="s">
        <v>10</v>
      </c>
      <c r="F854" s="5" t="s">
        <v>17</v>
      </c>
      <c r="G854" s="5">
        <v>25</v>
      </c>
      <c r="H854" s="6" t="s">
        <v>12</v>
      </c>
      <c r="I854" t="s">
        <v>979</v>
      </c>
      <c r="J854" t="s">
        <v>2480</v>
      </c>
      <c r="K854" t="str">
        <f>+VLOOKUP(C854,'[1]TIENDAS 2025'!$A$1:$C$143,3,0)</f>
        <v>prioridad</v>
      </c>
      <c r="L854" t="str">
        <f>+VLOOKUP(C854,[2]Hoja1!$A$1:$B$138,2,0)</f>
        <v>APROBAR</v>
      </c>
      <c r="M854">
        <v>1</v>
      </c>
      <c r="N854" t="e">
        <v>#N/A</v>
      </c>
    </row>
    <row r="855" spans="1:14" ht="15" customHeight="1" x14ac:dyDescent="0.3">
      <c r="A855" s="3">
        <v>1209658573</v>
      </c>
      <c r="B855" s="3" t="s">
        <v>971</v>
      </c>
      <c r="C855" s="3" t="s">
        <v>972</v>
      </c>
      <c r="D855" s="4">
        <v>46307.422916666699</v>
      </c>
      <c r="E855" s="5" t="s">
        <v>10</v>
      </c>
      <c r="F855" s="5" t="s">
        <v>11</v>
      </c>
      <c r="G855" s="5">
        <v>34</v>
      </c>
      <c r="H855" s="6" t="s">
        <v>12</v>
      </c>
      <c r="I855" t="s">
        <v>980</v>
      </c>
      <c r="J855" t="s">
        <v>2480</v>
      </c>
      <c r="K855" t="str">
        <f>+VLOOKUP(C855,'[1]TIENDAS 2025'!$A$1:$C$143,3,0)</f>
        <v>prioridad</v>
      </c>
      <c r="L855" t="str">
        <f>+VLOOKUP(C855,[2]Hoja1!$A$1:$B$138,2,0)</f>
        <v>APROBAR</v>
      </c>
      <c r="M855">
        <v>1</v>
      </c>
      <c r="N855" t="e">
        <v>#N/A</v>
      </c>
    </row>
    <row r="856" spans="1:14" ht="15" customHeight="1" x14ac:dyDescent="0.3">
      <c r="A856" s="3">
        <v>1209658469</v>
      </c>
      <c r="B856" s="3" t="s">
        <v>881</v>
      </c>
      <c r="C856" s="3" t="s">
        <v>882</v>
      </c>
      <c r="D856" s="4">
        <v>46307.422928240703</v>
      </c>
      <c r="E856" s="5" t="s">
        <v>10</v>
      </c>
      <c r="F856" s="5" t="s">
        <v>17</v>
      </c>
      <c r="G856" s="5">
        <v>14</v>
      </c>
      <c r="H856" s="6" t="s">
        <v>12</v>
      </c>
      <c r="I856" t="s">
        <v>981</v>
      </c>
      <c r="J856" t="s">
        <v>2480</v>
      </c>
      <c r="K856" t="str">
        <f>+VLOOKUP(C856,'[1]TIENDAS 2025'!$A$1:$C$143,3,0)</f>
        <v>local</v>
      </c>
      <c r="L856" t="str">
        <f>+VLOOKUP(C856,[2]Hoja1!$A$1:$B$138,2,0)</f>
        <v>APROBAR</v>
      </c>
      <c r="M856">
        <v>1</v>
      </c>
      <c r="N856" t="e">
        <v>#N/A</v>
      </c>
    </row>
    <row r="857" spans="1:14" ht="15" customHeight="1" x14ac:dyDescent="0.3">
      <c r="A857" s="3">
        <v>1209658504</v>
      </c>
      <c r="B857" s="3" t="s">
        <v>983</v>
      </c>
      <c r="C857" s="3" t="s">
        <v>984</v>
      </c>
      <c r="D857" s="4">
        <v>46307.4229513889</v>
      </c>
      <c r="E857" s="5" t="s">
        <v>10</v>
      </c>
      <c r="F857" s="5" t="s">
        <v>17</v>
      </c>
      <c r="G857" s="5">
        <v>58</v>
      </c>
      <c r="H857" s="6" t="s">
        <v>12</v>
      </c>
      <c r="I857" t="s">
        <v>982</v>
      </c>
      <c r="J857" t="s">
        <v>2480</v>
      </c>
      <c r="K857" t="str">
        <f>+VLOOKUP(C857,'[1]TIENDAS 2025'!$A$1:$C$143,3,0)</f>
        <v>nocturna</v>
      </c>
      <c r="L857" t="str">
        <f>+VLOOKUP(C857,[2]Hoja1!$A$1:$B$138,2,0)</f>
        <v>APROBAR</v>
      </c>
      <c r="M857">
        <v>1</v>
      </c>
      <c r="N857" t="e">
        <v>#N/A</v>
      </c>
    </row>
    <row r="858" spans="1:14" ht="15" customHeight="1" x14ac:dyDescent="0.3">
      <c r="A858" s="3">
        <v>1209658472</v>
      </c>
      <c r="B858" s="3" t="s">
        <v>881</v>
      </c>
      <c r="C858" s="3" t="s">
        <v>882</v>
      </c>
      <c r="D858" s="4">
        <v>46307.422962962999</v>
      </c>
      <c r="E858" s="5" t="s">
        <v>10</v>
      </c>
      <c r="F858" s="5" t="s">
        <v>11</v>
      </c>
      <c r="G858" s="5">
        <v>3</v>
      </c>
      <c r="H858" s="6" t="s">
        <v>12</v>
      </c>
      <c r="I858" t="s">
        <v>985</v>
      </c>
      <c r="J858" t="s">
        <v>2480</v>
      </c>
      <c r="K858" t="str">
        <f>+VLOOKUP(C858,'[1]TIENDAS 2025'!$A$1:$C$143,3,0)</f>
        <v>local</v>
      </c>
      <c r="L858" t="str">
        <f>+VLOOKUP(C858,[2]Hoja1!$A$1:$B$138,2,0)</f>
        <v>APROBAR</v>
      </c>
      <c r="M858">
        <v>1</v>
      </c>
      <c r="N858" t="e">
        <v>#N/A</v>
      </c>
    </row>
    <row r="859" spans="1:14" ht="15" customHeight="1" x14ac:dyDescent="0.3">
      <c r="A859" s="3">
        <v>8209658524</v>
      </c>
      <c r="B859" s="3" t="s">
        <v>987</v>
      </c>
      <c r="C859" s="3" t="s">
        <v>988</v>
      </c>
      <c r="D859" s="4">
        <v>46307.422974537003</v>
      </c>
      <c r="E859" s="5" t="s">
        <v>10</v>
      </c>
      <c r="F859" s="5" t="s">
        <v>16</v>
      </c>
      <c r="G859" s="5">
        <v>6</v>
      </c>
      <c r="H859" s="8" t="s">
        <v>12</v>
      </c>
      <c r="I859" t="s">
        <v>986</v>
      </c>
      <c r="K859" t="str">
        <f>+VLOOKUP(C859,'[1]TIENDAS 2025'!$A$1:$C$143,3,0)</f>
        <v>departamental</v>
      </c>
      <c r="L859" t="str">
        <f>+VLOOKUP(C859,[2]Hoja1!$A$1:$B$138,2,0)</f>
        <v>APROBAR</v>
      </c>
      <c r="M859">
        <v>1</v>
      </c>
      <c r="N859" t="e">
        <v>#N/A</v>
      </c>
    </row>
    <row r="860" spans="1:14" ht="15" customHeight="1" x14ac:dyDescent="0.3">
      <c r="A860" s="3">
        <v>1209658620</v>
      </c>
      <c r="B860" s="3" t="s">
        <v>976</v>
      </c>
      <c r="C860" s="3" t="s">
        <v>977</v>
      </c>
      <c r="D860" s="4">
        <v>46307.422986111102</v>
      </c>
      <c r="E860" s="5" t="s">
        <v>10</v>
      </c>
      <c r="F860" s="5" t="s">
        <v>11</v>
      </c>
      <c r="G860" s="5">
        <v>3</v>
      </c>
      <c r="H860" s="6" t="s">
        <v>12</v>
      </c>
      <c r="I860" t="s">
        <v>989</v>
      </c>
      <c r="J860" t="s">
        <v>2480</v>
      </c>
      <c r="K860" t="str">
        <f>+VLOOKUP(C860,'[1]TIENDAS 2025'!$A$1:$C$143,3,0)</f>
        <v>departamental</v>
      </c>
      <c r="L860" t="str">
        <f>+VLOOKUP(C860,[2]Hoja1!$A$1:$B$138,2,0)</f>
        <v>APROBAR</v>
      </c>
      <c r="M860">
        <v>1</v>
      </c>
      <c r="N860" t="e">
        <v>#N/A</v>
      </c>
    </row>
    <row r="861" spans="1:14" ht="15" customHeight="1" x14ac:dyDescent="0.3">
      <c r="A861" s="3">
        <v>8209658491</v>
      </c>
      <c r="B861" s="3" t="s">
        <v>983</v>
      </c>
      <c r="C861" s="3" t="s">
        <v>984</v>
      </c>
      <c r="D861" s="4">
        <v>46307.423009259299</v>
      </c>
      <c r="E861" s="5" t="s">
        <v>10</v>
      </c>
      <c r="F861" s="5" t="s">
        <v>16</v>
      </c>
      <c r="G861" s="5">
        <v>6</v>
      </c>
      <c r="H861" s="8" t="s">
        <v>12</v>
      </c>
      <c r="I861" t="s">
        <v>990</v>
      </c>
      <c r="K861" t="str">
        <f>+VLOOKUP(C861,'[1]TIENDAS 2025'!$A$1:$C$143,3,0)</f>
        <v>nocturna</v>
      </c>
      <c r="L861" t="str">
        <f>+VLOOKUP(C861,[2]Hoja1!$A$1:$B$138,2,0)</f>
        <v>APROBAR</v>
      </c>
      <c r="M861">
        <v>1</v>
      </c>
      <c r="N861" t="e">
        <v>#N/A</v>
      </c>
    </row>
    <row r="862" spans="1:14" ht="15" customHeight="1" x14ac:dyDescent="0.3">
      <c r="A862" s="3">
        <v>1209658493</v>
      </c>
      <c r="B862" s="3" t="s">
        <v>983</v>
      </c>
      <c r="C862" s="3" t="s">
        <v>984</v>
      </c>
      <c r="D862" s="4">
        <v>46307.423020833303</v>
      </c>
      <c r="E862" s="5" t="s">
        <v>10</v>
      </c>
      <c r="F862" s="5" t="s">
        <v>17</v>
      </c>
      <c r="G862" s="5">
        <v>15</v>
      </c>
      <c r="H862" s="6" t="s">
        <v>12</v>
      </c>
      <c r="I862" t="s">
        <v>991</v>
      </c>
      <c r="J862" t="s">
        <v>2480</v>
      </c>
      <c r="K862" t="str">
        <f>+VLOOKUP(C862,'[1]TIENDAS 2025'!$A$1:$C$143,3,0)</f>
        <v>nocturna</v>
      </c>
      <c r="L862" t="str">
        <f>+VLOOKUP(C862,[2]Hoja1!$A$1:$B$138,2,0)</f>
        <v>APROBAR</v>
      </c>
      <c r="M862">
        <v>1</v>
      </c>
      <c r="N862" t="e">
        <v>#N/A</v>
      </c>
    </row>
    <row r="863" spans="1:14" ht="15" customHeight="1" x14ac:dyDescent="0.3">
      <c r="A863" s="3">
        <v>1209658530</v>
      </c>
      <c r="B863" s="3" t="s">
        <v>987</v>
      </c>
      <c r="C863" s="3" t="s">
        <v>988</v>
      </c>
      <c r="D863" s="4">
        <v>46307.423032407401</v>
      </c>
      <c r="E863" s="5" t="s">
        <v>10</v>
      </c>
      <c r="F863" s="5" t="s">
        <v>17</v>
      </c>
      <c r="G863" s="5">
        <v>7</v>
      </c>
      <c r="H863" s="6" t="s">
        <v>12</v>
      </c>
      <c r="I863" t="s">
        <v>992</v>
      </c>
      <c r="J863" t="s">
        <v>2480</v>
      </c>
      <c r="K863" t="str">
        <f>+VLOOKUP(C863,'[1]TIENDAS 2025'!$A$1:$C$143,3,0)</f>
        <v>departamental</v>
      </c>
      <c r="L863" t="str">
        <f>+VLOOKUP(C863,[2]Hoja1!$A$1:$B$138,2,0)</f>
        <v>APROBAR</v>
      </c>
      <c r="M863">
        <v>1</v>
      </c>
      <c r="N863" t="e">
        <v>#N/A</v>
      </c>
    </row>
    <row r="864" spans="1:14" ht="15" customHeight="1" x14ac:dyDescent="0.3">
      <c r="A864" s="3">
        <v>1209658577</v>
      </c>
      <c r="B864" s="3" t="s">
        <v>971</v>
      </c>
      <c r="C864" s="3" t="s">
        <v>972</v>
      </c>
      <c r="D864" s="4">
        <v>46307.4230439815</v>
      </c>
      <c r="E864" s="5" t="s">
        <v>10</v>
      </c>
      <c r="F864" s="5" t="s">
        <v>11</v>
      </c>
      <c r="G864" s="5">
        <v>49</v>
      </c>
      <c r="H864" s="6" t="s">
        <v>12</v>
      </c>
      <c r="I864" t="s">
        <v>993</v>
      </c>
      <c r="J864" t="s">
        <v>2480</v>
      </c>
      <c r="K864" t="str">
        <f>+VLOOKUP(C864,'[1]TIENDAS 2025'!$A$1:$C$143,3,0)</f>
        <v>prioridad</v>
      </c>
      <c r="L864" t="str">
        <f>+VLOOKUP(C864,[2]Hoja1!$A$1:$B$138,2,0)</f>
        <v>APROBAR</v>
      </c>
      <c r="M864">
        <v>1</v>
      </c>
      <c r="N864" t="e">
        <v>#N/A</v>
      </c>
    </row>
    <row r="865" spans="1:14" ht="15" customHeight="1" x14ac:dyDescent="0.3">
      <c r="A865" s="3">
        <v>1209658578</v>
      </c>
      <c r="B865" s="3" t="s">
        <v>971</v>
      </c>
      <c r="C865" s="3" t="s">
        <v>972</v>
      </c>
      <c r="D865" s="4">
        <v>46307.423055555599</v>
      </c>
      <c r="E865" s="5" t="s">
        <v>10</v>
      </c>
      <c r="F865" s="5" t="s">
        <v>11</v>
      </c>
      <c r="G865" s="5">
        <v>1</v>
      </c>
      <c r="H865" s="6" t="s">
        <v>12</v>
      </c>
      <c r="I865" t="s">
        <v>994</v>
      </c>
      <c r="J865" t="s">
        <v>2480</v>
      </c>
      <c r="K865" t="str">
        <f>+VLOOKUP(C865,'[1]TIENDAS 2025'!$A$1:$C$143,3,0)</f>
        <v>prioridad</v>
      </c>
      <c r="L865" t="str">
        <f>+VLOOKUP(C865,[2]Hoja1!$A$1:$B$138,2,0)</f>
        <v>APROBAR</v>
      </c>
      <c r="M865">
        <v>1</v>
      </c>
      <c r="N865" t="e">
        <v>#N/A</v>
      </c>
    </row>
    <row r="866" spans="1:14" ht="15" customHeight="1" x14ac:dyDescent="0.3">
      <c r="A866" s="3">
        <v>1209658496</v>
      </c>
      <c r="B866" s="3" t="s">
        <v>983</v>
      </c>
      <c r="C866" s="3" t="s">
        <v>984</v>
      </c>
      <c r="D866" s="4">
        <v>46307.423067129603</v>
      </c>
      <c r="E866" s="5" t="s">
        <v>10</v>
      </c>
      <c r="F866" s="5" t="s">
        <v>17</v>
      </c>
      <c r="G866" s="5">
        <v>30</v>
      </c>
      <c r="H866" s="6" t="s">
        <v>12</v>
      </c>
      <c r="I866" t="s">
        <v>995</v>
      </c>
      <c r="J866" t="s">
        <v>2480</v>
      </c>
      <c r="K866" t="str">
        <f>+VLOOKUP(C866,'[1]TIENDAS 2025'!$A$1:$C$143,3,0)</f>
        <v>nocturna</v>
      </c>
      <c r="L866" t="str">
        <f>+VLOOKUP(C866,[2]Hoja1!$A$1:$B$138,2,0)</f>
        <v>APROBAR</v>
      </c>
      <c r="M866">
        <v>1</v>
      </c>
      <c r="N866" t="e">
        <v>#N/A</v>
      </c>
    </row>
    <row r="867" spans="1:14" ht="15" customHeight="1" x14ac:dyDescent="0.3">
      <c r="A867" s="3">
        <v>8209658566</v>
      </c>
      <c r="B867" s="3" t="s">
        <v>971</v>
      </c>
      <c r="C867" s="3" t="s">
        <v>972</v>
      </c>
      <c r="D867" s="4">
        <v>46307.4230902778</v>
      </c>
      <c r="E867" s="5" t="s">
        <v>10</v>
      </c>
      <c r="F867" s="5" t="s">
        <v>16</v>
      </c>
      <c r="G867" s="5">
        <v>27</v>
      </c>
      <c r="H867" s="8" t="s">
        <v>12</v>
      </c>
      <c r="I867" t="s">
        <v>996</v>
      </c>
      <c r="K867" t="str">
        <f>+VLOOKUP(C867,'[1]TIENDAS 2025'!$A$1:$C$143,3,0)</f>
        <v>prioridad</v>
      </c>
      <c r="L867" t="str">
        <f>+VLOOKUP(C867,[2]Hoja1!$A$1:$B$138,2,0)</f>
        <v>APROBAR</v>
      </c>
      <c r="M867">
        <v>1</v>
      </c>
      <c r="N867" t="e">
        <v>#N/A</v>
      </c>
    </row>
    <row r="868" spans="1:14" ht="15" customHeight="1" x14ac:dyDescent="0.3">
      <c r="A868" s="3">
        <v>8209658607</v>
      </c>
      <c r="B868" s="3" t="s">
        <v>976</v>
      </c>
      <c r="C868" s="3" t="s">
        <v>977</v>
      </c>
      <c r="D868" s="4">
        <v>46307.423101851899</v>
      </c>
      <c r="E868" s="5" t="s">
        <v>10</v>
      </c>
      <c r="F868" s="5" t="s">
        <v>16</v>
      </c>
      <c r="G868" s="5">
        <v>2</v>
      </c>
      <c r="H868" s="8" t="s">
        <v>12</v>
      </c>
      <c r="I868" t="s">
        <v>997</v>
      </c>
      <c r="K868" t="str">
        <f>+VLOOKUP(C868,'[1]TIENDAS 2025'!$A$1:$C$143,3,0)</f>
        <v>departamental</v>
      </c>
      <c r="L868" t="str">
        <f>+VLOOKUP(C868,[2]Hoja1!$A$1:$B$138,2,0)</f>
        <v>APROBAR</v>
      </c>
      <c r="M868">
        <v>1</v>
      </c>
      <c r="N868" t="e">
        <v>#N/A</v>
      </c>
    </row>
    <row r="869" spans="1:14" ht="15" customHeight="1" x14ac:dyDescent="0.3">
      <c r="A869" s="3">
        <v>1209658500</v>
      </c>
      <c r="B869" s="3" t="s">
        <v>983</v>
      </c>
      <c r="C869" s="3" t="s">
        <v>984</v>
      </c>
      <c r="D869" s="4">
        <v>46307.423113425903</v>
      </c>
      <c r="E869" s="5" t="s">
        <v>10</v>
      </c>
      <c r="F869" s="5" t="s">
        <v>17</v>
      </c>
      <c r="G869" s="5">
        <v>22</v>
      </c>
      <c r="H869" s="6" t="s">
        <v>12</v>
      </c>
      <c r="I869" t="s">
        <v>998</v>
      </c>
      <c r="J869" t="s">
        <v>2480</v>
      </c>
      <c r="K869" t="str">
        <f>+VLOOKUP(C869,'[1]TIENDAS 2025'!$A$1:$C$143,3,0)</f>
        <v>nocturna</v>
      </c>
      <c r="L869" t="str">
        <f>+VLOOKUP(C869,[2]Hoja1!$A$1:$B$138,2,0)</f>
        <v>APROBAR</v>
      </c>
      <c r="M869">
        <v>1</v>
      </c>
      <c r="N869" t="e">
        <v>#N/A</v>
      </c>
    </row>
    <row r="870" spans="1:14" ht="15" customHeight="1" x14ac:dyDescent="0.3">
      <c r="A870" s="3">
        <v>1209658466</v>
      </c>
      <c r="B870" s="3" t="s">
        <v>881</v>
      </c>
      <c r="C870" s="3" t="s">
        <v>882</v>
      </c>
      <c r="D870" s="4">
        <v>46307.423125000001</v>
      </c>
      <c r="E870" s="5" t="s">
        <v>10</v>
      </c>
      <c r="F870" s="5" t="s">
        <v>11</v>
      </c>
      <c r="G870" s="5">
        <v>10</v>
      </c>
      <c r="H870" s="6" t="s">
        <v>12</v>
      </c>
      <c r="I870" t="s">
        <v>999</v>
      </c>
      <c r="J870" t="s">
        <v>2480</v>
      </c>
      <c r="K870" t="str">
        <f>+VLOOKUP(C870,'[1]TIENDAS 2025'!$A$1:$C$143,3,0)</f>
        <v>local</v>
      </c>
      <c r="L870" t="str">
        <f>+VLOOKUP(C870,[2]Hoja1!$A$1:$B$138,2,0)</f>
        <v>APROBAR</v>
      </c>
      <c r="M870">
        <v>1</v>
      </c>
      <c r="N870" t="e">
        <v>#N/A</v>
      </c>
    </row>
    <row r="871" spans="1:14" ht="15" customHeight="1" x14ac:dyDescent="0.3">
      <c r="A871" s="3">
        <v>8209658521</v>
      </c>
      <c r="B871" s="3" t="s">
        <v>987</v>
      </c>
      <c r="C871" s="3" t="s">
        <v>988</v>
      </c>
      <c r="D871" s="4">
        <v>46307.4231365741</v>
      </c>
      <c r="E871" s="5" t="s">
        <v>10</v>
      </c>
      <c r="F871" s="5" t="s">
        <v>16</v>
      </c>
      <c r="G871" s="5">
        <v>1</v>
      </c>
      <c r="H871" s="8" t="s">
        <v>12</v>
      </c>
      <c r="I871" t="s">
        <v>1000</v>
      </c>
      <c r="K871" t="str">
        <f>+VLOOKUP(C871,'[1]TIENDAS 2025'!$A$1:$C$143,3,0)</f>
        <v>departamental</v>
      </c>
      <c r="L871" t="str">
        <f>+VLOOKUP(C871,[2]Hoja1!$A$1:$B$138,2,0)</f>
        <v>APROBAR</v>
      </c>
      <c r="M871">
        <v>1</v>
      </c>
      <c r="N871" t="e">
        <v>#N/A</v>
      </c>
    </row>
    <row r="872" spans="1:14" ht="15" customHeight="1" x14ac:dyDescent="0.3">
      <c r="A872" s="3">
        <v>8209658523</v>
      </c>
      <c r="B872" s="3" t="s">
        <v>987</v>
      </c>
      <c r="C872" s="3" t="s">
        <v>988</v>
      </c>
      <c r="D872" s="4">
        <v>46307.423159722202</v>
      </c>
      <c r="E872" s="5" t="s">
        <v>10</v>
      </c>
      <c r="F872" s="5" t="s">
        <v>16</v>
      </c>
      <c r="G872" s="5">
        <v>6</v>
      </c>
      <c r="H872" s="8" t="s">
        <v>12</v>
      </c>
      <c r="I872" t="s">
        <v>1001</v>
      </c>
      <c r="K872" t="str">
        <f>+VLOOKUP(C872,'[1]TIENDAS 2025'!$A$1:$C$143,3,0)</f>
        <v>departamental</v>
      </c>
      <c r="L872" t="str">
        <f>+VLOOKUP(C872,[2]Hoja1!$A$1:$B$138,2,0)</f>
        <v>APROBAR</v>
      </c>
      <c r="M872">
        <v>1</v>
      </c>
      <c r="N872" t="e">
        <v>#N/A</v>
      </c>
    </row>
    <row r="873" spans="1:14" ht="15" customHeight="1" x14ac:dyDescent="0.3">
      <c r="A873" s="3">
        <v>8209658488</v>
      </c>
      <c r="B873" s="3" t="s">
        <v>983</v>
      </c>
      <c r="C873" s="3" t="s">
        <v>984</v>
      </c>
      <c r="D873" s="4">
        <v>46307.423171296301</v>
      </c>
      <c r="E873" s="5" t="s">
        <v>10</v>
      </c>
      <c r="F873" s="5" t="s">
        <v>16</v>
      </c>
      <c r="G873" s="5">
        <v>7</v>
      </c>
      <c r="H873" s="8" t="s">
        <v>12</v>
      </c>
      <c r="I873" t="s">
        <v>1002</v>
      </c>
      <c r="K873" t="str">
        <f>+VLOOKUP(C873,'[1]TIENDAS 2025'!$A$1:$C$143,3,0)</f>
        <v>nocturna</v>
      </c>
      <c r="L873" t="str">
        <f>+VLOOKUP(C873,[2]Hoja1!$A$1:$B$138,2,0)</f>
        <v>APROBAR</v>
      </c>
      <c r="M873">
        <v>1</v>
      </c>
      <c r="N873" t="e">
        <v>#N/A</v>
      </c>
    </row>
    <row r="874" spans="1:14" ht="15" customHeight="1" x14ac:dyDescent="0.3">
      <c r="A874" s="3">
        <v>1209658531</v>
      </c>
      <c r="B874" s="3" t="s">
        <v>987</v>
      </c>
      <c r="C874" s="3" t="s">
        <v>988</v>
      </c>
      <c r="D874" s="4">
        <v>46307.4231828704</v>
      </c>
      <c r="E874" s="5" t="s">
        <v>10</v>
      </c>
      <c r="F874" s="5" t="s">
        <v>11</v>
      </c>
      <c r="G874" s="5">
        <v>8</v>
      </c>
      <c r="H874" s="6" t="s">
        <v>12</v>
      </c>
      <c r="I874" t="s">
        <v>1003</v>
      </c>
      <c r="J874" t="s">
        <v>2480</v>
      </c>
      <c r="K874" t="str">
        <f>+VLOOKUP(C874,'[1]TIENDAS 2025'!$A$1:$C$143,3,0)</f>
        <v>departamental</v>
      </c>
      <c r="L874" t="str">
        <f>+VLOOKUP(C874,[2]Hoja1!$A$1:$B$138,2,0)</f>
        <v>APROBAR</v>
      </c>
      <c r="M874">
        <v>1</v>
      </c>
      <c r="N874" t="e">
        <v>#N/A</v>
      </c>
    </row>
    <row r="875" spans="1:14" ht="15" customHeight="1" x14ac:dyDescent="0.3">
      <c r="A875" s="3">
        <v>1209658494</v>
      </c>
      <c r="B875" s="3" t="s">
        <v>983</v>
      </c>
      <c r="C875" s="3" t="s">
        <v>984</v>
      </c>
      <c r="D875" s="4">
        <v>46307.423194444404</v>
      </c>
      <c r="E875" s="5" t="s">
        <v>10</v>
      </c>
      <c r="F875" s="5" t="s">
        <v>17</v>
      </c>
      <c r="G875" s="5">
        <v>27</v>
      </c>
      <c r="H875" s="6" t="s">
        <v>12</v>
      </c>
      <c r="I875" t="s">
        <v>1004</v>
      </c>
      <c r="J875" t="s">
        <v>2480</v>
      </c>
      <c r="K875" t="str">
        <f>+VLOOKUP(C875,'[1]TIENDAS 2025'!$A$1:$C$143,3,0)</f>
        <v>nocturna</v>
      </c>
      <c r="L875" t="str">
        <f>+VLOOKUP(C875,[2]Hoja1!$A$1:$B$138,2,0)</f>
        <v>APROBAR</v>
      </c>
      <c r="M875">
        <v>1</v>
      </c>
      <c r="N875" t="e">
        <v>#N/A</v>
      </c>
    </row>
    <row r="876" spans="1:14" ht="15" customHeight="1" x14ac:dyDescent="0.3">
      <c r="A876" s="3">
        <v>8209658606</v>
      </c>
      <c r="B876" s="3" t="s">
        <v>976</v>
      </c>
      <c r="C876" s="3" t="s">
        <v>977</v>
      </c>
      <c r="D876" s="4">
        <v>46307.423206018502</v>
      </c>
      <c r="E876" s="5" t="s">
        <v>10</v>
      </c>
      <c r="F876" s="5" t="s">
        <v>16</v>
      </c>
      <c r="G876" s="5">
        <v>2</v>
      </c>
      <c r="H876" s="8" t="s">
        <v>12</v>
      </c>
      <c r="I876" t="s">
        <v>1005</v>
      </c>
      <c r="K876" t="str">
        <f>+VLOOKUP(C876,'[1]TIENDAS 2025'!$A$1:$C$143,3,0)</f>
        <v>departamental</v>
      </c>
      <c r="L876" t="str">
        <f>+VLOOKUP(C876,[2]Hoja1!$A$1:$B$138,2,0)</f>
        <v>APROBAR</v>
      </c>
      <c r="M876">
        <v>1</v>
      </c>
      <c r="N876" t="e">
        <v>#N/A</v>
      </c>
    </row>
    <row r="877" spans="1:14" ht="15" customHeight="1" x14ac:dyDescent="0.3">
      <c r="A877" s="3">
        <v>8209658609</v>
      </c>
      <c r="B877" s="3" t="s">
        <v>976</v>
      </c>
      <c r="C877" s="3" t="s">
        <v>977</v>
      </c>
      <c r="D877" s="4">
        <v>46307.423229166699</v>
      </c>
      <c r="E877" s="5" t="s">
        <v>10</v>
      </c>
      <c r="F877" s="5" t="s">
        <v>16</v>
      </c>
      <c r="G877" s="5">
        <v>43</v>
      </c>
      <c r="H877" s="8" t="s">
        <v>12</v>
      </c>
      <c r="I877" t="s">
        <v>1006</v>
      </c>
      <c r="K877" t="str">
        <f>+VLOOKUP(C877,'[1]TIENDAS 2025'!$A$1:$C$143,3,0)</f>
        <v>departamental</v>
      </c>
      <c r="L877" t="str">
        <f>+VLOOKUP(C877,[2]Hoja1!$A$1:$B$138,2,0)</f>
        <v>APROBAR</v>
      </c>
      <c r="M877">
        <v>1</v>
      </c>
      <c r="N877" t="e">
        <v>#N/A</v>
      </c>
    </row>
    <row r="878" spans="1:14" ht="15" customHeight="1" x14ac:dyDescent="0.3">
      <c r="A878" s="3">
        <v>8209658456</v>
      </c>
      <c r="B878" s="3" t="s">
        <v>881</v>
      </c>
      <c r="C878" s="3" t="s">
        <v>882</v>
      </c>
      <c r="D878" s="4">
        <v>46307.423229166699</v>
      </c>
      <c r="E878" s="5" t="s">
        <v>10</v>
      </c>
      <c r="F878" s="5" t="s">
        <v>16</v>
      </c>
      <c r="G878" s="5">
        <v>2</v>
      </c>
      <c r="H878" s="8" t="s">
        <v>12</v>
      </c>
      <c r="I878" t="s">
        <v>1007</v>
      </c>
      <c r="K878" t="str">
        <f>+VLOOKUP(C878,'[1]TIENDAS 2025'!$A$1:$C$143,3,0)</f>
        <v>local</v>
      </c>
      <c r="L878" t="str">
        <f>+VLOOKUP(C878,[2]Hoja1!$A$1:$B$138,2,0)</f>
        <v>APROBAR</v>
      </c>
      <c r="M878">
        <v>1</v>
      </c>
      <c r="N878" t="e">
        <v>#N/A</v>
      </c>
    </row>
    <row r="879" spans="1:14" ht="15" customHeight="1" x14ac:dyDescent="0.3">
      <c r="A879" s="3">
        <v>1209658464</v>
      </c>
      <c r="B879" s="3" t="s">
        <v>881</v>
      </c>
      <c r="C879" s="3" t="s">
        <v>882</v>
      </c>
      <c r="D879" s="4">
        <v>46307.423240740703</v>
      </c>
      <c r="E879" s="5" t="s">
        <v>10</v>
      </c>
      <c r="F879" s="5" t="s">
        <v>17</v>
      </c>
      <c r="G879" s="5">
        <v>10</v>
      </c>
      <c r="H879" s="6" t="s">
        <v>12</v>
      </c>
      <c r="I879" t="s">
        <v>1008</v>
      </c>
      <c r="J879" t="s">
        <v>2480</v>
      </c>
      <c r="K879" t="str">
        <f>+VLOOKUP(C879,'[1]TIENDAS 2025'!$A$1:$C$143,3,0)</f>
        <v>local</v>
      </c>
      <c r="L879" t="str">
        <f>+VLOOKUP(C879,[2]Hoja1!$A$1:$B$138,2,0)</f>
        <v>APROBAR</v>
      </c>
      <c r="M879">
        <v>1</v>
      </c>
      <c r="N879" t="e">
        <v>#N/A</v>
      </c>
    </row>
    <row r="880" spans="1:14" ht="15" customHeight="1" x14ac:dyDescent="0.3">
      <c r="A880" s="3">
        <v>1209658613</v>
      </c>
      <c r="B880" s="3" t="s">
        <v>976</v>
      </c>
      <c r="C880" s="3" t="s">
        <v>977</v>
      </c>
      <c r="D880" s="4">
        <v>46307.423263888901</v>
      </c>
      <c r="E880" s="5" t="s">
        <v>10</v>
      </c>
      <c r="F880" s="5" t="s">
        <v>11</v>
      </c>
      <c r="G880" s="5">
        <v>11</v>
      </c>
      <c r="H880" s="6" t="s">
        <v>12</v>
      </c>
      <c r="I880" t="s">
        <v>1009</v>
      </c>
      <c r="J880" t="s">
        <v>2480</v>
      </c>
      <c r="K880" t="str">
        <f>+VLOOKUP(C880,'[1]TIENDAS 2025'!$A$1:$C$143,3,0)</f>
        <v>departamental</v>
      </c>
      <c r="L880" t="str">
        <f>+VLOOKUP(C880,[2]Hoja1!$A$1:$B$138,2,0)</f>
        <v>APROBAR</v>
      </c>
      <c r="M880">
        <v>1</v>
      </c>
      <c r="N880" t="e">
        <v>#N/A</v>
      </c>
    </row>
    <row r="881" spans="1:14" ht="15" customHeight="1" x14ac:dyDescent="0.3">
      <c r="A881" s="3">
        <v>1209658615</v>
      </c>
      <c r="B881" s="3" t="s">
        <v>976</v>
      </c>
      <c r="C881" s="3" t="s">
        <v>977</v>
      </c>
      <c r="D881" s="4">
        <v>46307.423275462999</v>
      </c>
      <c r="E881" s="5" t="s">
        <v>10</v>
      </c>
      <c r="F881" s="5" t="s">
        <v>17</v>
      </c>
      <c r="G881" s="5">
        <v>13</v>
      </c>
      <c r="H881" s="6" t="s">
        <v>12</v>
      </c>
      <c r="I881" t="s">
        <v>1010</v>
      </c>
      <c r="J881" t="s">
        <v>2480</v>
      </c>
      <c r="K881" t="str">
        <f>+VLOOKUP(C881,'[1]TIENDAS 2025'!$A$1:$C$143,3,0)</f>
        <v>departamental</v>
      </c>
      <c r="L881" t="str">
        <f>+VLOOKUP(C881,[2]Hoja1!$A$1:$B$138,2,0)</f>
        <v>APROBAR</v>
      </c>
      <c r="M881">
        <v>1</v>
      </c>
      <c r="N881" t="e">
        <v>#N/A</v>
      </c>
    </row>
    <row r="882" spans="1:14" ht="15" customHeight="1" x14ac:dyDescent="0.3">
      <c r="A882" s="3">
        <v>1209658468</v>
      </c>
      <c r="B882" s="3" t="s">
        <v>881</v>
      </c>
      <c r="C882" s="3" t="s">
        <v>882</v>
      </c>
      <c r="D882" s="4">
        <v>46307.423298611102</v>
      </c>
      <c r="E882" s="5" t="s">
        <v>10</v>
      </c>
      <c r="F882" s="5" t="s">
        <v>11</v>
      </c>
      <c r="G882" s="5">
        <v>19</v>
      </c>
      <c r="H882" s="6" t="s">
        <v>12</v>
      </c>
      <c r="I882" t="s">
        <v>1011</v>
      </c>
      <c r="J882" t="s">
        <v>2480</v>
      </c>
      <c r="K882" t="str">
        <f>+VLOOKUP(C882,'[1]TIENDAS 2025'!$A$1:$C$143,3,0)</f>
        <v>local</v>
      </c>
      <c r="L882" t="str">
        <f>+VLOOKUP(C882,[2]Hoja1!$A$1:$B$138,2,0)</f>
        <v>APROBAR</v>
      </c>
      <c r="M882">
        <v>1</v>
      </c>
      <c r="N882" t="e">
        <v>#N/A</v>
      </c>
    </row>
    <row r="883" spans="1:14" ht="15" customHeight="1" x14ac:dyDescent="0.3">
      <c r="A883" s="3">
        <v>1209658470</v>
      </c>
      <c r="B883" s="3" t="s">
        <v>881</v>
      </c>
      <c r="C883" s="3" t="s">
        <v>882</v>
      </c>
      <c r="D883" s="4">
        <v>46307.423298611102</v>
      </c>
      <c r="E883" s="5" t="s">
        <v>10</v>
      </c>
      <c r="F883" s="5" t="s">
        <v>11</v>
      </c>
      <c r="G883" s="5">
        <v>21</v>
      </c>
      <c r="H883" s="6" t="s">
        <v>12</v>
      </c>
      <c r="I883" t="s">
        <v>1012</v>
      </c>
      <c r="J883" t="s">
        <v>2480</v>
      </c>
      <c r="K883" t="str">
        <f>+VLOOKUP(C883,'[1]TIENDAS 2025'!$A$1:$C$143,3,0)</f>
        <v>local</v>
      </c>
      <c r="L883" t="str">
        <f>+VLOOKUP(C883,[2]Hoja1!$A$1:$B$138,2,0)</f>
        <v>APROBAR</v>
      </c>
      <c r="M883">
        <v>1</v>
      </c>
      <c r="N883" t="e">
        <v>#N/A</v>
      </c>
    </row>
    <row r="884" spans="1:14" ht="15" customHeight="1" x14ac:dyDescent="0.3">
      <c r="A884" s="3">
        <v>8209658492</v>
      </c>
      <c r="B884" s="3" t="s">
        <v>983</v>
      </c>
      <c r="C884" s="3" t="s">
        <v>984</v>
      </c>
      <c r="D884" s="4">
        <v>46307.423310185201</v>
      </c>
      <c r="E884" s="5" t="s">
        <v>10</v>
      </c>
      <c r="F884" s="5" t="s">
        <v>16</v>
      </c>
      <c r="G884" s="5">
        <v>11</v>
      </c>
      <c r="H884" s="8" t="s">
        <v>12</v>
      </c>
      <c r="I884" t="s">
        <v>1013</v>
      </c>
      <c r="K884" t="str">
        <f>+VLOOKUP(C884,'[1]TIENDAS 2025'!$A$1:$C$143,3,0)</f>
        <v>nocturna</v>
      </c>
      <c r="L884" t="str">
        <f>+VLOOKUP(C884,[2]Hoja1!$A$1:$B$138,2,0)</f>
        <v>APROBAR</v>
      </c>
      <c r="M884">
        <v>1</v>
      </c>
      <c r="N884" t="e">
        <v>#N/A</v>
      </c>
    </row>
    <row r="885" spans="1:14" ht="15" customHeight="1" x14ac:dyDescent="0.3">
      <c r="A885" s="3">
        <v>1209658495</v>
      </c>
      <c r="B885" s="3" t="s">
        <v>983</v>
      </c>
      <c r="C885" s="3" t="s">
        <v>984</v>
      </c>
      <c r="D885" s="4">
        <v>46307.423333333303</v>
      </c>
      <c r="E885" s="5" t="s">
        <v>10</v>
      </c>
      <c r="F885" s="5" t="s">
        <v>11</v>
      </c>
      <c r="G885" s="5">
        <v>15</v>
      </c>
      <c r="H885" s="6" t="s">
        <v>12</v>
      </c>
      <c r="I885" t="s">
        <v>1014</v>
      </c>
      <c r="J885" t="s">
        <v>2480</v>
      </c>
      <c r="K885" t="str">
        <f>+VLOOKUP(C885,'[1]TIENDAS 2025'!$A$1:$C$143,3,0)</f>
        <v>nocturna</v>
      </c>
      <c r="L885" t="str">
        <f>+VLOOKUP(C885,[2]Hoja1!$A$1:$B$138,2,0)</f>
        <v>APROBAR</v>
      </c>
      <c r="M885">
        <v>1</v>
      </c>
      <c r="N885" t="e">
        <v>#N/A</v>
      </c>
    </row>
    <row r="886" spans="1:14" ht="15" customHeight="1" x14ac:dyDescent="0.3">
      <c r="A886" s="3">
        <v>1209658497</v>
      </c>
      <c r="B886" s="3" t="s">
        <v>983</v>
      </c>
      <c r="C886" s="3" t="s">
        <v>984</v>
      </c>
      <c r="D886" s="4">
        <v>46307.423344907402</v>
      </c>
      <c r="E886" s="5" t="s">
        <v>10</v>
      </c>
      <c r="F886" s="5" t="s">
        <v>17</v>
      </c>
      <c r="G886" s="5">
        <v>29</v>
      </c>
      <c r="H886" s="6" t="s">
        <v>12</v>
      </c>
      <c r="I886" t="s">
        <v>1015</v>
      </c>
      <c r="J886" t="s">
        <v>2480</v>
      </c>
      <c r="K886" t="str">
        <f>+VLOOKUP(C886,'[1]TIENDAS 2025'!$A$1:$C$143,3,0)</f>
        <v>nocturna</v>
      </c>
      <c r="L886" t="str">
        <f>+VLOOKUP(C886,[2]Hoja1!$A$1:$B$138,2,0)</f>
        <v>APROBAR</v>
      </c>
      <c r="M886">
        <v>1</v>
      </c>
      <c r="N886" t="e">
        <v>#N/A</v>
      </c>
    </row>
    <row r="887" spans="1:14" ht="15" customHeight="1" x14ac:dyDescent="0.3">
      <c r="A887" s="3">
        <v>1209658568</v>
      </c>
      <c r="B887" s="3" t="s">
        <v>971</v>
      </c>
      <c r="C887" s="3" t="s">
        <v>972</v>
      </c>
      <c r="D887" s="4">
        <v>46307.423368055599</v>
      </c>
      <c r="E887" s="5" t="s">
        <v>10</v>
      </c>
      <c r="F887" s="5" t="s">
        <v>17</v>
      </c>
      <c r="G887" s="5">
        <v>3</v>
      </c>
      <c r="H887" s="6" t="s">
        <v>12</v>
      </c>
      <c r="I887" t="s">
        <v>1016</v>
      </c>
      <c r="J887" t="s">
        <v>2480</v>
      </c>
      <c r="K887" t="str">
        <f>+VLOOKUP(C887,'[1]TIENDAS 2025'!$A$1:$C$143,3,0)</f>
        <v>prioridad</v>
      </c>
      <c r="L887" t="str">
        <f>+VLOOKUP(C887,[2]Hoja1!$A$1:$B$138,2,0)</f>
        <v>APROBAR</v>
      </c>
      <c r="M887">
        <v>1</v>
      </c>
      <c r="N887" t="e">
        <v>#N/A</v>
      </c>
    </row>
    <row r="888" spans="1:14" ht="15" customHeight="1" x14ac:dyDescent="0.3">
      <c r="A888" s="3">
        <v>8209658567</v>
      </c>
      <c r="B888" s="3" t="s">
        <v>971</v>
      </c>
      <c r="C888" s="3" t="s">
        <v>972</v>
      </c>
      <c r="D888" s="4">
        <v>46307.423368055599</v>
      </c>
      <c r="E888" s="5" t="s">
        <v>10</v>
      </c>
      <c r="F888" s="5" t="s">
        <v>16</v>
      </c>
      <c r="G888" s="5">
        <v>2</v>
      </c>
      <c r="H888" s="8" t="s">
        <v>12</v>
      </c>
      <c r="I888" t="s">
        <v>1017</v>
      </c>
      <c r="K888" t="str">
        <f>+VLOOKUP(C888,'[1]TIENDAS 2025'!$A$1:$C$143,3,0)</f>
        <v>prioridad</v>
      </c>
      <c r="L888" t="str">
        <f>+VLOOKUP(C888,[2]Hoja1!$A$1:$B$138,2,0)</f>
        <v>APROBAR</v>
      </c>
      <c r="M888">
        <v>1</v>
      </c>
      <c r="N888" t="e">
        <v>#N/A</v>
      </c>
    </row>
    <row r="889" spans="1:14" ht="15" customHeight="1" x14ac:dyDescent="0.3">
      <c r="A889" s="3">
        <v>8209658605</v>
      </c>
      <c r="B889" s="3" t="s">
        <v>976</v>
      </c>
      <c r="C889" s="3" t="s">
        <v>977</v>
      </c>
      <c r="D889" s="4">
        <v>46307.423391203702</v>
      </c>
      <c r="E889" s="5" t="s">
        <v>10</v>
      </c>
      <c r="F889" s="5" t="s">
        <v>16</v>
      </c>
      <c r="G889" s="5">
        <v>2</v>
      </c>
      <c r="H889" s="8" t="s">
        <v>12</v>
      </c>
      <c r="I889" t="s">
        <v>1018</v>
      </c>
      <c r="K889" t="str">
        <f>+VLOOKUP(C889,'[1]TIENDAS 2025'!$A$1:$C$143,3,0)</f>
        <v>departamental</v>
      </c>
      <c r="L889" t="str">
        <f>+VLOOKUP(C889,[2]Hoja1!$A$1:$B$138,2,0)</f>
        <v>APROBAR</v>
      </c>
      <c r="M889">
        <v>1</v>
      </c>
      <c r="N889" t="e">
        <v>#N/A</v>
      </c>
    </row>
    <row r="890" spans="1:14" ht="15" customHeight="1" x14ac:dyDescent="0.3">
      <c r="A890" s="3">
        <v>8209658608</v>
      </c>
      <c r="B890" s="3" t="s">
        <v>976</v>
      </c>
      <c r="C890" s="3" t="s">
        <v>977</v>
      </c>
      <c r="D890" s="4">
        <v>46307.4234027778</v>
      </c>
      <c r="E890" s="5" t="s">
        <v>10</v>
      </c>
      <c r="F890" s="5" t="s">
        <v>16</v>
      </c>
      <c r="G890" s="5">
        <v>1</v>
      </c>
      <c r="H890" s="8" t="s">
        <v>12</v>
      </c>
      <c r="I890" t="s">
        <v>1019</v>
      </c>
      <c r="K890" t="str">
        <f>+VLOOKUP(C890,'[1]TIENDAS 2025'!$A$1:$C$143,3,0)</f>
        <v>departamental</v>
      </c>
      <c r="L890" t="str">
        <f>+VLOOKUP(C890,[2]Hoja1!$A$1:$B$138,2,0)</f>
        <v>APROBAR</v>
      </c>
      <c r="M890">
        <v>1</v>
      </c>
      <c r="N890" t="e">
        <v>#N/A</v>
      </c>
    </row>
    <row r="891" spans="1:14" ht="15" customHeight="1" x14ac:dyDescent="0.3">
      <c r="A891" s="3">
        <v>1209658570</v>
      </c>
      <c r="B891" s="3" t="s">
        <v>971</v>
      </c>
      <c r="C891" s="3" t="s">
        <v>972</v>
      </c>
      <c r="D891" s="4">
        <v>46307.423414351899</v>
      </c>
      <c r="E891" s="5" t="s">
        <v>10</v>
      </c>
      <c r="F891" s="5" t="s">
        <v>17</v>
      </c>
      <c r="G891" s="5">
        <v>14</v>
      </c>
      <c r="H891" s="6" t="s">
        <v>12</v>
      </c>
      <c r="I891" t="s">
        <v>1020</v>
      </c>
      <c r="J891" t="s">
        <v>2480</v>
      </c>
      <c r="K891" t="str">
        <f>+VLOOKUP(C891,'[1]TIENDAS 2025'!$A$1:$C$143,3,0)</f>
        <v>prioridad</v>
      </c>
      <c r="L891" t="str">
        <f>+VLOOKUP(C891,[2]Hoja1!$A$1:$B$138,2,0)</f>
        <v>APROBAR</v>
      </c>
      <c r="M891">
        <v>1</v>
      </c>
      <c r="N891" t="e">
        <v>#N/A</v>
      </c>
    </row>
    <row r="892" spans="1:14" ht="15" customHeight="1" x14ac:dyDescent="0.3">
      <c r="A892" s="3">
        <v>1209658571</v>
      </c>
      <c r="B892" s="3" t="s">
        <v>971</v>
      </c>
      <c r="C892" s="3" t="s">
        <v>972</v>
      </c>
      <c r="D892" s="4">
        <v>46307.423437500001</v>
      </c>
      <c r="E892" s="5" t="s">
        <v>10</v>
      </c>
      <c r="F892" s="5" t="s">
        <v>17</v>
      </c>
      <c r="G892" s="5">
        <v>17</v>
      </c>
      <c r="H892" s="6" t="s">
        <v>12</v>
      </c>
      <c r="I892" t="s">
        <v>1021</v>
      </c>
      <c r="J892" t="s">
        <v>2480</v>
      </c>
      <c r="K892" t="str">
        <f>+VLOOKUP(C892,'[1]TIENDAS 2025'!$A$1:$C$143,3,0)</f>
        <v>prioridad</v>
      </c>
      <c r="L892" t="str">
        <f>+VLOOKUP(C892,[2]Hoja1!$A$1:$B$138,2,0)</f>
        <v>APROBAR</v>
      </c>
      <c r="M892">
        <v>1</v>
      </c>
      <c r="N892" t="e">
        <v>#N/A</v>
      </c>
    </row>
    <row r="893" spans="1:14" ht="15" customHeight="1" x14ac:dyDescent="0.3">
      <c r="A893" s="3">
        <v>1209658465</v>
      </c>
      <c r="B893" s="3" t="s">
        <v>881</v>
      </c>
      <c r="C893" s="3" t="s">
        <v>882</v>
      </c>
      <c r="D893" s="4">
        <v>46307.423437500001</v>
      </c>
      <c r="E893" s="5" t="s">
        <v>10</v>
      </c>
      <c r="F893" s="5" t="s">
        <v>17</v>
      </c>
      <c r="G893" s="5">
        <v>8</v>
      </c>
      <c r="H893" s="6" t="s">
        <v>12</v>
      </c>
      <c r="I893" t="s">
        <v>1022</v>
      </c>
      <c r="J893" t="s">
        <v>2480</v>
      </c>
      <c r="K893" t="str">
        <f>+VLOOKUP(C893,'[1]TIENDAS 2025'!$A$1:$C$143,3,0)</f>
        <v>local</v>
      </c>
      <c r="L893" t="str">
        <f>+VLOOKUP(C893,[2]Hoja1!$A$1:$B$138,2,0)</f>
        <v>APROBAR</v>
      </c>
      <c r="M893">
        <v>1</v>
      </c>
      <c r="N893" t="e">
        <v>#N/A</v>
      </c>
    </row>
    <row r="894" spans="1:14" ht="15" customHeight="1" x14ac:dyDescent="0.3">
      <c r="A894" s="3">
        <v>1209658616</v>
      </c>
      <c r="B894" s="3" t="s">
        <v>976</v>
      </c>
      <c r="C894" s="3" t="s">
        <v>977</v>
      </c>
      <c r="D894" s="4">
        <v>46307.4234490741</v>
      </c>
      <c r="E894" s="5" t="s">
        <v>10</v>
      </c>
      <c r="F894" s="5" t="s">
        <v>16</v>
      </c>
      <c r="G894" s="5">
        <v>21</v>
      </c>
      <c r="H894" s="6" t="s">
        <v>12</v>
      </c>
      <c r="I894" t="s">
        <v>1023</v>
      </c>
      <c r="J894" t="s">
        <v>2480</v>
      </c>
      <c r="K894" t="str">
        <f>+VLOOKUP(C894,'[1]TIENDAS 2025'!$A$1:$C$143,3,0)</f>
        <v>departamental</v>
      </c>
      <c r="L894" t="str">
        <f>+VLOOKUP(C894,[2]Hoja1!$A$1:$B$138,2,0)</f>
        <v>APROBAR</v>
      </c>
      <c r="M894">
        <v>1</v>
      </c>
      <c r="N894" t="e">
        <v>#N/A</v>
      </c>
    </row>
    <row r="895" spans="1:14" ht="15" customHeight="1" x14ac:dyDescent="0.3">
      <c r="A895" s="3">
        <v>1209658617</v>
      </c>
      <c r="B895" s="3" t="s">
        <v>976</v>
      </c>
      <c r="C895" s="3" t="s">
        <v>977</v>
      </c>
      <c r="D895" s="4">
        <v>46307.423472222203</v>
      </c>
      <c r="E895" s="5" t="s">
        <v>10</v>
      </c>
      <c r="F895" s="5" t="s">
        <v>11</v>
      </c>
      <c r="G895" s="5">
        <v>16</v>
      </c>
      <c r="H895" s="6" t="s">
        <v>12</v>
      </c>
      <c r="I895" t="s">
        <v>1024</v>
      </c>
      <c r="J895" t="s">
        <v>2480</v>
      </c>
      <c r="K895" t="str">
        <f>+VLOOKUP(C895,'[1]TIENDAS 2025'!$A$1:$C$143,3,0)</f>
        <v>departamental</v>
      </c>
      <c r="L895" t="str">
        <f>+VLOOKUP(C895,[2]Hoja1!$A$1:$B$138,2,0)</f>
        <v>APROBAR</v>
      </c>
      <c r="M895">
        <v>1</v>
      </c>
      <c r="N895" t="e">
        <v>#N/A</v>
      </c>
    </row>
    <row r="896" spans="1:14" ht="15" customHeight="1" x14ac:dyDescent="0.3">
      <c r="A896" s="3">
        <v>8209658520</v>
      </c>
      <c r="B896" s="3" t="s">
        <v>987</v>
      </c>
      <c r="C896" s="3" t="s">
        <v>988</v>
      </c>
      <c r="D896" s="4">
        <v>46307.423483796301</v>
      </c>
      <c r="E896" s="5" t="s">
        <v>10</v>
      </c>
      <c r="F896" s="5" t="s">
        <v>16</v>
      </c>
      <c r="G896" s="5">
        <v>1</v>
      </c>
      <c r="H896" s="8" t="s">
        <v>12</v>
      </c>
      <c r="I896" t="s">
        <v>1025</v>
      </c>
      <c r="K896" t="str">
        <f>+VLOOKUP(C896,'[1]TIENDAS 2025'!$A$1:$C$143,3,0)</f>
        <v>departamental</v>
      </c>
      <c r="L896" t="str">
        <f>+VLOOKUP(C896,[2]Hoja1!$A$1:$B$138,2,0)</f>
        <v>APROBAR</v>
      </c>
      <c r="M896">
        <v>1</v>
      </c>
      <c r="N896" t="e">
        <v>#N/A</v>
      </c>
    </row>
    <row r="897" spans="1:14" ht="15" customHeight="1" x14ac:dyDescent="0.3">
      <c r="A897" s="3">
        <v>8209658490</v>
      </c>
      <c r="B897" s="3" t="s">
        <v>983</v>
      </c>
      <c r="C897" s="3" t="s">
        <v>984</v>
      </c>
      <c r="D897" s="4">
        <v>46307.4234953704</v>
      </c>
      <c r="E897" s="5" t="s">
        <v>10</v>
      </c>
      <c r="F897" s="5" t="s">
        <v>16</v>
      </c>
      <c r="G897" s="5">
        <v>5</v>
      </c>
      <c r="H897" s="8" t="s">
        <v>12</v>
      </c>
      <c r="I897" t="s">
        <v>1026</v>
      </c>
      <c r="K897" t="str">
        <f>+VLOOKUP(C897,'[1]TIENDAS 2025'!$A$1:$C$143,3,0)</f>
        <v>nocturna</v>
      </c>
      <c r="L897" t="str">
        <f>+VLOOKUP(C897,[2]Hoja1!$A$1:$B$138,2,0)</f>
        <v>APROBAR</v>
      </c>
      <c r="M897">
        <v>1</v>
      </c>
      <c r="N897" t="e">
        <v>#N/A</v>
      </c>
    </row>
    <row r="898" spans="1:14" ht="15" customHeight="1" x14ac:dyDescent="0.3">
      <c r="A898" s="3">
        <v>1209658529</v>
      </c>
      <c r="B898" s="3" t="s">
        <v>987</v>
      </c>
      <c r="C898" s="3" t="s">
        <v>988</v>
      </c>
      <c r="D898" s="4">
        <v>46307.423518518503</v>
      </c>
      <c r="E898" s="5" t="s">
        <v>10</v>
      </c>
      <c r="F898" s="5" t="s">
        <v>11</v>
      </c>
      <c r="G898" s="5">
        <v>3</v>
      </c>
      <c r="H898" s="6" t="s">
        <v>12</v>
      </c>
      <c r="I898" t="s">
        <v>1027</v>
      </c>
      <c r="J898" t="s">
        <v>2480</v>
      </c>
      <c r="K898" t="str">
        <f>+VLOOKUP(C898,'[1]TIENDAS 2025'!$A$1:$C$143,3,0)</f>
        <v>departamental</v>
      </c>
      <c r="L898" t="str">
        <f>+VLOOKUP(C898,[2]Hoja1!$A$1:$B$138,2,0)</f>
        <v>APROBAR</v>
      </c>
      <c r="M898">
        <v>1</v>
      </c>
      <c r="N898" t="e">
        <v>#N/A</v>
      </c>
    </row>
    <row r="899" spans="1:14" ht="15" customHeight="1" x14ac:dyDescent="0.3">
      <c r="A899" s="3">
        <v>8209658563</v>
      </c>
      <c r="B899" s="3" t="s">
        <v>971</v>
      </c>
      <c r="C899" s="3" t="s">
        <v>972</v>
      </c>
      <c r="D899" s="4">
        <v>46307.423518518503</v>
      </c>
      <c r="E899" s="5" t="s">
        <v>10</v>
      </c>
      <c r="F899" s="5" t="s">
        <v>16</v>
      </c>
      <c r="G899" s="5">
        <v>2</v>
      </c>
      <c r="H899" s="8" t="s">
        <v>12</v>
      </c>
      <c r="I899" t="s">
        <v>1028</v>
      </c>
      <c r="K899" t="str">
        <f>+VLOOKUP(C899,'[1]TIENDAS 2025'!$A$1:$C$143,3,0)</f>
        <v>prioridad</v>
      </c>
      <c r="L899" t="str">
        <f>+VLOOKUP(C899,[2]Hoja1!$A$1:$B$138,2,0)</f>
        <v>APROBAR</v>
      </c>
      <c r="M899">
        <v>1</v>
      </c>
      <c r="N899" t="e">
        <v>#N/A</v>
      </c>
    </row>
    <row r="900" spans="1:14" ht="15" customHeight="1" x14ac:dyDescent="0.3">
      <c r="A900" s="3">
        <v>1209658569</v>
      </c>
      <c r="B900" s="3" t="s">
        <v>971</v>
      </c>
      <c r="C900" s="3" t="s">
        <v>972</v>
      </c>
      <c r="D900" s="4">
        <v>46307.4235416667</v>
      </c>
      <c r="E900" s="5" t="s">
        <v>10</v>
      </c>
      <c r="F900" s="5" t="s">
        <v>17</v>
      </c>
      <c r="G900" s="5">
        <v>10</v>
      </c>
      <c r="H900" s="6" t="s">
        <v>12</v>
      </c>
      <c r="I900" t="s">
        <v>1029</v>
      </c>
      <c r="J900" t="s">
        <v>2480</v>
      </c>
      <c r="K900" t="str">
        <f>+VLOOKUP(C900,'[1]TIENDAS 2025'!$A$1:$C$143,3,0)</f>
        <v>prioridad</v>
      </c>
      <c r="L900" t="str">
        <f>+VLOOKUP(C900,[2]Hoja1!$A$1:$B$138,2,0)</f>
        <v>APROBAR</v>
      </c>
      <c r="M900">
        <v>1</v>
      </c>
      <c r="N900" t="e">
        <v>#N/A</v>
      </c>
    </row>
    <row r="901" spans="1:14" ht="15" customHeight="1" x14ac:dyDescent="0.3">
      <c r="A901" s="3">
        <v>1209658553</v>
      </c>
      <c r="B901" s="3" t="s">
        <v>971</v>
      </c>
      <c r="C901" s="3" t="s">
        <v>972</v>
      </c>
      <c r="D901" s="4">
        <v>46307.423553240696</v>
      </c>
      <c r="E901" s="5" t="s">
        <v>10</v>
      </c>
      <c r="F901" s="5" t="s">
        <v>17</v>
      </c>
      <c r="G901" s="5">
        <v>12</v>
      </c>
      <c r="H901" s="6" t="s">
        <v>12</v>
      </c>
      <c r="I901" t="s">
        <v>1030</v>
      </c>
      <c r="J901" t="s">
        <v>2480</v>
      </c>
      <c r="K901" t="str">
        <f>+VLOOKUP(C901,'[1]TIENDAS 2025'!$A$1:$C$143,3,0)</f>
        <v>prioridad</v>
      </c>
      <c r="L901" t="str">
        <f>+VLOOKUP(C901,[2]Hoja1!$A$1:$B$138,2,0)</f>
        <v>APROBAR</v>
      </c>
      <c r="M901">
        <v>1</v>
      </c>
      <c r="N901" t="e">
        <v>#N/A</v>
      </c>
    </row>
    <row r="902" spans="1:14" ht="15" customHeight="1" x14ac:dyDescent="0.3">
      <c r="A902" s="3">
        <v>1209658610</v>
      </c>
      <c r="B902" s="3" t="s">
        <v>976</v>
      </c>
      <c r="C902" s="3" t="s">
        <v>977</v>
      </c>
      <c r="D902" s="4">
        <v>46307.423564814802</v>
      </c>
      <c r="E902" s="5" t="s">
        <v>10</v>
      </c>
      <c r="F902" s="5" t="s">
        <v>11</v>
      </c>
      <c r="G902" s="5">
        <v>5</v>
      </c>
      <c r="H902" s="6" t="s">
        <v>12</v>
      </c>
      <c r="I902" t="s">
        <v>1031</v>
      </c>
      <c r="J902" t="s">
        <v>2480</v>
      </c>
      <c r="K902" t="str">
        <f>+VLOOKUP(C902,'[1]TIENDAS 2025'!$A$1:$C$143,3,0)</f>
        <v>departamental</v>
      </c>
      <c r="L902" t="str">
        <f>+VLOOKUP(C902,[2]Hoja1!$A$1:$B$138,2,0)</f>
        <v>APROBAR</v>
      </c>
      <c r="M902">
        <v>1</v>
      </c>
      <c r="N902" t="e">
        <v>#N/A</v>
      </c>
    </row>
    <row r="903" spans="1:14" ht="15" customHeight="1" x14ac:dyDescent="0.3">
      <c r="A903" s="3">
        <v>1209658612</v>
      </c>
      <c r="B903" s="3" t="s">
        <v>976</v>
      </c>
      <c r="C903" s="3" t="s">
        <v>977</v>
      </c>
      <c r="D903" s="4">
        <v>46307.423576388901</v>
      </c>
      <c r="E903" s="5" t="s">
        <v>10</v>
      </c>
      <c r="F903" s="5" t="s">
        <v>16</v>
      </c>
      <c r="G903" s="5">
        <v>28</v>
      </c>
      <c r="H903" s="6" t="s">
        <v>12</v>
      </c>
      <c r="I903" t="s">
        <v>1032</v>
      </c>
      <c r="J903" t="s">
        <v>2480</v>
      </c>
      <c r="K903" t="str">
        <f>+VLOOKUP(C903,'[1]TIENDAS 2025'!$A$1:$C$143,3,0)</f>
        <v>departamental</v>
      </c>
      <c r="L903" t="str">
        <f>+VLOOKUP(C903,[2]Hoja1!$A$1:$B$138,2,0)</f>
        <v>APROBAR</v>
      </c>
      <c r="M903">
        <v>1</v>
      </c>
      <c r="N903" t="e">
        <v>#N/A</v>
      </c>
    </row>
    <row r="904" spans="1:14" ht="15" customHeight="1" x14ac:dyDescent="0.3">
      <c r="A904" s="3">
        <v>8209658461</v>
      </c>
      <c r="B904" s="3" t="s">
        <v>881</v>
      </c>
      <c r="C904" s="3" t="s">
        <v>882</v>
      </c>
      <c r="D904" s="4">
        <v>46307.423587963</v>
      </c>
      <c r="E904" s="5" t="s">
        <v>10</v>
      </c>
      <c r="F904" s="5" t="s">
        <v>16</v>
      </c>
      <c r="G904" s="5">
        <v>1</v>
      </c>
      <c r="H904" s="8" t="s">
        <v>12</v>
      </c>
      <c r="I904" t="s">
        <v>1033</v>
      </c>
      <c r="K904" t="str">
        <f>+VLOOKUP(C904,'[1]TIENDAS 2025'!$A$1:$C$143,3,0)</f>
        <v>local</v>
      </c>
      <c r="L904" t="str">
        <f>+VLOOKUP(C904,[2]Hoja1!$A$1:$B$138,2,0)</f>
        <v>APROBAR</v>
      </c>
      <c r="M904">
        <v>1</v>
      </c>
      <c r="N904" t="e">
        <v>#N/A</v>
      </c>
    </row>
    <row r="905" spans="1:14" ht="15" customHeight="1" x14ac:dyDescent="0.3">
      <c r="A905" s="3">
        <v>8209658463</v>
      </c>
      <c r="B905" s="3" t="s">
        <v>881</v>
      </c>
      <c r="C905" s="3" t="s">
        <v>882</v>
      </c>
      <c r="D905" s="4">
        <v>46307.423599537004</v>
      </c>
      <c r="E905" s="5" t="s">
        <v>10</v>
      </c>
      <c r="F905" s="5" t="s">
        <v>16</v>
      </c>
      <c r="G905" s="5">
        <v>1</v>
      </c>
      <c r="H905" s="8" t="s">
        <v>12</v>
      </c>
      <c r="I905" t="s">
        <v>1034</v>
      </c>
      <c r="K905" t="str">
        <f>+VLOOKUP(C905,'[1]TIENDAS 2025'!$A$1:$C$143,3,0)</f>
        <v>local</v>
      </c>
      <c r="L905" t="str">
        <f>+VLOOKUP(C905,[2]Hoja1!$A$1:$B$138,2,0)</f>
        <v>APROBAR</v>
      </c>
      <c r="M905">
        <v>1</v>
      </c>
      <c r="N905" t="e">
        <v>#N/A</v>
      </c>
    </row>
    <row r="906" spans="1:14" ht="15" customHeight="1" x14ac:dyDescent="0.3">
      <c r="A906" s="3">
        <v>1209658499</v>
      </c>
      <c r="B906" s="3" t="s">
        <v>983</v>
      </c>
      <c r="C906" s="3" t="s">
        <v>984</v>
      </c>
      <c r="D906" s="4">
        <v>46307.423622685201</v>
      </c>
      <c r="E906" s="5" t="s">
        <v>10</v>
      </c>
      <c r="F906" s="5" t="s">
        <v>11</v>
      </c>
      <c r="G906" s="5">
        <v>3</v>
      </c>
      <c r="H906" s="6" t="s">
        <v>12</v>
      </c>
      <c r="I906" t="s">
        <v>1035</v>
      </c>
      <c r="J906" t="s">
        <v>2480</v>
      </c>
      <c r="K906" t="str">
        <f>+VLOOKUP(C906,'[1]TIENDAS 2025'!$A$1:$C$143,3,0)</f>
        <v>nocturna</v>
      </c>
      <c r="L906" t="str">
        <f>+VLOOKUP(C906,[2]Hoja1!$A$1:$B$138,2,0)</f>
        <v>APROBAR</v>
      </c>
      <c r="M906">
        <v>1</v>
      </c>
      <c r="N906" t="e">
        <v>#N/A</v>
      </c>
    </row>
    <row r="907" spans="1:14" ht="15" customHeight="1" x14ac:dyDescent="0.3">
      <c r="A907" s="3">
        <v>1209658574</v>
      </c>
      <c r="B907" s="3" t="s">
        <v>971</v>
      </c>
      <c r="C907" s="3" t="s">
        <v>972</v>
      </c>
      <c r="D907" s="4">
        <v>46307.423634259299</v>
      </c>
      <c r="E907" s="5" t="s">
        <v>10</v>
      </c>
      <c r="F907" s="5" t="s">
        <v>11</v>
      </c>
      <c r="G907" s="5">
        <v>30</v>
      </c>
      <c r="H907" s="6" t="s">
        <v>12</v>
      </c>
      <c r="I907" t="s">
        <v>1036</v>
      </c>
      <c r="J907" t="s">
        <v>2480</v>
      </c>
      <c r="K907" t="str">
        <f>+VLOOKUP(C907,'[1]TIENDAS 2025'!$A$1:$C$143,3,0)</f>
        <v>prioridad</v>
      </c>
      <c r="L907" t="str">
        <f>+VLOOKUP(C907,[2]Hoja1!$A$1:$B$138,2,0)</f>
        <v>APROBAR</v>
      </c>
      <c r="M907">
        <v>1</v>
      </c>
      <c r="N907" t="e">
        <v>#N/A</v>
      </c>
    </row>
    <row r="908" spans="1:14" ht="15" customHeight="1" x14ac:dyDescent="0.3">
      <c r="A908" s="3">
        <v>1209658618</v>
      </c>
      <c r="B908" s="3" t="s">
        <v>976</v>
      </c>
      <c r="C908" s="3" t="s">
        <v>977</v>
      </c>
      <c r="D908" s="4">
        <v>46307.423645833303</v>
      </c>
      <c r="E908" s="5" t="s">
        <v>10</v>
      </c>
      <c r="F908" s="5" t="s">
        <v>11</v>
      </c>
      <c r="G908" s="5">
        <v>28</v>
      </c>
      <c r="H908" s="6" t="s">
        <v>12</v>
      </c>
      <c r="I908" t="s">
        <v>1037</v>
      </c>
      <c r="J908" t="s">
        <v>2480</v>
      </c>
      <c r="K908" t="str">
        <f>+VLOOKUP(C908,'[1]TIENDAS 2025'!$A$1:$C$143,3,0)</f>
        <v>departamental</v>
      </c>
      <c r="L908" t="str">
        <f>+VLOOKUP(C908,[2]Hoja1!$A$1:$B$138,2,0)</f>
        <v>APROBAR</v>
      </c>
      <c r="M908">
        <v>1</v>
      </c>
      <c r="N908" t="e">
        <v>#N/A</v>
      </c>
    </row>
    <row r="909" spans="1:14" ht="15" customHeight="1" x14ac:dyDescent="0.3">
      <c r="A909" s="3">
        <v>8209658522</v>
      </c>
      <c r="B909" s="3" t="s">
        <v>987</v>
      </c>
      <c r="C909" s="3" t="s">
        <v>988</v>
      </c>
      <c r="D909" s="4">
        <v>46307.423657407402</v>
      </c>
      <c r="E909" s="5" t="s">
        <v>10</v>
      </c>
      <c r="F909" s="5" t="s">
        <v>16</v>
      </c>
      <c r="G909" s="5">
        <v>1</v>
      </c>
      <c r="H909" s="8" t="s">
        <v>12</v>
      </c>
      <c r="I909" t="s">
        <v>1038</v>
      </c>
      <c r="K909" t="str">
        <f>+VLOOKUP(C909,'[1]TIENDAS 2025'!$A$1:$C$143,3,0)</f>
        <v>departamental</v>
      </c>
      <c r="L909" t="str">
        <f>+VLOOKUP(C909,[2]Hoja1!$A$1:$B$138,2,0)</f>
        <v>APROBAR</v>
      </c>
      <c r="M909">
        <v>1</v>
      </c>
      <c r="N909" t="e">
        <v>#N/A</v>
      </c>
    </row>
    <row r="910" spans="1:14" ht="15" customHeight="1" x14ac:dyDescent="0.3">
      <c r="A910" s="3">
        <v>1209658576</v>
      </c>
      <c r="B910" s="3" t="s">
        <v>971</v>
      </c>
      <c r="C910" s="3" t="s">
        <v>972</v>
      </c>
      <c r="D910" s="4">
        <v>46307.423668981501</v>
      </c>
      <c r="E910" s="5" t="s">
        <v>10</v>
      </c>
      <c r="F910" s="5" t="s">
        <v>17</v>
      </c>
      <c r="G910" s="5">
        <v>44</v>
      </c>
      <c r="H910" s="6" t="s">
        <v>12</v>
      </c>
      <c r="I910" t="s">
        <v>1039</v>
      </c>
      <c r="J910" t="s">
        <v>2480</v>
      </c>
      <c r="K910" t="str">
        <f>+VLOOKUP(C910,'[1]TIENDAS 2025'!$A$1:$C$143,3,0)</f>
        <v>prioridad</v>
      </c>
      <c r="L910" t="str">
        <f>+VLOOKUP(C910,[2]Hoja1!$A$1:$B$138,2,0)</f>
        <v>APROBAR</v>
      </c>
      <c r="M910">
        <v>1</v>
      </c>
      <c r="N910" t="e">
        <v>#N/A</v>
      </c>
    </row>
    <row r="911" spans="1:14" ht="15" customHeight="1" x14ac:dyDescent="0.3">
      <c r="A911" s="3">
        <v>1209658527</v>
      </c>
      <c r="B911" s="3" t="s">
        <v>987</v>
      </c>
      <c r="C911" s="3" t="s">
        <v>988</v>
      </c>
      <c r="D911" s="4">
        <v>46307.423692129603</v>
      </c>
      <c r="E911" s="5" t="s">
        <v>10</v>
      </c>
      <c r="F911" s="5" t="s">
        <v>11</v>
      </c>
      <c r="G911" s="5">
        <v>2</v>
      </c>
      <c r="H911" s="6" t="s">
        <v>12</v>
      </c>
      <c r="I911" t="s">
        <v>1040</v>
      </c>
      <c r="J911" t="s">
        <v>2480</v>
      </c>
      <c r="K911" t="str">
        <f>+VLOOKUP(C911,'[1]TIENDAS 2025'!$A$1:$C$143,3,0)</f>
        <v>departamental</v>
      </c>
      <c r="L911" t="str">
        <f>+VLOOKUP(C911,[2]Hoja1!$A$1:$B$138,2,0)</f>
        <v>APROBAR</v>
      </c>
      <c r="M911">
        <v>1</v>
      </c>
      <c r="N911" t="e">
        <v>#N/A</v>
      </c>
    </row>
    <row r="912" spans="1:14" ht="15" customHeight="1" x14ac:dyDescent="0.3">
      <c r="A912" s="3">
        <v>8209658525</v>
      </c>
      <c r="B912" s="3" t="s">
        <v>987</v>
      </c>
      <c r="C912" s="3" t="s">
        <v>988</v>
      </c>
      <c r="D912" s="4">
        <v>46307.423692129603</v>
      </c>
      <c r="E912" s="5" t="s">
        <v>10</v>
      </c>
      <c r="F912" s="5" t="s">
        <v>16</v>
      </c>
      <c r="G912" s="5">
        <v>3</v>
      </c>
      <c r="H912" s="8" t="s">
        <v>12</v>
      </c>
      <c r="I912" t="s">
        <v>1041</v>
      </c>
      <c r="K912" t="str">
        <f>+VLOOKUP(C912,'[1]TIENDAS 2025'!$A$1:$C$143,3,0)</f>
        <v>departamental</v>
      </c>
      <c r="L912" t="str">
        <f>+VLOOKUP(C912,[2]Hoja1!$A$1:$B$138,2,0)</f>
        <v>APROBAR</v>
      </c>
      <c r="M912">
        <v>1</v>
      </c>
      <c r="N912" t="e">
        <v>#N/A</v>
      </c>
    </row>
    <row r="913" spans="1:14" ht="15" customHeight="1" x14ac:dyDescent="0.3">
      <c r="A913" s="3">
        <v>1209658528</v>
      </c>
      <c r="B913" s="3" t="s">
        <v>987</v>
      </c>
      <c r="C913" s="3" t="s">
        <v>988</v>
      </c>
      <c r="D913" s="4">
        <v>46307.423703703702</v>
      </c>
      <c r="E913" s="5" t="s">
        <v>10</v>
      </c>
      <c r="F913" s="5" t="s">
        <v>11</v>
      </c>
      <c r="G913" s="5">
        <v>5</v>
      </c>
      <c r="H913" s="6" t="s">
        <v>12</v>
      </c>
      <c r="I913" t="s">
        <v>1042</v>
      </c>
      <c r="J913" t="s">
        <v>2480</v>
      </c>
      <c r="K913" t="str">
        <f>+VLOOKUP(C913,'[1]TIENDAS 2025'!$A$1:$C$143,3,0)</f>
        <v>departamental</v>
      </c>
      <c r="L913" t="str">
        <f>+VLOOKUP(C913,[2]Hoja1!$A$1:$B$138,2,0)</f>
        <v>APROBAR</v>
      </c>
      <c r="M913">
        <v>1</v>
      </c>
      <c r="N913" t="e">
        <v>#N/A</v>
      </c>
    </row>
    <row r="914" spans="1:14" ht="15" customHeight="1" x14ac:dyDescent="0.3">
      <c r="A914" s="3">
        <v>1209658544</v>
      </c>
      <c r="B914" s="3" t="s">
        <v>987</v>
      </c>
      <c r="C914" s="3" t="s">
        <v>988</v>
      </c>
      <c r="D914" s="4">
        <v>46307.423726851899</v>
      </c>
      <c r="E914" s="5" t="s">
        <v>10</v>
      </c>
      <c r="F914" s="5" t="s">
        <v>11</v>
      </c>
      <c r="G914" s="5">
        <v>21</v>
      </c>
      <c r="H914" s="6" t="s">
        <v>12</v>
      </c>
      <c r="I914" t="s">
        <v>1043</v>
      </c>
      <c r="J914" t="s">
        <v>2480</v>
      </c>
      <c r="K914" t="str">
        <f>+VLOOKUP(C914,'[1]TIENDAS 2025'!$A$1:$C$143,3,0)</f>
        <v>departamental</v>
      </c>
      <c r="L914" t="str">
        <f>+VLOOKUP(C914,[2]Hoja1!$A$1:$B$138,2,0)</f>
        <v>APROBAR</v>
      </c>
      <c r="M914">
        <v>1</v>
      </c>
      <c r="N914" t="e">
        <v>#N/A</v>
      </c>
    </row>
    <row r="915" spans="1:14" ht="15" customHeight="1" x14ac:dyDescent="0.3">
      <c r="A915" s="3">
        <v>1209658534</v>
      </c>
      <c r="B915" s="3" t="s">
        <v>987</v>
      </c>
      <c r="C915" s="3" t="s">
        <v>988</v>
      </c>
      <c r="D915" s="4">
        <v>46307.423738425903</v>
      </c>
      <c r="E915" s="5" t="s">
        <v>10</v>
      </c>
      <c r="F915" s="5" t="s">
        <v>17</v>
      </c>
      <c r="G915" s="5">
        <v>55</v>
      </c>
      <c r="H915" s="6" t="s">
        <v>12</v>
      </c>
      <c r="I915" t="s">
        <v>1044</v>
      </c>
      <c r="J915" t="s">
        <v>2480</v>
      </c>
      <c r="K915" t="str">
        <f>+VLOOKUP(C915,'[1]TIENDAS 2025'!$A$1:$C$143,3,0)</f>
        <v>departamental</v>
      </c>
      <c r="L915" t="str">
        <f>+VLOOKUP(C915,[2]Hoja1!$A$1:$B$138,2,0)</f>
        <v>APROBAR</v>
      </c>
      <c r="M915">
        <v>1</v>
      </c>
      <c r="N915" t="e">
        <v>#N/A</v>
      </c>
    </row>
    <row r="916" spans="1:14" ht="15" customHeight="1" x14ac:dyDescent="0.3">
      <c r="A916" s="3">
        <v>8209658551</v>
      </c>
      <c r="B916" s="3" t="s">
        <v>971</v>
      </c>
      <c r="C916" s="3" t="s">
        <v>972</v>
      </c>
      <c r="D916" s="4">
        <v>46307.4237615741</v>
      </c>
      <c r="E916" s="5" t="s">
        <v>10</v>
      </c>
      <c r="F916" s="5" t="s">
        <v>16</v>
      </c>
      <c r="G916" s="5">
        <v>18</v>
      </c>
      <c r="H916" s="8" t="s">
        <v>12</v>
      </c>
      <c r="I916" t="s">
        <v>1045</v>
      </c>
      <c r="K916" t="str">
        <f>+VLOOKUP(C916,'[1]TIENDAS 2025'!$A$1:$C$143,3,0)</f>
        <v>prioridad</v>
      </c>
      <c r="L916" t="str">
        <f>+VLOOKUP(C916,[2]Hoja1!$A$1:$B$138,2,0)</f>
        <v>APROBAR</v>
      </c>
      <c r="M916">
        <v>1</v>
      </c>
      <c r="N916" t="e">
        <v>#N/A</v>
      </c>
    </row>
    <row r="917" spans="1:14" ht="15" customHeight="1" x14ac:dyDescent="0.3">
      <c r="A917" s="3">
        <v>8209658459</v>
      </c>
      <c r="B917" s="3" t="s">
        <v>881</v>
      </c>
      <c r="C917" s="3" t="s">
        <v>882</v>
      </c>
      <c r="D917" s="4">
        <v>46307.423773148097</v>
      </c>
      <c r="E917" s="5" t="s">
        <v>10</v>
      </c>
      <c r="F917" s="5" t="s">
        <v>16</v>
      </c>
      <c r="G917" s="5">
        <v>6</v>
      </c>
      <c r="H917" s="8" t="s">
        <v>12</v>
      </c>
      <c r="I917" t="s">
        <v>1046</v>
      </c>
      <c r="K917" t="str">
        <f>+VLOOKUP(C917,'[1]TIENDAS 2025'!$A$1:$C$143,3,0)</f>
        <v>local</v>
      </c>
      <c r="L917" t="str">
        <f>+VLOOKUP(C917,[2]Hoja1!$A$1:$B$138,2,0)</f>
        <v>APROBAR</v>
      </c>
      <c r="M917">
        <v>1</v>
      </c>
      <c r="N917" t="e">
        <v>#N/A</v>
      </c>
    </row>
    <row r="918" spans="1:14" ht="15" customHeight="1" x14ac:dyDescent="0.3">
      <c r="A918" s="3">
        <v>8209658462</v>
      </c>
      <c r="B918" s="3" t="s">
        <v>881</v>
      </c>
      <c r="C918" s="3" t="s">
        <v>882</v>
      </c>
      <c r="D918" s="4">
        <v>46307.423773148097</v>
      </c>
      <c r="E918" s="5" t="s">
        <v>10</v>
      </c>
      <c r="F918" s="5" t="s">
        <v>16</v>
      </c>
      <c r="G918" s="5">
        <v>1</v>
      </c>
      <c r="H918" s="8" t="s">
        <v>12</v>
      </c>
      <c r="I918" t="s">
        <v>1047</v>
      </c>
      <c r="K918" t="str">
        <f>+VLOOKUP(C918,'[1]TIENDAS 2025'!$A$1:$C$143,3,0)</f>
        <v>local</v>
      </c>
      <c r="L918" t="str">
        <f>+VLOOKUP(C918,[2]Hoja1!$A$1:$B$138,2,0)</f>
        <v>APROBAR</v>
      </c>
      <c r="M918">
        <v>1</v>
      </c>
      <c r="N918" t="e">
        <v>#N/A</v>
      </c>
    </row>
    <row r="919" spans="1:14" ht="15" customHeight="1" x14ac:dyDescent="0.3">
      <c r="A919" s="3">
        <v>1209658614</v>
      </c>
      <c r="B919" s="3" t="s">
        <v>976</v>
      </c>
      <c r="C919" s="3" t="s">
        <v>977</v>
      </c>
      <c r="D919" s="4">
        <v>46307.423796296302</v>
      </c>
      <c r="E919" s="5" t="s">
        <v>10</v>
      </c>
      <c r="F919" s="5" t="s">
        <v>11</v>
      </c>
      <c r="G919" s="5">
        <v>8</v>
      </c>
      <c r="H919" s="6" t="s">
        <v>12</v>
      </c>
      <c r="I919" t="s">
        <v>1048</v>
      </c>
      <c r="J919" t="s">
        <v>2480</v>
      </c>
      <c r="K919" t="str">
        <f>+VLOOKUP(C919,'[1]TIENDAS 2025'!$A$1:$C$143,3,0)</f>
        <v>departamental</v>
      </c>
      <c r="L919" t="str">
        <f>+VLOOKUP(C919,[2]Hoja1!$A$1:$B$138,2,0)</f>
        <v>APROBAR</v>
      </c>
      <c r="M919">
        <v>1</v>
      </c>
      <c r="N919" t="e">
        <v>#N/A</v>
      </c>
    </row>
    <row r="920" spans="1:14" ht="15" customHeight="1" x14ac:dyDescent="0.3">
      <c r="A920" s="3">
        <v>1209658503</v>
      </c>
      <c r="B920" s="3" t="s">
        <v>983</v>
      </c>
      <c r="C920" s="3" t="s">
        <v>984</v>
      </c>
      <c r="D920" s="4">
        <v>46307.4238078704</v>
      </c>
      <c r="E920" s="5" t="s">
        <v>10</v>
      </c>
      <c r="F920" s="5" t="s">
        <v>11</v>
      </c>
      <c r="G920" s="5">
        <v>50</v>
      </c>
      <c r="H920" s="6" t="s">
        <v>12</v>
      </c>
      <c r="I920" t="s">
        <v>1049</v>
      </c>
      <c r="J920" t="s">
        <v>2480</v>
      </c>
      <c r="K920" t="str">
        <f>+VLOOKUP(C920,'[1]TIENDAS 2025'!$A$1:$C$143,3,0)</f>
        <v>nocturna</v>
      </c>
      <c r="L920" t="str">
        <f>+VLOOKUP(C920,[2]Hoja1!$A$1:$B$138,2,0)</f>
        <v>APROBAR</v>
      </c>
      <c r="M920">
        <v>1</v>
      </c>
      <c r="N920" t="e">
        <v>#N/A</v>
      </c>
    </row>
    <row r="921" spans="1:14" ht="15" customHeight="1" x14ac:dyDescent="0.3">
      <c r="A921" s="3">
        <v>8209658489</v>
      </c>
      <c r="B921" s="3" t="s">
        <v>983</v>
      </c>
      <c r="C921" s="3" t="s">
        <v>984</v>
      </c>
      <c r="D921" s="4">
        <v>46307.423819444397</v>
      </c>
      <c r="E921" s="5" t="s">
        <v>10</v>
      </c>
      <c r="F921" s="5" t="s">
        <v>16</v>
      </c>
      <c r="G921" s="5">
        <v>1</v>
      </c>
      <c r="H921" s="8" t="s">
        <v>12</v>
      </c>
      <c r="I921" t="s">
        <v>1050</v>
      </c>
      <c r="K921" t="str">
        <f>+VLOOKUP(C921,'[1]TIENDAS 2025'!$A$1:$C$143,3,0)</f>
        <v>nocturna</v>
      </c>
      <c r="L921" t="str">
        <f>+VLOOKUP(C921,[2]Hoja1!$A$1:$B$138,2,0)</f>
        <v>APROBAR</v>
      </c>
      <c r="M921">
        <v>1</v>
      </c>
      <c r="N921" t="e">
        <v>#N/A</v>
      </c>
    </row>
    <row r="922" spans="1:14" ht="15" customHeight="1" x14ac:dyDescent="0.3">
      <c r="A922" s="3">
        <v>1209658526</v>
      </c>
      <c r="B922" s="3" t="s">
        <v>987</v>
      </c>
      <c r="C922" s="3" t="s">
        <v>988</v>
      </c>
      <c r="D922" s="4">
        <v>46307.423842592601</v>
      </c>
      <c r="E922" s="5" t="s">
        <v>10</v>
      </c>
      <c r="F922" s="5" t="s">
        <v>11</v>
      </c>
      <c r="G922" s="5">
        <v>1</v>
      </c>
      <c r="H922" s="6" t="s">
        <v>12</v>
      </c>
      <c r="I922" t="s">
        <v>1051</v>
      </c>
      <c r="J922" t="s">
        <v>2480</v>
      </c>
      <c r="K922" t="str">
        <f>+VLOOKUP(C922,'[1]TIENDAS 2025'!$A$1:$C$143,3,0)</f>
        <v>departamental</v>
      </c>
      <c r="L922" t="str">
        <f>+VLOOKUP(C922,[2]Hoja1!$A$1:$B$138,2,0)</f>
        <v>APROBAR</v>
      </c>
      <c r="M922">
        <v>1</v>
      </c>
      <c r="N922" t="e">
        <v>#N/A</v>
      </c>
    </row>
    <row r="923" spans="1:14" ht="15" customHeight="1" x14ac:dyDescent="0.3">
      <c r="A923" s="3">
        <v>1209658532</v>
      </c>
      <c r="B923" s="3" t="s">
        <v>987</v>
      </c>
      <c r="C923" s="3" t="s">
        <v>988</v>
      </c>
      <c r="D923" s="4">
        <v>46307.4238541667</v>
      </c>
      <c r="E923" s="5" t="s">
        <v>10</v>
      </c>
      <c r="F923" s="5" t="s">
        <v>17</v>
      </c>
      <c r="G923" s="5">
        <v>11</v>
      </c>
      <c r="H923" s="6" t="s">
        <v>12</v>
      </c>
      <c r="I923" t="s">
        <v>1052</v>
      </c>
      <c r="J923" t="s">
        <v>2480</v>
      </c>
      <c r="K923" t="str">
        <f>+VLOOKUP(C923,'[1]TIENDAS 2025'!$A$1:$C$143,3,0)</f>
        <v>departamental</v>
      </c>
      <c r="L923" t="str">
        <f>+VLOOKUP(C923,[2]Hoja1!$A$1:$B$138,2,0)</f>
        <v>APROBAR</v>
      </c>
      <c r="M923">
        <v>1</v>
      </c>
      <c r="N923" t="e">
        <v>#N/A</v>
      </c>
    </row>
    <row r="924" spans="1:14" ht="15" customHeight="1" x14ac:dyDescent="0.3">
      <c r="A924" s="3">
        <v>1209658533</v>
      </c>
      <c r="B924" s="3" t="s">
        <v>987</v>
      </c>
      <c r="C924" s="3" t="s">
        <v>988</v>
      </c>
      <c r="D924" s="4">
        <v>46307.423865740697</v>
      </c>
      <c r="E924" s="5" t="s">
        <v>10</v>
      </c>
      <c r="F924" s="5" t="s">
        <v>11</v>
      </c>
      <c r="G924" s="5">
        <v>11</v>
      </c>
      <c r="H924" s="6" t="s">
        <v>12</v>
      </c>
      <c r="I924" t="s">
        <v>1053</v>
      </c>
      <c r="J924" t="s">
        <v>2480</v>
      </c>
      <c r="K924" t="str">
        <f>+VLOOKUP(C924,'[1]TIENDAS 2025'!$A$1:$C$143,3,0)</f>
        <v>departamental</v>
      </c>
      <c r="L924" t="str">
        <f>+VLOOKUP(C924,[2]Hoja1!$A$1:$B$138,2,0)</f>
        <v>APROBAR</v>
      </c>
      <c r="M924">
        <v>1</v>
      </c>
      <c r="N924" t="e">
        <v>#N/A</v>
      </c>
    </row>
    <row r="925" spans="1:14" ht="15" customHeight="1" x14ac:dyDescent="0.3">
      <c r="A925" s="3">
        <v>1209658538</v>
      </c>
      <c r="B925" s="3" t="s">
        <v>987</v>
      </c>
      <c r="C925" s="3" t="s">
        <v>988</v>
      </c>
      <c r="D925" s="4">
        <v>46307.423877314803</v>
      </c>
      <c r="E925" s="5" t="s">
        <v>10</v>
      </c>
      <c r="F925" s="5" t="s">
        <v>11</v>
      </c>
      <c r="G925" s="5">
        <v>42</v>
      </c>
      <c r="H925" s="6" t="s">
        <v>12</v>
      </c>
      <c r="I925" t="s">
        <v>1054</v>
      </c>
      <c r="J925" t="s">
        <v>2480</v>
      </c>
      <c r="K925" t="str">
        <f>+VLOOKUP(C925,'[1]TIENDAS 2025'!$A$1:$C$143,3,0)</f>
        <v>departamental</v>
      </c>
      <c r="L925" t="str">
        <f>+VLOOKUP(C925,[2]Hoja1!$A$1:$B$138,2,0)</f>
        <v>APROBAR</v>
      </c>
      <c r="M925">
        <v>1</v>
      </c>
      <c r="N925" t="e">
        <v>#N/A</v>
      </c>
    </row>
    <row r="926" spans="1:14" ht="15" customHeight="1" x14ac:dyDescent="0.3">
      <c r="A926" s="3">
        <v>1209658498</v>
      </c>
      <c r="B926" s="3" t="s">
        <v>983</v>
      </c>
      <c r="C926" s="3" t="s">
        <v>984</v>
      </c>
      <c r="D926" s="4">
        <v>46307.423888888901</v>
      </c>
      <c r="E926" s="5" t="s">
        <v>10</v>
      </c>
      <c r="F926" s="5" t="s">
        <v>11</v>
      </c>
      <c r="G926" s="5">
        <v>31</v>
      </c>
      <c r="H926" s="6" t="s">
        <v>12</v>
      </c>
      <c r="I926" t="s">
        <v>1055</v>
      </c>
      <c r="J926" t="s">
        <v>2480</v>
      </c>
      <c r="K926" t="str">
        <f>+VLOOKUP(C926,'[1]TIENDAS 2025'!$A$1:$C$143,3,0)</f>
        <v>nocturna</v>
      </c>
      <c r="L926" t="str">
        <f>+VLOOKUP(C926,[2]Hoja1!$A$1:$B$138,2,0)</f>
        <v>APROBAR</v>
      </c>
      <c r="M926">
        <v>1</v>
      </c>
      <c r="N926" t="e">
        <v>#N/A</v>
      </c>
    </row>
    <row r="927" spans="1:14" ht="15" customHeight="1" x14ac:dyDescent="0.3">
      <c r="A927" s="3">
        <v>1209658619</v>
      </c>
      <c r="B927" s="3" t="s">
        <v>976</v>
      </c>
      <c r="C927" s="3" t="s">
        <v>977</v>
      </c>
      <c r="D927" s="4">
        <v>46307.423912036997</v>
      </c>
      <c r="E927" s="5" t="s">
        <v>10</v>
      </c>
      <c r="F927" s="5" t="s">
        <v>17</v>
      </c>
      <c r="G927" s="5">
        <v>27</v>
      </c>
      <c r="H927" s="6" t="s">
        <v>12</v>
      </c>
      <c r="I927" t="s">
        <v>1056</v>
      </c>
      <c r="J927" t="s">
        <v>2480</v>
      </c>
      <c r="K927" t="str">
        <f>+VLOOKUP(C927,'[1]TIENDAS 2025'!$A$1:$C$143,3,0)</f>
        <v>departamental</v>
      </c>
      <c r="L927" t="str">
        <f>+VLOOKUP(C927,[2]Hoja1!$A$1:$B$138,2,0)</f>
        <v>APROBAR</v>
      </c>
      <c r="M927">
        <v>1</v>
      </c>
      <c r="N927" t="e">
        <v>#N/A</v>
      </c>
    </row>
    <row r="928" spans="1:14" ht="15" customHeight="1" x14ac:dyDescent="0.3">
      <c r="A928" s="3">
        <v>8209658458</v>
      </c>
      <c r="B928" s="3" t="s">
        <v>881</v>
      </c>
      <c r="C928" s="3" t="s">
        <v>882</v>
      </c>
      <c r="D928" s="4">
        <v>46307.423912036997</v>
      </c>
      <c r="E928" s="5" t="s">
        <v>10</v>
      </c>
      <c r="F928" s="5" t="s">
        <v>16</v>
      </c>
      <c r="G928" s="5">
        <v>2</v>
      </c>
      <c r="H928" s="8" t="s">
        <v>12</v>
      </c>
      <c r="I928" t="s">
        <v>1057</v>
      </c>
      <c r="K928" t="str">
        <f>+VLOOKUP(C928,'[1]TIENDAS 2025'!$A$1:$C$143,3,0)</f>
        <v>local</v>
      </c>
      <c r="L928" t="str">
        <f>+VLOOKUP(C928,[2]Hoja1!$A$1:$B$138,2,0)</f>
        <v>APROBAR</v>
      </c>
      <c r="M928">
        <v>1</v>
      </c>
      <c r="N928" t="e">
        <v>#N/A</v>
      </c>
    </row>
    <row r="929" spans="1:14" ht="15" customHeight="1" x14ac:dyDescent="0.3">
      <c r="A929" s="3">
        <v>8209658487</v>
      </c>
      <c r="B929" s="3" t="s">
        <v>983</v>
      </c>
      <c r="C929" s="3" t="s">
        <v>984</v>
      </c>
      <c r="D929" s="4">
        <v>46307.423935185201</v>
      </c>
      <c r="E929" s="5" t="s">
        <v>10</v>
      </c>
      <c r="F929" s="5" t="s">
        <v>16</v>
      </c>
      <c r="G929" s="5">
        <v>2</v>
      </c>
      <c r="H929" s="8" t="s">
        <v>12</v>
      </c>
      <c r="I929" t="s">
        <v>1058</v>
      </c>
      <c r="K929" t="str">
        <f>+VLOOKUP(C929,'[1]TIENDAS 2025'!$A$1:$C$143,3,0)</f>
        <v>nocturna</v>
      </c>
      <c r="L929" t="str">
        <f>+VLOOKUP(C929,[2]Hoja1!$A$1:$B$138,2,0)</f>
        <v>APROBAR</v>
      </c>
      <c r="M929">
        <v>1</v>
      </c>
      <c r="N929" t="e">
        <v>#N/A</v>
      </c>
    </row>
    <row r="930" spans="1:14" ht="15" customHeight="1" x14ac:dyDescent="0.3">
      <c r="A930" s="3">
        <v>8209658486</v>
      </c>
      <c r="B930" s="3" t="s">
        <v>983</v>
      </c>
      <c r="C930" s="3" t="s">
        <v>984</v>
      </c>
      <c r="D930" s="4">
        <v>46307.4239467593</v>
      </c>
      <c r="E930" s="5" t="s">
        <v>10</v>
      </c>
      <c r="F930" s="5" t="s">
        <v>16</v>
      </c>
      <c r="G930" s="5">
        <v>16</v>
      </c>
      <c r="H930" s="8" t="s">
        <v>12</v>
      </c>
      <c r="I930" t="s">
        <v>1059</v>
      </c>
      <c r="K930" t="str">
        <f>+VLOOKUP(C930,'[1]TIENDAS 2025'!$A$1:$C$143,3,0)</f>
        <v>nocturna</v>
      </c>
      <c r="L930" t="str">
        <f>+VLOOKUP(C930,[2]Hoja1!$A$1:$B$138,2,0)</f>
        <v>APROBAR</v>
      </c>
      <c r="M930">
        <v>1</v>
      </c>
      <c r="N930" t="e">
        <v>#N/A</v>
      </c>
    </row>
    <row r="931" spans="1:14" ht="15" customHeight="1" x14ac:dyDescent="0.3">
      <c r="A931" s="3">
        <v>1209658476</v>
      </c>
      <c r="B931" s="3" t="s">
        <v>881</v>
      </c>
      <c r="C931" s="3" t="s">
        <v>882</v>
      </c>
      <c r="D931" s="4">
        <v>46307.423958333296</v>
      </c>
      <c r="E931" s="5" t="s">
        <v>10</v>
      </c>
      <c r="F931" s="5" t="s">
        <v>17</v>
      </c>
      <c r="G931" s="5">
        <v>42</v>
      </c>
      <c r="H931" s="6" t="s">
        <v>12</v>
      </c>
      <c r="I931" t="s">
        <v>1060</v>
      </c>
      <c r="J931" t="s">
        <v>2480</v>
      </c>
      <c r="K931" t="str">
        <f>+VLOOKUP(C931,'[1]TIENDAS 2025'!$A$1:$C$143,3,0)</f>
        <v>local</v>
      </c>
      <c r="L931" t="str">
        <f>+VLOOKUP(C931,[2]Hoja1!$A$1:$B$138,2,0)</f>
        <v>APROBAR</v>
      </c>
      <c r="M931">
        <v>1</v>
      </c>
      <c r="N931" t="e">
        <v>#N/A</v>
      </c>
    </row>
    <row r="932" spans="1:14" ht="15" customHeight="1" x14ac:dyDescent="0.3">
      <c r="A932" s="3">
        <v>1209658680</v>
      </c>
      <c r="B932" s="3" t="s">
        <v>1062</v>
      </c>
      <c r="C932" s="3" t="s">
        <v>1063</v>
      </c>
      <c r="D932" s="4">
        <v>46307.426296296297</v>
      </c>
      <c r="E932" s="5" t="s">
        <v>10</v>
      </c>
      <c r="F932" s="5" t="s">
        <v>11</v>
      </c>
      <c r="G932" s="5">
        <v>44</v>
      </c>
      <c r="H932" s="6" t="s">
        <v>12</v>
      </c>
      <c r="I932" t="s">
        <v>1061</v>
      </c>
      <c r="J932" t="s">
        <v>2480</v>
      </c>
      <c r="K932" t="str">
        <f>+VLOOKUP(C932,'[1]TIENDAS 2025'!$A$1:$C$143,3,0)</f>
        <v>prioridad</v>
      </c>
      <c r="L932" t="str">
        <f>+VLOOKUP(C932,[2]Hoja1!$A$1:$B$138,2,0)</f>
        <v>APROBAR</v>
      </c>
      <c r="M932">
        <v>1</v>
      </c>
      <c r="N932" t="e">
        <v>#N/A</v>
      </c>
    </row>
    <row r="933" spans="1:14" ht="15" customHeight="1" x14ac:dyDescent="0.3">
      <c r="A933" s="3">
        <v>1209658732</v>
      </c>
      <c r="B933" s="3" t="s">
        <v>1065</v>
      </c>
      <c r="C933" s="3" t="s">
        <v>1066</v>
      </c>
      <c r="D933" s="4">
        <v>46307.426307870403</v>
      </c>
      <c r="E933" s="5" t="s">
        <v>10</v>
      </c>
      <c r="F933" s="5" t="s">
        <v>17</v>
      </c>
      <c r="G933" s="5">
        <v>86</v>
      </c>
      <c r="H933" s="6" t="s">
        <v>12</v>
      </c>
      <c r="I933" t="s">
        <v>1064</v>
      </c>
      <c r="J933" t="s">
        <v>2480</v>
      </c>
      <c r="K933" t="str">
        <f>+VLOOKUP(C933,'[1]TIENDAS 2025'!$A$1:$C$143,3,0)</f>
        <v>nocturna</v>
      </c>
      <c r="L933" t="str">
        <f>+VLOOKUP(C933,[2]Hoja1!$A$1:$B$138,2,0)</f>
        <v>APROBAR</v>
      </c>
      <c r="M933">
        <v>1</v>
      </c>
      <c r="N933" t="e">
        <v>#N/A</v>
      </c>
    </row>
    <row r="934" spans="1:14" ht="15" customHeight="1" x14ac:dyDescent="0.3">
      <c r="A934" s="3">
        <v>1209658719</v>
      </c>
      <c r="B934" s="3" t="s">
        <v>1065</v>
      </c>
      <c r="C934" s="3" t="s">
        <v>1066</v>
      </c>
      <c r="D934" s="4">
        <v>46307.426319444399</v>
      </c>
      <c r="E934" s="5" t="s">
        <v>10</v>
      </c>
      <c r="F934" s="5" t="s">
        <v>11</v>
      </c>
      <c r="G934" s="5">
        <v>40</v>
      </c>
      <c r="H934" s="6" t="s">
        <v>12</v>
      </c>
      <c r="I934" t="s">
        <v>1067</v>
      </c>
      <c r="J934" t="s">
        <v>2480</v>
      </c>
      <c r="K934" t="str">
        <f>+VLOOKUP(C934,'[1]TIENDAS 2025'!$A$1:$C$143,3,0)</f>
        <v>nocturna</v>
      </c>
      <c r="L934" t="str">
        <f>+VLOOKUP(C934,[2]Hoja1!$A$1:$B$138,2,0)</f>
        <v>APROBAR</v>
      </c>
      <c r="M934">
        <v>1</v>
      </c>
      <c r="N934" t="e">
        <v>#N/A</v>
      </c>
    </row>
    <row r="935" spans="1:14" ht="15" customHeight="1" x14ac:dyDescent="0.3">
      <c r="A935" s="3">
        <v>8209658666</v>
      </c>
      <c r="B935" s="3" t="s">
        <v>1062</v>
      </c>
      <c r="C935" s="3" t="s">
        <v>1063</v>
      </c>
      <c r="D935" s="4">
        <v>46307.426342592596</v>
      </c>
      <c r="E935" s="5" t="s">
        <v>10</v>
      </c>
      <c r="F935" s="5" t="s">
        <v>16</v>
      </c>
      <c r="G935" s="5">
        <v>8</v>
      </c>
      <c r="H935" s="8" t="s">
        <v>12</v>
      </c>
      <c r="I935" t="s">
        <v>1068</v>
      </c>
      <c r="K935" t="str">
        <f>+VLOOKUP(C935,'[1]TIENDAS 2025'!$A$1:$C$143,3,0)</f>
        <v>prioridad</v>
      </c>
      <c r="L935" t="str">
        <f>+VLOOKUP(C935,[2]Hoja1!$A$1:$B$138,2,0)</f>
        <v>APROBAR</v>
      </c>
      <c r="M935">
        <v>1</v>
      </c>
      <c r="N935" t="e">
        <v>#N/A</v>
      </c>
    </row>
    <row r="936" spans="1:14" ht="15" customHeight="1" x14ac:dyDescent="0.3">
      <c r="A936" s="3">
        <v>1209658759</v>
      </c>
      <c r="B936" s="3" t="s">
        <v>1070</v>
      </c>
      <c r="C936" s="3" t="s">
        <v>1071</v>
      </c>
      <c r="D936" s="4">
        <v>46307.426354166702</v>
      </c>
      <c r="E936" s="5" t="s">
        <v>10</v>
      </c>
      <c r="F936" s="5" t="s">
        <v>11</v>
      </c>
      <c r="G936" s="5">
        <v>2</v>
      </c>
      <c r="H936" s="6" t="s">
        <v>12</v>
      </c>
      <c r="I936" t="s">
        <v>1069</v>
      </c>
      <c r="J936" t="s">
        <v>2480</v>
      </c>
      <c r="K936" t="str">
        <f>+VLOOKUP(C936,'[1]TIENDAS 2025'!$A$1:$C$143,3,0)</f>
        <v>departamental</v>
      </c>
      <c r="L936" t="str">
        <f>+VLOOKUP(C936,[2]Hoja1!$A$1:$B$138,2,0)</f>
        <v>APROBAR</v>
      </c>
      <c r="M936">
        <v>1</v>
      </c>
      <c r="N936" t="e">
        <v>#N/A</v>
      </c>
    </row>
    <row r="937" spans="1:14" ht="15" customHeight="1" x14ac:dyDescent="0.3">
      <c r="A937" s="3">
        <v>1209658761</v>
      </c>
      <c r="B937" s="3" t="s">
        <v>1070</v>
      </c>
      <c r="C937" s="3" t="s">
        <v>1071</v>
      </c>
      <c r="D937" s="4">
        <v>46307.426365740699</v>
      </c>
      <c r="E937" s="5" t="s">
        <v>10</v>
      </c>
      <c r="F937" s="5" t="s">
        <v>11</v>
      </c>
      <c r="G937" s="5">
        <v>10</v>
      </c>
      <c r="H937" s="6" t="s">
        <v>12</v>
      </c>
      <c r="I937" t="s">
        <v>1072</v>
      </c>
      <c r="J937" t="s">
        <v>2480</v>
      </c>
      <c r="K937" t="str">
        <f>+VLOOKUP(C937,'[1]TIENDAS 2025'!$A$1:$C$143,3,0)</f>
        <v>departamental</v>
      </c>
      <c r="L937" t="str">
        <f>+VLOOKUP(C937,[2]Hoja1!$A$1:$B$138,2,0)</f>
        <v>APROBAR</v>
      </c>
      <c r="M937">
        <v>1</v>
      </c>
      <c r="N937" t="e">
        <v>#N/A</v>
      </c>
    </row>
    <row r="938" spans="1:14" ht="15" customHeight="1" x14ac:dyDescent="0.3">
      <c r="A938" s="3">
        <v>1209658728</v>
      </c>
      <c r="B938" s="3" t="s">
        <v>1065</v>
      </c>
      <c r="C938" s="3" t="s">
        <v>1066</v>
      </c>
      <c r="D938" s="4">
        <v>46307.426377314798</v>
      </c>
      <c r="E938" s="5" t="s">
        <v>10</v>
      </c>
      <c r="F938" s="5" t="s">
        <v>17</v>
      </c>
      <c r="G938" s="5">
        <v>7</v>
      </c>
      <c r="H938" s="6" t="s">
        <v>12</v>
      </c>
      <c r="I938" t="s">
        <v>1073</v>
      </c>
      <c r="J938" t="s">
        <v>2480</v>
      </c>
      <c r="K938" t="str">
        <f>+VLOOKUP(C938,'[1]TIENDAS 2025'!$A$1:$C$143,3,0)</f>
        <v>nocturna</v>
      </c>
      <c r="L938" t="str">
        <f>+VLOOKUP(C938,[2]Hoja1!$A$1:$B$138,2,0)</f>
        <v>APROBAR</v>
      </c>
      <c r="M938">
        <v>1</v>
      </c>
      <c r="N938" t="e">
        <v>#N/A</v>
      </c>
    </row>
    <row r="939" spans="1:14" ht="15" customHeight="1" x14ac:dyDescent="0.3">
      <c r="A939" s="3">
        <v>1209658730</v>
      </c>
      <c r="B939" s="3" t="s">
        <v>1065</v>
      </c>
      <c r="C939" s="3" t="s">
        <v>1066</v>
      </c>
      <c r="D939" s="4">
        <v>46307.426388888904</v>
      </c>
      <c r="E939" s="5" t="s">
        <v>10</v>
      </c>
      <c r="F939" s="5" t="s">
        <v>17</v>
      </c>
      <c r="G939" s="5">
        <v>44</v>
      </c>
      <c r="H939" s="6" t="s">
        <v>12</v>
      </c>
      <c r="I939" t="s">
        <v>1074</v>
      </c>
      <c r="J939" t="s">
        <v>2480</v>
      </c>
      <c r="K939" t="str">
        <f>+VLOOKUP(C939,'[1]TIENDAS 2025'!$A$1:$C$143,3,0)</f>
        <v>nocturna</v>
      </c>
      <c r="L939" t="str">
        <f>+VLOOKUP(C939,[2]Hoja1!$A$1:$B$138,2,0)</f>
        <v>APROBAR</v>
      </c>
      <c r="M939">
        <v>1</v>
      </c>
      <c r="N939" t="e">
        <v>#N/A</v>
      </c>
    </row>
    <row r="940" spans="1:14" ht="15" customHeight="1" x14ac:dyDescent="0.3">
      <c r="A940" s="3">
        <v>1209658677</v>
      </c>
      <c r="B940" s="3" t="s">
        <v>1062</v>
      </c>
      <c r="C940" s="3" t="s">
        <v>1063</v>
      </c>
      <c r="D940" s="4">
        <v>46307.426412036999</v>
      </c>
      <c r="E940" s="5" t="s">
        <v>10</v>
      </c>
      <c r="F940" s="5" t="s">
        <v>11</v>
      </c>
      <c r="G940" s="5">
        <v>23</v>
      </c>
      <c r="H940" s="6" t="s">
        <v>12</v>
      </c>
      <c r="I940" t="s">
        <v>1075</v>
      </c>
      <c r="J940" t="s">
        <v>2480</v>
      </c>
      <c r="K940" t="str">
        <f>+VLOOKUP(C940,'[1]TIENDAS 2025'!$A$1:$C$143,3,0)</f>
        <v>prioridad</v>
      </c>
      <c r="L940" t="str">
        <f>+VLOOKUP(C940,[2]Hoja1!$A$1:$B$138,2,0)</f>
        <v>APROBAR</v>
      </c>
      <c r="M940">
        <v>1</v>
      </c>
      <c r="N940" t="e">
        <v>#N/A</v>
      </c>
    </row>
    <row r="941" spans="1:14" ht="15" customHeight="1" x14ac:dyDescent="0.3">
      <c r="A941" s="3">
        <v>1209658644</v>
      </c>
      <c r="B941" s="3" t="s">
        <v>1077</v>
      </c>
      <c r="C941" s="3" t="s">
        <v>1078</v>
      </c>
      <c r="D941" s="4">
        <v>46307.426423611098</v>
      </c>
      <c r="E941" s="5" t="s">
        <v>10</v>
      </c>
      <c r="F941" s="5" t="s">
        <v>17</v>
      </c>
      <c r="G941" s="5">
        <v>35</v>
      </c>
      <c r="H941" s="6" t="s">
        <v>12</v>
      </c>
      <c r="I941" t="s">
        <v>1076</v>
      </c>
      <c r="J941" t="s">
        <v>2480</v>
      </c>
      <c r="K941" t="str">
        <f>+VLOOKUP(C941,'[1]TIENDAS 2025'!$A$1:$C$143,3,0)</f>
        <v>departamental</v>
      </c>
      <c r="L941" t="str">
        <f>+VLOOKUP(C941,[2]Hoja1!$A$1:$B$138,2,0)</f>
        <v>APROBAR</v>
      </c>
      <c r="M941">
        <v>1</v>
      </c>
      <c r="N941" t="e">
        <v>#N/A</v>
      </c>
    </row>
    <row r="942" spans="1:14" ht="15" customHeight="1" x14ac:dyDescent="0.3">
      <c r="A942" s="3">
        <v>8209658775</v>
      </c>
      <c r="B942" s="3" t="s">
        <v>1080</v>
      </c>
      <c r="C942" s="3" t="s">
        <v>1081</v>
      </c>
      <c r="D942" s="4">
        <v>46307.426435185203</v>
      </c>
      <c r="E942" s="5" t="s">
        <v>10</v>
      </c>
      <c r="F942" s="5" t="s">
        <v>16</v>
      </c>
      <c r="G942" s="5">
        <v>2</v>
      </c>
      <c r="H942" s="8" t="s">
        <v>12</v>
      </c>
      <c r="I942" t="s">
        <v>1079</v>
      </c>
      <c r="K942" t="str">
        <f>+VLOOKUP(C942,'[1]TIENDAS 2025'!$A$1:$C$143,3,0)</f>
        <v>departamental</v>
      </c>
      <c r="L942" t="str">
        <f>+VLOOKUP(C942,[2]Hoja1!$A$1:$B$138,2,0)</f>
        <v>APROBAR</v>
      </c>
      <c r="M942">
        <v>1</v>
      </c>
      <c r="N942" t="e">
        <v>#N/A</v>
      </c>
    </row>
    <row r="943" spans="1:14" ht="15" customHeight="1" x14ac:dyDescent="0.3">
      <c r="A943" s="3">
        <v>1209658778</v>
      </c>
      <c r="B943" s="3" t="s">
        <v>1080</v>
      </c>
      <c r="C943" s="3" t="s">
        <v>1081</v>
      </c>
      <c r="D943" s="4">
        <v>46307.426446759302</v>
      </c>
      <c r="E943" s="5" t="s">
        <v>10</v>
      </c>
      <c r="F943" s="5" t="s">
        <v>11</v>
      </c>
      <c r="G943" s="5">
        <v>9</v>
      </c>
      <c r="H943" s="6" t="s">
        <v>12</v>
      </c>
      <c r="I943" t="s">
        <v>1082</v>
      </c>
      <c r="J943" t="s">
        <v>2480</v>
      </c>
      <c r="K943" t="str">
        <f>+VLOOKUP(C943,'[1]TIENDAS 2025'!$A$1:$C$143,3,0)</f>
        <v>departamental</v>
      </c>
      <c r="L943" t="str">
        <f>+VLOOKUP(C943,[2]Hoja1!$A$1:$B$138,2,0)</f>
        <v>APROBAR</v>
      </c>
      <c r="M943">
        <v>1</v>
      </c>
      <c r="N943" t="e">
        <v>#N/A</v>
      </c>
    </row>
    <row r="944" spans="1:14" ht="15" customHeight="1" x14ac:dyDescent="0.3">
      <c r="A944" s="3">
        <v>8209658709</v>
      </c>
      <c r="B944" s="3" t="s">
        <v>1065</v>
      </c>
      <c r="C944" s="3" t="s">
        <v>1066</v>
      </c>
      <c r="D944" s="4">
        <v>46307.426469907397</v>
      </c>
      <c r="E944" s="5" t="s">
        <v>10</v>
      </c>
      <c r="F944" s="5" t="s">
        <v>16</v>
      </c>
      <c r="G944" s="5">
        <v>35</v>
      </c>
      <c r="H944" s="8" t="s">
        <v>12</v>
      </c>
      <c r="I944" t="s">
        <v>1083</v>
      </c>
      <c r="K944" t="str">
        <f>+VLOOKUP(C944,'[1]TIENDAS 2025'!$A$1:$C$143,3,0)</f>
        <v>nocturna</v>
      </c>
      <c r="L944" t="str">
        <f>+VLOOKUP(C944,[2]Hoja1!$A$1:$B$138,2,0)</f>
        <v>APROBAR</v>
      </c>
      <c r="M944">
        <v>1</v>
      </c>
      <c r="N944" t="e">
        <v>#N/A</v>
      </c>
    </row>
    <row r="945" spans="1:14" ht="15" customHeight="1" x14ac:dyDescent="0.3">
      <c r="A945" s="3">
        <v>8209658710</v>
      </c>
      <c r="B945" s="3" t="s">
        <v>1065</v>
      </c>
      <c r="C945" s="3" t="s">
        <v>1066</v>
      </c>
      <c r="D945" s="4">
        <v>46307.426481481503</v>
      </c>
      <c r="E945" s="5" t="s">
        <v>10</v>
      </c>
      <c r="F945" s="5" t="s">
        <v>16</v>
      </c>
      <c r="G945" s="5">
        <v>5</v>
      </c>
      <c r="H945" s="8" t="s">
        <v>12</v>
      </c>
      <c r="I945" t="s">
        <v>1084</v>
      </c>
      <c r="K945" t="str">
        <f>+VLOOKUP(C945,'[1]TIENDAS 2025'!$A$1:$C$143,3,0)</f>
        <v>nocturna</v>
      </c>
      <c r="L945" t="str">
        <f>+VLOOKUP(C945,[2]Hoja1!$A$1:$B$138,2,0)</f>
        <v>APROBAR</v>
      </c>
      <c r="M945">
        <v>1</v>
      </c>
      <c r="N945" t="e">
        <v>#N/A</v>
      </c>
    </row>
    <row r="946" spans="1:14" ht="15" customHeight="1" x14ac:dyDescent="0.3">
      <c r="A946" s="3">
        <v>1209658671</v>
      </c>
      <c r="B946" s="3" t="s">
        <v>1062</v>
      </c>
      <c r="C946" s="3" t="s">
        <v>1063</v>
      </c>
      <c r="D946" s="4">
        <v>46307.426493055602</v>
      </c>
      <c r="E946" s="5" t="s">
        <v>10</v>
      </c>
      <c r="F946" s="5" t="s">
        <v>11</v>
      </c>
      <c r="G946" s="5">
        <v>5</v>
      </c>
      <c r="H946" s="6" t="s">
        <v>12</v>
      </c>
      <c r="I946" t="s">
        <v>1085</v>
      </c>
      <c r="J946" t="s">
        <v>2480</v>
      </c>
      <c r="K946" t="str">
        <f>+VLOOKUP(C946,'[1]TIENDAS 2025'!$A$1:$C$143,3,0)</f>
        <v>prioridad</v>
      </c>
      <c r="L946" t="str">
        <f>+VLOOKUP(C946,[2]Hoja1!$A$1:$B$138,2,0)</f>
        <v>APROBAR</v>
      </c>
      <c r="M946">
        <v>1</v>
      </c>
      <c r="N946" t="e">
        <v>#N/A</v>
      </c>
    </row>
    <row r="947" spans="1:14" ht="15" customHeight="1" x14ac:dyDescent="0.3">
      <c r="A947" s="3">
        <v>8209658757</v>
      </c>
      <c r="B947" s="3" t="s">
        <v>1070</v>
      </c>
      <c r="C947" s="3" t="s">
        <v>1071</v>
      </c>
      <c r="D947" s="4">
        <v>46307.426504629599</v>
      </c>
      <c r="E947" s="5" t="s">
        <v>10</v>
      </c>
      <c r="F947" s="5" t="s">
        <v>16</v>
      </c>
      <c r="G947" s="5">
        <v>3</v>
      </c>
      <c r="H947" s="8" t="s">
        <v>12</v>
      </c>
      <c r="I947" t="s">
        <v>1086</v>
      </c>
      <c r="K947" t="str">
        <f>+VLOOKUP(C947,'[1]TIENDAS 2025'!$A$1:$C$143,3,0)</f>
        <v>departamental</v>
      </c>
      <c r="L947" t="str">
        <f>+VLOOKUP(C947,[2]Hoja1!$A$1:$B$138,2,0)</f>
        <v>APROBAR</v>
      </c>
      <c r="M947">
        <v>1</v>
      </c>
      <c r="N947" t="e">
        <v>#N/A</v>
      </c>
    </row>
    <row r="948" spans="1:14" ht="15" customHeight="1" x14ac:dyDescent="0.3">
      <c r="A948" s="3">
        <v>8209658631</v>
      </c>
      <c r="B948" s="3" t="s">
        <v>1077</v>
      </c>
      <c r="C948" s="3" t="s">
        <v>1078</v>
      </c>
      <c r="D948" s="4">
        <v>46307.426516203697</v>
      </c>
      <c r="E948" s="5" t="s">
        <v>10</v>
      </c>
      <c r="F948" s="5" t="s">
        <v>16</v>
      </c>
      <c r="G948" s="5">
        <v>4</v>
      </c>
      <c r="H948" s="8" t="s">
        <v>12</v>
      </c>
      <c r="I948" t="s">
        <v>1087</v>
      </c>
      <c r="K948" t="str">
        <f>+VLOOKUP(C948,'[1]TIENDAS 2025'!$A$1:$C$143,3,0)</f>
        <v>departamental</v>
      </c>
      <c r="L948" t="str">
        <f>+VLOOKUP(C948,[2]Hoja1!$A$1:$B$138,2,0)</f>
        <v>APROBAR</v>
      </c>
      <c r="M948">
        <v>1</v>
      </c>
      <c r="N948" t="e">
        <v>#N/A</v>
      </c>
    </row>
    <row r="949" spans="1:14" ht="15" customHeight="1" x14ac:dyDescent="0.3">
      <c r="A949" s="3">
        <v>1209658729</v>
      </c>
      <c r="B949" s="3" t="s">
        <v>1065</v>
      </c>
      <c r="C949" s="3" t="s">
        <v>1066</v>
      </c>
      <c r="D949" s="4">
        <v>46307.426539351902</v>
      </c>
      <c r="E949" s="5" t="s">
        <v>10</v>
      </c>
      <c r="F949" s="5" t="s">
        <v>17</v>
      </c>
      <c r="G949" s="5">
        <v>14</v>
      </c>
      <c r="H949" s="6" t="s">
        <v>12</v>
      </c>
      <c r="I949" t="s">
        <v>1088</v>
      </c>
      <c r="J949" t="s">
        <v>2480</v>
      </c>
      <c r="K949" t="str">
        <f>+VLOOKUP(C949,'[1]TIENDAS 2025'!$A$1:$C$143,3,0)</f>
        <v>nocturna</v>
      </c>
      <c r="L949" t="str">
        <f>+VLOOKUP(C949,[2]Hoja1!$A$1:$B$138,2,0)</f>
        <v>APROBAR</v>
      </c>
      <c r="M949">
        <v>1</v>
      </c>
      <c r="N949" t="e">
        <v>#N/A</v>
      </c>
    </row>
    <row r="950" spans="1:14" ht="15" customHeight="1" x14ac:dyDescent="0.3">
      <c r="A950" s="3">
        <v>1209658763</v>
      </c>
      <c r="B950" s="3" t="s">
        <v>1070</v>
      </c>
      <c r="C950" s="3" t="s">
        <v>1071</v>
      </c>
      <c r="D950" s="4">
        <v>46307.426550925898</v>
      </c>
      <c r="E950" s="5" t="s">
        <v>10</v>
      </c>
      <c r="F950" s="5" t="s">
        <v>17</v>
      </c>
      <c r="G950" s="5">
        <v>26</v>
      </c>
      <c r="H950" s="6" t="s">
        <v>12</v>
      </c>
      <c r="I950" t="s">
        <v>1089</v>
      </c>
      <c r="J950" t="s">
        <v>2480</v>
      </c>
      <c r="K950" t="str">
        <f>+VLOOKUP(C950,'[1]TIENDAS 2025'!$A$1:$C$143,3,0)</f>
        <v>departamental</v>
      </c>
      <c r="L950" t="str">
        <f>+VLOOKUP(C950,[2]Hoja1!$A$1:$B$138,2,0)</f>
        <v>APROBAR</v>
      </c>
      <c r="M950">
        <v>1</v>
      </c>
      <c r="N950" t="e">
        <v>#N/A</v>
      </c>
    </row>
    <row r="951" spans="1:14" ht="15" customHeight="1" x14ac:dyDescent="0.3">
      <c r="A951" s="3">
        <v>1209658787</v>
      </c>
      <c r="B951" s="3" t="s">
        <v>1080</v>
      </c>
      <c r="C951" s="3" t="s">
        <v>1081</v>
      </c>
      <c r="D951" s="4">
        <v>46307.426562499997</v>
      </c>
      <c r="E951" s="5" t="s">
        <v>10</v>
      </c>
      <c r="F951" s="5" t="s">
        <v>11</v>
      </c>
      <c r="G951" s="5">
        <v>2</v>
      </c>
      <c r="H951" s="6" t="s">
        <v>12</v>
      </c>
      <c r="I951" t="s">
        <v>1090</v>
      </c>
      <c r="J951" t="s">
        <v>2480</v>
      </c>
      <c r="K951" t="str">
        <f>+VLOOKUP(C951,'[1]TIENDAS 2025'!$A$1:$C$143,3,0)</f>
        <v>departamental</v>
      </c>
      <c r="L951" t="str">
        <f>+VLOOKUP(C951,[2]Hoja1!$A$1:$B$138,2,0)</f>
        <v>APROBAR</v>
      </c>
      <c r="M951">
        <v>1</v>
      </c>
      <c r="N951" t="e">
        <v>#N/A</v>
      </c>
    </row>
    <row r="952" spans="1:14" ht="15" customHeight="1" x14ac:dyDescent="0.3">
      <c r="A952" s="3">
        <v>8209658708</v>
      </c>
      <c r="B952" s="3" t="s">
        <v>1065</v>
      </c>
      <c r="C952" s="3" t="s">
        <v>1066</v>
      </c>
      <c r="D952" s="4">
        <v>46307.426574074103</v>
      </c>
      <c r="E952" s="5" t="s">
        <v>10</v>
      </c>
      <c r="F952" s="5" t="s">
        <v>16</v>
      </c>
      <c r="G952" s="5">
        <v>2</v>
      </c>
      <c r="H952" s="8" t="s">
        <v>12</v>
      </c>
      <c r="I952" t="s">
        <v>1091</v>
      </c>
      <c r="K952" t="str">
        <f>+VLOOKUP(C952,'[1]TIENDAS 2025'!$A$1:$C$143,3,0)</f>
        <v>nocturna</v>
      </c>
      <c r="L952" t="str">
        <f>+VLOOKUP(C952,[2]Hoja1!$A$1:$B$138,2,0)</f>
        <v>APROBAR</v>
      </c>
      <c r="M952">
        <v>1</v>
      </c>
      <c r="N952" t="e">
        <v>#N/A</v>
      </c>
    </row>
    <row r="953" spans="1:14" ht="15" customHeight="1" x14ac:dyDescent="0.3">
      <c r="A953" s="3">
        <v>1209658717</v>
      </c>
      <c r="B953" s="3" t="s">
        <v>1065</v>
      </c>
      <c r="C953" s="3" t="s">
        <v>1066</v>
      </c>
      <c r="D953" s="4">
        <v>46307.426597222198</v>
      </c>
      <c r="E953" s="5" t="s">
        <v>10</v>
      </c>
      <c r="F953" s="5" t="s">
        <v>17</v>
      </c>
      <c r="G953" s="5">
        <v>20</v>
      </c>
      <c r="H953" s="6" t="s">
        <v>12</v>
      </c>
      <c r="I953" t="s">
        <v>1092</v>
      </c>
      <c r="J953" t="s">
        <v>2480</v>
      </c>
      <c r="K953" t="str">
        <f>+VLOOKUP(C953,'[1]TIENDAS 2025'!$A$1:$C$143,3,0)</f>
        <v>nocturna</v>
      </c>
      <c r="L953" t="str">
        <f>+VLOOKUP(C953,[2]Hoja1!$A$1:$B$138,2,0)</f>
        <v>APROBAR</v>
      </c>
      <c r="M953">
        <v>1</v>
      </c>
      <c r="N953" t="e">
        <v>#N/A</v>
      </c>
    </row>
    <row r="954" spans="1:14" ht="15" customHeight="1" x14ac:dyDescent="0.3">
      <c r="A954" s="3">
        <v>1209658718</v>
      </c>
      <c r="B954" s="3" t="s">
        <v>1065</v>
      </c>
      <c r="C954" s="3" t="s">
        <v>1066</v>
      </c>
      <c r="D954" s="4">
        <v>46307.426608796297</v>
      </c>
      <c r="E954" s="5" t="s">
        <v>10</v>
      </c>
      <c r="F954" s="5" t="s">
        <v>17</v>
      </c>
      <c r="G954" s="5">
        <v>40</v>
      </c>
      <c r="H954" s="6" t="s">
        <v>12</v>
      </c>
      <c r="I954" t="s">
        <v>1093</v>
      </c>
      <c r="J954" t="s">
        <v>2480</v>
      </c>
      <c r="K954" t="str">
        <f>+VLOOKUP(C954,'[1]TIENDAS 2025'!$A$1:$C$143,3,0)</f>
        <v>nocturna</v>
      </c>
      <c r="L954" t="str">
        <f>+VLOOKUP(C954,[2]Hoja1!$A$1:$B$138,2,0)</f>
        <v>APROBAR</v>
      </c>
      <c r="M954">
        <v>1</v>
      </c>
      <c r="N954" t="e">
        <v>#N/A</v>
      </c>
    </row>
    <row r="955" spans="1:14" ht="15" customHeight="1" x14ac:dyDescent="0.3">
      <c r="A955" s="3">
        <v>1209658683</v>
      </c>
      <c r="B955" s="3" t="s">
        <v>1062</v>
      </c>
      <c r="C955" s="3" t="s">
        <v>1063</v>
      </c>
      <c r="D955" s="4">
        <v>46307.426620370403</v>
      </c>
      <c r="E955" s="5" t="s">
        <v>10</v>
      </c>
      <c r="F955" s="5" t="s">
        <v>11</v>
      </c>
      <c r="G955" s="5">
        <v>3</v>
      </c>
      <c r="H955" s="6" t="s">
        <v>12</v>
      </c>
      <c r="I955" t="s">
        <v>1094</v>
      </c>
      <c r="J955" t="s">
        <v>2480</v>
      </c>
      <c r="K955" t="str">
        <f>+VLOOKUP(C955,'[1]TIENDAS 2025'!$A$1:$C$143,3,0)</f>
        <v>prioridad</v>
      </c>
      <c r="L955" t="str">
        <f>+VLOOKUP(C955,[2]Hoja1!$A$1:$B$138,2,0)</f>
        <v>APROBAR</v>
      </c>
      <c r="M955">
        <v>1</v>
      </c>
      <c r="N955" t="e">
        <v>#N/A</v>
      </c>
    </row>
    <row r="956" spans="1:14" ht="15" customHeight="1" x14ac:dyDescent="0.3">
      <c r="A956" s="3">
        <v>8209658665</v>
      </c>
      <c r="B956" s="3" t="s">
        <v>1062</v>
      </c>
      <c r="C956" s="3" t="s">
        <v>1063</v>
      </c>
      <c r="D956" s="4">
        <v>46307.4266319444</v>
      </c>
      <c r="E956" s="5" t="s">
        <v>10</v>
      </c>
      <c r="F956" s="5" t="s">
        <v>16</v>
      </c>
      <c r="G956" s="5">
        <v>3</v>
      </c>
      <c r="H956" s="8" t="s">
        <v>12</v>
      </c>
      <c r="I956" t="s">
        <v>1095</v>
      </c>
      <c r="K956" t="str">
        <f>+VLOOKUP(C956,'[1]TIENDAS 2025'!$A$1:$C$143,3,0)</f>
        <v>prioridad</v>
      </c>
      <c r="L956" t="str">
        <f>+VLOOKUP(C956,[2]Hoja1!$A$1:$B$138,2,0)</f>
        <v>APROBAR</v>
      </c>
      <c r="M956">
        <v>1</v>
      </c>
      <c r="N956" t="e">
        <v>#N/A</v>
      </c>
    </row>
    <row r="957" spans="1:14" ht="15" customHeight="1" x14ac:dyDescent="0.3">
      <c r="A957" s="3">
        <v>8209658667</v>
      </c>
      <c r="B957" s="3" t="s">
        <v>1062</v>
      </c>
      <c r="C957" s="3" t="s">
        <v>1063</v>
      </c>
      <c r="D957" s="4">
        <v>46307.426643518498</v>
      </c>
      <c r="E957" s="5" t="s">
        <v>10</v>
      </c>
      <c r="F957" s="5" t="s">
        <v>16</v>
      </c>
      <c r="G957" s="5">
        <v>2</v>
      </c>
      <c r="H957" s="8" t="s">
        <v>12</v>
      </c>
      <c r="I957" t="s">
        <v>1096</v>
      </c>
      <c r="K957" t="str">
        <f>+VLOOKUP(C957,'[1]TIENDAS 2025'!$A$1:$C$143,3,0)</f>
        <v>prioridad</v>
      </c>
      <c r="L957" t="str">
        <f>+VLOOKUP(C957,[2]Hoja1!$A$1:$B$138,2,0)</f>
        <v>APROBAR</v>
      </c>
      <c r="M957">
        <v>1</v>
      </c>
      <c r="N957" t="e">
        <v>#N/A</v>
      </c>
    </row>
    <row r="958" spans="1:14" ht="15" customHeight="1" x14ac:dyDescent="0.3">
      <c r="A958" s="3">
        <v>8209658727</v>
      </c>
      <c r="B958" s="3" t="s">
        <v>1065</v>
      </c>
      <c r="C958" s="3" t="s">
        <v>1066</v>
      </c>
      <c r="D958" s="4">
        <v>46307.426666666703</v>
      </c>
      <c r="E958" s="5" t="s">
        <v>10</v>
      </c>
      <c r="F958" s="5" t="s">
        <v>16</v>
      </c>
      <c r="G958" s="5">
        <v>12</v>
      </c>
      <c r="H958" s="8" t="s">
        <v>12</v>
      </c>
      <c r="I958" t="s">
        <v>1097</v>
      </c>
      <c r="K958" t="str">
        <f>+VLOOKUP(C958,'[1]TIENDAS 2025'!$A$1:$C$143,3,0)</f>
        <v>nocturna</v>
      </c>
      <c r="L958" t="str">
        <f>+VLOOKUP(C958,[2]Hoja1!$A$1:$B$138,2,0)</f>
        <v>APROBAR</v>
      </c>
      <c r="M958">
        <v>1</v>
      </c>
      <c r="N958" t="e">
        <v>#N/A</v>
      </c>
    </row>
    <row r="959" spans="1:14" ht="15" customHeight="1" x14ac:dyDescent="0.3">
      <c r="A959" s="3">
        <v>8209658633</v>
      </c>
      <c r="B959" s="3" t="s">
        <v>1077</v>
      </c>
      <c r="C959" s="3" t="s">
        <v>1078</v>
      </c>
      <c r="D959" s="4">
        <v>46307.426678240699</v>
      </c>
      <c r="E959" s="5" t="s">
        <v>10</v>
      </c>
      <c r="F959" s="5" t="s">
        <v>16</v>
      </c>
      <c r="G959" s="5">
        <v>23</v>
      </c>
      <c r="H959" s="8" t="s">
        <v>12</v>
      </c>
      <c r="I959" t="s">
        <v>1098</v>
      </c>
      <c r="K959" t="str">
        <f>+VLOOKUP(C959,'[1]TIENDAS 2025'!$A$1:$C$143,3,0)</f>
        <v>departamental</v>
      </c>
      <c r="L959" t="str">
        <f>+VLOOKUP(C959,[2]Hoja1!$A$1:$B$138,2,0)</f>
        <v>APROBAR</v>
      </c>
      <c r="M959">
        <v>1</v>
      </c>
      <c r="N959" t="e">
        <v>#N/A</v>
      </c>
    </row>
    <row r="960" spans="1:14" ht="15" customHeight="1" x14ac:dyDescent="0.3">
      <c r="A960" s="3">
        <v>8209658741</v>
      </c>
      <c r="B960" s="3" t="s">
        <v>1070</v>
      </c>
      <c r="C960" s="3" t="s">
        <v>1071</v>
      </c>
      <c r="D960" s="4">
        <v>46307.426701388897</v>
      </c>
      <c r="E960" s="5" t="s">
        <v>10</v>
      </c>
      <c r="F960" s="5" t="s">
        <v>16</v>
      </c>
      <c r="G960" s="5">
        <v>5</v>
      </c>
      <c r="H960" s="8" t="s">
        <v>12</v>
      </c>
      <c r="I960" t="s">
        <v>1099</v>
      </c>
      <c r="K960" t="str">
        <f>+VLOOKUP(C960,'[1]TIENDAS 2025'!$A$1:$C$143,3,0)</f>
        <v>departamental</v>
      </c>
      <c r="L960" t="str">
        <f>+VLOOKUP(C960,[2]Hoja1!$A$1:$B$138,2,0)</f>
        <v>APROBAR</v>
      </c>
      <c r="M960">
        <v>1</v>
      </c>
      <c r="N960" t="e">
        <v>#N/A</v>
      </c>
    </row>
    <row r="961" spans="1:14" ht="15" customHeight="1" x14ac:dyDescent="0.3">
      <c r="A961" s="3">
        <v>1209658639</v>
      </c>
      <c r="B961" s="3" t="s">
        <v>1077</v>
      </c>
      <c r="C961" s="3" t="s">
        <v>1078</v>
      </c>
      <c r="D961" s="4">
        <v>46307.426701388897</v>
      </c>
      <c r="E961" s="5" t="s">
        <v>10</v>
      </c>
      <c r="F961" s="5" t="s">
        <v>11</v>
      </c>
      <c r="G961" s="5">
        <v>11</v>
      </c>
      <c r="H961" s="6" t="s">
        <v>12</v>
      </c>
      <c r="I961" t="s">
        <v>1100</v>
      </c>
      <c r="J961" t="s">
        <v>2480</v>
      </c>
      <c r="K961" t="str">
        <f>+VLOOKUP(C961,'[1]TIENDAS 2025'!$A$1:$C$143,3,0)</f>
        <v>departamental</v>
      </c>
      <c r="L961" t="str">
        <f>+VLOOKUP(C961,[2]Hoja1!$A$1:$B$138,2,0)</f>
        <v>APROBAR</v>
      </c>
      <c r="M961">
        <v>1</v>
      </c>
      <c r="N961" t="e">
        <v>#N/A</v>
      </c>
    </row>
    <row r="962" spans="1:14" ht="15" customHeight="1" x14ac:dyDescent="0.3">
      <c r="A962" s="3">
        <v>1209658678</v>
      </c>
      <c r="B962" s="3" t="s">
        <v>1062</v>
      </c>
      <c r="C962" s="3" t="s">
        <v>1063</v>
      </c>
      <c r="D962" s="4">
        <v>46307.426712963003</v>
      </c>
      <c r="E962" s="5" t="s">
        <v>10</v>
      </c>
      <c r="F962" s="5" t="s">
        <v>11</v>
      </c>
      <c r="G962" s="5">
        <v>27</v>
      </c>
      <c r="H962" s="6" t="s">
        <v>12</v>
      </c>
      <c r="I962" t="s">
        <v>1101</v>
      </c>
      <c r="J962" t="s">
        <v>2480</v>
      </c>
      <c r="K962" t="str">
        <f>+VLOOKUP(C962,'[1]TIENDAS 2025'!$A$1:$C$143,3,0)</f>
        <v>prioridad</v>
      </c>
      <c r="L962" t="str">
        <f>+VLOOKUP(C962,[2]Hoja1!$A$1:$B$138,2,0)</f>
        <v>APROBAR</v>
      </c>
      <c r="M962">
        <v>1</v>
      </c>
      <c r="N962" t="e">
        <v>#N/A</v>
      </c>
    </row>
    <row r="963" spans="1:14" ht="15" customHeight="1" x14ac:dyDescent="0.3">
      <c r="A963" s="3">
        <v>1209658715</v>
      </c>
      <c r="B963" s="3" t="s">
        <v>1065</v>
      </c>
      <c r="C963" s="3" t="s">
        <v>1066</v>
      </c>
      <c r="D963" s="4">
        <v>46307.426736111098</v>
      </c>
      <c r="E963" s="5" t="s">
        <v>10</v>
      </c>
      <c r="F963" s="5" t="s">
        <v>17</v>
      </c>
      <c r="G963" s="5">
        <v>17</v>
      </c>
      <c r="H963" s="6" t="s">
        <v>12</v>
      </c>
      <c r="I963" t="s">
        <v>1102</v>
      </c>
      <c r="J963" t="s">
        <v>2480</v>
      </c>
      <c r="K963" t="str">
        <f>+VLOOKUP(C963,'[1]TIENDAS 2025'!$A$1:$C$143,3,0)</f>
        <v>nocturna</v>
      </c>
      <c r="L963" t="str">
        <f>+VLOOKUP(C963,[2]Hoja1!$A$1:$B$138,2,0)</f>
        <v>APROBAR</v>
      </c>
      <c r="M963">
        <v>1</v>
      </c>
      <c r="N963" t="e">
        <v>#N/A</v>
      </c>
    </row>
    <row r="964" spans="1:14" ht="15" customHeight="1" x14ac:dyDescent="0.3">
      <c r="A964" s="3">
        <v>1209658679</v>
      </c>
      <c r="B964" s="3" t="s">
        <v>1062</v>
      </c>
      <c r="C964" s="3" t="s">
        <v>1063</v>
      </c>
      <c r="D964" s="4">
        <v>46307.426747685196</v>
      </c>
      <c r="E964" s="5" t="s">
        <v>10</v>
      </c>
      <c r="F964" s="5" t="s">
        <v>17</v>
      </c>
      <c r="G964" s="5">
        <v>41</v>
      </c>
      <c r="H964" s="6" t="s">
        <v>12</v>
      </c>
      <c r="I964" t="s">
        <v>1103</v>
      </c>
      <c r="J964" t="s">
        <v>2480</v>
      </c>
      <c r="K964" t="str">
        <f>+VLOOKUP(C964,'[1]TIENDAS 2025'!$A$1:$C$143,3,0)</f>
        <v>prioridad</v>
      </c>
      <c r="L964" t="str">
        <f>+VLOOKUP(C964,[2]Hoja1!$A$1:$B$138,2,0)</f>
        <v>APROBAR</v>
      </c>
      <c r="M964">
        <v>1</v>
      </c>
      <c r="N964" t="e">
        <v>#N/A</v>
      </c>
    </row>
    <row r="965" spans="1:14" ht="15" customHeight="1" x14ac:dyDescent="0.3">
      <c r="A965" s="3">
        <v>8209658707</v>
      </c>
      <c r="B965" s="3" t="s">
        <v>1065</v>
      </c>
      <c r="C965" s="3" t="s">
        <v>1066</v>
      </c>
      <c r="D965" s="4">
        <v>46307.426759259302</v>
      </c>
      <c r="E965" s="5" t="s">
        <v>10</v>
      </c>
      <c r="F965" s="5" t="s">
        <v>16</v>
      </c>
      <c r="G965" s="5">
        <v>15</v>
      </c>
      <c r="H965" s="8" t="s">
        <v>12</v>
      </c>
      <c r="I965" t="s">
        <v>1104</v>
      </c>
      <c r="K965" t="str">
        <f>+VLOOKUP(C965,'[1]TIENDAS 2025'!$A$1:$C$143,3,0)</f>
        <v>nocturna</v>
      </c>
      <c r="L965" t="str">
        <f>+VLOOKUP(C965,[2]Hoja1!$A$1:$B$138,2,0)</f>
        <v>APROBAR</v>
      </c>
      <c r="M965">
        <v>1</v>
      </c>
      <c r="N965" t="e">
        <v>#N/A</v>
      </c>
    </row>
    <row r="966" spans="1:14" ht="15" customHeight="1" x14ac:dyDescent="0.3">
      <c r="A966" s="3">
        <v>8209658669</v>
      </c>
      <c r="B966" s="3" t="s">
        <v>1062</v>
      </c>
      <c r="C966" s="3" t="s">
        <v>1063</v>
      </c>
      <c r="D966" s="4">
        <v>46307.426770833299</v>
      </c>
      <c r="E966" s="5" t="s">
        <v>10</v>
      </c>
      <c r="F966" s="5" t="s">
        <v>16</v>
      </c>
      <c r="G966" s="5">
        <v>20</v>
      </c>
      <c r="H966" s="8" t="s">
        <v>12</v>
      </c>
      <c r="I966" t="s">
        <v>1105</v>
      </c>
      <c r="K966" t="str">
        <f>+VLOOKUP(C966,'[1]TIENDAS 2025'!$A$1:$C$143,3,0)</f>
        <v>prioridad</v>
      </c>
      <c r="L966" t="str">
        <f>+VLOOKUP(C966,[2]Hoja1!$A$1:$B$138,2,0)</f>
        <v>APROBAR</v>
      </c>
      <c r="M966">
        <v>1</v>
      </c>
      <c r="N966" t="e">
        <v>#N/A</v>
      </c>
    </row>
    <row r="967" spans="1:14" ht="15" customHeight="1" x14ac:dyDescent="0.3">
      <c r="A967" s="3">
        <v>1209658762</v>
      </c>
      <c r="B967" s="3" t="s">
        <v>1070</v>
      </c>
      <c r="C967" s="3" t="s">
        <v>1071</v>
      </c>
      <c r="D967" s="4">
        <v>46307.426793981504</v>
      </c>
      <c r="E967" s="5" t="s">
        <v>10</v>
      </c>
      <c r="F967" s="5" t="s">
        <v>11</v>
      </c>
      <c r="G967" s="5">
        <v>19</v>
      </c>
      <c r="H967" s="6" t="s">
        <v>12</v>
      </c>
      <c r="I967" t="s">
        <v>1106</v>
      </c>
      <c r="J967" t="s">
        <v>2480</v>
      </c>
      <c r="K967" t="str">
        <f>+VLOOKUP(C967,'[1]TIENDAS 2025'!$A$1:$C$143,3,0)</f>
        <v>departamental</v>
      </c>
      <c r="L967" t="str">
        <f>+VLOOKUP(C967,[2]Hoja1!$A$1:$B$138,2,0)</f>
        <v>APROBAR</v>
      </c>
      <c r="M967">
        <v>1</v>
      </c>
      <c r="N967" t="e">
        <v>#N/A</v>
      </c>
    </row>
    <row r="968" spans="1:14" ht="15" customHeight="1" x14ac:dyDescent="0.3">
      <c r="A968" s="3">
        <v>1209658643</v>
      </c>
      <c r="B968" s="3" t="s">
        <v>1077</v>
      </c>
      <c r="C968" s="3" t="s">
        <v>1078</v>
      </c>
      <c r="D968" s="4">
        <v>46307.426805555602</v>
      </c>
      <c r="E968" s="5" t="s">
        <v>10</v>
      </c>
      <c r="F968" s="5" t="s">
        <v>11</v>
      </c>
      <c r="G968" s="5">
        <v>21</v>
      </c>
      <c r="H968" s="6" t="s">
        <v>12</v>
      </c>
      <c r="I968" t="s">
        <v>1107</v>
      </c>
      <c r="J968" t="s">
        <v>2480</v>
      </c>
      <c r="K968" t="str">
        <f>+VLOOKUP(C968,'[1]TIENDAS 2025'!$A$1:$C$143,3,0)</f>
        <v>departamental</v>
      </c>
      <c r="L968" t="str">
        <f>+VLOOKUP(C968,[2]Hoja1!$A$1:$B$138,2,0)</f>
        <v>APROBAR</v>
      </c>
      <c r="M968">
        <v>1</v>
      </c>
      <c r="N968" t="e">
        <v>#N/A</v>
      </c>
    </row>
    <row r="969" spans="1:14" ht="15" customHeight="1" x14ac:dyDescent="0.3">
      <c r="A969" s="3">
        <v>1209658716</v>
      </c>
      <c r="B969" s="3" t="s">
        <v>1065</v>
      </c>
      <c r="C969" s="3" t="s">
        <v>1066</v>
      </c>
      <c r="D969" s="4">
        <v>46307.426828703698</v>
      </c>
      <c r="E969" s="5" t="s">
        <v>10</v>
      </c>
      <c r="F969" s="5" t="s">
        <v>17</v>
      </c>
      <c r="G969" s="5">
        <v>21</v>
      </c>
      <c r="H969" s="6" t="s">
        <v>12</v>
      </c>
      <c r="I969" t="s">
        <v>1108</v>
      </c>
      <c r="J969" t="s">
        <v>2480</v>
      </c>
      <c r="K969" t="str">
        <f>+VLOOKUP(C969,'[1]TIENDAS 2025'!$A$1:$C$143,3,0)</f>
        <v>nocturna</v>
      </c>
      <c r="L969" t="str">
        <f>+VLOOKUP(C969,[2]Hoja1!$A$1:$B$138,2,0)</f>
        <v>APROBAR</v>
      </c>
      <c r="M969">
        <v>1</v>
      </c>
      <c r="N969" t="e">
        <v>#N/A</v>
      </c>
    </row>
    <row r="970" spans="1:14" ht="15" customHeight="1" x14ac:dyDescent="0.3">
      <c r="A970" s="3">
        <v>1209658746</v>
      </c>
      <c r="B970" s="3" t="s">
        <v>1070</v>
      </c>
      <c r="C970" s="3" t="s">
        <v>1071</v>
      </c>
      <c r="D970" s="4">
        <v>46307.426828703698</v>
      </c>
      <c r="E970" s="5" t="s">
        <v>10</v>
      </c>
      <c r="F970" s="5" t="s">
        <v>11</v>
      </c>
      <c r="G970" s="5">
        <v>12</v>
      </c>
      <c r="H970" s="6" t="s">
        <v>12</v>
      </c>
      <c r="I970" t="s">
        <v>1109</v>
      </c>
      <c r="J970" t="s">
        <v>2480</v>
      </c>
      <c r="K970" t="str">
        <f>+VLOOKUP(C970,'[1]TIENDAS 2025'!$A$1:$C$143,3,0)</f>
        <v>departamental</v>
      </c>
      <c r="L970" t="str">
        <f>+VLOOKUP(C970,[2]Hoja1!$A$1:$B$138,2,0)</f>
        <v>APROBAR</v>
      </c>
      <c r="M970">
        <v>1</v>
      </c>
      <c r="N970" t="e">
        <v>#N/A</v>
      </c>
    </row>
    <row r="971" spans="1:14" ht="15" customHeight="1" x14ac:dyDescent="0.3">
      <c r="A971" s="3">
        <v>8209658632</v>
      </c>
      <c r="B971" s="3" t="s">
        <v>1077</v>
      </c>
      <c r="C971" s="3" t="s">
        <v>1078</v>
      </c>
      <c r="D971" s="4">
        <v>46307.426840277803</v>
      </c>
      <c r="E971" s="5" t="s">
        <v>10</v>
      </c>
      <c r="F971" s="5" t="s">
        <v>16</v>
      </c>
      <c r="G971" s="5">
        <v>3</v>
      </c>
      <c r="H971" s="8" t="s">
        <v>12</v>
      </c>
      <c r="I971" t="s">
        <v>1110</v>
      </c>
      <c r="K971" t="str">
        <f>+VLOOKUP(C971,'[1]TIENDAS 2025'!$A$1:$C$143,3,0)</f>
        <v>departamental</v>
      </c>
      <c r="L971" t="str">
        <f>+VLOOKUP(C971,[2]Hoja1!$A$1:$B$138,2,0)</f>
        <v>APROBAR</v>
      </c>
      <c r="M971">
        <v>1</v>
      </c>
      <c r="N971" t="e">
        <v>#N/A</v>
      </c>
    </row>
    <row r="972" spans="1:14" ht="15" customHeight="1" x14ac:dyDescent="0.3">
      <c r="A972" s="3">
        <v>8209658636</v>
      </c>
      <c r="B972" s="3" t="s">
        <v>1077</v>
      </c>
      <c r="C972" s="3" t="s">
        <v>1078</v>
      </c>
      <c r="D972" s="4">
        <v>46307.426863425899</v>
      </c>
      <c r="E972" s="5" t="s">
        <v>10</v>
      </c>
      <c r="F972" s="5" t="s">
        <v>16</v>
      </c>
      <c r="G972" s="5">
        <v>2</v>
      </c>
      <c r="H972" s="8" t="s">
        <v>12</v>
      </c>
      <c r="I972" t="s">
        <v>1111</v>
      </c>
      <c r="K972" t="str">
        <f>+VLOOKUP(C972,'[1]TIENDAS 2025'!$A$1:$C$143,3,0)</f>
        <v>departamental</v>
      </c>
      <c r="L972" t="str">
        <f>+VLOOKUP(C972,[2]Hoja1!$A$1:$B$138,2,0)</f>
        <v>APROBAR</v>
      </c>
      <c r="M972">
        <v>1</v>
      </c>
      <c r="N972" t="e">
        <v>#N/A</v>
      </c>
    </row>
    <row r="973" spans="1:14" ht="15" customHeight="1" x14ac:dyDescent="0.3">
      <c r="A973" s="3">
        <v>1209658675</v>
      </c>
      <c r="B973" s="3" t="s">
        <v>1062</v>
      </c>
      <c r="C973" s="3" t="s">
        <v>1063</v>
      </c>
      <c r="D973" s="4">
        <v>46307.426874999997</v>
      </c>
      <c r="E973" s="5" t="s">
        <v>10</v>
      </c>
      <c r="F973" s="5" t="s">
        <v>11</v>
      </c>
      <c r="G973" s="5">
        <v>15</v>
      </c>
      <c r="H973" s="6" t="s">
        <v>12</v>
      </c>
      <c r="I973" t="s">
        <v>1112</v>
      </c>
      <c r="J973" t="s">
        <v>2480</v>
      </c>
      <c r="K973" t="str">
        <f>+VLOOKUP(C973,'[1]TIENDAS 2025'!$A$1:$C$143,3,0)</f>
        <v>prioridad</v>
      </c>
      <c r="L973" t="str">
        <f>+VLOOKUP(C973,[2]Hoja1!$A$1:$B$138,2,0)</f>
        <v>APROBAR</v>
      </c>
      <c r="M973">
        <v>1</v>
      </c>
      <c r="N973" t="e">
        <v>#N/A</v>
      </c>
    </row>
    <row r="974" spans="1:14" ht="15" customHeight="1" x14ac:dyDescent="0.3">
      <c r="A974" s="3">
        <v>1209658640</v>
      </c>
      <c r="B974" s="3" t="s">
        <v>1077</v>
      </c>
      <c r="C974" s="3" t="s">
        <v>1078</v>
      </c>
      <c r="D974" s="4">
        <v>46307.426886574103</v>
      </c>
      <c r="E974" s="5" t="s">
        <v>10</v>
      </c>
      <c r="F974" s="5" t="s">
        <v>17</v>
      </c>
      <c r="G974" s="5">
        <v>14</v>
      </c>
      <c r="H974" s="6" t="s">
        <v>12</v>
      </c>
      <c r="I974" t="s">
        <v>1113</v>
      </c>
      <c r="J974" t="s">
        <v>2480</v>
      </c>
      <c r="K974" t="str">
        <f>+VLOOKUP(C974,'[1]TIENDAS 2025'!$A$1:$C$143,3,0)</f>
        <v>departamental</v>
      </c>
      <c r="L974" t="str">
        <f>+VLOOKUP(C974,[2]Hoja1!$A$1:$B$138,2,0)</f>
        <v>APROBAR</v>
      </c>
      <c r="M974">
        <v>1</v>
      </c>
      <c r="N974" t="e">
        <v>#N/A</v>
      </c>
    </row>
    <row r="975" spans="1:14" ht="15" customHeight="1" x14ac:dyDescent="0.3">
      <c r="A975" s="3">
        <v>1209658676</v>
      </c>
      <c r="B975" s="3" t="s">
        <v>1062</v>
      </c>
      <c r="C975" s="3" t="s">
        <v>1063</v>
      </c>
      <c r="D975" s="4">
        <v>46307.426898148202</v>
      </c>
      <c r="E975" s="5" t="s">
        <v>10</v>
      </c>
      <c r="F975" s="5" t="s">
        <v>11</v>
      </c>
      <c r="G975" s="5">
        <v>20</v>
      </c>
      <c r="H975" s="6" t="s">
        <v>12</v>
      </c>
      <c r="I975" t="s">
        <v>1114</v>
      </c>
      <c r="J975" t="s">
        <v>2480</v>
      </c>
      <c r="K975" t="str">
        <f>+VLOOKUP(C975,'[1]TIENDAS 2025'!$A$1:$C$143,3,0)</f>
        <v>prioridad</v>
      </c>
      <c r="L975" t="str">
        <f>+VLOOKUP(C975,[2]Hoja1!$A$1:$B$138,2,0)</f>
        <v>APROBAR</v>
      </c>
      <c r="M975">
        <v>1</v>
      </c>
      <c r="N975" t="e">
        <v>#N/A</v>
      </c>
    </row>
    <row r="976" spans="1:14" ht="15" customHeight="1" x14ac:dyDescent="0.3">
      <c r="A976" s="3">
        <v>8209658743</v>
      </c>
      <c r="B976" s="3" t="s">
        <v>1070</v>
      </c>
      <c r="C976" s="3" t="s">
        <v>1071</v>
      </c>
      <c r="D976" s="4">
        <v>46307.426921296297</v>
      </c>
      <c r="E976" s="5" t="s">
        <v>10</v>
      </c>
      <c r="F976" s="5" t="s">
        <v>16</v>
      </c>
      <c r="G976" s="5">
        <v>3</v>
      </c>
      <c r="H976" s="8" t="s">
        <v>12</v>
      </c>
      <c r="I976" t="s">
        <v>1115</v>
      </c>
      <c r="K976" t="str">
        <f>+VLOOKUP(C976,'[1]TIENDAS 2025'!$A$1:$C$143,3,0)</f>
        <v>departamental</v>
      </c>
      <c r="L976" t="str">
        <f>+VLOOKUP(C976,[2]Hoja1!$A$1:$B$138,2,0)</f>
        <v>APROBAR</v>
      </c>
      <c r="M976">
        <v>1</v>
      </c>
      <c r="N976" t="e">
        <v>#N/A</v>
      </c>
    </row>
    <row r="977" spans="1:14" ht="15" customHeight="1" x14ac:dyDescent="0.3">
      <c r="A977" s="3">
        <v>1209658642</v>
      </c>
      <c r="B977" s="3" t="s">
        <v>1077</v>
      </c>
      <c r="C977" s="3" t="s">
        <v>1078</v>
      </c>
      <c r="D977" s="4">
        <v>46307.426932870403</v>
      </c>
      <c r="E977" s="5" t="s">
        <v>10</v>
      </c>
      <c r="F977" s="5" t="s">
        <v>17</v>
      </c>
      <c r="G977" s="5">
        <v>12</v>
      </c>
      <c r="H977" s="6" t="s">
        <v>12</v>
      </c>
      <c r="I977" t="s">
        <v>1116</v>
      </c>
      <c r="J977" t="s">
        <v>2480</v>
      </c>
      <c r="K977" t="str">
        <f>+VLOOKUP(C977,'[1]TIENDAS 2025'!$A$1:$C$143,3,0)</f>
        <v>departamental</v>
      </c>
      <c r="L977" t="str">
        <f>+VLOOKUP(C977,[2]Hoja1!$A$1:$B$138,2,0)</f>
        <v>APROBAR</v>
      </c>
      <c r="M977">
        <v>1</v>
      </c>
      <c r="N977" t="e">
        <v>#N/A</v>
      </c>
    </row>
    <row r="978" spans="1:14" ht="15" customHeight="1" x14ac:dyDescent="0.3">
      <c r="A978" s="3">
        <v>1209658731</v>
      </c>
      <c r="B978" s="3" t="s">
        <v>1065</v>
      </c>
      <c r="C978" s="3" t="s">
        <v>1066</v>
      </c>
      <c r="D978" s="4">
        <v>46307.4269444444</v>
      </c>
      <c r="E978" s="5" t="s">
        <v>10</v>
      </c>
      <c r="F978" s="5" t="s">
        <v>11</v>
      </c>
      <c r="G978" s="5">
        <v>74</v>
      </c>
      <c r="H978" s="6" t="s">
        <v>12</v>
      </c>
      <c r="I978" t="s">
        <v>1117</v>
      </c>
      <c r="J978" t="s">
        <v>2480</v>
      </c>
      <c r="K978" t="str">
        <f>+VLOOKUP(C978,'[1]TIENDAS 2025'!$A$1:$C$143,3,0)</f>
        <v>nocturna</v>
      </c>
      <c r="L978" t="str">
        <f>+VLOOKUP(C978,[2]Hoja1!$A$1:$B$138,2,0)</f>
        <v>APROBAR</v>
      </c>
      <c r="M978">
        <v>1</v>
      </c>
      <c r="N978" t="e">
        <v>#N/A</v>
      </c>
    </row>
    <row r="979" spans="1:14" ht="15" customHeight="1" x14ac:dyDescent="0.3">
      <c r="A979" s="3">
        <v>1209658780</v>
      </c>
      <c r="B979" s="3" t="s">
        <v>1080</v>
      </c>
      <c r="C979" s="3" t="s">
        <v>1081</v>
      </c>
      <c r="D979" s="4">
        <v>46307.426956018498</v>
      </c>
      <c r="E979" s="5" t="s">
        <v>10</v>
      </c>
      <c r="F979" s="5" t="s">
        <v>11</v>
      </c>
      <c r="G979" s="5">
        <v>10</v>
      </c>
      <c r="H979" s="6" t="s">
        <v>12</v>
      </c>
      <c r="I979" t="s">
        <v>1118</v>
      </c>
      <c r="J979" t="s">
        <v>2480</v>
      </c>
      <c r="K979" t="str">
        <f>+VLOOKUP(C979,'[1]TIENDAS 2025'!$A$1:$C$143,3,0)</f>
        <v>departamental</v>
      </c>
      <c r="L979" t="str">
        <f>+VLOOKUP(C979,[2]Hoja1!$A$1:$B$138,2,0)</f>
        <v>APROBAR</v>
      </c>
      <c r="M979">
        <v>1</v>
      </c>
      <c r="N979" t="e">
        <v>#N/A</v>
      </c>
    </row>
    <row r="980" spans="1:14" ht="15" customHeight="1" x14ac:dyDescent="0.3">
      <c r="A980" s="3">
        <v>1209658784</v>
      </c>
      <c r="B980" s="3" t="s">
        <v>1080</v>
      </c>
      <c r="C980" s="3" t="s">
        <v>1081</v>
      </c>
      <c r="D980" s="4">
        <v>46307.426967592597</v>
      </c>
      <c r="E980" s="5" t="s">
        <v>10</v>
      </c>
      <c r="F980" s="5" t="s">
        <v>17</v>
      </c>
      <c r="G980" s="5">
        <v>17</v>
      </c>
      <c r="H980" s="6" t="s">
        <v>12</v>
      </c>
      <c r="I980" t="s">
        <v>1119</v>
      </c>
      <c r="J980" t="s">
        <v>2480</v>
      </c>
      <c r="K980" t="str">
        <f>+VLOOKUP(C980,'[1]TIENDAS 2025'!$A$1:$C$143,3,0)</f>
        <v>departamental</v>
      </c>
      <c r="L980" t="str">
        <f>+VLOOKUP(C980,[2]Hoja1!$A$1:$B$138,2,0)</f>
        <v>APROBAR</v>
      </c>
      <c r="M980">
        <v>1</v>
      </c>
      <c r="N980" t="e">
        <v>#N/A</v>
      </c>
    </row>
    <row r="981" spans="1:14" ht="15" customHeight="1" x14ac:dyDescent="0.3">
      <c r="A981" s="3">
        <v>1209658786</v>
      </c>
      <c r="B981" s="3" t="s">
        <v>1080</v>
      </c>
      <c r="C981" s="3" t="s">
        <v>1081</v>
      </c>
      <c r="D981" s="4">
        <v>46307.4269907407</v>
      </c>
      <c r="E981" s="5" t="s">
        <v>10</v>
      </c>
      <c r="F981" s="5" t="s">
        <v>11</v>
      </c>
      <c r="G981" s="5">
        <v>13</v>
      </c>
      <c r="H981" s="6" t="s">
        <v>12</v>
      </c>
      <c r="I981" t="s">
        <v>1120</v>
      </c>
      <c r="J981" t="s">
        <v>2480</v>
      </c>
      <c r="K981" t="str">
        <f>+VLOOKUP(C981,'[1]TIENDAS 2025'!$A$1:$C$143,3,0)</f>
        <v>departamental</v>
      </c>
      <c r="L981" t="str">
        <f>+VLOOKUP(C981,[2]Hoja1!$A$1:$B$138,2,0)</f>
        <v>APROBAR</v>
      </c>
      <c r="M981">
        <v>1</v>
      </c>
      <c r="N981" t="e">
        <v>#N/A</v>
      </c>
    </row>
    <row r="982" spans="1:14" ht="15" customHeight="1" x14ac:dyDescent="0.3">
      <c r="A982" s="3">
        <v>1209658750</v>
      </c>
      <c r="B982" s="3" t="s">
        <v>1070</v>
      </c>
      <c r="C982" s="3" t="s">
        <v>1071</v>
      </c>
      <c r="D982" s="4">
        <v>46307.427002314798</v>
      </c>
      <c r="E982" s="5" t="s">
        <v>10</v>
      </c>
      <c r="F982" s="5" t="s">
        <v>17</v>
      </c>
      <c r="G982" s="5">
        <v>11</v>
      </c>
      <c r="H982" s="6" t="s">
        <v>12</v>
      </c>
      <c r="I982" t="s">
        <v>1121</v>
      </c>
      <c r="J982" t="s">
        <v>2480</v>
      </c>
      <c r="K982" t="str">
        <f>+VLOOKUP(C982,'[1]TIENDAS 2025'!$A$1:$C$143,3,0)</f>
        <v>departamental</v>
      </c>
      <c r="L982" t="str">
        <f>+VLOOKUP(C982,[2]Hoja1!$A$1:$B$138,2,0)</f>
        <v>APROBAR</v>
      </c>
      <c r="M982">
        <v>1</v>
      </c>
      <c r="N982" t="e">
        <v>#N/A</v>
      </c>
    </row>
    <row r="983" spans="1:14" ht="15" customHeight="1" x14ac:dyDescent="0.3">
      <c r="A983" s="3">
        <v>8209658668</v>
      </c>
      <c r="B983" s="3" t="s">
        <v>1062</v>
      </c>
      <c r="C983" s="3" t="s">
        <v>1063</v>
      </c>
      <c r="D983" s="4">
        <v>46307.427013888897</v>
      </c>
      <c r="E983" s="5" t="s">
        <v>10</v>
      </c>
      <c r="F983" s="5" t="s">
        <v>16</v>
      </c>
      <c r="G983" s="5">
        <v>10</v>
      </c>
      <c r="H983" s="8" t="s">
        <v>12</v>
      </c>
      <c r="I983" t="s">
        <v>1122</v>
      </c>
      <c r="K983" t="str">
        <f>+VLOOKUP(C983,'[1]TIENDAS 2025'!$A$1:$C$143,3,0)</f>
        <v>prioridad</v>
      </c>
      <c r="L983" t="str">
        <f>+VLOOKUP(C983,[2]Hoja1!$A$1:$B$138,2,0)</f>
        <v>APROBAR</v>
      </c>
      <c r="M983">
        <v>1</v>
      </c>
      <c r="N983" t="e">
        <v>#N/A</v>
      </c>
    </row>
    <row r="984" spans="1:14" ht="15" customHeight="1" x14ac:dyDescent="0.3">
      <c r="A984" s="3">
        <v>1209658720</v>
      </c>
      <c r="B984" s="3" t="s">
        <v>1065</v>
      </c>
      <c r="C984" s="3" t="s">
        <v>1066</v>
      </c>
      <c r="D984" s="4">
        <v>46307.427025463003</v>
      </c>
      <c r="E984" s="5" t="s">
        <v>10</v>
      </c>
      <c r="F984" s="5" t="s">
        <v>11</v>
      </c>
      <c r="G984" s="5">
        <v>7</v>
      </c>
      <c r="H984" s="6" t="s">
        <v>12</v>
      </c>
      <c r="I984" t="s">
        <v>1123</v>
      </c>
      <c r="J984" t="s">
        <v>2480</v>
      </c>
      <c r="K984" t="str">
        <f>+VLOOKUP(C984,'[1]TIENDAS 2025'!$A$1:$C$143,3,0)</f>
        <v>nocturna</v>
      </c>
      <c r="L984" t="str">
        <f>+VLOOKUP(C984,[2]Hoja1!$A$1:$B$138,2,0)</f>
        <v>APROBAR</v>
      </c>
      <c r="M984">
        <v>1</v>
      </c>
      <c r="N984" t="e">
        <v>#N/A</v>
      </c>
    </row>
    <row r="985" spans="1:14" ht="15" customHeight="1" x14ac:dyDescent="0.3">
      <c r="A985" s="3">
        <v>8209658758</v>
      </c>
      <c r="B985" s="3" t="s">
        <v>1070</v>
      </c>
      <c r="C985" s="3" t="s">
        <v>1071</v>
      </c>
      <c r="D985" s="4">
        <v>46307.427037037</v>
      </c>
      <c r="E985" s="5" t="s">
        <v>10</v>
      </c>
      <c r="F985" s="5" t="s">
        <v>16</v>
      </c>
      <c r="G985" s="5">
        <v>6</v>
      </c>
      <c r="H985" s="8" t="s">
        <v>12</v>
      </c>
      <c r="I985" t="s">
        <v>1124</v>
      </c>
      <c r="K985" t="str">
        <f>+VLOOKUP(C985,'[1]TIENDAS 2025'!$A$1:$C$143,3,0)</f>
        <v>departamental</v>
      </c>
      <c r="L985" t="str">
        <f>+VLOOKUP(C985,[2]Hoja1!$A$1:$B$138,2,0)</f>
        <v>APROBAR</v>
      </c>
      <c r="M985">
        <v>1</v>
      </c>
      <c r="N985" t="e">
        <v>#N/A</v>
      </c>
    </row>
    <row r="986" spans="1:14" ht="15" customHeight="1" x14ac:dyDescent="0.3">
      <c r="A986" s="3">
        <v>1209658652</v>
      </c>
      <c r="B986" s="3" t="s">
        <v>1077</v>
      </c>
      <c r="C986" s="3" t="s">
        <v>1078</v>
      </c>
      <c r="D986" s="4">
        <v>46307.427060185197</v>
      </c>
      <c r="E986" s="5" t="s">
        <v>10</v>
      </c>
      <c r="F986" s="5" t="s">
        <v>17</v>
      </c>
      <c r="G986" s="5">
        <v>84</v>
      </c>
      <c r="H986" s="6" t="s">
        <v>12</v>
      </c>
      <c r="I986" t="s">
        <v>1125</v>
      </c>
      <c r="J986" t="s">
        <v>2480</v>
      </c>
      <c r="K986" t="str">
        <f>+VLOOKUP(C986,'[1]TIENDAS 2025'!$A$1:$C$143,3,0)</f>
        <v>departamental</v>
      </c>
      <c r="L986" t="str">
        <f>+VLOOKUP(C986,[2]Hoja1!$A$1:$B$138,2,0)</f>
        <v>APROBAR</v>
      </c>
      <c r="M986">
        <v>1</v>
      </c>
      <c r="N986" t="e">
        <v>#N/A</v>
      </c>
    </row>
    <row r="987" spans="1:14" ht="15" customHeight="1" x14ac:dyDescent="0.3">
      <c r="A987" s="3">
        <v>1209658673</v>
      </c>
      <c r="B987" s="3" t="s">
        <v>1062</v>
      </c>
      <c r="C987" s="3" t="s">
        <v>1063</v>
      </c>
      <c r="D987" s="4">
        <v>46307.427071759303</v>
      </c>
      <c r="E987" s="5" t="s">
        <v>10</v>
      </c>
      <c r="F987" s="5" t="s">
        <v>11</v>
      </c>
      <c r="G987" s="5">
        <v>11</v>
      </c>
      <c r="H987" s="6" t="s">
        <v>12</v>
      </c>
      <c r="I987" t="s">
        <v>1126</v>
      </c>
      <c r="J987" t="s">
        <v>2480</v>
      </c>
      <c r="K987" t="str">
        <f>+VLOOKUP(C987,'[1]TIENDAS 2025'!$A$1:$C$143,3,0)</f>
        <v>prioridad</v>
      </c>
      <c r="L987" t="str">
        <f>+VLOOKUP(C987,[2]Hoja1!$A$1:$B$138,2,0)</f>
        <v>APROBAR</v>
      </c>
      <c r="M987">
        <v>1</v>
      </c>
      <c r="N987" t="e">
        <v>#N/A</v>
      </c>
    </row>
    <row r="988" spans="1:14" ht="15" customHeight="1" x14ac:dyDescent="0.3">
      <c r="A988" s="3">
        <v>1209658641</v>
      </c>
      <c r="B988" s="3" t="s">
        <v>1077</v>
      </c>
      <c r="C988" s="3" t="s">
        <v>1078</v>
      </c>
      <c r="D988" s="4">
        <v>46307.427083333299</v>
      </c>
      <c r="E988" s="5" t="s">
        <v>10</v>
      </c>
      <c r="F988" s="5" t="s">
        <v>17</v>
      </c>
      <c r="G988" s="5">
        <v>15</v>
      </c>
      <c r="H988" s="6" t="s">
        <v>12</v>
      </c>
      <c r="I988" t="s">
        <v>1127</v>
      </c>
      <c r="J988" t="s">
        <v>2480</v>
      </c>
      <c r="K988" t="str">
        <f>+VLOOKUP(C988,'[1]TIENDAS 2025'!$A$1:$C$143,3,0)</f>
        <v>departamental</v>
      </c>
      <c r="L988" t="str">
        <f>+VLOOKUP(C988,[2]Hoja1!$A$1:$B$138,2,0)</f>
        <v>APROBAR</v>
      </c>
      <c r="M988">
        <v>1</v>
      </c>
      <c r="N988" t="e">
        <v>#N/A</v>
      </c>
    </row>
    <row r="989" spans="1:14" ht="15" customHeight="1" x14ac:dyDescent="0.3">
      <c r="A989" s="3">
        <v>1209658765</v>
      </c>
      <c r="B989" s="3" t="s">
        <v>1070</v>
      </c>
      <c r="C989" s="3" t="s">
        <v>1071</v>
      </c>
      <c r="D989" s="4">
        <v>46307.427094907398</v>
      </c>
      <c r="E989" s="5" t="s">
        <v>10</v>
      </c>
      <c r="F989" s="5" t="s">
        <v>11</v>
      </c>
      <c r="G989" s="5">
        <v>37</v>
      </c>
      <c r="H989" s="6" t="s">
        <v>12</v>
      </c>
      <c r="I989" t="s">
        <v>1128</v>
      </c>
      <c r="J989" t="s">
        <v>2480</v>
      </c>
      <c r="K989" t="str">
        <f>+VLOOKUP(C989,'[1]TIENDAS 2025'!$A$1:$C$143,3,0)</f>
        <v>departamental</v>
      </c>
      <c r="L989" t="str">
        <f>+VLOOKUP(C989,[2]Hoja1!$A$1:$B$138,2,0)</f>
        <v>APROBAR</v>
      </c>
      <c r="M989">
        <v>1</v>
      </c>
      <c r="N989" t="e">
        <v>#N/A</v>
      </c>
    </row>
    <row r="990" spans="1:14" ht="15" customHeight="1" x14ac:dyDescent="0.3">
      <c r="A990" s="3">
        <v>1209658747</v>
      </c>
      <c r="B990" s="3" t="s">
        <v>1070</v>
      </c>
      <c r="C990" s="3" t="s">
        <v>1071</v>
      </c>
      <c r="D990" s="4">
        <v>46307.427106481497</v>
      </c>
      <c r="E990" s="5" t="s">
        <v>10</v>
      </c>
      <c r="F990" s="5" t="s">
        <v>11</v>
      </c>
      <c r="G990" s="5">
        <v>8</v>
      </c>
      <c r="H990" s="6" t="s">
        <v>12</v>
      </c>
      <c r="I990" t="s">
        <v>1129</v>
      </c>
      <c r="J990" t="s">
        <v>2480</v>
      </c>
      <c r="K990" t="str">
        <f>+VLOOKUP(C990,'[1]TIENDAS 2025'!$A$1:$C$143,3,0)</f>
        <v>departamental</v>
      </c>
      <c r="L990" t="str">
        <f>+VLOOKUP(C990,[2]Hoja1!$A$1:$B$138,2,0)</f>
        <v>APROBAR</v>
      </c>
      <c r="M990">
        <v>1</v>
      </c>
      <c r="N990" t="e">
        <v>#N/A</v>
      </c>
    </row>
    <row r="991" spans="1:14" ht="15" customHeight="1" x14ac:dyDescent="0.3">
      <c r="A991" s="3">
        <v>1209658751</v>
      </c>
      <c r="B991" s="3" t="s">
        <v>1070</v>
      </c>
      <c r="C991" s="3" t="s">
        <v>1071</v>
      </c>
      <c r="D991" s="4">
        <v>46307.427118055602</v>
      </c>
      <c r="E991" s="5" t="s">
        <v>10</v>
      </c>
      <c r="F991" s="5" t="s">
        <v>11</v>
      </c>
      <c r="G991" s="5">
        <v>2</v>
      </c>
      <c r="H991" s="6" t="s">
        <v>12</v>
      </c>
      <c r="I991" t="s">
        <v>1130</v>
      </c>
      <c r="J991" t="s">
        <v>2480</v>
      </c>
      <c r="K991" t="str">
        <f>+VLOOKUP(C991,'[1]TIENDAS 2025'!$A$1:$C$143,3,0)</f>
        <v>departamental</v>
      </c>
      <c r="L991" t="str">
        <f>+VLOOKUP(C991,[2]Hoja1!$A$1:$B$138,2,0)</f>
        <v>APROBAR</v>
      </c>
      <c r="M991">
        <v>1</v>
      </c>
      <c r="N991" t="e">
        <v>#N/A</v>
      </c>
    </row>
    <row r="992" spans="1:14" ht="15" customHeight="1" x14ac:dyDescent="0.3">
      <c r="A992" s="3">
        <v>1209658638</v>
      </c>
      <c r="B992" s="3" t="s">
        <v>1077</v>
      </c>
      <c r="C992" s="3" t="s">
        <v>1078</v>
      </c>
      <c r="D992" s="4">
        <v>46307.427141203698</v>
      </c>
      <c r="E992" s="5" t="s">
        <v>10</v>
      </c>
      <c r="F992" s="5" t="s">
        <v>11</v>
      </c>
      <c r="G992" s="5">
        <v>9</v>
      </c>
      <c r="H992" s="6" t="s">
        <v>12</v>
      </c>
      <c r="I992" t="s">
        <v>1131</v>
      </c>
      <c r="J992" t="s">
        <v>2480</v>
      </c>
      <c r="K992" t="str">
        <f>+VLOOKUP(C992,'[1]TIENDAS 2025'!$A$1:$C$143,3,0)</f>
        <v>departamental</v>
      </c>
      <c r="L992" t="str">
        <f>+VLOOKUP(C992,[2]Hoja1!$A$1:$B$138,2,0)</f>
        <v>APROBAR</v>
      </c>
      <c r="M992">
        <v>1</v>
      </c>
      <c r="N992" t="e">
        <v>#N/A</v>
      </c>
    </row>
    <row r="993" spans="1:14" ht="15" customHeight="1" x14ac:dyDescent="0.3">
      <c r="A993" s="3">
        <v>8209658742</v>
      </c>
      <c r="B993" s="3" t="s">
        <v>1070</v>
      </c>
      <c r="C993" s="3" t="s">
        <v>1071</v>
      </c>
      <c r="D993" s="4">
        <v>46307.427152777796</v>
      </c>
      <c r="E993" s="5" t="s">
        <v>10</v>
      </c>
      <c r="F993" s="5" t="s">
        <v>16</v>
      </c>
      <c r="G993" s="5">
        <v>3</v>
      </c>
      <c r="H993" s="8" t="s">
        <v>12</v>
      </c>
      <c r="I993" t="s">
        <v>1132</v>
      </c>
      <c r="K993" t="str">
        <f>+VLOOKUP(C993,'[1]TIENDAS 2025'!$A$1:$C$143,3,0)</f>
        <v>departamental</v>
      </c>
      <c r="L993" t="str">
        <f>+VLOOKUP(C993,[2]Hoja1!$A$1:$B$138,2,0)</f>
        <v>APROBAR</v>
      </c>
      <c r="M993">
        <v>1</v>
      </c>
      <c r="N993" t="e">
        <v>#N/A</v>
      </c>
    </row>
    <row r="994" spans="1:14" ht="15" customHeight="1" x14ac:dyDescent="0.3">
      <c r="A994" s="3">
        <v>1209658645</v>
      </c>
      <c r="B994" s="3" t="s">
        <v>1077</v>
      </c>
      <c r="C994" s="3" t="s">
        <v>1078</v>
      </c>
      <c r="D994" s="4">
        <v>46307.427164351902</v>
      </c>
      <c r="E994" s="5" t="s">
        <v>10</v>
      </c>
      <c r="F994" s="5" t="s">
        <v>11</v>
      </c>
      <c r="G994" s="5">
        <v>3</v>
      </c>
      <c r="H994" s="6" t="s">
        <v>12</v>
      </c>
      <c r="I994" t="s">
        <v>1133</v>
      </c>
      <c r="J994" t="s">
        <v>2480</v>
      </c>
      <c r="K994" t="str">
        <f>+VLOOKUP(C994,'[1]TIENDAS 2025'!$A$1:$C$143,3,0)</f>
        <v>departamental</v>
      </c>
      <c r="L994" t="str">
        <f>+VLOOKUP(C994,[2]Hoja1!$A$1:$B$138,2,0)</f>
        <v>APROBAR</v>
      </c>
      <c r="M994">
        <v>1</v>
      </c>
      <c r="N994" t="e">
        <v>#N/A</v>
      </c>
    </row>
    <row r="995" spans="1:14" ht="15" customHeight="1" x14ac:dyDescent="0.3">
      <c r="A995" s="3">
        <v>8209658706</v>
      </c>
      <c r="B995" s="3" t="s">
        <v>1065</v>
      </c>
      <c r="C995" s="3" t="s">
        <v>1066</v>
      </c>
      <c r="D995" s="4">
        <v>46307.427187499998</v>
      </c>
      <c r="E995" s="5" t="s">
        <v>10</v>
      </c>
      <c r="F995" s="5" t="s">
        <v>16</v>
      </c>
      <c r="G995" s="5">
        <v>13</v>
      </c>
      <c r="H995" s="8" t="s">
        <v>12</v>
      </c>
      <c r="I995" t="s">
        <v>1134</v>
      </c>
      <c r="K995" t="str">
        <f>+VLOOKUP(C995,'[1]TIENDAS 2025'!$A$1:$C$143,3,0)</f>
        <v>nocturna</v>
      </c>
      <c r="L995" t="str">
        <f>+VLOOKUP(C995,[2]Hoja1!$A$1:$B$138,2,0)</f>
        <v>APROBAR</v>
      </c>
      <c r="M995">
        <v>1</v>
      </c>
      <c r="N995" t="e">
        <v>#N/A</v>
      </c>
    </row>
    <row r="996" spans="1:14" ht="15" customHeight="1" x14ac:dyDescent="0.3">
      <c r="A996" s="3">
        <v>1209658790</v>
      </c>
      <c r="B996" s="3" t="s">
        <v>1080</v>
      </c>
      <c r="C996" s="3" t="s">
        <v>1081</v>
      </c>
      <c r="D996" s="4">
        <v>46307.427199074104</v>
      </c>
      <c r="E996" s="5" t="s">
        <v>10</v>
      </c>
      <c r="F996" s="5" t="s">
        <v>17</v>
      </c>
      <c r="G996" s="5">
        <v>4</v>
      </c>
      <c r="H996" s="6" t="s">
        <v>12</v>
      </c>
      <c r="I996" t="s">
        <v>1135</v>
      </c>
      <c r="J996" t="s">
        <v>2480</v>
      </c>
      <c r="K996" t="str">
        <f>+VLOOKUP(C996,'[1]TIENDAS 2025'!$A$1:$C$143,3,0)</f>
        <v>departamental</v>
      </c>
      <c r="L996" t="str">
        <f>+VLOOKUP(C996,[2]Hoja1!$A$1:$B$138,2,0)</f>
        <v>APROBAR</v>
      </c>
      <c r="M996">
        <v>1</v>
      </c>
      <c r="N996" t="e">
        <v>#N/A</v>
      </c>
    </row>
    <row r="997" spans="1:14" ht="15" customHeight="1" x14ac:dyDescent="0.3">
      <c r="A997" s="3">
        <v>1209658782</v>
      </c>
      <c r="B997" s="3" t="s">
        <v>1080</v>
      </c>
      <c r="C997" s="3" t="s">
        <v>1081</v>
      </c>
      <c r="D997" s="4">
        <v>46307.427222222199</v>
      </c>
      <c r="E997" s="5" t="s">
        <v>10</v>
      </c>
      <c r="F997" s="5" t="s">
        <v>11</v>
      </c>
      <c r="G997" s="5">
        <v>8</v>
      </c>
      <c r="H997" s="6" t="s">
        <v>12</v>
      </c>
      <c r="I997" t="s">
        <v>1136</v>
      </c>
      <c r="J997" t="s">
        <v>2480</v>
      </c>
      <c r="K997" t="str">
        <f>+VLOOKUP(C997,'[1]TIENDAS 2025'!$A$1:$C$143,3,0)</f>
        <v>departamental</v>
      </c>
      <c r="L997" t="str">
        <f>+VLOOKUP(C997,[2]Hoja1!$A$1:$B$138,2,0)</f>
        <v>APROBAR</v>
      </c>
      <c r="M997">
        <v>1</v>
      </c>
      <c r="N997" t="e">
        <v>#N/A</v>
      </c>
    </row>
    <row r="998" spans="1:14" ht="15" customHeight="1" x14ac:dyDescent="0.3">
      <c r="A998" s="3">
        <v>8209658788</v>
      </c>
      <c r="B998" s="3" t="s">
        <v>1080</v>
      </c>
      <c r="C998" s="3" t="s">
        <v>1081</v>
      </c>
      <c r="D998" s="4">
        <v>46307.427233796298</v>
      </c>
      <c r="E998" s="5" t="s">
        <v>10</v>
      </c>
      <c r="F998" s="5" t="s">
        <v>16</v>
      </c>
      <c r="G998" s="5">
        <v>1</v>
      </c>
      <c r="H998" s="8" t="s">
        <v>12</v>
      </c>
      <c r="I998" t="s">
        <v>1137</v>
      </c>
      <c r="K998" t="str">
        <f>+VLOOKUP(C998,'[1]TIENDAS 2025'!$A$1:$C$143,3,0)</f>
        <v>departamental</v>
      </c>
      <c r="L998" t="str">
        <f>+VLOOKUP(C998,[2]Hoja1!$A$1:$B$138,2,0)</f>
        <v>APROBAR</v>
      </c>
      <c r="M998">
        <v>1</v>
      </c>
      <c r="N998" t="e">
        <v>#N/A</v>
      </c>
    </row>
    <row r="999" spans="1:14" ht="15" customHeight="1" x14ac:dyDescent="0.3">
      <c r="A999" s="3">
        <v>8209658670</v>
      </c>
      <c r="B999" s="3" t="s">
        <v>1062</v>
      </c>
      <c r="C999" s="3" t="s">
        <v>1063</v>
      </c>
      <c r="D999" s="4">
        <v>46307.427233796298</v>
      </c>
      <c r="E999" s="5" t="s">
        <v>10</v>
      </c>
      <c r="F999" s="5" t="s">
        <v>16</v>
      </c>
      <c r="G999" s="5">
        <v>2</v>
      </c>
      <c r="H999" s="8" t="s">
        <v>12</v>
      </c>
      <c r="I999" t="s">
        <v>1138</v>
      </c>
      <c r="K999" t="str">
        <f>+VLOOKUP(C999,'[1]TIENDAS 2025'!$A$1:$C$143,3,0)</f>
        <v>prioridad</v>
      </c>
      <c r="L999" t="str">
        <f>+VLOOKUP(C999,[2]Hoja1!$A$1:$B$138,2,0)</f>
        <v>APROBAR</v>
      </c>
      <c r="M999">
        <v>1</v>
      </c>
      <c r="N999" t="e">
        <v>#N/A</v>
      </c>
    </row>
    <row r="1000" spans="1:14" ht="15" customHeight="1" x14ac:dyDescent="0.3">
      <c r="A1000" s="3">
        <v>1209658672</v>
      </c>
      <c r="B1000" s="3" t="s">
        <v>1062</v>
      </c>
      <c r="C1000" s="3" t="s">
        <v>1063</v>
      </c>
      <c r="D1000" s="4">
        <v>46307.4272569444</v>
      </c>
      <c r="E1000" s="5" t="s">
        <v>10</v>
      </c>
      <c r="F1000" s="5" t="s">
        <v>11</v>
      </c>
      <c r="G1000" s="5">
        <v>5</v>
      </c>
      <c r="H1000" s="6" t="s">
        <v>12</v>
      </c>
      <c r="I1000" t="s">
        <v>1139</v>
      </c>
      <c r="J1000" t="s">
        <v>2480</v>
      </c>
      <c r="K1000" t="str">
        <f>+VLOOKUP(C1000,'[1]TIENDAS 2025'!$A$1:$C$143,3,0)</f>
        <v>prioridad</v>
      </c>
      <c r="L1000" t="str">
        <f>+VLOOKUP(C1000,[2]Hoja1!$A$1:$B$138,2,0)</f>
        <v>APROBAR</v>
      </c>
      <c r="M1000">
        <v>1</v>
      </c>
      <c r="N1000" t="e">
        <v>#N/A</v>
      </c>
    </row>
    <row r="1001" spans="1:14" ht="15" customHeight="1" x14ac:dyDescent="0.3">
      <c r="A1001" s="3">
        <v>8209658634</v>
      </c>
      <c r="B1001" s="3" t="s">
        <v>1077</v>
      </c>
      <c r="C1001" s="3" t="s">
        <v>1078</v>
      </c>
      <c r="D1001" s="4">
        <v>46307.427268518499</v>
      </c>
      <c r="E1001" s="5" t="s">
        <v>10</v>
      </c>
      <c r="F1001" s="5" t="s">
        <v>16</v>
      </c>
      <c r="G1001" s="5">
        <v>9</v>
      </c>
      <c r="H1001" s="8" t="s">
        <v>12</v>
      </c>
      <c r="I1001" t="s">
        <v>1140</v>
      </c>
      <c r="K1001" t="str">
        <f>+VLOOKUP(C1001,'[1]TIENDAS 2025'!$A$1:$C$143,3,0)</f>
        <v>departamental</v>
      </c>
      <c r="L1001" t="str">
        <f>+VLOOKUP(C1001,[2]Hoja1!$A$1:$B$138,2,0)</f>
        <v>APROBAR</v>
      </c>
      <c r="M1001">
        <v>1</v>
      </c>
      <c r="N1001" t="e">
        <v>#N/A</v>
      </c>
    </row>
    <row r="1002" spans="1:14" ht="15" customHeight="1" x14ac:dyDescent="0.3">
      <c r="A1002" s="3">
        <v>1209658674</v>
      </c>
      <c r="B1002" s="3" t="s">
        <v>1062</v>
      </c>
      <c r="C1002" s="3" t="s">
        <v>1063</v>
      </c>
      <c r="D1002" s="4">
        <v>46307.427280092597</v>
      </c>
      <c r="E1002" s="5" t="s">
        <v>10</v>
      </c>
      <c r="F1002" s="5" t="s">
        <v>11</v>
      </c>
      <c r="G1002" s="5">
        <v>12</v>
      </c>
      <c r="H1002" s="6" t="s">
        <v>12</v>
      </c>
      <c r="I1002" t="s">
        <v>1141</v>
      </c>
      <c r="J1002" t="s">
        <v>2480</v>
      </c>
      <c r="K1002" t="str">
        <f>+VLOOKUP(C1002,'[1]TIENDAS 2025'!$A$1:$C$143,3,0)</f>
        <v>prioridad</v>
      </c>
      <c r="L1002" t="str">
        <f>+VLOOKUP(C1002,[2]Hoja1!$A$1:$B$138,2,0)</f>
        <v>APROBAR</v>
      </c>
      <c r="M1002">
        <v>1</v>
      </c>
      <c r="N1002" t="e">
        <v>#N/A</v>
      </c>
    </row>
    <row r="1003" spans="1:14" ht="15" customHeight="1" x14ac:dyDescent="0.3">
      <c r="A1003" s="3">
        <v>8209658635</v>
      </c>
      <c r="B1003" s="3" t="s">
        <v>1077</v>
      </c>
      <c r="C1003" s="3" t="s">
        <v>1078</v>
      </c>
      <c r="D1003" s="4">
        <v>46307.427291666703</v>
      </c>
      <c r="E1003" s="5" t="s">
        <v>10</v>
      </c>
      <c r="F1003" s="5" t="s">
        <v>16</v>
      </c>
      <c r="G1003" s="5">
        <v>3</v>
      </c>
      <c r="H1003" s="8" t="s">
        <v>12</v>
      </c>
      <c r="I1003" t="s">
        <v>1142</v>
      </c>
      <c r="K1003" t="str">
        <f>+VLOOKUP(C1003,'[1]TIENDAS 2025'!$A$1:$C$143,3,0)</f>
        <v>departamental</v>
      </c>
      <c r="L1003" t="str">
        <f>+VLOOKUP(C1003,[2]Hoja1!$A$1:$B$138,2,0)</f>
        <v>APROBAR</v>
      </c>
      <c r="M1003">
        <v>1</v>
      </c>
      <c r="N1003" t="e">
        <v>#N/A</v>
      </c>
    </row>
    <row r="1004" spans="1:14" ht="15" customHeight="1" x14ac:dyDescent="0.3">
      <c r="A1004" s="3">
        <v>8209658637</v>
      </c>
      <c r="B1004" s="3" t="s">
        <v>1077</v>
      </c>
      <c r="C1004" s="3" t="s">
        <v>1078</v>
      </c>
      <c r="D1004" s="4">
        <v>46307.427314814799</v>
      </c>
      <c r="E1004" s="5" t="s">
        <v>10</v>
      </c>
      <c r="F1004" s="5" t="s">
        <v>16</v>
      </c>
      <c r="G1004" s="5">
        <v>1</v>
      </c>
      <c r="H1004" s="8" t="s">
        <v>12</v>
      </c>
      <c r="I1004" t="s">
        <v>1143</v>
      </c>
      <c r="K1004" t="str">
        <f>+VLOOKUP(C1004,'[1]TIENDAS 2025'!$A$1:$C$143,3,0)</f>
        <v>departamental</v>
      </c>
      <c r="L1004" t="str">
        <f>+VLOOKUP(C1004,[2]Hoja1!$A$1:$B$138,2,0)</f>
        <v>APROBAR</v>
      </c>
      <c r="M1004">
        <v>1</v>
      </c>
      <c r="N1004" t="e">
        <v>#N/A</v>
      </c>
    </row>
    <row r="1005" spans="1:14" ht="15" customHeight="1" x14ac:dyDescent="0.3">
      <c r="A1005" s="3">
        <v>8209658774</v>
      </c>
      <c r="B1005" s="3" t="s">
        <v>1080</v>
      </c>
      <c r="C1005" s="3" t="s">
        <v>1081</v>
      </c>
      <c r="D1005" s="4">
        <v>46307.427326388897</v>
      </c>
      <c r="E1005" s="5" t="s">
        <v>10</v>
      </c>
      <c r="F1005" s="5" t="s">
        <v>16</v>
      </c>
      <c r="G1005" s="5">
        <v>1</v>
      </c>
      <c r="H1005" s="8" t="s">
        <v>12</v>
      </c>
      <c r="I1005" t="s">
        <v>1144</v>
      </c>
      <c r="K1005" t="str">
        <f>+VLOOKUP(C1005,'[1]TIENDAS 2025'!$A$1:$C$143,3,0)</f>
        <v>departamental</v>
      </c>
      <c r="L1005" t="str">
        <f>+VLOOKUP(C1005,[2]Hoja1!$A$1:$B$138,2,0)</f>
        <v>APROBAR</v>
      </c>
      <c r="M1005">
        <v>1</v>
      </c>
      <c r="N1005" t="e">
        <v>#N/A</v>
      </c>
    </row>
    <row r="1006" spans="1:14" ht="15" customHeight="1" x14ac:dyDescent="0.3">
      <c r="A1006" s="3">
        <v>8209658776</v>
      </c>
      <c r="B1006" s="3" t="s">
        <v>1080</v>
      </c>
      <c r="C1006" s="3" t="s">
        <v>1081</v>
      </c>
      <c r="D1006" s="4">
        <v>46307.427337963003</v>
      </c>
      <c r="E1006" s="5" t="s">
        <v>10</v>
      </c>
      <c r="F1006" s="5" t="s">
        <v>16</v>
      </c>
      <c r="G1006" s="5">
        <v>8</v>
      </c>
      <c r="H1006" s="8" t="s">
        <v>12</v>
      </c>
      <c r="I1006" t="s">
        <v>1145</v>
      </c>
      <c r="K1006" t="str">
        <f>+VLOOKUP(C1006,'[1]TIENDAS 2025'!$A$1:$C$143,3,0)</f>
        <v>departamental</v>
      </c>
      <c r="L1006" t="str">
        <f>+VLOOKUP(C1006,[2]Hoja1!$A$1:$B$138,2,0)</f>
        <v>APROBAR</v>
      </c>
      <c r="M1006">
        <v>1</v>
      </c>
      <c r="N1006" t="e">
        <v>#N/A</v>
      </c>
    </row>
    <row r="1007" spans="1:14" ht="15" customHeight="1" x14ac:dyDescent="0.3">
      <c r="A1007" s="3">
        <v>1209658781</v>
      </c>
      <c r="B1007" s="3" t="s">
        <v>1080</v>
      </c>
      <c r="C1007" s="3" t="s">
        <v>1081</v>
      </c>
      <c r="D1007" s="4">
        <v>46307.427361111098</v>
      </c>
      <c r="E1007" s="5" t="s">
        <v>10</v>
      </c>
      <c r="F1007" s="5" t="s">
        <v>11</v>
      </c>
      <c r="G1007" s="5">
        <v>11</v>
      </c>
      <c r="H1007" s="6" t="s">
        <v>12</v>
      </c>
      <c r="I1007" t="s">
        <v>1146</v>
      </c>
      <c r="J1007" t="s">
        <v>2480</v>
      </c>
      <c r="K1007" t="str">
        <f>+VLOOKUP(C1007,'[1]TIENDAS 2025'!$A$1:$C$143,3,0)</f>
        <v>departamental</v>
      </c>
      <c r="L1007" t="str">
        <f>+VLOOKUP(C1007,[2]Hoja1!$A$1:$B$138,2,0)</f>
        <v>APROBAR</v>
      </c>
      <c r="M1007">
        <v>1</v>
      </c>
      <c r="N1007" t="e">
        <v>#N/A</v>
      </c>
    </row>
    <row r="1008" spans="1:14" ht="15" customHeight="1" x14ac:dyDescent="0.3">
      <c r="A1008" s="3">
        <v>1209658783</v>
      </c>
      <c r="B1008" s="3" t="s">
        <v>1080</v>
      </c>
      <c r="C1008" s="3" t="s">
        <v>1081</v>
      </c>
      <c r="D1008" s="4">
        <v>46307.427361111098</v>
      </c>
      <c r="E1008" s="5" t="s">
        <v>10</v>
      </c>
      <c r="F1008" s="5" t="s">
        <v>17</v>
      </c>
      <c r="G1008" s="5">
        <v>23</v>
      </c>
      <c r="H1008" s="6" t="s">
        <v>12</v>
      </c>
      <c r="I1008" t="s">
        <v>1147</v>
      </c>
      <c r="J1008" t="s">
        <v>2480</v>
      </c>
      <c r="K1008" t="str">
        <f>+VLOOKUP(C1008,'[1]TIENDAS 2025'!$A$1:$C$143,3,0)</f>
        <v>departamental</v>
      </c>
      <c r="L1008" t="str">
        <f>+VLOOKUP(C1008,[2]Hoja1!$A$1:$B$138,2,0)</f>
        <v>APROBAR</v>
      </c>
      <c r="M1008">
        <v>1</v>
      </c>
      <c r="N1008" t="e">
        <v>#N/A</v>
      </c>
    </row>
    <row r="1009" spans="1:14" ht="15" customHeight="1" x14ac:dyDescent="0.3">
      <c r="A1009" s="3">
        <v>1209658785</v>
      </c>
      <c r="B1009" s="3" t="s">
        <v>1080</v>
      </c>
      <c r="C1009" s="3" t="s">
        <v>1081</v>
      </c>
      <c r="D1009" s="4">
        <v>46307.427384259303</v>
      </c>
      <c r="E1009" s="5" t="s">
        <v>10</v>
      </c>
      <c r="F1009" s="5" t="s">
        <v>11</v>
      </c>
      <c r="G1009" s="5">
        <v>23</v>
      </c>
      <c r="H1009" s="6" t="s">
        <v>12</v>
      </c>
      <c r="I1009" t="s">
        <v>1148</v>
      </c>
      <c r="J1009" t="s">
        <v>2480</v>
      </c>
      <c r="K1009" t="str">
        <f>+VLOOKUP(C1009,'[1]TIENDAS 2025'!$A$1:$C$143,3,0)</f>
        <v>departamental</v>
      </c>
      <c r="L1009" t="str">
        <f>+VLOOKUP(C1009,[2]Hoja1!$A$1:$B$138,2,0)</f>
        <v>APROBAR</v>
      </c>
      <c r="M1009">
        <v>1</v>
      </c>
      <c r="N1009" t="e">
        <v>#N/A</v>
      </c>
    </row>
    <row r="1010" spans="1:14" ht="15" customHeight="1" x14ac:dyDescent="0.3">
      <c r="A1010" s="3">
        <v>1209658748</v>
      </c>
      <c r="B1010" s="3" t="s">
        <v>1070</v>
      </c>
      <c r="C1010" s="3" t="s">
        <v>1071</v>
      </c>
      <c r="D1010" s="4">
        <v>46307.4273958333</v>
      </c>
      <c r="E1010" s="5" t="s">
        <v>10</v>
      </c>
      <c r="F1010" s="5" t="s">
        <v>17</v>
      </c>
      <c r="G1010" s="5">
        <v>27</v>
      </c>
      <c r="H1010" s="6" t="s">
        <v>12</v>
      </c>
      <c r="I1010" t="s">
        <v>1149</v>
      </c>
      <c r="J1010" t="s">
        <v>2480</v>
      </c>
      <c r="K1010" t="str">
        <f>+VLOOKUP(C1010,'[1]TIENDAS 2025'!$A$1:$C$143,3,0)</f>
        <v>departamental</v>
      </c>
      <c r="L1010" t="str">
        <f>+VLOOKUP(C1010,[2]Hoja1!$A$1:$B$138,2,0)</f>
        <v>APROBAR</v>
      </c>
      <c r="M1010">
        <v>1</v>
      </c>
      <c r="N1010" t="e">
        <v>#N/A</v>
      </c>
    </row>
    <row r="1011" spans="1:14" ht="15" customHeight="1" x14ac:dyDescent="0.3">
      <c r="A1011" s="3">
        <v>1209658789</v>
      </c>
      <c r="B1011" s="3" t="s">
        <v>1080</v>
      </c>
      <c r="C1011" s="3" t="s">
        <v>1081</v>
      </c>
      <c r="D1011" s="4">
        <v>46307.427407407398</v>
      </c>
      <c r="E1011" s="5" t="s">
        <v>10</v>
      </c>
      <c r="F1011" s="5" t="s">
        <v>17</v>
      </c>
      <c r="G1011" s="5">
        <v>1</v>
      </c>
      <c r="H1011" s="6" t="s">
        <v>12</v>
      </c>
      <c r="I1011" t="s">
        <v>1150</v>
      </c>
      <c r="J1011" t="s">
        <v>2480</v>
      </c>
      <c r="K1011" t="str">
        <f>+VLOOKUP(C1011,'[1]TIENDAS 2025'!$A$1:$C$143,3,0)</f>
        <v>departamental</v>
      </c>
      <c r="L1011" t="str">
        <f>+VLOOKUP(C1011,[2]Hoja1!$A$1:$B$138,2,0)</f>
        <v>APROBAR</v>
      </c>
      <c r="M1011">
        <v>1</v>
      </c>
      <c r="N1011" t="e">
        <v>#N/A</v>
      </c>
    </row>
    <row r="1012" spans="1:14" ht="15" customHeight="1" x14ac:dyDescent="0.3">
      <c r="A1012" s="3">
        <v>8209658777</v>
      </c>
      <c r="B1012" s="3" t="s">
        <v>1080</v>
      </c>
      <c r="C1012" s="3" t="s">
        <v>1081</v>
      </c>
      <c r="D1012" s="4">
        <v>46307.427418981497</v>
      </c>
      <c r="E1012" s="5" t="s">
        <v>10</v>
      </c>
      <c r="F1012" s="5" t="s">
        <v>16</v>
      </c>
      <c r="G1012" s="5">
        <v>3</v>
      </c>
      <c r="H1012" s="8" t="s">
        <v>12</v>
      </c>
      <c r="I1012" t="s">
        <v>1151</v>
      </c>
      <c r="K1012" t="str">
        <f>+VLOOKUP(C1012,'[1]TIENDAS 2025'!$A$1:$C$143,3,0)</f>
        <v>departamental</v>
      </c>
      <c r="L1012" t="str">
        <f>+VLOOKUP(C1012,[2]Hoja1!$A$1:$B$138,2,0)</f>
        <v>APROBAR</v>
      </c>
      <c r="M1012">
        <v>1</v>
      </c>
      <c r="N1012" t="e">
        <v>#N/A</v>
      </c>
    </row>
    <row r="1013" spans="1:14" ht="15" customHeight="1" x14ac:dyDescent="0.3">
      <c r="A1013" s="3">
        <v>1209658649</v>
      </c>
      <c r="B1013" s="3" t="s">
        <v>1077</v>
      </c>
      <c r="C1013" s="3" t="s">
        <v>1078</v>
      </c>
      <c r="D1013" s="4">
        <v>46307.427430555603</v>
      </c>
      <c r="E1013" s="5" t="s">
        <v>10</v>
      </c>
      <c r="F1013" s="5" t="s">
        <v>11</v>
      </c>
      <c r="G1013" s="5">
        <v>43</v>
      </c>
      <c r="H1013" s="6" t="s">
        <v>12</v>
      </c>
      <c r="I1013" t="s">
        <v>1152</v>
      </c>
      <c r="J1013" t="s">
        <v>2480</v>
      </c>
      <c r="K1013" t="str">
        <f>+VLOOKUP(C1013,'[1]TIENDAS 2025'!$A$1:$C$143,3,0)</f>
        <v>departamental</v>
      </c>
      <c r="L1013" t="str">
        <f>+VLOOKUP(C1013,[2]Hoja1!$A$1:$B$138,2,0)</f>
        <v>APROBAR</v>
      </c>
      <c r="M1013">
        <v>1</v>
      </c>
      <c r="N1013" t="e">
        <v>#N/A</v>
      </c>
    </row>
    <row r="1014" spans="1:14" ht="15" customHeight="1" x14ac:dyDescent="0.3">
      <c r="A1014" s="3">
        <v>1209658651</v>
      </c>
      <c r="B1014" s="3" t="s">
        <v>1077</v>
      </c>
      <c r="C1014" s="3" t="s">
        <v>1078</v>
      </c>
      <c r="D1014" s="4">
        <v>46307.427453703698</v>
      </c>
      <c r="E1014" s="5" t="s">
        <v>10</v>
      </c>
      <c r="F1014" s="5" t="s">
        <v>11</v>
      </c>
      <c r="G1014" s="5">
        <v>55</v>
      </c>
      <c r="H1014" s="6" t="s">
        <v>12</v>
      </c>
      <c r="I1014" t="s">
        <v>1153</v>
      </c>
      <c r="J1014" t="s">
        <v>2480</v>
      </c>
      <c r="K1014" t="str">
        <f>+VLOOKUP(C1014,'[1]TIENDAS 2025'!$A$1:$C$143,3,0)</f>
        <v>departamental</v>
      </c>
      <c r="L1014" t="str">
        <f>+VLOOKUP(C1014,[2]Hoja1!$A$1:$B$138,2,0)</f>
        <v>APROBAR</v>
      </c>
      <c r="M1014">
        <v>1</v>
      </c>
      <c r="N1014" t="e">
        <v>#N/A</v>
      </c>
    </row>
    <row r="1015" spans="1:14" ht="15" customHeight="1" x14ac:dyDescent="0.3">
      <c r="A1015" s="3">
        <v>1209658760</v>
      </c>
      <c r="B1015" s="3" t="s">
        <v>1070</v>
      </c>
      <c r="C1015" s="3" t="s">
        <v>1071</v>
      </c>
      <c r="D1015" s="4">
        <v>46307.427465277797</v>
      </c>
      <c r="E1015" s="5" t="s">
        <v>10</v>
      </c>
      <c r="F1015" s="5" t="s">
        <v>17</v>
      </c>
      <c r="G1015" s="5">
        <v>7</v>
      </c>
      <c r="H1015" s="6" t="s">
        <v>12</v>
      </c>
      <c r="I1015" t="s">
        <v>1154</v>
      </c>
      <c r="J1015" t="s">
        <v>2480</v>
      </c>
      <c r="K1015" t="str">
        <f>+VLOOKUP(C1015,'[1]TIENDAS 2025'!$A$1:$C$143,3,0)</f>
        <v>departamental</v>
      </c>
      <c r="L1015" t="str">
        <f>+VLOOKUP(C1015,[2]Hoja1!$A$1:$B$138,2,0)</f>
        <v>APROBAR</v>
      </c>
      <c r="M1015">
        <v>1</v>
      </c>
      <c r="N1015" t="e">
        <v>#N/A</v>
      </c>
    </row>
    <row r="1016" spans="1:14" ht="15" customHeight="1" x14ac:dyDescent="0.3">
      <c r="A1016" s="3">
        <v>1209658882</v>
      </c>
      <c r="B1016" s="3" t="s">
        <v>1156</v>
      </c>
      <c r="C1016" s="3" t="s">
        <v>1157</v>
      </c>
      <c r="D1016" s="4">
        <v>46307.429756944402</v>
      </c>
      <c r="E1016" s="5" t="s">
        <v>10</v>
      </c>
      <c r="F1016" s="5" t="s">
        <v>11</v>
      </c>
      <c r="G1016" s="5">
        <v>2</v>
      </c>
      <c r="H1016" s="6" t="s">
        <v>12</v>
      </c>
      <c r="I1016" t="s">
        <v>1155</v>
      </c>
      <c r="J1016" t="s">
        <v>2480</v>
      </c>
      <c r="K1016" t="str">
        <f>+VLOOKUP(C1016,'[1]TIENDAS 2025'!$A$1:$C$143,3,0)</f>
        <v>local</v>
      </c>
      <c r="L1016" t="str">
        <f>+VLOOKUP(C1016,[2]Hoja1!$A$1:$B$138,2,0)</f>
        <v>APROBAR</v>
      </c>
      <c r="M1016">
        <v>1</v>
      </c>
      <c r="N1016" t="e">
        <v>#N/A</v>
      </c>
    </row>
    <row r="1017" spans="1:14" ht="15" customHeight="1" x14ac:dyDescent="0.3">
      <c r="A1017" s="3">
        <v>1209658899</v>
      </c>
      <c r="B1017" s="3" t="s">
        <v>1159</v>
      </c>
      <c r="C1017" s="3" t="s">
        <v>1160</v>
      </c>
      <c r="D1017" s="4">
        <v>46307.429768518501</v>
      </c>
      <c r="E1017" s="5" t="s">
        <v>10</v>
      </c>
      <c r="F1017" s="5" t="s">
        <v>11</v>
      </c>
      <c r="G1017" s="5">
        <v>7</v>
      </c>
      <c r="H1017" s="6" t="s">
        <v>12</v>
      </c>
      <c r="I1017" t="s">
        <v>1158</v>
      </c>
      <c r="J1017" t="s">
        <v>2480</v>
      </c>
      <c r="K1017" t="str">
        <f>+VLOOKUP(C1017,'[1]TIENDAS 2025'!$A$1:$C$143,3,0)</f>
        <v>departamental</v>
      </c>
      <c r="L1017" t="str">
        <f>+VLOOKUP(C1017,[2]Hoja1!$A$1:$B$138,2,0)</f>
        <v>APROBAR</v>
      </c>
      <c r="M1017">
        <v>1</v>
      </c>
      <c r="N1017" t="e">
        <v>#N/A</v>
      </c>
    </row>
    <row r="1018" spans="1:14" ht="15" customHeight="1" x14ac:dyDescent="0.3">
      <c r="A1018" s="3">
        <v>8209658958</v>
      </c>
      <c r="B1018" s="3" t="s">
        <v>1162</v>
      </c>
      <c r="C1018" s="3" t="s">
        <v>1163</v>
      </c>
      <c r="D1018" s="4">
        <v>46307.429791666698</v>
      </c>
      <c r="E1018" s="5" t="s">
        <v>10</v>
      </c>
      <c r="F1018" s="5" t="s">
        <v>16</v>
      </c>
      <c r="G1018" s="5">
        <v>50</v>
      </c>
      <c r="H1018" s="8" t="s">
        <v>12</v>
      </c>
      <c r="I1018" t="s">
        <v>1161</v>
      </c>
      <c r="K1018" t="str">
        <f>+VLOOKUP(C1018,'[1]TIENDAS 2025'!$A$1:$C$143,3,0)</f>
        <v>local</v>
      </c>
      <c r="L1018" t="str">
        <f>+VLOOKUP(C1018,[2]Hoja1!$A$1:$B$138,2,0)</f>
        <v>APROBAR</v>
      </c>
      <c r="M1018">
        <v>1</v>
      </c>
      <c r="N1018" t="e">
        <v>#N/A</v>
      </c>
    </row>
    <row r="1019" spans="1:14" ht="15" customHeight="1" x14ac:dyDescent="0.3">
      <c r="A1019" s="3">
        <v>1209658963</v>
      </c>
      <c r="B1019" s="3" t="s">
        <v>1162</v>
      </c>
      <c r="C1019" s="3" t="s">
        <v>1163</v>
      </c>
      <c r="D1019" s="4">
        <v>46307.429803240702</v>
      </c>
      <c r="E1019" s="5" t="s">
        <v>10</v>
      </c>
      <c r="F1019" s="5" t="s">
        <v>11</v>
      </c>
      <c r="G1019" s="5">
        <v>23</v>
      </c>
      <c r="H1019" s="6" t="s">
        <v>12</v>
      </c>
      <c r="I1019" t="s">
        <v>1164</v>
      </c>
      <c r="J1019" t="s">
        <v>2480</v>
      </c>
      <c r="K1019" t="str">
        <f>+VLOOKUP(C1019,'[1]TIENDAS 2025'!$A$1:$C$143,3,0)</f>
        <v>local</v>
      </c>
      <c r="L1019" t="str">
        <f>+VLOOKUP(C1019,[2]Hoja1!$A$1:$B$138,2,0)</f>
        <v>APROBAR</v>
      </c>
      <c r="M1019">
        <v>1</v>
      </c>
      <c r="N1019" t="e">
        <v>#N/A</v>
      </c>
    </row>
    <row r="1020" spans="1:14" ht="15" customHeight="1" x14ac:dyDescent="0.3">
      <c r="A1020" s="3">
        <v>1209658836</v>
      </c>
      <c r="B1020" s="3" t="s">
        <v>1166</v>
      </c>
      <c r="C1020" s="3" t="s">
        <v>1167</v>
      </c>
      <c r="D1020" s="4">
        <v>46307.4298263889</v>
      </c>
      <c r="E1020" s="5" t="s">
        <v>10</v>
      </c>
      <c r="F1020" s="5" t="s">
        <v>17</v>
      </c>
      <c r="G1020" s="5">
        <v>17</v>
      </c>
      <c r="H1020" s="6" t="s">
        <v>12</v>
      </c>
      <c r="I1020" t="s">
        <v>1165</v>
      </c>
      <c r="J1020" t="s">
        <v>2480</v>
      </c>
      <c r="K1020" t="str">
        <f>+VLOOKUP(C1020,'[1]TIENDAS 2025'!$A$1:$C$143,3,0)</f>
        <v>departamental</v>
      </c>
      <c r="L1020" t="str">
        <f>+VLOOKUP(C1020,[2]Hoja1!$A$1:$B$138,2,0)</f>
        <v>APROBAR</v>
      </c>
      <c r="M1020">
        <v>1</v>
      </c>
      <c r="N1020" t="e">
        <v>#N/A</v>
      </c>
    </row>
    <row r="1021" spans="1:14" ht="15" customHeight="1" x14ac:dyDescent="0.3">
      <c r="A1021" s="3">
        <v>8209658829</v>
      </c>
      <c r="B1021" s="3" t="s">
        <v>1166</v>
      </c>
      <c r="C1021" s="3" t="s">
        <v>1167</v>
      </c>
      <c r="D1021" s="4">
        <v>46307.4298263889</v>
      </c>
      <c r="E1021" s="5" t="s">
        <v>10</v>
      </c>
      <c r="F1021" s="5" t="s">
        <v>16</v>
      </c>
      <c r="G1021" s="5">
        <v>3</v>
      </c>
      <c r="H1021" s="8" t="s">
        <v>12</v>
      </c>
      <c r="I1021" t="s">
        <v>1168</v>
      </c>
      <c r="K1021" t="str">
        <f>+VLOOKUP(C1021,'[1]TIENDAS 2025'!$A$1:$C$143,3,0)</f>
        <v>departamental</v>
      </c>
      <c r="L1021" t="str">
        <f>+VLOOKUP(C1021,[2]Hoja1!$A$1:$B$138,2,0)</f>
        <v>APROBAR</v>
      </c>
      <c r="M1021">
        <v>1</v>
      </c>
      <c r="N1021" t="e">
        <v>#N/A</v>
      </c>
    </row>
    <row r="1022" spans="1:14" ht="15" customHeight="1" x14ac:dyDescent="0.3">
      <c r="A1022" s="3">
        <v>8209658864</v>
      </c>
      <c r="B1022" s="3" t="s">
        <v>1156</v>
      </c>
      <c r="C1022" s="3" t="s">
        <v>1157</v>
      </c>
      <c r="D1022" s="4">
        <v>46307.429837962998</v>
      </c>
      <c r="E1022" s="5" t="s">
        <v>10</v>
      </c>
      <c r="F1022" s="5" t="s">
        <v>16</v>
      </c>
      <c r="G1022" s="5">
        <v>1</v>
      </c>
      <c r="H1022" s="8" t="s">
        <v>12</v>
      </c>
      <c r="I1022" t="s">
        <v>1169</v>
      </c>
      <c r="K1022" t="str">
        <f>+VLOOKUP(C1022,'[1]TIENDAS 2025'!$A$1:$C$143,3,0)</f>
        <v>local</v>
      </c>
      <c r="L1022" t="str">
        <f>+VLOOKUP(C1022,[2]Hoja1!$A$1:$B$138,2,0)</f>
        <v>APROBAR</v>
      </c>
      <c r="M1022">
        <v>1</v>
      </c>
      <c r="N1022" t="e">
        <v>#N/A</v>
      </c>
    </row>
    <row r="1023" spans="1:14" ht="15" customHeight="1" x14ac:dyDescent="0.3">
      <c r="A1023" s="3">
        <v>8209658955</v>
      </c>
      <c r="B1023" s="3" t="s">
        <v>1162</v>
      </c>
      <c r="C1023" s="3" t="s">
        <v>1163</v>
      </c>
      <c r="D1023" s="4">
        <v>46307.429861111101</v>
      </c>
      <c r="E1023" s="5" t="s">
        <v>10</v>
      </c>
      <c r="F1023" s="5" t="s">
        <v>16</v>
      </c>
      <c r="G1023" s="5">
        <v>2</v>
      </c>
      <c r="H1023" s="8" t="s">
        <v>12</v>
      </c>
      <c r="I1023" t="s">
        <v>1170</v>
      </c>
      <c r="K1023" t="str">
        <f>+VLOOKUP(C1023,'[1]TIENDAS 2025'!$A$1:$C$143,3,0)</f>
        <v>local</v>
      </c>
      <c r="L1023" t="str">
        <f>+VLOOKUP(C1023,[2]Hoja1!$A$1:$B$138,2,0)</f>
        <v>APROBAR</v>
      </c>
      <c r="M1023">
        <v>1</v>
      </c>
      <c r="N1023" t="e">
        <v>#N/A</v>
      </c>
    </row>
    <row r="1024" spans="1:14" ht="15" customHeight="1" x14ac:dyDescent="0.3">
      <c r="A1024" s="3">
        <v>8209658903</v>
      </c>
      <c r="B1024" s="3" t="s">
        <v>1159</v>
      </c>
      <c r="C1024" s="3" t="s">
        <v>1160</v>
      </c>
      <c r="D1024" s="4">
        <v>46307.429872685199</v>
      </c>
      <c r="E1024" s="5" t="s">
        <v>10</v>
      </c>
      <c r="F1024" s="5" t="s">
        <v>16</v>
      </c>
      <c r="G1024" s="5">
        <v>1</v>
      </c>
      <c r="H1024" s="8" t="s">
        <v>12</v>
      </c>
      <c r="I1024" t="s">
        <v>1171</v>
      </c>
      <c r="K1024" t="str">
        <f>+VLOOKUP(C1024,'[1]TIENDAS 2025'!$A$1:$C$143,3,0)</f>
        <v>departamental</v>
      </c>
      <c r="L1024" t="str">
        <f>+VLOOKUP(C1024,[2]Hoja1!$A$1:$B$138,2,0)</f>
        <v>APROBAR</v>
      </c>
      <c r="M1024">
        <v>1</v>
      </c>
      <c r="N1024" t="e">
        <v>#N/A</v>
      </c>
    </row>
    <row r="1025" spans="1:14" ht="15" customHeight="1" x14ac:dyDescent="0.3">
      <c r="A1025" s="3">
        <v>1209658810</v>
      </c>
      <c r="B1025" s="3" t="s">
        <v>1173</v>
      </c>
      <c r="C1025" s="3" t="s">
        <v>1174</v>
      </c>
      <c r="D1025" s="4">
        <v>46307.429884259298</v>
      </c>
      <c r="E1025" s="5" t="s">
        <v>10</v>
      </c>
      <c r="F1025" s="5" t="s">
        <v>11</v>
      </c>
      <c r="G1025" s="5">
        <v>32</v>
      </c>
      <c r="H1025" s="6" t="s">
        <v>12</v>
      </c>
      <c r="I1025" t="s">
        <v>1172</v>
      </c>
      <c r="J1025" t="s">
        <v>2480</v>
      </c>
      <c r="K1025" t="str">
        <f>+VLOOKUP(C1025,'[1]TIENDAS 2025'!$A$1:$C$143,3,0)</f>
        <v>nocturna</v>
      </c>
      <c r="L1025" t="str">
        <f>+VLOOKUP(C1025,[2]Hoja1!$A$1:$B$138,2,0)</f>
        <v>APROBAR</v>
      </c>
      <c r="M1025">
        <v>1</v>
      </c>
      <c r="N1025" t="e">
        <v>#N/A</v>
      </c>
    </row>
    <row r="1026" spans="1:14" ht="15" customHeight="1" x14ac:dyDescent="0.3">
      <c r="A1026" s="3">
        <v>8209658827</v>
      </c>
      <c r="B1026" s="3" t="s">
        <v>1166</v>
      </c>
      <c r="C1026" s="3" t="s">
        <v>1167</v>
      </c>
      <c r="D1026" s="4">
        <v>46307.429895833302</v>
      </c>
      <c r="E1026" s="5" t="s">
        <v>10</v>
      </c>
      <c r="F1026" s="5" t="s">
        <v>16</v>
      </c>
      <c r="G1026" s="5">
        <v>12</v>
      </c>
      <c r="H1026" s="8" t="s">
        <v>12</v>
      </c>
      <c r="I1026" t="s">
        <v>1175</v>
      </c>
      <c r="K1026" t="str">
        <f>+VLOOKUP(C1026,'[1]TIENDAS 2025'!$A$1:$C$143,3,0)</f>
        <v>departamental</v>
      </c>
      <c r="L1026" t="str">
        <f>+VLOOKUP(C1026,[2]Hoja1!$A$1:$B$138,2,0)</f>
        <v>APROBAR</v>
      </c>
      <c r="M1026">
        <v>1</v>
      </c>
      <c r="N1026" t="e">
        <v>#N/A</v>
      </c>
    </row>
    <row r="1027" spans="1:14" ht="15" customHeight="1" x14ac:dyDescent="0.3">
      <c r="A1027" s="3">
        <v>1209658833</v>
      </c>
      <c r="B1027" s="3" t="s">
        <v>1166</v>
      </c>
      <c r="C1027" s="3" t="s">
        <v>1167</v>
      </c>
      <c r="D1027" s="4">
        <v>46307.429918981499</v>
      </c>
      <c r="E1027" s="5" t="s">
        <v>10</v>
      </c>
      <c r="F1027" s="5" t="s">
        <v>11</v>
      </c>
      <c r="G1027" s="5">
        <v>12</v>
      </c>
      <c r="H1027" s="6" t="s">
        <v>12</v>
      </c>
      <c r="I1027" t="s">
        <v>1176</v>
      </c>
      <c r="J1027" t="s">
        <v>2480</v>
      </c>
      <c r="K1027" t="str">
        <f>+VLOOKUP(C1027,'[1]TIENDAS 2025'!$A$1:$C$143,3,0)</f>
        <v>departamental</v>
      </c>
      <c r="L1027" t="str">
        <f>+VLOOKUP(C1027,[2]Hoja1!$A$1:$B$138,2,0)</f>
        <v>APROBAR</v>
      </c>
      <c r="M1027">
        <v>1</v>
      </c>
      <c r="N1027" t="e">
        <v>#N/A</v>
      </c>
    </row>
    <row r="1028" spans="1:14" ht="15" customHeight="1" x14ac:dyDescent="0.3">
      <c r="A1028" s="3">
        <v>1209658912</v>
      </c>
      <c r="B1028" s="3" t="s">
        <v>1159</v>
      </c>
      <c r="C1028" s="3" t="s">
        <v>1160</v>
      </c>
      <c r="D1028" s="4">
        <v>46307.429930555598</v>
      </c>
      <c r="E1028" s="5" t="s">
        <v>10</v>
      </c>
      <c r="F1028" s="5" t="s">
        <v>17</v>
      </c>
      <c r="G1028" s="5">
        <v>38</v>
      </c>
      <c r="H1028" s="6" t="s">
        <v>12</v>
      </c>
      <c r="I1028" t="s">
        <v>1177</v>
      </c>
      <c r="J1028" t="s">
        <v>2480</v>
      </c>
      <c r="K1028" t="str">
        <f>+VLOOKUP(C1028,'[1]TIENDAS 2025'!$A$1:$C$143,3,0)</f>
        <v>departamental</v>
      </c>
      <c r="L1028" t="str">
        <f>+VLOOKUP(C1028,[2]Hoja1!$A$1:$B$138,2,0)</f>
        <v>APROBAR</v>
      </c>
      <c r="M1028">
        <v>1</v>
      </c>
      <c r="N1028" t="e">
        <v>#N/A</v>
      </c>
    </row>
    <row r="1029" spans="1:14" ht="15" customHeight="1" x14ac:dyDescent="0.3">
      <c r="A1029" s="3">
        <v>8209658891</v>
      </c>
      <c r="B1029" s="3" t="s">
        <v>1159</v>
      </c>
      <c r="C1029" s="3" t="s">
        <v>1160</v>
      </c>
      <c r="D1029" s="4">
        <v>46307.429942129602</v>
      </c>
      <c r="E1029" s="5" t="s">
        <v>10</v>
      </c>
      <c r="F1029" s="5" t="s">
        <v>16</v>
      </c>
      <c r="G1029" s="5">
        <v>1</v>
      </c>
      <c r="H1029" s="8" t="s">
        <v>12</v>
      </c>
      <c r="I1029" t="s">
        <v>1178</v>
      </c>
      <c r="K1029" t="str">
        <f>+VLOOKUP(C1029,'[1]TIENDAS 2025'!$A$1:$C$143,3,0)</f>
        <v>departamental</v>
      </c>
      <c r="L1029" t="str">
        <f>+VLOOKUP(C1029,[2]Hoja1!$A$1:$B$138,2,0)</f>
        <v>APROBAR</v>
      </c>
      <c r="M1029">
        <v>1</v>
      </c>
      <c r="N1029" t="e">
        <v>#N/A</v>
      </c>
    </row>
    <row r="1030" spans="1:14" ht="15" customHeight="1" x14ac:dyDescent="0.3">
      <c r="A1030" s="3">
        <v>8209658877</v>
      </c>
      <c r="B1030" s="3" t="s">
        <v>1156</v>
      </c>
      <c r="C1030" s="3" t="s">
        <v>1157</v>
      </c>
      <c r="D1030" s="4">
        <v>46307.429965277799</v>
      </c>
      <c r="E1030" s="5" t="s">
        <v>10</v>
      </c>
      <c r="F1030" s="5" t="s">
        <v>16</v>
      </c>
      <c r="G1030" s="5">
        <v>2</v>
      </c>
      <c r="H1030" s="8" t="s">
        <v>12</v>
      </c>
      <c r="I1030" t="s">
        <v>1179</v>
      </c>
      <c r="K1030" t="str">
        <f>+VLOOKUP(C1030,'[1]TIENDAS 2025'!$A$1:$C$143,3,0)</f>
        <v>local</v>
      </c>
      <c r="L1030" t="str">
        <f>+VLOOKUP(C1030,[2]Hoja1!$A$1:$B$138,2,0)</f>
        <v>APROBAR</v>
      </c>
      <c r="M1030">
        <v>1</v>
      </c>
      <c r="N1030" t="e">
        <v>#N/A</v>
      </c>
    </row>
    <row r="1031" spans="1:14" ht="15" customHeight="1" x14ac:dyDescent="0.3">
      <c r="A1031" s="3">
        <v>1209658838</v>
      </c>
      <c r="B1031" s="3" t="s">
        <v>1166</v>
      </c>
      <c r="C1031" s="3" t="s">
        <v>1167</v>
      </c>
      <c r="D1031" s="4">
        <v>46307.429976851898</v>
      </c>
      <c r="E1031" s="5" t="s">
        <v>10</v>
      </c>
      <c r="F1031" s="5" t="s">
        <v>11</v>
      </c>
      <c r="G1031" s="5">
        <v>18</v>
      </c>
      <c r="H1031" s="6" t="s">
        <v>12</v>
      </c>
      <c r="I1031" t="s">
        <v>1180</v>
      </c>
      <c r="J1031" t="s">
        <v>2480</v>
      </c>
      <c r="K1031" t="str">
        <f>+VLOOKUP(C1031,'[1]TIENDAS 2025'!$A$1:$C$143,3,0)</f>
        <v>departamental</v>
      </c>
      <c r="L1031" t="str">
        <f>+VLOOKUP(C1031,[2]Hoja1!$A$1:$B$138,2,0)</f>
        <v>APROBAR</v>
      </c>
      <c r="M1031">
        <v>1</v>
      </c>
      <c r="N1031" t="e">
        <v>#N/A</v>
      </c>
    </row>
    <row r="1032" spans="1:14" ht="15" customHeight="1" x14ac:dyDescent="0.3">
      <c r="A1032" s="3">
        <v>8209658817</v>
      </c>
      <c r="B1032" s="3" t="s">
        <v>1173</v>
      </c>
      <c r="C1032" s="3" t="s">
        <v>1174</v>
      </c>
      <c r="D1032" s="4">
        <v>46307.429988425902</v>
      </c>
      <c r="E1032" s="5" t="s">
        <v>10</v>
      </c>
      <c r="F1032" s="5" t="s">
        <v>16</v>
      </c>
      <c r="G1032" s="5">
        <v>6</v>
      </c>
      <c r="H1032" s="8" t="s">
        <v>12</v>
      </c>
      <c r="I1032" t="s">
        <v>1181</v>
      </c>
      <c r="K1032" t="str">
        <f>+VLOOKUP(C1032,'[1]TIENDAS 2025'!$A$1:$C$143,3,0)</f>
        <v>nocturna</v>
      </c>
      <c r="L1032" t="str">
        <f>+VLOOKUP(C1032,[2]Hoja1!$A$1:$B$138,2,0)</f>
        <v>APROBAR</v>
      </c>
      <c r="M1032">
        <v>1</v>
      </c>
      <c r="N1032" t="e">
        <v>#N/A</v>
      </c>
    </row>
    <row r="1033" spans="1:14" ht="15" customHeight="1" x14ac:dyDescent="0.3">
      <c r="A1033" s="3">
        <v>8209658956</v>
      </c>
      <c r="B1033" s="3" t="s">
        <v>1162</v>
      </c>
      <c r="C1033" s="3" t="s">
        <v>1163</v>
      </c>
      <c r="D1033" s="4">
        <v>46307.43</v>
      </c>
      <c r="E1033" s="5" t="s">
        <v>10</v>
      </c>
      <c r="F1033" s="5" t="s">
        <v>16</v>
      </c>
      <c r="G1033" s="5">
        <v>15</v>
      </c>
      <c r="H1033" s="8" t="s">
        <v>12</v>
      </c>
      <c r="I1033" t="s">
        <v>1182</v>
      </c>
      <c r="K1033" t="str">
        <f>+VLOOKUP(C1033,'[1]TIENDAS 2025'!$A$1:$C$143,3,0)</f>
        <v>local</v>
      </c>
      <c r="L1033" t="str">
        <f>+VLOOKUP(C1033,[2]Hoja1!$A$1:$B$138,2,0)</f>
        <v>APROBAR</v>
      </c>
      <c r="M1033">
        <v>1</v>
      </c>
      <c r="N1033" t="e">
        <v>#N/A</v>
      </c>
    </row>
    <row r="1034" spans="1:14" ht="15" customHeight="1" x14ac:dyDescent="0.3">
      <c r="A1034" s="3">
        <v>1209658804</v>
      </c>
      <c r="B1034" s="3" t="s">
        <v>1173</v>
      </c>
      <c r="C1034" s="3" t="s">
        <v>1174</v>
      </c>
      <c r="D1034" s="4">
        <v>46307.430011574099</v>
      </c>
      <c r="E1034" s="5" t="s">
        <v>10</v>
      </c>
      <c r="F1034" s="5" t="s">
        <v>11</v>
      </c>
      <c r="G1034" s="5">
        <v>7</v>
      </c>
      <c r="H1034" s="6" t="s">
        <v>12</v>
      </c>
      <c r="I1034" t="s">
        <v>1183</v>
      </c>
      <c r="J1034" t="s">
        <v>2480</v>
      </c>
      <c r="K1034" t="str">
        <f>+VLOOKUP(C1034,'[1]TIENDAS 2025'!$A$1:$C$143,3,0)</f>
        <v>nocturna</v>
      </c>
      <c r="L1034" t="str">
        <f>+VLOOKUP(C1034,[2]Hoja1!$A$1:$B$138,2,0)</f>
        <v>APROBAR</v>
      </c>
      <c r="M1034">
        <v>1</v>
      </c>
      <c r="N1034" t="e">
        <v>#N/A</v>
      </c>
    </row>
    <row r="1035" spans="1:14" ht="15" customHeight="1" x14ac:dyDescent="0.3">
      <c r="A1035" s="3">
        <v>1209658935</v>
      </c>
      <c r="B1035" s="3" t="s">
        <v>1185</v>
      </c>
      <c r="C1035" s="3" t="s">
        <v>1186</v>
      </c>
      <c r="D1035" s="4">
        <v>46307.430034722202</v>
      </c>
      <c r="E1035" s="5" t="s">
        <v>10</v>
      </c>
      <c r="F1035" s="5" t="s">
        <v>17</v>
      </c>
      <c r="G1035" s="5">
        <v>21</v>
      </c>
      <c r="H1035" s="6" t="s">
        <v>12</v>
      </c>
      <c r="I1035" t="s">
        <v>1184</v>
      </c>
      <c r="J1035" t="s">
        <v>2480</v>
      </c>
      <c r="K1035" t="str">
        <f>+VLOOKUP(C1035,'[1]TIENDAS 2025'!$A$1:$C$143,3,0)</f>
        <v>local</v>
      </c>
      <c r="L1035" t="str">
        <f>+VLOOKUP(C1035,[2]Hoja1!$A$1:$B$138,2,0)</f>
        <v>APROBAR</v>
      </c>
      <c r="M1035">
        <v>1</v>
      </c>
      <c r="N1035" t="e">
        <v>#N/A</v>
      </c>
    </row>
    <row r="1036" spans="1:14" ht="15" customHeight="1" x14ac:dyDescent="0.3">
      <c r="A1036" s="3">
        <v>1209658960</v>
      </c>
      <c r="B1036" s="3" t="s">
        <v>1162</v>
      </c>
      <c r="C1036" s="3" t="s">
        <v>1163</v>
      </c>
      <c r="D1036" s="4">
        <v>46307.4300462963</v>
      </c>
      <c r="E1036" s="5" t="s">
        <v>10</v>
      </c>
      <c r="F1036" s="5" t="s">
        <v>17</v>
      </c>
      <c r="G1036" s="5">
        <v>2</v>
      </c>
      <c r="H1036" s="6" t="s">
        <v>12</v>
      </c>
      <c r="I1036" t="s">
        <v>1187</v>
      </c>
      <c r="J1036" t="s">
        <v>2480</v>
      </c>
      <c r="K1036" t="str">
        <f>+VLOOKUP(C1036,'[1]TIENDAS 2025'!$A$1:$C$143,3,0)</f>
        <v>local</v>
      </c>
      <c r="L1036" t="str">
        <f>+VLOOKUP(C1036,[2]Hoja1!$A$1:$B$138,2,0)</f>
        <v>APROBAR</v>
      </c>
      <c r="M1036">
        <v>1</v>
      </c>
      <c r="N1036" t="e">
        <v>#N/A</v>
      </c>
    </row>
    <row r="1037" spans="1:14" ht="15" customHeight="1" x14ac:dyDescent="0.3">
      <c r="A1037" s="3">
        <v>1209658809</v>
      </c>
      <c r="B1037" s="3" t="s">
        <v>1173</v>
      </c>
      <c r="C1037" s="3" t="s">
        <v>1174</v>
      </c>
      <c r="D1037" s="4">
        <v>46307.4300462963</v>
      </c>
      <c r="E1037" s="5" t="s">
        <v>10</v>
      </c>
      <c r="F1037" s="5" t="s">
        <v>17</v>
      </c>
      <c r="G1037" s="5">
        <v>22</v>
      </c>
      <c r="H1037" s="6" t="s">
        <v>12</v>
      </c>
      <c r="I1037" t="s">
        <v>1188</v>
      </c>
      <c r="J1037" t="s">
        <v>2480</v>
      </c>
      <c r="K1037" t="str">
        <f>+VLOOKUP(C1037,'[1]TIENDAS 2025'!$A$1:$C$143,3,0)</f>
        <v>nocturna</v>
      </c>
      <c r="L1037" t="str">
        <f>+VLOOKUP(C1037,[2]Hoja1!$A$1:$B$138,2,0)</f>
        <v>APROBAR</v>
      </c>
      <c r="M1037">
        <v>1</v>
      </c>
      <c r="N1037" t="e">
        <v>#N/A</v>
      </c>
    </row>
    <row r="1038" spans="1:14" ht="15" customHeight="1" x14ac:dyDescent="0.3">
      <c r="A1038" s="3">
        <v>1209658849</v>
      </c>
      <c r="B1038" s="3" t="s">
        <v>1166</v>
      </c>
      <c r="C1038" s="3" t="s">
        <v>1167</v>
      </c>
      <c r="D1038" s="4">
        <v>46307.430069444403</v>
      </c>
      <c r="E1038" s="5" t="s">
        <v>10</v>
      </c>
      <c r="F1038" s="5" t="s">
        <v>11</v>
      </c>
      <c r="G1038" s="5">
        <v>132</v>
      </c>
      <c r="H1038" s="6" t="s">
        <v>12</v>
      </c>
      <c r="I1038" t="s">
        <v>1189</v>
      </c>
      <c r="J1038" t="s">
        <v>2480</v>
      </c>
      <c r="K1038" t="str">
        <f>+VLOOKUP(C1038,'[1]TIENDAS 2025'!$A$1:$C$143,3,0)</f>
        <v>departamental</v>
      </c>
      <c r="L1038" t="str">
        <f>+VLOOKUP(C1038,[2]Hoja1!$A$1:$B$138,2,0)</f>
        <v>APROBAR</v>
      </c>
      <c r="M1038">
        <v>1</v>
      </c>
      <c r="N1038" t="e">
        <v>#N/A</v>
      </c>
    </row>
    <row r="1039" spans="1:14" ht="15" customHeight="1" x14ac:dyDescent="0.3">
      <c r="A1039" s="3">
        <v>1209658832</v>
      </c>
      <c r="B1039" s="3" t="s">
        <v>1166</v>
      </c>
      <c r="C1039" s="3" t="s">
        <v>1167</v>
      </c>
      <c r="D1039" s="4">
        <v>46307.430081018501</v>
      </c>
      <c r="E1039" s="5" t="s">
        <v>10</v>
      </c>
      <c r="F1039" s="5" t="s">
        <v>11</v>
      </c>
      <c r="G1039" s="5">
        <v>5</v>
      </c>
      <c r="H1039" s="6" t="s">
        <v>12</v>
      </c>
      <c r="I1039" t="s">
        <v>1190</v>
      </c>
      <c r="J1039" t="s">
        <v>2480</v>
      </c>
      <c r="K1039" t="str">
        <f>+VLOOKUP(C1039,'[1]TIENDAS 2025'!$A$1:$C$143,3,0)</f>
        <v>departamental</v>
      </c>
      <c r="L1039" t="str">
        <f>+VLOOKUP(C1039,[2]Hoja1!$A$1:$B$138,2,0)</f>
        <v>APROBAR</v>
      </c>
      <c r="M1039">
        <v>1</v>
      </c>
      <c r="N1039" t="e">
        <v>#N/A</v>
      </c>
    </row>
    <row r="1040" spans="1:14" ht="15" customHeight="1" x14ac:dyDescent="0.3">
      <c r="A1040" s="3">
        <v>1209658813</v>
      </c>
      <c r="B1040" s="3" t="s">
        <v>1173</v>
      </c>
      <c r="C1040" s="3" t="s">
        <v>1174</v>
      </c>
      <c r="D1040" s="4">
        <v>46307.4300925926</v>
      </c>
      <c r="E1040" s="5" t="s">
        <v>10</v>
      </c>
      <c r="F1040" s="5" t="s">
        <v>11</v>
      </c>
      <c r="G1040" s="5">
        <v>2</v>
      </c>
      <c r="H1040" s="6" t="s">
        <v>12</v>
      </c>
      <c r="I1040" t="s">
        <v>1191</v>
      </c>
      <c r="J1040" t="s">
        <v>2480</v>
      </c>
      <c r="K1040" t="str">
        <f>+VLOOKUP(C1040,'[1]TIENDAS 2025'!$A$1:$C$143,3,0)</f>
        <v>nocturna</v>
      </c>
      <c r="L1040" t="str">
        <f>+VLOOKUP(C1040,[2]Hoja1!$A$1:$B$138,2,0)</f>
        <v>APROBAR</v>
      </c>
      <c r="M1040">
        <v>1</v>
      </c>
      <c r="N1040" t="e">
        <v>#N/A</v>
      </c>
    </row>
    <row r="1041" spans="1:14" ht="15" customHeight="1" x14ac:dyDescent="0.3">
      <c r="A1041" s="3">
        <v>8209658876</v>
      </c>
      <c r="B1041" s="3" t="s">
        <v>1156</v>
      </c>
      <c r="C1041" s="3" t="s">
        <v>1157</v>
      </c>
      <c r="D1041" s="4">
        <v>46307.430104166699</v>
      </c>
      <c r="E1041" s="5" t="s">
        <v>10</v>
      </c>
      <c r="F1041" s="5" t="s">
        <v>16</v>
      </c>
      <c r="G1041" s="5">
        <v>1</v>
      </c>
      <c r="H1041" s="8" t="s">
        <v>12</v>
      </c>
      <c r="I1041" t="s">
        <v>1192</v>
      </c>
      <c r="K1041" t="str">
        <f>+VLOOKUP(C1041,'[1]TIENDAS 2025'!$A$1:$C$143,3,0)</f>
        <v>local</v>
      </c>
      <c r="L1041" t="str">
        <f>+VLOOKUP(C1041,[2]Hoja1!$A$1:$B$138,2,0)</f>
        <v>APROBAR</v>
      </c>
      <c r="M1041">
        <v>1</v>
      </c>
      <c r="N1041" t="e">
        <v>#N/A</v>
      </c>
    </row>
    <row r="1042" spans="1:14" ht="15" customHeight="1" x14ac:dyDescent="0.3">
      <c r="A1042" s="3">
        <v>1209658869</v>
      </c>
      <c r="B1042" s="3" t="s">
        <v>1156</v>
      </c>
      <c r="C1042" s="3" t="s">
        <v>1157</v>
      </c>
      <c r="D1042" s="4">
        <v>46307.430115740703</v>
      </c>
      <c r="E1042" s="5" t="s">
        <v>10</v>
      </c>
      <c r="F1042" s="5" t="s">
        <v>17</v>
      </c>
      <c r="G1042" s="5">
        <v>14</v>
      </c>
      <c r="H1042" s="6" t="s">
        <v>12</v>
      </c>
      <c r="I1042" t="s">
        <v>1193</v>
      </c>
      <c r="J1042" t="s">
        <v>2480</v>
      </c>
      <c r="K1042" t="str">
        <f>+VLOOKUP(C1042,'[1]TIENDAS 2025'!$A$1:$C$143,3,0)</f>
        <v>local</v>
      </c>
      <c r="L1042" t="str">
        <f>+VLOOKUP(C1042,[2]Hoja1!$A$1:$B$138,2,0)</f>
        <v>APROBAR</v>
      </c>
      <c r="M1042">
        <v>1</v>
      </c>
      <c r="N1042" t="e">
        <v>#N/A</v>
      </c>
    </row>
    <row r="1043" spans="1:14" ht="15" customHeight="1" x14ac:dyDescent="0.3">
      <c r="A1043" s="3">
        <v>1209658923</v>
      </c>
      <c r="B1043" s="3" t="s">
        <v>1185</v>
      </c>
      <c r="C1043" s="3" t="s">
        <v>1186</v>
      </c>
      <c r="D1043" s="4">
        <v>46307.4301388889</v>
      </c>
      <c r="E1043" s="5" t="s">
        <v>10</v>
      </c>
      <c r="F1043" s="5" t="s">
        <v>11</v>
      </c>
      <c r="G1043" s="5">
        <v>1</v>
      </c>
      <c r="H1043" s="6" t="s">
        <v>12</v>
      </c>
      <c r="I1043" t="s">
        <v>1194</v>
      </c>
      <c r="J1043" t="s">
        <v>2480</v>
      </c>
      <c r="K1043" t="str">
        <f>+VLOOKUP(C1043,'[1]TIENDAS 2025'!$A$1:$C$143,3,0)</f>
        <v>local</v>
      </c>
      <c r="L1043" t="str">
        <f>+VLOOKUP(C1043,[2]Hoja1!$A$1:$B$138,2,0)</f>
        <v>APROBAR</v>
      </c>
      <c r="M1043">
        <v>1</v>
      </c>
      <c r="N1043" t="e">
        <v>#N/A</v>
      </c>
    </row>
    <row r="1044" spans="1:14" ht="15" customHeight="1" x14ac:dyDescent="0.3">
      <c r="A1044" s="3">
        <v>1209658880</v>
      </c>
      <c r="B1044" s="3" t="s">
        <v>1156</v>
      </c>
      <c r="C1044" s="3" t="s">
        <v>1157</v>
      </c>
      <c r="D1044" s="4">
        <v>46307.4301388889</v>
      </c>
      <c r="E1044" s="5" t="s">
        <v>10</v>
      </c>
      <c r="F1044" s="5" t="s">
        <v>11</v>
      </c>
      <c r="G1044" s="5">
        <v>25</v>
      </c>
      <c r="H1044" s="6" t="s">
        <v>12</v>
      </c>
      <c r="I1044" t="s">
        <v>1195</v>
      </c>
      <c r="J1044" t="s">
        <v>2480</v>
      </c>
      <c r="K1044" t="str">
        <f>+VLOOKUP(C1044,'[1]TIENDAS 2025'!$A$1:$C$143,3,0)</f>
        <v>local</v>
      </c>
      <c r="L1044" t="str">
        <f>+VLOOKUP(C1044,[2]Hoja1!$A$1:$B$138,2,0)</f>
        <v>APROBAR</v>
      </c>
      <c r="M1044">
        <v>1</v>
      </c>
      <c r="N1044" t="e">
        <v>#N/A</v>
      </c>
    </row>
    <row r="1045" spans="1:14" ht="15" customHeight="1" x14ac:dyDescent="0.3">
      <c r="A1045" s="3">
        <v>1209658967</v>
      </c>
      <c r="B1045" s="3" t="s">
        <v>1162</v>
      </c>
      <c r="C1045" s="3" t="s">
        <v>1163</v>
      </c>
      <c r="D1045" s="4">
        <v>46307.430150462998</v>
      </c>
      <c r="E1045" s="5" t="s">
        <v>10</v>
      </c>
      <c r="F1045" s="5" t="s">
        <v>11</v>
      </c>
      <c r="G1045" s="5">
        <v>60</v>
      </c>
      <c r="H1045" s="6" t="s">
        <v>12</v>
      </c>
      <c r="I1045" t="s">
        <v>1196</v>
      </c>
      <c r="J1045" t="s">
        <v>2480</v>
      </c>
      <c r="K1045" t="str">
        <f>+VLOOKUP(C1045,'[1]TIENDAS 2025'!$A$1:$C$143,3,0)</f>
        <v>local</v>
      </c>
      <c r="L1045" t="str">
        <f>+VLOOKUP(C1045,[2]Hoja1!$A$1:$B$138,2,0)</f>
        <v>APROBAR</v>
      </c>
      <c r="M1045">
        <v>1</v>
      </c>
      <c r="N1045" t="e">
        <v>#N/A</v>
      </c>
    </row>
    <row r="1046" spans="1:14" ht="15" customHeight="1" x14ac:dyDescent="0.3">
      <c r="A1046" s="3">
        <v>8209658802</v>
      </c>
      <c r="B1046" s="3" t="s">
        <v>1173</v>
      </c>
      <c r="C1046" s="3" t="s">
        <v>1174</v>
      </c>
      <c r="D1046" s="4">
        <v>46307.430173611101</v>
      </c>
      <c r="E1046" s="5" t="s">
        <v>10</v>
      </c>
      <c r="F1046" s="5" t="s">
        <v>16</v>
      </c>
      <c r="G1046" s="5">
        <v>2</v>
      </c>
      <c r="H1046" s="8" t="s">
        <v>12</v>
      </c>
      <c r="I1046" t="s">
        <v>1197</v>
      </c>
      <c r="K1046" t="str">
        <f>+VLOOKUP(C1046,'[1]TIENDAS 2025'!$A$1:$C$143,3,0)</f>
        <v>nocturna</v>
      </c>
      <c r="L1046" t="str">
        <f>+VLOOKUP(C1046,[2]Hoja1!$A$1:$B$138,2,0)</f>
        <v>APROBAR</v>
      </c>
      <c r="M1046">
        <v>1</v>
      </c>
      <c r="N1046" t="e">
        <v>#N/A</v>
      </c>
    </row>
    <row r="1047" spans="1:14" ht="15" customHeight="1" x14ac:dyDescent="0.3">
      <c r="A1047" s="3">
        <v>1209658872</v>
      </c>
      <c r="B1047" s="3" t="s">
        <v>1156</v>
      </c>
      <c r="C1047" s="3" t="s">
        <v>1157</v>
      </c>
      <c r="D1047" s="4">
        <v>46307.4301851852</v>
      </c>
      <c r="E1047" s="5" t="s">
        <v>10</v>
      </c>
      <c r="F1047" s="5" t="s">
        <v>11</v>
      </c>
      <c r="G1047" s="5">
        <v>30</v>
      </c>
      <c r="H1047" s="6" t="s">
        <v>12</v>
      </c>
      <c r="I1047" t="s">
        <v>1198</v>
      </c>
      <c r="J1047" t="s">
        <v>2480</v>
      </c>
      <c r="K1047" t="str">
        <f>+VLOOKUP(C1047,'[1]TIENDAS 2025'!$A$1:$C$143,3,0)</f>
        <v>local</v>
      </c>
      <c r="L1047" t="str">
        <f>+VLOOKUP(C1047,[2]Hoja1!$A$1:$B$138,2,0)</f>
        <v>APROBAR</v>
      </c>
      <c r="M1047">
        <v>1</v>
      </c>
      <c r="N1047" t="e">
        <v>#N/A</v>
      </c>
    </row>
    <row r="1048" spans="1:14" ht="15" customHeight="1" x14ac:dyDescent="0.3">
      <c r="A1048" s="3">
        <v>1209658909</v>
      </c>
      <c r="B1048" s="3" t="s">
        <v>1159</v>
      </c>
      <c r="C1048" s="3" t="s">
        <v>1160</v>
      </c>
      <c r="D1048" s="4">
        <v>46307.430208333302</v>
      </c>
      <c r="E1048" s="5" t="s">
        <v>10</v>
      </c>
      <c r="F1048" s="5" t="s">
        <v>11</v>
      </c>
      <c r="G1048" s="5">
        <v>27</v>
      </c>
      <c r="H1048" s="6" t="s">
        <v>12</v>
      </c>
      <c r="I1048" t="s">
        <v>1199</v>
      </c>
      <c r="J1048" t="s">
        <v>2480</v>
      </c>
      <c r="K1048" t="str">
        <f>+VLOOKUP(C1048,'[1]TIENDAS 2025'!$A$1:$C$143,3,0)</f>
        <v>departamental</v>
      </c>
      <c r="L1048" t="str">
        <f>+VLOOKUP(C1048,[2]Hoja1!$A$1:$B$138,2,0)</f>
        <v>APROBAR</v>
      </c>
      <c r="M1048">
        <v>1</v>
      </c>
      <c r="N1048" t="e">
        <v>#N/A</v>
      </c>
    </row>
    <row r="1049" spans="1:14" ht="15" customHeight="1" x14ac:dyDescent="0.3">
      <c r="A1049" s="3">
        <v>8209658902</v>
      </c>
      <c r="B1049" s="3" t="s">
        <v>1159</v>
      </c>
      <c r="C1049" s="3" t="s">
        <v>1160</v>
      </c>
      <c r="D1049" s="4">
        <v>46307.430208333302</v>
      </c>
      <c r="E1049" s="5" t="s">
        <v>10</v>
      </c>
      <c r="F1049" s="5" t="s">
        <v>16</v>
      </c>
      <c r="G1049" s="5">
        <v>1</v>
      </c>
      <c r="H1049" s="8" t="s">
        <v>12</v>
      </c>
      <c r="I1049" t="s">
        <v>1200</v>
      </c>
      <c r="K1049" t="str">
        <f>+VLOOKUP(C1049,'[1]TIENDAS 2025'!$A$1:$C$143,3,0)</f>
        <v>departamental</v>
      </c>
      <c r="L1049" t="str">
        <f>+VLOOKUP(C1049,[2]Hoja1!$A$1:$B$138,2,0)</f>
        <v>APROBAR</v>
      </c>
      <c r="M1049">
        <v>1</v>
      </c>
      <c r="N1049" t="e">
        <v>#N/A</v>
      </c>
    </row>
    <row r="1050" spans="1:14" ht="15" customHeight="1" x14ac:dyDescent="0.3">
      <c r="A1050" s="3">
        <v>1209658962</v>
      </c>
      <c r="B1050" s="3" t="s">
        <v>1162</v>
      </c>
      <c r="C1050" s="3" t="s">
        <v>1163</v>
      </c>
      <c r="D1050" s="4">
        <v>46307.4302314815</v>
      </c>
      <c r="E1050" s="5" t="s">
        <v>10</v>
      </c>
      <c r="F1050" s="5" t="s">
        <v>17</v>
      </c>
      <c r="G1050" s="5">
        <v>12</v>
      </c>
      <c r="H1050" s="6" t="s">
        <v>12</v>
      </c>
      <c r="I1050" t="s">
        <v>1201</v>
      </c>
      <c r="J1050" t="s">
        <v>2480</v>
      </c>
      <c r="K1050" t="str">
        <f>+VLOOKUP(C1050,'[1]TIENDAS 2025'!$A$1:$C$143,3,0)</f>
        <v>local</v>
      </c>
      <c r="L1050" t="str">
        <f>+VLOOKUP(C1050,[2]Hoja1!$A$1:$B$138,2,0)</f>
        <v>APROBAR</v>
      </c>
      <c r="M1050">
        <v>1</v>
      </c>
      <c r="N1050" t="e">
        <v>#N/A</v>
      </c>
    </row>
    <row r="1051" spans="1:14" ht="15" customHeight="1" x14ac:dyDescent="0.3">
      <c r="A1051" s="3">
        <v>8209658828</v>
      </c>
      <c r="B1051" s="3" t="s">
        <v>1166</v>
      </c>
      <c r="C1051" s="3" t="s">
        <v>1167</v>
      </c>
      <c r="D1051" s="4">
        <v>46307.430243055598</v>
      </c>
      <c r="E1051" s="5" t="s">
        <v>10</v>
      </c>
      <c r="F1051" s="5" t="s">
        <v>16</v>
      </c>
      <c r="G1051" s="5">
        <v>3</v>
      </c>
      <c r="H1051" s="8" t="s">
        <v>12</v>
      </c>
      <c r="I1051" t="s">
        <v>1202</v>
      </c>
      <c r="K1051" t="str">
        <f>+VLOOKUP(C1051,'[1]TIENDAS 2025'!$A$1:$C$143,3,0)</f>
        <v>departamental</v>
      </c>
      <c r="L1051" t="str">
        <f>+VLOOKUP(C1051,[2]Hoja1!$A$1:$B$138,2,0)</f>
        <v>APROBAR</v>
      </c>
      <c r="M1051">
        <v>1</v>
      </c>
      <c r="N1051" t="e">
        <v>#N/A</v>
      </c>
    </row>
    <row r="1052" spans="1:14" ht="15" customHeight="1" x14ac:dyDescent="0.3">
      <c r="A1052" s="3">
        <v>8209658830</v>
      </c>
      <c r="B1052" s="3" t="s">
        <v>1166</v>
      </c>
      <c r="C1052" s="3" t="s">
        <v>1167</v>
      </c>
      <c r="D1052" s="4">
        <v>46307.430254629602</v>
      </c>
      <c r="E1052" s="5" t="s">
        <v>10</v>
      </c>
      <c r="F1052" s="5" t="s">
        <v>16</v>
      </c>
      <c r="G1052" s="5">
        <v>2</v>
      </c>
      <c r="H1052" s="8" t="s">
        <v>12</v>
      </c>
      <c r="I1052" t="s">
        <v>1203</v>
      </c>
      <c r="K1052" t="str">
        <f>+VLOOKUP(C1052,'[1]TIENDAS 2025'!$A$1:$C$143,3,0)</f>
        <v>departamental</v>
      </c>
      <c r="L1052" t="str">
        <f>+VLOOKUP(C1052,[2]Hoja1!$A$1:$B$138,2,0)</f>
        <v>APROBAR</v>
      </c>
      <c r="M1052">
        <v>1</v>
      </c>
      <c r="N1052" t="e">
        <v>#N/A</v>
      </c>
    </row>
    <row r="1053" spans="1:14" ht="15" customHeight="1" x14ac:dyDescent="0.3">
      <c r="A1053" s="3">
        <v>1209658834</v>
      </c>
      <c r="B1053" s="3" t="s">
        <v>1166</v>
      </c>
      <c r="C1053" s="3" t="s">
        <v>1167</v>
      </c>
      <c r="D1053" s="4">
        <v>46307.430266203701</v>
      </c>
      <c r="E1053" s="5" t="s">
        <v>10</v>
      </c>
      <c r="F1053" s="5" t="s">
        <v>11</v>
      </c>
      <c r="G1053" s="5">
        <v>8</v>
      </c>
      <c r="H1053" s="6" t="s">
        <v>12</v>
      </c>
      <c r="I1053" t="s">
        <v>1204</v>
      </c>
      <c r="J1053" t="s">
        <v>2480</v>
      </c>
      <c r="K1053" t="str">
        <f>+VLOOKUP(C1053,'[1]TIENDAS 2025'!$A$1:$C$143,3,0)</f>
        <v>departamental</v>
      </c>
      <c r="L1053" t="str">
        <f>+VLOOKUP(C1053,[2]Hoja1!$A$1:$B$138,2,0)</f>
        <v>APROBAR</v>
      </c>
      <c r="M1053">
        <v>1</v>
      </c>
      <c r="N1053" t="e">
        <v>#N/A</v>
      </c>
    </row>
    <row r="1054" spans="1:14" ht="15" customHeight="1" x14ac:dyDescent="0.3">
      <c r="A1054" s="3">
        <v>1209658868</v>
      </c>
      <c r="B1054" s="3" t="s">
        <v>1156</v>
      </c>
      <c r="C1054" s="3" t="s">
        <v>1157</v>
      </c>
      <c r="D1054" s="4">
        <v>46307.430289351898</v>
      </c>
      <c r="E1054" s="5" t="s">
        <v>10</v>
      </c>
      <c r="F1054" s="5" t="s">
        <v>17</v>
      </c>
      <c r="G1054" s="5">
        <v>1</v>
      </c>
      <c r="H1054" s="6" t="s">
        <v>12</v>
      </c>
      <c r="I1054" t="s">
        <v>1205</v>
      </c>
      <c r="J1054" t="s">
        <v>2480</v>
      </c>
      <c r="K1054" t="str">
        <f>+VLOOKUP(C1054,'[1]TIENDAS 2025'!$A$1:$C$143,3,0)</f>
        <v>local</v>
      </c>
      <c r="L1054" t="str">
        <f>+VLOOKUP(C1054,[2]Hoja1!$A$1:$B$138,2,0)</f>
        <v>APROBAR</v>
      </c>
      <c r="M1054">
        <v>1</v>
      </c>
      <c r="N1054" t="e">
        <v>#N/A</v>
      </c>
    </row>
    <row r="1055" spans="1:14" ht="15" customHeight="1" x14ac:dyDescent="0.3">
      <c r="A1055" s="3">
        <v>1209658893</v>
      </c>
      <c r="B1055" s="3" t="s">
        <v>1159</v>
      </c>
      <c r="C1055" s="3" t="s">
        <v>1160</v>
      </c>
      <c r="D1055" s="4">
        <v>46307.430289351898</v>
      </c>
      <c r="E1055" s="5" t="s">
        <v>10</v>
      </c>
      <c r="F1055" s="5" t="s">
        <v>17</v>
      </c>
      <c r="G1055" s="5">
        <v>4</v>
      </c>
      <c r="H1055" s="6" t="s">
        <v>12</v>
      </c>
      <c r="I1055" t="s">
        <v>1206</v>
      </c>
      <c r="J1055" t="s">
        <v>2480</v>
      </c>
      <c r="K1055" t="str">
        <f>+VLOOKUP(C1055,'[1]TIENDAS 2025'!$A$1:$C$143,3,0)</f>
        <v>departamental</v>
      </c>
      <c r="L1055" t="str">
        <f>+VLOOKUP(C1055,[2]Hoja1!$A$1:$B$138,2,0)</f>
        <v>APROBAR</v>
      </c>
      <c r="M1055">
        <v>1</v>
      </c>
      <c r="N1055" t="e">
        <v>#N/A</v>
      </c>
    </row>
    <row r="1056" spans="1:14" ht="15" customHeight="1" x14ac:dyDescent="0.3">
      <c r="A1056" s="3">
        <v>8209658921</v>
      </c>
      <c r="B1056" s="3" t="s">
        <v>1185</v>
      </c>
      <c r="C1056" s="3" t="s">
        <v>1186</v>
      </c>
      <c r="D1056" s="4">
        <v>46307.430300925902</v>
      </c>
      <c r="E1056" s="5" t="s">
        <v>10</v>
      </c>
      <c r="F1056" s="5" t="s">
        <v>16</v>
      </c>
      <c r="G1056" s="5">
        <v>1</v>
      </c>
      <c r="H1056" s="8" t="s">
        <v>12</v>
      </c>
      <c r="I1056" t="s">
        <v>1207</v>
      </c>
      <c r="K1056" t="str">
        <f>+VLOOKUP(C1056,'[1]TIENDAS 2025'!$A$1:$C$143,3,0)</f>
        <v>local</v>
      </c>
      <c r="L1056" t="str">
        <f>+VLOOKUP(C1056,[2]Hoja1!$A$1:$B$138,2,0)</f>
        <v>APROBAR</v>
      </c>
      <c r="M1056">
        <v>1</v>
      </c>
      <c r="N1056" t="e">
        <v>#N/A</v>
      </c>
    </row>
    <row r="1057" spans="1:14" ht="15" customHeight="1" x14ac:dyDescent="0.3">
      <c r="A1057" s="3">
        <v>1209658924</v>
      </c>
      <c r="B1057" s="3" t="s">
        <v>1185</v>
      </c>
      <c r="C1057" s="3" t="s">
        <v>1186</v>
      </c>
      <c r="D1057" s="4">
        <v>46307.430324074099</v>
      </c>
      <c r="E1057" s="5" t="s">
        <v>10</v>
      </c>
      <c r="F1057" s="5" t="s">
        <v>17</v>
      </c>
      <c r="G1057" s="5">
        <v>2</v>
      </c>
      <c r="H1057" s="6" t="s">
        <v>12</v>
      </c>
      <c r="I1057" t="s">
        <v>1208</v>
      </c>
      <c r="J1057" t="s">
        <v>2480</v>
      </c>
      <c r="K1057" t="str">
        <f>+VLOOKUP(C1057,'[1]TIENDAS 2025'!$A$1:$C$143,3,0)</f>
        <v>local</v>
      </c>
      <c r="L1057" t="str">
        <f>+VLOOKUP(C1057,[2]Hoja1!$A$1:$B$138,2,0)</f>
        <v>APROBAR</v>
      </c>
      <c r="M1057">
        <v>1</v>
      </c>
      <c r="N1057" t="e">
        <v>#N/A</v>
      </c>
    </row>
    <row r="1058" spans="1:14" ht="15" customHeight="1" x14ac:dyDescent="0.3">
      <c r="A1058" s="3">
        <v>1209658926</v>
      </c>
      <c r="B1058" s="3" t="s">
        <v>1185</v>
      </c>
      <c r="C1058" s="3" t="s">
        <v>1186</v>
      </c>
      <c r="D1058" s="4">
        <v>46307.430335648103</v>
      </c>
      <c r="E1058" s="5" t="s">
        <v>10</v>
      </c>
      <c r="F1058" s="5" t="s">
        <v>11</v>
      </c>
      <c r="G1058" s="5">
        <v>3</v>
      </c>
      <c r="H1058" s="6" t="s">
        <v>12</v>
      </c>
      <c r="I1058" t="s">
        <v>1209</v>
      </c>
      <c r="J1058" t="s">
        <v>2480</v>
      </c>
      <c r="K1058" t="str">
        <f>+VLOOKUP(C1058,'[1]TIENDAS 2025'!$A$1:$C$143,3,0)</f>
        <v>local</v>
      </c>
      <c r="L1058" t="str">
        <f>+VLOOKUP(C1058,[2]Hoja1!$A$1:$B$138,2,0)</f>
        <v>APROBAR</v>
      </c>
      <c r="M1058">
        <v>1</v>
      </c>
      <c r="N1058" t="e">
        <v>#N/A</v>
      </c>
    </row>
    <row r="1059" spans="1:14" ht="15" customHeight="1" x14ac:dyDescent="0.3">
      <c r="A1059" s="3">
        <v>8209658801</v>
      </c>
      <c r="B1059" s="3" t="s">
        <v>1173</v>
      </c>
      <c r="C1059" s="3" t="s">
        <v>1174</v>
      </c>
      <c r="D1059" s="4">
        <v>46307.4303587963</v>
      </c>
      <c r="E1059" s="5" t="s">
        <v>10</v>
      </c>
      <c r="F1059" s="5" t="s">
        <v>16</v>
      </c>
      <c r="G1059" s="5">
        <v>3</v>
      </c>
      <c r="H1059" s="8" t="s">
        <v>12</v>
      </c>
      <c r="I1059" t="s">
        <v>1210</v>
      </c>
      <c r="K1059" t="str">
        <f>+VLOOKUP(C1059,'[1]TIENDAS 2025'!$A$1:$C$143,3,0)</f>
        <v>nocturna</v>
      </c>
      <c r="L1059" t="str">
        <f>+VLOOKUP(C1059,[2]Hoja1!$A$1:$B$138,2,0)</f>
        <v>APROBAR</v>
      </c>
      <c r="M1059">
        <v>1</v>
      </c>
      <c r="N1059" t="e">
        <v>#N/A</v>
      </c>
    </row>
    <row r="1060" spans="1:14" ht="15" customHeight="1" x14ac:dyDescent="0.3">
      <c r="A1060" s="3">
        <v>8209658803</v>
      </c>
      <c r="B1060" s="3" t="s">
        <v>1173</v>
      </c>
      <c r="C1060" s="3" t="s">
        <v>1174</v>
      </c>
      <c r="D1060" s="4">
        <v>46307.4303587963</v>
      </c>
      <c r="E1060" s="5" t="s">
        <v>10</v>
      </c>
      <c r="F1060" s="5" t="s">
        <v>16</v>
      </c>
      <c r="G1060" s="5">
        <v>2</v>
      </c>
      <c r="H1060" s="8" t="s">
        <v>12</v>
      </c>
      <c r="I1060" t="s">
        <v>1211</v>
      </c>
      <c r="K1060" t="str">
        <f>+VLOOKUP(C1060,'[1]TIENDAS 2025'!$A$1:$C$143,3,0)</f>
        <v>nocturna</v>
      </c>
      <c r="L1060" t="str">
        <f>+VLOOKUP(C1060,[2]Hoja1!$A$1:$B$138,2,0)</f>
        <v>APROBAR</v>
      </c>
      <c r="M1060">
        <v>1</v>
      </c>
      <c r="N1060" t="e">
        <v>#N/A</v>
      </c>
    </row>
    <row r="1061" spans="1:14" ht="15" customHeight="1" x14ac:dyDescent="0.3">
      <c r="A1061" s="3">
        <v>1209658805</v>
      </c>
      <c r="B1061" s="3" t="s">
        <v>1173</v>
      </c>
      <c r="C1061" s="3" t="s">
        <v>1174</v>
      </c>
      <c r="D1061" s="4">
        <v>46307.430370370399</v>
      </c>
      <c r="E1061" s="5" t="s">
        <v>10</v>
      </c>
      <c r="F1061" s="5" t="s">
        <v>17</v>
      </c>
      <c r="G1061" s="5">
        <v>10</v>
      </c>
      <c r="H1061" s="6" t="s">
        <v>12</v>
      </c>
      <c r="I1061" t="s">
        <v>1212</v>
      </c>
      <c r="J1061" t="s">
        <v>2480</v>
      </c>
      <c r="K1061" t="str">
        <f>+VLOOKUP(C1061,'[1]TIENDAS 2025'!$A$1:$C$143,3,0)</f>
        <v>nocturna</v>
      </c>
      <c r="L1061" t="str">
        <f>+VLOOKUP(C1061,[2]Hoja1!$A$1:$B$138,2,0)</f>
        <v>APROBAR</v>
      </c>
      <c r="M1061">
        <v>1</v>
      </c>
      <c r="N1061" t="e">
        <v>#N/A</v>
      </c>
    </row>
    <row r="1062" spans="1:14" ht="15" customHeight="1" x14ac:dyDescent="0.3">
      <c r="A1062" s="3">
        <v>1209658930</v>
      </c>
      <c r="B1062" s="3" t="s">
        <v>1185</v>
      </c>
      <c r="C1062" s="3" t="s">
        <v>1186</v>
      </c>
      <c r="D1062" s="4">
        <v>46307.430393518502</v>
      </c>
      <c r="E1062" s="5" t="s">
        <v>10</v>
      </c>
      <c r="F1062" s="5" t="s">
        <v>11</v>
      </c>
      <c r="G1062" s="5">
        <v>16</v>
      </c>
      <c r="H1062" s="6" t="s">
        <v>12</v>
      </c>
      <c r="I1062" t="s">
        <v>1213</v>
      </c>
      <c r="J1062" t="s">
        <v>2480</v>
      </c>
      <c r="K1062" t="str">
        <f>+VLOOKUP(C1062,'[1]TIENDAS 2025'!$A$1:$C$143,3,0)</f>
        <v>local</v>
      </c>
      <c r="L1062" t="str">
        <f>+VLOOKUP(C1062,[2]Hoja1!$A$1:$B$138,2,0)</f>
        <v>APROBAR</v>
      </c>
      <c r="M1062">
        <v>1</v>
      </c>
      <c r="N1062" t="e">
        <v>#N/A</v>
      </c>
    </row>
    <row r="1063" spans="1:14" ht="15" customHeight="1" x14ac:dyDescent="0.3">
      <c r="A1063" s="3">
        <v>1209658806</v>
      </c>
      <c r="B1063" s="3" t="s">
        <v>1173</v>
      </c>
      <c r="C1063" s="3" t="s">
        <v>1174</v>
      </c>
      <c r="D1063" s="4">
        <v>46307.4304050926</v>
      </c>
      <c r="E1063" s="5" t="s">
        <v>10</v>
      </c>
      <c r="F1063" s="5" t="s">
        <v>11</v>
      </c>
      <c r="G1063" s="5">
        <v>11</v>
      </c>
      <c r="H1063" s="6" t="s">
        <v>12</v>
      </c>
      <c r="I1063" t="s">
        <v>1214</v>
      </c>
      <c r="J1063" t="s">
        <v>2480</v>
      </c>
      <c r="K1063" t="str">
        <f>+VLOOKUP(C1063,'[1]TIENDAS 2025'!$A$1:$C$143,3,0)</f>
        <v>nocturna</v>
      </c>
      <c r="L1063" t="str">
        <f>+VLOOKUP(C1063,[2]Hoja1!$A$1:$B$138,2,0)</f>
        <v>APROBAR</v>
      </c>
      <c r="M1063">
        <v>1</v>
      </c>
      <c r="N1063" t="e">
        <v>#N/A</v>
      </c>
    </row>
    <row r="1064" spans="1:14" ht="15" customHeight="1" x14ac:dyDescent="0.3">
      <c r="A1064" s="3">
        <v>1209658961</v>
      </c>
      <c r="B1064" s="3" t="s">
        <v>1162</v>
      </c>
      <c r="C1064" s="3" t="s">
        <v>1163</v>
      </c>
      <c r="D1064" s="4">
        <v>46307.430416666699</v>
      </c>
      <c r="E1064" s="5" t="s">
        <v>10</v>
      </c>
      <c r="F1064" s="5" t="s">
        <v>11</v>
      </c>
      <c r="G1064" s="5">
        <v>9</v>
      </c>
      <c r="H1064" s="6" t="s">
        <v>12</v>
      </c>
      <c r="I1064" t="s">
        <v>1215</v>
      </c>
      <c r="J1064" t="s">
        <v>2480</v>
      </c>
      <c r="K1064" t="str">
        <f>+VLOOKUP(C1064,'[1]TIENDAS 2025'!$A$1:$C$143,3,0)</f>
        <v>local</v>
      </c>
      <c r="L1064" t="str">
        <f>+VLOOKUP(C1064,[2]Hoja1!$A$1:$B$138,2,0)</f>
        <v>APROBAR</v>
      </c>
      <c r="M1064">
        <v>1</v>
      </c>
      <c r="N1064" t="e">
        <v>#N/A</v>
      </c>
    </row>
    <row r="1065" spans="1:14" ht="15" customHeight="1" x14ac:dyDescent="0.3">
      <c r="A1065" s="3">
        <v>1209658831</v>
      </c>
      <c r="B1065" s="3" t="s">
        <v>1166</v>
      </c>
      <c r="C1065" s="3" t="s">
        <v>1167</v>
      </c>
      <c r="D1065" s="4">
        <v>46307.430428240703</v>
      </c>
      <c r="E1065" s="5" t="s">
        <v>10</v>
      </c>
      <c r="F1065" s="5" t="s">
        <v>11</v>
      </c>
      <c r="G1065" s="5">
        <v>2</v>
      </c>
      <c r="H1065" s="6" t="s">
        <v>12</v>
      </c>
      <c r="I1065" t="s">
        <v>1216</v>
      </c>
      <c r="J1065" t="s">
        <v>2480</v>
      </c>
      <c r="K1065" t="str">
        <f>+VLOOKUP(C1065,'[1]TIENDAS 2025'!$A$1:$C$143,3,0)</f>
        <v>departamental</v>
      </c>
      <c r="L1065" t="str">
        <f>+VLOOKUP(C1065,[2]Hoja1!$A$1:$B$138,2,0)</f>
        <v>APROBAR</v>
      </c>
      <c r="M1065">
        <v>1</v>
      </c>
      <c r="N1065" t="e">
        <v>#N/A</v>
      </c>
    </row>
    <row r="1066" spans="1:14" ht="15" customHeight="1" x14ac:dyDescent="0.3">
      <c r="A1066" s="3">
        <v>1209658875</v>
      </c>
      <c r="B1066" s="3" t="s">
        <v>1156</v>
      </c>
      <c r="C1066" s="3" t="s">
        <v>1157</v>
      </c>
      <c r="D1066" s="4">
        <v>46307.430439814802</v>
      </c>
      <c r="E1066" s="5" t="s">
        <v>10</v>
      </c>
      <c r="F1066" s="5" t="s">
        <v>17</v>
      </c>
      <c r="G1066" s="5">
        <v>43</v>
      </c>
      <c r="H1066" s="6" t="s">
        <v>12</v>
      </c>
      <c r="I1066" t="s">
        <v>1217</v>
      </c>
      <c r="J1066" t="s">
        <v>2480</v>
      </c>
      <c r="K1066" t="str">
        <f>+VLOOKUP(C1066,'[1]TIENDAS 2025'!$A$1:$C$143,3,0)</f>
        <v>local</v>
      </c>
      <c r="L1066" t="str">
        <f>+VLOOKUP(C1066,[2]Hoja1!$A$1:$B$138,2,0)</f>
        <v>APROBAR</v>
      </c>
      <c r="M1066">
        <v>1</v>
      </c>
      <c r="N1066" t="e">
        <v>#N/A</v>
      </c>
    </row>
    <row r="1067" spans="1:14" ht="15" customHeight="1" x14ac:dyDescent="0.3">
      <c r="A1067" s="3">
        <v>8209658865</v>
      </c>
      <c r="B1067" s="3" t="s">
        <v>1156</v>
      </c>
      <c r="C1067" s="3" t="s">
        <v>1157</v>
      </c>
      <c r="D1067" s="4">
        <v>46307.430462962999</v>
      </c>
      <c r="E1067" s="5" t="s">
        <v>10</v>
      </c>
      <c r="F1067" s="5" t="s">
        <v>16</v>
      </c>
      <c r="G1067" s="5">
        <v>9</v>
      </c>
      <c r="H1067" s="8" t="s">
        <v>12</v>
      </c>
      <c r="I1067" t="s">
        <v>1218</v>
      </c>
      <c r="K1067" t="str">
        <f>+VLOOKUP(C1067,'[1]TIENDAS 2025'!$A$1:$C$143,3,0)</f>
        <v>local</v>
      </c>
      <c r="L1067" t="str">
        <f>+VLOOKUP(C1067,[2]Hoja1!$A$1:$B$138,2,0)</f>
        <v>APROBAR</v>
      </c>
      <c r="M1067">
        <v>1</v>
      </c>
      <c r="N1067" t="e">
        <v>#N/A</v>
      </c>
    </row>
    <row r="1068" spans="1:14" ht="15" customHeight="1" x14ac:dyDescent="0.3">
      <c r="A1068" s="3">
        <v>8209658867</v>
      </c>
      <c r="B1068" s="3" t="s">
        <v>1156</v>
      </c>
      <c r="C1068" s="3" t="s">
        <v>1157</v>
      </c>
      <c r="D1068" s="4">
        <v>46307.430474537003</v>
      </c>
      <c r="E1068" s="5" t="s">
        <v>10</v>
      </c>
      <c r="F1068" s="5" t="s">
        <v>16</v>
      </c>
      <c r="G1068" s="5">
        <v>11</v>
      </c>
      <c r="H1068" s="8" t="s">
        <v>12</v>
      </c>
      <c r="I1068" t="s">
        <v>1219</v>
      </c>
      <c r="K1068" t="str">
        <f>+VLOOKUP(C1068,'[1]TIENDAS 2025'!$A$1:$C$143,3,0)</f>
        <v>local</v>
      </c>
      <c r="L1068" t="str">
        <f>+VLOOKUP(C1068,[2]Hoja1!$A$1:$B$138,2,0)</f>
        <v>APROBAR</v>
      </c>
      <c r="M1068">
        <v>1</v>
      </c>
      <c r="N1068" t="e">
        <v>#N/A</v>
      </c>
    </row>
    <row r="1069" spans="1:14" ht="15" customHeight="1" x14ac:dyDescent="0.3">
      <c r="A1069" s="3">
        <v>1209658896</v>
      </c>
      <c r="B1069" s="3" t="s">
        <v>1159</v>
      </c>
      <c r="C1069" s="3" t="s">
        <v>1160</v>
      </c>
      <c r="D1069" s="4">
        <v>46307.430486111101</v>
      </c>
      <c r="E1069" s="5" t="s">
        <v>10</v>
      </c>
      <c r="F1069" s="5" t="s">
        <v>11</v>
      </c>
      <c r="G1069" s="5">
        <v>9</v>
      </c>
      <c r="H1069" s="6" t="s">
        <v>12</v>
      </c>
      <c r="I1069" t="s">
        <v>1220</v>
      </c>
      <c r="J1069" t="s">
        <v>2480</v>
      </c>
      <c r="K1069" t="str">
        <f>+VLOOKUP(C1069,'[1]TIENDAS 2025'!$A$1:$C$143,3,0)</f>
        <v>departamental</v>
      </c>
      <c r="L1069" t="str">
        <f>+VLOOKUP(C1069,[2]Hoja1!$A$1:$B$138,2,0)</f>
        <v>APROBAR</v>
      </c>
      <c r="M1069">
        <v>1</v>
      </c>
      <c r="N1069" t="e">
        <v>#N/A</v>
      </c>
    </row>
    <row r="1070" spans="1:14" ht="15" customHeight="1" x14ac:dyDescent="0.3">
      <c r="A1070" s="3">
        <v>8209658922</v>
      </c>
      <c r="B1070" s="3" t="s">
        <v>1185</v>
      </c>
      <c r="C1070" s="3" t="s">
        <v>1186</v>
      </c>
      <c r="D1070" s="4">
        <v>46307.4304976852</v>
      </c>
      <c r="E1070" s="5" t="s">
        <v>10</v>
      </c>
      <c r="F1070" s="5" t="s">
        <v>16</v>
      </c>
      <c r="G1070" s="5">
        <v>2</v>
      </c>
      <c r="H1070" s="8" t="s">
        <v>12</v>
      </c>
      <c r="I1070" t="s">
        <v>1221</v>
      </c>
      <c r="K1070" t="str">
        <f>+VLOOKUP(C1070,'[1]TIENDAS 2025'!$A$1:$C$143,3,0)</f>
        <v>local</v>
      </c>
      <c r="L1070" t="str">
        <f>+VLOOKUP(C1070,[2]Hoja1!$A$1:$B$138,2,0)</f>
        <v>APROBAR</v>
      </c>
      <c r="M1070">
        <v>1</v>
      </c>
      <c r="N1070" t="e">
        <v>#N/A</v>
      </c>
    </row>
    <row r="1071" spans="1:14" ht="15" customHeight="1" x14ac:dyDescent="0.3">
      <c r="A1071" s="3">
        <v>1209658881</v>
      </c>
      <c r="B1071" s="3" t="s">
        <v>1156</v>
      </c>
      <c r="C1071" s="3" t="s">
        <v>1157</v>
      </c>
      <c r="D1071" s="4">
        <v>46307.430509259299</v>
      </c>
      <c r="E1071" s="5" t="s">
        <v>10</v>
      </c>
      <c r="F1071" s="5" t="s">
        <v>17</v>
      </c>
      <c r="G1071" s="5">
        <v>34</v>
      </c>
      <c r="H1071" s="6" t="s">
        <v>12</v>
      </c>
      <c r="I1071" t="s">
        <v>1222</v>
      </c>
      <c r="J1071" t="s">
        <v>2480</v>
      </c>
      <c r="K1071" t="str">
        <f>+VLOOKUP(C1071,'[1]TIENDAS 2025'!$A$1:$C$143,3,0)</f>
        <v>local</v>
      </c>
      <c r="L1071" t="str">
        <f>+VLOOKUP(C1071,[2]Hoja1!$A$1:$B$138,2,0)</f>
        <v>APROBAR</v>
      </c>
      <c r="M1071">
        <v>1</v>
      </c>
      <c r="N1071" t="e">
        <v>#N/A</v>
      </c>
    </row>
    <row r="1072" spans="1:14" ht="15" customHeight="1" x14ac:dyDescent="0.3">
      <c r="A1072" s="3">
        <v>1209658898</v>
      </c>
      <c r="B1072" s="3" t="s">
        <v>1159</v>
      </c>
      <c r="C1072" s="3" t="s">
        <v>1160</v>
      </c>
      <c r="D1072" s="4">
        <v>46307.430532407401</v>
      </c>
      <c r="E1072" s="5" t="s">
        <v>10</v>
      </c>
      <c r="F1072" s="5" t="s">
        <v>11</v>
      </c>
      <c r="G1072" s="5">
        <v>10</v>
      </c>
      <c r="H1072" s="6" t="s">
        <v>12</v>
      </c>
      <c r="I1072" t="s">
        <v>1223</v>
      </c>
      <c r="J1072" t="s">
        <v>2480</v>
      </c>
      <c r="K1072" t="str">
        <f>+VLOOKUP(C1072,'[1]TIENDAS 2025'!$A$1:$C$143,3,0)</f>
        <v>departamental</v>
      </c>
      <c r="L1072" t="str">
        <f>+VLOOKUP(C1072,[2]Hoja1!$A$1:$B$138,2,0)</f>
        <v>APROBAR</v>
      </c>
      <c r="M1072">
        <v>1</v>
      </c>
      <c r="N1072" t="e">
        <v>#N/A</v>
      </c>
    </row>
    <row r="1073" spans="1:14" ht="15" customHeight="1" x14ac:dyDescent="0.3">
      <c r="A1073" s="3">
        <v>1209658929</v>
      </c>
      <c r="B1073" s="3" t="s">
        <v>1185</v>
      </c>
      <c r="C1073" s="3" t="s">
        <v>1186</v>
      </c>
      <c r="D1073" s="4">
        <v>46307.4305439815</v>
      </c>
      <c r="E1073" s="5" t="s">
        <v>10</v>
      </c>
      <c r="F1073" s="5" t="s">
        <v>11</v>
      </c>
      <c r="G1073" s="5">
        <v>8</v>
      </c>
      <c r="H1073" s="6" t="s">
        <v>12</v>
      </c>
      <c r="I1073" t="s">
        <v>1224</v>
      </c>
      <c r="J1073" t="s">
        <v>2480</v>
      </c>
      <c r="K1073" t="str">
        <f>+VLOOKUP(C1073,'[1]TIENDAS 2025'!$A$1:$C$143,3,0)</f>
        <v>local</v>
      </c>
      <c r="L1073" t="str">
        <f>+VLOOKUP(C1073,[2]Hoja1!$A$1:$B$138,2,0)</f>
        <v>APROBAR</v>
      </c>
      <c r="M1073">
        <v>1</v>
      </c>
      <c r="N1073" t="e">
        <v>#N/A</v>
      </c>
    </row>
    <row r="1074" spans="1:14" ht="15" customHeight="1" x14ac:dyDescent="0.3">
      <c r="A1074" s="3">
        <v>1209658901</v>
      </c>
      <c r="B1074" s="3" t="s">
        <v>1159</v>
      </c>
      <c r="C1074" s="3" t="s">
        <v>1160</v>
      </c>
      <c r="D1074" s="4">
        <v>46307.430555555598</v>
      </c>
      <c r="E1074" s="5" t="s">
        <v>10</v>
      </c>
      <c r="F1074" s="5" t="s">
        <v>17</v>
      </c>
      <c r="G1074" s="5">
        <v>18</v>
      </c>
      <c r="H1074" s="6" t="s">
        <v>12</v>
      </c>
      <c r="I1074" t="s">
        <v>1225</v>
      </c>
      <c r="J1074" t="s">
        <v>2480</v>
      </c>
      <c r="K1074" t="str">
        <f>+VLOOKUP(C1074,'[1]TIENDAS 2025'!$A$1:$C$143,3,0)</f>
        <v>departamental</v>
      </c>
      <c r="L1074" t="str">
        <f>+VLOOKUP(C1074,[2]Hoja1!$A$1:$B$138,2,0)</f>
        <v>APROBAR</v>
      </c>
      <c r="M1074">
        <v>1</v>
      </c>
      <c r="N1074" t="e">
        <v>#N/A</v>
      </c>
    </row>
    <row r="1075" spans="1:14" ht="15" customHeight="1" x14ac:dyDescent="0.3">
      <c r="A1075" s="3">
        <v>1209658807</v>
      </c>
      <c r="B1075" s="3" t="s">
        <v>1173</v>
      </c>
      <c r="C1075" s="3" t="s">
        <v>1174</v>
      </c>
      <c r="D1075" s="4">
        <v>46307.430578703701</v>
      </c>
      <c r="E1075" s="5" t="s">
        <v>10</v>
      </c>
      <c r="F1075" s="5" t="s">
        <v>11</v>
      </c>
      <c r="G1075" s="5">
        <v>14</v>
      </c>
      <c r="H1075" s="6" t="s">
        <v>12</v>
      </c>
      <c r="I1075" t="s">
        <v>1226</v>
      </c>
      <c r="J1075" t="s">
        <v>2480</v>
      </c>
      <c r="K1075" t="str">
        <f>+VLOOKUP(C1075,'[1]TIENDAS 2025'!$A$1:$C$143,3,0)</f>
        <v>nocturna</v>
      </c>
      <c r="L1075" t="str">
        <f>+VLOOKUP(C1075,[2]Hoja1!$A$1:$B$138,2,0)</f>
        <v>APROBAR</v>
      </c>
      <c r="M1075">
        <v>1</v>
      </c>
      <c r="N1075" t="e">
        <v>#N/A</v>
      </c>
    </row>
    <row r="1076" spans="1:14" ht="15" customHeight="1" x14ac:dyDescent="0.3">
      <c r="A1076" s="3">
        <v>1209658904</v>
      </c>
      <c r="B1076" s="3" t="s">
        <v>1159</v>
      </c>
      <c r="C1076" s="3" t="s">
        <v>1160</v>
      </c>
      <c r="D1076" s="4">
        <v>46307.430578703701</v>
      </c>
      <c r="E1076" s="5" t="s">
        <v>10</v>
      </c>
      <c r="F1076" s="5" t="s">
        <v>11</v>
      </c>
      <c r="G1076" s="5">
        <v>3</v>
      </c>
      <c r="H1076" s="6" t="s">
        <v>12</v>
      </c>
      <c r="I1076" t="s">
        <v>1227</v>
      </c>
      <c r="J1076" t="s">
        <v>2480</v>
      </c>
      <c r="K1076" t="str">
        <f>+VLOOKUP(C1076,'[1]TIENDAS 2025'!$A$1:$C$143,3,0)</f>
        <v>departamental</v>
      </c>
      <c r="L1076" t="str">
        <f>+VLOOKUP(C1076,[2]Hoja1!$A$1:$B$138,2,0)</f>
        <v>APROBAR</v>
      </c>
      <c r="M1076">
        <v>1</v>
      </c>
      <c r="N1076" t="e">
        <v>#N/A</v>
      </c>
    </row>
    <row r="1077" spans="1:14" ht="15" customHeight="1" x14ac:dyDescent="0.3">
      <c r="A1077" s="3">
        <v>1209658808</v>
      </c>
      <c r="B1077" s="3" t="s">
        <v>1173</v>
      </c>
      <c r="C1077" s="3" t="s">
        <v>1174</v>
      </c>
      <c r="D1077" s="4">
        <v>46307.430601851898</v>
      </c>
      <c r="E1077" s="5" t="s">
        <v>10</v>
      </c>
      <c r="F1077" s="5" t="s">
        <v>11</v>
      </c>
      <c r="G1077" s="5">
        <v>15</v>
      </c>
      <c r="H1077" s="6" t="s">
        <v>12</v>
      </c>
      <c r="I1077" t="s">
        <v>1228</v>
      </c>
      <c r="J1077" t="s">
        <v>2480</v>
      </c>
      <c r="K1077" t="str">
        <f>+VLOOKUP(C1077,'[1]TIENDAS 2025'!$A$1:$C$143,3,0)</f>
        <v>nocturna</v>
      </c>
      <c r="L1077" t="str">
        <f>+VLOOKUP(C1077,[2]Hoja1!$A$1:$B$138,2,0)</f>
        <v>APROBAR</v>
      </c>
      <c r="M1077">
        <v>1</v>
      </c>
      <c r="N1077" t="e">
        <v>#N/A</v>
      </c>
    </row>
    <row r="1078" spans="1:14" ht="15" customHeight="1" x14ac:dyDescent="0.3">
      <c r="A1078" s="3">
        <v>8209658892</v>
      </c>
      <c r="B1078" s="3" t="s">
        <v>1159</v>
      </c>
      <c r="C1078" s="3" t="s">
        <v>1160</v>
      </c>
      <c r="D1078" s="4">
        <v>46307.430613425902</v>
      </c>
      <c r="E1078" s="5" t="s">
        <v>10</v>
      </c>
      <c r="F1078" s="5" t="s">
        <v>16</v>
      </c>
      <c r="G1078" s="5">
        <v>3</v>
      </c>
      <c r="H1078" s="8" t="s">
        <v>12</v>
      </c>
      <c r="I1078" t="s">
        <v>1229</v>
      </c>
      <c r="K1078" t="str">
        <f>+VLOOKUP(C1078,'[1]TIENDAS 2025'!$A$1:$C$143,3,0)</f>
        <v>departamental</v>
      </c>
      <c r="L1078" t="str">
        <f>+VLOOKUP(C1078,[2]Hoja1!$A$1:$B$138,2,0)</f>
        <v>APROBAR</v>
      </c>
      <c r="M1078">
        <v>1</v>
      </c>
      <c r="N1078" t="e">
        <v>#N/A</v>
      </c>
    </row>
    <row r="1079" spans="1:14" ht="15" customHeight="1" x14ac:dyDescent="0.3">
      <c r="A1079" s="3">
        <v>1209658835</v>
      </c>
      <c r="B1079" s="3" t="s">
        <v>1166</v>
      </c>
      <c r="C1079" s="3" t="s">
        <v>1167</v>
      </c>
      <c r="D1079" s="4">
        <v>46307.430625000001</v>
      </c>
      <c r="E1079" s="5" t="s">
        <v>10</v>
      </c>
      <c r="F1079" s="5" t="s">
        <v>11</v>
      </c>
      <c r="G1079" s="5">
        <v>12</v>
      </c>
      <c r="H1079" s="6" t="s">
        <v>12</v>
      </c>
      <c r="I1079" t="s">
        <v>1230</v>
      </c>
      <c r="J1079" t="s">
        <v>2480</v>
      </c>
      <c r="K1079" t="str">
        <f>+VLOOKUP(C1079,'[1]TIENDAS 2025'!$A$1:$C$143,3,0)</f>
        <v>departamental</v>
      </c>
      <c r="L1079" t="str">
        <f>+VLOOKUP(C1079,[2]Hoja1!$A$1:$B$138,2,0)</f>
        <v>APROBAR</v>
      </c>
      <c r="M1079">
        <v>1</v>
      </c>
      <c r="N1079" t="e">
        <v>#N/A</v>
      </c>
    </row>
    <row r="1080" spans="1:14" ht="15" customHeight="1" x14ac:dyDescent="0.3">
      <c r="A1080" s="3">
        <v>8209658866</v>
      </c>
      <c r="B1080" s="3" t="s">
        <v>1156</v>
      </c>
      <c r="C1080" s="3" t="s">
        <v>1157</v>
      </c>
      <c r="D1080" s="4">
        <v>46307.430636574099</v>
      </c>
      <c r="E1080" s="5" t="s">
        <v>10</v>
      </c>
      <c r="F1080" s="5" t="s">
        <v>16</v>
      </c>
      <c r="G1080" s="5">
        <v>3</v>
      </c>
      <c r="H1080" s="8" t="s">
        <v>12</v>
      </c>
      <c r="I1080" t="s">
        <v>1231</v>
      </c>
      <c r="K1080" t="str">
        <f>+VLOOKUP(C1080,'[1]TIENDAS 2025'!$A$1:$C$143,3,0)</f>
        <v>local</v>
      </c>
      <c r="L1080" t="str">
        <f>+VLOOKUP(C1080,[2]Hoja1!$A$1:$B$138,2,0)</f>
        <v>APROBAR</v>
      </c>
      <c r="M1080">
        <v>1</v>
      </c>
      <c r="N1080" t="e">
        <v>#N/A</v>
      </c>
    </row>
    <row r="1081" spans="1:14" ht="15" customHeight="1" x14ac:dyDescent="0.3">
      <c r="A1081" s="3">
        <v>8209658919</v>
      </c>
      <c r="B1081" s="3" t="s">
        <v>1185</v>
      </c>
      <c r="C1081" s="3" t="s">
        <v>1186</v>
      </c>
      <c r="D1081" s="4">
        <v>46307.430648148104</v>
      </c>
      <c r="E1081" s="5" t="s">
        <v>10</v>
      </c>
      <c r="F1081" s="5" t="s">
        <v>16</v>
      </c>
      <c r="G1081" s="5">
        <v>1</v>
      </c>
      <c r="H1081" s="8" t="s">
        <v>12</v>
      </c>
      <c r="I1081" t="s">
        <v>1232</v>
      </c>
      <c r="K1081" t="str">
        <f>+VLOOKUP(C1081,'[1]TIENDAS 2025'!$A$1:$C$143,3,0)</f>
        <v>local</v>
      </c>
      <c r="L1081" t="str">
        <f>+VLOOKUP(C1081,[2]Hoja1!$A$1:$B$138,2,0)</f>
        <v>APROBAR</v>
      </c>
      <c r="M1081">
        <v>1</v>
      </c>
      <c r="N1081" t="e">
        <v>#N/A</v>
      </c>
    </row>
    <row r="1082" spans="1:14" ht="15" customHeight="1" x14ac:dyDescent="0.3">
      <c r="A1082" s="3">
        <v>1209658925</v>
      </c>
      <c r="B1082" s="3" t="s">
        <v>1185</v>
      </c>
      <c r="C1082" s="3" t="s">
        <v>1186</v>
      </c>
      <c r="D1082" s="4">
        <v>46307.430671296301</v>
      </c>
      <c r="E1082" s="5" t="s">
        <v>10</v>
      </c>
      <c r="F1082" s="5" t="s">
        <v>17</v>
      </c>
      <c r="G1082" s="5">
        <v>2</v>
      </c>
      <c r="H1082" s="6" t="s">
        <v>12</v>
      </c>
      <c r="I1082" t="s">
        <v>1233</v>
      </c>
      <c r="J1082" t="s">
        <v>2480</v>
      </c>
      <c r="K1082" t="str">
        <f>+VLOOKUP(C1082,'[1]TIENDAS 2025'!$A$1:$C$143,3,0)</f>
        <v>local</v>
      </c>
      <c r="L1082" t="str">
        <f>+VLOOKUP(C1082,[2]Hoja1!$A$1:$B$138,2,0)</f>
        <v>APROBAR</v>
      </c>
      <c r="M1082">
        <v>1</v>
      </c>
      <c r="N1082" t="e">
        <v>#N/A</v>
      </c>
    </row>
    <row r="1083" spans="1:14" ht="15" customHeight="1" x14ac:dyDescent="0.3">
      <c r="A1083" s="3">
        <v>8209658957</v>
      </c>
      <c r="B1083" s="3" t="s">
        <v>1162</v>
      </c>
      <c r="C1083" s="3" t="s">
        <v>1163</v>
      </c>
      <c r="D1083" s="4">
        <v>46307.430682870399</v>
      </c>
      <c r="E1083" s="5" t="s">
        <v>10</v>
      </c>
      <c r="F1083" s="5" t="s">
        <v>16</v>
      </c>
      <c r="G1083" s="5">
        <v>18</v>
      </c>
      <c r="H1083" s="8" t="s">
        <v>12</v>
      </c>
      <c r="I1083" t="s">
        <v>1234</v>
      </c>
      <c r="K1083" t="str">
        <f>+VLOOKUP(C1083,'[1]TIENDAS 2025'!$A$1:$C$143,3,0)</f>
        <v>local</v>
      </c>
      <c r="L1083" t="str">
        <f>+VLOOKUP(C1083,[2]Hoja1!$A$1:$B$138,2,0)</f>
        <v>APROBAR</v>
      </c>
      <c r="M1083">
        <v>1</v>
      </c>
      <c r="N1083" t="e">
        <v>#N/A</v>
      </c>
    </row>
    <row r="1084" spans="1:14" ht="15" customHeight="1" x14ac:dyDescent="0.3">
      <c r="A1084" s="3">
        <v>1209658966</v>
      </c>
      <c r="B1084" s="3" t="s">
        <v>1162</v>
      </c>
      <c r="C1084" s="3" t="s">
        <v>1163</v>
      </c>
      <c r="D1084" s="4">
        <v>46307.430706018502</v>
      </c>
      <c r="E1084" s="5" t="s">
        <v>10</v>
      </c>
      <c r="F1084" s="5" t="s">
        <v>11</v>
      </c>
      <c r="G1084" s="5">
        <v>18</v>
      </c>
      <c r="H1084" s="6" t="s">
        <v>12</v>
      </c>
      <c r="I1084" t="s">
        <v>1235</v>
      </c>
      <c r="J1084" t="s">
        <v>2480</v>
      </c>
      <c r="K1084" t="str">
        <f>+VLOOKUP(C1084,'[1]TIENDAS 2025'!$A$1:$C$143,3,0)</f>
        <v>local</v>
      </c>
      <c r="L1084" t="str">
        <f>+VLOOKUP(C1084,[2]Hoja1!$A$1:$B$138,2,0)</f>
        <v>APROBAR</v>
      </c>
      <c r="M1084">
        <v>1</v>
      </c>
      <c r="N1084" t="e">
        <v>#N/A</v>
      </c>
    </row>
    <row r="1085" spans="1:14" ht="15" customHeight="1" x14ac:dyDescent="0.3">
      <c r="A1085" s="3">
        <v>1209658968</v>
      </c>
      <c r="B1085" s="3" t="s">
        <v>1162</v>
      </c>
      <c r="C1085" s="3" t="s">
        <v>1163</v>
      </c>
      <c r="D1085" s="4">
        <v>46307.430706018502</v>
      </c>
      <c r="E1085" s="5" t="s">
        <v>10</v>
      </c>
      <c r="F1085" s="5" t="s">
        <v>11</v>
      </c>
      <c r="G1085" s="5">
        <v>2</v>
      </c>
      <c r="H1085" s="6" t="s">
        <v>12</v>
      </c>
      <c r="I1085" t="s">
        <v>1236</v>
      </c>
      <c r="J1085" t="s">
        <v>2480</v>
      </c>
      <c r="K1085" t="str">
        <f>+VLOOKUP(C1085,'[1]TIENDAS 2025'!$A$1:$C$143,3,0)</f>
        <v>local</v>
      </c>
      <c r="L1085" t="str">
        <f>+VLOOKUP(C1085,[2]Hoja1!$A$1:$B$138,2,0)</f>
        <v>APROBAR</v>
      </c>
      <c r="M1085">
        <v>1</v>
      </c>
      <c r="N1085" t="e">
        <v>#N/A</v>
      </c>
    </row>
    <row r="1086" spans="1:14" ht="15" customHeight="1" x14ac:dyDescent="0.3">
      <c r="A1086" s="3">
        <v>1209658927</v>
      </c>
      <c r="B1086" s="3" t="s">
        <v>1185</v>
      </c>
      <c r="C1086" s="3" t="s">
        <v>1186</v>
      </c>
      <c r="D1086" s="4">
        <v>46307.430717592601</v>
      </c>
      <c r="E1086" s="5" t="s">
        <v>10</v>
      </c>
      <c r="F1086" s="5" t="s">
        <v>11</v>
      </c>
      <c r="G1086" s="5">
        <v>5</v>
      </c>
      <c r="H1086" s="6" t="s">
        <v>12</v>
      </c>
      <c r="I1086" t="s">
        <v>1237</v>
      </c>
      <c r="J1086" t="s">
        <v>2480</v>
      </c>
      <c r="K1086" t="str">
        <f>+VLOOKUP(C1086,'[1]TIENDAS 2025'!$A$1:$C$143,3,0)</f>
        <v>local</v>
      </c>
      <c r="L1086" t="str">
        <f>+VLOOKUP(C1086,[2]Hoja1!$A$1:$B$138,2,0)</f>
        <v>APROBAR</v>
      </c>
      <c r="M1086">
        <v>1</v>
      </c>
      <c r="N1086" t="e">
        <v>#N/A</v>
      </c>
    </row>
    <row r="1087" spans="1:14" ht="15" customHeight="1" x14ac:dyDescent="0.3">
      <c r="A1087" s="3">
        <v>1209658928</v>
      </c>
      <c r="B1087" s="3" t="s">
        <v>1185</v>
      </c>
      <c r="C1087" s="3" t="s">
        <v>1186</v>
      </c>
      <c r="D1087" s="4">
        <v>46307.430740740703</v>
      </c>
      <c r="E1087" s="5" t="s">
        <v>10</v>
      </c>
      <c r="F1087" s="5" t="s">
        <v>11</v>
      </c>
      <c r="G1087" s="5">
        <v>3</v>
      </c>
      <c r="H1087" s="6" t="s">
        <v>12</v>
      </c>
      <c r="I1087" t="s">
        <v>1238</v>
      </c>
      <c r="J1087" t="s">
        <v>2480</v>
      </c>
      <c r="K1087" t="str">
        <f>+VLOOKUP(C1087,'[1]TIENDAS 2025'!$A$1:$C$143,3,0)</f>
        <v>local</v>
      </c>
      <c r="L1087" t="str">
        <f>+VLOOKUP(C1087,[2]Hoja1!$A$1:$B$138,2,0)</f>
        <v>APROBAR</v>
      </c>
      <c r="M1087">
        <v>1</v>
      </c>
      <c r="N1087" t="e">
        <v>#N/A</v>
      </c>
    </row>
    <row r="1088" spans="1:14" ht="15" customHeight="1" x14ac:dyDescent="0.3">
      <c r="A1088" s="3">
        <v>1209658905</v>
      </c>
      <c r="B1088" s="3" t="s">
        <v>1159</v>
      </c>
      <c r="C1088" s="3" t="s">
        <v>1160</v>
      </c>
      <c r="D1088" s="4">
        <v>46307.430752314802</v>
      </c>
      <c r="E1088" s="5" t="s">
        <v>10</v>
      </c>
      <c r="F1088" s="5" t="s">
        <v>11</v>
      </c>
      <c r="G1088" s="5">
        <v>7</v>
      </c>
      <c r="H1088" s="6" t="s">
        <v>12</v>
      </c>
      <c r="I1088" t="s">
        <v>1239</v>
      </c>
      <c r="J1088" t="s">
        <v>2480</v>
      </c>
      <c r="K1088" t="str">
        <f>+VLOOKUP(C1088,'[1]TIENDAS 2025'!$A$1:$C$143,3,0)</f>
        <v>departamental</v>
      </c>
      <c r="L1088" t="str">
        <f>+VLOOKUP(C1088,[2]Hoja1!$A$1:$B$138,2,0)</f>
        <v>APROBAR</v>
      </c>
      <c r="M1088">
        <v>1</v>
      </c>
      <c r="N1088" t="e">
        <v>#N/A</v>
      </c>
    </row>
    <row r="1089" spans="1:14" ht="15" customHeight="1" x14ac:dyDescent="0.3">
      <c r="A1089" s="3">
        <v>1209658939</v>
      </c>
      <c r="B1089" s="3" t="s">
        <v>1185</v>
      </c>
      <c r="C1089" s="3" t="s">
        <v>1186</v>
      </c>
      <c r="D1089" s="4">
        <v>46307.4307638889</v>
      </c>
      <c r="E1089" s="5" t="s">
        <v>10</v>
      </c>
      <c r="F1089" s="5" t="s">
        <v>11</v>
      </c>
      <c r="G1089" s="5">
        <v>12</v>
      </c>
      <c r="H1089" s="6" t="s">
        <v>12</v>
      </c>
      <c r="I1089" t="s">
        <v>1240</v>
      </c>
      <c r="J1089" t="s">
        <v>2480</v>
      </c>
      <c r="K1089" t="str">
        <f>+VLOOKUP(C1089,'[1]TIENDAS 2025'!$A$1:$C$143,3,0)</f>
        <v>local</v>
      </c>
      <c r="L1089" t="str">
        <f>+VLOOKUP(C1089,[2]Hoja1!$A$1:$B$138,2,0)</f>
        <v>APROBAR</v>
      </c>
      <c r="M1089">
        <v>1</v>
      </c>
      <c r="N1089" t="e">
        <v>#N/A</v>
      </c>
    </row>
    <row r="1090" spans="1:14" ht="15" customHeight="1" x14ac:dyDescent="0.3">
      <c r="A1090" s="3">
        <v>8209658824</v>
      </c>
      <c r="B1090" s="3" t="s">
        <v>1166</v>
      </c>
      <c r="C1090" s="3" t="s">
        <v>1167</v>
      </c>
      <c r="D1090" s="4">
        <v>46307.430775462999</v>
      </c>
      <c r="E1090" s="5" t="s">
        <v>10</v>
      </c>
      <c r="F1090" s="5" t="s">
        <v>16</v>
      </c>
      <c r="G1090" s="5">
        <v>2</v>
      </c>
      <c r="H1090" s="8" t="s">
        <v>12</v>
      </c>
      <c r="I1090" t="s">
        <v>1241</v>
      </c>
      <c r="K1090" t="str">
        <f>+VLOOKUP(C1090,'[1]TIENDAS 2025'!$A$1:$C$143,3,0)</f>
        <v>departamental</v>
      </c>
      <c r="L1090" t="str">
        <f>+VLOOKUP(C1090,[2]Hoja1!$A$1:$B$138,2,0)</f>
        <v>APROBAR</v>
      </c>
      <c r="M1090">
        <v>1</v>
      </c>
      <c r="N1090" t="e">
        <v>#N/A</v>
      </c>
    </row>
    <row r="1091" spans="1:14" ht="15" customHeight="1" x14ac:dyDescent="0.3">
      <c r="A1091" s="3">
        <v>1209658811</v>
      </c>
      <c r="B1091" s="3" t="s">
        <v>1173</v>
      </c>
      <c r="C1091" s="3" t="s">
        <v>1174</v>
      </c>
      <c r="D1091" s="4">
        <v>46307.430798611102</v>
      </c>
      <c r="E1091" s="5" t="s">
        <v>10</v>
      </c>
      <c r="F1091" s="5" t="s">
        <v>17</v>
      </c>
      <c r="G1091" s="5">
        <v>29</v>
      </c>
      <c r="H1091" s="6" t="s">
        <v>12</v>
      </c>
      <c r="I1091" t="s">
        <v>1242</v>
      </c>
      <c r="J1091" t="s">
        <v>2480</v>
      </c>
      <c r="K1091" t="str">
        <f>+VLOOKUP(C1091,'[1]TIENDAS 2025'!$A$1:$C$143,3,0)</f>
        <v>nocturna</v>
      </c>
      <c r="L1091" t="str">
        <f>+VLOOKUP(C1091,[2]Hoja1!$A$1:$B$138,2,0)</f>
        <v>APROBAR</v>
      </c>
      <c r="M1091">
        <v>1</v>
      </c>
      <c r="N1091" t="e">
        <v>#N/A</v>
      </c>
    </row>
    <row r="1092" spans="1:14" ht="15" customHeight="1" x14ac:dyDescent="0.3">
      <c r="A1092" s="3">
        <v>1209658839</v>
      </c>
      <c r="B1092" s="3" t="s">
        <v>1166</v>
      </c>
      <c r="C1092" s="3" t="s">
        <v>1167</v>
      </c>
      <c r="D1092" s="4">
        <v>46307.4308101852</v>
      </c>
      <c r="E1092" s="5" t="s">
        <v>10</v>
      </c>
      <c r="F1092" s="5" t="s">
        <v>17</v>
      </c>
      <c r="G1092" s="5">
        <v>26</v>
      </c>
      <c r="H1092" s="6" t="s">
        <v>12</v>
      </c>
      <c r="I1092" t="s">
        <v>1243</v>
      </c>
      <c r="J1092" t="s">
        <v>2480</v>
      </c>
      <c r="K1092" t="str">
        <f>+VLOOKUP(C1092,'[1]TIENDAS 2025'!$A$1:$C$143,3,0)</f>
        <v>departamental</v>
      </c>
      <c r="L1092" t="str">
        <f>+VLOOKUP(C1092,[2]Hoja1!$A$1:$B$138,2,0)</f>
        <v>APROBAR</v>
      </c>
      <c r="M1092">
        <v>1</v>
      </c>
      <c r="N1092" t="e">
        <v>#N/A</v>
      </c>
    </row>
    <row r="1093" spans="1:14" ht="15" customHeight="1" x14ac:dyDescent="0.3">
      <c r="A1093" s="3">
        <v>1209658818</v>
      </c>
      <c r="B1093" s="3" t="s">
        <v>1173</v>
      </c>
      <c r="C1093" s="3" t="s">
        <v>1174</v>
      </c>
      <c r="D1093" s="4">
        <v>46307.430821759299</v>
      </c>
      <c r="E1093" s="5" t="s">
        <v>10</v>
      </c>
      <c r="F1093" s="5" t="s">
        <v>11</v>
      </c>
      <c r="G1093" s="5">
        <v>9</v>
      </c>
      <c r="H1093" s="6" t="s">
        <v>12</v>
      </c>
      <c r="I1093" t="s">
        <v>1244</v>
      </c>
      <c r="J1093" t="s">
        <v>2480</v>
      </c>
      <c r="K1093" t="str">
        <f>+VLOOKUP(C1093,'[1]TIENDAS 2025'!$A$1:$C$143,3,0)</f>
        <v>nocturna</v>
      </c>
      <c r="L1093" t="str">
        <f>+VLOOKUP(C1093,[2]Hoja1!$A$1:$B$138,2,0)</f>
        <v>APROBAR</v>
      </c>
      <c r="M1093">
        <v>1</v>
      </c>
      <c r="N1093" t="e">
        <v>#N/A</v>
      </c>
    </row>
    <row r="1094" spans="1:14" ht="15" customHeight="1" x14ac:dyDescent="0.3">
      <c r="A1094" s="3">
        <v>1209658871</v>
      </c>
      <c r="B1094" s="3" t="s">
        <v>1156</v>
      </c>
      <c r="C1094" s="3" t="s">
        <v>1157</v>
      </c>
      <c r="D1094" s="4">
        <v>46307.430833333303</v>
      </c>
      <c r="E1094" s="5" t="s">
        <v>10</v>
      </c>
      <c r="F1094" s="5" t="s">
        <v>17</v>
      </c>
      <c r="G1094" s="5">
        <v>36</v>
      </c>
      <c r="H1094" s="6" t="s">
        <v>12</v>
      </c>
      <c r="I1094" t="s">
        <v>1245</v>
      </c>
      <c r="J1094" t="s">
        <v>2480</v>
      </c>
      <c r="K1094" t="str">
        <f>+VLOOKUP(C1094,'[1]TIENDAS 2025'!$A$1:$C$143,3,0)</f>
        <v>local</v>
      </c>
      <c r="L1094" t="str">
        <f>+VLOOKUP(C1094,[2]Hoja1!$A$1:$B$138,2,0)</f>
        <v>APROBAR</v>
      </c>
      <c r="M1094">
        <v>1</v>
      </c>
      <c r="N1094" t="e">
        <v>#N/A</v>
      </c>
    </row>
    <row r="1095" spans="1:14" ht="15" customHeight="1" x14ac:dyDescent="0.3">
      <c r="A1095" s="3">
        <v>1209658965</v>
      </c>
      <c r="B1095" s="3" t="s">
        <v>1162</v>
      </c>
      <c r="C1095" s="3" t="s">
        <v>1163</v>
      </c>
      <c r="D1095" s="4">
        <v>46307.430844907401</v>
      </c>
      <c r="E1095" s="5" t="s">
        <v>10</v>
      </c>
      <c r="F1095" s="5" t="s">
        <v>17</v>
      </c>
      <c r="G1095" s="5">
        <v>25</v>
      </c>
      <c r="H1095" s="6" t="s">
        <v>12</v>
      </c>
      <c r="I1095" t="s">
        <v>1246</v>
      </c>
      <c r="J1095" t="s">
        <v>2480</v>
      </c>
      <c r="K1095" t="str">
        <f>+VLOOKUP(C1095,'[1]TIENDAS 2025'!$A$1:$C$143,3,0)</f>
        <v>local</v>
      </c>
      <c r="L1095" t="str">
        <f>+VLOOKUP(C1095,[2]Hoja1!$A$1:$B$138,2,0)</f>
        <v>APROBAR</v>
      </c>
      <c r="M1095">
        <v>1</v>
      </c>
      <c r="N1095" t="e">
        <v>#N/A</v>
      </c>
    </row>
    <row r="1096" spans="1:14" ht="15" customHeight="1" x14ac:dyDescent="0.3">
      <c r="A1096" s="3">
        <v>1209658970</v>
      </c>
      <c r="B1096" s="3" t="s">
        <v>1162</v>
      </c>
      <c r="C1096" s="3" t="s">
        <v>1163</v>
      </c>
      <c r="D1096" s="4">
        <v>46307.430868055599</v>
      </c>
      <c r="E1096" s="5" t="s">
        <v>10</v>
      </c>
      <c r="F1096" s="5" t="s">
        <v>17</v>
      </c>
      <c r="G1096" s="5">
        <v>43</v>
      </c>
      <c r="H1096" s="6" t="s">
        <v>12</v>
      </c>
      <c r="I1096" t="s">
        <v>1247</v>
      </c>
      <c r="J1096" t="s">
        <v>2480</v>
      </c>
      <c r="K1096" t="str">
        <f>+VLOOKUP(C1096,'[1]TIENDAS 2025'!$A$1:$C$143,3,0)</f>
        <v>local</v>
      </c>
      <c r="L1096" t="str">
        <f>+VLOOKUP(C1096,[2]Hoja1!$A$1:$B$138,2,0)</f>
        <v>APROBAR</v>
      </c>
      <c r="M1096">
        <v>1</v>
      </c>
      <c r="N1096" t="e">
        <v>#N/A</v>
      </c>
    </row>
    <row r="1097" spans="1:14" ht="15" customHeight="1" x14ac:dyDescent="0.3">
      <c r="A1097" s="3">
        <v>1209658873</v>
      </c>
      <c r="B1097" s="3" t="s">
        <v>1156</v>
      </c>
      <c r="C1097" s="3" t="s">
        <v>1157</v>
      </c>
      <c r="D1097" s="4">
        <v>46307.430879629603</v>
      </c>
      <c r="E1097" s="5" t="s">
        <v>10</v>
      </c>
      <c r="F1097" s="5" t="s">
        <v>11</v>
      </c>
      <c r="G1097" s="5">
        <v>48</v>
      </c>
      <c r="H1097" s="6" t="s">
        <v>12</v>
      </c>
      <c r="I1097" t="s">
        <v>1248</v>
      </c>
      <c r="J1097" t="s">
        <v>2480</v>
      </c>
      <c r="K1097" t="str">
        <f>+VLOOKUP(C1097,'[1]TIENDAS 2025'!$A$1:$C$143,3,0)</f>
        <v>local</v>
      </c>
      <c r="L1097" t="str">
        <f>+VLOOKUP(C1097,[2]Hoja1!$A$1:$B$138,2,0)</f>
        <v>APROBAR</v>
      </c>
      <c r="M1097">
        <v>1</v>
      </c>
      <c r="N1097" t="e">
        <v>#N/A</v>
      </c>
    </row>
    <row r="1098" spans="1:14" ht="15" customHeight="1" x14ac:dyDescent="0.3">
      <c r="A1098" s="3">
        <v>1209658964</v>
      </c>
      <c r="B1098" s="3" t="s">
        <v>1162</v>
      </c>
      <c r="C1098" s="3" t="s">
        <v>1163</v>
      </c>
      <c r="D1098" s="4">
        <v>46307.430891203701</v>
      </c>
      <c r="E1098" s="5" t="s">
        <v>10</v>
      </c>
      <c r="F1098" s="5" t="s">
        <v>11</v>
      </c>
      <c r="G1098" s="5">
        <v>24</v>
      </c>
      <c r="H1098" s="6" t="s">
        <v>12</v>
      </c>
      <c r="I1098" t="s">
        <v>1249</v>
      </c>
      <c r="J1098" t="s">
        <v>2480</v>
      </c>
      <c r="K1098" t="str">
        <f>+VLOOKUP(C1098,'[1]TIENDAS 2025'!$A$1:$C$143,3,0)</f>
        <v>local</v>
      </c>
      <c r="L1098" t="str">
        <f>+VLOOKUP(C1098,[2]Hoja1!$A$1:$B$138,2,0)</f>
        <v>APROBAR</v>
      </c>
      <c r="M1098">
        <v>1</v>
      </c>
      <c r="N1098" t="e">
        <v>#N/A</v>
      </c>
    </row>
    <row r="1099" spans="1:14" ht="15" customHeight="1" x14ac:dyDescent="0.3">
      <c r="A1099" s="3">
        <v>8209658959</v>
      </c>
      <c r="B1099" s="3" t="s">
        <v>1162</v>
      </c>
      <c r="C1099" s="3" t="s">
        <v>1163</v>
      </c>
      <c r="D1099" s="4">
        <v>46307.4309027778</v>
      </c>
      <c r="E1099" s="5" t="s">
        <v>10</v>
      </c>
      <c r="F1099" s="5" t="s">
        <v>16</v>
      </c>
      <c r="G1099" s="5">
        <v>4</v>
      </c>
      <c r="H1099" s="8" t="s">
        <v>12</v>
      </c>
      <c r="I1099" t="s">
        <v>1250</v>
      </c>
      <c r="K1099" t="str">
        <f>+VLOOKUP(C1099,'[1]TIENDAS 2025'!$A$1:$C$143,3,0)</f>
        <v>local</v>
      </c>
      <c r="L1099" t="str">
        <f>+VLOOKUP(C1099,[2]Hoja1!$A$1:$B$138,2,0)</f>
        <v>APROBAR</v>
      </c>
      <c r="M1099">
        <v>1</v>
      </c>
      <c r="N1099" t="e">
        <v>#N/A</v>
      </c>
    </row>
    <row r="1100" spans="1:14" ht="15" customHeight="1" x14ac:dyDescent="0.3">
      <c r="A1100" s="3">
        <v>8209658825</v>
      </c>
      <c r="B1100" s="3" t="s">
        <v>1166</v>
      </c>
      <c r="C1100" s="3" t="s">
        <v>1167</v>
      </c>
      <c r="D1100" s="4">
        <v>46307.430925925903</v>
      </c>
      <c r="E1100" s="5" t="s">
        <v>10</v>
      </c>
      <c r="F1100" s="5" t="s">
        <v>16</v>
      </c>
      <c r="G1100" s="5">
        <v>2</v>
      </c>
      <c r="H1100" s="8" t="s">
        <v>12</v>
      </c>
      <c r="I1100" t="s">
        <v>1251</v>
      </c>
      <c r="K1100" t="str">
        <f>+VLOOKUP(C1100,'[1]TIENDAS 2025'!$A$1:$C$143,3,0)</f>
        <v>departamental</v>
      </c>
      <c r="L1100" t="str">
        <f>+VLOOKUP(C1100,[2]Hoja1!$A$1:$B$138,2,0)</f>
        <v>APROBAR</v>
      </c>
      <c r="M1100">
        <v>1</v>
      </c>
      <c r="N1100" t="e">
        <v>#N/A</v>
      </c>
    </row>
    <row r="1101" spans="1:14" ht="15" customHeight="1" x14ac:dyDescent="0.3">
      <c r="A1101" s="3">
        <v>1209658874</v>
      </c>
      <c r="B1101" s="3" t="s">
        <v>1156</v>
      </c>
      <c r="C1101" s="3" t="s">
        <v>1157</v>
      </c>
      <c r="D1101" s="4">
        <v>46307.430937500001</v>
      </c>
      <c r="E1101" s="5" t="s">
        <v>10</v>
      </c>
      <c r="F1101" s="5" t="s">
        <v>17</v>
      </c>
      <c r="G1101" s="5">
        <v>42</v>
      </c>
      <c r="H1101" s="6" t="s">
        <v>12</v>
      </c>
      <c r="I1101" t="s">
        <v>1252</v>
      </c>
      <c r="J1101" t="s">
        <v>2480</v>
      </c>
      <c r="K1101" t="str">
        <f>+VLOOKUP(C1101,'[1]TIENDAS 2025'!$A$1:$C$143,3,0)</f>
        <v>local</v>
      </c>
      <c r="L1101" t="str">
        <f>+VLOOKUP(C1101,[2]Hoja1!$A$1:$B$138,2,0)</f>
        <v>APROBAR</v>
      </c>
      <c r="M1101">
        <v>1</v>
      </c>
      <c r="N1101" t="e">
        <v>#N/A</v>
      </c>
    </row>
    <row r="1102" spans="1:14" ht="15" customHeight="1" x14ac:dyDescent="0.3">
      <c r="A1102" s="3">
        <v>8209658826</v>
      </c>
      <c r="B1102" s="3" t="s">
        <v>1166</v>
      </c>
      <c r="C1102" s="3" t="s">
        <v>1167</v>
      </c>
      <c r="D1102" s="4">
        <v>46307.4309490741</v>
      </c>
      <c r="E1102" s="5" t="s">
        <v>10</v>
      </c>
      <c r="F1102" s="5" t="s">
        <v>16</v>
      </c>
      <c r="G1102" s="5">
        <v>3</v>
      </c>
      <c r="H1102" s="8" t="s">
        <v>12</v>
      </c>
      <c r="I1102" t="s">
        <v>1253</v>
      </c>
      <c r="K1102" t="str">
        <f>+VLOOKUP(C1102,'[1]TIENDAS 2025'!$A$1:$C$143,3,0)</f>
        <v>departamental</v>
      </c>
      <c r="L1102" t="str">
        <f>+VLOOKUP(C1102,[2]Hoja1!$A$1:$B$138,2,0)</f>
        <v>APROBAR</v>
      </c>
      <c r="M1102">
        <v>1</v>
      </c>
      <c r="N1102" t="e">
        <v>#N/A</v>
      </c>
    </row>
    <row r="1103" spans="1:14" ht="15" customHeight="1" x14ac:dyDescent="0.3">
      <c r="A1103" s="3">
        <v>8209658863</v>
      </c>
      <c r="B1103" s="3" t="s">
        <v>1156</v>
      </c>
      <c r="C1103" s="3" t="s">
        <v>1157</v>
      </c>
      <c r="D1103" s="4">
        <v>46307.430960648097</v>
      </c>
      <c r="E1103" s="5" t="s">
        <v>10</v>
      </c>
      <c r="F1103" s="5" t="s">
        <v>16</v>
      </c>
      <c r="G1103" s="5">
        <v>2</v>
      </c>
      <c r="H1103" s="8" t="s">
        <v>12</v>
      </c>
      <c r="I1103" t="s">
        <v>1254</v>
      </c>
      <c r="K1103" t="str">
        <f>+VLOOKUP(C1103,'[1]TIENDAS 2025'!$A$1:$C$143,3,0)</f>
        <v>local</v>
      </c>
      <c r="L1103" t="str">
        <f>+VLOOKUP(C1103,[2]Hoja1!$A$1:$B$138,2,0)</f>
        <v>APROBAR</v>
      </c>
      <c r="M1103">
        <v>1</v>
      </c>
      <c r="N1103" t="e">
        <v>#N/A</v>
      </c>
    </row>
    <row r="1104" spans="1:14" ht="15" customHeight="1" x14ac:dyDescent="0.3">
      <c r="A1104" s="3">
        <v>1209658837</v>
      </c>
      <c r="B1104" s="3" t="s">
        <v>1166</v>
      </c>
      <c r="C1104" s="3" t="s">
        <v>1167</v>
      </c>
      <c r="D1104" s="4">
        <v>46307.430972222202</v>
      </c>
      <c r="E1104" s="5" t="s">
        <v>10</v>
      </c>
      <c r="F1104" s="5" t="s">
        <v>11</v>
      </c>
      <c r="G1104" s="5">
        <v>18</v>
      </c>
      <c r="H1104" s="6" t="s">
        <v>12</v>
      </c>
      <c r="I1104" t="s">
        <v>1255</v>
      </c>
      <c r="J1104" t="s">
        <v>2480</v>
      </c>
      <c r="K1104" t="str">
        <f>+VLOOKUP(C1104,'[1]TIENDAS 2025'!$A$1:$C$143,3,0)</f>
        <v>departamental</v>
      </c>
      <c r="L1104" t="str">
        <f>+VLOOKUP(C1104,[2]Hoja1!$A$1:$B$138,2,0)</f>
        <v>APROBAR</v>
      </c>
      <c r="M1104">
        <v>1</v>
      </c>
      <c r="N1104" t="e">
        <v>#N/A</v>
      </c>
    </row>
    <row r="1105" spans="1:14" ht="15" customHeight="1" x14ac:dyDescent="0.3">
      <c r="A1105" s="3">
        <v>1209658870</v>
      </c>
      <c r="B1105" s="3" t="s">
        <v>1156</v>
      </c>
      <c r="C1105" s="3" t="s">
        <v>1157</v>
      </c>
      <c r="D1105" s="4">
        <v>46307.4309953704</v>
      </c>
      <c r="E1105" s="5" t="s">
        <v>10</v>
      </c>
      <c r="F1105" s="5" t="s">
        <v>17</v>
      </c>
      <c r="G1105" s="5">
        <v>18</v>
      </c>
      <c r="H1105" s="6" t="s">
        <v>12</v>
      </c>
      <c r="I1105" t="s">
        <v>1256</v>
      </c>
      <c r="J1105" t="s">
        <v>2480</v>
      </c>
      <c r="K1105" t="str">
        <f>+VLOOKUP(C1105,'[1]TIENDAS 2025'!$A$1:$C$143,3,0)</f>
        <v>local</v>
      </c>
      <c r="L1105" t="str">
        <f>+VLOOKUP(C1105,[2]Hoja1!$A$1:$B$138,2,0)</f>
        <v>APROBAR</v>
      </c>
      <c r="M1105">
        <v>1</v>
      </c>
      <c r="N1105" t="e">
        <v>#N/A</v>
      </c>
    </row>
    <row r="1106" spans="1:14" ht="15" customHeight="1" x14ac:dyDescent="0.3">
      <c r="A1106" s="3">
        <v>8209658920</v>
      </c>
      <c r="B1106" s="3" t="s">
        <v>1185</v>
      </c>
      <c r="C1106" s="3" t="s">
        <v>1186</v>
      </c>
      <c r="D1106" s="4">
        <v>46307.431006944404</v>
      </c>
      <c r="E1106" s="5" t="s">
        <v>10</v>
      </c>
      <c r="F1106" s="5" t="s">
        <v>16</v>
      </c>
      <c r="G1106" s="5">
        <v>5</v>
      </c>
      <c r="H1106" s="8" t="s">
        <v>12</v>
      </c>
      <c r="I1106" t="s">
        <v>1257</v>
      </c>
      <c r="K1106" t="str">
        <f>+VLOOKUP(C1106,'[1]TIENDAS 2025'!$A$1:$C$143,3,0)</f>
        <v>local</v>
      </c>
      <c r="L1106" t="str">
        <f>+VLOOKUP(C1106,[2]Hoja1!$A$1:$B$138,2,0)</f>
        <v>APROBAR</v>
      </c>
      <c r="M1106">
        <v>1</v>
      </c>
      <c r="N1106" t="e">
        <v>#N/A</v>
      </c>
    </row>
    <row r="1107" spans="1:14" ht="15" customHeight="1" x14ac:dyDescent="0.3">
      <c r="A1107" s="3">
        <v>8209658954</v>
      </c>
      <c r="B1107" s="3" t="s">
        <v>1162</v>
      </c>
      <c r="C1107" s="3" t="s">
        <v>1163</v>
      </c>
      <c r="D1107" s="4">
        <v>46307.431018518502</v>
      </c>
      <c r="E1107" s="5" t="s">
        <v>10</v>
      </c>
      <c r="F1107" s="5" t="s">
        <v>16</v>
      </c>
      <c r="G1107" s="5">
        <v>1</v>
      </c>
      <c r="H1107" s="8" t="s">
        <v>12</v>
      </c>
      <c r="I1107" t="s">
        <v>1258</v>
      </c>
      <c r="K1107" t="str">
        <f>+VLOOKUP(C1107,'[1]TIENDAS 2025'!$A$1:$C$143,3,0)</f>
        <v>local</v>
      </c>
      <c r="L1107" t="str">
        <f>+VLOOKUP(C1107,[2]Hoja1!$A$1:$B$138,2,0)</f>
        <v>APROBAR</v>
      </c>
      <c r="M1107">
        <v>1</v>
      </c>
      <c r="N1107" t="e">
        <v>#N/A</v>
      </c>
    </row>
    <row r="1108" spans="1:14" ht="15" customHeight="1" x14ac:dyDescent="0.3">
      <c r="A1108" s="3">
        <v>1209658969</v>
      </c>
      <c r="B1108" s="3" t="s">
        <v>1162</v>
      </c>
      <c r="C1108" s="3" t="s">
        <v>1163</v>
      </c>
      <c r="D1108" s="4">
        <v>46307.431030092601</v>
      </c>
      <c r="E1108" s="5" t="s">
        <v>10</v>
      </c>
      <c r="F1108" s="5" t="s">
        <v>11</v>
      </c>
      <c r="G1108" s="5">
        <v>25</v>
      </c>
      <c r="H1108" s="6" t="s">
        <v>12</v>
      </c>
      <c r="I1108" t="s">
        <v>1259</v>
      </c>
      <c r="J1108" t="s">
        <v>2480</v>
      </c>
      <c r="K1108" t="str">
        <f>+VLOOKUP(C1108,'[1]TIENDAS 2025'!$A$1:$C$143,3,0)</f>
        <v>local</v>
      </c>
      <c r="L1108" t="str">
        <f>+VLOOKUP(C1108,[2]Hoja1!$A$1:$B$138,2,0)</f>
        <v>APROBAR</v>
      </c>
      <c r="M1108">
        <v>1</v>
      </c>
      <c r="N1108" t="e">
        <v>#N/A</v>
      </c>
    </row>
    <row r="1109" spans="1:14" ht="15" customHeight="1" x14ac:dyDescent="0.3">
      <c r="A1109" s="3">
        <v>1209659122</v>
      </c>
      <c r="B1109" s="3" t="s">
        <v>1261</v>
      </c>
      <c r="C1109" s="3" t="s">
        <v>1262</v>
      </c>
      <c r="D1109" s="4">
        <v>46307.433229166701</v>
      </c>
      <c r="E1109" s="5" t="s">
        <v>10</v>
      </c>
      <c r="F1109" s="5" t="s">
        <v>17</v>
      </c>
      <c r="G1109" s="5">
        <v>8</v>
      </c>
      <c r="H1109" s="6" t="s">
        <v>12</v>
      </c>
      <c r="I1109" t="s">
        <v>1260</v>
      </c>
      <c r="J1109" t="s">
        <v>2480</v>
      </c>
      <c r="K1109" t="str">
        <f>+VLOOKUP(C1109,'[1]TIENDAS 2025'!$A$1:$C$143,3,0)</f>
        <v>prioridad</v>
      </c>
      <c r="L1109" t="str">
        <f>+VLOOKUP(C1109,[2]Hoja1!$A$1:$B$138,2,0)</f>
        <v>APROBAR</v>
      </c>
      <c r="M1109">
        <v>1</v>
      </c>
      <c r="N1109" t="e">
        <v>#N/A</v>
      </c>
    </row>
    <row r="1110" spans="1:14" ht="15" customHeight="1" x14ac:dyDescent="0.3">
      <c r="A1110" s="3">
        <v>1209659103</v>
      </c>
      <c r="B1110" s="3" t="s">
        <v>1264</v>
      </c>
      <c r="C1110" s="3" t="s">
        <v>1265</v>
      </c>
      <c r="D1110" s="4">
        <v>46307.433252314797</v>
      </c>
      <c r="E1110" s="5" t="s">
        <v>10</v>
      </c>
      <c r="F1110" s="5" t="s">
        <v>17</v>
      </c>
      <c r="G1110" s="5">
        <v>29</v>
      </c>
      <c r="H1110" s="6" t="s">
        <v>12</v>
      </c>
      <c r="I1110" t="s">
        <v>1263</v>
      </c>
      <c r="J1110" t="s">
        <v>2480</v>
      </c>
      <c r="K1110" t="str">
        <f>+VLOOKUP(C1110,'[1]TIENDAS 2025'!$A$1:$C$143,3,0)</f>
        <v>nocturna</v>
      </c>
      <c r="L1110" t="str">
        <f>+VLOOKUP(C1110,[2]Hoja1!$A$1:$B$138,2,0)</f>
        <v>APROBAR</v>
      </c>
      <c r="M1110">
        <v>1</v>
      </c>
      <c r="N1110" t="e">
        <v>#N/A</v>
      </c>
    </row>
    <row r="1111" spans="1:14" ht="15" customHeight="1" x14ac:dyDescent="0.3">
      <c r="A1111" s="3">
        <v>8209659047</v>
      </c>
      <c r="B1111" s="3" t="s">
        <v>1267</v>
      </c>
      <c r="C1111" s="3" t="s">
        <v>1268</v>
      </c>
      <c r="D1111" s="4">
        <v>46307.433263888903</v>
      </c>
      <c r="E1111" s="5" t="s">
        <v>10</v>
      </c>
      <c r="F1111" s="5" t="s">
        <v>16</v>
      </c>
      <c r="G1111" s="5">
        <v>3</v>
      </c>
      <c r="H1111" s="8" t="s">
        <v>12</v>
      </c>
      <c r="I1111" t="s">
        <v>1266</v>
      </c>
      <c r="K1111" t="str">
        <f>+VLOOKUP(C1111,'[1]TIENDAS 2025'!$A$1:$C$143,3,0)</f>
        <v>departamental</v>
      </c>
      <c r="L1111" t="str">
        <f>+VLOOKUP(C1111,[2]Hoja1!$A$1:$B$138,2,0)</f>
        <v>APROBAR</v>
      </c>
      <c r="M1111">
        <v>1</v>
      </c>
      <c r="N1111" t="e">
        <v>#N/A</v>
      </c>
    </row>
    <row r="1112" spans="1:14" ht="15" customHeight="1" x14ac:dyDescent="0.3">
      <c r="A1112" s="3">
        <v>1209658989</v>
      </c>
      <c r="B1112" s="3" t="s">
        <v>1270</v>
      </c>
      <c r="C1112" s="3" t="s">
        <v>1271</v>
      </c>
      <c r="D1112" s="4">
        <v>46307.433275463001</v>
      </c>
      <c r="E1112" s="5" t="s">
        <v>10</v>
      </c>
      <c r="F1112" s="5" t="s">
        <v>17</v>
      </c>
      <c r="G1112" s="5">
        <v>12</v>
      </c>
      <c r="H1112" s="6" t="s">
        <v>12</v>
      </c>
      <c r="I1112" t="s">
        <v>1269</v>
      </c>
      <c r="J1112" t="s">
        <v>2480</v>
      </c>
      <c r="K1112" t="str">
        <f>+VLOOKUP(C1112,'[1]TIENDAS 2025'!$A$1:$C$143,3,0)</f>
        <v>departamental</v>
      </c>
      <c r="L1112" t="str">
        <f>+VLOOKUP(C1112,[2]Hoja1!$A$1:$B$138,2,0)</f>
        <v>APROBAR</v>
      </c>
      <c r="M1112">
        <v>1</v>
      </c>
      <c r="N1112" t="e">
        <v>#N/A</v>
      </c>
    </row>
    <row r="1113" spans="1:14" ht="15" customHeight="1" x14ac:dyDescent="0.3">
      <c r="A1113" s="3">
        <v>1209658990</v>
      </c>
      <c r="B1113" s="3" t="s">
        <v>1270</v>
      </c>
      <c r="C1113" s="3" t="s">
        <v>1271</v>
      </c>
      <c r="D1113" s="4">
        <v>46307.433298611097</v>
      </c>
      <c r="E1113" s="5" t="s">
        <v>10</v>
      </c>
      <c r="F1113" s="5" t="s">
        <v>16</v>
      </c>
      <c r="G1113" s="5">
        <v>22</v>
      </c>
      <c r="H1113" s="6" t="s">
        <v>12</v>
      </c>
      <c r="I1113" t="s">
        <v>1272</v>
      </c>
      <c r="J1113" t="s">
        <v>2480</v>
      </c>
      <c r="K1113" t="str">
        <f>+VLOOKUP(C1113,'[1]TIENDAS 2025'!$A$1:$C$143,3,0)</f>
        <v>departamental</v>
      </c>
      <c r="L1113" t="str">
        <f>+VLOOKUP(C1113,[2]Hoja1!$A$1:$B$138,2,0)</f>
        <v>APROBAR</v>
      </c>
      <c r="M1113">
        <v>1</v>
      </c>
      <c r="N1113" t="e">
        <v>#N/A</v>
      </c>
    </row>
    <row r="1114" spans="1:14" ht="15" customHeight="1" x14ac:dyDescent="0.3">
      <c r="A1114" s="3">
        <v>8209659051</v>
      </c>
      <c r="B1114" s="3" t="s">
        <v>1267</v>
      </c>
      <c r="C1114" s="3" t="s">
        <v>1268</v>
      </c>
      <c r="D1114" s="4">
        <v>46307.433298611097</v>
      </c>
      <c r="E1114" s="5" t="s">
        <v>10</v>
      </c>
      <c r="F1114" s="5" t="s">
        <v>16</v>
      </c>
      <c r="G1114" s="5">
        <v>21</v>
      </c>
      <c r="H1114" s="8" t="s">
        <v>12</v>
      </c>
      <c r="I1114" t="s">
        <v>1273</v>
      </c>
      <c r="K1114" t="str">
        <f>+VLOOKUP(C1114,'[1]TIENDAS 2025'!$A$1:$C$143,3,0)</f>
        <v>departamental</v>
      </c>
      <c r="L1114" t="str">
        <f>+VLOOKUP(C1114,[2]Hoja1!$A$1:$B$138,2,0)</f>
        <v>APROBAR</v>
      </c>
      <c r="M1114">
        <v>1</v>
      </c>
      <c r="N1114" t="e">
        <v>#N/A</v>
      </c>
    </row>
    <row r="1115" spans="1:14" ht="15" customHeight="1" x14ac:dyDescent="0.3">
      <c r="A1115" s="3">
        <v>1209659023</v>
      </c>
      <c r="B1115" s="3" t="s">
        <v>14</v>
      </c>
      <c r="C1115" s="3" t="s">
        <v>15</v>
      </c>
      <c r="D1115" s="4">
        <v>46307.433321759301</v>
      </c>
      <c r="E1115" s="5" t="s">
        <v>10</v>
      </c>
      <c r="F1115" s="5" t="s">
        <v>11</v>
      </c>
      <c r="G1115" s="5">
        <v>17</v>
      </c>
      <c r="H1115" s="6" t="s">
        <v>12</v>
      </c>
      <c r="I1115" t="s">
        <v>1274</v>
      </c>
      <c r="J1115" t="s">
        <v>2480</v>
      </c>
      <c r="K1115" t="str">
        <f>+VLOOKUP(C1115,'[1]TIENDAS 2025'!$A$1:$C$143,3,0)</f>
        <v>departamental</v>
      </c>
      <c r="L1115" t="str">
        <f>+VLOOKUP(C1115,[2]Hoja1!$A$1:$B$138,2,0)</f>
        <v>APROBAR</v>
      </c>
      <c r="M1115">
        <v>1</v>
      </c>
      <c r="N1115" t="e">
        <v>#N/A</v>
      </c>
    </row>
    <row r="1116" spans="1:14" ht="15" customHeight="1" x14ac:dyDescent="0.3">
      <c r="A1116" s="3">
        <v>1209659001</v>
      </c>
      <c r="B1116" s="3" t="s">
        <v>1270</v>
      </c>
      <c r="C1116" s="3" t="s">
        <v>1271</v>
      </c>
      <c r="D1116" s="4">
        <v>46307.433333333298</v>
      </c>
      <c r="E1116" s="5" t="s">
        <v>10</v>
      </c>
      <c r="F1116" s="5" t="s">
        <v>11</v>
      </c>
      <c r="G1116" s="5">
        <v>5</v>
      </c>
      <c r="H1116" s="6" t="s">
        <v>12</v>
      </c>
      <c r="I1116" t="s">
        <v>1275</v>
      </c>
      <c r="J1116" t="s">
        <v>2480</v>
      </c>
      <c r="K1116" t="str">
        <f>+VLOOKUP(C1116,'[1]TIENDAS 2025'!$A$1:$C$143,3,0)</f>
        <v>departamental</v>
      </c>
      <c r="L1116" t="str">
        <f>+VLOOKUP(C1116,[2]Hoja1!$A$1:$B$138,2,0)</f>
        <v>APROBAR</v>
      </c>
      <c r="M1116">
        <v>1</v>
      </c>
      <c r="N1116" t="e">
        <v>#N/A</v>
      </c>
    </row>
    <row r="1117" spans="1:14" ht="15" customHeight="1" x14ac:dyDescent="0.3">
      <c r="A1117" s="3">
        <v>1209659091</v>
      </c>
      <c r="B1117" s="3" t="s">
        <v>1264</v>
      </c>
      <c r="C1117" s="3" t="s">
        <v>1265</v>
      </c>
      <c r="D1117" s="4">
        <v>46307.433344907397</v>
      </c>
      <c r="E1117" s="5" t="s">
        <v>10</v>
      </c>
      <c r="F1117" s="5" t="s">
        <v>11</v>
      </c>
      <c r="G1117" s="5">
        <v>19</v>
      </c>
      <c r="H1117" s="6" t="s">
        <v>12</v>
      </c>
      <c r="I1117" t="s">
        <v>1276</v>
      </c>
      <c r="J1117" t="s">
        <v>2480</v>
      </c>
      <c r="K1117" t="str">
        <f>+VLOOKUP(C1117,'[1]TIENDAS 2025'!$A$1:$C$143,3,0)</f>
        <v>nocturna</v>
      </c>
      <c r="L1117" t="str">
        <f>+VLOOKUP(C1117,[2]Hoja1!$A$1:$B$138,2,0)</f>
        <v>APROBAR</v>
      </c>
      <c r="M1117">
        <v>1</v>
      </c>
      <c r="N1117" t="e">
        <v>#N/A</v>
      </c>
    </row>
    <row r="1118" spans="1:14" ht="15" customHeight="1" x14ac:dyDescent="0.3">
      <c r="A1118" s="3">
        <v>1209659120</v>
      </c>
      <c r="B1118" s="3" t="s">
        <v>1261</v>
      </c>
      <c r="C1118" s="3" t="s">
        <v>1262</v>
      </c>
      <c r="D1118" s="4">
        <v>46307.433368055601</v>
      </c>
      <c r="E1118" s="5" t="s">
        <v>10</v>
      </c>
      <c r="F1118" s="5" t="s">
        <v>11</v>
      </c>
      <c r="G1118" s="5">
        <v>6</v>
      </c>
      <c r="H1118" s="6" t="s">
        <v>12</v>
      </c>
      <c r="I1118" t="s">
        <v>1277</v>
      </c>
      <c r="J1118" t="s">
        <v>2480</v>
      </c>
      <c r="K1118" t="str">
        <f>+VLOOKUP(C1118,'[1]TIENDAS 2025'!$A$1:$C$143,3,0)</f>
        <v>prioridad</v>
      </c>
      <c r="L1118" t="str">
        <f>+VLOOKUP(C1118,[2]Hoja1!$A$1:$B$138,2,0)</f>
        <v>APROBAR</v>
      </c>
      <c r="M1118">
        <v>1</v>
      </c>
      <c r="N1118" t="e">
        <v>#N/A</v>
      </c>
    </row>
    <row r="1119" spans="1:14" ht="15" customHeight="1" x14ac:dyDescent="0.3">
      <c r="A1119" s="3">
        <v>8209659097</v>
      </c>
      <c r="B1119" s="3" t="s">
        <v>1264</v>
      </c>
      <c r="C1119" s="3" t="s">
        <v>1265</v>
      </c>
      <c r="D1119" s="4">
        <v>46307.433368055601</v>
      </c>
      <c r="E1119" s="5" t="s">
        <v>10</v>
      </c>
      <c r="F1119" s="5" t="s">
        <v>16</v>
      </c>
      <c r="G1119" s="5">
        <v>8</v>
      </c>
      <c r="H1119" s="8" t="s">
        <v>12</v>
      </c>
      <c r="I1119" t="s">
        <v>1278</v>
      </c>
      <c r="K1119" t="str">
        <f>+VLOOKUP(C1119,'[1]TIENDAS 2025'!$A$1:$C$143,3,0)</f>
        <v>nocturna</v>
      </c>
      <c r="L1119" t="str">
        <f>+VLOOKUP(C1119,[2]Hoja1!$A$1:$B$138,2,0)</f>
        <v>APROBAR</v>
      </c>
      <c r="M1119">
        <v>1</v>
      </c>
      <c r="N1119" t="e">
        <v>#N/A</v>
      </c>
    </row>
    <row r="1120" spans="1:14" ht="15" customHeight="1" x14ac:dyDescent="0.3">
      <c r="A1120" s="3">
        <v>1209659125</v>
      </c>
      <c r="B1120" s="3" t="s">
        <v>1261</v>
      </c>
      <c r="C1120" s="3" t="s">
        <v>1262</v>
      </c>
      <c r="D1120" s="4">
        <v>46307.433379629598</v>
      </c>
      <c r="E1120" s="5" t="s">
        <v>10</v>
      </c>
      <c r="F1120" s="5" t="s">
        <v>11</v>
      </c>
      <c r="G1120" s="5">
        <v>16</v>
      </c>
      <c r="H1120" s="6" t="s">
        <v>12</v>
      </c>
      <c r="I1120" t="s">
        <v>1279</v>
      </c>
      <c r="J1120" t="s">
        <v>2480</v>
      </c>
      <c r="K1120" t="str">
        <f>+VLOOKUP(C1120,'[1]TIENDAS 2025'!$A$1:$C$143,3,0)</f>
        <v>prioridad</v>
      </c>
      <c r="L1120" t="str">
        <f>+VLOOKUP(C1120,[2]Hoja1!$A$1:$B$138,2,0)</f>
        <v>APROBAR</v>
      </c>
      <c r="M1120">
        <v>1</v>
      </c>
      <c r="N1120" t="e">
        <v>#N/A</v>
      </c>
    </row>
    <row r="1121" spans="1:14" ht="15" customHeight="1" x14ac:dyDescent="0.3">
      <c r="A1121" s="3">
        <v>8209658981</v>
      </c>
      <c r="B1121" s="3" t="s">
        <v>1270</v>
      </c>
      <c r="C1121" s="3" t="s">
        <v>1271</v>
      </c>
      <c r="D1121" s="4">
        <v>46307.433402777802</v>
      </c>
      <c r="E1121" s="5" t="s">
        <v>10</v>
      </c>
      <c r="F1121" s="5" t="s">
        <v>16</v>
      </c>
      <c r="G1121" s="5">
        <v>1</v>
      </c>
      <c r="H1121" s="8" t="s">
        <v>12</v>
      </c>
      <c r="I1121" t="s">
        <v>1280</v>
      </c>
      <c r="K1121" t="str">
        <f>+VLOOKUP(C1121,'[1]TIENDAS 2025'!$A$1:$C$143,3,0)</f>
        <v>departamental</v>
      </c>
      <c r="L1121" t="str">
        <f>+VLOOKUP(C1121,[2]Hoja1!$A$1:$B$138,2,0)</f>
        <v>APROBAR</v>
      </c>
      <c r="M1121">
        <v>1</v>
      </c>
      <c r="N1121" t="e">
        <v>#N/A</v>
      </c>
    </row>
    <row r="1122" spans="1:14" ht="15" customHeight="1" x14ac:dyDescent="0.3">
      <c r="A1122" s="3">
        <v>8209658982</v>
      </c>
      <c r="B1122" s="3" t="s">
        <v>1270</v>
      </c>
      <c r="C1122" s="3" t="s">
        <v>1271</v>
      </c>
      <c r="D1122" s="4">
        <v>46307.433414351799</v>
      </c>
      <c r="E1122" s="5" t="s">
        <v>10</v>
      </c>
      <c r="F1122" s="5" t="s">
        <v>16</v>
      </c>
      <c r="G1122" s="5">
        <v>8</v>
      </c>
      <c r="H1122" s="8" t="s">
        <v>12</v>
      </c>
      <c r="I1122" t="s">
        <v>1281</v>
      </c>
      <c r="K1122" t="str">
        <f>+VLOOKUP(C1122,'[1]TIENDAS 2025'!$A$1:$C$143,3,0)</f>
        <v>departamental</v>
      </c>
      <c r="L1122" t="str">
        <f>+VLOOKUP(C1122,[2]Hoja1!$A$1:$B$138,2,0)</f>
        <v>APROBAR</v>
      </c>
      <c r="M1122">
        <v>1</v>
      </c>
      <c r="N1122" t="e">
        <v>#N/A</v>
      </c>
    </row>
    <row r="1123" spans="1:14" ht="15" customHeight="1" x14ac:dyDescent="0.3">
      <c r="A1123" s="3">
        <v>8209658983</v>
      </c>
      <c r="B1123" s="3" t="s">
        <v>1270</v>
      </c>
      <c r="C1123" s="3" t="s">
        <v>1271</v>
      </c>
      <c r="D1123" s="4">
        <v>46307.433425925898</v>
      </c>
      <c r="E1123" s="5" t="s">
        <v>10</v>
      </c>
      <c r="F1123" s="5" t="s">
        <v>16</v>
      </c>
      <c r="G1123" s="5">
        <v>1</v>
      </c>
      <c r="H1123" s="8" t="s">
        <v>12</v>
      </c>
      <c r="I1123" t="s">
        <v>1282</v>
      </c>
      <c r="K1123" t="str">
        <f>+VLOOKUP(C1123,'[1]TIENDAS 2025'!$A$1:$C$143,3,0)</f>
        <v>departamental</v>
      </c>
      <c r="L1123" t="str">
        <f>+VLOOKUP(C1123,[2]Hoja1!$A$1:$B$138,2,0)</f>
        <v>APROBAR</v>
      </c>
      <c r="M1123">
        <v>1</v>
      </c>
      <c r="N1123" t="e">
        <v>#N/A</v>
      </c>
    </row>
    <row r="1124" spans="1:14" ht="15" customHeight="1" x14ac:dyDescent="0.3">
      <c r="A1124" s="3">
        <v>8209659048</v>
      </c>
      <c r="B1124" s="3" t="s">
        <v>1267</v>
      </c>
      <c r="C1124" s="3" t="s">
        <v>1268</v>
      </c>
      <c r="D1124" s="4">
        <v>46307.433437500003</v>
      </c>
      <c r="E1124" s="5" t="s">
        <v>10</v>
      </c>
      <c r="F1124" s="5" t="s">
        <v>16</v>
      </c>
      <c r="G1124" s="5">
        <v>8</v>
      </c>
      <c r="H1124" s="8" t="s">
        <v>12</v>
      </c>
      <c r="I1124" t="s">
        <v>1283</v>
      </c>
      <c r="K1124" t="str">
        <f>+VLOOKUP(C1124,'[1]TIENDAS 2025'!$A$1:$C$143,3,0)</f>
        <v>departamental</v>
      </c>
      <c r="L1124" t="str">
        <f>+VLOOKUP(C1124,[2]Hoja1!$A$1:$B$138,2,0)</f>
        <v>APROBAR</v>
      </c>
      <c r="M1124">
        <v>1</v>
      </c>
      <c r="N1124" t="e">
        <v>#N/A</v>
      </c>
    </row>
    <row r="1125" spans="1:14" ht="15" customHeight="1" x14ac:dyDescent="0.3">
      <c r="A1125" s="3">
        <v>1209659053</v>
      </c>
      <c r="B1125" s="3" t="s">
        <v>1267</v>
      </c>
      <c r="C1125" s="3" t="s">
        <v>1268</v>
      </c>
      <c r="D1125" s="4">
        <v>46307.433449074102</v>
      </c>
      <c r="E1125" s="5" t="s">
        <v>10</v>
      </c>
      <c r="F1125" s="5" t="s">
        <v>11</v>
      </c>
      <c r="G1125" s="5">
        <v>6</v>
      </c>
      <c r="H1125" s="6" t="s">
        <v>12</v>
      </c>
      <c r="I1125" t="s">
        <v>1284</v>
      </c>
      <c r="J1125" t="s">
        <v>2480</v>
      </c>
      <c r="K1125" t="str">
        <f>+VLOOKUP(C1125,'[1]TIENDAS 2025'!$A$1:$C$143,3,0)</f>
        <v>departamental</v>
      </c>
      <c r="L1125" t="str">
        <f>+VLOOKUP(C1125,[2]Hoja1!$A$1:$B$138,2,0)</f>
        <v>APROBAR</v>
      </c>
      <c r="M1125">
        <v>1</v>
      </c>
      <c r="N1125" t="e">
        <v>#N/A</v>
      </c>
    </row>
    <row r="1126" spans="1:14" ht="15" customHeight="1" x14ac:dyDescent="0.3">
      <c r="A1126" s="3">
        <v>1209659056</v>
      </c>
      <c r="B1126" s="3" t="s">
        <v>1267</v>
      </c>
      <c r="C1126" s="3" t="s">
        <v>1268</v>
      </c>
      <c r="D1126" s="4">
        <v>46307.433472222197</v>
      </c>
      <c r="E1126" s="5" t="s">
        <v>10</v>
      </c>
      <c r="F1126" s="5" t="s">
        <v>17</v>
      </c>
      <c r="G1126" s="5">
        <v>11</v>
      </c>
      <c r="H1126" s="6" t="s">
        <v>12</v>
      </c>
      <c r="I1126" t="s">
        <v>1285</v>
      </c>
      <c r="J1126" t="s">
        <v>2480</v>
      </c>
      <c r="K1126" t="str">
        <f>+VLOOKUP(C1126,'[1]TIENDAS 2025'!$A$1:$C$143,3,0)</f>
        <v>departamental</v>
      </c>
      <c r="L1126" t="str">
        <f>+VLOOKUP(C1126,[2]Hoja1!$A$1:$B$138,2,0)</f>
        <v>APROBAR</v>
      </c>
      <c r="M1126">
        <v>1</v>
      </c>
      <c r="N1126" t="e">
        <v>#N/A</v>
      </c>
    </row>
    <row r="1127" spans="1:14" ht="15" customHeight="1" x14ac:dyDescent="0.3">
      <c r="A1127" s="3">
        <v>1209659021</v>
      </c>
      <c r="B1127" s="3" t="s">
        <v>14</v>
      </c>
      <c r="C1127" s="3" t="s">
        <v>15</v>
      </c>
      <c r="D1127" s="4">
        <v>46307.433483796303</v>
      </c>
      <c r="E1127" s="5" t="s">
        <v>10</v>
      </c>
      <c r="F1127" s="5" t="s">
        <v>16</v>
      </c>
      <c r="G1127" s="5">
        <v>16</v>
      </c>
      <c r="H1127" s="6" t="s">
        <v>12</v>
      </c>
      <c r="I1127" t="s">
        <v>1286</v>
      </c>
      <c r="J1127" t="s">
        <v>2480</v>
      </c>
      <c r="K1127" t="str">
        <f>+VLOOKUP(C1127,'[1]TIENDAS 2025'!$A$1:$C$143,3,0)</f>
        <v>departamental</v>
      </c>
      <c r="L1127" t="str">
        <f>+VLOOKUP(C1127,[2]Hoja1!$A$1:$B$138,2,0)</f>
        <v>APROBAR</v>
      </c>
      <c r="M1127">
        <v>1</v>
      </c>
      <c r="N1127" t="e">
        <v>#N/A</v>
      </c>
    </row>
    <row r="1128" spans="1:14" ht="15" customHeight="1" x14ac:dyDescent="0.3">
      <c r="A1128" s="3">
        <v>1209659089</v>
      </c>
      <c r="B1128" s="3" t="s">
        <v>1264</v>
      </c>
      <c r="C1128" s="3" t="s">
        <v>1265</v>
      </c>
      <c r="D1128" s="4">
        <v>46307.433483796303</v>
      </c>
      <c r="E1128" s="5" t="s">
        <v>10</v>
      </c>
      <c r="F1128" s="5" t="s">
        <v>11</v>
      </c>
      <c r="G1128" s="5">
        <v>11</v>
      </c>
      <c r="H1128" s="6" t="s">
        <v>12</v>
      </c>
      <c r="I1128" t="s">
        <v>1287</v>
      </c>
      <c r="J1128" t="s">
        <v>2480</v>
      </c>
      <c r="K1128" t="str">
        <f>+VLOOKUP(C1128,'[1]TIENDAS 2025'!$A$1:$C$143,3,0)</f>
        <v>nocturna</v>
      </c>
      <c r="L1128" t="str">
        <f>+VLOOKUP(C1128,[2]Hoja1!$A$1:$B$138,2,0)</f>
        <v>APROBAR</v>
      </c>
      <c r="M1128">
        <v>1</v>
      </c>
      <c r="N1128" t="e">
        <v>#N/A</v>
      </c>
    </row>
    <row r="1129" spans="1:14" ht="15" customHeight="1" x14ac:dyDescent="0.3">
      <c r="A1129" s="3">
        <v>1209659062</v>
      </c>
      <c r="B1129" s="3" t="s">
        <v>1267</v>
      </c>
      <c r="C1129" s="3" t="s">
        <v>1268</v>
      </c>
      <c r="D1129" s="4">
        <v>46307.433506944399</v>
      </c>
      <c r="E1129" s="5" t="s">
        <v>10</v>
      </c>
      <c r="F1129" s="5" t="s">
        <v>11</v>
      </c>
      <c r="G1129" s="5">
        <v>2</v>
      </c>
      <c r="H1129" s="6" t="s">
        <v>12</v>
      </c>
      <c r="I1129" t="s">
        <v>1288</v>
      </c>
      <c r="J1129" t="s">
        <v>2480</v>
      </c>
      <c r="K1129" t="str">
        <f>+VLOOKUP(C1129,'[1]TIENDAS 2025'!$A$1:$C$143,3,0)</f>
        <v>departamental</v>
      </c>
      <c r="L1129" t="str">
        <f>+VLOOKUP(C1129,[2]Hoja1!$A$1:$B$138,2,0)</f>
        <v>APROBAR</v>
      </c>
      <c r="M1129">
        <v>1</v>
      </c>
      <c r="N1129" t="e">
        <v>#N/A</v>
      </c>
    </row>
    <row r="1130" spans="1:14" ht="15" customHeight="1" x14ac:dyDescent="0.3">
      <c r="A1130" s="3">
        <v>1209659068</v>
      </c>
      <c r="B1130" s="3" t="s">
        <v>1267</v>
      </c>
      <c r="C1130" s="3" t="s">
        <v>1268</v>
      </c>
      <c r="D1130" s="4">
        <v>46307.433518518497</v>
      </c>
      <c r="E1130" s="5" t="s">
        <v>10</v>
      </c>
      <c r="F1130" s="5" t="s">
        <v>17</v>
      </c>
      <c r="G1130" s="5">
        <v>3</v>
      </c>
      <c r="H1130" s="6" t="s">
        <v>12</v>
      </c>
      <c r="I1130" t="s">
        <v>1289</v>
      </c>
      <c r="J1130" t="s">
        <v>2480</v>
      </c>
      <c r="K1130" t="str">
        <f>+VLOOKUP(C1130,'[1]TIENDAS 2025'!$A$1:$C$143,3,0)</f>
        <v>departamental</v>
      </c>
      <c r="L1130" t="str">
        <f>+VLOOKUP(C1130,[2]Hoja1!$A$1:$B$138,2,0)</f>
        <v>APROBAR</v>
      </c>
      <c r="M1130">
        <v>1</v>
      </c>
      <c r="N1130" t="e">
        <v>#N/A</v>
      </c>
    </row>
    <row r="1131" spans="1:14" ht="15" customHeight="1" x14ac:dyDescent="0.3">
      <c r="A1131" s="3">
        <v>1209659123</v>
      </c>
      <c r="B1131" s="3" t="s">
        <v>1261</v>
      </c>
      <c r="C1131" s="3" t="s">
        <v>1262</v>
      </c>
      <c r="D1131" s="4">
        <v>46307.433541666702</v>
      </c>
      <c r="E1131" s="5" t="s">
        <v>10</v>
      </c>
      <c r="F1131" s="5" t="s">
        <v>11</v>
      </c>
      <c r="G1131" s="5">
        <v>12</v>
      </c>
      <c r="H1131" s="6" t="s">
        <v>12</v>
      </c>
      <c r="I1131" t="s">
        <v>1290</v>
      </c>
      <c r="J1131" t="s">
        <v>2480</v>
      </c>
      <c r="K1131" t="str">
        <f>+VLOOKUP(C1131,'[1]TIENDAS 2025'!$A$1:$C$143,3,0)</f>
        <v>prioridad</v>
      </c>
      <c r="L1131" t="str">
        <f>+VLOOKUP(C1131,[2]Hoja1!$A$1:$B$138,2,0)</f>
        <v>APROBAR</v>
      </c>
      <c r="M1131">
        <v>1</v>
      </c>
      <c r="N1131" t="e">
        <v>#N/A</v>
      </c>
    </row>
    <row r="1132" spans="1:14" ht="15" customHeight="1" x14ac:dyDescent="0.3">
      <c r="A1132" s="3">
        <v>8209659052</v>
      </c>
      <c r="B1132" s="3" t="s">
        <v>1267</v>
      </c>
      <c r="C1132" s="3" t="s">
        <v>1268</v>
      </c>
      <c r="D1132" s="4">
        <v>46307.433553240699</v>
      </c>
      <c r="E1132" s="5" t="s">
        <v>10</v>
      </c>
      <c r="F1132" s="5" t="s">
        <v>16</v>
      </c>
      <c r="G1132" s="5">
        <v>1</v>
      </c>
      <c r="H1132" s="8" t="s">
        <v>12</v>
      </c>
      <c r="I1132" t="s">
        <v>1291</v>
      </c>
      <c r="K1132" t="str">
        <f>+VLOOKUP(C1132,'[1]TIENDAS 2025'!$A$1:$C$143,3,0)</f>
        <v>departamental</v>
      </c>
      <c r="L1132" t="str">
        <f>+VLOOKUP(C1132,[2]Hoja1!$A$1:$B$138,2,0)</f>
        <v>APROBAR</v>
      </c>
      <c r="M1132">
        <v>1</v>
      </c>
      <c r="N1132" t="e">
        <v>#N/A</v>
      </c>
    </row>
    <row r="1133" spans="1:14" ht="15" customHeight="1" x14ac:dyDescent="0.3">
      <c r="A1133" s="3">
        <v>1209658992</v>
      </c>
      <c r="B1133" s="3" t="s">
        <v>1270</v>
      </c>
      <c r="C1133" s="3" t="s">
        <v>1271</v>
      </c>
      <c r="D1133" s="4">
        <v>46307.433564814797</v>
      </c>
      <c r="E1133" s="5" t="s">
        <v>10</v>
      </c>
      <c r="F1133" s="5" t="s">
        <v>11</v>
      </c>
      <c r="G1133" s="5">
        <v>12</v>
      </c>
      <c r="H1133" s="6" t="s">
        <v>12</v>
      </c>
      <c r="I1133" t="s">
        <v>1292</v>
      </c>
      <c r="J1133" t="s">
        <v>2480</v>
      </c>
      <c r="K1133" t="str">
        <f>+VLOOKUP(C1133,'[1]TIENDAS 2025'!$A$1:$C$143,3,0)</f>
        <v>departamental</v>
      </c>
      <c r="L1133" t="str">
        <f>+VLOOKUP(C1133,[2]Hoja1!$A$1:$B$138,2,0)</f>
        <v>APROBAR</v>
      </c>
      <c r="M1133">
        <v>1</v>
      </c>
      <c r="N1133" t="e">
        <v>#N/A</v>
      </c>
    </row>
    <row r="1134" spans="1:14" ht="15" customHeight="1" x14ac:dyDescent="0.3">
      <c r="A1134" s="3">
        <v>8209659084</v>
      </c>
      <c r="B1134" s="3" t="s">
        <v>1264</v>
      </c>
      <c r="C1134" s="3" t="s">
        <v>1265</v>
      </c>
      <c r="D1134" s="4">
        <v>46307.433576388903</v>
      </c>
      <c r="E1134" s="5" t="s">
        <v>10</v>
      </c>
      <c r="F1134" s="5" t="s">
        <v>16</v>
      </c>
      <c r="G1134" s="5">
        <v>14</v>
      </c>
      <c r="H1134" s="8" t="s">
        <v>12</v>
      </c>
      <c r="I1134" t="s">
        <v>1293</v>
      </c>
      <c r="K1134" t="str">
        <f>+VLOOKUP(C1134,'[1]TIENDAS 2025'!$A$1:$C$143,3,0)</f>
        <v>nocturna</v>
      </c>
      <c r="L1134" t="str">
        <f>+VLOOKUP(C1134,[2]Hoja1!$A$1:$B$138,2,0)</f>
        <v>APROBAR</v>
      </c>
      <c r="M1134">
        <v>1</v>
      </c>
      <c r="N1134" t="e">
        <v>#N/A</v>
      </c>
    </row>
    <row r="1135" spans="1:14" ht="15" customHeight="1" x14ac:dyDescent="0.3">
      <c r="A1135" s="3">
        <v>1209659019</v>
      </c>
      <c r="B1135" s="3" t="s">
        <v>14</v>
      </c>
      <c r="C1135" s="3" t="s">
        <v>15</v>
      </c>
      <c r="D1135" s="4">
        <v>46307.433587963002</v>
      </c>
      <c r="E1135" s="5" t="s">
        <v>10</v>
      </c>
      <c r="F1135" s="5" t="s">
        <v>11</v>
      </c>
      <c r="G1135" s="5">
        <v>3</v>
      </c>
      <c r="H1135" s="6" t="s">
        <v>12</v>
      </c>
      <c r="I1135" t="s">
        <v>1294</v>
      </c>
      <c r="J1135" t="s">
        <v>2480</v>
      </c>
      <c r="K1135" t="str">
        <f>+VLOOKUP(C1135,'[1]TIENDAS 2025'!$A$1:$C$143,3,0)</f>
        <v>departamental</v>
      </c>
      <c r="L1135" t="str">
        <f>+VLOOKUP(C1135,[2]Hoja1!$A$1:$B$138,2,0)</f>
        <v>APROBAR</v>
      </c>
      <c r="M1135">
        <v>1</v>
      </c>
      <c r="N1135" t="e">
        <v>#N/A</v>
      </c>
    </row>
    <row r="1136" spans="1:14" ht="15" customHeight="1" x14ac:dyDescent="0.3">
      <c r="A1136" s="3">
        <v>1209658995</v>
      </c>
      <c r="B1136" s="3" t="s">
        <v>1270</v>
      </c>
      <c r="C1136" s="3" t="s">
        <v>1271</v>
      </c>
      <c r="D1136" s="4">
        <v>46307.433611111097</v>
      </c>
      <c r="E1136" s="5" t="s">
        <v>10</v>
      </c>
      <c r="F1136" s="5" t="s">
        <v>17</v>
      </c>
      <c r="G1136" s="5">
        <v>25</v>
      </c>
      <c r="H1136" s="6" t="s">
        <v>12</v>
      </c>
      <c r="I1136" t="s">
        <v>1295</v>
      </c>
      <c r="J1136" t="s">
        <v>2480</v>
      </c>
      <c r="K1136" t="str">
        <f>+VLOOKUP(C1136,'[1]TIENDAS 2025'!$A$1:$C$143,3,0)</f>
        <v>departamental</v>
      </c>
      <c r="L1136" t="str">
        <f>+VLOOKUP(C1136,[2]Hoja1!$A$1:$B$138,2,0)</f>
        <v>APROBAR</v>
      </c>
      <c r="M1136">
        <v>1</v>
      </c>
      <c r="N1136" t="e">
        <v>#N/A</v>
      </c>
    </row>
    <row r="1137" spans="1:14" ht="15" customHeight="1" x14ac:dyDescent="0.3">
      <c r="A1137" s="3">
        <v>1209659061</v>
      </c>
      <c r="B1137" s="3" t="s">
        <v>1267</v>
      </c>
      <c r="C1137" s="3" t="s">
        <v>1268</v>
      </c>
      <c r="D1137" s="4">
        <v>46307.433611111097</v>
      </c>
      <c r="E1137" s="5" t="s">
        <v>10</v>
      </c>
      <c r="F1137" s="5" t="s">
        <v>11</v>
      </c>
      <c r="G1137" s="5">
        <v>34</v>
      </c>
      <c r="H1137" s="6" t="s">
        <v>12</v>
      </c>
      <c r="I1137" t="s">
        <v>1296</v>
      </c>
      <c r="J1137" t="s">
        <v>2480</v>
      </c>
      <c r="K1137" t="str">
        <f>+VLOOKUP(C1137,'[1]TIENDAS 2025'!$A$1:$C$143,3,0)</f>
        <v>departamental</v>
      </c>
      <c r="L1137" t="str">
        <f>+VLOOKUP(C1137,[2]Hoja1!$A$1:$B$138,2,0)</f>
        <v>APROBAR</v>
      </c>
      <c r="M1137">
        <v>1</v>
      </c>
      <c r="N1137" t="e">
        <v>#N/A</v>
      </c>
    </row>
    <row r="1138" spans="1:14" ht="15" customHeight="1" x14ac:dyDescent="0.3">
      <c r="A1138" s="3">
        <v>8209658985</v>
      </c>
      <c r="B1138" s="3" t="s">
        <v>1270</v>
      </c>
      <c r="C1138" s="3" t="s">
        <v>1271</v>
      </c>
      <c r="D1138" s="4">
        <v>46307.433622685203</v>
      </c>
      <c r="E1138" s="5" t="s">
        <v>10</v>
      </c>
      <c r="F1138" s="5" t="s">
        <v>16</v>
      </c>
      <c r="G1138" s="5">
        <v>56</v>
      </c>
      <c r="H1138" s="8" t="s">
        <v>12</v>
      </c>
      <c r="I1138" t="s">
        <v>1297</v>
      </c>
      <c r="K1138" t="str">
        <f>+VLOOKUP(C1138,'[1]TIENDAS 2025'!$A$1:$C$143,3,0)</f>
        <v>departamental</v>
      </c>
      <c r="L1138" t="str">
        <f>+VLOOKUP(C1138,[2]Hoja1!$A$1:$B$138,2,0)</f>
        <v>APROBAR</v>
      </c>
      <c r="M1138">
        <v>1</v>
      </c>
      <c r="N1138" t="e">
        <v>#N/A</v>
      </c>
    </row>
    <row r="1139" spans="1:14" ht="15" customHeight="1" x14ac:dyDescent="0.3">
      <c r="A1139" s="3">
        <v>8209658986</v>
      </c>
      <c r="B1139" s="3" t="s">
        <v>1270</v>
      </c>
      <c r="C1139" s="3" t="s">
        <v>1271</v>
      </c>
      <c r="D1139" s="4">
        <v>46307.433645833298</v>
      </c>
      <c r="E1139" s="5" t="s">
        <v>10</v>
      </c>
      <c r="F1139" s="5" t="s">
        <v>16</v>
      </c>
      <c r="G1139" s="5">
        <v>1</v>
      </c>
      <c r="H1139" s="8" t="s">
        <v>12</v>
      </c>
      <c r="I1139" t="s">
        <v>1298</v>
      </c>
      <c r="K1139" t="str">
        <f>+VLOOKUP(C1139,'[1]TIENDAS 2025'!$A$1:$C$143,3,0)</f>
        <v>departamental</v>
      </c>
      <c r="L1139" t="str">
        <f>+VLOOKUP(C1139,[2]Hoja1!$A$1:$B$138,2,0)</f>
        <v>APROBAR</v>
      </c>
      <c r="M1139">
        <v>1</v>
      </c>
      <c r="N1139" t="e">
        <v>#N/A</v>
      </c>
    </row>
    <row r="1140" spans="1:14" ht="15" customHeight="1" x14ac:dyDescent="0.3">
      <c r="A1140" s="3">
        <v>1209659127</v>
      </c>
      <c r="B1140" s="3" t="s">
        <v>1261</v>
      </c>
      <c r="C1140" s="3" t="s">
        <v>1262</v>
      </c>
      <c r="D1140" s="4">
        <v>46307.433657407397</v>
      </c>
      <c r="E1140" s="5" t="s">
        <v>10</v>
      </c>
      <c r="F1140" s="5" t="s">
        <v>17</v>
      </c>
      <c r="G1140" s="5">
        <v>26</v>
      </c>
      <c r="H1140" s="6" t="s">
        <v>12</v>
      </c>
      <c r="I1140" t="s">
        <v>1299</v>
      </c>
      <c r="J1140" t="s">
        <v>2480</v>
      </c>
      <c r="K1140" t="str">
        <f>+VLOOKUP(C1140,'[1]TIENDAS 2025'!$A$1:$C$143,3,0)</f>
        <v>prioridad</v>
      </c>
      <c r="L1140" t="str">
        <f>+VLOOKUP(C1140,[2]Hoja1!$A$1:$B$138,2,0)</f>
        <v>APROBAR</v>
      </c>
      <c r="M1140">
        <v>1</v>
      </c>
      <c r="N1140" t="e">
        <v>#N/A</v>
      </c>
    </row>
    <row r="1141" spans="1:14" ht="15" customHeight="1" x14ac:dyDescent="0.3">
      <c r="A1141" s="3">
        <v>8209659014</v>
      </c>
      <c r="B1141" s="3" t="s">
        <v>14</v>
      </c>
      <c r="C1141" s="3" t="s">
        <v>15</v>
      </c>
      <c r="D1141" s="4">
        <v>46307.433668981503</v>
      </c>
      <c r="E1141" s="5" t="s">
        <v>10</v>
      </c>
      <c r="F1141" s="5" t="s">
        <v>16</v>
      </c>
      <c r="G1141" s="5">
        <v>3</v>
      </c>
      <c r="H1141" s="8" t="s">
        <v>12</v>
      </c>
      <c r="I1141" t="s">
        <v>1300</v>
      </c>
      <c r="K1141" t="str">
        <f>+VLOOKUP(C1141,'[1]TIENDAS 2025'!$A$1:$C$143,3,0)</f>
        <v>departamental</v>
      </c>
      <c r="L1141" t="str">
        <f>+VLOOKUP(C1141,[2]Hoja1!$A$1:$B$138,2,0)</f>
        <v>APROBAR</v>
      </c>
      <c r="M1141">
        <v>1</v>
      </c>
      <c r="N1141" t="e">
        <v>#N/A</v>
      </c>
    </row>
    <row r="1142" spans="1:14" ht="15" customHeight="1" x14ac:dyDescent="0.3">
      <c r="A1142" s="3">
        <v>8209659016</v>
      </c>
      <c r="B1142" s="3" t="s">
        <v>14</v>
      </c>
      <c r="C1142" s="3" t="s">
        <v>15</v>
      </c>
      <c r="D1142" s="4">
        <v>46307.433692129598</v>
      </c>
      <c r="E1142" s="5" t="s">
        <v>10</v>
      </c>
      <c r="F1142" s="5" t="s">
        <v>16</v>
      </c>
      <c r="G1142" s="5">
        <v>20</v>
      </c>
      <c r="H1142" s="8" t="s">
        <v>12</v>
      </c>
      <c r="I1142" t="s">
        <v>1301</v>
      </c>
      <c r="K1142" t="str">
        <f>+VLOOKUP(C1142,'[1]TIENDAS 2025'!$A$1:$C$143,3,0)</f>
        <v>departamental</v>
      </c>
      <c r="L1142" t="str">
        <f>+VLOOKUP(C1142,[2]Hoja1!$A$1:$B$138,2,0)</f>
        <v>APROBAR</v>
      </c>
      <c r="M1142">
        <v>1</v>
      </c>
      <c r="N1142" t="e">
        <v>#N/A</v>
      </c>
    </row>
    <row r="1143" spans="1:14" ht="15" customHeight="1" x14ac:dyDescent="0.3">
      <c r="A1143" s="3">
        <v>1209659059</v>
      </c>
      <c r="B1143" s="3" t="s">
        <v>1267</v>
      </c>
      <c r="C1143" s="3" t="s">
        <v>1268</v>
      </c>
      <c r="D1143" s="4">
        <v>46307.433692129598</v>
      </c>
      <c r="E1143" s="5" t="s">
        <v>10</v>
      </c>
      <c r="F1143" s="5" t="s">
        <v>11</v>
      </c>
      <c r="G1143" s="5">
        <v>13</v>
      </c>
      <c r="H1143" s="6" t="s">
        <v>12</v>
      </c>
      <c r="I1143" t="s">
        <v>1302</v>
      </c>
      <c r="J1143" t="s">
        <v>2480</v>
      </c>
      <c r="K1143" t="str">
        <f>+VLOOKUP(C1143,'[1]TIENDAS 2025'!$A$1:$C$143,3,0)</f>
        <v>departamental</v>
      </c>
      <c r="L1143" t="str">
        <f>+VLOOKUP(C1143,[2]Hoja1!$A$1:$B$138,2,0)</f>
        <v>APROBAR</v>
      </c>
      <c r="M1143">
        <v>1</v>
      </c>
      <c r="N1143" t="e">
        <v>#N/A</v>
      </c>
    </row>
    <row r="1144" spans="1:14" ht="15" customHeight="1" x14ac:dyDescent="0.3">
      <c r="A1144" s="3">
        <v>1209659024</v>
      </c>
      <c r="B1144" s="3" t="s">
        <v>14</v>
      </c>
      <c r="C1144" s="3" t="s">
        <v>15</v>
      </c>
      <c r="D1144" s="4">
        <v>46307.433715277803</v>
      </c>
      <c r="E1144" s="5" t="s">
        <v>10</v>
      </c>
      <c r="F1144" s="5" t="s">
        <v>11</v>
      </c>
      <c r="G1144" s="5">
        <v>17</v>
      </c>
      <c r="H1144" s="6" t="s">
        <v>12</v>
      </c>
      <c r="I1144" t="s">
        <v>1303</v>
      </c>
      <c r="J1144" t="s">
        <v>2480</v>
      </c>
      <c r="K1144" t="str">
        <f>+VLOOKUP(C1144,'[1]TIENDAS 2025'!$A$1:$C$143,3,0)</f>
        <v>departamental</v>
      </c>
      <c r="L1144" t="str">
        <f>+VLOOKUP(C1144,[2]Hoja1!$A$1:$B$138,2,0)</f>
        <v>APROBAR</v>
      </c>
      <c r="M1144">
        <v>1</v>
      </c>
      <c r="N1144" t="e">
        <v>#N/A</v>
      </c>
    </row>
    <row r="1145" spans="1:14" ht="15" customHeight="1" x14ac:dyDescent="0.3">
      <c r="A1145" s="3">
        <v>8209659115</v>
      </c>
      <c r="B1145" s="3" t="s">
        <v>1261</v>
      </c>
      <c r="C1145" s="3" t="s">
        <v>1262</v>
      </c>
      <c r="D1145" s="4">
        <v>46307.433726851901</v>
      </c>
      <c r="E1145" s="5" t="s">
        <v>10</v>
      </c>
      <c r="F1145" s="5" t="s">
        <v>16</v>
      </c>
      <c r="G1145" s="5">
        <v>7</v>
      </c>
      <c r="H1145" s="8" t="s">
        <v>12</v>
      </c>
      <c r="I1145" t="s">
        <v>1304</v>
      </c>
      <c r="K1145" t="str">
        <f>+VLOOKUP(C1145,'[1]TIENDAS 2025'!$A$1:$C$143,3,0)</f>
        <v>prioridad</v>
      </c>
      <c r="L1145" t="str">
        <f>+VLOOKUP(C1145,[2]Hoja1!$A$1:$B$138,2,0)</f>
        <v>APROBAR</v>
      </c>
      <c r="M1145">
        <v>1</v>
      </c>
      <c r="N1145" t="e">
        <v>#N/A</v>
      </c>
    </row>
    <row r="1146" spans="1:14" ht="15" customHeight="1" x14ac:dyDescent="0.3">
      <c r="A1146" s="3">
        <v>1209659026</v>
      </c>
      <c r="B1146" s="3" t="s">
        <v>14</v>
      </c>
      <c r="C1146" s="3" t="s">
        <v>15</v>
      </c>
      <c r="D1146" s="4">
        <v>46307.433738425898</v>
      </c>
      <c r="E1146" s="5" t="s">
        <v>10</v>
      </c>
      <c r="F1146" s="5" t="s">
        <v>11</v>
      </c>
      <c r="G1146" s="5">
        <v>25</v>
      </c>
      <c r="H1146" s="6" t="s">
        <v>12</v>
      </c>
      <c r="I1146" t="s">
        <v>1305</v>
      </c>
      <c r="J1146" t="s">
        <v>2480</v>
      </c>
      <c r="K1146" t="str">
        <f>+VLOOKUP(C1146,'[1]TIENDAS 2025'!$A$1:$C$143,3,0)</f>
        <v>departamental</v>
      </c>
      <c r="L1146" t="str">
        <f>+VLOOKUP(C1146,[2]Hoja1!$A$1:$B$138,2,0)</f>
        <v>APROBAR</v>
      </c>
      <c r="M1146">
        <v>1</v>
      </c>
      <c r="N1146" t="e">
        <v>#N/A</v>
      </c>
    </row>
    <row r="1147" spans="1:14" ht="15" customHeight="1" x14ac:dyDescent="0.3">
      <c r="A1147" s="3">
        <v>1209658987</v>
      </c>
      <c r="B1147" s="3" t="s">
        <v>1270</v>
      </c>
      <c r="C1147" s="3" t="s">
        <v>1271</v>
      </c>
      <c r="D1147" s="4">
        <v>46307.433749999997</v>
      </c>
      <c r="E1147" s="5" t="s">
        <v>10</v>
      </c>
      <c r="F1147" s="5" t="s">
        <v>11</v>
      </c>
      <c r="G1147" s="5">
        <v>2</v>
      </c>
      <c r="H1147" s="6" t="s">
        <v>12</v>
      </c>
      <c r="I1147" t="s">
        <v>1306</v>
      </c>
      <c r="J1147" t="s">
        <v>2480</v>
      </c>
      <c r="K1147" t="str">
        <f>+VLOOKUP(C1147,'[1]TIENDAS 2025'!$A$1:$C$143,3,0)</f>
        <v>departamental</v>
      </c>
      <c r="L1147" t="str">
        <f>+VLOOKUP(C1147,[2]Hoja1!$A$1:$B$138,2,0)</f>
        <v>APROBAR</v>
      </c>
      <c r="M1147">
        <v>1</v>
      </c>
      <c r="N1147" t="e">
        <v>#N/A</v>
      </c>
    </row>
    <row r="1148" spans="1:14" ht="15" customHeight="1" x14ac:dyDescent="0.3">
      <c r="A1148" s="3">
        <v>1209658991</v>
      </c>
      <c r="B1148" s="3" t="s">
        <v>1270</v>
      </c>
      <c r="C1148" s="3" t="s">
        <v>1271</v>
      </c>
      <c r="D1148" s="4">
        <v>46307.433761574102</v>
      </c>
      <c r="E1148" s="5" t="s">
        <v>10</v>
      </c>
      <c r="F1148" s="5" t="s">
        <v>11</v>
      </c>
      <c r="G1148" s="5">
        <v>18</v>
      </c>
      <c r="H1148" s="6" t="s">
        <v>12</v>
      </c>
      <c r="I1148" t="s">
        <v>1307</v>
      </c>
      <c r="J1148" t="s">
        <v>2480</v>
      </c>
      <c r="K1148" t="str">
        <f>+VLOOKUP(C1148,'[1]TIENDAS 2025'!$A$1:$C$143,3,0)</f>
        <v>departamental</v>
      </c>
      <c r="L1148" t="str">
        <f>+VLOOKUP(C1148,[2]Hoja1!$A$1:$B$138,2,0)</f>
        <v>APROBAR</v>
      </c>
      <c r="M1148">
        <v>1</v>
      </c>
      <c r="N1148" t="e">
        <v>#N/A</v>
      </c>
    </row>
    <row r="1149" spans="1:14" ht="15" customHeight="1" x14ac:dyDescent="0.3">
      <c r="A1149" s="3">
        <v>8209659013</v>
      </c>
      <c r="B1149" s="3" t="s">
        <v>14</v>
      </c>
      <c r="C1149" s="3" t="s">
        <v>15</v>
      </c>
      <c r="D1149" s="4">
        <v>46307.433773148201</v>
      </c>
      <c r="E1149" s="5" t="s">
        <v>10</v>
      </c>
      <c r="F1149" s="5" t="s">
        <v>16</v>
      </c>
      <c r="G1149" s="5">
        <v>1</v>
      </c>
      <c r="H1149" s="8" t="s">
        <v>12</v>
      </c>
      <c r="I1149" t="s">
        <v>1308</v>
      </c>
      <c r="K1149" t="str">
        <f>+VLOOKUP(C1149,'[1]TIENDAS 2025'!$A$1:$C$143,3,0)</f>
        <v>departamental</v>
      </c>
      <c r="L1149" t="str">
        <f>+VLOOKUP(C1149,[2]Hoja1!$A$1:$B$138,2,0)</f>
        <v>APROBAR</v>
      </c>
      <c r="M1149">
        <v>1</v>
      </c>
      <c r="N1149" t="e">
        <v>#N/A</v>
      </c>
    </row>
    <row r="1150" spans="1:14" ht="15" customHeight="1" x14ac:dyDescent="0.3">
      <c r="A1150" s="3">
        <v>8209659081</v>
      </c>
      <c r="B1150" s="3" t="s">
        <v>1264</v>
      </c>
      <c r="C1150" s="3" t="s">
        <v>1265</v>
      </c>
      <c r="D1150" s="4">
        <v>46307.433796296304</v>
      </c>
      <c r="E1150" s="5" t="s">
        <v>10</v>
      </c>
      <c r="F1150" s="5" t="s">
        <v>16</v>
      </c>
      <c r="G1150" s="5">
        <v>14</v>
      </c>
      <c r="H1150" s="8" t="s">
        <v>12</v>
      </c>
      <c r="I1150" t="s">
        <v>1309</v>
      </c>
      <c r="K1150" t="str">
        <f>+VLOOKUP(C1150,'[1]TIENDAS 2025'!$A$1:$C$143,3,0)</f>
        <v>nocturna</v>
      </c>
      <c r="L1150" t="str">
        <f>+VLOOKUP(C1150,[2]Hoja1!$A$1:$B$138,2,0)</f>
        <v>APROBAR</v>
      </c>
      <c r="M1150">
        <v>1</v>
      </c>
      <c r="N1150" t="e">
        <v>#N/A</v>
      </c>
    </row>
    <row r="1151" spans="1:14" ht="15" customHeight="1" x14ac:dyDescent="0.3">
      <c r="A1151" s="3">
        <v>1209658993</v>
      </c>
      <c r="B1151" s="3" t="s">
        <v>1270</v>
      </c>
      <c r="C1151" s="3" t="s">
        <v>1271</v>
      </c>
      <c r="D1151" s="4">
        <v>46307.433807870402</v>
      </c>
      <c r="E1151" s="5" t="s">
        <v>10</v>
      </c>
      <c r="F1151" s="5" t="s">
        <v>17</v>
      </c>
      <c r="G1151" s="5">
        <v>23</v>
      </c>
      <c r="H1151" s="6" t="s">
        <v>12</v>
      </c>
      <c r="I1151" t="s">
        <v>1310</v>
      </c>
      <c r="J1151" t="s">
        <v>2480</v>
      </c>
      <c r="K1151" t="str">
        <f>+VLOOKUP(C1151,'[1]TIENDAS 2025'!$A$1:$C$143,3,0)</f>
        <v>departamental</v>
      </c>
      <c r="L1151" t="str">
        <f>+VLOOKUP(C1151,[2]Hoja1!$A$1:$B$138,2,0)</f>
        <v>APROBAR</v>
      </c>
      <c r="M1151">
        <v>1</v>
      </c>
      <c r="N1151" t="e">
        <v>#N/A</v>
      </c>
    </row>
    <row r="1152" spans="1:14" ht="15" customHeight="1" x14ac:dyDescent="0.3">
      <c r="A1152" s="3">
        <v>1209659058</v>
      </c>
      <c r="B1152" s="3" t="s">
        <v>1267</v>
      </c>
      <c r="C1152" s="3" t="s">
        <v>1268</v>
      </c>
      <c r="D1152" s="4">
        <v>46307.433819444399</v>
      </c>
      <c r="E1152" s="5" t="s">
        <v>10</v>
      </c>
      <c r="F1152" s="5" t="s">
        <v>17</v>
      </c>
      <c r="G1152" s="5">
        <v>17</v>
      </c>
      <c r="H1152" s="6" t="s">
        <v>12</v>
      </c>
      <c r="I1152" t="s">
        <v>1311</v>
      </c>
      <c r="J1152" t="s">
        <v>2480</v>
      </c>
      <c r="K1152" t="str">
        <f>+VLOOKUP(C1152,'[1]TIENDAS 2025'!$A$1:$C$143,3,0)</f>
        <v>departamental</v>
      </c>
      <c r="L1152" t="str">
        <f>+VLOOKUP(C1152,[2]Hoja1!$A$1:$B$138,2,0)</f>
        <v>APROBAR</v>
      </c>
      <c r="M1152">
        <v>1</v>
      </c>
      <c r="N1152" t="e">
        <v>#N/A</v>
      </c>
    </row>
    <row r="1153" spans="1:14" ht="15" customHeight="1" x14ac:dyDescent="0.3">
      <c r="A1153" s="3">
        <v>1209659022</v>
      </c>
      <c r="B1153" s="3" t="s">
        <v>14</v>
      </c>
      <c r="C1153" s="3" t="s">
        <v>15</v>
      </c>
      <c r="D1153" s="4">
        <v>46307.433831018498</v>
      </c>
      <c r="E1153" s="5" t="s">
        <v>10</v>
      </c>
      <c r="F1153" s="5" t="s">
        <v>11</v>
      </c>
      <c r="G1153" s="5">
        <v>13</v>
      </c>
      <c r="H1153" s="6" t="s">
        <v>12</v>
      </c>
      <c r="I1153" t="s">
        <v>1312</v>
      </c>
      <c r="J1153" t="s">
        <v>2480</v>
      </c>
      <c r="K1153" t="str">
        <f>+VLOOKUP(C1153,'[1]TIENDAS 2025'!$A$1:$C$143,3,0)</f>
        <v>departamental</v>
      </c>
      <c r="L1153" t="str">
        <f>+VLOOKUP(C1153,[2]Hoja1!$A$1:$B$138,2,0)</f>
        <v>APROBAR</v>
      </c>
      <c r="M1153">
        <v>1</v>
      </c>
      <c r="N1153" t="e">
        <v>#N/A</v>
      </c>
    </row>
    <row r="1154" spans="1:14" ht="15" customHeight="1" x14ac:dyDescent="0.3">
      <c r="A1154" s="3">
        <v>1209659090</v>
      </c>
      <c r="B1154" s="3" t="s">
        <v>1264</v>
      </c>
      <c r="C1154" s="3" t="s">
        <v>1265</v>
      </c>
      <c r="D1154" s="4">
        <v>46307.433842592603</v>
      </c>
      <c r="E1154" s="5" t="s">
        <v>10</v>
      </c>
      <c r="F1154" s="5" t="s">
        <v>17</v>
      </c>
      <c r="G1154" s="5">
        <v>26</v>
      </c>
      <c r="H1154" s="6" t="s">
        <v>12</v>
      </c>
      <c r="I1154" t="s">
        <v>1313</v>
      </c>
      <c r="J1154" t="s">
        <v>2480</v>
      </c>
      <c r="K1154" t="str">
        <f>+VLOOKUP(C1154,'[1]TIENDAS 2025'!$A$1:$C$143,3,0)</f>
        <v>nocturna</v>
      </c>
      <c r="L1154" t="str">
        <f>+VLOOKUP(C1154,[2]Hoja1!$A$1:$B$138,2,0)</f>
        <v>APROBAR</v>
      </c>
      <c r="M1154">
        <v>1</v>
      </c>
      <c r="N1154" t="e">
        <v>#N/A</v>
      </c>
    </row>
    <row r="1155" spans="1:14" ht="15" customHeight="1" x14ac:dyDescent="0.3">
      <c r="A1155" s="3">
        <v>1209658996</v>
      </c>
      <c r="B1155" s="3" t="s">
        <v>1270</v>
      </c>
      <c r="C1155" s="3" t="s">
        <v>1271</v>
      </c>
      <c r="D1155" s="4">
        <v>46307.433854166702</v>
      </c>
      <c r="E1155" s="5" t="s">
        <v>10</v>
      </c>
      <c r="F1155" s="5" t="s">
        <v>11</v>
      </c>
      <c r="G1155" s="5">
        <v>4</v>
      </c>
      <c r="H1155" s="6" t="s">
        <v>12</v>
      </c>
      <c r="I1155" t="s">
        <v>1314</v>
      </c>
      <c r="J1155" t="s">
        <v>2480</v>
      </c>
      <c r="K1155" t="str">
        <f>+VLOOKUP(C1155,'[1]TIENDAS 2025'!$A$1:$C$143,3,0)</f>
        <v>departamental</v>
      </c>
      <c r="L1155" t="str">
        <f>+VLOOKUP(C1155,[2]Hoja1!$A$1:$B$138,2,0)</f>
        <v>APROBAR</v>
      </c>
      <c r="M1155">
        <v>1</v>
      </c>
      <c r="N1155" t="e">
        <v>#N/A</v>
      </c>
    </row>
    <row r="1156" spans="1:14" ht="15" customHeight="1" x14ac:dyDescent="0.3">
      <c r="A1156" s="3">
        <v>1209659028</v>
      </c>
      <c r="B1156" s="3" t="s">
        <v>14</v>
      </c>
      <c r="C1156" s="3" t="s">
        <v>15</v>
      </c>
      <c r="D1156" s="4">
        <v>46307.433877314797</v>
      </c>
      <c r="E1156" s="5" t="s">
        <v>10</v>
      </c>
      <c r="F1156" s="5" t="s">
        <v>11</v>
      </c>
      <c r="G1156" s="5">
        <v>4</v>
      </c>
      <c r="H1156" s="6" t="s">
        <v>12</v>
      </c>
      <c r="I1156" t="s">
        <v>1315</v>
      </c>
      <c r="J1156" t="s">
        <v>2480</v>
      </c>
      <c r="K1156" t="str">
        <f>+VLOOKUP(C1156,'[1]TIENDAS 2025'!$A$1:$C$143,3,0)</f>
        <v>departamental</v>
      </c>
      <c r="L1156" t="str">
        <f>+VLOOKUP(C1156,[2]Hoja1!$A$1:$B$138,2,0)</f>
        <v>APROBAR</v>
      </c>
      <c r="M1156">
        <v>1</v>
      </c>
      <c r="N1156" t="e">
        <v>#N/A</v>
      </c>
    </row>
    <row r="1157" spans="1:14" ht="15" customHeight="1" x14ac:dyDescent="0.3">
      <c r="A1157" s="3">
        <v>8209659050</v>
      </c>
      <c r="B1157" s="3" t="s">
        <v>1267</v>
      </c>
      <c r="C1157" s="3" t="s">
        <v>1268</v>
      </c>
      <c r="D1157" s="4">
        <v>46307.433888888903</v>
      </c>
      <c r="E1157" s="5" t="s">
        <v>10</v>
      </c>
      <c r="F1157" s="5" t="s">
        <v>16</v>
      </c>
      <c r="G1157" s="5">
        <v>2</v>
      </c>
      <c r="H1157" s="8" t="s">
        <v>12</v>
      </c>
      <c r="I1157" t="s">
        <v>1316</v>
      </c>
      <c r="K1157" t="str">
        <f>+VLOOKUP(C1157,'[1]TIENDAS 2025'!$A$1:$C$143,3,0)</f>
        <v>departamental</v>
      </c>
      <c r="L1157" t="str">
        <f>+VLOOKUP(C1157,[2]Hoja1!$A$1:$B$138,2,0)</f>
        <v>APROBAR</v>
      </c>
      <c r="M1157">
        <v>1</v>
      </c>
      <c r="N1157" t="e">
        <v>#N/A</v>
      </c>
    </row>
    <row r="1158" spans="1:14" ht="15" customHeight="1" x14ac:dyDescent="0.3">
      <c r="A1158" s="3">
        <v>1209659128</v>
      </c>
      <c r="B1158" s="3" t="s">
        <v>1261</v>
      </c>
      <c r="C1158" s="3" t="s">
        <v>1262</v>
      </c>
      <c r="D1158" s="4">
        <v>46307.433900463002</v>
      </c>
      <c r="E1158" s="5" t="s">
        <v>10</v>
      </c>
      <c r="F1158" s="5" t="s">
        <v>11</v>
      </c>
      <c r="G1158" s="5">
        <v>1</v>
      </c>
      <c r="H1158" s="6" t="s">
        <v>12</v>
      </c>
      <c r="I1158" t="s">
        <v>1317</v>
      </c>
      <c r="J1158" t="s">
        <v>2480</v>
      </c>
      <c r="K1158" t="str">
        <f>+VLOOKUP(C1158,'[1]TIENDAS 2025'!$A$1:$C$143,3,0)</f>
        <v>prioridad</v>
      </c>
      <c r="L1158" t="str">
        <f>+VLOOKUP(C1158,[2]Hoja1!$A$1:$B$138,2,0)</f>
        <v>APROBAR</v>
      </c>
      <c r="M1158">
        <v>1</v>
      </c>
      <c r="N1158" t="e">
        <v>#N/A</v>
      </c>
    </row>
    <row r="1159" spans="1:14" ht="15" customHeight="1" x14ac:dyDescent="0.3">
      <c r="A1159" s="3">
        <v>8209659129</v>
      </c>
      <c r="B1159" s="3" t="s">
        <v>1261</v>
      </c>
      <c r="C1159" s="3" t="s">
        <v>1262</v>
      </c>
      <c r="D1159" s="4">
        <v>46307.433912036999</v>
      </c>
      <c r="E1159" s="5" t="s">
        <v>10</v>
      </c>
      <c r="F1159" s="5" t="s">
        <v>16</v>
      </c>
      <c r="G1159" s="5">
        <v>2</v>
      </c>
      <c r="H1159" s="8" t="s">
        <v>12</v>
      </c>
      <c r="I1159" t="s">
        <v>1318</v>
      </c>
      <c r="K1159" t="str">
        <f>+VLOOKUP(C1159,'[1]TIENDAS 2025'!$A$1:$C$143,3,0)</f>
        <v>prioridad</v>
      </c>
      <c r="L1159" t="str">
        <f>+VLOOKUP(C1159,[2]Hoja1!$A$1:$B$138,2,0)</f>
        <v>APROBAR</v>
      </c>
      <c r="M1159">
        <v>1</v>
      </c>
      <c r="N1159" t="e">
        <v>#N/A</v>
      </c>
    </row>
    <row r="1160" spans="1:14" ht="15" customHeight="1" x14ac:dyDescent="0.3">
      <c r="A1160" s="3">
        <v>1209659136</v>
      </c>
      <c r="B1160" s="3" t="s">
        <v>1261</v>
      </c>
      <c r="C1160" s="3" t="s">
        <v>1262</v>
      </c>
      <c r="D1160" s="4">
        <v>46307.433923611097</v>
      </c>
      <c r="E1160" s="5" t="s">
        <v>10</v>
      </c>
      <c r="F1160" s="5" t="s">
        <v>17</v>
      </c>
      <c r="G1160" s="5">
        <v>25</v>
      </c>
      <c r="H1160" s="6" t="s">
        <v>12</v>
      </c>
      <c r="I1160" t="s">
        <v>1319</v>
      </c>
      <c r="J1160" t="s">
        <v>2480</v>
      </c>
      <c r="K1160" t="str">
        <f>+VLOOKUP(C1160,'[1]TIENDAS 2025'!$A$1:$C$143,3,0)</f>
        <v>prioridad</v>
      </c>
      <c r="L1160" t="str">
        <f>+VLOOKUP(C1160,[2]Hoja1!$A$1:$B$138,2,0)</f>
        <v>APROBAR</v>
      </c>
      <c r="M1160">
        <v>1</v>
      </c>
      <c r="N1160" t="e">
        <v>#N/A</v>
      </c>
    </row>
    <row r="1161" spans="1:14" ht="15" customHeight="1" x14ac:dyDescent="0.3">
      <c r="A1161" s="3">
        <v>1209659055</v>
      </c>
      <c r="B1161" s="3" t="s">
        <v>1267</v>
      </c>
      <c r="C1161" s="3" t="s">
        <v>1268</v>
      </c>
      <c r="D1161" s="4">
        <v>46307.433946759302</v>
      </c>
      <c r="E1161" s="5" t="s">
        <v>10</v>
      </c>
      <c r="F1161" s="5" t="s">
        <v>17</v>
      </c>
      <c r="G1161" s="5">
        <v>22</v>
      </c>
      <c r="H1161" s="6" t="s">
        <v>12</v>
      </c>
      <c r="I1161" t="s">
        <v>1320</v>
      </c>
      <c r="J1161" t="s">
        <v>2480</v>
      </c>
      <c r="K1161" t="str">
        <f>+VLOOKUP(C1161,'[1]TIENDAS 2025'!$A$1:$C$143,3,0)</f>
        <v>departamental</v>
      </c>
      <c r="L1161" t="str">
        <f>+VLOOKUP(C1161,[2]Hoja1!$A$1:$B$138,2,0)</f>
        <v>APROBAR</v>
      </c>
      <c r="M1161">
        <v>1</v>
      </c>
      <c r="N1161" t="e">
        <v>#N/A</v>
      </c>
    </row>
    <row r="1162" spans="1:14" ht="15" customHeight="1" x14ac:dyDescent="0.3">
      <c r="A1162" s="3">
        <v>8209659017</v>
      </c>
      <c r="B1162" s="3" t="s">
        <v>14</v>
      </c>
      <c r="C1162" s="3" t="s">
        <v>15</v>
      </c>
      <c r="D1162" s="4">
        <v>46307.433958333299</v>
      </c>
      <c r="E1162" s="5" t="s">
        <v>10</v>
      </c>
      <c r="F1162" s="5" t="s">
        <v>16</v>
      </c>
      <c r="G1162" s="5">
        <v>11</v>
      </c>
      <c r="H1162" s="8" t="s">
        <v>12</v>
      </c>
      <c r="I1162" t="s">
        <v>1321</v>
      </c>
      <c r="K1162" t="str">
        <f>+VLOOKUP(C1162,'[1]TIENDAS 2025'!$A$1:$C$143,3,0)</f>
        <v>departamental</v>
      </c>
      <c r="L1162" t="str">
        <f>+VLOOKUP(C1162,[2]Hoja1!$A$1:$B$138,2,0)</f>
        <v>APROBAR</v>
      </c>
      <c r="M1162">
        <v>1</v>
      </c>
      <c r="N1162" t="e">
        <v>#N/A</v>
      </c>
    </row>
    <row r="1163" spans="1:14" ht="15" customHeight="1" x14ac:dyDescent="0.3">
      <c r="A1163" s="3">
        <v>8209659082</v>
      </c>
      <c r="B1163" s="3" t="s">
        <v>1264</v>
      </c>
      <c r="C1163" s="3" t="s">
        <v>1265</v>
      </c>
      <c r="D1163" s="4">
        <v>46307.433969907397</v>
      </c>
      <c r="E1163" s="5" t="s">
        <v>10</v>
      </c>
      <c r="F1163" s="5" t="s">
        <v>16</v>
      </c>
      <c r="G1163" s="5">
        <v>1</v>
      </c>
      <c r="H1163" s="8" t="s">
        <v>12</v>
      </c>
      <c r="I1163" t="s">
        <v>1322</v>
      </c>
      <c r="K1163" t="str">
        <f>+VLOOKUP(C1163,'[1]TIENDAS 2025'!$A$1:$C$143,3,0)</f>
        <v>nocturna</v>
      </c>
      <c r="L1163" t="str">
        <f>+VLOOKUP(C1163,[2]Hoja1!$A$1:$B$138,2,0)</f>
        <v>APROBAR</v>
      </c>
      <c r="M1163">
        <v>1</v>
      </c>
      <c r="N1163" t="e">
        <v>#N/A</v>
      </c>
    </row>
    <row r="1164" spans="1:14" ht="15" customHeight="1" x14ac:dyDescent="0.3">
      <c r="A1164" s="3">
        <v>1209659087</v>
      </c>
      <c r="B1164" s="3" t="s">
        <v>1264</v>
      </c>
      <c r="C1164" s="3" t="s">
        <v>1265</v>
      </c>
      <c r="D1164" s="4">
        <v>46307.433981481503</v>
      </c>
      <c r="E1164" s="5" t="s">
        <v>10</v>
      </c>
      <c r="F1164" s="5" t="s">
        <v>11</v>
      </c>
      <c r="G1164" s="5">
        <v>12</v>
      </c>
      <c r="H1164" s="6" t="s">
        <v>12</v>
      </c>
      <c r="I1164" t="s">
        <v>1323</v>
      </c>
      <c r="J1164" t="s">
        <v>2480</v>
      </c>
      <c r="K1164" t="str">
        <f>+VLOOKUP(C1164,'[1]TIENDAS 2025'!$A$1:$C$143,3,0)</f>
        <v>nocturna</v>
      </c>
      <c r="L1164" t="str">
        <f>+VLOOKUP(C1164,[2]Hoja1!$A$1:$B$138,2,0)</f>
        <v>APROBAR</v>
      </c>
      <c r="M1164">
        <v>1</v>
      </c>
      <c r="N1164" t="e">
        <v>#N/A</v>
      </c>
    </row>
    <row r="1165" spans="1:14" ht="15" customHeight="1" x14ac:dyDescent="0.3">
      <c r="A1165" s="3">
        <v>8209659116</v>
      </c>
      <c r="B1165" s="3" t="s">
        <v>1261</v>
      </c>
      <c r="C1165" s="3" t="s">
        <v>1262</v>
      </c>
      <c r="D1165" s="4">
        <v>46307.433993055602</v>
      </c>
      <c r="E1165" s="5" t="s">
        <v>10</v>
      </c>
      <c r="F1165" s="5" t="s">
        <v>16</v>
      </c>
      <c r="G1165" s="5">
        <v>2</v>
      </c>
      <c r="H1165" s="8" t="s">
        <v>12</v>
      </c>
      <c r="I1165" t="s">
        <v>1324</v>
      </c>
      <c r="K1165" t="str">
        <f>+VLOOKUP(C1165,'[1]TIENDAS 2025'!$A$1:$C$143,3,0)</f>
        <v>prioridad</v>
      </c>
      <c r="L1165" t="str">
        <f>+VLOOKUP(C1165,[2]Hoja1!$A$1:$B$138,2,0)</f>
        <v>APROBAR</v>
      </c>
      <c r="M1165">
        <v>1</v>
      </c>
      <c r="N1165" t="e">
        <v>#N/A</v>
      </c>
    </row>
    <row r="1166" spans="1:14" ht="15" customHeight="1" x14ac:dyDescent="0.3">
      <c r="A1166" s="3">
        <v>8209659117</v>
      </c>
      <c r="B1166" s="3" t="s">
        <v>1261</v>
      </c>
      <c r="C1166" s="3" t="s">
        <v>1262</v>
      </c>
      <c r="D1166" s="4">
        <v>46307.434004629598</v>
      </c>
      <c r="E1166" s="5" t="s">
        <v>10</v>
      </c>
      <c r="F1166" s="5" t="s">
        <v>16</v>
      </c>
      <c r="G1166" s="5">
        <v>16</v>
      </c>
      <c r="H1166" s="8" t="s">
        <v>12</v>
      </c>
      <c r="I1166" t="s">
        <v>1325</v>
      </c>
      <c r="K1166" t="str">
        <f>+VLOOKUP(C1166,'[1]TIENDAS 2025'!$A$1:$C$143,3,0)</f>
        <v>prioridad</v>
      </c>
      <c r="L1166" t="str">
        <f>+VLOOKUP(C1166,[2]Hoja1!$A$1:$B$138,2,0)</f>
        <v>APROBAR</v>
      </c>
      <c r="M1166">
        <v>1</v>
      </c>
      <c r="N1166" t="e">
        <v>#N/A</v>
      </c>
    </row>
    <row r="1167" spans="1:14" ht="15" customHeight="1" x14ac:dyDescent="0.3">
      <c r="A1167" s="3">
        <v>1209659121</v>
      </c>
      <c r="B1167" s="3" t="s">
        <v>1261</v>
      </c>
      <c r="C1167" s="3" t="s">
        <v>1262</v>
      </c>
      <c r="D1167" s="4">
        <v>46307.434027777803</v>
      </c>
      <c r="E1167" s="5" t="s">
        <v>10</v>
      </c>
      <c r="F1167" s="5" t="s">
        <v>11</v>
      </c>
      <c r="G1167" s="5">
        <v>7</v>
      </c>
      <c r="H1167" s="6" t="s">
        <v>12</v>
      </c>
      <c r="I1167" t="s">
        <v>1326</v>
      </c>
      <c r="J1167" t="s">
        <v>2480</v>
      </c>
      <c r="K1167" t="str">
        <f>+VLOOKUP(C1167,'[1]TIENDAS 2025'!$A$1:$C$143,3,0)</f>
        <v>prioridad</v>
      </c>
      <c r="L1167" t="str">
        <f>+VLOOKUP(C1167,[2]Hoja1!$A$1:$B$138,2,0)</f>
        <v>APROBAR</v>
      </c>
      <c r="M1167">
        <v>1</v>
      </c>
      <c r="N1167" t="e">
        <v>#N/A</v>
      </c>
    </row>
    <row r="1168" spans="1:14" ht="15" customHeight="1" x14ac:dyDescent="0.3">
      <c r="A1168" s="3">
        <v>1209659092</v>
      </c>
      <c r="B1168" s="3" t="s">
        <v>1264</v>
      </c>
      <c r="C1168" s="3" t="s">
        <v>1265</v>
      </c>
      <c r="D1168" s="4">
        <v>46307.434027777803</v>
      </c>
      <c r="E1168" s="5" t="s">
        <v>10</v>
      </c>
      <c r="F1168" s="5" t="s">
        <v>11</v>
      </c>
      <c r="G1168" s="5">
        <v>24</v>
      </c>
      <c r="H1168" s="6" t="s">
        <v>12</v>
      </c>
      <c r="I1168" t="s">
        <v>1327</v>
      </c>
      <c r="J1168" t="s">
        <v>2480</v>
      </c>
      <c r="K1168" t="str">
        <f>+VLOOKUP(C1168,'[1]TIENDAS 2025'!$A$1:$C$143,3,0)</f>
        <v>nocturna</v>
      </c>
      <c r="L1168" t="str">
        <f>+VLOOKUP(C1168,[2]Hoja1!$A$1:$B$138,2,0)</f>
        <v>APROBAR</v>
      </c>
      <c r="M1168">
        <v>1</v>
      </c>
      <c r="N1168" t="e">
        <v>#N/A</v>
      </c>
    </row>
    <row r="1169" spans="1:14" ht="15" customHeight="1" x14ac:dyDescent="0.3">
      <c r="A1169" s="3">
        <v>1209659096</v>
      </c>
      <c r="B1169" s="3" t="s">
        <v>1264</v>
      </c>
      <c r="C1169" s="3" t="s">
        <v>1265</v>
      </c>
      <c r="D1169" s="4">
        <v>46307.434050925898</v>
      </c>
      <c r="E1169" s="5" t="s">
        <v>10</v>
      </c>
      <c r="F1169" s="5" t="s">
        <v>11</v>
      </c>
      <c r="G1169" s="5">
        <v>6</v>
      </c>
      <c r="H1169" s="6" t="s">
        <v>12</v>
      </c>
      <c r="I1169" t="s">
        <v>1328</v>
      </c>
      <c r="J1169" t="s">
        <v>2480</v>
      </c>
      <c r="K1169" t="str">
        <f>+VLOOKUP(C1169,'[1]TIENDAS 2025'!$A$1:$C$143,3,0)</f>
        <v>nocturna</v>
      </c>
      <c r="L1169" t="str">
        <f>+VLOOKUP(C1169,[2]Hoja1!$A$1:$B$138,2,0)</f>
        <v>APROBAR</v>
      </c>
      <c r="M1169">
        <v>1</v>
      </c>
      <c r="N1169" t="e">
        <v>#N/A</v>
      </c>
    </row>
    <row r="1170" spans="1:14" ht="15" customHeight="1" x14ac:dyDescent="0.3">
      <c r="A1170" s="3">
        <v>1209659098</v>
      </c>
      <c r="B1170" s="3" t="s">
        <v>1264</v>
      </c>
      <c r="C1170" s="3" t="s">
        <v>1265</v>
      </c>
      <c r="D1170" s="4">
        <v>46307.434062499997</v>
      </c>
      <c r="E1170" s="5" t="s">
        <v>10</v>
      </c>
      <c r="F1170" s="5" t="s">
        <v>17</v>
      </c>
      <c r="G1170" s="5">
        <v>16</v>
      </c>
      <c r="H1170" s="6" t="s">
        <v>12</v>
      </c>
      <c r="I1170" t="s">
        <v>1329</v>
      </c>
      <c r="J1170" t="s">
        <v>2480</v>
      </c>
      <c r="K1170" t="str">
        <f>+VLOOKUP(C1170,'[1]TIENDAS 2025'!$A$1:$C$143,3,0)</f>
        <v>nocturna</v>
      </c>
      <c r="L1170" t="str">
        <f>+VLOOKUP(C1170,[2]Hoja1!$A$1:$B$138,2,0)</f>
        <v>APROBAR</v>
      </c>
      <c r="M1170">
        <v>1</v>
      </c>
      <c r="N1170" t="e">
        <v>#N/A</v>
      </c>
    </row>
    <row r="1171" spans="1:14" ht="15" customHeight="1" x14ac:dyDescent="0.3">
      <c r="A1171" s="3">
        <v>8209659029</v>
      </c>
      <c r="B1171" s="3" t="s">
        <v>14</v>
      </c>
      <c r="C1171" s="3" t="s">
        <v>15</v>
      </c>
      <c r="D1171" s="4">
        <v>46307.434074074103</v>
      </c>
      <c r="E1171" s="5" t="s">
        <v>10</v>
      </c>
      <c r="F1171" s="5" t="s">
        <v>16</v>
      </c>
      <c r="G1171" s="5">
        <v>2</v>
      </c>
      <c r="H1171" s="8" t="s">
        <v>12</v>
      </c>
      <c r="I1171" t="s">
        <v>1330</v>
      </c>
      <c r="K1171" t="str">
        <f>+VLOOKUP(C1171,'[1]TIENDAS 2025'!$A$1:$C$143,3,0)</f>
        <v>departamental</v>
      </c>
      <c r="L1171" t="str">
        <f>+VLOOKUP(C1171,[2]Hoja1!$A$1:$B$138,2,0)</f>
        <v>APROBAR</v>
      </c>
      <c r="M1171">
        <v>1</v>
      </c>
      <c r="N1171" t="e">
        <v>#N/A</v>
      </c>
    </row>
    <row r="1172" spans="1:14" ht="15" customHeight="1" x14ac:dyDescent="0.3">
      <c r="A1172" s="3">
        <v>8209658984</v>
      </c>
      <c r="B1172" s="3" t="s">
        <v>1270</v>
      </c>
      <c r="C1172" s="3" t="s">
        <v>1271</v>
      </c>
      <c r="D1172" s="4">
        <v>46307.434097222198</v>
      </c>
      <c r="E1172" s="5" t="s">
        <v>10</v>
      </c>
      <c r="F1172" s="5" t="s">
        <v>16</v>
      </c>
      <c r="G1172" s="5">
        <v>1</v>
      </c>
      <c r="H1172" s="8" t="s">
        <v>12</v>
      </c>
      <c r="I1172" t="s">
        <v>1331</v>
      </c>
      <c r="K1172" t="str">
        <f>+VLOOKUP(C1172,'[1]TIENDAS 2025'!$A$1:$C$143,3,0)</f>
        <v>departamental</v>
      </c>
      <c r="L1172" t="str">
        <f>+VLOOKUP(C1172,[2]Hoja1!$A$1:$B$138,2,0)</f>
        <v>APROBAR</v>
      </c>
      <c r="M1172">
        <v>1</v>
      </c>
      <c r="N1172" t="e">
        <v>#N/A</v>
      </c>
    </row>
    <row r="1173" spans="1:14" ht="15" customHeight="1" x14ac:dyDescent="0.3">
      <c r="A1173" s="3">
        <v>1209659102</v>
      </c>
      <c r="B1173" s="3" t="s">
        <v>1264</v>
      </c>
      <c r="C1173" s="3" t="s">
        <v>1265</v>
      </c>
      <c r="D1173" s="4">
        <v>46307.434097222198</v>
      </c>
      <c r="E1173" s="5" t="s">
        <v>10</v>
      </c>
      <c r="F1173" s="5" t="s">
        <v>11</v>
      </c>
      <c r="G1173" s="5">
        <v>23</v>
      </c>
      <c r="H1173" s="6" t="s">
        <v>12</v>
      </c>
      <c r="I1173" t="s">
        <v>1332</v>
      </c>
      <c r="J1173" t="s">
        <v>2480</v>
      </c>
      <c r="K1173" t="str">
        <f>+VLOOKUP(C1173,'[1]TIENDAS 2025'!$A$1:$C$143,3,0)</f>
        <v>nocturna</v>
      </c>
      <c r="L1173" t="str">
        <f>+VLOOKUP(C1173,[2]Hoja1!$A$1:$B$138,2,0)</f>
        <v>APROBAR</v>
      </c>
      <c r="M1173">
        <v>1</v>
      </c>
      <c r="N1173" t="e">
        <v>#N/A</v>
      </c>
    </row>
    <row r="1174" spans="1:14" ht="15" customHeight="1" x14ac:dyDescent="0.3">
      <c r="A1174" s="3">
        <v>1209658988</v>
      </c>
      <c r="B1174" s="3" t="s">
        <v>1270</v>
      </c>
      <c r="C1174" s="3" t="s">
        <v>1271</v>
      </c>
      <c r="D1174" s="4">
        <v>46307.434108796297</v>
      </c>
      <c r="E1174" s="5" t="s">
        <v>10</v>
      </c>
      <c r="F1174" s="5" t="s">
        <v>16</v>
      </c>
      <c r="G1174" s="5">
        <v>48</v>
      </c>
      <c r="H1174" s="6" t="s">
        <v>12</v>
      </c>
      <c r="I1174" t="s">
        <v>1333</v>
      </c>
      <c r="J1174" t="s">
        <v>2480</v>
      </c>
      <c r="K1174" t="str">
        <f>+VLOOKUP(C1174,'[1]TIENDAS 2025'!$A$1:$C$143,3,0)</f>
        <v>departamental</v>
      </c>
      <c r="L1174" t="str">
        <f>+VLOOKUP(C1174,[2]Hoja1!$A$1:$B$138,2,0)</f>
        <v>APROBAR</v>
      </c>
      <c r="M1174">
        <v>1</v>
      </c>
      <c r="N1174" t="e">
        <v>#N/A</v>
      </c>
    </row>
    <row r="1175" spans="1:14" ht="15" customHeight="1" x14ac:dyDescent="0.3">
      <c r="A1175" s="3">
        <v>8209659049</v>
      </c>
      <c r="B1175" s="3" t="s">
        <v>1267</v>
      </c>
      <c r="C1175" s="3" t="s">
        <v>1268</v>
      </c>
      <c r="D1175" s="4">
        <v>46307.434131944399</v>
      </c>
      <c r="E1175" s="5" t="s">
        <v>10</v>
      </c>
      <c r="F1175" s="5" t="s">
        <v>16</v>
      </c>
      <c r="G1175" s="5">
        <v>1</v>
      </c>
      <c r="H1175" s="8" t="s">
        <v>12</v>
      </c>
      <c r="I1175" t="s">
        <v>1334</v>
      </c>
      <c r="K1175" t="str">
        <f>+VLOOKUP(C1175,'[1]TIENDAS 2025'!$A$1:$C$143,3,0)</f>
        <v>departamental</v>
      </c>
      <c r="L1175" t="str">
        <f>+VLOOKUP(C1175,[2]Hoja1!$A$1:$B$138,2,0)</f>
        <v>APROBAR</v>
      </c>
      <c r="M1175">
        <v>1</v>
      </c>
      <c r="N1175" t="e">
        <v>#N/A</v>
      </c>
    </row>
    <row r="1176" spans="1:14" ht="15" customHeight="1" x14ac:dyDescent="0.3">
      <c r="A1176" s="3">
        <v>8209659015</v>
      </c>
      <c r="B1176" s="3" t="s">
        <v>14</v>
      </c>
      <c r="C1176" s="3" t="s">
        <v>15</v>
      </c>
      <c r="D1176" s="4">
        <v>46307.434143518498</v>
      </c>
      <c r="E1176" s="5" t="s">
        <v>10</v>
      </c>
      <c r="F1176" s="5" t="s">
        <v>16</v>
      </c>
      <c r="G1176" s="5">
        <v>4</v>
      </c>
      <c r="H1176" s="8" t="s">
        <v>12</v>
      </c>
      <c r="I1176" t="s">
        <v>1335</v>
      </c>
      <c r="K1176" t="str">
        <f>+VLOOKUP(C1176,'[1]TIENDAS 2025'!$A$1:$C$143,3,0)</f>
        <v>departamental</v>
      </c>
      <c r="L1176" t="str">
        <f>+VLOOKUP(C1176,[2]Hoja1!$A$1:$B$138,2,0)</f>
        <v>APROBAR</v>
      </c>
      <c r="M1176">
        <v>1</v>
      </c>
      <c r="N1176" t="e">
        <v>#N/A</v>
      </c>
    </row>
    <row r="1177" spans="1:14" ht="15" customHeight="1" x14ac:dyDescent="0.3">
      <c r="A1177" s="3">
        <v>8209659083</v>
      </c>
      <c r="B1177" s="3" t="s">
        <v>1264</v>
      </c>
      <c r="C1177" s="3" t="s">
        <v>1265</v>
      </c>
      <c r="D1177" s="4">
        <v>46307.434155092596</v>
      </c>
      <c r="E1177" s="5" t="s">
        <v>10</v>
      </c>
      <c r="F1177" s="5" t="s">
        <v>16</v>
      </c>
      <c r="G1177" s="5">
        <v>3</v>
      </c>
      <c r="H1177" s="8" t="s">
        <v>12</v>
      </c>
      <c r="I1177" t="s">
        <v>1336</v>
      </c>
      <c r="K1177" t="str">
        <f>+VLOOKUP(C1177,'[1]TIENDAS 2025'!$A$1:$C$143,3,0)</f>
        <v>nocturna</v>
      </c>
      <c r="L1177" t="str">
        <f>+VLOOKUP(C1177,[2]Hoja1!$A$1:$B$138,2,0)</f>
        <v>APROBAR</v>
      </c>
      <c r="M1177">
        <v>1</v>
      </c>
      <c r="N1177" t="e">
        <v>#N/A</v>
      </c>
    </row>
    <row r="1178" spans="1:14" ht="15" customHeight="1" x14ac:dyDescent="0.3">
      <c r="A1178" s="3">
        <v>1209659020</v>
      </c>
      <c r="B1178" s="3" t="s">
        <v>14</v>
      </c>
      <c r="C1178" s="3" t="s">
        <v>15</v>
      </c>
      <c r="D1178" s="4">
        <v>46307.434166666702</v>
      </c>
      <c r="E1178" s="5" t="s">
        <v>10</v>
      </c>
      <c r="F1178" s="5" t="s">
        <v>11</v>
      </c>
      <c r="G1178" s="5">
        <v>2</v>
      </c>
      <c r="H1178" s="6" t="s">
        <v>12</v>
      </c>
      <c r="I1178" t="s">
        <v>1337</v>
      </c>
      <c r="J1178" t="s">
        <v>2480</v>
      </c>
      <c r="K1178" t="str">
        <f>+VLOOKUP(C1178,'[1]TIENDAS 2025'!$A$1:$C$143,3,0)</f>
        <v>departamental</v>
      </c>
      <c r="L1178" t="str">
        <f>+VLOOKUP(C1178,[2]Hoja1!$A$1:$B$138,2,0)</f>
        <v>APROBAR</v>
      </c>
      <c r="M1178">
        <v>1</v>
      </c>
      <c r="N1178" t="e">
        <v>#N/A</v>
      </c>
    </row>
    <row r="1179" spans="1:14" ht="15" customHeight="1" x14ac:dyDescent="0.3">
      <c r="A1179" s="3">
        <v>1209659086</v>
      </c>
      <c r="B1179" s="3" t="s">
        <v>1264</v>
      </c>
      <c r="C1179" s="3" t="s">
        <v>1265</v>
      </c>
      <c r="D1179" s="4">
        <v>46307.434178240699</v>
      </c>
      <c r="E1179" s="5" t="s">
        <v>10</v>
      </c>
      <c r="F1179" s="5" t="s">
        <v>11</v>
      </c>
      <c r="G1179" s="5">
        <v>1</v>
      </c>
      <c r="H1179" s="6" t="s">
        <v>12</v>
      </c>
      <c r="I1179" t="s">
        <v>1338</v>
      </c>
      <c r="J1179" t="s">
        <v>2480</v>
      </c>
      <c r="K1179" t="str">
        <f>+VLOOKUP(C1179,'[1]TIENDAS 2025'!$A$1:$C$143,3,0)</f>
        <v>nocturna</v>
      </c>
      <c r="L1179" t="str">
        <f>+VLOOKUP(C1179,[2]Hoja1!$A$1:$B$138,2,0)</f>
        <v>APROBAR</v>
      </c>
      <c r="M1179">
        <v>1</v>
      </c>
      <c r="N1179" t="e">
        <v>#N/A</v>
      </c>
    </row>
    <row r="1180" spans="1:14" ht="15" customHeight="1" x14ac:dyDescent="0.3">
      <c r="A1180" s="3">
        <v>1209659060</v>
      </c>
      <c r="B1180" s="3" t="s">
        <v>1267</v>
      </c>
      <c r="C1180" s="3" t="s">
        <v>1268</v>
      </c>
      <c r="D1180" s="4">
        <v>46307.434201388904</v>
      </c>
      <c r="E1180" s="5" t="s">
        <v>10</v>
      </c>
      <c r="F1180" s="5" t="s">
        <v>17</v>
      </c>
      <c r="G1180" s="5">
        <v>29</v>
      </c>
      <c r="H1180" s="6" t="s">
        <v>12</v>
      </c>
      <c r="I1180" t="s">
        <v>1339</v>
      </c>
      <c r="J1180" t="s">
        <v>2480</v>
      </c>
      <c r="K1180" t="str">
        <f>+VLOOKUP(C1180,'[1]TIENDAS 2025'!$A$1:$C$143,3,0)</f>
        <v>departamental</v>
      </c>
      <c r="L1180" t="str">
        <f>+VLOOKUP(C1180,[2]Hoja1!$A$1:$B$138,2,0)</f>
        <v>APROBAR</v>
      </c>
      <c r="M1180">
        <v>1</v>
      </c>
      <c r="N1180" t="e">
        <v>#N/A</v>
      </c>
    </row>
    <row r="1181" spans="1:14" ht="15" customHeight="1" x14ac:dyDescent="0.3">
      <c r="A1181" s="3">
        <v>8209658998</v>
      </c>
      <c r="B1181" s="3" t="s">
        <v>1270</v>
      </c>
      <c r="C1181" s="3" t="s">
        <v>1271</v>
      </c>
      <c r="D1181" s="4">
        <v>46307.434212963002</v>
      </c>
      <c r="E1181" s="5" t="s">
        <v>10</v>
      </c>
      <c r="F1181" s="5" t="s">
        <v>16</v>
      </c>
      <c r="G1181" s="5">
        <v>1</v>
      </c>
      <c r="H1181" s="8" t="s">
        <v>12</v>
      </c>
      <c r="I1181" t="s">
        <v>1340</v>
      </c>
      <c r="K1181" t="str">
        <f>+VLOOKUP(C1181,'[1]TIENDAS 2025'!$A$1:$C$143,3,0)</f>
        <v>departamental</v>
      </c>
      <c r="L1181" t="str">
        <f>+VLOOKUP(C1181,[2]Hoja1!$A$1:$B$138,2,0)</f>
        <v>APROBAR</v>
      </c>
      <c r="M1181">
        <v>1</v>
      </c>
      <c r="N1181" t="e">
        <v>#N/A</v>
      </c>
    </row>
    <row r="1182" spans="1:14" ht="15" customHeight="1" x14ac:dyDescent="0.3">
      <c r="A1182" s="3">
        <v>8209659119</v>
      </c>
      <c r="B1182" s="3" t="s">
        <v>1261</v>
      </c>
      <c r="C1182" s="3" t="s">
        <v>1262</v>
      </c>
      <c r="D1182" s="4">
        <v>46307.434236111098</v>
      </c>
      <c r="E1182" s="5" t="s">
        <v>10</v>
      </c>
      <c r="F1182" s="5" t="s">
        <v>16</v>
      </c>
      <c r="G1182" s="5">
        <v>6</v>
      </c>
      <c r="H1182" s="8" t="s">
        <v>12</v>
      </c>
      <c r="I1182" t="s">
        <v>1341</v>
      </c>
      <c r="K1182" t="str">
        <f>+VLOOKUP(C1182,'[1]TIENDAS 2025'!$A$1:$C$143,3,0)</f>
        <v>prioridad</v>
      </c>
      <c r="L1182" t="str">
        <f>+VLOOKUP(C1182,[2]Hoja1!$A$1:$B$138,2,0)</f>
        <v>APROBAR</v>
      </c>
      <c r="M1182">
        <v>1</v>
      </c>
      <c r="N1182" t="e">
        <v>#N/A</v>
      </c>
    </row>
    <row r="1183" spans="1:14" ht="15" customHeight="1" x14ac:dyDescent="0.3">
      <c r="A1183" s="3">
        <v>1209659027</v>
      </c>
      <c r="B1183" s="3" t="s">
        <v>14</v>
      </c>
      <c r="C1183" s="3" t="s">
        <v>15</v>
      </c>
      <c r="D1183" s="4">
        <v>46307.434236111098</v>
      </c>
      <c r="E1183" s="5" t="s">
        <v>10</v>
      </c>
      <c r="F1183" s="5" t="s">
        <v>17</v>
      </c>
      <c r="G1183" s="5">
        <v>19</v>
      </c>
      <c r="H1183" s="6" t="s">
        <v>12</v>
      </c>
      <c r="I1183" t="s">
        <v>1342</v>
      </c>
      <c r="J1183" t="s">
        <v>2480</v>
      </c>
      <c r="K1183" t="str">
        <f>+VLOOKUP(C1183,'[1]TIENDAS 2025'!$A$1:$C$143,3,0)</f>
        <v>departamental</v>
      </c>
      <c r="L1183" t="str">
        <f>+VLOOKUP(C1183,[2]Hoja1!$A$1:$B$138,2,0)</f>
        <v>APROBAR</v>
      </c>
      <c r="M1183">
        <v>1</v>
      </c>
      <c r="N1183" t="e">
        <v>#N/A</v>
      </c>
    </row>
    <row r="1184" spans="1:14" ht="15" customHeight="1" x14ac:dyDescent="0.3">
      <c r="A1184" s="3">
        <v>1209659124</v>
      </c>
      <c r="B1184" s="3" t="s">
        <v>1261</v>
      </c>
      <c r="C1184" s="3" t="s">
        <v>1262</v>
      </c>
      <c r="D1184" s="4">
        <v>46307.434247685203</v>
      </c>
      <c r="E1184" s="5" t="s">
        <v>10</v>
      </c>
      <c r="F1184" s="5" t="s">
        <v>11</v>
      </c>
      <c r="G1184" s="5">
        <v>9</v>
      </c>
      <c r="H1184" s="6" t="s">
        <v>12</v>
      </c>
      <c r="I1184" t="s">
        <v>1343</v>
      </c>
      <c r="J1184" t="s">
        <v>2480</v>
      </c>
      <c r="K1184" t="str">
        <f>+VLOOKUP(C1184,'[1]TIENDAS 2025'!$A$1:$C$143,3,0)</f>
        <v>prioridad</v>
      </c>
      <c r="L1184" t="str">
        <f>+VLOOKUP(C1184,[2]Hoja1!$A$1:$B$138,2,0)</f>
        <v>APROBAR</v>
      </c>
      <c r="M1184">
        <v>1</v>
      </c>
      <c r="N1184" t="e">
        <v>#N/A</v>
      </c>
    </row>
    <row r="1185" spans="1:14" ht="15" customHeight="1" x14ac:dyDescent="0.3">
      <c r="A1185" s="3">
        <v>1209659030</v>
      </c>
      <c r="B1185" s="3" t="s">
        <v>14</v>
      </c>
      <c r="C1185" s="3" t="s">
        <v>15</v>
      </c>
      <c r="D1185" s="4">
        <v>46307.434270833299</v>
      </c>
      <c r="E1185" s="5" t="s">
        <v>10</v>
      </c>
      <c r="F1185" s="5" t="s">
        <v>17</v>
      </c>
      <c r="G1185" s="5">
        <v>9</v>
      </c>
      <c r="H1185" s="6" t="s">
        <v>12</v>
      </c>
      <c r="I1185" t="s">
        <v>1344</v>
      </c>
      <c r="J1185" t="s">
        <v>2480</v>
      </c>
      <c r="K1185" t="str">
        <f>+VLOOKUP(C1185,'[1]TIENDAS 2025'!$A$1:$C$143,3,0)</f>
        <v>departamental</v>
      </c>
      <c r="L1185" t="str">
        <f>+VLOOKUP(C1185,[2]Hoja1!$A$1:$B$138,2,0)</f>
        <v>APROBAR</v>
      </c>
      <c r="M1185">
        <v>1</v>
      </c>
      <c r="N1185" t="e">
        <v>#N/A</v>
      </c>
    </row>
    <row r="1186" spans="1:14" ht="15" customHeight="1" x14ac:dyDescent="0.3">
      <c r="A1186" s="3">
        <v>1209659126</v>
      </c>
      <c r="B1186" s="3" t="s">
        <v>1261</v>
      </c>
      <c r="C1186" s="3" t="s">
        <v>1262</v>
      </c>
      <c r="D1186" s="4">
        <v>46307.434282407397</v>
      </c>
      <c r="E1186" s="5" t="s">
        <v>10</v>
      </c>
      <c r="F1186" s="5" t="s">
        <v>11</v>
      </c>
      <c r="G1186" s="5">
        <v>19</v>
      </c>
      <c r="H1186" s="6" t="s">
        <v>12</v>
      </c>
      <c r="I1186" t="s">
        <v>1345</v>
      </c>
      <c r="J1186" t="s">
        <v>2480</v>
      </c>
      <c r="K1186" t="str">
        <f>+VLOOKUP(C1186,'[1]TIENDAS 2025'!$A$1:$C$143,3,0)</f>
        <v>prioridad</v>
      </c>
      <c r="L1186" t="str">
        <f>+VLOOKUP(C1186,[2]Hoja1!$A$1:$B$138,2,0)</f>
        <v>APROBAR</v>
      </c>
      <c r="M1186">
        <v>1</v>
      </c>
      <c r="N1186" t="e">
        <v>#N/A</v>
      </c>
    </row>
    <row r="1187" spans="1:14" ht="15" customHeight="1" x14ac:dyDescent="0.3">
      <c r="A1187" s="3">
        <v>1209659054</v>
      </c>
      <c r="B1187" s="3" t="s">
        <v>1267</v>
      </c>
      <c r="C1187" s="3" t="s">
        <v>1268</v>
      </c>
      <c r="D1187" s="4">
        <v>46307.434293981503</v>
      </c>
      <c r="E1187" s="5" t="s">
        <v>10</v>
      </c>
      <c r="F1187" s="5" t="s">
        <v>11</v>
      </c>
      <c r="G1187" s="5">
        <v>11</v>
      </c>
      <c r="H1187" s="6" t="s">
        <v>12</v>
      </c>
      <c r="I1187" t="s">
        <v>1346</v>
      </c>
      <c r="J1187" t="s">
        <v>2480</v>
      </c>
      <c r="K1187" t="str">
        <f>+VLOOKUP(C1187,'[1]TIENDAS 2025'!$A$1:$C$143,3,0)</f>
        <v>departamental</v>
      </c>
      <c r="L1187" t="str">
        <f>+VLOOKUP(C1187,[2]Hoja1!$A$1:$B$138,2,0)</f>
        <v>APROBAR</v>
      </c>
      <c r="M1187">
        <v>1</v>
      </c>
      <c r="N1187" t="e">
        <v>#N/A</v>
      </c>
    </row>
    <row r="1188" spans="1:14" ht="15" customHeight="1" x14ac:dyDescent="0.3">
      <c r="A1188" s="3">
        <v>1209659057</v>
      </c>
      <c r="B1188" s="3" t="s">
        <v>1267</v>
      </c>
      <c r="C1188" s="3" t="s">
        <v>1268</v>
      </c>
      <c r="D1188" s="4">
        <v>46307.434305555602</v>
      </c>
      <c r="E1188" s="5" t="s">
        <v>10</v>
      </c>
      <c r="F1188" s="5" t="s">
        <v>11</v>
      </c>
      <c r="G1188" s="5">
        <v>18</v>
      </c>
      <c r="H1188" s="6" t="s">
        <v>12</v>
      </c>
      <c r="I1188" t="s">
        <v>1347</v>
      </c>
      <c r="J1188" t="s">
        <v>2480</v>
      </c>
      <c r="K1188" t="str">
        <f>+VLOOKUP(C1188,'[1]TIENDAS 2025'!$A$1:$C$143,3,0)</f>
        <v>departamental</v>
      </c>
      <c r="L1188" t="str">
        <f>+VLOOKUP(C1188,[2]Hoja1!$A$1:$B$138,2,0)</f>
        <v>APROBAR</v>
      </c>
      <c r="M1188">
        <v>1</v>
      </c>
      <c r="N1188" t="e">
        <v>#N/A</v>
      </c>
    </row>
    <row r="1189" spans="1:14" ht="15" customHeight="1" x14ac:dyDescent="0.3">
      <c r="A1189" s="3">
        <v>8209659085</v>
      </c>
      <c r="B1189" s="3" t="s">
        <v>1264</v>
      </c>
      <c r="C1189" s="3" t="s">
        <v>1265</v>
      </c>
      <c r="D1189" s="4">
        <v>46307.434317129599</v>
      </c>
      <c r="E1189" s="5" t="s">
        <v>10</v>
      </c>
      <c r="F1189" s="5" t="s">
        <v>16</v>
      </c>
      <c r="G1189" s="5">
        <v>4</v>
      </c>
      <c r="H1189" s="8" t="s">
        <v>12</v>
      </c>
      <c r="I1189" t="s">
        <v>1348</v>
      </c>
      <c r="K1189" t="str">
        <f>+VLOOKUP(C1189,'[1]TIENDAS 2025'!$A$1:$C$143,3,0)</f>
        <v>nocturna</v>
      </c>
      <c r="L1189" t="str">
        <f>+VLOOKUP(C1189,[2]Hoja1!$A$1:$B$138,2,0)</f>
        <v>APROBAR</v>
      </c>
      <c r="M1189">
        <v>1</v>
      </c>
      <c r="N1189" t="e">
        <v>#N/A</v>
      </c>
    </row>
    <row r="1190" spans="1:14" ht="15" customHeight="1" x14ac:dyDescent="0.3">
      <c r="A1190" s="3">
        <v>1209658994</v>
      </c>
      <c r="B1190" s="3" t="s">
        <v>1270</v>
      </c>
      <c r="C1190" s="3" t="s">
        <v>1271</v>
      </c>
      <c r="D1190" s="4">
        <v>46307.434340277803</v>
      </c>
      <c r="E1190" s="5" t="s">
        <v>10</v>
      </c>
      <c r="F1190" s="5" t="s">
        <v>11</v>
      </c>
      <c r="G1190" s="5">
        <v>26</v>
      </c>
      <c r="H1190" s="6" t="s">
        <v>12</v>
      </c>
      <c r="I1190" t="s">
        <v>1349</v>
      </c>
      <c r="J1190" t="s">
        <v>2480</v>
      </c>
      <c r="K1190" t="str">
        <f>+VLOOKUP(C1190,'[1]TIENDAS 2025'!$A$1:$C$143,3,0)</f>
        <v>departamental</v>
      </c>
      <c r="L1190" t="str">
        <f>+VLOOKUP(C1190,[2]Hoja1!$A$1:$B$138,2,0)</f>
        <v>APROBAR</v>
      </c>
      <c r="M1190">
        <v>1</v>
      </c>
      <c r="N1190" t="e">
        <v>#N/A</v>
      </c>
    </row>
    <row r="1191" spans="1:14" ht="15" customHeight="1" x14ac:dyDescent="0.3">
      <c r="A1191" s="3">
        <v>8209659018</v>
      </c>
      <c r="B1191" s="3" t="s">
        <v>14</v>
      </c>
      <c r="C1191" s="3" t="s">
        <v>15</v>
      </c>
      <c r="D1191" s="4">
        <v>46307.434351851902</v>
      </c>
      <c r="E1191" s="5" t="s">
        <v>10</v>
      </c>
      <c r="F1191" s="5" t="s">
        <v>16</v>
      </c>
      <c r="G1191" s="5">
        <v>1</v>
      </c>
      <c r="H1191" s="8" t="s">
        <v>12</v>
      </c>
      <c r="I1191" t="s">
        <v>1350</v>
      </c>
      <c r="K1191" t="str">
        <f>+VLOOKUP(C1191,'[1]TIENDAS 2025'!$A$1:$C$143,3,0)</f>
        <v>departamental</v>
      </c>
      <c r="L1191" t="str">
        <f>+VLOOKUP(C1191,[2]Hoja1!$A$1:$B$138,2,0)</f>
        <v>APROBAR</v>
      </c>
      <c r="M1191">
        <v>1</v>
      </c>
      <c r="N1191" t="e">
        <v>#N/A</v>
      </c>
    </row>
    <row r="1192" spans="1:14" ht="15" customHeight="1" x14ac:dyDescent="0.3">
      <c r="A1192" s="3">
        <v>1209659088</v>
      </c>
      <c r="B1192" s="3" t="s">
        <v>1264</v>
      </c>
      <c r="C1192" s="3" t="s">
        <v>1265</v>
      </c>
      <c r="D1192" s="4">
        <v>46307.434351851902</v>
      </c>
      <c r="E1192" s="5" t="s">
        <v>10</v>
      </c>
      <c r="F1192" s="5" t="s">
        <v>11</v>
      </c>
      <c r="G1192" s="5">
        <v>13</v>
      </c>
      <c r="H1192" s="6" t="s">
        <v>12</v>
      </c>
      <c r="I1192" t="s">
        <v>1351</v>
      </c>
      <c r="J1192" t="s">
        <v>2480</v>
      </c>
      <c r="K1192" t="str">
        <f>+VLOOKUP(C1192,'[1]TIENDAS 2025'!$A$1:$C$143,3,0)</f>
        <v>nocturna</v>
      </c>
      <c r="L1192" t="str">
        <f>+VLOOKUP(C1192,[2]Hoja1!$A$1:$B$138,2,0)</f>
        <v>APROBAR</v>
      </c>
      <c r="M1192">
        <v>1</v>
      </c>
      <c r="N1192" t="e">
        <v>#N/A</v>
      </c>
    </row>
    <row r="1193" spans="1:14" ht="15" customHeight="1" x14ac:dyDescent="0.3">
      <c r="A1193" s="3">
        <v>1209659025</v>
      </c>
      <c r="B1193" s="3" t="s">
        <v>14</v>
      </c>
      <c r="C1193" s="3" t="s">
        <v>15</v>
      </c>
      <c r="D1193" s="4">
        <v>46307.434374999997</v>
      </c>
      <c r="E1193" s="5" t="s">
        <v>10</v>
      </c>
      <c r="F1193" s="5" t="s">
        <v>17</v>
      </c>
      <c r="G1193" s="5">
        <v>20</v>
      </c>
      <c r="H1193" s="6" t="s">
        <v>12</v>
      </c>
      <c r="I1193" t="s">
        <v>1352</v>
      </c>
      <c r="J1193" t="s">
        <v>2480</v>
      </c>
      <c r="K1193" t="str">
        <f>+VLOOKUP(C1193,'[1]TIENDAS 2025'!$A$1:$C$143,3,0)</f>
        <v>departamental</v>
      </c>
      <c r="L1193" t="str">
        <f>+VLOOKUP(C1193,[2]Hoja1!$A$1:$B$138,2,0)</f>
        <v>APROBAR</v>
      </c>
      <c r="M1193">
        <v>1</v>
      </c>
      <c r="N1193" t="e">
        <v>#N/A</v>
      </c>
    </row>
    <row r="1194" spans="1:14" ht="15" customHeight="1" x14ac:dyDescent="0.3">
      <c r="A1194" s="3">
        <v>8209659063</v>
      </c>
      <c r="B1194" s="3" t="s">
        <v>1267</v>
      </c>
      <c r="C1194" s="3" t="s">
        <v>1268</v>
      </c>
      <c r="D1194" s="4">
        <v>46307.434386574103</v>
      </c>
      <c r="E1194" s="5" t="s">
        <v>10</v>
      </c>
      <c r="F1194" s="5" t="s">
        <v>16</v>
      </c>
      <c r="G1194" s="5">
        <v>9</v>
      </c>
      <c r="H1194" s="8" t="s">
        <v>12</v>
      </c>
      <c r="I1194" t="s">
        <v>1353</v>
      </c>
      <c r="K1194" t="str">
        <f>+VLOOKUP(C1194,'[1]TIENDAS 2025'!$A$1:$C$143,3,0)</f>
        <v>departamental</v>
      </c>
      <c r="L1194" t="str">
        <f>+VLOOKUP(C1194,[2]Hoja1!$A$1:$B$138,2,0)</f>
        <v>APROBAR</v>
      </c>
      <c r="M1194">
        <v>1</v>
      </c>
      <c r="N1194" t="e">
        <v>#N/A</v>
      </c>
    </row>
    <row r="1195" spans="1:14" ht="15" customHeight="1" x14ac:dyDescent="0.3">
      <c r="A1195" s="3">
        <v>8209659118</v>
      </c>
      <c r="B1195" s="3" t="s">
        <v>1261</v>
      </c>
      <c r="C1195" s="3" t="s">
        <v>1262</v>
      </c>
      <c r="D1195" s="4">
        <v>46307.434398148202</v>
      </c>
      <c r="E1195" s="5" t="s">
        <v>10</v>
      </c>
      <c r="F1195" s="5" t="s">
        <v>16</v>
      </c>
      <c r="G1195" s="5">
        <v>7</v>
      </c>
      <c r="H1195" s="8" t="s">
        <v>12</v>
      </c>
      <c r="I1195" t="s">
        <v>1354</v>
      </c>
      <c r="K1195" t="str">
        <f>+VLOOKUP(C1195,'[1]TIENDAS 2025'!$A$1:$C$143,3,0)</f>
        <v>prioridad</v>
      </c>
      <c r="L1195" t="str">
        <f>+VLOOKUP(C1195,[2]Hoja1!$A$1:$B$138,2,0)</f>
        <v>APROBAR</v>
      </c>
      <c r="M1195">
        <v>1</v>
      </c>
      <c r="N1195" t="e">
        <v>#N/A</v>
      </c>
    </row>
    <row r="1196" spans="1:14" ht="15" customHeight="1" x14ac:dyDescent="0.3">
      <c r="A1196" s="3">
        <v>1209659265</v>
      </c>
      <c r="B1196" s="3" t="s">
        <v>1356</v>
      </c>
      <c r="C1196" s="3" t="s">
        <v>1357</v>
      </c>
      <c r="D1196" s="4">
        <v>46307.436712962997</v>
      </c>
      <c r="E1196" s="5" t="s">
        <v>10</v>
      </c>
      <c r="F1196" s="5" t="s">
        <v>11</v>
      </c>
      <c r="G1196" s="5">
        <v>27</v>
      </c>
      <c r="H1196" s="6" t="s">
        <v>12</v>
      </c>
      <c r="I1196" t="s">
        <v>1355</v>
      </c>
      <c r="J1196" t="s">
        <v>2480</v>
      </c>
      <c r="K1196" t="str">
        <f>+VLOOKUP(C1196,'[1]TIENDAS 2025'!$A$1:$C$143,3,0)</f>
        <v>departamental</v>
      </c>
      <c r="L1196" t="str">
        <f>+VLOOKUP(C1196,[2]Hoja1!$A$1:$B$138,2,0)</f>
        <v>APROBAR</v>
      </c>
      <c r="M1196">
        <v>1</v>
      </c>
      <c r="N1196" t="e">
        <v>#N/A</v>
      </c>
    </row>
    <row r="1197" spans="1:14" ht="15" customHeight="1" x14ac:dyDescent="0.3">
      <c r="A1197" s="3">
        <v>8209659141</v>
      </c>
      <c r="B1197" s="3" t="s">
        <v>1359</v>
      </c>
      <c r="C1197" s="3" t="s">
        <v>1360</v>
      </c>
      <c r="D1197" s="4">
        <v>46307.436724537001</v>
      </c>
      <c r="E1197" s="5" t="s">
        <v>10</v>
      </c>
      <c r="F1197" s="5" t="s">
        <v>16</v>
      </c>
      <c r="G1197" s="5">
        <v>25</v>
      </c>
      <c r="H1197" s="8" t="s">
        <v>12</v>
      </c>
      <c r="I1197" t="s">
        <v>1358</v>
      </c>
      <c r="K1197" t="str">
        <f>+VLOOKUP(C1197,'[1]TIENDAS 2025'!$A$1:$C$143,3,0)</f>
        <v>nocturna</v>
      </c>
      <c r="L1197" t="str">
        <f>+VLOOKUP(C1197,[2]Hoja1!$A$1:$B$138,2,0)</f>
        <v>APROBAR</v>
      </c>
      <c r="M1197">
        <v>1</v>
      </c>
      <c r="N1197" t="e">
        <v>#N/A</v>
      </c>
    </row>
    <row r="1198" spans="1:14" ht="15" customHeight="1" x14ac:dyDescent="0.3">
      <c r="A1198" s="3">
        <v>8209659211</v>
      </c>
      <c r="B1198" s="3" t="s">
        <v>1362</v>
      </c>
      <c r="C1198" s="3" t="s">
        <v>1363</v>
      </c>
      <c r="D1198" s="4">
        <v>46307.4367361111</v>
      </c>
      <c r="E1198" s="5" t="s">
        <v>10</v>
      </c>
      <c r="F1198" s="5" t="s">
        <v>16</v>
      </c>
      <c r="G1198" s="5">
        <v>2</v>
      </c>
      <c r="H1198" s="8" t="s">
        <v>12</v>
      </c>
      <c r="I1198" t="s">
        <v>1361</v>
      </c>
      <c r="K1198" t="str">
        <f>+VLOOKUP(C1198,'[1]TIENDAS 2025'!$A$1:$C$143,3,0)</f>
        <v>local</v>
      </c>
      <c r="L1198" t="str">
        <f>+VLOOKUP(C1198,[2]Hoja1!$A$1:$B$138,2,0)</f>
        <v>APROBAR</v>
      </c>
      <c r="M1198">
        <v>1</v>
      </c>
      <c r="N1198" t="e">
        <v>#N/A</v>
      </c>
    </row>
    <row r="1199" spans="1:14" ht="15" customHeight="1" x14ac:dyDescent="0.3">
      <c r="A1199" s="3">
        <v>1209659232</v>
      </c>
      <c r="B1199" s="3" t="s">
        <v>1365</v>
      </c>
      <c r="C1199" s="3" t="s">
        <v>1366</v>
      </c>
      <c r="D1199" s="4">
        <v>46307.436759259297</v>
      </c>
      <c r="E1199" s="5" t="s">
        <v>10</v>
      </c>
      <c r="F1199" s="5" t="s">
        <v>17</v>
      </c>
      <c r="G1199" s="5">
        <v>21</v>
      </c>
      <c r="H1199" s="6" t="s">
        <v>12</v>
      </c>
      <c r="I1199" t="s">
        <v>1364</v>
      </c>
      <c r="J1199" t="s">
        <v>2480</v>
      </c>
      <c r="K1199" t="str">
        <f>+VLOOKUP(C1199,'[1]TIENDAS 2025'!$A$1:$C$143,3,0)</f>
        <v>nocturna</v>
      </c>
      <c r="L1199" t="str">
        <f>+VLOOKUP(C1199,[2]Hoja1!$A$1:$B$138,2,0)</f>
        <v>APROBAR</v>
      </c>
      <c r="M1199">
        <v>1</v>
      </c>
      <c r="N1199" t="e">
        <v>#N/A</v>
      </c>
    </row>
    <row r="1200" spans="1:14" ht="15" customHeight="1" x14ac:dyDescent="0.3">
      <c r="A1200" s="3">
        <v>1209659267</v>
      </c>
      <c r="B1200" s="3" t="s">
        <v>1356</v>
      </c>
      <c r="C1200" s="3" t="s">
        <v>1357</v>
      </c>
      <c r="D1200" s="4">
        <v>46307.436770833301</v>
      </c>
      <c r="E1200" s="5" t="s">
        <v>10</v>
      </c>
      <c r="F1200" s="5" t="s">
        <v>11</v>
      </c>
      <c r="G1200" s="5">
        <v>32</v>
      </c>
      <c r="H1200" s="6" t="s">
        <v>12</v>
      </c>
      <c r="I1200" t="s">
        <v>1367</v>
      </c>
      <c r="J1200" t="s">
        <v>2480</v>
      </c>
      <c r="K1200" t="str">
        <f>+VLOOKUP(C1200,'[1]TIENDAS 2025'!$A$1:$C$143,3,0)</f>
        <v>departamental</v>
      </c>
      <c r="L1200" t="str">
        <f>+VLOOKUP(C1200,[2]Hoja1!$A$1:$B$138,2,0)</f>
        <v>APROBAR</v>
      </c>
      <c r="M1200">
        <v>1</v>
      </c>
      <c r="N1200" t="e">
        <v>#N/A</v>
      </c>
    </row>
    <row r="1201" spans="1:14" ht="15" customHeight="1" x14ac:dyDescent="0.3">
      <c r="A1201" s="3">
        <v>1209659234</v>
      </c>
      <c r="B1201" s="3" t="s">
        <v>1365</v>
      </c>
      <c r="C1201" s="3" t="s">
        <v>1366</v>
      </c>
      <c r="D1201" s="4">
        <v>46307.4367824074</v>
      </c>
      <c r="E1201" s="5" t="s">
        <v>10</v>
      </c>
      <c r="F1201" s="5" t="s">
        <v>11</v>
      </c>
      <c r="G1201" s="5">
        <v>8</v>
      </c>
      <c r="H1201" s="6" t="s">
        <v>12</v>
      </c>
      <c r="I1201" t="s">
        <v>1368</v>
      </c>
      <c r="J1201" t="s">
        <v>2480</v>
      </c>
      <c r="K1201" t="str">
        <f>+VLOOKUP(C1201,'[1]TIENDAS 2025'!$A$1:$C$143,3,0)</f>
        <v>nocturna</v>
      </c>
      <c r="L1201" t="str">
        <f>+VLOOKUP(C1201,[2]Hoja1!$A$1:$B$138,2,0)</f>
        <v>APROBAR</v>
      </c>
      <c r="M1201">
        <v>1</v>
      </c>
      <c r="N1201" t="e">
        <v>#N/A</v>
      </c>
    </row>
    <row r="1202" spans="1:14" ht="15" customHeight="1" x14ac:dyDescent="0.3">
      <c r="A1202" s="3">
        <v>1209659201</v>
      </c>
      <c r="B1202" s="3" t="s">
        <v>1362</v>
      </c>
      <c r="C1202" s="3" t="s">
        <v>1363</v>
      </c>
      <c r="D1202" s="4">
        <v>46307.436793981498</v>
      </c>
      <c r="E1202" s="5" t="s">
        <v>10</v>
      </c>
      <c r="F1202" s="5" t="s">
        <v>11</v>
      </c>
      <c r="G1202" s="5">
        <v>10</v>
      </c>
      <c r="H1202" s="6" t="s">
        <v>12</v>
      </c>
      <c r="I1202" t="s">
        <v>1369</v>
      </c>
      <c r="J1202" t="s">
        <v>2480</v>
      </c>
      <c r="K1202" t="str">
        <f>+VLOOKUP(C1202,'[1]TIENDAS 2025'!$A$1:$C$143,3,0)</f>
        <v>local</v>
      </c>
      <c r="L1202" t="str">
        <f>+VLOOKUP(C1202,[2]Hoja1!$A$1:$B$138,2,0)</f>
        <v>APROBAR</v>
      </c>
      <c r="M1202">
        <v>1</v>
      </c>
      <c r="N1202" t="e">
        <v>#N/A</v>
      </c>
    </row>
    <row r="1203" spans="1:14" ht="15" customHeight="1" x14ac:dyDescent="0.3">
      <c r="A1203" s="3">
        <v>1209659276</v>
      </c>
      <c r="B1203" s="3" t="s">
        <v>1356</v>
      </c>
      <c r="C1203" s="3" t="s">
        <v>1357</v>
      </c>
      <c r="D1203" s="4">
        <v>46307.436805555597</v>
      </c>
      <c r="E1203" s="5" t="s">
        <v>10</v>
      </c>
      <c r="F1203" s="5" t="s">
        <v>11</v>
      </c>
      <c r="G1203" s="5">
        <v>18</v>
      </c>
      <c r="H1203" s="6" t="s">
        <v>12</v>
      </c>
      <c r="I1203" t="s">
        <v>1370</v>
      </c>
      <c r="J1203" t="s">
        <v>2480</v>
      </c>
      <c r="K1203" t="str">
        <f>+VLOOKUP(C1203,'[1]TIENDAS 2025'!$A$1:$C$143,3,0)</f>
        <v>departamental</v>
      </c>
      <c r="L1203" t="str">
        <f>+VLOOKUP(C1203,[2]Hoja1!$A$1:$B$138,2,0)</f>
        <v>APROBAR</v>
      </c>
      <c r="M1203">
        <v>1</v>
      </c>
      <c r="N1203" t="e">
        <v>#N/A</v>
      </c>
    </row>
    <row r="1204" spans="1:14" ht="15" customHeight="1" x14ac:dyDescent="0.3">
      <c r="A1204" s="3">
        <v>8209659295</v>
      </c>
      <c r="B1204" s="3" t="s">
        <v>1372</v>
      </c>
      <c r="C1204" s="3" t="s">
        <v>1373</v>
      </c>
      <c r="D1204" s="4">
        <v>46307.4368287037</v>
      </c>
      <c r="E1204" s="5" t="s">
        <v>10</v>
      </c>
      <c r="F1204" s="5" t="s">
        <v>16</v>
      </c>
      <c r="G1204" s="5">
        <v>7</v>
      </c>
      <c r="H1204" s="8" t="s">
        <v>12</v>
      </c>
      <c r="I1204" t="s">
        <v>1371</v>
      </c>
      <c r="K1204" t="str">
        <f>+VLOOKUP(C1204,'[1]TIENDAS 2025'!$A$1:$C$143,3,0)</f>
        <v>departamental</v>
      </c>
      <c r="L1204" t="str">
        <f>+VLOOKUP(C1204,[2]Hoja1!$A$1:$B$138,2,0)</f>
        <v>APROBAR</v>
      </c>
      <c r="M1204">
        <v>1</v>
      </c>
      <c r="N1204" t="e">
        <v>#N/A</v>
      </c>
    </row>
    <row r="1205" spans="1:14" ht="15" customHeight="1" x14ac:dyDescent="0.3">
      <c r="A1205" s="3">
        <v>1209659299</v>
      </c>
      <c r="B1205" s="3" t="s">
        <v>1372</v>
      </c>
      <c r="C1205" s="3" t="s">
        <v>1373</v>
      </c>
      <c r="D1205" s="4">
        <v>46307.436840277798</v>
      </c>
      <c r="E1205" s="5" t="s">
        <v>10</v>
      </c>
      <c r="F1205" s="5" t="s">
        <v>17</v>
      </c>
      <c r="G1205" s="5">
        <v>12</v>
      </c>
      <c r="H1205" s="6" t="s">
        <v>12</v>
      </c>
      <c r="I1205" t="s">
        <v>1374</v>
      </c>
      <c r="J1205" t="s">
        <v>2480</v>
      </c>
      <c r="K1205" t="str">
        <f>+VLOOKUP(C1205,'[1]TIENDAS 2025'!$A$1:$C$143,3,0)</f>
        <v>departamental</v>
      </c>
      <c r="L1205" t="str">
        <f>+VLOOKUP(C1205,[2]Hoja1!$A$1:$B$138,2,0)</f>
        <v>APROBAR</v>
      </c>
      <c r="M1205">
        <v>1</v>
      </c>
      <c r="N1205" t="e">
        <v>#N/A</v>
      </c>
    </row>
    <row r="1206" spans="1:14" ht="15" customHeight="1" x14ac:dyDescent="0.3">
      <c r="A1206" s="3">
        <v>1209659262</v>
      </c>
      <c r="B1206" s="3" t="s">
        <v>1356</v>
      </c>
      <c r="C1206" s="3" t="s">
        <v>1357</v>
      </c>
      <c r="D1206" s="4">
        <v>46307.436851851897</v>
      </c>
      <c r="E1206" s="5" t="s">
        <v>10</v>
      </c>
      <c r="F1206" s="5" t="s">
        <v>11</v>
      </c>
      <c r="G1206" s="5">
        <v>12</v>
      </c>
      <c r="H1206" s="6" t="s">
        <v>12</v>
      </c>
      <c r="I1206" t="s">
        <v>1375</v>
      </c>
      <c r="J1206" t="s">
        <v>2480</v>
      </c>
      <c r="K1206" t="str">
        <f>+VLOOKUP(C1206,'[1]TIENDAS 2025'!$A$1:$C$143,3,0)</f>
        <v>departamental</v>
      </c>
      <c r="L1206" t="str">
        <f>+VLOOKUP(C1206,[2]Hoja1!$A$1:$B$138,2,0)</f>
        <v>APROBAR</v>
      </c>
      <c r="M1206">
        <v>1</v>
      </c>
      <c r="N1206" t="e">
        <v>#N/A</v>
      </c>
    </row>
    <row r="1207" spans="1:14" ht="15" customHeight="1" x14ac:dyDescent="0.3">
      <c r="A1207" s="3">
        <v>1209659152</v>
      </c>
      <c r="B1207" s="3" t="s">
        <v>1359</v>
      </c>
      <c r="C1207" s="3" t="s">
        <v>1360</v>
      </c>
      <c r="D1207" s="4">
        <v>46307.436863425901</v>
      </c>
      <c r="E1207" s="5" t="s">
        <v>10</v>
      </c>
      <c r="F1207" s="5" t="s">
        <v>17</v>
      </c>
      <c r="G1207" s="5">
        <v>66</v>
      </c>
      <c r="H1207" s="6" t="s">
        <v>12</v>
      </c>
      <c r="I1207" t="s">
        <v>1376</v>
      </c>
      <c r="J1207" t="s">
        <v>2480</v>
      </c>
      <c r="K1207" t="str">
        <f>+VLOOKUP(C1207,'[1]TIENDAS 2025'!$A$1:$C$143,3,0)</f>
        <v>nocturna</v>
      </c>
      <c r="L1207" t="str">
        <f>+VLOOKUP(C1207,[2]Hoja1!$A$1:$B$138,2,0)</f>
        <v>APROBAR</v>
      </c>
      <c r="M1207">
        <v>1</v>
      </c>
      <c r="N1207" t="e">
        <v>#N/A</v>
      </c>
    </row>
    <row r="1208" spans="1:14" ht="15" customHeight="1" x14ac:dyDescent="0.3">
      <c r="A1208" s="3">
        <v>1209659304</v>
      </c>
      <c r="B1208" s="3" t="s">
        <v>1372</v>
      </c>
      <c r="C1208" s="3" t="s">
        <v>1373</v>
      </c>
      <c r="D1208" s="4">
        <v>46307.436886574098</v>
      </c>
      <c r="E1208" s="5" t="s">
        <v>10</v>
      </c>
      <c r="F1208" s="5" t="s">
        <v>17</v>
      </c>
      <c r="G1208" s="5">
        <v>45</v>
      </c>
      <c r="H1208" s="6" t="s">
        <v>12</v>
      </c>
      <c r="I1208" t="s">
        <v>1377</v>
      </c>
      <c r="J1208" t="s">
        <v>2480</v>
      </c>
      <c r="K1208" t="str">
        <f>+VLOOKUP(C1208,'[1]TIENDAS 2025'!$A$1:$C$143,3,0)</f>
        <v>departamental</v>
      </c>
      <c r="L1208" t="str">
        <f>+VLOOKUP(C1208,[2]Hoja1!$A$1:$B$138,2,0)</f>
        <v>APROBAR</v>
      </c>
      <c r="M1208">
        <v>1</v>
      </c>
      <c r="N1208" t="e">
        <v>#N/A</v>
      </c>
    </row>
    <row r="1209" spans="1:14" ht="15" customHeight="1" x14ac:dyDescent="0.3">
      <c r="A1209" s="3">
        <v>8209659138</v>
      </c>
      <c r="B1209" s="3" t="s">
        <v>1359</v>
      </c>
      <c r="C1209" s="3" t="s">
        <v>1360</v>
      </c>
      <c r="D1209" s="4">
        <v>46307.436898148102</v>
      </c>
      <c r="E1209" s="5" t="s">
        <v>10</v>
      </c>
      <c r="F1209" s="5" t="s">
        <v>16</v>
      </c>
      <c r="G1209" s="5">
        <v>1</v>
      </c>
      <c r="H1209" s="8" t="s">
        <v>12</v>
      </c>
      <c r="I1209" t="s">
        <v>1378</v>
      </c>
      <c r="K1209" t="str">
        <f>+VLOOKUP(C1209,'[1]TIENDAS 2025'!$A$1:$C$143,3,0)</f>
        <v>nocturna</v>
      </c>
      <c r="L1209" t="str">
        <f>+VLOOKUP(C1209,[2]Hoja1!$A$1:$B$138,2,0)</f>
        <v>APROBAR</v>
      </c>
      <c r="M1209">
        <v>1</v>
      </c>
      <c r="N1209" t="e">
        <v>#N/A</v>
      </c>
    </row>
    <row r="1210" spans="1:14" ht="15" customHeight="1" x14ac:dyDescent="0.3">
      <c r="A1210" s="3">
        <v>1209659231</v>
      </c>
      <c r="B1210" s="3" t="s">
        <v>1365</v>
      </c>
      <c r="C1210" s="3" t="s">
        <v>1366</v>
      </c>
      <c r="D1210" s="4">
        <v>46307.436909722201</v>
      </c>
      <c r="E1210" s="5" t="s">
        <v>10</v>
      </c>
      <c r="F1210" s="5" t="s">
        <v>11</v>
      </c>
      <c r="G1210" s="5">
        <v>25</v>
      </c>
      <c r="H1210" s="6" t="s">
        <v>12</v>
      </c>
      <c r="I1210" t="s">
        <v>1379</v>
      </c>
      <c r="J1210" t="s">
        <v>2480</v>
      </c>
      <c r="K1210" t="str">
        <f>+VLOOKUP(C1210,'[1]TIENDAS 2025'!$A$1:$C$143,3,0)</f>
        <v>nocturna</v>
      </c>
      <c r="L1210" t="str">
        <f>+VLOOKUP(C1210,[2]Hoja1!$A$1:$B$138,2,0)</f>
        <v>APROBAR</v>
      </c>
      <c r="M1210">
        <v>1</v>
      </c>
      <c r="N1210" t="e">
        <v>#N/A</v>
      </c>
    </row>
    <row r="1211" spans="1:14" ht="15" customHeight="1" x14ac:dyDescent="0.3">
      <c r="A1211" s="3">
        <v>1209659144</v>
      </c>
      <c r="B1211" s="3" t="s">
        <v>1359</v>
      </c>
      <c r="C1211" s="3" t="s">
        <v>1360</v>
      </c>
      <c r="D1211" s="4">
        <v>46307.436921296299</v>
      </c>
      <c r="E1211" s="5" t="s">
        <v>10</v>
      </c>
      <c r="F1211" s="5" t="s">
        <v>11</v>
      </c>
      <c r="G1211" s="5">
        <v>15</v>
      </c>
      <c r="H1211" s="6" t="s">
        <v>12</v>
      </c>
      <c r="I1211" t="s">
        <v>1380</v>
      </c>
      <c r="J1211" t="s">
        <v>2480</v>
      </c>
      <c r="K1211" t="str">
        <f>+VLOOKUP(C1211,'[1]TIENDAS 2025'!$A$1:$C$143,3,0)</f>
        <v>nocturna</v>
      </c>
      <c r="L1211" t="str">
        <f>+VLOOKUP(C1211,[2]Hoja1!$A$1:$B$138,2,0)</f>
        <v>APROBAR</v>
      </c>
      <c r="M1211">
        <v>1</v>
      </c>
      <c r="N1211" t="e">
        <v>#N/A</v>
      </c>
    </row>
    <row r="1212" spans="1:14" ht="15" customHeight="1" x14ac:dyDescent="0.3">
      <c r="A1212" s="3">
        <v>1209659212</v>
      </c>
      <c r="B1212" s="3" t="s">
        <v>1362</v>
      </c>
      <c r="C1212" s="3" t="s">
        <v>1363</v>
      </c>
      <c r="D1212" s="4">
        <v>46307.436932870398</v>
      </c>
      <c r="E1212" s="5" t="s">
        <v>10</v>
      </c>
      <c r="F1212" s="5" t="s">
        <v>11</v>
      </c>
      <c r="G1212" s="5">
        <v>11</v>
      </c>
      <c r="H1212" s="6" t="s">
        <v>12</v>
      </c>
      <c r="I1212" t="s">
        <v>1381</v>
      </c>
      <c r="J1212" t="s">
        <v>2480</v>
      </c>
      <c r="K1212" t="str">
        <f>+VLOOKUP(C1212,'[1]TIENDAS 2025'!$A$1:$C$143,3,0)</f>
        <v>local</v>
      </c>
      <c r="L1212" t="str">
        <f>+VLOOKUP(C1212,[2]Hoja1!$A$1:$B$138,2,0)</f>
        <v>APROBAR</v>
      </c>
      <c r="M1212">
        <v>1</v>
      </c>
      <c r="N1212" t="e">
        <v>#N/A</v>
      </c>
    </row>
    <row r="1213" spans="1:14" ht="15" customHeight="1" x14ac:dyDescent="0.3">
      <c r="A1213" s="3">
        <v>8209659252</v>
      </c>
      <c r="B1213" s="3" t="s">
        <v>1356</v>
      </c>
      <c r="C1213" s="3" t="s">
        <v>1357</v>
      </c>
      <c r="D1213" s="4">
        <v>46307.436944444402</v>
      </c>
      <c r="E1213" s="5" t="s">
        <v>10</v>
      </c>
      <c r="F1213" s="5" t="s">
        <v>16</v>
      </c>
      <c r="G1213" s="5">
        <v>1</v>
      </c>
      <c r="H1213" s="8" t="s">
        <v>12</v>
      </c>
      <c r="I1213" t="s">
        <v>1382</v>
      </c>
      <c r="K1213" t="str">
        <f>+VLOOKUP(C1213,'[1]TIENDAS 2025'!$A$1:$C$143,3,0)</f>
        <v>departamental</v>
      </c>
      <c r="L1213" t="str">
        <f>+VLOOKUP(C1213,[2]Hoja1!$A$1:$B$138,2,0)</f>
        <v>APROBAR</v>
      </c>
      <c r="M1213">
        <v>1</v>
      </c>
      <c r="N1213" t="e">
        <v>#N/A</v>
      </c>
    </row>
    <row r="1214" spans="1:14" ht="15" customHeight="1" x14ac:dyDescent="0.3">
      <c r="A1214" s="3">
        <v>8209659294</v>
      </c>
      <c r="B1214" s="3" t="s">
        <v>1372</v>
      </c>
      <c r="C1214" s="3" t="s">
        <v>1373</v>
      </c>
      <c r="D1214" s="4">
        <v>46307.436967592599</v>
      </c>
      <c r="E1214" s="5" t="s">
        <v>10</v>
      </c>
      <c r="F1214" s="5" t="s">
        <v>16</v>
      </c>
      <c r="G1214" s="5">
        <v>7</v>
      </c>
      <c r="H1214" s="8" t="s">
        <v>12</v>
      </c>
      <c r="I1214" t="s">
        <v>1383</v>
      </c>
      <c r="K1214" t="str">
        <f>+VLOOKUP(C1214,'[1]TIENDAS 2025'!$A$1:$C$143,3,0)</f>
        <v>departamental</v>
      </c>
      <c r="L1214" t="str">
        <f>+VLOOKUP(C1214,[2]Hoja1!$A$1:$B$138,2,0)</f>
        <v>APROBAR</v>
      </c>
      <c r="M1214">
        <v>1</v>
      </c>
      <c r="N1214" t="e">
        <v>#N/A</v>
      </c>
    </row>
    <row r="1215" spans="1:14" ht="15" customHeight="1" x14ac:dyDescent="0.3">
      <c r="A1215" s="3">
        <v>1209659148</v>
      </c>
      <c r="B1215" s="3" t="s">
        <v>1359</v>
      </c>
      <c r="C1215" s="3" t="s">
        <v>1360</v>
      </c>
      <c r="D1215" s="4">
        <v>46307.436967592599</v>
      </c>
      <c r="E1215" s="5" t="s">
        <v>10</v>
      </c>
      <c r="F1215" s="5" t="s">
        <v>11</v>
      </c>
      <c r="G1215" s="5">
        <v>6</v>
      </c>
      <c r="H1215" s="6" t="s">
        <v>12</v>
      </c>
      <c r="I1215" t="s">
        <v>1384</v>
      </c>
      <c r="J1215" t="s">
        <v>2480</v>
      </c>
      <c r="K1215" t="str">
        <f>+VLOOKUP(C1215,'[1]TIENDAS 2025'!$A$1:$C$143,3,0)</f>
        <v>nocturna</v>
      </c>
      <c r="L1215" t="str">
        <f>+VLOOKUP(C1215,[2]Hoja1!$A$1:$B$138,2,0)</f>
        <v>APROBAR</v>
      </c>
      <c r="M1215">
        <v>1</v>
      </c>
      <c r="N1215" t="e">
        <v>#N/A</v>
      </c>
    </row>
    <row r="1216" spans="1:14" ht="15" customHeight="1" x14ac:dyDescent="0.3">
      <c r="A1216" s="3">
        <v>1209659202</v>
      </c>
      <c r="B1216" s="3" t="s">
        <v>1362</v>
      </c>
      <c r="C1216" s="3" t="s">
        <v>1363</v>
      </c>
      <c r="D1216" s="4">
        <v>46307.436990740702</v>
      </c>
      <c r="E1216" s="5" t="s">
        <v>10</v>
      </c>
      <c r="F1216" s="5" t="s">
        <v>17</v>
      </c>
      <c r="G1216" s="5">
        <v>11</v>
      </c>
      <c r="H1216" s="6" t="s">
        <v>12</v>
      </c>
      <c r="I1216" t="s">
        <v>1385</v>
      </c>
      <c r="J1216" t="s">
        <v>2480</v>
      </c>
      <c r="K1216" t="str">
        <f>+VLOOKUP(C1216,'[1]TIENDAS 2025'!$A$1:$C$143,3,0)</f>
        <v>local</v>
      </c>
      <c r="L1216" t="str">
        <f>+VLOOKUP(C1216,[2]Hoja1!$A$1:$B$138,2,0)</f>
        <v>APROBAR</v>
      </c>
      <c r="M1216">
        <v>1</v>
      </c>
      <c r="N1216" t="e">
        <v>#N/A</v>
      </c>
    </row>
    <row r="1217" spans="1:14" ht="15" customHeight="1" x14ac:dyDescent="0.3">
      <c r="A1217" s="3">
        <v>8209659223</v>
      </c>
      <c r="B1217" s="3" t="s">
        <v>1365</v>
      </c>
      <c r="C1217" s="3" t="s">
        <v>1366</v>
      </c>
      <c r="D1217" s="4">
        <v>46307.4370023148</v>
      </c>
      <c r="E1217" s="5" t="s">
        <v>10</v>
      </c>
      <c r="F1217" s="5" t="s">
        <v>16</v>
      </c>
      <c r="G1217" s="5">
        <v>11</v>
      </c>
      <c r="H1217" s="8" t="s">
        <v>12</v>
      </c>
      <c r="I1217" t="s">
        <v>1386</v>
      </c>
      <c r="K1217" t="str">
        <f>+VLOOKUP(C1217,'[1]TIENDAS 2025'!$A$1:$C$143,3,0)</f>
        <v>nocturna</v>
      </c>
      <c r="L1217" t="str">
        <f>+VLOOKUP(C1217,[2]Hoja1!$A$1:$B$138,2,0)</f>
        <v>APROBAR</v>
      </c>
      <c r="M1217">
        <v>1</v>
      </c>
      <c r="N1217" t="e">
        <v>#N/A</v>
      </c>
    </row>
    <row r="1218" spans="1:14" ht="15" customHeight="1" x14ac:dyDescent="0.3">
      <c r="A1218" s="3">
        <v>8209659193</v>
      </c>
      <c r="B1218" s="3" t="s">
        <v>1362</v>
      </c>
      <c r="C1218" s="3" t="s">
        <v>1363</v>
      </c>
      <c r="D1218" s="4">
        <v>46307.437013888899</v>
      </c>
      <c r="E1218" s="5" t="s">
        <v>10</v>
      </c>
      <c r="F1218" s="5" t="s">
        <v>16</v>
      </c>
      <c r="G1218" s="5">
        <v>5</v>
      </c>
      <c r="H1218" s="8" t="s">
        <v>12</v>
      </c>
      <c r="I1218" t="s">
        <v>1387</v>
      </c>
      <c r="K1218" t="str">
        <f>+VLOOKUP(C1218,'[1]TIENDAS 2025'!$A$1:$C$143,3,0)</f>
        <v>local</v>
      </c>
      <c r="L1218" t="str">
        <f>+VLOOKUP(C1218,[2]Hoja1!$A$1:$B$138,2,0)</f>
        <v>APROBAR</v>
      </c>
      <c r="M1218">
        <v>1</v>
      </c>
      <c r="N1218" t="e">
        <v>#N/A</v>
      </c>
    </row>
    <row r="1219" spans="1:14" ht="15" customHeight="1" x14ac:dyDescent="0.3">
      <c r="A1219" s="3">
        <v>8209659253</v>
      </c>
      <c r="B1219" s="3" t="s">
        <v>1356</v>
      </c>
      <c r="C1219" s="3" t="s">
        <v>1357</v>
      </c>
      <c r="D1219" s="4">
        <v>46307.437037037002</v>
      </c>
      <c r="E1219" s="5" t="s">
        <v>10</v>
      </c>
      <c r="F1219" s="5" t="s">
        <v>16</v>
      </c>
      <c r="G1219" s="5">
        <v>1</v>
      </c>
      <c r="H1219" s="8" t="s">
        <v>12</v>
      </c>
      <c r="I1219" t="s">
        <v>1388</v>
      </c>
      <c r="K1219" t="str">
        <f>+VLOOKUP(C1219,'[1]TIENDAS 2025'!$A$1:$C$143,3,0)</f>
        <v>departamental</v>
      </c>
      <c r="L1219" t="str">
        <f>+VLOOKUP(C1219,[2]Hoja1!$A$1:$B$138,2,0)</f>
        <v>APROBAR</v>
      </c>
      <c r="M1219">
        <v>1</v>
      </c>
      <c r="N1219" t="e">
        <v>#N/A</v>
      </c>
    </row>
    <row r="1220" spans="1:14" ht="15" customHeight="1" x14ac:dyDescent="0.3">
      <c r="A1220" s="3">
        <v>8209659195</v>
      </c>
      <c r="B1220" s="3" t="s">
        <v>1362</v>
      </c>
      <c r="C1220" s="3" t="s">
        <v>1363</v>
      </c>
      <c r="D1220" s="4">
        <v>46307.437037037002</v>
      </c>
      <c r="E1220" s="5" t="s">
        <v>10</v>
      </c>
      <c r="F1220" s="5" t="s">
        <v>16</v>
      </c>
      <c r="G1220" s="5">
        <v>2</v>
      </c>
      <c r="H1220" s="8" t="s">
        <v>12</v>
      </c>
      <c r="I1220" t="s">
        <v>1389</v>
      </c>
      <c r="K1220" t="str">
        <f>+VLOOKUP(C1220,'[1]TIENDAS 2025'!$A$1:$C$143,3,0)</f>
        <v>local</v>
      </c>
      <c r="L1220" t="str">
        <f>+VLOOKUP(C1220,[2]Hoja1!$A$1:$B$138,2,0)</f>
        <v>APROBAR</v>
      </c>
      <c r="M1220">
        <v>1</v>
      </c>
      <c r="N1220" t="e">
        <v>#N/A</v>
      </c>
    </row>
    <row r="1221" spans="1:14" ht="15" customHeight="1" x14ac:dyDescent="0.3">
      <c r="A1221" s="3">
        <v>8209659311</v>
      </c>
      <c r="B1221" s="3" t="s">
        <v>1372</v>
      </c>
      <c r="C1221" s="3" t="s">
        <v>1373</v>
      </c>
      <c r="D1221" s="4">
        <v>46307.4370486111</v>
      </c>
      <c r="E1221" s="5" t="s">
        <v>10</v>
      </c>
      <c r="F1221" s="5" t="s">
        <v>16</v>
      </c>
      <c r="G1221" s="5">
        <v>1</v>
      </c>
      <c r="H1221" s="8" t="s">
        <v>12</v>
      </c>
      <c r="I1221" t="s">
        <v>1390</v>
      </c>
      <c r="K1221" t="str">
        <f>+VLOOKUP(C1221,'[1]TIENDAS 2025'!$A$1:$C$143,3,0)</f>
        <v>departamental</v>
      </c>
      <c r="L1221" t="str">
        <f>+VLOOKUP(C1221,[2]Hoja1!$A$1:$B$138,2,0)</f>
        <v>APROBAR</v>
      </c>
      <c r="M1221">
        <v>1</v>
      </c>
      <c r="N1221" t="e">
        <v>#N/A</v>
      </c>
    </row>
    <row r="1222" spans="1:14" ht="15" customHeight="1" x14ac:dyDescent="0.3">
      <c r="A1222" s="3">
        <v>1209659199</v>
      </c>
      <c r="B1222" s="3" t="s">
        <v>1362</v>
      </c>
      <c r="C1222" s="3" t="s">
        <v>1363</v>
      </c>
      <c r="D1222" s="4">
        <v>46307.437071759297</v>
      </c>
      <c r="E1222" s="5" t="s">
        <v>10</v>
      </c>
      <c r="F1222" s="5" t="s">
        <v>17</v>
      </c>
      <c r="G1222" s="5">
        <v>2</v>
      </c>
      <c r="H1222" s="6" t="s">
        <v>12</v>
      </c>
      <c r="I1222" t="s">
        <v>1391</v>
      </c>
      <c r="J1222" t="s">
        <v>2480</v>
      </c>
      <c r="K1222" t="str">
        <f>+VLOOKUP(C1222,'[1]TIENDAS 2025'!$A$1:$C$143,3,0)</f>
        <v>local</v>
      </c>
      <c r="L1222" t="str">
        <f>+VLOOKUP(C1222,[2]Hoja1!$A$1:$B$138,2,0)</f>
        <v>APROBAR</v>
      </c>
      <c r="M1222">
        <v>1</v>
      </c>
      <c r="N1222" t="e">
        <v>#N/A</v>
      </c>
    </row>
    <row r="1223" spans="1:14" ht="15" customHeight="1" x14ac:dyDescent="0.3">
      <c r="A1223" s="3">
        <v>8209659291</v>
      </c>
      <c r="B1223" s="3" t="s">
        <v>1372</v>
      </c>
      <c r="C1223" s="3" t="s">
        <v>1373</v>
      </c>
      <c r="D1223" s="4">
        <v>46307.437083333301</v>
      </c>
      <c r="E1223" s="5" t="s">
        <v>10</v>
      </c>
      <c r="F1223" s="5" t="s">
        <v>16</v>
      </c>
      <c r="G1223" s="5">
        <v>5</v>
      </c>
      <c r="H1223" s="8" t="s">
        <v>12</v>
      </c>
      <c r="I1223" t="s">
        <v>1392</v>
      </c>
      <c r="K1223" t="str">
        <f>+VLOOKUP(C1223,'[1]TIENDAS 2025'!$A$1:$C$143,3,0)</f>
        <v>departamental</v>
      </c>
      <c r="L1223" t="str">
        <f>+VLOOKUP(C1223,[2]Hoja1!$A$1:$B$138,2,0)</f>
        <v>APROBAR</v>
      </c>
      <c r="M1223">
        <v>1</v>
      </c>
      <c r="N1223" t="e">
        <v>#N/A</v>
      </c>
    </row>
    <row r="1224" spans="1:14" ht="15" customHeight="1" x14ac:dyDescent="0.3">
      <c r="A1224" s="3">
        <v>1209659235</v>
      </c>
      <c r="B1224" s="3" t="s">
        <v>1365</v>
      </c>
      <c r="C1224" s="3" t="s">
        <v>1366</v>
      </c>
      <c r="D1224" s="4">
        <v>46307.437106481499</v>
      </c>
      <c r="E1224" s="5" t="s">
        <v>10</v>
      </c>
      <c r="F1224" s="5" t="s">
        <v>17</v>
      </c>
      <c r="G1224" s="5">
        <v>55</v>
      </c>
      <c r="H1224" s="6" t="s">
        <v>12</v>
      </c>
      <c r="I1224" t="s">
        <v>1393</v>
      </c>
      <c r="J1224" t="s">
        <v>2480</v>
      </c>
      <c r="K1224" t="str">
        <f>+VLOOKUP(C1224,'[1]TIENDAS 2025'!$A$1:$C$143,3,0)</f>
        <v>nocturna</v>
      </c>
      <c r="L1224" t="str">
        <f>+VLOOKUP(C1224,[2]Hoja1!$A$1:$B$138,2,0)</f>
        <v>APROBAR</v>
      </c>
      <c r="M1224">
        <v>1</v>
      </c>
      <c r="N1224" t="e">
        <v>#N/A</v>
      </c>
    </row>
    <row r="1225" spans="1:14" ht="15" customHeight="1" x14ac:dyDescent="0.3">
      <c r="A1225" s="3">
        <v>1209659149</v>
      </c>
      <c r="B1225" s="3" t="s">
        <v>1359</v>
      </c>
      <c r="C1225" s="3" t="s">
        <v>1360</v>
      </c>
      <c r="D1225" s="4">
        <v>46307.437106481499</v>
      </c>
      <c r="E1225" s="5" t="s">
        <v>10</v>
      </c>
      <c r="F1225" s="5" t="s">
        <v>11</v>
      </c>
      <c r="G1225" s="5">
        <v>27</v>
      </c>
      <c r="H1225" s="6" t="s">
        <v>12</v>
      </c>
      <c r="I1225" t="s">
        <v>1394</v>
      </c>
      <c r="J1225" t="s">
        <v>2480</v>
      </c>
      <c r="K1225" t="str">
        <f>+VLOOKUP(C1225,'[1]TIENDAS 2025'!$A$1:$C$143,3,0)</f>
        <v>nocturna</v>
      </c>
      <c r="L1225" t="str">
        <f>+VLOOKUP(C1225,[2]Hoja1!$A$1:$B$138,2,0)</f>
        <v>APROBAR</v>
      </c>
      <c r="M1225">
        <v>1</v>
      </c>
      <c r="N1225" t="e">
        <v>#N/A</v>
      </c>
    </row>
    <row r="1226" spans="1:14" ht="15" customHeight="1" x14ac:dyDescent="0.3">
      <c r="A1226" s="3">
        <v>1209659236</v>
      </c>
      <c r="B1226" s="3" t="s">
        <v>1365</v>
      </c>
      <c r="C1226" s="3" t="s">
        <v>1366</v>
      </c>
      <c r="D1226" s="4">
        <v>46307.437118055597</v>
      </c>
      <c r="E1226" s="5" t="s">
        <v>10</v>
      </c>
      <c r="F1226" s="5" t="s">
        <v>11</v>
      </c>
      <c r="G1226" s="5">
        <v>67</v>
      </c>
      <c r="H1226" s="6" t="s">
        <v>12</v>
      </c>
      <c r="I1226" t="s">
        <v>1395</v>
      </c>
      <c r="J1226" t="s">
        <v>2480</v>
      </c>
      <c r="K1226" t="str">
        <f>+VLOOKUP(C1226,'[1]TIENDAS 2025'!$A$1:$C$143,3,0)</f>
        <v>nocturna</v>
      </c>
      <c r="L1226" t="str">
        <f>+VLOOKUP(C1226,[2]Hoja1!$A$1:$B$138,2,0)</f>
        <v>APROBAR</v>
      </c>
      <c r="M1226">
        <v>1</v>
      </c>
      <c r="N1226" t="e">
        <v>#N/A</v>
      </c>
    </row>
    <row r="1227" spans="1:14" ht="15" customHeight="1" x14ac:dyDescent="0.3">
      <c r="A1227" s="3">
        <v>1209659207</v>
      </c>
      <c r="B1227" s="3" t="s">
        <v>1362</v>
      </c>
      <c r="C1227" s="3" t="s">
        <v>1363</v>
      </c>
      <c r="D1227" s="4">
        <v>46307.4371412037</v>
      </c>
      <c r="E1227" s="5" t="s">
        <v>10</v>
      </c>
      <c r="F1227" s="5" t="s">
        <v>17</v>
      </c>
      <c r="G1227" s="5">
        <v>28</v>
      </c>
      <c r="H1227" s="6" t="s">
        <v>12</v>
      </c>
      <c r="I1227" t="s">
        <v>1396</v>
      </c>
      <c r="J1227" t="s">
        <v>2480</v>
      </c>
      <c r="K1227" t="str">
        <f>+VLOOKUP(C1227,'[1]TIENDAS 2025'!$A$1:$C$143,3,0)</f>
        <v>local</v>
      </c>
      <c r="L1227" t="str">
        <f>+VLOOKUP(C1227,[2]Hoja1!$A$1:$B$138,2,0)</f>
        <v>APROBAR</v>
      </c>
      <c r="M1227">
        <v>1</v>
      </c>
      <c r="N1227" t="e">
        <v>#N/A</v>
      </c>
    </row>
    <row r="1228" spans="1:14" ht="15" customHeight="1" x14ac:dyDescent="0.3">
      <c r="A1228" s="3">
        <v>8209659222</v>
      </c>
      <c r="B1228" s="3" t="s">
        <v>1365</v>
      </c>
      <c r="C1228" s="3" t="s">
        <v>1366</v>
      </c>
      <c r="D1228" s="4">
        <v>46307.437152777798</v>
      </c>
      <c r="E1228" s="5" t="s">
        <v>10</v>
      </c>
      <c r="F1228" s="5" t="s">
        <v>16</v>
      </c>
      <c r="G1228" s="5">
        <v>5</v>
      </c>
      <c r="H1228" s="8" t="s">
        <v>12</v>
      </c>
      <c r="I1228" t="s">
        <v>1397</v>
      </c>
      <c r="K1228" t="str">
        <f>+VLOOKUP(C1228,'[1]TIENDAS 2025'!$A$1:$C$143,3,0)</f>
        <v>nocturna</v>
      </c>
      <c r="L1228" t="str">
        <f>+VLOOKUP(C1228,[2]Hoja1!$A$1:$B$138,2,0)</f>
        <v>APROBAR</v>
      </c>
      <c r="M1228">
        <v>1</v>
      </c>
      <c r="N1228" t="e">
        <v>#N/A</v>
      </c>
    </row>
    <row r="1229" spans="1:14" ht="15" customHeight="1" x14ac:dyDescent="0.3">
      <c r="A1229" s="3">
        <v>1209659227</v>
      </c>
      <c r="B1229" s="3" t="s">
        <v>1365</v>
      </c>
      <c r="C1229" s="3" t="s">
        <v>1366</v>
      </c>
      <c r="D1229" s="4">
        <v>46307.437175925901</v>
      </c>
      <c r="E1229" s="5" t="s">
        <v>10</v>
      </c>
      <c r="F1229" s="5" t="s">
        <v>11</v>
      </c>
      <c r="G1229" s="5">
        <v>2</v>
      </c>
      <c r="H1229" s="6" t="s">
        <v>12</v>
      </c>
      <c r="I1229" t="s">
        <v>1398</v>
      </c>
      <c r="J1229" t="s">
        <v>2480</v>
      </c>
      <c r="K1229" t="str">
        <f>+VLOOKUP(C1229,'[1]TIENDAS 2025'!$A$1:$C$143,3,0)</f>
        <v>nocturna</v>
      </c>
      <c r="L1229" t="str">
        <f>+VLOOKUP(C1229,[2]Hoja1!$A$1:$B$138,2,0)</f>
        <v>APROBAR</v>
      </c>
      <c r="M1229">
        <v>1</v>
      </c>
      <c r="N1229" t="e">
        <v>#N/A</v>
      </c>
    </row>
    <row r="1230" spans="1:14" ht="15" customHeight="1" x14ac:dyDescent="0.3">
      <c r="A1230" s="3">
        <v>8209659140</v>
      </c>
      <c r="B1230" s="3" t="s">
        <v>1359</v>
      </c>
      <c r="C1230" s="3" t="s">
        <v>1360</v>
      </c>
      <c r="D1230" s="4">
        <v>46307.437175925901</v>
      </c>
      <c r="E1230" s="5" t="s">
        <v>10</v>
      </c>
      <c r="F1230" s="5" t="s">
        <v>16</v>
      </c>
      <c r="G1230" s="5">
        <v>15</v>
      </c>
      <c r="H1230" s="8" t="s">
        <v>12</v>
      </c>
      <c r="I1230" t="s">
        <v>1399</v>
      </c>
      <c r="K1230" t="str">
        <f>+VLOOKUP(C1230,'[1]TIENDAS 2025'!$A$1:$C$143,3,0)</f>
        <v>nocturna</v>
      </c>
      <c r="L1230" t="str">
        <f>+VLOOKUP(C1230,[2]Hoja1!$A$1:$B$138,2,0)</f>
        <v>APROBAR</v>
      </c>
      <c r="M1230">
        <v>1</v>
      </c>
      <c r="N1230" t="e">
        <v>#N/A</v>
      </c>
    </row>
    <row r="1231" spans="1:14" ht="15" customHeight="1" x14ac:dyDescent="0.3">
      <c r="A1231" s="3">
        <v>1209659266</v>
      </c>
      <c r="B1231" s="3" t="s">
        <v>1356</v>
      </c>
      <c r="C1231" s="3" t="s">
        <v>1357</v>
      </c>
      <c r="D1231" s="4">
        <v>46307.4371875</v>
      </c>
      <c r="E1231" s="5" t="s">
        <v>10</v>
      </c>
      <c r="F1231" s="5" t="s">
        <v>17</v>
      </c>
      <c r="G1231" s="5">
        <v>31</v>
      </c>
      <c r="H1231" s="6" t="s">
        <v>12</v>
      </c>
      <c r="I1231" t="s">
        <v>1400</v>
      </c>
      <c r="J1231" t="s">
        <v>2480</v>
      </c>
      <c r="K1231" t="str">
        <f>+VLOOKUP(C1231,'[1]TIENDAS 2025'!$A$1:$C$143,3,0)</f>
        <v>departamental</v>
      </c>
      <c r="L1231" t="str">
        <f>+VLOOKUP(C1231,[2]Hoja1!$A$1:$B$138,2,0)</f>
        <v>APROBAR</v>
      </c>
      <c r="M1231">
        <v>1</v>
      </c>
      <c r="N1231" t="e">
        <v>#N/A</v>
      </c>
    </row>
    <row r="1232" spans="1:14" ht="15" customHeight="1" x14ac:dyDescent="0.3">
      <c r="A1232" s="3">
        <v>1209659155</v>
      </c>
      <c r="B1232" s="3" t="s">
        <v>1359</v>
      </c>
      <c r="C1232" s="3" t="s">
        <v>1360</v>
      </c>
      <c r="D1232" s="4">
        <v>46307.437210648102</v>
      </c>
      <c r="E1232" s="5" t="s">
        <v>10</v>
      </c>
      <c r="F1232" s="5" t="s">
        <v>11</v>
      </c>
      <c r="G1232" s="5">
        <v>17</v>
      </c>
      <c r="H1232" s="6" t="s">
        <v>12</v>
      </c>
      <c r="I1232" t="s">
        <v>1401</v>
      </c>
      <c r="J1232" t="s">
        <v>2480</v>
      </c>
      <c r="K1232" t="str">
        <f>+VLOOKUP(C1232,'[1]TIENDAS 2025'!$A$1:$C$143,3,0)</f>
        <v>nocturna</v>
      </c>
      <c r="L1232" t="str">
        <f>+VLOOKUP(C1232,[2]Hoja1!$A$1:$B$138,2,0)</f>
        <v>APROBAR</v>
      </c>
      <c r="M1232">
        <v>1</v>
      </c>
      <c r="N1232" t="e">
        <v>#N/A</v>
      </c>
    </row>
    <row r="1233" spans="1:14" ht="15" customHeight="1" x14ac:dyDescent="0.3">
      <c r="A1233" s="3">
        <v>8209659197</v>
      </c>
      <c r="B1233" s="3" t="s">
        <v>1362</v>
      </c>
      <c r="C1233" s="3" t="s">
        <v>1363</v>
      </c>
      <c r="D1233" s="4">
        <v>46307.437222222201</v>
      </c>
      <c r="E1233" s="5" t="s">
        <v>10</v>
      </c>
      <c r="F1233" s="5" t="s">
        <v>16</v>
      </c>
      <c r="G1233" s="5">
        <v>2</v>
      </c>
      <c r="H1233" s="8" t="s">
        <v>12</v>
      </c>
      <c r="I1233" t="s">
        <v>1402</v>
      </c>
      <c r="K1233" t="str">
        <f>+VLOOKUP(C1233,'[1]TIENDAS 2025'!$A$1:$C$143,3,0)</f>
        <v>local</v>
      </c>
      <c r="L1233" t="str">
        <f>+VLOOKUP(C1233,[2]Hoja1!$A$1:$B$138,2,0)</f>
        <v>APROBAR</v>
      </c>
      <c r="M1233">
        <v>1</v>
      </c>
      <c r="N1233" t="e">
        <v>#N/A</v>
      </c>
    </row>
    <row r="1234" spans="1:14" ht="15" customHeight="1" x14ac:dyDescent="0.3">
      <c r="A1234" s="3">
        <v>1209659273</v>
      </c>
      <c r="B1234" s="3" t="s">
        <v>1356</v>
      </c>
      <c r="C1234" s="3" t="s">
        <v>1357</v>
      </c>
      <c r="D1234" s="4">
        <v>46307.437245370398</v>
      </c>
      <c r="E1234" s="5" t="s">
        <v>10</v>
      </c>
      <c r="F1234" s="5" t="s">
        <v>16</v>
      </c>
      <c r="G1234" s="5">
        <v>23</v>
      </c>
      <c r="H1234" s="6" t="s">
        <v>12</v>
      </c>
      <c r="I1234" t="s">
        <v>1403</v>
      </c>
      <c r="J1234" t="s">
        <v>2480</v>
      </c>
      <c r="K1234" t="str">
        <f>+VLOOKUP(C1234,'[1]TIENDAS 2025'!$A$1:$C$143,3,0)</f>
        <v>departamental</v>
      </c>
      <c r="L1234" t="str">
        <f>+VLOOKUP(C1234,[2]Hoja1!$A$1:$B$138,2,0)</f>
        <v>APROBAR</v>
      </c>
      <c r="M1234">
        <v>1</v>
      </c>
      <c r="N1234" t="e">
        <v>#N/A</v>
      </c>
    </row>
    <row r="1235" spans="1:14" ht="15" customHeight="1" x14ac:dyDescent="0.3">
      <c r="A1235" s="3">
        <v>8209659256</v>
      </c>
      <c r="B1235" s="3" t="s">
        <v>1356</v>
      </c>
      <c r="C1235" s="3" t="s">
        <v>1357</v>
      </c>
      <c r="D1235" s="4">
        <v>46307.437245370398</v>
      </c>
      <c r="E1235" s="5" t="s">
        <v>10</v>
      </c>
      <c r="F1235" s="5" t="s">
        <v>16</v>
      </c>
      <c r="G1235" s="5">
        <v>1</v>
      </c>
      <c r="H1235" s="8" t="s">
        <v>12</v>
      </c>
      <c r="I1235" t="s">
        <v>1404</v>
      </c>
      <c r="K1235" t="str">
        <f>+VLOOKUP(C1235,'[1]TIENDAS 2025'!$A$1:$C$143,3,0)</f>
        <v>departamental</v>
      </c>
      <c r="L1235" t="str">
        <f>+VLOOKUP(C1235,[2]Hoja1!$A$1:$B$138,2,0)</f>
        <v>APROBAR</v>
      </c>
      <c r="M1235">
        <v>1</v>
      </c>
      <c r="N1235" t="e">
        <v>#N/A</v>
      </c>
    </row>
    <row r="1236" spans="1:14" ht="15" customHeight="1" x14ac:dyDescent="0.3">
      <c r="A1236" s="3">
        <v>8209659257</v>
      </c>
      <c r="B1236" s="3" t="s">
        <v>1356</v>
      </c>
      <c r="C1236" s="3" t="s">
        <v>1357</v>
      </c>
      <c r="D1236" s="4">
        <v>46307.437256944402</v>
      </c>
      <c r="E1236" s="5" t="s">
        <v>10</v>
      </c>
      <c r="F1236" s="5" t="s">
        <v>16</v>
      </c>
      <c r="G1236" s="5">
        <v>1</v>
      </c>
      <c r="H1236" s="8" t="s">
        <v>12</v>
      </c>
      <c r="I1236" t="s">
        <v>1405</v>
      </c>
      <c r="K1236" t="str">
        <f>+VLOOKUP(C1236,'[1]TIENDAS 2025'!$A$1:$C$143,3,0)</f>
        <v>departamental</v>
      </c>
      <c r="L1236" t="str">
        <f>+VLOOKUP(C1236,[2]Hoja1!$A$1:$B$138,2,0)</f>
        <v>APROBAR</v>
      </c>
      <c r="M1236">
        <v>1</v>
      </c>
      <c r="N1236" t="e">
        <v>#N/A</v>
      </c>
    </row>
    <row r="1237" spans="1:14" ht="15" customHeight="1" x14ac:dyDescent="0.3">
      <c r="A1237" s="3">
        <v>1209659277</v>
      </c>
      <c r="B1237" s="3" t="s">
        <v>1356</v>
      </c>
      <c r="C1237" s="3" t="s">
        <v>1357</v>
      </c>
      <c r="D1237" s="4">
        <v>46307.437280092599</v>
      </c>
      <c r="E1237" s="5" t="s">
        <v>10</v>
      </c>
      <c r="F1237" s="5" t="s">
        <v>11</v>
      </c>
      <c r="G1237" s="5">
        <v>14</v>
      </c>
      <c r="H1237" s="6" t="s">
        <v>12</v>
      </c>
      <c r="I1237" t="s">
        <v>1406</v>
      </c>
      <c r="J1237" t="s">
        <v>2480</v>
      </c>
      <c r="K1237" t="str">
        <f>+VLOOKUP(C1237,'[1]TIENDAS 2025'!$A$1:$C$143,3,0)</f>
        <v>departamental</v>
      </c>
      <c r="L1237" t="str">
        <f>+VLOOKUP(C1237,[2]Hoja1!$A$1:$B$138,2,0)</f>
        <v>APROBAR</v>
      </c>
      <c r="M1237">
        <v>1</v>
      </c>
      <c r="N1237" t="e">
        <v>#N/A</v>
      </c>
    </row>
    <row r="1238" spans="1:14" ht="15" customHeight="1" x14ac:dyDescent="0.3">
      <c r="A1238" s="3">
        <v>1209659204</v>
      </c>
      <c r="B1238" s="3" t="s">
        <v>1362</v>
      </c>
      <c r="C1238" s="3" t="s">
        <v>1363</v>
      </c>
      <c r="D1238" s="4">
        <v>46307.437291666698</v>
      </c>
      <c r="E1238" s="5" t="s">
        <v>10</v>
      </c>
      <c r="F1238" s="5" t="s">
        <v>11</v>
      </c>
      <c r="G1238" s="5">
        <v>18</v>
      </c>
      <c r="H1238" s="6" t="s">
        <v>12</v>
      </c>
      <c r="I1238" t="s">
        <v>1407</v>
      </c>
      <c r="J1238" t="s">
        <v>2480</v>
      </c>
      <c r="K1238" t="str">
        <f>+VLOOKUP(C1238,'[1]TIENDAS 2025'!$A$1:$C$143,3,0)</f>
        <v>local</v>
      </c>
      <c r="L1238" t="str">
        <f>+VLOOKUP(C1238,[2]Hoja1!$A$1:$B$138,2,0)</f>
        <v>APROBAR</v>
      </c>
      <c r="M1238">
        <v>1</v>
      </c>
      <c r="N1238" t="e">
        <v>#N/A</v>
      </c>
    </row>
    <row r="1239" spans="1:14" ht="15" customHeight="1" x14ac:dyDescent="0.3">
      <c r="A1239" s="3">
        <v>8209659224</v>
      </c>
      <c r="B1239" s="3" t="s">
        <v>1365</v>
      </c>
      <c r="C1239" s="3" t="s">
        <v>1366</v>
      </c>
      <c r="D1239" s="4">
        <v>46307.437303240702</v>
      </c>
      <c r="E1239" s="5" t="s">
        <v>10</v>
      </c>
      <c r="F1239" s="5" t="s">
        <v>16</v>
      </c>
      <c r="G1239" s="5">
        <v>7</v>
      </c>
      <c r="H1239" s="8" t="s">
        <v>12</v>
      </c>
      <c r="I1239" t="s">
        <v>1408</v>
      </c>
      <c r="K1239" t="str">
        <f>+VLOOKUP(C1239,'[1]TIENDAS 2025'!$A$1:$C$143,3,0)</f>
        <v>nocturna</v>
      </c>
      <c r="L1239" t="str">
        <f>+VLOOKUP(C1239,[2]Hoja1!$A$1:$B$138,2,0)</f>
        <v>APROBAR</v>
      </c>
      <c r="M1239">
        <v>1</v>
      </c>
      <c r="N1239" t="e">
        <v>#N/A</v>
      </c>
    </row>
    <row r="1240" spans="1:14" ht="15" customHeight="1" x14ac:dyDescent="0.3">
      <c r="A1240" s="3">
        <v>8209659237</v>
      </c>
      <c r="B1240" s="3" t="s">
        <v>1365</v>
      </c>
      <c r="C1240" s="3" t="s">
        <v>1366</v>
      </c>
      <c r="D1240" s="4">
        <v>46307.437314814801</v>
      </c>
      <c r="E1240" s="5" t="s">
        <v>10</v>
      </c>
      <c r="F1240" s="5" t="s">
        <v>16</v>
      </c>
      <c r="G1240" s="5">
        <v>27</v>
      </c>
      <c r="H1240" s="8" t="s">
        <v>12</v>
      </c>
      <c r="I1240" t="s">
        <v>1409</v>
      </c>
      <c r="K1240" t="str">
        <f>+VLOOKUP(C1240,'[1]TIENDAS 2025'!$A$1:$C$143,3,0)</f>
        <v>nocturna</v>
      </c>
      <c r="L1240" t="str">
        <f>+VLOOKUP(C1240,[2]Hoja1!$A$1:$B$138,2,0)</f>
        <v>APROBAR</v>
      </c>
      <c r="M1240">
        <v>1</v>
      </c>
      <c r="N1240" t="e">
        <v>#N/A</v>
      </c>
    </row>
    <row r="1241" spans="1:14" ht="15" customHeight="1" x14ac:dyDescent="0.3">
      <c r="A1241" s="3">
        <v>1209659245</v>
      </c>
      <c r="B1241" s="3" t="s">
        <v>1365</v>
      </c>
      <c r="C1241" s="3" t="s">
        <v>1366</v>
      </c>
      <c r="D1241" s="4">
        <v>46307.437326388899</v>
      </c>
      <c r="E1241" s="5" t="s">
        <v>10</v>
      </c>
      <c r="F1241" s="5" t="s">
        <v>17</v>
      </c>
      <c r="G1241" s="5">
        <v>15</v>
      </c>
      <c r="H1241" s="6" t="s">
        <v>12</v>
      </c>
      <c r="I1241" t="s">
        <v>1410</v>
      </c>
      <c r="J1241" t="s">
        <v>2480</v>
      </c>
      <c r="K1241" t="str">
        <f>+VLOOKUP(C1241,'[1]TIENDAS 2025'!$A$1:$C$143,3,0)</f>
        <v>nocturna</v>
      </c>
      <c r="L1241" t="str">
        <f>+VLOOKUP(C1241,[2]Hoja1!$A$1:$B$138,2,0)</f>
        <v>APROBAR</v>
      </c>
      <c r="M1241">
        <v>1</v>
      </c>
      <c r="N1241" t="e">
        <v>#N/A</v>
      </c>
    </row>
    <row r="1242" spans="1:14" ht="15" customHeight="1" x14ac:dyDescent="0.3">
      <c r="A1242" s="3">
        <v>1209659229</v>
      </c>
      <c r="B1242" s="3" t="s">
        <v>1365</v>
      </c>
      <c r="C1242" s="3" t="s">
        <v>1366</v>
      </c>
      <c r="D1242" s="4">
        <v>46307.437349537002</v>
      </c>
      <c r="E1242" s="5" t="s">
        <v>10</v>
      </c>
      <c r="F1242" s="5" t="s">
        <v>17</v>
      </c>
      <c r="G1242" s="5">
        <v>19</v>
      </c>
      <c r="H1242" s="6" t="s">
        <v>12</v>
      </c>
      <c r="I1242" t="s">
        <v>1411</v>
      </c>
      <c r="J1242" t="s">
        <v>2480</v>
      </c>
      <c r="K1242" t="str">
        <f>+VLOOKUP(C1242,'[1]TIENDAS 2025'!$A$1:$C$143,3,0)</f>
        <v>nocturna</v>
      </c>
      <c r="L1242" t="str">
        <f>+VLOOKUP(C1242,[2]Hoja1!$A$1:$B$138,2,0)</f>
        <v>APROBAR</v>
      </c>
      <c r="M1242">
        <v>1</v>
      </c>
      <c r="N1242" t="e">
        <v>#N/A</v>
      </c>
    </row>
    <row r="1243" spans="1:14" ht="15" customHeight="1" x14ac:dyDescent="0.3">
      <c r="A1243" s="3">
        <v>8209659269</v>
      </c>
      <c r="B1243" s="3" t="s">
        <v>1356</v>
      </c>
      <c r="C1243" s="3" t="s">
        <v>1357</v>
      </c>
      <c r="D1243" s="4">
        <v>46307.4373611111</v>
      </c>
      <c r="E1243" s="5" t="s">
        <v>10</v>
      </c>
      <c r="F1243" s="5" t="s">
        <v>16</v>
      </c>
      <c r="G1243" s="5">
        <v>7</v>
      </c>
      <c r="H1243" s="8" t="s">
        <v>12</v>
      </c>
      <c r="I1243" t="s">
        <v>1412</v>
      </c>
      <c r="K1243" t="str">
        <f>+VLOOKUP(C1243,'[1]TIENDAS 2025'!$A$1:$C$143,3,0)</f>
        <v>departamental</v>
      </c>
      <c r="L1243" t="str">
        <f>+VLOOKUP(C1243,[2]Hoja1!$A$1:$B$138,2,0)</f>
        <v>APROBAR</v>
      </c>
      <c r="M1243">
        <v>1</v>
      </c>
      <c r="N1243" t="e">
        <v>#N/A</v>
      </c>
    </row>
    <row r="1244" spans="1:14" ht="15" customHeight="1" x14ac:dyDescent="0.3">
      <c r="A1244" s="3">
        <v>8209659200</v>
      </c>
      <c r="B1244" s="3" t="s">
        <v>1362</v>
      </c>
      <c r="C1244" s="3" t="s">
        <v>1363</v>
      </c>
      <c r="D1244" s="4">
        <v>46307.437372685199</v>
      </c>
      <c r="E1244" s="5" t="s">
        <v>10</v>
      </c>
      <c r="F1244" s="5" t="s">
        <v>16</v>
      </c>
      <c r="G1244" s="5">
        <v>8</v>
      </c>
      <c r="H1244" s="8" t="s">
        <v>12</v>
      </c>
      <c r="I1244" t="s">
        <v>1413</v>
      </c>
      <c r="K1244" t="str">
        <f>+VLOOKUP(C1244,'[1]TIENDAS 2025'!$A$1:$C$143,3,0)</f>
        <v>local</v>
      </c>
      <c r="L1244" t="str">
        <f>+VLOOKUP(C1244,[2]Hoja1!$A$1:$B$138,2,0)</f>
        <v>APROBAR</v>
      </c>
      <c r="M1244">
        <v>1</v>
      </c>
      <c r="N1244" t="e">
        <v>#N/A</v>
      </c>
    </row>
    <row r="1245" spans="1:14" ht="15" customHeight="1" x14ac:dyDescent="0.3">
      <c r="A1245" s="3">
        <v>1209659219</v>
      </c>
      <c r="B1245" s="3" t="s">
        <v>1362</v>
      </c>
      <c r="C1245" s="3" t="s">
        <v>1363</v>
      </c>
      <c r="D1245" s="4">
        <v>46307.437384259298</v>
      </c>
      <c r="E1245" s="5" t="s">
        <v>10</v>
      </c>
      <c r="F1245" s="5" t="s">
        <v>11</v>
      </c>
      <c r="G1245" s="5">
        <v>2</v>
      </c>
      <c r="H1245" s="6" t="s">
        <v>12</v>
      </c>
      <c r="I1245" t="s">
        <v>1414</v>
      </c>
      <c r="J1245" t="s">
        <v>2480</v>
      </c>
      <c r="K1245" t="str">
        <f>+VLOOKUP(C1245,'[1]TIENDAS 2025'!$A$1:$C$143,3,0)</f>
        <v>local</v>
      </c>
      <c r="L1245" t="str">
        <f>+VLOOKUP(C1245,[2]Hoja1!$A$1:$B$138,2,0)</f>
        <v>APROBAR</v>
      </c>
      <c r="M1245">
        <v>1</v>
      </c>
      <c r="N1245" t="e">
        <v>#N/A</v>
      </c>
    </row>
    <row r="1246" spans="1:14" ht="15" customHeight="1" x14ac:dyDescent="0.3">
      <c r="A1246" s="3">
        <v>1209659296</v>
      </c>
      <c r="B1246" s="3" t="s">
        <v>1372</v>
      </c>
      <c r="C1246" s="3" t="s">
        <v>1373</v>
      </c>
      <c r="D1246" s="4">
        <v>46307.437395833302</v>
      </c>
      <c r="E1246" s="5" t="s">
        <v>10</v>
      </c>
      <c r="F1246" s="5" t="s">
        <v>17</v>
      </c>
      <c r="G1246" s="5">
        <v>3</v>
      </c>
      <c r="H1246" s="6" t="s">
        <v>12</v>
      </c>
      <c r="I1246" t="s">
        <v>1415</v>
      </c>
      <c r="J1246" t="s">
        <v>2480</v>
      </c>
      <c r="K1246" t="str">
        <f>+VLOOKUP(C1246,'[1]TIENDAS 2025'!$A$1:$C$143,3,0)</f>
        <v>departamental</v>
      </c>
      <c r="L1246" t="str">
        <f>+VLOOKUP(C1246,[2]Hoja1!$A$1:$B$138,2,0)</f>
        <v>APROBAR</v>
      </c>
      <c r="M1246">
        <v>1</v>
      </c>
      <c r="N1246" t="e">
        <v>#N/A</v>
      </c>
    </row>
    <row r="1247" spans="1:14" ht="15" customHeight="1" x14ac:dyDescent="0.3">
      <c r="A1247" s="3">
        <v>1209659280</v>
      </c>
      <c r="B1247" s="3" t="s">
        <v>1356</v>
      </c>
      <c r="C1247" s="3" t="s">
        <v>1357</v>
      </c>
      <c r="D1247" s="4">
        <v>46307.437418981499</v>
      </c>
      <c r="E1247" s="5" t="s">
        <v>10</v>
      </c>
      <c r="F1247" s="5" t="s">
        <v>11</v>
      </c>
      <c r="G1247" s="5">
        <v>6</v>
      </c>
      <c r="H1247" s="6" t="s">
        <v>12</v>
      </c>
      <c r="I1247" t="s">
        <v>1416</v>
      </c>
      <c r="J1247" t="s">
        <v>2480</v>
      </c>
      <c r="K1247" t="str">
        <f>+VLOOKUP(C1247,'[1]TIENDAS 2025'!$A$1:$C$143,3,0)</f>
        <v>departamental</v>
      </c>
      <c r="L1247" t="str">
        <f>+VLOOKUP(C1247,[2]Hoja1!$A$1:$B$138,2,0)</f>
        <v>APROBAR</v>
      </c>
      <c r="M1247">
        <v>1</v>
      </c>
      <c r="N1247" t="e">
        <v>#N/A</v>
      </c>
    </row>
    <row r="1248" spans="1:14" ht="15" customHeight="1" x14ac:dyDescent="0.3">
      <c r="A1248" s="3">
        <v>1209659298</v>
      </c>
      <c r="B1248" s="3" t="s">
        <v>1372</v>
      </c>
      <c r="C1248" s="3" t="s">
        <v>1373</v>
      </c>
      <c r="D1248" s="4">
        <v>46307.437430555598</v>
      </c>
      <c r="E1248" s="5" t="s">
        <v>10</v>
      </c>
      <c r="F1248" s="5" t="s">
        <v>11</v>
      </c>
      <c r="G1248" s="5">
        <v>7</v>
      </c>
      <c r="H1248" s="6" t="s">
        <v>12</v>
      </c>
      <c r="I1248" t="s">
        <v>1417</v>
      </c>
      <c r="J1248" t="s">
        <v>2480</v>
      </c>
      <c r="K1248" t="str">
        <f>+VLOOKUP(C1248,'[1]TIENDAS 2025'!$A$1:$C$143,3,0)</f>
        <v>departamental</v>
      </c>
      <c r="L1248" t="str">
        <f>+VLOOKUP(C1248,[2]Hoja1!$A$1:$B$138,2,0)</f>
        <v>APROBAR</v>
      </c>
      <c r="M1248">
        <v>1</v>
      </c>
      <c r="N1248" t="e">
        <v>#N/A</v>
      </c>
    </row>
    <row r="1249" spans="1:14" ht="15" customHeight="1" x14ac:dyDescent="0.3">
      <c r="A1249" s="3">
        <v>1209659260</v>
      </c>
      <c r="B1249" s="3" t="s">
        <v>1356</v>
      </c>
      <c r="C1249" s="3" t="s">
        <v>1357</v>
      </c>
      <c r="D1249" s="4">
        <v>46307.437442129602</v>
      </c>
      <c r="E1249" s="5" t="s">
        <v>10</v>
      </c>
      <c r="F1249" s="5" t="s">
        <v>11</v>
      </c>
      <c r="G1249" s="5">
        <v>5</v>
      </c>
      <c r="H1249" s="6" t="s">
        <v>12</v>
      </c>
      <c r="I1249" t="s">
        <v>1418</v>
      </c>
      <c r="J1249" t="s">
        <v>2480</v>
      </c>
      <c r="K1249" t="str">
        <f>+VLOOKUP(C1249,'[1]TIENDAS 2025'!$A$1:$C$143,3,0)</f>
        <v>departamental</v>
      </c>
      <c r="L1249" t="str">
        <f>+VLOOKUP(C1249,[2]Hoja1!$A$1:$B$138,2,0)</f>
        <v>APROBAR</v>
      </c>
      <c r="M1249">
        <v>1</v>
      </c>
      <c r="N1249" t="e">
        <v>#N/A</v>
      </c>
    </row>
    <row r="1250" spans="1:14" ht="15" customHeight="1" x14ac:dyDescent="0.3">
      <c r="A1250" s="3">
        <v>1209659300</v>
      </c>
      <c r="B1250" s="3" t="s">
        <v>1372</v>
      </c>
      <c r="C1250" s="3" t="s">
        <v>1373</v>
      </c>
      <c r="D1250" s="4">
        <v>46307.4374537037</v>
      </c>
      <c r="E1250" s="5" t="s">
        <v>10</v>
      </c>
      <c r="F1250" s="5" t="s">
        <v>17</v>
      </c>
      <c r="G1250" s="5">
        <v>11</v>
      </c>
      <c r="H1250" s="6" t="s">
        <v>12</v>
      </c>
      <c r="I1250" t="s">
        <v>1419</v>
      </c>
      <c r="J1250" t="s">
        <v>2480</v>
      </c>
      <c r="K1250" t="str">
        <f>+VLOOKUP(C1250,'[1]TIENDAS 2025'!$A$1:$C$143,3,0)</f>
        <v>departamental</v>
      </c>
      <c r="L1250" t="str">
        <f>+VLOOKUP(C1250,[2]Hoja1!$A$1:$B$138,2,0)</f>
        <v>APROBAR</v>
      </c>
      <c r="M1250">
        <v>1</v>
      </c>
      <c r="N1250" t="e">
        <v>#N/A</v>
      </c>
    </row>
    <row r="1251" spans="1:14" ht="15" customHeight="1" x14ac:dyDescent="0.3">
      <c r="A1251" s="3">
        <v>8209659225</v>
      </c>
      <c r="B1251" s="3" t="s">
        <v>1365</v>
      </c>
      <c r="C1251" s="3" t="s">
        <v>1366</v>
      </c>
      <c r="D1251" s="4">
        <v>46307.437465277799</v>
      </c>
      <c r="E1251" s="5" t="s">
        <v>10</v>
      </c>
      <c r="F1251" s="5" t="s">
        <v>16</v>
      </c>
      <c r="G1251" s="5">
        <v>5</v>
      </c>
      <c r="H1251" s="8" t="s">
        <v>12</v>
      </c>
      <c r="I1251" t="s">
        <v>1420</v>
      </c>
      <c r="K1251" t="str">
        <f>+VLOOKUP(C1251,'[1]TIENDAS 2025'!$A$1:$C$143,3,0)</f>
        <v>nocturna</v>
      </c>
      <c r="L1251" t="str">
        <f>+VLOOKUP(C1251,[2]Hoja1!$A$1:$B$138,2,0)</f>
        <v>APROBAR</v>
      </c>
      <c r="M1251">
        <v>1</v>
      </c>
      <c r="N1251" t="e">
        <v>#N/A</v>
      </c>
    </row>
    <row r="1252" spans="1:14" ht="15" customHeight="1" x14ac:dyDescent="0.3">
      <c r="A1252" s="3">
        <v>8209659142</v>
      </c>
      <c r="B1252" s="3" t="s">
        <v>1359</v>
      </c>
      <c r="C1252" s="3" t="s">
        <v>1360</v>
      </c>
      <c r="D1252" s="4">
        <v>46307.437476851897</v>
      </c>
      <c r="E1252" s="5" t="s">
        <v>10</v>
      </c>
      <c r="F1252" s="5" t="s">
        <v>16</v>
      </c>
      <c r="G1252" s="5">
        <v>3</v>
      </c>
      <c r="H1252" s="8" t="s">
        <v>12</v>
      </c>
      <c r="I1252" t="s">
        <v>1421</v>
      </c>
      <c r="K1252" t="str">
        <f>+VLOOKUP(C1252,'[1]TIENDAS 2025'!$A$1:$C$143,3,0)</f>
        <v>nocturna</v>
      </c>
      <c r="L1252" t="str">
        <f>+VLOOKUP(C1252,[2]Hoja1!$A$1:$B$138,2,0)</f>
        <v>APROBAR</v>
      </c>
      <c r="M1252">
        <v>1</v>
      </c>
      <c r="N1252" t="e">
        <v>#N/A</v>
      </c>
    </row>
    <row r="1253" spans="1:14" ht="15" customHeight="1" x14ac:dyDescent="0.3">
      <c r="A1253" s="3">
        <v>8209659154</v>
      </c>
      <c r="B1253" s="3" t="s">
        <v>1359</v>
      </c>
      <c r="C1253" s="3" t="s">
        <v>1360</v>
      </c>
      <c r="D1253" s="4">
        <v>46307.4375</v>
      </c>
      <c r="E1253" s="5" t="s">
        <v>10</v>
      </c>
      <c r="F1253" s="5" t="s">
        <v>16</v>
      </c>
      <c r="G1253" s="5">
        <v>5</v>
      </c>
      <c r="H1253" s="8" t="s">
        <v>12</v>
      </c>
      <c r="I1253" t="s">
        <v>1422</v>
      </c>
      <c r="K1253" t="str">
        <f>+VLOOKUP(C1253,'[1]TIENDAS 2025'!$A$1:$C$143,3,0)</f>
        <v>nocturna</v>
      </c>
      <c r="L1253" t="str">
        <f>+VLOOKUP(C1253,[2]Hoja1!$A$1:$B$138,2,0)</f>
        <v>APROBAR</v>
      </c>
      <c r="M1253">
        <v>1</v>
      </c>
      <c r="N1253" t="e">
        <v>#N/A</v>
      </c>
    </row>
    <row r="1254" spans="1:14" ht="15" customHeight="1" x14ac:dyDescent="0.3">
      <c r="A1254" s="3">
        <v>1209659146</v>
      </c>
      <c r="B1254" s="3" t="s">
        <v>1359</v>
      </c>
      <c r="C1254" s="3" t="s">
        <v>1360</v>
      </c>
      <c r="D1254" s="4">
        <v>46307.437511574099</v>
      </c>
      <c r="E1254" s="5" t="s">
        <v>10</v>
      </c>
      <c r="F1254" s="5" t="s">
        <v>11</v>
      </c>
      <c r="G1254" s="5">
        <v>15</v>
      </c>
      <c r="H1254" s="6" t="s">
        <v>12</v>
      </c>
      <c r="I1254" t="s">
        <v>1423</v>
      </c>
      <c r="J1254" t="s">
        <v>2480</v>
      </c>
      <c r="K1254" t="str">
        <f>+VLOOKUP(C1254,'[1]TIENDAS 2025'!$A$1:$C$143,3,0)</f>
        <v>nocturna</v>
      </c>
      <c r="L1254" t="str">
        <f>+VLOOKUP(C1254,[2]Hoja1!$A$1:$B$138,2,0)</f>
        <v>APROBAR</v>
      </c>
      <c r="M1254">
        <v>1</v>
      </c>
      <c r="N1254" t="e">
        <v>#N/A</v>
      </c>
    </row>
    <row r="1255" spans="1:14" ht="15" customHeight="1" x14ac:dyDescent="0.3">
      <c r="A1255" s="3">
        <v>1209659233</v>
      </c>
      <c r="B1255" s="3" t="s">
        <v>1365</v>
      </c>
      <c r="C1255" s="3" t="s">
        <v>1366</v>
      </c>
      <c r="D1255" s="4">
        <v>46307.437523148103</v>
      </c>
      <c r="E1255" s="5" t="s">
        <v>10</v>
      </c>
      <c r="F1255" s="5" t="s">
        <v>11</v>
      </c>
      <c r="G1255" s="5">
        <v>19</v>
      </c>
      <c r="H1255" s="6" t="s">
        <v>12</v>
      </c>
      <c r="I1255" t="s">
        <v>1424</v>
      </c>
      <c r="J1255" t="s">
        <v>2480</v>
      </c>
      <c r="K1255" t="str">
        <f>+VLOOKUP(C1255,'[1]TIENDAS 2025'!$A$1:$C$143,3,0)</f>
        <v>nocturna</v>
      </c>
      <c r="L1255" t="str">
        <f>+VLOOKUP(C1255,[2]Hoja1!$A$1:$B$138,2,0)</f>
        <v>APROBAR</v>
      </c>
      <c r="M1255">
        <v>1</v>
      </c>
      <c r="N1255" t="e">
        <v>#N/A</v>
      </c>
    </row>
    <row r="1256" spans="1:14" ht="15" customHeight="1" x14ac:dyDescent="0.3">
      <c r="A1256" s="3">
        <v>1209659147</v>
      </c>
      <c r="B1256" s="3" t="s">
        <v>1359</v>
      </c>
      <c r="C1256" s="3" t="s">
        <v>1360</v>
      </c>
      <c r="D1256" s="4">
        <v>46307.437534722201</v>
      </c>
      <c r="E1256" s="5" t="s">
        <v>10</v>
      </c>
      <c r="F1256" s="5" t="s">
        <v>17</v>
      </c>
      <c r="G1256" s="5">
        <v>23</v>
      </c>
      <c r="H1256" s="6" t="s">
        <v>12</v>
      </c>
      <c r="I1256" t="s">
        <v>1425</v>
      </c>
      <c r="J1256" t="s">
        <v>2480</v>
      </c>
      <c r="K1256" t="str">
        <f>+VLOOKUP(C1256,'[1]TIENDAS 2025'!$A$1:$C$143,3,0)</f>
        <v>nocturna</v>
      </c>
      <c r="L1256" t="str">
        <f>+VLOOKUP(C1256,[2]Hoja1!$A$1:$B$138,2,0)</f>
        <v>APROBAR</v>
      </c>
      <c r="M1256">
        <v>1</v>
      </c>
      <c r="N1256" t="e">
        <v>#N/A</v>
      </c>
    </row>
    <row r="1257" spans="1:14" ht="15" customHeight="1" x14ac:dyDescent="0.3">
      <c r="A1257" s="3">
        <v>8209659255</v>
      </c>
      <c r="B1257" s="3" t="s">
        <v>1356</v>
      </c>
      <c r="C1257" s="3" t="s">
        <v>1357</v>
      </c>
      <c r="D1257" s="4">
        <v>46307.4375462963</v>
      </c>
      <c r="E1257" s="5" t="s">
        <v>10</v>
      </c>
      <c r="F1257" s="5" t="s">
        <v>16</v>
      </c>
      <c r="G1257" s="5">
        <v>2</v>
      </c>
      <c r="H1257" s="8" t="s">
        <v>12</v>
      </c>
      <c r="I1257" t="s">
        <v>1426</v>
      </c>
      <c r="K1257" t="str">
        <f>+VLOOKUP(C1257,'[1]TIENDAS 2025'!$A$1:$C$143,3,0)</f>
        <v>departamental</v>
      </c>
      <c r="L1257" t="str">
        <f>+VLOOKUP(C1257,[2]Hoja1!$A$1:$B$138,2,0)</f>
        <v>APROBAR</v>
      </c>
      <c r="M1257">
        <v>1</v>
      </c>
      <c r="N1257" t="e">
        <v>#N/A</v>
      </c>
    </row>
    <row r="1258" spans="1:14" ht="15" customHeight="1" x14ac:dyDescent="0.3">
      <c r="A1258" s="3">
        <v>1209659203</v>
      </c>
      <c r="B1258" s="3" t="s">
        <v>1362</v>
      </c>
      <c r="C1258" s="3" t="s">
        <v>1363</v>
      </c>
      <c r="D1258" s="4">
        <v>46307.437569444402</v>
      </c>
      <c r="E1258" s="5" t="s">
        <v>10</v>
      </c>
      <c r="F1258" s="5" t="s">
        <v>17</v>
      </c>
      <c r="G1258" s="5">
        <v>17</v>
      </c>
      <c r="H1258" s="6" t="s">
        <v>12</v>
      </c>
      <c r="I1258" t="s">
        <v>1427</v>
      </c>
      <c r="J1258" t="s">
        <v>2480</v>
      </c>
      <c r="K1258" t="str">
        <f>+VLOOKUP(C1258,'[1]TIENDAS 2025'!$A$1:$C$143,3,0)</f>
        <v>local</v>
      </c>
      <c r="L1258" t="str">
        <f>+VLOOKUP(C1258,[2]Hoja1!$A$1:$B$138,2,0)</f>
        <v>APROBAR</v>
      </c>
      <c r="M1258">
        <v>1</v>
      </c>
      <c r="N1258" t="e">
        <v>#N/A</v>
      </c>
    </row>
    <row r="1259" spans="1:14" ht="15" customHeight="1" x14ac:dyDescent="0.3">
      <c r="A1259" s="3">
        <v>1209659297</v>
      </c>
      <c r="B1259" s="3" t="s">
        <v>1372</v>
      </c>
      <c r="C1259" s="3" t="s">
        <v>1373</v>
      </c>
      <c r="D1259" s="4">
        <v>46307.437569444402</v>
      </c>
      <c r="E1259" s="5" t="s">
        <v>10</v>
      </c>
      <c r="F1259" s="5" t="s">
        <v>11</v>
      </c>
      <c r="G1259" s="5">
        <v>9</v>
      </c>
      <c r="H1259" s="6" t="s">
        <v>12</v>
      </c>
      <c r="I1259" t="s">
        <v>1428</v>
      </c>
      <c r="J1259" t="s">
        <v>2480</v>
      </c>
      <c r="K1259" t="str">
        <f>+VLOOKUP(C1259,'[1]TIENDAS 2025'!$A$1:$C$143,3,0)</f>
        <v>departamental</v>
      </c>
      <c r="L1259" t="str">
        <f>+VLOOKUP(C1259,[2]Hoja1!$A$1:$B$138,2,0)</f>
        <v>APROBAR</v>
      </c>
      <c r="M1259">
        <v>1</v>
      </c>
      <c r="N1259" t="e">
        <v>#N/A</v>
      </c>
    </row>
    <row r="1260" spans="1:14" ht="15" customHeight="1" x14ac:dyDescent="0.3">
      <c r="A1260" s="3">
        <v>1209659259</v>
      </c>
      <c r="B1260" s="3" t="s">
        <v>1356</v>
      </c>
      <c r="C1260" s="3" t="s">
        <v>1357</v>
      </c>
      <c r="D1260" s="4">
        <v>46307.4375925926</v>
      </c>
      <c r="E1260" s="5" t="s">
        <v>10</v>
      </c>
      <c r="F1260" s="5" t="s">
        <v>17</v>
      </c>
      <c r="G1260" s="5">
        <v>3</v>
      </c>
      <c r="H1260" s="6" t="s">
        <v>12</v>
      </c>
      <c r="I1260" t="s">
        <v>1429</v>
      </c>
      <c r="J1260" t="s">
        <v>2480</v>
      </c>
      <c r="K1260" t="str">
        <f>+VLOOKUP(C1260,'[1]TIENDAS 2025'!$A$1:$C$143,3,0)</f>
        <v>departamental</v>
      </c>
      <c r="L1260" t="str">
        <f>+VLOOKUP(C1260,[2]Hoja1!$A$1:$B$138,2,0)</f>
        <v>APROBAR</v>
      </c>
      <c r="M1260">
        <v>1</v>
      </c>
      <c r="N1260" t="e">
        <v>#N/A</v>
      </c>
    </row>
    <row r="1261" spans="1:14" ht="15" customHeight="1" x14ac:dyDescent="0.3">
      <c r="A1261" s="3">
        <v>1209659206</v>
      </c>
      <c r="B1261" s="3" t="s">
        <v>1362</v>
      </c>
      <c r="C1261" s="3" t="s">
        <v>1363</v>
      </c>
      <c r="D1261" s="4">
        <v>46307.437604166698</v>
      </c>
      <c r="E1261" s="5" t="s">
        <v>10</v>
      </c>
      <c r="F1261" s="5" t="s">
        <v>11</v>
      </c>
      <c r="G1261" s="5">
        <v>17</v>
      </c>
      <c r="H1261" s="6" t="s">
        <v>12</v>
      </c>
      <c r="I1261" t="s">
        <v>1430</v>
      </c>
      <c r="J1261" t="s">
        <v>2480</v>
      </c>
      <c r="K1261" t="str">
        <f>+VLOOKUP(C1261,'[1]TIENDAS 2025'!$A$1:$C$143,3,0)</f>
        <v>local</v>
      </c>
      <c r="L1261" t="str">
        <f>+VLOOKUP(C1261,[2]Hoja1!$A$1:$B$138,2,0)</f>
        <v>APROBAR</v>
      </c>
      <c r="M1261">
        <v>1</v>
      </c>
      <c r="N1261" t="e">
        <v>#N/A</v>
      </c>
    </row>
    <row r="1262" spans="1:14" ht="15" customHeight="1" x14ac:dyDescent="0.3">
      <c r="A1262" s="3">
        <v>1209659208</v>
      </c>
      <c r="B1262" s="3" t="s">
        <v>1362</v>
      </c>
      <c r="C1262" s="3" t="s">
        <v>1363</v>
      </c>
      <c r="D1262" s="4">
        <v>46307.437615740702</v>
      </c>
      <c r="E1262" s="5" t="s">
        <v>10</v>
      </c>
      <c r="F1262" s="5" t="s">
        <v>11</v>
      </c>
      <c r="G1262" s="5">
        <v>33</v>
      </c>
      <c r="H1262" s="6" t="s">
        <v>12</v>
      </c>
      <c r="I1262" t="s">
        <v>1431</v>
      </c>
      <c r="J1262" t="s">
        <v>2480</v>
      </c>
      <c r="K1262" t="str">
        <f>+VLOOKUP(C1262,'[1]TIENDAS 2025'!$A$1:$C$143,3,0)</f>
        <v>local</v>
      </c>
      <c r="L1262" t="str">
        <f>+VLOOKUP(C1262,[2]Hoja1!$A$1:$B$138,2,0)</f>
        <v>APROBAR</v>
      </c>
      <c r="M1262">
        <v>1</v>
      </c>
      <c r="N1262" t="e">
        <v>#N/A</v>
      </c>
    </row>
    <row r="1263" spans="1:14" ht="15" customHeight="1" x14ac:dyDescent="0.3">
      <c r="A1263" s="3">
        <v>1209659228</v>
      </c>
      <c r="B1263" s="3" t="s">
        <v>1365</v>
      </c>
      <c r="C1263" s="3" t="s">
        <v>1366</v>
      </c>
      <c r="D1263" s="4">
        <v>46307.4376388889</v>
      </c>
      <c r="E1263" s="5" t="s">
        <v>10</v>
      </c>
      <c r="F1263" s="5" t="s">
        <v>17</v>
      </c>
      <c r="G1263" s="5">
        <v>15</v>
      </c>
      <c r="H1263" s="6" t="s">
        <v>12</v>
      </c>
      <c r="I1263" t="s">
        <v>1432</v>
      </c>
      <c r="J1263" t="s">
        <v>2480</v>
      </c>
      <c r="K1263" t="str">
        <f>+VLOOKUP(C1263,'[1]TIENDAS 2025'!$A$1:$C$143,3,0)</f>
        <v>nocturna</v>
      </c>
      <c r="L1263" t="str">
        <f>+VLOOKUP(C1263,[2]Hoja1!$A$1:$B$138,2,0)</f>
        <v>APROBAR</v>
      </c>
      <c r="M1263">
        <v>1</v>
      </c>
      <c r="N1263" t="e">
        <v>#N/A</v>
      </c>
    </row>
    <row r="1264" spans="1:14" ht="15" customHeight="1" x14ac:dyDescent="0.3">
      <c r="A1264" s="3">
        <v>8209659137</v>
      </c>
      <c r="B1264" s="3" t="s">
        <v>1359</v>
      </c>
      <c r="C1264" s="3" t="s">
        <v>1360</v>
      </c>
      <c r="D1264" s="4">
        <v>46307.437650462998</v>
      </c>
      <c r="E1264" s="5" t="s">
        <v>10</v>
      </c>
      <c r="F1264" s="5" t="s">
        <v>16</v>
      </c>
      <c r="G1264" s="5">
        <v>5</v>
      </c>
      <c r="H1264" s="8" t="s">
        <v>12</v>
      </c>
      <c r="I1264" t="s">
        <v>1433</v>
      </c>
      <c r="K1264" t="str">
        <f>+VLOOKUP(C1264,'[1]TIENDAS 2025'!$A$1:$C$143,3,0)</f>
        <v>nocturna</v>
      </c>
      <c r="L1264" t="str">
        <f>+VLOOKUP(C1264,[2]Hoja1!$A$1:$B$138,2,0)</f>
        <v>APROBAR</v>
      </c>
      <c r="M1264">
        <v>1</v>
      </c>
      <c r="N1264" t="e">
        <v>#N/A</v>
      </c>
    </row>
    <row r="1265" spans="1:14" ht="15" customHeight="1" x14ac:dyDescent="0.3">
      <c r="A1265" s="3">
        <v>8209659139</v>
      </c>
      <c r="B1265" s="3" t="s">
        <v>1359</v>
      </c>
      <c r="C1265" s="3" t="s">
        <v>1360</v>
      </c>
      <c r="D1265" s="4">
        <v>46307.437662037002</v>
      </c>
      <c r="E1265" s="5" t="s">
        <v>10</v>
      </c>
      <c r="F1265" s="5" t="s">
        <v>16</v>
      </c>
      <c r="G1265" s="5">
        <v>8</v>
      </c>
      <c r="H1265" s="8" t="s">
        <v>12</v>
      </c>
      <c r="I1265" t="s">
        <v>1434</v>
      </c>
      <c r="K1265" t="str">
        <f>+VLOOKUP(C1265,'[1]TIENDAS 2025'!$A$1:$C$143,3,0)</f>
        <v>nocturna</v>
      </c>
      <c r="L1265" t="str">
        <f>+VLOOKUP(C1265,[2]Hoja1!$A$1:$B$138,2,0)</f>
        <v>APROBAR</v>
      </c>
      <c r="M1265">
        <v>1</v>
      </c>
      <c r="N1265" t="e">
        <v>#N/A</v>
      </c>
    </row>
    <row r="1266" spans="1:14" ht="15" customHeight="1" x14ac:dyDescent="0.3">
      <c r="A1266" s="3">
        <v>1209659209</v>
      </c>
      <c r="B1266" s="3" t="s">
        <v>1362</v>
      </c>
      <c r="C1266" s="3" t="s">
        <v>1363</v>
      </c>
      <c r="D1266" s="4">
        <v>46307.437673611101</v>
      </c>
      <c r="E1266" s="5" t="s">
        <v>10</v>
      </c>
      <c r="F1266" s="5" t="s">
        <v>11</v>
      </c>
      <c r="G1266" s="5">
        <v>28</v>
      </c>
      <c r="H1266" s="6" t="s">
        <v>12</v>
      </c>
      <c r="I1266" t="s">
        <v>1435</v>
      </c>
      <c r="J1266" t="s">
        <v>2480</v>
      </c>
      <c r="K1266" t="str">
        <f>+VLOOKUP(C1266,'[1]TIENDAS 2025'!$A$1:$C$143,3,0)</f>
        <v>local</v>
      </c>
      <c r="L1266" t="str">
        <f>+VLOOKUP(C1266,[2]Hoja1!$A$1:$B$138,2,0)</f>
        <v>APROBAR</v>
      </c>
      <c r="M1266">
        <v>1</v>
      </c>
      <c r="N1266" t="e">
        <v>#N/A</v>
      </c>
    </row>
    <row r="1267" spans="1:14" ht="15" customHeight="1" x14ac:dyDescent="0.3">
      <c r="A1267" s="3">
        <v>1209659230</v>
      </c>
      <c r="B1267" s="3" t="s">
        <v>1365</v>
      </c>
      <c r="C1267" s="3" t="s">
        <v>1366</v>
      </c>
      <c r="D1267" s="4">
        <v>46307.437685185199</v>
      </c>
      <c r="E1267" s="5" t="s">
        <v>10</v>
      </c>
      <c r="F1267" s="5" t="s">
        <v>11</v>
      </c>
      <c r="G1267" s="5">
        <v>20</v>
      </c>
      <c r="H1267" s="6" t="s">
        <v>12</v>
      </c>
      <c r="I1267" t="s">
        <v>1436</v>
      </c>
      <c r="J1267" t="s">
        <v>2480</v>
      </c>
      <c r="K1267" t="str">
        <f>+VLOOKUP(C1267,'[1]TIENDAS 2025'!$A$1:$C$143,3,0)</f>
        <v>nocturna</v>
      </c>
      <c r="L1267" t="str">
        <f>+VLOOKUP(C1267,[2]Hoja1!$A$1:$B$138,2,0)</f>
        <v>APROBAR</v>
      </c>
      <c r="M1267">
        <v>1</v>
      </c>
      <c r="N1267" t="e">
        <v>#N/A</v>
      </c>
    </row>
    <row r="1268" spans="1:14" ht="15" customHeight="1" x14ac:dyDescent="0.3">
      <c r="A1268" s="3">
        <v>1209659308</v>
      </c>
      <c r="B1268" s="3" t="s">
        <v>1372</v>
      </c>
      <c r="C1268" s="3" t="s">
        <v>1373</v>
      </c>
      <c r="D1268" s="4">
        <v>46307.437708333302</v>
      </c>
      <c r="E1268" s="5" t="s">
        <v>10</v>
      </c>
      <c r="F1268" s="5" t="s">
        <v>11</v>
      </c>
      <c r="G1268" s="5">
        <v>4</v>
      </c>
      <c r="H1268" s="6" t="s">
        <v>12</v>
      </c>
      <c r="I1268" t="s">
        <v>1437</v>
      </c>
      <c r="J1268" t="s">
        <v>2480</v>
      </c>
      <c r="K1268" t="str">
        <f>+VLOOKUP(C1268,'[1]TIENDAS 2025'!$A$1:$C$143,3,0)</f>
        <v>departamental</v>
      </c>
      <c r="L1268" t="str">
        <f>+VLOOKUP(C1268,[2]Hoja1!$A$1:$B$138,2,0)</f>
        <v>APROBAR</v>
      </c>
      <c r="M1268">
        <v>1</v>
      </c>
      <c r="N1268" t="e">
        <v>#N/A</v>
      </c>
    </row>
    <row r="1269" spans="1:14" ht="15" customHeight="1" x14ac:dyDescent="0.3">
      <c r="A1269" s="3">
        <v>1209659143</v>
      </c>
      <c r="B1269" s="3" t="s">
        <v>1359</v>
      </c>
      <c r="C1269" s="3" t="s">
        <v>1360</v>
      </c>
      <c r="D1269" s="4">
        <v>46307.437708333302</v>
      </c>
      <c r="E1269" s="5" t="s">
        <v>10</v>
      </c>
      <c r="F1269" s="5" t="s">
        <v>17</v>
      </c>
      <c r="G1269" s="5">
        <v>3</v>
      </c>
      <c r="H1269" s="6" t="s">
        <v>12</v>
      </c>
      <c r="I1269" t="s">
        <v>1438</v>
      </c>
      <c r="J1269" t="s">
        <v>2480</v>
      </c>
      <c r="K1269" t="str">
        <f>+VLOOKUP(C1269,'[1]TIENDAS 2025'!$A$1:$C$143,3,0)</f>
        <v>nocturna</v>
      </c>
      <c r="L1269" t="str">
        <f>+VLOOKUP(C1269,[2]Hoja1!$A$1:$B$138,2,0)</f>
        <v>APROBAR</v>
      </c>
      <c r="M1269">
        <v>1</v>
      </c>
      <c r="N1269" t="e">
        <v>#N/A</v>
      </c>
    </row>
    <row r="1270" spans="1:14" ht="15" customHeight="1" x14ac:dyDescent="0.3">
      <c r="A1270" s="3">
        <v>8209659268</v>
      </c>
      <c r="B1270" s="3" t="s">
        <v>1356</v>
      </c>
      <c r="C1270" s="3" t="s">
        <v>1357</v>
      </c>
      <c r="D1270" s="4">
        <v>46307.437731481499</v>
      </c>
      <c r="E1270" s="5" t="s">
        <v>10</v>
      </c>
      <c r="F1270" s="5" t="s">
        <v>16</v>
      </c>
      <c r="G1270" s="5">
        <v>3</v>
      </c>
      <c r="H1270" s="8" t="s">
        <v>12</v>
      </c>
      <c r="I1270" t="s">
        <v>1439</v>
      </c>
      <c r="K1270" t="str">
        <f>+VLOOKUP(C1270,'[1]TIENDAS 2025'!$A$1:$C$143,3,0)</f>
        <v>departamental</v>
      </c>
      <c r="L1270" t="str">
        <f>+VLOOKUP(C1270,[2]Hoja1!$A$1:$B$138,2,0)</f>
        <v>APROBAR</v>
      </c>
      <c r="M1270">
        <v>1</v>
      </c>
      <c r="N1270" t="e">
        <v>#N/A</v>
      </c>
    </row>
    <row r="1271" spans="1:14" ht="15" customHeight="1" x14ac:dyDescent="0.3">
      <c r="A1271" s="3">
        <v>8209659270</v>
      </c>
      <c r="B1271" s="3" t="s">
        <v>1356</v>
      </c>
      <c r="C1271" s="3" t="s">
        <v>1357</v>
      </c>
      <c r="D1271" s="4">
        <v>46307.437743055598</v>
      </c>
      <c r="E1271" s="5" t="s">
        <v>10</v>
      </c>
      <c r="F1271" s="5" t="s">
        <v>16</v>
      </c>
      <c r="G1271" s="5">
        <v>4</v>
      </c>
      <c r="H1271" s="8" t="s">
        <v>12</v>
      </c>
      <c r="I1271" t="s">
        <v>1440</v>
      </c>
      <c r="K1271" t="str">
        <f>+VLOOKUP(C1271,'[1]TIENDAS 2025'!$A$1:$C$143,3,0)</f>
        <v>departamental</v>
      </c>
      <c r="L1271" t="str">
        <f>+VLOOKUP(C1271,[2]Hoja1!$A$1:$B$138,2,0)</f>
        <v>APROBAR</v>
      </c>
      <c r="M1271">
        <v>1</v>
      </c>
      <c r="N1271" t="e">
        <v>#N/A</v>
      </c>
    </row>
    <row r="1272" spans="1:14" ht="15" customHeight="1" x14ac:dyDescent="0.3">
      <c r="A1272" s="3">
        <v>8209659194</v>
      </c>
      <c r="B1272" s="3" t="s">
        <v>1362</v>
      </c>
      <c r="C1272" s="3" t="s">
        <v>1363</v>
      </c>
      <c r="D1272" s="4">
        <v>46307.4377662037</v>
      </c>
      <c r="E1272" s="5" t="s">
        <v>10</v>
      </c>
      <c r="F1272" s="5" t="s">
        <v>16</v>
      </c>
      <c r="G1272" s="5">
        <v>5</v>
      </c>
      <c r="H1272" s="8" t="s">
        <v>12</v>
      </c>
      <c r="I1272" t="s">
        <v>1441</v>
      </c>
      <c r="K1272" t="str">
        <f>+VLOOKUP(C1272,'[1]TIENDAS 2025'!$A$1:$C$143,3,0)</f>
        <v>local</v>
      </c>
      <c r="L1272" t="str">
        <f>+VLOOKUP(C1272,[2]Hoja1!$A$1:$B$138,2,0)</f>
        <v>APROBAR</v>
      </c>
      <c r="M1272">
        <v>1</v>
      </c>
      <c r="N1272" t="e">
        <v>#N/A</v>
      </c>
    </row>
    <row r="1273" spans="1:14" ht="15" customHeight="1" x14ac:dyDescent="0.3">
      <c r="A1273" s="3">
        <v>8209659196</v>
      </c>
      <c r="B1273" s="3" t="s">
        <v>1362</v>
      </c>
      <c r="C1273" s="3" t="s">
        <v>1363</v>
      </c>
      <c r="D1273" s="4">
        <v>46307.437777777799</v>
      </c>
      <c r="E1273" s="5" t="s">
        <v>10</v>
      </c>
      <c r="F1273" s="5" t="s">
        <v>16</v>
      </c>
      <c r="G1273" s="5">
        <v>4</v>
      </c>
      <c r="H1273" s="8" t="s">
        <v>12</v>
      </c>
      <c r="I1273" t="s">
        <v>1442</v>
      </c>
      <c r="K1273" t="str">
        <f>+VLOOKUP(C1273,'[1]TIENDAS 2025'!$A$1:$C$143,3,0)</f>
        <v>local</v>
      </c>
      <c r="L1273" t="str">
        <f>+VLOOKUP(C1273,[2]Hoja1!$A$1:$B$138,2,0)</f>
        <v>APROBAR</v>
      </c>
      <c r="M1273">
        <v>1</v>
      </c>
      <c r="N1273" t="e">
        <v>#N/A</v>
      </c>
    </row>
    <row r="1274" spans="1:14" ht="15" customHeight="1" x14ac:dyDescent="0.3">
      <c r="A1274" s="3">
        <v>8209659292</v>
      </c>
      <c r="B1274" s="3" t="s">
        <v>1372</v>
      </c>
      <c r="C1274" s="3" t="s">
        <v>1373</v>
      </c>
      <c r="D1274" s="4">
        <v>46307.437789351898</v>
      </c>
      <c r="E1274" s="5" t="s">
        <v>10</v>
      </c>
      <c r="F1274" s="5" t="s">
        <v>16</v>
      </c>
      <c r="G1274" s="5">
        <v>3</v>
      </c>
      <c r="H1274" s="8" t="s">
        <v>12</v>
      </c>
      <c r="I1274" t="s">
        <v>1443</v>
      </c>
      <c r="K1274" t="str">
        <f>+VLOOKUP(C1274,'[1]TIENDAS 2025'!$A$1:$C$143,3,0)</f>
        <v>departamental</v>
      </c>
      <c r="L1274" t="str">
        <f>+VLOOKUP(C1274,[2]Hoja1!$A$1:$B$138,2,0)</f>
        <v>APROBAR</v>
      </c>
      <c r="M1274">
        <v>1</v>
      </c>
      <c r="N1274" t="e">
        <v>#N/A</v>
      </c>
    </row>
    <row r="1275" spans="1:14" ht="15" customHeight="1" x14ac:dyDescent="0.3">
      <c r="A1275" s="3">
        <v>8209659293</v>
      </c>
      <c r="B1275" s="3" t="s">
        <v>1372</v>
      </c>
      <c r="C1275" s="3" t="s">
        <v>1373</v>
      </c>
      <c r="D1275" s="4">
        <v>46307.437800925902</v>
      </c>
      <c r="E1275" s="5" t="s">
        <v>10</v>
      </c>
      <c r="F1275" s="5" t="s">
        <v>16</v>
      </c>
      <c r="G1275" s="5">
        <v>1</v>
      </c>
      <c r="H1275" s="8" t="s">
        <v>12</v>
      </c>
      <c r="I1275" t="s">
        <v>1444</v>
      </c>
      <c r="K1275" t="str">
        <f>+VLOOKUP(C1275,'[1]TIENDAS 2025'!$A$1:$C$143,3,0)</f>
        <v>departamental</v>
      </c>
      <c r="L1275" t="str">
        <f>+VLOOKUP(C1275,[2]Hoja1!$A$1:$B$138,2,0)</f>
        <v>APROBAR</v>
      </c>
      <c r="M1275">
        <v>1</v>
      </c>
      <c r="N1275" t="e">
        <v>#N/A</v>
      </c>
    </row>
    <row r="1276" spans="1:14" ht="15" customHeight="1" x14ac:dyDescent="0.3">
      <c r="A1276" s="3">
        <v>1209659318</v>
      </c>
      <c r="B1276" s="3" t="s">
        <v>1372</v>
      </c>
      <c r="C1276" s="3" t="s">
        <v>1373</v>
      </c>
      <c r="D1276" s="4">
        <v>46307.4378125</v>
      </c>
      <c r="E1276" s="5" t="s">
        <v>10</v>
      </c>
      <c r="F1276" s="5" t="s">
        <v>17</v>
      </c>
      <c r="G1276" s="5">
        <v>23</v>
      </c>
      <c r="H1276" s="6" t="s">
        <v>12</v>
      </c>
      <c r="I1276" t="s">
        <v>1445</v>
      </c>
      <c r="J1276" t="s">
        <v>2480</v>
      </c>
      <c r="K1276" t="str">
        <f>+VLOOKUP(C1276,'[1]TIENDAS 2025'!$A$1:$C$143,3,0)</f>
        <v>departamental</v>
      </c>
      <c r="L1276" t="str">
        <f>+VLOOKUP(C1276,[2]Hoja1!$A$1:$B$138,2,0)</f>
        <v>APROBAR</v>
      </c>
      <c r="M1276">
        <v>1</v>
      </c>
      <c r="N1276" t="e">
        <v>#N/A</v>
      </c>
    </row>
    <row r="1277" spans="1:14" ht="15" customHeight="1" x14ac:dyDescent="0.3">
      <c r="A1277" s="3">
        <v>1209659302</v>
      </c>
      <c r="B1277" s="3" t="s">
        <v>1372</v>
      </c>
      <c r="C1277" s="3" t="s">
        <v>1373</v>
      </c>
      <c r="D1277" s="4">
        <v>46307.437835648103</v>
      </c>
      <c r="E1277" s="5" t="s">
        <v>10</v>
      </c>
      <c r="F1277" s="5" t="s">
        <v>11</v>
      </c>
      <c r="G1277" s="5">
        <v>34</v>
      </c>
      <c r="H1277" s="6" t="s">
        <v>12</v>
      </c>
      <c r="I1277" t="s">
        <v>1446</v>
      </c>
      <c r="J1277" t="s">
        <v>2480</v>
      </c>
      <c r="K1277" t="str">
        <f>+VLOOKUP(C1277,'[1]TIENDAS 2025'!$A$1:$C$143,3,0)</f>
        <v>departamental</v>
      </c>
      <c r="L1277" t="str">
        <f>+VLOOKUP(C1277,[2]Hoja1!$A$1:$B$138,2,0)</f>
        <v>APROBAR</v>
      </c>
      <c r="M1277">
        <v>1</v>
      </c>
      <c r="N1277" t="e">
        <v>#N/A</v>
      </c>
    </row>
    <row r="1278" spans="1:14" ht="15" customHeight="1" x14ac:dyDescent="0.3">
      <c r="A1278" s="3">
        <v>1209659150</v>
      </c>
      <c r="B1278" s="3" t="s">
        <v>1359</v>
      </c>
      <c r="C1278" s="3" t="s">
        <v>1360</v>
      </c>
      <c r="D1278" s="4">
        <v>46307.437835648103</v>
      </c>
      <c r="E1278" s="5" t="s">
        <v>10</v>
      </c>
      <c r="F1278" s="5" t="s">
        <v>11</v>
      </c>
      <c r="G1278" s="5">
        <v>44</v>
      </c>
      <c r="H1278" s="6" t="s">
        <v>12</v>
      </c>
      <c r="I1278" t="s">
        <v>1447</v>
      </c>
      <c r="J1278" t="s">
        <v>2480</v>
      </c>
      <c r="K1278" t="str">
        <f>+VLOOKUP(C1278,'[1]TIENDAS 2025'!$A$1:$C$143,3,0)</f>
        <v>nocturna</v>
      </c>
      <c r="L1278" t="str">
        <f>+VLOOKUP(C1278,[2]Hoja1!$A$1:$B$138,2,0)</f>
        <v>APROBAR</v>
      </c>
      <c r="M1278">
        <v>1</v>
      </c>
      <c r="N1278" t="e">
        <v>#N/A</v>
      </c>
    </row>
    <row r="1279" spans="1:14" ht="15" customHeight="1" x14ac:dyDescent="0.3">
      <c r="A1279" s="3">
        <v>8209659226</v>
      </c>
      <c r="B1279" s="3" t="s">
        <v>1365</v>
      </c>
      <c r="C1279" s="3" t="s">
        <v>1366</v>
      </c>
      <c r="D1279" s="4">
        <v>46307.4378587963</v>
      </c>
      <c r="E1279" s="5" t="s">
        <v>10</v>
      </c>
      <c r="F1279" s="5" t="s">
        <v>16</v>
      </c>
      <c r="G1279" s="5">
        <v>8</v>
      </c>
      <c r="H1279" s="8" t="s">
        <v>12</v>
      </c>
      <c r="I1279" t="s">
        <v>1448</v>
      </c>
      <c r="K1279" t="str">
        <f>+VLOOKUP(C1279,'[1]TIENDAS 2025'!$A$1:$C$143,3,0)</f>
        <v>nocturna</v>
      </c>
      <c r="L1279" t="str">
        <f>+VLOOKUP(C1279,[2]Hoja1!$A$1:$B$138,2,0)</f>
        <v>APROBAR</v>
      </c>
      <c r="M1279">
        <v>1</v>
      </c>
      <c r="N1279" t="e">
        <v>#N/A</v>
      </c>
    </row>
    <row r="1280" spans="1:14" ht="15" customHeight="1" x14ac:dyDescent="0.3">
      <c r="A1280" s="3">
        <v>1209659264</v>
      </c>
      <c r="B1280" s="3" t="s">
        <v>1356</v>
      </c>
      <c r="C1280" s="3" t="s">
        <v>1357</v>
      </c>
      <c r="D1280" s="4">
        <v>46307.437870370399</v>
      </c>
      <c r="E1280" s="5" t="s">
        <v>10</v>
      </c>
      <c r="F1280" s="5" t="s">
        <v>17</v>
      </c>
      <c r="G1280" s="5">
        <v>25</v>
      </c>
      <c r="H1280" s="6" t="s">
        <v>12</v>
      </c>
      <c r="I1280" t="s">
        <v>1449</v>
      </c>
      <c r="J1280" t="s">
        <v>2480</v>
      </c>
      <c r="K1280" t="str">
        <f>+VLOOKUP(C1280,'[1]TIENDAS 2025'!$A$1:$C$143,3,0)</f>
        <v>departamental</v>
      </c>
      <c r="L1280" t="str">
        <f>+VLOOKUP(C1280,[2]Hoja1!$A$1:$B$138,2,0)</f>
        <v>APROBAR</v>
      </c>
      <c r="M1280">
        <v>1</v>
      </c>
      <c r="N1280" t="e">
        <v>#N/A</v>
      </c>
    </row>
    <row r="1281" spans="1:14" ht="15" customHeight="1" x14ac:dyDescent="0.3">
      <c r="A1281" s="3">
        <v>1209659303</v>
      </c>
      <c r="B1281" s="3" t="s">
        <v>1372</v>
      </c>
      <c r="C1281" s="3" t="s">
        <v>1373</v>
      </c>
      <c r="D1281" s="4">
        <v>46307.437881944403</v>
      </c>
      <c r="E1281" s="5" t="s">
        <v>10</v>
      </c>
      <c r="F1281" s="5" t="s">
        <v>11</v>
      </c>
      <c r="G1281" s="5">
        <v>35</v>
      </c>
      <c r="H1281" s="6" t="s">
        <v>12</v>
      </c>
      <c r="I1281" t="s">
        <v>1450</v>
      </c>
      <c r="J1281" t="s">
        <v>2480</v>
      </c>
      <c r="K1281" t="str">
        <f>+VLOOKUP(C1281,'[1]TIENDAS 2025'!$A$1:$C$143,3,0)</f>
        <v>departamental</v>
      </c>
      <c r="L1281" t="str">
        <f>+VLOOKUP(C1281,[2]Hoja1!$A$1:$B$138,2,0)</f>
        <v>APROBAR</v>
      </c>
      <c r="M1281">
        <v>1</v>
      </c>
      <c r="N1281" t="e">
        <v>#N/A</v>
      </c>
    </row>
    <row r="1282" spans="1:14" ht="15" customHeight="1" x14ac:dyDescent="0.3">
      <c r="A1282" s="3">
        <v>1209659145</v>
      </c>
      <c r="B1282" s="3" t="s">
        <v>1359</v>
      </c>
      <c r="C1282" s="3" t="s">
        <v>1360</v>
      </c>
      <c r="D1282" s="4">
        <v>46307.4379050926</v>
      </c>
      <c r="E1282" s="5" t="s">
        <v>10</v>
      </c>
      <c r="F1282" s="5" t="s">
        <v>11</v>
      </c>
      <c r="G1282" s="5">
        <v>14</v>
      </c>
      <c r="H1282" s="6" t="s">
        <v>12</v>
      </c>
      <c r="I1282" t="s">
        <v>1451</v>
      </c>
      <c r="J1282" t="s">
        <v>2480</v>
      </c>
      <c r="K1282" t="str">
        <f>+VLOOKUP(C1282,'[1]TIENDAS 2025'!$A$1:$C$143,3,0)</f>
        <v>nocturna</v>
      </c>
      <c r="L1282" t="str">
        <f>+VLOOKUP(C1282,[2]Hoja1!$A$1:$B$138,2,0)</f>
        <v>APROBAR</v>
      </c>
      <c r="M1282">
        <v>1</v>
      </c>
      <c r="N1282" t="e">
        <v>#N/A</v>
      </c>
    </row>
    <row r="1283" spans="1:14" ht="15" customHeight="1" x14ac:dyDescent="0.3">
      <c r="A1283" s="3">
        <v>1209659153</v>
      </c>
      <c r="B1283" s="3" t="s">
        <v>1359</v>
      </c>
      <c r="C1283" s="3" t="s">
        <v>1360</v>
      </c>
      <c r="D1283" s="4">
        <v>46307.4379050926</v>
      </c>
      <c r="E1283" s="5" t="s">
        <v>10</v>
      </c>
      <c r="F1283" s="5" t="s">
        <v>11</v>
      </c>
      <c r="G1283" s="5">
        <v>69</v>
      </c>
      <c r="H1283" s="6" t="s">
        <v>12</v>
      </c>
      <c r="I1283" t="s">
        <v>1452</v>
      </c>
      <c r="J1283" t="s">
        <v>2480</v>
      </c>
      <c r="K1283" t="str">
        <f>+VLOOKUP(C1283,'[1]TIENDAS 2025'!$A$1:$C$143,3,0)</f>
        <v>nocturna</v>
      </c>
      <c r="L1283" t="str">
        <f>+VLOOKUP(C1283,[2]Hoja1!$A$1:$B$138,2,0)</f>
        <v>APROBAR</v>
      </c>
      <c r="M1283">
        <v>1</v>
      </c>
      <c r="N1283" t="e">
        <v>#N/A</v>
      </c>
    </row>
    <row r="1284" spans="1:14" ht="15" customHeight="1" x14ac:dyDescent="0.3">
      <c r="A1284" s="3">
        <v>1209659301</v>
      </c>
      <c r="B1284" s="3" t="s">
        <v>1372</v>
      </c>
      <c r="C1284" s="3" t="s">
        <v>1373</v>
      </c>
      <c r="D1284" s="4">
        <v>46307.437916666699</v>
      </c>
      <c r="E1284" s="5" t="s">
        <v>10</v>
      </c>
      <c r="F1284" s="5" t="s">
        <v>11</v>
      </c>
      <c r="G1284" s="5">
        <v>14</v>
      </c>
      <c r="H1284" s="6" t="s">
        <v>12</v>
      </c>
      <c r="I1284" t="s">
        <v>1453</v>
      </c>
      <c r="J1284" t="s">
        <v>2480</v>
      </c>
      <c r="K1284" t="str">
        <f>+VLOOKUP(C1284,'[1]TIENDAS 2025'!$A$1:$C$143,3,0)</f>
        <v>departamental</v>
      </c>
      <c r="L1284" t="str">
        <f>+VLOOKUP(C1284,[2]Hoja1!$A$1:$B$138,2,0)</f>
        <v>APROBAR</v>
      </c>
      <c r="M1284">
        <v>1</v>
      </c>
      <c r="N1284" t="e">
        <v>#N/A</v>
      </c>
    </row>
    <row r="1285" spans="1:14" ht="15" customHeight="1" x14ac:dyDescent="0.3">
      <c r="A1285" s="3">
        <v>8209659340</v>
      </c>
      <c r="B1285" s="3" t="s">
        <v>1455</v>
      </c>
      <c r="C1285" s="3" t="s">
        <v>1456</v>
      </c>
      <c r="D1285" s="4">
        <v>46307.440173611103</v>
      </c>
      <c r="E1285" s="5" t="s">
        <v>10</v>
      </c>
      <c r="F1285" s="5" t="s">
        <v>16</v>
      </c>
      <c r="G1285" s="5">
        <v>7</v>
      </c>
      <c r="H1285" s="8" t="s">
        <v>12</v>
      </c>
      <c r="I1285" t="s">
        <v>1454</v>
      </c>
      <c r="K1285" t="str">
        <f>+VLOOKUP(C1285,'[1]TIENDAS 2025'!$A$1:$C$143,3,0)</f>
        <v>departamental</v>
      </c>
      <c r="L1285" t="str">
        <f>+VLOOKUP(C1285,[2]Hoja1!$A$1:$B$138,2,0)</f>
        <v>APROBAR</v>
      </c>
      <c r="M1285">
        <v>1</v>
      </c>
      <c r="N1285" t="e">
        <v>#N/A</v>
      </c>
    </row>
    <row r="1286" spans="1:14" ht="15" customHeight="1" x14ac:dyDescent="0.3">
      <c r="A1286" s="3">
        <v>8209659440</v>
      </c>
      <c r="B1286" s="3" t="s">
        <v>1458</v>
      </c>
      <c r="C1286" s="3" t="s">
        <v>1459</v>
      </c>
      <c r="D1286" s="4">
        <v>46307.4401967593</v>
      </c>
      <c r="E1286" s="5" t="s">
        <v>10</v>
      </c>
      <c r="F1286" s="5" t="s">
        <v>16</v>
      </c>
      <c r="G1286" s="5">
        <v>4</v>
      </c>
      <c r="H1286" s="8" t="s">
        <v>12</v>
      </c>
      <c r="I1286" t="s">
        <v>1457</v>
      </c>
      <c r="K1286" t="str">
        <f>+VLOOKUP(C1286,'[1]TIENDAS 2025'!$A$1:$C$143,3,0)</f>
        <v>nocturna</v>
      </c>
      <c r="L1286" t="str">
        <f>+VLOOKUP(C1286,[2]Hoja1!$A$1:$B$138,2,0)</f>
        <v>APROBAR</v>
      </c>
      <c r="M1286">
        <v>1</v>
      </c>
      <c r="N1286" t="e">
        <v>#N/A</v>
      </c>
    </row>
    <row r="1287" spans="1:14" ht="15" customHeight="1" x14ac:dyDescent="0.3">
      <c r="A1287" s="3">
        <v>1209659387</v>
      </c>
      <c r="B1287" s="3" t="s">
        <v>1461</v>
      </c>
      <c r="C1287" s="3" t="s">
        <v>1462</v>
      </c>
      <c r="D1287" s="4">
        <v>46307.440208333297</v>
      </c>
      <c r="E1287" s="5" t="s">
        <v>10</v>
      </c>
      <c r="F1287" s="5" t="s">
        <v>11</v>
      </c>
      <c r="G1287" s="5">
        <v>5</v>
      </c>
      <c r="H1287" s="6" t="s">
        <v>12</v>
      </c>
      <c r="I1287" t="s">
        <v>1460</v>
      </c>
      <c r="J1287" t="s">
        <v>2480</v>
      </c>
      <c r="K1287" t="str">
        <f>+VLOOKUP(C1287,'[1]TIENDAS 2025'!$A$1:$C$143,3,0)</f>
        <v>departamental</v>
      </c>
      <c r="L1287" t="str">
        <f>+VLOOKUP(C1287,[2]Hoja1!$A$1:$B$138,2,0)</f>
        <v>APROBAR</v>
      </c>
      <c r="M1287">
        <v>1</v>
      </c>
      <c r="N1287" t="e">
        <v>#N/A</v>
      </c>
    </row>
    <row r="1288" spans="1:14" ht="15" customHeight="1" x14ac:dyDescent="0.3">
      <c r="A1288" s="3">
        <v>8209659343</v>
      </c>
      <c r="B1288" s="3" t="s">
        <v>1455</v>
      </c>
      <c r="C1288" s="3" t="s">
        <v>1456</v>
      </c>
      <c r="D1288" s="4">
        <v>46307.440231481502</v>
      </c>
      <c r="E1288" s="5" t="s">
        <v>10</v>
      </c>
      <c r="F1288" s="5" t="s">
        <v>16</v>
      </c>
      <c r="G1288" s="5">
        <v>6</v>
      </c>
      <c r="H1288" s="8" t="s">
        <v>12</v>
      </c>
      <c r="I1288" t="s">
        <v>1463</v>
      </c>
      <c r="K1288" t="str">
        <f>+VLOOKUP(C1288,'[1]TIENDAS 2025'!$A$1:$C$143,3,0)</f>
        <v>departamental</v>
      </c>
      <c r="L1288" t="str">
        <f>+VLOOKUP(C1288,[2]Hoja1!$A$1:$B$138,2,0)</f>
        <v>APROBAR</v>
      </c>
      <c r="M1288">
        <v>1</v>
      </c>
      <c r="N1288" t="e">
        <v>#N/A</v>
      </c>
    </row>
    <row r="1289" spans="1:14" ht="15" customHeight="1" x14ac:dyDescent="0.3">
      <c r="A1289" s="3">
        <v>1209659448</v>
      </c>
      <c r="B1289" s="3" t="s">
        <v>1458</v>
      </c>
      <c r="C1289" s="3" t="s">
        <v>1459</v>
      </c>
      <c r="D1289" s="4">
        <v>46307.4402430556</v>
      </c>
      <c r="E1289" s="5" t="s">
        <v>10</v>
      </c>
      <c r="F1289" s="5" t="s">
        <v>11</v>
      </c>
      <c r="G1289" s="5">
        <v>26</v>
      </c>
      <c r="H1289" s="6" t="s">
        <v>12</v>
      </c>
      <c r="I1289" t="s">
        <v>1464</v>
      </c>
      <c r="J1289" t="s">
        <v>2480</v>
      </c>
      <c r="K1289" t="str">
        <f>+VLOOKUP(C1289,'[1]TIENDAS 2025'!$A$1:$C$143,3,0)</f>
        <v>nocturna</v>
      </c>
      <c r="L1289" t="str">
        <f>+VLOOKUP(C1289,[2]Hoja1!$A$1:$B$138,2,0)</f>
        <v>APROBAR</v>
      </c>
      <c r="M1289">
        <v>1</v>
      </c>
      <c r="N1289" t="e">
        <v>#N/A</v>
      </c>
    </row>
    <row r="1290" spans="1:14" ht="15" customHeight="1" x14ac:dyDescent="0.3">
      <c r="A1290" s="3">
        <v>8209659345</v>
      </c>
      <c r="B1290" s="3" t="s">
        <v>1455</v>
      </c>
      <c r="C1290" s="3" t="s">
        <v>1456</v>
      </c>
      <c r="D1290" s="4">
        <v>46307.4402430556</v>
      </c>
      <c r="E1290" s="5" t="s">
        <v>10</v>
      </c>
      <c r="F1290" s="5" t="s">
        <v>16</v>
      </c>
      <c r="G1290" s="5">
        <v>2</v>
      </c>
      <c r="H1290" s="8" t="s">
        <v>12</v>
      </c>
      <c r="I1290" t="s">
        <v>1465</v>
      </c>
      <c r="K1290" t="str">
        <f>+VLOOKUP(C1290,'[1]TIENDAS 2025'!$A$1:$C$143,3,0)</f>
        <v>departamental</v>
      </c>
      <c r="L1290" t="str">
        <f>+VLOOKUP(C1290,[2]Hoja1!$A$1:$B$138,2,0)</f>
        <v>APROBAR</v>
      </c>
      <c r="M1290">
        <v>1</v>
      </c>
      <c r="N1290" t="e">
        <v>#N/A</v>
      </c>
    </row>
    <row r="1291" spans="1:14" ht="15" customHeight="1" x14ac:dyDescent="0.3">
      <c r="A1291" s="3">
        <v>8209659401</v>
      </c>
      <c r="B1291" s="3" t="s">
        <v>1467</v>
      </c>
      <c r="C1291" s="3" t="s">
        <v>1468</v>
      </c>
      <c r="D1291" s="4">
        <v>46307.440266203703</v>
      </c>
      <c r="E1291" s="5" t="s">
        <v>10</v>
      </c>
      <c r="F1291" s="5" t="s">
        <v>16</v>
      </c>
      <c r="G1291" s="5">
        <v>1</v>
      </c>
      <c r="H1291" s="8" t="s">
        <v>12</v>
      </c>
      <c r="I1291" t="s">
        <v>1466</v>
      </c>
      <c r="K1291" t="str">
        <f>+VLOOKUP(C1291,'[1]TIENDAS 2025'!$A$1:$C$143,3,0)</f>
        <v>nocturna</v>
      </c>
      <c r="L1291" t="str">
        <f>+VLOOKUP(C1291,[2]Hoja1!$A$1:$B$138,2,0)</f>
        <v>APROBAR</v>
      </c>
      <c r="M1291">
        <v>1</v>
      </c>
      <c r="N1291" t="e">
        <v>#N/A</v>
      </c>
    </row>
    <row r="1292" spans="1:14" ht="15" customHeight="1" x14ac:dyDescent="0.3">
      <c r="A1292" s="3">
        <v>1209659369</v>
      </c>
      <c r="B1292" s="3" t="s">
        <v>1461</v>
      </c>
      <c r="C1292" s="3" t="s">
        <v>1462</v>
      </c>
      <c r="D1292" s="4">
        <v>46307.440277777801</v>
      </c>
      <c r="E1292" s="5" t="s">
        <v>10</v>
      </c>
      <c r="F1292" s="5" t="s">
        <v>11</v>
      </c>
      <c r="G1292" s="5">
        <v>1</v>
      </c>
      <c r="H1292" s="6" t="s">
        <v>12</v>
      </c>
      <c r="I1292" t="s">
        <v>1469</v>
      </c>
      <c r="J1292" t="s">
        <v>2480</v>
      </c>
      <c r="K1292" t="str">
        <f>+VLOOKUP(C1292,'[1]TIENDAS 2025'!$A$1:$C$143,3,0)</f>
        <v>departamental</v>
      </c>
      <c r="L1292" t="str">
        <f>+VLOOKUP(C1292,[2]Hoja1!$A$1:$B$138,2,0)</f>
        <v>APROBAR</v>
      </c>
      <c r="M1292">
        <v>1</v>
      </c>
      <c r="N1292" t="e">
        <v>#N/A</v>
      </c>
    </row>
    <row r="1293" spans="1:14" ht="15" customHeight="1" x14ac:dyDescent="0.3">
      <c r="A1293" s="3">
        <v>8209659403</v>
      </c>
      <c r="B1293" s="3" t="s">
        <v>1467</v>
      </c>
      <c r="C1293" s="3" t="s">
        <v>1468</v>
      </c>
      <c r="D1293" s="4">
        <v>46307.440289351798</v>
      </c>
      <c r="E1293" s="5" t="s">
        <v>10</v>
      </c>
      <c r="F1293" s="5" t="s">
        <v>16</v>
      </c>
      <c r="G1293" s="5">
        <v>8</v>
      </c>
      <c r="H1293" s="8" t="s">
        <v>12</v>
      </c>
      <c r="I1293" t="s">
        <v>1470</v>
      </c>
      <c r="K1293" t="str">
        <f>+VLOOKUP(C1293,'[1]TIENDAS 2025'!$A$1:$C$143,3,0)</f>
        <v>nocturna</v>
      </c>
      <c r="L1293" t="str">
        <f>+VLOOKUP(C1293,[2]Hoja1!$A$1:$B$138,2,0)</f>
        <v>APROBAR</v>
      </c>
      <c r="M1293">
        <v>1</v>
      </c>
      <c r="N1293" t="e">
        <v>#N/A</v>
      </c>
    </row>
    <row r="1294" spans="1:14" ht="15" customHeight="1" x14ac:dyDescent="0.3">
      <c r="A1294" s="3">
        <v>1209659474</v>
      </c>
      <c r="B1294" s="3" t="s">
        <v>1472</v>
      </c>
      <c r="C1294" s="3" t="s">
        <v>1473</v>
      </c>
      <c r="D1294" s="4">
        <v>46307.440312500003</v>
      </c>
      <c r="E1294" s="5" t="s">
        <v>10</v>
      </c>
      <c r="F1294" s="5" t="s">
        <v>11</v>
      </c>
      <c r="G1294" s="5">
        <v>4</v>
      </c>
      <c r="H1294" s="6" t="s">
        <v>12</v>
      </c>
      <c r="I1294" t="s">
        <v>1471</v>
      </c>
      <c r="J1294" t="s">
        <v>2480</v>
      </c>
      <c r="K1294" t="str">
        <f>+VLOOKUP(C1294,'[1]TIENDAS 2025'!$A$1:$C$143,3,0)</f>
        <v>departamental</v>
      </c>
      <c r="L1294" t="str">
        <f>+VLOOKUP(C1294,[2]Hoja1!$A$1:$B$138,2,0)</f>
        <v>APROBAR</v>
      </c>
      <c r="M1294">
        <v>1</v>
      </c>
      <c r="N1294" t="e">
        <v>#N/A</v>
      </c>
    </row>
    <row r="1295" spans="1:14" ht="15" customHeight="1" x14ac:dyDescent="0.3">
      <c r="A1295" s="3">
        <v>1209659450</v>
      </c>
      <c r="B1295" s="3" t="s">
        <v>1458</v>
      </c>
      <c r="C1295" s="3" t="s">
        <v>1459</v>
      </c>
      <c r="D1295" s="4">
        <v>46307.440312500003</v>
      </c>
      <c r="E1295" s="5" t="s">
        <v>10</v>
      </c>
      <c r="F1295" s="5" t="s">
        <v>17</v>
      </c>
      <c r="G1295" s="5">
        <v>26</v>
      </c>
      <c r="H1295" s="6" t="s">
        <v>12</v>
      </c>
      <c r="I1295" t="s">
        <v>1474</v>
      </c>
      <c r="J1295" t="s">
        <v>2480</v>
      </c>
      <c r="K1295" t="str">
        <f>+VLOOKUP(C1295,'[1]TIENDAS 2025'!$A$1:$C$143,3,0)</f>
        <v>nocturna</v>
      </c>
      <c r="L1295" t="str">
        <f>+VLOOKUP(C1295,[2]Hoja1!$A$1:$B$138,2,0)</f>
        <v>APROBAR</v>
      </c>
      <c r="M1295">
        <v>1</v>
      </c>
      <c r="N1295" t="e">
        <v>#N/A</v>
      </c>
    </row>
    <row r="1296" spans="1:14" ht="15" customHeight="1" x14ac:dyDescent="0.3">
      <c r="A1296" s="3">
        <v>8209659415</v>
      </c>
      <c r="B1296" s="3" t="s">
        <v>1467</v>
      </c>
      <c r="C1296" s="3" t="s">
        <v>1468</v>
      </c>
      <c r="D1296" s="4">
        <v>46307.440324074101</v>
      </c>
      <c r="E1296" s="5" t="s">
        <v>10</v>
      </c>
      <c r="F1296" s="5" t="s">
        <v>16</v>
      </c>
      <c r="G1296" s="5">
        <v>1</v>
      </c>
      <c r="H1296" s="8" t="s">
        <v>12</v>
      </c>
      <c r="I1296" t="s">
        <v>1475</v>
      </c>
      <c r="K1296" t="str">
        <f>+VLOOKUP(C1296,'[1]TIENDAS 2025'!$A$1:$C$143,3,0)</f>
        <v>nocturna</v>
      </c>
      <c r="L1296" t="str">
        <f>+VLOOKUP(C1296,[2]Hoja1!$A$1:$B$138,2,0)</f>
        <v>APROBAR</v>
      </c>
      <c r="M1296">
        <v>1</v>
      </c>
      <c r="N1296" t="e">
        <v>#N/A</v>
      </c>
    </row>
    <row r="1297" spans="1:14" ht="15" customHeight="1" x14ac:dyDescent="0.3">
      <c r="A1297" s="3">
        <v>8209659416</v>
      </c>
      <c r="B1297" s="3" t="s">
        <v>1467</v>
      </c>
      <c r="C1297" s="3" t="s">
        <v>1468</v>
      </c>
      <c r="D1297" s="4">
        <v>46307.440347222197</v>
      </c>
      <c r="E1297" s="5" t="s">
        <v>10</v>
      </c>
      <c r="F1297" s="5" t="s">
        <v>16</v>
      </c>
      <c r="G1297" s="5">
        <v>5</v>
      </c>
      <c r="H1297" s="8" t="s">
        <v>12</v>
      </c>
      <c r="I1297" t="s">
        <v>1476</v>
      </c>
      <c r="K1297" t="str">
        <f>+VLOOKUP(C1297,'[1]TIENDAS 2025'!$A$1:$C$143,3,0)</f>
        <v>nocturna</v>
      </c>
      <c r="L1297" t="str">
        <f>+VLOOKUP(C1297,[2]Hoja1!$A$1:$B$138,2,0)</f>
        <v>APROBAR</v>
      </c>
      <c r="M1297">
        <v>1</v>
      </c>
      <c r="N1297" t="e">
        <v>#N/A</v>
      </c>
    </row>
    <row r="1298" spans="1:14" ht="15" customHeight="1" x14ac:dyDescent="0.3">
      <c r="A1298" s="3">
        <v>1209659393</v>
      </c>
      <c r="B1298" s="3" t="s">
        <v>1461</v>
      </c>
      <c r="C1298" s="3" t="s">
        <v>1462</v>
      </c>
      <c r="D1298" s="4">
        <v>46307.440358796302</v>
      </c>
      <c r="E1298" s="5" t="s">
        <v>10</v>
      </c>
      <c r="F1298" s="5" t="s">
        <v>11</v>
      </c>
      <c r="G1298" s="5">
        <v>1</v>
      </c>
      <c r="H1298" s="6" t="s">
        <v>12</v>
      </c>
      <c r="I1298" t="s">
        <v>1477</v>
      </c>
      <c r="J1298" t="s">
        <v>2480</v>
      </c>
      <c r="K1298" t="str">
        <f>+VLOOKUP(C1298,'[1]TIENDAS 2025'!$A$1:$C$143,3,0)</f>
        <v>departamental</v>
      </c>
      <c r="L1298" t="str">
        <f>+VLOOKUP(C1298,[2]Hoja1!$A$1:$B$138,2,0)</f>
        <v>APROBAR</v>
      </c>
      <c r="M1298">
        <v>1</v>
      </c>
      <c r="N1298" t="e">
        <v>#N/A</v>
      </c>
    </row>
    <row r="1299" spans="1:14" ht="15" customHeight="1" x14ac:dyDescent="0.3">
      <c r="A1299" s="3">
        <v>1209659347</v>
      </c>
      <c r="B1299" s="3" t="s">
        <v>1455</v>
      </c>
      <c r="C1299" s="3" t="s">
        <v>1456</v>
      </c>
      <c r="D1299" s="4">
        <v>46307.440370370401</v>
      </c>
      <c r="E1299" s="5" t="s">
        <v>10</v>
      </c>
      <c r="F1299" s="5" t="s">
        <v>17</v>
      </c>
      <c r="G1299" s="5">
        <v>15</v>
      </c>
      <c r="H1299" s="6" t="s">
        <v>12</v>
      </c>
      <c r="I1299" t="s">
        <v>1478</v>
      </c>
      <c r="J1299" t="s">
        <v>2480</v>
      </c>
      <c r="K1299" t="str">
        <f>+VLOOKUP(C1299,'[1]TIENDAS 2025'!$A$1:$C$143,3,0)</f>
        <v>departamental</v>
      </c>
      <c r="L1299" t="str">
        <f>+VLOOKUP(C1299,[2]Hoja1!$A$1:$B$138,2,0)</f>
        <v>APROBAR</v>
      </c>
      <c r="M1299">
        <v>1</v>
      </c>
      <c r="N1299" t="e">
        <v>#N/A</v>
      </c>
    </row>
    <row r="1300" spans="1:14" ht="15" customHeight="1" x14ac:dyDescent="0.3">
      <c r="A1300" s="3">
        <v>1209659348</v>
      </c>
      <c r="B1300" s="3" t="s">
        <v>1455</v>
      </c>
      <c r="C1300" s="3" t="s">
        <v>1456</v>
      </c>
      <c r="D1300" s="4">
        <v>46307.440381944398</v>
      </c>
      <c r="E1300" s="5" t="s">
        <v>10</v>
      </c>
      <c r="F1300" s="5" t="s">
        <v>11</v>
      </c>
      <c r="G1300" s="5">
        <v>17</v>
      </c>
      <c r="H1300" s="6" t="s">
        <v>12</v>
      </c>
      <c r="I1300" t="s">
        <v>1479</v>
      </c>
      <c r="J1300" t="s">
        <v>2480</v>
      </c>
      <c r="K1300" t="str">
        <f>+VLOOKUP(C1300,'[1]TIENDAS 2025'!$A$1:$C$143,3,0)</f>
        <v>departamental</v>
      </c>
      <c r="L1300" t="str">
        <f>+VLOOKUP(C1300,[2]Hoja1!$A$1:$B$138,2,0)</f>
        <v>APROBAR</v>
      </c>
      <c r="M1300">
        <v>1</v>
      </c>
      <c r="N1300" t="e">
        <v>#N/A</v>
      </c>
    </row>
    <row r="1301" spans="1:14" ht="15" customHeight="1" x14ac:dyDescent="0.3">
      <c r="A1301" s="3">
        <v>1209659349</v>
      </c>
      <c r="B1301" s="3" t="s">
        <v>1455</v>
      </c>
      <c r="C1301" s="3" t="s">
        <v>1456</v>
      </c>
      <c r="D1301" s="4">
        <v>46307.440393518496</v>
      </c>
      <c r="E1301" s="5" t="s">
        <v>10</v>
      </c>
      <c r="F1301" s="5" t="s">
        <v>17</v>
      </c>
      <c r="G1301" s="5">
        <v>19</v>
      </c>
      <c r="H1301" s="6" t="s">
        <v>12</v>
      </c>
      <c r="I1301" t="s">
        <v>1480</v>
      </c>
      <c r="J1301" t="s">
        <v>2480</v>
      </c>
      <c r="K1301" t="str">
        <f>+VLOOKUP(C1301,'[1]TIENDAS 2025'!$A$1:$C$143,3,0)</f>
        <v>departamental</v>
      </c>
      <c r="L1301" t="str">
        <f>+VLOOKUP(C1301,[2]Hoja1!$A$1:$B$138,2,0)</f>
        <v>APROBAR</v>
      </c>
      <c r="M1301">
        <v>1</v>
      </c>
      <c r="N1301" t="e">
        <v>#N/A</v>
      </c>
    </row>
    <row r="1302" spans="1:14" ht="15" customHeight="1" x14ac:dyDescent="0.3">
      <c r="A1302" s="3">
        <v>8209659451</v>
      </c>
      <c r="B1302" s="3" t="s">
        <v>1458</v>
      </c>
      <c r="C1302" s="3" t="s">
        <v>1459</v>
      </c>
      <c r="D1302" s="4">
        <v>46307.440416666701</v>
      </c>
      <c r="E1302" s="5" t="s">
        <v>10</v>
      </c>
      <c r="F1302" s="5" t="s">
        <v>16</v>
      </c>
      <c r="G1302" s="5">
        <v>1</v>
      </c>
      <c r="H1302" s="8" t="s">
        <v>12</v>
      </c>
      <c r="I1302" t="s">
        <v>1481</v>
      </c>
      <c r="K1302" t="str">
        <f>+VLOOKUP(C1302,'[1]TIENDAS 2025'!$A$1:$C$143,3,0)</f>
        <v>nocturna</v>
      </c>
      <c r="L1302" t="str">
        <f>+VLOOKUP(C1302,[2]Hoja1!$A$1:$B$138,2,0)</f>
        <v>APROBAR</v>
      </c>
      <c r="M1302">
        <v>1</v>
      </c>
      <c r="N1302" t="e">
        <v>#N/A</v>
      </c>
    </row>
    <row r="1303" spans="1:14" ht="15" customHeight="1" x14ac:dyDescent="0.3">
      <c r="A1303" s="3">
        <v>1209659452</v>
      </c>
      <c r="B1303" s="3" t="s">
        <v>1458</v>
      </c>
      <c r="C1303" s="3" t="s">
        <v>1459</v>
      </c>
      <c r="D1303" s="4">
        <v>46307.440428240698</v>
      </c>
      <c r="E1303" s="5" t="s">
        <v>10</v>
      </c>
      <c r="F1303" s="5" t="s">
        <v>17</v>
      </c>
      <c r="G1303" s="5">
        <v>8</v>
      </c>
      <c r="H1303" s="6" t="s">
        <v>12</v>
      </c>
      <c r="I1303" t="s">
        <v>1482</v>
      </c>
      <c r="J1303" t="s">
        <v>2480</v>
      </c>
      <c r="K1303" t="str">
        <f>+VLOOKUP(C1303,'[1]TIENDAS 2025'!$A$1:$C$143,3,0)</f>
        <v>nocturna</v>
      </c>
      <c r="L1303" t="str">
        <f>+VLOOKUP(C1303,[2]Hoja1!$A$1:$B$138,2,0)</f>
        <v>APROBAR</v>
      </c>
      <c r="M1303">
        <v>1</v>
      </c>
      <c r="N1303" t="e">
        <v>#N/A</v>
      </c>
    </row>
    <row r="1304" spans="1:14" ht="15" customHeight="1" x14ac:dyDescent="0.3">
      <c r="A1304" s="3">
        <v>1209659371</v>
      </c>
      <c r="B1304" s="3" t="s">
        <v>1461</v>
      </c>
      <c r="C1304" s="3" t="s">
        <v>1462</v>
      </c>
      <c r="D1304" s="4">
        <v>46307.440428240698</v>
      </c>
      <c r="E1304" s="5" t="s">
        <v>10</v>
      </c>
      <c r="F1304" s="5" t="s">
        <v>11</v>
      </c>
      <c r="G1304" s="5">
        <v>3</v>
      </c>
      <c r="H1304" s="6" t="s">
        <v>12</v>
      </c>
      <c r="I1304" t="s">
        <v>1483</v>
      </c>
      <c r="J1304" t="s">
        <v>2480</v>
      </c>
      <c r="K1304" t="str">
        <f>+VLOOKUP(C1304,'[1]TIENDAS 2025'!$A$1:$C$143,3,0)</f>
        <v>departamental</v>
      </c>
      <c r="L1304" t="str">
        <f>+VLOOKUP(C1304,[2]Hoja1!$A$1:$B$138,2,0)</f>
        <v>APROBAR</v>
      </c>
      <c r="M1304">
        <v>1</v>
      </c>
      <c r="N1304" t="e">
        <v>#N/A</v>
      </c>
    </row>
    <row r="1305" spans="1:14" ht="15" customHeight="1" x14ac:dyDescent="0.3">
      <c r="A1305" s="3">
        <v>8209659483</v>
      </c>
      <c r="B1305" s="3" t="s">
        <v>1472</v>
      </c>
      <c r="C1305" s="3" t="s">
        <v>1473</v>
      </c>
      <c r="D1305" s="4">
        <v>46307.440451388902</v>
      </c>
      <c r="E1305" s="5" t="s">
        <v>10</v>
      </c>
      <c r="F1305" s="5" t="s">
        <v>16</v>
      </c>
      <c r="G1305" s="5">
        <v>2</v>
      </c>
      <c r="H1305" s="8" t="s">
        <v>12</v>
      </c>
      <c r="I1305" t="s">
        <v>1484</v>
      </c>
      <c r="K1305" t="str">
        <f>+VLOOKUP(C1305,'[1]TIENDAS 2025'!$A$1:$C$143,3,0)</f>
        <v>departamental</v>
      </c>
      <c r="L1305" t="str">
        <f>+VLOOKUP(C1305,[2]Hoja1!$A$1:$B$138,2,0)</f>
        <v>APROBAR</v>
      </c>
      <c r="M1305">
        <v>1</v>
      </c>
      <c r="N1305" t="e">
        <v>#N/A</v>
      </c>
    </row>
    <row r="1306" spans="1:14" ht="15" customHeight="1" x14ac:dyDescent="0.3">
      <c r="A1306" s="3">
        <v>8209659381</v>
      </c>
      <c r="B1306" s="3" t="s">
        <v>1461</v>
      </c>
      <c r="C1306" s="3" t="s">
        <v>1462</v>
      </c>
      <c r="D1306" s="4">
        <v>46307.440462963001</v>
      </c>
      <c r="E1306" s="5" t="s">
        <v>10</v>
      </c>
      <c r="F1306" s="5" t="s">
        <v>16</v>
      </c>
      <c r="G1306" s="5">
        <v>1</v>
      </c>
      <c r="H1306" s="8" t="s">
        <v>12</v>
      </c>
      <c r="I1306" t="s">
        <v>1485</v>
      </c>
      <c r="K1306" t="str">
        <f>+VLOOKUP(C1306,'[1]TIENDAS 2025'!$A$1:$C$143,3,0)</f>
        <v>departamental</v>
      </c>
      <c r="L1306" t="str">
        <f>+VLOOKUP(C1306,[2]Hoja1!$A$1:$B$138,2,0)</f>
        <v>APROBAR</v>
      </c>
      <c r="M1306">
        <v>1</v>
      </c>
      <c r="N1306" t="e">
        <v>#N/A</v>
      </c>
    </row>
    <row r="1307" spans="1:14" ht="15" customHeight="1" x14ac:dyDescent="0.3">
      <c r="A1307" s="3">
        <v>8209659439</v>
      </c>
      <c r="B1307" s="3" t="s">
        <v>1458</v>
      </c>
      <c r="C1307" s="3" t="s">
        <v>1459</v>
      </c>
      <c r="D1307" s="4">
        <v>46307.440474536997</v>
      </c>
      <c r="E1307" s="5" t="s">
        <v>10</v>
      </c>
      <c r="F1307" s="5" t="s">
        <v>16</v>
      </c>
      <c r="G1307" s="5">
        <v>5</v>
      </c>
      <c r="H1307" s="8" t="s">
        <v>12</v>
      </c>
      <c r="I1307" t="s">
        <v>1486</v>
      </c>
      <c r="K1307" t="str">
        <f>+VLOOKUP(C1307,'[1]TIENDAS 2025'!$A$1:$C$143,3,0)</f>
        <v>nocturna</v>
      </c>
      <c r="L1307" t="str">
        <f>+VLOOKUP(C1307,[2]Hoja1!$A$1:$B$138,2,0)</f>
        <v>APROBAR</v>
      </c>
      <c r="M1307">
        <v>1</v>
      </c>
      <c r="N1307" t="e">
        <v>#N/A</v>
      </c>
    </row>
    <row r="1308" spans="1:14" ht="15" customHeight="1" x14ac:dyDescent="0.3">
      <c r="A1308" s="3">
        <v>1209659443</v>
      </c>
      <c r="B1308" s="3" t="s">
        <v>1458</v>
      </c>
      <c r="C1308" s="3" t="s">
        <v>1459</v>
      </c>
      <c r="D1308" s="4">
        <v>46307.440486111103</v>
      </c>
      <c r="E1308" s="5" t="s">
        <v>10</v>
      </c>
      <c r="F1308" s="5" t="s">
        <v>11</v>
      </c>
      <c r="G1308" s="5">
        <v>3</v>
      </c>
      <c r="H1308" s="6" t="s">
        <v>12</v>
      </c>
      <c r="I1308" t="s">
        <v>1487</v>
      </c>
      <c r="J1308" t="s">
        <v>2480</v>
      </c>
      <c r="K1308" t="str">
        <f>+VLOOKUP(C1308,'[1]TIENDAS 2025'!$A$1:$C$143,3,0)</f>
        <v>nocturna</v>
      </c>
      <c r="L1308" t="str">
        <f>+VLOOKUP(C1308,[2]Hoja1!$A$1:$B$138,2,0)</f>
        <v>APROBAR</v>
      </c>
      <c r="M1308">
        <v>1</v>
      </c>
      <c r="N1308" t="e">
        <v>#N/A</v>
      </c>
    </row>
    <row r="1309" spans="1:14" ht="15" customHeight="1" x14ac:dyDescent="0.3">
      <c r="A1309" s="3">
        <v>1209659444</v>
      </c>
      <c r="B1309" s="3" t="s">
        <v>1458</v>
      </c>
      <c r="C1309" s="3" t="s">
        <v>1459</v>
      </c>
      <c r="D1309" s="4">
        <v>46307.440509259301</v>
      </c>
      <c r="E1309" s="5" t="s">
        <v>10</v>
      </c>
      <c r="F1309" s="5" t="s">
        <v>11</v>
      </c>
      <c r="G1309" s="5">
        <v>2</v>
      </c>
      <c r="H1309" s="6" t="s">
        <v>12</v>
      </c>
      <c r="I1309" t="s">
        <v>1488</v>
      </c>
      <c r="J1309" t="s">
        <v>2480</v>
      </c>
      <c r="K1309" t="str">
        <f>+VLOOKUP(C1309,'[1]TIENDAS 2025'!$A$1:$C$143,3,0)</f>
        <v>nocturna</v>
      </c>
      <c r="L1309" t="str">
        <f>+VLOOKUP(C1309,[2]Hoja1!$A$1:$B$138,2,0)</f>
        <v>APROBAR</v>
      </c>
      <c r="M1309">
        <v>1</v>
      </c>
      <c r="N1309" t="e">
        <v>#N/A</v>
      </c>
    </row>
    <row r="1310" spans="1:14" ht="15" customHeight="1" x14ac:dyDescent="0.3">
      <c r="A1310" s="3">
        <v>1209659420</v>
      </c>
      <c r="B1310" s="3" t="s">
        <v>1467</v>
      </c>
      <c r="C1310" s="3" t="s">
        <v>1468</v>
      </c>
      <c r="D1310" s="4">
        <v>46307.440520833297</v>
      </c>
      <c r="E1310" s="5" t="s">
        <v>10</v>
      </c>
      <c r="F1310" s="5" t="s">
        <v>17</v>
      </c>
      <c r="G1310" s="5">
        <v>18</v>
      </c>
      <c r="H1310" s="6" t="s">
        <v>12</v>
      </c>
      <c r="I1310" t="s">
        <v>1489</v>
      </c>
      <c r="J1310" t="s">
        <v>2480</v>
      </c>
      <c r="K1310" t="str">
        <f>+VLOOKUP(C1310,'[1]TIENDAS 2025'!$A$1:$C$143,3,0)</f>
        <v>nocturna</v>
      </c>
      <c r="L1310" t="str">
        <f>+VLOOKUP(C1310,[2]Hoja1!$A$1:$B$138,2,0)</f>
        <v>APROBAR</v>
      </c>
      <c r="M1310">
        <v>1</v>
      </c>
      <c r="N1310" t="e">
        <v>#N/A</v>
      </c>
    </row>
    <row r="1311" spans="1:14" ht="15" customHeight="1" x14ac:dyDescent="0.3">
      <c r="A1311" s="3">
        <v>1209659426</v>
      </c>
      <c r="B1311" s="3" t="s">
        <v>1467</v>
      </c>
      <c r="C1311" s="3" t="s">
        <v>1468</v>
      </c>
      <c r="D1311" s="4">
        <v>46307.440543981502</v>
      </c>
      <c r="E1311" s="5" t="s">
        <v>10</v>
      </c>
      <c r="F1311" s="5" t="s">
        <v>11</v>
      </c>
      <c r="G1311" s="5">
        <v>41</v>
      </c>
      <c r="H1311" s="6" t="s">
        <v>12</v>
      </c>
      <c r="I1311" t="s">
        <v>1490</v>
      </c>
      <c r="J1311" t="s">
        <v>2480</v>
      </c>
      <c r="K1311" t="str">
        <f>+VLOOKUP(C1311,'[1]TIENDAS 2025'!$A$1:$C$143,3,0)</f>
        <v>nocturna</v>
      </c>
      <c r="L1311" t="str">
        <f>+VLOOKUP(C1311,[2]Hoja1!$A$1:$B$138,2,0)</f>
        <v>APROBAR</v>
      </c>
      <c r="M1311">
        <v>1</v>
      </c>
      <c r="N1311" t="e">
        <v>#N/A</v>
      </c>
    </row>
    <row r="1312" spans="1:14" ht="15" customHeight="1" x14ac:dyDescent="0.3">
      <c r="A1312" s="3">
        <v>8209659367</v>
      </c>
      <c r="B1312" s="3" t="s">
        <v>1461</v>
      </c>
      <c r="C1312" s="3" t="s">
        <v>1462</v>
      </c>
      <c r="D1312" s="4">
        <v>46307.4405555556</v>
      </c>
      <c r="E1312" s="5" t="s">
        <v>10</v>
      </c>
      <c r="F1312" s="5" t="s">
        <v>16</v>
      </c>
      <c r="G1312" s="5">
        <v>6</v>
      </c>
      <c r="H1312" s="8" t="s">
        <v>12</v>
      </c>
      <c r="I1312" t="s">
        <v>1491</v>
      </c>
      <c r="K1312" t="str">
        <f>+VLOOKUP(C1312,'[1]TIENDAS 2025'!$A$1:$C$143,3,0)</f>
        <v>departamental</v>
      </c>
      <c r="L1312" t="str">
        <f>+VLOOKUP(C1312,[2]Hoja1!$A$1:$B$138,2,0)</f>
        <v>APROBAR</v>
      </c>
      <c r="M1312">
        <v>1</v>
      </c>
      <c r="N1312" t="e">
        <v>#N/A</v>
      </c>
    </row>
    <row r="1313" spans="1:14" ht="15" customHeight="1" x14ac:dyDescent="0.3">
      <c r="A1313" s="3">
        <v>1209659351</v>
      </c>
      <c r="B1313" s="3" t="s">
        <v>1455</v>
      </c>
      <c r="C1313" s="3" t="s">
        <v>1456</v>
      </c>
      <c r="D1313" s="4">
        <v>46307.440567129597</v>
      </c>
      <c r="E1313" s="5" t="s">
        <v>10</v>
      </c>
      <c r="F1313" s="5" t="s">
        <v>17</v>
      </c>
      <c r="G1313" s="5">
        <v>36</v>
      </c>
      <c r="H1313" s="6" t="s">
        <v>12</v>
      </c>
      <c r="I1313" t="s">
        <v>1492</v>
      </c>
      <c r="J1313" t="s">
        <v>2480</v>
      </c>
      <c r="K1313" t="str">
        <f>+VLOOKUP(C1313,'[1]TIENDAS 2025'!$A$1:$C$143,3,0)</f>
        <v>departamental</v>
      </c>
      <c r="L1313" t="str">
        <f>+VLOOKUP(C1313,[2]Hoja1!$A$1:$B$138,2,0)</f>
        <v>APROBAR</v>
      </c>
      <c r="M1313">
        <v>1</v>
      </c>
      <c r="N1313" t="e">
        <v>#N/A</v>
      </c>
    </row>
    <row r="1314" spans="1:14" ht="15" customHeight="1" x14ac:dyDescent="0.3">
      <c r="A1314" s="3">
        <v>1209659453</v>
      </c>
      <c r="B1314" s="3" t="s">
        <v>1458</v>
      </c>
      <c r="C1314" s="3" t="s">
        <v>1459</v>
      </c>
      <c r="D1314" s="4">
        <v>46307.440578703703</v>
      </c>
      <c r="E1314" s="5" t="s">
        <v>10</v>
      </c>
      <c r="F1314" s="5" t="s">
        <v>11</v>
      </c>
      <c r="G1314" s="5">
        <v>10</v>
      </c>
      <c r="H1314" s="6" t="s">
        <v>12</v>
      </c>
      <c r="I1314" t="s">
        <v>1493</v>
      </c>
      <c r="J1314" t="s">
        <v>2480</v>
      </c>
      <c r="K1314" t="str">
        <f>+VLOOKUP(C1314,'[1]TIENDAS 2025'!$A$1:$C$143,3,0)</f>
        <v>nocturna</v>
      </c>
      <c r="L1314" t="str">
        <f>+VLOOKUP(C1314,[2]Hoja1!$A$1:$B$138,2,0)</f>
        <v>APROBAR</v>
      </c>
      <c r="M1314">
        <v>1</v>
      </c>
      <c r="N1314" t="e">
        <v>#N/A</v>
      </c>
    </row>
    <row r="1315" spans="1:14" ht="15" customHeight="1" x14ac:dyDescent="0.3">
      <c r="A1315" s="3">
        <v>1209659478</v>
      </c>
      <c r="B1315" s="3" t="s">
        <v>1472</v>
      </c>
      <c r="C1315" s="3" t="s">
        <v>1473</v>
      </c>
      <c r="D1315" s="4">
        <v>46307.440590277802</v>
      </c>
      <c r="E1315" s="5" t="s">
        <v>10</v>
      </c>
      <c r="F1315" s="5" t="s">
        <v>11</v>
      </c>
      <c r="G1315" s="5">
        <v>11</v>
      </c>
      <c r="H1315" s="6" t="s">
        <v>12</v>
      </c>
      <c r="I1315" t="s">
        <v>1494</v>
      </c>
      <c r="J1315" t="s">
        <v>2480</v>
      </c>
      <c r="K1315" t="str">
        <f>+VLOOKUP(C1315,'[1]TIENDAS 2025'!$A$1:$C$143,3,0)</f>
        <v>departamental</v>
      </c>
      <c r="L1315" t="str">
        <f>+VLOOKUP(C1315,[2]Hoja1!$A$1:$B$138,2,0)</f>
        <v>APROBAR</v>
      </c>
      <c r="M1315">
        <v>1</v>
      </c>
      <c r="N1315" t="e">
        <v>#N/A</v>
      </c>
    </row>
    <row r="1316" spans="1:14" ht="15" customHeight="1" x14ac:dyDescent="0.3">
      <c r="A1316" s="3">
        <v>1209659356</v>
      </c>
      <c r="B1316" s="3" t="s">
        <v>1455</v>
      </c>
      <c r="C1316" s="3" t="s">
        <v>1456</v>
      </c>
      <c r="D1316" s="4">
        <v>46307.440613425897</v>
      </c>
      <c r="E1316" s="5" t="s">
        <v>10</v>
      </c>
      <c r="F1316" s="5" t="s">
        <v>11</v>
      </c>
      <c r="G1316" s="5">
        <v>51</v>
      </c>
      <c r="H1316" s="6" t="s">
        <v>12</v>
      </c>
      <c r="I1316" t="s">
        <v>1495</v>
      </c>
      <c r="J1316" t="s">
        <v>2480</v>
      </c>
      <c r="K1316" t="str">
        <f>+VLOOKUP(C1316,'[1]TIENDAS 2025'!$A$1:$C$143,3,0)</f>
        <v>departamental</v>
      </c>
      <c r="L1316" t="str">
        <f>+VLOOKUP(C1316,[2]Hoja1!$A$1:$B$138,2,0)</f>
        <v>APROBAR</v>
      </c>
      <c r="M1316">
        <v>1</v>
      </c>
      <c r="N1316" t="e">
        <v>#N/A</v>
      </c>
    </row>
    <row r="1317" spans="1:14" ht="15" customHeight="1" x14ac:dyDescent="0.3">
      <c r="A1317" s="3">
        <v>1209659484</v>
      </c>
      <c r="B1317" s="3" t="s">
        <v>1472</v>
      </c>
      <c r="C1317" s="3" t="s">
        <v>1473</v>
      </c>
      <c r="D1317" s="4">
        <v>46307.440625000003</v>
      </c>
      <c r="E1317" s="5" t="s">
        <v>10</v>
      </c>
      <c r="F1317" s="5" t="s">
        <v>11</v>
      </c>
      <c r="G1317" s="5">
        <v>4</v>
      </c>
      <c r="H1317" s="6" t="s">
        <v>12</v>
      </c>
      <c r="I1317" t="s">
        <v>1496</v>
      </c>
      <c r="J1317" t="s">
        <v>2480</v>
      </c>
      <c r="K1317" t="str">
        <f>+VLOOKUP(C1317,'[1]TIENDAS 2025'!$A$1:$C$143,3,0)</f>
        <v>departamental</v>
      </c>
      <c r="L1317" t="str">
        <f>+VLOOKUP(C1317,[2]Hoja1!$A$1:$B$138,2,0)</f>
        <v>APROBAR</v>
      </c>
      <c r="M1317">
        <v>1</v>
      </c>
      <c r="N1317" t="e">
        <v>#N/A</v>
      </c>
    </row>
    <row r="1318" spans="1:14" ht="15" customHeight="1" x14ac:dyDescent="0.3">
      <c r="A1318" s="3">
        <v>8209659380</v>
      </c>
      <c r="B1318" s="3" t="s">
        <v>1461</v>
      </c>
      <c r="C1318" s="3" t="s">
        <v>1462</v>
      </c>
      <c r="D1318" s="4">
        <v>46307.440636574102</v>
      </c>
      <c r="E1318" s="5" t="s">
        <v>10</v>
      </c>
      <c r="F1318" s="5" t="s">
        <v>16</v>
      </c>
      <c r="G1318" s="5">
        <v>1</v>
      </c>
      <c r="H1318" s="8" t="s">
        <v>12</v>
      </c>
      <c r="I1318" t="s">
        <v>1497</v>
      </c>
      <c r="K1318" t="str">
        <f>+VLOOKUP(C1318,'[1]TIENDAS 2025'!$A$1:$C$143,3,0)</f>
        <v>departamental</v>
      </c>
      <c r="L1318" t="str">
        <f>+VLOOKUP(C1318,[2]Hoja1!$A$1:$B$138,2,0)</f>
        <v>APROBAR</v>
      </c>
      <c r="M1318">
        <v>1</v>
      </c>
      <c r="N1318" t="e">
        <v>#N/A</v>
      </c>
    </row>
    <row r="1319" spans="1:14" ht="15" customHeight="1" x14ac:dyDescent="0.3">
      <c r="A1319" s="3">
        <v>1209659385</v>
      </c>
      <c r="B1319" s="3" t="s">
        <v>1461</v>
      </c>
      <c r="C1319" s="3" t="s">
        <v>1462</v>
      </c>
      <c r="D1319" s="4">
        <v>46307.440648148098</v>
      </c>
      <c r="E1319" s="5" t="s">
        <v>10</v>
      </c>
      <c r="F1319" s="5" t="s">
        <v>11</v>
      </c>
      <c r="G1319" s="5">
        <v>2</v>
      </c>
      <c r="H1319" s="6" t="s">
        <v>12</v>
      </c>
      <c r="I1319" t="s">
        <v>1498</v>
      </c>
      <c r="J1319" t="s">
        <v>2480</v>
      </c>
      <c r="K1319" t="str">
        <f>+VLOOKUP(C1319,'[1]TIENDAS 2025'!$A$1:$C$143,3,0)</f>
        <v>departamental</v>
      </c>
      <c r="L1319" t="str">
        <f>+VLOOKUP(C1319,[2]Hoja1!$A$1:$B$138,2,0)</f>
        <v>APROBAR</v>
      </c>
      <c r="M1319">
        <v>1</v>
      </c>
      <c r="N1319" t="e">
        <v>#N/A</v>
      </c>
    </row>
    <row r="1320" spans="1:14" ht="15" customHeight="1" x14ac:dyDescent="0.3">
      <c r="A1320" s="3">
        <v>8209659414</v>
      </c>
      <c r="B1320" s="3" t="s">
        <v>1467</v>
      </c>
      <c r="C1320" s="3" t="s">
        <v>1468</v>
      </c>
      <c r="D1320" s="4">
        <v>46307.440659722197</v>
      </c>
      <c r="E1320" s="5" t="s">
        <v>10</v>
      </c>
      <c r="F1320" s="5" t="s">
        <v>16</v>
      </c>
      <c r="G1320" s="5">
        <v>1</v>
      </c>
      <c r="H1320" s="8" t="s">
        <v>12</v>
      </c>
      <c r="I1320" t="s">
        <v>1499</v>
      </c>
      <c r="K1320" t="str">
        <f>+VLOOKUP(C1320,'[1]TIENDAS 2025'!$A$1:$C$143,3,0)</f>
        <v>nocturna</v>
      </c>
      <c r="L1320" t="str">
        <f>+VLOOKUP(C1320,[2]Hoja1!$A$1:$B$138,2,0)</f>
        <v>APROBAR</v>
      </c>
      <c r="M1320">
        <v>1</v>
      </c>
      <c r="N1320" t="e">
        <v>#N/A</v>
      </c>
    </row>
    <row r="1321" spans="1:14" ht="15" customHeight="1" x14ac:dyDescent="0.3">
      <c r="A1321" s="3">
        <v>1209659417</v>
      </c>
      <c r="B1321" s="3" t="s">
        <v>1467</v>
      </c>
      <c r="C1321" s="3" t="s">
        <v>1468</v>
      </c>
      <c r="D1321" s="4">
        <v>46307.440671296303</v>
      </c>
      <c r="E1321" s="5" t="s">
        <v>10</v>
      </c>
      <c r="F1321" s="5" t="s">
        <v>11</v>
      </c>
      <c r="G1321" s="5">
        <v>1</v>
      </c>
      <c r="H1321" s="6" t="s">
        <v>12</v>
      </c>
      <c r="I1321" t="s">
        <v>1500</v>
      </c>
      <c r="J1321" t="s">
        <v>2480</v>
      </c>
      <c r="K1321" t="str">
        <f>+VLOOKUP(C1321,'[1]TIENDAS 2025'!$A$1:$C$143,3,0)</f>
        <v>nocturna</v>
      </c>
      <c r="L1321" t="str">
        <f>+VLOOKUP(C1321,[2]Hoja1!$A$1:$B$138,2,0)</f>
        <v>APROBAR</v>
      </c>
      <c r="M1321">
        <v>1</v>
      </c>
      <c r="N1321" t="e">
        <v>#N/A</v>
      </c>
    </row>
    <row r="1322" spans="1:14" ht="15" customHeight="1" x14ac:dyDescent="0.3">
      <c r="A1322" s="3">
        <v>8209659342</v>
      </c>
      <c r="B1322" s="3" t="s">
        <v>1455</v>
      </c>
      <c r="C1322" s="3" t="s">
        <v>1456</v>
      </c>
      <c r="D1322" s="4">
        <v>46307.440694444398</v>
      </c>
      <c r="E1322" s="5" t="s">
        <v>10</v>
      </c>
      <c r="F1322" s="5" t="s">
        <v>16</v>
      </c>
      <c r="G1322" s="5">
        <v>20</v>
      </c>
      <c r="H1322" s="8" t="s">
        <v>12</v>
      </c>
      <c r="I1322" t="s">
        <v>1501</v>
      </c>
      <c r="K1322" t="str">
        <f>+VLOOKUP(C1322,'[1]TIENDAS 2025'!$A$1:$C$143,3,0)</f>
        <v>departamental</v>
      </c>
      <c r="L1322" t="str">
        <f>+VLOOKUP(C1322,[2]Hoja1!$A$1:$B$138,2,0)</f>
        <v>APROBAR</v>
      </c>
      <c r="M1322">
        <v>1</v>
      </c>
      <c r="N1322" t="e">
        <v>#N/A</v>
      </c>
    </row>
    <row r="1323" spans="1:14" ht="15" customHeight="1" x14ac:dyDescent="0.3">
      <c r="A1323" s="3">
        <v>1209659479</v>
      </c>
      <c r="B1323" s="3" t="s">
        <v>1472</v>
      </c>
      <c r="C1323" s="3" t="s">
        <v>1473</v>
      </c>
      <c r="D1323" s="4">
        <v>46307.440706018497</v>
      </c>
      <c r="E1323" s="5" t="s">
        <v>10</v>
      </c>
      <c r="F1323" s="5" t="s">
        <v>17</v>
      </c>
      <c r="G1323" s="5">
        <v>18</v>
      </c>
      <c r="H1323" s="6" t="s">
        <v>12</v>
      </c>
      <c r="I1323" t="s">
        <v>1502</v>
      </c>
      <c r="J1323" t="s">
        <v>2480</v>
      </c>
      <c r="K1323" t="str">
        <f>+VLOOKUP(C1323,'[1]TIENDAS 2025'!$A$1:$C$143,3,0)</f>
        <v>departamental</v>
      </c>
      <c r="L1323" t="str">
        <f>+VLOOKUP(C1323,[2]Hoja1!$A$1:$B$138,2,0)</f>
        <v>APROBAR</v>
      </c>
      <c r="M1323">
        <v>1</v>
      </c>
      <c r="N1323" t="e">
        <v>#N/A</v>
      </c>
    </row>
    <row r="1324" spans="1:14" ht="15" customHeight="1" x14ac:dyDescent="0.3">
      <c r="A1324" s="3">
        <v>1209659407</v>
      </c>
      <c r="B1324" s="3" t="s">
        <v>1467</v>
      </c>
      <c r="C1324" s="3" t="s">
        <v>1468</v>
      </c>
      <c r="D1324" s="4">
        <v>46307.440706018497</v>
      </c>
      <c r="E1324" s="5" t="s">
        <v>10</v>
      </c>
      <c r="F1324" s="5" t="s">
        <v>11</v>
      </c>
      <c r="G1324" s="5">
        <v>7</v>
      </c>
      <c r="H1324" s="6" t="s">
        <v>12</v>
      </c>
      <c r="I1324" t="s">
        <v>1503</v>
      </c>
      <c r="J1324" t="s">
        <v>2480</v>
      </c>
      <c r="K1324" t="str">
        <f>+VLOOKUP(C1324,'[1]TIENDAS 2025'!$A$1:$C$143,3,0)</f>
        <v>nocturna</v>
      </c>
      <c r="L1324" t="str">
        <f>+VLOOKUP(C1324,[2]Hoja1!$A$1:$B$138,2,0)</f>
        <v>APROBAR</v>
      </c>
      <c r="M1324">
        <v>1</v>
      </c>
      <c r="N1324" t="e">
        <v>#N/A</v>
      </c>
    </row>
    <row r="1325" spans="1:14" ht="15" customHeight="1" x14ac:dyDescent="0.3">
      <c r="A1325" s="3">
        <v>1209659355</v>
      </c>
      <c r="B1325" s="3" t="s">
        <v>1455</v>
      </c>
      <c r="C1325" s="3" t="s">
        <v>1456</v>
      </c>
      <c r="D1325" s="4">
        <v>46307.440729166701</v>
      </c>
      <c r="E1325" s="5" t="s">
        <v>10</v>
      </c>
      <c r="F1325" s="5" t="s">
        <v>11</v>
      </c>
      <c r="G1325" s="5">
        <v>2</v>
      </c>
      <c r="H1325" s="6" t="s">
        <v>12</v>
      </c>
      <c r="I1325" t="s">
        <v>1504</v>
      </c>
      <c r="J1325" t="s">
        <v>2480</v>
      </c>
      <c r="K1325" t="str">
        <f>+VLOOKUP(C1325,'[1]TIENDAS 2025'!$A$1:$C$143,3,0)</f>
        <v>departamental</v>
      </c>
      <c r="L1325" t="str">
        <f>+VLOOKUP(C1325,[2]Hoja1!$A$1:$B$138,2,0)</f>
        <v>APROBAR</v>
      </c>
      <c r="M1325">
        <v>1</v>
      </c>
      <c r="N1325" t="e">
        <v>#N/A</v>
      </c>
    </row>
    <row r="1326" spans="1:14" ht="15" customHeight="1" x14ac:dyDescent="0.3">
      <c r="A1326" s="3">
        <v>1209659386</v>
      </c>
      <c r="B1326" s="3" t="s">
        <v>1461</v>
      </c>
      <c r="C1326" s="3" t="s">
        <v>1462</v>
      </c>
      <c r="D1326" s="4">
        <v>46307.440740740698</v>
      </c>
      <c r="E1326" s="5" t="s">
        <v>10</v>
      </c>
      <c r="F1326" s="5" t="s">
        <v>11</v>
      </c>
      <c r="G1326" s="5">
        <v>6</v>
      </c>
      <c r="H1326" s="6" t="s">
        <v>12</v>
      </c>
      <c r="I1326" t="s">
        <v>1505</v>
      </c>
      <c r="J1326" t="s">
        <v>2480</v>
      </c>
      <c r="K1326" t="str">
        <f>+VLOOKUP(C1326,'[1]TIENDAS 2025'!$A$1:$C$143,3,0)</f>
        <v>departamental</v>
      </c>
      <c r="L1326" t="str">
        <f>+VLOOKUP(C1326,[2]Hoja1!$A$1:$B$138,2,0)</f>
        <v>APROBAR</v>
      </c>
      <c r="M1326">
        <v>1</v>
      </c>
      <c r="N1326" t="e">
        <v>#N/A</v>
      </c>
    </row>
    <row r="1327" spans="1:14" ht="15" customHeight="1" x14ac:dyDescent="0.3">
      <c r="A1327" s="3">
        <v>1209659446</v>
      </c>
      <c r="B1327" s="3" t="s">
        <v>1458</v>
      </c>
      <c r="C1327" s="3" t="s">
        <v>1459</v>
      </c>
      <c r="D1327" s="4">
        <v>46307.440752314797</v>
      </c>
      <c r="E1327" s="5" t="s">
        <v>10</v>
      </c>
      <c r="F1327" s="5" t="s">
        <v>11</v>
      </c>
      <c r="G1327" s="5">
        <v>10</v>
      </c>
      <c r="H1327" s="6" t="s">
        <v>12</v>
      </c>
      <c r="I1327" t="s">
        <v>1506</v>
      </c>
      <c r="J1327" t="s">
        <v>2480</v>
      </c>
      <c r="K1327" t="str">
        <f>+VLOOKUP(C1327,'[1]TIENDAS 2025'!$A$1:$C$143,3,0)</f>
        <v>nocturna</v>
      </c>
      <c r="L1327" t="str">
        <f>+VLOOKUP(C1327,[2]Hoja1!$A$1:$B$138,2,0)</f>
        <v>APROBAR</v>
      </c>
      <c r="M1327">
        <v>1</v>
      </c>
      <c r="N1327" t="e">
        <v>#N/A</v>
      </c>
    </row>
    <row r="1328" spans="1:14" ht="15" customHeight="1" x14ac:dyDescent="0.3">
      <c r="A1328" s="3">
        <v>8209659470</v>
      </c>
      <c r="B1328" s="3" t="s">
        <v>1472</v>
      </c>
      <c r="C1328" s="3" t="s">
        <v>1473</v>
      </c>
      <c r="D1328" s="4">
        <v>46307.440775463001</v>
      </c>
      <c r="E1328" s="5" t="s">
        <v>10</v>
      </c>
      <c r="F1328" s="5" t="s">
        <v>16</v>
      </c>
      <c r="G1328" s="5">
        <v>5</v>
      </c>
      <c r="H1328" s="8" t="s">
        <v>12</v>
      </c>
      <c r="I1328" t="s">
        <v>1507</v>
      </c>
      <c r="K1328" t="str">
        <f>+VLOOKUP(C1328,'[1]TIENDAS 2025'!$A$1:$C$143,3,0)</f>
        <v>departamental</v>
      </c>
      <c r="L1328" t="str">
        <f>+VLOOKUP(C1328,[2]Hoja1!$A$1:$B$138,2,0)</f>
        <v>APROBAR</v>
      </c>
      <c r="M1328">
        <v>1</v>
      </c>
      <c r="N1328" t="e">
        <v>#N/A</v>
      </c>
    </row>
    <row r="1329" spans="1:14" ht="15" customHeight="1" x14ac:dyDescent="0.3">
      <c r="A1329" s="3">
        <v>1209659475</v>
      </c>
      <c r="B1329" s="3" t="s">
        <v>1472</v>
      </c>
      <c r="C1329" s="3" t="s">
        <v>1473</v>
      </c>
      <c r="D1329" s="4">
        <v>46307.440787036998</v>
      </c>
      <c r="E1329" s="5" t="s">
        <v>10</v>
      </c>
      <c r="F1329" s="5" t="s">
        <v>11</v>
      </c>
      <c r="G1329" s="5">
        <v>9</v>
      </c>
      <c r="H1329" s="6" t="s">
        <v>12</v>
      </c>
      <c r="I1329" t="s">
        <v>1508</v>
      </c>
      <c r="J1329" t="s">
        <v>2480</v>
      </c>
      <c r="K1329" t="str">
        <f>+VLOOKUP(C1329,'[1]TIENDAS 2025'!$A$1:$C$143,3,0)</f>
        <v>departamental</v>
      </c>
      <c r="L1329" t="str">
        <f>+VLOOKUP(C1329,[2]Hoja1!$A$1:$B$138,2,0)</f>
        <v>APROBAR</v>
      </c>
      <c r="M1329">
        <v>1</v>
      </c>
      <c r="N1329" t="e">
        <v>#N/A</v>
      </c>
    </row>
    <row r="1330" spans="1:14" ht="15" customHeight="1" x14ac:dyDescent="0.3">
      <c r="A1330" s="3">
        <v>8209659473</v>
      </c>
      <c r="B1330" s="3" t="s">
        <v>1472</v>
      </c>
      <c r="C1330" s="3" t="s">
        <v>1473</v>
      </c>
      <c r="D1330" s="4">
        <v>46307.440787036998</v>
      </c>
      <c r="E1330" s="5" t="s">
        <v>10</v>
      </c>
      <c r="F1330" s="5" t="s">
        <v>16</v>
      </c>
      <c r="G1330" s="5">
        <v>8</v>
      </c>
      <c r="H1330" s="8" t="s">
        <v>12</v>
      </c>
      <c r="I1330" t="s">
        <v>1509</v>
      </c>
      <c r="K1330" t="str">
        <f>+VLOOKUP(C1330,'[1]TIENDAS 2025'!$A$1:$C$143,3,0)</f>
        <v>departamental</v>
      </c>
      <c r="L1330" t="str">
        <f>+VLOOKUP(C1330,[2]Hoja1!$A$1:$B$138,2,0)</f>
        <v>APROBAR</v>
      </c>
      <c r="M1330">
        <v>1</v>
      </c>
      <c r="N1330" t="e">
        <v>#N/A</v>
      </c>
    </row>
    <row r="1331" spans="1:14" ht="15" customHeight="1" x14ac:dyDescent="0.3">
      <c r="A1331" s="3">
        <v>1209659477</v>
      </c>
      <c r="B1331" s="3" t="s">
        <v>1472</v>
      </c>
      <c r="C1331" s="3" t="s">
        <v>1473</v>
      </c>
      <c r="D1331" s="4">
        <v>46307.440810185202</v>
      </c>
      <c r="E1331" s="5" t="s">
        <v>10</v>
      </c>
      <c r="F1331" s="5" t="s">
        <v>11</v>
      </c>
      <c r="G1331" s="5">
        <v>9</v>
      </c>
      <c r="H1331" s="6" t="s">
        <v>12</v>
      </c>
      <c r="I1331" t="s">
        <v>1510</v>
      </c>
      <c r="J1331" t="s">
        <v>2480</v>
      </c>
      <c r="K1331" t="str">
        <f>+VLOOKUP(C1331,'[1]TIENDAS 2025'!$A$1:$C$143,3,0)</f>
        <v>departamental</v>
      </c>
      <c r="L1331" t="str">
        <f>+VLOOKUP(C1331,[2]Hoja1!$A$1:$B$138,2,0)</f>
        <v>APROBAR</v>
      </c>
      <c r="M1331">
        <v>1</v>
      </c>
      <c r="N1331" t="e">
        <v>#N/A</v>
      </c>
    </row>
    <row r="1332" spans="1:14" ht="15" customHeight="1" x14ac:dyDescent="0.3">
      <c r="A1332" s="3">
        <v>1209659373</v>
      </c>
      <c r="B1332" s="3" t="s">
        <v>1461</v>
      </c>
      <c r="C1332" s="3" t="s">
        <v>1462</v>
      </c>
      <c r="D1332" s="4">
        <v>46307.440833333298</v>
      </c>
      <c r="E1332" s="5" t="s">
        <v>10</v>
      </c>
      <c r="F1332" s="5" t="s">
        <v>11</v>
      </c>
      <c r="G1332" s="5">
        <v>11</v>
      </c>
      <c r="H1332" s="6" t="s">
        <v>12</v>
      </c>
      <c r="I1332" t="s">
        <v>1511</v>
      </c>
      <c r="J1332" t="s">
        <v>2480</v>
      </c>
      <c r="K1332" t="str">
        <f>+VLOOKUP(C1332,'[1]TIENDAS 2025'!$A$1:$C$143,3,0)</f>
        <v>departamental</v>
      </c>
      <c r="L1332" t="str">
        <f>+VLOOKUP(C1332,[2]Hoja1!$A$1:$B$138,2,0)</f>
        <v>APROBAR</v>
      </c>
      <c r="M1332">
        <v>1</v>
      </c>
      <c r="N1332" t="e">
        <v>#N/A</v>
      </c>
    </row>
    <row r="1333" spans="1:14" ht="15" customHeight="1" x14ac:dyDescent="0.3">
      <c r="A1333" s="3">
        <v>1209659480</v>
      </c>
      <c r="B1333" s="3" t="s">
        <v>1472</v>
      </c>
      <c r="C1333" s="3" t="s">
        <v>1473</v>
      </c>
      <c r="D1333" s="4">
        <v>46307.440844907404</v>
      </c>
      <c r="E1333" s="5" t="s">
        <v>10</v>
      </c>
      <c r="F1333" s="5" t="s">
        <v>11</v>
      </c>
      <c r="G1333" s="5">
        <v>27</v>
      </c>
      <c r="H1333" s="6" t="s">
        <v>12</v>
      </c>
      <c r="I1333" t="s">
        <v>1512</v>
      </c>
      <c r="J1333" t="s">
        <v>2480</v>
      </c>
      <c r="K1333" t="str">
        <f>+VLOOKUP(C1333,'[1]TIENDAS 2025'!$A$1:$C$143,3,0)</f>
        <v>departamental</v>
      </c>
      <c r="L1333" t="str">
        <f>+VLOOKUP(C1333,[2]Hoja1!$A$1:$B$138,2,0)</f>
        <v>APROBAR</v>
      </c>
      <c r="M1333">
        <v>1</v>
      </c>
      <c r="N1333" t="e">
        <v>#N/A</v>
      </c>
    </row>
    <row r="1334" spans="1:14" ht="15" customHeight="1" x14ac:dyDescent="0.3">
      <c r="A1334" s="3">
        <v>1209659375</v>
      </c>
      <c r="B1334" s="3" t="s">
        <v>1461</v>
      </c>
      <c r="C1334" s="3" t="s">
        <v>1462</v>
      </c>
      <c r="D1334" s="4">
        <v>46307.440856481502</v>
      </c>
      <c r="E1334" s="5" t="s">
        <v>10</v>
      </c>
      <c r="F1334" s="5" t="s">
        <v>11</v>
      </c>
      <c r="G1334" s="5">
        <v>10</v>
      </c>
      <c r="H1334" s="6" t="s">
        <v>12</v>
      </c>
      <c r="I1334" t="s">
        <v>1513</v>
      </c>
      <c r="J1334" t="s">
        <v>2480</v>
      </c>
      <c r="K1334" t="str">
        <f>+VLOOKUP(C1334,'[1]TIENDAS 2025'!$A$1:$C$143,3,0)</f>
        <v>departamental</v>
      </c>
      <c r="L1334" t="str">
        <f>+VLOOKUP(C1334,[2]Hoja1!$A$1:$B$138,2,0)</f>
        <v>APROBAR</v>
      </c>
      <c r="M1334">
        <v>1</v>
      </c>
      <c r="N1334" t="e">
        <v>#N/A</v>
      </c>
    </row>
    <row r="1335" spans="1:14" ht="15" customHeight="1" x14ac:dyDescent="0.3">
      <c r="A1335" s="3">
        <v>1209659409</v>
      </c>
      <c r="B1335" s="3" t="s">
        <v>1467</v>
      </c>
      <c r="C1335" s="3" t="s">
        <v>1468</v>
      </c>
      <c r="D1335" s="4">
        <v>46307.440868055601</v>
      </c>
      <c r="E1335" s="5" t="s">
        <v>10</v>
      </c>
      <c r="F1335" s="5" t="s">
        <v>11</v>
      </c>
      <c r="G1335" s="5">
        <v>9</v>
      </c>
      <c r="H1335" s="6" t="s">
        <v>12</v>
      </c>
      <c r="I1335" t="s">
        <v>1514</v>
      </c>
      <c r="J1335" t="s">
        <v>2480</v>
      </c>
      <c r="K1335" t="str">
        <f>+VLOOKUP(C1335,'[1]TIENDAS 2025'!$A$1:$C$143,3,0)</f>
        <v>nocturna</v>
      </c>
      <c r="L1335" t="str">
        <f>+VLOOKUP(C1335,[2]Hoja1!$A$1:$B$138,2,0)</f>
        <v>APROBAR</v>
      </c>
      <c r="M1335">
        <v>1</v>
      </c>
      <c r="N1335" t="e">
        <v>#N/A</v>
      </c>
    </row>
    <row r="1336" spans="1:14" ht="15" customHeight="1" x14ac:dyDescent="0.3">
      <c r="A1336" s="3">
        <v>1209659377</v>
      </c>
      <c r="B1336" s="3" t="s">
        <v>1461</v>
      </c>
      <c r="C1336" s="3" t="s">
        <v>1462</v>
      </c>
      <c r="D1336" s="4">
        <v>46307.440891203703</v>
      </c>
      <c r="E1336" s="5" t="s">
        <v>10</v>
      </c>
      <c r="F1336" s="5" t="s">
        <v>17</v>
      </c>
      <c r="G1336" s="5">
        <v>15</v>
      </c>
      <c r="H1336" s="6" t="s">
        <v>12</v>
      </c>
      <c r="I1336" t="s">
        <v>1515</v>
      </c>
      <c r="J1336" t="s">
        <v>2480</v>
      </c>
      <c r="K1336" t="str">
        <f>+VLOOKUP(C1336,'[1]TIENDAS 2025'!$A$1:$C$143,3,0)</f>
        <v>departamental</v>
      </c>
      <c r="L1336" t="str">
        <f>+VLOOKUP(C1336,[2]Hoja1!$A$1:$B$138,2,0)</f>
        <v>APROBAR</v>
      </c>
      <c r="M1336">
        <v>1</v>
      </c>
      <c r="N1336" t="e">
        <v>#N/A</v>
      </c>
    </row>
    <row r="1337" spans="1:14" ht="15" customHeight="1" x14ac:dyDescent="0.3">
      <c r="A1337" s="3">
        <v>8209659438</v>
      </c>
      <c r="B1337" s="3" t="s">
        <v>1458</v>
      </c>
      <c r="C1337" s="3" t="s">
        <v>1459</v>
      </c>
      <c r="D1337" s="4">
        <v>46307.440902777802</v>
      </c>
      <c r="E1337" s="5" t="s">
        <v>10</v>
      </c>
      <c r="F1337" s="5" t="s">
        <v>16</v>
      </c>
      <c r="G1337" s="5">
        <v>2</v>
      </c>
      <c r="H1337" s="8" t="s">
        <v>12</v>
      </c>
      <c r="I1337" t="s">
        <v>1516</v>
      </c>
      <c r="K1337" t="str">
        <f>+VLOOKUP(C1337,'[1]TIENDAS 2025'!$A$1:$C$143,3,0)</f>
        <v>nocturna</v>
      </c>
      <c r="L1337" t="str">
        <f>+VLOOKUP(C1337,[2]Hoja1!$A$1:$B$138,2,0)</f>
        <v>APROBAR</v>
      </c>
      <c r="M1337">
        <v>1</v>
      </c>
      <c r="N1337" t="e">
        <v>#N/A</v>
      </c>
    </row>
    <row r="1338" spans="1:14" ht="15" customHeight="1" x14ac:dyDescent="0.3">
      <c r="A1338" s="3">
        <v>1209659413</v>
      </c>
      <c r="B1338" s="3" t="s">
        <v>1467</v>
      </c>
      <c r="C1338" s="3" t="s">
        <v>1468</v>
      </c>
      <c r="D1338" s="4">
        <v>46307.440914351799</v>
      </c>
      <c r="E1338" s="5" t="s">
        <v>10</v>
      </c>
      <c r="F1338" s="5" t="s">
        <v>11</v>
      </c>
      <c r="G1338" s="5">
        <v>2</v>
      </c>
      <c r="H1338" s="6" t="s">
        <v>12</v>
      </c>
      <c r="I1338" t="s">
        <v>1517</v>
      </c>
      <c r="J1338" t="s">
        <v>2480</v>
      </c>
      <c r="K1338" t="str">
        <f>+VLOOKUP(C1338,'[1]TIENDAS 2025'!$A$1:$C$143,3,0)</f>
        <v>nocturna</v>
      </c>
      <c r="L1338" t="str">
        <f>+VLOOKUP(C1338,[2]Hoja1!$A$1:$B$138,2,0)</f>
        <v>APROBAR</v>
      </c>
      <c r="M1338">
        <v>1</v>
      </c>
      <c r="N1338" t="e">
        <v>#N/A</v>
      </c>
    </row>
    <row r="1339" spans="1:14" ht="15" customHeight="1" x14ac:dyDescent="0.3">
      <c r="A1339" s="3">
        <v>8209659441</v>
      </c>
      <c r="B1339" s="3" t="s">
        <v>1458</v>
      </c>
      <c r="C1339" s="3" t="s">
        <v>1459</v>
      </c>
      <c r="D1339" s="4">
        <v>46307.440925925897</v>
      </c>
      <c r="E1339" s="5" t="s">
        <v>10</v>
      </c>
      <c r="F1339" s="5" t="s">
        <v>16</v>
      </c>
      <c r="G1339" s="5">
        <v>1</v>
      </c>
      <c r="H1339" s="8" t="s">
        <v>12</v>
      </c>
      <c r="I1339" t="s">
        <v>1518</v>
      </c>
      <c r="K1339" t="str">
        <f>+VLOOKUP(C1339,'[1]TIENDAS 2025'!$A$1:$C$143,3,0)</f>
        <v>nocturna</v>
      </c>
      <c r="L1339" t="str">
        <f>+VLOOKUP(C1339,[2]Hoja1!$A$1:$B$138,2,0)</f>
        <v>APROBAR</v>
      </c>
      <c r="M1339">
        <v>1</v>
      </c>
      <c r="N1339" t="e">
        <v>#N/A</v>
      </c>
    </row>
    <row r="1340" spans="1:14" ht="15" customHeight="1" x14ac:dyDescent="0.3">
      <c r="A1340" s="3">
        <v>8209659341</v>
      </c>
      <c r="B1340" s="3" t="s">
        <v>1455</v>
      </c>
      <c r="C1340" s="3" t="s">
        <v>1456</v>
      </c>
      <c r="D1340" s="4">
        <v>46307.440937500003</v>
      </c>
      <c r="E1340" s="5" t="s">
        <v>10</v>
      </c>
      <c r="F1340" s="5" t="s">
        <v>16</v>
      </c>
      <c r="G1340" s="5">
        <v>8</v>
      </c>
      <c r="H1340" s="8" t="s">
        <v>12</v>
      </c>
      <c r="I1340" t="s">
        <v>1519</v>
      </c>
      <c r="K1340" t="str">
        <f>+VLOOKUP(C1340,'[1]TIENDAS 2025'!$A$1:$C$143,3,0)</f>
        <v>departamental</v>
      </c>
      <c r="L1340" t="str">
        <f>+VLOOKUP(C1340,[2]Hoja1!$A$1:$B$138,2,0)</f>
        <v>APROBAR</v>
      </c>
      <c r="M1340">
        <v>1</v>
      </c>
      <c r="N1340" t="e">
        <v>#N/A</v>
      </c>
    </row>
    <row r="1341" spans="1:14" ht="15" customHeight="1" x14ac:dyDescent="0.3">
      <c r="A1341" s="3">
        <v>8209659344</v>
      </c>
      <c r="B1341" s="3" t="s">
        <v>1455</v>
      </c>
      <c r="C1341" s="3" t="s">
        <v>1456</v>
      </c>
      <c r="D1341" s="4">
        <v>46307.440949074102</v>
      </c>
      <c r="E1341" s="5" t="s">
        <v>10</v>
      </c>
      <c r="F1341" s="5" t="s">
        <v>16</v>
      </c>
      <c r="G1341" s="5">
        <v>2</v>
      </c>
      <c r="H1341" s="8" t="s">
        <v>12</v>
      </c>
      <c r="I1341" t="s">
        <v>1520</v>
      </c>
      <c r="K1341" t="str">
        <f>+VLOOKUP(C1341,'[1]TIENDAS 2025'!$A$1:$C$143,3,0)</f>
        <v>departamental</v>
      </c>
      <c r="L1341" t="str">
        <f>+VLOOKUP(C1341,[2]Hoja1!$A$1:$B$138,2,0)</f>
        <v>APROBAR</v>
      </c>
      <c r="M1341">
        <v>1</v>
      </c>
      <c r="N1341" t="e">
        <v>#N/A</v>
      </c>
    </row>
    <row r="1342" spans="1:14" ht="15" customHeight="1" x14ac:dyDescent="0.3">
      <c r="A1342" s="3">
        <v>1209659346</v>
      </c>
      <c r="B1342" s="3" t="s">
        <v>1455</v>
      </c>
      <c r="C1342" s="3" t="s">
        <v>1456</v>
      </c>
      <c r="D1342" s="4">
        <v>46307.440972222197</v>
      </c>
      <c r="E1342" s="5" t="s">
        <v>10</v>
      </c>
      <c r="F1342" s="5" t="s">
        <v>17</v>
      </c>
      <c r="G1342" s="5">
        <v>13</v>
      </c>
      <c r="H1342" s="6" t="s">
        <v>12</v>
      </c>
      <c r="I1342" t="s">
        <v>1521</v>
      </c>
      <c r="J1342" t="s">
        <v>2480</v>
      </c>
      <c r="K1342" t="str">
        <f>+VLOOKUP(C1342,'[1]TIENDAS 2025'!$A$1:$C$143,3,0)</f>
        <v>departamental</v>
      </c>
      <c r="L1342" t="str">
        <f>+VLOOKUP(C1342,[2]Hoja1!$A$1:$B$138,2,0)</f>
        <v>APROBAR</v>
      </c>
      <c r="M1342">
        <v>1</v>
      </c>
      <c r="N1342" t="e">
        <v>#N/A</v>
      </c>
    </row>
    <row r="1343" spans="1:14" ht="15" customHeight="1" x14ac:dyDescent="0.3">
      <c r="A1343" s="3">
        <v>1209659358</v>
      </c>
      <c r="B1343" s="3" t="s">
        <v>1455</v>
      </c>
      <c r="C1343" s="3" t="s">
        <v>1456</v>
      </c>
      <c r="D1343" s="4">
        <v>46307.440972222197</v>
      </c>
      <c r="E1343" s="5" t="s">
        <v>10</v>
      </c>
      <c r="F1343" s="5" t="s">
        <v>11</v>
      </c>
      <c r="G1343" s="5">
        <v>57</v>
      </c>
      <c r="H1343" s="6" t="s">
        <v>12</v>
      </c>
      <c r="I1343" t="s">
        <v>1522</v>
      </c>
      <c r="J1343" t="s">
        <v>2480</v>
      </c>
      <c r="K1343" t="str">
        <f>+VLOOKUP(C1343,'[1]TIENDAS 2025'!$A$1:$C$143,3,0)</f>
        <v>departamental</v>
      </c>
      <c r="L1343" t="str">
        <f>+VLOOKUP(C1343,[2]Hoja1!$A$1:$B$138,2,0)</f>
        <v>APROBAR</v>
      </c>
      <c r="M1343">
        <v>1</v>
      </c>
      <c r="N1343" t="e">
        <v>#N/A</v>
      </c>
    </row>
    <row r="1344" spans="1:14" ht="15" customHeight="1" x14ac:dyDescent="0.3">
      <c r="A1344" s="3">
        <v>8209659471</v>
      </c>
      <c r="B1344" s="3" t="s">
        <v>1472</v>
      </c>
      <c r="C1344" s="3" t="s">
        <v>1473</v>
      </c>
      <c r="D1344" s="4">
        <v>46307.440995370402</v>
      </c>
      <c r="E1344" s="5" t="s">
        <v>10</v>
      </c>
      <c r="F1344" s="5" t="s">
        <v>16</v>
      </c>
      <c r="G1344" s="5">
        <v>2</v>
      </c>
      <c r="H1344" s="8" t="s">
        <v>12</v>
      </c>
      <c r="I1344" t="s">
        <v>1523</v>
      </c>
      <c r="K1344" t="str">
        <f>+VLOOKUP(C1344,'[1]TIENDAS 2025'!$A$1:$C$143,3,0)</f>
        <v>departamental</v>
      </c>
      <c r="L1344" t="str">
        <f>+VLOOKUP(C1344,[2]Hoja1!$A$1:$B$138,2,0)</f>
        <v>APROBAR</v>
      </c>
      <c r="M1344">
        <v>1</v>
      </c>
      <c r="N1344" t="e">
        <v>#N/A</v>
      </c>
    </row>
    <row r="1345" spans="1:14" ht="15" customHeight="1" x14ac:dyDescent="0.3">
      <c r="A1345" s="3">
        <v>1209659352</v>
      </c>
      <c r="B1345" s="3" t="s">
        <v>1455</v>
      </c>
      <c r="C1345" s="3" t="s">
        <v>1456</v>
      </c>
      <c r="D1345" s="4">
        <v>46307.441006944398</v>
      </c>
      <c r="E1345" s="5" t="s">
        <v>10</v>
      </c>
      <c r="F1345" s="5" t="s">
        <v>11</v>
      </c>
      <c r="G1345" s="5">
        <v>28</v>
      </c>
      <c r="H1345" s="6" t="s">
        <v>12</v>
      </c>
      <c r="I1345" t="s">
        <v>1524</v>
      </c>
      <c r="J1345" t="s">
        <v>2480</v>
      </c>
      <c r="K1345" t="str">
        <f>+VLOOKUP(C1345,'[1]TIENDAS 2025'!$A$1:$C$143,3,0)</f>
        <v>departamental</v>
      </c>
      <c r="L1345" t="str">
        <f>+VLOOKUP(C1345,[2]Hoja1!$A$1:$B$138,2,0)</f>
        <v>APROBAR</v>
      </c>
      <c r="M1345">
        <v>1</v>
      </c>
      <c r="N1345" t="e">
        <v>#N/A</v>
      </c>
    </row>
    <row r="1346" spans="1:14" ht="15" customHeight="1" x14ac:dyDescent="0.3">
      <c r="A1346" s="3">
        <v>1209659376</v>
      </c>
      <c r="B1346" s="3" t="s">
        <v>1461</v>
      </c>
      <c r="C1346" s="3" t="s">
        <v>1462</v>
      </c>
      <c r="D1346" s="4">
        <v>46307.441018518497</v>
      </c>
      <c r="E1346" s="5" t="s">
        <v>10</v>
      </c>
      <c r="F1346" s="5" t="s">
        <v>11</v>
      </c>
      <c r="G1346" s="5">
        <v>20</v>
      </c>
      <c r="H1346" s="6" t="s">
        <v>12</v>
      </c>
      <c r="I1346" t="s">
        <v>1525</v>
      </c>
      <c r="J1346" t="s">
        <v>2480</v>
      </c>
      <c r="K1346" t="str">
        <f>+VLOOKUP(C1346,'[1]TIENDAS 2025'!$A$1:$C$143,3,0)</f>
        <v>departamental</v>
      </c>
      <c r="L1346" t="str">
        <f>+VLOOKUP(C1346,[2]Hoja1!$A$1:$B$138,2,0)</f>
        <v>APROBAR</v>
      </c>
      <c r="M1346">
        <v>1</v>
      </c>
      <c r="N1346" t="e">
        <v>#N/A</v>
      </c>
    </row>
    <row r="1347" spans="1:14" ht="15" customHeight="1" x14ac:dyDescent="0.3">
      <c r="A1347" s="3">
        <v>1209659410</v>
      </c>
      <c r="B1347" s="3" t="s">
        <v>1467</v>
      </c>
      <c r="C1347" s="3" t="s">
        <v>1468</v>
      </c>
      <c r="D1347" s="4">
        <v>46307.441030092603</v>
      </c>
      <c r="E1347" s="5" t="s">
        <v>10</v>
      </c>
      <c r="F1347" s="5" t="s">
        <v>11</v>
      </c>
      <c r="G1347" s="5">
        <v>2</v>
      </c>
      <c r="H1347" s="6" t="s">
        <v>12</v>
      </c>
      <c r="I1347" t="s">
        <v>1526</v>
      </c>
      <c r="J1347" t="s">
        <v>2480</v>
      </c>
      <c r="K1347" t="str">
        <f>+VLOOKUP(C1347,'[1]TIENDAS 2025'!$A$1:$C$143,3,0)</f>
        <v>nocturna</v>
      </c>
      <c r="L1347" t="str">
        <f>+VLOOKUP(C1347,[2]Hoja1!$A$1:$B$138,2,0)</f>
        <v>APROBAR</v>
      </c>
      <c r="M1347">
        <v>1</v>
      </c>
      <c r="N1347" t="e">
        <v>#N/A</v>
      </c>
    </row>
    <row r="1348" spans="1:14" ht="15" customHeight="1" x14ac:dyDescent="0.3">
      <c r="A1348" s="3">
        <v>1209659482</v>
      </c>
      <c r="B1348" s="3" t="s">
        <v>1472</v>
      </c>
      <c r="C1348" s="3" t="s">
        <v>1473</v>
      </c>
      <c r="D1348" s="4">
        <v>46307.441053240698</v>
      </c>
      <c r="E1348" s="5" t="s">
        <v>10</v>
      </c>
      <c r="F1348" s="5" t="s">
        <v>17</v>
      </c>
      <c r="G1348" s="5">
        <v>36</v>
      </c>
      <c r="H1348" s="6" t="s">
        <v>12</v>
      </c>
      <c r="I1348" t="s">
        <v>1527</v>
      </c>
      <c r="J1348" t="s">
        <v>2480</v>
      </c>
      <c r="K1348" t="str">
        <f>+VLOOKUP(C1348,'[1]TIENDAS 2025'!$A$1:$C$143,3,0)</f>
        <v>departamental</v>
      </c>
      <c r="L1348" t="str">
        <f>+VLOOKUP(C1348,[2]Hoja1!$A$1:$B$138,2,0)</f>
        <v>APROBAR</v>
      </c>
      <c r="M1348">
        <v>1</v>
      </c>
      <c r="N1348" t="e">
        <v>#N/A</v>
      </c>
    </row>
    <row r="1349" spans="1:14" ht="15" customHeight="1" x14ac:dyDescent="0.3">
      <c r="A1349" s="3">
        <v>1209659357</v>
      </c>
      <c r="B1349" s="3" t="s">
        <v>1455</v>
      </c>
      <c r="C1349" s="3" t="s">
        <v>1456</v>
      </c>
      <c r="D1349" s="4">
        <v>46307.441064814797</v>
      </c>
      <c r="E1349" s="5" t="s">
        <v>10</v>
      </c>
      <c r="F1349" s="5" t="s">
        <v>17</v>
      </c>
      <c r="G1349" s="5">
        <v>57</v>
      </c>
      <c r="H1349" s="6" t="s">
        <v>12</v>
      </c>
      <c r="I1349" t="s">
        <v>1528</v>
      </c>
      <c r="J1349" t="s">
        <v>2480</v>
      </c>
      <c r="K1349" t="str">
        <f>+VLOOKUP(C1349,'[1]TIENDAS 2025'!$A$1:$C$143,3,0)</f>
        <v>departamental</v>
      </c>
      <c r="L1349" t="str">
        <f>+VLOOKUP(C1349,[2]Hoja1!$A$1:$B$138,2,0)</f>
        <v>APROBAR</v>
      </c>
      <c r="M1349">
        <v>1</v>
      </c>
      <c r="N1349" t="e">
        <v>#N/A</v>
      </c>
    </row>
    <row r="1350" spans="1:14" ht="15" customHeight="1" x14ac:dyDescent="0.3">
      <c r="A1350" s="3">
        <v>1209659419</v>
      </c>
      <c r="B1350" s="3" t="s">
        <v>1467</v>
      </c>
      <c r="C1350" s="3" t="s">
        <v>1468</v>
      </c>
      <c r="D1350" s="4">
        <v>46307.441076388903</v>
      </c>
      <c r="E1350" s="5" t="s">
        <v>10</v>
      </c>
      <c r="F1350" s="5" t="s">
        <v>17</v>
      </c>
      <c r="G1350" s="5">
        <v>4</v>
      </c>
      <c r="H1350" s="6" t="s">
        <v>12</v>
      </c>
      <c r="I1350" t="s">
        <v>1529</v>
      </c>
      <c r="J1350" t="s">
        <v>2480</v>
      </c>
      <c r="K1350" t="str">
        <f>+VLOOKUP(C1350,'[1]TIENDAS 2025'!$A$1:$C$143,3,0)</f>
        <v>nocturna</v>
      </c>
      <c r="L1350" t="str">
        <f>+VLOOKUP(C1350,[2]Hoja1!$A$1:$B$138,2,0)</f>
        <v>APROBAR</v>
      </c>
      <c r="M1350">
        <v>1</v>
      </c>
      <c r="N1350" t="e">
        <v>#N/A</v>
      </c>
    </row>
    <row r="1351" spans="1:14" ht="15" customHeight="1" x14ac:dyDescent="0.3">
      <c r="A1351" s="3">
        <v>8209659442</v>
      </c>
      <c r="B1351" s="3" t="s">
        <v>1458</v>
      </c>
      <c r="C1351" s="3" t="s">
        <v>1459</v>
      </c>
      <c r="D1351" s="4">
        <v>46307.441087963001</v>
      </c>
      <c r="E1351" s="5" t="s">
        <v>10</v>
      </c>
      <c r="F1351" s="5" t="s">
        <v>16</v>
      </c>
      <c r="G1351" s="5">
        <v>6</v>
      </c>
      <c r="H1351" s="8" t="s">
        <v>12</v>
      </c>
      <c r="I1351" t="s">
        <v>1530</v>
      </c>
      <c r="K1351" t="str">
        <f>+VLOOKUP(C1351,'[1]TIENDAS 2025'!$A$1:$C$143,3,0)</f>
        <v>nocturna</v>
      </c>
      <c r="L1351" t="str">
        <f>+VLOOKUP(C1351,[2]Hoja1!$A$1:$B$138,2,0)</f>
        <v>APROBAR</v>
      </c>
      <c r="M1351">
        <v>1</v>
      </c>
      <c r="N1351" t="e">
        <v>#N/A</v>
      </c>
    </row>
    <row r="1352" spans="1:14" ht="15" customHeight="1" x14ac:dyDescent="0.3">
      <c r="A1352" s="3">
        <v>1209659445</v>
      </c>
      <c r="B1352" s="3" t="s">
        <v>1458</v>
      </c>
      <c r="C1352" s="3" t="s">
        <v>1459</v>
      </c>
      <c r="D1352" s="4">
        <v>46307.441099536998</v>
      </c>
      <c r="E1352" s="5" t="s">
        <v>10</v>
      </c>
      <c r="F1352" s="5" t="s">
        <v>16</v>
      </c>
      <c r="G1352" s="5">
        <v>18</v>
      </c>
      <c r="H1352" s="6" t="s">
        <v>12</v>
      </c>
      <c r="I1352" t="s">
        <v>1531</v>
      </c>
      <c r="J1352" t="s">
        <v>2480</v>
      </c>
      <c r="K1352" t="str">
        <f>+VLOOKUP(C1352,'[1]TIENDAS 2025'!$A$1:$C$143,3,0)</f>
        <v>nocturna</v>
      </c>
      <c r="L1352" t="str">
        <f>+VLOOKUP(C1352,[2]Hoja1!$A$1:$B$138,2,0)</f>
        <v>APROBAR</v>
      </c>
      <c r="M1352">
        <v>1</v>
      </c>
      <c r="N1352" t="e">
        <v>#N/A</v>
      </c>
    </row>
    <row r="1353" spans="1:14" ht="15" customHeight="1" x14ac:dyDescent="0.3">
      <c r="A1353" s="3">
        <v>1209659447</v>
      </c>
      <c r="B1353" s="3" t="s">
        <v>1458</v>
      </c>
      <c r="C1353" s="3" t="s">
        <v>1459</v>
      </c>
      <c r="D1353" s="4">
        <v>46307.441111111097</v>
      </c>
      <c r="E1353" s="5" t="s">
        <v>10</v>
      </c>
      <c r="F1353" s="5" t="s">
        <v>17</v>
      </c>
      <c r="G1353" s="5">
        <v>13</v>
      </c>
      <c r="H1353" s="6" t="s">
        <v>12</v>
      </c>
      <c r="I1353" t="s">
        <v>1532</v>
      </c>
      <c r="J1353" t="s">
        <v>2480</v>
      </c>
      <c r="K1353" t="str">
        <f>+VLOOKUP(C1353,'[1]TIENDAS 2025'!$A$1:$C$143,3,0)</f>
        <v>nocturna</v>
      </c>
      <c r="L1353" t="str">
        <f>+VLOOKUP(C1353,[2]Hoja1!$A$1:$B$138,2,0)</f>
        <v>APROBAR</v>
      </c>
      <c r="M1353">
        <v>1</v>
      </c>
      <c r="N1353" t="e">
        <v>#N/A</v>
      </c>
    </row>
    <row r="1354" spans="1:14" ht="15" customHeight="1" x14ac:dyDescent="0.3">
      <c r="A1354" s="3">
        <v>8209659325</v>
      </c>
      <c r="B1354" s="3" t="s">
        <v>1455</v>
      </c>
      <c r="C1354" s="3" t="s">
        <v>1456</v>
      </c>
      <c r="D1354" s="4">
        <v>46307.441134259301</v>
      </c>
      <c r="E1354" s="5" t="s">
        <v>10</v>
      </c>
      <c r="F1354" s="5" t="s">
        <v>16</v>
      </c>
      <c r="G1354" s="5">
        <v>6</v>
      </c>
      <c r="H1354" s="8" t="s">
        <v>12</v>
      </c>
      <c r="I1354" t="s">
        <v>1533</v>
      </c>
      <c r="K1354" t="str">
        <f>+VLOOKUP(C1354,'[1]TIENDAS 2025'!$A$1:$C$143,3,0)</f>
        <v>departamental</v>
      </c>
      <c r="L1354" t="str">
        <f>+VLOOKUP(C1354,[2]Hoja1!$A$1:$B$138,2,0)</f>
        <v>APROBAR</v>
      </c>
      <c r="M1354">
        <v>1</v>
      </c>
      <c r="N1354" t="e">
        <v>#N/A</v>
      </c>
    </row>
    <row r="1355" spans="1:14" ht="15" customHeight="1" x14ac:dyDescent="0.3">
      <c r="A1355" s="3">
        <v>8209659368</v>
      </c>
      <c r="B1355" s="3" t="s">
        <v>1461</v>
      </c>
      <c r="C1355" s="3" t="s">
        <v>1462</v>
      </c>
      <c r="D1355" s="4">
        <v>46307.441145833298</v>
      </c>
      <c r="E1355" s="5" t="s">
        <v>10</v>
      </c>
      <c r="F1355" s="5" t="s">
        <v>16</v>
      </c>
      <c r="G1355" s="5">
        <v>2</v>
      </c>
      <c r="H1355" s="8" t="s">
        <v>12</v>
      </c>
      <c r="I1355" t="s">
        <v>1534</v>
      </c>
      <c r="K1355" t="str">
        <f>+VLOOKUP(C1355,'[1]TIENDAS 2025'!$A$1:$C$143,3,0)</f>
        <v>departamental</v>
      </c>
      <c r="L1355" t="str">
        <f>+VLOOKUP(C1355,[2]Hoja1!$A$1:$B$138,2,0)</f>
        <v>APROBAR</v>
      </c>
      <c r="M1355">
        <v>1</v>
      </c>
      <c r="N1355" t="e">
        <v>#N/A</v>
      </c>
    </row>
    <row r="1356" spans="1:14" ht="15" customHeight="1" x14ac:dyDescent="0.3">
      <c r="A1356" s="3">
        <v>8209659402</v>
      </c>
      <c r="B1356" s="3" t="s">
        <v>1467</v>
      </c>
      <c r="C1356" s="3" t="s">
        <v>1468</v>
      </c>
      <c r="D1356" s="4">
        <v>46307.441157407397</v>
      </c>
      <c r="E1356" s="5" t="s">
        <v>10</v>
      </c>
      <c r="F1356" s="5" t="s">
        <v>16</v>
      </c>
      <c r="G1356" s="5">
        <v>2</v>
      </c>
      <c r="H1356" s="8" t="s">
        <v>12</v>
      </c>
      <c r="I1356" t="s">
        <v>1535</v>
      </c>
      <c r="K1356" t="str">
        <f>+VLOOKUP(C1356,'[1]TIENDAS 2025'!$A$1:$C$143,3,0)</f>
        <v>nocturna</v>
      </c>
      <c r="L1356" t="str">
        <f>+VLOOKUP(C1356,[2]Hoja1!$A$1:$B$138,2,0)</f>
        <v>APROBAR</v>
      </c>
      <c r="M1356">
        <v>1</v>
      </c>
      <c r="N1356" t="e">
        <v>#N/A</v>
      </c>
    </row>
    <row r="1357" spans="1:14" ht="15" customHeight="1" x14ac:dyDescent="0.3">
      <c r="A1357" s="3">
        <v>1209659476</v>
      </c>
      <c r="B1357" s="3" t="s">
        <v>1472</v>
      </c>
      <c r="C1357" s="3" t="s">
        <v>1473</v>
      </c>
      <c r="D1357" s="4">
        <v>46307.441168981502</v>
      </c>
      <c r="E1357" s="5" t="s">
        <v>10</v>
      </c>
      <c r="F1357" s="5" t="s">
        <v>17</v>
      </c>
      <c r="G1357" s="5">
        <v>10</v>
      </c>
      <c r="H1357" s="6" t="s">
        <v>12</v>
      </c>
      <c r="I1357" t="s">
        <v>1536</v>
      </c>
      <c r="J1357" t="s">
        <v>2480</v>
      </c>
      <c r="K1357" t="str">
        <f>+VLOOKUP(C1357,'[1]TIENDAS 2025'!$A$1:$C$143,3,0)</f>
        <v>departamental</v>
      </c>
      <c r="L1357" t="str">
        <f>+VLOOKUP(C1357,[2]Hoja1!$A$1:$B$138,2,0)</f>
        <v>APROBAR</v>
      </c>
      <c r="M1357">
        <v>1</v>
      </c>
      <c r="N1357" t="e">
        <v>#N/A</v>
      </c>
    </row>
    <row r="1358" spans="1:14" ht="15" customHeight="1" x14ac:dyDescent="0.3">
      <c r="A1358" s="3">
        <v>1209659481</v>
      </c>
      <c r="B1358" s="3" t="s">
        <v>1472</v>
      </c>
      <c r="C1358" s="3" t="s">
        <v>1473</v>
      </c>
      <c r="D1358" s="4">
        <v>46307.441180555601</v>
      </c>
      <c r="E1358" s="5" t="s">
        <v>10</v>
      </c>
      <c r="F1358" s="5" t="s">
        <v>11</v>
      </c>
      <c r="G1358" s="5">
        <v>1</v>
      </c>
      <c r="H1358" s="6" t="s">
        <v>12</v>
      </c>
      <c r="I1358" t="s">
        <v>1537</v>
      </c>
      <c r="J1358" t="s">
        <v>2480</v>
      </c>
      <c r="K1358" t="str">
        <f>+VLOOKUP(C1358,'[1]TIENDAS 2025'!$A$1:$C$143,3,0)</f>
        <v>departamental</v>
      </c>
      <c r="L1358" t="str">
        <f>+VLOOKUP(C1358,[2]Hoja1!$A$1:$B$138,2,0)</f>
        <v>APROBAR</v>
      </c>
      <c r="M1358">
        <v>1</v>
      </c>
      <c r="N1358" t="e">
        <v>#N/A</v>
      </c>
    </row>
    <row r="1359" spans="1:14" ht="15" customHeight="1" x14ac:dyDescent="0.3">
      <c r="A1359" s="3">
        <v>1209659411</v>
      </c>
      <c r="B1359" s="3" t="s">
        <v>1467</v>
      </c>
      <c r="C1359" s="3" t="s">
        <v>1468</v>
      </c>
      <c r="D1359" s="4">
        <v>46307.441192129598</v>
      </c>
      <c r="E1359" s="5" t="s">
        <v>10</v>
      </c>
      <c r="F1359" s="5" t="s">
        <v>11</v>
      </c>
      <c r="G1359" s="5">
        <v>10</v>
      </c>
      <c r="H1359" s="6" t="s">
        <v>12</v>
      </c>
      <c r="I1359" t="s">
        <v>1538</v>
      </c>
      <c r="J1359" t="s">
        <v>2480</v>
      </c>
      <c r="K1359" t="str">
        <f>+VLOOKUP(C1359,'[1]TIENDAS 2025'!$A$1:$C$143,3,0)</f>
        <v>nocturna</v>
      </c>
      <c r="L1359" t="str">
        <f>+VLOOKUP(C1359,[2]Hoja1!$A$1:$B$138,2,0)</f>
        <v>APROBAR</v>
      </c>
      <c r="M1359">
        <v>1</v>
      </c>
      <c r="N1359" t="e">
        <v>#N/A</v>
      </c>
    </row>
    <row r="1360" spans="1:14" ht="15" customHeight="1" x14ac:dyDescent="0.3">
      <c r="A1360" s="3">
        <v>1209659418</v>
      </c>
      <c r="B1360" s="3" t="s">
        <v>1467</v>
      </c>
      <c r="C1360" s="3" t="s">
        <v>1468</v>
      </c>
      <c r="D1360" s="4">
        <v>46307.441215277802</v>
      </c>
      <c r="E1360" s="5" t="s">
        <v>10</v>
      </c>
      <c r="F1360" s="5" t="s">
        <v>11</v>
      </c>
      <c r="G1360" s="5">
        <v>2</v>
      </c>
      <c r="H1360" s="6" t="s">
        <v>12</v>
      </c>
      <c r="I1360" t="s">
        <v>1539</v>
      </c>
      <c r="J1360" t="s">
        <v>2480</v>
      </c>
      <c r="K1360" t="str">
        <f>+VLOOKUP(C1360,'[1]TIENDAS 2025'!$A$1:$C$143,3,0)</f>
        <v>nocturna</v>
      </c>
      <c r="L1360" t="str">
        <f>+VLOOKUP(C1360,[2]Hoja1!$A$1:$B$138,2,0)</f>
        <v>APROBAR</v>
      </c>
      <c r="M1360">
        <v>1</v>
      </c>
      <c r="N1360" t="e">
        <v>#N/A</v>
      </c>
    </row>
    <row r="1361" spans="1:14" ht="15" customHeight="1" x14ac:dyDescent="0.3">
      <c r="A1361" s="3">
        <v>1209659449</v>
      </c>
      <c r="B1361" s="3" t="s">
        <v>1458</v>
      </c>
      <c r="C1361" s="3" t="s">
        <v>1459</v>
      </c>
      <c r="D1361" s="4">
        <v>46307.441226851799</v>
      </c>
      <c r="E1361" s="5" t="s">
        <v>10</v>
      </c>
      <c r="F1361" s="5" t="s">
        <v>11</v>
      </c>
      <c r="G1361" s="5">
        <v>2</v>
      </c>
      <c r="H1361" s="6" t="s">
        <v>12</v>
      </c>
      <c r="I1361" t="s">
        <v>1540</v>
      </c>
      <c r="J1361" t="s">
        <v>2480</v>
      </c>
      <c r="K1361" t="str">
        <f>+VLOOKUP(C1361,'[1]TIENDAS 2025'!$A$1:$C$143,3,0)</f>
        <v>nocturna</v>
      </c>
      <c r="L1361" t="str">
        <f>+VLOOKUP(C1361,[2]Hoja1!$A$1:$B$138,2,0)</f>
        <v>APROBAR</v>
      </c>
      <c r="M1361">
        <v>1</v>
      </c>
      <c r="N1361" t="e">
        <v>#N/A</v>
      </c>
    </row>
    <row r="1362" spans="1:14" ht="15" customHeight="1" x14ac:dyDescent="0.3">
      <c r="A1362" s="3">
        <v>8209659366</v>
      </c>
      <c r="B1362" s="3" t="s">
        <v>1461</v>
      </c>
      <c r="C1362" s="3" t="s">
        <v>1462</v>
      </c>
      <c r="D1362" s="4">
        <v>46307.441226851799</v>
      </c>
      <c r="E1362" s="5" t="s">
        <v>10</v>
      </c>
      <c r="F1362" s="5" t="s">
        <v>16</v>
      </c>
      <c r="G1362" s="5">
        <v>1</v>
      </c>
      <c r="H1362" s="8" t="s">
        <v>12</v>
      </c>
      <c r="I1362" t="s">
        <v>1541</v>
      </c>
      <c r="K1362" t="str">
        <f>+VLOOKUP(C1362,'[1]TIENDAS 2025'!$A$1:$C$143,3,0)</f>
        <v>departamental</v>
      </c>
      <c r="L1362" t="str">
        <f>+VLOOKUP(C1362,[2]Hoja1!$A$1:$B$138,2,0)</f>
        <v>APROBAR</v>
      </c>
      <c r="M1362">
        <v>1</v>
      </c>
      <c r="N1362" t="e">
        <v>#N/A</v>
      </c>
    </row>
    <row r="1363" spans="1:14" ht="15" customHeight="1" x14ac:dyDescent="0.3">
      <c r="A1363" s="3">
        <v>8209659472</v>
      </c>
      <c r="B1363" s="3" t="s">
        <v>1472</v>
      </c>
      <c r="C1363" s="3" t="s">
        <v>1473</v>
      </c>
      <c r="D1363" s="4">
        <v>46307.441250000003</v>
      </c>
      <c r="E1363" s="5" t="s">
        <v>10</v>
      </c>
      <c r="F1363" s="5" t="s">
        <v>16</v>
      </c>
      <c r="G1363" s="5">
        <v>6</v>
      </c>
      <c r="H1363" s="8" t="s">
        <v>12</v>
      </c>
      <c r="I1363" t="s">
        <v>1542</v>
      </c>
      <c r="K1363" t="str">
        <f>+VLOOKUP(C1363,'[1]TIENDAS 2025'!$A$1:$C$143,3,0)</f>
        <v>departamental</v>
      </c>
      <c r="L1363" t="str">
        <f>+VLOOKUP(C1363,[2]Hoja1!$A$1:$B$138,2,0)</f>
        <v>APROBAR</v>
      </c>
      <c r="M1363">
        <v>1</v>
      </c>
      <c r="N1363" t="e">
        <v>#N/A</v>
      </c>
    </row>
    <row r="1364" spans="1:14" ht="15" customHeight="1" x14ac:dyDescent="0.3">
      <c r="A1364" s="3">
        <v>1209659331</v>
      </c>
      <c r="B1364" s="3" t="s">
        <v>1455</v>
      </c>
      <c r="C1364" s="3" t="s">
        <v>1456</v>
      </c>
      <c r="D1364" s="4">
        <v>46307.441261574102</v>
      </c>
      <c r="E1364" s="5" t="s">
        <v>10</v>
      </c>
      <c r="F1364" s="5" t="s">
        <v>11</v>
      </c>
      <c r="G1364" s="5">
        <v>11</v>
      </c>
      <c r="H1364" s="6" t="s">
        <v>12</v>
      </c>
      <c r="I1364" t="s">
        <v>1543</v>
      </c>
      <c r="J1364" t="s">
        <v>2480</v>
      </c>
      <c r="K1364" t="str">
        <f>+VLOOKUP(C1364,'[1]TIENDAS 2025'!$A$1:$C$143,3,0)</f>
        <v>departamental</v>
      </c>
      <c r="L1364" t="str">
        <f>+VLOOKUP(C1364,[2]Hoja1!$A$1:$B$138,2,0)</f>
        <v>APROBAR</v>
      </c>
      <c r="M1364">
        <v>1</v>
      </c>
      <c r="N1364" t="e">
        <v>#N/A</v>
      </c>
    </row>
    <row r="1365" spans="1:14" ht="15" customHeight="1" x14ac:dyDescent="0.3">
      <c r="A1365" s="3">
        <v>1209659408</v>
      </c>
      <c r="B1365" s="3" t="s">
        <v>1467</v>
      </c>
      <c r="C1365" s="3" t="s">
        <v>1468</v>
      </c>
      <c r="D1365" s="4">
        <v>46307.441284722197</v>
      </c>
      <c r="E1365" s="5" t="s">
        <v>10</v>
      </c>
      <c r="F1365" s="5" t="s">
        <v>11</v>
      </c>
      <c r="G1365" s="5">
        <v>6</v>
      </c>
      <c r="H1365" s="6" t="s">
        <v>12</v>
      </c>
      <c r="I1365" t="s">
        <v>1544</v>
      </c>
      <c r="J1365" t="s">
        <v>2480</v>
      </c>
      <c r="K1365" t="str">
        <f>+VLOOKUP(C1365,'[1]TIENDAS 2025'!$A$1:$C$143,3,0)</f>
        <v>nocturna</v>
      </c>
      <c r="L1365" t="str">
        <f>+VLOOKUP(C1365,[2]Hoja1!$A$1:$B$138,2,0)</f>
        <v>APROBAR</v>
      </c>
      <c r="M1365">
        <v>1</v>
      </c>
      <c r="N1365" t="e">
        <v>#N/A</v>
      </c>
    </row>
    <row r="1366" spans="1:14" ht="15" customHeight="1" x14ac:dyDescent="0.3">
      <c r="A1366" s="3">
        <v>1209659488</v>
      </c>
      <c r="B1366" s="3" t="s">
        <v>1472</v>
      </c>
      <c r="C1366" s="3" t="s">
        <v>1473</v>
      </c>
      <c r="D1366" s="4">
        <v>46307.441296296303</v>
      </c>
      <c r="E1366" s="5" t="s">
        <v>10</v>
      </c>
      <c r="F1366" s="5" t="s">
        <v>11</v>
      </c>
      <c r="G1366" s="5">
        <v>22</v>
      </c>
      <c r="H1366" s="6" t="s">
        <v>12</v>
      </c>
      <c r="I1366" t="s">
        <v>1545</v>
      </c>
      <c r="J1366" t="s">
        <v>2480</v>
      </c>
      <c r="K1366" t="str">
        <f>+VLOOKUP(C1366,'[1]TIENDAS 2025'!$A$1:$C$143,3,0)</f>
        <v>departamental</v>
      </c>
      <c r="L1366" t="str">
        <f>+VLOOKUP(C1366,[2]Hoja1!$A$1:$B$138,2,0)</f>
        <v>APROBAR</v>
      </c>
      <c r="M1366">
        <v>1</v>
      </c>
      <c r="N1366" t="e">
        <v>#N/A</v>
      </c>
    </row>
    <row r="1367" spans="1:14" ht="15" customHeight="1" x14ac:dyDescent="0.3">
      <c r="A1367" s="3">
        <v>8209659383</v>
      </c>
      <c r="B1367" s="3" t="s">
        <v>1461</v>
      </c>
      <c r="C1367" s="3" t="s">
        <v>1462</v>
      </c>
      <c r="D1367" s="4">
        <v>46307.441307870402</v>
      </c>
      <c r="E1367" s="5" t="s">
        <v>10</v>
      </c>
      <c r="F1367" s="5" t="s">
        <v>16</v>
      </c>
      <c r="G1367" s="5">
        <v>1</v>
      </c>
      <c r="H1367" s="8" t="s">
        <v>12</v>
      </c>
      <c r="I1367" t="s">
        <v>1546</v>
      </c>
      <c r="K1367" t="str">
        <f>+VLOOKUP(C1367,'[1]TIENDAS 2025'!$A$1:$C$143,3,0)</f>
        <v>departamental</v>
      </c>
      <c r="L1367" t="str">
        <f>+VLOOKUP(C1367,[2]Hoja1!$A$1:$B$138,2,0)</f>
        <v>APROBAR</v>
      </c>
      <c r="M1367">
        <v>1</v>
      </c>
      <c r="N1367" t="e">
        <v>#N/A</v>
      </c>
    </row>
    <row r="1368" spans="1:14" ht="15" customHeight="1" x14ac:dyDescent="0.3">
      <c r="A1368" s="3">
        <v>1209659509</v>
      </c>
      <c r="B1368" s="3" t="s">
        <v>1548</v>
      </c>
      <c r="C1368" s="3" t="s">
        <v>1549</v>
      </c>
      <c r="D1368" s="4">
        <v>46307.443657407399</v>
      </c>
      <c r="E1368" s="5" t="s">
        <v>10</v>
      </c>
      <c r="F1368" s="5" t="s">
        <v>11</v>
      </c>
      <c r="G1368" s="5">
        <v>14</v>
      </c>
      <c r="H1368" s="6" t="s">
        <v>12</v>
      </c>
      <c r="I1368" t="s">
        <v>1547</v>
      </c>
      <c r="J1368" t="s">
        <v>2480</v>
      </c>
      <c r="K1368" t="str">
        <f>+VLOOKUP(C1368,'[1]TIENDAS 2025'!$A$1:$C$143,3,0)</f>
        <v>prioridad</v>
      </c>
      <c r="L1368" t="str">
        <f>+VLOOKUP(C1368,[2]Hoja1!$A$1:$B$138,2,0)</f>
        <v>APROBAR</v>
      </c>
      <c r="M1368">
        <v>1</v>
      </c>
      <c r="N1368" t="e">
        <v>#N/A</v>
      </c>
    </row>
    <row r="1369" spans="1:14" ht="15" customHeight="1" x14ac:dyDescent="0.3">
      <c r="A1369" s="3">
        <v>1209659511</v>
      </c>
      <c r="B1369" s="3" t="s">
        <v>1548</v>
      </c>
      <c r="C1369" s="3" t="s">
        <v>1549</v>
      </c>
      <c r="D1369" s="4">
        <v>46307.443668981497</v>
      </c>
      <c r="E1369" s="5" t="s">
        <v>10</v>
      </c>
      <c r="F1369" s="5" t="s">
        <v>17</v>
      </c>
      <c r="G1369" s="5">
        <v>16</v>
      </c>
      <c r="H1369" s="6" t="s">
        <v>12</v>
      </c>
      <c r="I1369" t="s">
        <v>1550</v>
      </c>
      <c r="J1369" t="s">
        <v>2480</v>
      </c>
      <c r="K1369" t="str">
        <f>+VLOOKUP(C1369,'[1]TIENDAS 2025'!$A$1:$C$143,3,0)</f>
        <v>prioridad</v>
      </c>
      <c r="L1369" t="str">
        <f>+VLOOKUP(C1369,[2]Hoja1!$A$1:$B$138,2,0)</f>
        <v>APROBAR</v>
      </c>
      <c r="M1369">
        <v>1</v>
      </c>
      <c r="N1369" t="e">
        <v>#N/A</v>
      </c>
    </row>
    <row r="1370" spans="1:14" ht="15" customHeight="1" x14ac:dyDescent="0.3">
      <c r="A1370" s="3">
        <v>1209659625</v>
      </c>
      <c r="B1370" s="3" t="s">
        <v>1552</v>
      </c>
      <c r="C1370" s="3" t="s">
        <v>1553</v>
      </c>
      <c r="D1370" s="4">
        <v>46307.443680555603</v>
      </c>
      <c r="E1370" s="5" t="s">
        <v>10</v>
      </c>
      <c r="F1370" s="5" t="s">
        <v>17</v>
      </c>
      <c r="G1370" s="5">
        <v>42</v>
      </c>
      <c r="H1370" s="6" t="s">
        <v>12</v>
      </c>
      <c r="I1370" t="s">
        <v>1551</v>
      </c>
      <c r="J1370" t="s">
        <v>2480</v>
      </c>
      <c r="K1370" t="str">
        <f>+VLOOKUP(C1370,'[1]TIENDAS 2025'!$A$1:$C$143,3,0)</f>
        <v>local</v>
      </c>
      <c r="L1370" t="str">
        <f>+VLOOKUP(C1370,[2]Hoja1!$A$1:$B$138,2,0)</f>
        <v>APROBAR</v>
      </c>
      <c r="M1370">
        <v>1</v>
      </c>
      <c r="N1370" t="e">
        <v>#N/A</v>
      </c>
    </row>
    <row r="1371" spans="1:14" ht="15" customHeight="1" x14ac:dyDescent="0.3">
      <c r="A1371" s="3">
        <v>1209659587</v>
      </c>
      <c r="B1371" s="3" t="s">
        <v>1555</v>
      </c>
      <c r="C1371" s="3" t="s">
        <v>1556</v>
      </c>
      <c r="D1371" s="4">
        <v>46307.4436921296</v>
      </c>
      <c r="E1371" s="5" t="s">
        <v>10</v>
      </c>
      <c r="F1371" s="5" t="s">
        <v>11</v>
      </c>
      <c r="G1371" s="5">
        <v>7</v>
      </c>
      <c r="H1371" s="6" t="s">
        <v>12</v>
      </c>
      <c r="I1371" t="s">
        <v>1554</v>
      </c>
      <c r="J1371" t="s">
        <v>2480</v>
      </c>
      <c r="K1371" t="str">
        <f>+VLOOKUP(C1371,'[1]TIENDAS 2025'!$A$1:$C$143,3,0)</f>
        <v>local</v>
      </c>
      <c r="L1371" t="str">
        <f>+VLOOKUP(C1371,[2]Hoja1!$A$1:$B$138,2,0)</f>
        <v>APROBAR</v>
      </c>
      <c r="M1371">
        <v>1</v>
      </c>
      <c r="N1371" t="e">
        <v>#N/A</v>
      </c>
    </row>
    <row r="1372" spans="1:14" ht="15" customHeight="1" x14ac:dyDescent="0.3">
      <c r="A1372" s="3">
        <v>8209659613</v>
      </c>
      <c r="B1372" s="3" t="s">
        <v>1552</v>
      </c>
      <c r="C1372" s="3" t="s">
        <v>1553</v>
      </c>
      <c r="D1372" s="4">
        <v>46307.443703703699</v>
      </c>
      <c r="E1372" s="5" t="s">
        <v>10</v>
      </c>
      <c r="F1372" s="5" t="s">
        <v>16</v>
      </c>
      <c r="G1372" s="5">
        <v>6</v>
      </c>
      <c r="H1372" s="8" t="s">
        <v>12</v>
      </c>
      <c r="I1372" t="s">
        <v>1557</v>
      </c>
      <c r="K1372" t="str">
        <f>+VLOOKUP(C1372,'[1]TIENDAS 2025'!$A$1:$C$143,3,0)</f>
        <v>local</v>
      </c>
      <c r="L1372" t="str">
        <f>+VLOOKUP(C1372,[2]Hoja1!$A$1:$B$138,2,0)</f>
        <v>APROBAR</v>
      </c>
      <c r="M1372">
        <v>1</v>
      </c>
      <c r="N1372" t="e">
        <v>#N/A</v>
      </c>
    </row>
    <row r="1373" spans="1:14" ht="15" customHeight="1" x14ac:dyDescent="0.3">
      <c r="A1373" s="3">
        <v>8209659615</v>
      </c>
      <c r="B1373" s="3" t="s">
        <v>1552</v>
      </c>
      <c r="C1373" s="3" t="s">
        <v>1553</v>
      </c>
      <c r="D1373" s="4">
        <v>46307.443726851903</v>
      </c>
      <c r="E1373" s="5" t="s">
        <v>10</v>
      </c>
      <c r="F1373" s="5" t="s">
        <v>16</v>
      </c>
      <c r="G1373" s="5">
        <v>1</v>
      </c>
      <c r="H1373" s="8" t="s">
        <v>12</v>
      </c>
      <c r="I1373" t="s">
        <v>1558</v>
      </c>
      <c r="K1373" t="str">
        <f>+VLOOKUP(C1373,'[1]TIENDAS 2025'!$A$1:$C$143,3,0)</f>
        <v>local</v>
      </c>
      <c r="L1373" t="str">
        <f>+VLOOKUP(C1373,[2]Hoja1!$A$1:$B$138,2,0)</f>
        <v>APROBAR</v>
      </c>
      <c r="M1373">
        <v>1</v>
      </c>
      <c r="N1373" t="e">
        <v>#N/A</v>
      </c>
    </row>
    <row r="1374" spans="1:14" ht="15" customHeight="1" x14ac:dyDescent="0.3">
      <c r="A1374" s="3">
        <v>1209659563</v>
      </c>
      <c r="B1374" s="3" t="s">
        <v>1560</v>
      </c>
      <c r="C1374" s="3" t="s">
        <v>1561</v>
      </c>
      <c r="D1374" s="4">
        <v>46307.443749999999</v>
      </c>
      <c r="E1374" s="5" t="s">
        <v>10</v>
      </c>
      <c r="F1374" s="5" t="s">
        <v>17</v>
      </c>
      <c r="G1374" s="5">
        <v>25</v>
      </c>
      <c r="H1374" s="6" t="s">
        <v>12</v>
      </c>
      <c r="I1374" t="s">
        <v>1559</v>
      </c>
      <c r="J1374" t="s">
        <v>2480</v>
      </c>
      <c r="K1374" t="str">
        <f>+VLOOKUP(C1374,'[1]TIENDAS 2025'!$A$1:$C$143,3,0)</f>
        <v>departamental</v>
      </c>
      <c r="L1374" t="str">
        <f>+VLOOKUP(C1374,[2]Hoja1!$A$1:$B$138,2,0)</f>
        <v>APROBAR</v>
      </c>
      <c r="M1374">
        <v>1</v>
      </c>
      <c r="N1374" t="e">
        <v>#N/A</v>
      </c>
    </row>
    <row r="1375" spans="1:14" ht="15" customHeight="1" x14ac:dyDescent="0.3">
      <c r="A1375" s="3">
        <v>1209659618</v>
      </c>
      <c r="B1375" s="3" t="s">
        <v>1552</v>
      </c>
      <c r="C1375" s="3" t="s">
        <v>1553</v>
      </c>
      <c r="D1375" s="4">
        <v>46307.443773148101</v>
      </c>
      <c r="E1375" s="5" t="s">
        <v>10</v>
      </c>
      <c r="F1375" s="5" t="s">
        <v>17</v>
      </c>
      <c r="G1375" s="5">
        <v>4</v>
      </c>
      <c r="H1375" s="6" t="s">
        <v>12</v>
      </c>
      <c r="I1375" t="s">
        <v>1562</v>
      </c>
      <c r="J1375" t="s">
        <v>2480</v>
      </c>
      <c r="K1375" t="str">
        <f>+VLOOKUP(C1375,'[1]TIENDAS 2025'!$A$1:$C$143,3,0)</f>
        <v>local</v>
      </c>
      <c r="L1375" t="str">
        <f>+VLOOKUP(C1375,[2]Hoja1!$A$1:$B$138,2,0)</f>
        <v>APROBAR</v>
      </c>
      <c r="M1375">
        <v>1</v>
      </c>
      <c r="N1375" t="e">
        <v>#N/A</v>
      </c>
    </row>
    <row r="1376" spans="1:14" ht="15" customHeight="1" x14ac:dyDescent="0.3">
      <c r="A1376" s="3">
        <v>8209659503</v>
      </c>
      <c r="B1376" s="3" t="s">
        <v>1548</v>
      </c>
      <c r="C1376" s="3" t="s">
        <v>1549</v>
      </c>
      <c r="D1376" s="4">
        <v>46307.443773148101</v>
      </c>
      <c r="E1376" s="5" t="s">
        <v>10</v>
      </c>
      <c r="F1376" s="5" t="s">
        <v>16</v>
      </c>
      <c r="G1376" s="5">
        <v>10</v>
      </c>
      <c r="H1376" s="8" t="s">
        <v>12</v>
      </c>
      <c r="I1376" t="s">
        <v>1563</v>
      </c>
      <c r="K1376" t="str">
        <f>+VLOOKUP(C1376,'[1]TIENDAS 2025'!$A$1:$C$143,3,0)</f>
        <v>prioridad</v>
      </c>
      <c r="L1376" t="str">
        <f>+VLOOKUP(C1376,[2]Hoja1!$A$1:$B$138,2,0)</f>
        <v>APROBAR</v>
      </c>
      <c r="M1376">
        <v>1</v>
      </c>
      <c r="N1376" t="e">
        <v>#N/A</v>
      </c>
    </row>
    <row r="1377" spans="1:14" ht="15" customHeight="1" x14ac:dyDescent="0.3">
      <c r="A1377" s="3">
        <v>1209659669</v>
      </c>
      <c r="B1377" s="3" t="s">
        <v>1565</v>
      </c>
      <c r="C1377" s="3" t="s">
        <v>1566</v>
      </c>
      <c r="D1377" s="4">
        <v>46307.4437847222</v>
      </c>
      <c r="E1377" s="5" t="s">
        <v>10</v>
      </c>
      <c r="F1377" s="5" t="s">
        <v>17</v>
      </c>
      <c r="G1377" s="5">
        <v>16</v>
      </c>
      <c r="H1377" s="6" t="s">
        <v>12</v>
      </c>
      <c r="I1377" t="s">
        <v>1564</v>
      </c>
      <c r="J1377" t="s">
        <v>2480</v>
      </c>
      <c r="K1377" t="str">
        <f>+VLOOKUP(C1377,'[1]TIENDAS 2025'!$A$1:$C$143,3,0)</f>
        <v>departamental</v>
      </c>
      <c r="L1377" t="str">
        <f>+VLOOKUP(C1377,[2]Hoja1!$A$1:$B$138,2,0)</f>
        <v>APROBAR</v>
      </c>
      <c r="M1377">
        <v>1</v>
      </c>
      <c r="N1377" t="e">
        <v>#N/A</v>
      </c>
    </row>
    <row r="1378" spans="1:14" ht="15" customHeight="1" x14ac:dyDescent="0.3">
      <c r="A1378" s="3">
        <v>1209659660</v>
      </c>
      <c r="B1378" s="3" t="s">
        <v>1565</v>
      </c>
      <c r="C1378" s="3" t="s">
        <v>1566</v>
      </c>
      <c r="D1378" s="4">
        <v>46307.443807870397</v>
      </c>
      <c r="E1378" s="5" t="s">
        <v>10</v>
      </c>
      <c r="F1378" s="5" t="s">
        <v>17</v>
      </c>
      <c r="G1378" s="5">
        <v>45</v>
      </c>
      <c r="H1378" s="6" t="s">
        <v>12</v>
      </c>
      <c r="I1378" t="s">
        <v>1567</v>
      </c>
      <c r="J1378" t="s">
        <v>2480</v>
      </c>
      <c r="K1378" t="str">
        <f>+VLOOKUP(C1378,'[1]TIENDAS 2025'!$A$1:$C$143,3,0)</f>
        <v>departamental</v>
      </c>
      <c r="L1378" t="str">
        <f>+VLOOKUP(C1378,[2]Hoja1!$A$1:$B$138,2,0)</f>
        <v>APROBAR</v>
      </c>
      <c r="M1378">
        <v>1</v>
      </c>
      <c r="N1378" t="e">
        <v>#N/A</v>
      </c>
    </row>
    <row r="1379" spans="1:14" ht="15" customHeight="1" x14ac:dyDescent="0.3">
      <c r="A1379" s="3">
        <v>8209659665</v>
      </c>
      <c r="B1379" s="3" t="s">
        <v>1565</v>
      </c>
      <c r="C1379" s="3" t="s">
        <v>1566</v>
      </c>
      <c r="D1379" s="4">
        <v>46307.443819444401</v>
      </c>
      <c r="E1379" s="5" t="s">
        <v>10</v>
      </c>
      <c r="F1379" s="5" t="s">
        <v>16</v>
      </c>
      <c r="G1379" s="5">
        <v>168</v>
      </c>
      <c r="H1379" s="8" t="s">
        <v>12</v>
      </c>
      <c r="I1379" t="s">
        <v>1568</v>
      </c>
      <c r="K1379" t="str">
        <f>+VLOOKUP(C1379,'[1]TIENDAS 2025'!$A$1:$C$143,3,0)</f>
        <v>departamental</v>
      </c>
      <c r="L1379" t="str">
        <f>+VLOOKUP(C1379,[2]Hoja1!$A$1:$B$138,2,0)</f>
        <v>APROBAR</v>
      </c>
      <c r="M1379">
        <v>1</v>
      </c>
      <c r="N1379" t="e">
        <v>#N/A</v>
      </c>
    </row>
    <row r="1380" spans="1:14" ht="15" customHeight="1" x14ac:dyDescent="0.3">
      <c r="A1380" s="3">
        <v>1209659596</v>
      </c>
      <c r="B1380" s="3" t="s">
        <v>1555</v>
      </c>
      <c r="C1380" s="3" t="s">
        <v>1556</v>
      </c>
      <c r="D1380" s="4">
        <v>46307.4438310185</v>
      </c>
      <c r="E1380" s="5" t="s">
        <v>10</v>
      </c>
      <c r="F1380" s="5" t="s">
        <v>11</v>
      </c>
      <c r="G1380" s="5">
        <v>41</v>
      </c>
      <c r="H1380" s="6" t="s">
        <v>12</v>
      </c>
      <c r="I1380" t="s">
        <v>1569</v>
      </c>
      <c r="J1380" t="s">
        <v>2480</v>
      </c>
      <c r="K1380" t="str">
        <f>+VLOOKUP(C1380,'[1]TIENDAS 2025'!$A$1:$C$143,3,0)</f>
        <v>local</v>
      </c>
      <c r="L1380" t="str">
        <f>+VLOOKUP(C1380,[2]Hoja1!$A$1:$B$138,2,0)</f>
        <v>APROBAR</v>
      </c>
      <c r="M1380">
        <v>1</v>
      </c>
      <c r="N1380" t="e">
        <v>#N/A</v>
      </c>
    </row>
    <row r="1381" spans="1:14" ht="15" customHeight="1" x14ac:dyDescent="0.3">
      <c r="A1381" s="3">
        <v>1209659533</v>
      </c>
      <c r="B1381" s="3" t="s">
        <v>1571</v>
      </c>
      <c r="C1381" s="3" t="s">
        <v>1572</v>
      </c>
      <c r="D1381" s="4">
        <v>46307.443842592598</v>
      </c>
      <c r="E1381" s="5" t="s">
        <v>10</v>
      </c>
      <c r="F1381" s="5" t="s">
        <v>17</v>
      </c>
      <c r="G1381" s="5">
        <v>5</v>
      </c>
      <c r="H1381" s="6" t="s">
        <v>12</v>
      </c>
      <c r="I1381" t="s">
        <v>1570</v>
      </c>
      <c r="J1381" t="s">
        <v>2480</v>
      </c>
      <c r="K1381" t="str">
        <f>+VLOOKUP(C1381,'[1]TIENDAS 2025'!$A$1:$C$143,3,0)</f>
        <v>local</v>
      </c>
      <c r="L1381" t="str">
        <f>+VLOOKUP(C1381,[2]Hoja1!$A$1:$B$138,2,0)</f>
        <v>APROBAR</v>
      </c>
      <c r="M1381">
        <v>1</v>
      </c>
      <c r="N1381" t="e">
        <v>#N/A</v>
      </c>
    </row>
    <row r="1382" spans="1:14" ht="15" customHeight="1" x14ac:dyDescent="0.3">
      <c r="A1382" s="3">
        <v>1209659512</v>
      </c>
      <c r="B1382" s="3" t="s">
        <v>1548</v>
      </c>
      <c r="C1382" s="3" t="s">
        <v>1549</v>
      </c>
      <c r="D1382" s="4">
        <v>46307.443865740701</v>
      </c>
      <c r="E1382" s="5" t="s">
        <v>10</v>
      </c>
      <c r="F1382" s="5" t="s">
        <v>11</v>
      </c>
      <c r="G1382" s="5">
        <v>29</v>
      </c>
      <c r="H1382" s="6" t="s">
        <v>12</v>
      </c>
      <c r="I1382" t="s">
        <v>1573</v>
      </c>
      <c r="J1382" t="s">
        <v>2480</v>
      </c>
      <c r="K1382" t="str">
        <f>+VLOOKUP(C1382,'[1]TIENDAS 2025'!$A$1:$C$143,3,0)</f>
        <v>prioridad</v>
      </c>
      <c r="L1382" t="str">
        <f>+VLOOKUP(C1382,[2]Hoja1!$A$1:$B$138,2,0)</f>
        <v>APROBAR</v>
      </c>
      <c r="M1382">
        <v>1</v>
      </c>
      <c r="N1382" t="e">
        <v>#N/A</v>
      </c>
    </row>
    <row r="1383" spans="1:14" ht="15" customHeight="1" x14ac:dyDescent="0.3">
      <c r="A1383" s="3">
        <v>1209659560</v>
      </c>
      <c r="B1383" s="3" t="s">
        <v>1560</v>
      </c>
      <c r="C1383" s="3" t="s">
        <v>1561</v>
      </c>
      <c r="D1383" s="4">
        <v>46307.443877314799</v>
      </c>
      <c r="E1383" s="5" t="s">
        <v>10</v>
      </c>
      <c r="F1383" s="5" t="s">
        <v>11</v>
      </c>
      <c r="G1383" s="5">
        <v>15</v>
      </c>
      <c r="H1383" s="6" t="s">
        <v>12</v>
      </c>
      <c r="I1383" t="s">
        <v>1574</v>
      </c>
      <c r="J1383" t="s">
        <v>2480</v>
      </c>
      <c r="K1383" t="str">
        <f>+VLOOKUP(C1383,'[1]TIENDAS 2025'!$A$1:$C$143,3,0)</f>
        <v>departamental</v>
      </c>
      <c r="L1383" t="str">
        <f>+VLOOKUP(C1383,[2]Hoja1!$A$1:$B$138,2,0)</f>
        <v>APROBAR</v>
      </c>
      <c r="M1383">
        <v>1</v>
      </c>
      <c r="N1383" t="e">
        <v>#N/A</v>
      </c>
    </row>
    <row r="1384" spans="1:14" ht="15" customHeight="1" x14ac:dyDescent="0.3">
      <c r="A1384" s="3">
        <v>1209659538</v>
      </c>
      <c r="B1384" s="3" t="s">
        <v>1571</v>
      </c>
      <c r="C1384" s="3" t="s">
        <v>1572</v>
      </c>
      <c r="D1384" s="4">
        <v>46307.443900462997</v>
      </c>
      <c r="E1384" s="5" t="s">
        <v>10</v>
      </c>
      <c r="F1384" s="5" t="s">
        <v>11</v>
      </c>
      <c r="G1384" s="5">
        <v>31</v>
      </c>
      <c r="H1384" s="6" t="s">
        <v>12</v>
      </c>
      <c r="I1384" t="s">
        <v>1575</v>
      </c>
      <c r="J1384" t="s">
        <v>2480</v>
      </c>
      <c r="K1384" t="str">
        <f>+VLOOKUP(C1384,'[1]TIENDAS 2025'!$A$1:$C$143,3,0)</f>
        <v>local</v>
      </c>
      <c r="L1384" t="str">
        <f>+VLOOKUP(C1384,[2]Hoja1!$A$1:$B$138,2,0)</f>
        <v>APROBAR</v>
      </c>
      <c r="M1384">
        <v>1</v>
      </c>
      <c r="N1384" t="e">
        <v>#N/A</v>
      </c>
    </row>
    <row r="1385" spans="1:14" ht="15" customHeight="1" x14ac:dyDescent="0.3">
      <c r="A1385" s="3">
        <v>8209659612</v>
      </c>
      <c r="B1385" s="3" t="s">
        <v>1552</v>
      </c>
      <c r="C1385" s="3" t="s">
        <v>1553</v>
      </c>
      <c r="D1385" s="4">
        <v>46307.443912037001</v>
      </c>
      <c r="E1385" s="5" t="s">
        <v>10</v>
      </c>
      <c r="F1385" s="5" t="s">
        <v>16</v>
      </c>
      <c r="G1385" s="5">
        <v>14</v>
      </c>
      <c r="H1385" s="8" t="s">
        <v>12</v>
      </c>
      <c r="I1385" t="s">
        <v>1576</v>
      </c>
      <c r="K1385" t="str">
        <f>+VLOOKUP(C1385,'[1]TIENDAS 2025'!$A$1:$C$143,3,0)</f>
        <v>local</v>
      </c>
      <c r="L1385" t="str">
        <f>+VLOOKUP(C1385,[2]Hoja1!$A$1:$B$138,2,0)</f>
        <v>APROBAR</v>
      </c>
      <c r="M1385">
        <v>1</v>
      </c>
      <c r="N1385" t="e">
        <v>#N/A</v>
      </c>
    </row>
    <row r="1386" spans="1:14" ht="15" customHeight="1" x14ac:dyDescent="0.3">
      <c r="A1386" s="3">
        <v>8209659616</v>
      </c>
      <c r="B1386" s="3" t="s">
        <v>1552</v>
      </c>
      <c r="C1386" s="3" t="s">
        <v>1553</v>
      </c>
      <c r="D1386" s="4">
        <v>46307.443912037001</v>
      </c>
      <c r="E1386" s="5" t="s">
        <v>10</v>
      </c>
      <c r="F1386" s="5" t="s">
        <v>16</v>
      </c>
      <c r="G1386" s="5">
        <v>30</v>
      </c>
      <c r="H1386" s="8" t="s">
        <v>12</v>
      </c>
      <c r="I1386" t="s">
        <v>1577</v>
      </c>
      <c r="K1386" t="str">
        <f>+VLOOKUP(C1386,'[1]TIENDAS 2025'!$A$1:$C$143,3,0)</f>
        <v>local</v>
      </c>
      <c r="L1386" t="str">
        <f>+VLOOKUP(C1386,[2]Hoja1!$A$1:$B$138,2,0)</f>
        <v>APROBAR</v>
      </c>
      <c r="M1386">
        <v>1</v>
      </c>
      <c r="N1386" t="e">
        <v>#N/A</v>
      </c>
    </row>
    <row r="1387" spans="1:14" ht="15" customHeight="1" x14ac:dyDescent="0.3">
      <c r="A1387" s="3">
        <v>1209659619</v>
      </c>
      <c r="B1387" s="3" t="s">
        <v>1552</v>
      </c>
      <c r="C1387" s="3" t="s">
        <v>1553</v>
      </c>
      <c r="D1387" s="4">
        <v>46307.443935185198</v>
      </c>
      <c r="E1387" s="5" t="s">
        <v>10</v>
      </c>
      <c r="F1387" s="5" t="s">
        <v>11</v>
      </c>
      <c r="G1387" s="5">
        <v>7</v>
      </c>
      <c r="H1387" s="6" t="s">
        <v>12</v>
      </c>
      <c r="I1387" t="s">
        <v>1578</v>
      </c>
      <c r="J1387" t="s">
        <v>2480</v>
      </c>
      <c r="K1387" t="str">
        <f>+VLOOKUP(C1387,'[1]TIENDAS 2025'!$A$1:$C$143,3,0)</f>
        <v>local</v>
      </c>
      <c r="L1387" t="str">
        <f>+VLOOKUP(C1387,[2]Hoja1!$A$1:$B$138,2,0)</f>
        <v>APROBAR</v>
      </c>
      <c r="M1387">
        <v>1</v>
      </c>
      <c r="N1387" t="e">
        <v>#N/A</v>
      </c>
    </row>
    <row r="1388" spans="1:14" ht="15" customHeight="1" x14ac:dyDescent="0.3">
      <c r="A1388" s="3">
        <v>1209659565</v>
      </c>
      <c r="B1388" s="3" t="s">
        <v>1560</v>
      </c>
      <c r="C1388" s="3" t="s">
        <v>1561</v>
      </c>
      <c r="D1388" s="4">
        <v>46307.443946759297</v>
      </c>
      <c r="E1388" s="5" t="s">
        <v>10</v>
      </c>
      <c r="F1388" s="5" t="s">
        <v>11</v>
      </c>
      <c r="G1388" s="5">
        <v>1</v>
      </c>
      <c r="H1388" s="6" t="s">
        <v>12</v>
      </c>
      <c r="I1388" t="s">
        <v>1579</v>
      </c>
      <c r="J1388" t="s">
        <v>2480</v>
      </c>
      <c r="K1388" t="str">
        <f>+VLOOKUP(C1388,'[1]TIENDAS 2025'!$A$1:$C$143,3,0)</f>
        <v>departamental</v>
      </c>
      <c r="L1388" t="str">
        <f>+VLOOKUP(C1388,[2]Hoja1!$A$1:$B$138,2,0)</f>
        <v>APROBAR</v>
      </c>
      <c r="M1388">
        <v>1</v>
      </c>
      <c r="N1388" t="e">
        <v>#N/A</v>
      </c>
    </row>
    <row r="1389" spans="1:14" ht="15" customHeight="1" x14ac:dyDescent="0.3">
      <c r="A1389" s="3">
        <v>8209659529</v>
      </c>
      <c r="B1389" s="3" t="s">
        <v>1571</v>
      </c>
      <c r="C1389" s="3" t="s">
        <v>1572</v>
      </c>
      <c r="D1389" s="4">
        <v>46307.443958333301</v>
      </c>
      <c r="E1389" s="5" t="s">
        <v>10</v>
      </c>
      <c r="F1389" s="5" t="s">
        <v>16</v>
      </c>
      <c r="G1389" s="5">
        <v>2</v>
      </c>
      <c r="H1389" s="8" t="s">
        <v>12</v>
      </c>
      <c r="I1389" t="s">
        <v>1580</v>
      </c>
      <c r="K1389" t="str">
        <f>+VLOOKUP(C1389,'[1]TIENDAS 2025'!$A$1:$C$143,3,0)</f>
        <v>local</v>
      </c>
      <c r="L1389" t="str">
        <f>+VLOOKUP(C1389,[2]Hoja1!$A$1:$B$138,2,0)</f>
        <v>APROBAR</v>
      </c>
      <c r="M1389">
        <v>1</v>
      </c>
      <c r="N1389" t="e">
        <v>#N/A</v>
      </c>
    </row>
    <row r="1390" spans="1:14" ht="15" customHeight="1" x14ac:dyDescent="0.3">
      <c r="A1390" s="3">
        <v>8209659651</v>
      </c>
      <c r="B1390" s="3" t="s">
        <v>1565</v>
      </c>
      <c r="C1390" s="3" t="s">
        <v>1566</v>
      </c>
      <c r="D1390" s="4">
        <v>46307.443969907399</v>
      </c>
      <c r="E1390" s="5" t="s">
        <v>10</v>
      </c>
      <c r="F1390" s="5" t="s">
        <v>16</v>
      </c>
      <c r="G1390" s="5">
        <v>3</v>
      </c>
      <c r="H1390" s="8" t="s">
        <v>12</v>
      </c>
      <c r="I1390" t="s">
        <v>1581</v>
      </c>
      <c r="K1390" t="str">
        <f>+VLOOKUP(C1390,'[1]TIENDAS 2025'!$A$1:$C$143,3,0)</f>
        <v>departamental</v>
      </c>
      <c r="L1390" t="str">
        <f>+VLOOKUP(C1390,[2]Hoja1!$A$1:$B$138,2,0)</f>
        <v>APROBAR</v>
      </c>
      <c r="M1390">
        <v>1</v>
      </c>
      <c r="N1390" t="e">
        <v>#N/A</v>
      </c>
    </row>
    <row r="1391" spans="1:14" ht="15" customHeight="1" x14ac:dyDescent="0.3">
      <c r="A1391" s="3">
        <v>8209659662</v>
      </c>
      <c r="B1391" s="3" t="s">
        <v>1565</v>
      </c>
      <c r="C1391" s="3" t="s">
        <v>1566</v>
      </c>
      <c r="D1391" s="4">
        <v>46307.443993055596</v>
      </c>
      <c r="E1391" s="5" t="s">
        <v>10</v>
      </c>
      <c r="F1391" s="5" t="s">
        <v>16</v>
      </c>
      <c r="G1391" s="5">
        <v>5</v>
      </c>
      <c r="H1391" s="8" t="s">
        <v>12</v>
      </c>
      <c r="I1391" t="s">
        <v>1582</v>
      </c>
      <c r="K1391" t="str">
        <f>+VLOOKUP(C1391,'[1]TIENDAS 2025'!$A$1:$C$143,3,0)</f>
        <v>departamental</v>
      </c>
      <c r="L1391" t="str">
        <f>+VLOOKUP(C1391,[2]Hoja1!$A$1:$B$138,2,0)</f>
        <v>APROBAR</v>
      </c>
      <c r="M1391">
        <v>1</v>
      </c>
      <c r="N1391" t="e">
        <v>#N/A</v>
      </c>
    </row>
    <row r="1392" spans="1:14" ht="15" customHeight="1" x14ac:dyDescent="0.3">
      <c r="A1392" s="3">
        <v>1209659510</v>
      </c>
      <c r="B1392" s="3" t="s">
        <v>1548</v>
      </c>
      <c r="C1392" s="3" t="s">
        <v>1549</v>
      </c>
      <c r="D1392" s="4">
        <v>46307.4440046296</v>
      </c>
      <c r="E1392" s="5" t="s">
        <v>10</v>
      </c>
      <c r="F1392" s="5" t="s">
        <v>11</v>
      </c>
      <c r="G1392" s="5">
        <v>18</v>
      </c>
      <c r="H1392" s="6" t="s">
        <v>12</v>
      </c>
      <c r="I1392" t="s">
        <v>1583</v>
      </c>
      <c r="J1392" t="s">
        <v>2480</v>
      </c>
      <c r="K1392" t="str">
        <f>+VLOOKUP(C1392,'[1]TIENDAS 2025'!$A$1:$C$143,3,0)</f>
        <v>prioridad</v>
      </c>
      <c r="L1392" t="str">
        <f>+VLOOKUP(C1392,[2]Hoja1!$A$1:$B$138,2,0)</f>
        <v>APROBAR</v>
      </c>
      <c r="M1392">
        <v>1</v>
      </c>
      <c r="N1392" t="e">
        <v>#N/A</v>
      </c>
    </row>
    <row r="1393" spans="1:14" ht="15" customHeight="1" x14ac:dyDescent="0.3">
      <c r="A1393" s="3">
        <v>1209659535</v>
      </c>
      <c r="B1393" s="3" t="s">
        <v>1571</v>
      </c>
      <c r="C1393" s="3" t="s">
        <v>1572</v>
      </c>
      <c r="D1393" s="4">
        <v>46307.444016203699</v>
      </c>
      <c r="E1393" s="5" t="s">
        <v>10</v>
      </c>
      <c r="F1393" s="5" t="s">
        <v>11</v>
      </c>
      <c r="G1393" s="5">
        <v>14</v>
      </c>
      <c r="H1393" s="6" t="s">
        <v>12</v>
      </c>
      <c r="I1393" t="s">
        <v>1584</v>
      </c>
      <c r="J1393" t="s">
        <v>2480</v>
      </c>
      <c r="K1393" t="str">
        <f>+VLOOKUP(C1393,'[1]TIENDAS 2025'!$A$1:$C$143,3,0)</f>
        <v>local</v>
      </c>
      <c r="L1393" t="str">
        <f>+VLOOKUP(C1393,[2]Hoja1!$A$1:$B$138,2,0)</f>
        <v>APROBAR</v>
      </c>
      <c r="M1393">
        <v>1</v>
      </c>
      <c r="N1393" t="e">
        <v>#N/A</v>
      </c>
    </row>
    <row r="1394" spans="1:14" ht="15" customHeight="1" x14ac:dyDescent="0.3">
      <c r="A1394" s="3">
        <v>1209659536</v>
      </c>
      <c r="B1394" s="3" t="s">
        <v>1571</v>
      </c>
      <c r="C1394" s="3" t="s">
        <v>1572</v>
      </c>
      <c r="D1394" s="4">
        <v>46307.444039351903</v>
      </c>
      <c r="E1394" s="5" t="s">
        <v>10</v>
      </c>
      <c r="F1394" s="5" t="s">
        <v>17</v>
      </c>
      <c r="G1394" s="5">
        <v>20</v>
      </c>
      <c r="H1394" s="6" t="s">
        <v>12</v>
      </c>
      <c r="I1394" t="s">
        <v>1585</v>
      </c>
      <c r="J1394" t="s">
        <v>2480</v>
      </c>
      <c r="K1394" t="str">
        <f>+VLOOKUP(C1394,'[1]TIENDAS 2025'!$A$1:$C$143,3,0)</f>
        <v>local</v>
      </c>
      <c r="L1394" t="str">
        <f>+VLOOKUP(C1394,[2]Hoja1!$A$1:$B$138,2,0)</f>
        <v>APROBAR</v>
      </c>
      <c r="M1394">
        <v>1</v>
      </c>
      <c r="N1394" t="e">
        <v>#N/A</v>
      </c>
    </row>
    <row r="1395" spans="1:14" ht="15" customHeight="1" x14ac:dyDescent="0.3">
      <c r="A1395" s="3">
        <v>8209659580</v>
      </c>
      <c r="B1395" s="3" t="s">
        <v>1555</v>
      </c>
      <c r="C1395" s="3" t="s">
        <v>1556</v>
      </c>
      <c r="D1395" s="4">
        <v>46307.4440509259</v>
      </c>
      <c r="E1395" s="5" t="s">
        <v>10</v>
      </c>
      <c r="F1395" s="5" t="s">
        <v>16</v>
      </c>
      <c r="G1395" s="5">
        <v>1</v>
      </c>
      <c r="H1395" s="8" t="s">
        <v>12</v>
      </c>
      <c r="I1395" t="s">
        <v>1586</v>
      </c>
      <c r="K1395" t="str">
        <f>+VLOOKUP(C1395,'[1]TIENDAS 2025'!$A$1:$C$143,3,0)</f>
        <v>local</v>
      </c>
      <c r="L1395" t="str">
        <f>+VLOOKUP(C1395,[2]Hoja1!$A$1:$B$138,2,0)</f>
        <v>APROBAR</v>
      </c>
      <c r="M1395">
        <v>1</v>
      </c>
      <c r="N1395" t="e">
        <v>#N/A</v>
      </c>
    </row>
    <row r="1396" spans="1:14" ht="15" customHeight="1" x14ac:dyDescent="0.3">
      <c r="A1396" s="3">
        <v>1209659556</v>
      </c>
      <c r="B1396" s="3" t="s">
        <v>1560</v>
      </c>
      <c r="C1396" s="3" t="s">
        <v>1561</v>
      </c>
      <c r="D1396" s="4">
        <v>46307.4440509259</v>
      </c>
      <c r="E1396" s="5" t="s">
        <v>10</v>
      </c>
      <c r="F1396" s="5" t="s">
        <v>11</v>
      </c>
      <c r="G1396" s="5">
        <v>9</v>
      </c>
      <c r="H1396" s="6" t="s">
        <v>12</v>
      </c>
      <c r="I1396" t="s">
        <v>1587</v>
      </c>
      <c r="J1396" t="s">
        <v>2480</v>
      </c>
      <c r="K1396" t="str">
        <f>+VLOOKUP(C1396,'[1]TIENDAS 2025'!$A$1:$C$143,3,0)</f>
        <v>departamental</v>
      </c>
      <c r="L1396" t="str">
        <f>+VLOOKUP(C1396,[2]Hoja1!$A$1:$B$138,2,0)</f>
        <v>APROBAR</v>
      </c>
      <c r="M1396">
        <v>1</v>
      </c>
      <c r="N1396" t="e">
        <v>#N/A</v>
      </c>
    </row>
    <row r="1397" spans="1:14" ht="15" customHeight="1" x14ac:dyDescent="0.3">
      <c r="A1397" s="3">
        <v>8209659611</v>
      </c>
      <c r="B1397" s="3" t="s">
        <v>1552</v>
      </c>
      <c r="C1397" s="3" t="s">
        <v>1553</v>
      </c>
      <c r="D1397" s="4">
        <v>46307.444074074097</v>
      </c>
      <c r="E1397" s="5" t="s">
        <v>10</v>
      </c>
      <c r="F1397" s="5" t="s">
        <v>16</v>
      </c>
      <c r="G1397" s="5">
        <v>33</v>
      </c>
      <c r="H1397" s="8" t="s">
        <v>12</v>
      </c>
      <c r="I1397" t="s">
        <v>1588</v>
      </c>
      <c r="K1397" t="str">
        <f>+VLOOKUP(C1397,'[1]TIENDAS 2025'!$A$1:$C$143,3,0)</f>
        <v>local</v>
      </c>
      <c r="L1397" t="str">
        <f>+VLOOKUP(C1397,[2]Hoja1!$A$1:$B$138,2,0)</f>
        <v>APROBAR</v>
      </c>
      <c r="M1397">
        <v>1</v>
      </c>
      <c r="N1397" t="e">
        <v>#N/A</v>
      </c>
    </row>
    <row r="1398" spans="1:14" ht="15" customHeight="1" x14ac:dyDescent="0.3">
      <c r="A1398" s="3">
        <v>1209659562</v>
      </c>
      <c r="B1398" s="3" t="s">
        <v>1560</v>
      </c>
      <c r="C1398" s="3" t="s">
        <v>1561</v>
      </c>
      <c r="D1398" s="4">
        <v>46307.444085648101</v>
      </c>
      <c r="E1398" s="5" t="s">
        <v>10</v>
      </c>
      <c r="F1398" s="5" t="s">
        <v>11</v>
      </c>
      <c r="G1398" s="5">
        <v>19</v>
      </c>
      <c r="H1398" s="6" t="s">
        <v>12</v>
      </c>
      <c r="I1398" t="s">
        <v>1589</v>
      </c>
      <c r="J1398" t="s">
        <v>2480</v>
      </c>
      <c r="K1398" t="str">
        <f>+VLOOKUP(C1398,'[1]TIENDAS 2025'!$A$1:$C$143,3,0)</f>
        <v>departamental</v>
      </c>
      <c r="L1398" t="str">
        <f>+VLOOKUP(C1398,[2]Hoja1!$A$1:$B$138,2,0)</f>
        <v>APROBAR</v>
      </c>
      <c r="M1398">
        <v>1</v>
      </c>
      <c r="N1398" t="e">
        <v>#N/A</v>
      </c>
    </row>
    <row r="1399" spans="1:14" ht="15" customHeight="1" x14ac:dyDescent="0.3">
      <c r="A1399" s="3">
        <v>1209659541</v>
      </c>
      <c r="B1399" s="3" t="s">
        <v>1571</v>
      </c>
      <c r="C1399" s="3" t="s">
        <v>1572</v>
      </c>
      <c r="D1399" s="4">
        <v>46307.4440972222</v>
      </c>
      <c r="E1399" s="5" t="s">
        <v>10</v>
      </c>
      <c r="F1399" s="5" t="s">
        <v>17</v>
      </c>
      <c r="G1399" s="5">
        <v>12</v>
      </c>
      <c r="H1399" s="6" t="s">
        <v>12</v>
      </c>
      <c r="I1399" t="s">
        <v>1590</v>
      </c>
      <c r="J1399" t="s">
        <v>2480</v>
      </c>
      <c r="K1399" t="str">
        <f>+VLOOKUP(C1399,'[1]TIENDAS 2025'!$A$1:$C$143,3,0)</f>
        <v>local</v>
      </c>
      <c r="L1399" t="str">
        <f>+VLOOKUP(C1399,[2]Hoja1!$A$1:$B$138,2,0)</f>
        <v>APROBAR</v>
      </c>
      <c r="M1399">
        <v>1</v>
      </c>
      <c r="N1399" t="e">
        <v>#N/A</v>
      </c>
    </row>
    <row r="1400" spans="1:14" ht="15" customHeight="1" x14ac:dyDescent="0.3">
      <c r="A1400" s="3">
        <v>1209659516</v>
      </c>
      <c r="B1400" s="3" t="s">
        <v>1548</v>
      </c>
      <c r="C1400" s="3" t="s">
        <v>1549</v>
      </c>
      <c r="D1400" s="4">
        <v>46307.444120370397</v>
      </c>
      <c r="E1400" s="5" t="s">
        <v>10</v>
      </c>
      <c r="F1400" s="5" t="s">
        <v>11</v>
      </c>
      <c r="G1400" s="5">
        <v>34</v>
      </c>
      <c r="H1400" s="6" t="s">
        <v>12</v>
      </c>
      <c r="I1400" t="s">
        <v>1591</v>
      </c>
      <c r="J1400" t="s">
        <v>2480</v>
      </c>
      <c r="K1400" t="str">
        <f>+VLOOKUP(C1400,'[1]TIENDAS 2025'!$A$1:$C$143,3,0)</f>
        <v>prioridad</v>
      </c>
      <c r="L1400" t="str">
        <f>+VLOOKUP(C1400,[2]Hoja1!$A$1:$B$138,2,0)</f>
        <v>APROBAR</v>
      </c>
      <c r="M1400">
        <v>1</v>
      </c>
      <c r="N1400" t="e">
        <v>#N/A</v>
      </c>
    </row>
    <row r="1401" spans="1:14" ht="15" customHeight="1" x14ac:dyDescent="0.3">
      <c r="A1401" s="3">
        <v>1209659594</v>
      </c>
      <c r="B1401" s="3" t="s">
        <v>1555</v>
      </c>
      <c r="C1401" s="3" t="s">
        <v>1556</v>
      </c>
      <c r="D1401" s="4">
        <v>46307.444131944401</v>
      </c>
      <c r="E1401" s="5" t="s">
        <v>10</v>
      </c>
      <c r="F1401" s="5" t="s">
        <v>11</v>
      </c>
      <c r="G1401" s="5">
        <v>32</v>
      </c>
      <c r="H1401" s="6" t="s">
        <v>12</v>
      </c>
      <c r="I1401" t="s">
        <v>1592</v>
      </c>
      <c r="J1401" t="s">
        <v>2480</v>
      </c>
      <c r="K1401" t="str">
        <f>+VLOOKUP(C1401,'[1]TIENDAS 2025'!$A$1:$C$143,3,0)</f>
        <v>local</v>
      </c>
      <c r="L1401" t="str">
        <f>+VLOOKUP(C1401,[2]Hoja1!$A$1:$B$138,2,0)</f>
        <v>APROBAR</v>
      </c>
      <c r="M1401">
        <v>1</v>
      </c>
      <c r="N1401" t="e">
        <v>#N/A</v>
      </c>
    </row>
    <row r="1402" spans="1:14" ht="15" customHeight="1" x14ac:dyDescent="0.3">
      <c r="A1402" s="3">
        <v>8209659501</v>
      </c>
      <c r="B1402" s="3" t="s">
        <v>1548</v>
      </c>
      <c r="C1402" s="3" t="s">
        <v>1549</v>
      </c>
      <c r="D1402" s="4">
        <v>46307.4441435185</v>
      </c>
      <c r="E1402" s="5" t="s">
        <v>10</v>
      </c>
      <c r="F1402" s="5" t="s">
        <v>16</v>
      </c>
      <c r="G1402" s="5">
        <v>15</v>
      </c>
      <c r="H1402" s="8" t="s">
        <v>12</v>
      </c>
      <c r="I1402" t="s">
        <v>1593</v>
      </c>
      <c r="K1402" t="str">
        <f>+VLOOKUP(C1402,'[1]TIENDAS 2025'!$A$1:$C$143,3,0)</f>
        <v>prioridad</v>
      </c>
      <c r="L1402" t="str">
        <f>+VLOOKUP(C1402,[2]Hoja1!$A$1:$B$138,2,0)</f>
        <v>APROBAR</v>
      </c>
      <c r="M1402">
        <v>1</v>
      </c>
      <c r="N1402" t="e">
        <v>#N/A</v>
      </c>
    </row>
    <row r="1403" spans="1:14" ht="15" customHeight="1" x14ac:dyDescent="0.3">
      <c r="A1403" s="3">
        <v>1209659507</v>
      </c>
      <c r="B1403" s="3" t="s">
        <v>1548</v>
      </c>
      <c r="C1403" s="3" t="s">
        <v>1549</v>
      </c>
      <c r="D1403" s="4">
        <v>46307.444166666697</v>
      </c>
      <c r="E1403" s="5" t="s">
        <v>10</v>
      </c>
      <c r="F1403" s="5" t="s">
        <v>17</v>
      </c>
      <c r="G1403" s="5">
        <v>8</v>
      </c>
      <c r="H1403" s="6" t="s">
        <v>12</v>
      </c>
      <c r="I1403" t="s">
        <v>1594</v>
      </c>
      <c r="J1403" t="s">
        <v>2480</v>
      </c>
      <c r="K1403" t="str">
        <f>+VLOOKUP(C1403,'[1]TIENDAS 2025'!$A$1:$C$143,3,0)</f>
        <v>prioridad</v>
      </c>
      <c r="L1403" t="str">
        <f>+VLOOKUP(C1403,[2]Hoja1!$A$1:$B$138,2,0)</f>
        <v>APROBAR</v>
      </c>
      <c r="M1403">
        <v>1</v>
      </c>
      <c r="N1403" t="e">
        <v>#N/A</v>
      </c>
    </row>
    <row r="1404" spans="1:14" ht="15" customHeight="1" x14ac:dyDescent="0.3">
      <c r="A1404" s="3">
        <v>8209659506</v>
      </c>
      <c r="B1404" s="3" t="s">
        <v>1548</v>
      </c>
      <c r="C1404" s="3" t="s">
        <v>1549</v>
      </c>
      <c r="D1404" s="4">
        <v>46307.444166666697</v>
      </c>
      <c r="E1404" s="5" t="s">
        <v>10</v>
      </c>
      <c r="F1404" s="5" t="s">
        <v>16</v>
      </c>
      <c r="G1404" s="5">
        <v>2</v>
      </c>
      <c r="H1404" s="8" t="s">
        <v>12</v>
      </c>
      <c r="I1404" t="s">
        <v>1595</v>
      </c>
      <c r="K1404" t="str">
        <f>+VLOOKUP(C1404,'[1]TIENDAS 2025'!$A$1:$C$143,3,0)</f>
        <v>prioridad</v>
      </c>
      <c r="L1404" t="str">
        <f>+VLOOKUP(C1404,[2]Hoja1!$A$1:$B$138,2,0)</f>
        <v>APROBAR</v>
      </c>
      <c r="M1404">
        <v>1</v>
      </c>
      <c r="N1404" t="e">
        <v>#N/A</v>
      </c>
    </row>
    <row r="1405" spans="1:14" ht="15" customHeight="1" x14ac:dyDescent="0.3">
      <c r="A1405" s="3">
        <v>1209659530</v>
      </c>
      <c r="B1405" s="3" t="s">
        <v>1571</v>
      </c>
      <c r="C1405" s="3" t="s">
        <v>1572</v>
      </c>
      <c r="D1405" s="4">
        <v>46307.4441898148</v>
      </c>
      <c r="E1405" s="5" t="s">
        <v>10</v>
      </c>
      <c r="F1405" s="5" t="s">
        <v>11</v>
      </c>
      <c r="G1405" s="5">
        <v>4</v>
      </c>
      <c r="H1405" s="6" t="s">
        <v>12</v>
      </c>
      <c r="I1405" t="s">
        <v>1596</v>
      </c>
      <c r="J1405" t="s">
        <v>2480</v>
      </c>
      <c r="K1405" t="str">
        <f>+VLOOKUP(C1405,'[1]TIENDAS 2025'!$A$1:$C$143,3,0)</f>
        <v>local</v>
      </c>
      <c r="L1405" t="str">
        <f>+VLOOKUP(C1405,[2]Hoja1!$A$1:$B$138,2,0)</f>
        <v>APROBAR</v>
      </c>
      <c r="M1405">
        <v>1</v>
      </c>
      <c r="N1405" t="e">
        <v>#N/A</v>
      </c>
    </row>
    <row r="1406" spans="1:14" ht="15" customHeight="1" x14ac:dyDescent="0.3">
      <c r="A1406" s="3">
        <v>1209659671</v>
      </c>
      <c r="B1406" s="3" t="s">
        <v>1565</v>
      </c>
      <c r="C1406" s="3" t="s">
        <v>1566</v>
      </c>
      <c r="D1406" s="4">
        <v>46307.444201388898</v>
      </c>
      <c r="E1406" s="5" t="s">
        <v>10</v>
      </c>
      <c r="F1406" s="5" t="s">
        <v>11</v>
      </c>
      <c r="G1406" s="5">
        <v>15</v>
      </c>
      <c r="H1406" s="6" t="s">
        <v>12</v>
      </c>
      <c r="I1406" t="s">
        <v>1597</v>
      </c>
      <c r="J1406" t="s">
        <v>2480</v>
      </c>
      <c r="K1406" t="str">
        <f>+VLOOKUP(C1406,'[1]TIENDAS 2025'!$A$1:$C$143,3,0)</f>
        <v>departamental</v>
      </c>
      <c r="L1406" t="str">
        <f>+VLOOKUP(C1406,[2]Hoja1!$A$1:$B$138,2,0)</f>
        <v>APROBAR</v>
      </c>
      <c r="M1406">
        <v>1</v>
      </c>
      <c r="N1406" t="e">
        <v>#N/A</v>
      </c>
    </row>
    <row r="1407" spans="1:14" ht="15" customHeight="1" x14ac:dyDescent="0.3">
      <c r="A1407" s="3">
        <v>1209659676</v>
      </c>
      <c r="B1407" s="3" t="s">
        <v>1565</v>
      </c>
      <c r="C1407" s="3" t="s">
        <v>1566</v>
      </c>
      <c r="D1407" s="4">
        <v>46307.444212962997</v>
      </c>
      <c r="E1407" s="5" t="s">
        <v>10</v>
      </c>
      <c r="F1407" s="5" t="s">
        <v>11</v>
      </c>
      <c r="G1407" s="5">
        <v>45</v>
      </c>
      <c r="H1407" s="6" t="s">
        <v>12</v>
      </c>
      <c r="I1407" t="s">
        <v>1598</v>
      </c>
      <c r="J1407" t="s">
        <v>2480</v>
      </c>
      <c r="K1407" t="str">
        <f>+VLOOKUP(C1407,'[1]TIENDAS 2025'!$A$1:$C$143,3,0)</f>
        <v>departamental</v>
      </c>
      <c r="L1407" t="str">
        <f>+VLOOKUP(C1407,[2]Hoja1!$A$1:$B$138,2,0)</f>
        <v>APROBAR</v>
      </c>
      <c r="M1407">
        <v>1</v>
      </c>
      <c r="N1407" t="e">
        <v>#N/A</v>
      </c>
    </row>
    <row r="1408" spans="1:14" ht="15" customHeight="1" x14ac:dyDescent="0.3">
      <c r="A1408" s="3">
        <v>8209659663</v>
      </c>
      <c r="B1408" s="3" t="s">
        <v>1565</v>
      </c>
      <c r="C1408" s="3" t="s">
        <v>1566</v>
      </c>
      <c r="D1408" s="4">
        <v>46307.444224537001</v>
      </c>
      <c r="E1408" s="5" t="s">
        <v>10</v>
      </c>
      <c r="F1408" s="5" t="s">
        <v>16</v>
      </c>
      <c r="G1408" s="5">
        <v>1</v>
      </c>
      <c r="H1408" s="8" t="s">
        <v>12</v>
      </c>
      <c r="I1408" t="s">
        <v>1599</v>
      </c>
      <c r="K1408" t="str">
        <f>+VLOOKUP(C1408,'[1]TIENDAS 2025'!$A$1:$C$143,3,0)</f>
        <v>departamental</v>
      </c>
      <c r="L1408" t="str">
        <f>+VLOOKUP(C1408,[2]Hoja1!$A$1:$B$138,2,0)</f>
        <v>APROBAR</v>
      </c>
      <c r="M1408">
        <v>1</v>
      </c>
      <c r="N1408" t="e">
        <v>#N/A</v>
      </c>
    </row>
    <row r="1409" spans="1:14" ht="15" customHeight="1" x14ac:dyDescent="0.3">
      <c r="A1409" s="3">
        <v>8209659666</v>
      </c>
      <c r="B1409" s="3" t="s">
        <v>1565</v>
      </c>
      <c r="C1409" s="3" t="s">
        <v>1566</v>
      </c>
      <c r="D1409" s="4">
        <v>46307.4442361111</v>
      </c>
      <c r="E1409" s="5" t="s">
        <v>10</v>
      </c>
      <c r="F1409" s="5" t="s">
        <v>16</v>
      </c>
      <c r="G1409" s="5">
        <v>2</v>
      </c>
      <c r="H1409" s="8" t="s">
        <v>12</v>
      </c>
      <c r="I1409" t="s">
        <v>1600</v>
      </c>
      <c r="K1409" t="str">
        <f>+VLOOKUP(C1409,'[1]TIENDAS 2025'!$A$1:$C$143,3,0)</f>
        <v>departamental</v>
      </c>
      <c r="L1409" t="str">
        <f>+VLOOKUP(C1409,[2]Hoja1!$A$1:$B$138,2,0)</f>
        <v>APROBAR</v>
      </c>
      <c r="M1409">
        <v>1</v>
      </c>
      <c r="N1409" t="e">
        <v>#N/A</v>
      </c>
    </row>
    <row r="1410" spans="1:14" ht="15" customHeight="1" x14ac:dyDescent="0.3">
      <c r="A1410" s="3">
        <v>8209659551</v>
      </c>
      <c r="B1410" s="3" t="s">
        <v>1560</v>
      </c>
      <c r="C1410" s="3" t="s">
        <v>1561</v>
      </c>
      <c r="D1410" s="4">
        <v>46307.444259259297</v>
      </c>
      <c r="E1410" s="5" t="s">
        <v>10</v>
      </c>
      <c r="F1410" s="5" t="s">
        <v>16</v>
      </c>
      <c r="G1410" s="5">
        <v>2</v>
      </c>
      <c r="H1410" s="8" t="s">
        <v>12</v>
      </c>
      <c r="I1410" t="s">
        <v>1601</v>
      </c>
      <c r="K1410" t="str">
        <f>+VLOOKUP(C1410,'[1]TIENDAS 2025'!$A$1:$C$143,3,0)</f>
        <v>departamental</v>
      </c>
      <c r="L1410" t="str">
        <f>+VLOOKUP(C1410,[2]Hoja1!$A$1:$B$138,2,0)</f>
        <v>APROBAR</v>
      </c>
      <c r="M1410">
        <v>1</v>
      </c>
      <c r="N1410" t="e">
        <v>#N/A</v>
      </c>
    </row>
    <row r="1411" spans="1:14" ht="15" customHeight="1" x14ac:dyDescent="0.3">
      <c r="A1411" s="3">
        <v>1209659555</v>
      </c>
      <c r="B1411" s="3" t="s">
        <v>1560</v>
      </c>
      <c r="C1411" s="3" t="s">
        <v>1561</v>
      </c>
      <c r="D1411" s="4">
        <v>46307.444270833301</v>
      </c>
      <c r="E1411" s="5" t="s">
        <v>10</v>
      </c>
      <c r="F1411" s="5" t="s">
        <v>11</v>
      </c>
      <c r="G1411" s="5">
        <v>5</v>
      </c>
      <c r="H1411" s="6" t="s">
        <v>12</v>
      </c>
      <c r="I1411" t="s">
        <v>1602</v>
      </c>
      <c r="J1411" t="s">
        <v>2480</v>
      </c>
      <c r="K1411" t="str">
        <f>+VLOOKUP(C1411,'[1]TIENDAS 2025'!$A$1:$C$143,3,0)</f>
        <v>departamental</v>
      </c>
      <c r="L1411" t="str">
        <f>+VLOOKUP(C1411,[2]Hoja1!$A$1:$B$138,2,0)</f>
        <v>APROBAR</v>
      </c>
      <c r="M1411">
        <v>1</v>
      </c>
      <c r="N1411" t="e">
        <v>#N/A</v>
      </c>
    </row>
    <row r="1412" spans="1:14" ht="15" customHeight="1" x14ac:dyDescent="0.3">
      <c r="A1412" s="3">
        <v>8209659614</v>
      </c>
      <c r="B1412" s="3" t="s">
        <v>1552</v>
      </c>
      <c r="C1412" s="3" t="s">
        <v>1553</v>
      </c>
      <c r="D1412" s="4">
        <v>46307.444282407399</v>
      </c>
      <c r="E1412" s="5" t="s">
        <v>10</v>
      </c>
      <c r="F1412" s="5" t="s">
        <v>16</v>
      </c>
      <c r="G1412" s="5">
        <v>4</v>
      </c>
      <c r="H1412" s="8" t="s">
        <v>12</v>
      </c>
      <c r="I1412" t="s">
        <v>1603</v>
      </c>
      <c r="K1412" t="str">
        <f>+VLOOKUP(C1412,'[1]TIENDAS 2025'!$A$1:$C$143,3,0)</f>
        <v>local</v>
      </c>
      <c r="L1412" t="str">
        <f>+VLOOKUP(C1412,[2]Hoja1!$A$1:$B$138,2,0)</f>
        <v>APROBAR</v>
      </c>
      <c r="M1412">
        <v>1</v>
      </c>
      <c r="N1412" t="e">
        <v>#N/A</v>
      </c>
    </row>
    <row r="1413" spans="1:14" ht="15" customHeight="1" x14ac:dyDescent="0.3">
      <c r="A1413" s="3">
        <v>8209659524</v>
      </c>
      <c r="B1413" s="3" t="s">
        <v>1571</v>
      </c>
      <c r="C1413" s="3" t="s">
        <v>1572</v>
      </c>
      <c r="D1413" s="4">
        <v>46307.444293981498</v>
      </c>
      <c r="E1413" s="5" t="s">
        <v>10</v>
      </c>
      <c r="F1413" s="5" t="s">
        <v>16</v>
      </c>
      <c r="G1413" s="5">
        <v>3</v>
      </c>
      <c r="H1413" s="8" t="s">
        <v>12</v>
      </c>
      <c r="I1413" t="s">
        <v>1604</v>
      </c>
      <c r="K1413" t="str">
        <f>+VLOOKUP(C1413,'[1]TIENDAS 2025'!$A$1:$C$143,3,0)</f>
        <v>local</v>
      </c>
      <c r="L1413" t="str">
        <f>+VLOOKUP(C1413,[2]Hoja1!$A$1:$B$138,2,0)</f>
        <v>APROBAR</v>
      </c>
      <c r="M1413">
        <v>1</v>
      </c>
      <c r="N1413" t="e">
        <v>#N/A</v>
      </c>
    </row>
    <row r="1414" spans="1:14" ht="15" customHeight="1" x14ac:dyDescent="0.3">
      <c r="A1414" s="3">
        <v>8209659525</v>
      </c>
      <c r="B1414" s="3" t="s">
        <v>1571</v>
      </c>
      <c r="C1414" s="3" t="s">
        <v>1572</v>
      </c>
      <c r="D1414" s="4">
        <v>46307.444305555597</v>
      </c>
      <c r="E1414" s="5" t="s">
        <v>10</v>
      </c>
      <c r="F1414" s="5" t="s">
        <v>16</v>
      </c>
      <c r="G1414" s="5">
        <v>6</v>
      </c>
      <c r="H1414" s="8" t="s">
        <v>12</v>
      </c>
      <c r="I1414" t="s">
        <v>1605</v>
      </c>
      <c r="K1414" t="str">
        <f>+VLOOKUP(C1414,'[1]TIENDAS 2025'!$A$1:$C$143,3,0)</f>
        <v>local</v>
      </c>
      <c r="L1414" t="str">
        <f>+VLOOKUP(C1414,[2]Hoja1!$A$1:$B$138,2,0)</f>
        <v>APROBAR</v>
      </c>
      <c r="M1414">
        <v>1</v>
      </c>
      <c r="N1414" t="e">
        <v>#N/A</v>
      </c>
    </row>
    <row r="1415" spans="1:14" ht="15" customHeight="1" x14ac:dyDescent="0.3">
      <c r="A1415" s="3">
        <v>8209659664</v>
      </c>
      <c r="B1415" s="3" t="s">
        <v>1565</v>
      </c>
      <c r="C1415" s="3" t="s">
        <v>1566</v>
      </c>
      <c r="D1415" s="4">
        <v>46307.444328703699</v>
      </c>
      <c r="E1415" s="5" t="s">
        <v>10</v>
      </c>
      <c r="F1415" s="5" t="s">
        <v>16</v>
      </c>
      <c r="G1415" s="5">
        <v>7</v>
      </c>
      <c r="H1415" s="8" t="s">
        <v>12</v>
      </c>
      <c r="I1415" t="s">
        <v>1606</v>
      </c>
      <c r="K1415" t="str">
        <f>+VLOOKUP(C1415,'[1]TIENDAS 2025'!$A$1:$C$143,3,0)</f>
        <v>departamental</v>
      </c>
      <c r="L1415" t="str">
        <f>+VLOOKUP(C1415,[2]Hoja1!$A$1:$B$138,2,0)</f>
        <v>APROBAR</v>
      </c>
      <c r="M1415">
        <v>1</v>
      </c>
      <c r="N1415" t="e">
        <v>#N/A</v>
      </c>
    </row>
    <row r="1416" spans="1:14" ht="15" customHeight="1" x14ac:dyDescent="0.3">
      <c r="A1416" s="3">
        <v>1209659604</v>
      </c>
      <c r="B1416" s="3" t="s">
        <v>1555</v>
      </c>
      <c r="C1416" s="3" t="s">
        <v>1556</v>
      </c>
      <c r="D1416" s="4">
        <v>46307.444340277798</v>
      </c>
      <c r="E1416" s="5" t="s">
        <v>10</v>
      </c>
      <c r="F1416" s="5" t="s">
        <v>17</v>
      </c>
      <c r="G1416" s="5">
        <v>44</v>
      </c>
      <c r="H1416" s="6" t="s">
        <v>12</v>
      </c>
      <c r="I1416" t="s">
        <v>1607</v>
      </c>
      <c r="J1416" t="s">
        <v>2480</v>
      </c>
      <c r="K1416" t="str">
        <f>+VLOOKUP(C1416,'[1]TIENDAS 2025'!$A$1:$C$143,3,0)</f>
        <v>local</v>
      </c>
      <c r="L1416" t="str">
        <f>+VLOOKUP(C1416,[2]Hoja1!$A$1:$B$138,2,0)</f>
        <v>APROBAR</v>
      </c>
      <c r="M1416">
        <v>1</v>
      </c>
      <c r="N1416" t="e">
        <v>#N/A</v>
      </c>
    </row>
    <row r="1417" spans="1:14" ht="15" customHeight="1" x14ac:dyDescent="0.3">
      <c r="A1417" s="3">
        <v>8209659584</v>
      </c>
      <c r="B1417" s="3" t="s">
        <v>1555</v>
      </c>
      <c r="C1417" s="3" t="s">
        <v>1556</v>
      </c>
      <c r="D1417" s="4">
        <v>46307.444351851896</v>
      </c>
      <c r="E1417" s="5" t="s">
        <v>10</v>
      </c>
      <c r="F1417" s="5" t="s">
        <v>16</v>
      </c>
      <c r="G1417" s="5">
        <v>3</v>
      </c>
      <c r="H1417" s="8" t="s">
        <v>12</v>
      </c>
      <c r="I1417" t="s">
        <v>1608</v>
      </c>
      <c r="K1417" t="str">
        <f>+VLOOKUP(C1417,'[1]TIENDAS 2025'!$A$1:$C$143,3,0)</f>
        <v>local</v>
      </c>
      <c r="L1417" t="str">
        <f>+VLOOKUP(C1417,[2]Hoja1!$A$1:$B$138,2,0)</f>
        <v>APROBAR</v>
      </c>
      <c r="M1417">
        <v>1</v>
      </c>
      <c r="N1417" t="e">
        <v>#N/A</v>
      </c>
    </row>
    <row r="1418" spans="1:14" ht="15" customHeight="1" x14ac:dyDescent="0.3">
      <c r="A1418" s="3">
        <v>1209659590</v>
      </c>
      <c r="B1418" s="3" t="s">
        <v>1555</v>
      </c>
      <c r="C1418" s="3" t="s">
        <v>1556</v>
      </c>
      <c r="D1418" s="4">
        <v>46307.444374999999</v>
      </c>
      <c r="E1418" s="5" t="s">
        <v>10</v>
      </c>
      <c r="F1418" s="5" t="s">
        <v>17</v>
      </c>
      <c r="G1418" s="5">
        <v>13</v>
      </c>
      <c r="H1418" s="6" t="s">
        <v>12</v>
      </c>
      <c r="I1418" t="s">
        <v>1609</v>
      </c>
      <c r="J1418" t="s">
        <v>2480</v>
      </c>
      <c r="K1418" t="str">
        <f>+VLOOKUP(C1418,'[1]TIENDAS 2025'!$A$1:$C$143,3,0)</f>
        <v>local</v>
      </c>
      <c r="L1418" t="str">
        <f>+VLOOKUP(C1418,[2]Hoja1!$A$1:$B$138,2,0)</f>
        <v>APROBAR</v>
      </c>
      <c r="M1418">
        <v>1</v>
      </c>
      <c r="N1418" t="e">
        <v>#N/A</v>
      </c>
    </row>
    <row r="1419" spans="1:14" ht="15" customHeight="1" x14ac:dyDescent="0.3">
      <c r="A1419" s="3">
        <v>1209659561</v>
      </c>
      <c r="B1419" s="3" t="s">
        <v>1560</v>
      </c>
      <c r="C1419" s="3" t="s">
        <v>1561</v>
      </c>
      <c r="D1419" s="4">
        <v>46307.444374999999</v>
      </c>
      <c r="E1419" s="5" t="s">
        <v>10</v>
      </c>
      <c r="F1419" s="5" t="s">
        <v>11</v>
      </c>
      <c r="G1419" s="5">
        <v>14</v>
      </c>
      <c r="H1419" s="6" t="s">
        <v>12</v>
      </c>
      <c r="I1419" t="s">
        <v>1610</v>
      </c>
      <c r="J1419" t="s">
        <v>2480</v>
      </c>
      <c r="K1419" t="str">
        <f>+VLOOKUP(C1419,'[1]TIENDAS 2025'!$A$1:$C$143,3,0)</f>
        <v>departamental</v>
      </c>
      <c r="L1419" t="str">
        <f>+VLOOKUP(C1419,[2]Hoja1!$A$1:$B$138,2,0)</f>
        <v>APROBAR</v>
      </c>
      <c r="M1419">
        <v>1</v>
      </c>
      <c r="N1419" t="e">
        <v>#N/A</v>
      </c>
    </row>
    <row r="1420" spans="1:14" ht="15" customHeight="1" x14ac:dyDescent="0.3">
      <c r="A1420" s="3">
        <v>8209659564</v>
      </c>
      <c r="B1420" s="3" t="s">
        <v>1560</v>
      </c>
      <c r="C1420" s="3" t="s">
        <v>1561</v>
      </c>
      <c r="D1420" s="4">
        <v>46307.444386574098</v>
      </c>
      <c r="E1420" s="5" t="s">
        <v>10</v>
      </c>
      <c r="F1420" s="5" t="s">
        <v>16</v>
      </c>
      <c r="G1420" s="5">
        <v>1</v>
      </c>
      <c r="H1420" s="8" t="s">
        <v>12</v>
      </c>
      <c r="I1420" t="s">
        <v>1611</v>
      </c>
      <c r="K1420" t="str">
        <f>+VLOOKUP(C1420,'[1]TIENDAS 2025'!$A$1:$C$143,3,0)</f>
        <v>departamental</v>
      </c>
      <c r="L1420" t="str">
        <f>+VLOOKUP(C1420,[2]Hoja1!$A$1:$B$138,2,0)</f>
        <v>APROBAR</v>
      </c>
      <c r="M1420">
        <v>1</v>
      </c>
      <c r="N1420" t="e">
        <v>#N/A</v>
      </c>
    </row>
    <row r="1421" spans="1:14" ht="15" customHeight="1" x14ac:dyDescent="0.3">
      <c r="A1421" s="3">
        <v>1209659517</v>
      </c>
      <c r="B1421" s="3" t="s">
        <v>1548</v>
      </c>
      <c r="C1421" s="3" t="s">
        <v>1549</v>
      </c>
      <c r="D1421" s="4">
        <v>46307.4444097222</v>
      </c>
      <c r="E1421" s="5" t="s">
        <v>10</v>
      </c>
      <c r="F1421" s="5" t="s">
        <v>11</v>
      </c>
      <c r="G1421" s="5">
        <v>8</v>
      </c>
      <c r="H1421" s="6" t="s">
        <v>12</v>
      </c>
      <c r="I1421" t="s">
        <v>1612</v>
      </c>
      <c r="J1421" t="s">
        <v>2480</v>
      </c>
      <c r="K1421" t="str">
        <f>+VLOOKUP(C1421,'[1]TIENDAS 2025'!$A$1:$C$143,3,0)</f>
        <v>prioridad</v>
      </c>
      <c r="L1421" t="str">
        <f>+VLOOKUP(C1421,[2]Hoja1!$A$1:$B$138,2,0)</f>
        <v>APROBAR</v>
      </c>
      <c r="M1421">
        <v>1</v>
      </c>
      <c r="N1421" t="e">
        <v>#N/A</v>
      </c>
    </row>
    <row r="1422" spans="1:14" ht="15" customHeight="1" x14ac:dyDescent="0.3">
      <c r="A1422" s="3">
        <v>8209659526</v>
      </c>
      <c r="B1422" s="3" t="s">
        <v>1571</v>
      </c>
      <c r="C1422" s="3" t="s">
        <v>1572</v>
      </c>
      <c r="D1422" s="4">
        <v>46307.444421296299</v>
      </c>
      <c r="E1422" s="5" t="s">
        <v>10</v>
      </c>
      <c r="F1422" s="5" t="s">
        <v>16</v>
      </c>
      <c r="G1422" s="5">
        <v>7</v>
      </c>
      <c r="H1422" s="8" t="s">
        <v>12</v>
      </c>
      <c r="I1422" t="s">
        <v>1613</v>
      </c>
      <c r="K1422" t="str">
        <f>+VLOOKUP(C1422,'[1]TIENDAS 2025'!$A$1:$C$143,3,0)</f>
        <v>local</v>
      </c>
      <c r="L1422" t="str">
        <f>+VLOOKUP(C1422,[2]Hoja1!$A$1:$B$138,2,0)</f>
        <v>APROBAR</v>
      </c>
      <c r="M1422">
        <v>1</v>
      </c>
      <c r="N1422" t="e">
        <v>#N/A</v>
      </c>
    </row>
    <row r="1423" spans="1:14" ht="15" customHeight="1" x14ac:dyDescent="0.3">
      <c r="A1423" s="3">
        <v>8209659527</v>
      </c>
      <c r="B1423" s="3" t="s">
        <v>1571</v>
      </c>
      <c r="C1423" s="3" t="s">
        <v>1572</v>
      </c>
      <c r="D1423" s="4">
        <v>46307.444432870398</v>
      </c>
      <c r="E1423" s="5" t="s">
        <v>10</v>
      </c>
      <c r="F1423" s="5" t="s">
        <v>16</v>
      </c>
      <c r="G1423" s="5">
        <v>7</v>
      </c>
      <c r="H1423" s="8" t="s">
        <v>12</v>
      </c>
      <c r="I1423" t="s">
        <v>1614</v>
      </c>
      <c r="K1423" t="str">
        <f>+VLOOKUP(C1423,'[1]TIENDAS 2025'!$A$1:$C$143,3,0)</f>
        <v>local</v>
      </c>
      <c r="L1423" t="str">
        <f>+VLOOKUP(C1423,[2]Hoja1!$A$1:$B$138,2,0)</f>
        <v>APROBAR</v>
      </c>
      <c r="M1423">
        <v>1</v>
      </c>
      <c r="N1423" t="e">
        <v>#N/A</v>
      </c>
    </row>
    <row r="1424" spans="1:14" ht="15" customHeight="1" x14ac:dyDescent="0.3">
      <c r="A1424" s="3">
        <v>8209659528</v>
      </c>
      <c r="B1424" s="3" t="s">
        <v>1571</v>
      </c>
      <c r="C1424" s="3" t="s">
        <v>1572</v>
      </c>
      <c r="D1424" s="4">
        <v>46307.444444444402</v>
      </c>
      <c r="E1424" s="5" t="s">
        <v>10</v>
      </c>
      <c r="F1424" s="5" t="s">
        <v>16</v>
      </c>
      <c r="G1424" s="5">
        <v>2</v>
      </c>
      <c r="H1424" s="8" t="s">
        <v>12</v>
      </c>
      <c r="I1424" t="s">
        <v>1615</v>
      </c>
      <c r="K1424" t="str">
        <f>+VLOOKUP(C1424,'[1]TIENDAS 2025'!$A$1:$C$143,3,0)</f>
        <v>local</v>
      </c>
      <c r="L1424" t="str">
        <f>+VLOOKUP(C1424,[2]Hoja1!$A$1:$B$138,2,0)</f>
        <v>APROBAR</v>
      </c>
      <c r="M1424">
        <v>1</v>
      </c>
      <c r="N1424" t="e">
        <v>#N/A</v>
      </c>
    </row>
    <row r="1425" spans="1:14" ht="15" customHeight="1" x14ac:dyDescent="0.3">
      <c r="A1425" s="3">
        <v>1209659534</v>
      </c>
      <c r="B1425" s="3" t="s">
        <v>1571</v>
      </c>
      <c r="C1425" s="3" t="s">
        <v>1572</v>
      </c>
      <c r="D1425" s="4">
        <v>46307.4444560185</v>
      </c>
      <c r="E1425" s="5" t="s">
        <v>10</v>
      </c>
      <c r="F1425" s="5" t="s">
        <v>11</v>
      </c>
      <c r="G1425" s="5">
        <v>16</v>
      </c>
      <c r="H1425" s="6" t="s">
        <v>12</v>
      </c>
      <c r="I1425" t="s">
        <v>1616</v>
      </c>
      <c r="J1425" t="s">
        <v>2480</v>
      </c>
      <c r="K1425" t="str">
        <f>+VLOOKUP(C1425,'[1]TIENDAS 2025'!$A$1:$C$143,3,0)</f>
        <v>local</v>
      </c>
      <c r="L1425" t="str">
        <f>+VLOOKUP(C1425,[2]Hoja1!$A$1:$B$138,2,0)</f>
        <v>APROBAR</v>
      </c>
      <c r="M1425">
        <v>1</v>
      </c>
      <c r="N1425" t="e">
        <v>#N/A</v>
      </c>
    </row>
    <row r="1426" spans="1:14" ht="15" customHeight="1" x14ac:dyDescent="0.3">
      <c r="A1426" s="3">
        <v>1209659599</v>
      </c>
      <c r="B1426" s="3" t="s">
        <v>1555</v>
      </c>
      <c r="C1426" s="3" t="s">
        <v>1556</v>
      </c>
      <c r="D1426" s="4">
        <v>46307.444479166697</v>
      </c>
      <c r="E1426" s="5" t="s">
        <v>10</v>
      </c>
      <c r="F1426" s="5" t="s">
        <v>11</v>
      </c>
      <c r="G1426" s="5">
        <v>8</v>
      </c>
      <c r="H1426" s="6" t="s">
        <v>12</v>
      </c>
      <c r="I1426" t="s">
        <v>1617</v>
      </c>
      <c r="J1426" t="s">
        <v>2480</v>
      </c>
      <c r="K1426" t="str">
        <f>+VLOOKUP(C1426,'[1]TIENDAS 2025'!$A$1:$C$143,3,0)</f>
        <v>local</v>
      </c>
      <c r="L1426" t="str">
        <f>+VLOOKUP(C1426,[2]Hoja1!$A$1:$B$138,2,0)</f>
        <v>APROBAR</v>
      </c>
      <c r="M1426">
        <v>1</v>
      </c>
      <c r="N1426" t="e">
        <v>#N/A</v>
      </c>
    </row>
    <row r="1427" spans="1:14" ht="15" customHeight="1" x14ac:dyDescent="0.3">
      <c r="A1427" s="3">
        <v>8209659552</v>
      </c>
      <c r="B1427" s="3" t="s">
        <v>1560</v>
      </c>
      <c r="C1427" s="3" t="s">
        <v>1561</v>
      </c>
      <c r="D1427" s="4">
        <v>46307.444490740701</v>
      </c>
      <c r="E1427" s="5" t="s">
        <v>10</v>
      </c>
      <c r="F1427" s="5" t="s">
        <v>16</v>
      </c>
      <c r="G1427" s="5">
        <v>3</v>
      </c>
      <c r="H1427" s="8" t="s">
        <v>12</v>
      </c>
      <c r="I1427" t="s">
        <v>1618</v>
      </c>
      <c r="K1427" t="str">
        <f>+VLOOKUP(C1427,'[1]TIENDAS 2025'!$A$1:$C$143,3,0)</f>
        <v>departamental</v>
      </c>
      <c r="L1427" t="str">
        <f>+VLOOKUP(C1427,[2]Hoja1!$A$1:$B$138,2,0)</f>
        <v>APROBAR</v>
      </c>
      <c r="M1427">
        <v>1</v>
      </c>
      <c r="N1427" t="e">
        <v>#N/A</v>
      </c>
    </row>
    <row r="1428" spans="1:14" ht="15" customHeight="1" x14ac:dyDescent="0.3">
      <c r="A1428" s="3">
        <v>8209659553</v>
      </c>
      <c r="B1428" s="3" t="s">
        <v>1560</v>
      </c>
      <c r="C1428" s="3" t="s">
        <v>1561</v>
      </c>
      <c r="D1428" s="4">
        <v>46307.4445023148</v>
      </c>
      <c r="E1428" s="5" t="s">
        <v>10</v>
      </c>
      <c r="F1428" s="5" t="s">
        <v>16</v>
      </c>
      <c r="G1428" s="5">
        <v>6</v>
      </c>
      <c r="H1428" s="8" t="s">
        <v>12</v>
      </c>
      <c r="I1428" t="s">
        <v>1619</v>
      </c>
      <c r="K1428" t="str">
        <f>+VLOOKUP(C1428,'[1]TIENDAS 2025'!$A$1:$C$143,3,0)</f>
        <v>departamental</v>
      </c>
      <c r="L1428" t="str">
        <f>+VLOOKUP(C1428,[2]Hoja1!$A$1:$B$138,2,0)</f>
        <v>APROBAR</v>
      </c>
      <c r="M1428">
        <v>1</v>
      </c>
      <c r="N1428" t="e">
        <v>#N/A</v>
      </c>
    </row>
    <row r="1429" spans="1:14" ht="15" customHeight="1" x14ac:dyDescent="0.3">
      <c r="A1429" s="3">
        <v>1209659557</v>
      </c>
      <c r="B1429" s="3" t="s">
        <v>1560</v>
      </c>
      <c r="C1429" s="3" t="s">
        <v>1561</v>
      </c>
      <c r="D1429" s="4">
        <v>46307.444513888899</v>
      </c>
      <c r="E1429" s="5" t="s">
        <v>10</v>
      </c>
      <c r="F1429" s="5" t="s">
        <v>11</v>
      </c>
      <c r="G1429" s="5">
        <v>7</v>
      </c>
      <c r="H1429" s="6" t="s">
        <v>12</v>
      </c>
      <c r="I1429" t="s">
        <v>1620</v>
      </c>
      <c r="J1429" t="s">
        <v>2480</v>
      </c>
      <c r="K1429" t="str">
        <f>+VLOOKUP(C1429,'[1]TIENDAS 2025'!$A$1:$C$143,3,0)</f>
        <v>departamental</v>
      </c>
      <c r="L1429" t="str">
        <f>+VLOOKUP(C1429,[2]Hoja1!$A$1:$B$138,2,0)</f>
        <v>APROBAR</v>
      </c>
      <c r="M1429">
        <v>1</v>
      </c>
      <c r="N1429" t="e">
        <v>#N/A</v>
      </c>
    </row>
    <row r="1430" spans="1:14" ht="15" customHeight="1" x14ac:dyDescent="0.3">
      <c r="A1430" s="3">
        <v>1209659558</v>
      </c>
      <c r="B1430" s="3" t="s">
        <v>1560</v>
      </c>
      <c r="C1430" s="3" t="s">
        <v>1561</v>
      </c>
      <c r="D1430" s="4">
        <v>46307.444537037001</v>
      </c>
      <c r="E1430" s="5" t="s">
        <v>10</v>
      </c>
      <c r="F1430" s="5" t="s">
        <v>17</v>
      </c>
      <c r="G1430" s="5">
        <v>13</v>
      </c>
      <c r="H1430" s="6" t="s">
        <v>12</v>
      </c>
      <c r="I1430" t="s">
        <v>1621</v>
      </c>
      <c r="J1430" t="s">
        <v>2480</v>
      </c>
      <c r="K1430" t="str">
        <f>+VLOOKUP(C1430,'[1]TIENDAS 2025'!$A$1:$C$143,3,0)</f>
        <v>departamental</v>
      </c>
      <c r="L1430" t="str">
        <f>+VLOOKUP(C1430,[2]Hoja1!$A$1:$B$138,2,0)</f>
        <v>APROBAR</v>
      </c>
      <c r="M1430">
        <v>1</v>
      </c>
      <c r="N1430" t="e">
        <v>#N/A</v>
      </c>
    </row>
    <row r="1431" spans="1:14" ht="15" customHeight="1" x14ac:dyDescent="0.3">
      <c r="A1431" s="3">
        <v>8209659581</v>
      </c>
      <c r="B1431" s="3" t="s">
        <v>1555</v>
      </c>
      <c r="C1431" s="3" t="s">
        <v>1556</v>
      </c>
      <c r="D1431" s="4">
        <v>46307.4445486111</v>
      </c>
      <c r="E1431" s="5" t="s">
        <v>10</v>
      </c>
      <c r="F1431" s="5" t="s">
        <v>16</v>
      </c>
      <c r="G1431" s="5">
        <v>6</v>
      </c>
      <c r="H1431" s="8" t="s">
        <v>12</v>
      </c>
      <c r="I1431" t="s">
        <v>1622</v>
      </c>
      <c r="K1431" t="str">
        <f>+VLOOKUP(C1431,'[1]TIENDAS 2025'!$A$1:$C$143,3,0)</f>
        <v>local</v>
      </c>
      <c r="L1431" t="str">
        <f>+VLOOKUP(C1431,[2]Hoja1!$A$1:$B$138,2,0)</f>
        <v>APROBAR</v>
      </c>
      <c r="M1431">
        <v>1</v>
      </c>
      <c r="N1431" t="e">
        <v>#N/A</v>
      </c>
    </row>
    <row r="1432" spans="1:14" ht="15" customHeight="1" x14ac:dyDescent="0.3">
      <c r="A1432" s="3">
        <v>1209659588</v>
      </c>
      <c r="B1432" s="3" t="s">
        <v>1555</v>
      </c>
      <c r="C1432" s="3" t="s">
        <v>1556</v>
      </c>
      <c r="D1432" s="4">
        <v>46307.444560185198</v>
      </c>
      <c r="E1432" s="5" t="s">
        <v>10</v>
      </c>
      <c r="F1432" s="5" t="s">
        <v>17</v>
      </c>
      <c r="G1432" s="5">
        <v>13</v>
      </c>
      <c r="H1432" s="6" t="s">
        <v>12</v>
      </c>
      <c r="I1432" t="s">
        <v>1623</v>
      </c>
      <c r="J1432" t="s">
        <v>2480</v>
      </c>
      <c r="K1432" t="str">
        <f>+VLOOKUP(C1432,'[1]TIENDAS 2025'!$A$1:$C$143,3,0)</f>
        <v>local</v>
      </c>
      <c r="L1432" t="str">
        <f>+VLOOKUP(C1432,[2]Hoja1!$A$1:$B$138,2,0)</f>
        <v>APROBAR</v>
      </c>
      <c r="M1432">
        <v>1</v>
      </c>
      <c r="N1432" t="e">
        <v>#N/A</v>
      </c>
    </row>
    <row r="1433" spans="1:14" ht="15" customHeight="1" x14ac:dyDescent="0.3">
      <c r="A1433" s="3">
        <v>1209659592</v>
      </c>
      <c r="B1433" s="3" t="s">
        <v>1555</v>
      </c>
      <c r="C1433" s="3" t="s">
        <v>1556</v>
      </c>
      <c r="D1433" s="4">
        <v>46307.444571759297</v>
      </c>
      <c r="E1433" s="5" t="s">
        <v>10</v>
      </c>
      <c r="F1433" s="5" t="s">
        <v>11</v>
      </c>
      <c r="G1433" s="5">
        <v>26</v>
      </c>
      <c r="H1433" s="6" t="s">
        <v>12</v>
      </c>
      <c r="I1433" t="s">
        <v>1624</v>
      </c>
      <c r="J1433" t="s">
        <v>2480</v>
      </c>
      <c r="K1433" t="str">
        <f>+VLOOKUP(C1433,'[1]TIENDAS 2025'!$A$1:$C$143,3,0)</f>
        <v>local</v>
      </c>
      <c r="L1433" t="str">
        <f>+VLOOKUP(C1433,[2]Hoja1!$A$1:$B$138,2,0)</f>
        <v>APROBAR</v>
      </c>
      <c r="M1433">
        <v>1</v>
      </c>
      <c r="N1433" t="e">
        <v>#N/A</v>
      </c>
    </row>
    <row r="1434" spans="1:14" ht="15" customHeight="1" x14ac:dyDescent="0.3">
      <c r="A1434" s="3">
        <v>1209659631</v>
      </c>
      <c r="B1434" s="3" t="s">
        <v>1552</v>
      </c>
      <c r="C1434" s="3" t="s">
        <v>1553</v>
      </c>
      <c r="D1434" s="4">
        <v>46307.444583333301</v>
      </c>
      <c r="E1434" s="5" t="s">
        <v>10</v>
      </c>
      <c r="F1434" s="5" t="s">
        <v>11</v>
      </c>
      <c r="G1434" s="5">
        <v>23</v>
      </c>
      <c r="H1434" s="6" t="s">
        <v>12</v>
      </c>
      <c r="I1434" t="s">
        <v>1625</v>
      </c>
      <c r="J1434" t="s">
        <v>2480</v>
      </c>
      <c r="K1434" t="str">
        <f>+VLOOKUP(C1434,'[1]TIENDAS 2025'!$A$1:$C$143,3,0)</f>
        <v>local</v>
      </c>
      <c r="L1434" t="str">
        <f>+VLOOKUP(C1434,[2]Hoja1!$A$1:$B$138,2,0)</f>
        <v>APROBAR</v>
      </c>
      <c r="M1434">
        <v>1</v>
      </c>
      <c r="N1434" t="e">
        <v>#N/A</v>
      </c>
    </row>
    <row r="1435" spans="1:14" ht="15" customHeight="1" x14ac:dyDescent="0.3">
      <c r="A1435" s="3">
        <v>1209659621</v>
      </c>
      <c r="B1435" s="3" t="s">
        <v>1552</v>
      </c>
      <c r="C1435" s="3" t="s">
        <v>1553</v>
      </c>
      <c r="D1435" s="4">
        <v>46307.444606481498</v>
      </c>
      <c r="E1435" s="5" t="s">
        <v>10</v>
      </c>
      <c r="F1435" s="5" t="s">
        <v>17</v>
      </c>
      <c r="G1435" s="5">
        <v>25</v>
      </c>
      <c r="H1435" s="6" t="s">
        <v>12</v>
      </c>
      <c r="I1435" t="s">
        <v>1626</v>
      </c>
      <c r="J1435" t="s">
        <v>2480</v>
      </c>
      <c r="K1435" t="str">
        <f>+VLOOKUP(C1435,'[1]TIENDAS 2025'!$A$1:$C$143,3,0)</f>
        <v>local</v>
      </c>
      <c r="L1435" t="str">
        <f>+VLOOKUP(C1435,[2]Hoja1!$A$1:$B$138,2,0)</f>
        <v>APROBAR</v>
      </c>
      <c r="M1435">
        <v>1</v>
      </c>
      <c r="N1435" t="e">
        <v>#N/A</v>
      </c>
    </row>
    <row r="1436" spans="1:14" ht="15" customHeight="1" x14ac:dyDescent="0.3">
      <c r="A1436" s="3">
        <v>8209659502</v>
      </c>
      <c r="B1436" s="3" t="s">
        <v>1548</v>
      </c>
      <c r="C1436" s="3" t="s">
        <v>1549</v>
      </c>
      <c r="D1436" s="4">
        <v>46307.444618055597</v>
      </c>
      <c r="E1436" s="5" t="s">
        <v>10</v>
      </c>
      <c r="F1436" s="5" t="s">
        <v>16</v>
      </c>
      <c r="G1436" s="5">
        <v>6</v>
      </c>
      <c r="H1436" s="8" t="s">
        <v>12</v>
      </c>
      <c r="I1436" t="s">
        <v>1627</v>
      </c>
      <c r="K1436" t="str">
        <f>+VLOOKUP(C1436,'[1]TIENDAS 2025'!$A$1:$C$143,3,0)</f>
        <v>prioridad</v>
      </c>
      <c r="L1436" t="str">
        <f>+VLOOKUP(C1436,[2]Hoja1!$A$1:$B$138,2,0)</f>
        <v>APROBAR</v>
      </c>
      <c r="M1436">
        <v>1</v>
      </c>
      <c r="N1436" t="e">
        <v>#N/A</v>
      </c>
    </row>
    <row r="1437" spans="1:14" ht="15" customHeight="1" x14ac:dyDescent="0.3">
      <c r="A1437" s="3">
        <v>1209659595</v>
      </c>
      <c r="B1437" s="3" t="s">
        <v>1555</v>
      </c>
      <c r="C1437" s="3" t="s">
        <v>1556</v>
      </c>
      <c r="D1437" s="4">
        <v>46307.4446412037</v>
      </c>
      <c r="E1437" s="5" t="s">
        <v>10</v>
      </c>
      <c r="F1437" s="5" t="s">
        <v>11</v>
      </c>
      <c r="G1437" s="5">
        <v>2</v>
      </c>
      <c r="H1437" s="6" t="s">
        <v>12</v>
      </c>
      <c r="I1437" t="s">
        <v>1628</v>
      </c>
      <c r="J1437" t="s">
        <v>2480</v>
      </c>
      <c r="K1437" t="str">
        <f>+VLOOKUP(C1437,'[1]TIENDAS 2025'!$A$1:$C$143,3,0)</f>
        <v>local</v>
      </c>
      <c r="L1437" t="str">
        <f>+VLOOKUP(C1437,[2]Hoja1!$A$1:$B$138,2,0)</f>
        <v>APROBAR</v>
      </c>
      <c r="M1437">
        <v>1</v>
      </c>
      <c r="N1437" t="e">
        <v>#N/A</v>
      </c>
    </row>
    <row r="1438" spans="1:14" ht="15" customHeight="1" x14ac:dyDescent="0.3">
      <c r="A1438" s="3">
        <v>1209659622</v>
      </c>
      <c r="B1438" s="3" t="s">
        <v>1552</v>
      </c>
      <c r="C1438" s="3" t="s">
        <v>1553</v>
      </c>
      <c r="D1438" s="4">
        <v>46307.4446412037</v>
      </c>
      <c r="E1438" s="5" t="s">
        <v>10</v>
      </c>
      <c r="F1438" s="5" t="s">
        <v>16</v>
      </c>
      <c r="G1438" s="5">
        <v>33</v>
      </c>
      <c r="H1438" s="6" t="s">
        <v>12</v>
      </c>
      <c r="I1438" t="s">
        <v>1629</v>
      </c>
      <c r="J1438" t="s">
        <v>2480</v>
      </c>
      <c r="K1438" t="str">
        <f>+VLOOKUP(C1438,'[1]TIENDAS 2025'!$A$1:$C$143,3,0)</f>
        <v>local</v>
      </c>
      <c r="L1438" t="str">
        <f>+VLOOKUP(C1438,[2]Hoja1!$A$1:$B$138,2,0)</f>
        <v>APROBAR</v>
      </c>
      <c r="M1438">
        <v>1</v>
      </c>
      <c r="N1438" t="e">
        <v>#N/A</v>
      </c>
    </row>
    <row r="1439" spans="1:14" ht="15" customHeight="1" x14ac:dyDescent="0.3">
      <c r="A1439" s="3">
        <v>8209659505</v>
      </c>
      <c r="B1439" s="3" t="s">
        <v>1548</v>
      </c>
      <c r="C1439" s="3" t="s">
        <v>1549</v>
      </c>
      <c r="D1439" s="4">
        <v>46307.444664351897</v>
      </c>
      <c r="E1439" s="5" t="s">
        <v>10</v>
      </c>
      <c r="F1439" s="5" t="s">
        <v>16</v>
      </c>
      <c r="G1439" s="5">
        <v>5</v>
      </c>
      <c r="H1439" s="8" t="s">
        <v>12</v>
      </c>
      <c r="I1439" t="s">
        <v>1630</v>
      </c>
      <c r="K1439" t="str">
        <f>+VLOOKUP(C1439,'[1]TIENDAS 2025'!$A$1:$C$143,3,0)</f>
        <v>prioridad</v>
      </c>
      <c r="L1439" t="str">
        <f>+VLOOKUP(C1439,[2]Hoja1!$A$1:$B$138,2,0)</f>
        <v>APROBAR</v>
      </c>
      <c r="M1439">
        <v>1</v>
      </c>
      <c r="N1439" t="e">
        <v>#N/A</v>
      </c>
    </row>
    <row r="1440" spans="1:14" ht="15" customHeight="1" x14ac:dyDescent="0.3">
      <c r="A1440" s="3">
        <v>1209659667</v>
      </c>
      <c r="B1440" s="3" t="s">
        <v>1565</v>
      </c>
      <c r="C1440" s="3" t="s">
        <v>1566</v>
      </c>
      <c r="D1440" s="4">
        <v>46307.444675925901</v>
      </c>
      <c r="E1440" s="5" t="s">
        <v>10</v>
      </c>
      <c r="F1440" s="5" t="s">
        <v>11</v>
      </c>
      <c r="G1440" s="5">
        <v>11</v>
      </c>
      <c r="H1440" s="6" t="s">
        <v>12</v>
      </c>
      <c r="I1440" t="s">
        <v>1631</v>
      </c>
      <c r="J1440" t="s">
        <v>2480</v>
      </c>
      <c r="K1440" t="str">
        <f>+VLOOKUP(C1440,'[1]TIENDAS 2025'!$A$1:$C$143,3,0)</f>
        <v>departamental</v>
      </c>
      <c r="L1440" t="str">
        <f>+VLOOKUP(C1440,[2]Hoja1!$A$1:$B$138,2,0)</f>
        <v>APROBAR</v>
      </c>
      <c r="M1440">
        <v>1</v>
      </c>
      <c r="N1440" t="e">
        <v>#N/A</v>
      </c>
    </row>
    <row r="1441" spans="1:14" ht="15" customHeight="1" x14ac:dyDescent="0.3">
      <c r="A1441" s="3">
        <v>1209659668</v>
      </c>
      <c r="B1441" s="3" t="s">
        <v>1565</v>
      </c>
      <c r="C1441" s="3" t="s">
        <v>1566</v>
      </c>
      <c r="D1441" s="4">
        <v>46307.444687499999</v>
      </c>
      <c r="E1441" s="5" t="s">
        <v>10</v>
      </c>
      <c r="F1441" s="5" t="s">
        <v>16</v>
      </c>
      <c r="G1441" s="5">
        <v>19</v>
      </c>
      <c r="H1441" s="6" t="s">
        <v>12</v>
      </c>
      <c r="I1441" t="s">
        <v>1632</v>
      </c>
      <c r="J1441" t="s">
        <v>2480</v>
      </c>
      <c r="K1441" t="str">
        <f>+VLOOKUP(C1441,'[1]TIENDAS 2025'!$A$1:$C$143,3,0)</f>
        <v>departamental</v>
      </c>
      <c r="L1441" t="str">
        <f>+VLOOKUP(C1441,[2]Hoja1!$A$1:$B$138,2,0)</f>
        <v>APROBAR</v>
      </c>
      <c r="M1441">
        <v>1</v>
      </c>
      <c r="N1441" t="e">
        <v>#N/A</v>
      </c>
    </row>
    <row r="1442" spans="1:14" ht="15" customHeight="1" x14ac:dyDescent="0.3">
      <c r="A1442" s="3">
        <v>1209659656</v>
      </c>
      <c r="B1442" s="3" t="s">
        <v>1565</v>
      </c>
      <c r="C1442" s="3" t="s">
        <v>1566</v>
      </c>
      <c r="D1442" s="4">
        <v>46307.444699074098</v>
      </c>
      <c r="E1442" s="5" t="s">
        <v>10</v>
      </c>
      <c r="F1442" s="5" t="s">
        <v>17</v>
      </c>
      <c r="G1442" s="5">
        <v>13</v>
      </c>
      <c r="H1442" s="6" t="s">
        <v>12</v>
      </c>
      <c r="I1442" t="s">
        <v>1633</v>
      </c>
      <c r="J1442" t="s">
        <v>2480</v>
      </c>
      <c r="K1442" t="str">
        <f>+VLOOKUP(C1442,'[1]TIENDAS 2025'!$A$1:$C$143,3,0)</f>
        <v>departamental</v>
      </c>
      <c r="L1442" t="str">
        <f>+VLOOKUP(C1442,[2]Hoja1!$A$1:$B$138,2,0)</f>
        <v>APROBAR</v>
      </c>
      <c r="M1442">
        <v>1</v>
      </c>
      <c r="N1442" t="e">
        <v>#N/A</v>
      </c>
    </row>
    <row r="1443" spans="1:14" ht="15" customHeight="1" x14ac:dyDescent="0.3">
      <c r="A1443" s="3">
        <v>1209659659</v>
      </c>
      <c r="B1443" s="3" t="s">
        <v>1565</v>
      </c>
      <c r="C1443" s="3" t="s">
        <v>1566</v>
      </c>
      <c r="D1443" s="4">
        <v>46307.444710648102</v>
      </c>
      <c r="E1443" s="5" t="s">
        <v>10</v>
      </c>
      <c r="F1443" s="5" t="s">
        <v>17</v>
      </c>
      <c r="G1443" s="5">
        <v>29</v>
      </c>
      <c r="H1443" s="6" t="s">
        <v>12</v>
      </c>
      <c r="I1443" t="s">
        <v>1634</v>
      </c>
      <c r="J1443" t="s">
        <v>2480</v>
      </c>
      <c r="K1443" t="str">
        <f>+VLOOKUP(C1443,'[1]TIENDAS 2025'!$A$1:$C$143,3,0)</f>
        <v>departamental</v>
      </c>
      <c r="L1443" t="str">
        <f>+VLOOKUP(C1443,[2]Hoja1!$A$1:$B$138,2,0)</f>
        <v>APROBAR</v>
      </c>
      <c r="M1443">
        <v>1</v>
      </c>
      <c r="N1443" t="e">
        <v>#N/A</v>
      </c>
    </row>
    <row r="1444" spans="1:14" ht="15" customHeight="1" x14ac:dyDescent="0.3">
      <c r="A1444" s="3">
        <v>1209659623</v>
      </c>
      <c r="B1444" s="3" t="s">
        <v>1552</v>
      </c>
      <c r="C1444" s="3" t="s">
        <v>1553</v>
      </c>
      <c r="D1444" s="4">
        <v>46307.444733796299</v>
      </c>
      <c r="E1444" s="5" t="s">
        <v>10</v>
      </c>
      <c r="F1444" s="5" t="s">
        <v>11</v>
      </c>
      <c r="G1444" s="5">
        <v>33</v>
      </c>
      <c r="H1444" s="6" t="s">
        <v>12</v>
      </c>
      <c r="I1444" t="s">
        <v>1635</v>
      </c>
      <c r="J1444" t="s">
        <v>2480</v>
      </c>
      <c r="K1444" t="str">
        <f>+VLOOKUP(C1444,'[1]TIENDAS 2025'!$A$1:$C$143,3,0)</f>
        <v>local</v>
      </c>
      <c r="L1444" t="str">
        <f>+VLOOKUP(C1444,[2]Hoja1!$A$1:$B$138,2,0)</f>
        <v>APROBAR</v>
      </c>
      <c r="M1444">
        <v>1</v>
      </c>
      <c r="N1444" t="e">
        <v>#N/A</v>
      </c>
    </row>
    <row r="1445" spans="1:14" ht="15" customHeight="1" x14ac:dyDescent="0.3">
      <c r="A1445" s="3">
        <v>1209659508</v>
      </c>
      <c r="B1445" s="3" t="s">
        <v>1548</v>
      </c>
      <c r="C1445" s="3" t="s">
        <v>1549</v>
      </c>
      <c r="D1445" s="4">
        <v>46307.444745370398</v>
      </c>
      <c r="E1445" s="5" t="s">
        <v>10</v>
      </c>
      <c r="F1445" s="5" t="s">
        <v>16</v>
      </c>
      <c r="G1445" s="5">
        <v>12</v>
      </c>
      <c r="H1445" s="6" t="s">
        <v>12</v>
      </c>
      <c r="I1445" t="s">
        <v>1636</v>
      </c>
      <c r="J1445" t="s">
        <v>2480</v>
      </c>
      <c r="K1445" t="str">
        <f>+VLOOKUP(C1445,'[1]TIENDAS 2025'!$A$1:$C$143,3,0)</f>
        <v>prioridad</v>
      </c>
      <c r="L1445" t="str">
        <f>+VLOOKUP(C1445,[2]Hoja1!$A$1:$B$138,2,0)</f>
        <v>APROBAR</v>
      </c>
      <c r="M1445">
        <v>1</v>
      </c>
      <c r="N1445" t="e">
        <v>#N/A</v>
      </c>
    </row>
    <row r="1446" spans="1:14" ht="15" customHeight="1" x14ac:dyDescent="0.3">
      <c r="A1446" s="3">
        <v>1209659531</v>
      </c>
      <c r="B1446" s="3" t="s">
        <v>1571</v>
      </c>
      <c r="C1446" s="3" t="s">
        <v>1572</v>
      </c>
      <c r="D1446" s="4">
        <v>46307.4447685185</v>
      </c>
      <c r="E1446" s="5" t="s">
        <v>10</v>
      </c>
      <c r="F1446" s="5" t="s">
        <v>11</v>
      </c>
      <c r="G1446" s="5">
        <v>5</v>
      </c>
      <c r="H1446" s="6" t="s">
        <v>12</v>
      </c>
      <c r="I1446" t="s">
        <v>1637</v>
      </c>
      <c r="J1446" t="s">
        <v>2480</v>
      </c>
      <c r="K1446" t="str">
        <f>+VLOOKUP(C1446,'[1]TIENDAS 2025'!$A$1:$C$143,3,0)</f>
        <v>local</v>
      </c>
      <c r="L1446" t="str">
        <f>+VLOOKUP(C1446,[2]Hoja1!$A$1:$B$138,2,0)</f>
        <v>APROBAR</v>
      </c>
      <c r="M1446">
        <v>1</v>
      </c>
      <c r="N1446" t="e">
        <v>#N/A</v>
      </c>
    </row>
    <row r="1447" spans="1:14" ht="15" customHeight="1" x14ac:dyDescent="0.3">
      <c r="A1447" s="3">
        <v>1209659532</v>
      </c>
      <c r="B1447" s="3" t="s">
        <v>1571</v>
      </c>
      <c r="C1447" s="3" t="s">
        <v>1572</v>
      </c>
      <c r="D1447" s="4">
        <v>46307.4447685185</v>
      </c>
      <c r="E1447" s="5" t="s">
        <v>10</v>
      </c>
      <c r="F1447" s="5" t="s">
        <v>11</v>
      </c>
      <c r="G1447" s="5">
        <v>9</v>
      </c>
      <c r="H1447" s="6" t="s">
        <v>12</v>
      </c>
      <c r="I1447" t="s">
        <v>1638</v>
      </c>
      <c r="J1447" t="s">
        <v>2480</v>
      </c>
      <c r="K1447" t="str">
        <f>+VLOOKUP(C1447,'[1]TIENDAS 2025'!$A$1:$C$143,3,0)</f>
        <v>local</v>
      </c>
      <c r="L1447" t="str">
        <f>+VLOOKUP(C1447,[2]Hoja1!$A$1:$B$138,2,0)</f>
        <v>APROBAR</v>
      </c>
      <c r="M1447">
        <v>1</v>
      </c>
      <c r="N1447" t="e">
        <v>#N/A</v>
      </c>
    </row>
    <row r="1448" spans="1:14" ht="15" customHeight="1" x14ac:dyDescent="0.3">
      <c r="A1448" s="3">
        <v>8209659598</v>
      </c>
      <c r="B1448" s="3" t="s">
        <v>1555</v>
      </c>
      <c r="C1448" s="3" t="s">
        <v>1556</v>
      </c>
      <c r="D1448" s="4">
        <v>46307.444791666698</v>
      </c>
      <c r="E1448" s="5" t="s">
        <v>10</v>
      </c>
      <c r="F1448" s="5" t="s">
        <v>16</v>
      </c>
      <c r="G1448" s="5">
        <v>27</v>
      </c>
      <c r="H1448" s="8" t="s">
        <v>12</v>
      </c>
      <c r="I1448" t="s">
        <v>1639</v>
      </c>
      <c r="K1448" t="str">
        <f>+VLOOKUP(C1448,'[1]TIENDAS 2025'!$A$1:$C$143,3,0)</f>
        <v>local</v>
      </c>
      <c r="L1448" t="str">
        <f>+VLOOKUP(C1448,[2]Hoja1!$A$1:$B$138,2,0)</f>
        <v>APROBAR</v>
      </c>
      <c r="M1448">
        <v>1</v>
      </c>
      <c r="N1448" t="e">
        <v>#N/A</v>
      </c>
    </row>
    <row r="1449" spans="1:14" ht="15" customHeight="1" x14ac:dyDescent="0.3">
      <c r="A1449" s="3">
        <v>1209659600</v>
      </c>
      <c r="B1449" s="3" t="s">
        <v>1555</v>
      </c>
      <c r="C1449" s="3" t="s">
        <v>1556</v>
      </c>
      <c r="D1449" s="4">
        <v>46307.444803240702</v>
      </c>
      <c r="E1449" s="5" t="s">
        <v>10</v>
      </c>
      <c r="F1449" s="5" t="s">
        <v>11</v>
      </c>
      <c r="G1449" s="5">
        <v>12</v>
      </c>
      <c r="H1449" s="6" t="s">
        <v>12</v>
      </c>
      <c r="I1449" t="s">
        <v>1640</v>
      </c>
      <c r="J1449" t="s">
        <v>2480</v>
      </c>
      <c r="K1449" t="str">
        <f>+VLOOKUP(C1449,'[1]TIENDAS 2025'!$A$1:$C$143,3,0)</f>
        <v>local</v>
      </c>
      <c r="L1449" t="str">
        <f>+VLOOKUP(C1449,[2]Hoja1!$A$1:$B$138,2,0)</f>
        <v>APROBAR</v>
      </c>
      <c r="M1449">
        <v>1</v>
      </c>
      <c r="N1449" t="e">
        <v>#N/A</v>
      </c>
    </row>
    <row r="1450" spans="1:14" ht="15" customHeight="1" x14ac:dyDescent="0.3">
      <c r="A1450" s="3">
        <v>1209659624</v>
      </c>
      <c r="B1450" s="3" t="s">
        <v>1552</v>
      </c>
      <c r="C1450" s="3" t="s">
        <v>1553</v>
      </c>
      <c r="D1450" s="4">
        <v>46307.4448148148</v>
      </c>
      <c r="E1450" s="5" t="s">
        <v>10</v>
      </c>
      <c r="F1450" s="5" t="s">
        <v>17</v>
      </c>
      <c r="G1450" s="5">
        <v>40</v>
      </c>
      <c r="H1450" s="6" t="s">
        <v>12</v>
      </c>
      <c r="I1450" t="s">
        <v>1641</v>
      </c>
      <c r="J1450" t="s">
        <v>2480</v>
      </c>
      <c r="K1450" t="str">
        <f>+VLOOKUP(C1450,'[1]TIENDAS 2025'!$A$1:$C$143,3,0)</f>
        <v>local</v>
      </c>
      <c r="L1450" t="str">
        <f>+VLOOKUP(C1450,[2]Hoja1!$A$1:$B$138,2,0)</f>
        <v>APROBAR</v>
      </c>
      <c r="M1450">
        <v>1</v>
      </c>
      <c r="N1450" t="e">
        <v>#N/A</v>
      </c>
    </row>
    <row r="1451" spans="1:14" ht="15" customHeight="1" x14ac:dyDescent="0.3">
      <c r="A1451" s="3">
        <v>1209659537</v>
      </c>
      <c r="B1451" s="3" t="s">
        <v>1571</v>
      </c>
      <c r="C1451" s="3" t="s">
        <v>1572</v>
      </c>
      <c r="D1451" s="4">
        <v>46307.444837962998</v>
      </c>
      <c r="E1451" s="5" t="s">
        <v>10</v>
      </c>
      <c r="F1451" s="5" t="s">
        <v>17</v>
      </c>
      <c r="G1451" s="5">
        <v>30</v>
      </c>
      <c r="H1451" s="6" t="s">
        <v>12</v>
      </c>
      <c r="I1451" t="s">
        <v>1642</v>
      </c>
      <c r="J1451" t="s">
        <v>2480</v>
      </c>
      <c r="K1451" t="str">
        <f>+VLOOKUP(C1451,'[1]TIENDAS 2025'!$A$1:$C$143,3,0)</f>
        <v>local</v>
      </c>
      <c r="L1451" t="str">
        <f>+VLOOKUP(C1451,[2]Hoja1!$A$1:$B$138,2,0)</f>
        <v>APROBAR</v>
      </c>
      <c r="M1451">
        <v>1</v>
      </c>
      <c r="N1451" t="e">
        <v>#N/A</v>
      </c>
    </row>
    <row r="1452" spans="1:14" ht="15" customHeight="1" x14ac:dyDescent="0.3">
      <c r="A1452" s="3">
        <v>8209659554</v>
      </c>
      <c r="B1452" s="3" t="s">
        <v>1560</v>
      </c>
      <c r="C1452" s="3" t="s">
        <v>1561</v>
      </c>
      <c r="D1452" s="4">
        <v>46307.444837962998</v>
      </c>
      <c r="E1452" s="5" t="s">
        <v>10</v>
      </c>
      <c r="F1452" s="5" t="s">
        <v>16</v>
      </c>
      <c r="G1452" s="5">
        <v>5</v>
      </c>
      <c r="H1452" s="8" t="s">
        <v>12</v>
      </c>
      <c r="I1452" t="s">
        <v>1643</v>
      </c>
      <c r="K1452" t="str">
        <f>+VLOOKUP(C1452,'[1]TIENDAS 2025'!$A$1:$C$143,3,0)</f>
        <v>departamental</v>
      </c>
      <c r="L1452" t="str">
        <f>+VLOOKUP(C1452,[2]Hoja1!$A$1:$B$138,2,0)</f>
        <v>APROBAR</v>
      </c>
      <c r="M1452">
        <v>1</v>
      </c>
      <c r="N1452" t="e">
        <v>#N/A</v>
      </c>
    </row>
    <row r="1453" spans="1:14" ht="15" customHeight="1" x14ac:dyDescent="0.3">
      <c r="A1453" s="3">
        <v>1209659559</v>
      </c>
      <c r="B1453" s="3" t="s">
        <v>1560</v>
      </c>
      <c r="C1453" s="3" t="s">
        <v>1561</v>
      </c>
      <c r="D1453" s="4">
        <v>46307.4448611111</v>
      </c>
      <c r="E1453" s="5" t="s">
        <v>10</v>
      </c>
      <c r="F1453" s="5" t="s">
        <v>17</v>
      </c>
      <c r="G1453" s="5">
        <v>13</v>
      </c>
      <c r="H1453" s="6" t="s">
        <v>12</v>
      </c>
      <c r="I1453" t="s">
        <v>1644</v>
      </c>
      <c r="J1453" t="s">
        <v>2480</v>
      </c>
      <c r="K1453" t="str">
        <f>+VLOOKUP(C1453,'[1]TIENDAS 2025'!$A$1:$C$143,3,0)</f>
        <v>departamental</v>
      </c>
      <c r="L1453" t="str">
        <f>+VLOOKUP(C1453,[2]Hoja1!$A$1:$B$138,2,0)</f>
        <v>APROBAR</v>
      </c>
      <c r="M1453">
        <v>1</v>
      </c>
      <c r="N1453" t="e">
        <v>#N/A</v>
      </c>
    </row>
    <row r="1454" spans="1:14" ht="15" customHeight="1" x14ac:dyDescent="0.3">
      <c r="A1454" s="3">
        <v>1209659626</v>
      </c>
      <c r="B1454" s="3" t="s">
        <v>1552</v>
      </c>
      <c r="C1454" s="3" t="s">
        <v>1553</v>
      </c>
      <c r="D1454" s="4">
        <v>46307.444872685199</v>
      </c>
      <c r="E1454" s="5" t="s">
        <v>10</v>
      </c>
      <c r="F1454" s="5" t="s">
        <v>11</v>
      </c>
      <c r="G1454" s="5">
        <v>41</v>
      </c>
      <c r="H1454" s="6" t="s">
        <v>12</v>
      </c>
      <c r="I1454" t="s">
        <v>1645</v>
      </c>
      <c r="J1454" t="s">
        <v>2480</v>
      </c>
      <c r="K1454" t="str">
        <f>+VLOOKUP(C1454,'[1]TIENDAS 2025'!$A$1:$C$143,3,0)</f>
        <v>local</v>
      </c>
      <c r="L1454" t="str">
        <f>+VLOOKUP(C1454,[2]Hoja1!$A$1:$B$138,2,0)</f>
        <v>APROBAR</v>
      </c>
      <c r="M1454">
        <v>1</v>
      </c>
      <c r="N1454" t="e">
        <v>#N/A</v>
      </c>
    </row>
    <row r="1455" spans="1:14" ht="15" customHeight="1" x14ac:dyDescent="0.3">
      <c r="A1455" s="3">
        <v>1209659586</v>
      </c>
      <c r="B1455" s="3" t="s">
        <v>1555</v>
      </c>
      <c r="C1455" s="3" t="s">
        <v>1556</v>
      </c>
      <c r="D1455" s="4">
        <v>46307.444895833301</v>
      </c>
      <c r="E1455" s="5" t="s">
        <v>10</v>
      </c>
      <c r="F1455" s="5" t="s">
        <v>11</v>
      </c>
      <c r="G1455" s="5">
        <v>1</v>
      </c>
      <c r="H1455" s="6" t="s">
        <v>12</v>
      </c>
      <c r="I1455" t="s">
        <v>1646</v>
      </c>
      <c r="J1455" t="s">
        <v>2480</v>
      </c>
      <c r="K1455" t="str">
        <f>+VLOOKUP(C1455,'[1]TIENDAS 2025'!$A$1:$C$143,3,0)</f>
        <v>local</v>
      </c>
      <c r="L1455" t="str">
        <f>+VLOOKUP(C1455,[2]Hoja1!$A$1:$B$138,2,0)</f>
        <v>APROBAR</v>
      </c>
      <c r="M1455">
        <v>1</v>
      </c>
      <c r="N1455" t="e">
        <v>#N/A</v>
      </c>
    </row>
    <row r="1456" spans="1:14" ht="15" customHeight="1" x14ac:dyDescent="0.3">
      <c r="A1456" s="3">
        <v>8209659515</v>
      </c>
      <c r="B1456" s="3" t="s">
        <v>1548</v>
      </c>
      <c r="C1456" s="3" t="s">
        <v>1549</v>
      </c>
      <c r="D1456" s="4">
        <v>46307.4449074074</v>
      </c>
      <c r="E1456" s="5" t="s">
        <v>10</v>
      </c>
      <c r="F1456" s="5" t="s">
        <v>16</v>
      </c>
      <c r="G1456" s="5">
        <v>1</v>
      </c>
      <c r="H1456" s="8" t="s">
        <v>12</v>
      </c>
      <c r="I1456" t="s">
        <v>1647</v>
      </c>
      <c r="K1456" t="str">
        <f>+VLOOKUP(C1456,'[1]TIENDAS 2025'!$A$1:$C$143,3,0)</f>
        <v>prioridad</v>
      </c>
      <c r="L1456" t="str">
        <f>+VLOOKUP(C1456,[2]Hoja1!$A$1:$B$138,2,0)</f>
        <v>APROBAR</v>
      </c>
      <c r="M1456">
        <v>1</v>
      </c>
      <c r="N1456" t="e">
        <v>#N/A</v>
      </c>
    </row>
    <row r="1457" spans="1:14" ht="15" customHeight="1" x14ac:dyDescent="0.3">
      <c r="A1457" s="3">
        <v>1209659670</v>
      </c>
      <c r="B1457" s="3" t="s">
        <v>1565</v>
      </c>
      <c r="C1457" s="3" t="s">
        <v>1566</v>
      </c>
      <c r="D1457" s="4">
        <v>46307.444918981499</v>
      </c>
      <c r="E1457" s="5" t="s">
        <v>10</v>
      </c>
      <c r="F1457" s="5" t="s">
        <v>17</v>
      </c>
      <c r="G1457" s="5">
        <v>24</v>
      </c>
      <c r="H1457" s="6" t="s">
        <v>12</v>
      </c>
      <c r="I1457" t="s">
        <v>1648</v>
      </c>
      <c r="J1457" t="s">
        <v>2480</v>
      </c>
      <c r="K1457" t="str">
        <f>+VLOOKUP(C1457,'[1]TIENDAS 2025'!$A$1:$C$143,3,0)</f>
        <v>departamental</v>
      </c>
      <c r="L1457" t="str">
        <f>+VLOOKUP(C1457,[2]Hoja1!$A$1:$B$138,2,0)</f>
        <v>APROBAR</v>
      </c>
      <c r="M1457">
        <v>1</v>
      </c>
      <c r="N1457" t="e">
        <v>#N/A</v>
      </c>
    </row>
    <row r="1458" spans="1:14" ht="15" customHeight="1" x14ac:dyDescent="0.3">
      <c r="A1458" s="3">
        <v>1209659658</v>
      </c>
      <c r="B1458" s="3" t="s">
        <v>1565</v>
      </c>
      <c r="C1458" s="3" t="s">
        <v>1566</v>
      </c>
      <c r="D1458" s="4">
        <v>46307.444930555597</v>
      </c>
      <c r="E1458" s="5" t="s">
        <v>10</v>
      </c>
      <c r="F1458" s="5" t="s">
        <v>17</v>
      </c>
      <c r="G1458" s="5">
        <v>20</v>
      </c>
      <c r="H1458" s="6" t="s">
        <v>12</v>
      </c>
      <c r="I1458" t="s">
        <v>1649</v>
      </c>
      <c r="J1458" t="s">
        <v>2480</v>
      </c>
      <c r="K1458" t="str">
        <f>+VLOOKUP(C1458,'[1]TIENDAS 2025'!$A$1:$C$143,3,0)</f>
        <v>departamental</v>
      </c>
      <c r="L1458" t="str">
        <f>+VLOOKUP(C1458,[2]Hoja1!$A$1:$B$138,2,0)</f>
        <v>APROBAR</v>
      </c>
      <c r="M1458">
        <v>1</v>
      </c>
      <c r="N1458" t="e">
        <v>#N/A</v>
      </c>
    </row>
    <row r="1459" spans="1:14" ht="15" customHeight="1" x14ac:dyDescent="0.3">
      <c r="A1459" s="3">
        <v>8209659652</v>
      </c>
      <c r="B1459" s="3" t="s">
        <v>1565</v>
      </c>
      <c r="C1459" s="3" t="s">
        <v>1566</v>
      </c>
      <c r="D1459" s="4">
        <v>46307.444942129601</v>
      </c>
      <c r="E1459" s="5" t="s">
        <v>10</v>
      </c>
      <c r="F1459" s="5" t="s">
        <v>16</v>
      </c>
      <c r="G1459" s="5">
        <v>6</v>
      </c>
      <c r="H1459" s="8" t="s">
        <v>12</v>
      </c>
      <c r="I1459" t="s">
        <v>1650</v>
      </c>
      <c r="K1459" t="str">
        <f>+VLOOKUP(C1459,'[1]TIENDAS 2025'!$A$1:$C$143,3,0)</f>
        <v>departamental</v>
      </c>
      <c r="L1459" t="str">
        <f>+VLOOKUP(C1459,[2]Hoja1!$A$1:$B$138,2,0)</f>
        <v>APROBAR</v>
      </c>
      <c r="M1459">
        <v>1</v>
      </c>
      <c r="N1459" t="e">
        <v>#N/A</v>
      </c>
    </row>
    <row r="1460" spans="1:14" ht="15" customHeight="1" x14ac:dyDescent="0.3">
      <c r="A1460" s="3">
        <v>8209659582</v>
      </c>
      <c r="B1460" s="3" t="s">
        <v>1555</v>
      </c>
      <c r="C1460" s="3" t="s">
        <v>1556</v>
      </c>
      <c r="D1460" s="4">
        <v>46307.4449537037</v>
      </c>
      <c r="E1460" s="5" t="s">
        <v>10</v>
      </c>
      <c r="F1460" s="5" t="s">
        <v>16</v>
      </c>
      <c r="G1460" s="5">
        <v>7</v>
      </c>
      <c r="H1460" s="8" t="s">
        <v>12</v>
      </c>
      <c r="I1460" t="s">
        <v>1651</v>
      </c>
      <c r="K1460" t="str">
        <f>+VLOOKUP(C1460,'[1]TIENDAS 2025'!$A$1:$C$143,3,0)</f>
        <v>local</v>
      </c>
      <c r="L1460" t="str">
        <f>+VLOOKUP(C1460,[2]Hoja1!$A$1:$B$138,2,0)</f>
        <v>APROBAR</v>
      </c>
      <c r="M1460">
        <v>1</v>
      </c>
      <c r="N1460" t="e">
        <v>#N/A</v>
      </c>
    </row>
    <row r="1461" spans="1:14" ht="15" customHeight="1" x14ac:dyDescent="0.3">
      <c r="A1461" s="3">
        <v>8209659583</v>
      </c>
      <c r="B1461" s="3" t="s">
        <v>1555</v>
      </c>
      <c r="C1461" s="3" t="s">
        <v>1556</v>
      </c>
      <c r="D1461" s="4">
        <v>46307.444965277798</v>
      </c>
      <c r="E1461" s="5" t="s">
        <v>10</v>
      </c>
      <c r="F1461" s="5" t="s">
        <v>16</v>
      </c>
      <c r="G1461" s="5">
        <v>2</v>
      </c>
      <c r="H1461" s="8" t="s">
        <v>12</v>
      </c>
      <c r="I1461" t="s">
        <v>1652</v>
      </c>
      <c r="K1461" t="str">
        <f>+VLOOKUP(C1461,'[1]TIENDAS 2025'!$A$1:$C$143,3,0)</f>
        <v>local</v>
      </c>
      <c r="L1461" t="str">
        <f>+VLOOKUP(C1461,[2]Hoja1!$A$1:$B$138,2,0)</f>
        <v>APROBAR</v>
      </c>
      <c r="M1461">
        <v>1</v>
      </c>
      <c r="N1461" t="e">
        <v>#N/A</v>
      </c>
    </row>
    <row r="1462" spans="1:14" ht="15" customHeight="1" x14ac:dyDescent="0.3">
      <c r="A1462" s="3">
        <v>1209659513</v>
      </c>
      <c r="B1462" s="3" t="s">
        <v>1548</v>
      </c>
      <c r="C1462" s="3" t="s">
        <v>1549</v>
      </c>
      <c r="D1462" s="4">
        <v>46307.444976851897</v>
      </c>
      <c r="E1462" s="5" t="s">
        <v>10</v>
      </c>
      <c r="F1462" s="5" t="s">
        <v>17</v>
      </c>
      <c r="G1462" s="5">
        <v>55</v>
      </c>
      <c r="H1462" s="6" t="s">
        <v>12</v>
      </c>
      <c r="I1462" t="s">
        <v>1653</v>
      </c>
      <c r="J1462" t="s">
        <v>2480</v>
      </c>
      <c r="K1462" t="str">
        <f>+VLOOKUP(C1462,'[1]TIENDAS 2025'!$A$1:$C$143,3,0)</f>
        <v>prioridad</v>
      </c>
      <c r="L1462" t="str">
        <f>+VLOOKUP(C1462,[2]Hoja1!$A$1:$B$138,2,0)</f>
        <v>APROBAR</v>
      </c>
      <c r="M1462">
        <v>1</v>
      </c>
      <c r="N1462" t="e">
        <v>#N/A</v>
      </c>
    </row>
    <row r="1463" spans="1:14" ht="15" customHeight="1" x14ac:dyDescent="0.3">
      <c r="A1463" s="3">
        <v>1209659539</v>
      </c>
      <c r="B1463" s="3" t="s">
        <v>1571</v>
      </c>
      <c r="C1463" s="3" t="s">
        <v>1572</v>
      </c>
      <c r="D1463" s="4">
        <v>46307.445</v>
      </c>
      <c r="E1463" s="5" t="s">
        <v>10</v>
      </c>
      <c r="F1463" s="5" t="s">
        <v>11</v>
      </c>
      <c r="G1463" s="5">
        <v>1</v>
      </c>
      <c r="H1463" s="6" t="s">
        <v>12</v>
      </c>
      <c r="I1463" t="s">
        <v>1654</v>
      </c>
      <c r="J1463" t="s">
        <v>2480</v>
      </c>
      <c r="K1463" t="str">
        <f>+VLOOKUP(C1463,'[1]TIENDAS 2025'!$A$1:$C$143,3,0)</f>
        <v>local</v>
      </c>
      <c r="L1463" t="str">
        <f>+VLOOKUP(C1463,[2]Hoja1!$A$1:$B$138,2,0)</f>
        <v>APROBAR</v>
      </c>
      <c r="M1463">
        <v>1</v>
      </c>
      <c r="N1463" t="e">
        <v>#N/A</v>
      </c>
    </row>
    <row r="1464" spans="1:14" ht="15" customHeight="1" x14ac:dyDescent="0.3">
      <c r="A1464" s="3">
        <v>1209659627</v>
      </c>
      <c r="B1464" s="3" t="s">
        <v>1552</v>
      </c>
      <c r="C1464" s="3" t="s">
        <v>1553</v>
      </c>
      <c r="D1464" s="4">
        <v>46307.445011574098</v>
      </c>
      <c r="E1464" s="5" t="s">
        <v>10</v>
      </c>
      <c r="F1464" s="5" t="s">
        <v>11</v>
      </c>
      <c r="G1464" s="5">
        <v>4</v>
      </c>
      <c r="H1464" s="6" t="s">
        <v>12</v>
      </c>
      <c r="I1464" t="s">
        <v>1655</v>
      </c>
      <c r="J1464" t="s">
        <v>2480</v>
      </c>
      <c r="K1464" t="str">
        <f>+VLOOKUP(C1464,'[1]TIENDAS 2025'!$A$1:$C$143,3,0)</f>
        <v>local</v>
      </c>
      <c r="L1464" t="str">
        <f>+VLOOKUP(C1464,[2]Hoja1!$A$1:$B$138,2,0)</f>
        <v>APROBAR</v>
      </c>
      <c r="M1464">
        <v>1</v>
      </c>
      <c r="N1464" t="e">
        <v>#N/A</v>
      </c>
    </row>
    <row r="1465" spans="1:14" ht="15" customHeight="1" x14ac:dyDescent="0.3">
      <c r="A1465" s="3">
        <v>8209659617</v>
      </c>
      <c r="B1465" s="3" t="s">
        <v>1552</v>
      </c>
      <c r="C1465" s="3" t="s">
        <v>1553</v>
      </c>
      <c r="D1465" s="4">
        <v>46307.445034722201</v>
      </c>
      <c r="E1465" s="5" t="s">
        <v>10</v>
      </c>
      <c r="F1465" s="5" t="s">
        <v>16</v>
      </c>
      <c r="G1465" s="5">
        <v>1</v>
      </c>
      <c r="H1465" s="8" t="s">
        <v>12</v>
      </c>
      <c r="I1465" t="s">
        <v>1656</v>
      </c>
      <c r="K1465" t="str">
        <f>+VLOOKUP(C1465,'[1]TIENDAS 2025'!$A$1:$C$143,3,0)</f>
        <v>local</v>
      </c>
      <c r="L1465" t="str">
        <f>+VLOOKUP(C1465,[2]Hoja1!$A$1:$B$138,2,0)</f>
        <v>APROBAR</v>
      </c>
      <c r="M1465">
        <v>1</v>
      </c>
      <c r="N1465" t="e">
        <v>#N/A</v>
      </c>
    </row>
    <row r="1466" spans="1:14" ht="15" customHeight="1" x14ac:dyDescent="0.3">
      <c r="A1466" s="3">
        <v>1209659514</v>
      </c>
      <c r="B1466" s="3" t="s">
        <v>1548</v>
      </c>
      <c r="C1466" s="3" t="s">
        <v>1549</v>
      </c>
      <c r="D1466" s="4">
        <v>46307.445034722201</v>
      </c>
      <c r="E1466" s="5" t="s">
        <v>10</v>
      </c>
      <c r="F1466" s="5" t="s">
        <v>11</v>
      </c>
      <c r="G1466" s="5">
        <v>49</v>
      </c>
      <c r="H1466" s="6" t="s">
        <v>12</v>
      </c>
      <c r="I1466" t="s">
        <v>1657</v>
      </c>
      <c r="J1466" t="s">
        <v>2480</v>
      </c>
      <c r="K1466" t="str">
        <f>+VLOOKUP(C1466,'[1]TIENDAS 2025'!$A$1:$C$143,3,0)</f>
        <v>prioridad</v>
      </c>
      <c r="L1466" t="str">
        <f>+VLOOKUP(C1466,[2]Hoja1!$A$1:$B$138,2,0)</f>
        <v>APROBAR</v>
      </c>
      <c r="M1466">
        <v>1</v>
      </c>
      <c r="N1466" t="e">
        <v>#N/A</v>
      </c>
    </row>
    <row r="1467" spans="1:14" ht="15" customHeight="1" x14ac:dyDescent="0.3">
      <c r="A1467" s="3">
        <v>8209659629</v>
      </c>
      <c r="B1467" s="3" t="s">
        <v>1552</v>
      </c>
      <c r="C1467" s="3" t="s">
        <v>1553</v>
      </c>
      <c r="D1467" s="4">
        <v>46307.4450462963</v>
      </c>
      <c r="E1467" s="5" t="s">
        <v>10</v>
      </c>
      <c r="F1467" s="5" t="s">
        <v>16</v>
      </c>
      <c r="G1467" s="5">
        <v>6</v>
      </c>
      <c r="H1467" s="8" t="s">
        <v>12</v>
      </c>
      <c r="I1467" t="s">
        <v>1658</v>
      </c>
      <c r="K1467" t="str">
        <f>+VLOOKUP(C1467,'[1]TIENDAS 2025'!$A$1:$C$143,3,0)</f>
        <v>local</v>
      </c>
      <c r="L1467" t="str">
        <f>+VLOOKUP(C1467,[2]Hoja1!$A$1:$B$138,2,0)</f>
        <v>APROBAR</v>
      </c>
      <c r="M1467">
        <v>1</v>
      </c>
      <c r="N1467" t="e">
        <v>#N/A</v>
      </c>
    </row>
    <row r="1468" spans="1:14" ht="15" customHeight="1" x14ac:dyDescent="0.3">
      <c r="A1468" s="3">
        <v>1209659620</v>
      </c>
      <c r="B1468" s="3" t="s">
        <v>1552</v>
      </c>
      <c r="C1468" s="3" t="s">
        <v>1553</v>
      </c>
      <c r="D1468" s="4">
        <v>46307.445069444402</v>
      </c>
      <c r="E1468" s="5" t="s">
        <v>10</v>
      </c>
      <c r="F1468" s="5" t="s">
        <v>17</v>
      </c>
      <c r="G1468" s="5">
        <v>27</v>
      </c>
      <c r="H1468" s="6" t="s">
        <v>12</v>
      </c>
      <c r="I1468" t="s">
        <v>1659</v>
      </c>
      <c r="J1468" t="s">
        <v>2480</v>
      </c>
      <c r="K1468" t="str">
        <f>+VLOOKUP(C1468,'[1]TIENDAS 2025'!$A$1:$C$143,3,0)</f>
        <v>local</v>
      </c>
      <c r="L1468" t="str">
        <f>+VLOOKUP(C1468,[2]Hoja1!$A$1:$B$138,2,0)</f>
        <v>APROBAR</v>
      </c>
      <c r="M1468">
        <v>1</v>
      </c>
      <c r="N1468" t="e">
        <v>#N/A</v>
      </c>
    </row>
    <row r="1469" spans="1:14" ht="15" customHeight="1" x14ac:dyDescent="0.3">
      <c r="A1469" s="3">
        <v>8209659504</v>
      </c>
      <c r="B1469" s="3" t="s">
        <v>1548</v>
      </c>
      <c r="C1469" s="3" t="s">
        <v>1549</v>
      </c>
      <c r="D1469" s="4">
        <v>46307.445081018501</v>
      </c>
      <c r="E1469" s="5" t="s">
        <v>10</v>
      </c>
      <c r="F1469" s="5" t="s">
        <v>16</v>
      </c>
      <c r="G1469" s="5">
        <v>1</v>
      </c>
      <c r="H1469" s="8" t="s">
        <v>12</v>
      </c>
      <c r="I1469" t="s">
        <v>1660</v>
      </c>
      <c r="K1469" t="str">
        <f>+VLOOKUP(C1469,'[1]TIENDAS 2025'!$A$1:$C$143,3,0)</f>
        <v>prioridad</v>
      </c>
      <c r="L1469" t="str">
        <f>+VLOOKUP(C1469,[2]Hoja1!$A$1:$B$138,2,0)</f>
        <v>APROBAR</v>
      </c>
      <c r="M1469">
        <v>1</v>
      </c>
      <c r="N1469" t="e">
        <v>#N/A</v>
      </c>
    </row>
    <row r="1470" spans="1:14" ht="15" customHeight="1" x14ac:dyDescent="0.3">
      <c r="A1470" s="3">
        <v>1209659732</v>
      </c>
      <c r="B1470" s="3" t="s">
        <v>1662</v>
      </c>
      <c r="C1470" s="3" t="s">
        <v>1663</v>
      </c>
      <c r="D1470" s="4">
        <v>46307.447118055599</v>
      </c>
      <c r="E1470" s="5" t="s">
        <v>10</v>
      </c>
      <c r="F1470" s="5" t="s">
        <v>16</v>
      </c>
      <c r="G1470" s="5">
        <v>15</v>
      </c>
      <c r="H1470" s="6" t="s">
        <v>12</v>
      </c>
      <c r="I1470" t="s">
        <v>1661</v>
      </c>
      <c r="J1470" t="s">
        <v>2480</v>
      </c>
      <c r="K1470" t="str">
        <f>+VLOOKUP(C1470,'[1]TIENDAS 2025'!$A$1:$C$143,3,0)</f>
        <v>nocturna</v>
      </c>
      <c r="L1470" t="str">
        <f>+VLOOKUP(C1470,[2]Hoja1!$A$1:$B$138,2,0)</f>
        <v>APROBAR</v>
      </c>
      <c r="M1470">
        <v>1</v>
      </c>
      <c r="N1470" t="e">
        <v>#N/A</v>
      </c>
    </row>
    <row r="1471" spans="1:14" ht="15" customHeight="1" x14ac:dyDescent="0.3">
      <c r="A1471" s="3">
        <v>8209659749</v>
      </c>
      <c r="B1471" s="3" t="s">
        <v>1665</v>
      </c>
      <c r="C1471" s="3" t="s">
        <v>1666</v>
      </c>
      <c r="D1471" s="4">
        <v>46307.447141203702</v>
      </c>
      <c r="E1471" s="5" t="s">
        <v>10</v>
      </c>
      <c r="F1471" s="5" t="s">
        <v>16</v>
      </c>
      <c r="G1471" s="5">
        <v>2</v>
      </c>
      <c r="H1471" s="8" t="s">
        <v>12</v>
      </c>
      <c r="I1471" t="s">
        <v>1664</v>
      </c>
      <c r="K1471" t="str">
        <f>+VLOOKUP(C1471,'[1]TIENDAS 2025'!$A$1:$C$143,3,0)</f>
        <v>local</v>
      </c>
      <c r="L1471" t="str">
        <f>+VLOOKUP(C1471,[2]Hoja1!$A$1:$B$138,2,0)</f>
        <v>APROBAR</v>
      </c>
      <c r="M1471">
        <v>1</v>
      </c>
      <c r="N1471" t="e">
        <v>#N/A</v>
      </c>
    </row>
    <row r="1472" spans="1:14" ht="15" customHeight="1" x14ac:dyDescent="0.3">
      <c r="A1472" s="3">
        <v>8209659718</v>
      </c>
      <c r="B1472" s="3" t="s">
        <v>1662</v>
      </c>
      <c r="C1472" s="3" t="s">
        <v>1663</v>
      </c>
      <c r="D1472" s="4">
        <v>46307.447152777801</v>
      </c>
      <c r="E1472" s="5" t="s">
        <v>10</v>
      </c>
      <c r="F1472" s="5" t="s">
        <v>16</v>
      </c>
      <c r="G1472" s="5">
        <v>2</v>
      </c>
      <c r="H1472" s="8" t="s">
        <v>12</v>
      </c>
      <c r="I1472" t="s">
        <v>1667</v>
      </c>
      <c r="K1472" t="str">
        <f>+VLOOKUP(C1472,'[1]TIENDAS 2025'!$A$1:$C$143,3,0)</f>
        <v>nocturna</v>
      </c>
      <c r="L1472" t="str">
        <f>+VLOOKUP(C1472,[2]Hoja1!$A$1:$B$138,2,0)</f>
        <v>APROBAR</v>
      </c>
      <c r="M1472">
        <v>1</v>
      </c>
      <c r="N1472" t="e">
        <v>#N/A</v>
      </c>
    </row>
    <row r="1473" spans="1:14" ht="15" customHeight="1" x14ac:dyDescent="0.3">
      <c r="A1473" s="3">
        <v>1209659752</v>
      </c>
      <c r="B1473" s="3" t="s">
        <v>1665</v>
      </c>
      <c r="C1473" s="3" t="s">
        <v>1666</v>
      </c>
      <c r="D1473" s="4">
        <v>46307.447164351899</v>
      </c>
      <c r="E1473" s="5" t="s">
        <v>10</v>
      </c>
      <c r="F1473" s="5" t="s">
        <v>11</v>
      </c>
      <c r="G1473" s="5">
        <v>4</v>
      </c>
      <c r="H1473" s="6" t="s">
        <v>12</v>
      </c>
      <c r="I1473" t="s">
        <v>1668</v>
      </c>
      <c r="J1473" t="s">
        <v>2480</v>
      </c>
      <c r="K1473" t="str">
        <f>+VLOOKUP(C1473,'[1]TIENDAS 2025'!$A$1:$C$143,3,0)</f>
        <v>local</v>
      </c>
      <c r="L1473" t="str">
        <f>+VLOOKUP(C1473,[2]Hoja1!$A$1:$B$138,2,0)</f>
        <v>APROBAR</v>
      </c>
      <c r="M1473">
        <v>1</v>
      </c>
      <c r="N1473" t="e">
        <v>#N/A</v>
      </c>
    </row>
    <row r="1474" spans="1:14" ht="15" customHeight="1" x14ac:dyDescent="0.3">
      <c r="A1474" s="3">
        <v>8209659681</v>
      </c>
      <c r="B1474" s="3" t="s">
        <v>1670</v>
      </c>
      <c r="C1474" s="3" t="s">
        <v>1671</v>
      </c>
      <c r="D1474" s="4">
        <v>46307.447175925903</v>
      </c>
      <c r="E1474" s="5" t="s">
        <v>10</v>
      </c>
      <c r="F1474" s="5" t="s">
        <v>16</v>
      </c>
      <c r="G1474" s="5">
        <v>9</v>
      </c>
      <c r="H1474" s="8" t="s">
        <v>12</v>
      </c>
      <c r="I1474" t="s">
        <v>1669</v>
      </c>
      <c r="K1474" t="str">
        <f>+VLOOKUP(C1474,'[1]TIENDAS 2025'!$A$1:$C$143,3,0)</f>
        <v>departamental</v>
      </c>
      <c r="L1474" t="str">
        <f>+VLOOKUP(C1474,[2]Hoja1!$A$1:$B$138,2,0)</f>
        <v>APROBAR</v>
      </c>
      <c r="M1474">
        <v>1</v>
      </c>
      <c r="N1474" t="e">
        <v>#N/A</v>
      </c>
    </row>
    <row r="1475" spans="1:14" ht="15" customHeight="1" x14ac:dyDescent="0.3">
      <c r="A1475" s="3">
        <v>1209659755</v>
      </c>
      <c r="B1475" s="3" t="s">
        <v>1665</v>
      </c>
      <c r="C1475" s="3" t="s">
        <v>1666</v>
      </c>
      <c r="D1475" s="4">
        <v>46307.447187500002</v>
      </c>
      <c r="E1475" s="5" t="s">
        <v>10</v>
      </c>
      <c r="F1475" s="5" t="s">
        <v>11</v>
      </c>
      <c r="G1475" s="5">
        <v>13</v>
      </c>
      <c r="H1475" s="6" t="s">
        <v>12</v>
      </c>
      <c r="I1475" t="s">
        <v>1672</v>
      </c>
      <c r="J1475" t="s">
        <v>2480</v>
      </c>
      <c r="K1475" t="str">
        <f>+VLOOKUP(C1475,'[1]TIENDAS 2025'!$A$1:$C$143,3,0)</f>
        <v>local</v>
      </c>
      <c r="L1475" t="str">
        <f>+VLOOKUP(C1475,[2]Hoja1!$A$1:$B$138,2,0)</f>
        <v>APROBAR</v>
      </c>
      <c r="M1475">
        <v>1</v>
      </c>
      <c r="N1475" t="e">
        <v>#N/A</v>
      </c>
    </row>
    <row r="1476" spans="1:14" ht="15" customHeight="1" x14ac:dyDescent="0.3">
      <c r="A1476" s="3">
        <v>1209659771</v>
      </c>
      <c r="B1476" s="3" t="s">
        <v>1665</v>
      </c>
      <c r="C1476" s="3" t="s">
        <v>1666</v>
      </c>
      <c r="D1476" s="4">
        <v>46307.447210648097</v>
      </c>
      <c r="E1476" s="5" t="s">
        <v>10</v>
      </c>
      <c r="F1476" s="5" t="s">
        <v>11</v>
      </c>
      <c r="G1476" s="5">
        <v>1</v>
      </c>
      <c r="H1476" s="6" t="s">
        <v>12</v>
      </c>
      <c r="I1476" t="s">
        <v>1673</v>
      </c>
      <c r="J1476" t="s">
        <v>2480</v>
      </c>
      <c r="K1476" t="str">
        <f>+VLOOKUP(C1476,'[1]TIENDAS 2025'!$A$1:$C$143,3,0)</f>
        <v>local</v>
      </c>
      <c r="L1476" t="str">
        <f>+VLOOKUP(C1476,[2]Hoja1!$A$1:$B$138,2,0)</f>
        <v>APROBAR</v>
      </c>
      <c r="M1476">
        <v>1</v>
      </c>
      <c r="N1476" t="e">
        <v>#N/A</v>
      </c>
    </row>
    <row r="1477" spans="1:14" ht="15" customHeight="1" x14ac:dyDescent="0.3">
      <c r="A1477" s="3">
        <v>8209659731</v>
      </c>
      <c r="B1477" s="3" t="s">
        <v>1662</v>
      </c>
      <c r="C1477" s="3" t="s">
        <v>1663</v>
      </c>
      <c r="D1477" s="4">
        <v>46307.447222222203</v>
      </c>
      <c r="E1477" s="5" t="s">
        <v>10</v>
      </c>
      <c r="F1477" s="5" t="s">
        <v>16</v>
      </c>
      <c r="G1477" s="5">
        <v>4</v>
      </c>
      <c r="H1477" s="8" t="s">
        <v>12</v>
      </c>
      <c r="I1477" t="s">
        <v>1674</v>
      </c>
      <c r="K1477" t="str">
        <f>+VLOOKUP(C1477,'[1]TIENDAS 2025'!$A$1:$C$143,3,0)</f>
        <v>nocturna</v>
      </c>
      <c r="L1477" t="str">
        <f>+VLOOKUP(C1477,[2]Hoja1!$A$1:$B$138,2,0)</f>
        <v>APROBAR</v>
      </c>
      <c r="M1477">
        <v>1</v>
      </c>
      <c r="N1477" t="e">
        <v>#N/A</v>
      </c>
    </row>
    <row r="1478" spans="1:14" ht="15" customHeight="1" x14ac:dyDescent="0.3">
      <c r="A1478" s="3">
        <v>8209659793</v>
      </c>
      <c r="B1478" s="3" t="s">
        <v>1676</v>
      </c>
      <c r="C1478" s="3" t="s">
        <v>1677</v>
      </c>
      <c r="D1478" s="4">
        <v>46307.447233796302</v>
      </c>
      <c r="E1478" s="5" t="s">
        <v>10</v>
      </c>
      <c r="F1478" s="5" t="s">
        <v>16</v>
      </c>
      <c r="G1478" s="5">
        <v>1</v>
      </c>
      <c r="H1478" s="8" t="s">
        <v>12</v>
      </c>
      <c r="I1478" t="s">
        <v>1675</v>
      </c>
      <c r="K1478" t="str">
        <f>+VLOOKUP(C1478,'[1]TIENDAS 2025'!$A$1:$C$143,3,0)</f>
        <v>departamental</v>
      </c>
      <c r="L1478" t="str">
        <f>+VLOOKUP(C1478,[2]Hoja1!$A$1:$B$138,2,0)</f>
        <v>APROBAR</v>
      </c>
      <c r="M1478">
        <v>1</v>
      </c>
      <c r="N1478" t="e">
        <v>#N/A</v>
      </c>
    </row>
    <row r="1479" spans="1:14" ht="15" customHeight="1" x14ac:dyDescent="0.3">
      <c r="A1479" s="3">
        <v>8209659803</v>
      </c>
      <c r="B1479" s="3" t="s">
        <v>1679</v>
      </c>
      <c r="C1479" s="3" t="s">
        <v>1680</v>
      </c>
      <c r="D1479" s="4">
        <v>46307.4472453704</v>
      </c>
      <c r="E1479" s="5" t="s">
        <v>10</v>
      </c>
      <c r="F1479" s="5" t="s">
        <v>16</v>
      </c>
      <c r="G1479" s="5">
        <v>2</v>
      </c>
      <c r="H1479" s="8" t="s">
        <v>12</v>
      </c>
      <c r="I1479" t="s">
        <v>1678</v>
      </c>
      <c r="K1479" t="str">
        <f>+VLOOKUP(C1479,'[1]TIENDAS 2025'!$A$1:$C$143,3,0)</f>
        <v>nocturna</v>
      </c>
      <c r="L1479" t="str">
        <f>+VLOOKUP(C1479,[2]Hoja1!$A$1:$B$138,2,0)</f>
        <v>APROBAR</v>
      </c>
      <c r="M1479">
        <v>1</v>
      </c>
      <c r="N1479" t="e">
        <v>#N/A</v>
      </c>
    </row>
    <row r="1480" spans="1:14" ht="15" customHeight="1" x14ac:dyDescent="0.3">
      <c r="A1480" s="3">
        <v>8209659807</v>
      </c>
      <c r="B1480" s="3" t="s">
        <v>1679</v>
      </c>
      <c r="C1480" s="3" t="s">
        <v>1680</v>
      </c>
      <c r="D1480" s="4">
        <v>46307.447256944397</v>
      </c>
      <c r="E1480" s="5" t="s">
        <v>10</v>
      </c>
      <c r="F1480" s="5" t="s">
        <v>16</v>
      </c>
      <c r="G1480" s="5">
        <v>4</v>
      </c>
      <c r="H1480" s="8" t="s">
        <v>12</v>
      </c>
      <c r="I1480" t="s">
        <v>1681</v>
      </c>
      <c r="K1480" t="str">
        <f>+VLOOKUP(C1480,'[1]TIENDAS 2025'!$A$1:$C$143,3,0)</f>
        <v>nocturna</v>
      </c>
      <c r="L1480" t="str">
        <f>+VLOOKUP(C1480,[2]Hoja1!$A$1:$B$138,2,0)</f>
        <v>APROBAR</v>
      </c>
      <c r="M1480">
        <v>1</v>
      </c>
      <c r="N1480" t="e">
        <v>#N/A</v>
      </c>
    </row>
    <row r="1481" spans="1:14" ht="15" customHeight="1" x14ac:dyDescent="0.3">
      <c r="A1481" s="3">
        <v>1209659808</v>
      </c>
      <c r="B1481" s="3" t="s">
        <v>1679</v>
      </c>
      <c r="C1481" s="3" t="s">
        <v>1680</v>
      </c>
      <c r="D1481" s="4">
        <v>46307.447280092601</v>
      </c>
      <c r="E1481" s="5" t="s">
        <v>10</v>
      </c>
      <c r="F1481" s="5" t="s">
        <v>17</v>
      </c>
      <c r="G1481" s="5">
        <v>6</v>
      </c>
      <c r="H1481" s="6" t="s">
        <v>12</v>
      </c>
      <c r="I1481" t="s">
        <v>1682</v>
      </c>
      <c r="J1481" t="s">
        <v>2480</v>
      </c>
      <c r="K1481" t="str">
        <f>+VLOOKUP(C1481,'[1]TIENDAS 2025'!$A$1:$C$143,3,0)</f>
        <v>nocturna</v>
      </c>
      <c r="L1481" t="str">
        <f>+VLOOKUP(C1481,[2]Hoja1!$A$1:$B$138,2,0)</f>
        <v>APROBAR</v>
      </c>
      <c r="M1481">
        <v>1</v>
      </c>
      <c r="N1481" t="e">
        <v>#N/A</v>
      </c>
    </row>
    <row r="1482" spans="1:14" ht="15" customHeight="1" x14ac:dyDescent="0.3">
      <c r="A1482" s="3">
        <v>1209659810</v>
      </c>
      <c r="B1482" s="3" t="s">
        <v>1679</v>
      </c>
      <c r="C1482" s="3" t="s">
        <v>1680</v>
      </c>
      <c r="D1482" s="4">
        <v>46307.4472916667</v>
      </c>
      <c r="E1482" s="5" t="s">
        <v>10</v>
      </c>
      <c r="F1482" s="5" t="s">
        <v>17</v>
      </c>
      <c r="G1482" s="5">
        <v>4</v>
      </c>
      <c r="H1482" s="6" t="s">
        <v>12</v>
      </c>
      <c r="I1482" t="s">
        <v>1683</v>
      </c>
      <c r="J1482" t="s">
        <v>2480</v>
      </c>
      <c r="K1482" t="str">
        <f>+VLOOKUP(C1482,'[1]TIENDAS 2025'!$A$1:$C$143,3,0)</f>
        <v>nocturna</v>
      </c>
      <c r="L1482" t="str">
        <f>+VLOOKUP(C1482,[2]Hoja1!$A$1:$B$138,2,0)</f>
        <v>APROBAR</v>
      </c>
      <c r="M1482">
        <v>1</v>
      </c>
      <c r="N1482" t="e">
        <v>#N/A</v>
      </c>
    </row>
    <row r="1483" spans="1:14" ht="15" customHeight="1" x14ac:dyDescent="0.3">
      <c r="A1483" s="3">
        <v>8209659695</v>
      </c>
      <c r="B1483" s="3" t="s">
        <v>1670</v>
      </c>
      <c r="C1483" s="3" t="s">
        <v>1671</v>
      </c>
      <c r="D1483" s="4">
        <v>46307.447303240697</v>
      </c>
      <c r="E1483" s="5" t="s">
        <v>10</v>
      </c>
      <c r="F1483" s="5" t="s">
        <v>16</v>
      </c>
      <c r="G1483" s="5">
        <v>1</v>
      </c>
      <c r="H1483" s="8" t="s">
        <v>12</v>
      </c>
      <c r="I1483" t="s">
        <v>1684</v>
      </c>
      <c r="K1483" t="str">
        <f>+VLOOKUP(C1483,'[1]TIENDAS 2025'!$A$1:$C$143,3,0)</f>
        <v>departamental</v>
      </c>
      <c r="L1483" t="str">
        <f>+VLOOKUP(C1483,[2]Hoja1!$A$1:$B$138,2,0)</f>
        <v>APROBAR</v>
      </c>
      <c r="M1483">
        <v>1</v>
      </c>
      <c r="N1483" t="e">
        <v>#N/A</v>
      </c>
    </row>
    <row r="1484" spans="1:14" ht="15" customHeight="1" x14ac:dyDescent="0.3">
      <c r="A1484" s="3">
        <v>8209659716</v>
      </c>
      <c r="B1484" s="3" t="s">
        <v>1662</v>
      </c>
      <c r="C1484" s="3" t="s">
        <v>1663</v>
      </c>
      <c r="D1484" s="4">
        <v>46307.447314814803</v>
      </c>
      <c r="E1484" s="5" t="s">
        <v>10</v>
      </c>
      <c r="F1484" s="5" t="s">
        <v>16</v>
      </c>
      <c r="G1484" s="5">
        <v>6</v>
      </c>
      <c r="H1484" s="8" t="s">
        <v>12</v>
      </c>
      <c r="I1484" t="s">
        <v>1685</v>
      </c>
      <c r="K1484" t="str">
        <f>+VLOOKUP(C1484,'[1]TIENDAS 2025'!$A$1:$C$143,3,0)</f>
        <v>nocturna</v>
      </c>
      <c r="L1484" t="str">
        <f>+VLOOKUP(C1484,[2]Hoja1!$A$1:$B$138,2,0)</f>
        <v>APROBAR</v>
      </c>
      <c r="M1484">
        <v>1</v>
      </c>
      <c r="N1484" t="e">
        <v>#N/A</v>
      </c>
    </row>
    <row r="1485" spans="1:14" ht="15" customHeight="1" x14ac:dyDescent="0.3">
      <c r="A1485" s="3">
        <v>1209659814</v>
      </c>
      <c r="B1485" s="3" t="s">
        <v>1679</v>
      </c>
      <c r="C1485" s="3" t="s">
        <v>1680</v>
      </c>
      <c r="D1485" s="4">
        <v>46307.447326388901</v>
      </c>
      <c r="E1485" s="5" t="s">
        <v>10</v>
      </c>
      <c r="F1485" s="5" t="s">
        <v>17</v>
      </c>
      <c r="G1485" s="5">
        <v>14</v>
      </c>
      <c r="H1485" s="6" t="s">
        <v>12</v>
      </c>
      <c r="I1485" t="s">
        <v>1686</v>
      </c>
      <c r="J1485" t="s">
        <v>2480</v>
      </c>
      <c r="K1485" t="str">
        <f>+VLOOKUP(C1485,'[1]TIENDAS 2025'!$A$1:$C$143,3,0)</f>
        <v>nocturna</v>
      </c>
      <c r="L1485" t="str">
        <f>+VLOOKUP(C1485,[2]Hoja1!$A$1:$B$138,2,0)</f>
        <v>APROBAR</v>
      </c>
      <c r="M1485">
        <v>1</v>
      </c>
      <c r="N1485" t="e">
        <v>#N/A</v>
      </c>
    </row>
    <row r="1486" spans="1:14" ht="15" customHeight="1" x14ac:dyDescent="0.3">
      <c r="A1486" s="3">
        <v>1209659815</v>
      </c>
      <c r="B1486" s="3" t="s">
        <v>1679</v>
      </c>
      <c r="C1486" s="3" t="s">
        <v>1680</v>
      </c>
      <c r="D1486" s="4">
        <v>46307.447337963</v>
      </c>
      <c r="E1486" s="5" t="s">
        <v>10</v>
      </c>
      <c r="F1486" s="5" t="s">
        <v>11</v>
      </c>
      <c r="G1486" s="5">
        <v>26</v>
      </c>
      <c r="H1486" s="6" t="s">
        <v>12</v>
      </c>
      <c r="I1486" t="s">
        <v>1687</v>
      </c>
      <c r="J1486" t="s">
        <v>2480</v>
      </c>
      <c r="K1486" t="str">
        <f>+VLOOKUP(C1486,'[1]TIENDAS 2025'!$A$1:$C$143,3,0)</f>
        <v>nocturna</v>
      </c>
      <c r="L1486" t="str">
        <f>+VLOOKUP(C1486,[2]Hoja1!$A$1:$B$138,2,0)</f>
        <v>APROBAR</v>
      </c>
      <c r="M1486">
        <v>1</v>
      </c>
      <c r="N1486" t="e">
        <v>#N/A</v>
      </c>
    </row>
    <row r="1487" spans="1:14" ht="15" customHeight="1" x14ac:dyDescent="0.3">
      <c r="A1487" s="3">
        <v>8209659748</v>
      </c>
      <c r="B1487" s="3" t="s">
        <v>1665</v>
      </c>
      <c r="C1487" s="3" t="s">
        <v>1666</v>
      </c>
      <c r="D1487" s="4">
        <v>46307.447361111103</v>
      </c>
      <c r="E1487" s="5" t="s">
        <v>10</v>
      </c>
      <c r="F1487" s="5" t="s">
        <v>16</v>
      </c>
      <c r="G1487" s="5">
        <v>6</v>
      </c>
      <c r="H1487" s="8" t="s">
        <v>12</v>
      </c>
      <c r="I1487" t="s">
        <v>1688</v>
      </c>
      <c r="K1487" t="str">
        <f>+VLOOKUP(C1487,'[1]TIENDAS 2025'!$A$1:$C$143,3,0)</f>
        <v>local</v>
      </c>
      <c r="L1487" t="str">
        <f>+VLOOKUP(C1487,[2]Hoja1!$A$1:$B$138,2,0)</f>
        <v>APROBAR</v>
      </c>
      <c r="M1487">
        <v>1</v>
      </c>
      <c r="N1487" t="e">
        <v>#N/A</v>
      </c>
    </row>
    <row r="1488" spans="1:14" ht="15" customHeight="1" x14ac:dyDescent="0.3">
      <c r="A1488" s="3">
        <v>1209659719</v>
      </c>
      <c r="B1488" s="3" t="s">
        <v>1662</v>
      </c>
      <c r="C1488" s="3" t="s">
        <v>1663</v>
      </c>
      <c r="D1488" s="4">
        <v>46307.447372685201</v>
      </c>
      <c r="E1488" s="5" t="s">
        <v>10</v>
      </c>
      <c r="F1488" s="5" t="s">
        <v>17</v>
      </c>
      <c r="G1488" s="5">
        <v>7</v>
      </c>
      <c r="H1488" s="6" t="s">
        <v>12</v>
      </c>
      <c r="I1488" t="s">
        <v>1689</v>
      </c>
      <c r="J1488" t="s">
        <v>2480</v>
      </c>
      <c r="K1488" t="str">
        <f>+VLOOKUP(C1488,'[1]TIENDAS 2025'!$A$1:$C$143,3,0)</f>
        <v>nocturna</v>
      </c>
      <c r="L1488" t="str">
        <f>+VLOOKUP(C1488,[2]Hoja1!$A$1:$B$138,2,0)</f>
        <v>APROBAR</v>
      </c>
      <c r="M1488">
        <v>1</v>
      </c>
      <c r="N1488" t="e">
        <v>#N/A</v>
      </c>
    </row>
    <row r="1489" spans="1:14" ht="15" customHeight="1" x14ac:dyDescent="0.3">
      <c r="A1489" s="3">
        <v>8209659750</v>
      </c>
      <c r="B1489" s="3" t="s">
        <v>1665</v>
      </c>
      <c r="C1489" s="3" t="s">
        <v>1666</v>
      </c>
      <c r="D1489" s="4">
        <v>46307.447372685201</v>
      </c>
      <c r="E1489" s="5" t="s">
        <v>10</v>
      </c>
      <c r="F1489" s="5" t="s">
        <v>16</v>
      </c>
      <c r="G1489" s="5">
        <v>2</v>
      </c>
      <c r="H1489" s="8" t="s">
        <v>12</v>
      </c>
      <c r="I1489" t="s">
        <v>1690</v>
      </c>
      <c r="K1489" t="str">
        <f>+VLOOKUP(C1489,'[1]TIENDAS 2025'!$A$1:$C$143,3,0)</f>
        <v>local</v>
      </c>
      <c r="L1489" t="str">
        <f>+VLOOKUP(C1489,[2]Hoja1!$A$1:$B$138,2,0)</f>
        <v>APROBAR</v>
      </c>
      <c r="M1489">
        <v>1</v>
      </c>
      <c r="N1489" t="e">
        <v>#N/A</v>
      </c>
    </row>
    <row r="1490" spans="1:14" ht="15" customHeight="1" x14ac:dyDescent="0.3">
      <c r="A1490" s="3">
        <v>1209659751</v>
      </c>
      <c r="B1490" s="3" t="s">
        <v>1665</v>
      </c>
      <c r="C1490" s="3" t="s">
        <v>1666</v>
      </c>
      <c r="D1490" s="4">
        <v>46307.447395833296</v>
      </c>
      <c r="E1490" s="5" t="s">
        <v>10</v>
      </c>
      <c r="F1490" s="5" t="s">
        <v>11</v>
      </c>
      <c r="G1490" s="5">
        <v>4</v>
      </c>
      <c r="H1490" s="6" t="s">
        <v>12</v>
      </c>
      <c r="I1490" t="s">
        <v>1691</v>
      </c>
      <c r="J1490" t="s">
        <v>2480</v>
      </c>
      <c r="K1490" t="str">
        <f>+VLOOKUP(C1490,'[1]TIENDAS 2025'!$A$1:$C$143,3,0)</f>
        <v>local</v>
      </c>
      <c r="L1490" t="str">
        <f>+VLOOKUP(C1490,[2]Hoja1!$A$1:$B$138,2,0)</f>
        <v>APROBAR</v>
      </c>
      <c r="M1490">
        <v>1</v>
      </c>
      <c r="N1490" t="e">
        <v>#N/A</v>
      </c>
    </row>
    <row r="1491" spans="1:14" ht="15" customHeight="1" x14ac:dyDescent="0.3">
      <c r="A1491" s="3">
        <v>1209659724</v>
      </c>
      <c r="B1491" s="3" t="s">
        <v>1662</v>
      </c>
      <c r="C1491" s="3" t="s">
        <v>1663</v>
      </c>
      <c r="D1491" s="4">
        <v>46307.447407407402</v>
      </c>
      <c r="E1491" s="5" t="s">
        <v>10</v>
      </c>
      <c r="F1491" s="5" t="s">
        <v>11</v>
      </c>
      <c r="G1491" s="5">
        <v>32</v>
      </c>
      <c r="H1491" s="6" t="s">
        <v>12</v>
      </c>
      <c r="I1491" t="s">
        <v>1692</v>
      </c>
      <c r="J1491" t="s">
        <v>2480</v>
      </c>
      <c r="K1491" t="str">
        <f>+VLOOKUP(C1491,'[1]TIENDAS 2025'!$A$1:$C$143,3,0)</f>
        <v>nocturna</v>
      </c>
      <c r="L1491" t="str">
        <f>+VLOOKUP(C1491,[2]Hoja1!$A$1:$B$138,2,0)</f>
        <v>APROBAR</v>
      </c>
      <c r="M1491">
        <v>1</v>
      </c>
      <c r="N1491" t="e">
        <v>#N/A</v>
      </c>
    </row>
    <row r="1492" spans="1:14" ht="15" customHeight="1" x14ac:dyDescent="0.3">
      <c r="A1492" s="3">
        <v>1209659725</v>
      </c>
      <c r="B1492" s="3" t="s">
        <v>1662</v>
      </c>
      <c r="C1492" s="3" t="s">
        <v>1663</v>
      </c>
      <c r="D1492" s="4">
        <v>46307.447418981501</v>
      </c>
      <c r="E1492" s="5" t="s">
        <v>10</v>
      </c>
      <c r="F1492" s="5" t="s">
        <v>11</v>
      </c>
      <c r="G1492" s="5">
        <v>32</v>
      </c>
      <c r="H1492" s="6" t="s">
        <v>12</v>
      </c>
      <c r="I1492" t="s">
        <v>1693</v>
      </c>
      <c r="J1492" t="s">
        <v>2480</v>
      </c>
      <c r="K1492" t="str">
        <f>+VLOOKUP(C1492,'[1]TIENDAS 2025'!$A$1:$C$143,3,0)</f>
        <v>nocturna</v>
      </c>
      <c r="L1492" t="str">
        <f>+VLOOKUP(C1492,[2]Hoja1!$A$1:$B$138,2,0)</f>
        <v>APROBAR</v>
      </c>
      <c r="M1492">
        <v>1</v>
      </c>
      <c r="N1492" t="e">
        <v>#N/A</v>
      </c>
    </row>
    <row r="1493" spans="1:14" ht="15" customHeight="1" x14ac:dyDescent="0.3">
      <c r="A1493" s="3">
        <v>1209659693</v>
      </c>
      <c r="B1493" s="3" t="s">
        <v>1670</v>
      </c>
      <c r="C1493" s="3" t="s">
        <v>1671</v>
      </c>
      <c r="D1493" s="4">
        <v>46307.4474305556</v>
      </c>
      <c r="E1493" s="5" t="s">
        <v>10</v>
      </c>
      <c r="F1493" s="5" t="s">
        <v>17</v>
      </c>
      <c r="G1493" s="5">
        <v>35</v>
      </c>
      <c r="H1493" s="6" t="s">
        <v>12</v>
      </c>
      <c r="I1493" t="s">
        <v>1694</v>
      </c>
      <c r="J1493" t="s">
        <v>2480</v>
      </c>
      <c r="K1493" t="str">
        <f>+VLOOKUP(C1493,'[1]TIENDAS 2025'!$A$1:$C$143,3,0)</f>
        <v>departamental</v>
      </c>
      <c r="L1493" t="str">
        <f>+VLOOKUP(C1493,[2]Hoja1!$A$1:$B$138,2,0)</f>
        <v>APROBAR</v>
      </c>
      <c r="M1493">
        <v>1</v>
      </c>
      <c r="N1493" t="e">
        <v>#N/A</v>
      </c>
    </row>
    <row r="1494" spans="1:14" ht="15" customHeight="1" x14ac:dyDescent="0.3">
      <c r="A1494" s="3">
        <v>8209659713</v>
      </c>
      <c r="B1494" s="3" t="s">
        <v>1662</v>
      </c>
      <c r="C1494" s="3" t="s">
        <v>1663</v>
      </c>
      <c r="D1494" s="4">
        <v>46307.447442129604</v>
      </c>
      <c r="E1494" s="5" t="s">
        <v>10</v>
      </c>
      <c r="F1494" s="5" t="s">
        <v>16</v>
      </c>
      <c r="G1494" s="5">
        <v>7</v>
      </c>
      <c r="H1494" s="8" t="s">
        <v>12</v>
      </c>
      <c r="I1494" t="s">
        <v>1695</v>
      </c>
      <c r="K1494" t="str">
        <f>+VLOOKUP(C1494,'[1]TIENDAS 2025'!$A$1:$C$143,3,0)</f>
        <v>nocturna</v>
      </c>
      <c r="L1494" t="str">
        <f>+VLOOKUP(C1494,[2]Hoja1!$A$1:$B$138,2,0)</f>
        <v>APROBAR</v>
      </c>
      <c r="M1494">
        <v>1</v>
      </c>
      <c r="N1494" t="e">
        <v>#N/A</v>
      </c>
    </row>
    <row r="1495" spans="1:14" ht="15" customHeight="1" x14ac:dyDescent="0.3">
      <c r="A1495" s="3">
        <v>1209659797</v>
      </c>
      <c r="B1495" s="3" t="s">
        <v>1676</v>
      </c>
      <c r="C1495" s="3" t="s">
        <v>1677</v>
      </c>
      <c r="D1495" s="4">
        <v>46307.447465277801</v>
      </c>
      <c r="E1495" s="5" t="s">
        <v>10</v>
      </c>
      <c r="F1495" s="5" t="s">
        <v>11</v>
      </c>
      <c r="G1495" s="5">
        <v>17</v>
      </c>
      <c r="H1495" s="6" t="s">
        <v>12</v>
      </c>
      <c r="I1495" t="s">
        <v>1696</v>
      </c>
      <c r="J1495" t="s">
        <v>2480</v>
      </c>
      <c r="K1495" t="str">
        <f>+VLOOKUP(C1495,'[1]TIENDAS 2025'!$A$1:$C$143,3,0)</f>
        <v>departamental</v>
      </c>
      <c r="L1495" t="str">
        <f>+VLOOKUP(C1495,[2]Hoja1!$A$1:$B$138,2,0)</f>
        <v>APROBAR</v>
      </c>
      <c r="M1495">
        <v>1</v>
      </c>
      <c r="N1495" t="e">
        <v>#N/A</v>
      </c>
    </row>
    <row r="1496" spans="1:14" ht="15" customHeight="1" x14ac:dyDescent="0.3">
      <c r="A1496" s="3">
        <v>1209659816</v>
      </c>
      <c r="B1496" s="3" t="s">
        <v>1679</v>
      </c>
      <c r="C1496" s="3" t="s">
        <v>1680</v>
      </c>
      <c r="D1496" s="4">
        <v>46307.447476851798</v>
      </c>
      <c r="E1496" s="5" t="s">
        <v>10</v>
      </c>
      <c r="F1496" s="5" t="s">
        <v>11</v>
      </c>
      <c r="G1496" s="5">
        <v>37</v>
      </c>
      <c r="H1496" s="6" t="s">
        <v>12</v>
      </c>
      <c r="I1496" t="s">
        <v>1697</v>
      </c>
      <c r="J1496" t="s">
        <v>2480</v>
      </c>
      <c r="K1496" t="str">
        <f>+VLOOKUP(C1496,'[1]TIENDAS 2025'!$A$1:$C$143,3,0)</f>
        <v>nocturna</v>
      </c>
      <c r="L1496" t="str">
        <f>+VLOOKUP(C1496,[2]Hoja1!$A$1:$B$138,2,0)</f>
        <v>APROBAR</v>
      </c>
      <c r="M1496">
        <v>1</v>
      </c>
      <c r="N1496" t="e">
        <v>#N/A</v>
      </c>
    </row>
    <row r="1497" spans="1:14" ht="15" customHeight="1" x14ac:dyDescent="0.3">
      <c r="A1497" s="3">
        <v>1209659702</v>
      </c>
      <c r="B1497" s="3" t="s">
        <v>1670</v>
      </c>
      <c r="C1497" s="3" t="s">
        <v>1671</v>
      </c>
      <c r="D1497" s="4">
        <v>46307.447488425903</v>
      </c>
      <c r="E1497" s="5" t="s">
        <v>10</v>
      </c>
      <c r="F1497" s="5" t="s">
        <v>11</v>
      </c>
      <c r="G1497" s="5">
        <v>25</v>
      </c>
      <c r="H1497" s="6" t="s">
        <v>12</v>
      </c>
      <c r="I1497" t="s">
        <v>1698</v>
      </c>
      <c r="J1497" t="s">
        <v>2480</v>
      </c>
      <c r="K1497" t="str">
        <f>+VLOOKUP(C1497,'[1]TIENDAS 2025'!$A$1:$C$143,3,0)</f>
        <v>departamental</v>
      </c>
      <c r="L1497" t="str">
        <f>+VLOOKUP(C1497,[2]Hoja1!$A$1:$B$138,2,0)</f>
        <v>APROBAR</v>
      </c>
      <c r="M1497">
        <v>1</v>
      </c>
      <c r="N1497" t="e">
        <v>#N/A</v>
      </c>
    </row>
    <row r="1498" spans="1:14" ht="15" customHeight="1" x14ac:dyDescent="0.3">
      <c r="A1498" s="3">
        <v>8209659684</v>
      </c>
      <c r="B1498" s="3" t="s">
        <v>1670</v>
      </c>
      <c r="C1498" s="3" t="s">
        <v>1671</v>
      </c>
      <c r="D1498" s="4">
        <v>46307.447500000002</v>
      </c>
      <c r="E1498" s="5" t="s">
        <v>10</v>
      </c>
      <c r="F1498" s="5" t="s">
        <v>16</v>
      </c>
      <c r="G1498" s="5">
        <v>3</v>
      </c>
      <c r="H1498" s="8" t="s">
        <v>12</v>
      </c>
      <c r="I1498" t="s">
        <v>1699</v>
      </c>
      <c r="K1498" t="str">
        <f>+VLOOKUP(C1498,'[1]TIENDAS 2025'!$A$1:$C$143,3,0)</f>
        <v>departamental</v>
      </c>
      <c r="L1498" t="str">
        <f>+VLOOKUP(C1498,[2]Hoja1!$A$1:$B$138,2,0)</f>
        <v>APROBAR</v>
      </c>
      <c r="M1498">
        <v>1</v>
      </c>
      <c r="N1498" t="e">
        <v>#N/A</v>
      </c>
    </row>
    <row r="1499" spans="1:14" ht="15" customHeight="1" x14ac:dyDescent="0.3">
      <c r="A1499" s="3">
        <v>1209659686</v>
      </c>
      <c r="B1499" s="3" t="s">
        <v>1670</v>
      </c>
      <c r="C1499" s="3" t="s">
        <v>1671</v>
      </c>
      <c r="D1499" s="4">
        <v>46307.447511574101</v>
      </c>
      <c r="E1499" s="5" t="s">
        <v>10</v>
      </c>
      <c r="F1499" s="5" t="s">
        <v>11</v>
      </c>
      <c r="G1499" s="5">
        <v>6</v>
      </c>
      <c r="H1499" s="6" t="s">
        <v>12</v>
      </c>
      <c r="I1499" t="s">
        <v>1700</v>
      </c>
      <c r="J1499" t="s">
        <v>2480</v>
      </c>
      <c r="K1499" t="str">
        <f>+VLOOKUP(C1499,'[1]TIENDAS 2025'!$A$1:$C$143,3,0)</f>
        <v>departamental</v>
      </c>
      <c r="L1499" t="str">
        <f>+VLOOKUP(C1499,[2]Hoja1!$A$1:$B$138,2,0)</f>
        <v>APROBAR</v>
      </c>
      <c r="M1499">
        <v>1</v>
      </c>
      <c r="N1499" t="e">
        <v>#N/A</v>
      </c>
    </row>
    <row r="1500" spans="1:14" ht="15" customHeight="1" x14ac:dyDescent="0.3">
      <c r="A1500" s="3">
        <v>8209659782</v>
      </c>
      <c r="B1500" s="3" t="s">
        <v>1676</v>
      </c>
      <c r="C1500" s="3" t="s">
        <v>1677</v>
      </c>
      <c r="D1500" s="4">
        <v>46307.447534722203</v>
      </c>
      <c r="E1500" s="5" t="s">
        <v>10</v>
      </c>
      <c r="F1500" s="5" t="s">
        <v>16</v>
      </c>
      <c r="G1500" s="5">
        <v>1</v>
      </c>
      <c r="H1500" s="8" t="s">
        <v>12</v>
      </c>
      <c r="I1500" t="s">
        <v>1701</v>
      </c>
      <c r="K1500" t="str">
        <f>+VLOOKUP(C1500,'[1]TIENDAS 2025'!$A$1:$C$143,3,0)</f>
        <v>departamental</v>
      </c>
      <c r="L1500" t="str">
        <f>+VLOOKUP(C1500,[2]Hoja1!$A$1:$B$138,2,0)</f>
        <v>APROBAR</v>
      </c>
      <c r="M1500">
        <v>1</v>
      </c>
      <c r="N1500" t="e">
        <v>#N/A</v>
      </c>
    </row>
    <row r="1501" spans="1:14" ht="15" customHeight="1" x14ac:dyDescent="0.3">
      <c r="A1501" s="3">
        <v>8209659783</v>
      </c>
      <c r="B1501" s="3" t="s">
        <v>1676</v>
      </c>
      <c r="C1501" s="3" t="s">
        <v>1677</v>
      </c>
      <c r="D1501" s="4">
        <v>46307.447546296302</v>
      </c>
      <c r="E1501" s="5" t="s">
        <v>10</v>
      </c>
      <c r="F1501" s="5" t="s">
        <v>16</v>
      </c>
      <c r="G1501" s="5">
        <v>43</v>
      </c>
      <c r="H1501" s="8" t="s">
        <v>12</v>
      </c>
      <c r="I1501" t="s">
        <v>1702</v>
      </c>
      <c r="K1501" t="str">
        <f>+VLOOKUP(C1501,'[1]TIENDAS 2025'!$A$1:$C$143,3,0)</f>
        <v>departamental</v>
      </c>
      <c r="L1501" t="str">
        <f>+VLOOKUP(C1501,[2]Hoja1!$A$1:$B$138,2,0)</f>
        <v>APROBAR</v>
      </c>
      <c r="M1501">
        <v>1</v>
      </c>
      <c r="N1501" t="e">
        <v>#N/A</v>
      </c>
    </row>
    <row r="1502" spans="1:14" ht="15" customHeight="1" x14ac:dyDescent="0.3">
      <c r="A1502" s="3">
        <v>1209659694</v>
      </c>
      <c r="B1502" s="3" t="s">
        <v>1670</v>
      </c>
      <c r="C1502" s="3" t="s">
        <v>1671</v>
      </c>
      <c r="D1502" s="4">
        <v>46307.4475578704</v>
      </c>
      <c r="E1502" s="5" t="s">
        <v>10</v>
      </c>
      <c r="F1502" s="5" t="s">
        <v>11</v>
      </c>
      <c r="G1502" s="5">
        <v>6</v>
      </c>
      <c r="H1502" s="6" t="s">
        <v>12</v>
      </c>
      <c r="I1502" t="s">
        <v>1703</v>
      </c>
      <c r="J1502" t="s">
        <v>2480</v>
      </c>
      <c r="K1502" t="str">
        <f>+VLOOKUP(C1502,'[1]TIENDAS 2025'!$A$1:$C$143,3,0)</f>
        <v>departamental</v>
      </c>
      <c r="L1502" t="str">
        <f>+VLOOKUP(C1502,[2]Hoja1!$A$1:$B$138,2,0)</f>
        <v>APROBAR</v>
      </c>
      <c r="M1502">
        <v>1</v>
      </c>
      <c r="N1502" t="e">
        <v>#N/A</v>
      </c>
    </row>
    <row r="1503" spans="1:14" ht="15" customHeight="1" x14ac:dyDescent="0.3">
      <c r="A1503" s="3">
        <v>8209659696</v>
      </c>
      <c r="B1503" s="3" t="s">
        <v>1670</v>
      </c>
      <c r="C1503" s="3" t="s">
        <v>1671</v>
      </c>
      <c r="D1503" s="4">
        <v>46307.447569444397</v>
      </c>
      <c r="E1503" s="5" t="s">
        <v>10</v>
      </c>
      <c r="F1503" s="5" t="s">
        <v>16</v>
      </c>
      <c r="G1503" s="5">
        <v>10</v>
      </c>
      <c r="H1503" s="8" t="s">
        <v>12</v>
      </c>
      <c r="I1503" t="s">
        <v>1704</v>
      </c>
      <c r="K1503" t="str">
        <f>+VLOOKUP(C1503,'[1]TIENDAS 2025'!$A$1:$C$143,3,0)</f>
        <v>departamental</v>
      </c>
      <c r="L1503" t="str">
        <f>+VLOOKUP(C1503,[2]Hoja1!$A$1:$B$138,2,0)</f>
        <v>APROBAR</v>
      </c>
      <c r="M1503">
        <v>1</v>
      </c>
      <c r="N1503" t="e">
        <v>#N/A</v>
      </c>
    </row>
    <row r="1504" spans="1:14" ht="15" customHeight="1" x14ac:dyDescent="0.3">
      <c r="A1504" s="3">
        <v>8209659715</v>
      </c>
      <c r="B1504" s="3" t="s">
        <v>1662</v>
      </c>
      <c r="C1504" s="3" t="s">
        <v>1663</v>
      </c>
      <c r="D1504" s="4">
        <v>46307.447581018503</v>
      </c>
      <c r="E1504" s="5" t="s">
        <v>10</v>
      </c>
      <c r="F1504" s="5" t="s">
        <v>16</v>
      </c>
      <c r="G1504" s="5">
        <v>7</v>
      </c>
      <c r="H1504" s="8" t="s">
        <v>12</v>
      </c>
      <c r="I1504" t="s">
        <v>1705</v>
      </c>
      <c r="K1504" t="str">
        <f>+VLOOKUP(C1504,'[1]TIENDAS 2025'!$A$1:$C$143,3,0)</f>
        <v>nocturna</v>
      </c>
      <c r="L1504" t="str">
        <f>+VLOOKUP(C1504,[2]Hoja1!$A$1:$B$138,2,0)</f>
        <v>APROBAR</v>
      </c>
      <c r="M1504">
        <v>1</v>
      </c>
      <c r="N1504" t="e">
        <v>#N/A</v>
      </c>
    </row>
    <row r="1505" spans="1:14" ht="15" customHeight="1" x14ac:dyDescent="0.3">
      <c r="A1505" s="3">
        <v>1209659800</v>
      </c>
      <c r="B1505" s="3" t="s">
        <v>1676</v>
      </c>
      <c r="C1505" s="3" t="s">
        <v>1677</v>
      </c>
      <c r="D1505" s="4">
        <v>46307.447592592602</v>
      </c>
      <c r="E1505" s="5" t="s">
        <v>10</v>
      </c>
      <c r="F1505" s="5" t="s">
        <v>17</v>
      </c>
      <c r="G1505" s="5">
        <v>35</v>
      </c>
      <c r="H1505" s="6" t="s">
        <v>12</v>
      </c>
      <c r="I1505" t="s">
        <v>1706</v>
      </c>
      <c r="J1505" t="s">
        <v>2480</v>
      </c>
      <c r="K1505" t="str">
        <f>+VLOOKUP(C1505,'[1]TIENDAS 2025'!$A$1:$C$143,3,0)</f>
        <v>departamental</v>
      </c>
      <c r="L1505" t="str">
        <f>+VLOOKUP(C1505,[2]Hoja1!$A$1:$B$138,2,0)</f>
        <v>APROBAR</v>
      </c>
      <c r="M1505">
        <v>1</v>
      </c>
      <c r="N1505" t="e">
        <v>#N/A</v>
      </c>
    </row>
    <row r="1506" spans="1:14" ht="15" customHeight="1" x14ac:dyDescent="0.3">
      <c r="A1506" s="3">
        <v>8209659804</v>
      </c>
      <c r="B1506" s="3" t="s">
        <v>1679</v>
      </c>
      <c r="C1506" s="3" t="s">
        <v>1680</v>
      </c>
      <c r="D1506" s="4">
        <v>46307.447615740697</v>
      </c>
      <c r="E1506" s="5" t="s">
        <v>10</v>
      </c>
      <c r="F1506" s="5" t="s">
        <v>16</v>
      </c>
      <c r="G1506" s="5">
        <v>1</v>
      </c>
      <c r="H1506" s="8" t="s">
        <v>12</v>
      </c>
      <c r="I1506" t="s">
        <v>1707</v>
      </c>
      <c r="K1506" t="str">
        <f>+VLOOKUP(C1506,'[1]TIENDAS 2025'!$A$1:$C$143,3,0)</f>
        <v>nocturna</v>
      </c>
      <c r="L1506" t="str">
        <f>+VLOOKUP(C1506,[2]Hoja1!$A$1:$B$138,2,0)</f>
        <v>APROBAR</v>
      </c>
      <c r="M1506">
        <v>1</v>
      </c>
      <c r="N1506" t="e">
        <v>#N/A</v>
      </c>
    </row>
    <row r="1507" spans="1:14" ht="15" customHeight="1" x14ac:dyDescent="0.3">
      <c r="A1507" s="3">
        <v>1209659720</v>
      </c>
      <c r="B1507" s="3" t="s">
        <v>1662</v>
      </c>
      <c r="C1507" s="3" t="s">
        <v>1663</v>
      </c>
      <c r="D1507" s="4">
        <v>46307.447627314803</v>
      </c>
      <c r="E1507" s="5" t="s">
        <v>10</v>
      </c>
      <c r="F1507" s="5" t="s">
        <v>17</v>
      </c>
      <c r="G1507" s="5">
        <v>9</v>
      </c>
      <c r="H1507" s="6" t="s">
        <v>12</v>
      </c>
      <c r="I1507" t="s">
        <v>1708</v>
      </c>
      <c r="J1507" t="s">
        <v>2480</v>
      </c>
      <c r="K1507" t="str">
        <f>+VLOOKUP(C1507,'[1]TIENDAS 2025'!$A$1:$C$143,3,0)</f>
        <v>nocturna</v>
      </c>
      <c r="L1507" t="str">
        <f>+VLOOKUP(C1507,[2]Hoja1!$A$1:$B$138,2,0)</f>
        <v>APROBAR</v>
      </c>
      <c r="M1507">
        <v>1</v>
      </c>
      <c r="N1507" t="e">
        <v>#N/A</v>
      </c>
    </row>
    <row r="1508" spans="1:14" ht="15" customHeight="1" x14ac:dyDescent="0.3">
      <c r="A1508" s="3">
        <v>1209659754</v>
      </c>
      <c r="B1508" s="3" t="s">
        <v>1665</v>
      </c>
      <c r="C1508" s="3" t="s">
        <v>1666</v>
      </c>
      <c r="D1508" s="4">
        <v>46307.447638888902</v>
      </c>
      <c r="E1508" s="5" t="s">
        <v>10</v>
      </c>
      <c r="F1508" s="5" t="s">
        <v>11</v>
      </c>
      <c r="G1508" s="5">
        <v>6</v>
      </c>
      <c r="H1508" s="6" t="s">
        <v>12</v>
      </c>
      <c r="I1508" t="s">
        <v>1709</v>
      </c>
      <c r="J1508" t="s">
        <v>2480</v>
      </c>
      <c r="K1508" t="str">
        <f>+VLOOKUP(C1508,'[1]TIENDAS 2025'!$A$1:$C$143,3,0)</f>
        <v>local</v>
      </c>
      <c r="L1508" t="str">
        <f>+VLOOKUP(C1508,[2]Hoja1!$A$1:$B$138,2,0)</f>
        <v>APROBAR</v>
      </c>
      <c r="M1508">
        <v>1</v>
      </c>
      <c r="N1508" t="e">
        <v>#N/A</v>
      </c>
    </row>
    <row r="1509" spans="1:14" ht="15" customHeight="1" x14ac:dyDescent="0.3">
      <c r="A1509" s="3">
        <v>1209659756</v>
      </c>
      <c r="B1509" s="3" t="s">
        <v>1665</v>
      </c>
      <c r="C1509" s="3" t="s">
        <v>1666</v>
      </c>
      <c r="D1509" s="4">
        <v>46307.447650463</v>
      </c>
      <c r="E1509" s="5" t="s">
        <v>10</v>
      </c>
      <c r="F1509" s="5" t="s">
        <v>17</v>
      </c>
      <c r="G1509" s="5">
        <v>15</v>
      </c>
      <c r="H1509" s="6" t="s">
        <v>12</v>
      </c>
      <c r="I1509" t="s">
        <v>1710</v>
      </c>
      <c r="J1509" t="s">
        <v>2480</v>
      </c>
      <c r="K1509" t="str">
        <f>+VLOOKUP(C1509,'[1]TIENDAS 2025'!$A$1:$C$143,3,0)</f>
        <v>local</v>
      </c>
      <c r="L1509" t="str">
        <f>+VLOOKUP(C1509,[2]Hoja1!$A$1:$B$138,2,0)</f>
        <v>APROBAR</v>
      </c>
      <c r="M1509">
        <v>1</v>
      </c>
      <c r="N1509" t="e">
        <v>#N/A</v>
      </c>
    </row>
    <row r="1510" spans="1:14" ht="15" customHeight="1" x14ac:dyDescent="0.3">
      <c r="A1510" s="3">
        <v>1209659722</v>
      </c>
      <c r="B1510" s="3" t="s">
        <v>1662</v>
      </c>
      <c r="C1510" s="3" t="s">
        <v>1663</v>
      </c>
      <c r="D1510" s="4">
        <v>46307.447662036997</v>
      </c>
      <c r="E1510" s="5" t="s">
        <v>10</v>
      </c>
      <c r="F1510" s="5" t="s">
        <v>11</v>
      </c>
      <c r="G1510" s="5">
        <v>27</v>
      </c>
      <c r="H1510" s="6" t="s">
        <v>12</v>
      </c>
      <c r="I1510" t="s">
        <v>1711</v>
      </c>
      <c r="J1510" t="s">
        <v>2480</v>
      </c>
      <c r="K1510" t="str">
        <f>+VLOOKUP(C1510,'[1]TIENDAS 2025'!$A$1:$C$143,3,0)</f>
        <v>nocturna</v>
      </c>
      <c r="L1510" t="str">
        <f>+VLOOKUP(C1510,[2]Hoja1!$A$1:$B$138,2,0)</f>
        <v>APROBAR</v>
      </c>
      <c r="M1510">
        <v>1</v>
      </c>
      <c r="N1510" t="e">
        <v>#N/A</v>
      </c>
    </row>
    <row r="1511" spans="1:14" ht="15" customHeight="1" x14ac:dyDescent="0.3">
      <c r="A1511" s="3">
        <v>1209659687</v>
      </c>
      <c r="B1511" s="3" t="s">
        <v>1670</v>
      </c>
      <c r="C1511" s="3" t="s">
        <v>1671</v>
      </c>
      <c r="D1511" s="4">
        <v>46307.447673611103</v>
      </c>
      <c r="E1511" s="5" t="s">
        <v>10</v>
      </c>
      <c r="F1511" s="5" t="s">
        <v>17</v>
      </c>
      <c r="G1511" s="5">
        <v>7</v>
      </c>
      <c r="H1511" s="6" t="s">
        <v>12</v>
      </c>
      <c r="I1511" t="s">
        <v>1712</v>
      </c>
      <c r="J1511" t="s">
        <v>2480</v>
      </c>
      <c r="K1511" t="str">
        <f>+VLOOKUP(C1511,'[1]TIENDAS 2025'!$A$1:$C$143,3,0)</f>
        <v>departamental</v>
      </c>
      <c r="L1511" t="str">
        <f>+VLOOKUP(C1511,[2]Hoja1!$A$1:$B$138,2,0)</f>
        <v>APROBAR</v>
      </c>
      <c r="M1511">
        <v>1</v>
      </c>
      <c r="N1511" t="e">
        <v>#N/A</v>
      </c>
    </row>
    <row r="1512" spans="1:14" ht="15" customHeight="1" x14ac:dyDescent="0.3">
      <c r="A1512" s="3">
        <v>8209659781</v>
      </c>
      <c r="B1512" s="3" t="s">
        <v>1676</v>
      </c>
      <c r="C1512" s="3" t="s">
        <v>1677</v>
      </c>
      <c r="D1512" s="4">
        <v>46307.4476967593</v>
      </c>
      <c r="E1512" s="5" t="s">
        <v>10</v>
      </c>
      <c r="F1512" s="5" t="s">
        <v>16</v>
      </c>
      <c r="G1512" s="5">
        <v>4</v>
      </c>
      <c r="H1512" s="8" t="s">
        <v>12</v>
      </c>
      <c r="I1512" t="s">
        <v>1713</v>
      </c>
      <c r="K1512" t="str">
        <f>+VLOOKUP(C1512,'[1]TIENDAS 2025'!$A$1:$C$143,3,0)</f>
        <v>departamental</v>
      </c>
      <c r="L1512" t="str">
        <f>+VLOOKUP(C1512,[2]Hoja1!$A$1:$B$138,2,0)</f>
        <v>APROBAR</v>
      </c>
      <c r="M1512">
        <v>1</v>
      </c>
      <c r="N1512" t="e">
        <v>#N/A</v>
      </c>
    </row>
    <row r="1513" spans="1:14" ht="15" customHeight="1" x14ac:dyDescent="0.3">
      <c r="A1513" s="3">
        <v>1209659727</v>
      </c>
      <c r="B1513" s="3" t="s">
        <v>1662</v>
      </c>
      <c r="C1513" s="3" t="s">
        <v>1663</v>
      </c>
      <c r="D1513" s="4">
        <v>46307.4476967593</v>
      </c>
      <c r="E1513" s="5" t="s">
        <v>10</v>
      </c>
      <c r="F1513" s="5" t="s">
        <v>17</v>
      </c>
      <c r="G1513" s="5">
        <v>34</v>
      </c>
      <c r="H1513" s="6" t="s">
        <v>12</v>
      </c>
      <c r="I1513" t="s">
        <v>1714</v>
      </c>
      <c r="J1513" t="s">
        <v>2480</v>
      </c>
      <c r="K1513" t="str">
        <f>+VLOOKUP(C1513,'[1]TIENDAS 2025'!$A$1:$C$143,3,0)</f>
        <v>nocturna</v>
      </c>
      <c r="L1513" t="str">
        <f>+VLOOKUP(C1513,[2]Hoja1!$A$1:$B$138,2,0)</f>
        <v>APROBAR</v>
      </c>
      <c r="M1513">
        <v>1</v>
      </c>
      <c r="N1513" t="e">
        <v>#N/A</v>
      </c>
    </row>
    <row r="1514" spans="1:14" ht="15" customHeight="1" x14ac:dyDescent="0.3">
      <c r="A1514" s="3">
        <v>8209659714</v>
      </c>
      <c r="B1514" s="3" t="s">
        <v>1662</v>
      </c>
      <c r="C1514" s="3" t="s">
        <v>1663</v>
      </c>
      <c r="D1514" s="4">
        <v>46307.447719907403</v>
      </c>
      <c r="E1514" s="5" t="s">
        <v>10</v>
      </c>
      <c r="F1514" s="5" t="s">
        <v>16</v>
      </c>
      <c r="G1514" s="5">
        <v>7</v>
      </c>
      <c r="H1514" s="8" t="s">
        <v>12</v>
      </c>
      <c r="I1514" t="s">
        <v>1715</v>
      </c>
      <c r="K1514" t="str">
        <f>+VLOOKUP(C1514,'[1]TIENDAS 2025'!$A$1:$C$143,3,0)</f>
        <v>nocturna</v>
      </c>
      <c r="L1514" t="str">
        <f>+VLOOKUP(C1514,[2]Hoja1!$A$1:$B$138,2,0)</f>
        <v>APROBAR</v>
      </c>
      <c r="M1514">
        <v>1</v>
      </c>
      <c r="N1514" t="e">
        <v>#N/A</v>
      </c>
    </row>
    <row r="1515" spans="1:14" ht="15" customHeight="1" x14ac:dyDescent="0.3">
      <c r="A1515" s="3">
        <v>8209659791</v>
      </c>
      <c r="B1515" s="3" t="s">
        <v>1676</v>
      </c>
      <c r="C1515" s="3" t="s">
        <v>1677</v>
      </c>
      <c r="D1515" s="4">
        <v>46307.447731481501</v>
      </c>
      <c r="E1515" s="5" t="s">
        <v>10</v>
      </c>
      <c r="F1515" s="5" t="s">
        <v>16</v>
      </c>
      <c r="G1515" s="5">
        <v>8</v>
      </c>
      <c r="H1515" s="8" t="s">
        <v>12</v>
      </c>
      <c r="I1515" t="s">
        <v>1716</v>
      </c>
      <c r="K1515" t="str">
        <f>+VLOOKUP(C1515,'[1]TIENDAS 2025'!$A$1:$C$143,3,0)</f>
        <v>departamental</v>
      </c>
      <c r="L1515" t="str">
        <f>+VLOOKUP(C1515,[2]Hoja1!$A$1:$B$138,2,0)</f>
        <v>APROBAR</v>
      </c>
      <c r="M1515">
        <v>1</v>
      </c>
      <c r="N1515" t="e">
        <v>#N/A</v>
      </c>
    </row>
    <row r="1516" spans="1:14" ht="15" customHeight="1" x14ac:dyDescent="0.3">
      <c r="A1516" s="3">
        <v>1209659801</v>
      </c>
      <c r="B1516" s="3" t="s">
        <v>1676</v>
      </c>
      <c r="C1516" s="3" t="s">
        <v>1677</v>
      </c>
      <c r="D1516" s="4">
        <v>46307.4477430556</v>
      </c>
      <c r="E1516" s="5" t="s">
        <v>10</v>
      </c>
      <c r="F1516" s="5" t="s">
        <v>11</v>
      </c>
      <c r="G1516" s="5">
        <v>2</v>
      </c>
      <c r="H1516" s="6" t="s">
        <v>12</v>
      </c>
      <c r="I1516" t="s">
        <v>1717</v>
      </c>
      <c r="J1516" t="s">
        <v>2480</v>
      </c>
      <c r="K1516" t="str">
        <f>+VLOOKUP(C1516,'[1]TIENDAS 2025'!$A$1:$C$143,3,0)</f>
        <v>departamental</v>
      </c>
      <c r="L1516" t="str">
        <f>+VLOOKUP(C1516,[2]Hoja1!$A$1:$B$138,2,0)</f>
        <v>APROBAR</v>
      </c>
      <c r="M1516">
        <v>1</v>
      </c>
      <c r="N1516" t="e">
        <v>#N/A</v>
      </c>
    </row>
    <row r="1517" spans="1:14" ht="15" customHeight="1" x14ac:dyDescent="0.3">
      <c r="A1517" s="3">
        <v>1209659829</v>
      </c>
      <c r="B1517" s="3" t="s">
        <v>1679</v>
      </c>
      <c r="C1517" s="3" t="s">
        <v>1680</v>
      </c>
      <c r="D1517" s="4">
        <v>46307.447766203702</v>
      </c>
      <c r="E1517" s="5" t="s">
        <v>10</v>
      </c>
      <c r="F1517" s="5" t="s">
        <v>11</v>
      </c>
      <c r="G1517" s="5">
        <v>2</v>
      </c>
      <c r="H1517" s="6" t="s">
        <v>12</v>
      </c>
      <c r="I1517" t="s">
        <v>1718</v>
      </c>
      <c r="J1517" t="s">
        <v>2480</v>
      </c>
      <c r="K1517" t="str">
        <f>+VLOOKUP(C1517,'[1]TIENDAS 2025'!$A$1:$C$143,3,0)</f>
        <v>nocturna</v>
      </c>
      <c r="L1517" t="str">
        <f>+VLOOKUP(C1517,[2]Hoja1!$A$1:$B$138,2,0)</f>
        <v>APROBAR</v>
      </c>
      <c r="M1517">
        <v>1</v>
      </c>
      <c r="N1517" t="e">
        <v>#N/A</v>
      </c>
    </row>
    <row r="1518" spans="1:14" ht="15" customHeight="1" x14ac:dyDescent="0.3">
      <c r="A1518" s="3">
        <v>8209659680</v>
      </c>
      <c r="B1518" s="3" t="s">
        <v>1670</v>
      </c>
      <c r="C1518" s="3" t="s">
        <v>1671</v>
      </c>
      <c r="D1518" s="4">
        <v>46307.447777777801</v>
      </c>
      <c r="E1518" s="5" t="s">
        <v>10</v>
      </c>
      <c r="F1518" s="5" t="s">
        <v>16</v>
      </c>
      <c r="G1518" s="5">
        <v>7</v>
      </c>
      <c r="H1518" s="8" t="s">
        <v>12</v>
      </c>
      <c r="I1518" t="s">
        <v>1719</v>
      </c>
      <c r="K1518" t="str">
        <f>+VLOOKUP(C1518,'[1]TIENDAS 2025'!$A$1:$C$143,3,0)</f>
        <v>departamental</v>
      </c>
      <c r="L1518" t="str">
        <f>+VLOOKUP(C1518,[2]Hoja1!$A$1:$B$138,2,0)</f>
        <v>APROBAR</v>
      </c>
      <c r="M1518">
        <v>1</v>
      </c>
      <c r="N1518" t="e">
        <v>#N/A</v>
      </c>
    </row>
    <row r="1519" spans="1:14" ht="15" customHeight="1" x14ac:dyDescent="0.3">
      <c r="A1519" s="3">
        <v>1209659758</v>
      </c>
      <c r="B1519" s="3" t="s">
        <v>1665</v>
      </c>
      <c r="C1519" s="3" t="s">
        <v>1666</v>
      </c>
      <c r="D1519" s="4">
        <v>46307.447777777801</v>
      </c>
      <c r="E1519" s="5" t="s">
        <v>10</v>
      </c>
      <c r="F1519" s="5" t="s">
        <v>11</v>
      </c>
      <c r="G1519" s="5">
        <v>11</v>
      </c>
      <c r="H1519" s="6" t="s">
        <v>12</v>
      </c>
      <c r="I1519" t="s">
        <v>1720</v>
      </c>
      <c r="J1519" t="s">
        <v>2480</v>
      </c>
      <c r="K1519" t="str">
        <f>+VLOOKUP(C1519,'[1]TIENDAS 2025'!$A$1:$C$143,3,0)</f>
        <v>local</v>
      </c>
      <c r="L1519" t="str">
        <f>+VLOOKUP(C1519,[2]Hoja1!$A$1:$B$138,2,0)</f>
        <v>APROBAR</v>
      </c>
      <c r="M1519">
        <v>1</v>
      </c>
      <c r="N1519" t="e">
        <v>#N/A</v>
      </c>
    </row>
    <row r="1520" spans="1:14" ht="15" customHeight="1" x14ac:dyDescent="0.3">
      <c r="A1520" s="3">
        <v>1209659691</v>
      </c>
      <c r="B1520" s="3" t="s">
        <v>1670</v>
      </c>
      <c r="C1520" s="3" t="s">
        <v>1671</v>
      </c>
      <c r="D1520" s="4">
        <v>46307.447800925896</v>
      </c>
      <c r="E1520" s="5" t="s">
        <v>10</v>
      </c>
      <c r="F1520" s="5" t="s">
        <v>11</v>
      </c>
      <c r="G1520" s="5">
        <v>23</v>
      </c>
      <c r="H1520" s="6" t="s">
        <v>12</v>
      </c>
      <c r="I1520" t="s">
        <v>1721</v>
      </c>
      <c r="J1520" t="s">
        <v>2480</v>
      </c>
      <c r="K1520" t="str">
        <f>+VLOOKUP(C1520,'[1]TIENDAS 2025'!$A$1:$C$143,3,0)</f>
        <v>departamental</v>
      </c>
      <c r="L1520" t="str">
        <f>+VLOOKUP(C1520,[2]Hoja1!$A$1:$B$138,2,0)</f>
        <v>APROBAR</v>
      </c>
      <c r="M1520">
        <v>1</v>
      </c>
      <c r="N1520" t="e">
        <v>#N/A</v>
      </c>
    </row>
    <row r="1521" spans="1:14" ht="15" customHeight="1" x14ac:dyDescent="0.3">
      <c r="A1521" s="3">
        <v>8209659761</v>
      </c>
      <c r="B1521" s="3" t="s">
        <v>1665</v>
      </c>
      <c r="C1521" s="3" t="s">
        <v>1666</v>
      </c>
      <c r="D1521" s="4">
        <v>46307.447812500002</v>
      </c>
      <c r="E1521" s="5" t="s">
        <v>10</v>
      </c>
      <c r="F1521" s="5" t="s">
        <v>16</v>
      </c>
      <c r="G1521" s="5">
        <v>3</v>
      </c>
      <c r="H1521" s="8" t="s">
        <v>12</v>
      </c>
      <c r="I1521" t="s">
        <v>1722</v>
      </c>
      <c r="K1521" t="str">
        <f>+VLOOKUP(C1521,'[1]TIENDAS 2025'!$A$1:$C$143,3,0)</f>
        <v>local</v>
      </c>
      <c r="L1521" t="str">
        <f>+VLOOKUP(C1521,[2]Hoja1!$A$1:$B$138,2,0)</f>
        <v>APROBAR</v>
      </c>
      <c r="M1521">
        <v>1</v>
      </c>
      <c r="N1521" t="e">
        <v>#N/A</v>
      </c>
    </row>
    <row r="1522" spans="1:14" ht="15" customHeight="1" x14ac:dyDescent="0.3">
      <c r="A1522" s="3">
        <v>1209659763</v>
      </c>
      <c r="B1522" s="3" t="s">
        <v>1665</v>
      </c>
      <c r="C1522" s="3" t="s">
        <v>1666</v>
      </c>
      <c r="D1522" s="4">
        <v>46307.447835648098</v>
      </c>
      <c r="E1522" s="5" t="s">
        <v>10</v>
      </c>
      <c r="F1522" s="5" t="s">
        <v>11</v>
      </c>
      <c r="G1522" s="5">
        <v>4</v>
      </c>
      <c r="H1522" s="6" t="s">
        <v>12</v>
      </c>
      <c r="I1522" t="s">
        <v>1723</v>
      </c>
      <c r="J1522" t="s">
        <v>2480</v>
      </c>
      <c r="K1522" t="str">
        <f>+VLOOKUP(C1522,'[1]TIENDAS 2025'!$A$1:$C$143,3,0)</f>
        <v>local</v>
      </c>
      <c r="L1522" t="str">
        <f>+VLOOKUP(C1522,[2]Hoja1!$A$1:$B$138,2,0)</f>
        <v>APROBAR</v>
      </c>
      <c r="M1522">
        <v>1</v>
      </c>
      <c r="N1522" t="e">
        <v>#N/A</v>
      </c>
    </row>
    <row r="1523" spans="1:14" ht="15" customHeight="1" x14ac:dyDescent="0.3">
      <c r="A1523" s="3">
        <v>1209659786</v>
      </c>
      <c r="B1523" s="3" t="s">
        <v>1676</v>
      </c>
      <c r="C1523" s="3" t="s">
        <v>1677</v>
      </c>
      <c r="D1523" s="4">
        <v>46307.447847222204</v>
      </c>
      <c r="E1523" s="5" t="s">
        <v>10</v>
      </c>
      <c r="F1523" s="5" t="s">
        <v>16</v>
      </c>
      <c r="G1523" s="5">
        <v>6</v>
      </c>
      <c r="H1523" s="6" t="s">
        <v>12</v>
      </c>
      <c r="I1523" t="s">
        <v>1724</v>
      </c>
      <c r="J1523" t="s">
        <v>2480</v>
      </c>
      <c r="K1523" t="str">
        <f>+VLOOKUP(C1523,'[1]TIENDAS 2025'!$A$1:$C$143,3,0)</f>
        <v>departamental</v>
      </c>
      <c r="L1523" t="str">
        <f>+VLOOKUP(C1523,[2]Hoja1!$A$1:$B$138,2,0)</f>
        <v>APROBAR</v>
      </c>
      <c r="M1523">
        <v>1</v>
      </c>
      <c r="N1523" t="e">
        <v>#N/A</v>
      </c>
    </row>
    <row r="1524" spans="1:14" ht="15" customHeight="1" x14ac:dyDescent="0.3">
      <c r="A1524" s="3">
        <v>1209659811</v>
      </c>
      <c r="B1524" s="3" t="s">
        <v>1679</v>
      </c>
      <c r="C1524" s="3" t="s">
        <v>1680</v>
      </c>
      <c r="D1524" s="4">
        <v>46307.447847222204</v>
      </c>
      <c r="E1524" s="5" t="s">
        <v>10</v>
      </c>
      <c r="F1524" s="5" t="s">
        <v>11</v>
      </c>
      <c r="G1524" s="5">
        <v>5</v>
      </c>
      <c r="H1524" s="6" t="s">
        <v>12</v>
      </c>
      <c r="I1524" t="s">
        <v>1725</v>
      </c>
      <c r="J1524" t="s">
        <v>2480</v>
      </c>
      <c r="K1524" t="str">
        <f>+VLOOKUP(C1524,'[1]TIENDAS 2025'!$A$1:$C$143,3,0)</f>
        <v>nocturna</v>
      </c>
      <c r="L1524" t="str">
        <f>+VLOOKUP(C1524,[2]Hoja1!$A$1:$B$138,2,0)</f>
        <v>APROBAR</v>
      </c>
      <c r="M1524">
        <v>1</v>
      </c>
      <c r="N1524" t="e">
        <v>#N/A</v>
      </c>
    </row>
    <row r="1525" spans="1:14" ht="15" customHeight="1" x14ac:dyDescent="0.3">
      <c r="A1525" s="3">
        <v>1209659812</v>
      </c>
      <c r="B1525" s="3" t="s">
        <v>1679</v>
      </c>
      <c r="C1525" s="3" t="s">
        <v>1680</v>
      </c>
      <c r="D1525" s="4">
        <v>46307.447870370401</v>
      </c>
      <c r="E1525" s="5" t="s">
        <v>10</v>
      </c>
      <c r="F1525" s="5" t="s">
        <v>11</v>
      </c>
      <c r="G1525" s="5">
        <v>12</v>
      </c>
      <c r="H1525" s="6" t="s">
        <v>12</v>
      </c>
      <c r="I1525" t="s">
        <v>1726</v>
      </c>
      <c r="J1525" t="s">
        <v>2480</v>
      </c>
      <c r="K1525" t="str">
        <f>+VLOOKUP(C1525,'[1]TIENDAS 2025'!$A$1:$C$143,3,0)</f>
        <v>nocturna</v>
      </c>
      <c r="L1525" t="str">
        <f>+VLOOKUP(C1525,[2]Hoja1!$A$1:$B$138,2,0)</f>
        <v>APROBAR</v>
      </c>
      <c r="M1525">
        <v>1</v>
      </c>
      <c r="N1525" t="e">
        <v>#N/A</v>
      </c>
    </row>
    <row r="1526" spans="1:14" ht="15" customHeight="1" x14ac:dyDescent="0.3">
      <c r="A1526" s="3">
        <v>1209659790</v>
      </c>
      <c r="B1526" s="3" t="s">
        <v>1676</v>
      </c>
      <c r="C1526" s="3" t="s">
        <v>1677</v>
      </c>
      <c r="D1526" s="4">
        <v>46307.447881944398</v>
      </c>
      <c r="E1526" s="5" t="s">
        <v>10</v>
      </c>
      <c r="F1526" s="5" t="s">
        <v>11</v>
      </c>
      <c r="G1526" s="5">
        <v>30</v>
      </c>
      <c r="H1526" s="6" t="s">
        <v>12</v>
      </c>
      <c r="I1526" t="s">
        <v>1727</v>
      </c>
      <c r="J1526" t="s">
        <v>2480</v>
      </c>
      <c r="K1526" t="str">
        <f>+VLOOKUP(C1526,'[1]TIENDAS 2025'!$A$1:$C$143,3,0)</f>
        <v>departamental</v>
      </c>
      <c r="L1526" t="str">
        <f>+VLOOKUP(C1526,[2]Hoja1!$A$1:$B$138,2,0)</f>
        <v>APROBAR</v>
      </c>
      <c r="M1526">
        <v>1</v>
      </c>
      <c r="N1526" t="e">
        <v>#N/A</v>
      </c>
    </row>
    <row r="1527" spans="1:14" ht="15" customHeight="1" x14ac:dyDescent="0.3">
      <c r="A1527" s="3">
        <v>1209659699</v>
      </c>
      <c r="B1527" s="3" t="s">
        <v>1670</v>
      </c>
      <c r="C1527" s="3" t="s">
        <v>1671</v>
      </c>
      <c r="D1527" s="4">
        <v>46307.447905092602</v>
      </c>
      <c r="E1527" s="5" t="s">
        <v>10</v>
      </c>
      <c r="F1527" s="5" t="s">
        <v>17</v>
      </c>
      <c r="G1527" s="5">
        <v>14</v>
      </c>
      <c r="H1527" s="6" t="s">
        <v>12</v>
      </c>
      <c r="I1527" t="s">
        <v>1728</v>
      </c>
      <c r="J1527" t="s">
        <v>2480</v>
      </c>
      <c r="K1527" t="str">
        <f>+VLOOKUP(C1527,'[1]TIENDAS 2025'!$A$1:$C$143,3,0)</f>
        <v>departamental</v>
      </c>
      <c r="L1527" t="str">
        <f>+VLOOKUP(C1527,[2]Hoja1!$A$1:$B$138,2,0)</f>
        <v>APROBAR</v>
      </c>
      <c r="M1527">
        <v>1</v>
      </c>
      <c r="N1527" t="e">
        <v>#N/A</v>
      </c>
    </row>
    <row r="1528" spans="1:14" ht="15" customHeight="1" x14ac:dyDescent="0.3">
      <c r="A1528" s="3">
        <v>1209659721</v>
      </c>
      <c r="B1528" s="3" t="s">
        <v>1662</v>
      </c>
      <c r="C1528" s="3" t="s">
        <v>1663</v>
      </c>
      <c r="D1528" s="4">
        <v>46307.447916666701</v>
      </c>
      <c r="E1528" s="5" t="s">
        <v>10</v>
      </c>
      <c r="F1528" s="5" t="s">
        <v>11</v>
      </c>
      <c r="G1528" s="5">
        <v>17</v>
      </c>
      <c r="H1528" s="6" t="s">
        <v>12</v>
      </c>
      <c r="I1528" t="s">
        <v>1729</v>
      </c>
      <c r="J1528" t="s">
        <v>2480</v>
      </c>
      <c r="K1528" t="str">
        <f>+VLOOKUP(C1528,'[1]TIENDAS 2025'!$A$1:$C$143,3,0)</f>
        <v>nocturna</v>
      </c>
      <c r="L1528" t="str">
        <f>+VLOOKUP(C1528,[2]Hoja1!$A$1:$B$138,2,0)</f>
        <v>APROBAR</v>
      </c>
      <c r="M1528">
        <v>1</v>
      </c>
      <c r="N1528" t="e">
        <v>#N/A</v>
      </c>
    </row>
    <row r="1529" spans="1:14" ht="15" customHeight="1" x14ac:dyDescent="0.3">
      <c r="A1529" s="3">
        <v>1209659753</v>
      </c>
      <c r="B1529" s="3" t="s">
        <v>1665</v>
      </c>
      <c r="C1529" s="3" t="s">
        <v>1666</v>
      </c>
      <c r="D1529" s="4">
        <v>46307.447916666701</v>
      </c>
      <c r="E1529" s="5" t="s">
        <v>10</v>
      </c>
      <c r="F1529" s="5" t="s">
        <v>11</v>
      </c>
      <c r="G1529" s="5">
        <v>8</v>
      </c>
      <c r="H1529" s="6" t="s">
        <v>12</v>
      </c>
      <c r="I1529" t="s">
        <v>1730</v>
      </c>
      <c r="J1529" t="s">
        <v>2480</v>
      </c>
      <c r="K1529" t="str">
        <f>+VLOOKUP(C1529,'[1]TIENDAS 2025'!$A$1:$C$143,3,0)</f>
        <v>local</v>
      </c>
      <c r="L1529" t="str">
        <f>+VLOOKUP(C1529,[2]Hoja1!$A$1:$B$138,2,0)</f>
        <v>APROBAR</v>
      </c>
      <c r="M1529">
        <v>1</v>
      </c>
      <c r="N1529" t="e">
        <v>#N/A</v>
      </c>
    </row>
    <row r="1530" spans="1:14" ht="15" customHeight="1" x14ac:dyDescent="0.3">
      <c r="A1530" s="3">
        <v>8209659683</v>
      </c>
      <c r="B1530" s="3" t="s">
        <v>1670</v>
      </c>
      <c r="C1530" s="3" t="s">
        <v>1671</v>
      </c>
      <c r="D1530" s="4">
        <v>46307.447939814803</v>
      </c>
      <c r="E1530" s="5" t="s">
        <v>10</v>
      </c>
      <c r="F1530" s="5" t="s">
        <v>16</v>
      </c>
      <c r="G1530" s="5">
        <v>16</v>
      </c>
      <c r="H1530" s="8" t="s">
        <v>12</v>
      </c>
      <c r="I1530" t="s">
        <v>1731</v>
      </c>
      <c r="K1530" t="str">
        <f>+VLOOKUP(C1530,'[1]TIENDAS 2025'!$A$1:$C$143,3,0)</f>
        <v>departamental</v>
      </c>
      <c r="L1530" t="str">
        <f>+VLOOKUP(C1530,[2]Hoja1!$A$1:$B$138,2,0)</f>
        <v>APROBAR</v>
      </c>
      <c r="M1530">
        <v>1</v>
      </c>
      <c r="N1530" t="e">
        <v>#N/A</v>
      </c>
    </row>
    <row r="1531" spans="1:14" ht="15" customHeight="1" x14ac:dyDescent="0.3">
      <c r="A1531" s="3">
        <v>1209659685</v>
      </c>
      <c r="B1531" s="3" t="s">
        <v>1670</v>
      </c>
      <c r="C1531" s="3" t="s">
        <v>1671</v>
      </c>
      <c r="D1531" s="4">
        <v>46307.447951388902</v>
      </c>
      <c r="E1531" s="5" t="s">
        <v>10</v>
      </c>
      <c r="F1531" s="5" t="s">
        <v>11</v>
      </c>
      <c r="G1531" s="5">
        <v>3</v>
      </c>
      <c r="H1531" s="6" t="s">
        <v>12</v>
      </c>
      <c r="I1531" t="s">
        <v>1732</v>
      </c>
      <c r="J1531" t="s">
        <v>2480</v>
      </c>
      <c r="K1531" t="str">
        <f>+VLOOKUP(C1531,'[1]TIENDAS 2025'!$A$1:$C$143,3,0)</f>
        <v>departamental</v>
      </c>
      <c r="L1531" t="str">
        <f>+VLOOKUP(C1531,[2]Hoja1!$A$1:$B$138,2,0)</f>
        <v>APROBAR</v>
      </c>
      <c r="M1531">
        <v>1</v>
      </c>
      <c r="N1531" t="e">
        <v>#N/A</v>
      </c>
    </row>
    <row r="1532" spans="1:14" ht="15" customHeight="1" x14ac:dyDescent="0.3">
      <c r="A1532" s="3">
        <v>1209659813</v>
      </c>
      <c r="B1532" s="3" t="s">
        <v>1679</v>
      </c>
      <c r="C1532" s="3" t="s">
        <v>1680</v>
      </c>
      <c r="D1532" s="4">
        <v>46307.447962963</v>
      </c>
      <c r="E1532" s="5" t="s">
        <v>10</v>
      </c>
      <c r="F1532" s="5" t="s">
        <v>11</v>
      </c>
      <c r="G1532" s="5">
        <v>12</v>
      </c>
      <c r="H1532" s="6" t="s">
        <v>12</v>
      </c>
      <c r="I1532" t="s">
        <v>1733</v>
      </c>
      <c r="J1532" t="s">
        <v>2480</v>
      </c>
      <c r="K1532" t="str">
        <f>+VLOOKUP(C1532,'[1]TIENDAS 2025'!$A$1:$C$143,3,0)</f>
        <v>nocturna</v>
      </c>
      <c r="L1532" t="str">
        <f>+VLOOKUP(C1532,[2]Hoja1!$A$1:$B$138,2,0)</f>
        <v>APROBAR</v>
      </c>
      <c r="M1532">
        <v>1</v>
      </c>
      <c r="N1532" t="e">
        <v>#N/A</v>
      </c>
    </row>
    <row r="1533" spans="1:14" ht="15" customHeight="1" x14ac:dyDescent="0.3">
      <c r="A1533" s="3">
        <v>8209659795</v>
      </c>
      <c r="B1533" s="3" t="s">
        <v>1676</v>
      </c>
      <c r="C1533" s="3" t="s">
        <v>1677</v>
      </c>
      <c r="D1533" s="4">
        <v>46307.447974536997</v>
      </c>
      <c r="E1533" s="5" t="s">
        <v>10</v>
      </c>
      <c r="F1533" s="5" t="s">
        <v>16</v>
      </c>
      <c r="G1533" s="5">
        <v>4</v>
      </c>
      <c r="H1533" s="8" t="s">
        <v>12</v>
      </c>
      <c r="I1533" t="s">
        <v>1734</v>
      </c>
      <c r="K1533" t="str">
        <f>+VLOOKUP(C1533,'[1]TIENDAS 2025'!$A$1:$C$143,3,0)</f>
        <v>departamental</v>
      </c>
      <c r="L1533" t="str">
        <f>+VLOOKUP(C1533,[2]Hoja1!$A$1:$B$138,2,0)</f>
        <v>APROBAR</v>
      </c>
      <c r="M1533">
        <v>1</v>
      </c>
      <c r="N1533" t="e">
        <v>#N/A</v>
      </c>
    </row>
    <row r="1534" spans="1:14" ht="15" customHeight="1" x14ac:dyDescent="0.3">
      <c r="A1534" s="3">
        <v>1209659798</v>
      </c>
      <c r="B1534" s="3" t="s">
        <v>1676</v>
      </c>
      <c r="C1534" s="3" t="s">
        <v>1677</v>
      </c>
      <c r="D1534" s="4">
        <v>46307.447986111103</v>
      </c>
      <c r="E1534" s="5" t="s">
        <v>10</v>
      </c>
      <c r="F1534" s="5" t="s">
        <v>17</v>
      </c>
      <c r="G1534" s="5">
        <v>18</v>
      </c>
      <c r="H1534" s="6" t="s">
        <v>12</v>
      </c>
      <c r="I1534" t="s">
        <v>1735</v>
      </c>
      <c r="J1534" t="s">
        <v>2480</v>
      </c>
      <c r="K1534" t="str">
        <f>+VLOOKUP(C1534,'[1]TIENDAS 2025'!$A$1:$C$143,3,0)</f>
        <v>departamental</v>
      </c>
      <c r="L1534" t="str">
        <f>+VLOOKUP(C1534,[2]Hoja1!$A$1:$B$138,2,0)</f>
        <v>APROBAR</v>
      </c>
      <c r="M1534">
        <v>1</v>
      </c>
      <c r="N1534" t="e">
        <v>#N/A</v>
      </c>
    </row>
    <row r="1535" spans="1:14" ht="15" customHeight="1" x14ac:dyDescent="0.3">
      <c r="A1535" s="3">
        <v>1209659799</v>
      </c>
      <c r="B1535" s="3" t="s">
        <v>1676</v>
      </c>
      <c r="C1535" s="3" t="s">
        <v>1677</v>
      </c>
      <c r="D1535" s="4">
        <v>46307.4480092593</v>
      </c>
      <c r="E1535" s="5" t="s">
        <v>10</v>
      </c>
      <c r="F1535" s="5" t="s">
        <v>17</v>
      </c>
      <c r="G1535" s="5">
        <v>28</v>
      </c>
      <c r="H1535" s="6" t="s">
        <v>12</v>
      </c>
      <c r="I1535" t="s">
        <v>1736</v>
      </c>
      <c r="J1535" t="s">
        <v>2480</v>
      </c>
      <c r="K1535" t="str">
        <f>+VLOOKUP(C1535,'[1]TIENDAS 2025'!$A$1:$C$143,3,0)</f>
        <v>departamental</v>
      </c>
      <c r="L1535" t="str">
        <f>+VLOOKUP(C1535,[2]Hoja1!$A$1:$B$138,2,0)</f>
        <v>APROBAR</v>
      </c>
      <c r="M1535">
        <v>1</v>
      </c>
      <c r="N1535" t="e">
        <v>#N/A</v>
      </c>
    </row>
    <row r="1536" spans="1:14" ht="15" customHeight="1" x14ac:dyDescent="0.3">
      <c r="A1536" s="3">
        <v>8209659805</v>
      </c>
      <c r="B1536" s="3" t="s">
        <v>1679</v>
      </c>
      <c r="C1536" s="3" t="s">
        <v>1680</v>
      </c>
      <c r="D1536" s="4">
        <v>46307.448020833297</v>
      </c>
      <c r="E1536" s="5" t="s">
        <v>10</v>
      </c>
      <c r="F1536" s="5" t="s">
        <v>16</v>
      </c>
      <c r="G1536" s="5">
        <v>1</v>
      </c>
      <c r="H1536" s="8" t="s">
        <v>12</v>
      </c>
      <c r="I1536" t="s">
        <v>1737</v>
      </c>
      <c r="K1536" t="str">
        <f>+VLOOKUP(C1536,'[1]TIENDAS 2025'!$A$1:$C$143,3,0)</f>
        <v>nocturna</v>
      </c>
      <c r="L1536" t="str">
        <f>+VLOOKUP(C1536,[2]Hoja1!$A$1:$B$138,2,0)</f>
        <v>APROBAR</v>
      </c>
      <c r="M1536">
        <v>1</v>
      </c>
      <c r="N1536" t="e">
        <v>#N/A</v>
      </c>
    </row>
    <row r="1537" spans="1:14" ht="15" customHeight="1" x14ac:dyDescent="0.3">
      <c r="A1537" s="3">
        <v>1209659809</v>
      </c>
      <c r="B1537" s="3" t="s">
        <v>1679</v>
      </c>
      <c r="C1537" s="3" t="s">
        <v>1680</v>
      </c>
      <c r="D1537" s="4">
        <v>46307.448043981502</v>
      </c>
      <c r="E1537" s="5" t="s">
        <v>10</v>
      </c>
      <c r="F1537" s="5" t="s">
        <v>11</v>
      </c>
      <c r="G1537" s="5">
        <v>3</v>
      </c>
      <c r="H1537" s="6" t="s">
        <v>12</v>
      </c>
      <c r="I1537" t="s">
        <v>1738</v>
      </c>
      <c r="J1537" t="s">
        <v>2480</v>
      </c>
      <c r="K1537" t="str">
        <f>+VLOOKUP(C1537,'[1]TIENDAS 2025'!$A$1:$C$143,3,0)</f>
        <v>nocturna</v>
      </c>
      <c r="L1537" t="str">
        <f>+VLOOKUP(C1537,[2]Hoja1!$A$1:$B$138,2,0)</f>
        <v>APROBAR</v>
      </c>
      <c r="M1537">
        <v>1</v>
      </c>
      <c r="N1537" t="e">
        <v>#N/A</v>
      </c>
    </row>
    <row r="1538" spans="1:14" ht="15" customHeight="1" x14ac:dyDescent="0.3">
      <c r="A1538" s="3">
        <v>8209659747</v>
      </c>
      <c r="B1538" s="3" t="s">
        <v>1665</v>
      </c>
      <c r="C1538" s="3" t="s">
        <v>1666</v>
      </c>
      <c r="D1538" s="4">
        <v>46307.448043981502</v>
      </c>
      <c r="E1538" s="5" t="s">
        <v>10</v>
      </c>
      <c r="F1538" s="5" t="s">
        <v>16</v>
      </c>
      <c r="G1538" s="5">
        <v>2</v>
      </c>
      <c r="H1538" s="8" t="s">
        <v>12</v>
      </c>
      <c r="I1538" t="s">
        <v>1739</v>
      </c>
      <c r="K1538" t="str">
        <f>+VLOOKUP(C1538,'[1]TIENDAS 2025'!$A$1:$C$143,3,0)</f>
        <v>local</v>
      </c>
      <c r="L1538" t="str">
        <f>+VLOOKUP(C1538,[2]Hoja1!$A$1:$B$138,2,0)</f>
        <v>APROBAR</v>
      </c>
      <c r="M1538">
        <v>1</v>
      </c>
      <c r="N1538" t="e">
        <v>#N/A</v>
      </c>
    </row>
    <row r="1539" spans="1:14" ht="15" customHeight="1" x14ac:dyDescent="0.3">
      <c r="A1539" s="3">
        <v>1209659789</v>
      </c>
      <c r="B1539" s="3" t="s">
        <v>1676</v>
      </c>
      <c r="C1539" s="3" t="s">
        <v>1677</v>
      </c>
      <c r="D1539" s="4">
        <v>46307.4480555556</v>
      </c>
      <c r="E1539" s="5" t="s">
        <v>10</v>
      </c>
      <c r="F1539" s="5" t="s">
        <v>17</v>
      </c>
      <c r="G1539" s="5">
        <v>24</v>
      </c>
      <c r="H1539" s="6" t="s">
        <v>12</v>
      </c>
      <c r="I1539" t="s">
        <v>1740</v>
      </c>
      <c r="J1539" t="s">
        <v>2480</v>
      </c>
      <c r="K1539" t="str">
        <f>+VLOOKUP(C1539,'[1]TIENDAS 2025'!$A$1:$C$143,3,0)</f>
        <v>departamental</v>
      </c>
      <c r="L1539" t="str">
        <f>+VLOOKUP(C1539,[2]Hoja1!$A$1:$B$138,2,0)</f>
        <v>APROBAR</v>
      </c>
      <c r="M1539">
        <v>1</v>
      </c>
      <c r="N1539" t="e">
        <v>#N/A</v>
      </c>
    </row>
    <row r="1540" spans="1:14" ht="15" customHeight="1" x14ac:dyDescent="0.3">
      <c r="A1540" s="3">
        <v>1209659717</v>
      </c>
      <c r="B1540" s="3" t="s">
        <v>1662</v>
      </c>
      <c r="C1540" s="3" t="s">
        <v>1663</v>
      </c>
      <c r="D1540" s="4">
        <v>46307.448078703703</v>
      </c>
      <c r="E1540" s="5" t="s">
        <v>10</v>
      </c>
      <c r="F1540" s="5" t="s">
        <v>11</v>
      </c>
      <c r="G1540" s="5">
        <v>3</v>
      </c>
      <c r="H1540" s="6" t="s">
        <v>12</v>
      </c>
      <c r="I1540" t="s">
        <v>1741</v>
      </c>
      <c r="J1540" t="s">
        <v>2480</v>
      </c>
      <c r="K1540" t="str">
        <f>+VLOOKUP(C1540,'[1]TIENDAS 2025'!$A$1:$C$143,3,0)</f>
        <v>nocturna</v>
      </c>
      <c r="L1540" t="str">
        <f>+VLOOKUP(C1540,[2]Hoja1!$A$1:$B$138,2,0)</f>
        <v>APROBAR</v>
      </c>
      <c r="M1540">
        <v>1</v>
      </c>
      <c r="N1540" t="e">
        <v>#N/A</v>
      </c>
    </row>
    <row r="1541" spans="1:14" ht="15" customHeight="1" x14ac:dyDescent="0.3">
      <c r="A1541" s="3">
        <v>8209659682</v>
      </c>
      <c r="B1541" s="3" t="s">
        <v>1670</v>
      </c>
      <c r="C1541" s="3" t="s">
        <v>1671</v>
      </c>
      <c r="D1541" s="4">
        <v>46307.448090277801</v>
      </c>
      <c r="E1541" s="5" t="s">
        <v>10</v>
      </c>
      <c r="F1541" s="5" t="s">
        <v>16</v>
      </c>
      <c r="G1541" s="5">
        <v>8</v>
      </c>
      <c r="H1541" s="8" t="s">
        <v>12</v>
      </c>
      <c r="I1541" t="s">
        <v>1742</v>
      </c>
      <c r="K1541" t="str">
        <f>+VLOOKUP(C1541,'[1]TIENDAS 2025'!$A$1:$C$143,3,0)</f>
        <v>departamental</v>
      </c>
      <c r="L1541" t="str">
        <f>+VLOOKUP(C1541,[2]Hoja1!$A$1:$B$138,2,0)</f>
        <v>APROBAR</v>
      </c>
      <c r="M1541">
        <v>1</v>
      </c>
      <c r="N1541" t="e">
        <v>#N/A</v>
      </c>
    </row>
    <row r="1542" spans="1:14" ht="15" customHeight="1" x14ac:dyDescent="0.3">
      <c r="A1542" s="3">
        <v>1209659723</v>
      </c>
      <c r="B1542" s="3" t="s">
        <v>1662</v>
      </c>
      <c r="C1542" s="3" t="s">
        <v>1663</v>
      </c>
      <c r="D1542" s="4">
        <v>46307.448101851798</v>
      </c>
      <c r="E1542" s="5" t="s">
        <v>10</v>
      </c>
      <c r="F1542" s="5" t="s">
        <v>17</v>
      </c>
      <c r="G1542" s="5">
        <v>31</v>
      </c>
      <c r="H1542" s="6" t="s">
        <v>12</v>
      </c>
      <c r="I1542" t="s">
        <v>1743</v>
      </c>
      <c r="J1542" t="s">
        <v>2480</v>
      </c>
      <c r="K1542" t="str">
        <f>+VLOOKUP(C1542,'[1]TIENDAS 2025'!$A$1:$C$143,3,0)</f>
        <v>nocturna</v>
      </c>
      <c r="L1542" t="str">
        <f>+VLOOKUP(C1542,[2]Hoja1!$A$1:$B$138,2,0)</f>
        <v>APROBAR</v>
      </c>
      <c r="M1542">
        <v>1</v>
      </c>
      <c r="N1542" t="e">
        <v>#N/A</v>
      </c>
    </row>
    <row r="1543" spans="1:14" ht="15" customHeight="1" x14ac:dyDescent="0.3">
      <c r="A1543" s="3">
        <v>1209659689</v>
      </c>
      <c r="B1543" s="3" t="s">
        <v>1670</v>
      </c>
      <c r="C1543" s="3" t="s">
        <v>1671</v>
      </c>
      <c r="D1543" s="4">
        <v>46307.448113425897</v>
      </c>
      <c r="E1543" s="5" t="s">
        <v>10</v>
      </c>
      <c r="F1543" s="5" t="s">
        <v>17</v>
      </c>
      <c r="G1543" s="5">
        <v>18</v>
      </c>
      <c r="H1543" s="6" t="s">
        <v>12</v>
      </c>
      <c r="I1543" t="s">
        <v>1744</v>
      </c>
      <c r="J1543" t="s">
        <v>2480</v>
      </c>
      <c r="K1543" t="str">
        <f>+VLOOKUP(C1543,'[1]TIENDAS 2025'!$A$1:$C$143,3,0)</f>
        <v>departamental</v>
      </c>
      <c r="L1543" t="str">
        <f>+VLOOKUP(C1543,[2]Hoja1!$A$1:$B$138,2,0)</f>
        <v>APROBAR</v>
      </c>
      <c r="M1543">
        <v>1</v>
      </c>
      <c r="N1543" t="e">
        <v>#N/A</v>
      </c>
    </row>
    <row r="1544" spans="1:14" ht="15" customHeight="1" x14ac:dyDescent="0.3">
      <c r="A1544" s="3">
        <v>1209659690</v>
      </c>
      <c r="B1544" s="3" t="s">
        <v>1670</v>
      </c>
      <c r="C1544" s="3" t="s">
        <v>1671</v>
      </c>
      <c r="D1544" s="4">
        <v>46307.448136574101</v>
      </c>
      <c r="E1544" s="5" t="s">
        <v>10</v>
      </c>
      <c r="F1544" s="5" t="s">
        <v>11</v>
      </c>
      <c r="G1544" s="5">
        <v>36</v>
      </c>
      <c r="H1544" s="6" t="s">
        <v>12</v>
      </c>
      <c r="I1544" t="s">
        <v>1745</v>
      </c>
      <c r="J1544" t="s">
        <v>2480</v>
      </c>
      <c r="K1544" t="str">
        <f>+VLOOKUP(C1544,'[1]TIENDAS 2025'!$A$1:$C$143,3,0)</f>
        <v>departamental</v>
      </c>
      <c r="L1544" t="str">
        <f>+VLOOKUP(C1544,[2]Hoja1!$A$1:$B$138,2,0)</f>
        <v>APROBAR</v>
      </c>
      <c r="M1544">
        <v>1</v>
      </c>
      <c r="N1544" t="e">
        <v>#N/A</v>
      </c>
    </row>
    <row r="1545" spans="1:14" ht="15" customHeight="1" x14ac:dyDescent="0.3">
      <c r="A1545" s="3">
        <v>1209659692</v>
      </c>
      <c r="B1545" s="3" t="s">
        <v>1670</v>
      </c>
      <c r="C1545" s="3" t="s">
        <v>1671</v>
      </c>
      <c r="D1545" s="4">
        <v>46307.448148148098</v>
      </c>
      <c r="E1545" s="5" t="s">
        <v>10</v>
      </c>
      <c r="F1545" s="5" t="s">
        <v>11</v>
      </c>
      <c r="G1545" s="5">
        <v>49</v>
      </c>
      <c r="H1545" s="6" t="s">
        <v>12</v>
      </c>
      <c r="I1545" t="s">
        <v>1746</v>
      </c>
      <c r="J1545" t="s">
        <v>2480</v>
      </c>
      <c r="K1545" t="str">
        <f>+VLOOKUP(C1545,'[1]TIENDAS 2025'!$A$1:$C$143,3,0)</f>
        <v>departamental</v>
      </c>
      <c r="L1545" t="str">
        <f>+VLOOKUP(C1545,[2]Hoja1!$A$1:$B$138,2,0)</f>
        <v>APROBAR</v>
      </c>
      <c r="M1545">
        <v>1</v>
      </c>
      <c r="N1545" t="e">
        <v>#N/A</v>
      </c>
    </row>
    <row r="1546" spans="1:14" ht="15" customHeight="1" x14ac:dyDescent="0.3">
      <c r="A1546" s="3">
        <v>1209659764</v>
      </c>
      <c r="B1546" s="3" t="s">
        <v>1665</v>
      </c>
      <c r="C1546" s="3" t="s">
        <v>1666</v>
      </c>
      <c r="D1546" s="4">
        <v>46307.448159722197</v>
      </c>
      <c r="E1546" s="5" t="s">
        <v>10</v>
      </c>
      <c r="F1546" s="5" t="s">
        <v>11</v>
      </c>
      <c r="G1546" s="5">
        <v>8</v>
      </c>
      <c r="H1546" s="6" t="s">
        <v>12</v>
      </c>
      <c r="I1546" t="s">
        <v>1747</v>
      </c>
      <c r="J1546" t="s">
        <v>2480</v>
      </c>
      <c r="K1546" t="str">
        <f>+VLOOKUP(C1546,'[1]TIENDAS 2025'!$A$1:$C$143,3,0)</f>
        <v>local</v>
      </c>
      <c r="L1546" t="str">
        <f>+VLOOKUP(C1546,[2]Hoja1!$A$1:$B$138,2,0)</f>
        <v>APROBAR</v>
      </c>
      <c r="M1546">
        <v>1</v>
      </c>
      <c r="N1546" t="e">
        <v>#N/A</v>
      </c>
    </row>
    <row r="1547" spans="1:14" ht="15" customHeight="1" x14ac:dyDescent="0.3">
      <c r="A1547" s="3">
        <v>1209659728</v>
      </c>
      <c r="B1547" s="3" t="s">
        <v>1662</v>
      </c>
      <c r="C1547" s="3" t="s">
        <v>1663</v>
      </c>
      <c r="D1547" s="4">
        <v>46307.448171296302</v>
      </c>
      <c r="E1547" s="5" t="s">
        <v>10</v>
      </c>
      <c r="F1547" s="5" t="s">
        <v>11</v>
      </c>
      <c r="G1547" s="5">
        <v>5</v>
      </c>
      <c r="H1547" s="6" t="s">
        <v>12</v>
      </c>
      <c r="I1547" t="s">
        <v>1748</v>
      </c>
      <c r="J1547" t="s">
        <v>2480</v>
      </c>
      <c r="K1547" t="str">
        <f>+VLOOKUP(C1547,'[1]TIENDAS 2025'!$A$1:$C$143,3,0)</f>
        <v>nocturna</v>
      </c>
      <c r="L1547" t="str">
        <f>+VLOOKUP(C1547,[2]Hoja1!$A$1:$B$138,2,0)</f>
        <v>APROBAR</v>
      </c>
      <c r="M1547">
        <v>1</v>
      </c>
      <c r="N1547" t="e">
        <v>#N/A</v>
      </c>
    </row>
    <row r="1548" spans="1:14" ht="15" customHeight="1" x14ac:dyDescent="0.3">
      <c r="A1548" s="3">
        <v>1209659787</v>
      </c>
      <c r="B1548" s="3" t="s">
        <v>1676</v>
      </c>
      <c r="C1548" s="3" t="s">
        <v>1677</v>
      </c>
      <c r="D1548" s="4">
        <v>46307.448182870401</v>
      </c>
      <c r="E1548" s="5" t="s">
        <v>10</v>
      </c>
      <c r="F1548" s="5" t="s">
        <v>11</v>
      </c>
      <c r="G1548" s="5">
        <v>9</v>
      </c>
      <c r="H1548" s="6" t="s">
        <v>12</v>
      </c>
      <c r="I1548" t="s">
        <v>1749</v>
      </c>
      <c r="J1548" t="s">
        <v>2480</v>
      </c>
      <c r="K1548" t="str">
        <f>+VLOOKUP(C1548,'[1]TIENDAS 2025'!$A$1:$C$143,3,0)</f>
        <v>departamental</v>
      </c>
      <c r="L1548" t="str">
        <f>+VLOOKUP(C1548,[2]Hoja1!$A$1:$B$138,2,0)</f>
        <v>APROBAR</v>
      </c>
      <c r="M1548">
        <v>1</v>
      </c>
      <c r="N1548" t="e">
        <v>#N/A</v>
      </c>
    </row>
    <row r="1549" spans="1:14" ht="15" customHeight="1" x14ac:dyDescent="0.3">
      <c r="A1549" s="3">
        <v>1209659788</v>
      </c>
      <c r="B1549" s="3" t="s">
        <v>1676</v>
      </c>
      <c r="C1549" s="3" t="s">
        <v>1677</v>
      </c>
      <c r="D1549" s="4">
        <v>46307.448194444398</v>
      </c>
      <c r="E1549" s="5" t="s">
        <v>10</v>
      </c>
      <c r="F1549" s="5" t="s">
        <v>11</v>
      </c>
      <c r="G1549" s="5">
        <v>13</v>
      </c>
      <c r="H1549" s="6" t="s">
        <v>12</v>
      </c>
      <c r="I1549" t="s">
        <v>1750</v>
      </c>
      <c r="J1549" t="s">
        <v>2480</v>
      </c>
      <c r="K1549" t="str">
        <f>+VLOOKUP(C1549,'[1]TIENDAS 2025'!$A$1:$C$143,3,0)</f>
        <v>departamental</v>
      </c>
      <c r="L1549" t="str">
        <f>+VLOOKUP(C1549,[2]Hoja1!$A$1:$B$138,2,0)</f>
        <v>APROBAR</v>
      </c>
      <c r="M1549">
        <v>1</v>
      </c>
      <c r="N1549" t="e">
        <v>#N/A</v>
      </c>
    </row>
    <row r="1550" spans="1:14" ht="15" customHeight="1" x14ac:dyDescent="0.3">
      <c r="A1550" s="3">
        <v>8209659792</v>
      </c>
      <c r="B1550" s="3" t="s">
        <v>1676</v>
      </c>
      <c r="C1550" s="3" t="s">
        <v>1677</v>
      </c>
      <c r="D1550" s="4">
        <v>46307.448217592602</v>
      </c>
      <c r="E1550" s="5" t="s">
        <v>10</v>
      </c>
      <c r="F1550" s="5" t="s">
        <v>16</v>
      </c>
      <c r="G1550" s="5">
        <v>2</v>
      </c>
      <c r="H1550" s="8" t="s">
        <v>12</v>
      </c>
      <c r="I1550" t="s">
        <v>1751</v>
      </c>
      <c r="K1550" t="str">
        <f>+VLOOKUP(C1550,'[1]TIENDAS 2025'!$A$1:$C$143,3,0)</f>
        <v>departamental</v>
      </c>
      <c r="L1550" t="str">
        <f>+VLOOKUP(C1550,[2]Hoja1!$A$1:$B$138,2,0)</f>
        <v>APROBAR</v>
      </c>
      <c r="M1550">
        <v>1</v>
      </c>
      <c r="N1550" t="e">
        <v>#N/A</v>
      </c>
    </row>
    <row r="1551" spans="1:14" ht="15" customHeight="1" x14ac:dyDescent="0.3">
      <c r="A1551" s="3">
        <v>1209659796</v>
      </c>
      <c r="B1551" s="3" t="s">
        <v>1676</v>
      </c>
      <c r="C1551" s="3" t="s">
        <v>1677</v>
      </c>
      <c r="D1551" s="4">
        <v>46307.448229166701</v>
      </c>
      <c r="E1551" s="5" t="s">
        <v>10</v>
      </c>
      <c r="F1551" s="5" t="s">
        <v>11</v>
      </c>
      <c r="G1551" s="5">
        <v>7</v>
      </c>
      <c r="H1551" s="6" t="s">
        <v>12</v>
      </c>
      <c r="I1551" t="s">
        <v>1752</v>
      </c>
      <c r="J1551" t="s">
        <v>2480</v>
      </c>
      <c r="K1551" t="str">
        <f>+VLOOKUP(C1551,'[1]TIENDAS 2025'!$A$1:$C$143,3,0)</f>
        <v>departamental</v>
      </c>
      <c r="L1551" t="str">
        <f>+VLOOKUP(C1551,[2]Hoja1!$A$1:$B$138,2,0)</f>
        <v>APROBAR</v>
      </c>
      <c r="M1551">
        <v>1</v>
      </c>
      <c r="N1551" t="e">
        <v>#N/A</v>
      </c>
    </row>
    <row r="1552" spans="1:14" ht="15" customHeight="1" x14ac:dyDescent="0.3">
      <c r="A1552" s="3">
        <v>8209659802</v>
      </c>
      <c r="B1552" s="3" t="s">
        <v>1679</v>
      </c>
      <c r="C1552" s="3" t="s">
        <v>1680</v>
      </c>
      <c r="D1552" s="4">
        <v>46307.448240740698</v>
      </c>
      <c r="E1552" s="5" t="s">
        <v>10</v>
      </c>
      <c r="F1552" s="5" t="s">
        <v>16</v>
      </c>
      <c r="G1552" s="5">
        <v>11</v>
      </c>
      <c r="H1552" s="8" t="s">
        <v>12</v>
      </c>
      <c r="I1552" t="s">
        <v>1753</v>
      </c>
      <c r="K1552" t="str">
        <f>+VLOOKUP(C1552,'[1]TIENDAS 2025'!$A$1:$C$143,3,0)</f>
        <v>nocturna</v>
      </c>
      <c r="L1552" t="str">
        <f>+VLOOKUP(C1552,[2]Hoja1!$A$1:$B$138,2,0)</f>
        <v>APROBAR</v>
      </c>
      <c r="M1552">
        <v>1</v>
      </c>
      <c r="N1552" t="e">
        <v>#N/A</v>
      </c>
    </row>
    <row r="1553" spans="1:14" ht="15" customHeight="1" x14ac:dyDescent="0.3">
      <c r="A1553" s="3">
        <v>8209659806</v>
      </c>
      <c r="B1553" s="3" t="s">
        <v>1679</v>
      </c>
      <c r="C1553" s="3" t="s">
        <v>1680</v>
      </c>
      <c r="D1553" s="4">
        <v>46307.448252314804</v>
      </c>
      <c r="E1553" s="5" t="s">
        <v>10</v>
      </c>
      <c r="F1553" s="5" t="s">
        <v>16</v>
      </c>
      <c r="G1553" s="5">
        <v>2</v>
      </c>
      <c r="H1553" s="8" t="s">
        <v>12</v>
      </c>
      <c r="I1553" t="s">
        <v>1754</v>
      </c>
      <c r="K1553" t="str">
        <f>+VLOOKUP(C1553,'[1]TIENDAS 2025'!$A$1:$C$143,3,0)</f>
        <v>nocturna</v>
      </c>
      <c r="L1553" t="str">
        <f>+VLOOKUP(C1553,[2]Hoja1!$A$1:$B$138,2,0)</f>
        <v>APROBAR</v>
      </c>
      <c r="M1553">
        <v>1</v>
      </c>
      <c r="N1553" t="e">
        <v>#N/A</v>
      </c>
    </row>
    <row r="1554" spans="1:14" ht="15" customHeight="1" x14ac:dyDescent="0.3">
      <c r="A1554" s="3">
        <v>1209659862</v>
      </c>
      <c r="B1554" s="3" t="s">
        <v>1756</v>
      </c>
      <c r="C1554" s="3" t="s">
        <v>1757</v>
      </c>
      <c r="D1554" s="4">
        <v>46307.450601851902</v>
      </c>
      <c r="E1554" s="5" t="s">
        <v>10</v>
      </c>
      <c r="F1554" s="5" t="s">
        <v>11</v>
      </c>
      <c r="G1554" s="5">
        <v>23</v>
      </c>
      <c r="H1554" s="6" t="s">
        <v>12</v>
      </c>
      <c r="I1554" t="s">
        <v>1755</v>
      </c>
      <c r="J1554" t="s">
        <v>2480</v>
      </c>
      <c r="K1554" t="str">
        <f>+VLOOKUP(C1554,'[1]TIENDAS 2025'!$A$1:$C$143,3,0)</f>
        <v>nocturna</v>
      </c>
      <c r="L1554" t="str">
        <f>+VLOOKUP(C1554,[2]Hoja1!$A$1:$B$138,2,0)</f>
        <v>APROBAR</v>
      </c>
      <c r="M1554">
        <v>1</v>
      </c>
      <c r="N1554" t="e">
        <v>#N/A</v>
      </c>
    </row>
    <row r="1555" spans="1:14" ht="15" customHeight="1" x14ac:dyDescent="0.3">
      <c r="A1555" s="3">
        <v>8209659993</v>
      </c>
      <c r="B1555" s="3" t="s">
        <v>1759</v>
      </c>
      <c r="C1555" s="3" t="s">
        <v>1760</v>
      </c>
      <c r="D1555" s="4">
        <v>46307.450613425899</v>
      </c>
      <c r="E1555" s="5" t="s">
        <v>10</v>
      </c>
      <c r="F1555" s="5" t="s">
        <v>16</v>
      </c>
      <c r="G1555" s="5">
        <v>1</v>
      </c>
      <c r="H1555" s="8" t="s">
        <v>12</v>
      </c>
      <c r="I1555" t="s">
        <v>1758</v>
      </c>
      <c r="K1555" t="str">
        <f>+VLOOKUP(C1555,'[1]TIENDAS 2025'!$A$1:$C$143,3,0)</f>
        <v>local</v>
      </c>
      <c r="L1555" t="str">
        <f>+VLOOKUP(C1555,[2]Hoja1!$A$1:$B$138,2,0)</f>
        <v>APROBAR</v>
      </c>
      <c r="M1555">
        <v>1</v>
      </c>
      <c r="N1555" t="e">
        <v>#N/A</v>
      </c>
    </row>
    <row r="1556" spans="1:14" ht="15" customHeight="1" x14ac:dyDescent="0.3">
      <c r="A1556" s="3">
        <v>8209659920</v>
      </c>
      <c r="B1556" s="3" t="s">
        <v>1762</v>
      </c>
      <c r="C1556" s="3" t="s">
        <v>1763</v>
      </c>
      <c r="D1556" s="4">
        <v>46307.450636574104</v>
      </c>
      <c r="E1556" s="5" t="s">
        <v>10</v>
      </c>
      <c r="F1556" s="5" t="s">
        <v>16</v>
      </c>
      <c r="G1556" s="5">
        <v>4</v>
      </c>
      <c r="H1556" s="8" t="s">
        <v>12</v>
      </c>
      <c r="I1556" t="s">
        <v>1761</v>
      </c>
      <c r="K1556" t="str">
        <f>+VLOOKUP(C1556,'[1]TIENDAS 2025'!$A$1:$C$143,3,0)</f>
        <v>prioridad</v>
      </c>
      <c r="L1556" t="str">
        <f>+VLOOKUP(C1556,[2]Hoja1!$A$1:$B$138,2,0)</f>
        <v>APROBAR</v>
      </c>
      <c r="M1556">
        <v>1</v>
      </c>
      <c r="N1556" t="e">
        <v>#N/A</v>
      </c>
    </row>
    <row r="1557" spans="1:14" ht="15" customHeight="1" x14ac:dyDescent="0.3">
      <c r="A1557" s="3">
        <v>1209660004</v>
      </c>
      <c r="B1557" s="3" t="s">
        <v>1759</v>
      </c>
      <c r="C1557" s="3" t="s">
        <v>1760</v>
      </c>
      <c r="D1557" s="4">
        <v>46307.450648148202</v>
      </c>
      <c r="E1557" s="5" t="s">
        <v>10</v>
      </c>
      <c r="F1557" s="5" t="s">
        <v>17</v>
      </c>
      <c r="G1557" s="5">
        <v>24</v>
      </c>
      <c r="H1557" s="6" t="s">
        <v>12</v>
      </c>
      <c r="I1557" t="s">
        <v>1764</v>
      </c>
      <c r="J1557" t="s">
        <v>2480</v>
      </c>
      <c r="K1557" t="str">
        <f>+VLOOKUP(C1557,'[1]TIENDAS 2025'!$A$1:$C$143,3,0)</f>
        <v>local</v>
      </c>
      <c r="L1557" t="str">
        <f>+VLOOKUP(C1557,[2]Hoja1!$A$1:$B$138,2,0)</f>
        <v>APROBAR</v>
      </c>
      <c r="M1557">
        <v>1</v>
      </c>
      <c r="N1557" t="e">
        <v>#N/A</v>
      </c>
    </row>
    <row r="1558" spans="1:14" ht="15" customHeight="1" x14ac:dyDescent="0.3">
      <c r="A1558" s="3">
        <v>1209659911</v>
      </c>
      <c r="B1558" s="3" t="s">
        <v>1762</v>
      </c>
      <c r="C1558" s="3" t="s">
        <v>1763</v>
      </c>
      <c r="D1558" s="4">
        <v>46307.450659722199</v>
      </c>
      <c r="E1558" s="5" t="s">
        <v>10</v>
      </c>
      <c r="F1558" s="5" t="s">
        <v>11</v>
      </c>
      <c r="G1558" s="5">
        <v>21</v>
      </c>
      <c r="H1558" s="6" t="s">
        <v>12</v>
      </c>
      <c r="I1558" t="s">
        <v>1765</v>
      </c>
      <c r="J1558" t="s">
        <v>2480</v>
      </c>
      <c r="K1558" t="str">
        <f>+VLOOKUP(C1558,'[1]TIENDAS 2025'!$A$1:$C$143,3,0)</f>
        <v>prioridad</v>
      </c>
      <c r="L1558" t="str">
        <f>+VLOOKUP(C1558,[2]Hoja1!$A$1:$B$138,2,0)</f>
        <v>APROBAR</v>
      </c>
      <c r="M1558">
        <v>1</v>
      </c>
      <c r="N1558" t="e">
        <v>#N/A</v>
      </c>
    </row>
    <row r="1559" spans="1:14" ht="15" customHeight="1" x14ac:dyDescent="0.3">
      <c r="A1559" s="3">
        <v>1209659922</v>
      </c>
      <c r="B1559" s="3" t="s">
        <v>1762</v>
      </c>
      <c r="C1559" s="3" t="s">
        <v>1763</v>
      </c>
      <c r="D1559" s="4">
        <v>46307.450682870403</v>
      </c>
      <c r="E1559" s="5" t="s">
        <v>10</v>
      </c>
      <c r="F1559" s="5" t="s">
        <v>17</v>
      </c>
      <c r="G1559" s="5">
        <v>19</v>
      </c>
      <c r="H1559" s="6" t="s">
        <v>12</v>
      </c>
      <c r="I1559" t="s">
        <v>1766</v>
      </c>
      <c r="J1559" t="s">
        <v>2480</v>
      </c>
      <c r="K1559" t="str">
        <f>+VLOOKUP(C1559,'[1]TIENDAS 2025'!$A$1:$C$143,3,0)</f>
        <v>prioridad</v>
      </c>
      <c r="L1559" t="str">
        <f>+VLOOKUP(C1559,[2]Hoja1!$A$1:$B$138,2,0)</f>
        <v>APROBAR</v>
      </c>
      <c r="M1559">
        <v>1</v>
      </c>
      <c r="N1559" t="e">
        <v>#N/A</v>
      </c>
    </row>
    <row r="1560" spans="1:14" ht="15" customHeight="1" x14ac:dyDescent="0.3">
      <c r="A1560" s="3">
        <v>1209660007</v>
      </c>
      <c r="B1560" s="3" t="s">
        <v>1759</v>
      </c>
      <c r="C1560" s="3" t="s">
        <v>1760</v>
      </c>
      <c r="D1560" s="4">
        <v>46307.450682870403</v>
      </c>
      <c r="E1560" s="5" t="s">
        <v>10</v>
      </c>
      <c r="F1560" s="5" t="s">
        <v>11</v>
      </c>
      <c r="G1560" s="5">
        <v>14</v>
      </c>
      <c r="H1560" s="6" t="s">
        <v>12</v>
      </c>
      <c r="I1560" t="s">
        <v>1767</v>
      </c>
      <c r="J1560" t="s">
        <v>2480</v>
      </c>
      <c r="K1560" t="str">
        <f>+VLOOKUP(C1560,'[1]TIENDAS 2025'!$A$1:$C$143,3,0)</f>
        <v>local</v>
      </c>
      <c r="L1560" t="str">
        <f>+VLOOKUP(C1560,[2]Hoja1!$A$1:$B$138,2,0)</f>
        <v>APROBAR</v>
      </c>
      <c r="M1560">
        <v>1</v>
      </c>
      <c r="N1560" t="e">
        <v>#N/A</v>
      </c>
    </row>
    <row r="1561" spans="1:14" ht="15" customHeight="1" x14ac:dyDescent="0.3">
      <c r="A1561" s="3">
        <v>1209659950</v>
      </c>
      <c r="B1561" s="3" t="s">
        <v>1769</v>
      </c>
      <c r="C1561" s="3" t="s">
        <v>1770</v>
      </c>
      <c r="D1561" s="4">
        <v>46307.450706018499</v>
      </c>
      <c r="E1561" s="5" t="s">
        <v>10</v>
      </c>
      <c r="F1561" s="5" t="s">
        <v>11</v>
      </c>
      <c r="G1561" s="5">
        <v>5</v>
      </c>
      <c r="H1561" s="6" t="s">
        <v>12</v>
      </c>
      <c r="I1561" t="s">
        <v>1768</v>
      </c>
      <c r="J1561" t="s">
        <v>2480</v>
      </c>
      <c r="K1561" t="str">
        <f>+VLOOKUP(C1561,'[1]TIENDAS 2025'!$A$1:$C$143,3,0)</f>
        <v>nocturna</v>
      </c>
      <c r="L1561" t="str">
        <f>+VLOOKUP(C1561,[2]Hoja1!$A$1:$B$138,2,0)</f>
        <v>APROBAR</v>
      </c>
      <c r="M1561">
        <v>1</v>
      </c>
      <c r="N1561" t="e">
        <v>#N/A</v>
      </c>
    </row>
    <row r="1562" spans="1:14" ht="15" customHeight="1" x14ac:dyDescent="0.3">
      <c r="A1562" s="3">
        <v>1209659999</v>
      </c>
      <c r="B1562" s="3" t="s">
        <v>1759</v>
      </c>
      <c r="C1562" s="3" t="s">
        <v>1760</v>
      </c>
      <c r="D1562" s="4">
        <v>46307.450717592597</v>
      </c>
      <c r="E1562" s="5" t="s">
        <v>10</v>
      </c>
      <c r="F1562" s="5" t="s">
        <v>17</v>
      </c>
      <c r="G1562" s="5">
        <v>10</v>
      </c>
      <c r="H1562" s="6" t="s">
        <v>12</v>
      </c>
      <c r="I1562" t="s">
        <v>1771</v>
      </c>
      <c r="J1562" t="s">
        <v>2480</v>
      </c>
      <c r="K1562" t="str">
        <f>+VLOOKUP(C1562,'[1]TIENDAS 2025'!$A$1:$C$143,3,0)</f>
        <v>local</v>
      </c>
      <c r="L1562" t="str">
        <f>+VLOOKUP(C1562,[2]Hoja1!$A$1:$B$138,2,0)</f>
        <v>APROBAR</v>
      </c>
      <c r="M1562">
        <v>1</v>
      </c>
      <c r="N1562" t="e">
        <v>#N/A</v>
      </c>
    </row>
    <row r="1563" spans="1:14" ht="15" customHeight="1" x14ac:dyDescent="0.3">
      <c r="A1563" s="3">
        <v>8209659843</v>
      </c>
      <c r="B1563" s="3" t="s">
        <v>1756</v>
      </c>
      <c r="C1563" s="3" t="s">
        <v>1757</v>
      </c>
      <c r="D1563" s="4">
        <v>46307.450729166703</v>
      </c>
      <c r="E1563" s="5" t="s">
        <v>10</v>
      </c>
      <c r="F1563" s="5" t="s">
        <v>16</v>
      </c>
      <c r="G1563" s="5">
        <v>13</v>
      </c>
      <c r="H1563" s="8" t="s">
        <v>12</v>
      </c>
      <c r="I1563" t="s">
        <v>1772</v>
      </c>
      <c r="K1563" t="str">
        <f>+VLOOKUP(C1563,'[1]TIENDAS 2025'!$A$1:$C$143,3,0)</f>
        <v>nocturna</v>
      </c>
      <c r="L1563" t="str">
        <f>+VLOOKUP(C1563,[2]Hoja1!$A$1:$B$138,2,0)</f>
        <v>APROBAR</v>
      </c>
      <c r="M1563">
        <v>1</v>
      </c>
      <c r="N1563" t="e">
        <v>#N/A</v>
      </c>
    </row>
    <row r="1564" spans="1:14" ht="15" customHeight="1" x14ac:dyDescent="0.3">
      <c r="A1564" s="3">
        <v>1209659849</v>
      </c>
      <c r="B1564" s="3" t="s">
        <v>1756</v>
      </c>
      <c r="C1564" s="3" t="s">
        <v>1757</v>
      </c>
      <c r="D1564" s="4">
        <v>46307.450752314799</v>
      </c>
      <c r="E1564" s="5" t="s">
        <v>10</v>
      </c>
      <c r="F1564" s="5" t="s">
        <v>17</v>
      </c>
      <c r="G1564" s="5">
        <v>10</v>
      </c>
      <c r="H1564" s="6" t="s">
        <v>12</v>
      </c>
      <c r="I1564" t="s">
        <v>1773</v>
      </c>
      <c r="J1564" t="s">
        <v>2480</v>
      </c>
      <c r="K1564" t="str">
        <f>+VLOOKUP(C1564,'[1]TIENDAS 2025'!$A$1:$C$143,3,0)</f>
        <v>nocturna</v>
      </c>
      <c r="L1564" t="str">
        <f>+VLOOKUP(C1564,[2]Hoja1!$A$1:$B$138,2,0)</f>
        <v>APROBAR</v>
      </c>
      <c r="M1564">
        <v>1</v>
      </c>
      <c r="N1564" t="e">
        <v>#N/A</v>
      </c>
    </row>
    <row r="1565" spans="1:14" ht="15" customHeight="1" x14ac:dyDescent="0.3">
      <c r="A1565" s="3">
        <v>1209659850</v>
      </c>
      <c r="B1565" s="3" t="s">
        <v>1756</v>
      </c>
      <c r="C1565" s="3" t="s">
        <v>1757</v>
      </c>
      <c r="D1565" s="4">
        <v>46307.450763888897</v>
      </c>
      <c r="E1565" s="5" t="s">
        <v>10</v>
      </c>
      <c r="F1565" s="5" t="s">
        <v>11</v>
      </c>
      <c r="G1565" s="5">
        <v>16</v>
      </c>
      <c r="H1565" s="6" t="s">
        <v>12</v>
      </c>
      <c r="I1565" t="s">
        <v>1774</v>
      </c>
      <c r="J1565" t="s">
        <v>2480</v>
      </c>
      <c r="K1565" t="str">
        <f>+VLOOKUP(C1565,'[1]TIENDAS 2025'!$A$1:$C$143,3,0)</f>
        <v>nocturna</v>
      </c>
      <c r="L1565" t="str">
        <f>+VLOOKUP(C1565,[2]Hoja1!$A$1:$B$138,2,0)</f>
        <v>APROBAR</v>
      </c>
      <c r="M1565">
        <v>1</v>
      </c>
      <c r="N1565" t="e">
        <v>#N/A</v>
      </c>
    </row>
    <row r="1566" spans="1:14" ht="15" customHeight="1" x14ac:dyDescent="0.3">
      <c r="A1566" s="3">
        <v>1209659851</v>
      </c>
      <c r="B1566" s="3" t="s">
        <v>1756</v>
      </c>
      <c r="C1566" s="3" t="s">
        <v>1757</v>
      </c>
      <c r="D1566" s="4">
        <v>46307.450763888897</v>
      </c>
      <c r="E1566" s="5" t="s">
        <v>10</v>
      </c>
      <c r="F1566" s="5" t="s">
        <v>11</v>
      </c>
      <c r="G1566" s="5">
        <v>13</v>
      </c>
      <c r="H1566" s="6" t="s">
        <v>12</v>
      </c>
      <c r="I1566" t="s">
        <v>1775</v>
      </c>
      <c r="J1566" t="s">
        <v>2480</v>
      </c>
      <c r="K1566" t="str">
        <f>+VLOOKUP(C1566,'[1]TIENDAS 2025'!$A$1:$C$143,3,0)</f>
        <v>nocturna</v>
      </c>
      <c r="L1566" t="str">
        <f>+VLOOKUP(C1566,[2]Hoja1!$A$1:$B$138,2,0)</f>
        <v>APROBAR</v>
      </c>
      <c r="M1566">
        <v>1</v>
      </c>
      <c r="N1566" t="e">
        <v>#N/A</v>
      </c>
    </row>
    <row r="1567" spans="1:14" ht="15" customHeight="1" x14ac:dyDescent="0.3">
      <c r="A1567" s="3">
        <v>1209659853</v>
      </c>
      <c r="B1567" s="3" t="s">
        <v>1756</v>
      </c>
      <c r="C1567" s="3" t="s">
        <v>1757</v>
      </c>
      <c r="D1567" s="4">
        <v>46307.450787037</v>
      </c>
      <c r="E1567" s="5" t="s">
        <v>10</v>
      </c>
      <c r="F1567" s="5" t="s">
        <v>11</v>
      </c>
      <c r="G1567" s="5">
        <v>11</v>
      </c>
      <c r="H1567" s="6" t="s">
        <v>12</v>
      </c>
      <c r="I1567" t="s">
        <v>1776</v>
      </c>
      <c r="J1567" t="s">
        <v>2480</v>
      </c>
      <c r="K1567" t="str">
        <f>+VLOOKUP(C1567,'[1]TIENDAS 2025'!$A$1:$C$143,3,0)</f>
        <v>nocturna</v>
      </c>
      <c r="L1567" t="str">
        <f>+VLOOKUP(C1567,[2]Hoja1!$A$1:$B$138,2,0)</f>
        <v>APROBAR</v>
      </c>
      <c r="M1567">
        <v>1</v>
      </c>
      <c r="N1567" t="e">
        <v>#N/A</v>
      </c>
    </row>
    <row r="1568" spans="1:14" ht="15" customHeight="1" x14ac:dyDescent="0.3">
      <c r="A1568" s="3">
        <v>1209659895</v>
      </c>
      <c r="B1568" s="3" t="s">
        <v>1762</v>
      </c>
      <c r="C1568" s="3" t="s">
        <v>1763</v>
      </c>
      <c r="D1568" s="4">
        <v>46307.450798611098</v>
      </c>
      <c r="E1568" s="5" t="s">
        <v>10</v>
      </c>
      <c r="F1568" s="5" t="s">
        <v>17</v>
      </c>
      <c r="G1568" s="5">
        <v>16</v>
      </c>
      <c r="H1568" s="6" t="s">
        <v>12</v>
      </c>
      <c r="I1568" t="s">
        <v>1777</v>
      </c>
      <c r="J1568" t="s">
        <v>2480</v>
      </c>
      <c r="K1568" t="str">
        <f>+VLOOKUP(C1568,'[1]TIENDAS 2025'!$A$1:$C$143,3,0)</f>
        <v>prioridad</v>
      </c>
      <c r="L1568" t="str">
        <f>+VLOOKUP(C1568,[2]Hoja1!$A$1:$B$138,2,0)</f>
        <v>APROBAR</v>
      </c>
      <c r="M1568">
        <v>1</v>
      </c>
      <c r="N1568" t="e">
        <v>#N/A</v>
      </c>
    </row>
    <row r="1569" spans="1:14" ht="15" customHeight="1" x14ac:dyDescent="0.3">
      <c r="A1569" s="3">
        <v>8209659944</v>
      </c>
      <c r="B1569" s="3" t="s">
        <v>1769</v>
      </c>
      <c r="C1569" s="3" t="s">
        <v>1770</v>
      </c>
      <c r="D1569" s="4">
        <v>46307.450821759303</v>
      </c>
      <c r="E1569" s="5" t="s">
        <v>10</v>
      </c>
      <c r="F1569" s="5" t="s">
        <v>16</v>
      </c>
      <c r="G1569" s="5">
        <v>6</v>
      </c>
      <c r="H1569" s="8" t="s">
        <v>12</v>
      </c>
      <c r="I1569" t="s">
        <v>1778</v>
      </c>
      <c r="K1569" t="str">
        <f>+VLOOKUP(C1569,'[1]TIENDAS 2025'!$A$1:$C$143,3,0)</f>
        <v>nocturna</v>
      </c>
      <c r="L1569" t="str">
        <f>+VLOOKUP(C1569,[2]Hoja1!$A$1:$B$138,2,0)</f>
        <v>APROBAR</v>
      </c>
      <c r="M1569">
        <v>1</v>
      </c>
      <c r="N1569" t="e">
        <v>#N/A</v>
      </c>
    </row>
    <row r="1570" spans="1:14" ht="15" customHeight="1" x14ac:dyDescent="0.3">
      <c r="A1570" s="3">
        <v>8209659945</v>
      </c>
      <c r="B1570" s="3" t="s">
        <v>1769</v>
      </c>
      <c r="C1570" s="3" t="s">
        <v>1770</v>
      </c>
      <c r="D1570" s="4">
        <v>46307.4508333333</v>
      </c>
      <c r="E1570" s="5" t="s">
        <v>10</v>
      </c>
      <c r="F1570" s="5" t="s">
        <v>16</v>
      </c>
      <c r="G1570" s="5">
        <v>7</v>
      </c>
      <c r="H1570" s="8" t="s">
        <v>12</v>
      </c>
      <c r="I1570" t="s">
        <v>1779</v>
      </c>
      <c r="K1570" t="str">
        <f>+VLOOKUP(C1570,'[1]TIENDAS 2025'!$A$1:$C$143,3,0)</f>
        <v>nocturna</v>
      </c>
      <c r="L1570" t="str">
        <f>+VLOOKUP(C1570,[2]Hoja1!$A$1:$B$138,2,0)</f>
        <v>APROBAR</v>
      </c>
      <c r="M1570">
        <v>1</v>
      </c>
      <c r="N1570" t="e">
        <v>#N/A</v>
      </c>
    </row>
    <row r="1571" spans="1:14" ht="15" customHeight="1" x14ac:dyDescent="0.3">
      <c r="A1571" s="3">
        <v>1209659855</v>
      </c>
      <c r="B1571" s="3" t="s">
        <v>1756</v>
      </c>
      <c r="C1571" s="3" t="s">
        <v>1757</v>
      </c>
      <c r="D1571" s="4">
        <v>46307.450844907398</v>
      </c>
      <c r="E1571" s="5" t="s">
        <v>10</v>
      </c>
      <c r="F1571" s="5" t="s">
        <v>17</v>
      </c>
      <c r="G1571" s="5">
        <v>38</v>
      </c>
      <c r="H1571" s="6" t="s">
        <v>12</v>
      </c>
      <c r="I1571" t="s">
        <v>1780</v>
      </c>
      <c r="J1571" t="s">
        <v>2480</v>
      </c>
      <c r="K1571" t="str">
        <f>+VLOOKUP(C1571,'[1]TIENDAS 2025'!$A$1:$C$143,3,0)</f>
        <v>nocturna</v>
      </c>
      <c r="L1571" t="str">
        <f>+VLOOKUP(C1571,[2]Hoja1!$A$1:$B$138,2,0)</f>
        <v>APROBAR</v>
      </c>
      <c r="M1571">
        <v>1</v>
      </c>
      <c r="N1571" t="e">
        <v>#N/A</v>
      </c>
    </row>
    <row r="1572" spans="1:14" ht="15" customHeight="1" x14ac:dyDescent="0.3">
      <c r="A1572" s="3">
        <v>1209659952</v>
      </c>
      <c r="B1572" s="3" t="s">
        <v>1769</v>
      </c>
      <c r="C1572" s="3" t="s">
        <v>1770</v>
      </c>
      <c r="D1572" s="4">
        <v>46307.450856481497</v>
      </c>
      <c r="E1572" s="5" t="s">
        <v>10</v>
      </c>
      <c r="F1572" s="5" t="s">
        <v>17</v>
      </c>
      <c r="G1572" s="5">
        <v>9</v>
      </c>
      <c r="H1572" s="6" t="s">
        <v>12</v>
      </c>
      <c r="I1572" t="s">
        <v>1781</v>
      </c>
      <c r="J1572" t="s">
        <v>2480</v>
      </c>
      <c r="K1572" t="str">
        <f>+VLOOKUP(C1572,'[1]TIENDAS 2025'!$A$1:$C$143,3,0)</f>
        <v>nocturna</v>
      </c>
      <c r="L1572" t="str">
        <f>+VLOOKUP(C1572,[2]Hoja1!$A$1:$B$138,2,0)</f>
        <v>APROBAR</v>
      </c>
      <c r="M1572">
        <v>1</v>
      </c>
      <c r="N1572" t="e">
        <v>#N/A</v>
      </c>
    </row>
    <row r="1573" spans="1:14" ht="15" customHeight="1" x14ac:dyDescent="0.3">
      <c r="A1573" s="3">
        <v>1209659955</v>
      </c>
      <c r="B1573" s="3" t="s">
        <v>1769</v>
      </c>
      <c r="C1573" s="3" t="s">
        <v>1770</v>
      </c>
      <c r="D1573" s="4">
        <v>46307.450868055603</v>
      </c>
      <c r="E1573" s="5" t="s">
        <v>10</v>
      </c>
      <c r="F1573" s="5" t="s">
        <v>11</v>
      </c>
      <c r="G1573" s="5">
        <v>13</v>
      </c>
      <c r="H1573" s="6" t="s">
        <v>12</v>
      </c>
      <c r="I1573" t="s">
        <v>1782</v>
      </c>
      <c r="J1573" t="s">
        <v>2480</v>
      </c>
      <c r="K1573" t="str">
        <f>+VLOOKUP(C1573,'[1]TIENDAS 2025'!$A$1:$C$143,3,0)</f>
        <v>nocturna</v>
      </c>
      <c r="L1573" t="str">
        <f>+VLOOKUP(C1573,[2]Hoja1!$A$1:$B$138,2,0)</f>
        <v>APROBAR</v>
      </c>
      <c r="M1573">
        <v>1</v>
      </c>
      <c r="N1573" t="e">
        <v>#N/A</v>
      </c>
    </row>
    <row r="1574" spans="1:14" ht="15" customHeight="1" x14ac:dyDescent="0.3">
      <c r="A1574" s="3">
        <v>8209659991</v>
      </c>
      <c r="B1574" s="3" t="s">
        <v>1759</v>
      </c>
      <c r="C1574" s="3" t="s">
        <v>1760</v>
      </c>
      <c r="D1574" s="4">
        <v>46307.450891203698</v>
      </c>
      <c r="E1574" s="5" t="s">
        <v>10</v>
      </c>
      <c r="F1574" s="5" t="s">
        <v>16</v>
      </c>
      <c r="G1574" s="5">
        <v>3</v>
      </c>
      <c r="H1574" s="8" t="s">
        <v>12</v>
      </c>
      <c r="I1574" t="s">
        <v>1783</v>
      </c>
      <c r="K1574" t="str">
        <f>+VLOOKUP(C1574,'[1]TIENDAS 2025'!$A$1:$C$143,3,0)</f>
        <v>local</v>
      </c>
      <c r="L1574" t="str">
        <f>+VLOOKUP(C1574,[2]Hoja1!$A$1:$B$138,2,0)</f>
        <v>APROBAR</v>
      </c>
      <c r="M1574">
        <v>1</v>
      </c>
      <c r="N1574" t="e">
        <v>#N/A</v>
      </c>
    </row>
    <row r="1575" spans="1:14" ht="15" customHeight="1" x14ac:dyDescent="0.3">
      <c r="A1575" s="3">
        <v>8209659906</v>
      </c>
      <c r="B1575" s="3" t="s">
        <v>1762</v>
      </c>
      <c r="C1575" s="3" t="s">
        <v>1763</v>
      </c>
      <c r="D1575" s="4">
        <v>46307.450902777797</v>
      </c>
      <c r="E1575" s="5" t="s">
        <v>10</v>
      </c>
      <c r="F1575" s="5" t="s">
        <v>16</v>
      </c>
      <c r="G1575" s="5">
        <v>79</v>
      </c>
      <c r="H1575" s="8" t="s">
        <v>12</v>
      </c>
      <c r="I1575" t="s">
        <v>1784</v>
      </c>
      <c r="K1575" t="str">
        <f>+VLOOKUP(C1575,'[1]TIENDAS 2025'!$A$1:$C$143,3,0)</f>
        <v>prioridad</v>
      </c>
      <c r="L1575" t="str">
        <f>+VLOOKUP(C1575,[2]Hoja1!$A$1:$B$138,2,0)</f>
        <v>APROBAR</v>
      </c>
      <c r="M1575">
        <v>1</v>
      </c>
      <c r="N1575" t="e">
        <v>#N/A</v>
      </c>
    </row>
    <row r="1576" spans="1:14" ht="15" customHeight="1" x14ac:dyDescent="0.3">
      <c r="A1576" s="3">
        <v>1209659997</v>
      </c>
      <c r="B1576" s="3" t="s">
        <v>1759</v>
      </c>
      <c r="C1576" s="3" t="s">
        <v>1760</v>
      </c>
      <c r="D1576" s="4">
        <v>46307.450902777797</v>
      </c>
      <c r="E1576" s="5" t="s">
        <v>10</v>
      </c>
      <c r="F1576" s="5" t="s">
        <v>17</v>
      </c>
      <c r="G1576" s="5">
        <v>5</v>
      </c>
      <c r="H1576" s="6" t="s">
        <v>12</v>
      </c>
      <c r="I1576" t="s">
        <v>1785</v>
      </c>
      <c r="J1576" t="s">
        <v>2480</v>
      </c>
      <c r="K1576" t="str">
        <f>+VLOOKUP(C1576,'[1]TIENDAS 2025'!$A$1:$C$143,3,0)</f>
        <v>local</v>
      </c>
      <c r="L1576" t="str">
        <f>+VLOOKUP(C1576,[2]Hoja1!$A$1:$B$138,2,0)</f>
        <v>APROBAR</v>
      </c>
      <c r="M1576">
        <v>1</v>
      </c>
      <c r="N1576" t="e">
        <v>#N/A</v>
      </c>
    </row>
    <row r="1577" spans="1:14" ht="15" customHeight="1" x14ac:dyDescent="0.3">
      <c r="A1577" s="3">
        <v>1209659908</v>
      </c>
      <c r="B1577" s="3" t="s">
        <v>1762</v>
      </c>
      <c r="C1577" s="3" t="s">
        <v>1763</v>
      </c>
      <c r="D1577" s="4">
        <v>46307.450925925899</v>
      </c>
      <c r="E1577" s="5" t="s">
        <v>10</v>
      </c>
      <c r="F1577" s="5" t="s">
        <v>11</v>
      </c>
      <c r="G1577" s="5">
        <v>12</v>
      </c>
      <c r="H1577" s="6" t="s">
        <v>12</v>
      </c>
      <c r="I1577" t="s">
        <v>1786</v>
      </c>
      <c r="J1577" t="s">
        <v>2480</v>
      </c>
      <c r="K1577" t="str">
        <f>+VLOOKUP(C1577,'[1]TIENDAS 2025'!$A$1:$C$143,3,0)</f>
        <v>prioridad</v>
      </c>
      <c r="L1577" t="str">
        <f>+VLOOKUP(C1577,[2]Hoja1!$A$1:$B$138,2,0)</f>
        <v>APROBAR</v>
      </c>
      <c r="M1577">
        <v>1</v>
      </c>
      <c r="N1577" t="e">
        <v>#N/A</v>
      </c>
    </row>
    <row r="1578" spans="1:14" ht="15" customHeight="1" x14ac:dyDescent="0.3">
      <c r="A1578" s="3">
        <v>1209659909</v>
      </c>
      <c r="B1578" s="3" t="s">
        <v>1762</v>
      </c>
      <c r="C1578" s="3" t="s">
        <v>1763</v>
      </c>
      <c r="D1578" s="4">
        <v>46307.450937499998</v>
      </c>
      <c r="E1578" s="5" t="s">
        <v>10</v>
      </c>
      <c r="F1578" s="5" t="s">
        <v>11</v>
      </c>
      <c r="G1578" s="5">
        <v>26</v>
      </c>
      <c r="H1578" s="6" t="s">
        <v>12</v>
      </c>
      <c r="I1578" t="s">
        <v>1787</v>
      </c>
      <c r="J1578" t="s">
        <v>2480</v>
      </c>
      <c r="K1578" t="str">
        <f>+VLOOKUP(C1578,'[1]TIENDAS 2025'!$A$1:$C$143,3,0)</f>
        <v>prioridad</v>
      </c>
      <c r="L1578" t="str">
        <f>+VLOOKUP(C1578,[2]Hoja1!$A$1:$B$138,2,0)</f>
        <v>APROBAR</v>
      </c>
      <c r="M1578">
        <v>1</v>
      </c>
      <c r="N1578" t="e">
        <v>#N/A</v>
      </c>
    </row>
    <row r="1579" spans="1:14" ht="15" customHeight="1" x14ac:dyDescent="0.3">
      <c r="A1579" s="3">
        <v>8209659948</v>
      </c>
      <c r="B1579" s="3" t="s">
        <v>1769</v>
      </c>
      <c r="C1579" s="3" t="s">
        <v>1770</v>
      </c>
      <c r="D1579" s="4">
        <v>46307.450960648202</v>
      </c>
      <c r="E1579" s="5" t="s">
        <v>10</v>
      </c>
      <c r="F1579" s="5" t="s">
        <v>16</v>
      </c>
      <c r="G1579" s="5">
        <v>1</v>
      </c>
      <c r="H1579" s="8" t="s">
        <v>12</v>
      </c>
      <c r="I1579" t="s">
        <v>1788</v>
      </c>
      <c r="K1579" t="str">
        <f>+VLOOKUP(C1579,'[1]TIENDAS 2025'!$A$1:$C$143,3,0)</f>
        <v>nocturna</v>
      </c>
      <c r="L1579" t="str">
        <f>+VLOOKUP(C1579,[2]Hoja1!$A$1:$B$138,2,0)</f>
        <v>APROBAR</v>
      </c>
      <c r="M1579">
        <v>1</v>
      </c>
      <c r="N1579" t="e">
        <v>#N/A</v>
      </c>
    </row>
    <row r="1580" spans="1:14" ht="15" customHeight="1" x14ac:dyDescent="0.3">
      <c r="A1580" s="3">
        <v>1209659957</v>
      </c>
      <c r="B1580" s="3" t="s">
        <v>1769</v>
      </c>
      <c r="C1580" s="3" t="s">
        <v>1770</v>
      </c>
      <c r="D1580" s="4">
        <v>46307.450972222199</v>
      </c>
      <c r="E1580" s="5" t="s">
        <v>10</v>
      </c>
      <c r="F1580" s="5" t="s">
        <v>11</v>
      </c>
      <c r="G1580" s="5">
        <v>28</v>
      </c>
      <c r="H1580" s="6" t="s">
        <v>12</v>
      </c>
      <c r="I1580" t="s">
        <v>1789</v>
      </c>
      <c r="J1580" t="s">
        <v>2480</v>
      </c>
      <c r="K1580" t="str">
        <f>+VLOOKUP(C1580,'[1]TIENDAS 2025'!$A$1:$C$143,3,0)</f>
        <v>nocturna</v>
      </c>
      <c r="L1580" t="str">
        <f>+VLOOKUP(C1580,[2]Hoja1!$A$1:$B$138,2,0)</f>
        <v>APROBAR</v>
      </c>
      <c r="M1580">
        <v>1</v>
      </c>
      <c r="N1580" t="e">
        <v>#N/A</v>
      </c>
    </row>
    <row r="1581" spans="1:14" ht="15" customHeight="1" x14ac:dyDescent="0.3">
      <c r="A1581" s="3">
        <v>1209659989</v>
      </c>
      <c r="B1581" s="3" t="s">
        <v>1759</v>
      </c>
      <c r="C1581" s="3" t="s">
        <v>1760</v>
      </c>
      <c r="D1581" s="4">
        <v>46307.450972222199</v>
      </c>
      <c r="E1581" s="5" t="s">
        <v>10</v>
      </c>
      <c r="F1581" s="5" t="s">
        <v>17</v>
      </c>
      <c r="G1581" s="5">
        <v>27</v>
      </c>
      <c r="H1581" s="6" t="s">
        <v>12</v>
      </c>
      <c r="I1581" t="s">
        <v>1790</v>
      </c>
      <c r="J1581" t="s">
        <v>2480</v>
      </c>
      <c r="K1581" t="str">
        <f>+VLOOKUP(C1581,'[1]TIENDAS 2025'!$A$1:$C$143,3,0)</f>
        <v>local</v>
      </c>
      <c r="L1581" t="str">
        <f>+VLOOKUP(C1581,[2]Hoja1!$A$1:$B$138,2,0)</f>
        <v>APROBAR</v>
      </c>
      <c r="M1581">
        <v>1</v>
      </c>
      <c r="N1581" t="e">
        <v>#N/A</v>
      </c>
    </row>
    <row r="1582" spans="1:14" ht="15" customHeight="1" x14ac:dyDescent="0.3">
      <c r="A1582" s="3">
        <v>8209659992</v>
      </c>
      <c r="B1582" s="3" t="s">
        <v>1759</v>
      </c>
      <c r="C1582" s="3" t="s">
        <v>1760</v>
      </c>
      <c r="D1582" s="4">
        <v>46307.450995370396</v>
      </c>
      <c r="E1582" s="5" t="s">
        <v>10</v>
      </c>
      <c r="F1582" s="5" t="s">
        <v>16</v>
      </c>
      <c r="G1582" s="5">
        <v>3</v>
      </c>
      <c r="H1582" s="8" t="s">
        <v>12</v>
      </c>
      <c r="I1582" t="s">
        <v>1791</v>
      </c>
      <c r="K1582" t="str">
        <f>+VLOOKUP(C1582,'[1]TIENDAS 2025'!$A$1:$C$143,3,0)</f>
        <v>local</v>
      </c>
      <c r="L1582" t="str">
        <f>+VLOOKUP(C1582,[2]Hoja1!$A$1:$B$138,2,0)</f>
        <v>APROBAR</v>
      </c>
      <c r="M1582">
        <v>1</v>
      </c>
      <c r="N1582" t="e">
        <v>#N/A</v>
      </c>
    </row>
    <row r="1583" spans="1:14" ht="15" customHeight="1" x14ac:dyDescent="0.3">
      <c r="A1583" s="3">
        <v>8209659844</v>
      </c>
      <c r="B1583" s="3" t="s">
        <v>1756</v>
      </c>
      <c r="C1583" s="3" t="s">
        <v>1757</v>
      </c>
      <c r="D1583" s="4">
        <v>46307.4510069444</v>
      </c>
      <c r="E1583" s="5" t="s">
        <v>10</v>
      </c>
      <c r="F1583" s="5" t="s">
        <v>16</v>
      </c>
      <c r="G1583" s="5">
        <v>2</v>
      </c>
      <c r="H1583" s="8" t="s">
        <v>12</v>
      </c>
      <c r="I1583" t="s">
        <v>1792</v>
      </c>
      <c r="K1583" t="str">
        <f>+VLOOKUP(C1583,'[1]TIENDAS 2025'!$A$1:$C$143,3,0)</f>
        <v>nocturna</v>
      </c>
      <c r="L1583" t="str">
        <f>+VLOOKUP(C1583,[2]Hoja1!$A$1:$B$138,2,0)</f>
        <v>APROBAR</v>
      </c>
      <c r="M1583">
        <v>1</v>
      </c>
      <c r="N1583" t="e">
        <v>#N/A</v>
      </c>
    </row>
    <row r="1584" spans="1:14" ht="15" customHeight="1" x14ac:dyDescent="0.3">
      <c r="A1584" s="3">
        <v>8209659845</v>
      </c>
      <c r="B1584" s="3" t="s">
        <v>1756</v>
      </c>
      <c r="C1584" s="3" t="s">
        <v>1757</v>
      </c>
      <c r="D1584" s="4">
        <v>46307.451018518499</v>
      </c>
      <c r="E1584" s="5" t="s">
        <v>10</v>
      </c>
      <c r="F1584" s="5" t="s">
        <v>16</v>
      </c>
      <c r="G1584" s="5">
        <v>6</v>
      </c>
      <c r="H1584" s="8" t="s">
        <v>12</v>
      </c>
      <c r="I1584" t="s">
        <v>1793</v>
      </c>
      <c r="K1584" t="str">
        <f>+VLOOKUP(C1584,'[1]TIENDAS 2025'!$A$1:$C$143,3,0)</f>
        <v>nocturna</v>
      </c>
      <c r="L1584" t="str">
        <f>+VLOOKUP(C1584,[2]Hoja1!$A$1:$B$138,2,0)</f>
        <v>APROBAR</v>
      </c>
      <c r="M1584">
        <v>1</v>
      </c>
      <c r="N1584" t="e">
        <v>#N/A</v>
      </c>
    </row>
    <row r="1585" spans="1:14" ht="15" customHeight="1" x14ac:dyDescent="0.3">
      <c r="A1585" s="3">
        <v>1209660001</v>
      </c>
      <c r="B1585" s="3" t="s">
        <v>1759</v>
      </c>
      <c r="C1585" s="3" t="s">
        <v>1760</v>
      </c>
      <c r="D1585" s="4">
        <v>46307.451030092598</v>
      </c>
      <c r="E1585" s="5" t="s">
        <v>10</v>
      </c>
      <c r="F1585" s="5" t="s">
        <v>11</v>
      </c>
      <c r="G1585" s="5">
        <v>8</v>
      </c>
      <c r="H1585" s="6" t="s">
        <v>12</v>
      </c>
      <c r="I1585" t="s">
        <v>1794</v>
      </c>
      <c r="J1585" t="s">
        <v>2480</v>
      </c>
      <c r="K1585" t="str">
        <f>+VLOOKUP(C1585,'[1]TIENDAS 2025'!$A$1:$C$143,3,0)</f>
        <v>local</v>
      </c>
      <c r="L1585" t="str">
        <f>+VLOOKUP(C1585,[2]Hoja1!$A$1:$B$138,2,0)</f>
        <v>APROBAR</v>
      </c>
      <c r="M1585">
        <v>1</v>
      </c>
      <c r="N1585" t="e">
        <v>#N/A</v>
      </c>
    </row>
    <row r="1586" spans="1:14" ht="15" customHeight="1" x14ac:dyDescent="0.3">
      <c r="A1586" s="3">
        <v>1209659852</v>
      </c>
      <c r="B1586" s="3" t="s">
        <v>1756</v>
      </c>
      <c r="C1586" s="3" t="s">
        <v>1757</v>
      </c>
      <c r="D1586" s="4">
        <v>46307.451041666704</v>
      </c>
      <c r="E1586" s="5" t="s">
        <v>10</v>
      </c>
      <c r="F1586" s="5" t="s">
        <v>17</v>
      </c>
      <c r="G1586" s="5">
        <v>17</v>
      </c>
      <c r="H1586" s="6" t="s">
        <v>12</v>
      </c>
      <c r="I1586" t="s">
        <v>1795</v>
      </c>
      <c r="J1586" t="s">
        <v>2480</v>
      </c>
      <c r="K1586" t="str">
        <f>+VLOOKUP(C1586,'[1]TIENDAS 2025'!$A$1:$C$143,3,0)</f>
        <v>nocturna</v>
      </c>
      <c r="L1586" t="str">
        <f>+VLOOKUP(C1586,[2]Hoja1!$A$1:$B$138,2,0)</f>
        <v>APROBAR</v>
      </c>
      <c r="M1586">
        <v>1</v>
      </c>
      <c r="N1586" t="e">
        <v>#N/A</v>
      </c>
    </row>
    <row r="1587" spans="1:14" ht="15" customHeight="1" x14ac:dyDescent="0.3">
      <c r="A1587" s="3">
        <v>1209659910</v>
      </c>
      <c r="B1587" s="3" t="s">
        <v>1762</v>
      </c>
      <c r="C1587" s="3" t="s">
        <v>1763</v>
      </c>
      <c r="D1587" s="4">
        <v>46307.4510532407</v>
      </c>
      <c r="E1587" s="5" t="s">
        <v>10</v>
      </c>
      <c r="F1587" s="5" t="s">
        <v>16</v>
      </c>
      <c r="G1587" s="5">
        <v>27</v>
      </c>
      <c r="H1587" s="6" t="s">
        <v>12</v>
      </c>
      <c r="I1587" t="s">
        <v>1796</v>
      </c>
      <c r="J1587" t="s">
        <v>2480</v>
      </c>
      <c r="K1587" t="str">
        <f>+VLOOKUP(C1587,'[1]TIENDAS 2025'!$A$1:$C$143,3,0)</f>
        <v>prioridad</v>
      </c>
      <c r="L1587" t="str">
        <f>+VLOOKUP(C1587,[2]Hoja1!$A$1:$B$138,2,0)</f>
        <v>APROBAR</v>
      </c>
      <c r="M1587">
        <v>1</v>
      </c>
      <c r="N1587" t="e">
        <v>#N/A</v>
      </c>
    </row>
    <row r="1588" spans="1:14" ht="15" customHeight="1" x14ac:dyDescent="0.3">
      <c r="A1588" s="3">
        <v>1209659923</v>
      </c>
      <c r="B1588" s="3" t="s">
        <v>1762</v>
      </c>
      <c r="C1588" s="3" t="s">
        <v>1763</v>
      </c>
      <c r="D1588" s="4">
        <v>46307.451076388897</v>
      </c>
      <c r="E1588" s="5" t="s">
        <v>10</v>
      </c>
      <c r="F1588" s="5" t="s">
        <v>11</v>
      </c>
      <c r="G1588" s="5">
        <v>24</v>
      </c>
      <c r="H1588" s="6" t="s">
        <v>12</v>
      </c>
      <c r="I1588" t="s">
        <v>1797</v>
      </c>
      <c r="J1588" t="s">
        <v>2480</v>
      </c>
      <c r="K1588" t="str">
        <f>+VLOOKUP(C1588,'[1]TIENDAS 2025'!$A$1:$C$143,3,0)</f>
        <v>prioridad</v>
      </c>
      <c r="L1588" t="str">
        <f>+VLOOKUP(C1588,[2]Hoja1!$A$1:$B$138,2,0)</f>
        <v>APROBAR</v>
      </c>
      <c r="M1588">
        <v>1</v>
      </c>
      <c r="N1588" t="e">
        <v>#N/A</v>
      </c>
    </row>
    <row r="1589" spans="1:14" ht="15" customHeight="1" x14ac:dyDescent="0.3">
      <c r="A1589" s="3">
        <v>1209659925</v>
      </c>
      <c r="B1589" s="3" t="s">
        <v>1762</v>
      </c>
      <c r="C1589" s="3" t="s">
        <v>1763</v>
      </c>
      <c r="D1589" s="4">
        <v>46307.451087963003</v>
      </c>
      <c r="E1589" s="5" t="s">
        <v>10</v>
      </c>
      <c r="F1589" s="5" t="s">
        <v>11</v>
      </c>
      <c r="G1589" s="5">
        <v>3</v>
      </c>
      <c r="H1589" s="6" t="s">
        <v>12</v>
      </c>
      <c r="I1589" t="s">
        <v>1798</v>
      </c>
      <c r="J1589" t="s">
        <v>2480</v>
      </c>
      <c r="K1589" t="str">
        <f>+VLOOKUP(C1589,'[1]TIENDAS 2025'!$A$1:$C$143,3,0)</f>
        <v>prioridad</v>
      </c>
      <c r="L1589" t="str">
        <f>+VLOOKUP(C1589,[2]Hoja1!$A$1:$B$138,2,0)</f>
        <v>APROBAR</v>
      </c>
      <c r="M1589">
        <v>1</v>
      </c>
      <c r="N1589" t="e">
        <v>#N/A</v>
      </c>
    </row>
    <row r="1590" spans="1:14" ht="15" customHeight="1" x14ac:dyDescent="0.3">
      <c r="A1590" s="3">
        <v>8209659994</v>
      </c>
      <c r="B1590" s="3" t="s">
        <v>1759</v>
      </c>
      <c r="C1590" s="3" t="s">
        <v>1760</v>
      </c>
      <c r="D1590" s="4">
        <v>46307.451099537</v>
      </c>
      <c r="E1590" s="5" t="s">
        <v>10</v>
      </c>
      <c r="F1590" s="5" t="s">
        <v>16</v>
      </c>
      <c r="G1590" s="5">
        <v>25</v>
      </c>
      <c r="H1590" s="8" t="s">
        <v>12</v>
      </c>
      <c r="I1590" t="s">
        <v>1799</v>
      </c>
      <c r="K1590" t="str">
        <f>+VLOOKUP(C1590,'[1]TIENDAS 2025'!$A$1:$C$143,3,0)</f>
        <v>local</v>
      </c>
      <c r="L1590" t="str">
        <f>+VLOOKUP(C1590,[2]Hoja1!$A$1:$B$138,2,0)</f>
        <v>APROBAR</v>
      </c>
      <c r="M1590">
        <v>1</v>
      </c>
      <c r="N1590" t="e">
        <v>#N/A</v>
      </c>
    </row>
    <row r="1591" spans="1:14" ht="15" customHeight="1" x14ac:dyDescent="0.3">
      <c r="A1591" s="3">
        <v>1209659898</v>
      </c>
      <c r="B1591" s="3" t="s">
        <v>1762</v>
      </c>
      <c r="C1591" s="3" t="s">
        <v>1763</v>
      </c>
      <c r="D1591" s="4">
        <v>46307.451111111099</v>
      </c>
      <c r="E1591" s="5" t="s">
        <v>10</v>
      </c>
      <c r="F1591" s="5" t="s">
        <v>17</v>
      </c>
      <c r="G1591" s="5">
        <v>47</v>
      </c>
      <c r="H1591" s="6" t="s">
        <v>12</v>
      </c>
      <c r="I1591" t="s">
        <v>1800</v>
      </c>
      <c r="J1591" t="s">
        <v>2480</v>
      </c>
      <c r="K1591" t="str">
        <f>+VLOOKUP(C1591,'[1]TIENDAS 2025'!$A$1:$C$143,3,0)</f>
        <v>prioridad</v>
      </c>
      <c r="L1591" t="str">
        <f>+VLOOKUP(C1591,[2]Hoja1!$A$1:$B$138,2,0)</f>
        <v>APROBAR</v>
      </c>
      <c r="M1591">
        <v>1</v>
      </c>
      <c r="N1591" t="e">
        <v>#N/A</v>
      </c>
    </row>
    <row r="1592" spans="1:14" ht="15" customHeight="1" x14ac:dyDescent="0.3">
      <c r="A1592" s="3">
        <v>8209659841</v>
      </c>
      <c r="B1592" s="3" t="s">
        <v>1756</v>
      </c>
      <c r="C1592" s="3" t="s">
        <v>1757</v>
      </c>
      <c r="D1592" s="4">
        <v>46307.451122685197</v>
      </c>
      <c r="E1592" s="5" t="s">
        <v>10</v>
      </c>
      <c r="F1592" s="5" t="s">
        <v>16</v>
      </c>
      <c r="G1592" s="5">
        <v>1</v>
      </c>
      <c r="H1592" s="8" t="s">
        <v>12</v>
      </c>
      <c r="I1592" t="s">
        <v>1801</v>
      </c>
      <c r="K1592" t="str">
        <f>+VLOOKUP(C1592,'[1]TIENDAS 2025'!$A$1:$C$143,3,0)</f>
        <v>nocturna</v>
      </c>
      <c r="L1592" t="str">
        <f>+VLOOKUP(C1592,[2]Hoja1!$A$1:$B$138,2,0)</f>
        <v>APROBAR</v>
      </c>
      <c r="M1592">
        <v>1</v>
      </c>
      <c r="N1592" t="e">
        <v>#N/A</v>
      </c>
    </row>
    <row r="1593" spans="1:14" ht="15" customHeight="1" x14ac:dyDescent="0.3">
      <c r="A1593" s="3">
        <v>8209659903</v>
      </c>
      <c r="B1593" s="3" t="s">
        <v>1762</v>
      </c>
      <c r="C1593" s="3" t="s">
        <v>1763</v>
      </c>
      <c r="D1593" s="4">
        <v>46307.4511458333</v>
      </c>
      <c r="E1593" s="5" t="s">
        <v>10</v>
      </c>
      <c r="F1593" s="5" t="s">
        <v>16</v>
      </c>
      <c r="G1593" s="5">
        <v>1</v>
      </c>
      <c r="H1593" s="8" t="s">
        <v>12</v>
      </c>
      <c r="I1593" t="s">
        <v>1802</v>
      </c>
      <c r="K1593" t="str">
        <f>+VLOOKUP(C1593,'[1]TIENDAS 2025'!$A$1:$C$143,3,0)</f>
        <v>prioridad</v>
      </c>
      <c r="L1593" t="str">
        <f>+VLOOKUP(C1593,[2]Hoja1!$A$1:$B$138,2,0)</f>
        <v>APROBAR</v>
      </c>
      <c r="M1593">
        <v>1</v>
      </c>
      <c r="N1593" t="e">
        <v>#N/A</v>
      </c>
    </row>
    <row r="1594" spans="1:14" ht="15" customHeight="1" x14ac:dyDescent="0.3">
      <c r="A1594" s="3">
        <v>1209659848</v>
      </c>
      <c r="B1594" s="3" t="s">
        <v>1756</v>
      </c>
      <c r="C1594" s="3" t="s">
        <v>1757</v>
      </c>
      <c r="D1594" s="4">
        <v>46307.451157407399</v>
      </c>
      <c r="E1594" s="5" t="s">
        <v>10</v>
      </c>
      <c r="F1594" s="5" t="s">
        <v>17</v>
      </c>
      <c r="G1594" s="5">
        <v>9</v>
      </c>
      <c r="H1594" s="6" t="s">
        <v>12</v>
      </c>
      <c r="I1594" t="s">
        <v>1803</v>
      </c>
      <c r="J1594" t="s">
        <v>2480</v>
      </c>
      <c r="K1594" t="str">
        <f>+VLOOKUP(C1594,'[1]TIENDAS 2025'!$A$1:$C$143,3,0)</f>
        <v>nocturna</v>
      </c>
      <c r="L1594" t="str">
        <f>+VLOOKUP(C1594,[2]Hoja1!$A$1:$B$138,2,0)</f>
        <v>APROBAR</v>
      </c>
      <c r="M1594">
        <v>1</v>
      </c>
      <c r="N1594" t="e">
        <v>#N/A</v>
      </c>
    </row>
    <row r="1595" spans="1:14" ht="15" customHeight="1" x14ac:dyDescent="0.3">
      <c r="A1595" s="3">
        <v>1209659949</v>
      </c>
      <c r="B1595" s="3" t="s">
        <v>1769</v>
      </c>
      <c r="C1595" s="3" t="s">
        <v>1770</v>
      </c>
      <c r="D1595" s="4">
        <v>46307.451168981497</v>
      </c>
      <c r="E1595" s="5" t="s">
        <v>10</v>
      </c>
      <c r="F1595" s="5" t="s">
        <v>16</v>
      </c>
      <c r="G1595" s="5">
        <v>4</v>
      </c>
      <c r="H1595" s="6" t="s">
        <v>12</v>
      </c>
      <c r="I1595" t="s">
        <v>1804</v>
      </c>
      <c r="J1595" t="s">
        <v>2480</v>
      </c>
      <c r="K1595" t="str">
        <f>+VLOOKUP(C1595,'[1]TIENDAS 2025'!$A$1:$C$143,3,0)</f>
        <v>nocturna</v>
      </c>
      <c r="L1595" t="str">
        <f>+VLOOKUP(C1595,[2]Hoja1!$A$1:$B$138,2,0)</f>
        <v>APROBAR</v>
      </c>
      <c r="M1595">
        <v>1</v>
      </c>
      <c r="N1595" t="e">
        <v>#N/A</v>
      </c>
    </row>
    <row r="1596" spans="1:14" ht="15" customHeight="1" x14ac:dyDescent="0.3">
      <c r="A1596" s="3">
        <v>8209659858</v>
      </c>
      <c r="B1596" s="3" t="s">
        <v>1756</v>
      </c>
      <c r="C1596" s="3" t="s">
        <v>1757</v>
      </c>
      <c r="D1596" s="4">
        <v>46307.451180555603</v>
      </c>
      <c r="E1596" s="5" t="s">
        <v>10</v>
      </c>
      <c r="F1596" s="5" t="s">
        <v>16</v>
      </c>
      <c r="G1596" s="5">
        <v>3</v>
      </c>
      <c r="H1596" s="8" t="s">
        <v>12</v>
      </c>
      <c r="I1596" t="s">
        <v>1805</v>
      </c>
      <c r="K1596" t="str">
        <f>+VLOOKUP(C1596,'[1]TIENDAS 2025'!$A$1:$C$143,3,0)</f>
        <v>nocturna</v>
      </c>
      <c r="L1596" t="str">
        <f>+VLOOKUP(C1596,[2]Hoja1!$A$1:$B$138,2,0)</f>
        <v>APROBAR</v>
      </c>
      <c r="M1596">
        <v>1</v>
      </c>
      <c r="N1596" t="e">
        <v>#N/A</v>
      </c>
    </row>
    <row r="1597" spans="1:14" ht="15" customHeight="1" x14ac:dyDescent="0.3">
      <c r="A1597" s="3">
        <v>1209659859</v>
      </c>
      <c r="B1597" s="3" t="s">
        <v>1756</v>
      </c>
      <c r="C1597" s="3" t="s">
        <v>1757</v>
      </c>
      <c r="D1597" s="4">
        <v>46307.4511921296</v>
      </c>
      <c r="E1597" s="5" t="s">
        <v>10</v>
      </c>
      <c r="F1597" s="5" t="s">
        <v>17</v>
      </c>
      <c r="G1597" s="5">
        <v>14</v>
      </c>
      <c r="H1597" s="6" t="s">
        <v>12</v>
      </c>
      <c r="I1597" t="s">
        <v>1806</v>
      </c>
      <c r="J1597" t="s">
        <v>2480</v>
      </c>
      <c r="K1597" t="str">
        <f>+VLOOKUP(C1597,'[1]TIENDAS 2025'!$A$1:$C$143,3,0)</f>
        <v>nocturna</v>
      </c>
      <c r="L1597" t="str">
        <f>+VLOOKUP(C1597,[2]Hoja1!$A$1:$B$138,2,0)</f>
        <v>APROBAR</v>
      </c>
      <c r="M1597">
        <v>1</v>
      </c>
      <c r="N1597" t="e">
        <v>#N/A</v>
      </c>
    </row>
    <row r="1598" spans="1:14" ht="15" customHeight="1" x14ac:dyDescent="0.3">
      <c r="A1598" s="3">
        <v>1209659954</v>
      </c>
      <c r="B1598" s="3" t="s">
        <v>1769</v>
      </c>
      <c r="C1598" s="3" t="s">
        <v>1770</v>
      </c>
      <c r="D1598" s="4">
        <v>46307.451215277797</v>
      </c>
      <c r="E1598" s="5" t="s">
        <v>10</v>
      </c>
      <c r="F1598" s="5" t="s">
        <v>11</v>
      </c>
      <c r="G1598" s="5">
        <v>17</v>
      </c>
      <c r="H1598" s="6" t="s">
        <v>12</v>
      </c>
      <c r="I1598" t="s">
        <v>1807</v>
      </c>
      <c r="J1598" t="s">
        <v>2480</v>
      </c>
      <c r="K1598" t="str">
        <f>+VLOOKUP(C1598,'[1]TIENDAS 2025'!$A$1:$C$143,3,0)</f>
        <v>nocturna</v>
      </c>
      <c r="L1598" t="str">
        <f>+VLOOKUP(C1598,[2]Hoja1!$A$1:$B$138,2,0)</f>
        <v>APROBAR</v>
      </c>
      <c r="M1598">
        <v>1</v>
      </c>
      <c r="N1598" t="e">
        <v>#N/A</v>
      </c>
    </row>
    <row r="1599" spans="1:14" ht="15" customHeight="1" x14ac:dyDescent="0.3">
      <c r="A1599" s="3">
        <v>1209659956</v>
      </c>
      <c r="B1599" s="3" t="s">
        <v>1769</v>
      </c>
      <c r="C1599" s="3" t="s">
        <v>1770</v>
      </c>
      <c r="D1599" s="4">
        <v>46307.451226851903</v>
      </c>
      <c r="E1599" s="5" t="s">
        <v>10</v>
      </c>
      <c r="F1599" s="5" t="s">
        <v>11</v>
      </c>
      <c r="G1599" s="5">
        <v>1</v>
      </c>
      <c r="H1599" s="6" t="s">
        <v>12</v>
      </c>
      <c r="I1599" t="s">
        <v>1808</v>
      </c>
      <c r="J1599" t="s">
        <v>2480</v>
      </c>
      <c r="K1599" t="str">
        <f>+VLOOKUP(C1599,'[1]TIENDAS 2025'!$A$1:$C$143,3,0)</f>
        <v>nocturna</v>
      </c>
      <c r="L1599" t="str">
        <f>+VLOOKUP(C1599,[2]Hoja1!$A$1:$B$138,2,0)</f>
        <v>APROBAR</v>
      </c>
      <c r="M1599">
        <v>1</v>
      </c>
      <c r="N1599" t="e">
        <v>#N/A</v>
      </c>
    </row>
    <row r="1600" spans="1:14" ht="15" customHeight="1" x14ac:dyDescent="0.3">
      <c r="A1600" s="3">
        <v>1209659998</v>
      </c>
      <c r="B1600" s="3" t="s">
        <v>1759</v>
      </c>
      <c r="C1600" s="3" t="s">
        <v>1760</v>
      </c>
      <c r="D1600" s="4">
        <v>46307.4512384259</v>
      </c>
      <c r="E1600" s="5" t="s">
        <v>10</v>
      </c>
      <c r="F1600" s="5" t="s">
        <v>16</v>
      </c>
      <c r="G1600" s="5">
        <v>20</v>
      </c>
      <c r="H1600" s="6" t="s">
        <v>12</v>
      </c>
      <c r="I1600" t="s">
        <v>1809</v>
      </c>
      <c r="J1600" t="s">
        <v>2480</v>
      </c>
      <c r="K1600" t="str">
        <f>+VLOOKUP(C1600,'[1]TIENDAS 2025'!$A$1:$C$143,3,0)</f>
        <v>local</v>
      </c>
      <c r="L1600" t="str">
        <f>+VLOOKUP(C1600,[2]Hoja1!$A$1:$B$138,2,0)</f>
        <v>APROBAR</v>
      </c>
      <c r="M1600">
        <v>1</v>
      </c>
      <c r="N1600" t="e">
        <v>#N/A</v>
      </c>
    </row>
    <row r="1601" spans="1:14" ht="15" customHeight="1" x14ac:dyDescent="0.3">
      <c r="A1601" s="3">
        <v>8209659943</v>
      </c>
      <c r="B1601" s="3" t="s">
        <v>1769</v>
      </c>
      <c r="C1601" s="3" t="s">
        <v>1770</v>
      </c>
      <c r="D1601" s="4">
        <v>46307.451249999998</v>
      </c>
      <c r="E1601" s="5" t="s">
        <v>10</v>
      </c>
      <c r="F1601" s="5" t="s">
        <v>16</v>
      </c>
      <c r="G1601" s="5">
        <v>1</v>
      </c>
      <c r="H1601" s="8" t="s">
        <v>12</v>
      </c>
      <c r="I1601" t="s">
        <v>1810</v>
      </c>
      <c r="K1601" t="str">
        <f>+VLOOKUP(C1601,'[1]TIENDAS 2025'!$A$1:$C$143,3,0)</f>
        <v>nocturna</v>
      </c>
      <c r="L1601" t="str">
        <f>+VLOOKUP(C1601,[2]Hoja1!$A$1:$B$138,2,0)</f>
        <v>APROBAR</v>
      </c>
      <c r="M1601">
        <v>1</v>
      </c>
      <c r="N1601" t="e">
        <v>#N/A</v>
      </c>
    </row>
    <row r="1602" spans="1:14" ht="15" customHeight="1" x14ac:dyDescent="0.3">
      <c r="A1602" s="3">
        <v>8209659946</v>
      </c>
      <c r="B1602" s="3" t="s">
        <v>1769</v>
      </c>
      <c r="C1602" s="3" t="s">
        <v>1770</v>
      </c>
      <c r="D1602" s="4">
        <v>46307.451261574097</v>
      </c>
      <c r="E1602" s="5" t="s">
        <v>10</v>
      </c>
      <c r="F1602" s="5" t="s">
        <v>16</v>
      </c>
      <c r="G1602" s="5">
        <v>1</v>
      </c>
      <c r="H1602" s="8" t="s">
        <v>12</v>
      </c>
      <c r="I1602" t="s">
        <v>1811</v>
      </c>
      <c r="K1602" t="str">
        <f>+VLOOKUP(C1602,'[1]TIENDAS 2025'!$A$1:$C$143,3,0)</f>
        <v>nocturna</v>
      </c>
      <c r="L1602" t="str">
        <f>+VLOOKUP(C1602,[2]Hoja1!$A$1:$B$138,2,0)</f>
        <v>APROBAR</v>
      </c>
      <c r="M1602">
        <v>1</v>
      </c>
      <c r="N1602" t="e">
        <v>#N/A</v>
      </c>
    </row>
    <row r="1603" spans="1:14" ht="15" customHeight="1" x14ac:dyDescent="0.3">
      <c r="A1603" s="3">
        <v>1209659951</v>
      </c>
      <c r="B1603" s="3" t="s">
        <v>1769</v>
      </c>
      <c r="C1603" s="3" t="s">
        <v>1770</v>
      </c>
      <c r="D1603" s="4">
        <v>46307.451284722199</v>
      </c>
      <c r="E1603" s="5" t="s">
        <v>10</v>
      </c>
      <c r="F1603" s="5" t="s">
        <v>16</v>
      </c>
      <c r="G1603" s="5">
        <v>18</v>
      </c>
      <c r="H1603" s="6" t="s">
        <v>12</v>
      </c>
      <c r="I1603" t="s">
        <v>1812</v>
      </c>
      <c r="J1603" t="s">
        <v>2480</v>
      </c>
      <c r="K1603" t="str">
        <f>+VLOOKUP(C1603,'[1]TIENDAS 2025'!$A$1:$C$143,3,0)</f>
        <v>nocturna</v>
      </c>
      <c r="L1603" t="str">
        <f>+VLOOKUP(C1603,[2]Hoja1!$A$1:$B$138,2,0)</f>
        <v>APROBAR</v>
      </c>
      <c r="M1603">
        <v>1</v>
      </c>
      <c r="N1603" t="e">
        <v>#N/A</v>
      </c>
    </row>
    <row r="1604" spans="1:14" ht="15" customHeight="1" x14ac:dyDescent="0.3">
      <c r="A1604" s="3">
        <v>1209659953</v>
      </c>
      <c r="B1604" s="3" t="s">
        <v>1769</v>
      </c>
      <c r="C1604" s="3" t="s">
        <v>1770</v>
      </c>
      <c r="D1604" s="4">
        <v>46307.451296296298</v>
      </c>
      <c r="E1604" s="5" t="s">
        <v>10</v>
      </c>
      <c r="F1604" s="5" t="s">
        <v>11</v>
      </c>
      <c r="G1604" s="5">
        <v>11</v>
      </c>
      <c r="H1604" s="6" t="s">
        <v>12</v>
      </c>
      <c r="I1604" t="s">
        <v>1813</v>
      </c>
      <c r="J1604" t="s">
        <v>2480</v>
      </c>
      <c r="K1604" t="str">
        <f>+VLOOKUP(C1604,'[1]TIENDAS 2025'!$A$1:$C$143,3,0)</f>
        <v>nocturna</v>
      </c>
      <c r="L1604" t="str">
        <f>+VLOOKUP(C1604,[2]Hoja1!$A$1:$B$138,2,0)</f>
        <v>APROBAR</v>
      </c>
      <c r="M1604">
        <v>1</v>
      </c>
      <c r="N1604" t="e">
        <v>#N/A</v>
      </c>
    </row>
    <row r="1605" spans="1:14" ht="15" customHeight="1" x14ac:dyDescent="0.3">
      <c r="A1605" s="3">
        <v>1209659996</v>
      </c>
      <c r="B1605" s="3" t="s">
        <v>1759</v>
      </c>
      <c r="C1605" s="3" t="s">
        <v>1760</v>
      </c>
      <c r="D1605" s="4">
        <v>46307.451296296298</v>
      </c>
      <c r="E1605" s="5" t="s">
        <v>10</v>
      </c>
      <c r="F1605" s="5" t="s">
        <v>17</v>
      </c>
      <c r="G1605" s="5">
        <v>4</v>
      </c>
      <c r="H1605" s="6" t="s">
        <v>12</v>
      </c>
      <c r="I1605" t="s">
        <v>1814</v>
      </c>
      <c r="J1605" t="s">
        <v>2480</v>
      </c>
      <c r="K1605" t="str">
        <f>+VLOOKUP(C1605,'[1]TIENDAS 2025'!$A$1:$C$143,3,0)</f>
        <v>local</v>
      </c>
      <c r="L1605" t="str">
        <f>+VLOOKUP(C1605,[2]Hoja1!$A$1:$B$138,2,0)</f>
        <v>APROBAR</v>
      </c>
      <c r="M1605">
        <v>1</v>
      </c>
      <c r="N1605" t="e">
        <v>#N/A</v>
      </c>
    </row>
    <row r="1606" spans="1:14" ht="15" customHeight="1" x14ac:dyDescent="0.3">
      <c r="A1606" s="3">
        <v>8209659889</v>
      </c>
      <c r="B1606" s="3" t="s">
        <v>1762</v>
      </c>
      <c r="C1606" s="3" t="s">
        <v>1763</v>
      </c>
      <c r="D1606" s="4">
        <v>46307.451319444401</v>
      </c>
      <c r="E1606" s="5" t="s">
        <v>10</v>
      </c>
      <c r="F1606" s="5" t="s">
        <v>16</v>
      </c>
      <c r="G1606" s="5">
        <v>20</v>
      </c>
      <c r="H1606" s="8" t="s">
        <v>12</v>
      </c>
      <c r="I1606" t="s">
        <v>1815</v>
      </c>
      <c r="K1606" t="str">
        <f>+VLOOKUP(C1606,'[1]TIENDAS 2025'!$A$1:$C$143,3,0)</f>
        <v>prioridad</v>
      </c>
      <c r="L1606" t="str">
        <f>+VLOOKUP(C1606,[2]Hoja1!$A$1:$B$138,2,0)</f>
        <v>APROBAR</v>
      </c>
      <c r="M1606">
        <v>1</v>
      </c>
      <c r="N1606" t="e">
        <v>#N/A</v>
      </c>
    </row>
    <row r="1607" spans="1:14" ht="15" customHeight="1" x14ac:dyDescent="0.3">
      <c r="A1607" s="3">
        <v>8209659905</v>
      </c>
      <c r="B1607" s="3" t="s">
        <v>1762</v>
      </c>
      <c r="C1607" s="3" t="s">
        <v>1763</v>
      </c>
      <c r="D1607" s="4">
        <v>46307.451331018499</v>
      </c>
      <c r="E1607" s="5" t="s">
        <v>10</v>
      </c>
      <c r="F1607" s="5" t="s">
        <v>16</v>
      </c>
      <c r="G1607" s="5">
        <v>5</v>
      </c>
      <c r="H1607" s="8" t="s">
        <v>12</v>
      </c>
      <c r="I1607" t="s">
        <v>1816</v>
      </c>
      <c r="K1607" t="str">
        <f>+VLOOKUP(C1607,'[1]TIENDAS 2025'!$A$1:$C$143,3,0)</f>
        <v>prioridad</v>
      </c>
      <c r="L1607" t="str">
        <f>+VLOOKUP(C1607,[2]Hoja1!$A$1:$B$138,2,0)</f>
        <v>APROBAR</v>
      </c>
      <c r="M1607">
        <v>1</v>
      </c>
      <c r="N1607" t="e">
        <v>#N/A</v>
      </c>
    </row>
    <row r="1608" spans="1:14" ht="15" customHeight="1" x14ac:dyDescent="0.3">
      <c r="A1608" s="3">
        <v>1209659907</v>
      </c>
      <c r="B1608" s="3" t="s">
        <v>1762</v>
      </c>
      <c r="C1608" s="3" t="s">
        <v>1763</v>
      </c>
      <c r="D1608" s="4">
        <v>46307.451354166697</v>
      </c>
      <c r="E1608" s="5" t="s">
        <v>10</v>
      </c>
      <c r="F1608" s="5" t="s">
        <v>11</v>
      </c>
      <c r="G1608" s="5">
        <v>1</v>
      </c>
      <c r="H1608" s="6" t="s">
        <v>12</v>
      </c>
      <c r="I1608" t="s">
        <v>1817</v>
      </c>
      <c r="J1608" t="s">
        <v>2480</v>
      </c>
      <c r="K1608" t="str">
        <f>+VLOOKUP(C1608,'[1]TIENDAS 2025'!$A$1:$C$143,3,0)</f>
        <v>prioridad</v>
      </c>
      <c r="L1608" t="str">
        <f>+VLOOKUP(C1608,[2]Hoja1!$A$1:$B$138,2,0)</f>
        <v>APROBAR</v>
      </c>
      <c r="M1608">
        <v>1</v>
      </c>
      <c r="N1608" t="e">
        <v>#N/A</v>
      </c>
    </row>
    <row r="1609" spans="1:14" ht="15" customHeight="1" x14ac:dyDescent="0.3">
      <c r="A1609" s="3">
        <v>1209659921</v>
      </c>
      <c r="B1609" s="3" t="s">
        <v>1762</v>
      </c>
      <c r="C1609" s="3" t="s">
        <v>1763</v>
      </c>
      <c r="D1609" s="4">
        <v>46307.451365740701</v>
      </c>
      <c r="E1609" s="5" t="s">
        <v>10</v>
      </c>
      <c r="F1609" s="5" t="s">
        <v>11</v>
      </c>
      <c r="G1609" s="5">
        <v>5</v>
      </c>
      <c r="H1609" s="6" t="s">
        <v>12</v>
      </c>
      <c r="I1609" t="s">
        <v>1818</v>
      </c>
      <c r="J1609" t="s">
        <v>2480</v>
      </c>
      <c r="K1609" t="str">
        <f>+VLOOKUP(C1609,'[1]TIENDAS 2025'!$A$1:$C$143,3,0)</f>
        <v>prioridad</v>
      </c>
      <c r="L1609" t="str">
        <f>+VLOOKUP(C1609,[2]Hoja1!$A$1:$B$138,2,0)</f>
        <v>APROBAR</v>
      </c>
      <c r="M1609">
        <v>1</v>
      </c>
      <c r="N1609" t="e">
        <v>#N/A</v>
      </c>
    </row>
    <row r="1610" spans="1:14" ht="15" customHeight="1" x14ac:dyDescent="0.3">
      <c r="A1610" s="3">
        <v>1209659942</v>
      </c>
      <c r="B1610" s="3" t="s">
        <v>1769</v>
      </c>
      <c r="C1610" s="3" t="s">
        <v>1770</v>
      </c>
      <c r="D1610" s="4">
        <v>46307.451377314799</v>
      </c>
      <c r="E1610" s="5" t="s">
        <v>10</v>
      </c>
      <c r="F1610" s="5" t="s">
        <v>11</v>
      </c>
      <c r="G1610" s="5">
        <v>44</v>
      </c>
      <c r="H1610" s="6" t="s">
        <v>12</v>
      </c>
      <c r="I1610" t="s">
        <v>1819</v>
      </c>
      <c r="J1610" t="s">
        <v>2480</v>
      </c>
      <c r="K1610" t="str">
        <f>+VLOOKUP(C1610,'[1]TIENDAS 2025'!$A$1:$C$143,3,0)</f>
        <v>nocturna</v>
      </c>
      <c r="L1610" t="str">
        <f>+VLOOKUP(C1610,[2]Hoja1!$A$1:$B$138,2,0)</f>
        <v>APROBAR</v>
      </c>
      <c r="M1610">
        <v>1</v>
      </c>
      <c r="N1610" t="e">
        <v>#N/A</v>
      </c>
    </row>
    <row r="1611" spans="1:14" ht="15" customHeight="1" x14ac:dyDescent="0.3">
      <c r="A1611" s="3">
        <v>1209659857</v>
      </c>
      <c r="B1611" s="3" t="s">
        <v>1756</v>
      </c>
      <c r="C1611" s="3" t="s">
        <v>1757</v>
      </c>
      <c r="D1611" s="4">
        <v>46307.451388888898</v>
      </c>
      <c r="E1611" s="5" t="s">
        <v>10</v>
      </c>
      <c r="F1611" s="5" t="s">
        <v>11</v>
      </c>
      <c r="G1611" s="5">
        <v>2</v>
      </c>
      <c r="H1611" s="6" t="s">
        <v>12</v>
      </c>
      <c r="I1611" t="s">
        <v>1820</v>
      </c>
      <c r="J1611" t="s">
        <v>2480</v>
      </c>
      <c r="K1611" t="str">
        <f>+VLOOKUP(C1611,'[1]TIENDAS 2025'!$A$1:$C$143,3,0)</f>
        <v>nocturna</v>
      </c>
      <c r="L1611" t="str">
        <f>+VLOOKUP(C1611,[2]Hoja1!$A$1:$B$138,2,0)</f>
        <v>APROBAR</v>
      </c>
      <c r="M1611">
        <v>1</v>
      </c>
      <c r="N1611" t="e">
        <v>#N/A</v>
      </c>
    </row>
    <row r="1612" spans="1:14" ht="15" customHeight="1" x14ac:dyDescent="0.3">
      <c r="A1612" s="3">
        <v>1209659959</v>
      </c>
      <c r="B1612" s="3" t="s">
        <v>1769</v>
      </c>
      <c r="C1612" s="3" t="s">
        <v>1770</v>
      </c>
      <c r="D1612" s="4">
        <v>46307.451400462996</v>
      </c>
      <c r="E1612" s="5" t="s">
        <v>10</v>
      </c>
      <c r="F1612" s="5" t="s">
        <v>17</v>
      </c>
      <c r="G1612" s="5">
        <v>37</v>
      </c>
      <c r="H1612" s="6" t="s">
        <v>12</v>
      </c>
      <c r="I1612" t="s">
        <v>1821</v>
      </c>
      <c r="J1612" t="s">
        <v>2480</v>
      </c>
      <c r="K1612" t="str">
        <f>+VLOOKUP(C1612,'[1]TIENDAS 2025'!$A$1:$C$143,3,0)</f>
        <v>nocturna</v>
      </c>
      <c r="L1612" t="str">
        <f>+VLOOKUP(C1612,[2]Hoja1!$A$1:$B$138,2,0)</f>
        <v>APROBAR</v>
      </c>
      <c r="M1612">
        <v>1</v>
      </c>
      <c r="N1612" t="e">
        <v>#N/A</v>
      </c>
    </row>
    <row r="1613" spans="1:14" ht="15" customHeight="1" x14ac:dyDescent="0.3">
      <c r="A1613" s="3">
        <v>8209659840</v>
      </c>
      <c r="B1613" s="3" t="s">
        <v>1756</v>
      </c>
      <c r="C1613" s="3" t="s">
        <v>1757</v>
      </c>
      <c r="D1613" s="4">
        <v>46307.451423611099</v>
      </c>
      <c r="E1613" s="5" t="s">
        <v>10</v>
      </c>
      <c r="F1613" s="5" t="s">
        <v>16</v>
      </c>
      <c r="G1613" s="5">
        <v>5</v>
      </c>
      <c r="H1613" s="8" t="s">
        <v>12</v>
      </c>
      <c r="I1613" t="s">
        <v>1822</v>
      </c>
      <c r="K1613" t="str">
        <f>+VLOOKUP(C1613,'[1]TIENDAS 2025'!$A$1:$C$143,3,0)</f>
        <v>nocturna</v>
      </c>
      <c r="L1613" t="str">
        <f>+VLOOKUP(C1613,[2]Hoja1!$A$1:$B$138,2,0)</f>
        <v>APROBAR</v>
      </c>
      <c r="M1613">
        <v>1</v>
      </c>
      <c r="N1613" t="e">
        <v>#N/A</v>
      </c>
    </row>
    <row r="1614" spans="1:14" ht="15" customHeight="1" x14ac:dyDescent="0.3">
      <c r="A1614" s="3">
        <v>8209659842</v>
      </c>
      <c r="B1614" s="3" t="s">
        <v>1756</v>
      </c>
      <c r="C1614" s="3" t="s">
        <v>1757</v>
      </c>
      <c r="D1614" s="4">
        <v>46307.451435185198</v>
      </c>
      <c r="E1614" s="5" t="s">
        <v>10</v>
      </c>
      <c r="F1614" s="5" t="s">
        <v>16</v>
      </c>
      <c r="G1614" s="5">
        <v>7</v>
      </c>
      <c r="H1614" s="8" t="s">
        <v>12</v>
      </c>
      <c r="I1614" t="s">
        <v>1823</v>
      </c>
      <c r="K1614" t="str">
        <f>+VLOOKUP(C1614,'[1]TIENDAS 2025'!$A$1:$C$143,3,0)</f>
        <v>nocturna</v>
      </c>
      <c r="L1614" t="str">
        <f>+VLOOKUP(C1614,[2]Hoja1!$A$1:$B$138,2,0)</f>
        <v>APROBAR</v>
      </c>
      <c r="M1614">
        <v>1</v>
      </c>
      <c r="N1614" t="e">
        <v>#N/A</v>
      </c>
    </row>
    <row r="1615" spans="1:14" ht="15" customHeight="1" x14ac:dyDescent="0.3">
      <c r="A1615" s="3">
        <v>1209660000</v>
      </c>
      <c r="B1615" s="3" t="s">
        <v>1759</v>
      </c>
      <c r="C1615" s="3" t="s">
        <v>1760</v>
      </c>
      <c r="D1615" s="4">
        <v>46307.451446759304</v>
      </c>
      <c r="E1615" s="5" t="s">
        <v>10</v>
      </c>
      <c r="F1615" s="5" t="s">
        <v>11</v>
      </c>
      <c r="G1615" s="5">
        <v>11</v>
      </c>
      <c r="H1615" s="6" t="s">
        <v>12</v>
      </c>
      <c r="I1615" t="s">
        <v>1824</v>
      </c>
      <c r="J1615" t="s">
        <v>2480</v>
      </c>
      <c r="K1615" t="str">
        <f>+VLOOKUP(C1615,'[1]TIENDAS 2025'!$A$1:$C$143,3,0)</f>
        <v>local</v>
      </c>
      <c r="L1615" t="str">
        <f>+VLOOKUP(C1615,[2]Hoja1!$A$1:$B$138,2,0)</f>
        <v>APROBAR</v>
      </c>
      <c r="M1615">
        <v>1</v>
      </c>
      <c r="N1615" t="e">
        <v>#N/A</v>
      </c>
    </row>
    <row r="1616" spans="1:14" ht="15" customHeight="1" x14ac:dyDescent="0.3">
      <c r="A1616" s="3">
        <v>1209659847</v>
      </c>
      <c r="B1616" s="3" t="s">
        <v>1756</v>
      </c>
      <c r="C1616" s="3" t="s">
        <v>1757</v>
      </c>
      <c r="D1616" s="4">
        <v>46307.4514583333</v>
      </c>
      <c r="E1616" s="5" t="s">
        <v>10</v>
      </c>
      <c r="F1616" s="5" t="s">
        <v>17</v>
      </c>
      <c r="G1616" s="5">
        <v>2</v>
      </c>
      <c r="H1616" s="6" t="s">
        <v>12</v>
      </c>
      <c r="I1616" t="s">
        <v>1825</v>
      </c>
      <c r="J1616" t="s">
        <v>2480</v>
      </c>
      <c r="K1616" t="str">
        <f>+VLOOKUP(C1616,'[1]TIENDAS 2025'!$A$1:$C$143,3,0)</f>
        <v>nocturna</v>
      </c>
      <c r="L1616" t="str">
        <f>+VLOOKUP(C1616,[2]Hoja1!$A$1:$B$138,2,0)</f>
        <v>APROBAR</v>
      </c>
      <c r="M1616">
        <v>1</v>
      </c>
      <c r="N1616" t="e">
        <v>#N/A</v>
      </c>
    </row>
    <row r="1617" spans="1:14" ht="15" customHeight="1" x14ac:dyDescent="0.3">
      <c r="A1617" s="3">
        <v>1209660002</v>
      </c>
      <c r="B1617" s="3" t="s">
        <v>1759</v>
      </c>
      <c r="C1617" s="3" t="s">
        <v>1760</v>
      </c>
      <c r="D1617" s="4">
        <v>46307.451469907399</v>
      </c>
      <c r="E1617" s="5" t="s">
        <v>10</v>
      </c>
      <c r="F1617" s="5" t="s">
        <v>11</v>
      </c>
      <c r="G1617" s="5">
        <v>27</v>
      </c>
      <c r="H1617" s="6" t="s">
        <v>12</v>
      </c>
      <c r="I1617" t="s">
        <v>1826</v>
      </c>
      <c r="J1617" t="s">
        <v>2480</v>
      </c>
      <c r="K1617" t="str">
        <f>+VLOOKUP(C1617,'[1]TIENDAS 2025'!$A$1:$C$143,3,0)</f>
        <v>local</v>
      </c>
      <c r="L1617" t="str">
        <f>+VLOOKUP(C1617,[2]Hoja1!$A$1:$B$138,2,0)</f>
        <v>APROBAR</v>
      </c>
      <c r="M1617">
        <v>1</v>
      </c>
      <c r="N1617" t="e">
        <v>#N/A</v>
      </c>
    </row>
    <row r="1618" spans="1:14" ht="15" customHeight="1" x14ac:dyDescent="0.3">
      <c r="A1618" s="3">
        <v>1209660005</v>
      </c>
      <c r="B1618" s="3" t="s">
        <v>1759</v>
      </c>
      <c r="C1618" s="3" t="s">
        <v>1760</v>
      </c>
      <c r="D1618" s="4">
        <v>46307.451493055603</v>
      </c>
      <c r="E1618" s="5" t="s">
        <v>10</v>
      </c>
      <c r="F1618" s="5" t="s">
        <v>11</v>
      </c>
      <c r="G1618" s="5">
        <v>1</v>
      </c>
      <c r="H1618" s="6" t="s">
        <v>12</v>
      </c>
      <c r="I1618" t="s">
        <v>1827</v>
      </c>
      <c r="J1618" t="s">
        <v>2480</v>
      </c>
      <c r="K1618" t="str">
        <f>+VLOOKUP(C1618,'[1]TIENDAS 2025'!$A$1:$C$143,3,0)</f>
        <v>local</v>
      </c>
      <c r="L1618" t="str">
        <f>+VLOOKUP(C1618,[2]Hoja1!$A$1:$B$138,2,0)</f>
        <v>APROBAR</v>
      </c>
      <c r="M1618">
        <v>1</v>
      </c>
      <c r="N1618" t="e">
        <v>#N/A</v>
      </c>
    </row>
    <row r="1619" spans="1:14" ht="15" customHeight="1" x14ac:dyDescent="0.3">
      <c r="A1619" s="3">
        <v>8209660006</v>
      </c>
      <c r="B1619" s="3" t="s">
        <v>1759</v>
      </c>
      <c r="C1619" s="3" t="s">
        <v>1760</v>
      </c>
      <c r="D1619" s="4">
        <v>46307.4515046296</v>
      </c>
      <c r="E1619" s="5" t="s">
        <v>10</v>
      </c>
      <c r="F1619" s="5" t="s">
        <v>16</v>
      </c>
      <c r="G1619" s="5">
        <v>5</v>
      </c>
      <c r="H1619" s="8" t="s">
        <v>12</v>
      </c>
      <c r="I1619" t="s">
        <v>1828</v>
      </c>
      <c r="K1619" t="str">
        <f>+VLOOKUP(C1619,'[1]TIENDAS 2025'!$A$1:$C$143,3,0)</f>
        <v>local</v>
      </c>
      <c r="L1619" t="str">
        <f>+VLOOKUP(C1619,[2]Hoja1!$A$1:$B$138,2,0)</f>
        <v>APROBAR</v>
      </c>
      <c r="M1619">
        <v>1</v>
      </c>
      <c r="N1619" t="e">
        <v>#N/A</v>
      </c>
    </row>
    <row r="1620" spans="1:14" ht="15" customHeight="1" x14ac:dyDescent="0.3">
      <c r="A1620" s="3">
        <v>8209659947</v>
      </c>
      <c r="B1620" s="3" t="s">
        <v>1769</v>
      </c>
      <c r="C1620" s="3" t="s">
        <v>1770</v>
      </c>
      <c r="D1620" s="4">
        <v>46307.451516203699</v>
      </c>
      <c r="E1620" s="5" t="s">
        <v>10</v>
      </c>
      <c r="F1620" s="5" t="s">
        <v>16</v>
      </c>
      <c r="G1620" s="5">
        <v>5</v>
      </c>
      <c r="H1620" s="8" t="s">
        <v>12</v>
      </c>
      <c r="I1620" t="s">
        <v>1829</v>
      </c>
      <c r="K1620" t="str">
        <f>+VLOOKUP(C1620,'[1]TIENDAS 2025'!$A$1:$C$143,3,0)</f>
        <v>nocturna</v>
      </c>
      <c r="L1620" t="str">
        <f>+VLOOKUP(C1620,[2]Hoja1!$A$1:$B$138,2,0)</f>
        <v>APROBAR</v>
      </c>
      <c r="M1620">
        <v>1</v>
      </c>
      <c r="N1620" t="e">
        <v>#N/A</v>
      </c>
    </row>
    <row r="1621" spans="1:14" ht="15" customHeight="1" x14ac:dyDescent="0.3">
      <c r="A1621" s="3">
        <v>1209660083</v>
      </c>
      <c r="B1621" s="3" t="s">
        <v>1831</v>
      </c>
      <c r="C1621" s="3" t="s">
        <v>1832</v>
      </c>
      <c r="D1621" s="4">
        <v>46307.454074074099</v>
      </c>
      <c r="E1621" s="5" t="s">
        <v>10</v>
      </c>
      <c r="F1621" s="5" t="s">
        <v>11</v>
      </c>
      <c r="G1621" s="5">
        <v>19</v>
      </c>
      <c r="H1621" s="6" t="s">
        <v>12</v>
      </c>
      <c r="I1621" t="s">
        <v>1830</v>
      </c>
      <c r="J1621" t="s">
        <v>2480</v>
      </c>
      <c r="K1621" t="str">
        <f>+VLOOKUP(C1621,'[1]TIENDAS 2025'!$A$1:$C$143,3,0)</f>
        <v>departamental</v>
      </c>
      <c r="L1621" t="str">
        <f>+VLOOKUP(C1621,[2]Hoja1!$A$1:$B$138,2,0)</f>
        <v>APROBAR</v>
      </c>
      <c r="M1621">
        <v>1</v>
      </c>
      <c r="N1621" t="e">
        <v>#N/A</v>
      </c>
    </row>
    <row r="1622" spans="1:14" ht="15" customHeight="1" x14ac:dyDescent="0.3">
      <c r="A1622" s="3">
        <v>1209660051</v>
      </c>
      <c r="B1622" s="3" t="s">
        <v>1834</v>
      </c>
      <c r="C1622" s="3" t="s">
        <v>1835</v>
      </c>
      <c r="D1622" s="4">
        <v>46307.454085648104</v>
      </c>
      <c r="E1622" s="5" t="s">
        <v>10</v>
      </c>
      <c r="F1622" s="5" t="s">
        <v>11</v>
      </c>
      <c r="G1622" s="5">
        <v>13</v>
      </c>
      <c r="H1622" s="6" t="s">
        <v>12</v>
      </c>
      <c r="I1622" t="s">
        <v>1833</v>
      </c>
      <c r="J1622" t="s">
        <v>2480</v>
      </c>
      <c r="K1622" t="str">
        <f>+VLOOKUP(C1622,'[1]TIENDAS 2025'!$A$1:$C$143,3,0)</f>
        <v>local</v>
      </c>
      <c r="L1622" t="str">
        <f>+VLOOKUP(C1622,[2]Hoja1!$A$1:$B$138,2,0)</f>
        <v>APROBAR</v>
      </c>
      <c r="M1622">
        <v>1</v>
      </c>
      <c r="N1622" t="e">
        <v>#N/A</v>
      </c>
    </row>
    <row r="1623" spans="1:14" ht="15" customHeight="1" x14ac:dyDescent="0.3">
      <c r="A1623" s="3">
        <v>8209660087</v>
      </c>
      <c r="B1623" s="3" t="s">
        <v>1837</v>
      </c>
      <c r="C1623" s="3" t="s">
        <v>1838</v>
      </c>
      <c r="D1623" s="4">
        <v>46307.454097222202</v>
      </c>
      <c r="E1623" s="5" t="s">
        <v>10</v>
      </c>
      <c r="F1623" s="5" t="s">
        <v>16</v>
      </c>
      <c r="G1623" s="5">
        <v>5</v>
      </c>
      <c r="H1623" s="8" t="s">
        <v>12</v>
      </c>
      <c r="I1623" t="s">
        <v>1836</v>
      </c>
      <c r="K1623" t="str">
        <f>+VLOOKUP(C1623,'[1]TIENDAS 2025'!$A$1:$C$143,3,0)</f>
        <v>local</v>
      </c>
      <c r="L1623" t="str">
        <f>+VLOOKUP(C1623,[2]Hoja1!$A$1:$B$138,2,0)</f>
        <v>APROBAR</v>
      </c>
      <c r="M1623">
        <v>1</v>
      </c>
      <c r="N1623" t="e">
        <v>#N/A</v>
      </c>
    </row>
    <row r="1624" spans="1:14" ht="15" customHeight="1" x14ac:dyDescent="0.3">
      <c r="A1624" s="3">
        <v>1209660193</v>
      </c>
      <c r="B1624" s="3" t="s">
        <v>1840</v>
      </c>
      <c r="C1624" s="3" t="s">
        <v>1841</v>
      </c>
      <c r="D1624" s="4">
        <v>46307.454108796301</v>
      </c>
      <c r="E1624" s="5" t="s">
        <v>10</v>
      </c>
      <c r="F1624" s="5" t="s">
        <v>11</v>
      </c>
      <c r="G1624" s="5">
        <v>32</v>
      </c>
      <c r="H1624" s="6" t="s">
        <v>12</v>
      </c>
      <c r="I1624" t="s">
        <v>1839</v>
      </c>
      <c r="J1624" t="s">
        <v>2480</v>
      </c>
      <c r="K1624" t="str">
        <f>+VLOOKUP(C1624,'[1]TIENDAS 2025'!$A$1:$C$143,3,0)</f>
        <v>prioridad</v>
      </c>
      <c r="L1624" t="str">
        <f>+VLOOKUP(C1624,[2]Hoja1!$A$1:$B$138,2,0)</f>
        <v>APROBAR</v>
      </c>
      <c r="M1624">
        <v>1</v>
      </c>
      <c r="N1624" t="e">
        <v>#N/A</v>
      </c>
    </row>
    <row r="1625" spans="1:14" ht="15" customHeight="1" x14ac:dyDescent="0.3">
      <c r="A1625" s="3">
        <v>1209660194</v>
      </c>
      <c r="B1625" s="3" t="s">
        <v>1840</v>
      </c>
      <c r="C1625" s="3" t="s">
        <v>1841</v>
      </c>
      <c r="D1625" s="4">
        <v>46307.454131944403</v>
      </c>
      <c r="E1625" s="5" t="s">
        <v>10</v>
      </c>
      <c r="F1625" s="5" t="s">
        <v>11</v>
      </c>
      <c r="G1625" s="5">
        <v>6</v>
      </c>
      <c r="H1625" s="6" t="s">
        <v>12</v>
      </c>
      <c r="I1625" t="s">
        <v>1842</v>
      </c>
      <c r="J1625" t="s">
        <v>2480</v>
      </c>
      <c r="K1625" t="str">
        <f>+VLOOKUP(C1625,'[1]TIENDAS 2025'!$A$1:$C$143,3,0)</f>
        <v>prioridad</v>
      </c>
      <c r="L1625" t="str">
        <f>+VLOOKUP(C1625,[2]Hoja1!$A$1:$B$138,2,0)</f>
        <v>APROBAR</v>
      </c>
      <c r="M1625">
        <v>1</v>
      </c>
      <c r="N1625" t="e">
        <v>#N/A</v>
      </c>
    </row>
    <row r="1626" spans="1:14" ht="15" customHeight="1" x14ac:dyDescent="0.3">
      <c r="A1626" s="3">
        <v>1209660072</v>
      </c>
      <c r="B1626" s="3" t="s">
        <v>1831</v>
      </c>
      <c r="C1626" s="3" t="s">
        <v>1832</v>
      </c>
      <c r="D1626" s="4">
        <v>46307.454155092601</v>
      </c>
      <c r="E1626" s="5" t="s">
        <v>10</v>
      </c>
      <c r="F1626" s="5" t="s">
        <v>11</v>
      </c>
      <c r="G1626" s="5">
        <v>59</v>
      </c>
      <c r="H1626" s="6" t="s">
        <v>12</v>
      </c>
      <c r="I1626" t="s">
        <v>1843</v>
      </c>
      <c r="J1626" t="s">
        <v>2480</v>
      </c>
      <c r="K1626" t="str">
        <f>+VLOOKUP(C1626,'[1]TIENDAS 2025'!$A$1:$C$143,3,0)</f>
        <v>departamental</v>
      </c>
      <c r="L1626" t="str">
        <f>+VLOOKUP(C1626,[2]Hoja1!$A$1:$B$138,2,0)</f>
        <v>APROBAR</v>
      </c>
      <c r="M1626">
        <v>1</v>
      </c>
      <c r="N1626" t="e">
        <v>#N/A</v>
      </c>
    </row>
    <row r="1627" spans="1:14" ht="15" customHeight="1" x14ac:dyDescent="0.3">
      <c r="A1627" s="3">
        <v>1209660128</v>
      </c>
      <c r="B1627" s="3" t="s">
        <v>1845</v>
      </c>
      <c r="C1627" s="3" t="s">
        <v>1846</v>
      </c>
      <c r="D1627" s="4">
        <v>46307.454166666699</v>
      </c>
      <c r="E1627" s="5" t="s">
        <v>10</v>
      </c>
      <c r="F1627" s="5" t="s">
        <v>17</v>
      </c>
      <c r="G1627" s="5">
        <v>27</v>
      </c>
      <c r="H1627" s="6" t="s">
        <v>12</v>
      </c>
      <c r="I1627" t="s">
        <v>1844</v>
      </c>
      <c r="J1627" t="s">
        <v>2480</v>
      </c>
      <c r="K1627" t="str">
        <f>+VLOOKUP(C1627,'[1]TIENDAS 2025'!$A$1:$C$143,3,0)</f>
        <v>nocturna</v>
      </c>
      <c r="L1627" t="str">
        <f>+VLOOKUP(C1627,[2]Hoja1!$A$1:$B$138,2,0)</f>
        <v>APROBAR</v>
      </c>
      <c r="M1627">
        <v>1</v>
      </c>
      <c r="N1627" t="e">
        <v>#N/A</v>
      </c>
    </row>
    <row r="1628" spans="1:14" ht="15" customHeight="1" x14ac:dyDescent="0.3">
      <c r="A1628" s="3">
        <v>1209660132</v>
      </c>
      <c r="B1628" s="3" t="s">
        <v>1845</v>
      </c>
      <c r="C1628" s="3" t="s">
        <v>1846</v>
      </c>
      <c r="D1628" s="4">
        <v>46307.454189814802</v>
      </c>
      <c r="E1628" s="5" t="s">
        <v>10</v>
      </c>
      <c r="F1628" s="5" t="s">
        <v>11</v>
      </c>
      <c r="G1628" s="5">
        <v>4</v>
      </c>
      <c r="H1628" s="6" t="s">
        <v>12</v>
      </c>
      <c r="I1628" t="s">
        <v>1847</v>
      </c>
      <c r="J1628" t="s">
        <v>2480</v>
      </c>
      <c r="K1628" t="str">
        <f>+VLOOKUP(C1628,'[1]TIENDAS 2025'!$A$1:$C$143,3,0)</f>
        <v>nocturna</v>
      </c>
      <c r="L1628" t="str">
        <f>+VLOOKUP(C1628,[2]Hoja1!$A$1:$B$138,2,0)</f>
        <v>APROBAR</v>
      </c>
      <c r="M1628">
        <v>1</v>
      </c>
      <c r="N1628" t="e">
        <v>#N/A</v>
      </c>
    </row>
    <row r="1629" spans="1:14" ht="15" customHeight="1" x14ac:dyDescent="0.3">
      <c r="A1629" s="3">
        <v>8209660044</v>
      </c>
      <c r="B1629" s="3" t="s">
        <v>1834</v>
      </c>
      <c r="C1629" s="3" t="s">
        <v>1835</v>
      </c>
      <c r="D1629" s="4">
        <v>46307.4542013889</v>
      </c>
      <c r="E1629" s="5" t="s">
        <v>10</v>
      </c>
      <c r="F1629" s="5" t="s">
        <v>16</v>
      </c>
      <c r="G1629" s="5">
        <v>5</v>
      </c>
      <c r="H1629" s="8" t="s">
        <v>12</v>
      </c>
      <c r="I1629" t="s">
        <v>1848</v>
      </c>
      <c r="K1629" t="str">
        <f>+VLOOKUP(C1629,'[1]TIENDAS 2025'!$A$1:$C$143,3,0)</f>
        <v>local</v>
      </c>
      <c r="L1629" t="str">
        <f>+VLOOKUP(C1629,[2]Hoja1!$A$1:$B$138,2,0)</f>
        <v>APROBAR</v>
      </c>
      <c r="M1629">
        <v>1</v>
      </c>
      <c r="N1629" t="e">
        <v>#N/A</v>
      </c>
    </row>
    <row r="1630" spans="1:14" ht="15" customHeight="1" x14ac:dyDescent="0.3">
      <c r="A1630" s="3">
        <v>1209660084</v>
      </c>
      <c r="B1630" s="3" t="s">
        <v>1831</v>
      </c>
      <c r="C1630" s="3" t="s">
        <v>1832</v>
      </c>
      <c r="D1630" s="4">
        <v>46307.454212962999</v>
      </c>
      <c r="E1630" s="5" t="s">
        <v>10</v>
      </c>
      <c r="F1630" s="5" t="s">
        <v>11</v>
      </c>
      <c r="G1630" s="5">
        <v>1</v>
      </c>
      <c r="H1630" s="6" t="s">
        <v>12</v>
      </c>
      <c r="I1630" t="s">
        <v>1849</v>
      </c>
      <c r="J1630" t="s">
        <v>2480</v>
      </c>
      <c r="K1630" t="str">
        <f>+VLOOKUP(C1630,'[1]TIENDAS 2025'!$A$1:$C$143,3,0)</f>
        <v>departamental</v>
      </c>
      <c r="L1630" t="str">
        <f>+VLOOKUP(C1630,[2]Hoja1!$A$1:$B$138,2,0)</f>
        <v>APROBAR</v>
      </c>
      <c r="M1630">
        <v>1</v>
      </c>
      <c r="N1630" t="e">
        <v>#N/A</v>
      </c>
    </row>
    <row r="1631" spans="1:14" ht="15" customHeight="1" x14ac:dyDescent="0.3">
      <c r="A1631" s="3">
        <v>1209660124</v>
      </c>
      <c r="B1631" s="3" t="s">
        <v>1845</v>
      </c>
      <c r="C1631" s="3" t="s">
        <v>1846</v>
      </c>
      <c r="D1631" s="4">
        <v>46307.454236111102</v>
      </c>
      <c r="E1631" s="5" t="s">
        <v>10</v>
      </c>
      <c r="F1631" s="5" t="s">
        <v>11</v>
      </c>
      <c r="G1631" s="5">
        <v>10</v>
      </c>
      <c r="H1631" s="6" t="s">
        <v>12</v>
      </c>
      <c r="I1631" t="s">
        <v>1850</v>
      </c>
      <c r="J1631" t="s">
        <v>2480</v>
      </c>
      <c r="K1631" t="str">
        <f>+VLOOKUP(C1631,'[1]TIENDAS 2025'!$A$1:$C$143,3,0)</f>
        <v>nocturna</v>
      </c>
      <c r="L1631" t="str">
        <f>+VLOOKUP(C1631,[2]Hoja1!$A$1:$B$138,2,0)</f>
        <v>APROBAR</v>
      </c>
      <c r="M1631">
        <v>1</v>
      </c>
      <c r="N1631" t="e">
        <v>#N/A</v>
      </c>
    </row>
    <row r="1632" spans="1:14" ht="15" customHeight="1" x14ac:dyDescent="0.3">
      <c r="A1632" s="3">
        <v>8209660158</v>
      </c>
      <c r="B1632" s="3" t="s">
        <v>1852</v>
      </c>
      <c r="C1632" s="3" t="s">
        <v>1853</v>
      </c>
      <c r="D1632" s="4">
        <v>46307.454236111102</v>
      </c>
      <c r="E1632" s="5" t="s">
        <v>10</v>
      </c>
      <c r="F1632" s="5" t="s">
        <v>16</v>
      </c>
      <c r="G1632" s="5">
        <v>8</v>
      </c>
      <c r="H1632" s="8" t="s">
        <v>12</v>
      </c>
      <c r="I1632" t="s">
        <v>1851</v>
      </c>
      <c r="K1632" t="str">
        <f>+VLOOKUP(C1632,'[1]TIENDAS 2025'!$A$1:$C$143,3,0)</f>
        <v xml:space="preserve">departamental </v>
      </c>
      <c r="L1632" t="str">
        <f>+VLOOKUP(C1632,[2]Hoja1!$A$1:$B$138,2,0)</f>
        <v>APROBAR</v>
      </c>
      <c r="M1632">
        <v>1</v>
      </c>
      <c r="N1632" t="e">
        <v>#N/A</v>
      </c>
    </row>
    <row r="1633" spans="1:14" ht="15" customHeight="1" x14ac:dyDescent="0.3">
      <c r="A1633" s="3">
        <v>8209660089</v>
      </c>
      <c r="B1633" s="3" t="s">
        <v>1837</v>
      </c>
      <c r="C1633" s="3" t="s">
        <v>1838</v>
      </c>
      <c r="D1633" s="4">
        <v>46307.454259259299</v>
      </c>
      <c r="E1633" s="5" t="s">
        <v>10</v>
      </c>
      <c r="F1633" s="5" t="s">
        <v>16</v>
      </c>
      <c r="G1633" s="5">
        <v>13</v>
      </c>
      <c r="H1633" s="8" t="s">
        <v>12</v>
      </c>
      <c r="I1633" t="s">
        <v>1854</v>
      </c>
      <c r="K1633" t="str">
        <f>+VLOOKUP(C1633,'[1]TIENDAS 2025'!$A$1:$C$143,3,0)</f>
        <v>local</v>
      </c>
      <c r="L1633" t="str">
        <f>+VLOOKUP(C1633,[2]Hoja1!$A$1:$B$138,2,0)</f>
        <v>APROBAR</v>
      </c>
      <c r="M1633">
        <v>1</v>
      </c>
      <c r="N1633" t="e">
        <v>#N/A</v>
      </c>
    </row>
    <row r="1634" spans="1:14" ht="15" customHeight="1" x14ac:dyDescent="0.3">
      <c r="A1634" s="3">
        <v>8209660033</v>
      </c>
      <c r="B1634" s="3" t="s">
        <v>1834</v>
      </c>
      <c r="C1634" s="3" t="s">
        <v>1835</v>
      </c>
      <c r="D1634" s="4">
        <v>46307.454270833303</v>
      </c>
      <c r="E1634" s="5" t="s">
        <v>10</v>
      </c>
      <c r="F1634" s="5" t="s">
        <v>16</v>
      </c>
      <c r="G1634" s="5">
        <v>19</v>
      </c>
      <c r="H1634" s="8" t="s">
        <v>12</v>
      </c>
      <c r="I1634" t="s">
        <v>1855</v>
      </c>
      <c r="K1634" t="str">
        <f>+VLOOKUP(C1634,'[1]TIENDAS 2025'!$A$1:$C$143,3,0)</f>
        <v>local</v>
      </c>
      <c r="L1634" t="str">
        <f>+VLOOKUP(C1634,[2]Hoja1!$A$1:$B$138,2,0)</f>
        <v>APROBAR</v>
      </c>
      <c r="M1634">
        <v>1</v>
      </c>
      <c r="N1634" t="e">
        <v>#N/A</v>
      </c>
    </row>
    <row r="1635" spans="1:14" ht="15" customHeight="1" x14ac:dyDescent="0.3">
      <c r="A1635" s="3">
        <v>8209660173</v>
      </c>
      <c r="B1635" s="3" t="s">
        <v>1840</v>
      </c>
      <c r="C1635" s="3" t="s">
        <v>1841</v>
      </c>
      <c r="D1635" s="4">
        <v>46307.454282407401</v>
      </c>
      <c r="E1635" s="5" t="s">
        <v>10</v>
      </c>
      <c r="F1635" s="5" t="s">
        <v>16</v>
      </c>
      <c r="G1635" s="5">
        <v>19</v>
      </c>
      <c r="H1635" s="8" t="s">
        <v>12</v>
      </c>
      <c r="I1635" t="s">
        <v>1856</v>
      </c>
      <c r="K1635" t="str">
        <f>+VLOOKUP(C1635,'[1]TIENDAS 2025'!$A$1:$C$143,3,0)</f>
        <v>prioridad</v>
      </c>
      <c r="L1635" t="str">
        <f>+VLOOKUP(C1635,[2]Hoja1!$A$1:$B$138,2,0)</f>
        <v>APROBAR</v>
      </c>
      <c r="M1635">
        <v>1</v>
      </c>
      <c r="N1635" t="e">
        <v>#N/A</v>
      </c>
    </row>
    <row r="1636" spans="1:14" ht="15" customHeight="1" x14ac:dyDescent="0.3">
      <c r="A1636" s="3">
        <v>8209660062</v>
      </c>
      <c r="B1636" s="3" t="s">
        <v>1831</v>
      </c>
      <c r="C1636" s="3" t="s">
        <v>1832</v>
      </c>
      <c r="D1636" s="4">
        <v>46307.454305555599</v>
      </c>
      <c r="E1636" s="5" t="s">
        <v>10</v>
      </c>
      <c r="F1636" s="5" t="s">
        <v>16</v>
      </c>
      <c r="G1636" s="5">
        <v>7</v>
      </c>
      <c r="H1636" s="8" t="s">
        <v>12</v>
      </c>
      <c r="I1636" t="s">
        <v>1857</v>
      </c>
      <c r="K1636" t="str">
        <f>+VLOOKUP(C1636,'[1]TIENDAS 2025'!$A$1:$C$143,3,0)</f>
        <v>departamental</v>
      </c>
      <c r="L1636" t="str">
        <f>+VLOOKUP(C1636,[2]Hoja1!$A$1:$B$138,2,0)</f>
        <v>APROBAR</v>
      </c>
      <c r="M1636">
        <v>1</v>
      </c>
      <c r="N1636" t="e">
        <v>#N/A</v>
      </c>
    </row>
    <row r="1637" spans="1:14" ht="15" customHeight="1" x14ac:dyDescent="0.3">
      <c r="A1637" s="3">
        <v>1209660150</v>
      </c>
      <c r="B1637" s="3" t="s">
        <v>1852</v>
      </c>
      <c r="C1637" s="3" t="s">
        <v>1853</v>
      </c>
      <c r="D1637" s="4">
        <v>46307.454305555599</v>
      </c>
      <c r="E1637" s="5" t="s">
        <v>10</v>
      </c>
      <c r="F1637" s="5" t="s">
        <v>11</v>
      </c>
      <c r="G1637" s="5">
        <v>10</v>
      </c>
      <c r="H1637" s="6" t="s">
        <v>12</v>
      </c>
      <c r="I1637" t="s">
        <v>1858</v>
      </c>
      <c r="J1637" t="s">
        <v>2480</v>
      </c>
      <c r="K1637" t="str">
        <f>+VLOOKUP(C1637,'[1]TIENDAS 2025'!$A$1:$C$143,3,0)</f>
        <v xml:space="preserve">departamental </v>
      </c>
      <c r="L1637" t="str">
        <f>+VLOOKUP(C1637,[2]Hoja1!$A$1:$B$138,2,0)</f>
        <v>APROBAR</v>
      </c>
      <c r="M1637">
        <v>1</v>
      </c>
      <c r="N1637" t="e">
        <v>#N/A</v>
      </c>
    </row>
    <row r="1638" spans="1:14" ht="15" customHeight="1" x14ac:dyDescent="0.3">
      <c r="A1638" s="3">
        <v>1209660097</v>
      </c>
      <c r="B1638" s="3" t="s">
        <v>1837</v>
      </c>
      <c r="C1638" s="3" t="s">
        <v>1838</v>
      </c>
      <c r="D1638" s="4">
        <v>46307.454328703701</v>
      </c>
      <c r="E1638" s="5" t="s">
        <v>10</v>
      </c>
      <c r="F1638" s="5" t="s">
        <v>17</v>
      </c>
      <c r="G1638" s="5">
        <v>27</v>
      </c>
      <c r="H1638" s="6" t="s">
        <v>12</v>
      </c>
      <c r="I1638" t="s">
        <v>1859</v>
      </c>
      <c r="J1638" t="s">
        <v>2480</v>
      </c>
      <c r="K1638" t="str">
        <f>+VLOOKUP(C1638,'[1]TIENDAS 2025'!$A$1:$C$143,3,0)</f>
        <v>local</v>
      </c>
      <c r="L1638" t="str">
        <f>+VLOOKUP(C1638,[2]Hoja1!$A$1:$B$138,2,0)</f>
        <v>APROBAR</v>
      </c>
      <c r="M1638">
        <v>1</v>
      </c>
      <c r="N1638" t="e">
        <v>#N/A</v>
      </c>
    </row>
    <row r="1639" spans="1:14" ht="15" customHeight="1" x14ac:dyDescent="0.3">
      <c r="A1639" s="3">
        <v>1209660185</v>
      </c>
      <c r="B1639" s="3" t="s">
        <v>1840</v>
      </c>
      <c r="C1639" s="3" t="s">
        <v>1841</v>
      </c>
      <c r="D1639" s="4">
        <v>46307.4543402778</v>
      </c>
      <c r="E1639" s="5" t="s">
        <v>10</v>
      </c>
      <c r="F1639" s="5" t="s">
        <v>11</v>
      </c>
      <c r="G1639" s="5">
        <v>77</v>
      </c>
      <c r="H1639" s="6" t="s">
        <v>12</v>
      </c>
      <c r="I1639" t="s">
        <v>1860</v>
      </c>
      <c r="J1639" t="s">
        <v>2480</v>
      </c>
      <c r="K1639" t="str">
        <f>+VLOOKUP(C1639,'[1]TIENDAS 2025'!$A$1:$C$143,3,0)</f>
        <v>prioridad</v>
      </c>
      <c r="L1639" t="str">
        <f>+VLOOKUP(C1639,[2]Hoja1!$A$1:$B$138,2,0)</f>
        <v>APROBAR</v>
      </c>
      <c r="M1639">
        <v>1</v>
      </c>
      <c r="N1639" t="e">
        <v>#N/A</v>
      </c>
    </row>
    <row r="1640" spans="1:14" ht="15" customHeight="1" x14ac:dyDescent="0.3">
      <c r="A1640" s="3">
        <v>8209660117</v>
      </c>
      <c r="B1640" s="3" t="s">
        <v>1845</v>
      </c>
      <c r="C1640" s="3" t="s">
        <v>1846</v>
      </c>
      <c r="D1640" s="4">
        <v>46307.454351851899</v>
      </c>
      <c r="E1640" s="5" t="s">
        <v>10</v>
      </c>
      <c r="F1640" s="5" t="s">
        <v>16</v>
      </c>
      <c r="G1640" s="5">
        <v>6</v>
      </c>
      <c r="H1640" s="8" t="s">
        <v>12</v>
      </c>
      <c r="I1640" t="s">
        <v>1861</v>
      </c>
      <c r="K1640" t="str">
        <f>+VLOOKUP(C1640,'[1]TIENDAS 2025'!$A$1:$C$143,3,0)</f>
        <v>nocturna</v>
      </c>
      <c r="L1640" t="str">
        <f>+VLOOKUP(C1640,[2]Hoja1!$A$1:$B$138,2,0)</f>
        <v>APROBAR</v>
      </c>
      <c r="M1640">
        <v>1</v>
      </c>
      <c r="N1640" t="e">
        <v>#N/A</v>
      </c>
    </row>
    <row r="1641" spans="1:14" ht="15" customHeight="1" x14ac:dyDescent="0.3">
      <c r="A1641" s="3">
        <v>8209660118</v>
      </c>
      <c r="B1641" s="3" t="s">
        <v>1845</v>
      </c>
      <c r="C1641" s="3" t="s">
        <v>1846</v>
      </c>
      <c r="D1641" s="4">
        <v>46307.454363425903</v>
      </c>
      <c r="E1641" s="5" t="s">
        <v>10</v>
      </c>
      <c r="F1641" s="5" t="s">
        <v>16</v>
      </c>
      <c r="G1641" s="5">
        <v>4</v>
      </c>
      <c r="H1641" s="8" t="s">
        <v>12</v>
      </c>
      <c r="I1641" t="s">
        <v>1862</v>
      </c>
      <c r="K1641" t="str">
        <f>+VLOOKUP(C1641,'[1]TIENDAS 2025'!$A$1:$C$143,3,0)</f>
        <v>nocturna</v>
      </c>
      <c r="L1641" t="str">
        <f>+VLOOKUP(C1641,[2]Hoja1!$A$1:$B$138,2,0)</f>
        <v>APROBAR</v>
      </c>
      <c r="M1641">
        <v>1</v>
      </c>
      <c r="N1641" t="e">
        <v>#N/A</v>
      </c>
    </row>
    <row r="1642" spans="1:14" ht="15" customHeight="1" x14ac:dyDescent="0.3">
      <c r="A1642" s="3">
        <v>1209660154</v>
      </c>
      <c r="B1642" s="3" t="s">
        <v>1852</v>
      </c>
      <c r="C1642" s="3" t="s">
        <v>1853</v>
      </c>
      <c r="D1642" s="4">
        <v>46307.454375000001</v>
      </c>
      <c r="E1642" s="5" t="s">
        <v>10</v>
      </c>
      <c r="F1642" s="5" t="s">
        <v>17</v>
      </c>
      <c r="G1642" s="5">
        <v>21</v>
      </c>
      <c r="H1642" s="6" t="s">
        <v>12</v>
      </c>
      <c r="I1642" t="s">
        <v>1863</v>
      </c>
      <c r="J1642" t="s">
        <v>2480</v>
      </c>
      <c r="K1642" t="str">
        <f>+VLOOKUP(C1642,'[1]TIENDAS 2025'!$A$1:$C$143,3,0)</f>
        <v xml:space="preserve">departamental </v>
      </c>
      <c r="L1642" t="str">
        <f>+VLOOKUP(C1642,[2]Hoja1!$A$1:$B$138,2,0)</f>
        <v>APROBAR</v>
      </c>
      <c r="M1642">
        <v>1</v>
      </c>
      <c r="N1642" t="e">
        <v>#N/A</v>
      </c>
    </row>
    <row r="1643" spans="1:14" ht="15" customHeight="1" x14ac:dyDescent="0.3">
      <c r="A1643" s="3">
        <v>8209660085</v>
      </c>
      <c r="B1643" s="3" t="s">
        <v>1837</v>
      </c>
      <c r="C1643" s="3" t="s">
        <v>1838</v>
      </c>
      <c r="D1643" s="4">
        <v>46307.454398148097</v>
      </c>
      <c r="E1643" s="5" t="s">
        <v>10</v>
      </c>
      <c r="F1643" s="5" t="s">
        <v>16</v>
      </c>
      <c r="G1643" s="5">
        <v>21</v>
      </c>
      <c r="H1643" s="8" t="s">
        <v>12</v>
      </c>
      <c r="I1643" t="s">
        <v>1864</v>
      </c>
      <c r="K1643" t="str">
        <f>+VLOOKUP(C1643,'[1]TIENDAS 2025'!$A$1:$C$143,3,0)</f>
        <v>local</v>
      </c>
      <c r="L1643" t="str">
        <f>+VLOOKUP(C1643,[2]Hoja1!$A$1:$B$138,2,0)</f>
        <v>APROBAR</v>
      </c>
      <c r="M1643">
        <v>1</v>
      </c>
      <c r="N1643" t="e">
        <v>#N/A</v>
      </c>
    </row>
    <row r="1644" spans="1:14" ht="15" customHeight="1" x14ac:dyDescent="0.3">
      <c r="A1644" s="3">
        <v>1209660071</v>
      </c>
      <c r="B1644" s="3" t="s">
        <v>1831</v>
      </c>
      <c r="C1644" s="3" t="s">
        <v>1832</v>
      </c>
      <c r="D1644" s="4">
        <v>46307.454409722202</v>
      </c>
      <c r="E1644" s="5" t="s">
        <v>10</v>
      </c>
      <c r="F1644" s="5" t="s">
        <v>17</v>
      </c>
      <c r="G1644" s="5">
        <v>47</v>
      </c>
      <c r="H1644" s="6" t="s">
        <v>12</v>
      </c>
      <c r="I1644" t="s">
        <v>1865</v>
      </c>
      <c r="J1644" t="s">
        <v>2480</v>
      </c>
      <c r="K1644" t="str">
        <f>+VLOOKUP(C1644,'[1]TIENDAS 2025'!$A$1:$C$143,3,0)</f>
        <v>departamental</v>
      </c>
      <c r="L1644" t="str">
        <f>+VLOOKUP(C1644,[2]Hoja1!$A$1:$B$138,2,0)</f>
        <v>APROBAR</v>
      </c>
      <c r="M1644">
        <v>1</v>
      </c>
      <c r="N1644" t="e">
        <v>#N/A</v>
      </c>
    </row>
    <row r="1645" spans="1:14" ht="15" customHeight="1" x14ac:dyDescent="0.3">
      <c r="A1645" s="3">
        <v>1209660092</v>
      </c>
      <c r="B1645" s="3" t="s">
        <v>1837</v>
      </c>
      <c r="C1645" s="3" t="s">
        <v>1838</v>
      </c>
      <c r="D1645" s="4">
        <v>46307.454421296301</v>
      </c>
      <c r="E1645" s="5" t="s">
        <v>10</v>
      </c>
      <c r="F1645" s="5" t="s">
        <v>11</v>
      </c>
      <c r="G1645" s="5">
        <v>21</v>
      </c>
      <c r="H1645" s="6" t="s">
        <v>12</v>
      </c>
      <c r="I1645" t="s">
        <v>1866</v>
      </c>
      <c r="J1645" t="s">
        <v>2480</v>
      </c>
      <c r="K1645" t="str">
        <f>+VLOOKUP(C1645,'[1]TIENDAS 2025'!$A$1:$C$143,3,0)</f>
        <v>local</v>
      </c>
      <c r="L1645" t="str">
        <f>+VLOOKUP(C1645,[2]Hoja1!$A$1:$B$138,2,0)</f>
        <v>APROBAR</v>
      </c>
      <c r="M1645">
        <v>1</v>
      </c>
      <c r="N1645" t="e">
        <v>#N/A</v>
      </c>
    </row>
    <row r="1646" spans="1:14" ht="15" customHeight="1" x14ac:dyDescent="0.3">
      <c r="A1646" s="3">
        <v>8209660031</v>
      </c>
      <c r="B1646" s="3" t="s">
        <v>1834</v>
      </c>
      <c r="C1646" s="3" t="s">
        <v>1835</v>
      </c>
      <c r="D1646" s="4">
        <v>46307.4544328704</v>
      </c>
      <c r="E1646" s="5" t="s">
        <v>10</v>
      </c>
      <c r="F1646" s="5" t="s">
        <v>16</v>
      </c>
      <c r="G1646" s="5">
        <v>9</v>
      </c>
      <c r="H1646" s="8" t="s">
        <v>12</v>
      </c>
      <c r="I1646" t="s">
        <v>1867</v>
      </c>
      <c r="K1646" t="str">
        <f>+VLOOKUP(C1646,'[1]TIENDAS 2025'!$A$1:$C$143,3,0)</f>
        <v>local</v>
      </c>
      <c r="L1646" t="str">
        <f>+VLOOKUP(C1646,[2]Hoja1!$A$1:$B$138,2,0)</f>
        <v>APROBAR</v>
      </c>
      <c r="M1646">
        <v>1</v>
      </c>
      <c r="N1646" t="e">
        <v>#N/A</v>
      </c>
    </row>
    <row r="1647" spans="1:14" ht="15" customHeight="1" x14ac:dyDescent="0.3">
      <c r="A1647" s="3">
        <v>8209660032</v>
      </c>
      <c r="B1647" s="3" t="s">
        <v>1834</v>
      </c>
      <c r="C1647" s="3" t="s">
        <v>1835</v>
      </c>
      <c r="D1647" s="4">
        <v>46307.454456018502</v>
      </c>
      <c r="E1647" s="5" t="s">
        <v>10</v>
      </c>
      <c r="F1647" s="5" t="s">
        <v>16</v>
      </c>
      <c r="G1647" s="5">
        <v>11</v>
      </c>
      <c r="H1647" s="8" t="s">
        <v>12</v>
      </c>
      <c r="I1647" t="s">
        <v>1868</v>
      </c>
      <c r="K1647" t="str">
        <f>+VLOOKUP(C1647,'[1]TIENDAS 2025'!$A$1:$C$143,3,0)</f>
        <v>local</v>
      </c>
      <c r="L1647" t="str">
        <f>+VLOOKUP(C1647,[2]Hoja1!$A$1:$B$138,2,0)</f>
        <v>APROBAR</v>
      </c>
      <c r="M1647">
        <v>1</v>
      </c>
      <c r="N1647" t="e">
        <v>#N/A</v>
      </c>
    </row>
    <row r="1648" spans="1:14" ht="15" customHeight="1" x14ac:dyDescent="0.3">
      <c r="A1648" s="3">
        <v>1209660034</v>
      </c>
      <c r="B1648" s="3" t="s">
        <v>1834</v>
      </c>
      <c r="C1648" s="3" t="s">
        <v>1835</v>
      </c>
      <c r="D1648" s="4">
        <v>46307.454467592601</v>
      </c>
      <c r="E1648" s="5" t="s">
        <v>10</v>
      </c>
      <c r="F1648" s="5" t="s">
        <v>16</v>
      </c>
      <c r="G1648" s="5">
        <v>15</v>
      </c>
      <c r="H1648" s="6" t="s">
        <v>12</v>
      </c>
      <c r="I1648" t="s">
        <v>1869</v>
      </c>
      <c r="J1648" t="s">
        <v>2480</v>
      </c>
      <c r="K1648" t="str">
        <f>+VLOOKUP(C1648,'[1]TIENDAS 2025'!$A$1:$C$143,3,0)</f>
        <v>local</v>
      </c>
      <c r="L1648" t="str">
        <f>+VLOOKUP(C1648,[2]Hoja1!$A$1:$B$138,2,0)</f>
        <v>APROBAR</v>
      </c>
      <c r="M1648">
        <v>1</v>
      </c>
      <c r="N1648" t="e">
        <v>#N/A</v>
      </c>
    </row>
    <row r="1649" spans="1:14" ht="15" customHeight="1" x14ac:dyDescent="0.3">
      <c r="A1649" s="3">
        <v>1209660035</v>
      </c>
      <c r="B1649" s="3" t="s">
        <v>1834</v>
      </c>
      <c r="C1649" s="3" t="s">
        <v>1835</v>
      </c>
      <c r="D1649" s="4">
        <v>46307.454490740703</v>
      </c>
      <c r="E1649" s="5" t="s">
        <v>10</v>
      </c>
      <c r="F1649" s="5" t="s">
        <v>17</v>
      </c>
      <c r="G1649" s="5">
        <v>8</v>
      </c>
      <c r="H1649" s="6" t="s">
        <v>12</v>
      </c>
      <c r="I1649" t="s">
        <v>1870</v>
      </c>
      <c r="J1649" t="s">
        <v>2480</v>
      </c>
      <c r="K1649" t="str">
        <f>+VLOOKUP(C1649,'[1]TIENDAS 2025'!$A$1:$C$143,3,0)</f>
        <v>local</v>
      </c>
      <c r="L1649" t="str">
        <f>+VLOOKUP(C1649,[2]Hoja1!$A$1:$B$138,2,0)</f>
        <v>APROBAR</v>
      </c>
      <c r="M1649">
        <v>1</v>
      </c>
      <c r="N1649" t="e">
        <v>#N/A</v>
      </c>
    </row>
    <row r="1650" spans="1:14" ht="15" customHeight="1" x14ac:dyDescent="0.3">
      <c r="A1650" s="3">
        <v>1209660095</v>
      </c>
      <c r="B1650" s="3" t="s">
        <v>1837</v>
      </c>
      <c r="C1650" s="3" t="s">
        <v>1838</v>
      </c>
      <c r="D1650" s="4">
        <v>46307.454502314802</v>
      </c>
      <c r="E1650" s="5" t="s">
        <v>10</v>
      </c>
      <c r="F1650" s="5" t="s">
        <v>11</v>
      </c>
      <c r="G1650" s="5">
        <v>4</v>
      </c>
      <c r="H1650" s="6" t="s">
        <v>12</v>
      </c>
      <c r="I1650" t="s">
        <v>1871</v>
      </c>
      <c r="J1650" t="s">
        <v>2480</v>
      </c>
      <c r="K1650" t="str">
        <f>+VLOOKUP(C1650,'[1]TIENDAS 2025'!$A$1:$C$143,3,0)</f>
        <v>local</v>
      </c>
      <c r="L1650" t="str">
        <f>+VLOOKUP(C1650,[2]Hoja1!$A$1:$B$138,2,0)</f>
        <v>APROBAR</v>
      </c>
      <c r="M1650">
        <v>1</v>
      </c>
      <c r="N1650" t="e">
        <v>#N/A</v>
      </c>
    </row>
    <row r="1651" spans="1:14" ht="15" customHeight="1" x14ac:dyDescent="0.3">
      <c r="A1651" s="3">
        <v>8209660144</v>
      </c>
      <c r="B1651" s="3" t="s">
        <v>1852</v>
      </c>
      <c r="C1651" s="3" t="s">
        <v>1853</v>
      </c>
      <c r="D1651" s="4">
        <v>46307.454502314802</v>
      </c>
      <c r="E1651" s="5" t="s">
        <v>10</v>
      </c>
      <c r="F1651" s="5" t="s">
        <v>16</v>
      </c>
      <c r="G1651" s="5">
        <v>1</v>
      </c>
      <c r="H1651" s="8" t="s">
        <v>12</v>
      </c>
      <c r="I1651" t="s">
        <v>1872</v>
      </c>
      <c r="K1651" t="str">
        <f>+VLOOKUP(C1651,'[1]TIENDAS 2025'!$A$1:$C$143,3,0)</f>
        <v xml:space="preserve">departamental </v>
      </c>
      <c r="L1651" t="str">
        <f>+VLOOKUP(C1651,[2]Hoja1!$A$1:$B$138,2,0)</f>
        <v>APROBAR</v>
      </c>
      <c r="M1651">
        <v>1</v>
      </c>
      <c r="N1651" t="e">
        <v>#N/A</v>
      </c>
    </row>
    <row r="1652" spans="1:14" ht="15" customHeight="1" x14ac:dyDescent="0.3">
      <c r="A1652" s="3">
        <v>8209660172</v>
      </c>
      <c r="B1652" s="3" t="s">
        <v>1840</v>
      </c>
      <c r="C1652" s="3" t="s">
        <v>1841</v>
      </c>
      <c r="D1652" s="4">
        <v>46307.454525462999</v>
      </c>
      <c r="E1652" s="5" t="s">
        <v>10</v>
      </c>
      <c r="F1652" s="5" t="s">
        <v>16</v>
      </c>
      <c r="G1652" s="5">
        <v>32</v>
      </c>
      <c r="H1652" s="8" t="s">
        <v>12</v>
      </c>
      <c r="I1652" t="s">
        <v>1873</v>
      </c>
      <c r="K1652" t="str">
        <f>+VLOOKUP(C1652,'[1]TIENDAS 2025'!$A$1:$C$143,3,0)</f>
        <v>prioridad</v>
      </c>
      <c r="L1652" t="str">
        <f>+VLOOKUP(C1652,[2]Hoja1!$A$1:$B$138,2,0)</f>
        <v>APROBAR</v>
      </c>
      <c r="M1652">
        <v>1</v>
      </c>
      <c r="N1652" t="e">
        <v>#N/A</v>
      </c>
    </row>
    <row r="1653" spans="1:14" ht="15" customHeight="1" x14ac:dyDescent="0.3">
      <c r="A1653" s="3">
        <v>1209660038</v>
      </c>
      <c r="B1653" s="3" t="s">
        <v>1834</v>
      </c>
      <c r="C1653" s="3" t="s">
        <v>1835</v>
      </c>
      <c r="D1653" s="4">
        <v>46307.454537037003</v>
      </c>
      <c r="E1653" s="5" t="s">
        <v>10</v>
      </c>
      <c r="F1653" s="5" t="s">
        <v>11</v>
      </c>
      <c r="G1653" s="5">
        <v>16</v>
      </c>
      <c r="H1653" s="6" t="s">
        <v>12</v>
      </c>
      <c r="I1653" t="s">
        <v>1874</v>
      </c>
      <c r="J1653" t="s">
        <v>2480</v>
      </c>
      <c r="K1653" t="str">
        <f>+VLOOKUP(C1653,'[1]TIENDAS 2025'!$A$1:$C$143,3,0)</f>
        <v>local</v>
      </c>
      <c r="L1653" t="str">
        <f>+VLOOKUP(C1653,[2]Hoja1!$A$1:$B$138,2,0)</f>
        <v>APROBAR</v>
      </c>
      <c r="M1653">
        <v>1</v>
      </c>
      <c r="N1653" t="e">
        <v>#N/A</v>
      </c>
    </row>
    <row r="1654" spans="1:14" ht="15" customHeight="1" x14ac:dyDescent="0.3">
      <c r="A1654" s="3">
        <v>1209660096</v>
      </c>
      <c r="B1654" s="3" t="s">
        <v>1837</v>
      </c>
      <c r="C1654" s="3" t="s">
        <v>1838</v>
      </c>
      <c r="D1654" s="4">
        <v>46307.454548611102</v>
      </c>
      <c r="E1654" s="5" t="s">
        <v>10</v>
      </c>
      <c r="F1654" s="5" t="s">
        <v>11</v>
      </c>
      <c r="G1654" s="5">
        <v>54</v>
      </c>
      <c r="H1654" s="6" t="s">
        <v>12</v>
      </c>
      <c r="I1654" t="s">
        <v>1875</v>
      </c>
      <c r="J1654" t="s">
        <v>2480</v>
      </c>
      <c r="K1654" t="str">
        <f>+VLOOKUP(C1654,'[1]TIENDAS 2025'!$A$1:$C$143,3,0)</f>
        <v>local</v>
      </c>
      <c r="L1654" t="str">
        <f>+VLOOKUP(C1654,[2]Hoja1!$A$1:$B$138,2,0)</f>
        <v>APROBAR</v>
      </c>
      <c r="M1654">
        <v>1</v>
      </c>
      <c r="N1654" t="e">
        <v>#N/A</v>
      </c>
    </row>
    <row r="1655" spans="1:14" ht="15" customHeight="1" x14ac:dyDescent="0.3">
      <c r="A1655" s="3">
        <v>1209660041</v>
      </c>
      <c r="B1655" s="3" t="s">
        <v>1834</v>
      </c>
      <c r="C1655" s="3" t="s">
        <v>1835</v>
      </c>
      <c r="D1655" s="4">
        <v>46307.454571759299</v>
      </c>
      <c r="E1655" s="5" t="s">
        <v>10</v>
      </c>
      <c r="F1655" s="5" t="s">
        <v>11</v>
      </c>
      <c r="G1655" s="5">
        <v>30</v>
      </c>
      <c r="H1655" s="6" t="s">
        <v>12</v>
      </c>
      <c r="I1655" t="s">
        <v>1876</v>
      </c>
      <c r="J1655" t="s">
        <v>2480</v>
      </c>
      <c r="K1655" t="str">
        <f>+VLOOKUP(C1655,'[1]TIENDAS 2025'!$A$1:$C$143,3,0)</f>
        <v>local</v>
      </c>
      <c r="L1655" t="str">
        <f>+VLOOKUP(C1655,[2]Hoja1!$A$1:$B$138,2,0)</f>
        <v>APROBAR</v>
      </c>
      <c r="M1655">
        <v>1</v>
      </c>
      <c r="N1655" t="e">
        <v>#N/A</v>
      </c>
    </row>
    <row r="1656" spans="1:14" ht="15" customHeight="1" x14ac:dyDescent="0.3">
      <c r="A1656" s="3">
        <v>1209660149</v>
      </c>
      <c r="B1656" s="3" t="s">
        <v>1852</v>
      </c>
      <c r="C1656" s="3" t="s">
        <v>1853</v>
      </c>
      <c r="D1656" s="4">
        <v>46307.454571759299</v>
      </c>
      <c r="E1656" s="5" t="s">
        <v>10</v>
      </c>
      <c r="F1656" s="5" t="s">
        <v>11</v>
      </c>
      <c r="G1656" s="5">
        <v>8</v>
      </c>
      <c r="H1656" s="6" t="s">
        <v>12</v>
      </c>
      <c r="I1656" t="s">
        <v>1877</v>
      </c>
      <c r="J1656" t="s">
        <v>2480</v>
      </c>
      <c r="K1656" t="str">
        <f>+VLOOKUP(C1656,'[1]TIENDAS 2025'!$A$1:$C$143,3,0)</f>
        <v xml:space="preserve">departamental </v>
      </c>
      <c r="L1656" t="str">
        <f>+VLOOKUP(C1656,[2]Hoja1!$A$1:$B$138,2,0)</f>
        <v>APROBAR</v>
      </c>
      <c r="M1656">
        <v>1</v>
      </c>
      <c r="N1656" t="e">
        <v>#N/A</v>
      </c>
    </row>
    <row r="1657" spans="1:14" ht="15" customHeight="1" x14ac:dyDescent="0.3">
      <c r="A1657" s="3">
        <v>1209660042</v>
      </c>
      <c r="B1657" s="3" t="s">
        <v>1834</v>
      </c>
      <c r="C1657" s="3" t="s">
        <v>1835</v>
      </c>
      <c r="D1657" s="4">
        <v>46307.454594907402</v>
      </c>
      <c r="E1657" s="5" t="s">
        <v>10</v>
      </c>
      <c r="F1657" s="5" t="s">
        <v>11</v>
      </c>
      <c r="G1657" s="5">
        <v>35</v>
      </c>
      <c r="H1657" s="6" t="s">
        <v>12</v>
      </c>
      <c r="I1657" t="s">
        <v>1878</v>
      </c>
      <c r="J1657" t="s">
        <v>2480</v>
      </c>
      <c r="K1657" t="str">
        <f>+VLOOKUP(C1657,'[1]TIENDAS 2025'!$A$1:$C$143,3,0)</f>
        <v>local</v>
      </c>
      <c r="L1657" t="str">
        <f>+VLOOKUP(C1657,[2]Hoja1!$A$1:$B$138,2,0)</f>
        <v>APROBAR</v>
      </c>
      <c r="M1657">
        <v>1</v>
      </c>
      <c r="N1657" t="e">
        <v>#N/A</v>
      </c>
    </row>
    <row r="1658" spans="1:14" ht="15" customHeight="1" x14ac:dyDescent="0.3">
      <c r="A1658" s="3">
        <v>1209660179</v>
      </c>
      <c r="B1658" s="3" t="s">
        <v>1840</v>
      </c>
      <c r="C1658" s="3" t="s">
        <v>1841</v>
      </c>
      <c r="D1658" s="4">
        <v>46307.4546064815</v>
      </c>
      <c r="E1658" s="5" t="s">
        <v>10</v>
      </c>
      <c r="F1658" s="5" t="s">
        <v>17</v>
      </c>
      <c r="G1658" s="5">
        <v>19</v>
      </c>
      <c r="H1658" s="6" t="s">
        <v>12</v>
      </c>
      <c r="I1658" t="s">
        <v>1879</v>
      </c>
      <c r="J1658" t="s">
        <v>2480</v>
      </c>
      <c r="K1658" t="str">
        <f>+VLOOKUP(C1658,'[1]TIENDAS 2025'!$A$1:$C$143,3,0)</f>
        <v>prioridad</v>
      </c>
      <c r="L1658" t="str">
        <f>+VLOOKUP(C1658,[2]Hoja1!$A$1:$B$138,2,0)</f>
        <v>APROBAR</v>
      </c>
      <c r="M1658">
        <v>1</v>
      </c>
      <c r="N1658" t="e">
        <v>#N/A</v>
      </c>
    </row>
    <row r="1659" spans="1:14" ht="15" customHeight="1" x14ac:dyDescent="0.3">
      <c r="A1659" s="3">
        <v>1209660131</v>
      </c>
      <c r="B1659" s="3" t="s">
        <v>1845</v>
      </c>
      <c r="C1659" s="3" t="s">
        <v>1846</v>
      </c>
      <c r="D1659" s="4">
        <v>46307.454629629603</v>
      </c>
      <c r="E1659" s="5" t="s">
        <v>10</v>
      </c>
      <c r="F1659" s="5" t="s">
        <v>11</v>
      </c>
      <c r="G1659" s="5">
        <v>38</v>
      </c>
      <c r="H1659" s="6" t="s">
        <v>12</v>
      </c>
      <c r="I1659" t="s">
        <v>1880</v>
      </c>
      <c r="J1659" t="s">
        <v>2480</v>
      </c>
      <c r="K1659" t="str">
        <f>+VLOOKUP(C1659,'[1]TIENDAS 2025'!$A$1:$C$143,3,0)</f>
        <v>nocturna</v>
      </c>
      <c r="L1659" t="str">
        <f>+VLOOKUP(C1659,[2]Hoja1!$A$1:$B$138,2,0)</f>
        <v>APROBAR</v>
      </c>
      <c r="M1659">
        <v>1</v>
      </c>
      <c r="N1659" t="e">
        <v>#N/A</v>
      </c>
    </row>
    <row r="1660" spans="1:14" ht="15" customHeight="1" x14ac:dyDescent="0.3">
      <c r="A1660" s="3">
        <v>1209660043</v>
      </c>
      <c r="B1660" s="3" t="s">
        <v>1834</v>
      </c>
      <c r="C1660" s="3" t="s">
        <v>1835</v>
      </c>
      <c r="D1660" s="4">
        <v>46307.454641203702</v>
      </c>
      <c r="E1660" s="5" t="s">
        <v>10</v>
      </c>
      <c r="F1660" s="5" t="s">
        <v>17</v>
      </c>
      <c r="G1660" s="5">
        <v>36</v>
      </c>
      <c r="H1660" s="6" t="s">
        <v>12</v>
      </c>
      <c r="I1660" t="s">
        <v>1881</v>
      </c>
      <c r="J1660" t="s">
        <v>2480</v>
      </c>
      <c r="K1660" t="str">
        <f>+VLOOKUP(C1660,'[1]TIENDAS 2025'!$A$1:$C$143,3,0)</f>
        <v>local</v>
      </c>
      <c r="L1660" t="str">
        <f>+VLOOKUP(C1660,[2]Hoja1!$A$1:$B$138,2,0)</f>
        <v>APROBAR</v>
      </c>
      <c r="M1660">
        <v>1</v>
      </c>
      <c r="N1660" t="e">
        <v>#N/A</v>
      </c>
    </row>
    <row r="1661" spans="1:14" ht="15" customHeight="1" x14ac:dyDescent="0.3">
      <c r="A1661" s="3">
        <v>8209660088</v>
      </c>
      <c r="B1661" s="3" t="s">
        <v>1837</v>
      </c>
      <c r="C1661" s="3" t="s">
        <v>1838</v>
      </c>
      <c r="D1661" s="4">
        <v>46307.4546527778</v>
      </c>
      <c r="E1661" s="5" t="s">
        <v>10</v>
      </c>
      <c r="F1661" s="5" t="s">
        <v>16</v>
      </c>
      <c r="G1661" s="5">
        <v>4</v>
      </c>
      <c r="H1661" s="8" t="s">
        <v>12</v>
      </c>
      <c r="I1661" t="s">
        <v>1882</v>
      </c>
      <c r="K1661" t="str">
        <f>+VLOOKUP(C1661,'[1]TIENDAS 2025'!$A$1:$C$143,3,0)</f>
        <v>local</v>
      </c>
      <c r="L1661" t="str">
        <f>+VLOOKUP(C1661,[2]Hoja1!$A$1:$B$138,2,0)</f>
        <v>APROBAR</v>
      </c>
      <c r="M1661">
        <v>1</v>
      </c>
      <c r="N1661" t="e">
        <v>#N/A</v>
      </c>
    </row>
    <row r="1662" spans="1:14" ht="15" customHeight="1" x14ac:dyDescent="0.3">
      <c r="A1662" s="3">
        <v>1209660127</v>
      </c>
      <c r="B1662" s="3" t="s">
        <v>1845</v>
      </c>
      <c r="C1662" s="3" t="s">
        <v>1846</v>
      </c>
      <c r="D1662" s="4">
        <v>46307.454664351899</v>
      </c>
      <c r="E1662" s="5" t="s">
        <v>10</v>
      </c>
      <c r="F1662" s="5" t="s">
        <v>11</v>
      </c>
      <c r="G1662" s="5">
        <v>27</v>
      </c>
      <c r="H1662" s="6" t="s">
        <v>12</v>
      </c>
      <c r="I1662" t="s">
        <v>1883</v>
      </c>
      <c r="J1662" t="s">
        <v>2480</v>
      </c>
      <c r="K1662" t="str">
        <f>+VLOOKUP(C1662,'[1]TIENDAS 2025'!$A$1:$C$143,3,0)</f>
        <v>nocturna</v>
      </c>
      <c r="L1662" t="str">
        <f>+VLOOKUP(C1662,[2]Hoja1!$A$1:$B$138,2,0)</f>
        <v>APROBAR</v>
      </c>
      <c r="M1662">
        <v>1</v>
      </c>
      <c r="N1662" t="e">
        <v>#N/A</v>
      </c>
    </row>
    <row r="1663" spans="1:14" ht="15" customHeight="1" x14ac:dyDescent="0.3">
      <c r="A1663" s="3">
        <v>1209660094</v>
      </c>
      <c r="B1663" s="3" t="s">
        <v>1837</v>
      </c>
      <c r="C1663" s="3" t="s">
        <v>1838</v>
      </c>
      <c r="D1663" s="4">
        <v>46307.454675925903</v>
      </c>
      <c r="E1663" s="5" t="s">
        <v>10</v>
      </c>
      <c r="F1663" s="5" t="s">
        <v>17</v>
      </c>
      <c r="G1663" s="5">
        <v>25</v>
      </c>
      <c r="H1663" s="6" t="s">
        <v>12</v>
      </c>
      <c r="I1663" t="s">
        <v>1884</v>
      </c>
      <c r="J1663" t="s">
        <v>2480</v>
      </c>
      <c r="K1663" t="str">
        <f>+VLOOKUP(C1663,'[1]TIENDAS 2025'!$A$1:$C$143,3,0)</f>
        <v>local</v>
      </c>
      <c r="L1663" t="str">
        <f>+VLOOKUP(C1663,[2]Hoja1!$A$1:$B$138,2,0)</f>
        <v>APROBAR</v>
      </c>
      <c r="M1663">
        <v>1</v>
      </c>
      <c r="N1663" t="e">
        <v>#N/A</v>
      </c>
    </row>
    <row r="1664" spans="1:14" ht="15" customHeight="1" x14ac:dyDescent="0.3">
      <c r="A1664" s="3">
        <v>8209660145</v>
      </c>
      <c r="B1664" s="3" t="s">
        <v>1852</v>
      </c>
      <c r="C1664" s="3" t="s">
        <v>1853</v>
      </c>
      <c r="D1664" s="4">
        <v>46307.4546990741</v>
      </c>
      <c r="E1664" s="5" t="s">
        <v>10</v>
      </c>
      <c r="F1664" s="5" t="s">
        <v>16</v>
      </c>
      <c r="G1664" s="5">
        <v>12</v>
      </c>
      <c r="H1664" s="8" t="s">
        <v>12</v>
      </c>
      <c r="I1664" t="s">
        <v>1885</v>
      </c>
      <c r="K1664" t="str">
        <f>+VLOOKUP(C1664,'[1]TIENDAS 2025'!$A$1:$C$143,3,0)</f>
        <v xml:space="preserve">departamental </v>
      </c>
      <c r="L1664" t="str">
        <f>+VLOOKUP(C1664,[2]Hoja1!$A$1:$B$138,2,0)</f>
        <v>APROBAR</v>
      </c>
      <c r="M1664">
        <v>1</v>
      </c>
      <c r="N1664" t="e">
        <v>#N/A</v>
      </c>
    </row>
    <row r="1665" spans="1:14" ht="15" customHeight="1" x14ac:dyDescent="0.3">
      <c r="A1665" s="3">
        <v>1209660037</v>
      </c>
      <c r="B1665" s="3" t="s">
        <v>1834</v>
      </c>
      <c r="C1665" s="3" t="s">
        <v>1835</v>
      </c>
      <c r="D1665" s="4">
        <v>46307.454710648097</v>
      </c>
      <c r="E1665" s="5" t="s">
        <v>10</v>
      </c>
      <c r="F1665" s="5" t="s">
        <v>11</v>
      </c>
      <c r="G1665" s="5">
        <v>13</v>
      </c>
      <c r="H1665" s="6" t="s">
        <v>12</v>
      </c>
      <c r="I1665" t="s">
        <v>1886</v>
      </c>
      <c r="J1665" t="s">
        <v>2480</v>
      </c>
      <c r="K1665" t="str">
        <f>+VLOOKUP(C1665,'[1]TIENDAS 2025'!$A$1:$C$143,3,0)</f>
        <v>local</v>
      </c>
      <c r="L1665" t="str">
        <f>+VLOOKUP(C1665,[2]Hoja1!$A$1:$B$138,2,0)</f>
        <v>APROBAR</v>
      </c>
      <c r="M1665">
        <v>1</v>
      </c>
      <c r="N1665" t="e">
        <v>#N/A</v>
      </c>
    </row>
    <row r="1666" spans="1:14" ht="15" customHeight="1" x14ac:dyDescent="0.3">
      <c r="A1666" s="3">
        <v>1209660039</v>
      </c>
      <c r="B1666" s="3" t="s">
        <v>1834</v>
      </c>
      <c r="C1666" s="3" t="s">
        <v>1835</v>
      </c>
      <c r="D1666" s="4">
        <v>46307.454722222203</v>
      </c>
      <c r="E1666" s="5" t="s">
        <v>10</v>
      </c>
      <c r="F1666" s="5" t="s">
        <v>11</v>
      </c>
      <c r="G1666" s="5">
        <v>5</v>
      </c>
      <c r="H1666" s="6" t="s">
        <v>12</v>
      </c>
      <c r="I1666" t="s">
        <v>1887</v>
      </c>
      <c r="J1666" t="s">
        <v>2480</v>
      </c>
      <c r="K1666" t="str">
        <f>+VLOOKUP(C1666,'[1]TIENDAS 2025'!$A$1:$C$143,3,0)</f>
        <v>local</v>
      </c>
      <c r="L1666" t="str">
        <f>+VLOOKUP(C1666,[2]Hoja1!$A$1:$B$138,2,0)</f>
        <v>APROBAR</v>
      </c>
      <c r="M1666">
        <v>1</v>
      </c>
      <c r="N1666" t="e">
        <v>#N/A</v>
      </c>
    </row>
    <row r="1667" spans="1:14" ht="15" customHeight="1" x14ac:dyDescent="0.3">
      <c r="A1667" s="3">
        <v>1209660040</v>
      </c>
      <c r="B1667" s="3" t="s">
        <v>1834</v>
      </c>
      <c r="C1667" s="3" t="s">
        <v>1835</v>
      </c>
      <c r="D1667" s="4">
        <v>46307.454733796301</v>
      </c>
      <c r="E1667" s="5" t="s">
        <v>10</v>
      </c>
      <c r="F1667" s="5" t="s">
        <v>11</v>
      </c>
      <c r="G1667" s="5">
        <v>1</v>
      </c>
      <c r="H1667" s="6" t="s">
        <v>12</v>
      </c>
      <c r="I1667" t="s">
        <v>1888</v>
      </c>
      <c r="J1667" t="s">
        <v>2480</v>
      </c>
      <c r="K1667" t="str">
        <f>+VLOOKUP(C1667,'[1]TIENDAS 2025'!$A$1:$C$143,3,0)</f>
        <v>local</v>
      </c>
      <c r="L1667" t="str">
        <f>+VLOOKUP(C1667,[2]Hoja1!$A$1:$B$138,2,0)</f>
        <v>APROBAR</v>
      </c>
      <c r="M1667">
        <v>1</v>
      </c>
      <c r="N1667" t="e">
        <v>#N/A</v>
      </c>
    </row>
    <row r="1668" spans="1:14" ht="15" customHeight="1" x14ac:dyDescent="0.3">
      <c r="A1668" s="3">
        <v>8209660147</v>
      </c>
      <c r="B1668" s="3" t="s">
        <v>1852</v>
      </c>
      <c r="C1668" s="3" t="s">
        <v>1853</v>
      </c>
      <c r="D1668" s="4">
        <v>46307.454756944397</v>
      </c>
      <c r="E1668" s="5" t="s">
        <v>10</v>
      </c>
      <c r="F1668" s="5" t="s">
        <v>16</v>
      </c>
      <c r="G1668" s="5">
        <v>6</v>
      </c>
      <c r="H1668" s="8" t="s">
        <v>12</v>
      </c>
      <c r="I1668" t="s">
        <v>1889</v>
      </c>
      <c r="K1668" t="str">
        <f>+VLOOKUP(C1668,'[1]TIENDAS 2025'!$A$1:$C$143,3,0)</f>
        <v xml:space="preserve">departamental </v>
      </c>
      <c r="L1668" t="str">
        <f>+VLOOKUP(C1668,[2]Hoja1!$A$1:$B$138,2,0)</f>
        <v>APROBAR</v>
      </c>
      <c r="M1668">
        <v>1</v>
      </c>
      <c r="N1668" t="e">
        <v>#N/A</v>
      </c>
    </row>
    <row r="1669" spans="1:14" ht="15" customHeight="1" x14ac:dyDescent="0.3">
      <c r="A1669" s="3">
        <v>1209660148</v>
      </c>
      <c r="B1669" s="3" t="s">
        <v>1852</v>
      </c>
      <c r="C1669" s="3" t="s">
        <v>1853</v>
      </c>
      <c r="D1669" s="4">
        <v>46307.454768518503</v>
      </c>
      <c r="E1669" s="5" t="s">
        <v>10</v>
      </c>
      <c r="F1669" s="5" t="s">
        <v>11</v>
      </c>
      <c r="G1669" s="5">
        <v>5</v>
      </c>
      <c r="H1669" s="6" t="s">
        <v>12</v>
      </c>
      <c r="I1669" t="s">
        <v>1890</v>
      </c>
      <c r="J1669" t="s">
        <v>2480</v>
      </c>
      <c r="K1669" t="str">
        <f>+VLOOKUP(C1669,'[1]TIENDAS 2025'!$A$1:$C$143,3,0)</f>
        <v xml:space="preserve">departamental </v>
      </c>
      <c r="L1669" t="str">
        <f>+VLOOKUP(C1669,[2]Hoja1!$A$1:$B$138,2,0)</f>
        <v>APROBAR</v>
      </c>
      <c r="M1669">
        <v>1</v>
      </c>
      <c r="N1669" t="e">
        <v>#N/A</v>
      </c>
    </row>
    <row r="1670" spans="1:14" ht="15" customHeight="1" x14ac:dyDescent="0.3">
      <c r="A1670" s="3">
        <v>8209660176</v>
      </c>
      <c r="B1670" s="3" t="s">
        <v>1840</v>
      </c>
      <c r="C1670" s="3" t="s">
        <v>1841</v>
      </c>
      <c r="D1670" s="4">
        <v>46307.454780092601</v>
      </c>
      <c r="E1670" s="5" t="s">
        <v>10</v>
      </c>
      <c r="F1670" s="5" t="s">
        <v>16</v>
      </c>
      <c r="G1670" s="5">
        <v>2</v>
      </c>
      <c r="H1670" s="8" t="s">
        <v>12</v>
      </c>
      <c r="I1670" t="s">
        <v>1891</v>
      </c>
      <c r="K1670" t="str">
        <f>+VLOOKUP(C1670,'[1]TIENDAS 2025'!$A$1:$C$143,3,0)</f>
        <v>prioridad</v>
      </c>
      <c r="L1670" t="str">
        <f>+VLOOKUP(C1670,[2]Hoja1!$A$1:$B$138,2,0)</f>
        <v>APROBAR</v>
      </c>
      <c r="M1670">
        <v>1</v>
      </c>
      <c r="N1670" t="e">
        <v>#N/A</v>
      </c>
    </row>
    <row r="1671" spans="1:14" ht="15" customHeight="1" x14ac:dyDescent="0.3">
      <c r="A1671" s="3">
        <v>1209660074</v>
      </c>
      <c r="B1671" s="3" t="s">
        <v>1831</v>
      </c>
      <c r="C1671" s="3" t="s">
        <v>1832</v>
      </c>
      <c r="D1671" s="4">
        <v>46307.454803240696</v>
      </c>
      <c r="E1671" s="5" t="s">
        <v>10</v>
      </c>
      <c r="F1671" s="5" t="s">
        <v>17</v>
      </c>
      <c r="G1671" s="5">
        <v>49</v>
      </c>
      <c r="H1671" s="6" t="s">
        <v>12</v>
      </c>
      <c r="I1671" t="s">
        <v>1892</v>
      </c>
      <c r="J1671" t="s">
        <v>2480</v>
      </c>
      <c r="K1671" t="str">
        <f>+VLOOKUP(C1671,'[1]TIENDAS 2025'!$A$1:$C$143,3,0)</f>
        <v>departamental</v>
      </c>
      <c r="L1671" t="str">
        <f>+VLOOKUP(C1671,[2]Hoja1!$A$1:$B$138,2,0)</f>
        <v>APROBAR</v>
      </c>
      <c r="M1671">
        <v>1</v>
      </c>
      <c r="N1671" t="e">
        <v>#N/A</v>
      </c>
    </row>
    <row r="1672" spans="1:14" ht="15" customHeight="1" x14ac:dyDescent="0.3">
      <c r="A1672" s="3">
        <v>1209660151</v>
      </c>
      <c r="B1672" s="3" t="s">
        <v>1852</v>
      </c>
      <c r="C1672" s="3" t="s">
        <v>1853</v>
      </c>
      <c r="D1672" s="4">
        <v>46307.454814814802</v>
      </c>
      <c r="E1672" s="5" t="s">
        <v>10</v>
      </c>
      <c r="F1672" s="5" t="s">
        <v>17</v>
      </c>
      <c r="G1672" s="5">
        <v>10</v>
      </c>
      <c r="H1672" s="6" t="s">
        <v>12</v>
      </c>
      <c r="I1672" t="s">
        <v>1893</v>
      </c>
      <c r="J1672" t="s">
        <v>2480</v>
      </c>
      <c r="K1672" t="str">
        <f>+VLOOKUP(C1672,'[1]TIENDAS 2025'!$A$1:$C$143,3,0)</f>
        <v xml:space="preserve">departamental </v>
      </c>
      <c r="L1672" t="str">
        <f>+VLOOKUP(C1672,[2]Hoja1!$A$1:$B$138,2,0)</f>
        <v>APROBAR</v>
      </c>
      <c r="M1672">
        <v>1</v>
      </c>
      <c r="N1672" t="e">
        <v>#N/A</v>
      </c>
    </row>
    <row r="1673" spans="1:14" ht="15" customHeight="1" x14ac:dyDescent="0.3">
      <c r="A1673" s="3">
        <v>1209660130</v>
      </c>
      <c r="B1673" s="3" t="s">
        <v>1845</v>
      </c>
      <c r="C1673" s="3" t="s">
        <v>1846</v>
      </c>
      <c r="D1673" s="4">
        <v>46307.454837963</v>
      </c>
      <c r="E1673" s="5" t="s">
        <v>10</v>
      </c>
      <c r="F1673" s="5" t="s">
        <v>17</v>
      </c>
      <c r="G1673" s="5">
        <v>33</v>
      </c>
      <c r="H1673" s="6" t="s">
        <v>12</v>
      </c>
      <c r="I1673" t="s">
        <v>1894</v>
      </c>
      <c r="J1673" t="s">
        <v>2480</v>
      </c>
      <c r="K1673" t="str">
        <f>+VLOOKUP(C1673,'[1]TIENDAS 2025'!$A$1:$C$143,3,0)</f>
        <v>nocturna</v>
      </c>
      <c r="L1673" t="str">
        <f>+VLOOKUP(C1673,[2]Hoja1!$A$1:$B$138,2,0)</f>
        <v>APROBAR</v>
      </c>
      <c r="M1673">
        <v>1</v>
      </c>
      <c r="N1673" t="e">
        <v>#N/A</v>
      </c>
    </row>
    <row r="1674" spans="1:14" ht="15" customHeight="1" x14ac:dyDescent="0.3">
      <c r="A1674" s="3">
        <v>1209660152</v>
      </c>
      <c r="B1674" s="3" t="s">
        <v>1852</v>
      </c>
      <c r="C1674" s="3" t="s">
        <v>1853</v>
      </c>
      <c r="D1674" s="4">
        <v>46307.454837963</v>
      </c>
      <c r="E1674" s="5" t="s">
        <v>10</v>
      </c>
      <c r="F1674" s="5" t="s">
        <v>11</v>
      </c>
      <c r="G1674" s="5">
        <v>8</v>
      </c>
      <c r="H1674" s="6" t="s">
        <v>12</v>
      </c>
      <c r="I1674" t="s">
        <v>1895</v>
      </c>
      <c r="J1674" t="s">
        <v>2480</v>
      </c>
      <c r="K1674" t="str">
        <f>+VLOOKUP(C1674,'[1]TIENDAS 2025'!$A$1:$C$143,3,0)</f>
        <v xml:space="preserve">departamental </v>
      </c>
      <c r="L1674" t="str">
        <f>+VLOOKUP(C1674,[2]Hoja1!$A$1:$B$138,2,0)</f>
        <v>APROBAR</v>
      </c>
      <c r="M1674">
        <v>1</v>
      </c>
      <c r="N1674" t="e">
        <v>#N/A</v>
      </c>
    </row>
    <row r="1675" spans="1:14" ht="15" customHeight="1" x14ac:dyDescent="0.3">
      <c r="A1675" s="3">
        <v>1209660153</v>
      </c>
      <c r="B1675" s="3" t="s">
        <v>1852</v>
      </c>
      <c r="C1675" s="3" t="s">
        <v>1853</v>
      </c>
      <c r="D1675" s="4">
        <v>46307.454861111102</v>
      </c>
      <c r="E1675" s="5" t="s">
        <v>10</v>
      </c>
      <c r="F1675" s="5" t="s">
        <v>11</v>
      </c>
      <c r="G1675" s="5">
        <v>10</v>
      </c>
      <c r="H1675" s="6" t="s">
        <v>12</v>
      </c>
      <c r="I1675" t="s">
        <v>1896</v>
      </c>
      <c r="J1675" t="s">
        <v>2480</v>
      </c>
      <c r="K1675" t="str">
        <f>+VLOOKUP(C1675,'[1]TIENDAS 2025'!$A$1:$C$143,3,0)</f>
        <v xml:space="preserve">departamental </v>
      </c>
      <c r="L1675" t="str">
        <f>+VLOOKUP(C1675,[2]Hoja1!$A$1:$B$138,2,0)</f>
        <v>APROBAR</v>
      </c>
      <c r="M1675">
        <v>1</v>
      </c>
      <c r="N1675" t="e">
        <v>#N/A</v>
      </c>
    </row>
    <row r="1676" spans="1:14" ht="15" customHeight="1" x14ac:dyDescent="0.3">
      <c r="A1676" s="3">
        <v>8209660187</v>
      </c>
      <c r="B1676" s="3" t="s">
        <v>1840</v>
      </c>
      <c r="C1676" s="3" t="s">
        <v>1841</v>
      </c>
      <c r="D1676" s="4">
        <v>46307.454872685201</v>
      </c>
      <c r="E1676" s="5" t="s">
        <v>10</v>
      </c>
      <c r="F1676" s="5" t="s">
        <v>16</v>
      </c>
      <c r="G1676" s="5">
        <v>11</v>
      </c>
      <c r="H1676" s="8" t="s">
        <v>12</v>
      </c>
      <c r="I1676" t="s">
        <v>1897</v>
      </c>
      <c r="K1676" t="str">
        <f>+VLOOKUP(C1676,'[1]TIENDAS 2025'!$A$1:$C$143,3,0)</f>
        <v>prioridad</v>
      </c>
      <c r="L1676" t="str">
        <f>+VLOOKUP(C1676,[2]Hoja1!$A$1:$B$138,2,0)</f>
        <v>APROBAR</v>
      </c>
      <c r="M1676">
        <v>1</v>
      </c>
      <c r="N1676" t="e">
        <v>#N/A</v>
      </c>
    </row>
    <row r="1677" spans="1:14" ht="15" customHeight="1" x14ac:dyDescent="0.3">
      <c r="A1677" s="3">
        <v>1209660099</v>
      </c>
      <c r="B1677" s="3" t="s">
        <v>1837</v>
      </c>
      <c r="C1677" s="3" t="s">
        <v>1838</v>
      </c>
      <c r="D1677" s="4">
        <v>46307.454884259299</v>
      </c>
      <c r="E1677" s="5" t="s">
        <v>10</v>
      </c>
      <c r="F1677" s="5" t="s">
        <v>17</v>
      </c>
      <c r="G1677" s="5">
        <v>56</v>
      </c>
      <c r="H1677" s="6" t="s">
        <v>12</v>
      </c>
      <c r="I1677" t="s">
        <v>1898</v>
      </c>
      <c r="J1677" t="s">
        <v>2480</v>
      </c>
      <c r="K1677" t="str">
        <f>+VLOOKUP(C1677,'[1]TIENDAS 2025'!$A$1:$C$143,3,0)</f>
        <v>local</v>
      </c>
      <c r="L1677" t="str">
        <f>+VLOOKUP(C1677,[2]Hoja1!$A$1:$B$138,2,0)</f>
        <v>APROBAR</v>
      </c>
      <c r="M1677">
        <v>1</v>
      </c>
      <c r="N1677" t="e">
        <v>#N/A</v>
      </c>
    </row>
    <row r="1678" spans="1:14" ht="15" customHeight="1" x14ac:dyDescent="0.3">
      <c r="A1678" s="3">
        <v>1209660136</v>
      </c>
      <c r="B1678" s="3" t="s">
        <v>1845</v>
      </c>
      <c r="C1678" s="3" t="s">
        <v>1846</v>
      </c>
      <c r="D1678" s="4">
        <v>46307.454895833303</v>
      </c>
      <c r="E1678" s="5" t="s">
        <v>10</v>
      </c>
      <c r="F1678" s="5" t="s">
        <v>11</v>
      </c>
      <c r="G1678" s="5">
        <v>14</v>
      </c>
      <c r="H1678" s="6" t="s">
        <v>12</v>
      </c>
      <c r="I1678" t="s">
        <v>1899</v>
      </c>
      <c r="J1678" t="s">
        <v>2480</v>
      </c>
      <c r="K1678" t="str">
        <f>+VLOOKUP(C1678,'[1]TIENDAS 2025'!$A$1:$C$143,3,0)</f>
        <v>nocturna</v>
      </c>
      <c r="L1678" t="str">
        <f>+VLOOKUP(C1678,[2]Hoja1!$A$1:$B$138,2,0)</f>
        <v>APROBAR</v>
      </c>
      <c r="M1678">
        <v>1</v>
      </c>
      <c r="N1678" t="e">
        <v>#N/A</v>
      </c>
    </row>
    <row r="1679" spans="1:14" ht="15" customHeight="1" x14ac:dyDescent="0.3">
      <c r="A1679" s="3">
        <v>1209660162</v>
      </c>
      <c r="B1679" s="3" t="s">
        <v>1852</v>
      </c>
      <c r="C1679" s="3" t="s">
        <v>1853</v>
      </c>
      <c r="D1679" s="4">
        <v>46307.454907407402</v>
      </c>
      <c r="E1679" s="5" t="s">
        <v>10</v>
      </c>
      <c r="F1679" s="5" t="s">
        <v>17</v>
      </c>
      <c r="G1679" s="5">
        <v>21</v>
      </c>
      <c r="H1679" s="6" t="s">
        <v>12</v>
      </c>
      <c r="I1679" t="s">
        <v>1900</v>
      </c>
      <c r="J1679" t="s">
        <v>2480</v>
      </c>
      <c r="K1679" t="str">
        <f>+VLOOKUP(C1679,'[1]TIENDAS 2025'!$A$1:$C$143,3,0)</f>
        <v xml:space="preserve">departamental </v>
      </c>
      <c r="L1679" t="str">
        <f>+VLOOKUP(C1679,[2]Hoja1!$A$1:$B$138,2,0)</f>
        <v>APROBAR</v>
      </c>
      <c r="M1679">
        <v>1</v>
      </c>
      <c r="N1679" t="e">
        <v>#N/A</v>
      </c>
    </row>
    <row r="1680" spans="1:14" ht="15" customHeight="1" x14ac:dyDescent="0.3">
      <c r="A1680" s="3">
        <v>1209660182</v>
      </c>
      <c r="B1680" s="3" t="s">
        <v>1840</v>
      </c>
      <c r="C1680" s="3" t="s">
        <v>1841</v>
      </c>
      <c r="D1680" s="4">
        <v>46307.454930555599</v>
      </c>
      <c r="E1680" s="5" t="s">
        <v>10</v>
      </c>
      <c r="F1680" s="5" t="s">
        <v>11</v>
      </c>
      <c r="G1680" s="5">
        <v>29</v>
      </c>
      <c r="H1680" s="6" t="s">
        <v>12</v>
      </c>
      <c r="I1680" t="s">
        <v>1901</v>
      </c>
      <c r="J1680" t="s">
        <v>2480</v>
      </c>
      <c r="K1680" t="str">
        <f>+VLOOKUP(C1680,'[1]TIENDAS 2025'!$A$1:$C$143,3,0)</f>
        <v>prioridad</v>
      </c>
      <c r="L1680" t="str">
        <f>+VLOOKUP(C1680,[2]Hoja1!$A$1:$B$138,2,0)</f>
        <v>APROBAR</v>
      </c>
      <c r="M1680">
        <v>1</v>
      </c>
      <c r="N1680" t="e">
        <v>#N/A</v>
      </c>
    </row>
    <row r="1681" spans="1:14" ht="15" customHeight="1" x14ac:dyDescent="0.3">
      <c r="A1681" s="3">
        <v>1209660091</v>
      </c>
      <c r="B1681" s="3" t="s">
        <v>1837</v>
      </c>
      <c r="C1681" s="3" t="s">
        <v>1838</v>
      </c>
      <c r="D1681" s="4">
        <v>46307.454942129603</v>
      </c>
      <c r="E1681" s="5" t="s">
        <v>10</v>
      </c>
      <c r="F1681" s="5" t="s">
        <v>17</v>
      </c>
      <c r="G1681" s="5">
        <v>17</v>
      </c>
      <c r="H1681" s="6" t="s">
        <v>12</v>
      </c>
      <c r="I1681" t="s">
        <v>1902</v>
      </c>
      <c r="J1681" t="s">
        <v>2480</v>
      </c>
      <c r="K1681" t="str">
        <f>+VLOOKUP(C1681,'[1]TIENDAS 2025'!$A$1:$C$143,3,0)</f>
        <v>local</v>
      </c>
      <c r="L1681" t="str">
        <f>+VLOOKUP(C1681,[2]Hoja1!$A$1:$B$138,2,0)</f>
        <v>APROBAR</v>
      </c>
      <c r="M1681">
        <v>1</v>
      </c>
      <c r="N1681" t="e">
        <v>#N/A</v>
      </c>
    </row>
    <row r="1682" spans="1:14" ht="15" customHeight="1" x14ac:dyDescent="0.3">
      <c r="A1682" s="3">
        <v>8209660030</v>
      </c>
      <c r="B1682" s="3" t="s">
        <v>1834</v>
      </c>
      <c r="C1682" s="3" t="s">
        <v>1835</v>
      </c>
      <c r="D1682" s="4">
        <v>46307.454965277801</v>
      </c>
      <c r="E1682" s="5" t="s">
        <v>10</v>
      </c>
      <c r="F1682" s="5" t="s">
        <v>16</v>
      </c>
      <c r="G1682" s="5">
        <v>4</v>
      </c>
      <c r="H1682" s="8" t="s">
        <v>12</v>
      </c>
      <c r="I1682" t="s">
        <v>1903</v>
      </c>
      <c r="K1682" t="str">
        <f>+VLOOKUP(C1682,'[1]TIENDAS 2025'!$A$1:$C$143,3,0)</f>
        <v>local</v>
      </c>
      <c r="L1682" t="str">
        <f>+VLOOKUP(C1682,[2]Hoja1!$A$1:$B$138,2,0)</f>
        <v>APROBAR</v>
      </c>
      <c r="M1682">
        <v>1</v>
      </c>
      <c r="N1682" t="e">
        <v>#N/A</v>
      </c>
    </row>
    <row r="1683" spans="1:14" ht="15" customHeight="1" x14ac:dyDescent="0.3">
      <c r="A1683" s="3">
        <v>1209660036</v>
      </c>
      <c r="B1683" s="3" t="s">
        <v>1834</v>
      </c>
      <c r="C1683" s="3" t="s">
        <v>1835</v>
      </c>
      <c r="D1683" s="4">
        <v>46307.454976851899</v>
      </c>
      <c r="E1683" s="5" t="s">
        <v>10</v>
      </c>
      <c r="F1683" s="5" t="s">
        <v>17</v>
      </c>
      <c r="G1683" s="5">
        <v>8</v>
      </c>
      <c r="H1683" s="6" t="s">
        <v>12</v>
      </c>
      <c r="I1683" t="s">
        <v>1904</v>
      </c>
      <c r="J1683" t="s">
        <v>2480</v>
      </c>
      <c r="K1683" t="str">
        <f>+VLOOKUP(C1683,'[1]TIENDAS 2025'!$A$1:$C$143,3,0)</f>
        <v>local</v>
      </c>
      <c r="L1683" t="str">
        <f>+VLOOKUP(C1683,[2]Hoja1!$A$1:$B$138,2,0)</f>
        <v>APROBAR</v>
      </c>
      <c r="M1683">
        <v>1</v>
      </c>
      <c r="N1683" t="e">
        <v>#N/A</v>
      </c>
    </row>
    <row r="1684" spans="1:14" ht="15" customHeight="1" x14ac:dyDescent="0.3">
      <c r="A1684" s="3">
        <v>1209660073</v>
      </c>
      <c r="B1684" s="3" t="s">
        <v>1831</v>
      </c>
      <c r="C1684" s="3" t="s">
        <v>1832</v>
      </c>
      <c r="D1684" s="4">
        <v>46307.454988425903</v>
      </c>
      <c r="E1684" s="5" t="s">
        <v>10</v>
      </c>
      <c r="F1684" s="5" t="s">
        <v>11</v>
      </c>
      <c r="G1684" s="5">
        <v>49</v>
      </c>
      <c r="H1684" s="6" t="s">
        <v>12</v>
      </c>
      <c r="I1684" t="s">
        <v>1905</v>
      </c>
      <c r="J1684" t="s">
        <v>2480</v>
      </c>
      <c r="K1684" t="str">
        <f>+VLOOKUP(C1684,'[1]TIENDAS 2025'!$A$1:$C$143,3,0)</f>
        <v>departamental</v>
      </c>
      <c r="L1684" t="str">
        <f>+VLOOKUP(C1684,[2]Hoja1!$A$1:$B$138,2,0)</f>
        <v>APROBAR</v>
      </c>
      <c r="M1684">
        <v>1</v>
      </c>
      <c r="N1684" t="e">
        <v>#N/A</v>
      </c>
    </row>
    <row r="1685" spans="1:14" ht="15" customHeight="1" x14ac:dyDescent="0.3">
      <c r="A1685" s="3">
        <v>8209660146</v>
      </c>
      <c r="B1685" s="3" t="s">
        <v>1852</v>
      </c>
      <c r="C1685" s="3" t="s">
        <v>1853</v>
      </c>
      <c r="D1685" s="4">
        <v>46307.455000000002</v>
      </c>
      <c r="E1685" s="5" t="s">
        <v>10</v>
      </c>
      <c r="F1685" s="5" t="s">
        <v>16</v>
      </c>
      <c r="G1685" s="5">
        <v>77</v>
      </c>
      <c r="H1685" s="8" t="s">
        <v>12</v>
      </c>
      <c r="I1685" t="s">
        <v>1906</v>
      </c>
      <c r="K1685" t="str">
        <f>+VLOOKUP(C1685,'[1]TIENDAS 2025'!$A$1:$C$143,3,0)</f>
        <v xml:space="preserve">departamental </v>
      </c>
      <c r="L1685" t="str">
        <f>+VLOOKUP(C1685,[2]Hoja1!$A$1:$B$138,2,0)</f>
        <v>APROBAR</v>
      </c>
      <c r="M1685">
        <v>1</v>
      </c>
      <c r="N1685" t="e">
        <v>#N/A</v>
      </c>
    </row>
    <row r="1686" spans="1:14" ht="15" customHeight="1" x14ac:dyDescent="0.3">
      <c r="A1686" s="3">
        <v>8209660171</v>
      </c>
      <c r="B1686" s="3" t="s">
        <v>1840</v>
      </c>
      <c r="C1686" s="3" t="s">
        <v>1841</v>
      </c>
      <c r="D1686" s="4">
        <v>46307.455023148097</v>
      </c>
      <c r="E1686" s="5" t="s">
        <v>10</v>
      </c>
      <c r="F1686" s="5" t="s">
        <v>16</v>
      </c>
      <c r="G1686" s="5">
        <v>9</v>
      </c>
      <c r="H1686" s="8" t="s">
        <v>12</v>
      </c>
      <c r="I1686" t="s">
        <v>1907</v>
      </c>
      <c r="K1686" t="str">
        <f>+VLOOKUP(C1686,'[1]TIENDAS 2025'!$A$1:$C$143,3,0)</f>
        <v>prioridad</v>
      </c>
      <c r="L1686" t="str">
        <f>+VLOOKUP(C1686,[2]Hoja1!$A$1:$B$138,2,0)</f>
        <v>APROBAR</v>
      </c>
      <c r="M1686">
        <v>1</v>
      </c>
      <c r="N1686" t="e">
        <v>#N/A</v>
      </c>
    </row>
    <row r="1687" spans="1:14" ht="15" customHeight="1" x14ac:dyDescent="0.3">
      <c r="A1687" s="3">
        <v>8209660133</v>
      </c>
      <c r="B1687" s="3" t="s">
        <v>1845</v>
      </c>
      <c r="C1687" s="3" t="s">
        <v>1846</v>
      </c>
      <c r="D1687" s="4">
        <v>46307.455034722203</v>
      </c>
      <c r="E1687" s="5" t="s">
        <v>10</v>
      </c>
      <c r="F1687" s="5" t="s">
        <v>16</v>
      </c>
      <c r="G1687" s="5">
        <v>32</v>
      </c>
      <c r="H1687" s="8" t="s">
        <v>12</v>
      </c>
      <c r="I1687" t="s">
        <v>1908</v>
      </c>
      <c r="K1687" t="str">
        <f>+VLOOKUP(C1687,'[1]TIENDAS 2025'!$A$1:$C$143,3,0)</f>
        <v>nocturna</v>
      </c>
      <c r="L1687" t="str">
        <f>+VLOOKUP(C1687,[2]Hoja1!$A$1:$B$138,2,0)</f>
        <v>APROBAR</v>
      </c>
      <c r="M1687">
        <v>1</v>
      </c>
      <c r="N1687" t="e">
        <v>#N/A</v>
      </c>
    </row>
    <row r="1688" spans="1:14" ht="15" customHeight="1" x14ac:dyDescent="0.3">
      <c r="A1688" s="3">
        <v>1209660190</v>
      </c>
      <c r="B1688" s="3" t="s">
        <v>1840</v>
      </c>
      <c r="C1688" s="3" t="s">
        <v>1841</v>
      </c>
      <c r="D1688" s="4">
        <v>46307.455046296302</v>
      </c>
      <c r="E1688" s="5" t="s">
        <v>10</v>
      </c>
      <c r="F1688" s="5" t="s">
        <v>11</v>
      </c>
      <c r="G1688" s="5">
        <v>19</v>
      </c>
      <c r="H1688" s="6" t="s">
        <v>12</v>
      </c>
      <c r="I1688" t="s">
        <v>1909</v>
      </c>
      <c r="J1688" t="s">
        <v>2480</v>
      </c>
      <c r="K1688" t="str">
        <f>+VLOOKUP(C1688,'[1]TIENDAS 2025'!$A$1:$C$143,3,0)</f>
        <v>prioridad</v>
      </c>
      <c r="L1688" t="str">
        <f>+VLOOKUP(C1688,[2]Hoja1!$A$1:$B$138,2,0)</f>
        <v>APROBAR</v>
      </c>
      <c r="M1688">
        <v>1</v>
      </c>
      <c r="N1688" t="e">
        <v>#N/A</v>
      </c>
    </row>
    <row r="1689" spans="1:14" ht="15" customHeight="1" x14ac:dyDescent="0.3">
      <c r="A1689" s="3">
        <v>1209660174</v>
      </c>
      <c r="B1689" s="3" t="s">
        <v>1840</v>
      </c>
      <c r="C1689" s="3" t="s">
        <v>1841</v>
      </c>
      <c r="D1689" s="4">
        <v>46307.4550578704</v>
      </c>
      <c r="E1689" s="5" t="s">
        <v>10</v>
      </c>
      <c r="F1689" s="5" t="s">
        <v>11</v>
      </c>
      <c r="G1689" s="5">
        <v>1</v>
      </c>
      <c r="H1689" s="6" t="s">
        <v>12</v>
      </c>
      <c r="I1689" t="s">
        <v>1910</v>
      </c>
      <c r="J1689" t="s">
        <v>2480</v>
      </c>
      <c r="K1689" t="str">
        <f>+VLOOKUP(C1689,'[1]TIENDAS 2025'!$A$1:$C$143,3,0)</f>
        <v>prioridad</v>
      </c>
      <c r="L1689" t="str">
        <f>+VLOOKUP(C1689,[2]Hoja1!$A$1:$B$138,2,0)</f>
        <v>APROBAR</v>
      </c>
      <c r="M1689">
        <v>1</v>
      </c>
      <c r="N1689" t="e">
        <v>#N/A</v>
      </c>
    </row>
    <row r="1690" spans="1:14" ht="15" customHeight="1" x14ac:dyDescent="0.3">
      <c r="A1690" s="3">
        <v>8209660175</v>
      </c>
      <c r="B1690" s="3" t="s">
        <v>1840</v>
      </c>
      <c r="C1690" s="3" t="s">
        <v>1841</v>
      </c>
      <c r="D1690" s="4">
        <v>46307.455069444397</v>
      </c>
      <c r="E1690" s="5" t="s">
        <v>10</v>
      </c>
      <c r="F1690" s="5" t="s">
        <v>16</v>
      </c>
      <c r="G1690" s="5">
        <v>1</v>
      </c>
      <c r="H1690" s="8" t="s">
        <v>12</v>
      </c>
      <c r="I1690" t="s">
        <v>1911</v>
      </c>
      <c r="K1690" t="str">
        <f>+VLOOKUP(C1690,'[1]TIENDAS 2025'!$A$1:$C$143,3,0)</f>
        <v>prioridad</v>
      </c>
      <c r="L1690" t="str">
        <f>+VLOOKUP(C1690,[2]Hoja1!$A$1:$B$138,2,0)</f>
        <v>APROBAR</v>
      </c>
      <c r="M1690">
        <v>1</v>
      </c>
      <c r="N1690" t="e">
        <v>#N/A</v>
      </c>
    </row>
    <row r="1691" spans="1:14" ht="15" customHeight="1" x14ac:dyDescent="0.3">
      <c r="A1691" s="3">
        <v>8209660064</v>
      </c>
      <c r="B1691" s="3" t="s">
        <v>1831</v>
      </c>
      <c r="C1691" s="3" t="s">
        <v>1832</v>
      </c>
      <c r="D1691" s="4">
        <v>46307.455092592601</v>
      </c>
      <c r="E1691" s="5" t="s">
        <v>10</v>
      </c>
      <c r="F1691" s="5" t="s">
        <v>16</v>
      </c>
      <c r="G1691" s="5">
        <v>2</v>
      </c>
      <c r="H1691" s="8" t="s">
        <v>12</v>
      </c>
      <c r="I1691" t="s">
        <v>1912</v>
      </c>
      <c r="K1691" t="str">
        <f>+VLOOKUP(C1691,'[1]TIENDAS 2025'!$A$1:$C$143,3,0)</f>
        <v>departamental</v>
      </c>
      <c r="L1691" t="str">
        <f>+VLOOKUP(C1691,[2]Hoja1!$A$1:$B$138,2,0)</f>
        <v>APROBAR</v>
      </c>
      <c r="M1691">
        <v>1</v>
      </c>
      <c r="N1691" t="e">
        <v>#N/A</v>
      </c>
    </row>
    <row r="1692" spans="1:14" ht="15" customHeight="1" x14ac:dyDescent="0.3">
      <c r="A1692" s="3">
        <v>8209660075</v>
      </c>
      <c r="B1692" s="3" t="s">
        <v>1831</v>
      </c>
      <c r="C1692" s="3" t="s">
        <v>1832</v>
      </c>
      <c r="D1692" s="4">
        <v>46307.4551041667</v>
      </c>
      <c r="E1692" s="5" t="s">
        <v>10</v>
      </c>
      <c r="F1692" s="5" t="s">
        <v>16</v>
      </c>
      <c r="G1692" s="5">
        <v>6</v>
      </c>
      <c r="H1692" s="8" t="s">
        <v>12</v>
      </c>
      <c r="I1692" t="s">
        <v>1913</v>
      </c>
      <c r="K1692" t="str">
        <f>+VLOOKUP(C1692,'[1]TIENDAS 2025'!$A$1:$C$143,3,0)</f>
        <v>departamental</v>
      </c>
      <c r="L1692" t="str">
        <f>+VLOOKUP(C1692,[2]Hoja1!$A$1:$B$138,2,0)</f>
        <v>APROBAR</v>
      </c>
      <c r="M1692">
        <v>1</v>
      </c>
      <c r="N1692" t="e">
        <v>#N/A</v>
      </c>
    </row>
    <row r="1693" spans="1:14" ht="15" customHeight="1" x14ac:dyDescent="0.3">
      <c r="A1693" s="3">
        <v>1209660067</v>
      </c>
      <c r="B1693" s="3" t="s">
        <v>1831</v>
      </c>
      <c r="C1693" s="3" t="s">
        <v>1832</v>
      </c>
      <c r="D1693" s="4">
        <v>46307.455115740697</v>
      </c>
      <c r="E1693" s="5" t="s">
        <v>10</v>
      </c>
      <c r="F1693" s="5" t="s">
        <v>17</v>
      </c>
      <c r="G1693" s="5">
        <v>12</v>
      </c>
      <c r="H1693" s="6" t="s">
        <v>12</v>
      </c>
      <c r="I1693" t="s">
        <v>1914</v>
      </c>
      <c r="J1693" t="s">
        <v>2480</v>
      </c>
      <c r="K1693" t="str">
        <f>+VLOOKUP(C1693,'[1]TIENDAS 2025'!$A$1:$C$143,3,0)</f>
        <v>departamental</v>
      </c>
      <c r="L1693" t="str">
        <f>+VLOOKUP(C1693,[2]Hoja1!$A$1:$B$138,2,0)</f>
        <v>APROBAR</v>
      </c>
      <c r="M1693">
        <v>1</v>
      </c>
      <c r="N1693" t="e">
        <v>#N/A</v>
      </c>
    </row>
    <row r="1694" spans="1:14" ht="15" customHeight="1" x14ac:dyDescent="0.3">
      <c r="A1694" s="3">
        <v>1209660068</v>
      </c>
      <c r="B1694" s="3" t="s">
        <v>1831</v>
      </c>
      <c r="C1694" s="3" t="s">
        <v>1832</v>
      </c>
      <c r="D1694" s="4">
        <v>46307.455127314803</v>
      </c>
      <c r="E1694" s="5" t="s">
        <v>10</v>
      </c>
      <c r="F1694" s="5" t="s">
        <v>17</v>
      </c>
      <c r="G1694" s="5">
        <v>13</v>
      </c>
      <c r="H1694" s="6" t="s">
        <v>12</v>
      </c>
      <c r="I1694" t="s">
        <v>1915</v>
      </c>
      <c r="J1694" t="s">
        <v>2480</v>
      </c>
      <c r="K1694" t="str">
        <f>+VLOOKUP(C1694,'[1]TIENDAS 2025'!$A$1:$C$143,3,0)</f>
        <v>departamental</v>
      </c>
      <c r="L1694" t="str">
        <f>+VLOOKUP(C1694,[2]Hoja1!$A$1:$B$138,2,0)</f>
        <v>APROBAR</v>
      </c>
      <c r="M1694">
        <v>1</v>
      </c>
      <c r="N1694" t="e">
        <v>#N/A</v>
      </c>
    </row>
    <row r="1695" spans="1:14" ht="15" customHeight="1" x14ac:dyDescent="0.3">
      <c r="A1695" s="3">
        <v>1209660180</v>
      </c>
      <c r="B1695" s="3" t="s">
        <v>1840</v>
      </c>
      <c r="C1695" s="3" t="s">
        <v>1841</v>
      </c>
      <c r="D1695" s="4">
        <v>46307.455138888901</v>
      </c>
      <c r="E1695" s="5" t="s">
        <v>10</v>
      </c>
      <c r="F1695" s="5" t="s">
        <v>11</v>
      </c>
      <c r="G1695" s="5">
        <v>36</v>
      </c>
      <c r="H1695" s="6" t="s">
        <v>12</v>
      </c>
      <c r="I1695" t="s">
        <v>1916</v>
      </c>
      <c r="J1695" t="s">
        <v>2480</v>
      </c>
      <c r="K1695" t="str">
        <f>+VLOOKUP(C1695,'[1]TIENDAS 2025'!$A$1:$C$143,3,0)</f>
        <v>prioridad</v>
      </c>
      <c r="L1695" t="str">
        <f>+VLOOKUP(C1695,[2]Hoja1!$A$1:$B$138,2,0)</f>
        <v>APROBAR</v>
      </c>
      <c r="M1695">
        <v>1</v>
      </c>
      <c r="N1695" t="e">
        <v>#N/A</v>
      </c>
    </row>
    <row r="1696" spans="1:14" ht="15" customHeight="1" x14ac:dyDescent="0.3">
      <c r="A1696" s="3">
        <v>8209660120</v>
      </c>
      <c r="B1696" s="3" t="s">
        <v>1845</v>
      </c>
      <c r="C1696" s="3" t="s">
        <v>1846</v>
      </c>
      <c r="D1696" s="4">
        <v>46307.455162036997</v>
      </c>
      <c r="E1696" s="5" t="s">
        <v>10</v>
      </c>
      <c r="F1696" s="5" t="s">
        <v>16</v>
      </c>
      <c r="G1696" s="5">
        <v>8</v>
      </c>
      <c r="H1696" s="8" t="s">
        <v>12</v>
      </c>
      <c r="I1696" t="s">
        <v>1917</v>
      </c>
      <c r="K1696" t="str">
        <f>+VLOOKUP(C1696,'[1]TIENDAS 2025'!$A$1:$C$143,3,0)</f>
        <v>nocturna</v>
      </c>
      <c r="L1696" t="str">
        <f>+VLOOKUP(C1696,[2]Hoja1!$A$1:$B$138,2,0)</f>
        <v>APROBAR</v>
      </c>
      <c r="M1696">
        <v>1</v>
      </c>
      <c r="N1696" t="e">
        <v>#N/A</v>
      </c>
    </row>
    <row r="1697" spans="1:14" ht="15" customHeight="1" x14ac:dyDescent="0.3">
      <c r="A1697" s="3">
        <v>8209660121</v>
      </c>
      <c r="B1697" s="3" t="s">
        <v>1845</v>
      </c>
      <c r="C1697" s="3" t="s">
        <v>1846</v>
      </c>
      <c r="D1697" s="4">
        <v>46307.455173611103</v>
      </c>
      <c r="E1697" s="5" t="s">
        <v>10</v>
      </c>
      <c r="F1697" s="5" t="s">
        <v>16</v>
      </c>
      <c r="G1697" s="5">
        <v>6</v>
      </c>
      <c r="H1697" s="8" t="s">
        <v>12</v>
      </c>
      <c r="I1697" t="s">
        <v>1918</v>
      </c>
      <c r="K1697" t="str">
        <f>+VLOOKUP(C1697,'[1]TIENDAS 2025'!$A$1:$C$143,3,0)</f>
        <v>nocturna</v>
      </c>
      <c r="L1697" t="str">
        <f>+VLOOKUP(C1697,[2]Hoja1!$A$1:$B$138,2,0)</f>
        <v>APROBAR</v>
      </c>
      <c r="M1697">
        <v>1</v>
      </c>
      <c r="N1697" t="e">
        <v>#N/A</v>
      </c>
    </row>
    <row r="1698" spans="1:14" ht="15" customHeight="1" x14ac:dyDescent="0.3">
      <c r="A1698" s="3">
        <v>8209660122</v>
      </c>
      <c r="B1698" s="3" t="s">
        <v>1845</v>
      </c>
      <c r="C1698" s="3" t="s">
        <v>1846</v>
      </c>
      <c r="D1698" s="4">
        <v>46307.455173611103</v>
      </c>
      <c r="E1698" s="5" t="s">
        <v>10</v>
      </c>
      <c r="F1698" s="5" t="s">
        <v>16</v>
      </c>
      <c r="G1698" s="5">
        <v>6</v>
      </c>
      <c r="H1698" s="8" t="s">
        <v>12</v>
      </c>
      <c r="I1698" t="s">
        <v>1919</v>
      </c>
      <c r="K1698" t="str">
        <f>+VLOOKUP(C1698,'[1]TIENDAS 2025'!$A$1:$C$143,3,0)</f>
        <v>nocturna</v>
      </c>
      <c r="L1698" t="str">
        <f>+VLOOKUP(C1698,[2]Hoja1!$A$1:$B$138,2,0)</f>
        <v>APROBAR</v>
      </c>
      <c r="M1698">
        <v>1</v>
      </c>
      <c r="N1698" t="e">
        <v>#N/A</v>
      </c>
    </row>
    <row r="1699" spans="1:14" ht="15" customHeight="1" x14ac:dyDescent="0.3">
      <c r="A1699" s="3">
        <v>8209660134</v>
      </c>
      <c r="B1699" s="3" t="s">
        <v>1845</v>
      </c>
      <c r="C1699" s="3" t="s">
        <v>1846</v>
      </c>
      <c r="D1699" s="4">
        <v>46307.4551967593</v>
      </c>
      <c r="E1699" s="5" t="s">
        <v>10</v>
      </c>
      <c r="F1699" s="5" t="s">
        <v>16</v>
      </c>
      <c r="G1699" s="5">
        <v>18</v>
      </c>
      <c r="H1699" s="8" t="s">
        <v>12</v>
      </c>
      <c r="I1699" t="s">
        <v>1920</v>
      </c>
      <c r="K1699" t="str">
        <f>+VLOOKUP(C1699,'[1]TIENDAS 2025'!$A$1:$C$143,3,0)</f>
        <v>nocturna</v>
      </c>
      <c r="L1699" t="str">
        <f>+VLOOKUP(C1699,[2]Hoja1!$A$1:$B$138,2,0)</f>
        <v>APROBAR</v>
      </c>
      <c r="M1699">
        <v>1</v>
      </c>
      <c r="N1699" t="e">
        <v>#N/A</v>
      </c>
    </row>
    <row r="1700" spans="1:14" ht="15" customHeight="1" x14ac:dyDescent="0.3">
      <c r="A1700" s="3">
        <v>1209660157</v>
      </c>
      <c r="B1700" s="3" t="s">
        <v>1852</v>
      </c>
      <c r="C1700" s="3" t="s">
        <v>1853</v>
      </c>
      <c r="D1700" s="4">
        <v>46307.455208333296</v>
      </c>
      <c r="E1700" s="5" t="s">
        <v>10</v>
      </c>
      <c r="F1700" s="5" t="s">
        <v>11</v>
      </c>
      <c r="G1700" s="5">
        <v>1</v>
      </c>
      <c r="H1700" s="6" t="s">
        <v>12</v>
      </c>
      <c r="I1700" t="s">
        <v>1921</v>
      </c>
      <c r="J1700" t="s">
        <v>2480</v>
      </c>
      <c r="K1700" t="str">
        <f>+VLOOKUP(C1700,'[1]TIENDAS 2025'!$A$1:$C$143,3,0)</f>
        <v xml:space="preserve">departamental </v>
      </c>
      <c r="L1700" t="str">
        <f>+VLOOKUP(C1700,[2]Hoja1!$A$1:$B$138,2,0)</f>
        <v>APROBAR</v>
      </c>
      <c r="M1700">
        <v>1</v>
      </c>
      <c r="N1700" t="e">
        <v>#N/A</v>
      </c>
    </row>
    <row r="1701" spans="1:14" ht="15" customHeight="1" x14ac:dyDescent="0.3">
      <c r="A1701" s="3">
        <v>1209660100</v>
      </c>
      <c r="B1701" s="3" t="s">
        <v>1837</v>
      </c>
      <c r="C1701" s="3" t="s">
        <v>1838</v>
      </c>
      <c r="D1701" s="4">
        <v>46307.455231481501</v>
      </c>
      <c r="E1701" s="5" t="s">
        <v>10</v>
      </c>
      <c r="F1701" s="5" t="s">
        <v>11</v>
      </c>
      <c r="G1701" s="5">
        <v>57</v>
      </c>
      <c r="H1701" s="6" t="s">
        <v>12</v>
      </c>
      <c r="I1701" t="s">
        <v>1922</v>
      </c>
      <c r="J1701" t="s">
        <v>2480</v>
      </c>
      <c r="K1701" t="str">
        <f>+VLOOKUP(C1701,'[1]TIENDAS 2025'!$A$1:$C$143,3,0)</f>
        <v>local</v>
      </c>
      <c r="L1701" t="str">
        <f>+VLOOKUP(C1701,[2]Hoja1!$A$1:$B$138,2,0)</f>
        <v>APROBAR</v>
      </c>
      <c r="M1701">
        <v>1</v>
      </c>
      <c r="N1701" t="e">
        <v>#N/A</v>
      </c>
    </row>
    <row r="1702" spans="1:14" ht="15" customHeight="1" x14ac:dyDescent="0.3">
      <c r="A1702" s="3">
        <v>1209660181</v>
      </c>
      <c r="B1702" s="3" t="s">
        <v>1840</v>
      </c>
      <c r="C1702" s="3" t="s">
        <v>1841</v>
      </c>
      <c r="D1702" s="4">
        <v>46307.455231481501</v>
      </c>
      <c r="E1702" s="5" t="s">
        <v>10</v>
      </c>
      <c r="F1702" s="5" t="s">
        <v>17</v>
      </c>
      <c r="G1702" s="5">
        <v>32</v>
      </c>
      <c r="H1702" s="6" t="s">
        <v>12</v>
      </c>
      <c r="I1702" t="s">
        <v>1923</v>
      </c>
      <c r="J1702" t="s">
        <v>2480</v>
      </c>
      <c r="K1702" t="str">
        <f>+VLOOKUP(C1702,'[1]TIENDAS 2025'!$A$1:$C$143,3,0)</f>
        <v>prioridad</v>
      </c>
      <c r="L1702" t="str">
        <f>+VLOOKUP(C1702,[2]Hoja1!$A$1:$B$138,2,0)</f>
        <v>APROBAR</v>
      </c>
      <c r="M1702">
        <v>1</v>
      </c>
      <c r="N1702" t="e">
        <v>#N/A</v>
      </c>
    </row>
    <row r="1703" spans="1:14" ht="15" customHeight="1" x14ac:dyDescent="0.3">
      <c r="A1703" s="3">
        <v>1209660123</v>
      </c>
      <c r="B1703" s="3" t="s">
        <v>1845</v>
      </c>
      <c r="C1703" s="3" t="s">
        <v>1846</v>
      </c>
      <c r="D1703" s="4">
        <v>46307.4552430556</v>
      </c>
      <c r="E1703" s="5" t="s">
        <v>10</v>
      </c>
      <c r="F1703" s="5" t="s">
        <v>17</v>
      </c>
      <c r="G1703" s="5">
        <v>5</v>
      </c>
      <c r="H1703" s="6" t="s">
        <v>12</v>
      </c>
      <c r="I1703" t="s">
        <v>1924</v>
      </c>
      <c r="J1703" t="s">
        <v>2480</v>
      </c>
      <c r="K1703" t="str">
        <f>+VLOOKUP(C1703,'[1]TIENDAS 2025'!$A$1:$C$143,3,0)</f>
        <v>nocturna</v>
      </c>
      <c r="L1703" t="str">
        <f>+VLOOKUP(C1703,[2]Hoja1!$A$1:$B$138,2,0)</f>
        <v>APROBAR</v>
      </c>
      <c r="M1703">
        <v>1</v>
      </c>
      <c r="N1703" t="e">
        <v>#N/A</v>
      </c>
    </row>
    <row r="1704" spans="1:14" ht="15" customHeight="1" x14ac:dyDescent="0.3">
      <c r="A1704" s="3">
        <v>1209660108</v>
      </c>
      <c r="B1704" s="3" t="s">
        <v>1837</v>
      </c>
      <c r="C1704" s="3" t="s">
        <v>1838</v>
      </c>
      <c r="D1704" s="4">
        <v>46307.455266203702</v>
      </c>
      <c r="E1704" s="5" t="s">
        <v>10</v>
      </c>
      <c r="F1704" s="5" t="s">
        <v>11</v>
      </c>
      <c r="G1704" s="5">
        <v>19</v>
      </c>
      <c r="H1704" s="6" t="s">
        <v>12</v>
      </c>
      <c r="I1704" t="s">
        <v>1925</v>
      </c>
      <c r="J1704" t="s">
        <v>2480</v>
      </c>
      <c r="K1704" t="str">
        <f>+VLOOKUP(C1704,'[1]TIENDAS 2025'!$A$1:$C$143,3,0)</f>
        <v>local</v>
      </c>
      <c r="L1704" t="str">
        <f>+VLOOKUP(C1704,[2]Hoja1!$A$1:$B$138,2,0)</f>
        <v>APROBAR</v>
      </c>
      <c r="M1704">
        <v>1</v>
      </c>
      <c r="N1704" t="e">
        <v>#N/A</v>
      </c>
    </row>
    <row r="1705" spans="1:14" ht="15" customHeight="1" x14ac:dyDescent="0.3">
      <c r="A1705" s="3">
        <v>1209660069</v>
      </c>
      <c r="B1705" s="3" t="s">
        <v>1831</v>
      </c>
      <c r="C1705" s="3" t="s">
        <v>1832</v>
      </c>
      <c r="D1705" s="4">
        <v>46307.455277777801</v>
      </c>
      <c r="E1705" s="5" t="s">
        <v>10</v>
      </c>
      <c r="F1705" s="5" t="s">
        <v>11</v>
      </c>
      <c r="G1705" s="5">
        <v>18</v>
      </c>
      <c r="H1705" s="6" t="s">
        <v>12</v>
      </c>
      <c r="I1705" t="s">
        <v>1926</v>
      </c>
      <c r="J1705" t="s">
        <v>2480</v>
      </c>
      <c r="K1705" t="str">
        <f>+VLOOKUP(C1705,'[1]TIENDAS 2025'!$A$1:$C$143,3,0)</f>
        <v>departamental</v>
      </c>
      <c r="L1705" t="str">
        <f>+VLOOKUP(C1705,[2]Hoja1!$A$1:$B$138,2,0)</f>
        <v>APROBAR</v>
      </c>
      <c r="M1705">
        <v>1</v>
      </c>
      <c r="N1705" t="e">
        <v>#N/A</v>
      </c>
    </row>
    <row r="1706" spans="1:14" ht="15" customHeight="1" x14ac:dyDescent="0.3">
      <c r="A1706" s="3">
        <v>1209660070</v>
      </c>
      <c r="B1706" s="3" t="s">
        <v>1831</v>
      </c>
      <c r="C1706" s="3" t="s">
        <v>1832</v>
      </c>
      <c r="D1706" s="4">
        <v>46307.455300925903</v>
      </c>
      <c r="E1706" s="5" t="s">
        <v>10</v>
      </c>
      <c r="F1706" s="5" t="s">
        <v>17</v>
      </c>
      <c r="G1706" s="5">
        <v>28</v>
      </c>
      <c r="H1706" s="6" t="s">
        <v>12</v>
      </c>
      <c r="I1706" t="s">
        <v>1927</v>
      </c>
      <c r="J1706" t="s">
        <v>2480</v>
      </c>
      <c r="K1706" t="str">
        <f>+VLOOKUP(C1706,'[1]TIENDAS 2025'!$A$1:$C$143,3,0)</f>
        <v>departamental</v>
      </c>
      <c r="L1706" t="str">
        <f>+VLOOKUP(C1706,[2]Hoja1!$A$1:$B$138,2,0)</f>
        <v>APROBAR</v>
      </c>
      <c r="M1706">
        <v>1</v>
      </c>
      <c r="N1706" t="e">
        <v>#N/A</v>
      </c>
    </row>
    <row r="1707" spans="1:14" ht="15" customHeight="1" x14ac:dyDescent="0.3">
      <c r="A1707" s="3">
        <v>1209660156</v>
      </c>
      <c r="B1707" s="3" t="s">
        <v>1852</v>
      </c>
      <c r="C1707" s="3" t="s">
        <v>1853</v>
      </c>
      <c r="D1707" s="4">
        <v>46307.455300925903</v>
      </c>
      <c r="E1707" s="5" t="s">
        <v>10</v>
      </c>
      <c r="F1707" s="5" t="s">
        <v>11</v>
      </c>
      <c r="G1707" s="5">
        <v>27</v>
      </c>
      <c r="H1707" s="6" t="s">
        <v>12</v>
      </c>
      <c r="I1707" t="s">
        <v>1928</v>
      </c>
      <c r="J1707" t="s">
        <v>2480</v>
      </c>
      <c r="K1707" t="str">
        <f>+VLOOKUP(C1707,'[1]TIENDAS 2025'!$A$1:$C$143,3,0)</f>
        <v xml:space="preserve">departamental </v>
      </c>
      <c r="L1707" t="str">
        <f>+VLOOKUP(C1707,[2]Hoja1!$A$1:$B$138,2,0)</f>
        <v>APROBAR</v>
      </c>
      <c r="M1707">
        <v>1</v>
      </c>
      <c r="N1707" t="e">
        <v>#N/A</v>
      </c>
    </row>
    <row r="1708" spans="1:14" ht="15" customHeight="1" x14ac:dyDescent="0.3">
      <c r="A1708" s="3">
        <v>1209660090</v>
      </c>
      <c r="B1708" s="3" t="s">
        <v>1837</v>
      </c>
      <c r="C1708" s="3" t="s">
        <v>1838</v>
      </c>
      <c r="D1708" s="4">
        <v>46307.455324074101</v>
      </c>
      <c r="E1708" s="5" t="s">
        <v>10</v>
      </c>
      <c r="F1708" s="5" t="s">
        <v>11</v>
      </c>
      <c r="G1708" s="5">
        <v>3</v>
      </c>
      <c r="H1708" s="6" t="s">
        <v>12</v>
      </c>
      <c r="I1708" t="s">
        <v>1929</v>
      </c>
      <c r="J1708" t="s">
        <v>2480</v>
      </c>
      <c r="K1708" t="str">
        <f>+VLOOKUP(C1708,'[1]TIENDAS 2025'!$A$1:$C$143,3,0)</f>
        <v>local</v>
      </c>
      <c r="L1708" t="str">
        <f>+VLOOKUP(C1708,[2]Hoja1!$A$1:$B$138,2,0)</f>
        <v>APROBAR</v>
      </c>
      <c r="M1708">
        <v>1</v>
      </c>
      <c r="N1708" t="e">
        <v>#N/A</v>
      </c>
    </row>
    <row r="1709" spans="1:14" ht="15" customHeight="1" x14ac:dyDescent="0.3">
      <c r="A1709" s="3">
        <v>1209660183</v>
      </c>
      <c r="B1709" s="3" t="s">
        <v>1840</v>
      </c>
      <c r="C1709" s="3" t="s">
        <v>1841</v>
      </c>
      <c r="D1709" s="4">
        <v>46307.455335648097</v>
      </c>
      <c r="E1709" s="5" t="s">
        <v>10</v>
      </c>
      <c r="F1709" s="5" t="s">
        <v>11</v>
      </c>
      <c r="G1709" s="5">
        <v>71</v>
      </c>
      <c r="H1709" s="6" t="s">
        <v>12</v>
      </c>
      <c r="I1709" t="s">
        <v>1930</v>
      </c>
      <c r="J1709" t="s">
        <v>2480</v>
      </c>
      <c r="K1709" t="str">
        <f>+VLOOKUP(C1709,'[1]TIENDAS 2025'!$A$1:$C$143,3,0)</f>
        <v>prioridad</v>
      </c>
      <c r="L1709" t="str">
        <f>+VLOOKUP(C1709,[2]Hoja1!$A$1:$B$138,2,0)</f>
        <v>APROBAR</v>
      </c>
      <c r="M1709">
        <v>1</v>
      </c>
      <c r="N1709" t="e">
        <v>#N/A</v>
      </c>
    </row>
    <row r="1710" spans="1:14" ht="15" customHeight="1" x14ac:dyDescent="0.3">
      <c r="A1710" s="3">
        <v>1209660093</v>
      </c>
      <c r="B1710" s="3" t="s">
        <v>1837</v>
      </c>
      <c r="C1710" s="3" t="s">
        <v>1838</v>
      </c>
      <c r="D1710" s="4">
        <v>46307.455347222203</v>
      </c>
      <c r="E1710" s="5" t="s">
        <v>10</v>
      </c>
      <c r="F1710" s="5" t="s">
        <v>17</v>
      </c>
      <c r="G1710" s="5">
        <v>36</v>
      </c>
      <c r="H1710" s="6" t="s">
        <v>12</v>
      </c>
      <c r="I1710" t="s">
        <v>1931</v>
      </c>
      <c r="J1710" t="s">
        <v>2480</v>
      </c>
      <c r="K1710" t="str">
        <f>+VLOOKUP(C1710,'[1]TIENDAS 2025'!$A$1:$C$143,3,0)</f>
        <v>local</v>
      </c>
      <c r="L1710" t="str">
        <f>+VLOOKUP(C1710,[2]Hoja1!$A$1:$B$138,2,0)</f>
        <v>APROBAR</v>
      </c>
      <c r="M1710">
        <v>1</v>
      </c>
      <c r="N1710" t="e">
        <v>#N/A</v>
      </c>
    </row>
    <row r="1711" spans="1:14" ht="15" customHeight="1" x14ac:dyDescent="0.3">
      <c r="A1711" s="3">
        <v>1209660082</v>
      </c>
      <c r="B1711" s="3" t="s">
        <v>1831</v>
      </c>
      <c r="C1711" s="3" t="s">
        <v>1832</v>
      </c>
      <c r="D1711" s="4">
        <v>46307.4553703704</v>
      </c>
      <c r="E1711" s="5" t="s">
        <v>10</v>
      </c>
      <c r="F1711" s="5" t="s">
        <v>11</v>
      </c>
      <c r="G1711" s="5">
        <v>17</v>
      </c>
      <c r="H1711" s="6" t="s">
        <v>12</v>
      </c>
      <c r="I1711" t="s">
        <v>1932</v>
      </c>
      <c r="J1711" t="s">
        <v>2480</v>
      </c>
      <c r="K1711" t="str">
        <f>+VLOOKUP(C1711,'[1]TIENDAS 2025'!$A$1:$C$143,3,0)</f>
        <v>departamental</v>
      </c>
      <c r="L1711" t="str">
        <f>+VLOOKUP(C1711,[2]Hoja1!$A$1:$B$138,2,0)</f>
        <v>APROBAR</v>
      </c>
      <c r="M1711">
        <v>1</v>
      </c>
      <c r="N1711" t="e">
        <v>#N/A</v>
      </c>
    </row>
    <row r="1712" spans="1:14" ht="15" customHeight="1" x14ac:dyDescent="0.3">
      <c r="A1712" s="3">
        <v>8209660086</v>
      </c>
      <c r="B1712" s="3" t="s">
        <v>1837</v>
      </c>
      <c r="C1712" s="3" t="s">
        <v>1838</v>
      </c>
      <c r="D1712" s="4">
        <v>46307.4553703704</v>
      </c>
      <c r="E1712" s="5" t="s">
        <v>10</v>
      </c>
      <c r="F1712" s="5" t="s">
        <v>16</v>
      </c>
      <c r="G1712" s="5">
        <v>2</v>
      </c>
      <c r="H1712" s="8" t="s">
        <v>12</v>
      </c>
      <c r="I1712" t="s">
        <v>1933</v>
      </c>
      <c r="K1712" t="str">
        <f>+VLOOKUP(C1712,'[1]TIENDAS 2025'!$A$1:$C$143,3,0)</f>
        <v>local</v>
      </c>
      <c r="L1712" t="str">
        <f>+VLOOKUP(C1712,[2]Hoja1!$A$1:$B$138,2,0)</f>
        <v>APROBAR</v>
      </c>
      <c r="M1712">
        <v>1</v>
      </c>
      <c r="N1712" t="e">
        <v>#N/A</v>
      </c>
    </row>
    <row r="1713" spans="1:14" ht="15" customHeight="1" x14ac:dyDescent="0.3">
      <c r="A1713" s="3">
        <v>1209660139</v>
      </c>
      <c r="B1713" s="3" t="s">
        <v>1845</v>
      </c>
      <c r="C1713" s="3" t="s">
        <v>1846</v>
      </c>
      <c r="D1713" s="4">
        <v>46307.455393518503</v>
      </c>
      <c r="E1713" s="5" t="s">
        <v>10</v>
      </c>
      <c r="F1713" s="5" t="s">
        <v>11</v>
      </c>
      <c r="G1713" s="5">
        <v>18</v>
      </c>
      <c r="H1713" s="6" t="s">
        <v>12</v>
      </c>
      <c r="I1713" t="s">
        <v>1934</v>
      </c>
      <c r="J1713" t="s">
        <v>2480</v>
      </c>
      <c r="K1713" t="str">
        <f>+VLOOKUP(C1713,'[1]TIENDAS 2025'!$A$1:$C$143,3,0)</f>
        <v>nocturna</v>
      </c>
      <c r="L1713" t="str">
        <f>+VLOOKUP(C1713,[2]Hoja1!$A$1:$B$138,2,0)</f>
        <v>APROBAR</v>
      </c>
      <c r="M1713">
        <v>1</v>
      </c>
      <c r="N1713" t="e">
        <v>#N/A</v>
      </c>
    </row>
    <row r="1714" spans="1:14" ht="15" customHeight="1" x14ac:dyDescent="0.3">
      <c r="A1714" s="3">
        <v>8209660101</v>
      </c>
      <c r="B1714" s="3" t="s">
        <v>1837</v>
      </c>
      <c r="C1714" s="3" t="s">
        <v>1838</v>
      </c>
      <c r="D1714" s="4">
        <v>46307.455405092602</v>
      </c>
      <c r="E1714" s="5" t="s">
        <v>10</v>
      </c>
      <c r="F1714" s="5" t="s">
        <v>16</v>
      </c>
      <c r="G1714" s="5">
        <v>5</v>
      </c>
      <c r="H1714" s="8" t="s">
        <v>12</v>
      </c>
      <c r="I1714" t="s">
        <v>1935</v>
      </c>
      <c r="K1714" t="str">
        <f>+VLOOKUP(C1714,'[1]TIENDAS 2025'!$A$1:$C$143,3,0)</f>
        <v>local</v>
      </c>
      <c r="L1714" t="str">
        <f>+VLOOKUP(C1714,[2]Hoja1!$A$1:$B$138,2,0)</f>
        <v>APROBAR</v>
      </c>
      <c r="M1714">
        <v>1</v>
      </c>
      <c r="N1714" t="e">
        <v>#N/A</v>
      </c>
    </row>
    <row r="1715" spans="1:14" ht="15" customHeight="1" x14ac:dyDescent="0.3">
      <c r="A1715" s="3">
        <v>1209660184</v>
      </c>
      <c r="B1715" s="3" t="s">
        <v>1840</v>
      </c>
      <c r="C1715" s="3" t="s">
        <v>1841</v>
      </c>
      <c r="D1715" s="4">
        <v>46307.455428240697</v>
      </c>
      <c r="E1715" s="5" t="s">
        <v>10</v>
      </c>
      <c r="F1715" s="5" t="s">
        <v>17</v>
      </c>
      <c r="G1715" s="5">
        <v>73</v>
      </c>
      <c r="H1715" s="6" t="s">
        <v>12</v>
      </c>
      <c r="I1715" t="s">
        <v>1936</v>
      </c>
      <c r="J1715" t="s">
        <v>2480</v>
      </c>
      <c r="K1715" t="str">
        <f>+VLOOKUP(C1715,'[1]TIENDAS 2025'!$A$1:$C$143,3,0)</f>
        <v>prioridad</v>
      </c>
      <c r="L1715" t="str">
        <f>+VLOOKUP(C1715,[2]Hoja1!$A$1:$B$138,2,0)</f>
        <v>APROBAR</v>
      </c>
      <c r="M1715">
        <v>1</v>
      </c>
      <c r="N1715" t="e">
        <v>#N/A</v>
      </c>
    </row>
    <row r="1716" spans="1:14" ht="15" customHeight="1" x14ac:dyDescent="0.3">
      <c r="A1716" s="3">
        <v>1209660143</v>
      </c>
      <c r="B1716" s="3" t="s">
        <v>1845</v>
      </c>
      <c r="C1716" s="3" t="s">
        <v>1846</v>
      </c>
      <c r="D1716" s="4">
        <v>46307.455428240697</v>
      </c>
      <c r="E1716" s="5" t="s">
        <v>10</v>
      </c>
      <c r="F1716" s="5" t="s">
        <v>17</v>
      </c>
      <c r="G1716" s="5">
        <v>59</v>
      </c>
      <c r="H1716" s="6" t="s">
        <v>12</v>
      </c>
      <c r="I1716" t="s">
        <v>1937</v>
      </c>
      <c r="J1716" t="s">
        <v>2480</v>
      </c>
      <c r="K1716" t="str">
        <f>+VLOOKUP(C1716,'[1]TIENDAS 2025'!$A$1:$C$143,3,0)</f>
        <v>nocturna</v>
      </c>
      <c r="L1716" t="str">
        <f>+VLOOKUP(C1716,[2]Hoja1!$A$1:$B$138,2,0)</f>
        <v>APROBAR</v>
      </c>
      <c r="M1716">
        <v>1</v>
      </c>
      <c r="N1716" t="e">
        <v>#N/A</v>
      </c>
    </row>
    <row r="1717" spans="1:14" ht="15" customHeight="1" x14ac:dyDescent="0.3">
      <c r="A1717" s="3">
        <v>1209660129</v>
      </c>
      <c r="B1717" s="3" t="s">
        <v>1845</v>
      </c>
      <c r="C1717" s="3" t="s">
        <v>1846</v>
      </c>
      <c r="D1717" s="4">
        <v>46307.455451388902</v>
      </c>
      <c r="E1717" s="5" t="s">
        <v>10</v>
      </c>
      <c r="F1717" s="5" t="s">
        <v>17</v>
      </c>
      <c r="G1717" s="5">
        <v>27</v>
      </c>
      <c r="H1717" s="6" t="s">
        <v>12</v>
      </c>
      <c r="I1717" t="s">
        <v>1938</v>
      </c>
      <c r="J1717" t="s">
        <v>2480</v>
      </c>
      <c r="K1717" t="str">
        <f>+VLOOKUP(C1717,'[1]TIENDAS 2025'!$A$1:$C$143,3,0)</f>
        <v>nocturna</v>
      </c>
      <c r="L1717" t="str">
        <f>+VLOOKUP(C1717,[2]Hoja1!$A$1:$B$138,2,0)</f>
        <v>APROBAR</v>
      </c>
      <c r="M1717">
        <v>1</v>
      </c>
      <c r="N1717" t="e">
        <v>#N/A</v>
      </c>
    </row>
    <row r="1718" spans="1:14" ht="15" customHeight="1" x14ac:dyDescent="0.3">
      <c r="A1718" s="3">
        <v>8209660063</v>
      </c>
      <c r="B1718" s="3" t="s">
        <v>1831</v>
      </c>
      <c r="C1718" s="3" t="s">
        <v>1832</v>
      </c>
      <c r="D1718" s="4">
        <v>46307.455462963</v>
      </c>
      <c r="E1718" s="5" t="s">
        <v>10</v>
      </c>
      <c r="F1718" s="5" t="s">
        <v>16</v>
      </c>
      <c r="G1718" s="5">
        <v>1</v>
      </c>
      <c r="H1718" s="8" t="s">
        <v>12</v>
      </c>
      <c r="I1718" t="s">
        <v>1939</v>
      </c>
      <c r="K1718" t="str">
        <f>+VLOOKUP(C1718,'[1]TIENDAS 2025'!$A$1:$C$143,3,0)</f>
        <v>departamental</v>
      </c>
      <c r="L1718" t="str">
        <f>+VLOOKUP(C1718,[2]Hoja1!$A$1:$B$138,2,0)</f>
        <v>APROBAR</v>
      </c>
      <c r="M1718">
        <v>1</v>
      </c>
      <c r="N1718" t="e">
        <v>#N/A</v>
      </c>
    </row>
    <row r="1719" spans="1:14" ht="15" customHeight="1" x14ac:dyDescent="0.3">
      <c r="A1719" s="3">
        <v>8209660065</v>
      </c>
      <c r="B1719" s="3" t="s">
        <v>1831</v>
      </c>
      <c r="C1719" s="3" t="s">
        <v>1832</v>
      </c>
      <c r="D1719" s="4">
        <v>46307.455474536997</v>
      </c>
      <c r="E1719" s="5" t="s">
        <v>10</v>
      </c>
      <c r="F1719" s="5" t="s">
        <v>16</v>
      </c>
      <c r="G1719" s="5">
        <v>7</v>
      </c>
      <c r="H1719" s="8" t="s">
        <v>12</v>
      </c>
      <c r="I1719" t="s">
        <v>1940</v>
      </c>
      <c r="K1719" t="str">
        <f>+VLOOKUP(C1719,'[1]TIENDAS 2025'!$A$1:$C$143,3,0)</f>
        <v>departamental</v>
      </c>
      <c r="L1719" t="str">
        <f>+VLOOKUP(C1719,[2]Hoja1!$A$1:$B$138,2,0)</f>
        <v>APROBAR</v>
      </c>
      <c r="M1719">
        <v>1</v>
      </c>
      <c r="N1719" t="e">
        <v>#N/A</v>
      </c>
    </row>
    <row r="1720" spans="1:14" ht="15" customHeight="1" x14ac:dyDescent="0.3">
      <c r="A1720" s="3">
        <v>8209660186</v>
      </c>
      <c r="B1720" s="3" t="s">
        <v>1840</v>
      </c>
      <c r="C1720" s="3" t="s">
        <v>1841</v>
      </c>
      <c r="D1720" s="4">
        <v>46307.455497685201</v>
      </c>
      <c r="E1720" s="5" t="s">
        <v>10</v>
      </c>
      <c r="F1720" s="5" t="s">
        <v>16</v>
      </c>
      <c r="G1720" s="5">
        <v>7</v>
      </c>
      <c r="H1720" s="8" t="s">
        <v>12</v>
      </c>
      <c r="I1720" t="s">
        <v>1941</v>
      </c>
      <c r="K1720" t="str">
        <f>+VLOOKUP(C1720,'[1]TIENDAS 2025'!$A$1:$C$143,3,0)</f>
        <v>prioridad</v>
      </c>
      <c r="L1720" t="str">
        <f>+VLOOKUP(C1720,[2]Hoja1!$A$1:$B$138,2,0)</f>
        <v>APROBAR</v>
      </c>
      <c r="M1720">
        <v>1</v>
      </c>
      <c r="N1720" t="e">
        <v>#N/A</v>
      </c>
    </row>
    <row r="1721" spans="1:14" ht="15" customHeight="1" x14ac:dyDescent="0.3">
      <c r="A1721" s="3">
        <v>1209660155</v>
      </c>
      <c r="B1721" s="3" t="s">
        <v>1852</v>
      </c>
      <c r="C1721" s="3" t="s">
        <v>1853</v>
      </c>
      <c r="D1721" s="4">
        <v>46307.455497685201</v>
      </c>
      <c r="E1721" s="5" t="s">
        <v>10</v>
      </c>
      <c r="F1721" s="5" t="s">
        <v>17</v>
      </c>
      <c r="G1721" s="5">
        <v>26</v>
      </c>
      <c r="H1721" s="6" t="s">
        <v>12</v>
      </c>
      <c r="I1721" t="s">
        <v>1942</v>
      </c>
      <c r="J1721" t="s">
        <v>2480</v>
      </c>
      <c r="K1721" t="str">
        <f>+VLOOKUP(C1721,'[1]TIENDAS 2025'!$A$1:$C$143,3,0)</f>
        <v xml:space="preserve">departamental </v>
      </c>
      <c r="L1721" t="str">
        <f>+VLOOKUP(C1721,[2]Hoja1!$A$1:$B$138,2,0)</f>
        <v>APROBAR</v>
      </c>
      <c r="M1721">
        <v>1</v>
      </c>
      <c r="N1721" t="e">
        <v>#N/A</v>
      </c>
    </row>
    <row r="1722" spans="1:14" ht="15" customHeight="1" x14ac:dyDescent="0.3">
      <c r="A1722" s="3">
        <v>8209660204</v>
      </c>
      <c r="B1722" s="3" t="s">
        <v>1944</v>
      </c>
      <c r="C1722" s="3" t="s">
        <v>1945</v>
      </c>
      <c r="D1722" s="4">
        <v>46307.457546296297</v>
      </c>
      <c r="E1722" s="5" t="s">
        <v>10</v>
      </c>
      <c r="F1722" s="5" t="s">
        <v>16</v>
      </c>
      <c r="G1722" s="5">
        <v>4</v>
      </c>
      <c r="H1722" s="8" t="s">
        <v>12</v>
      </c>
      <c r="I1722" t="s">
        <v>1943</v>
      </c>
      <c r="K1722" t="str">
        <f>+VLOOKUP(C1722,'[1]TIENDAS 2025'!$A$1:$C$143,3,0)</f>
        <v>nocturna</v>
      </c>
      <c r="L1722" t="str">
        <f>+VLOOKUP(C1722,[2]Hoja1!$A$1:$B$138,2,0)</f>
        <v>APROBAR</v>
      </c>
      <c r="M1722">
        <v>1</v>
      </c>
      <c r="N1722" t="e">
        <v>#N/A</v>
      </c>
    </row>
    <row r="1723" spans="1:14" ht="15" customHeight="1" x14ac:dyDescent="0.3">
      <c r="A1723" s="3">
        <v>1209660245</v>
      </c>
      <c r="B1723" s="3" t="s">
        <v>1947</v>
      </c>
      <c r="C1723" s="3" t="s">
        <v>1948</v>
      </c>
      <c r="D1723" s="4">
        <v>46307.457557870403</v>
      </c>
      <c r="E1723" s="5" t="s">
        <v>10</v>
      </c>
      <c r="F1723" s="5" t="s">
        <v>11</v>
      </c>
      <c r="G1723" s="5">
        <v>18</v>
      </c>
      <c r="H1723" s="6" t="s">
        <v>12</v>
      </c>
      <c r="I1723" t="s">
        <v>1946</v>
      </c>
      <c r="J1723" t="s">
        <v>2480</v>
      </c>
      <c r="K1723" t="str">
        <f>+VLOOKUP(C1723,'[1]TIENDAS 2025'!$A$1:$C$143,3,0)</f>
        <v>nocturna</v>
      </c>
      <c r="L1723" t="str">
        <f>+VLOOKUP(C1723,[2]Hoja1!$A$1:$B$138,2,0)</f>
        <v>APROBAR</v>
      </c>
      <c r="M1723">
        <v>1</v>
      </c>
      <c r="N1723" t="e">
        <v>#N/A</v>
      </c>
    </row>
    <row r="1724" spans="1:14" ht="15" customHeight="1" x14ac:dyDescent="0.3">
      <c r="A1724" s="3">
        <v>1209660211</v>
      </c>
      <c r="B1724" s="3" t="s">
        <v>1944</v>
      </c>
      <c r="C1724" s="3" t="s">
        <v>1945</v>
      </c>
      <c r="D1724" s="4">
        <v>46307.457569444399</v>
      </c>
      <c r="E1724" s="5" t="s">
        <v>10</v>
      </c>
      <c r="F1724" s="5" t="s">
        <v>17</v>
      </c>
      <c r="G1724" s="5">
        <v>14</v>
      </c>
      <c r="H1724" s="6" t="s">
        <v>12</v>
      </c>
      <c r="I1724" t="s">
        <v>1949</v>
      </c>
      <c r="J1724" t="s">
        <v>2480</v>
      </c>
      <c r="K1724" t="str">
        <f>+VLOOKUP(C1724,'[1]TIENDAS 2025'!$A$1:$C$143,3,0)</f>
        <v>nocturna</v>
      </c>
      <c r="L1724" t="str">
        <f>+VLOOKUP(C1724,[2]Hoja1!$A$1:$B$138,2,0)</f>
        <v>APROBAR</v>
      </c>
      <c r="M1724">
        <v>1</v>
      </c>
      <c r="N1724" t="e">
        <v>#N/A</v>
      </c>
    </row>
    <row r="1725" spans="1:14" ht="15" customHeight="1" x14ac:dyDescent="0.3">
      <c r="A1725" s="3">
        <v>1209660252</v>
      </c>
      <c r="B1725" s="3" t="s">
        <v>1947</v>
      </c>
      <c r="C1725" s="3" t="s">
        <v>1948</v>
      </c>
      <c r="D1725" s="4">
        <v>46307.457592592596</v>
      </c>
      <c r="E1725" s="5" t="s">
        <v>10</v>
      </c>
      <c r="F1725" s="5" t="s">
        <v>11</v>
      </c>
      <c r="G1725" s="5">
        <v>12</v>
      </c>
      <c r="H1725" s="6" t="s">
        <v>12</v>
      </c>
      <c r="I1725" t="s">
        <v>1950</v>
      </c>
      <c r="J1725" t="s">
        <v>2480</v>
      </c>
      <c r="K1725" t="str">
        <f>+VLOOKUP(C1725,'[1]TIENDAS 2025'!$A$1:$C$143,3,0)</f>
        <v>nocturna</v>
      </c>
      <c r="L1725" t="str">
        <f>+VLOOKUP(C1725,[2]Hoja1!$A$1:$B$138,2,0)</f>
        <v>APROBAR</v>
      </c>
      <c r="M1725">
        <v>1</v>
      </c>
      <c r="N1725" t="e">
        <v>#N/A</v>
      </c>
    </row>
    <row r="1726" spans="1:14" ht="15" customHeight="1" x14ac:dyDescent="0.3">
      <c r="A1726" s="3">
        <v>1209660285</v>
      </c>
      <c r="B1726" s="3" t="s">
        <v>1952</v>
      </c>
      <c r="C1726" s="3" t="s">
        <v>1953</v>
      </c>
      <c r="D1726" s="4">
        <v>46307.457615740699</v>
      </c>
      <c r="E1726" s="5" t="s">
        <v>10</v>
      </c>
      <c r="F1726" s="5" t="s">
        <v>17</v>
      </c>
      <c r="G1726" s="5">
        <v>8</v>
      </c>
      <c r="H1726" s="6" t="s">
        <v>12</v>
      </c>
      <c r="I1726" t="s">
        <v>1951</v>
      </c>
      <c r="J1726" t="s">
        <v>2480</v>
      </c>
      <c r="K1726" t="str">
        <f>+VLOOKUP(C1726,'[1]TIENDAS 2025'!$A$1:$C$143,3,0)</f>
        <v>departamental</v>
      </c>
      <c r="L1726" t="str">
        <f>+VLOOKUP(C1726,[2]Hoja1!$A$1:$B$138,2,0)</f>
        <v>APROBAR</v>
      </c>
      <c r="M1726">
        <v>1</v>
      </c>
      <c r="N1726" t="e">
        <v>#N/A</v>
      </c>
    </row>
    <row r="1727" spans="1:14" ht="15" customHeight="1" x14ac:dyDescent="0.3">
      <c r="A1727" s="3">
        <v>8209660236</v>
      </c>
      <c r="B1727" s="3" t="s">
        <v>1947</v>
      </c>
      <c r="C1727" s="3" t="s">
        <v>1948</v>
      </c>
      <c r="D1727" s="4">
        <v>46307.457638888904</v>
      </c>
      <c r="E1727" s="5" t="s">
        <v>10</v>
      </c>
      <c r="F1727" s="5" t="s">
        <v>16</v>
      </c>
      <c r="G1727" s="5">
        <v>3</v>
      </c>
      <c r="H1727" s="8" t="s">
        <v>12</v>
      </c>
      <c r="I1727" t="s">
        <v>1954</v>
      </c>
      <c r="K1727" t="str">
        <f>+VLOOKUP(C1727,'[1]TIENDAS 2025'!$A$1:$C$143,3,0)</f>
        <v>nocturna</v>
      </c>
      <c r="L1727" t="str">
        <f>+VLOOKUP(C1727,[2]Hoja1!$A$1:$B$138,2,0)</f>
        <v>APROBAR</v>
      </c>
      <c r="M1727">
        <v>1</v>
      </c>
      <c r="N1727" t="e">
        <v>#N/A</v>
      </c>
    </row>
    <row r="1728" spans="1:14" ht="15" customHeight="1" x14ac:dyDescent="0.3">
      <c r="A1728" s="3">
        <v>1209660241</v>
      </c>
      <c r="B1728" s="3" t="s">
        <v>1947</v>
      </c>
      <c r="C1728" s="3" t="s">
        <v>1948</v>
      </c>
      <c r="D1728" s="4">
        <v>46307.457650463002</v>
      </c>
      <c r="E1728" s="5" t="s">
        <v>10</v>
      </c>
      <c r="F1728" s="5" t="s">
        <v>11</v>
      </c>
      <c r="G1728" s="5">
        <v>16</v>
      </c>
      <c r="H1728" s="6" t="s">
        <v>12</v>
      </c>
      <c r="I1728" t="s">
        <v>1955</v>
      </c>
      <c r="J1728" t="s">
        <v>2480</v>
      </c>
      <c r="K1728" t="str">
        <f>+VLOOKUP(C1728,'[1]TIENDAS 2025'!$A$1:$C$143,3,0)</f>
        <v>nocturna</v>
      </c>
      <c r="L1728" t="str">
        <f>+VLOOKUP(C1728,[2]Hoja1!$A$1:$B$138,2,0)</f>
        <v>APROBAR</v>
      </c>
      <c r="M1728">
        <v>1</v>
      </c>
      <c r="N1728" t="e">
        <v>#N/A</v>
      </c>
    </row>
    <row r="1729" spans="1:14" ht="15" customHeight="1" x14ac:dyDescent="0.3">
      <c r="A1729" s="3">
        <v>1209660229</v>
      </c>
      <c r="B1729" s="3" t="s">
        <v>1944</v>
      </c>
      <c r="C1729" s="3" t="s">
        <v>1945</v>
      </c>
      <c r="D1729" s="4">
        <v>46307.457662036999</v>
      </c>
      <c r="E1729" s="5" t="s">
        <v>10</v>
      </c>
      <c r="F1729" s="5" t="s">
        <v>17</v>
      </c>
      <c r="G1729" s="5">
        <v>55</v>
      </c>
      <c r="H1729" s="6" t="s">
        <v>12</v>
      </c>
      <c r="I1729" t="s">
        <v>1956</v>
      </c>
      <c r="J1729" t="s">
        <v>2480</v>
      </c>
      <c r="K1729" t="str">
        <f>+VLOOKUP(C1729,'[1]TIENDAS 2025'!$A$1:$C$143,3,0)</f>
        <v>nocturna</v>
      </c>
      <c r="L1729" t="str">
        <f>+VLOOKUP(C1729,[2]Hoja1!$A$1:$B$138,2,0)</f>
        <v>APROBAR</v>
      </c>
      <c r="M1729">
        <v>1</v>
      </c>
      <c r="N1729" t="e">
        <v>#N/A</v>
      </c>
    </row>
    <row r="1730" spans="1:14" ht="15" customHeight="1" x14ac:dyDescent="0.3">
      <c r="A1730" s="3">
        <v>1209660209</v>
      </c>
      <c r="B1730" s="3" t="s">
        <v>1944</v>
      </c>
      <c r="C1730" s="3" t="s">
        <v>1945</v>
      </c>
      <c r="D1730" s="4">
        <v>46307.457685185203</v>
      </c>
      <c r="E1730" s="5" t="s">
        <v>10</v>
      </c>
      <c r="F1730" s="5" t="s">
        <v>17</v>
      </c>
      <c r="G1730" s="5">
        <v>8</v>
      </c>
      <c r="H1730" s="6" t="s">
        <v>12</v>
      </c>
      <c r="I1730" t="s">
        <v>1957</v>
      </c>
      <c r="J1730" t="s">
        <v>2480</v>
      </c>
      <c r="K1730" t="str">
        <f>+VLOOKUP(C1730,'[1]TIENDAS 2025'!$A$1:$C$143,3,0)</f>
        <v>nocturna</v>
      </c>
      <c r="L1730" t="str">
        <f>+VLOOKUP(C1730,[2]Hoja1!$A$1:$B$138,2,0)</f>
        <v>APROBAR</v>
      </c>
      <c r="M1730">
        <v>1</v>
      </c>
      <c r="N1730" t="e">
        <v>#N/A</v>
      </c>
    </row>
    <row r="1731" spans="1:14" ht="15" customHeight="1" x14ac:dyDescent="0.3">
      <c r="A1731" s="3">
        <v>1209660275</v>
      </c>
      <c r="B1731" s="3" t="s">
        <v>1952</v>
      </c>
      <c r="C1731" s="3" t="s">
        <v>1953</v>
      </c>
      <c r="D1731" s="4">
        <v>46307.457696759302</v>
      </c>
      <c r="E1731" s="5" t="s">
        <v>10</v>
      </c>
      <c r="F1731" s="5" t="s">
        <v>11</v>
      </c>
      <c r="G1731" s="5">
        <v>13</v>
      </c>
      <c r="H1731" s="6" t="s">
        <v>12</v>
      </c>
      <c r="I1731" t="s">
        <v>1958</v>
      </c>
      <c r="J1731" t="s">
        <v>2480</v>
      </c>
      <c r="K1731" t="str">
        <f>+VLOOKUP(C1731,'[1]TIENDAS 2025'!$A$1:$C$143,3,0)</f>
        <v>departamental</v>
      </c>
      <c r="L1731" t="str">
        <f>+VLOOKUP(C1731,[2]Hoja1!$A$1:$B$138,2,0)</f>
        <v>APROBAR</v>
      </c>
      <c r="M1731">
        <v>1</v>
      </c>
      <c r="N1731" t="e">
        <v>#N/A</v>
      </c>
    </row>
    <row r="1732" spans="1:14" ht="15" customHeight="1" x14ac:dyDescent="0.3">
      <c r="A1732" s="3">
        <v>8209660278</v>
      </c>
      <c r="B1732" s="3" t="s">
        <v>1952</v>
      </c>
      <c r="C1732" s="3" t="s">
        <v>1953</v>
      </c>
      <c r="D1732" s="4">
        <v>46307.457708333299</v>
      </c>
      <c r="E1732" s="5" t="s">
        <v>10</v>
      </c>
      <c r="F1732" s="5" t="s">
        <v>16</v>
      </c>
      <c r="G1732" s="5">
        <v>11</v>
      </c>
      <c r="H1732" s="8" t="s">
        <v>12</v>
      </c>
      <c r="I1732" t="s">
        <v>1959</v>
      </c>
      <c r="K1732" t="str">
        <f>+VLOOKUP(C1732,'[1]TIENDAS 2025'!$A$1:$C$143,3,0)</f>
        <v>departamental</v>
      </c>
      <c r="L1732" t="str">
        <f>+VLOOKUP(C1732,[2]Hoja1!$A$1:$B$138,2,0)</f>
        <v>APROBAR</v>
      </c>
      <c r="M1732">
        <v>1</v>
      </c>
      <c r="N1732" t="e">
        <v>#N/A</v>
      </c>
    </row>
    <row r="1733" spans="1:14" ht="15" customHeight="1" x14ac:dyDescent="0.3">
      <c r="A1733" s="3">
        <v>1209660309</v>
      </c>
      <c r="B1733" s="3" t="s">
        <v>1961</v>
      </c>
      <c r="C1733" s="3" t="s">
        <v>1962</v>
      </c>
      <c r="D1733" s="4">
        <v>46307.457731481503</v>
      </c>
      <c r="E1733" s="5" t="s">
        <v>10</v>
      </c>
      <c r="F1733" s="5" t="s">
        <v>11</v>
      </c>
      <c r="G1733" s="5">
        <v>3</v>
      </c>
      <c r="H1733" s="6" t="s">
        <v>12</v>
      </c>
      <c r="I1733" t="s">
        <v>1960</v>
      </c>
      <c r="J1733" t="s">
        <v>2480</v>
      </c>
      <c r="K1733" t="str">
        <f>+VLOOKUP(C1733,'[1]TIENDAS 2025'!$A$1:$C$143,3,0)</f>
        <v>departamental</v>
      </c>
      <c r="L1733" t="str">
        <f>+VLOOKUP(C1733,[2]Hoja1!$A$1:$B$138,2,0)</f>
        <v>APROBAR</v>
      </c>
      <c r="M1733">
        <v>1</v>
      </c>
      <c r="N1733" t="e">
        <v>#N/A</v>
      </c>
    </row>
    <row r="1734" spans="1:14" ht="15" customHeight="1" x14ac:dyDescent="0.3">
      <c r="A1734" s="3">
        <v>8209660234</v>
      </c>
      <c r="B1734" s="3" t="s">
        <v>1947</v>
      </c>
      <c r="C1734" s="3" t="s">
        <v>1948</v>
      </c>
      <c r="D1734" s="4">
        <v>46307.457743055602</v>
      </c>
      <c r="E1734" s="5" t="s">
        <v>10</v>
      </c>
      <c r="F1734" s="5" t="s">
        <v>16</v>
      </c>
      <c r="G1734" s="5">
        <v>2</v>
      </c>
      <c r="H1734" s="8" t="s">
        <v>12</v>
      </c>
      <c r="I1734" t="s">
        <v>1963</v>
      </c>
      <c r="K1734" t="str">
        <f>+VLOOKUP(C1734,'[1]TIENDAS 2025'!$A$1:$C$143,3,0)</f>
        <v>nocturna</v>
      </c>
      <c r="L1734" t="str">
        <f>+VLOOKUP(C1734,[2]Hoja1!$A$1:$B$138,2,0)</f>
        <v>APROBAR</v>
      </c>
      <c r="M1734">
        <v>1</v>
      </c>
      <c r="N1734" t="e">
        <v>#N/A</v>
      </c>
    </row>
    <row r="1735" spans="1:14" ht="15" customHeight="1" x14ac:dyDescent="0.3">
      <c r="A1735" s="3">
        <v>1209660242</v>
      </c>
      <c r="B1735" s="3" t="s">
        <v>1947</v>
      </c>
      <c r="C1735" s="3" t="s">
        <v>1948</v>
      </c>
      <c r="D1735" s="4">
        <v>46307.457766203697</v>
      </c>
      <c r="E1735" s="5" t="s">
        <v>10</v>
      </c>
      <c r="F1735" s="5" t="s">
        <v>11</v>
      </c>
      <c r="G1735" s="5">
        <v>8</v>
      </c>
      <c r="H1735" s="6" t="s">
        <v>12</v>
      </c>
      <c r="I1735" t="s">
        <v>1964</v>
      </c>
      <c r="J1735" t="s">
        <v>2480</v>
      </c>
      <c r="K1735" t="str">
        <f>+VLOOKUP(C1735,'[1]TIENDAS 2025'!$A$1:$C$143,3,0)</f>
        <v>nocturna</v>
      </c>
      <c r="L1735" t="str">
        <f>+VLOOKUP(C1735,[2]Hoja1!$A$1:$B$138,2,0)</f>
        <v>APROBAR</v>
      </c>
      <c r="M1735">
        <v>1</v>
      </c>
      <c r="N1735" t="e">
        <v>#N/A</v>
      </c>
    </row>
    <row r="1736" spans="1:14" ht="15" customHeight="1" x14ac:dyDescent="0.3">
      <c r="A1736" s="3">
        <v>1209660318</v>
      </c>
      <c r="B1736" s="3" t="s">
        <v>1961</v>
      </c>
      <c r="C1736" s="3" t="s">
        <v>1962</v>
      </c>
      <c r="D1736" s="4">
        <v>46307.457766203697</v>
      </c>
      <c r="E1736" s="5" t="s">
        <v>10</v>
      </c>
      <c r="F1736" s="5" t="s">
        <v>11</v>
      </c>
      <c r="G1736" s="5">
        <v>11</v>
      </c>
      <c r="H1736" s="6" t="s">
        <v>12</v>
      </c>
      <c r="I1736" t="s">
        <v>1965</v>
      </c>
      <c r="J1736" t="s">
        <v>2480</v>
      </c>
      <c r="K1736" t="str">
        <f>+VLOOKUP(C1736,'[1]TIENDAS 2025'!$A$1:$C$143,3,0)</f>
        <v>departamental</v>
      </c>
      <c r="L1736" t="str">
        <f>+VLOOKUP(C1736,[2]Hoja1!$A$1:$B$138,2,0)</f>
        <v>APROBAR</v>
      </c>
      <c r="M1736">
        <v>1</v>
      </c>
      <c r="N1736" t="e">
        <v>#N/A</v>
      </c>
    </row>
    <row r="1737" spans="1:14" ht="15" customHeight="1" x14ac:dyDescent="0.3">
      <c r="A1737" s="3">
        <v>1209660208</v>
      </c>
      <c r="B1737" s="3" t="s">
        <v>1944</v>
      </c>
      <c r="C1737" s="3" t="s">
        <v>1945</v>
      </c>
      <c r="D1737" s="4">
        <v>46307.457777777803</v>
      </c>
      <c r="E1737" s="5" t="s">
        <v>10</v>
      </c>
      <c r="F1737" s="5" t="s">
        <v>17</v>
      </c>
      <c r="G1737" s="5">
        <v>6</v>
      </c>
      <c r="H1737" s="6" t="s">
        <v>12</v>
      </c>
      <c r="I1737" t="s">
        <v>1966</v>
      </c>
      <c r="J1737" t="s">
        <v>2480</v>
      </c>
      <c r="K1737" t="str">
        <f>+VLOOKUP(C1737,'[1]TIENDAS 2025'!$A$1:$C$143,3,0)</f>
        <v>nocturna</v>
      </c>
      <c r="L1737" t="str">
        <f>+VLOOKUP(C1737,[2]Hoja1!$A$1:$B$138,2,0)</f>
        <v>APROBAR</v>
      </c>
      <c r="M1737">
        <v>1</v>
      </c>
      <c r="N1737" t="e">
        <v>#N/A</v>
      </c>
    </row>
    <row r="1738" spans="1:14" ht="15" customHeight="1" x14ac:dyDescent="0.3">
      <c r="A1738" s="3">
        <v>8209660307</v>
      </c>
      <c r="B1738" s="3" t="s">
        <v>1961</v>
      </c>
      <c r="C1738" s="3" t="s">
        <v>1962</v>
      </c>
      <c r="D1738" s="4">
        <v>46307.457800925898</v>
      </c>
      <c r="E1738" s="5" t="s">
        <v>10</v>
      </c>
      <c r="F1738" s="5" t="s">
        <v>16</v>
      </c>
      <c r="G1738" s="5">
        <v>1</v>
      </c>
      <c r="H1738" s="8" t="s">
        <v>12</v>
      </c>
      <c r="I1738" t="s">
        <v>1967</v>
      </c>
      <c r="K1738" t="str">
        <f>+VLOOKUP(C1738,'[1]TIENDAS 2025'!$A$1:$C$143,3,0)</f>
        <v>departamental</v>
      </c>
      <c r="L1738" t="str">
        <f>+VLOOKUP(C1738,[2]Hoja1!$A$1:$B$138,2,0)</f>
        <v>APROBAR</v>
      </c>
      <c r="M1738">
        <v>1</v>
      </c>
      <c r="N1738" t="e">
        <v>#N/A</v>
      </c>
    </row>
    <row r="1739" spans="1:14" ht="15" customHeight="1" x14ac:dyDescent="0.3">
      <c r="A1739" s="3">
        <v>1209660214</v>
      </c>
      <c r="B1739" s="3" t="s">
        <v>1944</v>
      </c>
      <c r="C1739" s="3" t="s">
        <v>1945</v>
      </c>
      <c r="D1739" s="4">
        <v>46307.457812499997</v>
      </c>
      <c r="E1739" s="5" t="s">
        <v>10</v>
      </c>
      <c r="F1739" s="5" t="s">
        <v>17</v>
      </c>
      <c r="G1739" s="5">
        <v>20</v>
      </c>
      <c r="H1739" s="6" t="s">
        <v>12</v>
      </c>
      <c r="I1739" t="s">
        <v>1968</v>
      </c>
      <c r="J1739" t="s">
        <v>2480</v>
      </c>
      <c r="K1739" t="str">
        <f>+VLOOKUP(C1739,'[1]TIENDAS 2025'!$A$1:$C$143,3,0)</f>
        <v>nocturna</v>
      </c>
      <c r="L1739" t="str">
        <f>+VLOOKUP(C1739,[2]Hoja1!$A$1:$B$138,2,0)</f>
        <v>APROBAR</v>
      </c>
      <c r="M1739">
        <v>1</v>
      </c>
      <c r="N1739" t="e">
        <v>#N/A</v>
      </c>
    </row>
    <row r="1740" spans="1:14" ht="15" customHeight="1" x14ac:dyDescent="0.3">
      <c r="A1740" s="3">
        <v>1209660283</v>
      </c>
      <c r="B1740" s="3" t="s">
        <v>1952</v>
      </c>
      <c r="C1740" s="3" t="s">
        <v>1953</v>
      </c>
      <c r="D1740" s="4">
        <v>46307.457824074103</v>
      </c>
      <c r="E1740" s="5" t="s">
        <v>10</v>
      </c>
      <c r="F1740" s="5" t="s">
        <v>11</v>
      </c>
      <c r="G1740" s="5">
        <v>4</v>
      </c>
      <c r="H1740" s="6" t="s">
        <v>12</v>
      </c>
      <c r="I1740" t="s">
        <v>1969</v>
      </c>
      <c r="J1740" t="s">
        <v>2480</v>
      </c>
      <c r="K1740" t="str">
        <f>+VLOOKUP(C1740,'[1]TIENDAS 2025'!$A$1:$C$143,3,0)</f>
        <v>departamental</v>
      </c>
      <c r="L1740" t="str">
        <f>+VLOOKUP(C1740,[2]Hoja1!$A$1:$B$138,2,0)</f>
        <v>APROBAR</v>
      </c>
      <c r="M1740">
        <v>1</v>
      </c>
      <c r="N1740" t="e">
        <v>#N/A</v>
      </c>
    </row>
    <row r="1741" spans="1:14" ht="15" customHeight="1" x14ac:dyDescent="0.3">
      <c r="A1741" s="3">
        <v>1209660311</v>
      </c>
      <c r="B1741" s="3" t="s">
        <v>1961</v>
      </c>
      <c r="C1741" s="3" t="s">
        <v>1962</v>
      </c>
      <c r="D1741" s="4">
        <v>46307.457847222198</v>
      </c>
      <c r="E1741" s="5" t="s">
        <v>10</v>
      </c>
      <c r="F1741" s="5" t="s">
        <v>11</v>
      </c>
      <c r="G1741" s="5">
        <v>5</v>
      </c>
      <c r="H1741" s="6" t="s">
        <v>12</v>
      </c>
      <c r="I1741" t="s">
        <v>1970</v>
      </c>
      <c r="J1741" t="s">
        <v>2480</v>
      </c>
      <c r="K1741" t="str">
        <f>+VLOOKUP(C1741,'[1]TIENDAS 2025'!$A$1:$C$143,3,0)</f>
        <v>departamental</v>
      </c>
      <c r="L1741" t="str">
        <f>+VLOOKUP(C1741,[2]Hoja1!$A$1:$B$138,2,0)</f>
        <v>APROBAR</v>
      </c>
      <c r="M1741">
        <v>1</v>
      </c>
      <c r="N1741" t="e">
        <v>#N/A</v>
      </c>
    </row>
    <row r="1742" spans="1:14" ht="15" customHeight="1" x14ac:dyDescent="0.3">
      <c r="A1742" s="3">
        <v>1209660287</v>
      </c>
      <c r="B1742" s="3" t="s">
        <v>1952</v>
      </c>
      <c r="C1742" s="3" t="s">
        <v>1953</v>
      </c>
      <c r="D1742" s="4">
        <v>46307.457858796297</v>
      </c>
      <c r="E1742" s="5" t="s">
        <v>10</v>
      </c>
      <c r="F1742" s="5" t="s">
        <v>11</v>
      </c>
      <c r="G1742" s="5">
        <v>24</v>
      </c>
      <c r="H1742" s="6" t="s">
        <v>12</v>
      </c>
      <c r="I1742" t="s">
        <v>1971</v>
      </c>
      <c r="J1742" t="s">
        <v>2480</v>
      </c>
      <c r="K1742" t="str">
        <f>+VLOOKUP(C1742,'[1]TIENDAS 2025'!$A$1:$C$143,3,0)</f>
        <v>departamental</v>
      </c>
      <c r="L1742" t="str">
        <f>+VLOOKUP(C1742,[2]Hoja1!$A$1:$B$138,2,0)</f>
        <v>APROBAR</v>
      </c>
      <c r="M1742">
        <v>1</v>
      </c>
      <c r="N1742" t="e">
        <v>#N/A</v>
      </c>
    </row>
    <row r="1743" spans="1:14" ht="15" customHeight="1" x14ac:dyDescent="0.3">
      <c r="A1743" s="3">
        <v>1209660243</v>
      </c>
      <c r="B1743" s="3" t="s">
        <v>1947</v>
      </c>
      <c r="C1743" s="3" t="s">
        <v>1948</v>
      </c>
      <c r="D1743" s="4">
        <v>46307.4578819444</v>
      </c>
      <c r="E1743" s="5" t="s">
        <v>10</v>
      </c>
      <c r="F1743" s="5" t="s">
        <v>11</v>
      </c>
      <c r="G1743" s="5">
        <v>21</v>
      </c>
      <c r="H1743" s="6" t="s">
        <v>12</v>
      </c>
      <c r="I1743" t="s">
        <v>1972</v>
      </c>
      <c r="J1743" t="s">
        <v>2480</v>
      </c>
      <c r="K1743" t="str">
        <f>+VLOOKUP(C1743,'[1]TIENDAS 2025'!$A$1:$C$143,3,0)</f>
        <v>nocturna</v>
      </c>
      <c r="L1743" t="str">
        <f>+VLOOKUP(C1743,[2]Hoja1!$A$1:$B$138,2,0)</f>
        <v>APROBAR</v>
      </c>
      <c r="M1743">
        <v>1</v>
      </c>
      <c r="N1743" t="e">
        <v>#N/A</v>
      </c>
    </row>
    <row r="1744" spans="1:14" ht="15" customHeight="1" x14ac:dyDescent="0.3">
      <c r="A1744" s="3">
        <v>1209660315</v>
      </c>
      <c r="B1744" s="3" t="s">
        <v>1961</v>
      </c>
      <c r="C1744" s="3" t="s">
        <v>1962</v>
      </c>
      <c r="D1744" s="4">
        <v>46307.457905092597</v>
      </c>
      <c r="E1744" s="5" t="s">
        <v>10</v>
      </c>
      <c r="F1744" s="5" t="s">
        <v>11</v>
      </c>
      <c r="G1744" s="5">
        <v>8</v>
      </c>
      <c r="H1744" s="6" t="s">
        <v>12</v>
      </c>
      <c r="I1744" t="s">
        <v>1973</v>
      </c>
      <c r="J1744" t="s">
        <v>2480</v>
      </c>
      <c r="K1744" t="str">
        <f>+VLOOKUP(C1744,'[1]TIENDAS 2025'!$A$1:$C$143,3,0)</f>
        <v>departamental</v>
      </c>
      <c r="L1744" t="str">
        <f>+VLOOKUP(C1744,[2]Hoja1!$A$1:$B$138,2,0)</f>
        <v>APROBAR</v>
      </c>
      <c r="M1744">
        <v>1</v>
      </c>
      <c r="N1744" t="e">
        <v>#N/A</v>
      </c>
    </row>
    <row r="1745" spans="1:14" ht="15" customHeight="1" x14ac:dyDescent="0.3">
      <c r="A1745" s="3">
        <v>8209660305</v>
      </c>
      <c r="B1745" s="3" t="s">
        <v>1961</v>
      </c>
      <c r="C1745" s="3" t="s">
        <v>1962</v>
      </c>
      <c r="D1745" s="4">
        <v>46307.457905092597</v>
      </c>
      <c r="E1745" s="5" t="s">
        <v>10</v>
      </c>
      <c r="F1745" s="5" t="s">
        <v>16</v>
      </c>
      <c r="G1745" s="5">
        <v>1</v>
      </c>
      <c r="H1745" s="8" t="s">
        <v>12</v>
      </c>
      <c r="I1745" t="s">
        <v>1974</v>
      </c>
      <c r="K1745" t="str">
        <f>+VLOOKUP(C1745,'[1]TIENDAS 2025'!$A$1:$C$143,3,0)</f>
        <v>departamental</v>
      </c>
      <c r="L1745" t="str">
        <f>+VLOOKUP(C1745,[2]Hoja1!$A$1:$B$138,2,0)</f>
        <v>APROBAR</v>
      </c>
      <c r="M1745">
        <v>1</v>
      </c>
      <c r="N1745" t="e">
        <v>#N/A</v>
      </c>
    </row>
    <row r="1746" spans="1:14" ht="15" customHeight="1" x14ac:dyDescent="0.3">
      <c r="A1746" s="3">
        <v>1209660239</v>
      </c>
      <c r="B1746" s="3" t="s">
        <v>1947</v>
      </c>
      <c r="C1746" s="3" t="s">
        <v>1948</v>
      </c>
      <c r="D1746" s="4">
        <v>46307.457916666703</v>
      </c>
      <c r="E1746" s="5" t="s">
        <v>10</v>
      </c>
      <c r="F1746" s="5" t="s">
        <v>11</v>
      </c>
      <c r="G1746" s="5">
        <v>5</v>
      </c>
      <c r="H1746" s="6" t="s">
        <v>12</v>
      </c>
      <c r="I1746" t="s">
        <v>1975</v>
      </c>
      <c r="J1746" t="s">
        <v>2480</v>
      </c>
      <c r="K1746" t="str">
        <f>+VLOOKUP(C1746,'[1]TIENDAS 2025'!$A$1:$C$143,3,0)</f>
        <v>nocturna</v>
      </c>
      <c r="L1746" t="str">
        <f>+VLOOKUP(C1746,[2]Hoja1!$A$1:$B$138,2,0)</f>
        <v>APROBAR</v>
      </c>
      <c r="M1746">
        <v>1</v>
      </c>
      <c r="N1746" t="e">
        <v>#N/A</v>
      </c>
    </row>
    <row r="1747" spans="1:14" ht="15" customHeight="1" x14ac:dyDescent="0.3">
      <c r="A1747" s="3">
        <v>1209660240</v>
      </c>
      <c r="B1747" s="3" t="s">
        <v>1947</v>
      </c>
      <c r="C1747" s="3" t="s">
        <v>1948</v>
      </c>
      <c r="D1747" s="4">
        <v>46307.457939814798</v>
      </c>
      <c r="E1747" s="5" t="s">
        <v>10</v>
      </c>
      <c r="F1747" s="5" t="s">
        <v>11</v>
      </c>
      <c r="G1747" s="5">
        <v>8</v>
      </c>
      <c r="H1747" s="6" t="s">
        <v>12</v>
      </c>
      <c r="I1747" t="s">
        <v>1976</v>
      </c>
      <c r="J1747" t="s">
        <v>2480</v>
      </c>
      <c r="K1747" t="str">
        <f>+VLOOKUP(C1747,'[1]TIENDAS 2025'!$A$1:$C$143,3,0)</f>
        <v>nocturna</v>
      </c>
      <c r="L1747" t="str">
        <f>+VLOOKUP(C1747,[2]Hoja1!$A$1:$B$138,2,0)</f>
        <v>APROBAR</v>
      </c>
      <c r="M1747">
        <v>1</v>
      </c>
      <c r="N1747" t="e">
        <v>#N/A</v>
      </c>
    </row>
    <row r="1748" spans="1:14" ht="15" customHeight="1" x14ac:dyDescent="0.3">
      <c r="A1748" s="3">
        <v>1209660272</v>
      </c>
      <c r="B1748" s="3" t="s">
        <v>1952</v>
      </c>
      <c r="C1748" s="3" t="s">
        <v>1953</v>
      </c>
      <c r="D1748" s="4">
        <v>46307.457951388897</v>
      </c>
      <c r="E1748" s="5" t="s">
        <v>10</v>
      </c>
      <c r="F1748" s="5" t="s">
        <v>11</v>
      </c>
      <c r="G1748" s="5">
        <v>14</v>
      </c>
      <c r="H1748" s="6" t="s">
        <v>12</v>
      </c>
      <c r="I1748" t="s">
        <v>1977</v>
      </c>
      <c r="J1748" t="s">
        <v>2480</v>
      </c>
      <c r="K1748" t="str">
        <f>+VLOOKUP(C1748,'[1]TIENDAS 2025'!$A$1:$C$143,3,0)</f>
        <v>departamental</v>
      </c>
      <c r="L1748" t="str">
        <f>+VLOOKUP(C1748,[2]Hoja1!$A$1:$B$138,2,0)</f>
        <v>APROBAR</v>
      </c>
      <c r="M1748">
        <v>1</v>
      </c>
      <c r="N1748" t="e">
        <v>#N/A</v>
      </c>
    </row>
    <row r="1749" spans="1:14" ht="15" customHeight="1" x14ac:dyDescent="0.3">
      <c r="A1749" s="3">
        <v>8209660276</v>
      </c>
      <c r="B1749" s="3" t="s">
        <v>1952</v>
      </c>
      <c r="C1749" s="3" t="s">
        <v>1953</v>
      </c>
      <c r="D1749" s="4">
        <v>46307.457974536999</v>
      </c>
      <c r="E1749" s="5" t="s">
        <v>10</v>
      </c>
      <c r="F1749" s="5" t="s">
        <v>16</v>
      </c>
      <c r="G1749" s="5">
        <v>3</v>
      </c>
      <c r="H1749" s="8" t="s">
        <v>12</v>
      </c>
      <c r="I1749" t="s">
        <v>1978</v>
      </c>
      <c r="K1749" t="str">
        <f>+VLOOKUP(C1749,'[1]TIENDAS 2025'!$A$1:$C$143,3,0)</f>
        <v>departamental</v>
      </c>
      <c r="L1749" t="str">
        <f>+VLOOKUP(C1749,[2]Hoja1!$A$1:$B$138,2,0)</f>
        <v>APROBAR</v>
      </c>
      <c r="M1749">
        <v>1</v>
      </c>
      <c r="N1749" t="e">
        <v>#N/A</v>
      </c>
    </row>
    <row r="1750" spans="1:14" ht="15" customHeight="1" x14ac:dyDescent="0.3">
      <c r="A1750" s="3">
        <v>8209660206</v>
      </c>
      <c r="B1750" s="3" t="s">
        <v>1944</v>
      </c>
      <c r="C1750" s="3" t="s">
        <v>1945</v>
      </c>
      <c r="D1750" s="4">
        <v>46307.457974536999</v>
      </c>
      <c r="E1750" s="5" t="s">
        <v>10</v>
      </c>
      <c r="F1750" s="5" t="s">
        <v>16</v>
      </c>
      <c r="G1750" s="5">
        <v>5</v>
      </c>
      <c r="H1750" s="8" t="s">
        <v>12</v>
      </c>
      <c r="I1750" t="s">
        <v>1979</v>
      </c>
      <c r="K1750" t="str">
        <f>+VLOOKUP(C1750,'[1]TIENDAS 2025'!$A$1:$C$143,3,0)</f>
        <v>nocturna</v>
      </c>
      <c r="L1750" t="str">
        <f>+VLOOKUP(C1750,[2]Hoja1!$A$1:$B$138,2,0)</f>
        <v>APROBAR</v>
      </c>
      <c r="M1750">
        <v>1</v>
      </c>
      <c r="N1750" t="e">
        <v>#N/A</v>
      </c>
    </row>
    <row r="1751" spans="1:14" ht="15" customHeight="1" x14ac:dyDescent="0.3">
      <c r="A1751" s="3">
        <v>1209660213</v>
      </c>
      <c r="B1751" s="3" t="s">
        <v>1944</v>
      </c>
      <c r="C1751" s="3" t="s">
        <v>1945</v>
      </c>
      <c r="D1751" s="4">
        <v>46307.457986111098</v>
      </c>
      <c r="E1751" s="5" t="s">
        <v>10</v>
      </c>
      <c r="F1751" s="5" t="s">
        <v>11</v>
      </c>
      <c r="G1751" s="5">
        <v>32</v>
      </c>
      <c r="H1751" s="6" t="s">
        <v>12</v>
      </c>
      <c r="I1751" t="s">
        <v>1980</v>
      </c>
      <c r="J1751" t="s">
        <v>2480</v>
      </c>
      <c r="K1751" t="str">
        <f>+VLOOKUP(C1751,'[1]TIENDAS 2025'!$A$1:$C$143,3,0)</f>
        <v>nocturna</v>
      </c>
      <c r="L1751" t="str">
        <f>+VLOOKUP(C1751,[2]Hoja1!$A$1:$B$138,2,0)</f>
        <v>APROBAR</v>
      </c>
      <c r="M1751">
        <v>1</v>
      </c>
      <c r="N1751" t="e">
        <v>#N/A</v>
      </c>
    </row>
    <row r="1752" spans="1:14" ht="15" customHeight="1" x14ac:dyDescent="0.3">
      <c r="A1752" s="3">
        <v>8209660280</v>
      </c>
      <c r="B1752" s="3" t="s">
        <v>1952</v>
      </c>
      <c r="C1752" s="3" t="s">
        <v>1953</v>
      </c>
      <c r="D1752" s="4">
        <v>46307.458009259302</v>
      </c>
      <c r="E1752" s="5" t="s">
        <v>10</v>
      </c>
      <c r="F1752" s="5" t="s">
        <v>16</v>
      </c>
      <c r="G1752" s="5">
        <v>42</v>
      </c>
      <c r="H1752" s="8" t="s">
        <v>12</v>
      </c>
      <c r="I1752" t="s">
        <v>1981</v>
      </c>
      <c r="K1752" t="str">
        <f>+VLOOKUP(C1752,'[1]TIENDAS 2025'!$A$1:$C$143,3,0)</f>
        <v>departamental</v>
      </c>
      <c r="L1752" t="str">
        <f>+VLOOKUP(C1752,[2]Hoja1!$A$1:$B$138,2,0)</f>
        <v>APROBAR</v>
      </c>
      <c r="M1752">
        <v>1</v>
      </c>
      <c r="N1752" t="e">
        <v>#N/A</v>
      </c>
    </row>
    <row r="1753" spans="1:14" ht="15" customHeight="1" x14ac:dyDescent="0.3">
      <c r="A1753" s="3">
        <v>1209660316</v>
      </c>
      <c r="B1753" s="3" t="s">
        <v>1961</v>
      </c>
      <c r="C1753" s="3" t="s">
        <v>1962</v>
      </c>
      <c r="D1753" s="4">
        <v>46307.458020833299</v>
      </c>
      <c r="E1753" s="5" t="s">
        <v>10</v>
      </c>
      <c r="F1753" s="5" t="s">
        <v>17</v>
      </c>
      <c r="G1753" s="5">
        <v>12</v>
      </c>
      <c r="H1753" s="6" t="s">
        <v>12</v>
      </c>
      <c r="I1753" t="s">
        <v>1982</v>
      </c>
      <c r="J1753" t="s">
        <v>2480</v>
      </c>
      <c r="K1753" t="str">
        <f>+VLOOKUP(C1753,'[1]TIENDAS 2025'!$A$1:$C$143,3,0)</f>
        <v>departamental</v>
      </c>
      <c r="L1753" t="str">
        <f>+VLOOKUP(C1753,[2]Hoja1!$A$1:$B$138,2,0)</f>
        <v>APROBAR</v>
      </c>
      <c r="M1753">
        <v>1</v>
      </c>
      <c r="N1753" t="e">
        <v>#N/A</v>
      </c>
    </row>
    <row r="1754" spans="1:14" ht="15" customHeight="1" x14ac:dyDescent="0.3">
      <c r="A1754" s="3">
        <v>1209660293</v>
      </c>
      <c r="B1754" s="3" t="s">
        <v>1952</v>
      </c>
      <c r="C1754" s="3" t="s">
        <v>1953</v>
      </c>
      <c r="D1754" s="4">
        <v>46307.458043981504</v>
      </c>
      <c r="E1754" s="5" t="s">
        <v>10</v>
      </c>
      <c r="F1754" s="5" t="s">
        <v>11</v>
      </c>
      <c r="G1754" s="5">
        <v>1</v>
      </c>
      <c r="H1754" s="6" t="s">
        <v>12</v>
      </c>
      <c r="I1754" t="s">
        <v>1983</v>
      </c>
      <c r="J1754" t="s">
        <v>2480</v>
      </c>
      <c r="K1754" t="str">
        <f>+VLOOKUP(C1754,'[1]TIENDAS 2025'!$A$1:$C$143,3,0)</f>
        <v>departamental</v>
      </c>
      <c r="L1754" t="str">
        <f>+VLOOKUP(C1754,[2]Hoja1!$A$1:$B$138,2,0)</f>
        <v>APROBAR</v>
      </c>
      <c r="M1754">
        <v>1</v>
      </c>
      <c r="N1754" t="e">
        <v>#N/A</v>
      </c>
    </row>
    <row r="1755" spans="1:14" ht="15" customHeight="1" x14ac:dyDescent="0.3">
      <c r="A1755" s="3">
        <v>8209660202</v>
      </c>
      <c r="B1755" s="3" t="s">
        <v>1944</v>
      </c>
      <c r="C1755" s="3" t="s">
        <v>1945</v>
      </c>
      <c r="D1755" s="4">
        <v>46307.458043981504</v>
      </c>
      <c r="E1755" s="5" t="s">
        <v>10</v>
      </c>
      <c r="F1755" s="5" t="s">
        <v>16</v>
      </c>
      <c r="G1755" s="5">
        <v>6</v>
      </c>
      <c r="H1755" s="8" t="s">
        <v>12</v>
      </c>
      <c r="I1755" t="s">
        <v>1984</v>
      </c>
      <c r="K1755" t="str">
        <f>+VLOOKUP(C1755,'[1]TIENDAS 2025'!$A$1:$C$143,3,0)</f>
        <v>nocturna</v>
      </c>
      <c r="L1755" t="str">
        <f>+VLOOKUP(C1755,[2]Hoja1!$A$1:$B$138,2,0)</f>
        <v>APROBAR</v>
      </c>
      <c r="M1755">
        <v>1</v>
      </c>
      <c r="N1755" t="e">
        <v>#N/A</v>
      </c>
    </row>
    <row r="1756" spans="1:14" ht="15" customHeight="1" x14ac:dyDescent="0.3">
      <c r="A1756" s="3">
        <v>8209660205</v>
      </c>
      <c r="B1756" s="3" t="s">
        <v>1944</v>
      </c>
      <c r="C1756" s="3" t="s">
        <v>1945</v>
      </c>
      <c r="D1756" s="4">
        <v>46307.458067129599</v>
      </c>
      <c r="E1756" s="5" t="s">
        <v>10</v>
      </c>
      <c r="F1756" s="5" t="s">
        <v>16</v>
      </c>
      <c r="G1756" s="5">
        <v>1</v>
      </c>
      <c r="H1756" s="8" t="s">
        <v>12</v>
      </c>
      <c r="I1756" t="s">
        <v>1985</v>
      </c>
      <c r="K1756" t="str">
        <f>+VLOOKUP(C1756,'[1]TIENDAS 2025'!$A$1:$C$143,3,0)</f>
        <v>nocturna</v>
      </c>
      <c r="L1756" t="str">
        <f>+VLOOKUP(C1756,[2]Hoja1!$A$1:$B$138,2,0)</f>
        <v>APROBAR</v>
      </c>
      <c r="M1756">
        <v>1</v>
      </c>
      <c r="N1756" t="e">
        <v>#N/A</v>
      </c>
    </row>
    <row r="1757" spans="1:14" ht="15" customHeight="1" x14ac:dyDescent="0.3">
      <c r="A1757" s="3">
        <v>1209660247</v>
      </c>
      <c r="B1757" s="3" t="s">
        <v>1947</v>
      </c>
      <c r="C1757" s="3" t="s">
        <v>1948</v>
      </c>
      <c r="D1757" s="4">
        <v>46307.458090277803</v>
      </c>
      <c r="E1757" s="5" t="s">
        <v>10</v>
      </c>
      <c r="F1757" s="5" t="s">
        <v>17</v>
      </c>
      <c r="G1757" s="5">
        <v>40</v>
      </c>
      <c r="H1757" s="6" t="s">
        <v>12</v>
      </c>
      <c r="I1757" t="s">
        <v>1986</v>
      </c>
      <c r="J1757" t="s">
        <v>2480</v>
      </c>
      <c r="K1757" t="str">
        <f>+VLOOKUP(C1757,'[1]TIENDAS 2025'!$A$1:$C$143,3,0)</f>
        <v>nocturna</v>
      </c>
      <c r="L1757" t="str">
        <f>+VLOOKUP(C1757,[2]Hoja1!$A$1:$B$138,2,0)</f>
        <v>APROBAR</v>
      </c>
      <c r="M1757">
        <v>1</v>
      </c>
      <c r="N1757" t="e">
        <v>#N/A</v>
      </c>
    </row>
    <row r="1758" spans="1:14" ht="15" customHeight="1" x14ac:dyDescent="0.3">
      <c r="A1758" s="3">
        <v>8209660279</v>
      </c>
      <c r="B1758" s="3" t="s">
        <v>1952</v>
      </c>
      <c r="C1758" s="3" t="s">
        <v>1953</v>
      </c>
      <c r="D1758" s="4">
        <v>46307.458101851902</v>
      </c>
      <c r="E1758" s="5" t="s">
        <v>10</v>
      </c>
      <c r="F1758" s="5" t="s">
        <v>16</v>
      </c>
      <c r="G1758" s="5">
        <v>1</v>
      </c>
      <c r="H1758" s="8" t="s">
        <v>12</v>
      </c>
      <c r="I1758" t="s">
        <v>1987</v>
      </c>
      <c r="K1758" t="str">
        <f>+VLOOKUP(C1758,'[1]TIENDAS 2025'!$A$1:$C$143,3,0)</f>
        <v>departamental</v>
      </c>
      <c r="L1758" t="str">
        <f>+VLOOKUP(C1758,[2]Hoja1!$A$1:$B$138,2,0)</f>
        <v>APROBAR</v>
      </c>
      <c r="M1758">
        <v>1</v>
      </c>
      <c r="N1758" t="e">
        <v>#N/A</v>
      </c>
    </row>
    <row r="1759" spans="1:14" ht="15" customHeight="1" x14ac:dyDescent="0.3">
      <c r="A1759" s="3">
        <v>8209660308</v>
      </c>
      <c r="B1759" s="3" t="s">
        <v>1961</v>
      </c>
      <c r="C1759" s="3" t="s">
        <v>1962</v>
      </c>
      <c r="D1759" s="4">
        <v>46307.458113425899</v>
      </c>
      <c r="E1759" s="5" t="s">
        <v>10</v>
      </c>
      <c r="F1759" s="5" t="s">
        <v>16</v>
      </c>
      <c r="G1759" s="5">
        <v>1</v>
      </c>
      <c r="H1759" s="8" t="s">
        <v>12</v>
      </c>
      <c r="I1759" t="s">
        <v>1988</v>
      </c>
      <c r="K1759" t="str">
        <f>+VLOOKUP(C1759,'[1]TIENDAS 2025'!$A$1:$C$143,3,0)</f>
        <v>departamental</v>
      </c>
      <c r="L1759" t="str">
        <f>+VLOOKUP(C1759,[2]Hoja1!$A$1:$B$138,2,0)</f>
        <v>APROBAR</v>
      </c>
      <c r="M1759">
        <v>1</v>
      </c>
      <c r="N1759" t="e">
        <v>#N/A</v>
      </c>
    </row>
    <row r="1760" spans="1:14" ht="15" customHeight="1" x14ac:dyDescent="0.3">
      <c r="A1760" s="3">
        <v>1209660215</v>
      </c>
      <c r="B1760" s="3" t="s">
        <v>1944</v>
      </c>
      <c r="C1760" s="3" t="s">
        <v>1945</v>
      </c>
      <c r="D1760" s="4">
        <v>46307.458136574103</v>
      </c>
      <c r="E1760" s="5" t="s">
        <v>10</v>
      </c>
      <c r="F1760" s="5" t="s">
        <v>11</v>
      </c>
      <c r="G1760" s="5">
        <v>51</v>
      </c>
      <c r="H1760" s="6" t="s">
        <v>12</v>
      </c>
      <c r="I1760" t="s">
        <v>1989</v>
      </c>
      <c r="J1760" t="s">
        <v>2480</v>
      </c>
      <c r="K1760" t="str">
        <f>+VLOOKUP(C1760,'[1]TIENDAS 2025'!$A$1:$C$143,3,0)</f>
        <v>nocturna</v>
      </c>
      <c r="L1760" t="str">
        <f>+VLOOKUP(C1760,[2]Hoja1!$A$1:$B$138,2,0)</f>
        <v>APROBAR</v>
      </c>
      <c r="M1760">
        <v>1</v>
      </c>
      <c r="N1760" t="e">
        <v>#N/A</v>
      </c>
    </row>
    <row r="1761" spans="1:14" ht="15" customHeight="1" x14ac:dyDescent="0.3">
      <c r="A1761" s="3">
        <v>1209660288</v>
      </c>
      <c r="B1761" s="3" t="s">
        <v>1952</v>
      </c>
      <c r="C1761" s="3" t="s">
        <v>1953</v>
      </c>
      <c r="D1761" s="4">
        <v>46307.458148148202</v>
      </c>
      <c r="E1761" s="5" t="s">
        <v>10</v>
      </c>
      <c r="F1761" s="5" t="s">
        <v>17</v>
      </c>
      <c r="G1761" s="5">
        <v>24</v>
      </c>
      <c r="H1761" s="6" t="s">
        <v>12</v>
      </c>
      <c r="I1761" t="s">
        <v>1990</v>
      </c>
      <c r="J1761" t="s">
        <v>2480</v>
      </c>
      <c r="K1761" t="str">
        <f>+VLOOKUP(C1761,'[1]TIENDAS 2025'!$A$1:$C$143,3,0)</f>
        <v>departamental</v>
      </c>
      <c r="L1761" t="str">
        <f>+VLOOKUP(C1761,[2]Hoja1!$A$1:$B$138,2,0)</f>
        <v>APROBAR</v>
      </c>
      <c r="M1761">
        <v>1</v>
      </c>
      <c r="N1761" t="e">
        <v>#N/A</v>
      </c>
    </row>
    <row r="1762" spans="1:14" ht="15" customHeight="1" x14ac:dyDescent="0.3">
      <c r="A1762" s="3">
        <v>8209660235</v>
      </c>
      <c r="B1762" s="3" t="s">
        <v>1947</v>
      </c>
      <c r="C1762" s="3" t="s">
        <v>1948</v>
      </c>
      <c r="D1762" s="4">
        <v>46307.458159722199</v>
      </c>
      <c r="E1762" s="5" t="s">
        <v>10</v>
      </c>
      <c r="F1762" s="5" t="s">
        <v>16</v>
      </c>
      <c r="G1762" s="5">
        <v>11</v>
      </c>
      <c r="H1762" s="8" t="s">
        <v>12</v>
      </c>
      <c r="I1762" t="s">
        <v>1991</v>
      </c>
      <c r="K1762" t="str">
        <f>+VLOOKUP(C1762,'[1]TIENDAS 2025'!$A$1:$C$143,3,0)</f>
        <v>nocturna</v>
      </c>
      <c r="L1762" t="str">
        <f>+VLOOKUP(C1762,[2]Hoja1!$A$1:$B$138,2,0)</f>
        <v>APROBAR</v>
      </c>
      <c r="M1762">
        <v>1</v>
      </c>
      <c r="N1762" t="e">
        <v>#N/A</v>
      </c>
    </row>
    <row r="1763" spans="1:14" ht="15" customHeight="1" x14ac:dyDescent="0.3">
      <c r="A1763" s="3">
        <v>8209660238</v>
      </c>
      <c r="B1763" s="3" t="s">
        <v>1947</v>
      </c>
      <c r="C1763" s="3" t="s">
        <v>1948</v>
      </c>
      <c r="D1763" s="4">
        <v>46307.458171296297</v>
      </c>
      <c r="E1763" s="5" t="s">
        <v>10</v>
      </c>
      <c r="F1763" s="5" t="s">
        <v>16</v>
      </c>
      <c r="G1763" s="5">
        <v>3</v>
      </c>
      <c r="H1763" s="8" t="s">
        <v>12</v>
      </c>
      <c r="I1763" t="s">
        <v>1992</v>
      </c>
      <c r="K1763" t="str">
        <f>+VLOOKUP(C1763,'[1]TIENDAS 2025'!$A$1:$C$143,3,0)</f>
        <v>nocturna</v>
      </c>
      <c r="L1763" t="str">
        <f>+VLOOKUP(C1763,[2]Hoja1!$A$1:$B$138,2,0)</f>
        <v>APROBAR</v>
      </c>
      <c r="M1763">
        <v>1</v>
      </c>
      <c r="N1763" t="e">
        <v>#N/A</v>
      </c>
    </row>
    <row r="1764" spans="1:14" ht="15" customHeight="1" x14ac:dyDescent="0.3">
      <c r="A1764" s="3">
        <v>1209660289</v>
      </c>
      <c r="B1764" s="3" t="s">
        <v>1952</v>
      </c>
      <c r="C1764" s="3" t="s">
        <v>1953</v>
      </c>
      <c r="D1764" s="4">
        <v>46307.458182870403</v>
      </c>
      <c r="E1764" s="5" t="s">
        <v>10</v>
      </c>
      <c r="F1764" s="5" t="s">
        <v>17</v>
      </c>
      <c r="G1764" s="5">
        <v>37</v>
      </c>
      <c r="H1764" s="6" t="s">
        <v>12</v>
      </c>
      <c r="I1764" t="s">
        <v>1993</v>
      </c>
      <c r="J1764" t="s">
        <v>2480</v>
      </c>
      <c r="K1764" t="str">
        <f>+VLOOKUP(C1764,'[1]TIENDAS 2025'!$A$1:$C$143,3,0)</f>
        <v>departamental</v>
      </c>
      <c r="L1764" t="str">
        <f>+VLOOKUP(C1764,[2]Hoja1!$A$1:$B$138,2,0)</f>
        <v>APROBAR</v>
      </c>
      <c r="M1764">
        <v>1</v>
      </c>
      <c r="N1764" t="e">
        <v>#N/A</v>
      </c>
    </row>
    <row r="1765" spans="1:14" ht="15" customHeight="1" x14ac:dyDescent="0.3">
      <c r="A1765" s="3">
        <v>8209660207</v>
      </c>
      <c r="B1765" s="3" t="s">
        <v>1944</v>
      </c>
      <c r="C1765" s="3" t="s">
        <v>1945</v>
      </c>
      <c r="D1765" s="4">
        <v>46307.458206018498</v>
      </c>
      <c r="E1765" s="5" t="s">
        <v>10</v>
      </c>
      <c r="F1765" s="5" t="s">
        <v>16</v>
      </c>
      <c r="G1765" s="5">
        <v>6</v>
      </c>
      <c r="H1765" s="8" t="s">
        <v>12</v>
      </c>
      <c r="I1765" t="s">
        <v>1994</v>
      </c>
      <c r="K1765" t="str">
        <f>+VLOOKUP(C1765,'[1]TIENDAS 2025'!$A$1:$C$143,3,0)</f>
        <v>nocturna</v>
      </c>
      <c r="L1765" t="str">
        <f>+VLOOKUP(C1765,[2]Hoja1!$A$1:$B$138,2,0)</f>
        <v>APROBAR</v>
      </c>
      <c r="M1765">
        <v>1</v>
      </c>
      <c r="N1765" t="e">
        <v>#N/A</v>
      </c>
    </row>
    <row r="1766" spans="1:14" ht="15" customHeight="1" x14ac:dyDescent="0.3">
      <c r="A1766" s="3">
        <v>1209660244</v>
      </c>
      <c r="B1766" s="3" t="s">
        <v>1947</v>
      </c>
      <c r="C1766" s="3" t="s">
        <v>1948</v>
      </c>
      <c r="D1766" s="4">
        <v>46307.458229166703</v>
      </c>
      <c r="E1766" s="5" t="s">
        <v>10</v>
      </c>
      <c r="F1766" s="5" t="s">
        <v>17</v>
      </c>
      <c r="G1766" s="5">
        <v>13</v>
      </c>
      <c r="H1766" s="6" t="s">
        <v>12</v>
      </c>
      <c r="I1766" t="s">
        <v>1995</v>
      </c>
      <c r="J1766" t="s">
        <v>2480</v>
      </c>
      <c r="K1766" t="str">
        <f>+VLOOKUP(C1766,'[1]TIENDAS 2025'!$A$1:$C$143,3,0)</f>
        <v>nocturna</v>
      </c>
      <c r="L1766" t="str">
        <f>+VLOOKUP(C1766,[2]Hoja1!$A$1:$B$138,2,0)</f>
        <v>APROBAR</v>
      </c>
      <c r="M1766">
        <v>1</v>
      </c>
      <c r="N1766" t="e">
        <v>#N/A</v>
      </c>
    </row>
    <row r="1767" spans="1:14" ht="15" customHeight="1" x14ac:dyDescent="0.3">
      <c r="A1767" s="3">
        <v>1209660210</v>
      </c>
      <c r="B1767" s="3" t="s">
        <v>1944</v>
      </c>
      <c r="C1767" s="3" t="s">
        <v>1945</v>
      </c>
      <c r="D1767" s="4">
        <v>46307.4582407407</v>
      </c>
      <c r="E1767" s="5" t="s">
        <v>10</v>
      </c>
      <c r="F1767" s="5" t="s">
        <v>11</v>
      </c>
      <c r="G1767" s="5">
        <v>9</v>
      </c>
      <c r="H1767" s="6" t="s">
        <v>12</v>
      </c>
      <c r="I1767" t="s">
        <v>1996</v>
      </c>
      <c r="J1767" t="s">
        <v>2480</v>
      </c>
      <c r="K1767" t="str">
        <f>+VLOOKUP(C1767,'[1]TIENDAS 2025'!$A$1:$C$143,3,0)</f>
        <v>nocturna</v>
      </c>
      <c r="L1767" t="str">
        <f>+VLOOKUP(C1767,[2]Hoja1!$A$1:$B$138,2,0)</f>
        <v>APROBAR</v>
      </c>
      <c r="M1767">
        <v>1</v>
      </c>
      <c r="N1767" t="e">
        <v>#N/A</v>
      </c>
    </row>
    <row r="1768" spans="1:14" ht="15" customHeight="1" x14ac:dyDescent="0.3">
      <c r="A1768" s="3">
        <v>1209660212</v>
      </c>
      <c r="B1768" s="3" t="s">
        <v>1944</v>
      </c>
      <c r="C1768" s="3" t="s">
        <v>1945</v>
      </c>
      <c r="D1768" s="4">
        <v>46307.458252314798</v>
      </c>
      <c r="E1768" s="5" t="s">
        <v>10</v>
      </c>
      <c r="F1768" s="5" t="s">
        <v>11</v>
      </c>
      <c r="G1768" s="5">
        <v>26</v>
      </c>
      <c r="H1768" s="6" t="s">
        <v>12</v>
      </c>
      <c r="I1768" t="s">
        <v>1997</v>
      </c>
      <c r="J1768" t="s">
        <v>2480</v>
      </c>
      <c r="K1768" t="str">
        <f>+VLOOKUP(C1768,'[1]TIENDAS 2025'!$A$1:$C$143,3,0)</f>
        <v>nocturna</v>
      </c>
      <c r="L1768" t="str">
        <f>+VLOOKUP(C1768,[2]Hoja1!$A$1:$B$138,2,0)</f>
        <v>APROBAR</v>
      </c>
      <c r="M1768">
        <v>1</v>
      </c>
      <c r="N1768" t="e">
        <v>#N/A</v>
      </c>
    </row>
    <row r="1769" spans="1:14" ht="15" customHeight="1" x14ac:dyDescent="0.3">
      <c r="A1769" s="3">
        <v>8209660277</v>
      </c>
      <c r="B1769" s="3" t="s">
        <v>1952</v>
      </c>
      <c r="C1769" s="3" t="s">
        <v>1953</v>
      </c>
      <c r="D1769" s="4">
        <v>46307.458263888897</v>
      </c>
      <c r="E1769" s="5" t="s">
        <v>10</v>
      </c>
      <c r="F1769" s="5" t="s">
        <v>16</v>
      </c>
      <c r="G1769" s="5">
        <v>1</v>
      </c>
      <c r="H1769" s="8" t="s">
        <v>12</v>
      </c>
      <c r="I1769" t="s">
        <v>1998</v>
      </c>
      <c r="K1769" t="str">
        <f>+VLOOKUP(C1769,'[1]TIENDAS 2025'!$A$1:$C$143,3,0)</f>
        <v>departamental</v>
      </c>
      <c r="L1769" t="str">
        <f>+VLOOKUP(C1769,[2]Hoja1!$A$1:$B$138,2,0)</f>
        <v>APROBAR</v>
      </c>
      <c r="M1769">
        <v>1</v>
      </c>
      <c r="N1769" t="e">
        <v>#N/A</v>
      </c>
    </row>
    <row r="1770" spans="1:14" ht="15" customHeight="1" x14ac:dyDescent="0.3">
      <c r="A1770" s="3">
        <v>8209660306</v>
      </c>
      <c r="B1770" s="3" t="s">
        <v>1961</v>
      </c>
      <c r="C1770" s="3" t="s">
        <v>1962</v>
      </c>
      <c r="D1770" s="4">
        <v>46307.458275463003</v>
      </c>
      <c r="E1770" s="5" t="s">
        <v>10</v>
      </c>
      <c r="F1770" s="5" t="s">
        <v>16</v>
      </c>
      <c r="G1770" s="5">
        <v>2</v>
      </c>
      <c r="H1770" s="8" t="s">
        <v>12</v>
      </c>
      <c r="I1770" t="s">
        <v>1999</v>
      </c>
      <c r="K1770" t="str">
        <f>+VLOOKUP(C1770,'[1]TIENDAS 2025'!$A$1:$C$143,3,0)</f>
        <v>departamental</v>
      </c>
      <c r="L1770" t="str">
        <f>+VLOOKUP(C1770,[2]Hoja1!$A$1:$B$138,2,0)</f>
        <v>APROBAR</v>
      </c>
      <c r="M1770">
        <v>1</v>
      </c>
      <c r="N1770" t="e">
        <v>#N/A</v>
      </c>
    </row>
    <row r="1771" spans="1:14" ht="15" customHeight="1" x14ac:dyDescent="0.3">
      <c r="A1771" s="3">
        <v>1209660312</v>
      </c>
      <c r="B1771" s="3" t="s">
        <v>1961</v>
      </c>
      <c r="C1771" s="3" t="s">
        <v>1962</v>
      </c>
      <c r="D1771" s="4">
        <v>46307.458298611098</v>
      </c>
      <c r="E1771" s="5" t="s">
        <v>10</v>
      </c>
      <c r="F1771" s="5" t="s">
        <v>11</v>
      </c>
      <c r="G1771" s="5">
        <v>5</v>
      </c>
      <c r="H1771" s="6" t="s">
        <v>12</v>
      </c>
      <c r="I1771" t="s">
        <v>2000</v>
      </c>
      <c r="J1771" t="s">
        <v>2480</v>
      </c>
      <c r="K1771" t="str">
        <f>+VLOOKUP(C1771,'[1]TIENDAS 2025'!$A$1:$C$143,3,0)</f>
        <v>departamental</v>
      </c>
      <c r="L1771" t="str">
        <f>+VLOOKUP(C1771,[2]Hoja1!$A$1:$B$138,2,0)</f>
        <v>APROBAR</v>
      </c>
      <c r="M1771">
        <v>1</v>
      </c>
      <c r="N1771" t="e">
        <v>#N/A</v>
      </c>
    </row>
    <row r="1772" spans="1:14" ht="15" customHeight="1" x14ac:dyDescent="0.3">
      <c r="A1772" s="3">
        <v>1209660286</v>
      </c>
      <c r="B1772" s="3" t="s">
        <v>1952</v>
      </c>
      <c r="C1772" s="3" t="s">
        <v>1953</v>
      </c>
      <c r="D1772" s="4">
        <v>46307.458310185197</v>
      </c>
      <c r="E1772" s="5" t="s">
        <v>10</v>
      </c>
      <c r="F1772" s="5" t="s">
        <v>11</v>
      </c>
      <c r="G1772" s="5">
        <v>17</v>
      </c>
      <c r="H1772" s="6" t="s">
        <v>12</v>
      </c>
      <c r="I1772" t="s">
        <v>2001</v>
      </c>
      <c r="J1772" t="s">
        <v>2480</v>
      </c>
      <c r="K1772" t="str">
        <f>+VLOOKUP(C1772,'[1]TIENDAS 2025'!$A$1:$C$143,3,0)</f>
        <v>departamental</v>
      </c>
      <c r="L1772" t="str">
        <f>+VLOOKUP(C1772,[2]Hoja1!$A$1:$B$138,2,0)</f>
        <v>APROBAR</v>
      </c>
      <c r="M1772">
        <v>1</v>
      </c>
      <c r="N1772" t="e">
        <v>#N/A</v>
      </c>
    </row>
    <row r="1773" spans="1:14" ht="15" customHeight="1" x14ac:dyDescent="0.3">
      <c r="A1773" s="3">
        <v>8209660203</v>
      </c>
      <c r="B1773" s="3" t="s">
        <v>1944</v>
      </c>
      <c r="C1773" s="3" t="s">
        <v>1945</v>
      </c>
      <c r="D1773" s="4">
        <v>46307.458310185197</v>
      </c>
      <c r="E1773" s="5" t="s">
        <v>10</v>
      </c>
      <c r="F1773" s="5" t="s">
        <v>16</v>
      </c>
      <c r="G1773" s="5">
        <v>10</v>
      </c>
      <c r="H1773" s="8" t="s">
        <v>12</v>
      </c>
      <c r="I1773" t="s">
        <v>2002</v>
      </c>
      <c r="K1773" t="str">
        <f>+VLOOKUP(C1773,'[1]TIENDAS 2025'!$A$1:$C$143,3,0)</f>
        <v>nocturna</v>
      </c>
      <c r="L1773" t="str">
        <f>+VLOOKUP(C1773,[2]Hoja1!$A$1:$B$138,2,0)</f>
        <v>APROBAR</v>
      </c>
      <c r="M1773">
        <v>1</v>
      </c>
      <c r="N1773" t="e">
        <v>#N/A</v>
      </c>
    </row>
    <row r="1774" spans="1:14" ht="15" customHeight="1" x14ac:dyDescent="0.3">
      <c r="A1774" s="3">
        <v>8209660251</v>
      </c>
      <c r="B1774" s="3" t="s">
        <v>1947</v>
      </c>
      <c r="C1774" s="3" t="s">
        <v>1948</v>
      </c>
      <c r="D1774" s="4">
        <v>46307.458333333299</v>
      </c>
      <c r="E1774" s="5" t="s">
        <v>10</v>
      </c>
      <c r="F1774" s="5" t="s">
        <v>16</v>
      </c>
      <c r="G1774" s="5">
        <v>4</v>
      </c>
      <c r="H1774" s="8" t="s">
        <v>12</v>
      </c>
      <c r="I1774" t="s">
        <v>2003</v>
      </c>
      <c r="K1774" t="str">
        <f>+VLOOKUP(C1774,'[1]TIENDAS 2025'!$A$1:$C$143,3,0)</f>
        <v>nocturna</v>
      </c>
      <c r="L1774" t="str">
        <f>+VLOOKUP(C1774,[2]Hoja1!$A$1:$B$138,2,0)</f>
        <v>APROBAR</v>
      </c>
      <c r="M1774">
        <v>1</v>
      </c>
      <c r="N1774" t="e">
        <v>#N/A</v>
      </c>
    </row>
    <row r="1775" spans="1:14" ht="15" customHeight="1" x14ac:dyDescent="0.3">
      <c r="A1775" s="3">
        <v>1209660282</v>
      </c>
      <c r="B1775" s="3" t="s">
        <v>1952</v>
      </c>
      <c r="C1775" s="3" t="s">
        <v>1953</v>
      </c>
      <c r="D1775" s="4">
        <v>46307.458344907398</v>
      </c>
      <c r="E1775" s="5" t="s">
        <v>10</v>
      </c>
      <c r="F1775" s="5" t="s">
        <v>17</v>
      </c>
      <c r="G1775" s="5">
        <v>6</v>
      </c>
      <c r="H1775" s="6" t="s">
        <v>12</v>
      </c>
      <c r="I1775" t="s">
        <v>2004</v>
      </c>
      <c r="J1775" t="s">
        <v>2480</v>
      </c>
      <c r="K1775" t="str">
        <f>+VLOOKUP(C1775,'[1]TIENDAS 2025'!$A$1:$C$143,3,0)</f>
        <v>departamental</v>
      </c>
      <c r="L1775" t="str">
        <f>+VLOOKUP(C1775,[2]Hoja1!$A$1:$B$138,2,0)</f>
        <v>APROBAR</v>
      </c>
      <c r="M1775">
        <v>1</v>
      </c>
      <c r="N1775" t="e">
        <v>#N/A</v>
      </c>
    </row>
    <row r="1776" spans="1:14" ht="15" customHeight="1" x14ac:dyDescent="0.3">
      <c r="A1776" s="3">
        <v>1209660310</v>
      </c>
      <c r="B1776" s="3" t="s">
        <v>1961</v>
      </c>
      <c r="C1776" s="3" t="s">
        <v>1962</v>
      </c>
      <c r="D1776" s="4">
        <v>46307.458356481497</v>
      </c>
      <c r="E1776" s="5" t="s">
        <v>10</v>
      </c>
      <c r="F1776" s="5" t="s">
        <v>11</v>
      </c>
      <c r="G1776" s="5">
        <v>4</v>
      </c>
      <c r="H1776" s="6" t="s">
        <v>12</v>
      </c>
      <c r="I1776" t="s">
        <v>2005</v>
      </c>
      <c r="J1776" t="s">
        <v>2480</v>
      </c>
      <c r="K1776" t="str">
        <f>+VLOOKUP(C1776,'[1]TIENDAS 2025'!$A$1:$C$143,3,0)</f>
        <v>departamental</v>
      </c>
      <c r="L1776" t="str">
        <f>+VLOOKUP(C1776,[2]Hoja1!$A$1:$B$138,2,0)</f>
        <v>APROBAR</v>
      </c>
      <c r="M1776">
        <v>1</v>
      </c>
      <c r="N1776" t="e">
        <v>#N/A</v>
      </c>
    </row>
    <row r="1777" spans="1:14" ht="15" customHeight="1" x14ac:dyDescent="0.3">
      <c r="A1777" s="3">
        <v>1209660284</v>
      </c>
      <c r="B1777" s="3" t="s">
        <v>1952</v>
      </c>
      <c r="C1777" s="3" t="s">
        <v>1953</v>
      </c>
      <c r="D1777" s="4">
        <v>46307.458379629599</v>
      </c>
      <c r="E1777" s="5" t="s">
        <v>10</v>
      </c>
      <c r="F1777" s="5" t="s">
        <v>11</v>
      </c>
      <c r="G1777" s="5">
        <v>9</v>
      </c>
      <c r="H1777" s="6" t="s">
        <v>12</v>
      </c>
      <c r="I1777" t="s">
        <v>2006</v>
      </c>
      <c r="J1777" t="s">
        <v>2480</v>
      </c>
      <c r="K1777" t="str">
        <f>+VLOOKUP(C1777,'[1]TIENDAS 2025'!$A$1:$C$143,3,0)</f>
        <v>departamental</v>
      </c>
      <c r="L1777" t="str">
        <f>+VLOOKUP(C1777,[2]Hoja1!$A$1:$B$138,2,0)</f>
        <v>APROBAR</v>
      </c>
      <c r="M1777">
        <v>1</v>
      </c>
      <c r="N1777" t="e">
        <v>#N/A</v>
      </c>
    </row>
    <row r="1778" spans="1:14" ht="15" customHeight="1" x14ac:dyDescent="0.3">
      <c r="A1778" s="3">
        <v>8209660237</v>
      </c>
      <c r="B1778" s="3" t="s">
        <v>1947</v>
      </c>
      <c r="C1778" s="3" t="s">
        <v>1948</v>
      </c>
      <c r="D1778" s="4">
        <v>46307.458379629599</v>
      </c>
      <c r="E1778" s="5" t="s">
        <v>10</v>
      </c>
      <c r="F1778" s="5" t="s">
        <v>16</v>
      </c>
      <c r="G1778" s="5">
        <v>1</v>
      </c>
      <c r="H1778" s="8" t="s">
        <v>12</v>
      </c>
      <c r="I1778" t="s">
        <v>2007</v>
      </c>
      <c r="K1778" t="str">
        <f>+VLOOKUP(C1778,'[1]TIENDAS 2025'!$A$1:$C$143,3,0)</f>
        <v>nocturna</v>
      </c>
      <c r="L1778" t="str">
        <f>+VLOOKUP(C1778,[2]Hoja1!$A$1:$B$138,2,0)</f>
        <v>APROBAR</v>
      </c>
      <c r="M1778">
        <v>1</v>
      </c>
      <c r="N1778" t="e">
        <v>#N/A</v>
      </c>
    </row>
    <row r="1779" spans="1:14" ht="15" customHeight="1" x14ac:dyDescent="0.3">
      <c r="A1779" s="3">
        <v>8209660266</v>
      </c>
      <c r="B1779" s="3" t="s">
        <v>1952</v>
      </c>
      <c r="C1779" s="3" t="s">
        <v>1953</v>
      </c>
      <c r="D1779" s="4">
        <v>46307.458402777796</v>
      </c>
      <c r="E1779" s="5" t="s">
        <v>10</v>
      </c>
      <c r="F1779" s="5" t="s">
        <v>16</v>
      </c>
      <c r="G1779" s="5">
        <v>1</v>
      </c>
      <c r="H1779" s="8" t="s">
        <v>12</v>
      </c>
      <c r="I1779" t="s">
        <v>2008</v>
      </c>
      <c r="K1779" t="str">
        <f>+VLOOKUP(C1779,'[1]TIENDAS 2025'!$A$1:$C$143,3,0)</f>
        <v>departamental</v>
      </c>
      <c r="L1779" t="str">
        <f>+VLOOKUP(C1779,[2]Hoja1!$A$1:$B$138,2,0)</f>
        <v>APROBAR</v>
      </c>
      <c r="M1779">
        <v>1</v>
      </c>
      <c r="N1779" t="e">
        <v>#N/A</v>
      </c>
    </row>
    <row r="1780" spans="1:14" ht="15" customHeight="1" x14ac:dyDescent="0.3">
      <c r="A1780" s="3">
        <v>1209660317</v>
      </c>
      <c r="B1780" s="3" t="s">
        <v>1961</v>
      </c>
      <c r="C1780" s="3" t="s">
        <v>1962</v>
      </c>
      <c r="D1780" s="4">
        <v>46307.458414351902</v>
      </c>
      <c r="E1780" s="5" t="s">
        <v>10</v>
      </c>
      <c r="F1780" s="5" t="s">
        <v>11</v>
      </c>
      <c r="G1780" s="5">
        <v>15</v>
      </c>
      <c r="H1780" s="6" t="s">
        <v>12</v>
      </c>
      <c r="I1780" t="s">
        <v>2009</v>
      </c>
      <c r="J1780" t="s">
        <v>2480</v>
      </c>
      <c r="K1780" t="str">
        <f>+VLOOKUP(C1780,'[1]TIENDAS 2025'!$A$1:$C$143,3,0)</f>
        <v>departamental</v>
      </c>
      <c r="L1780" t="str">
        <f>+VLOOKUP(C1780,[2]Hoja1!$A$1:$B$138,2,0)</f>
        <v>APROBAR</v>
      </c>
      <c r="M1780">
        <v>1</v>
      </c>
      <c r="N1780" t="e">
        <v>#N/A</v>
      </c>
    </row>
    <row r="1781" spans="1:14" ht="15" customHeight="1" x14ac:dyDescent="0.3">
      <c r="A1781" s="3">
        <v>1209660468</v>
      </c>
      <c r="B1781" s="3" t="s">
        <v>2011</v>
      </c>
      <c r="C1781" s="3" t="s">
        <v>2012</v>
      </c>
      <c r="D1781" s="4">
        <v>46307.461053240702</v>
      </c>
      <c r="E1781" s="5" t="s">
        <v>10</v>
      </c>
      <c r="F1781" s="5" t="s">
        <v>11</v>
      </c>
      <c r="G1781" s="5">
        <v>43</v>
      </c>
      <c r="H1781" s="6" t="s">
        <v>12</v>
      </c>
      <c r="I1781" t="s">
        <v>2010</v>
      </c>
      <c r="J1781" t="s">
        <v>2480</v>
      </c>
      <c r="K1781" t="str">
        <f>+VLOOKUP(C1781,'[1]TIENDAS 2025'!$A$1:$C$143,3,0)</f>
        <v>local</v>
      </c>
      <c r="L1781" t="str">
        <f>+VLOOKUP(C1781,[2]Hoja1!$A$1:$B$138,2,0)</f>
        <v>APROBAR</v>
      </c>
      <c r="M1781">
        <v>1</v>
      </c>
      <c r="N1781" t="e">
        <v>#N/A</v>
      </c>
    </row>
    <row r="1782" spans="1:14" ht="15" customHeight="1" x14ac:dyDescent="0.3">
      <c r="A1782" s="3">
        <v>1209660394</v>
      </c>
      <c r="B1782" s="3" t="s">
        <v>2014</v>
      </c>
      <c r="C1782" s="3" t="s">
        <v>2015</v>
      </c>
      <c r="D1782" s="4">
        <v>46307.461064814801</v>
      </c>
      <c r="E1782" s="5" t="s">
        <v>10</v>
      </c>
      <c r="F1782" s="5" t="s">
        <v>17</v>
      </c>
      <c r="G1782" s="5">
        <v>40</v>
      </c>
      <c r="H1782" s="6" t="s">
        <v>12</v>
      </c>
      <c r="I1782" t="s">
        <v>2013</v>
      </c>
      <c r="J1782" t="s">
        <v>2480</v>
      </c>
      <c r="K1782" t="str">
        <f>+VLOOKUP(C1782,'[1]TIENDAS 2025'!$A$1:$C$143,3,0)</f>
        <v>local</v>
      </c>
      <c r="L1782" t="str">
        <f>+VLOOKUP(C1782,[2]Hoja1!$A$1:$B$138,2,0)</f>
        <v>APROBAR</v>
      </c>
      <c r="M1782">
        <v>1</v>
      </c>
      <c r="N1782" t="e">
        <v>#N/A</v>
      </c>
    </row>
    <row r="1783" spans="1:14" ht="15" customHeight="1" x14ac:dyDescent="0.3">
      <c r="A1783" s="3">
        <v>1209660520</v>
      </c>
      <c r="B1783" s="3" t="s">
        <v>2017</v>
      </c>
      <c r="C1783" s="3" t="s">
        <v>2018</v>
      </c>
      <c r="D1783" s="4">
        <v>46307.461087962998</v>
      </c>
      <c r="E1783" s="5" t="s">
        <v>10</v>
      </c>
      <c r="F1783" s="5" t="s">
        <v>17</v>
      </c>
      <c r="G1783" s="5">
        <v>35</v>
      </c>
      <c r="H1783" s="6" t="s">
        <v>12</v>
      </c>
      <c r="I1783" t="s">
        <v>2016</v>
      </c>
      <c r="J1783" t="s">
        <v>2480</v>
      </c>
      <c r="K1783" t="str">
        <f>+VLOOKUP(C1783,'[1]TIENDAS 2025'!$A$1:$C$143,3,0)</f>
        <v>departamental</v>
      </c>
      <c r="L1783" t="str">
        <f>+VLOOKUP(C1783,[2]Hoja1!$A$1:$B$138,2,0)</f>
        <v>APROBAR</v>
      </c>
      <c r="M1783">
        <v>1</v>
      </c>
      <c r="N1783" t="e">
        <v>#N/A</v>
      </c>
    </row>
    <row r="1784" spans="1:14" ht="15" customHeight="1" x14ac:dyDescent="0.3">
      <c r="A1784" s="3">
        <v>8209660350</v>
      </c>
      <c r="B1784" s="3" t="s">
        <v>2020</v>
      </c>
      <c r="C1784" s="3" t="s">
        <v>2021</v>
      </c>
      <c r="D1784" s="4">
        <v>46307.461099537002</v>
      </c>
      <c r="E1784" s="5" t="s">
        <v>10</v>
      </c>
      <c r="F1784" s="5" t="s">
        <v>16</v>
      </c>
      <c r="G1784" s="5">
        <v>4</v>
      </c>
      <c r="H1784" s="8" t="s">
        <v>12</v>
      </c>
      <c r="I1784" t="s">
        <v>2019</v>
      </c>
      <c r="K1784" t="str">
        <f>+VLOOKUP(C1784,'[1]TIENDAS 2025'!$A$1:$C$143,3,0)</f>
        <v>departamental</v>
      </c>
      <c r="L1784" t="str">
        <f>+VLOOKUP(C1784,[2]Hoja1!$A$1:$B$138,2,0)</f>
        <v>APROBAR</v>
      </c>
      <c r="M1784">
        <v>1</v>
      </c>
      <c r="N1784" t="e">
        <v>#N/A</v>
      </c>
    </row>
    <row r="1785" spans="1:14" ht="15" customHeight="1" x14ac:dyDescent="0.3">
      <c r="A1785" s="3">
        <v>1209660351</v>
      </c>
      <c r="B1785" s="3" t="s">
        <v>2020</v>
      </c>
      <c r="C1785" s="3" t="s">
        <v>2021</v>
      </c>
      <c r="D1785" s="4">
        <v>46307.461111111101</v>
      </c>
      <c r="E1785" s="5" t="s">
        <v>10</v>
      </c>
      <c r="F1785" s="5" t="s">
        <v>11</v>
      </c>
      <c r="G1785" s="5">
        <v>1</v>
      </c>
      <c r="H1785" s="6" t="s">
        <v>12</v>
      </c>
      <c r="I1785" t="s">
        <v>2022</v>
      </c>
      <c r="J1785" t="s">
        <v>2480</v>
      </c>
      <c r="K1785" t="str">
        <f>+VLOOKUP(C1785,'[1]TIENDAS 2025'!$A$1:$C$143,3,0)</f>
        <v>departamental</v>
      </c>
      <c r="L1785" t="str">
        <f>+VLOOKUP(C1785,[2]Hoja1!$A$1:$B$138,2,0)</f>
        <v>APROBAR</v>
      </c>
      <c r="M1785">
        <v>1</v>
      </c>
      <c r="N1785" t="e">
        <v>#N/A</v>
      </c>
    </row>
    <row r="1786" spans="1:14" ht="15" customHeight="1" x14ac:dyDescent="0.3">
      <c r="A1786" s="3">
        <v>8209660378</v>
      </c>
      <c r="B1786" s="3" t="s">
        <v>2014</v>
      </c>
      <c r="C1786" s="3" t="s">
        <v>2015</v>
      </c>
      <c r="D1786" s="4">
        <v>46307.461122685199</v>
      </c>
      <c r="E1786" s="5" t="s">
        <v>10</v>
      </c>
      <c r="F1786" s="5" t="s">
        <v>16</v>
      </c>
      <c r="G1786" s="5">
        <v>5</v>
      </c>
      <c r="H1786" s="8" t="s">
        <v>12</v>
      </c>
      <c r="I1786" t="s">
        <v>2023</v>
      </c>
      <c r="K1786" t="str">
        <f>+VLOOKUP(C1786,'[1]TIENDAS 2025'!$A$1:$C$143,3,0)</f>
        <v>local</v>
      </c>
      <c r="L1786" t="str">
        <f>+VLOOKUP(C1786,[2]Hoja1!$A$1:$B$138,2,0)</f>
        <v>APROBAR</v>
      </c>
      <c r="M1786">
        <v>1</v>
      </c>
      <c r="N1786" t="e">
        <v>#N/A</v>
      </c>
    </row>
    <row r="1787" spans="1:14" ht="15" customHeight="1" x14ac:dyDescent="0.3">
      <c r="A1787" s="3">
        <v>8209660421</v>
      </c>
      <c r="B1787" s="3" t="s">
        <v>2025</v>
      </c>
      <c r="C1787" s="3" t="s">
        <v>2026</v>
      </c>
      <c r="D1787" s="4">
        <v>46307.461134259298</v>
      </c>
      <c r="E1787" s="5" t="s">
        <v>10</v>
      </c>
      <c r="F1787" s="5" t="s">
        <v>16</v>
      </c>
      <c r="G1787" s="5">
        <v>6</v>
      </c>
      <c r="H1787" s="8" t="s">
        <v>12</v>
      </c>
      <c r="I1787" t="s">
        <v>2024</v>
      </c>
      <c r="K1787" t="str">
        <f>+VLOOKUP(C1787,'[1]TIENDAS 2025'!$A$1:$C$143,3,0)</f>
        <v>departamental</v>
      </c>
      <c r="L1787" t="str">
        <f>+VLOOKUP(C1787,[2]Hoja1!$A$1:$B$138,2,0)</f>
        <v>APROBAR</v>
      </c>
      <c r="M1787">
        <v>1</v>
      </c>
      <c r="N1787" t="e">
        <v>#N/A</v>
      </c>
    </row>
    <row r="1788" spans="1:14" ht="15" customHeight="1" x14ac:dyDescent="0.3">
      <c r="A1788" s="3">
        <v>8209660422</v>
      </c>
      <c r="B1788" s="3" t="s">
        <v>2025</v>
      </c>
      <c r="C1788" s="3" t="s">
        <v>2026</v>
      </c>
      <c r="D1788" s="4">
        <v>46307.461157407401</v>
      </c>
      <c r="E1788" s="5" t="s">
        <v>10</v>
      </c>
      <c r="F1788" s="5" t="s">
        <v>16</v>
      </c>
      <c r="G1788" s="5">
        <v>1</v>
      </c>
      <c r="H1788" s="8" t="s">
        <v>12</v>
      </c>
      <c r="I1788" t="s">
        <v>2027</v>
      </c>
      <c r="K1788" t="str">
        <f>+VLOOKUP(C1788,'[1]TIENDAS 2025'!$A$1:$C$143,3,0)</f>
        <v>departamental</v>
      </c>
      <c r="L1788" t="str">
        <f>+VLOOKUP(C1788,[2]Hoja1!$A$1:$B$138,2,0)</f>
        <v>APROBAR</v>
      </c>
      <c r="M1788">
        <v>1</v>
      </c>
      <c r="N1788" t="e">
        <v>#N/A</v>
      </c>
    </row>
    <row r="1789" spans="1:14" ht="15" customHeight="1" x14ac:dyDescent="0.3">
      <c r="A1789" s="3">
        <v>1209660453</v>
      </c>
      <c r="B1789" s="3" t="s">
        <v>2011</v>
      </c>
      <c r="C1789" s="3" t="s">
        <v>2012</v>
      </c>
      <c r="D1789" s="4">
        <v>46307.461168981499</v>
      </c>
      <c r="E1789" s="5" t="s">
        <v>10</v>
      </c>
      <c r="F1789" s="5" t="s">
        <v>11</v>
      </c>
      <c r="G1789" s="5">
        <v>5</v>
      </c>
      <c r="H1789" s="6" t="s">
        <v>12</v>
      </c>
      <c r="I1789" t="s">
        <v>2028</v>
      </c>
      <c r="J1789" t="s">
        <v>2480</v>
      </c>
      <c r="K1789" t="str">
        <f>+VLOOKUP(C1789,'[1]TIENDAS 2025'!$A$1:$C$143,3,0)</f>
        <v>local</v>
      </c>
      <c r="L1789" t="str">
        <f>+VLOOKUP(C1789,[2]Hoja1!$A$1:$B$138,2,0)</f>
        <v>APROBAR</v>
      </c>
      <c r="M1789">
        <v>1</v>
      </c>
      <c r="N1789" t="e">
        <v>#N/A</v>
      </c>
    </row>
    <row r="1790" spans="1:14" ht="15" customHeight="1" x14ac:dyDescent="0.3">
      <c r="A1790" s="3">
        <v>8209660459</v>
      </c>
      <c r="B1790" s="3" t="s">
        <v>2011</v>
      </c>
      <c r="C1790" s="3" t="s">
        <v>2012</v>
      </c>
      <c r="D1790" s="4">
        <v>46307.461180555598</v>
      </c>
      <c r="E1790" s="5" t="s">
        <v>10</v>
      </c>
      <c r="F1790" s="5" t="s">
        <v>16</v>
      </c>
      <c r="G1790" s="5">
        <v>1</v>
      </c>
      <c r="H1790" s="8" t="s">
        <v>12</v>
      </c>
      <c r="I1790" t="s">
        <v>2029</v>
      </c>
      <c r="K1790" t="str">
        <f>+VLOOKUP(C1790,'[1]TIENDAS 2025'!$A$1:$C$143,3,0)</f>
        <v>local</v>
      </c>
      <c r="L1790" t="str">
        <f>+VLOOKUP(C1790,[2]Hoja1!$A$1:$B$138,2,0)</f>
        <v>APROBAR</v>
      </c>
      <c r="M1790">
        <v>1</v>
      </c>
      <c r="N1790" t="e">
        <v>#N/A</v>
      </c>
    </row>
    <row r="1791" spans="1:14" ht="15" customHeight="1" x14ac:dyDescent="0.3">
      <c r="A1791" s="3">
        <v>1209660495</v>
      </c>
      <c r="B1791" s="3" t="s">
        <v>2031</v>
      </c>
      <c r="C1791" s="3" t="s">
        <v>2032</v>
      </c>
      <c r="D1791" s="4">
        <v>46307.461192129602</v>
      </c>
      <c r="E1791" s="5" t="s">
        <v>10</v>
      </c>
      <c r="F1791" s="5" t="s">
        <v>11</v>
      </c>
      <c r="G1791" s="5">
        <v>4</v>
      </c>
      <c r="H1791" s="6" t="s">
        <v>12</v>
      </c>
      <c r="I1791" t="s">
        <v>2030</v>
      </c>
      <c r="J1791" t="s">
        <v>2480</v>
      </c>
      <c r="K1791" t="str">
        <f>+VLOOKUP(C1791,'[1]TIENDAS 2025'!$A$1:$C$143,3,0)</f>
        <v>prioridad</v>
      </c>
      <c r="L1791" t="str">
        <f>+VLOOKUP(C1791,[2]Hoja1!$A$1:$B$138,2,0)</f>
        <v>APROBAR</v>
      </c>
      <c r="M1791">
        <v>1</v>
      </c>
      <c r="N1791" t="e">
        <v>#N/A</v>
      </c>
    </row>
    <row r="1792" spans="1:14" ht="15" customHeight="1" x14ac:dyDescent="0.3">
      <c r="A1792" s="3">
        <v>1209660388</v>
      </c>
      <c r="B1792" s="3" t="s">
        <v>2014</v>
      </c>
      <c r="C1792" s="3" t="s">
        <v>2015</v>
      </c>
      <c r="D1792" s="4">
        <v>46307.461215277799</v>
      </c>
      <c r="E1792" s="5" t="s">
        <v>10</v>
      </c>
      <c r="F1792" s="5" t="s">
        <v>11</v>
      </c>
      <c r="G1792" s="5">
        <v>13</v>
      </c>
      <c r="H1792" s="6" t="s">
        <v>12</v>
      </c>
      <c r="I1792" t="s">
        <v>2033</v>
      </c>
      <c r="J1792" t="s">
        <v>2480</v>
      </c>
      <c r="K1792" t="str">
        <f>+VLOOKUP(C1792,'[1]TIENDAS 2025'!$A$1:$C$143,3,0)</f>
        <v>local</v>
      </c>
      <c r="L1792" t="str">
        <f>+VLOOKUP(C1792,[2]Hoja1!$A$1:$B$138,2,0)</f>
        <v>APROBAR</v>
      </c>
      <c r="M1792">
        <v>1</v>
      </c>
      <c r="N1792" t="e">
        <v>#N/A</v>
      </c>
    </row>
    <row r="1793" spans="1:14" ht="15" customHeight="1" x14ac:dyDescent="0.3">
      <c r="A1793" s="3">
        <v>1209660462</v>
      </c>
      <c r="B1793" s="3" t="s">
        <v>2011</v>
      </c>
      <c r="C1793" s="3" t="s">
        <v>2012</v>
      </c>
      <c r="D1793" s="4">
        <v>46307.461226851898</v>
      </c>
      <c r="E1793" s="5" t="s">
        <v>10</v>
      </c>
      <c r="F1793" s="5" t="s">
        <v>11</v>
      </c>
      <c r="G1793" s="5">
        <v>3</v>
      </c>
      <c r="H1793" s="6" t="s">
        <v>12</v>
      </c>
      <c r="I1793" t="s">
        <v>2034</v>
      </c>
      <c r="J1793" t="s">
        <v>2480</v>
      </c>
      <c r="K1793" t="str">
        <f>+VLOOKUP(C1793,'[1]TIENDAS 2025'!$A$1:$C$143,3,0)</f>
        <v>local</v>
      </c>
      <c r="L1793" t="str">
        <f>+VLOOKUP(C1793,[2]Hoja1!$A$1:$B$138,2,0)</f>
        <v>APROBAR</v>
      </c>
      <c r="M1793">
        <v>1</v>
      </c>
      <c r="N1793" t="e">
        <v>#N/A</v>
      </c>
    </row>
    <row r="1794" spans="1:14" ht="15" customHeight="1" x14ac:dyDescent="0.3">
      <c r="A1794" s="3">
        <v>1209660463</v>
      </c>
      <c r="B1794" s="3" t="s">
        <v>2011</v>
      </c>
      <c r="C1794" s="3" t="s">
        <v>2012</v>
      </c>
      <c r="D1794" s="4">
        <v>46307.46125</v>
      </c>
      <c r="E1794" s="5" t="s">
        <v>10</v>
      </c>
      <c r="F1794" s="5" t="s">
        <v>11</v>
      </c>
      <c r="G1794" s="5">
        <v>18</v>
      </c>
      <c r="H1794" s="6" t="s">
        <v>12</v>
      </c>
      <c r="I1794" t="s">
        <v>2035</v>
      </c>
      <c r="J1794" t="s">
        <v>2480</v>
      </c>
      <c r="K1794" t="str">
        <f>+VLOOKUP(C1794,'[1]TIENDAS 2025'!$A$1:$C$143,3,0)</f>
        <v>local</v>
      </c>
      <c r="L1794" t="str">
        <f>+VLOOKUP(C1794,[2]Hoja1!$A$1:$B$138,2,0)</f>
        <v>APROBAR</v>
      </c>
      <c r="M1794">
        <v>1</v>
      </c>
      <c r="N1794" t="e">
        <v>#N/A</v>
      </c>
    </row>
    <row r="1795" spans="1:14" ht="15" customHeight="1" x14ac:dyDescent="0.3">
      <c r="A1795" s="3">
        <v>1209660389</v>
      </c>
      <c r="B1795" s="3" t="s">
        <v>2014</v>
      </c>
      <c r="C1795" s="3" t="s">
        <v>2015</v>
      </c>
      <c r="D1795" s="4">
        <v>46307.461261574099</v>
      </c>
      <c r="E1795" s="5" t="s">
        <v>10</v>
      </c>
      <c r="F1795" s="5" t="s">
        <v>11</v>
      </c>
      <c r="G1795" s="5">
        <v>27</v>
      </c>
      <c r="H1795" s="6" t="s">
        <v>12</v>
      </c>
      <c r="I1795" t="s">
        <v>2036</v>
      </c>
      <c r="J1795" t="s">
        <v>2480</v>
      </c>
      <c r="K1795" t="str">
        <f>+VLOOKUP(C1795,'[1]TIENDAS 2025'!$A$1:$C$143,3,0)</f>
        <v>local</v>
      </c>
      <c r="L1795" t="str">
        <f>+VLOOKUP(C1795,[2]Hoja1!$A$1:$B$138,2,0)</f>
        <v>APROBAR</v>
      </c>
      <c r="M1795">
        <v>1</v>
      </c>
      <c r="N1795" t="e">
        <v>#N/A</v>
      </c>
    </row>
    <row r="1796" spans="1:14" ht="15" customHeight="1" x14ac:dyDescent="0.3">
      <c r="A1796" s="3">
        <v>1209660465</v>
      </c>
      <c r="B1796" s="3" t="s">
        <v>2011</v>
      </c>
      <c r="C1796" s="3" t="s">
        <v>2012</v>
      </c>
      <c r="D1796" s="4">
        <v>46307.461284722202</v>
      </c>
      <c r="E1796" s="5" t="s">
        <v>10</v>
      </c>
      <c r="F1796" s="5" t="s">
        <v>11</v>
      </c>
      <c r="G1796" s="5">
        <v>25</v>
      </c>
      <c r="H1796" s="6" t="s">
        <v>12</v>
      </c>
      <c r="I1796" t="s">
        <v>2037</v>
      </c>
      <c r="J1796" t="s">
        <v>2480</v>
      </c>
      <c r="K1796" t="str">
        <f>+VLOOKUP(C1796,'[1]TIENDAS 2025'!$A$1:$C$143,3,0)</f>
        <v>local</v>
      </c>
      <c r="L1796" t="str">
        <f>+VLOOKUP(C1796,[2]Hoja1!$A$1:$B$138,2,0)</f>
        <v>APROBAR</v>
      </c>
      <c r="M1796">
        <v>1</v>
      </c>
      <c r="N1796" t="e">
        <v>#N/A</v>
      </c>
    </row>
    <row r="1797" spans="1:14" ht="15" customHeight="1" x14ac:dyDescent="0.3">
      <c r="A1797" s="3">
        <v>8209660509</v>
      </c>
      <c r="B1797" s="3" t="s">
        <v>2017</v>
      </c>
      <c r="C1797" s="3" t="s">
        <v>2018</v>
      </c>
      <c r="D1797" s="4">
        <v>46307.4612962963</v>
      </c>
      <c r="E1797" s="5" t="s">
        <v>10</v>
      </c>
      <c r="F1797" s="5" t="s">
        <v>16</v>
      </c>
      <c r="G1797" s="5">
        <v>6</v>
      </c>
      <c r="H1797" s="8" t="s">
        <v>12</v>
      </c>
      <c r="I1797" t="s">
        <v>2038</v>
      </c>
      <c r="K1797" t="str">
        <f>+VLOOKUP(C1797,'[1]TIENDAS 2025'!$A$1:$C$143,3,0)</f>
        <v>departamental</v>
      </c>
      <c r="L1797" t="str">
        <f>+VLOOKUP(C1797,[2]Hoja1!$A$1:$B$138,2,0)</f>
        <v>APROBAR</v>
      </c>
      <c r="M1797">
        <v>1</v>
      </c>
      <c r="N1797" t="e">
        <v>#N/A</v>
      </c>
    </row>
    <row r="1798" spans="1:14" ht="15" customHeight="1" x14ac:dyDescent="0.3">
      <c r="A1798" s="3">
        <v>8209660478</v>
      </c>
      <c r="B1798" s="3" t="s">
        <v>2031</v>
      </c>
      <c r="C1798" s="3" t="s">
        <v>2032</v>
      </c>
      <c r="D1798" s="4">
        <v>46307.461307870399</v>
      </c>
      <c r="E1798" s="5" t="s">
        <v>10</v>
      </c>
      <c r="F1798" s="5" t="s">
        <v>16</v>
      </c>
      <c r="G1798" s="5">
        <v>6</v>
      </c>
      <c r="H1798" s="8" t="s">
        <v>12</v>
      </c>
      <c r="I1798" t="s">
        <v>2039</v>
      </c>
      <c r="K1798" t="str">
        <f>+VLOOKUP(C1798,'[1]TIENDAS 2025'!$A$1:$C$143,3,0)</f>
        <v>prioridad</v>
      </c>
      <c r="L1798" t="str">
        <f>+VLOOKUP(C1798,[2]Hoja1!$A$1:$B$138,2,0)</f>
        <v>APROBAR</v>
      </c>
      <c r="M1798">
        <v>1</v>
      </c>
      <c r="N1798" t="e">
        <v>#N/A</v>
      </c>
    </row>
    <row r="1799" spans="1:14" ht="15" customHeight="1" x14ac:dyDescent="0.3">
      <c r="A1799" s="3">
        <v>1209660516</v>
      </c>
      <c r="B1799" s="3" t="s">
        <v>2017</v>
      </c>
      <c r="C1799" s="3" t="s">
        <v>2018</v>
      </c>
      <c r="D1799" s="4">
        <v>46307.461319444403</v>
      </c>
      <c r="E1799" s="5" t="s">
        <v>10</v>
      </c>
      <c r="F1799" s="5" t="s">
        <v>11</v>
      </c>
      <c r="G1799" s="5">
        <v>21</v>
      </c>
      <c r="H1799" s="6" t="s">
        <v>12</v>
      </c>
      <c r="I1799" t="s">
        <v>2040</v>
      </c>
      <c r="J1799" t="s">
        <v>2480</v>
      </c>
      <c r="K1799" t="str">
        <f>+VLOOKUP(C1799,'[1]TIENDAS 2025'!$A$1:$C$143,3,0)</f>
        <v>departamental</v>
      </c>
      <c r="L1799" t="str">
        <f>+VLOOKUP(C1799,[2]Hoja1!$A$1:$B$138,2,0)</f>
        <v>APROBAR</v>
      </c>
      <c r="M1799">
        <v>1</v>
      </c>
      <c r="N1799" t="e">
        <v>#N/A</v>
      </c>
    </row>
    <row r="1800" spans="1:14" ht="15" customHeight="1" x14ac:dyDescent="0.3">
      <c r="A1800" s="3">
        <v>1209660491</v>
      </c>
      <c r="B1800" s="3" t="s">
        <v>2031</v>
      </c>
      <c r="C1800" s="3" t="s">
        <v>2032</v>
      </c>
      <c r="D1800" s="4">
        <v>46307.461331018501</v>
      </c>
      <c r="E1800" s="5" t="s">
        <v>10</v>
      </c>
      <c r="F1800" s="5" t="s">
        <v>11</v>
      </c>
      <c r="G1800" s="5">
        <v>12</v>
      </c>
      <c r="H1800" s="6" t="s">
        <v>12</v>
      </c>
      <c r="I1800" t="s">
        <v>2041</v>
      </c>
      <c r="J1800" t="s">
        <v>2480</v>
      </c>
      <c r="K1800" t="str">
        <f>+VLOOKUP(C1800,'[1]TIENDAS 2025'!$A$1:$C$143,3,0)</f>
        <v>prioridad</v>
      </c>
      <c r="L1800" t="str">
        <f>+VLOOKUP(C1800,[2]Hoja1!$A$1:$B$138,2,0)</f>
        <v>APROBAR</v>
      </c>
      <c r="M1800">
        <v>1</v>
      </c>
      <c r="N1800" t="e">
        <v>#N/A</v>
      </c>
    </row>
    <row r="1801" spans="1:14" ht="15" customHeight="1" x14ac:dyDescent="0.3">
      <c r="A1801" s="3">
        <v>8209660349</v>
      </c>
      <c r="B1801" s="3" t="s">
        <v>2020</v>
      </c>
      <c r="C1801" s="3" t="s">
        <v>2021</v>
      </c>
      <c r="D1801" s="4">
        <v>46307.461354166699</v>
      </c>
      <c r="E1801" s="5" t="s">
        <v>10</v>
      </c>
      <c r="F1801" s="5" t="s">
        <v>16</v>
      </c>
      <c r="G1801" s="5">
        <v>1</v>
      </c>
      <c r="H1801" s="8" t="s">
        <v>12</v>
      </c>
      <c r="I1801" t="s">
        <v>2042</v>
      </c>
      <c r="K1801" t="str">
        <f>+VLOOKUP(C1801,'[1]TIENDAS 2025'!$A$1:$C$143,3,0)</f>
        <v>departamental</v>
      </c>
      <c r="L1801" t="str">
        <f>+VLOOKUP(C1801,[2]Hoja1!$A$1:$B$138,2,0)</f>
        <v>APROBAR</v>
      </c>
      <c r="M1801">
        <v>1</v>
      </c>
      <c r="N1801" t="e">
        <v>#N/A</v>
      </c>
    </row>
    <row r="1802" spans="1:14" ht="15" customHeight="1" x14ac:dyDescent="0.3">
      <c r="A1802" s="3">
        <v>1209660354</v>
      </c>
      <c r="B1802" s="3" t="s">
        <v>2020</v>
      </c>
      <c r="C1802" s="3" t="s">
        <v>2021</v>
      </c>
      <c r="D1802" s="4">
        <v>46307.461365740703</v>
      </c>
      <c r="E1802" s="5" t="s">
        <v>10</v>
      </c>
      <c r="F1802" s="5" t="s">
        <v>11</v>
      </c>
      <c r="G1802" s="5">
        <v>15</v>
      </c>
      <c r="H1802" s="6" t="s">
        <v>12</v>
      </c>
      <c r="I1802" t="s">
        <v>2043</v>
      </c>
      <c r="J1802" t="s">
        <v>2480</v>
      </c>
      <c r="K1802" t="str">
        <f>+VLOOKUP(C1802,'[1]TIENDAS 2025'!$A$1:$C$143,3,0)</f>
        <v>departamental</v>
      </c>
      <c r="L1802" t="str">
        <f>+VLOOKUP(C1802,[2]Hoja1!$A$1:$B$138,2,0)</f>
        <v>APROBAR</v>
      </c>
      <c r="M1802">
        <v>1</v>
      </c>
      <c r="N1802" t="e">
        <v>#N/A</v>
      </c>
    </row>
    <row r="1803" spans="1:14" ht="15" customHeight="1" x14ac:dyDescent="0.3">
      <c r="A1803" s="3">
        <v>8209660379</v>
      </c>
      <c r="B1803" s="3" t="s">
        <v>2014</v>
      </c>
      <c r="C1803" s="3" t="s">
        <v>2015</v>
      </c>
      <c r="D1803" s="4">
        <v>46307.4613888889</v>
      </c>
      <c r="E1803" s="5" t="s">
        <v>10</v>
      </c>
      <c r="F1803" s="5" t="s">
        <v>16</v>
      </c>
      <c r="G1803" s="5">
        <v>8</v>
      </c>
      <c r="H1803" s="8" t="s">
        <v>12</v>
      </c>
      <c r="I1803" t="s">
        <v>2044</v>
      </c>
      <c r="K1803" t="str">
        <f>+VLOOKUP(C1803,'[1]TIENDAS 2025'!$A$1:$C$143,3,0)</f>
        <v>local</v>
      </c>
      <c r="L1803" t="str">
        <f>+VLOOKUP(C1803,[2]Hoja1!$A$1:$B$138,2,0)</f>
        <v>APROBAR</v>
      </c>
      <c r="M1803">
        <v>1</v>
      </c>
      <c r="N1803" t="e">
        <v>#N/A</v>
      </c>
    </row>
    <row r="1804" spans="1:14" ht="15" customHeight="1" x14ac:dyDescent="0.3">
      <c r="A1804" s="3">
        <v>1209660357</v>
      </c>
      <c r="B1804" s="3" t="s">
        <v>2020</v>
      </c>
      <c r="C1804" s="3" t="s">
        <v>2021</v>
      </c>
      <c r="D1804" s="4">
        <v>46307.461400462998</v>
      </c>
      <c r="E1804" s="5" t="s">
        <v>10</v>
      </c>
      <c r="F1804" s="5" t="s">
        <v>11</v>
      </c>
      <c r="G1804" s="5">
        <v>11</v>
      </c>
      <c r="H1804" s="6" t="s">
        <v>12</v>
      </c>
      <c r="I1804" t="s">
        <v>2045</v>
      </c>
      <c r="J1804" t="s">
        <v>2480</v>
      </c>
      <c r="K1804" t="str">
        <f>+VLOOKUP(C1804,'[1]TIENDAS 2025'!$A$1:$C$143,3,0)</f>
        <v>departamental</v>
      </c>
      <c r="L1804" t="str">
        <f>+VLOOKUP(C1804,[2]Hoja1!$A$1:$B$138,2,0)</f>
        <v>APROBAR</v>
      </c>
      <c r="M1804">
        <v>1</v>
      </c>
      <c r="N1804" t="e">
        <v>#N/A</v>
      </c>
    </row>
    <row r="1805" spans="1:14" ht="15" customHeight="1" x14ac:dyDescent="0.3">
      <c r="A1805" s="3">
        <v>8209660410</v>
      </c>
      <c r="B1805" s="3" t="s">
        <v>2025</v>
      </c>
      <c r="C1805" s="3" t="s">
        <v>2026</v>
      </c>
      <c r="D1805" s="4">
        <v>46307.461423611101</v>
      </c>
      <c r="E1805" s="5" t="s">
        <v>10</v>
      </c>
      <c r="F1805" s="5" t="s">
        <v>16</v>
      </c>
      <c r="G1805" s="5">
        <v>5</v>
      </c>
      <c r="H1805" s="8" t="s">
        <v>12</v>
      </c>
      <c r="I1805" t="s">
        <v>2046</v>
      </c>
      <c r="K1805" t="str">
        <f>+VLOOKUP(C1805,'[1]TIENDAS 2025'!$A$1:$C$143,3,0)</f>
        <v>departamental</v>
      </c>
      <c r="L1805" t="str">
        <f>+VLOOKUP(C1805,[2]Hoja1!$A$1:$B$138,2,0)</f>
        <v>APROBAR</v>
      </c>
      <c r="M1805">
        <v>1</v>
      </c>
      <c r="N1805" t="e">
        <v>#N/A</v>
      </c>
    </row>
    <row r="1806" spans="1:14" ht="15" customHeight="1" x14ac:dyDescent="0.3">
      <c r="A1806" s="3">
        <v>8209660458</v>
      </c>
      <c r="B1806" s="3" t="s">
        <v>2011</v>
      </c>
      <c r="C1806" s="3" t="s">
        <v>2012</v>
      </c>
      <c r="D1806" s="4">
        <v>46307.461446759298</v>
      </c>
      <c r="E1806" s="5" t="s">
        <v>10</v>
      </c>
      <c r="F1806" s="5" t="s">
        <v>16</v>
      </c>
      <c r="G1806" s="5">
        <v>1</v>
      </c>
      <c r="H1806" s="8" t="s">
        <v>12</v>
      </c>
      <c r="I1806" t="s">
        <v>2047</v>
      </c>
      <c r="K1806" t="str">
        <f>+VLOOKUP(C1806,'[1]TIENDAS 2025'!$A$1:$C$143,3,0)</f>
        <v>local</v>
      </c>
      <c r="L1806" t="str">
        <f>+VLOOKUP(C1806,[2]Hoja1!$A$1:$B$138,2,0)</f>
        <v>APROBAR</v>
      </c>
      <c r="M1806">
        <v>1</v>
      </c>
      <c r="N1806" t="e">
        <v>#N/A</v>
      </c>
    </row>
    <row r="1807" spans="1:14" ht="15" customHeight="1" x14ac:dyDescent="0.3">
      <c r="A1807" s="3">
        <v>8209660446</v>
      </c>
      <c r="B1807" s="3" t="s">
        <v>2011</v>
      </c>
      <c r="C1807" s="3" t="s">
        <v>2012</v>
      </c>
      <c r="D1807" s="4">
        <v>46307.461458333302</v>
      </c>
      <c r="E1807" s="5" t="s">
        <v>10</v>
      </c>
      <c r="F1807" s="5" t="s">
        <v>16</v>
      </c>
      <c r="G1807" s="5">
        <v>18</v>
      </c>
      <c r="H1807" s="8" t="s">
        <v>12</v>
      </c>
      <c r="I1807" t="s">
        <v>2048</v>
      </c>
      <c r="K1807" t="str">
        <f>+VLOOKUP(C1807,'[1]TIENDAS 2025'!$A$1:$C$143,3,0)</f>
        <v>local</v>
      </c>
      <c r="L1807" t="str">
        <f>+VLOOKUP(C1807,[2]Hoja1!$A$1:$B$138,2,0)</f>
        <v>APROBAR</v>
      </c>
      <c r="M1807">
        <v>1</v>
      </c>
      <c r="N1807" t="e">
        <v>#N/A</v>
      </c>
    </row>
    <row r="1808" spans="1:14" ht="15" customHeight="1" x14ac:dyDescent="0.3">
      <c r="A1808" s="3">
        <v>8209660510</v>
      </c>
      <c r="B1808" s="3" t="s">
        <v>2017</v>
      </c>
      <c r="C1808" s="3" t="s">
        <v>2018</v>
      </c>
      <c r="D1808" s="4">
        <v>46307.4614814815</v>
      </c>
      <c r="E1808" s="5" t="s">
        <v>10</v>
      </c>
      <c r="F1808" s="5" t="s">
        <v>16</v>
      </c>
      <c r="G1808" s="5">
        <v>1</v>
      </c>
      <c r="H1808" s="8" t="s">
        <v>12</v>
      </c>
      <c r="I1808" t="s">
        <v>2049</v>
      </c>
      <c r="K1808" t="str">
        <f>+VLOOKUP(C1808,'[1]TIENDAS 2025'!$A$1:$C$143,3,0)</f>
        <v>departamental</v>
      </c>
      <c r="L1808" t="str">
        <f>+VLOOKUP(C1808,[2]Hoja1!$A$1:$B$138,2,0)</f>
        <v>APROBAR</v>
      </c>
      <c r="M1808">
        <v>1</v>
      </c>
      <c r="N1808" t="e">
        <v>#N/A</v>
      </c>
    </row>
    <row r="1809" spans="1:14" ht="15" customHeight="1" x14ac:dyDescent="0.3">
      <c r="A1809" s="3">
        <v>8209660479</v>
      </c>
      <c r="B1809" s="3" t="s">
        <v>2031</v>
      </c>
      <c r="C1809" s="3" t="s">
        <v>2032</v>
      </c>
      <c r="D1809" s="4">
        <v>46307.461504629602</v>
      </c>
      <c r="E1809" s="5" t="s">
        <v>10</v>
      </c>
      <c r="F1809" s="5" t="s">
        <v>16</v>
      </c>
      <c r="G1809" s="5">
        <v>13</v>
      </c>
      <c r="H1809" s="8" t="s">
        <v>12</v>
      </c>
      <c r="I1809" t="s">
        <v>2050</v>
      </c>
      <c r="K1809" t="str">
        <f>+VLOOKUP(C1809,'[1]TIENDAS 2025'!$A$1:$C$143,3,0)</f>
        <v>prioridad</v>
      </c>
      <c r="L1809" t="str">
        <f>+VLOOKUP(C1809,[2]Hoja1!$A$1:$B$138,2,0)</f>
        <v>APROBAR</v>
      </c>
      <c r="M1809">
        <v>1</v>
      </c>
      <c r="N1809" t="e">
        <v>#N/A</v>
      </c>
    </row>
    <row r="1810" spans="1:14" ht="15" customHeight="1" x14ac:dyDescent="0.3">
      <c r="A1810" s="3">
        <v>1209660514</v>
      </c>
      <c r="B1810" s="3" t="s">
        <v>2017</v>
      </c>
      <c r="C1810" s="3" t="s">
        <v>2018</v>
      </c>
      <c r="D1810" s="4">
        <v>46307.461516203701</v>
      </c>
      <c r="E1810" s="5" t="s">
        <v>10</v>
      </c>
      <c r="F1810" s="5" t="s">
        <v>11</v>
      </c>
      <c r="G1810" s="5">
        <v>2</v>
      </c>
      <c r="H1810" s="6" t="s">
        <v>12</v>
      </c>
      <c r="I1810" t="s">
        <v>2051</v>
      </c>
      <c r="J1810" t="s">
        <v>2480</v>
      </c>
      <c r="K1810" t="str">
        <f>+VLOOKUP(C1810,'[1]TIENDAS 2025'!$A$1:$C$143,3,0)</f>
        <v>departamental</v>
      </c>
      <c r="L1810" t="str">
        <f>+VLOOKUP(C1810,[2]Hoja1!$A$1:$B$138,2,0)</f>
        <v>APROBAR</v>
      </c>
      <c r="M1810">
        <v>1</v>
      </c>
      <c r="N1810" t="e">
        <v>#N/A</v>
      </c>
    </row>
    <row r="1811" spans="1:14" ht="15" customHeight="1" x14ac:dyDescent="0.3">
      <c r="A1811" s="3">
        <v>1209660391</v>
      </c>
      <c r="B1811" s="3" t="s">
        <v>2014</v>
      </c>
      <c r="C1811" s="3" t="s">
        <v>2015</v>
      </c>
      <c r="D1811" s="4">
        <v>46307.461527777799</v>
      </c>
      <c r="E1811" s="5" t="s">
        <v>10</v>
      </c>
      <c r="F1811" s="5" t="s">
        <v>17</v>
      </c>
      <c r="G1811" s="5">
        <v>31</v>
      </c>
      <c r="H1811" s="6" t="s">
        <v>12</v>
      </c>
      <c r="I1811" t="s">
        <v>2052</v>
      </c>
      <c r="J1811" t="s">
        <v>2480</v>
      </c>
      <c r="K1811" t="str">
        <f>+VLOOKUP(C1811,'[1]TIENDAS 2025'!$A$1:$C$143,3,0)</f>
        <v>local</v>
      </c>
      <c r="L1811" t="str">
        <f>+VLOOKUP(C1811,[2]Hoja1!$A$1:$B$138,2,0)</f>
        <v>APROBAR</v>
      </c>
      <c r="M1811">
        <v>1</v>
      </c>
      <c r="N1811" t="e">
        <v>#N/A</v>
      </c>
    </row>
    <row r="1812" spans="1:14" ht="15" customHeight="1" x14ac:dyDescent="0.3">
      <c r="A1812" s="3">
        <v>8209660484</v>
      </c>
      <c r="B1812" s="3" t="s">
        <v>2031</v>
      </c>
      <c r="C1812" s="3" t="s">
        <v>2032</v>
      </c>
      <c r="D1812" s="4">
        <v>46307.461550925902</v>
      </c>
      <c r="E1812" s="5" t="s">
        <v>10</v>
      </c>
      <c r="F1812" s="5" t="s">
        <v>16</v>
      </c>
      <c r="G1812" s="5">
        <v>19</v>
      </c>
      <c r="H1812" s="8" t="s">
        <v>12</v>
      </c>
      <c r="I1812" t="s">
        <v>2053</v>
      </c>
      <c r="K1812" t="str">
        <f>+VLOOKUP(C1812,'[1]TIENDAS 2025'!$A$1:$C$143,3,0)</f>
        <v>prioridad</v>
      </c>
      <c r="L1812" t="str">
        <f>+VLOOKUP(C1812,[2]Hoja1!$A$1:$B$138,2,0)</f>
        <v>APROBAR</v>
      </c>
      <c r="M1812">
        <v>1</v>
      </c>
      <c r="N1812" t="e">
        <v>#N/A</v>
      </c>
    </row>
    <row r="1813" spans="1:14" ht="15" customHeight="1" x14ac:dyDescent="0.3">
      <c r="A1813" s="3">
        <v>1209660486</v>
      </c>
      <c r="B1813" s="3" t="s">
        <v>2031</v>
      </c>
      <c r="C1813" s="3" t="s">
        <v>2032</v>
      </c>
      <c r="D1813" s="4">
        <v>46307.461574074099</v>
      </c>
      <c r="E1813" s="5" t="s">
        <v>10</v>
      </c>
      <c r="F1813" s="5" t="s">
        <v>16</v>
      </c>
      <c r="G1813" s="5">
        <v>10</v>
      </c>
      <c r="H1813" s="6" t="s">
        <v>12</v>
      </c>
      <c r="I1813" t="s">
        <v>2054</v>
      </c>
      <c r="J1813" t="s">
        <v>2480</v>
      </c>
      <c r="K1813" t="str">
        <f>+VLOOKUP(C1813,'[1]TIENDAS 2025'!$A$1:$C$143,3,0)</f>
        <v>prioridad</v>
      </c>
      <c r="L1813" t="str">
        <f>+VLOOKUP(C1813,[2]Hoja1!$A$1:$B$138,2,0)</f>
        <v>APROBAR</v>
      </c>
      <c r="M1813">
        <v>1</v>
      </c>
      <c r="N1813" t="e">
        <v>#N/A</v>
      </c>
    </row>
    <row r="1814" spans="1:14" ht="15" customHeight="1" x14ac:dyDescent="0.3">
      <c r="A1814" s="3">
        <v>1209660417</v>
      </c>
      <c r="B1814" s="3" t="s">
        <v>2025</v>
      </c>
      <c r="C1814" s="3" t="s">
        <v>2026</v>
      </c>
      <c r="D1814" s="4">
        <v>46307.461585648103</v>
      </c>
      <c r="E1814" s="5" t="s">
        <v>10</v>
      </c>
      <c r="F1814" s="5" t="s">
        <v>17</v>
      </c>
      <c r="G1814" s="5">
        <v>16</v>
      </c>
      <c r="H1814" s="6" t="s">
        <v>12</v>
      </c>
      <c r="I1814" t="s">
        <v>2055</v>
      </c>
      <c r="J1814" t="s">
        <v>2480</v>
      </c>
      <c r="K1814" t="str">
        <f>+VLOOKUP(C1814,'[1]TIENDAS 2025'!$A$1:$C$143,3,0)</f>
        <v>departamental</v>
      </c>
      <c r="L1814" t="str">
        <f>+VLOOKUP(C1814,[2]Hoja1!$A$1:$B$138,2,0)</f>
        <v>APROBAR</v>
      </c>
      <c r="M1814">
        <v>1</v>
      </c>
      <c r="N1814" t="e">
        <v>#N/A</v>
      </c>
    </row>
    <row r="1815" spans="1:14" ht="15" customHeight="1" x14ac:dyDescent="0.3">
      <c r="A1815" s="3">
        <v>8209660345</v>
      </c>
      <c r="B1815" s="3" t="s">
        <v>2020</v>
      </c>
      <c r="C1815" s="3" t="s">
        <v>2021</v>
      </c>
      <c r="D1815" s="4">
        <v>46307.461597222202</v>
      </c>
      <c r="E1815" s="5" t="s">
        <v>10</v>
      </c>
      <c r="F1815" s="5" t="s">
        <v>16</v>
      </c>
      <c r="G1815" s="5">
        <v>3</v>
      </c>
      <c r="H1815" s="8" t="s">
        <v>12</v>
      </c>
      <c r="I1815" t="s">
        <v>2056</v>
      </c>
      <c r="K1815" t="str">
        <f>+VLOOKUP(C1815,'[1]TIENDAS 2025'!$A$1:$C$143,3,0)</f>
        <v>departamental</v>
      </c>
      <c r="L1815" t="str">
        <f>+VLOOKUP(C1815,[2]Hoja1!$A$1:$B$138,2,0)</f>
        <v>APROBAR</v>
      </c>
      <c r="M1815">
        <v>1</v>
      </c>
      <c r="N1815" t="e">
        <v>#N/A</v>
      </c>
    </row>
    <row r="1816" spans="1:14" ht="15" customHeight="1" x14ac:dyDescent="0.3">
      <c r="A1816" s="3">
        <v>1209660419</v>
      </c>
      <c r="B1816" s="3" t="s">
        <v>2025</v>
      </c>
      <c r="C1816" s="3" t="s">
        <v>2026</v>
      </c>
      <c r="D1816" s="4">
        <v>46307.4616087963</v>
      </c>
      <c r="E1816" s="5" t="s">
        <v>10</v>
      </c>
      <c r="F1816" s="5" t="s">
        <v>11</v>
      </c>
      <c r="G1816" s="5">
        <v>17</v>
      </c>
      <c r="H1816" s="6" t="s">
        <v>12</v>
      </c>
      <c r="I1816" t="s">
        <v>2057</v>
      </c>
      <c r="J1816" t="s">
        <v>2480</v>
      </c>
      <c r="K1816" t="str">
        <f>+VLOOKUP(C1816,'[1]TIENDAS 2025'!$A$1:$C$143,3,0)</f>
        <v>departamental</v>
      </c>
      <c r="L1816" t="str">
        <f>+VLOOKUP(C1816,[2]Hoja1!$A$1:$B$138,2,0)</f>
        <v>APROBAR</v>
      </c>
      <c r="M1816">
        <v>1</v>
      </c>
      <c r="N1816" t="e">
        <v>#N/A</v>
      </c>
    </row>
    <row r="1817" spans="1:14" ht="15" customHeight="1" x14ac:dyDescent="0.3">
      <c r="A1817" s="3">
        <v>1209660522</v>
      </c>
      <c r="B1817" s="3" t="s">
        <v>2017</v>
      </c>
      <c r="C1817" s="3" t="s">
        <v>2018</v>
      </c>
      <c r="D1817" s="4">
        <v>46307.461620370399</v>
      </c>
      <c r="E1817" s="5" t="s">
        <v>10</v>
      </c>
      <c r="F1817" s="5" t="s">
        <v>11</v>
      </c>
      <c r="G1817" s="5">
        <v>3</v>
      </c>
      <c r="H1817" s="6" t="s">
        <v>12</v>
      </c>
      <c r="I1817" t="s">
        <v>2058</v>
      </c>
      <c r="J1817" t="s">
        <v>2480</v>
      </c>
      <c r="K1817" t="str">
        <f>+VLOOKUP(C1817,'[1]TIENDAS 2025'!$A$1:$C$143,3,0)</f>
        <v>departamental</v>
      </c>
      <c r="L1817" t="str">
        <f>+VLOOKUP(C1817,[2]Hoja1!$A$1:$B$138,2,0)</f>
        <v>APROBAR</v>
      </c>
      <c r="M1817">
        <v>1</v>
      </c>
      <c r="N1817" t="e">
        <v>#N/A</v>
      </c>
    </row>
    <row r="1818" spans="1:14" ht="15" customHeight="1" x14ac:dyDescent="0.3">
      <c r="A1818" s="3">
        <v>1209660494</v>
      </c>
      <c r="B1818" s="3" t="s">
        <v>2031</v>
      </c>
      <c r="C1818" s="3" t="s">
        <v>2032</v>
      </c>
      <c r="D1818" s="4">
        <v>46307.461643518502</v>
      </c>
      <c r="E1818" s="5" t="s">
        <v>10</v>
      </c>
      <c r="F1818" s="5" t="s">
        <v>11</v>
      </c>
      <c r="G1818" s="5">
        <v>47</v>
      </c>
      <c r="H1818" s="6" t="s">
        <v>12</v>
      </c>
      <c r="I1818" t="s">
        <v>2059</v>
      </c>
      <c r="J1818" t="s">
        <v>2480</v>
      </c>
      <c r="K1818" t="str">
        <f>+VLOOKUP(C1818,'[1]TIENDAS 2025'!$A$1:$C$143,3,0)</f>
        <v>prioridad</v>
      </c>
      <c r="L1818" t="str">
        <f>+VLOOKUP(C1818,[2]Hoja1!$A$1:$B$138,2,0)</f>
        <v>APROBAR</v>
      </c>
      <c r="M1818">
        <v>1</v>
      </c>
      <c r="N1818" t="e">
        <v>#N/A</v>
      </c>
    </row>
    <row r="1819" spans="1:14" ht="15" customHeight="1" x14ac:dyDescent="0.3">
      <c r="A1819" s="3">
        <v>1209660425</v>
      </c>
      <c r="B1819" s="3" t="s">
        <v>2025</v>
      </c>
      <c r="C1819" s="3" t="s">
        <v>2026</v>
      </c>
      <c r="D1819" s="4">
        <v>46307.4616550926</v>
      </c>
      <c r="E1819" s="5" t="s">
        <v>10</v>
      </c>
      <c r="F1819" s="5" t="s">
        <v>11</v>
      </c>
      <c r="G1819" s="5">
        <v>29</v>
      </c>
      <c r="H1819" s="6" t="s">
        <v>12</v>
      </c>
      <c r="I1819" t="s">
        <v>2060</v>
      </c>
      <c r="J1819" t="s">
        <v>2480</v>
      </c>
      <c r="K1819" t="str">
        <f>+VLOOKUP(C1819,'[1]TIENDAS 2025'!$A$1:$C$143,3,0)</f>
        <v>departamental</v>
      </c>
      <c r="L1819" t="str">
        <f>+VLOOKUP(C1819,[2]Hoja1!$A$1:$B$138,2,0)</f>
        <v>APROBAR</v>
      </c>
      <c r="M1819">
        <v>1</v>
      </c>
      <c r="N1819" t="e">
        <v>#N/A</v>
      </c>
    </row>
    <row r="1820" spans="1:14" ht="15" customHeight="1" x14ac:dyDescent="0.3">
      <c r="A1820" s="3">
        <v>8209660457</v>
      </c>
      <c r="B1820" s="3" t="s">
        <v>2011</v>
      </c>
      <c r="C1820" s="3" t="s">
        <v>2012</v>
      </c>
      <c r="D1820" s="4">
        <v>46307.461666666699</v>
      </c>
      <c r="E1820" s="5" t="s">
        <v>10</v>
      </c>
      <c r="F1820" s="5" t="s">
        <v>16</v>
      </c>
      <c r="G1820" s="5">
        <v>24</v>
      </c>
      <c r="H1820" s="8" t="s">
        <v>12</v>
      </c>
      <c r="I1820" t="s">
        <v>2061</v>
      </c>
      <c r="K1820" t="str">
        <f>+VLOOKUP(C1820,'[1]TIENDAS 2025'!$A$1:$C$143,3,0)</f>
        <v>local</v>
      </c>
      <c r="L1820" t="str">
        <f>+VLOOKUP(C1820,[2]Hoja1!$A$1:$B$138,2,0)</f>
        <v>APROBAR</v>
      </c>
      <c r="M1820">
        <v>1</v>
      </c>
      <c r="N1820" t="e">
        <v>#N/A</v>
      </c>
    </row>
    <row r="1821" spans="1:14" ht="15" customHeight="1" x14ac:dyDescent="0.3">
      <c r="A1821" s="3">
        <v>1209660390</v>
      </c>
      <c r="B1821" s="3" t="s">
        <v>2014</v>
      </c>
      <c r="C1821" s="3" t="s">
        <v>2015</v>
      </c>
      <c r="D1821" s="4">
        <v>46307.461678240703</v>
      </c>
      <c r="E1821" s="5" t="s">
        <v>10</v>
      </c>
      <c r="F1821" s="5" t="s">
        <v>11</v>
      </c>
      <c r="G1821" s="5">
        <v>32</v>
      </c>
      <c r="H1821" s="6" t="s">
        <v>12</v>
      </c>
      <c r="I1821" t="s">
        <v>2062</v>
      </c>
      <c r="J1821" t="s">
        <v>2480</v>
      </c>
      <c r="K1821" t="str">
        <f>+VLOOKUP(C1821,'[1]TIENDAS 2025'!$A$1:$C$143,3,0)</f>
        <v>local</v>
      </c>
      <c r="L1821" t="str">
        <f>+VLOOKUP(C1821,[2]Hoja1!$A$1:$B$138,2,0)</f>
        <v>APROBAR</v>
      </c>
      <c r="M1821">
        <v>1</v>
      </c>
      <c r="N1821" t="e">
        <v>#N/A</v>
      </c>
    </row>
    <row r="1822" spans="1:14" ht="15" customHeight="1" x14ac:dyDescent="0.3">
      <c r="A1822" s="3">
        <v>8209660511</v>
      </c>
      <c r="B1822" s="3" t="s">
        <v>2017</v>
      </c>
      <c r="C1822" s="3" t="s">
        <v>2018</v>
      </c>
      <c r="D1822" s="4">
        <v>46307.461689814802</v>
      </c>
      <c r="E1822" s="5" t="s">
        <v>10</v>
      </c>
      <c r="F1822" s="5" t="s">
        <v>16</v>
      </c>
      <c r="G1822" s="5">
        <v>5</v>
      </c>
      <c r="H1822" s="8" t="s">
        <v>12</v>
      </c>
      <c r="I1822" t="s">
        <v>2063</v>
      </c>
      <c r="K1822" t="str">
        <f>+VLOOKUP(C1822,'[1]TIENDAS 2025'!$A$1:$C$143,3,0)</f>
        <v>departamental</v>
      </c>
      <c r="L1822" t="str">
        <f>+VLOOKUP(C1822,[2]Hoja1!$A$1:$B$138,2,0)</f>
        <v>APROBAR</v>
      </c>
      <c r="M1822">
        <v>1</v>
      </c>
      <c r="N1822" t="e">
        <v>#N/A</v>
      </c>
    </row>
    <row r="1823" spans="1:14" ht="15" customHeight="1" x14ac:dyDescent="0.3">
      <c r="A1823" s="3">
        <v>8209660512</v>
      </c>
      <c r="B1823" s="3" t="s">
        <v>2017</v>
      </c>
      <c r="C1823" s="3" t="s">
        <v>2018</v>
      </c>
      <c r="D1823" s="4">
        <v>46307.461712962999</v>
      </c>
      <c r="E1823" s="5" t="s">
        <v>10</v>
      </c>
      <c r="F1823" s="5" t="s">
        <v>16</v>
      </c>
      <c r="G1823" s="5">
        <v>1</v>
      </c>
      <c r="H1823" s="8" t="s">
        <v>12</v>
      </c>
      <c r="I1823" t="s">
        <v>2064</v>
      </c>
      <c r="K1823" t="str">
        <f>+VLOOKUP(C1823,'[1]TIENDAS 2025'!$A$1:$C$143,3,0)</f>
        <v>departamental</v>
      </c>
      <c r="L1823" t="str">
        <f>+VLOOKUP(C1823,[2]Hoja1!$A$1:$B$138,2,0)</f>
        <v>APROBAR</v>
      </c>
      <c r="M1823">
        <v>1</v>
      </c>
      <c r="N1823" t="e">
        <v>#N/A</v>
      </c>
    </row>
    <row r="1824" spans="1:14" ht="15" customHeight="1" x14ac:dyDescent="0.3">
      <c r="A1824" s="3">
        <v>1209660428</v>
      </c>
      <c r="B1824" s="3" t="s">
        <v>2025</v>
      </c>
      <c r="C1824" s="3" t="s">
        <v>2026</v>
      </c>
      <c r="D1824" s="4">
        <v>46307.461724537003</v>
      </c>
      <c r="E1824" s="5" t="s">
        <v>10</v>
      </c>
      <c r="F1824" s="5" t="s">
        <v>11</v>
      </c>
      <c r="G1824" s="5">
        <v>42</v>
      </c>
      <c r="H1824" s="6" t="s">
        <v>12</v>
      </c>
      <c r="I1824" t="s">
        <v>2065</v>
      </c>
      <c r="J1824" t="s">
        <v>2480</v>
      </c>
      <c r="K1824" t="str">
        <f>+VLOOKUP(C1824,'[1]TIENDAS 2025'!$A$1:$C$143,3,0)</f>
        <v>departamental</v>
      </c>
      <c r="L1824" t="str">
        <f>+VLOOKUP(C1824,[2]Hoja1!$A$1:$B$138,2,0)</f>
        <v>APROBAR</v>
      </c>
      <c r="M1824">
        <v>1</v>
      </c>
      <c r="N1824" t="e">
        <v>#N/A</v>
      </c>
    </row>
    <row r="1825" spans="1:14" ht="15" customHeight="1" x14ac:dyDescent="0.3">
      <c r="A1825" s="3">
        <v>8209660480</v>
      </c>
      <c r="B1825" s="3" t="s">
        <v>2031</v>
      </c>
      <c r="C1825" s="3" t="s">
        <v>2032</v>
      </c>
      <c r="D1825" s="4">
        <v>46307.461736111101</v>
      </c>
      <c r="E1825" s="5" t="s">
        <v>10</v>
      </c>
      <c r="F1825" s="5" t="s">
        <v>16</v>
      </c>
      <c r="G1825" s="5">
        <v>3</v>
      </c>
      <c r="H1825" s="8" t="s">
        <v>12</v>
      </c>
      <c r="I1825" t="s">
        <v>2066</v>
      </c>
      <c r="K1825" t="str">
        <f>+VLOOKUP(C1825,'[1]TIENDAS 2025'!$A$1:$C$143,3,0)</f>
        <v>prioridad</v>
      </c>
      <c r="L1825" t="str">
        <f>+VLOOKUP(C1825,[2]Hoja1!$A$1:$B$138,2,0)</f>
        <v>APROBAR</v>
      </c>
      <c r="M1825">
        <v>1</v>
      </c>
      <c r="N1825" t="e">
        <v>#N/A</v>
      </c>
    </row>
    <row r="1826" spans="1:14" ht="15" customHeight="1" x14ac:dyDescent="0.3">
      <c r="A1826" s="3">
        <v>1209660359</v>
      </c>
      <c r="B1826" s="3" t="s">
        <v>2020</v>
      </c>
      <c r="C1826" s="3" t="s">
        <v>2021</v>
      </c>
      <c r="D1826" s="4">
        <v>46307.4617476852</v>
      </c>
      <c r="E1826" s="5" t="s">
        <v>10</v>
      </c>
      <c r="F1826" s="5" t="s">
        <v>11</v>
      </c>
      <c r="G1826" s="5">
        <v>2</v>
      </c>
      <c r="H1826" s="6" t="s">
        <v>12</v>
      </c>
      <c r="I1826" t="s">
        <v>2067</v>
      </c>
      <c r="J1826" t="s">
        <v>2480</v>
      </c>
      <c r="K1826" t="str">
        <f>+VLOOKUP(C1826,'[1]TIENDAS 2025'!$A$1:$C$143,3,0)</f>
        <v>departamental</v>
      </c>
      <c r="L1826" t="str">
        <f>+VLOOKUP(C1826,[2]Hoja1!$A$1:$B$138,2,0)</f>
        <v>APROBAR</v>
      </c>
      <c r="M1826">
        <v>1</v>
      </c>
      <c r="N1826" t="e">
        <v>#N/A</v>
      </c>
    </row>
    <row r="1827" spans="1:14" ht="15" customHeight="1" x14ac:dyDescent="0.3">
      <c r="A1827" s="3">
        <v>1209660392</v>
      </c>
      <c r="B1827" s="3" t="s">
        <v>2014</v>
      </c>
      <c r="C1827" s="3" t="s">
        <v>2015</v>
      </c>
      <c r="D1827" s="4">
        <v>46307.461770833303</v>
      </c>
      <c r="E1827" s="5" t="s">
        <v>10</v>
      </c>
      <c r="F1827" s="5" t="s">
        <v>11</v>
      </c>
      <c r="G1827" s="5">
        <v>38</v>
      </c>
      <c r="H1827" s="6" t="s">
        <v>12</v>
      </c>
      <c r="I1827" t="s">
        <v>2068</v>
      </c>
      <c r="J1827" t="s">
        <v>2480</v>
      </c>
      <c r="K1827" t="str">
        <f>+VLOOKUP(C1827,'[1]TIENDAS 2025'!$A$1:$C$143,3,0)</f>
        <v>local</v>
      </c>
      <c r="L1827" t="str">
        <f>+VLOOKUP(C1827,[2]Hoja1!$A$1:$B$138,2,0)</f>
        <v>APROBAR</v>
      </c>
      <c r="M1827">
        <v>1</v>
      </c>
      <c r="N1827" t="e">
        <v>#N/A</v>
      </c>
    </row>
    <row r="1828" spans="1:14" ht="15" customHeight="1" x14ac:dyDescent="0.3">
      <c r="A1828" s="3">
        <v>1209660418</v>
      </c>
      <c r="B1828" s="3" t="s">
        <v>2025</v>
      </c>
      <c r="C1828" s="3" t="s">
        <v>2026</v>
      </c>
      <c r="D1828" s="4">
        <v>46307.461782407401</v>
      </c>
      <c r="E1828" s="5" t="s">
        <v>10</v>
      </c>
      <c r="F1828" s="5" t="s">
        <v>11</v>
      </c>
      <c r="G1828" s="5">
        <v>20</v>
      </c>
      <c r="H1828" s="6" t="s">
        <v>12</v>
      </c>
      <c r="I1828" t="s">
        <v>2069</v>
      </c>
      <c r="J1828" t="s">
        <v>2480</v>
      </c>
      <c r="K1828" t="str">
        <f>+VLOOKUP(C1828,'[1]TIENDAS 2025'!$A$1:$C$143,3,0)</f>
        <v>departamental</v>
      </c>
      <c r="L1828" t="str">
        <f>+VLOOKUP(C1828,[2]Hoja1!$A$1:$B$138,2,0)</f>
        <v>APROBAR</v>
      </c>
      <c r="M1828">
        <v>1</v>
      </c>
      <c r="N1828" t="e">
        <v>#N/A</v>
      </c>
    </row>
    <row r="1829" spans="1:14" ht="15" customHeight="1" x14ac:dyDescent="0.3">
      <c r="A1829" s="3">
        <v>1209660449</v>
      </c>
      <c r="B1829" s="3" t="s">
        <v>2011</v>
      </c>
      <c r="C1829" s="3" t="s">
        <v>2012</v>
      </c>
      <c r="D1829" s="4">
        <v>46307.4617939815</v>
      </c>
      <c r="E1829" s="5" t="s">
        <v>10</v>
      </c>
      <c r="F1829" s="5" t="s">
        <v>11</v>
      </c>
      <c r="G1829" s="5">
        <v>18</v>
      </c>
      <c r="H1829" s="6" t="s">
        <v>12</v>
      </c>
      <c r="I1829" t="s">
        <v>2070</v>
      </c>
      <c r="J1829" t="s">
        <v>2480</v>
      </c>
      <c r="K1829" t="str">
        <f>+VLOOKUP(C1829,'[1]TIENDAS 2025'!$A$1:$C$143,3,0)</f>
        <v>local</v>
      </c>
      <c r="L1829" t="str">
        <f>+VLOOKUP(C1829,[2]Hoja1!$A$1:$B$138,2,0)</f>
        <v>APROBAR</v>
      </c>
      <c r="M1829">
        <v>1</v>
      </c>
      <c r="N1829" t="e">
        <v>#N/A</v>
      </c>
    </row>
    <row r="1830" spans="1:14" ht="15" customHeight="1" x14ac:dyDescent="0.3">
      <c r="A1830" s="3">
        <v>1209660450</v>
      </c>
      <c r="B1830" s="3" t="s">
        <v>2011</v>
      </c>
      <c r="C1830" s="3" t="s">
        <v>2012</v>
      </c>
      <c r="D1830" s="4">
        <v>46307.461817129602</v>
      </c>
      <c r="E1830" s="5" t="s">
        <v>10</v>
      </c>
      <c r="F1830" s="5" t="s">
        <v>17</v>
      </c>
      <c r="G1830" s="5">
        <v>22</v>
      </c>
      <c r="H1830" s="6" t="s">
        <v>12</v>
      </c>
      <c r="I1830" t="s">
        <v>2071</v>
      </c>
      <c r="J1830" t="s">
        <v>2480</v>
      </c>
      <c r="K1830" t="str">
        <f>+VLOOKUP(C1830,'[1]TIENDAS 2025'!$A$1:$C$143,3,0)</f>
        <v>local</v>
      </c>
      <c r="L1830" t="str">
        <f>+VLOOKUP(C1830,[2]Hoja1!$A$1:$B$138,2,0)</f>
        <v>APROBAR</v>
      </c>
      <c r="M1830">
        <v>1</v>
      </c>
      <c r="N1830" t="e">
        <v>#N/A</v>
      </c>
    </row>
    <row r="1831" spans="1:14" ht="15" customHeight="1" x14ac:dyDescent="0.3">
      <c r="A1831" s="3">
        <v>1209660420</v>
      </c>
      <c r="B1831" s="3" t="s">
        <v>2025</v>
      </c>
      <c r="C1831" s="3" t="s">
        <v>2026</v>
      </c>
      <c r="D1831" s="4">
        <v>46307.461828703701</v>
      </c>
      <c r="E1831" s="5" t="s">
        <v>10</v>
      </c>
      <c r="F1831" s="5" t="s">
        <v>11</v>
      </c>
      <c r="G1831" s="5">
        <v>31</v>
      </c>
      <c r="H1831" s="6" t="s">
        <v>12</v>
      </c>
      <c r="I1831" t="s">
        <v>2072</v>
      </c>
      <c r="J1831" t="s">
        <v>2480</v>
      </c>
      <c r="K1831" t="str">
        <f>+VLOOKUP(C1831,'[1]TIENDAS 2025'!$A$1:$C$143,3,0)</f>
        <v>departamental</v>
      </c>
      <c r="L1831" t="str">
        <f>+VLOOKUP(C1831,[2]Hoja1!$A$1:$B$138,2,0)</f>
        <v>APROBAR</v>
      </c>
      <c r="M1831">
        <v>1</v>
      </c>
      <c r="N1831" t="e">
        <v>#N/A</v>
      </c>
    </row>
    <row r="1832" spans="1:14" ht="15" customHeight="1" x14ac:dyDescent="0.3">
      <c r="A1832" s="3">
        <v>8209660380</v>
      </c>
      <c r="B1832" s="3" t="s">
        <v>2014</v>
      </c>
      <c r="C1832" s="3" t="s">
        <v>2015</v>
      </c>
      <c r="D1832" s="4">
        <v>46307.461851851898</v>
      </c>
      <c r="E1832" s="5" t="s">
        <v>10</v>
      </c>
      <c r="F1832" s="5" t="s">
        <v>16</v>
      </c>
      <c r="G1832" s="5">
        <v>1</v>
      </c>
      <c r="H1832" s="8" t="s">
        <v>12</v>
      </c>
      <c r="I1832" t="s">
        <v>2073</v>
      </c>
      <c r="K1832" t="str">
        <f>+VLOOKUP(C1832,'[1]TIENDAS 2025'!$A$1:$C$143,3,0)</f>
        <v>local</v>
      </c>
      <c r="L1832" t="str">
        <f>+VLOOKUP(C1832,[2]Hoja1!$A$1:$B$138,2,0)</f>
        <v>APROBAR</v>
      </c>
      <c r="M1832">
        <v>1</v>
      </c>
      <c r="N1832" t="e">
        <v>#N/A</v>
      </c>
    </row>
    <row r="1833" spans="1:14" ht="15" customHeight="1" x14ac:dyDescent="0.3">
      <c r="A1833" s="3">
        <v>8209660381</v>
      </c>
      <c r="B1833" s="3" t="s">
        <v>2014</v>
      </c>
      <c r="C1833" s="3" t="s">
        <v>2015</v>
      </c>
      <c r="D1833" s="4">
        <v>46307.461863425902</v>
      </c>
      <c r="E1833" s="5" t="s">
        <v>10</v>
      </c>
      <c r="F1833" s="5" t="s">
        <v>16</v>
      </c>
      <c r="G1833" s="5">
        <v>1</v>
      </c>
      <c r="H1833" s="8" t="s">
        <v>12</v>
      </c>
      <c r="I1833" t="s">
        <v>2074</v>
      </c>
      <c r="K1833" t="str">
        <f>+VLOOKUP(C1833,'[1]TIENDAS 2025'!$A$1:$C$143,3,0)</f>
        <v>local</v>
      </c>
      <c r="L1833" t="str">
        <f>+VLOOKUP(C1833,[2]Hoja1!$A$1:$B$138,2,0)</f>
        <v>APROBAR</v>
      </c>
      <c r="M1833">
        <v>1</v>
      </c>
      <c r="N1833" t="e">
        <v>#N/A</v>
      </c>
    </row>
    <row r="1834" spans="1:14" ht="15" customHeight="1" x14ac:dyDescent="0.3">
      <c r="A1834" s="3">
        <v>8209660382</v>
      </c>
      <c r="B1834" s="3" t="s">
        <v>2014</v>
      </c>
      <c r="C1834" s="3" t="s">
        <v>2015</v>
      </c>
      <c r="D1834" s="4">
        <v>46307.461886574099</v>
      </c>
      <c r="E1834" s="5" t="s">
        <v>10</v>
      </c>
      <c r="F1834" s="5" t="s">
        <v>16</v>
      </c>
      <c r="G1834" s="5">
        <v>3</v>
      </c>
      <c r="H1834" s="8" t="s">
        <v>12</v>
      </c>
      <c r="I1834" t="s">
        <v>2075</v>
      </c>
      <c r="K1834" t="str">
        <f>+VLOOKUP(C1834,'[1]TIENDAS 2025'!$A$1:$C$143,3,0)</f>
        <v>local</v>
      </c>
      <c r="L1834" t="str">
        <f>+VLOOKUP(C1834,[2]Hoja1!$A$1:$B$138,2,0)</f>
        <v>APROBAR</v>
      </c>
      <c r="M1834">
        <v>1</v>
      </c>
      <c r="N1834" t="e">
        <v>#N/A</v>
      </c>
    </row>
    <row r="1835" spans="1:14" ht="15" customHeight="1" x14ac:dyDescent="0.3">
      <c r="A1835" s="3">
        <v>8209660383</v>
      </c>
      <c r="B1835" s="3" t="s">
        <v>2014</v>
      </c>
      <c r="C1835" s="3" t="s">
        <v>2015</v>
      </c>
      <c r="D1835" s="4">
        <v>46307.461898148104</v>
      </c>
      <c r="E1835" s="5" t="s">
        <v>10</v>
      </c>
      <c r="F1835" s="5" t="s">
        <v>16</v>
      </c>
      <c r="G1835" s="5">
        <v>8</v>
      </c>
      <c r="H1835" s="8" t="s">
        <v>12</v>
      </c>
      <c r="I1835" t="s">
        <v>2076</v>
      </c>
      <c r="K1835" t="str">
        <f>+VLOOKUP(C1835,'[1]TIENDAS 2025'!$A$1:$C$143,3,0)</f>
        <v>local</v>
      </c>
      <c r="L1835" t="str">
        <f>+VLOOKUP(C1835,[2]Hoja1!$A$1:$B$138,2,0)</f>
        <v>APROBAR</v>
      </c>
      <c r="M1835">
        <v>1</v>
      </c>
      <c r="N1835" t="e">
        <v>#N/A</v>
      </c>
    </row>
    <row r="1836" spans="1:14" ht="15" customHeight="1" x14ac:dyDescent="0.3">
      <c r="A1836" s="3">
        <v>1209660386</v>
      </c>
      <c r="B1836" s="3" t="s">
        <v>2014</v>
      </c>
      <c r="C1836" s="3" t="s">
        <v>2015</v>
      </c>
      <c r="D1836" s="4">
        <v>46307.461909722202</v>
      </c>
      <c r="E1836" s="5" t="s">
        <v>10</v>
      </c>
      <c r="F1836" s="5" t="s">
        <v>17</v>
      </c>
      <c r="G1836" s="5">
        <v>13</v>
      </c>
      <c r="H1836" s="6" t="s">
        <v>12</v>
      </c>
      <c r="I1836" t="s">
        <v>2077</v>
      </c>
      <c r="J1836" t="s">
        <v>2480</v>
      </c>
      <c r="K1836" t="str">
        <f>+VLOOKUP(C1836,'[1]TIENDAS 2025'!$A$1:$C$143,3,0)</f>
        <v>local</v>
      </c>
      <c r="L1836" t="str">
        <f>+VLOOKUP(C1836,[2]Hoja1!$A$1:$B$138,2,0)</f>
        <v>APROBAR</v>
      </c>
      <c r="M1836">
        <v>1</v>
      </c>
      <c r="N1836" t="e">
        <v>#N/A</v>
      </c>
    </row>
    <row r="1837" spans="1:14" ht="15" customHeight="1" x14ac:dyDescent="0.3">
      <c r="A1837" s="3">
        <v>8209660507</v>
      </c>
      <c r="B1837" s="3" t="s">
        <v>2017</v>
      </c>
      <c r="C1837" s="3" t="s">
        <v>2018</v>
      </c>
      <c r="D1837" s="4">
        <v>46307.461921296301</v>
      </c>
      <c r="E1837" s="5" t="s">
        <v>10</v>
      </c>
      <c r="F1837" s="5" t="s">
        <v>16</v>
      </c>
      <c r="G1837" s="5">
        <v>1</v>
      </c>
      <c r="H1837" s="8" t="s">
        <v>12</v>
      </c>
      <c r="I1837" t="s">
        <v>2078</v>
      </c>
      <c r="K1837" t="str">
        <f>+VLOOKUP(C1837,'[1]TIENDAS 2025'!$A$1:$C$143,3,0)</f>
        <v>departamental</v>
      </c>
      <c r="L1837" t="str">
        <f>+VLOOKUP(C1837,[2]Hoja1!$A$1:$B$138,2,0)</f>
        <v>APROBAR</v>
      </c>
      <c r="M1837">
        <v>1</v>
      </c>
      <c r="N1837" t="e">
        <v>#N/A</v>
      </c>
    </row>
    <row r="1838" spans="1:14" ht="15" customHeight="1" x14ac:dyDescent="0.3">
      <c r="A1838" s="3">
        <v>1209660513</v>
      </c>
      <c r="B1838" s="3" t="s">
        <v>2017</v>
      </c>
      <c r="C1838" s="3" t="s">
        <v>2018</v>
      </c>
      <c r="D1838" s="4">
        <v>46307.461932870399</v>
      </c>
      <c r="E1838" s="5" t="s">
        <v>10</v>
      </c>
      <c r="F1838" s="5" t="s">
        <v>11</v>
      </c>
      <c r="G1838" s="5">
        <v>7</v>
      </c>
      <c r="H1838" s="6" t="s">
        <v>12</v>
      </c>
      <c r="I1838" t="s">
        <v>2079</v>
      </c>
      <c r="J1838" t="s">
        <v>2480</v>
      </c>
      <c r="K1838" t="str">
        <f>+VLOOKUP(C1838,'[1]TIENDAS 2025'!$A$1:$C$143,3,0)</f>
        <v>departamental</v>
      </c>
      <c r="L1838" t="str">
        <f>+VLOOKUP(C1838,[2]Hoja1!$A$1:$B$138,2,0)</f>
        <v>APROBAR</v>
      </c>
      <c r="M1838">
        <v>1</v>
      </c>
      <c r="N1838" t="e">
        <v>#N/A</v>
      </c>
    </row>
    <row r="1839" spans="1:14" ht="15" customHeight="1" x14ac:dyDescent="0.3">
      <c r="A1839" s="3">
        <v>1209660360</v>
      </c>
      <c r="B1839" s="3" t="s">
        <v>2020</v>
      </c>
      <c r="C1839" s="3" t="s">
        <v>2021</v>
      </c>
      <c r="D1839" s="4">
        <v>46307.461956018502</v>
      </c>
      <c r="E1839" s="5" t="s">
        <v>10</v>
      </c>
      <c r="F1839" s="5" t="s">
        <v>11</v>
      </c>
      <c r="G1839" s="5">
        <v>39</v>
      </c>
      <c r="H1839" s="6" t="s">
        <v>12</v>
      </c>
      <c r="I1839" t="s">
        <v>2080</v>
      </c>
      <c r="J1839" t="s">
        <v>2480</v>
      </c>
      <c r="K1839" t="str">
        <f>+VLOOKUP(C1839,'[1]TIENDAS 2025'!$A$1:$C$143,3,0)</f>
        <v>departamental</v>
      </c>
      <c r="L1839" t="str">
        <f>+VLOOKUP(C1839,[2]Hoja1!$A$1:$B$138,2,0)</f>
        <v>APROBAR</v>
      </c>
      <c r="M1839">
        <v>1</v>
      </c>
      <c r="N1839" t="e">
        <v>#N/A</v>
      </c>
    </row>
    <row r="1840" spans="1:14" ht="15" customHeight="1" x14ac:dyDescent="0.3">
      <c r="A1840" s="3">
        <v>8209660337</v>
      </c>
      <c r="B1840" s="3" t="s">
        <v>2020</v>
      </c>
      <c r="C1840" s="3" t="s">
        <v>2021</v>
      </c>
      <c r="D1840" s="4">
        <v>46307.461979166699</v>
      </c>
      <c r="E1840" s="5" t="s">
        <v>10</v>
      </c>
      <c r="F1840" s="5" t="s">
        <v>16</v>
      </c>
      <c r="G1840" s="5">
        <v>3</v>
      </c>
      <c r="H1840" s="8" t="s">
        <v>12</v>
      </c>
      <c r="I1840" t="s">
        <v>2081</v>
      </c>
      <c r="K1840" t="str">
        <f>+VLOOKUP(C1840,'[1]TIENDAS 2025'!$A$1:$C$143,3,0)</f>
        <v>departamental</v>
      </c>
      <c r="L1840" t="str">
        <f>+VLOOKUP(C1840,[2]Hoja1!$A$1:$B$138,2,0)</f>
        <v>APROBAR</v>
      </c>
      <c r="M1840">
        <v>1</v>
      </c>
      <c r="N1840" t="e">
        <v>#N/A</v>
      </c>
    </row>
    <row r="1841" spans="1:14" ht="15" customHeight="1" x14ac:dyDescent="0.3">
      <c r="A1841" s="3">
        <v>1209660490</v>
      </c>
      <c r="B1841" s="3" t="s">
        <v>2031</v>
      </c>
      <c r="C1841" s="3" t="s">
        <v>2032</v>
      </c>
      <c r="D1841" s="4">
        <v>46307.461990740703</v>
      </c>
      <c r="E1841" s="5" t="s">
        <v>10</v>
      </c>
      <c r="F1841" s="5" t="s">
        <v>11</v>
      </c>
      <c r="G1841" s="5">
        <v>15</v>
      </c>
      <c r="H1841" s="6" t="s">
        <v>12</v>
      </c>
      <c r="I1841" t="s">
        <v>2082</v>
      </c>
      <c r="J1841" t="s">
        <v>2480</v>
      </c>
      <c r="K1841" t="str">
        <f>+VLOOKUP(C1841,'[1]TIENDAS 2025'!$A$1:$C$143,3,0)</f>
        <v>prioridad</v>
      </c>
      <c r="L1841" t="str">
        <f>+VLOOKUP(C1841,[2]Hoja1!$A$1:$B$138,2,0)</f>
        <v>APROBAR</v>
      </c>
      <c r="M1841">
        <v>1</v>
      </c>
      <c r="N1841" t="e">
        <v>#N/A</v>
      </c>
    </row>
    <row r="1842" spans="1:14" ht="15" customHeight="1" x14ac:dyDescent="0.3">
      <c r="A1842" s="3">
        <v>8209660348</v>
      </c>
      <c r="B1842" s="3" t="s">
        <v>2020</v>
      </c>
      <c r="C1842" s="3" t="s">
        <v>2021</v>
      </c>
      <c r="D1842" s="4">
        <v>46307.462002314802</v>
      </c>
      <c r="E1842" s="5" t="s">
        <v>10</v>
      </c>
      <c r="F1842" s="5" t="s">
        <v>16</v>
      </c>
      <c r="G1842" s="5">
        <v>3</v>
      </c>
      <c r="H1842" s="8" t="s">
        <v>12</v>
      </c>
      <c r="I1842" t="s">
        <v>2083</v>
      </c>
      <c r="K1842" t="str">
        <f>+VLOOKUP(C1842,'[1]TIENDAS 2025'!$A$1:$C$143,3,0)</f>
        <v>departamental</v>
      </c>
      <c r="L1842" t="str">
        <f>+VLOOKUP(C1842,[2]Hoja1!$A$1:$B$138,2,0)</f>
        <v>APROBAR</v>
      </c>
      <c r="M1842">
        <v>1</v>
      </c>
      <c r="N1842" t="e">
        <v>#N/A</v>
      </c>
    </row>
    <row r="1843" spans="1:14" ht="15" customHeight="1" x14ac:dyDescent="0.3">
      <c r="A1843" s="3">
        <v>1209660353</v>
      </c>
      <c r="B1843" s="3" t="s">
        <v>2020</v>
      </c>
      <c r="C1843" s="3" t="s">
        <v>2021</v>
      </c>
      <c r="D1843" s="4">
        <v>46307.4620138889</v>
      </c>
      <c r="E1843" s="5" t="s">
        <v>10</v>
      </c>
      <c r="F1843" s="5" t="s">
        <v>11</v>
      </c>
      <c r="G1843" s="5">
        <v>8</v>
      </c>
      <c r="H1843" s="6" t="s">
        <v>12</v>
      </c>
      <c r="I1843" t="s">
        <v>2084</v>
      </c>
      <c r="J1843" t="s">
        <v>2480</v>
      </c>
      <c r="K1843" t="str">
        <f>+VLOOKUP(C1843,'[1]TIENDAS 2025'!$A$1:$C$143,3,0)</f>
        <v>departamental</v>
      </c>
      <c r="L1843" t="str">
        <f>+VLOOKUP(C1843,[2]Hoja1!$A$1:$B$138,2,0)</f>
        <v>APROBAR</v>
      </c>
      <c r="M1843">
        <v>1</v>
      </c>
      <c r="N1843" t="e">
        <v>#N/A</v>
      </c>
    </row>
    <row r="1844" spans="1:14" ht="15" customHeight="1" x14ac:dyDescent="0.3">
      <c r="A1844" s="3">
        <v>8209660409</v>
      </c>
      <c r="B1844" s="3" t="s">
        <v>2025</v>
      </c>
      <c r="C1844" s="3" t="s">
        <v>2026</v>
      </c>
      <c r="D1844" s="4">
        <v>46307.462025462999</v>
      </c>
      <c r="E1844" s="5" t="s">
        <v>10</v>
      </c>
      <c r="F1844" s="5" t="s">
        <v>16</v>
      </c>
      <c r="G1844" s="5">
        <v>4</v>
      </c>
      <c r="H1844" s="8" t="s">
        <v>12</v>
      </c>
      <c r="I1844" t="s">
        <v>2085</v>
      </c>
      <c r="K1844" t="str">
        <f>+VLOOKUP(C1844,'[1]TIENDAS 2025'!$A$1:$C$143,3,0)</f>
        <v>departamental</v>
      </c>
      <c r="L1844" t="str">
        <f>+VLOOKUP(C1844,[2]Hoja1!$A$1:$B$138,2,0)</f>
        <v>APROBAR</v>
      </c>
      <c r="M1844">
        <v>1</v>
      </c>
      <c r="N1844" t="e">
        <v>#N/A</v>
      </c>
    </row>
    <row r="1845" spans="1:14" ht="15" customHeight="1" x14ac:dyDescent="0.3">
      <c r="A1845" s="3">
        <v>1209660358</v>
      </c>
      <c r="B1845" s="3" t="s">
        <v>2020</v>
      </c>
      <c r="C1845" s="3" t="s">
        <v>2021</v>
      </c>
      <c r="D1845" s="4">
        <v>46307.462048611102</v>
      </c>
      <c r="E1845" s="5" t="s">
        <v>10</v>
      </c>
      <c r="F1845" s="5" t="s">
        <v>17</v>
      </c>
      <c r="G1845" s="5">
        <v>27</v>
      </c>
      <c r="H1845" s="6" t="s">
        <v>12</v>
      </c>
      <c r="I1845" t="s">
        <v>2086</v>
      </c>
      <c r="J1845" t="s">
        <v>2480</v>
      </c>
      <c r="K1845" t="str">
        <f>+VLOOKUP(C1845,'[1]TIENDAS 2025'!$A$1:$C$143,3,0)</f>
        <v>departamental</v>
      </c>
      <c r="L1845" t="str">
        <f>+VLOOKUP(C1845,[2]Hoja1!$A$1:$B$138,2,0)</f>
        <v>APROBAR</v>
      </c>
      <c r="M1845">
        <v>1</v>
      </c>
      <c r="N1845" t="e">
        <v>#N/A</v>
      </c>
    </row>
    <row r="1846" spans="1:14" ht="15" customHeight="1" x14ac:dyDescent="0.3">
      <c r="A1846" s="3">
        <v>1209660424</v>
      </c>
      <c r="B1846" s="3" t="s">
        <v>2025</v>
      </c>
      <c r="C1846" s="3" t="s">
        <v>2026</v>
      </c>
      <c r="D1846" s="4">
        <v>46307.4620601852</v>
      </c>
      <c r="E1846" s="5" t="s">
        <v>10</v>
      </c>
      <c r="F1846" s="5" t="s">
        <v>11</v>
      </c>
      <c r="G1846" s="5">
        <v>17</v>
      </c>
      <c r="H1846" s="6" t="s">
        <v>12</v>
      </c>
      <c r="I1846" t="s">
        <v>2087</v>
      </c>
      <c r="J1846" t="s">
        <v>2480</v>
      </c>
      <c r="K1846" t="str">
        <f>+VLOOKUP(C1846,'[1]TIENDAS 2025'!$A$1:$C$143,3,0)</f>
        <v>departamental</v>
      </c>
      <c r="L1846" t="str">
        <f>+VLOOKUP(C1846,[2]Hoja1!$A$1:$B$138,2,0)</f>
        <v>APROBAR</v>
      </c>
      <c r="M1846">
        <v>1</v>
      </c>
      <c r="N1846" t="e">
        <v>#N/A</v>
      </c>
    </row>
    <row r="1847" spans="1:14" ht="15" customHeight="1" x14ac:dyDescent="0.3">
      <c r="A1847" s="3">
        <v>8209660442</v>
      </c>
      <c r="B1847" s="3" t="s">
        <v>2011</v>
      </c>
      <c r="C1847" s="3" t="s">
        <v>2012</v>
      </c>
      <c r="D1847" s="4">
        <v>46307.462083333303</v>
      </c>
      <c r="E1847" s="5" t="s">
        <v>10</v>
      </c>
      <c r="F1847" s="5" t="s">
        <v>16</v>
      </c>
      <c r="G1847" s="5">
        <v>5</v>
      </c>
      <c r="H1847" s="8" t="s">
        <v>12</v>
      </c>
      <c r="I1847" t="s">
        <v>2088</v>
      </c>
      <c r="K1847" t="str">
        <f>+VLOOKUP(C1847,'[1]TIENDAS 2025'!$A$1:$C$143,3,0)</f>
        <v>local</v>
      </c>
      <c r="L1847" t="str">
        <f>+VLOOKUP(C1847,[2]Hoja1!$A$1:$B$138,2,0)</f>
        <v>APROBAR</v>
      </c>
      <c r="M1847">
        <v>1</v>
      </c>
      <c r="N1847" t="e">
        <v>#N/A</v>
      </c>
    </row>
    <row r="1848" spans="1:14" ht="15" customHeight="1" x14ac:dyDescent="0.3">
      <c r="A1848" s="3">
        <v>1209660415</v>
      </c>
      <c r="B1848" s="3" t="s">
        <v>2025</v>
      </c>
      <c r="C1848" s="3" t="s">
        <v>2026</v>
      </c>
      <c r="D1848" s="4">
        <v>46307.4621064815</v>
      </c>
      <c r="E1848" s="5" t="s">
        <v>10</v>
      </c>
      <c r="F1848" s="5" t="s">
        <v>11</v>
      </c>
      <c r="G1848" s="5">
        <v>8</v>
      </c>
      <c r="H1848" s="6" t="s">
        <v>12</v>
      </c>
      <c r="I1848" t="s">
        <v>2089</v>
      </c>
      <c r="J1848" t="s">
        <v>2480</v>
      </c>
      <c r="K1848" t="str">
        <f>+VLOOKUP(C1848,'[1]TIENDAS 2025'!$A$1:$C$143,3,0)</f>
        <v>departamental</v>
      </c>
      <c r="L1848" t="str">
        <f>+VLOOKUP(C1848,[2]Hoja1!$A$1:$B$138,2,0)</f>
        <v>APROBAR</v>
      </c>
      <c r="M1848">
        <v>1</v>
      </c>
      <c r="N1848" t="e">
        <v>#N/A</v>
      </c>
    </row>
    <row r="1849" spans="1:14" ht="15" customHeight="1" x14ac:dyDescent="0.3">
      <c r="A1849" s="3">
        <v>8209660481</v>
      </c>
      <c r="B1849" s="3" t="s">
        <v>2031</v>
      </c>
      <c r="C1849" s="3" t="s">
        <v>2032</v>
      </c>
      <c r="D1849" s="4">
        <v>46307.4621064815</v>
      </c>
      <c r="E1849" s="5" t="s">
        <v>10</v>
      </c>
      <c r="F1849" s="5" t="s">
        <v>16</v>
      </c>
      <c r="G1849" s="5">
        <v>6</v>
      </c>
      <c r="H1849" s="8" t="s">
        <v>12</v>
      </c>
      <c r="I1849" t="s">
        <v>2090</v>
      </c>
      <c r="K1849" t="str">
        <f>+VLOOKUP(C1849,'[1]TIENDAS 2025'!$A$1:$C$143,3,0)</f>
        <v>prioridad</v>
      </c>
      <c r="L1849" t="str">
        <f>+VLOOKUP(C1849,[2]Hoja1!$A$1:$B$138,2,0)</f>
        <v>APROBAR</v>
      </c>
      <c r="M1849">
        <v>1</v>
      </c>
      <c r="N1849" t="e">
        <v>#N/A</v>
      </c>
    </row>
    <row r="1850" spans="1:14" ht="15" customHeight="1" x14ac:dyDescent="0.3">
      <c r="A1850" s="3">
        <v>1209660467</v>
      </c>
      <c r="B1850" s="3" t="s">
        <v>2011</v>
      </c>
      <c r="C1850" s="3" t="s">
        <v>2012</v>
      </c>
      <c r="D1850" s="4">
        <v>46307.462129629603</v>
      </c>
      <c r="E1850" s="5" t="s">
        <v>10</v>
      </c>
      <c r="F1850" s="5" t="s">
        <v>17</v>
      </c>
      <c r="G1850" s="5">
        <v>49</v>
      </c>
      <c r="H1850" s="6" t="s">
        <v>12</v>
      </c>
      <c r="I1850" t="s">
        <v>2091</v>
      </c>
      <c r="J1850" t="s">
        <v>2480</v>
      </c>
      <c r="K1850" t="str">
        <f>+VLOOKUP(C1850,'[1]TIENDAS 2025'!$A$1:$C$143,3,0)</f>
        <v>local</v>
      </c>
      <c r="L1850" t="str">
        <f>+VLOOKUP(C1850,[2]Hoja1!$A$1:$B$138,2,0)</f>
        <v>APROBAR</v>
      </c>
      <c r="M1850">
        <v>1</v>
      </c>
      <c r="N1850" t="e">
        <v>#N/A</v>
      </c>
    </row>
    <row r="1851" spans="1:14" ht="15" customHeight="1" x14ac:dyDescent="0.3">
      <c r="A1851" s="3">
        <v>1209660487</v>
      </c>
      <c r="B1851" s="3" t="s">
        <v>2031</v>
      </c>
      <c r="C1851" s="3" t="s">
        <v>2032</v>
      </c>
      <c r="D1851" s="4">
        <v>46307.462141203701</v>
      </c>
      <c r="E1851" s="5" t="s">
        <v>10</v>
      </c>
      <c r="F1851" s="5" t="s">
        <v>17</v>
      </c>
      <c r="G1851" s="5">
        <v>15</v>
      </c>
      <c r="H1851" s="6" t="s">
        <v>12</v>
      </c>
      <c r="I1851" t="s">
        <v>2092</v>
      </c>
      <c r="J1851" t="s">
        <v>2480</v>
      </c>
      <c r="K1851" t="str">
        <f>+VLOOKUP(C1851,'[1]TIENDAS 2025'!$A$1:$C$143,3,0)</f>
        <v>prioridad</v>
      </c>
      <c r="L1851" t="str">
        <f>+VLOOKUP(C1851,[2]Hoja1!$A$1:$B$138,2,0)</f>
        <v>APROBAR</v>
      </c>
      <c r="M1851">
        <v>1</v>
      </c>
      <c r="N1851" t="e">
        <v>#N/A</v>
      </c>
    </row>
    <row r="1852" spans="1:14" ht="15" customHeight="1" x14ac:dyDescent="0.3">
      <c r="A1852" s="3">
        <v>1209660517</v>
      </c>
      <c r="B1852" s="3" t="s">
        <v>2017</v>
      </c>
      <c r="C1852" s="3" t="s">
        <v>2018</v>
      </c>
      <c r="D1852" s="4">
        <v>46307.462164351899</v>
      </c>
      <c r="E1852" s="5" t="s">
        <v>10</v>
      </c>
      <c r="F1852" s="5" t="s">
        <v>17</v>
      </c>
      <c r="G1852" s="5">
        <v>17</v>
      </c>
      <c r="H1852" s="6" t="s">
        <v>12</v>
      </c>
      <c r="I1852" t="s">
        <v>2093</v>
      </c>
      <c r="J1852" t="s">
        <v>2480</v>
      </c>
      <c r="K1852" t="str">
        <f>+VLOOKUP(C1852,'[1]TIENDAS 2025'!$A$1:$C$143,3,0)</f>
        <v>departamental</v>
      </c>
      <c r="L1852" t="str">
        <f>+VLOOKUP(C1852,[2]Hoja1!$A$1:$B$138,2,0)</f>
        <v>APROBAR</v>
      </c>
      <c r="M1852">
        <v>1</v>
      </c>
      <c r="N1852" t="e">
        <v>#N/A</v>
      </c>
    </row>
    <row r="1853" spans="1:14" ht="15" customHeight="1" x14ac:dyDescent="0.3">
      <c r="A1853" s="3">
        <v>1209660489</v>
      </c>
      <c r="B1853" s="3" t="s">
        <v>2031</v>
      </c>
      <c r="C1853" s="3" t="s">
        <v>2032</v>
      </c>
      <c r="D1853" s="4">
        <v>46307.462175925903</v>
      </c>
      <c r="E1853" s="5" t="s">
        <v>10</v>
      </c>
      <c r="F1853" s="5" t="s">
        <v>17</v>
      </c>
      <c r="G1853" s="5">
        <v>13</v>
      </c>
      <c r="H1853" s="6" t="s">
        <v>12</v>
      </c>
      <c r="I1853" t="s">
        <v>2094</v>
      </c>
      <c r="J1853" t="s">
        <v>2480</v>
      </c>
      <c r="K1853" t="str">
        <f>+VLOOKUP(C1853,'[1]TIENDAS 2025'!$A$1:$C$143,3,0)</f>
        <v>prioridad</v>
      </c>
      <c r="L1853" t="str">
        <f>+VLOOKUP(C1853,[2]Hoja1!$A$1:$B$138,2,0)</f>
        <v>APROBAR</v>
      </c>
      <c r="M1853">
        <v>1</v>
      </c>
      <c r="N1853" t="e">
        <v>#N/A</v>
      </c>
    </row>
    <row r="1854" spans="1:14" ht="15" customHeight="1" x14ac:dyDescent="0.3">
      <c r="A1854" s="3">
        <v>1209660518</v>
      </c>
      <c r="B1854" s="3" t="s">
        <v>2017</v>
      </c>
      <c r="C1854" s="3" t="s">
        <v>2018</v>
      </c>
      <c r="D1854" s="4">
        <v>46307.462187500001</v>
      </c>
      <c r="E1854" s="5" t="s">
        <v>10</v>
      </c>
      <c r="F1854" s="5" t="s">
        <v>11</v>
      </c>
      <c r="G1854" s="5">
        <v>19</v>
      </c>
      <c r="H1854" s="6" t="s">
        <v>12</v>
      </c>
      <c r="I1854" t="s">
        <v>2095</v>
      </c>
      <c r="J1854" t="s">
        <v>2480</v>
      </c>
      <c r="K1854" t="str">
        <f>+VLOOKUP(C1854,'[1]TIENDAS 2025'!$A$1:$C$143,3,0)</f>
        <v>departamental</v>
      </c>
      <c r="L1854" t="str">
        <f>+VLOOKUP(C1854,[2]Hoja1!$A$1:$B$138,2,0)</f>
        <v>APROBAR</v>
      </c>
      <c r="M1854">
        <v>1</v>
      </c>
      <c r="N1854" t="e">
        <v>#N/A</v>
      </c>
    </row>
    <row r="1855" spans="1:14" ht="15" customHeight="1" x14ac:dyDescent="0.3">
      <c r="A1855" s="3">
        <v>1209660519</v>
      </c>
      <c r="B1855" s="3" t="s">
        <v>2017</v>
      </c>
      <c r="C1855" s="3" t="s">
        <v>2018</v>
      </c>
      <c r="D1855" s="4">
        <v>46307.4621990741</v>
      </c>
      <c r="E1855" s="5" t="s">
        <v>10</v>
      </c>
      <c r="F1855" s="5" t="s">
        <v>11</v>
      </c>
      <c r="G1855" s="5">
        <v>6</v>
      </c>
      <c r="H1855" s="6" t="s">
        <v>12</v>
      </c>
      <c r="I1855" t="s">
        <v>2096</v>
      </c>
      <c r="J1855" t="s">
        <v>2480</v>
      </c>
      <c r="K1855" t="str">
        <f>+VLOOKUP(C1855,'[1]TIENDAS 2025'!$A$1:$C$143,3,0)</f>
        <v>departamental</v>
      </c>
      <c r="L1855" t="str">
        <f>+VLOOKUP(C1855,[2]Hoja1!$A$1:$B$138,2,0)</f>
        <v>APROBAR</v>
      </c>
      <c r="M1855">
        <v>1</v>
      </c>
      <c r="N1855" t="e">
        <v>#N/A</v>
      </c>
    </row>
    <row r="1856" spans="1:14" ht="15" customHeight="1" x14ac:dyDescent="0.3">
      <c r="A1856" s="3">
        <v>1209660341</v>
      </c>
      <c r="B1856" s="3" t="s">
        <v>2020</v>
      </c>
      <c r="C1856" s="3" t="s">
        <v>2021</v>
      </c>
      <c r="D1856" s="4">
        <v>46307.462222222202</v>
      </c>
      <c r="E1856" s="5" t="s">
        <v>10</v>
      </c>
      <c r="F1856" s="5" t="s">
        <v>11</v>
      </c>
      <c r="G1856" s="5">
        <v>6</v>
      </c>
      <c r="H1856" s="6" t="s">
        <v>12</v>
      </c>
      <c r="I1856" t="s">
        <v>2097</v>
      </c>
      <c r="J1856" t="s">
        <v>2480</v>
      </c>
      <c r="K1856" t="str">
        <f>+VLOOKUP(C1856,'[1]TIENDAS 2025'!$A$1:$C$143,3,0)</f>
        <v>departamental</v>
      </c>
      <c r="L1856" t="str">
        <f>+VLOOKUP(C1856,[2]Hoja1!$A$1:$B$138,2,0)</f>
        <v>APROBAR</v>
      </c>
      <c r="M1856">
        <v>1</v>
      </c>
      <c r="N1856" t="e">
        <v>#N/A</v>
      </c>
    </row>
    <row r="1857" spans="1:14" ht="15" customHeight="1" x14ac:dyDescent="0.3">
      <c r="A1857" s="3">
        <v>8209660346</v>
      </c>
      <c r="B1857" s="3" t="s">
        <v>2020</v>
      </c>
      <c r="C1857" s="3" t="s">
        <v>2021</v>
      </c>
      <c r="D1857" s="4">
        <v>46307.462233796301</v>
      </c>
      <c r="E1857" s="5" t="s">
        <v>10</v>
      </c>
      <c r="F1857" s="5" t="s">
        <v>16</v>
      </c>
      <c r="G1857" s="5">
        <v>1</v>
      </c>
      <c r="H1857" s="8" t="s">
        <v>12</v>
      </c>
      <c r="I1857" t="s">
        <v>2098</v>
      </c>
      <c r="K1857" t="str">
        <f>+VLOOKUP(C1857,'[1]TIENDAS 2025'!$A$1:$C$143,3,0)</f>
        <v>departamental</v>
      </c>
      <c r="L1857" t="str">
        <f>+VLOOKUP(C1857,[2]Hoja1!$A$1:$B$138,2,0)</f>
        <v>APROBAR</v>
      </c>
      <c r="M1857">
        <v>1</v>
      </c>
      <c r="N1857" t="e">
        <v>#N/A</v>
      </c>
    </row>
    <row r="1858" spans="1:14" ht="15" customHeight="1" x14ac:dyDescent="0.3">
      <c r="A1858" s="3">
        <v>1209660352</v>
      </c>
      <c r="B1858" s="3" t="s">
        <v>2020</v>
      </c>
      <c r="C1858" s="3" t="s">
        <v>2021</v>
      </c>
      <c r="D1858" s="4">
        <v>46307.4622453704</v>
      </c>
      <c r="E1858" s="5" t="s">
        <v>10</v>
      </c>
      <c r="F1858" s="5" t="s">
        <v>11</v>
      </c>
      <c r="G1858" s="5">
        <v>8</v>
      </c>
      <c r="H1858" s="6" t="s">
        <v>12</v>
      </c>
      <c r="I1858" t="s">
        <v>2099</v>
      </c>
      <c r="J1858" t="s">
        <v>2480</v>
      </c>
      <c r="K1858" t="str">
        <f>+VLOOKUP(C1858,'[1]TIENDAS 2025'!$A$1:$C$143,3,0)</f>
        <v>departamental</v>
      </c>
      <c r="L1858" t="str">
        <f>+VLOOKUP(C1858,[2]Hoja1!$A$1:$B$138,2,0)</f>
        <v>APROBAR</v>
      </c>
      <c r="M1858">
        <v>1</v>
      </c>
      <c r="N1858" t="e">
        <v>#N/A</v>
      </c>
    </row>
    <row r="1859" spans="1:14" ht="15" customHeight="1" x14ac:dyDescent="0.3">
      <c r="A1859" s="3">
        <v>1209660470</v>
      </c>
      <c r="B1859" s="3" t="s">
        <v>2011</v>
      </c>
      <c r="C1859" s="3" t="s">
        <v>2012</v>
      </c>
      <c r="D1859" s="4">
        <v>46307.462256944404</v>
      </c>
      <c r="E1859" s="5" t="s">
        <v>10</v>
      </c>
      <c r="F1859" s="5" t="s">
        <v>17</v>
      </c>
      <c r="G1859" s="5">
        <v>52</v>
      </c>
      <c r="H1859" s="6" t="s">
        <v>12</v>
      </c>
      <c r="I1859" t="s">
        <v>2100</v>
      </c>
      <c r="J1859" t="s">
        <v>2480</v>
      </c>
      <c r="K1859" t="str">
        <f>+VLOOKUP(C1859,'[1]TIENDAS 2025'!$A$1:$C$143,3,0)</f>
        <v>local</v>
      </c>
      <c r="L1859" t="str">
        <f>+VLOOKUP(C1859,[2]Hoja1!$A$1:$B$138,2,0)</f>
        <v>APROBAR</v>
      </c>
      <c r="M1859">
        <v>1</v>
      </c>
      <c r="N1859" t="e">
        <v>#N/A</v>
      </c>
    </row>
    <row r="1860" spans="1:14" ht="15" customHeight="1" x14ac:dyDescent="0.3">
      <c r="A1860" s="3">
        <v>8209660407</v>
      </c>
      <c r="B1860" s="3" t="s">
        <v>2025</v>
      </c>
      <c r="C1860" s="3" t="s">
        <v>2026</v>
      </c>
      <c r="D1860" s="4">
        <v>46307.462268518502</v>
      </c>
      <c r="E1860" s="5" t="s">
        <v>10</v>
      </c>
      <c r="F1860" s="5" t="s">
        <v>16</v>
      </c>
      <c r="G1860" s="5">
        <v>9</v>
      </c>
      <c r="H1860" s="8" t="s">
        <v>12</v>
      </c>
      <c r="I1860" t="s">
        <v>2101</v>
      </c>
      <c r="K1860" t="str">
        <f>+VLOOKUP(C1860,'[1]TIENDAS 2025'!$A$1:$C$143,3,0)</f>
        <v>departamental</v>
      </c>
      <c r="L1860" t="str">
        <f>+VLOOKUP(C1860,[2]Hoja1!$A$1:$B$138,2,0)</f>
        <v>APROBAR</v>
      </c>
      <c r="M1860">
        <v>1</v>
      </c>
      <c r="N1860" t="e">
        <v>#N/A</v>
      </c>
    </row>
    <row r="1861" spans="1:14" ht="15" customHeight="1" x14ac:dyDescent="0.3">
      <c r="A1861" s="3">
        <v>8209660408</v>
      </c>
      <c r="B1861" s="3" t="s">
        <v>2025</v>
      </c>
      <c r="C1861" s="3" t="s">
        <v>2026</v>
      </c>
      <c r="D1861" s="4">
        <v>46307.462291666699</v>
      </c>
      <c r="E1861" s="5" t="s">
        <v>10</v>
      </c>
      <c r="F1861" s="5" t="s">
        <v>16</v>
      </c>
      <c r="G1861" s="5">
        <v>5</v>
      </c>
      <c r="H1861" s="8" t="s">
        <v>12</v>
      </c>
      <c r="I1861" t="s">
        <v>2102</v>
      </c>
      <c r="K1861" t="str">
        <f>+VLOOKUP(C1861,'[1]TIENDAS 2025'!$A$1:$C$143,3,0)</f>
        <v>departamental</v>
      </c>
      <c r="L1861" t="str">
        <f>+VLOOKUP(C1861,[2]Hoja1!$A$1:$B$138,2,0)</f>
        <v>APROBAR</v>
      </c>
      <c r="M1861">
        <v>1</v>
      </c>
      <c r="N1861" t="e">
        <v>#N/A</v>
      </c>
    </row>
    <row r="1862" spans="1:14" ht="15" customHeight="1" x14ac:dyDescent="0.3">
      <c r="A1862" s="3">
        <v>8209660461</v>
      </c>
      <c r="B1862" s="3" t="s">
        <v>2011</v>
      </c>
      <c r="C1862" s="3" t="s">
        <v>2012</v>
      </c>
      <c r="D1862" s="4">
        <v>46307.462303240703</v>
      </c>
      <c r="E1862" s="5" t="s">
        <v>10</v>
      </c>
      <c r="F1862" s="5" t="s">
        <v>16</v>
      </c>
      <c r="G1862" s="5">
        <v>1</v>
      </c>
      <c r="H1862" s="8" t="s">
        <v>12</v>
      </c>
      <c r="I1862" t="s">
        <v>2103</v>
      </c>
      <c r="K1862" t="str">
        <f>+VLOOKUP(C1862,'[1]TIENDAS 2025'!$A$1:$C$143,3,0)</f>
        <v>local</v>
      </c>
      <c r="L1862" t="str">
        <f>+VLOOKUP(C1862,[2]Hoja1!$A$1:$B$138,2,0)</f>
        <v>APROBAR</v>
      </c>
      <c r="M1862">
        <v>1</v>
      </c>
      <c r="N1862" t="e">
        <v>#N/A</v>
      </c>
    </row>
    <row r="1863" spans="1:14" ht="15" customHeight="1" x14ac:dyDescent="0.3">
      <c r="A1863" s="3">
        <v>8209660445</v>
      </c>
      <c r="B1863" s="3" t="s">
        <v>2011</v>
      </c>
      <c r="C1863" s="3" t="s">
        <v>2012</v>
      </c>
      <c r="D1863" s="4">
        <v>46307.462314814802</v>
      </c>
      <c r="E1863" s="5" t="s">
        <v>10</v>
      </c>
      <c r="F1863" s="5" t="s">
        <v>16</v>
      </c>
      <c r="G1863" s="5">
        <v>19</v>
      </c>
      <c r="H1863" s="8" t="s">
        <v>12</v>
      </c>
      <c r="I1863" t="s">
        <v>2104</v>
      </c>
      <c r="K1863" t="str">
        <f>+VLOOKUP(C1863,'[1]TIENDAS 2025'!$A$1:$C$143,3,0)</f>
        <v>local</v>
      </c>
      <c r="L1863" t="str">
        <f>+VLOOKUP(C1863,[2]Hoja1!$A$1:$B$138,2,0)</f>
        <v>APROBAR</v>
      </c>
      <c r="M1863">
        <v>1</v>
      </c>
      <c r="N1863" t="e">
        <v>#N/A</v>
      </c>
    </row>
    <row r="1864" spans="1:14" ht="15" customHeight="1" x14ac:dyDescent="0.3">
      <c r="A1864" s="3">
        <v>8209660483</v>
      </c>
      <c r="B1864" s="3" t="s">
        <v>2031</v>
      </c>
      <c r="C1864" s="3" t="s">
        <v>2032</v>
      </c>
      <c r="D1864" s="4">
        <v>46307.462326388901</v>
      </c>
      <c r="E1864" s="5" t="s">
        <v>10</v>
      </c>
      <c r="F1864" s="5" t="s">
        <v>16</v>
      </c>
      <c r="G1864" s="5">
        <v>2</v>
      </c>
      <c r="H1864" s="8" t="s">
        <v>12</v>
      </c>
      <c r="I1864" t="s">
        <v>2105</v>
      </c>
      <c r="K1864" t="str">
        <f>+VLOOKUP(C1864,'[1]TIENDAS 2025'!$A$1:$C$143,3,0)</f>
        <v>prioridad</v>
      </c>
      <c r="L1864" t="str">
        <f>+VLOOKUP(C1864,[2]Hoja1!$A$1:$B$138,2,0)</f>
        <v>APROBAR</v>
      </c>
      <c r="M1864">
        <v>1</v>
      </c>
      <c r="N1864" t="e">
        <v>#N/A</v>
      </c>
    </row>
    <row r="1865" spans="1:14" ht="15" customHeight="1" x14ac:dyDescent="0.3">
      <c r="A1865" s="3">
        <v>1209660485</v>
      </c>
      <c r="B1865" s="3" t="s">
        <v>2031</v>
      </c>
      <c r="C1865" s="3" t="s">
        <v>2032</v>
      </c>
      <c r="D1865" s="4">
        <v>46307.462337962999</v>
      </c>
      <c r="E1865" s="5" t="s">
        <v>10</v>
      </c>
      <c r="F1865" s="5" t="s">
        <v>11</v>
      </c>
      <c r="G1865" s="5">
        <v>1</v>
      </c>
      <c r="H1865" s="6" t="s">
        <v>12</v>
      </c>
      <c r="I1865" t="s">
        <v>2106</v>
      </c>
      <c r="J1865" t="s">
        <v>2480</v>
      </c>
      <c r="K1865" t="str">
        <f>+VLOOKUP(C1865,'[1]TIENDAS 2025'!$A$1:$C$143,3,0)</f>
        <v>prioridad</v>
      </c>
      <c r="L1865" t="str">
        <f>+VLOOKUP(C1865,[2]Hoja1!$A$1:$B$138,2,0)</f>
        <v>APROBAR</v>
      </c>
      <c r="M1865">
        <v>1</v>
      </c>
      <c r="N1865" t="e">
        <v>#N/A</v>
      </c>
    </row>
    <row r="1866" spans="1:14" ht="15" customHeight="1" x14ac:dyDescent="0.3">
      <c r="A1866" s="3">
        <v>1209660488</v>
      </c>
      <c r="B1866" s="3" t="s">
        <v>2031</v>
      </c>
      <c r="C1866" s="3" t="s">
        <v>2032</v>
      </c>
      <c r="D1866" s="4">
        <v>46307.462361111102</v>
      </c>
      <c r="E1866" s="5" t="s">
        <v>10</v>
      </c>
      <c r="F1866" s="5" t="s">
        <v>11</v>
      </c>
      <c r="G1866" s="5">
        <v>11</v>
      </c>
      <c r="H1866" s="6" t="s">
        <v>12</v>
      </c>
      <c r="I1866" t="s">
        <v>2107</v>
      </c>
      <c r="J1866" t="s">
        <v>2480</v>
      </c>
      <c r="K1866" t="str">
        <f>+VLOOKUP(C1866,'[1]TIENDAS 2025'!$A$1:$C$143,3,0)</f>
        <v>prioridad</v>
      </c>
      <c r="L1866" t="str">
        <f>+VLOOKUP(C1866,[2]Hoja1!$A$1:$B$138,2,0)</f>
        <v>APROBAR</v>
      </c>
      <c r="M1866">
        <v>1</v>
      </c>
      <c r="N1866" t="e">
        <v>#N/A</v>
      </c>
    </row>
    <row r="1867" spans="1:14" ht="15" customHeight="1" x14ac:dyDescent="0.3">
      <c r="A1867" s="3">
        <v>8209660347</v>
      </c>
      <c r="B1867" s="3" t="s">
        <v>2020</v>
      </c>
      <c r="C1867" s="3" t="s">
        <v>2021</v>
      </c>
      <c r="D1867" s="4">
        <v>46307.462384259299</v>
      </c>
      <c r="E1867" s="5" t="s">
        <v>10</v>
      </c>
      <c r="F1867" s="5" t="s">
        <v>16</v>
      </c>
      <c r="G1867" s="5">
        <v>6</v>
      </c>
      <c r="H1867" s="8" t="s">
        <v>12</v>
      </c>
      <c r="I1867" t="s">
        <v>2108</v>
      </c>
      <c r="K1867" t="str">
        <f>+VLOOKUP(C1867,'[1]TIENDAS 2025'!$A$1:$C$143,3,0)</f>
        <v>departamental</v>
      </c>
      <c r="L1867" t="str">
        <f>+VLOOKUP(C1867,[2]Hoja1!$A$1:$B$138,2,0)</f>
        <v>APROBAR</v>
      </c>
      <c r="M1867">
        <v>1</v>
      </c>
      <c r="N1867" t="e">
        <v>#N/A</v>
      </c>
    </row>
    <row r="1868" spans="1:14" ht="15" customHeight="1" x14ac:dyDescent="0.3">
      <c r="A1868" s="3">
        <v>1209660361</v>
      </c>
      <c r="B1868" s="3" t="s">
        <v>2020</v>
      </c>
      <c r="C1868" s="3" t="s">
        <v>2021</v>
      </c>
      <c r="D1868" s="4">
        <v>46307.462395833303</v>
      </c>
      <c r="E1868" s="5" t="s">
        <v>10</v>
      </c>
      <c r="F1868" s="5" t="s">
        <v>17</v>
      </c>
      <c r="G1868" s="5">
        <v>38</v>
      </c>
      <c r="H1868" s="6" t="s">
        <v>12</v>
      </c>
      <c r="I1868" t="s">
        <v>2109</v>
      </c>
      <c r="J1868" t="s">
        <v>2480</v>
      </c>
      <c r="K1868" t="str">
        <f>+VLOOKUP(C1868,'[1]TIENDAS 2025'!$A$1:$C$143,3,0)</f>
        <v>departamental</v>
      </c>
      <c r="L1868" t="str">
        <f>+VLOOKUP(C1868,[2]Hoja1!$A$1:$B$138,2,0)</f>
        <v>APROBAR</v>
      </c>
      <c r="M1868">
        <v>1</v>
      </c>
      <c r="N1868" t="e">
        <v>#N/A</v>
      </c>
    </row>
    <row r="1869" spans="1:14" ht="15" customHeight="1" x14ac:dyDescent="0.3">
      <c r="A1869" s="3">
        <v>1209660384</v>
      </c>
      <c r="B1869" s="3" t="s">
        <v>2014</v>
      </c>
      <c r="C1869" s="3" t="s">
        <v>2015</v>
      </c>
      <c r="D1869" s="4">
        <v>46307.4624189815</v>
      </c>
      <c r="E1869" s="5" t="s">
        <v>10</v>
      </c>
      <c r="F1869" s="5" t="s">
        <v>11</v>
      </c>
      <c r="G1869" s="5">
        <v>1</v>
      </c>
      <c r="H1869" s="6" t="s">
        <v>12</v>
      </c>
      <c r="I1869" t="s">
        <v>2110</v>
      </c>
      <c r="J1869" t="s">
        <v>2480</v>
      </c>
      <c r="K1869" t="str">
        <f>+VLOOKUP(C1869,'[1]TIENDAS 2025'!$A$1:$C$143,3,0)</f>
        <v>local</v>
      </c>
      <c r="L1869" t="str">
        <f>+VLOOKUP(C1869,[2]Hoja1!$A$1:$B$138,2,0)</f>
        <v>APROBAR</v>
      </c>
      <c r="M1869">
        <v>1</v>
      </c>
      <c r="N1869" t="e">
        <v>#N/A</v>
      </c>
    </row>
    <row r="1870" spans="1:14" ht="15" customHeight="1" x14ac:dyDescent="0.3">
      <c r="A1870" s="3">
        <v>1209660387</v>
      </c>
      <c r="B1870" s="3" t="s">
        <v>2014</v>
      </c>
      <c r="C1870" s="3" t="s">
        <v>2015</v>
      </c>
      <c r="D1870" s="4">
        <v>46307.462430555599</v>
      </c>
      <c r="E1870" s="5" t="s">
        <v>10</v>
      </c>
      <c r="F1870" s="5" t="s">
        <v>11</v>
      </c>
      <c r="G1870" s="5">
        <v>23</v>
      </c>
      <c r="H1870" s="6" t="s">
        <v>12</v>
      </c>
      <c r="I1870" t="s">
        <v>2111</v>
      </c>
      <c r="J1870" t="s">
        <v>2480</v>
      </c>
      <c r="K1870" t="str">
        <f>+VLOOKUP(C1870,'[1]TIENDAS 2025'!$A$1:$C$143,3,0)</f>
        <v>local</v>
      </c>
      <c r="L1870" t="str">
        <f>+VLOOKUP(C1870,[2]Hoja1!$A$1:$B$138,2,0)</f>
        <v>APROBAR</v>
      </c>
      <c r="M1870">
        <v>1</v>
      </c>
      <c r="N1870" t="e">
        <v>#N/A</v>
      </c>
    </row>
    <row r="1871" spans="1:14" ht="15" customHeight="1" x14ac:dyDescent="0.3">
      <c r="A1871" s="3">
        <v>8209660460</v>
      </c>
      <c r="B1871" s="3" t="s">
        <v>2011</v>
      </c>
      <c r="C1871" s="3" t="s">
        <v>2012</v>
      </c>
      <c r="D1871" s="4">
        <v>46307.462442129603</v>
      </c>
      <c r="E1871" s="5" t="s">
        <v>10</v>
      </c>
      <c r="F1871" s="5" t="s">
        <v>16</v>
      </c>
      <c r="G1871" s="5">
        <v>1</v>
      </c>
      <c r="H1871" s="8" t="s">
        <v>12</v>
      </c>
      <c r="I1871" t="s">
        <v>2112</v>
      </c>
      <c r="K1871" t="str">
        <f>+VLOOKUP(C1871,'[1]TIENDAS 2025'!$A$1:$C$143,3,0)</f>
        <v>local</v>
      </c>
      <c r="L1871" t="str">
        <f>+VLOOKUP(C1871,[2]Hoja1!$A$1:$B$138,2,0)</f>
        <v>APROBAR</v>
      </c>
      <c r="M1871">
        <v>1</v>
      </c>
      <c r="N1871" t="e">
        <v>#N/A</v>
      </c>
    </row>
    <row r="1872" spans="1:14" ht="15" customHeight="1" x14ac:dyDescent="0.3">
      <c r="A1872" s="3">
        <v>1209660426</v>
      </c>
      <c r="B1872" s="3" t="s">
        <v>2025</v>
      </c>
      <c r="C1872" s="3" t="s">
        <v>2026</v>
      </c>
      <c r="D1872" s="4">
        <v>46307.4624652778</v>
      </c>
      <c r="E1872" s="5" t="s">
        <v>10</v>
      </c>
      <c r="F1872" s="5" t="s">
        <v>17</v>
      </c>
      <c r="G1872" s="5">
        <v>38</v>
      </c>
      <c r="H1872" s="6" t="s">
        <v>12</v>
      </c>
      <c r="I1872" t="s">
        <v>2113</v>
      </c>
      <c r="J1872" t="s">
        <v>2480</v>
      </c>
      <c r="K1872" t="str">
        <f>+VLOOKUP(C1872,'[1]TIENDAS 2025'!$A$1:$C$143,3,0)</f>
        <v>departamental</v>
      </c>
      <c r="L1872" t="str">
        <f>+VLOOKUP(C1872,[2]Hoja1!$A$1:$B$138,2,0)</f>
        <v>APROBAR</v>
      </c>
      <c r="M1872">
        <v>1</v>
      </c>
      <c r="N1872" t="e">
        <v>#N/A</v>
      </c>
    </row>
    <row r="1873" spans="1:14" ht="15" customHeight="1" x14ac:dyDescent="0.3">
      <c r="A1873" s="3">
        <v>1209660515</v>
      </c>
      <c r="B1873" s="3" t="s">
        <v>2017</v>
      </c>
      <c r="C1873" s="3" t="s">
        <v>2018</v>
      </c>
      <c r="D1873" s="4">
        <v>46307.462488425903</v>
      </c>
      <c r="E1873" s="5" t="s">
        <v>10</v>
      </c>
      <c r="F1873" s="5" t="s">
        <v>11</v>
      </c>
      <c r="G1873" s="5">
        <v>8</v>
      </c>
      <c r="H1873" s="6" t="s">
        <v>12</v>
      </c>
      <c r="I1873" t="s">
        <v>2114</v>
      </c>
      <c r="J1873" t="s">
        <v>2480</v>
      </c>
      <c r="K1873" t="str">
        <f>+VLOOKUP(C1873,'[1]TIENDAS 2025'!$A$1:$C$143,3,0)</f>
        <v>departamental</v>
      </c>
      <c r="L1873" t="str">
        <f>+VLOOKUP(C1873,[2]Hoja1!$A$1:$B$138,2,0)</f>
        <v>APROBAR</v>
      </c>
      <c r="M1873">
        <v>1</v>
      </c>
      <c r="N1873" t="e">
        <v>#N/A</v>
      </c>
    </row>
    <row r="1874" spans="1:14" ht="15" customHeight="1" x14ac:dyDescent="0.3">
      <c r="A1874" s="3">
        <v>1209660393</v>
      </c>
      <c r="B1874" s="3" t="s">
        <v>2014</v>
      </c>
      <c r="C1874" s="3" t="s">
        <v>2015</v>
      </c>
      <c r="D1874" s="4">
        <v>46307.4625115741</v>
      </c>
      <c r="E1874" s="5" t="s">
        <v>10</v>
      </c>
      <c r="F1874" s="5" t="s">
        <v>11</v>
      </c>
      <c r="G1874" s="5">
        <v>2</v>
      </c>
      <c r="H1874" s="6" t="s">
        <v>12</v>
      </c>
      <c r="I1874" t="s">
        <v>2115</v>
      </c>
      <c r="J1874" t="s">
        <v>2480</v>
      </c>
      <c r="K1874" t="str">
        <f>+VLOOKUP(C1874,'[1]TIENDAS 2025'!$A$1:$C$143,3,0)</f>
        <v>local</v>
      </c>
      <c r="L1874" t="str">
        <f>+VLOOKUP(C1874,[2]Hoja1!$A$1:$B$138,2,0)</f>
        <v>APROBAR</v>
      </c>
      <c r="M1874">
        <v>1</v>
      </c>
      <c r="N1874" t="e">
        <v>#N/A</v>
      </c>
    </row>
    <row r="1875" spans="1:14" ht="15" customHeight="1" x14ac:dyDescent="0.3">
      <c r="A1875" s="3">
        <v>1209660492</v>
      </c>
      <c r="B1875" s="3" t="s">
        <v>2031</v>
      </c>
      <c r="C1875" s="3" t="s">
        <v>2032</v>
      </c>
      <c r="D1875" s="4">
        <v>46307.462523148097</v>
      </c>
      <c r="E1875" s="5" t="s">
        <v>10</v>
      </c>
      <c r="F1875" s="5" t="s">
        <v>11</v>
      </c>
      <c r="G1875" s="5">
        <v>22</v>
      </c>
      <c r="H1875" s="6" t="s">
        <v>12</v>
      </c>
      <c r="I1875" t="s">
        <v>2116</v>
      </c>
      <c r="J1875" t="s">
        <v>2480</v>
      </c>
      <c r="K1875" t="str">
        <f>+VLOOKUP(C1875,'[1]TIENDAS 2025'!$A$1:$C$143,3,0)</f>
        <v>prioridad</v>
      </c>
      <c r="L1875" t="str">
        <f>+VLOOKUP(C1875,[2]Hoja1!$A$1:$B$138,2,0)</f>
        <v>APROBAR</v>
      </c>
      <c r="M1875">
        <v>1</v>
      </c>
      <c r="N1875" t="e">
        <v>#N/A</v>
      </c>
    </row>
    <row r="1876" spans="1:14" ht="15" customHeight="1" x14ac:dyDescent="0.3">
      <c r="A1876" s="3">
        <v>1209660451</v>
      </c>
      <c r="B1876" s="3" t="s">
        <v>2011</v>
      </c>
      <c r="C1876" s="3" t="s">
        <v>2012</v>
      </c>
      <c r="D1876" s="4">
        <v>46307.462546296301</v>
      </c>
      <c r="E1876" s="5" t="s">
        <v>10</v>
      </c>
      <c r="F1876" s="5" t="s">
        <v>17</v>
      </c>
      <c r="G1876" s="5">
        <v>25</v>
      </c>
      <c r="H1876" s="6" t="s">
        <v>12</v>
      </c>
      <c r="I1876" t="s">
        <v>2117</v>
      </c>
      <c r="J1876" t="s">
        <v>2480</v>
      </c>
      <c r="K1876" t="str">
        <f>+VLOOKUP(C1876,'[1]TIENDAS 2025'!$A$1:$C$143,3,0)</f>
        <v>local</v>
      </c>
      <c r="L1876" t="str">
        <f>+VLOOKUP(C1876,[2]Hoja1!$A$1:$B$138,2,0)</f>
        <v>APROBAR</v>
      </c>
      <c r="M1876">
        <v>1</v>
      </c>
      <c r="N1876" t="e">
        <v>#N/A</v>
      </c>
    </row>
    <row r="1877" spans="1:14" ht="15" customHeight="1" x14ac:dyDescent="0.3">
      <c r="A1877" s="3">
        <v>1209660521</v>
      </c>
      <c r="B1877" s="3" t="s">
        <v>2017</v>
      </c>
      <c r="C1877" s="3" t="s">
        <v>2018</v>
      </c>
      <c r="D1877" s="4">
        <v>46307.462569444397</v>
      </c>
      <c r="E1877" s="5" t="s">
        <v>10</v>
      </c>
      <c r="F1877" s="5" t="s">
        <v>17</v>
      </c>
      <c r="G1877" s="5">
        <v>41</v>
      </c>
      <c r="H1877" s="6" t="s">
        <v>12</v>
      </c>
      <c r="I1877" t="s">
        <v>2118</v>
      </c>
      <c r="J1877" t="s">
        <v>2480</v>
      </c>
      <c r="K1877" t="str">
        <f>+VLOOKUP(C1877,'[1]TIENDAS 2025'!$A$1:$C$143,3,0)</f>
        <v>departamental</v>
      </c>
      <c r="L1877" t="str">
        <f>+VLOOKUP(C1877,[2]Hoja1!$A$1:$B$138,2,0)</f>
        <v>APROBAR</v>
      </c>
      <c r="M1877">
        <v>1</v>
      </c>
      <c r="N1877" t="e">
        <v>#N/A</v>
      </c>
    </row>
    <row r="1878" spans="1:14" ht="15" customHeight="1" x14ac:dyDescent="0.3">
      <c r="A1878" s="3">
        <v>1209660423</v>
      </c>
      <c r="B1878" s="3" t="s">
        <v>2025</v>
      </c>
      <c r="C1878" s="3" t="s">
        <v>2026</v>
      </c>
      <c r="D1878" s="4">
        <v>46307.462581018503</v>
      </c>
      <c r="E1878" s="5" t="s">
        <v>10</v>
      </c>
      <c r="F1878" s="5" t="s">
        <v>11</v>
      </c>
      <c r="G1878" s="5">
        <v>1</v>
      </c>
      <c r="H1878" s="6" t="s">
        <v>12</v>
      </c>
      <c r="I1878" t="s">
        <v>2119</v>
      </c>
      <c r="J1878" t="s">
        <v>2480</v>
      </c>
      <c r="K1878" t="str">
        <f>+VLOOKUP(C1878,'[1]TIENDAS 2025'!$A$1:$C$143,3,0)</f>
        <v>departamental</v>
      </c>
      <c r="L1878" t="str">
        <f>+VLOOKUP(C1878,[2]Hoja1!$A$1:$B$138,2,0)</f>
        <v>APROBAR</v>
      </c>
      <c r="M1878">
        <v>1</v>
      </c>
      <c r="N1878" t="e">
        <v>#N/A</v>
      </c>
    </row>
    <row r="1879" spans="1:14" ht="15" customHeight="1" x14ac:dyDescent="0.3">
      <c r="A1879" s="3">
        <v>1209660493</v>
      </c>
      <c r="B1879" s="3" t="s">
        <v>2031</v>
      </c>
      <c r="C1879" s="3" t="s">
        <v>2032</v>
      </c>
      <c r="D1879" s="4">
        <v>46307.4626041667</v>
      </c>
      <c r="E1879" s="5" t="s">
        <v>10</v>
      </c>
      <c r="F1879" s="5" t="s">
        <v>17</v>
      </c>
      <c r="G1879" s="5">
        <v>37</v>
      </c>
      <c r="H1879" s="6" t="s">
        <v>12</v>
      </c>
      <c r="I1879" t="s">
        <v>2120</v>
      </c>
      <c r="J1879" t="s">
        <v>2480</v>
      </c>
      <c r="K1879" t="str">
        <f>+VLOOKUP(C1879,'[1]TIENDAS 2025'!$A$1:$C$143,3,0)</f>
        <v>prioridad</v>
      </c>
      <c r="L1879" t="str">
        <f>+VLOOKUP(C1879,[2]Hoja1!$A$1:$B$138,2,0)</f>
        <v>APROBAR</v>
      </c>
      <c r="M1879">
        <v>1</v>
      </c>
      <c r="N1879" t="e">
        <v>#N/A</v>
      </c>
    </row>
    <row r="1880" spans="1:14" ht="15" customHeight="1" x14ac:dyDescent="0.3">
      <c r="A1880" s="3">
        <v>1209660355</v>
      </c>
      <c r="B1880" s="3" t="s">
        <v>2020</v>
      </c>
      <c r="C1880" s="3" t="s">
        <v>2021</v>
      </c>
      <c r="D1880" s="4">
        <v>46307.462627314802</v>
      </c>
      <c r="E1880" s="5" t="s">
        <v>10</v>
      </c>
      <c r="F1880" s="5" t="s">
        <v>17</v>
      </c>
      <c r="G1880" s="5">
        <v>15</v>
      </c>
      <c r="H1880" s="6" t="s">
        <v>12</v>
      </c>
      <c r="I1880" t="s">
        <v>2121</v>
      </c>
      <c r="J1880" t="s">
        <v>2480</v>
      </c>
      <c r="K1880" t="str">
        <f>+VLOOKUP(C1880,'[1]TIENDAS 2025'!$A$1:$C$143,3,0)</f>
        <v>departamental</v>
      </c>
      <c r="L1880" t="str">
        <f>+VLOOKUP(C1880,[2]Hoja1!$A$1:$B$138,2,0)</f>
        <v>APROBAR</v>
      </c>
      <c r="M1880">
        <v>1</v>
      </c>
      <c r="N1880" t="e">
        <v>#N/A</v>
      </c>
    </row>
    <row r="1881" spans="1:14" ht="15" customHeight="1" x14ac:dyDescent="0.3">
      <c r="A1881" s="3">
        <v>1209660385</v>
      </c>
      <c r="B1881" s="3" t="s">
        <v>2014</v>
      </c>
      <c r="C1881" s="3" t="s">
        <v>2015</v>
      </c>
      <c r="D1881" s="4">
        <v>46307.462650463</v>
      </c>
      <c r="E1881" s="5" t="s">
        <v>10</v>
      </c>
      <c r="F1881" s="5" t="s">
        <v>17</v>
      </c>
      <c r="G1881" s="5">
        <v>10</v>
      </c>
      <c r="H1881" s="6" t="s">
        <v>12</v>
      </c>
      <c r="I1881" t="s">
        <v>2122</v>
      </c>
      <c r="J1881" t="s">
        <v>2480</v>
      </c>
      <c r="K1881" t="str">
        <f>+VLOOKUP(C1881,'[1]TIENDAS 2025'!$A$1:$C$143,3,0)</f>
        <v>local</v>
      </c>
      <c r="L1881" t="str">
        <f>+VLOOKUP(C1881,[2]Hoja1!$A$1:$B$138,2,0)</f>
        <v>APROBAR</v>
      </c>
      <c r="M1881">
        <v>1</v>
      </c>
      <c r="N1881" t="e">
        <v>#N/A</v>
      </c>
    </row>
    <row r="1882" spans="1:14" ht="15" customHeight="1" x14ac:dyDescent="0.3">
      <c r="A1882" s="3">
        <v>1209660464</v>
      </c>
      <c r="B1882" s="3" t="s">
        <v>2011</v>
      </c>
      <c r="C1882" s="3" t="s">
        <v>2012</v>
      </c>
      <c r="D1882" s="4">
        <v>46307.462662037004</v>
      </c>
      <c r="E1882" s="5" t="s">
        <v>10</v>
      </c>
      <c r="F1882" s="5" t="s">
        <v>17</v>
      </c>
      <c r="G1882" s="5">
        <v>11</v>
      </c>
      <c r="H1882" s="6" t="s">
        <v>12</v>
      </c>
      <c r="I1882" t="s">
        <v>2123</v>
      </c>
      <c r="J1882" t="s">
        <v>2480</v>
      </c>
      <c r="K1882" t="str">
        <f>+VLOOKUP(C1882,'[1]TIENDAS 2025'!$A$1:$C$143,3,0)</f>
        <v>local</v>
      </c>
      <c r="L1882" t="str">
        <f>+VLOOKUP(C1882,[2]Hoja1!$A$1:$B$138,2,0)</f>
        <v>APROBAR</v>
      </c>
      <c r="M1882">
        <v>1</v>
      </c>
      <c r="N1882" t="e">
        <v>#N/A</v>
      </c>
    </row>
    <row r="1883" spans="1:14" ht="15" customHeight="1" x14ac:dyDescent="0.3">
      <c r="A1883" s="3">
        <v>8209660508</v>
      </c>
      <c r="B1883" s="3" t="s">
        <v>2017</v>
      </c>
      <c r="C1883" s="3" t="s">
        <v>2018</v>
      </c>
      <c r="D1883" s="4">
        <v>46307.462685185201</v>
      </c>
      <c r="E1883" s="5" t="s">
        <v>10</v>
      </c>
      <c r="F1883" s="5" t="s">
        <v>16</v>
      </c>
      <c r="G1883" s="5">
        <v>3</v>
      </c>
      <c r="H1883" s="8" t="s">
        <v>12</v>
      </c>
      <c r="I1883" t="s">
        <v>2124</v>
      </c>
      <c r="K1883" t="str">
        <f>+VLOOKUP(C1883,'[1]TIENDAS 2025'!$A$1:$C$143,3,0)</f>
        <v>departamental</v>
      </c>
      <c r="L1883" t="str">
        <f>+VLOOKUP(C1883,[2]Hoja1!$A$1:$B$138,2,0)</f>
        <v>APROBAR</v>
      </c>
      <c r="M1883">
        <v>1</v>
      </c>
      <c r="N1883" t="e">
        <v>#N/A</v>
      </c>
    </row>
    <row r="1884" spans="1:14" ht="15" customHeight="1" x14ac:dyDescent="0.3">
      <c r="A1884" s="3">
        <v>8209660482</v>
      </c>
      <c r="B1884" s="3" t="s">
        <v>2031</v>
      </c>
      <c r="C1884" s="3" t="s">
        <v>2032</v>
      </c>
      <c r="D1884" s="4">
        <v>46307.462696759299</v>
      </c>
      <c r="E1884" s="5" t="s">
        <v>10</v>
      </c>
      <c r="F1884" s="5" t="s">
        <v>16</v>
      </c>
      <c r="G1884" s="5">
        <v>9</v>
      </c>
      <c r="H1884" s="8" t="s">
        <v>12</v>
      </c>
      <c r="I1884" t="s">
        <v>2125</v>
      </c>
      <c r="K1884" t="str">
        <f>+VLOOKUP(C1884,'[1]TIENDAS 2025'!$A$1:$C$143,3,0)</f>
        <v>prioridad</v>
      </c>
      <c r="L1884" t="str">
        <f>+VLOOKUP(C1884,[2]Hoja1!$A$1:$B$138,2,0)</f>
        <v>APROBAR</v>
      </c>
      <c r="M1884">
        <v>1</v>
      </c>
      <c r="N1884" t="e">
        <v>#N/A</v>
      </c>
    </row>
    <row r="1885" spans="1:14" ht="15" customHeight="1" x14ac:dyDescent="0.3">
      <c r="A1885" s="3">
        <v>1209660583</v>
      </c>
      <c r="B1885" s="3" t="s">
        <v>2127</v>
      </c>
      <c r="C1885" s="3" t="s">
        <v>2128</v>
      </c>
      <c r="D1885" s="4">
        <v>46307.464502314797</v>
      </c>
      <c r="E1885" s="5" t="s">
        <v>10</v>
      </c>
      <c r="F1885" s="5" t="s">
        <v>11</v>
      </c>
      <c r="G1885" s="5">
        <v>35</v>
      </c>
      <c r="H1885" s="6" t="s">
        <v>12</v>
      </c>
      <c r="I1885" t="s">
        <v>2126</v>
      </c>
      <c r="J1885" t="s">
        <v>2480</v>
      </c>
      <c r="K1885" t="str">
        <f>+VLOOKUP(C1885,'[1]TIENDAS 2025'!$A$1:$C$143,3,0)</f>
        <v>local</v>
      </c>
      <c r="L1885" t="str">
        <f>+VLOOKUP(C1885,[2]Hoja1!$A$1:$B$138,2,0)</f>
        <v>APROBAR</v>
      </c>
      <c r="M1885">
        <v>1</v>
      </c>
      <c r="N1885" t="e">
        <v>#N/A</v>
      </c>
    </row>
    <row r="1886" spans="1:14" ht="15" customHeight="1" x14ac:dyDescent="0.3">
      <c r="A1886" s="3">
        <v>8209660620</v>
      </c>
      <c r="B1886" s="3" t="s">
        <v>2130</v>
      </c>
      <c r="C1886" s="3" t="s">
        <v>2131</v>
      </c>
      <c r="D1886" s="4">
        <v>46307.464502314797</v>
      </c>
      <c r="E1886" s="5" t="s">
        <v>10</v>
      </c>
      <c r="F1886" s="5" t="s">
        <v>16</v>
      </c>
      <c r="G1886" s="5">
        <v>3</v>
      </c>
      <c r="H1886" s="8" t="s">
        <v>12</v>
      </c>
      <c r="I1886" t="s">
        <v>2129</v>
      </c>
      <c r="K1886" t="str">
        <f>+VLOOKUP(C1886,'[1]TIENDAS 2025'!$A$1:$C$143,3,0)</f>
        <v>departamental</v>
      </c>
      <c r="L1886" t="str">
        <f>+VLOOKUP(C1886,[2]Hoja1!$A$1:$B$138,2,0)</f>
        <v>APROBAR</v>
      </c>
      <c r="M1886">
        <v>1</v>
      </c>
      <c r="N1886" t="e">
        <v>#N/A</v>
      </c>
    </row>
    <row r="1887" spans="1:14" ht="15" customHeight="1" x14ac:dyDescent="0.3">
      <c r="A1887" s="3">
        <v>8209660624</v>
      </c>
      <c r="B1887" s="3" t="s">
        <v>2130</v>
      </c>
      <c r="C1887" s="3" t="s">
        <v>2131</v>
      </c>
      <c r="D1887" s="4">
        <v>46307.464513888903</v>
      </c>
      <c r="E1887" s="5" t="s">
        <v>10</v>
      </c>
      <c r="F1887" s="5" t="s">
        <v>16</v>
      </c>
      <c r="G1887" s="5">
        <v>1</v>
      </c>
      <c r="H1887" s="8" t="s">
        <v>12</v>
      </c>
      <c r="I1887" t="s">
        <v>2132</v>
      </c>
      <c r="K1887" t="str">
        <f>+VLOOKUP(C1887,'[1]TIENDAS 2025'!$A$1:$C$143,3,0)</f>
        <v>departamental</v>
      </c>
      <c r="L1887" t="str">
        <f>+VLOOKUP(C1887,[2]Hoja1!$A$1:$B$138,2,0)</f>
        <v>APROBAR</v>
      </c>
      <c r="M1887">
        <v>1</v>
      </c>
      <c r="N1887" t="e">
        <v>#N/A</v>
      </c>
    </row>
    <row r="1888" spans="1:14" ht="15" customHeight="1" x14ac:dyDescent="0.3">
      <c r="A1888" s="3">
        <v>8209660721</v>
      </c>
      <c r="B1888" s="3" t="s">
        <v>2134</v>
      </c>
      <c r="C1888" s="3" t="s">
        <v>2135</v>
      </c>
      <c r="D1888" s="4">
        <v>46307.464537036998</v>
      </c>
      <c r="E1888" s="5" t="s">
        <v>10</v>
      </c>
      <c r="F1888" s="5" t="s">
        <v>16</v>
      </c>
      <c r="G1888" s="5">
        <v>3</v>
      </c>
      <c r="H1888" s="8" t="s">
        <v>12</v>
      </c>
      <c r="I1888" t="s">
        <v>2133</v>
      </c>
      <c r="K1888" t="str">
        <f>+VLOOKUP(C1888,'[1]TIENDAS 2025'!$A$1:$C$143,3,0)</f>
        <v>departamental</v>
      </c>
      <c r="L1888" t="str">
        <f>+VLOOKUP(C1888,[2]Hoja1!$A$1:$B$138,2,0)</f>
        <v>APROBAR</v>
      </c>
      <c r="M1888">
        <v>1</v>
      </c>
      <c r="N1888" t="e">
        <v>#N/A</v>
      </c>
    </row>
    <row r="1889" spans="1:14" ht="15" customHeight="1" x14ac:dyDescent="0.3">
      <c r="A1889" s="3">
        <v>8209660723</v>
      </c>
      <c r="B1889" s="3" t="s">
        <v>2134</v>
      </c>
      <c r="C1889" s="3" t="s">
        <v>2135</v>
      </c>
      <c r="D1889" s="4">
        <v>46307.464548611097</v>
      </c>
      <c r="E1889" s="5" t="s">
        <v>10</v>
      </c>
      <c r="F1889" s="5" t="s">
        <v>16</v>
      </c>
      <c r="G1889" s="5">
        <v>1</v>
      </c>
      <c r="H1889" s="8" t="s">
        <v>12</v>
      </c>
      <c r="I1889" t="s">
        <v>2136</v>
      </c>
      <c r="K1889" t="str">
        <f>+VLOOKUP(C1889,'[1]TIENDAS 2025'!$A$1:$C$143,3,0)</f>
        <v>departamental</v>
      </c>
      <c r="L1889" t="str">
        <f>+VLOOKUP(C1889,[2]Hoja1!$A$1:$B$138,2,0)</f>
        <v>APROBAR</v>
      </c>
      <c r="M1889">
        <v>1</v>
      </c>
      <c r="N1889" t="e">
        <v>#N/A</v>
      </c>
    </row>
    <row r="1890" spans="1:14" ht="15" customHeight="1" x14ac:dyDescent="0.3">
      <c r="A1890" s="3">
        <v>8209660724</v>
      </c>
      <c r="B1890" s="3" t="s">
        <v>2134</v>
      </c>
      <c r="C1890" s="3" t="s">
        <v>2135</v>
      </c>
      <c r="D1890" s="4">
        <v>46307.464571759301</v>
      </c>
      <c r="E1890" s="5" t="s">
        <v>10</v>
      </c>
      <c r="F1890" s="5" t="s">
        <v>16</v>
      </c>
      <c r="G1890" s="5">
        <v>1</v>
      </c>
      <c r="H1890" s="8" t="s">
        <v>12</v>
      </c>
      <c r="I1890" t="s">
        <v>2137</v>
      </c>
      <c r="K1890" t="str">
        <f>+VLOOKUP(C1890,'[1]TIENDAS 2025'!$A$1:$C$143,3,0)</f>
        <v>departamental</v>
      </c>
      <c r="L1890" t="str">
        <f>+VLOOKUP(C1890,[2]Hoja1!$A$1:$B$138,2,0)</f>
        <v>APROBAR</v>
      </c>
      <c r="M1890">
        <v>1</v>
      </c>
      <c r="N1890" t="e">
        <v>#N/A</v>
      </c>
    </row>
    <row r="1891" spans="1:14" ht="15" customHeight="1" x14ac:dyDescent="0.3">
      <c r="A1891" s="3">
        <v>1209660732</v>
      </c>
      <c r="B1891" s="3" t="s">
        <v>2134</v>
      </c>
      <c r="C1891" s="3" t="s">
        <v>2135</v>
      </c>
      <c r="D1891" s="4">
        <v>46307.464583333298</v>
      </c>
      <c r="E1891" s="5" t="s">
        <v>10</v>
      </c>
      <c r="F1891" s="5" t="s">
        <v>11</v>
      </c>
      <c r="G1891" s="5">
        <v>13</v>
      </c>
      <c r="H1891" s="6" t="s">
        <v>12</v>
      </c>
      <c r="I1891" t="s">
        <v>2138</v>
      </c>
      <c r="J1891" t="s">
        <v>2480</v>
      </c>
      <c r="K1891" t="str">
        <f>+VLOOKUP(C1891,'[1]TIENDAS 2025'!$A$1:$C$143,3,0)</f>
        <v>departamental</v>
      </c>
      <c r="L1891" t="str">
        <f>+VLOOKUP(C1891,[2]Hoja1!$A$1:$B$138,2,0)</f>
        <v>APROBAR</v>
      </c>
      <c r="M1891">
        <v>1</v>
      </c>
      <c r="N1891" t="e">
        <v>#N/A</v>
      </c>
    </row>
    <row r="1892" spans="1:14" ht="15" customHeight="1" x14ac:dyDescent="0.3">
      <c r="A1892" s="3">
        <v>8209660719</v>
      </c>
      <c r="B1892" s="3" t="s">
        <v>2134</v>
      </c>
      <c r="C1892" s="3" t="s">
        <v>2135</v>
      </c>
      <c r="D1892" s="4">
        <v>46307.464594907397</v>
      </c>
      <c r="E1892" s="5" t="s">
        <v>10</v>
      </c>
      <c r="F1892" s="5" t="s">
        <v>16</v>
      </c>
      <c r="G1892" s="5">
        <v>2</v>
      </c>
      <c r="H1892" s="8" t="s">
        <v>12</v>
      </c>
      <c r="I1892" t="s">
        <v>2139</v>
      </c>
      <c r="K1892" t="str">
        <f>+VLOOKUP(C1892,'[1]TIENDAS 2025'!$A$1:$C$143,3,0)</f>
        <v>departamental</v>
      </c>
      <c r="L1892" t="str">
        <f>+VLOOKUP(C1892,[2]Hoja1!$A$1:$B$138,2,0)</f>
        <v>APROBAR</v>
      </c>
      <c r="M1892">
        <v>1</v>
      </c>
      <c r="N1892" t="e">
        <v>#N/A</v>
      </c>
    </row>
    <row r="1893" spans="1:14" ht="15" customHeight="1" x14ac:dyDescent="0.3">
      <c r="A1893" s="3">
        <v>8209660536</v>
      </c>
      <c r="B1893" s="3" t="s">
        <v>2141</v>
      </c>
      <c r="C1893" s="3" t="s">
        <v>2142</v>
      </c>
      <c r="D1893" s="4">
        <v>46307.464606481502</v>
      </c>
      <c r="E1893" s="5" t="s">
        <v>10</v>
      </c>
      <c r="F1893" s="5" t="s">
        <v>16</v>
      </c>
      <c r="G1893" s="5">
        <v>21</v>
      </c>
      <c r="H1893" s="8" t="s">
        <v>12</v>
      </c>
      <c r="I1893" t="s">
        <v>2140</v>
      </c>
      <c r="K1893" t="str">
        <f>+VLOOKUP(C1893,'[1]TIENDAS 2025'!$A$1:$C$143,3,0)</f>
        <v>prioridad</v>
      </c>
      <c r="L1893" t="str">
        <f>+VLOOKUP(C1893,[2]Hoja1!$A$1:$B$138,2,0)</f>
        <v>APROBAR</v>
      </c>
      <c r="M1893">
        <v>1</v>
      </c>
      <c r="N1893" t="e">
        <v>#N/A</v>
      </c>
    </row>
    <row r="1894" spans="1:14" ht="15" customHeight="1" x14ac:dyDescent="0.3">
      <c r="A1894" s="3">
        <v>8209660573</v>
      </c>
      <c r="B1894" s="3" t="s">
        <v>2127</v>
      </c>
      <c r="C1894" s="3" t="s">
        <v>2128</v>
      </c>
      <c r="D1894" s="4">
        <v>46307.464629629598</v>
      </c>
      <c r="E1894" s="5" t="s">
        <v>10</v>
      </c>
      <c r="F1894" s="5" t="s">
        <v>16</v>
      </c>
      <c r="G1894" s="5">
        <v>5</v>
      </c>
      <c r="H1894" s="8" t="s">
        <v>12</v>
      </c>
      <c r="I1894" t="s">
        <v>2143</v>
      </c>
      <c r="K1894" t="str">
        <f>+VLOOKUP(C1894,'[1]TIENDAS 2025'!$A$1:$C$143,3,0)</f>
        <v>local</v>
      </c>
      <c r="L1894" t="str">
        <f>+VLOOKUP(C1894,[2]Hoja1!$A$1:$B$138,2,0)</f>
        <v>APROBAR</v>
      </c>
      <c r="M1894">
        <v>1</v>
      </c>
      <c r="N1894" t="e">
        <v>#N/A</v>
      </c>
    </row>
    <row r="1895" spans="1:14" ht="15" customHeight="1" x14ac:dyDescent="0.3">
      <c r="A1895" s="3">
        <v>1209660541</v>
      </c>
      <c r="B1895" s="3" t="s">
        <v>2141</v>
      </c>
      <c r="C1895" s="3" t="s">
        <v>2142</v>
      </c>
      <c r="D1895" s="4">
        <v>46307.464641203696</v>
      </c>
      <c r="E1895" s="5" t="s">
        <v>10</v>
      </c>
      <c r="F1895" s="5" t="s">
        <v>11</v>
      </c>
      <c r="G1895" s="5">
        <v>16</v>
      </c>
      <c r="H1895" s="6" t="s">
        <v>12</v>
      </c>
      <c r="I1895" t="s">
        <v>2144</v>
      </c>
      <c r="J1895" t="s">
        <v>2480</v>
      </c>
      <c r="K1895" t="str">
        <f>+VLOOKUP(C1895,'[1]TIENDAS 2025'!$A$1:$C$143,3,0)</f>
        <v>prioridad</v>
      </c>
      <c r="L1895" t="str">
        <f>+VLOOKUP(C1895,[2]Hoja1!$A$1:$B$138,2,0)</f>
        <v>APROBAR</v>
      </c>
      <c r="M1895">
        <v>1</v>
      </c>
      <c r="N1895" t="e">
        <v>#N/A</v>
      </c>
    </row>
    <row r="1896" spans="1:14" ht="15" customHeight="1" x14ac:dyDescent="0.3">
      <c r="A1896" s="3">
        <v>8209660532</v>
      </c>
      <c r="B1896" s="3" t="s">
        <v>2141</v>
      </c>
      <c r="C1896" s="3" t="s">
        <v>2142</v>
      </c>
      <c r="D1896" s="4">
        <v>46307.464664351799</v>
      </c>
      <c r="E1896" s="5" t="s">
        <v>10</v>
      </c>
      <c r="F1896" s="5" t="s">
        <v>16</v>
      </c>
      <c r="G1896" s="5">
        <v>7</v>
      </c>
      <c r="H1896" s="8" t="s">
        <v>12</v>
      </c>
      <c r="I1896" t="s">
        <v>2145</v>
      </c>
      <c r="K1896" t="str">
        <f>+VLOOKUP(C1896,'[1]TIENDAS 2025'!$A$1:$C$143,3,0)</f>
        <v>prioridad</v>
      </c>
      <c r="L1896" t="str">
        <f>+VLOOKUP(C1896,[2]Hoja1!$A$1:$B$138,2,0)</f>
        <v>APROBAR</v>
      </c>
      <c r="M1896">
        <v>1</v>
      </c>
      <c r="N1896" t="e">
        <v>#N/A</v>
      </c>
    </row>
    <row r="1897" spans="1:14" ht="15" customHeight="1" x14ac:dyDescent="0.3">
      <c r="A1897" s="3">
        <v>8209660533</v>
      </c>
      <c r="B1897" s="3" t="s">
        <v>2141</v>
      </c>
      <c r="C1897" s="3" t="s">
        <v>2142</v>
      </c>
      <c r="D1897" s="4">
        <v>46307.464687500003</v>
      </c>
      <c r="E1897" s="5" t="s">
        <v>10</v>
      </c>
      <c r="F1897" s="5" t="s">
        <v>16</v>
      </c>
      <c r="G1897" s="5">
        <v>1</v>
      </c>
      <c r="H1897" s="8" t="s">
        <v>12</v>
      </c>
      <c r="I1897" t="s">
        <v>2146</v>
      </c>
      <c r="K1897" t="str">
        <f>+VLOOKUP(C1897,'[1]TIENDAS 2025'!$A$1:$C$143,3,0)</f>
        <v>prioridad</v>
      </c>
      <c r="L1897" t="str">
        <f>+VLOOKUP(C1897,[2]Hoja1!$A$1:$B$138,2,0)</f>
        <v>APROBAR</v>
      </c>
      <c r="M1897">
        <v>1</v>
      </c>
      <c r="N1897" t="e">
        <v>#N/A</v>
      </c>
    </row>
    <row r="1898" spans="1:14" ht="15" customHeight="1" x14ac:dyDescent="0.3">
      <c r="A1898" s="3">
        <v>8209660534</v>
      </c>
      <c r="B1898" s="3" t="s">
        <v>2141</v>
      </c>
      <c r="C1898" s="3" t="s">
        <v>2142</v>
      </c>
      <c r="D1898" s="4">
        <v>46307.464699074102</v>
      </c>
      <c r="E1898" s="5" t="s">
        <v>10</v>
      </c>
      <c r="F1898" s="5" t="s">
        <v>16</v>
      </c>
      <c r="G1898" s="5">
        <v>2</v>
      </c>
      <c r="H1898" s="8" t="s">
        <v>12</v>
      </c>
      <c r="I1898" t="s">
        <v>2147</v>
      </c>
      <c r="K1898" t="str">
        <f>+VLOOKUP(C1898,'[1]TIENDAS 2025'!$A$1:$C$143,3,0)</f>
        <v>prioridad</v>
      </c>
      <c r="L1898" t="str">
        <f>+VLOOKUP(C1898,[2]Hoja1!$A$1:$B$138,2,0)</f>
        <v>APROBAR</v>
      </c>
      <c r="M1898">
        <v>1</v>
      </c>
      <c r="N1898" t="e">
        <v>#N/A</v>
      </c>
    </row>
    <row r="1899" spans="1:14" ht="15" customHeight="1" x14ac:dyDescent="0.3">
      <c r="A1899" s="3">
        <v>1209660736</v>
      </c>
      <c r="B1899" s="3" t="s">
        <v>2134</v>
      </c>
      <c r="C1899" s="3" t="s">
        <v>2135</v>
      </c>
      <c r="D1899" s="4">
        <v>46307.464722222197</v>
      </c>
      <c r="E1899" s="5" t="s">
        <v>10</v>
      </c>
      <c r="F1899" s="5" t="s">
        <v>11</v>
      </c>
      <c r="G1899" s="5">
        <v>2</v>
      </c>
      <c r="H1899" s="6" t="s">
        <v>12</v>
      </c>
      <c r="I1899" t="s">
        <v>2148</v>
      </c>
      <c r="J1899" t="s">
        <v>2480</v>
      </c>
      <c r="K1899" t="str">
        <f>+VLOOKUP(C1899,'[1]TIENDAS 2025'!$A$1:$C$143,3,0)</f>
        <v>departamental</v>
      </c>
      <c r="L1899" t="str">
        <f>+VLOOKUP(C1899,[2]Hoja1!$A$1:$B$138,2,0)</f>
        <v>APROBAR</v>
      </c>
      <c r="M1899">
        <v>1</v>
      </c>
      <c r="N1899" t="e">
        <v>#N/A</v>
      </c>
    </row>
    <row r="1900" spans="1:14" ht="15" customHeight="1" x14ac:dyDescent="0.3">
      <c r="A1900" s="3">
        <v>1209660630</v>
      </c>
      <c r="B1900" s="3" t="s">
        <v>2130</v>
      </c>
      <c r="C1900" s="3" t="s">
        <v>2131</v>
      </c>
      <c r="D1900" s="4">
        <v>46307.464745370402</v>
      </c>
      <c r="E1900" s="5" t="s">
        <v>10</v>
      </c>
      <c r="F1900" s="5" t="s">
        <v>11</v>
      </c>
      <c r="G1900" s="5">
        <v>13</v>
      </c>
      <c r="H1900" s="6" t="s">
        <v>12</v>
      </c>
      <c r="I1900" t="s">
        <v>2149</v>
      </c>
      <c r="J1900" t="s">
        <v>2480</v>
      </c>
      <c r="K1900" t="str">
        <f>+VLOOKUP(C1900,'[1]TIENDAS 2025'!$A$1:$C$143,3,0)</f>
        <v>departamental</v>
      </c>
      <c r="L1900" t="str">
        <f>+VLOOKUP(C1900,[2]Hoja1!$A$1:$B$138,2,0)</f>
        <v>APROBAR</v>
      </c>
      <c r="M1900">
        <v>1</v>
      </c>
      <c r="N1900" t="e">
        <v>#N/A</v>
      </c>
    </row>
    <row r="1901" spans="1:14" ht="15" customHeight="1" x14ac:dyDescent="0.3">
      <c r="A1901" s="3">
        <v>1209660675</v>
      </c>
      <c r="B1901" s="3" t="s">
        <v>2151</v>
      </c>
      <c r="C1901" s="3" t="s">
        <v>2152</v>
      </c>
      <c r="D1901" s="4">
        <v>46307.464756944399</v>
      </c>
      <c r="E1901" s="5" t="s">
        <v>10</v>
      </c>
      <c r="F1901" s="5" t="s">
        <v>11</v>
      </c>
      <c r="G1901" s="5">
        <v>19</v>
      </c>
      <c r="H1901" s="6" t="s">
        <v>12</v>
      </c>
      <c r="I1901" t="s">
        <v>2150</v>
      </c>
      <c r="J1901" t="s">
        <v>2480</v>
      </c>
      <c r="K1901" t="str">
        <f>+VLOOKUP(C1901,'[1]TIENDAS 2025'!$A$1:$C$143,3,0)</f>
        <v>departamental</v>
      </c>
      <c r="L1901" t="str">
        <f>+VLOOKUP(C1901,[2]Hoja1!$A$1:$B$138,2,0)</f>
        <v>APROBAR</v>
      </c>
      <c r="M1901">
        <v>1</v>
      </c>
      <c r="N1901" t="e">
        <v>#N/A</v>
      </c>
    </row>
    <row r="1902" spans="1:14" ht="15" customHeight="1" x14ac:dyDescent="0.3">
      <c r="A1902" s="3">
        <v>1209660726</v>
      </c>
      <c r="B1902" s="3" t="s">
        <v>2134</v>
      </c>
      <c r="C1902" s="3" t="s">
        <v>2135</v>
      </c>
      <c r="D1902" s="4">
        <v>46307.464768518497</v>
      </c>
      <c r="E1902" s="5" t="s">
        <v>10</v>
      </c>
      <c r="F1902" s="5" t="s">
        <v>11</v>
      </c>
      <c r="G1902" s="5">
        <v>7</v>
      </c>
      <c r="H1902" s="6" t="s">
        <v>12</v>
      </c>
      <c r="I1902" t="s">
        <v>2153</v>
      </c>
      <c r="J1902" t="s">
        <v>2480</v>
      </c>
      <c r="K1902" t="str">
        <f>+VLOOKUP(C1902,'[1]TIENDAS 2025'!$A$1:$C$143,3,0)</f>
        <v>departamental</v>
      </c>
      <c r="L1902" t="str">
        <f>+VLOOKUP(C1902,[2]Hoja1!$A$1:$B$138,2,0)</f>
        <v>APROBAR</v>
      </c>
      <c r="M1902">
        <v>1</v>
      </c>
      <c r="N1902" t="e">
        <v>#N/A</v>
      </c>
    </row>
    <row r="1903" spans="1:14" ht="15" customHeight="1" x14ac:dyDescent="0.3">
      <c r="A1903" s="3">
        <v>1209660739</v>
      </c>
      <c r="B1903" s="3" t="s">
        <v>2134</v>
      </c>
      <c r="C1903" s="3" t="s">
        <v>2135</v>
      </c>
      <c r="D1903" s="4">
        <v>46307.464780092603</v>
      </c>
      <c r="E1903" s="5" t="s">
        <v>10</v>
      </c>
      <c r="F1903" s="5" t="s">
        <v>11</v>
      </c>
      <c r="G1903" s="5">
        <v>8</v>
      </c>
      <c r="H1903" s="6" t="s">
        <v>12</v>
      </c>
      <c r="I1903" t="s">
        <v>2154</v>
      </c>
      <c r="J1903" t="s">
        <v>2480</v>
      </c>
      <c r="K1903" t="str">
        <f>+VLOOKUP(C1903,'[1]TIENDAS 2025'!$A$1:$C$143,3,0)</f>
        <v>departamental</v>
      </c>
      <c r="L1903" t="str">
        <f>+VLOOKUP(C1903,[2]Hoja1!$A$1:$B$138,2,0)</f>
        <v>APROBAR</v>
      </c>
      <c r="M1903">
        <v>1</v>
      </c>
      <c r="N1903" t="e">
        <v>#N/A</v>
      </c>
    </row>
    <row r="1904" spans="1:14" ht="15" customHeight="1" x14ac:dyDescent="0.3">
      <c r="A1904" s="3">
        <v>1209660633</v>
      </c>
      <c r="B1904" s="3" t="s">
        <v>2130</v>
      </c>
      <c r="C1904" s="3" t="s">
        <v>2131</v>
      </c>
      <c r="D1904" s="4">
        <v>46307.464803240699</v>
      </c>
      <c r="E1904" s="5" t="s">
        <v>10</v>
      </c>
      <c r="F1904" s="5" t="s">
        <v>11</v>
      </c>
      <c r="G1904" s="5">
        <v>10</v>
      </c>
      <c r="H1904" s="6" t="s">
        <v>12</v>
      </c>
      <c r="I1904" t="s">
        <v>2155</v>
      </c>
      <c r="J1904" t="s">
        <v>2480</v>
      </c>
      <c r="K1904" t="str">
        <f>+VLOOKUP(C1904,'[1]TIENDAS 2025'!$A$1:$C$143,3,0)</f>
        <v>departamental</v>
      </c>
      <c r="L1904" t="str">
        <f>+VLOOKUP(C1904,[2]Hoja1!$A$1:$B$138,2,0)</f>
        <v>APROBAR</v>
      </c>
      <c r="M1904">
        <v>1</v>
      </c>
      <c r="N1904" t="e">
        <v>#N/A</v>
      </c>
    </row>
    <row r="1905" spans="1:14" ht="15" customHeight="1" x14ac:dyDescent="0.3">
      <c r="A1905" s="3">
        <v>1209660677</v>
      </c>
      <c r="B1905" s="3" t="s">
        <v>2151</v>
      </c>
      <c r="C1905" s="3" t="s">
        <v>2152</v>
      </c>
      <c r="D1905" s="4">
        <v>46307.464814814797</v>
      </c>
      <c r="E1905" s="5" t="s">
        <v>10</v>
      </c>
      <c r="F1905" s="5" t="s">
        <v>11</v>
      </c>
      <c r="G1905" s="5">
        <v>18</v>
      </c>
      <c r="H1905" s="6" t="s">
        <v>12</v>
      </c>
      <c r="I1905" t="s">
        <v>2156</v>
      </c>
      <c r="J1905" t="s">
        <v>2480</v>
      </c>
      <c r="K1905" t="str">
        <f>+VLOOKUP(C1905,'[1]TIENDAS 2025'!$A$1:$C$143,3,0)</f>
        <v>departamental</v>
      </c>
      <c r="L1905" t="str">
        <f>+VLOOKUP(C1905,[2]Hoja1!$A$1:$B$138,2,0)</f>
        <v>APROBAR</v>
      </c>
      <c r="M1905">
        <v>1</v>
      </c>
      <c r="N1905" t="e">
        <v>#N/A</v>
      </c>
    </row>
    <row r="1906" spans="1:14" ht="15" customHeight="1" x14ac:dyDescent="0.3">
      <c r="A1906" s="3">
        <v>1209660634</v>
      </c>
      <c r="B1906" s="3" t="s">
        <v>2130</v>
      </c>
      <c r="C1906" s="3" t="s">
        <v>2131</v>
      </c>
      <c r="D1906" s="4">
        <v>46307.464826388903</v>
      </c>
      <c r="E1906" s="5" t="s">
        <v>10</v>
      </c>
      <c r="F1906" s="5" t="s">
        <v>11</v>
      </c>
      <c r="G1906" s="5">
        <v>22</v>
      </c>
      <c r="H1906" s="6" t="s">
        <v>12</v>
      </c>
      <c r="I1906" t="s">
        <v>2157</v>
      </c>
      <c r="J1906" t="s">
        <v>2480</v>
      </c>
      <c r="K1906" t="str">
        <f>+VLOOKUP(C1906,'[1]TIENDAS 2025'!$A$1:$C$143,3,0)</f>
        <v>departamental</v>
      </c>
      <c r="L1906" t="str">
        <f>+VLOOKUP(C1906,[2]Hoja1!$A$1:$B$138,2,0)</f>
        <v>APROBAR</v>
      </c>
      <c r="M1906">
        <v>1</v>
      </c>
      <c r="N1906" t="e">
        <v>#N/A</v>
      </c>
    </row>
    <row r="1907" spans="1:14" ht="15" customHeight="1" x14ac:dyDescent="0.3">
      <c r="A1907" s="3">
        <v>1209660635</v>
      </c>
      <c r="B1907" s="3" t="s">
        <v>2130</v>
      </c>
      <c r="C1907" s="3" t="s">
        <v>2131</v>
      </c>
      <c r="D1907" s="4">
        <v>46307.464837963002</v>
      </c>
      <c r="E1907" s="5" t="s">
        <v>10</v>
      </c>
      <c r="F1907" s="5" t="s">
        <v>17</v>
      </c>
      <c r="G1907" s="5">
        <v>35</v>
      </c>
      <c r="H1907" s="6" t="s">
        <v>12</v>
      </c>
      <c r="I1907" t="s">
        <v>2158</v>
      </c>
      <c r="J1907" t="s">
        <v>2480</v>
      </c>
      <c r="K1907" t="str">
        <f>+VLOOKUP(C1907,'[1]TIENDAS 2025'!$A$1:$C$143,3,0)</f>
        <v>departamental</v>
      </c>
      <c r="L1907" t="str">
        <f>+VLOOKUP(C1907,[2]Hoja1!$A$1:$B$138,2,0)</f>
        <v>APROBAR</v>
      </c>
      <c r="M1907">
        <v>1</v>
      </c>
      <c r="N1907" t="e">
        <v>#N/A</v>
      </c>
    </row>
    <row r="1908" spans="1:14" ht="15" customHeight="1" x14ac:dyDescent="0.3">
      <c r="A1908" s="3">
        <v>1209660577</v>
      </c>
      <c r="B1908" s="3" t="s">
        <v>2127</v>
      </c>
      <c r="C1908" s="3" t="s">
        <v>2128</v>
      </c>
      <c r="D1908" s="4">
        <v>46307.464849536998</v>
      </c>
      <c r="E1908" s="5" t="s">
        <v>10</v>
      </c>
      <c r="F1908" s="5" t="s">
        <v>11</v>
      </c>
      <c r="G1908" s="5">
        <v>16</v>
      </c>
      <c r="H1908" s="6" t="s">
        <v>12</v>
      </c>
      <c r="I1908" t="s">
        <v>2159</v>
      </c>
      <c r="J1908" t="s">
        <v>2480</v>
      </c>
      <c r="K1908" t="str">
        <f>+VLOOKUP(C1908,'[1]TIENDAS 2025'!$A$1:$C$143,3,0)</f>
        <v>local</v>
      </c>
      <c r="L1908" t="str">
        <f>+VLOOKUP(C1908,[2]Hoja1!$A$1:$B$138,2,0)</f>
        <v>APROBAR</v>
      </c>
      <c r="M1908">
        <v>1</v>
      </c>
      <c r="N1908" t="e">
        <v>#N/A</v>
      </c>
    </row>
    <row r="1909" spans="1:14" ht="15" customHeight="1" x14ac:dyDescent="0.3">
      <c r="A1909" s="3">
        <v>1209660579</v>
      </c>
      <c r="B1909" s="3" t="s">
        <v>2127</v>
      </c>
      <c r="C1909" s="3" t="s">
        <v>2128</v>
      </c>
      <c r="D1909" s="4">
        <v>46307.464872685203</v>
      </c>
      <c r="E1909" s="5" t="s">
        <v>10</v>
      </c>
      <c r="F1909" s="5" t="s">
        <v>11</v>
      </c>
      <c r="G1909" s="5">
        <v>8</v>
      </c>
      <c r="H1909" s="6" t="s">
        <v>12</v>
      </c>
      <c r="I1909" t="s">
        <v>2160</v>
      </c>
      <c r="J1909" t="s">
        <v>2480</v>
      </c>
      <c r="K1909" t="str">
        <f>+VLOOKUP(C1909,'[1]TIENDAS 2025'!$A$1:$C$143,3,0)</f>
        <v>local</v>
      </c>
      <c r="L1909" t="str">
        <f>+VLOOKUP(C1909,[2]Hoja1!$A$1:$B$138,2,0)</f>
        <v>APROBAR</v>
      </c>
      <c r="M1909">
        <v>1</v>
      </c>
      <c r="N1909" t="e">
        <v>#N/A</v>
      </c>
    </row>
    <row r="1910" spans="1:14" ht="15" customHeight="1" x14ac:dyDescent="0.3">
      <c r="A1910" s="3">
        <v>1209660545</v>
      </c>
      <c r="B1910" s="3" t="s">
        <v>2141</v>
      </c>
      <c r="C1910" s="3" t="s">
        <v>2142</v>
      </c>
      <c r="D1910" s="4">
        <v>46307.464884259301</v>
      </c>
      <c r="E1910" s="5" t="s">
        <v>10</v>
      </c>
      <c r="F1910" s="5" t="s">
        <v>11</v>
      </c>
      <c r="G1910" s="5">
        <v>35</v>
      </c>
      <c r="H1910" s="6" t="s">
        <v>12</v>
      </c>
      <c r="I1910" t="s">
        <v>2161</v>
      </c>
      <c r="J1910" t="s">
        <v>2480</v>
      </c>
      <c r="K1910" t="str">
        <f>+VLOOKUP(C1910,'[1]TIENDAS 2025'!$A$1:$C$143,3,0)</f>
        <v>prioridad</v>
      </c>
      <c r="L1910" t="str">
        <f>+VLOOKUP(C1910,[2]Hoja1!$A$1:$B$138,2,0)</f>
        <v>APROBAR</v>
      </c>
      <c r="M1910">
        <v>1</v>
      </c>
      <c r="N1910" t="e">
        <v>#N/A</v>
      </c>
    </row>
    <row r="1911" spans="1:14" ht="15" customHeight="1" x14ac:dyDescent="0.3">
      <c r="A1911" s="3">
        <v>1209660681</v>
      </c>
      <c r="B1911" s="3" t="s">
        <v>2151</v>
      </c>
      <c r="C1911" s="3" t="s">
        <v>2152</v>
      </c>
      <c r="D1911" s="4">
        <v>46307.464907407397</v>
      </c>
      <c r="E1911" s="5" t="s">
        <v>10</v>
      </c>
      <c r="F1911" s="5" t="s">
        <v>11</v>
      </c>
      <c r="G1911" s="5">
        <v>37</v>
      </c>
      <c r="H1911" s="6" t="s">
        <v>12</v>
      </c>
      <c r="I1911" t="s">
        <v>2162</v>
      </c>
      <c r="J1911" t="s">
        <v>2480</v>
      </c>
      <c r="K1911" t="str">
        <f>+VLOOKUP(C1911,'[1]TIENDAS 2025'!$A$1:$C$143,3,0)</f>
        <v>departamental</v>
      </c>
      <c r="L1911" t="str">
        <f>+VLOOKUP(C1911,[2]Hoja1!$A$1:$B$138,2,0)</f>
        <v>APROBAR</v>
      </c>
      <c r="M1911">
        <v>1</v>
      </c>
      <c r="N1911" t="e">
        <v>#N/A</v>
      </c>
    </row>
    <row r="1912" spans="1:14" ht="15" customHeight="1" x14ac:dyDescent="0.3">
      <c r="A1912" s="3">
        <v>1209660627</v>
      </c>
      <c r="B1912" s="3" t="s">
        <v>2130</v>
      </c>
      <c r="C1912" s="3" t="s">
        <v>2131</v>
      </c>
      <c r="D1912" s="4">
        <v>46307.464918981503</v>
      </c>
      <c r="E1912" s="5" t="s">
        <v>10</v>
      </c>
      <c r="F1912" s="5" t="s">
        <v>11</v>
      </c>
      <c r="G1912" s="5">
        <v>4</v>
      </c>
      <c r="H1912" s="6" t="s">
        <v>12</v>
      </c>
      <c r="I1912" t="s">
        <v>2163</v>
      </c>
      <c r="J1912" t="s">
        <v>2480</v>
      </c>
      <c r="K1912" t="str">
        <f>+VLOOKUP(C1912,'[1]TIENDAS 2025'!$A$1:$C$143,3,0)</f>
        <v>departamental</v>
      </c>
      <c r="L1912" t="str">
        <f>+VLOOKUP(C1912,[2]Hoja1!$A$1:$B$138,2,0)</f>
        <v>APROBAR</v>
      </c>
      <c r="M1912">
        <v>1</v>
      </c>
      <c r="N1912" t="e">
        <v>#N/A</v>
      </c>
    </row>
    <row r="1913" spans="1:14" ht="15" customHeight="1" x14ac:dyDescent="0.3">
      <c r="A1913" s="3">
        <v>1209660674</v>
      </c>
      <c r="B1913" s="3" t="s">
        <v>2151</v>
      </c>
      <c r="C1913" s="3" t="s">
        <v>2152</v>
      </c>
      <c r="D1913" s="4">
        <v>46307.464930555601</v>
      </c>
      <c r="E1913" s="5" t="s">
        <v>10</v>
      </c>
      <c r="F1913" s="5" t="s">
        <v>11</v>
      </c>
      <c r="G1913" s="5">
        <v>19</v>
      </c>
      <c r="H1913" s="6" t="s">
        <v>12</v>
      </c>
      <c r="I1913" t="s">
        <v>2164</v>
      </c>
      <c r="J1913" t="s">
        <v>2480</v>
      </c>
      <c r="K1913" t="str">
        <f>+VLOOKUP(C1913,'[1]TIENDAS 2025'!$A$1:$C$143,3,0)</f>
        <v>departamental</v>
      </c>
      <c r="L1913" t="str">
        <f>+VLOOKUP(C1913,[2]Hoja1!$A$1:$B$138,2,0)</f>
        <v>APROBAR</v>
      </c>
      <c r="M1913">
        <v>1</v>
      </c>
      <c r="N1913" t="e">
        <v>#N/A</v>
      </c>
    </row>
    <row r="1914" spans="1:14" ht="15" customHeight="1" x14ac:dyDescent="0.3">
      <c r="A1914" s="3">
        <v>1209660727</v>
      </c>
      <c r="B1914" s="3" t="s">
        <v>2134</v>
      </c>
      <c r="C1914" s="3" t="s">
        <v>2135</v>
      </c>
      <c r="D1914" s="4">
        <v>46307.464942129598</v>
      </c>
      <c r="E1914" s="5" t="s">
        <v>10</v>
      </c>
      <c r="F1914" s="5" t="s">
        <v>11</v>
      </c>
      <c r="G1914" s="5">
        <v>6</v>
      </c>
      <c r="H1914" s="6" t="s">
        <v>12</v>
      </c>
      <c r="I1914" t="s">
        <v>2165</v>
      </c>
      <c r="J1914" t="s">
        <v>2480</v>
      </c>
      <c r="K1914" t="str">
        <f>+VLOOKUP(C1914,'[1]TIENDAS 2025'!$A$1:$C$143,3,0)</f>
        <v>departamental</v>
      </c>
      <c r="L1914" t="str">
        <f>+VLOOKUP(C1914,[2]Hoja1!$A$1:$B$138,2,0)</f>
        <v>APROBAR</v>
      </c>
      <c r="M1914">
        <v>1</v>
      </c>
      <c r="N1914" t="e">
        <v>#N/A</v>
      </c>
    </row>
    <row r="1915" spans="1:14" ht="15" customHeight="1" x14ac:dyDescent="0.3">
      <c r="A1915" s="3">
        <v>8209660537</v>
      </c>
      <c r="B1915" s="3" t="s">
        <v>2141</v>
      </c>
      <c r="C1915" s="3" t="s">
        <v>2142</v>
      </c>
      <c r="D1915" s="4">
        <v>46307.464965277803</v>
      </c>
      <c r="E1915" s="5" t="s">
        <v>10</v>
      </c>
      <c r="F1915" s="5" t="s">
        <v>16</v>
      </c>
      <c r="G1915" s="5">
        <v>1</v>
      </c>
      <c r="H1915" s="8" t="s">
        <v>12</v>
      </c>
      <c r="I1915" t="s">
        <v>2166</v>
      </c>
      <c r="K1915" t="str">
        <f>+VLOOKUP(C1915,'[1]TIENDAS 2025'!$A$1:$C$143,3,0)</f>
        <v>prioridad</v>
      </c>
      <c r="L1915" t="str">
        <f>+VLOOKUP(C1915,[2]Hoja1!$A$1:$B$138,2,0)</f>
        <v>APROBAR</v>
      </c>
      <c r="M1915">
        <v>1</v>
      </c>
      <c r="N1915" t="e">
        <v>#N/A</v>
      </c>
    </row>
    <row r="1916" spans="1:14" ht="15" customHeight="1" x14ac:dyDescent="0.3">
      <c r="A1916" s="3">
        <v>8209660572</v>
      </c>
      <c r="B1916" s="3" t="s">
        <v>2127</v>
      </c>
      <c r="C1916" s="3" t="s">
        <v>2128</v>
      </c>
      <c r="D1916" s="4">
        <v>46307.464965277803</v>
      </c>
      <c r="E1916" s="5" t="s">
        <v>10</v>
      </c>
      <c r="F1916" s="5" t="s">
        <v>16</v>
      </c>
      <c r="G1916" s="5">
        <v>18</v>
      </c>
      <c r="H1916" s="8" t="s">
        <v>12</v>
      </c>
      <c r="I1916" t="s">
        <v>2167</v>
      </c>
      <c r="K1916" t="str">
        <f>+VLOOKUP(C1916,'[1]TIENDAS 2025'!$A$1:$C$143,3,0)</f>
        <v>local</v>
      </c>
      <c r="L1916" t="str">
        <f>+VLOOKUP(C1916,[2]Hoja1!$A$1:$B$138,2,0)</f>
        <v>APROBAR</v>
      </c>
      <c r="M1916">
        <v>1</v>
      </c>
      <c r="N1916" t="e">
        <v>#N/A</v>
      </c>
    </row>
    <row r="1917" spans="1:14" ht="15" customHeight="1" x14ac:dyDescent="0.3">
      <c r="A1917" s="3">
        <v>8209660538</v>
      </c>
      <c r="B1917" s="3" t="s">
        <v>2141</v>
      </c>
      <c r="C1917" s="3" t="s">
        <v>2142</v>
      </c>
      <c r="D1917" s="4">
        <v>46307.464988425898</v>
      </c>
      <c r="E1917" s="5" t="s">
        <v>10</v>
      </c>
      <c r="F1917" s="5" t="s">
        <v>16</v>
      </c>
      <c r="G1917" s="5">
        <v>16</v>
      </c>
      <c r="H1917" s="8" t="s">
        <v>12</v>
      </c>
      <c r="I1917" t="s">
        <v>2168</v>
      </c>
      <c r="K1917" t="str">
        <f>+VLOOKUP(C1917,'[1]TIENDAS 2025'!$A$1:$C$143,3,0)</f>
        <v>prioridad</v>
      </c>
      <c r="L1917" t="str">
        <f>+VLOOKUP(C1917,[2]Hoja1!$A$1:$B$138,2,0)</f>
        <v>APROBAR</v>
      </c>
      <c r="M1917">
        <v>1</v>
      </c>
      <c r="N1917" t="e">
        <v>#N/A</v>
      </c>
    </row>
    <row r="1918" spans="1:14" ht="15" customHeight="1" x14ac:dyDescent="0.3">
      <c r="A1918" s="3">
        <v>1209660576</v>
      </c>
      <c r="B1918" s="3" t="s">
        <v>2127</v>
      </c>
      <c r="C1918" s="3" t="s">
        <v>2128</v>
      </c>
      <c r="D1918" s="4">
        <v>46307.464999999997</v>
      </c>
      <c r="E1918" s="5" t="s">
        <v>10</v>
      </c>
      <c r="F1918" s="5" t="s">
        <v>17</v>
      </c>
      <c r="G1918" s="5">
        <v>22</v>
      </c>
      <c r="H1918" s="6" t="s">
        <v>12</v>
      </c>
      <c r="I1918" t="s">
        <v>2169</v>
      </c>
      <c r="J1918" t="s">
        <v>2480</v>
      </c>
      <c r="K1918" t="str">
        <f>+VLOOKUP(C1918,'[1]TIENDAS 2025'!$A$1:$C$143,3,0)</f>
        <v>local</v>
      </c>
      <c r="L1918" t="str">
        <f>+VLOOKUP(C1918,[2]Hoja1!$A$1:$B$138,2,0)</f>
        <v>APROBAR</v>
      </c>
      <c r="M1918">
        <v>1</v>
      </c>
      <c r="N1918" t="e">
        <v>#N/A</v>
      </c>
    </row>
    <row r="1919" spans="1:14" ht="15" customHeight="1" x14ac:dyDescent="0.3">
      <c r="A1919" s="3">
        <v>1209660544</v>
      </c>
      <c r="B1919" s="3" t="s">
        <v>2141</v>
      </c>
      <c r="C1919" s="3" t="s">
        <v>2142</v>
      </c>
      <c r="D1919" s="4">
        <v>46307.465011574102</v>
      </c>
      <c r="E1919" s="5" t="s">
        <v>10</v>
      </c>
      <c r="F1919" s="5" t="s">
        <v>17</v>
      </c>
      <c r="G1919" s="5">
        <v>38</v>
      </c>
      <c r="H1919" s="6" t="s">
        <v>12</v>
      </c>
      <c r="I1919" t="s">
        <v>2170</v>
      </c>
      <c r="J1919" t="s">
        <v>2480</v>
      </c>
      <c r="K1919" t="str">
        <f>+VLOOKUP(C1919,'[1]TIENDAS 2025'!$A$1:$C$143,3,0)</f>
        <v>prioridad</v>
      </c>
      <c r="L1919" t="str">
        <f>+VLOOKUP(C1919,[2]Hoja1!$A$1:$B$138,2,0)</f>
        <v>APROBAR</v>
      </c>
      <c r="M1919">
        <v>1</v>
      </c>
      <c r="N1919" t="e">
        <v>#N/A</v>
      </c>
    </row>
    <row r="1920" spans="1:14" ht="15" customHeight="1" x14ac:dyDescent="0.3">
      <c r="A1920" s="3">
        <v>1209660585</v>
      </c>
      <c r="B1920" s="3" t="s">
        <v>2127</v>
      </c>
      <c r="C1920" s="3" t="s">
        <v>2128</v>
      </c>
      <c r="D1920" s="4">
        <v>46307.465034722198</v>
      </c>
      <c r="E1920" s="5" t="s">
        <v>10</v>
      </c>
      <c r="F1920" s="5" t="s">
        <v>11</v>
      </c>
      <c r="G1920" s="5">
        <v>1</v>
      </c>
      <c r="H1920" s="6" t="s">
        <v>12</v>
      </c>
      <c r="I1920" t="s">
        <v>2171</v>
      </c>
      <c r="J1920" t="s">
        <v>2480</v>
      </c>
      <c r="K1920" t="str">
        <f>+VLOOKUP(C1920,'[1]TIENDAS 2025'!$A$1:$C$143,3,0)</f>
        <v>local</v>
      </c>
      <c r="L1920" t="str">
        <f>+VLOOKUP(C1920,[2]Hoja1!$A$1:$B$138,2,0)</f>
        <v>APROBAR</v>
      </c>
      <c r="M1920">
        <v>1</v>
      </c>
      <c r="N1920" t="e">
        <v>#N/A</v>
      </c>
    </row>
    <row r="1921" spans="1:14" ht="15" customHeight="1" x14ac:dyDescent="0.3">
      <c r="A1921" s="3">
        <v>8209660621</v>
      </c>
      <c r="B1921" s="3" t="s">
        <v>2130</v>
      </c>
      <c r="C1921" s="3" t="s">
        <v>2131</v>
      </c>
      <c r="D1921" s="4">
        <v>46307.465046296304</v>
      </c>
      <c r="E1921" s="5" t="s">
        <v>10</v>
      </c>
      <c r="F1921" s="5" t="s">
        <v>16</v>
      </c>
      <c r="G1921" s="5">
        <v>1</v>
      </c>
      <c r="H1921" s="8" t="s">
        <v>12</v>
      </c>
      <c r="I1921" t="s">
        <v>2172</v>
      </c>
      <c r="K1921" t="str">
        <f>+VLOOKUP(C1921,'[1]TIENDAS 2025'!$A$1:$C$143,3,0)</f>
        <v>departamental</v>
      </c>
      <c r="L1921" t="str">
        <f>+VLOOKUP(C1921,[2]Hoja1!$A$1:$B$138,2,0)</f>
        <v>APROBAR</v>
      </c>
      <c r="M1921">
        <v>1</v>
      </c>
      <c r="N1921" t="e">
        <v>#N/A</v>
      </c>
    </row>
    <row r="1922" spans="1:14" ht="15" customHeight="1" x14ac:dyDescent="0.3">
      <c r="A1922" s="3">
        <v>8209660622</v>
      </c>
      <c r="B1922" s="3" t="s">
        <v>2130</v>
      </c>
      <c r="C1922" s="3" t="s">
        <v>2131</v>
      </c>
      <c r="D1922" s="4">
        <v>46307.465057870402</v>
      </c>
      <c r="E1922" s="5" t="s">
        <v>10</v>
      </c>
      <c r="F1922" s="5" t="s">
        <v>16</v>
      </c>
      <c r="G1922" s="5">
        <v>4</v>
      </c>
      <c r="H1922" s="8" t="s">
        <v>12</v>
      </c>
      <c r="I1922" t="s">
        <v>2173</v>
      </c>
      <c r="K1922" t="str">
        <f>+VLOOKUP(C1922,'[1]TIENDAS 2025'!$A$1:$C$143,3,0)</f>
        <v>departamental</v>
      </c>
      <c r="L1922" t="str">
        <f>+VLOOKUP(C1922,[2]Hoja1!$A$1:$B$138,2,0)</f>
        <v>APROBAR</v>
      </c>
      <c r="M1922">
        <v>1</v>
      </c>
      <c r="N1922" t="e">
        <v>#N/A</v>
      </c>
    </row>
    <row r="1923" spans="1:14" ht="15" customHeight="1" x14ac:dyDescent="0.3">
      <c r="A1923" s="3">
        <v>8209660535</v>
      </c>
      <c r="B1923" s="3" t="s">
        <v>2141</v>
      </c>
      <c r="C1923" s="3" t="s">
        <v>2142</v>
      </c>
      <c r="D1923" s="4">
        <v>46307.465069444399</v>
      </c>
      <c r="E1923" s="5" t="s">
        <v>10</v>
      </c>
      <c r="F1923" s="5" t="s">
        <v>16</v>
      </c>
      <c r="G1923" s="5">
        <v>12</v>
      </c>
      <c r="H1923" s="8" t="s">
        <v>12</v>
      </c>
      <c r="I1923" t="s">
        <v>2174</v>
      </c>
      <c r="K1923" t="str">
        <f>+VLOOKUP(C1923,'[1]TIENDAS 2025'!$A$1:$C$143,3,0)</f>
        <v>prioridad</v>
      </c>
      <c r="L1923" t="str">
        <f>+VLOOKUP(C1923,[2]Hoja1!$A$1:$B$138,2,0)</f>
        <v>APROBAR</v>
      </c>
      <c r="M1923">
        <v>1</v>
      </c>
      <c r="N1923" t="e">
        <v>#N/A</v>
      </c>
    </row>
    <row r="1924" spans="1:14" ht="15" customHeight="1" x14ac:dyDescent="0.3">
      <c r="A1924" s="3">
        <v>8209660571</v>
      </c>
      <c r="B1924" s="3" t="s">
        <v>2127</v>
      </c>
      <c r="C1924" s="3" t="s">
        <v>2128</v>
      </c>
      <c r="D1924" s="4">
        <v>46307.465092592603</v>
      </c>
      <c r="E1924" s="5" t="s">
        <v>10</v>
      </c>
      <c r="F1924" s="5" t="s">
        <v>16</v>
      </c>
      <c r="G1924" s="5">
        <v>1</v>
      </c>
      <c r="H1924" s="8" t="s">
        <v>12</v>
      </c>
      <c r="I1924" t="s">
        <v>2175</v>
      </c>
      <c r="K1924" t="str">
        <f>+VLOOKUP(C1924,'[1]TIENDAS 2025'!$A$1:$C$143,3,0)</f>
        <v>local</v>
      </c>
      <c r="L1924" t="str">
        <f>+VLOOKUP(C1924,[2]Hoja1!$A$1:$B$138,2,0)</f>
        <v>APROBAR</v>
      </c>
      <c r="M1924">
        <v>1</v>
      </c>
      <c r="N1924" t="e">
        <v>#N/A</v>
      </c>
    </row>
    <row r="1925" spans="1:14" ht="15" customHeight="1" x14ac:dyDescent="0.3">
      <c r="A1925" s="3">
        <v>1209660734</v>
      </c>
      <c r="B1925" s="3" t="s">
        <v>2134</v>
      </c>
      <c r="C1925" s="3" t="s">
        <v>2135</v>
      </c>
      <c r="D1925" s="4">
        <v>46307.465104166702</v>
      </c>
      <c r="E1925" s="5" t="s">
        <v>10</v>
      </c>
      <c r="F1925" s="5" t="s">
        <v>17</v>
      </c>
      <c r="G1925" s="5">
        <v>29</v>
      </c>
      <c r="H1925" s="6" t="s">
        <v>12</v>
      </c>
      <c r="I1925" t="s">
        <v>2176</v>
      </c>
      <c r="J1925" t="s">
        <v>2480</v>
      </c>
      <c r="K1925" t="str">
        <f>+VLOOKUP(C1925,'[1]TIENDAS 2025'!$A$1:$C$143,3,0)</f>
        <v>departamental</v>
      </c>
      <c r="L1925" t="str">
        <f>+VLOOKUP(C1925,[2]Hoja1!$A$1:$B$138,2,0)</f>
        <v>APROBAR</v>
      </c>
      <c r="M1925">
        <v>1</v>
      </c>
      <c r="N1925" t="e">
        <v>#N/A</v>
      </c>
    </row>
    <row r="1926" spans="1:14" ht="15" customHeight="1" x14ac:dyDescent="0.3">
      <c r="A1926" s="3">
        <v>1209660639</v>
      </c>
      <c r="B1926" s="3" t="s">
        <v>2130</v>
      </c>
      <c r="C1926" s="3" t="s">
        <v>2131</v>
      </c>
      <c r="D1926" s="4">
        <v>46307.465115740699</v>
      </c>
      <c r="E1926" s="5" t="s">
        <v>10</v>
      </c>
      <c r="F1926" s="5" t="s">
        <v>11</v>
      </c>
      <c r="G1926" s="5">
        <v>47</v>
      </c>
      <c r="H1926" s="6" t="s">
        <v>12</v>
      </c>
      <c r="I1926" t="s">
        <v>2177</v>
      </c>
      <c r="J1926" t="s">
        <v>2480</v>
      </c>
      <c r="K1926" t="str">
        <f>+VLOOKUP(C1926,'[1]TIENDAS 2025'!$A$1:$C$143,3,0)</f>
        <v>departamental</v>
      </c>
      <c r="L1926" t="str">
        <f>+VLOOKUP(C1926,[2]Hoja1!$A$1:$B$138,2,0)</f>
        <v>APROBAR</v>
      </c>
      <c r="M1926">
        <v>1</v>
      </c>
      <c r="N1926" t="e">
        <v>#N/A</v>
      </c>
    </row>
    <row r="1927" spans="1:14" ht="15" customHeight="1" x14ac:dyDescent="0.3">
      <c r="A1927" s="3">
        <v>1209660628</v>
      </c>
      <c r="B1927" s="3" t="s">
        <v>2130</v>
      </c>
      <c r="C1927" s="3" t="s">
        <v>2131</v>
      </c>
      <c r="D1927" s="4">
        <v>46307.465127314797</v>
      </c>
      <c r="E1927" s="5" t="s">
        <v>10</v>
      </c>
      <c r="F1927" s="5" t="s">
        <v>17</v>
      </c>
      <c r="G1927" s="5">
        <v>8</v>
      </c>
      <c r="H1927" s="6" t="s">
        <v>12</v>
      </c>
      <c r="I1927" t="s">
        <v>2178</v>
      </c>
      <c r="J1927" t="s">
        <v>2480</v>
      </c>
      <c r="K1927" t="str">
        <f>+VLOOKUP(C1927,'[1]TIENDAS 2025'!$A$1:$C$143,3,0)</f>
        <v>departamental</v>
      </c>
      <c r="L1927" t="str">
        <f>+VLOOKUP(C1927,[2]Hoja1!$A$1:$B$138,2,0)</f>
        <v>APROBAR</v>
      </c>
      <c r="M1927">
        <v>1</v>
      </c>
      <c r="N1927" t="e">
        <v>#N/A</v>
      </c>
    </row>
    <row r="1928" spans="1:14" ht="15" customHeight="1" x14ac:dyDescent="0.3">
      <c r="A1928" s="3">
        <v>8209660662</v>
      </c>
      <c r="B1928" s="3" t="s">
        <v>2151</v>
      </c>
      <c r="C1928" s="3" t="s">
        <v>2152</v>
      </c>
      <c r="D1928" s="4">
        <v>46307.465150463002</v>
      </c>
      <c r="E1928" s="5" t="s">
        <v>10</v>
      </c>
      <c r="F1928" s="5" t="s">
        <v>16</v>
      </c>
      <c r="G1928" s="5">
        <v>2</v>
      </c>
      <c r="H1928" s="8" t="s">
        <v>12</v>
      </c>
      <c r="I1928" t="s">
        <v>2179</v>
      </c>
      <c r="K1928" t="str">
        <f>+VLOOKUP(C1928,'[1]TIENDAS 2025'!$A$1:$C$143,3,0)</f>
        <v>departamental</v>
      </c>
      <c r="L1928" t="str">
        <f>+VLOOKUP(C1928,[2]Hoja1!$A$1:$B$138,2,0)</f>
        <v>APROBAR</v>
      </c>
      <c r="M1928">
        <v>1</v>
      </c>
      <c r="N1928" t="e">
        <v>#N/A</v>
      </c>
    </row>
    <row r="1929" spans="1:14" ht="15" customHeight="1" x14ac:dyDescent="0.3">
      <c r="A1929" s="3">
        <v>8209660664</v>
      </c>
      <c r="B1929" s="3" t="s">
        <v>2151</v>
      </c>
      <c r="C1929" s="3" t="s">
        <v>2152</v>
      </c>
      <c r="D1929" s="4">
        <v>46307.465162036999</v>
      </c>
      <c r="E1929" s="5" t="s">
        <v>10</v>
      </c>
      <c r="F1929" s="5" t="s">
        <v>16</v>
      </c>
      <c r="G1929" s="5">
        <v>1</v>
      </c>
      <c r="H1929" s="8" t="s">
        <v>12</v>
      </c>
      <c r="I1929" t="s">
        <v>2180</v>
      </c>
      <c r="K1929" t="str">
        <f>+VLOOKUP(C1929,'[1]TIENDAS 2025'!$A$1:$C$143,3,0)</f>
        <v>departamental</v>
      </c>
      <c r="L1929" t="str">
        <f>+VLOOKUP(C1929,[2]Hoja1!$A$1:$B$138,2,0)</f>
        <v>APROBAR</v>
      </c>
      <c r="M1929">
        <v>1</v>
      </c>
      <c r="N1929" t="e">
        <v>#N/A</v>
      </c>
    </row>
    <row r="1930" spans="1:14" ht="15" customHeight="1" x14ac:dyDescent="0.3">
      <c r="A1930" s="3">
        <v>8209660665</v>
      </c>
      <c r="B1930" s="3" t="s">
        <v>2151</v>
      </c>
      <c r="C1930" s="3" t="s">
        <v>2152</v>
      </c>
      <c r="D1930" s="4">
        <v>46307.465162036999</v>
      </c>
      <c r="E1930" s="5" t="s">
        <v>10</v>
      </c>
      <c r="F1930" s="5" t="s">
        <v>16</v>
      </c>
      <c r="G1930" s="5">
        <v>3</v>
      </c>
      <c r="H1930" s="8" t="s">
        <v>12</v>
      </c>
      <c r="I1930" t="s">
        <v>2181</v>
      </c>
      <c r="K1930" t="str">
        <f>+VLOOKUP(C1930,'[1]TIENDAS 2025'!$A$1:$C$143,3,0)</f>
        <v>departamental</v>
      </c>
      <c r="L1930" t="str">
        <f>+VLOOKUP(C1930,[2]Hoja1!$A$1:$B$138,2,0)</f>
        <v>APROBAR</v>
      </c>
      <c r="M1930">
        <v>1</v>
      </c>
      <c r="N1930" t="e">
        <v>#N/A</v>
      </c>
    </row>
    <row r="1931" spans="1:14" ht="15" customHeight="1" x14ac:dyDescent="0.3">
      <c r="A1931" s="3">
        <v>1209660728</v>
      </c>
      <c r="B1931" s="3" t="s">
        <v>2134</v>
      </c>
      <c r="C1931" s="3" t="s">
        <v>2135</v>
      </c>
      <c r="D1931" s="4">
        <v>46307.465185185203</v>
      </c>
      <c r="E1931" s="5" t="s">
        <v>10</v>
      </c>
      <c r="F1931" s="5" t="s">
        <v>11</v>
      </c>
      <c r="G1931" s="5">
        <v>3</v>
      </c>
      <c r="H1931" s="6" t="s">
        <v>12</v>
      </c>
      <c r="I1931" t="s">
        <v>2182</v>
      </c>
      <c r="J1931" t="s">
        <v>2480</v>
      </c>
      <c r="K1931" t="str">
        <f>+VLOOKUP(C1931,'[1]TIENDAS 2025'!$A$1:$C$143,3,0)</f>
        <v>departamental</v>
      </c>
      <c r="L1931" t="str">
        <f>+VLOOKUP(C1931,[2]Hoja1!$A$1:$B$138,2,0)</f>
        <v>APROBAR</v>
      </c>
      <c r="M1931">
        <v>1</v>
      </c>
      <c r="N1931" t="e">
        <v>#N/A</v>
      </c>
    </row>
    <row r="1932" spans="1:14" ht="15" customHeight="1" x14ac:dyDescent="0.3">
      <c r="A1932" s="3">
        <v>8209660738</v>
      </c>
      <c r="B1932" s="3" t="s">
        <v>2134</v>
      </c>
      <c r="C1932" s="3" t="s">
        <v>2135</v>
      </c>
      <c r="D1932" s="4">
        <v>46307.465196759302</v>
      </c>
      <c r="E1932" s="5" t="s">
        <v>10</v>
      </c>
      <c r="F1932" s="5" t="s">
        <v>16</v>
      </c>
      <c r="G1932" s="5">
        <v>4</v>
      </c>
      <c r="H1932" s="8" t="s">
        <v>12</v>
      </c>
      <c r="I1932" t="s">
        <v>2183</v>
      </c>
      <c r="K1932" t="str">
        <f>+VLOOKUP(C1932,'[1]TIENDAS 2025'!$A$1:$C$143,3,0)</f>
        <v>departamental</v>
      </c>
      <c r="L1932" t="str">
        <f>+VLOOKUP(C1932,[2]Hoja1!$A$1:$B$138,2,0)</f>
        <v>APROBAR</v>
      </c>
      <c r="M1932">
        <v>1</v>
      </c>
      <c r="N1932" t="e">
        <v>#N/A</v>
      </c>
    </row>
    <row r="1933" spans="1:14" ht="15" customHeight="1" x14ac:dyDescent="0.3">
      <c r="A1933" s="3">
        <v>1209660540</v>
      </c>
      <c r="B1933" s="3" t="s">
        <v>2141</v>
      </c>
      <c r="C1933" s="3" t="s">
        <v>2142</v>
      </c>
      <c r="D1933" s="4">
        <v>46307.465219907397</v>
      </c>
      <c r="E1933" s="5" t="s">
        <v>10</v>
      </c>
      <c r="F1933" s="5" t="s">
        <v>11</v>
      </c>
      <c r="G1933" s="5">
        <v>19</v>
      </c>
      <c r="H1933" s="6" t="s">
        <v>12</v>
      </c>
      <c r="I1933" t="s">
        <v>2184</v>
      </c>
      <c r="J1933" t="s">
        <v>2480</v>
      </c>
      <c r="K1933" t="str">
        <f>+VLOOKUP(C1933,'[1]TIENDAS 2025'!$A$1:$C$143,3,0)</f>
        <v>prioridad</v>
      </c>
      <c r="L1933" t="str">
        <f>+VLOOKUP(C1933,[2]Hoja1!$A$1:$B$138,2,0)</f>
        <v>APROBAR</v>
      </c>
      <c r="M1933">
        <v>1</v>
      </c>
      <c r="N1933" t="e">
        <v>#N/A</v>
      </c>
    </row>
    <row r="1934" spans="1:14" ht="15" customHeight="1" x14ac:dyDescent="0.3">
      <c r="A1934" s="3">
        <v>1209660580</v>
      </c>
      <c r="B1934" s="3" t="s">
        <v>2127</v>
      </c>
      <c r="C1934" s="3" t="s">
        <v>2128</v>
      </c>
      <c r="D1934" s="4">
        <v>46307.465231481503</v>
      </c>
      <c r="E1934" s="5" t="s">
        <v>10</v>
      </c>
      <c r="F1934" s="5" t="s">
        <v>17</v>
      </c>
      <c r="G1934" s="5">
        <v>18</v>
      </c>
      <c r="H1934" s="6" t="s">
        <v>12</v>
      </c>
      <c r="I1934" t="s">
        <v>2185</v>
      </c>
      <c r="J1934" t="s">
        <v>2480</v>
      </c>
      <c r="K1934" t="str">
        <f>+VLOOKUP(C1934,'[1]TIENDAS 2025'!$A$1:$C$143,3,0)</f>
        <v>local</v>
      </c>
      <c r="L1934" t="str">
        <f>+VLOOKUP(C1934,[2]Hoja1!$A$1:$B$138,2,0)</f>
        <v>APROBAR</v>
      </c>
      <c r="M1934">
        <v>1</v>
      </c>
      <c r="N1934" t="e">
        <v>#N/A</v>
      </c>
    </row>
    <row r="1935" spans="1:14" ht="15" customHeight="1" x14ac:dyDescent="0.3">
      <c r="A1935" s="3">
        <v>1209660596</v>
      </c>
      <c r="B1935" s="3" t="s">
        <v>2127</v>
      </c>
      <c r="C1935" s="3" t="s">
        <v>2128</v>
      </c>
      <c r="D1935" s="4">
        <v>46307.465243055602</v>
      </c>
      <c r="E1935" s="5" t="s">
        <v>10</v>
      </c>
      <c r="F1935" s="5" t="s">
        <v>17</v>
      </c>
      <c r="G1935" s="5">
        <v>33</v>
      </c>
      <c r="H1935" s="6" t="s">
        <v>12</v>
      </c>
      <c r="I1935" t="s">
        <v>2186</v>
      </c>
      <c r="J1935" t="s">
        <v>2480</v>
      </c>
      <c r="K1935" t="str">
        <f>+VLOOKUP(C1935,'[1]TIENDAS 2025'!$A$1:$C$143,3,0)</f>
        <v>local</v>
      </c>
      <c r="L1935" t="str">
        <f>+VLOOKUP(C1935,[2]Hoja1!$A$1:$B$138,2,0)</f>
        <v>APROBAR</v>
      </c>
      <c r="M1935">
        <v>1</v>
      </c>
      <c r="N1935" t="e">
        <v>#N/A</v>
      </c>
    </row>
    <row r="1936" spans="1:14" ht="15" customHeight="1" x14ac:dyDescent="0.3">
      <c r="A1936" s="3">
        <v>1209660547</v>
      </c>
      <c r="B1936" s="3" t="s">
        <v>2141</v>
      </c>
      <c r="C1936" s="3" t="s">
        <v>2142</v>
      </c>
      <c r="D1936" s="4">
        <v>46307.465254629598</v>
      </c>
      <c r="E1936" s="5" t="s">
        <v>10</v>
      </c>
      <c r="F1936" s="5" t="s">
        <v>11</v>
      </c>
      <c r="G1936" s="5">
        <v>3</v>
      </c>
      <c r="H1936" s="6" t="s">
        <v>12</v>
      </c>
      <c r="I1936" t="s">
        <v>2187</v>
      </c>
      <c r="J1936" t="s">
        <v>2480</v>
      </c>
      <c r="K1936" t="str">
        <f>+VLOOKUP(C1936,'[1]TIENDAS 2025'!$A$1:$C$143,3,0)</f>
        <v>prioridad</v>
      </c>
      <c r="L1936" t="str">
        <f>+VLOOKUP(C1936,[2]Hoja1!$A$1:$B$138,2,0)</f>
        <v>APROBAR</v>
      </c>
      <c r="M1936">
        <v>1</v>
      </c>
      <c r="N1936" t="e">
        <v>#N/A</v>
      </c>
    </row>
    <row r="1937" spans="1:14" ht="15" customHeight="1" x14ac:dyDescent="0.3">
      <c r="A1937" s="3">
        <v>8209660625</v>
      </c>
      <c r="B1937" s="3" t="s">
        <v>2130</v>
      </c>
      <c r="C1937" s="3" t="s">
        <v>2131</v>
      </c>
      <c r="D1937" s="4">
        <v>46307.465277777803</v>
      </c>
      <c r="E1937" s="5" t="s">
        <v>10</v>
      </c>
      <c r="F1937" s="5" t="s">
        <v>16</v>
      </c>
      <c r="G1937" s="5">
        <v>9</v>
      </c>
      <c r="H1937" s="8" t="s">
        <v>12</v>
      </c>
      <c r="I1937" t="s">
        <v>2188</v>
      </c>
      <c r="K1937" t="str">
        <f>+VLOOKUP(C1937,'[1]TIENDAS 2025'!$A$1:$C$143,3,0)</f>
        <v>departamental</v>
      </c>
      <c r="L1937" t="str">
        <f>+VLOOKUP(C1937,[2]Hoja1!$A$1:$B$138,2,0)</f>
        <v>APROBAR</v>
      </c>
      <c r="M1937">
        <v>1</v>
      </c>
      <c r="N1937" t="e">
        <v>#N/A</v>
      </c>
    </row>
    <row r="1938" spans="1:14" ht="15" customHeight="1" x14ac:dyDescent="0.3">
      <c r="A1938" s="3">
        <v>1209660672</v>
      </c>
      <c r="B1938" s="3" t="s">
        <v>2151</v>
      </c>
      <c r="C1938" s="3" t="s">
        <v>2152</v>
      </c>
      <c r="D1938" s="4">
        <v>46307.465300925898</v>
      </c>
      <c r="E1938" s="5" t="s">
        <v>10</v>
      </c>
      <c r="F1938" s="5" t="s">
        <v>11</v>
      </c>
      <c r="G1938" s="5">
        <v>18</v>
      </c>
      <c r="H1938" s="6" t="s">
        <v>12</v>
      </c>
      <c r="I1938" t="s">
        <v>2189</v>
      </c>
      <c r="J1938" t="s">
        <v>2480</v>
      </c>
      <c r="K1938" t="str">
        <f>+VLOOKUP(C1938,'[1]TIENDAS 2025'!$A$1:$C$143,3,0)</f>
        <v>departamental</v>
      </c>
      <c r="L1938" t="str">
        <f>+VLOOKUP(C1938,[2]Hoja1!$A$1:$B$138,2,0)</f>
        <v>APROBAR</v>
      </c>
      <c r="M1938">
        <v>1</v>
      </c>
      <c r="N1938" t="e">
        <v>#N/A</v>
      </c>
    </row>
    <row r="1939" spans="1:14" ht="15" customHeight="1" x14ac:dyDescent="0.3">
      <c r="A1939" s="3">
        <v>8209660722</v>
      </c>
      <c r="B1939" s="3" t="s">
        <v>2134</v>
      </c>
      <c r="C1939" s="3" t="s">
        <v>2135</v>
      </c>
      <c r="D1939" s="4">
        <v>46307.465312499997</v>
      </c>
      <c r="E1939" s="5" t="s">
        <v>10</v>
      </c>
      <c r="F1939" s="5" t="s">
        <v>16</v>
      </c>
      <c r="G1939" s="5">
        <v>5</v>
      </c>
      <c r="H1939" s="8" t="s">
        <v>12</v>
      </c>
      <c r="I1939" t="s">
        <v>2190</v>
      </c>
      <c r="K1939" t="str">
        <f>+VLOOKUP(C1939,'[1]TIENDAS 2025'!$A$1:$C$143,3,0)</f>
        <v>departamental</v>
      </c>
      <c r="L1939" t="str">
        <f>+VLOOKUP(C1939,[2]Hoja1!$A$1:$B$138,2,0)</f>
        <v>APROBAR</v>
      </c>
      <c r="M1939">
        <v>1</v>
      </c>
      <c r="N1939" t="e">
        <v>#N/A</v>
      </c>
    </row>
    <row r="1940" spans="1:14" ht="15" customHeight="1" x14ac:dyDescent="0.3">
      <c r="A1940" s="3">
        <v>1209660629</v>
      </c>
      <c r="B1940" s="3" t="s">
        <v>2130</v>
      </c>
      <c r="C1940" s="3" t="s">
        <v>2131</v>
      </c>
      <c r="D1940" s="4">
        <v>46307.465335648201</v>
      </c>
      <c r="E1940" s="5" t="s">
        <v>10</v>
      </c>
      <c r="F1940" s="5" t="s">
        <v>11</v>
      </c>
      <c r="G1940" s="5">
        <v>10</v>
      </c>
      <c r="H1940" s="6" t="s">
        <v>12</v>
      </c>
      <c r="I1940" t="s">
        <v>2191</v>
      </c>
      <c r="J1940" t="s">
        <v>2480</v>
      </c>
      <c r="K1940" t="str">
        <f>+VLOOKUP(C1940,'[1]TIENDAS 2025'!$A$1:$C$143,3,0)</f>
        <v>departamental</v>
      </c>
      <c r="L1940" t="str">
        <f>+VLOOKUP(C1940,[2]Hoja1!$A$1:$B$138,2,0)</f>
        <v>APROBAR</v>
      </c>
      <c r="M1940">
        <v>1</v>
      </c>
      <c r="N1940" t="e">
        <v>#N/A</v>
      </c>
    </row>
    <row r="1941" spans="1:14" ht="15" customHeight="1" x14ac:dyDescent="0.3">
      <c r="A1941" s="3">
        <v>8209660663</v>
      </c>
      <c r="B1941" s="3" t="s">
        <v>2151</v>
      </c>
      <c r="C1941" s="3" t="s">
        <v>2152</v>
      </c>
      <c r="D1941" s="4">
        <v>46307.465347222198</v>
      </c>
      <c r="E1941" s="5" t="s">
        <v>10</v>
      </c>
      <c r="F1941" s="5" t="s">
        <v>16</v>
      </c>
      <c r="G1941" s="5">
        <v>2</v>
      </c>
      <c r="H1941" s="8" t="s">
        <v>12</v>
      </c>
      <c r="I1941" t="s">
        <v>2192</v>
      </c>
      <c r="K1941" t="str">
        <f>+VLOOKUP(C1941,'[1]TIENDAS 2025'!$A$1:$C$143,3,0)</f>
        <v>departamental</v>
      </c>
      <c r="L1941" t="str">
        <f>+VLOOKUP(C1941,[2]Hoja1!$A$1:$B$138,2,0)</f>
        <v>APROBAR</v>
      </c>
      <c r="M1941">
        <v>1</v>
      </c>
      <c r="N1941" t="e">
        <v>#N/A</v>
      </c>
    </row>
    <row r="1942" spans="1:14" ht="15" customHeight="1" x14ac:dyDescent="0.3">
      <c r="A1942" s="3">
        <v>1209660729</v>
      </c>
      <c r="B1942" s="3" t="s">
        <v>2134</v>
      </c>
      <c r="C1942" s="3" t="s">
        <v>2135</v>
      </c>
      <c r="D1942" s="4">
        <v>46307.465358796297</v>
      </c>
      <c r="E1942" s="5" t="s">
        <v>10</v>
      </c>
      <c r="F1942" s="5" t="s">
        <v>11</v>
      </c>
      <c r="G1942" s="5">
        <v>3</v>
      </c>
      <c r="H1942" s="6" t="s">
        <v>12</v>
      </c>
      <c r="I1942" t="s">
        <v>2193</v>
      </c>
      <c r="J1942" t="s">
        <v>2480</v>
      </c>
      <c r="K1942" t="str">
        <f>+VLOOKUP(C1942,'[1]TIENDAS 2025'!$A$1:$C$143,3,0)</f>
        <v>departamental</v>
      </c>
      <c r="L1942" t="str">
        <f>+VLOOKUP(C1942,[2]Hoja1!$A$1:$B$138,2,0)</f>
        <v>APROBAR</v>
      </c>
      <c r="M1942">
        <v>1</v>
      </c>
      <c r="N1942" t="e">
        <v>#N/A</v>
      </c>
    </row>
    <row r="1943" spans="1:14" ht="15" customHeight="1" x14ac:dyDescent="0.3">
      <c r="A1943" s="3">
        <v>8209660667</v>
      </c>
      <c r="B1943" s="3" t="s">
        <v>2151</v>
      </c>
      <c r="C1943" s="3" t="s">
        <v>2152</v>
      </c>
      <c r="D1943" s="4">
        <v>46307.465381944399</v>
      </c>
      <c r="E1943" s="5" t="s">
        <v>10</v>
      </c>
      <c r="F1943" s="5" t="s">
        <v>16</v>
      </c>
      <c r="G1943" s="5">
        <v>43</v>
      </c>
      <c r="H1943" s="8" t="s">
        <v>12</v>
      </c>
      <c r="I1943" t="s">
        <v>2194</v>
      </c>
      <c r="K1943" t="str">
        <f>+VLOOKUP(C1943,'[1]TIENDAS 2025'!$A$1:$C$143,3,0)</f>
        <v>departamental</v>
      </c>
      <c r="L1943" t="str">
        <f>+VLOOKUP(C1943,[2]Hoja1!$A$1:$B$138,2,0)</f>
        <v>APROBAR</v>
      </c>
      <c r="M1943">
        <v>1</v>
      </c>
      <c r="N1943" t="e">
        <v>#N/A</v>
      </c>
    </row>
    <row r="1944" spans="1:14" ht="15" customHeight="1" x14ac:dyDescent="0.3">
      <c r="A1944" s="3">
        <v>8209660575</v>
      </c>
      <c r="B1944" s="3" t="s">
        <v>2127</v>
      </c>
      <c r="C1944" s="3" t="s">
        <v>2128</v>
      </c>
      <c r="D1944" s="4">
        <v>46307.465393518498</v>
      </c>
      <c r="E1944" s="5" t="s">
        <v>10</v>
      </c>
      <c r="F1944" s="5" t="s">
        <v>16</v>
      </c>
      <c r="G1944" s="5">
        <v>15</v>
      </c>
      <c r="H1944" s="8" t="s">
        <v>12</v>
      </c>
      <c r="I1944" t="s">
        <v>2195</v>
      </c>
      <c r="K1944" t="str">
        <f>+VLOOKUP(C1944,'[1]TIENDAS 2025'!$A$1:$C$143,3,0)</f>
        <v>local</v>
      </c>
      <c r="L1944" t="str">
        <f>+VLOOKUP(C1944,[2]Hoja1!$A$1:$B$138,2,0)</f>
        <v>APROBAR</v>
      </c>
      <c r="M1944">
        <v>1</v>
      </c>
      <c r="N1944" t="e">
        <v>#N/A</v>
      </c>
    </row>
    <row r="1945" spans="1:14" ht="15" customHeight="1" x14ac:dyDescent="0.3">
      <c r="A1945" s="3">
        <v>8209660568</v>
      </c>
      <c r="B1945" s="3" t="s">
        <v>2127</v>
      </c>
      <c r="C1945" s="3" t="s">
        <v>2128</v>
      </c>
      <c r="D1945" s="4">
        <v>46307.465416666702</v>
      </c>
      <c r="E1945" s="5" t="s">
        <v>10</v>
      </c>
      <c r="F1945" s="5" t="s">
        <v>16</v>
      </c>
      <c r="G1945" s="5">
        <v>7</v>
      </c>
      <c r="H1945" s="8" t="s">
        <v>12</v>
      </c>
      <c r="I1945" t="s">
        <v>2196</v>
      </c>
      <c r="K1945" t="str">
        <f>+VLOOKUP(C1945,'[1]TIENDAS 2025'!$A$1:$C$143,3,0)</f>
        <v>local</v>
      </c>
      <c r="L1945" t="str">
        <f>+VLOOKUP(C1945,[2]Hoja1!$A$1:$B$138,2,0)</f>
        <v>APROBAR</v>
      </c>
      <c r="M1945">
        <v>1</v>
      </c>
      <c r="N1945" t="e">
        <v>#N/A</v>
      </c>
    </row>
    <row r="1946" spans="1:14" ht="15" customHeight="1" x14ac:dyDescent="0.3">
      <c r="A1946" s="3">
        <v>1209660731</v>
      </c>
      <c r="B1946" s="3" t="s">
        <v>2134</v>
      </c>
      <c r="C1946" s="3" t="s">
        <v>2135</v>
      </c>
      <c r="D1946" s="4">
        <v>46307.465428240699</v>
      </c>
      <c r="E1946" s="5" t="s">
        <v>10</v>
      </c>
      <c r="F1946" s="5" t="s">
        <v>11</v>
      </c>
      <c r="G1946" s="5">
        <v>15</v>
      </c>
      <c r="H1946" s="6" t="s">
        <v>12</v>
      </c>
      <c r="I1946" t="s">
        <v>2197</v>
      </c>
      <c r="J1946" t="s">
        <v>2480</v>
      </c>
      <c r="K1946" t="str">
        <f>+VLOOKUP(C1946,'[1]TIENDAS 2025'!$A$1:$C$143,3,0)</f>
        <v>departamental</v>
      </c>
      <c r="L1946" t="str">
        <f>+VLOOKUP(C1946,[2]Hoja1!$A$1:$B$138,2,0)</f>
        <v>APROBAR</v>
      </c>
      <c r="M1946">
        <v>1</v>
      </c>
      <c r="N1946" t="e">
        <v>#N/A</v>
      </c>
    </row>
    <row r="1947" spans="1:14" ht="15" customHeight="1" x14ac:dyDescent="0.3">
      <c r="A1947" s="3">
        <v>8209660642</v>
      </c>
      <c r="B1947" s="3" t="s">
        <v>2130</v>
      </c>
      <c r="C1947" s="3" t="s">
        <v>2131</v>
      </c>
      <c r="D1947" s="4">
        <v>46307.465439814798</v>
      </c>
      <c r="E1947" s="5" t="s">
        <v>10</v>
      </c>
      <c r="F1947" s="5" t="s">
        <v>16</v>
      </c>
      <c r="G1947" s="5">
        <v>2</v>
      </c>
      <c r="H1947" s="8" t="s">
        <v>12</v>
      </c>
      <c r="I1947" t="s">
        <v>2198</v>
      </c>
      <c r="K1947" t="str">
        <f>+VLOOKUP(C1947,'[1]TIENDAS 2025'!$A$1:$C$143,3,0)</f>
        <v>departamental</v>
      </c>
      <c r="L1947" t="str">
        <f>+VLOOKUP(C1947,[2]Hoja1!$A$1:$B$138,2,0)</f>
        <v>APROBAR</v>
      </c>
      <c r="M1947">
        <v>1</v>
      </c>
      <c r="N1947" t="e">
        <v>#N/A</v>
      </c>
    </row>
    <row r="1948" spans="1:14" ht="15" customHeight="1" x14ac:dyDescent="0.3">
      <c r="A1948" s="3">
        <v>1209660668</v>
      </c>
      <c r="B1948" s="3" t="s">
        <v>2151</v>
      </c>
      <c r="C1948" s="3" t="s">
        <v>2152</v>
      </c>
      <c r="D1948" s="4">
        <v>46307.465451388904</v>
      </c>
      <c r="E1948" s="5" t="s">
        <v>10</v>
      </c>
      <c r="F1948" s="5" t="s">
        <v>11</v>
      </c>
      <c r="G1948" s="5">
        <v>3</v>
      </c>
      <c r="H1948" s="6" t="s">
        <v>12</v>
      </c>
      <c r="I1948" t="s">
        <v>2199</v>
      </c>
      <c r="J1948" t="s">
        <v>2480</v>
      </c>
      <c r="K1948" t="str">
        <f>+VLOOKUP(C1948,'[1]TIENDAS 2025'!$A$1:$C$143,3,0)</f>
        <v>departamental</v>
      </c>
      <c r="L1948" t="str">
        <f>+VLOOKUP(C1948,[2]Hoja1!$A$1:$B$138,2,0)</f>
        <v>APROBAR</v>
      </c>
      <c r="M1948">
        <v>1</v>
      </c>
      <c r="N1948" t="e">
        <v>#N/A</v>
      </c>
    </row>
    <row r="1949" spans="1:14" ht="15" customHeight="1" x14ac:dyDescent="0.3">
      <c r="A1949" s="3">
        <v>1209660574</v>
      </c>
      <c r="B1949" s="3" t="s">
        <v>2127</v>
      </c>
      <c r="C1949" s="3" t="s">
        <v>2128</v>
      </c>
      <c r="D1949" s="4">
        <v>46307.465474536999</v>
      </c>
      <c r="E1949" s="5" t="s">
        <v>10</v>
      </c>
      <c r="F1949" s="5" t="s">
        <v>17</v>
      </c>
      <c r="G1949" s="5">
        <v>1</v>
      </c>
      <c r="H1949" s="6" t="s">
        <v>12</v>
      </c>
      <c r="I1949" t="s">
        <v>2200</v>
      </c>
      <c r="J1949" t="s">
        <v>2480</v>
      </c>
      <c r="K1949" t="str">
        <f>+VLOOKUP(C1949,'[1]TIENDAS 2025'!$A$1:$C$143,3,0)</f>
        <v>local</v>
      </c>
      <c r="L1949" t="str">
        <f>+VLOOKUP(C1949,[2]Hoja1!$A$1:$B$138,2,0)</f>
        <v>APROBAR</v>
      </c>
      <c r="M1949">
        <v>1</v>
      </c>
      <c r="N1949" t="e">
        <v>#N/A</v>
      </c>
    </row>
    <row r="1950" spans="1:14" ht="15" customHeight="1" x14ac:dyDescent="0.3">
      <c r="A1950" s="3">
        <v>1209660543</v>
      </c>
      <c r="B1950" s="3" t="s">
        <v>2141</v>
      </c>
      <c r="C1950" s="3" t="s">
        <v>2142</v>
      </c>
      <c r="D1950" s="4">
        <v>46307.465486111098</v>
      </c>
      <c r="E1950" s="5" t="s">
        <v>10</v>
      </c>
      <c r="F1950" s="5" t="s">
        <v>11</v>
      </c>
      <c r="G1950" s="5">
        <v>32</v>
      </c>
      <c r="H1950" s="6" t="s">
        <v>12</v>
      </c>
      <c r="I1950" t="s">
        <v>2201</v>
      </c>
      <c r="J1950" t="s">
        <v>2480</v>
      </c>
      <c r="K1950" t="str">
        <f>+VLOOKUP(C1950,'[1]TIENDAS 2025'!$A$1:$C$143,3,0)</f>
        <v>prioridad</v>
      </c>
      <c r="L1950" t="str">
        <f>+VLOOKUP(C1950,[2]Hoja1!$A$1:$B$138,2,0)</f>
        <v>APROBAR</v>
      </c>
      <c r="M1950">
        <v>1</v>
      </c>
      <c r="N1950" t="e">
        <v>#N/A</v>
      </c>
    </row>
    <row r="1951" spans="1:14" ht="15" customHeight="1" x14ac:dyDescent="0.3">
      <c r="A1951" s="3">
        <v>1209660546</v>
      </c>
      <c r="B1951" s="3" t="s">
        <v>2141</v>
      </c>
      <c r="C1951" s="3" t="s">
        <v>2142</v>
      </c>
      <c r="D1951" s="4">
        <v>46307.465509259302</v>
      </c>
      <c r="E1951" s="5" t="s">
        <v>10</v>
      </c>
      <c r="F1951" s="5" t="s">
        <v>11</v>
      </c>
      <c r="G1951" s="5">
        <v>38</v>
      </c>
      <c r="H1951" s="6" t="s">
        <v>12</v>
      </c>
      <c r="I1951" t="s">
        <v>2202</v>
      </c>
      <c r="J1951" t="s">
        <v>2480</v>
      </c>
      <c r="K1951" t="str">
        <f>+VLOOKUP(C1951,'[1]TIENDAS 2025'!$A$1:$C$143,3,0)</f>
        <v>prioridad</v>
      </c>
      <c r="L1951" t="str">
        <f>+VLOOKUP(C1951,[2]Hoja1!$A$1:$B$138,2,0)</f>
        <v>APROBAR</v>
      </c>
      <c r="M1951">
        <v>1</v>
      </c>
      <c r="N1951" t="e">
        <v>#N/A</v>
      </c>
    </row>
    <row r="1952" spans="1:14" ht="15" customHeight="1" x14ac:dyDescent="0.3">
      <c r="A1952" s="3">
        <v>8209660623</v>
      </c>
      <c r="B1952" s="3" t="s">
        <v>2130</v>
      </c>
      <c r="C1952" s="3" t="s">
        <v>2131</v>
      </c>
      <c r="D1952" s="4">
        <v>46307.465520833299</v>
      </c>
      <c r="E1952" s="5" t="s">
        <v>10</v>
      </c>
      <c r="F1952" s="5" t="s">
        <v>16</v>
      </c>
      <c r="G1952" s="5">
        <v>3</v>
      </c>
      <c r="H1952" s="8" t="s">
        <v>12</v>
      </c>
      <c r="I1952" t="s">
        <v>2203</v>
      </c>
      <c r="K1952" t="str">
        <f>+VLOOKUP(C1952,'[1]TIENDAS 2025'!$A$1:$C$143,3,0)</f>
        <v>departamental</v>
      </c>
      <c r="L1952" t="str">
        <f>+VLOOKUP(C1952,[2]Hoja1!$A$1:$B$138,2,0)</f>
        <v>APROBAR</v>
      </c>
      <c r="M1952">
        <v>1</v>
      </c>
      <c r="N1952" t="e">
        <v>#N/A</v>
      </c>
    </row>
    <row r="1953" spans="1:14" ht="15" customHeight="1" x14ac:dyDescent="0.3">
      <c r="A1953" s="3">
        <v>1209660637</v>
      </c>
      <c r="B1953" s="3" t="s">
        <v>2130</v>
      </c>
      <c r="C1953" s="3" t="s">
        <v>2131</v>
      </c>
      <c r="D1953" s="4">
        <v>46307.465532407397</v>
      </c>
      <c r="E1953" s="5" t="s">
        <v>10</v>
      </c>
      <c r="F1953" s="5" t="s">
        <v>11</v>
      </c>
      <c r="G1953" s="5">
        <v>1</v>
      </c>
      <c r="H1953" s="6" t="s">
        <v>12</v>
      </c>
      <c r="I1953" t="s">
        <v>2204</v>
      </c>
      <c r="J1953" t="s">
        <v>2480</v>
      </c>
      <c r="K1953" t="str">
        <f>+VLOOKUP(C1953,'[1]TIENDAS 2025'!$A$1:$C$143,3,0)</f>
        <v>departamental</v>
      </c>
      <c r="L1953" t="str">
        <f>+VLOOKUP(C1953,[2]Hoja1!$A$1:$B$138,2,0)</f>
        <v>APROBAR</v>
      </c>
      <c r="M1953">
        <v>1</v>
      </c>
      <c r="N1953" t="e">
        <v>#N/A</v>
      </c>
    </row>
    <row r="1954" spans="1:14" ht="15" customHeight="1" x14ac:dyDescent="0.3">
      <c r="A1954" s="3">
        <v>1209660682</v>
      </c>
      <c r="B1954" s="3" t="s">
        <v>2151</v>
      </c>
      <c r="C1954" s="3" t="s">
        <v>2152</v>
      </c>
      <c r="D1954" s="4">
        <v>46307.465555555602</v>
      </c>
      <c r="E1954" s="5" t="s">
        <v>10</v>
      </c>
      <c r="F1954" s="5" t="s">
        <v>17</v>
      </c>
      <c r="G1954" s="5">
        <v>36</v>
      </c>
      <c r="H1954" s="6" t="s">
        <v>12</v>
      </c>
      <c r="I1954" t="s">
        <v>2205</v>
      </c>
      <c r="J1954" t="s">
        <v>2480</v>
      </c>
      <c r="K1954" t="str">
        <f>+VLOOKUP(C1954,'[1]TIENDAS 2025'!$A$1:$C$143,3,0)</f>
        <v>departamental</v>
      </c>
      <c r="L1954" t="str">
        <f>+VLOOKUP(C1954,[2]Hoja1!$A$1:$B$138,2,0)</f>
        <v>APROBAR</v>
      </c>
      <c r="M1954">
        <v>1</v>
      </c>
      <c r="N1954" t="e">
        <v>#N/A</v>
      </c>
    </row>
    <row r="1955" spans="1:14" ht="15" customHeight="1" x14ac:dyDescent="0.3">
      <c r="A1955" s="3">
        <v>1209660631</v>
      </c>
      <c r="B1955" s="3" t="s">
        <v>2130</v>
      </c>
      <c r="C1955" s="3" t="s">
        <v>2131</v>
      </c>
      <c r="D1955" s="4">
        <v>46307.465567129599</v>
      </c>
      <c r="E1955" s="5" t="s">
        <v>10</v>
      </c>
      <c r="F1955" s="5" t="s">
        <v>11</v>
      </c>
      <c r="G1955" s="5">
        <v>13</v>
      </c>
      <c r="H1955" s="6" t="s">
        <v>12</v>
      </c>
      <c r="I1955" t="s">
        <v>2206</v>
      </c>
      <c r="J1955" t="s">
        <v>2480</v>
      </c>
      <c r="K1955" t="str">
        <f>+VLOOKUP(C1955,'[1]TIENDAS 2025'!$A$1:$C$143,3,0)</f>
        <v>departamental</v>
      </c>
      <c r="L1955" t="str">
        <f>+VLOOKUP(C1955,[2]Hoja1!$A$1:$B$138,2,0)</f>
        <v>APROBAR</v>
      </c>
      <c r="M1955">
        <v>1</v>
      </c>
      <c r="N1955" t="e">
        <v>#N/A</v>
      </c>
    </row>
    <row r="1956" spans="1:14" ht="15" customHeight="1" x14ac:dyDescent="0.3">
      <c r="A1956" s="3">
        <v>1209660730</v>
      </c>
      <c r="B1956" s="3" t="s">
        <v>2134</v>
      </c>
      <c r="C1956" s="3" t="s">
        <v>2135</v>
      </c>
      <c r="D1956" s="4">
        <v>46307.465578703697</v>
      </c>
      <c r="E1956" s="5" t="s">
        <v>10</v>
      </c>
      <c r="F1956" s="5" t="s">
        <v>17</v>
      </c>
      <c r="G1956" s="5">
        <v>15</v>
      </c>
      <c r="H1956" s="6" t="s">
        <v>12</v>
      </c>
      <c r="I1956" t="s">
        <v>2207</v>
      </c>
      <c r="J1956" t="s">
        <v>2480</v>
      </c>
      <c r="K1956" t="str">
        <f>+VLOOKUP(C1956,'[1]TIENDAS 2025'!$A$1:$C$143,3,0)</f>
        <v>departamental</v>
      </c>
      <c r="L1956" t="str">
        <f>+VLOOKUP(C1956,[2]Hoja1!$A$1:$B$138,2,0)</f>
        <v>APROBAR</v>
      </c>
      <c r="M1956">
        <v>1</v>
      </c>
      <c r="N1956" t="e">
        <v>#N/A</v>
      </c>
    </row>
    <row r="1957" spans="1:14" ht="15" customHeight="1" x14ac:dyDescent="0.3">
      <c r="A1957" s="3">
        <v>1209660670</v>
      </c>
      <c r="B1957" s="3" t="s">
        <v>2151</v>
      </c>
      <c r="C1957" s="3" t="s">
        <v>2152</v>
      </c>
      <c r="D1957" s="4">
        <v>46307.465601851902</v>
      </c>
      <c r="E1957" s="5" t="s">
        <v>10</v>
      </c>
      <c r="F1957" s="5" t="s">
        <v>16</v>
      </c>
      <c r="G1957" s="5">
        <v>7</v>
      </c>
      <c r="H1957" s="6" t="s">
        <v>12</v>
      </c>
      <c r="I1957" t="s">
        <v>2208</v>
      </c>
      <c r="J1957" t="s">
        <v>2480</v>
      </c>
      <c r="K1957" t="str">
        <f>+VLOOKUP(C1957,'[1]TIENDAS 2025'!$A$1:$C$143,3,0)</f>
        <v>departamental</v>
      </c>
      <c r="L1957" t="str">
        <f>+VLOOKUP(C1957,[2]Hoja1!$A$1:$B$138,2,0)</f>
        <v>APROBAR</v>
      </c>
      <c r="M1957">
        <v>1</v>
      </c>
      <c r="N1957" t="e">
        <v>#N/A</v>
      </c>
    </row>
    <row r="1958" spans="1:14" ht="15" customHeight="1" x14ac:dyDescent="0.3">
      <c r="A1958" s="3">
        <v>1209660549</v>
      </c>
      <c r="B1958" s="3" t="s">
        <v>2141</v>
      </c>
      <c r="C1958" s="3" t="s">
        <v>2142</v>
      </c>
      <c r="D1958" s="4">
        <v>46307.465613425898</v>
      </c>
      <c r="E1958" s="5" t="s">
        <v>10</v>
      </c>
      <c r="F1958" s="5" t="s">
        <v>11</v>
      </c>
      <c r="G1958" s="5">
        <v>39</v>
      </c>
      <c r="H1958" s="6" t="s">
        <v>12</v>
      </c>
      <c r="I1958" t="s">
        <v>2209</v>
      </c>
      <c r="J1958" t="s">
        <v>2480</v>
      </c>
      <c r="K1958" t="str">
        <f>+VLOOKUP(C1958,'[1]TIENDAS 2025'!$A$1:$C$143,3,0)</f>
        <v>prioridad</v>
      </c>
      <c r="L1958" t="str">
        <f>+VLOOKUP(C1958,[2]Hoja1!$A$1:$B$138,2,0)</f>
        <v>APROBAR</v>
      </c>
      <c r="M1958">
        <v>1</v>
      </c>
      <c r="N1958" t="e">
        <v>#N/A</v>
      </c>
    </row>
    <row r="1959" spans="1:14" ht="15" customHeight="1" x14ac:dyDescent="0.3">
      <c r="A1959" s="3">
        <v>8209660569</v>
      </c>
      <c r="B1959" s="3" t="s">
        <v>2127</v>
      </c>
      <c r="C1959" s="3" t="s">
        <v>2128</v>
      </c>
      <c r="D1959" s="4">
        <v>46307.465624999997</v>
      </c>
      <c r="E1959" s="5" t="s">
        <v>10</v>
      </c>
      <c r="F1959" s="5" t="s">
        <v>16</v>
      </c>
      <c r="G1959" s="5">
        <v>2</v>
      </c>
      <c r="H1959" s="8" t="s">
        <v>12</v>
      </c>
      <c r="I1959" t="s">
        <v>2210</v>
      </c>
      <c r="K1959" t="str">
        <f>+VLOOKUP(C1959,'[1]TIENDAS 2025'!$A$1:$C$143,3,0)</f>
        <v>local</v>
      </c>
      <c r="L1959" t="str">
        <f>+VLOOKUP(C1959,[2]Hoja1!$A$1:$B$138,2,0)</f>
        <v>APROBAR</v>
      </c>
      <c r="M1959">
        <v>1</v>
      </c>
      <c r="N1959" t="e">
        <v>#N/A</v>
      </c>
    </row>
    <row r="1960" spans="1:14" ht="15" customHeight="1" x14ac:dyDescent="0.3">
      <c r="A1960" s="3">
        <v>8209660570</v>
      </c>
      <c r="B1960" s="3" t="s">
        <v>2127</v>
      </c>
      <c r="C1960" s="3" t="s">
        <v>2128</v>
      </c>
      <c r="D1960" s="4">
        <v>46307.465636574103</v>
      </c>
      <c r="E1960" s="5" t="s">
        <v>10</v>
      </c>
      <c r="F1960" s="5" t="s">
        <v>16</v>
      </c>
      <c r="G1960" s="5">
        <v>5</v>
      </c>
      <c r="H1960" s="8" t="s">
        <v>12</v>
      </c>
      <c r="I1960" t="s">
        <v>2211</v>
      </c>
      <c r="K1960" t="str">
        <f>+VLOOKUP(C1960,'[1]TIENDAS 2025'!$A$1:$C$143,3,0)</f>
        <v>local</v>
      </c>
      <c r="L1960" t="str">
        <f>+VLOOKUP(C1960,[2]Hoja1!$A$1:$B$138,2,0)</f>
        <v>APROBAR</v>
      </c>
      <c r="M1960">
        <v>1</v>
      </c>
      <c r="N1960" t="e">
        <v>#N/A</v>
      </c>
    </row>
    <row r="1961" spans="1:14" ht="15" customHeight="1" x14ac:dyDescent="0.3">
      <c r="A1961" s="3">
        <v>1209660673</v>
      </c>
      <c r="B1961" s="3" t="s">
        <v>2151</v>
      </c>
      <c r="C1961" s="3" t="s">
        <v>2152</v>
      </c>
      <c r="D1961" s="4">
        <v>46307.465659722198</v>
      </c>
      <c r="E1961" s="5" t="s">
        <v>10</v>
      </c>
      <c r="F1961" s="5" t="s">
        <v>17</v>
      </c>
      <c r="G1961" s="5">
        <v>13</v>
      </c>
      <c r="H1961" s="6" t="s">
        <v>12</v>
      </c>
      <c r="I1961" t="s">
        <v>2212</v>
      </c>
      <c r="J1961" t="s">
        <v>2480</v>
      </c>
      <c r="K1961" t="str">
        <f>+VLOOKUP(C1961,'[1]TIENDAS 2025'!$A$1:$C$143,3,0)</f>
        <v>departamental</v>
      </c>
      <c r="L1961" t="str">
        <f>+VLOOKUP(C1961,[2]Hoja1!$A$1:$B$138,2,0)</f>
        <v>APROBAR</v>
      </c>
      <c r="M1961">
        <v>1</v>
      </c>
      <c r="N1961" t="e">
        <v>#N/A</v>
      </c>
    </row>
    <row r="1962" spans="1:14" ht="15" customHeight="1" x14ac:dyDescent="0.3">
      <c r="A1962" s="3">
        <v>8209660661</v>
      </c>
      <c r="B1962" s="3" t="s">
        <v>2151</v>
      </c>
      <c r="C1962" s="3" t="s">
        <v>2152</v>
      </c>
      <c r="D1962" s="4">
        <v>46307.465682870403</v>
      </c>
      <c r="E1962" s="5" t="s">
        <v>10</v>
      </c>
      <c r="F1962" s="5" t="s">
        <v>16</v>
      </c>
      <c r="G1962" s="5">
        <v>3</v>
      </c>
      <c r="H1962" s="8" t="s">
        <v>12</v>
      </c>
      <c r="I1962" t="s">
        <v>2213</v>
      </c>
      <c r="K1962" t="str">
        <f>+VLOOKUP(C1962,'[1]TIENDAS 2025'!$A$1:$C$143,3,0)</f>
        <v>departamental</v>
      </c>
      <c r="L1962" t="str">
        <f>+VLOOKUP(C1962,[2]Hoja1!$A$1:$B$138,2,0)</f>
        <v>APROBAR</v>
      </c>
      <c r="M1962">
        <v>1</v>
      </c>
      <c r="N1962" t="e">
        <v>#N/A</v>
      </c>
    </row>
    <row r="1963" spans="1:14" ht="15" customHeight="1" x14ac:dyDescent="0.3">
      <c r="A1963" s="3">
        <v>1209660678</v>
      </c>
      <c r="B1963" s="3" t="s">
        <v>2151</v>
      </c>
      <c r="C1963" s="3" t="s">
        <v>2152</v>
      </c>
      <c r="D1963" s="4">
        <v>46307.465706018498</v>
      </c>
      <c r="E1963" s="5" t="s">
        <v>10</v>
      </c>
      <c r="F1963" s="5" t="s">
        <v>11</v>
      </c>
      <c r="G1963" s="5">
        <v>3</v>
      </c>
      <c r="H1963" s="6" t="s">
        <v>12</v>
      </c>
      <c r="I1963" t="s">
        <v>2214</v>
      </c>
      <c r="J1963" t="s">
        <v>2480</v>
      </c>
      <c r="K1963" t="str">
        <f>+VLOOKUP(C1963,'[1]TIENDAS 2025'!$A$1:$C$143,3,0)</f>
        <v>departamental</v>
      </c>
      <c r="L1963" t="str">
        <f>+VLOOKUP(C1963,[2]Hoja1!$A$1:$B$138,2,0)</f>
        <v>APROBAR</v>
      </c>
      <c r="M1963">
        <v>1</v>
      </c>
      <c r="N1963" t="e">
        <v>#N/A</v>
      </c>
    </row>
    <row r="1964" spans="1:14" ht="15" customHeight="1" x14ac:dyDescent="0.3">
      <c r="A1964" s="3">
        <v>1209660644</v>
      </c>
      <c r="B1964" s="3" t="s">
        <v>2130</v>
      </c>
      <c r="C1964" s="3" t="s">
        <v>2131</v>
      </c>
      <c r="D1964" s="4">
        <v>46307.465717592597</v>
      </c>
      <c r="E1964" s="5" t="s">
        <v>10</v>
      </c>
      <c r="F1964" s="5" t="s">
        <v>17</v>
      </c>
      <c r="G1964" s="5">
        <v>3</v>
      </c>
      <c r="H1964" s="6" t="s">
        <v>12</v>
      </c>
      <c r="I1964" t="s">
        <v>2215</v>
      </c>
      <c r="J1964" t="s">
        <v>2480</v>
      </c>
      <c r="K1964" t="str">
        <f>+VLOOKUP(C1964,'[1]TIENDAS 2025'!$A$1:$C$143,3,0)</f>
        <v>departamental</v>
      </c>
      <c r="L1964" t="str">
        <f>+VLOOKUP(C1964,[2]Hoja1!$A$1:$B$138,2,0)</f>
        <v>APROBAR</v>
      </c>
      <c r="M1964">
        <v>1</v>
      </c>
      <c r="N1964" t="e">
        <v>#N/A</v>
      </c>
    </row>
    <row r="1965" spans="1:14" ht="15" customHeight="1" x14ac:dyDescent="0.3">
      <c r="A1965" s="3">
        <v>1209660671</v>
      </c>
      <c r="B1965" s="3" t="s">
        <v>2151</v>
      </c>
      <c r="C1965" s="3" t="s">
        <v>2152</v>
      </c>
      <c r="D1965" s="4">
        <v>46307.465729166703</v>
      </c>
      <c r="E1965" s="5" t="s">
        <v>10</v>
      </c>
      <c r="F1965" s="5" t="s">
        <v>11</v>
      </c>
      <c r="G1965" s="5">
        <v>13</v>
      </c>
      <c r="H1965" s="6" t="s">
        <v>12</v>
      </c>
      <c r="I1965" t="s">
        <v>2216</v>
      </c>
      <c r="J1965" t="s">
        <v>2480</v>
      </c>
      <c r="K1965" t="str">
        <f>+VLOOKUP(C1965,'[1]TIENDAS 2025'!$A$1:$C$143,3,0)</f>
        <v>departamental</v>
      </c>
      <c r="L1965" t="str">
        <f>+VLOOKUP(C1965,[2]Hoja1!$A$1:$B$138,2,0)</f>
        <v>APROBAR</v>
      </c>
      <c r="M1965">
        <v>1</v>
      </c>
      <c r="N1965" t="e">
        <v>#N/A</v>
      </c>
    </row>
    <row r="1966" spans="1:14" ht="15" customHeight="1" x14ac:dyDescent="0.3">
      <c r="A1966" s="3">
        <v>1209660539</v>
      </c>
      <c r="B1966" s="3" t="s">
        <v>2141</v>
      </c>
      <c r="C1966" s="3" t="s">
        <v>2142</v>
      </c>
      <c r="D1966" s="4">
        <v>46307.465752314798</v>
      </c>
      <c r="E1966" s="5" t="s">
        <v>10</v>
      </c>
      <c r="F1966" s="5" t="s">
        <v>17</v>
      </c>
      <c r="G1966" s="5">
        <v>4</v>
      </c>
      <c r="H1966" s="6" t="s">
        <v>12</v>
      </c>
      <c r="I1966" t="s">
        <v>2217</v>
      </c>
      <c r="J1966" t="s">
        <v>2480</v>
      </c>
      <c r="K1966" t="str">
        <f>+VLOOKUP(C1966,'[1]TIENDAS 2025'!$A$1:$C$143,3,0)</f>
        <v>prioridad</v>
      </c>
      <c r="L1966" t="str">
        <f>+VLOOKUP(C1966,[2]Hoja1!$A$1:$B$138,2,0)</f>
        <v>APROBAR</v>
      </c>
      <c r="M1966">
        <v>1</v>
      </c>
      <c r="N1966" t="e">
        <v>#N/A</v>
      </c>
    </row>
    <row r="1967" spans="1:14" ht="15" customHeight="1" x14ac:dyDescent="0.3">
      <c r="A1967" s="3">
        <v>1209660550</v>
      </c>
      <c r="B1967" s="3" t="s">
        <v>2141</v>
      </c>
      <c r="C1967" s="3" t="s">
        <v>2142</v>
      </c>
      <c r="D1967" s="4">
        <v>46307.465763888897</v>
      </c>
      <c r="E1967" s="5" t="s">
        <v>10</v>
      </c>
      <c r="F1967" s="5" t="s">
        <v>17</v>
      </c>
      <c r="G1967" s="5">
        <v>62</v>
      </c>
      <c r="H1967" s="6" t="s">
        <v>12</v>
      </c>
      <c r="I1967" t="s">
        <v>2218</v>
      </c>
      <c r="J1967" t="s">
        <v>2480</v>
      </c>
      <c r="K1967" t="str">
        <f>+VLOOKUP(C1967,'[1]TIENDAS 2025'!$A$1:$C$143,3,0)</f>
        <v>prioridad</v>
      </c>
      <c r="L1967" t="str">
        <f>+VLOOKUP(C1967,[2]Hoja1!$A$1:$B$138,2,0)</f>
        <v>APROBAR</v>
      </c>
      <c r="M1967">
        <v>1</v>
      </c>
      <c r="N1967" t="e">
        <v>#N/A</v>
      </c>
    </row>
    <row r="1968" spans="1:14" ht="15" customHeight="1" x14ac:dyDescent="0.3">
      <c r="A1968" s="3">
        <v>1209660542</v>
      </c>
      <c r="B1968" s="3" t="s">
        <v>2141</v>
      </c>
      <c r="C1968" s="3" t="s">
        <v>2142</v>
      </c>
      <c r="D1968" s="4">
        <v>46307.465775463003</v>
      </c>
      <c r="E1968" s="5" t="s">
        <v>10</v>
      </c>
      <c r="F1968" s="5" t="s">
        <v>11</v>
      </c>
      <c r="G1968" s="5">
        <v>14</v>
      </c>
      <c r="H1968" s="6" t="s">
        <v>12</v>
      </c>
      <c r="I1968" t="s">
        <v>2219</v>
      </c>
      <c r="J1968" t="s">
        <v>2480</v>
      </c>
      <c r="K1968" t="str">
        <f>+VLOOKUP(C1968,'[1]TIENDAS 2025'!$A$1:$C$143,3,0)</f>
        <v>prioridad</v>
      </c>
      <c r="L1968" t="str">
        <f>+VLOOKUP(C1968,[2]Hoja1!$A$1:$B$138,2,0)</f>
        <v>APROBAR</v>
      </c>
      <c r="M1968">
        <v>1</v>
      </c>
      <c r="N1968" t="e">
        <v>#N/A</v>
      </c>
    </row>
    <row r="1969" spans="1:14" ht="15" customHeight="1" x14ac:dyDescent="0.3">
      <c r="A1969" s="3">
        <v>1209660578</v>
      </c>
      <c r="B1969" s="3" t="s">
        <v>2127</v>
      </c>
      <c r="C1969" s="3" t="s">
        <v>2128</v>
      </c>
      <c r="D1969" s="4">
        <v>46307.465787036999</v>
      </c>
      <c r="E1969" s="5" t="s">
        <v>10</v>
      </c>
      <c r="F1969" s="5" t="s">
        <v>11</v>
      </c>
      <c r="G1969" s="5">
        <v>27</v>
      </c>
      <c r="H1969" s="6" t="s">
        <v>12</v>
      </c>
      <c r="I1969" t="s">
        <v>2220</v>
      </c>
      <c r="J1969" t="s">
        <v>2480</v>
      </c>
      <c r="K1969" t="str">
        <f>+VLOOKUP(C1969,'[1]TIENDAS 2025'!$A$1:$C$143,3,0)</f>
        <v>local</v>
      </c>
      <c r="L1969" t="str">
        <f>+VLOOKUP(C1969,[2]Hoja1!$A$1:$B$138,2,0)</f>
        <v>APROBAR</v>
      </c>
      <c r="M1969">
        <v>1</v>
      </c>
      <c r="N1969" t="e">
        <v>#N/A</v>
      </c>
    </row>
    <row r="1970" spans="1:14" ht="15" customHeight="1" x14ac:dyDescent="0.3">
      <c r="A1970" s="3">
        <v>1209660581</v>
      </c>
      <c r="B1970" s="3" t="s">
        <v>2127</v>
      </c>
      <c r="C1970" s="3" t="s">
        <v>2128</v>
      </c>
      <c r="D1970" s="4">
        <v>46307.465810185196</v>
      </c>
      <c r="E1970" s="5" t="s">
        <v>10</v>
      </c>
      <c r="F1970" s="5" t="s">
        <v>17</v>
      </c>
      <c r="G1970" s="5">
        <v>12</v>
      </c>
      <c r="H1970" s="6" t="s">
        <v>12</v>
      </c>
      <c r="I1970" t="s">
        <v>2221</v>
      </c>
      <c r="J1970" t="s">
        <v>2480</v>
      </c>
      <c r="K1970" t="str">
        <f>+VLOOKUP(C1970,'[1]TIENDAS 2025'!$A$1:$C$143,3,0)</f>
        <v>local</v>
      </c>
      <c r="L1970" t="str">
        <f>+VLOOKUP(C1970,[2]Hoja1!$A$1:$B$138,2,0)</f>
        <v>APROBAR</v>
      </c>
      <c r="M1970">
        <v>1</v>
      </c>
      <c r="N1970" t="e">
        <v>#N/A</v>
      </c>
    </row>
    <row r="1971" spans="1:14" ht="15" customHeight="1" x14ac:dyDescent="0.3">
      <c r="A1971" s="3">
        <v>1209660582</v>
      </c>
      <c r="B1971" s="3" t="s">
        <v>2127</v>
      </c>
      <c r="C1971" s="3" t="s">
        <v>2128</v>
      </c>
      <c r="D1971" s="4">
        <v>46307.465821759302</v>
      </c>
      <c r="E1971" s="5" t="s">
        <v>10</v>
      </c>
      <c r="F1971" s="5" t="s">
        <v>17</v>
      </c>
      <c r="G1971" s="5">
        <v>29</v>
      </c>
      <c r="H1971" s="6" t="s">
        <v>12</v>
      </c>
      <c r="I1971" t="s">
        <v>2222</v>
      </c>
      <c r="J1971" t="s">
        <v>2480</v>
      </c>
      <c r="K1971" t="str">
        <f>+VLOOKUP(C1971,'[1]TIENDAS 2025'!$A$1:$C$143,3,0)</f>
        <v>local</v>
      </c>
      <c r="L1971" t="str">
        <f>+VLOOKUP(C1971,[2]Hoja1!$A$1:$B$138,2,0)</f>
        <v>APROBAR</v>
      </c>
      <c r="M1971">
        <v>1</v>
      </c>
      <c r="N1971" t="e">
        <v>#N/A</v>
      </c>
    </row>
    <row r="1972" spans="1:14" ht="15" customHeight="1" x14ac:dyDescent="0.3">
      <c r="A1972" s="3">
        <v>1209660770</v>
      </c>
      <c r="B1972" s="3" t="s">
        <v>2224</v>
      </c>
      <c r="C1972" s="3" t="s">
        <v>2225</v>
      </c>
      <c r="D1972" s="4">
        <v>46307.467962962997</v>
      </c>
      <c r="E1972" s="5" t="s">
        <v>10</v>
      </c>
      <c r="F1972" s="5" t="s">
        <v>11</v>
      </c>
      <c r="G1972" s="5">
        <v>11</v>
      </c>
      <c r="H1972" s="6" t="s">
        <v>12</v>
      </c>
      <c r="I1972" t="s">
        <v>2223</v>
      </c>
      <c r="J1972" t="s">
        <v>2480</v>
      </c>
      <c r="K1972" t="str">
        <f>+VLOOKUP(C1972,'[1]TIENDAS 2025'!$A$1:$C$143,3,0)</f>
        <v>prioridad</v>
      </c>
      <c r="L1972" t="str">
        <f>+VLOOKUP(C1972,[2]Hoja1!$A$1:$B$138,2,0)</f>
        <v>APROBAR</v>
      </c>
      <c r="M1972">
        <v>1</v>
      </c>
      <c r="N1972" t="e">
        <v>#N/A</v>
      </c>
    </row>
    <row r="1973" spans="1:14" ht="15" customHeight="1" x14ac:dyDescent="0.3">
      <c r="A1973" s="3">
        <v>1209660824</v>
      </c>
      <c r="B1973" s="3" t="s">
        <v>2227</v>
      </c>
      <c r="C1973" s="3" t="s">
        <v>2228</v>
      </c>
      <c r="D1973" s="4">
        <v>46307.4679861111</v>
      </c>
      <c r="E1973" s="5" t="s">
        <v>10</v>
      </c>
      <c r="F1973" s="5" t="s">
        <v>17</v>
      </c>
      <c r="G1973" s="5">
        <v>1</v>
      </c>
      <c r="H1973" s="6" t="s">
        <v>12</v>
      </c>
      <c r="I1973" t="s">
        <v>2226</v>
      </c>
      <c r="J1973" t="s">
        <v>2480</v>
      </c>
      <c r="K1973" t="str">
        <f>+VLOOKUP(C1973,'[1]TIENDAS 2025'!$A$1:$C$143,3,0)</f>
        <v>local</v>
      </c>
      <c r="L1973" t="str">
        <f>+VLOOKUP(C1973,[2]Hoja1!$A$1:$B$138,2,0)</f>
        <v>APROBAR</v>
      </c>
      <c r="M1973">
        <v>1</v>
      </c>
      <c r="N1973" t="e">
        <v>#N/A</v>
      </c>
    </row>
    <row r="1974" spans="1:14" ht="15" customHeight="1" x14ac:dyDescent="0.3">
      <c r="A1974" s="3">
        <v>1209660826</v>
      </c>
      <c r="B1974" s="3" t="s">
        <v>2227</v>
      </c>
      <c r="C1974" s="3" t="s">
        <v>2228</v>
      </c>
      <c r="D1974" s="4">
        <v>46307.468009259297</v>
      </c>
      <c r="E1974" s="5" t="s">
        <v>10</v>
      </c>
      <c r="F1974" s="5" t="s">
        <v>17</v>
      </c>
      <c r="G1974" s="5">
        <v>6</v>
      </c>
      <c r="H1974" s="6" t="s">
        <v>12</v>
      </c>
      <c r="I1974" t="s">
        <v>2229</v>
      </c>
      <c r="J1974" t="s">
        <v>2480</v>
      </c>
      <c r="K1974" t="str">
        <f>+VLOOKUP(C1974,'[1]TIENDAS 2025'!$A$1:$C$143,3,0)</f>
        <v>local</v>
      </c>
      <c r="L1974" t="str">
        <f>+VLOOKUP(C1974,[2]Hoja1!$A$1:$B$138,2,0)</f>
        <v>APROBAR</v>
      </c>
      <c r="M1974">
        <v>1</v>
      </c>
      <c r="N1974" t="e">
        <v>#N/A</v>
      </c>
    </row>
    <row r="1975" spans="1:14" ht="15" customHeight="1" x14ac:dyDescent="0.3">
      <c r="A1975" s="3">
        <v>1209660748</v>
      </c>
      <c r="B1975" s="3" t="s">
        <v>2231</v>
      </c>
      <c r="C1975" s="3" t="s">
        <v>2232</v>
      </c>
      <c r="D1975" s="4">
        <v>46307.468043981498</v>
      </c>
      <c r="E1975" s="5" t="s">
        <v>10</v>
      </c>
      <c r="F1975" s="5" t="s">
        <v>11</v>
      </c>
      <c r="G1975" s="5">
        <v>12</v>
      </c>
      <c r="H1975" s="6" t="s">
        <v>12</v>
      </c>
      <c r="I1975" t="s">
        <v>2230</v>
      </c>
      <c r="J1975" t="s">
        <v>2480</v>
      </c>
      <c r="K1975" t="str">
        <f>+VLOOKUP(C1975,'[1]TIENDAS 2025'!$A$1:$C$143,3,0)</f>
        <v>local</v>
      </c>
      <c r="L1975" t="str">
        <f>+VLOOKUP(C1975,[2]Hoja1!$A$1:$B$138,2,0)</f>
        <v>APROBAR</v>
      </c>
      <c r="M1975">
        <v>1</v>
      </c>
      <c r="N1975" t="e">
        <v>#N/A</v>
      </c>
    </row>
    <row r="1976" spans="1:14" ht="15" customHeight="1" x14ac:dyDescent="0.3">
      <c r="A1976" s="3">
        <v>1209660807</v>
      </c>
      <c r="B1976" s="3" t="s">
        <v>2234</v>
      </c>
      <c r="C1976" s="3" t="s">
        <v>2235</v>
      </c>
      <c r="D1976" s="4">
        <v>46307.468067129601</v>
      </c>
      <c r="E1976" s="5" t="s">
        <v>10</v>
      </c>
      <c r="F1976" s="5" t="s">
        <v>17</v>
      </c>
      <c r="G1976" s="5">
        <v>3</v>
      </c>
      <c r="H1976" s="6" t="s">
        <v>12</v>
      </c>
      <c r="I1976" t="s">
        <v>2233</v>
      </c>
      <c r="J1976" t="s">
        <v>2480</v>
      </c>
      <c r="K1976" t="str">
        <f>+VLOOKUP(C1976,'[1]TIENDAS 2025'!$A$1:$C$143,3,0)</f>
        <v>departamental</v>
      </c>
      <c r="L1976" t="str">
        <f>+VLOOKUP(C1976,[2]Hoja1!$A$1:$B$138,2,0)</f>
        <v>APROBAR</v>
      </c>
      <c r="M1976">
        <v>1</v>
      </c>
      <c r="N1976" t="e">
        <v>#N/A</v>
      </c>
    </row>
    <row r="1977" spans="1:14" ht="15" customHeight="1" x14ac:dyDescent="0.3">
      <c r="A1977" s="3">
        <v>1209660829</v>
      </c>
      <c r="B1977" s="3" t="s">
        <v>2227</v>
      </c>
      <c r="C1977" s="3" t="s">
        <v>2228</v>
      </c>
      <c r="D1977" s="4">
        <v>46307.468090277798</v>
      </c>
      <c r="E1977" s="5" t="s">
        <v>10</v>
      </c>
      <c r="F1977" s="5" t="s">
        <v>17</v>
      </c>
      <c r="G1977" s="5">
        <v>14</v>
      </c>
      <c r="H1977" s="6" t="s">
        <v>12</v>
      </c>
      <c r="I1977" t="s">
        <v>2236</v>
      </c>
      <c r="J1977" t="s">
        <v>2480</v>
      </c>
      <c r="K1977" t="str">
        <f>+VLOOKUP(C1977,'[1]TIENDAS 2025'!$A$1:$C$143,3,0)</f>
        <v>local</v>
      </c>
      <c r="L1977" t="str">
        <f>+VLOOKUP(C1977,[2]Hoja1!$A$1:$B$138,2,0)</f>
        <v>APROBAR</v>
      </c>
      <c r="M1977">
        <v>1</v>
      </c>
      <c r="N1977" t="e">
        <v>#N/A</v>
      </c>
    </row>
    <row r="1978" spans="1:14" ht="15" customHeight="1" x14ac:dyDescent="0.3">
      <c r="A1978" s="3">
        <v>1209660749</v>
      </c>
      <c r="B1978" s="3" t="s">
        <v>2231</v>
      </c>
      <c r="C1978" s="3" t="s">
        <v>2232</v>
      </c>
      <c r="D1978" s="4">
        <v>46307.468101851897</v>
      </c>
      <c r="E1978" s="5" t="s">
        <v>10</v>
      </c>
      <c r="F1978" s="5" t="s">
        <v>11</v>
      </c>
      <c r="G1978" s="5">
        <v>6</v>
      </c>
      <c r="H1978" s="6" t="s">
        <v>12</v>
      </c>
      <c r="I1978" t="s">
        <v>2237</v>
      </c>
      <c r="J1978" t="s">
        <v>2480</v>
      </c>
      <c r="K1978" t="str">
        <f>+VLOOKUP(C1978,'[1]TIENDAS 2025'!$A$1:$C$143,3,0)</f>
        <v>local</v>
      </c>
      <c r="L1978" t="str">
        <f>+VLOOKUP(C1978,[2]Hoja1!$A$1:$B$138,2,0)</f>
        <v>APROBAR</v>
      </c>
      <c r="M1978">
        <v>1</v>
      </c>
      <c r="N1978" t="e">
        <v>#N/A</v>
      </c>
    </row>
    <row r="1979" spans="1:14" ht="15" customHeight="1" x14ac:dyDescent="0.3">
      <c r="A1979" s="3">
        <v>1209660808</v>
      </c>
      <c r="B1979" s="3" t="s">
        <v>2234</v>
      </c>
      <c r="C1979" s="3" t="s">
        <v>2235</v>
      </c>
      <c r="D1979" s="4">
        <v>46307.468136574098</v>
      </c>
      <c r="E1979" s="5" t="s">
        <v>10</v>
      </c>
      <c r="F1979" s="5" t="s">
        <v>11</v>
      </c>
      <c r="G1979" s="5">
        <v>18</v>
      </c>
      <c r="H1979" s="6" t="s">
        <v>12</v>
      </c>
      <c r="I1979" t="s">
        <v>2238</v>
      </c>
      <c r="J1979" t="s">
        <v>2480</v>
      </c>
      <c r="K1979" t="str">
        <f>+VLOOKUP(C1979,'[1]TIENDAS 2025'!$A$1:$C$143,3,0)</f>
        <v>departamental</v>
      </c>
      <c r="L1979" t="str">
        <f>+VLOOKUP(C1979,[2]Hoja1!$A$1:$B$138,2,0)</f>
        <v>APROBAR</v>
      </c>
      <c r="M1979">
        <v>1</v>
      </c>
      <c r="N1979" t="e">
        <v>#N/A</v>
      </c>
    </row>
    <row r="1980" spans="1:14" ht="15" customHeight="1" x14ac:dyDescent="0.3">
      <c r="A1980" s="3">
        <v>8209660757</v>
      </c>
      <c r="B1980" s="3" t="s">
        <v>2224</v>
      </c>
      <c r="C1980" s="3" t="s">
        <v>2225</v>
      </c>
      <c r="D1980" s="4">
        <v>46307.468148148102</v>
      </c>
      <c r="E1980" s="5" t="s">
        <v>10</v>
      </c>
      <c r="F1980" s="5" t="s">
        <v>16</v>
      </c>
      <c r="G1980" s="5">
        <v>3</v>
      </c>
      <c r="H1980" s="8" t="s">
        <v>12</v>
      </c>
      <c r="I1980" t="s">
        <v>2239</v>
      </c>
      <c r="K1980" t="str">
        <f>+VLOOKUP(C1980,'[1]TIENDAS 2025'!$A$1:$C$143,3,0)</f>
        <v>prioridad</v>
      </c>
      <c r="L1980" t="str">
        <f>+VLOOKUP(C1980,[2]Hoja1!$A$1:$B$138,2,0)</f>
        <v>APROBAR</v>
      </c>
      <c r="M1980">
        <v>1</v>
      </c>
      <c r="N1980" t="e">
        <v>#N/A</v>
      </c>
    </row>
    <row r="1981" spans="1:14" ht="15" customHeight="1" x14ac:dyDescent="0.3">
      <c r="A1981" s="3">
        <v>8209660759</v>
      </c>
      <c r="B1981" s="3" t="s">
        <v>2224</v>
      </c>
      <c r="C1981" s="3" t="s">
        <v>2225</v>
      </c>
      <c r="D1981" s="4">
        <v>46307.468159722201</v>
      </c>
      <c r="E1981" s="5" t="s">
        <v>10</v>
      </c>
      <c r="F1981" s="5" t="s">
        <v>16</v>
      </c>
      <c r="G1981" s="5">
        <v>1</v>
      </c>
      <c r="H1981" s="8" t="s">
        <v>12</v>
      </c>
      <c r="I1981" t="s">
        <v>2240</v>
      </c>
      <c r="K1981" t="str">
        <f>+VLOOKUP(C1981,'[1]TIENDAS 2025'!$A$1:$C$143,3,0)</f>
        <v>prioridad</v>
      </c>
      <c r="L1981" t="str">
        <f>+VLOOKUP(C1981,[2]Hoja1!$A$1:$B$138,2,0)</f>
        <v>APROBAR</v>
      </c>
      <c r="M1981">
        <v>1</v>
      </c>
      <c r="N1981" t="e">
        <v>#N/A</v>
      </c>
    </row>
    <row r="1982" spans="1:14" ht="15" customHeight="1" x14ac:dyDescent="0.3">
      <c r="A1982" s="3">
        <v>8209660790</v>
      </c>
      <c r="B1982" s="3" t="s">
        <v>2242</v>
      </c>
      <c r="C1982" s="3" t="s">
        <v>2243</v>
      </c>
      <c r="D1982" s="4">
        <v>46307.468171296299</v>
      </c>
      <c r="E1982" s="5" t="s">
        <v>10</v>
      </c>
      <c r="F1982" s="5" t="s">
        <v>16</v>
      </c>
      <c r="G1982" s="5">
        <v>6</v>
      </c>
      <c r="H1982" s="8" t="s">
        <v>12</v>
      </c>
      <c r="I1982" t="s">
        <v>2241</v>
      </c>
      <c r="K1982" t="str">
        <f>+VLOOKUP(C1982,'[1]TIENDAS 2025'!$A$1:$C$143,3,0)</f>
        <v xml:space="preserve">departamental </v>
      </c>
      <c r="L1982" t="str">
        <f>+VLOOKUP(C1982,[2]Hoja1!$A$1:$B$138,2,0)</f>
        <v>APROBAR</v>
      </c>
      <c r="M1982">
        <v>1</v>
      </c>
      <c r="N1982" t="e">
        <v>#N/A</v>
      </c>
    </row>
    <row r="1983" spans="1:14" ht="15" customHeight="1" x14ac:dyDescent="0.3">
      <c r="A1983" s="3">
        <v>8209660792</v>
      </c>
      <c r="B1983" s="3" t="s">
        <v>2242</v>
      </c>
      <c r="C1983" s="3" t="s">
        <v>2243</v>
      </c>
      <c r="D1983" s="4">
        <v>46307.468194444402</v>
      </c>
      <c r="E1983" s="5" t="s">
        <v>10</v>
      </c>
      <c r="F1983" s="5" t="s">
        <v>16</v>
      </c>
      <c r="G1983" s="5">
        <v>1</v>
      </c>
      <c r="H1983" s="8" t="s">
        <v>12</v>
      </c>
      <c r="I1983" t="s">
        <v>2244</v>
      </c>
      <c r="K1983" t="str">
        <f>+VLOOKUP(C1983,'[1]TIENDAS 2025'!$A$1:$C$143,3,0)</f>
        <v xml:space="preserve">departamental </v>
      </c>
      <c r="L1983" t="str">
        <f>+VLOOKUP(C1983,[2]Hoja1!$A$1:$B$138,2,0)</f>
        <v>APROBAR</v>
      </c>
      <c r="M1983">
        <v>1</v>
      </c>
      <c r="N1983" t="e">
        <v>#N/A</v>
      </c>
    </row>
    <row r="1984" spans="1:14" ht="15" customHeight="1" x14ac:dyDescent="0.3">
      <c r="A1984" s="3">
        <v>1209660764</v>
      </c>
      <c r="B1984" s="3" t="s">
        <v>2224</v>
      </c>
      <c r="C1984" s="3" t="s">
        <v>2225</v>
      </c>
      <c r="D1984" s="4">
        <v>46307.4682060185</v>
      </c>
      <c r="E1984" s="5" t="s">
        <v>10</v>
      </c>
      <c r="F1984" s="5" t="s">
        <v>11</v>
      </c>
      <c r="G1984" s="5">
        <v>3</v>
      </c>
      <c r="H1984" s="6" t="s">
        <v>12</v>
      </c>
      <c r="I1984" t="s">
        <v>2245</v>
      </c>
      <c r="J1984" t="s">
        <v>2480</v>
      </c>
      <c r="K1984" t="str">
        <f>+VLOOKUP(C1984,'[1]TIENDAS 2025'!$A$1:$C$143,3,0)</f>
        <v>prioridad</v>
      </c>
      <c r="L1984" t="str">
        <f>+VLOOKUP(C1984,[2]Hoja1!$A$1:$B$138,2,0)</f>
        <v>APROBAR</v>
      </c>
      <c r="M1984">
        <v>1</v>
      </c>
      <c r="N1984" t="e">
        <v>#N/A</v>
      </c>
    </row>
    <row r="1985" spans="1:14" ht="15" customHeight="1" x14ac:dyDescent="0.3">
      <c r="A1985" s="3">
        <v>1209660796</v>
      </c>
      <c r="B1985" s="3" t="s">
        <v>2242</v>
      </c>
      <c r="C1985" s="3" t="s">
        <v>2243</v>
      </c>
      <c r="D1985" s="4">
        <v>46307.468217592599</v>
      </c>
      <c r="E1985" s="5" t="s">
        <v>10</v>
      </c>
      <c r="F1985" s="5" t="s">
        <v>17</v>
      </c>
      <c r="G1985" s="5">
        <v>5</v>
      </c>
      <c r="H1985" s="6" t="s">
        <v>12</v>
      </c>
      <c r="I1985" t="s">
        <v>2246</v>
      </c>
      <c r="J1985" t="s">
        <v>2480</v>
      </c>
      <c r="K1985" t="str">
        <f>+VLOOKUP(C1985,'[1]TIENDAS 2025'!$A$1:$C$143,3,0)</f>
        <v xml:space="preserve">departamental </v>
      </c>
      <c r="L1985" t="str">
        <f>+VLOOKUP(C1985,[2]Hoja1!$A$1:$B$138,2,0)</f>
        <v>APROBAR</v>
      </c>
      <c r="M1985">
        <v>1</v>
      </c>
      <c r="N1985" t="e">
        <v>#N/A</v>
      </c>
    </row>
    <row r="1986" spans="1:14" ht="15" customHeight="1" x14ac:dyDescent="0.3">
      <c r="A1986" s="3">
        <v>1209660817</v>
      </c>
      <c r="B1986" s="3" t="s">
        <v>2234</v>
      </c>
      <c r="C1986" s="3" t="s">
        <v>2235</v>
      </c>
      <c r="D1986" s="4">
        <v>46307.468229166698</v>
      </c>
      <c r="E1986" s="5" t="s">
        <v>10</v>
      </c>
      <c r="F1986" s="5" t="s">
        <v>11</v>
      </c>
      <c r="G1986" s="5">
        <v>18</v>
      </c>
      <c r="H1986" s="6" t="s">
        <v>12</v>
      </c>
      <c r="I1986" t="s">
        <v>2247</v>
      </c>
      <c r="J1986" t="s">
        <v>2480</v>
      </c>
      <c r="K1986" t="str">
        <f>+VLOOKUP(C1986,'[1]TIENDAS 2025'!$A$1:$C$143,3,0)</f>
        <v>departamental</v>
      </c>
      <c r="L1986" t="str">
        <f>+VLOOKUP(C1986,[2]Hoja1!$A$1:$B$138,2,0)</f>
        <v>APROBAR</v>
      </c>
      <c r="M1986">
        <v>1</v>
      </c>
      <c r="N1986" t="e">
        <v>#N/A</v>
      </c>
    </row>
    <row r="1987" spans="1:14" ht="15" customHeight="1" x14ac:dyDescent="0.3">
      <c r="A1987" s="3">
        <v>8209660819</v>
      </c>
      <c r="B1987" s="3" t="s">
        <v>2227</v>
      </c>
      <c r="C1987" s="3" t="s">
        <v>2228</v>
      </c>
      <c r="D1987" s="4">
        <v>46307.468240740702</v>
      </c>
      <c r="E1987" s="5" t="s">
        <v>10</v>
      </c>
      <c r="F1987" s="5" t="s">
        <v>16</v>
      </c>
      <c r="G1987" s="5">
        <v>3</v>
      </c>
      <c r="H1987" s="8" t="s">
        <v>12</v>
      </c>
      <c r="I1987" t="s">
        <v>2248</v>
      </c>
      <c r="K1987" t="str">
        <f>+VLOOKUP(C1987,'[1]TIENDAS 2025'!$A$1:$C$143,3,0)</f>
        <v>local</v>
      </c>
      <c r="L1987" t="str">
        <f>+VLOOKUP(C1987,[2]Hoja1!$A$1:$B$138,2,0)</f>
        <v>APROBAR</v>
      </c>
      <c r="M1987">
        <v>1</v>
      </c>
      <c r="N1987" t="e">
        <v>#N/A</v>
      </c>
    </row>
    <row r="1988" spans="1:14" ht="15" customHeight="1" x14ac:dyDescent="0.3">
      <c r="A1988" s="3">
        <v>8209660740</v>
      </c>
      <c r="B1988" s="3" t="s">
        <v>2231</v>
      </c>
      <c r="C1988" s="3" t="s">
        <v>2232</v>
      </c>
      <c r="D1988" s="4">
        <v>46307.468263888899</v>
      </c>
      <c r="E1988" s="5" t="s">
        <v>10</v>
      </c>
      <c r="F1988" s="5" t="s">
        <v>16</v>
      </c>
      <c r="G1988" s="5">
        <v>14</v>
      </c>
      <c r="H1988" s="8" t="s">
        <v>12</v>
      </c>
      <c r="I1988" t="s">
        <v>2249</v>
      </c>
      <c r="K1988" t="str">
        <f>+VLOOKUP(C1988,'[1]TIENDAS 2025'!$A$1:$C$143,3,0)</f>
        <v>local</v>
      </c>
      <c r="L1988" t="str">
        <f>+VLOOKUP(C1988,[2]Hoja1!$A$1:$B$138,2,0)</f>
        <v>APROBAR</v>
      </c>
      <c r="M1988">
        <v>1</v>
      </c>
      <c r="N1988" t="e">
        <v>#N/A</v>
      </c>
    </row>
    <row r="1989" spans="1:14" ht="15" customHeight="1" x14ac:dyDescent="0.3">
      <c r="A1989" s="3">
        <v>8209660744</v>
      </c>
      <c r="B1989" s="3" t="s">
        <v>2231</v>
      </c>
      <c r="C1989" s="3" t="s">
        <v>2232</v>
      </c>
      <c r="D1989" s="4">
        <v>46307.468275462998</v>
      </c>
      <c r="E1989" s="5" t="s">
        <v>10</v>
      </c>
      <c r="F1989" s="5" t="s">
        <v>16</v>
      </c>
      <c r="G1989" s="5">
        <v>12</v>
      </c>
      <c r="H1989" s="8" t="s">
        <v>12</v>
      </c>
      <c r="I1989" t="s">
        <v>2250</v>
      </c>
      <c r="K1989" t="str">
        <f>+VLOOKUP(C1989,'[1]TIENDAS 2025'!$A$1:$C$143,3,0)</f>
        <v>local</v>
      </c>
      <c r="L1989" t="str">
        <f>+VLOOKUP(C1989,[2]Hoja1!$A$1:$B$138,2,0)</f>
        <v>APROBAR</v>
      </c>
      <c r="M1989">
        <v>1</v>
      </c>
      <c r="N1989" t="e">
        <v>#N/A</v>
      </c>
    </row>
    <row r="1990" spans="1:14" ht="15" customHeight="1" x14ac:dyDescent="0.3">
      <c r="A1990" s="3">
        <v>1209660750</v>
      </c>
      <c r="B1990" s="3" t="s">
        <v>2231</v>
      </c>
      <c r="C1990" s="3" t="s">
        <v>2232</v>
      </c>
      <c r="D1990" s="4">
        <v>46307.4682986111</v>
      </c>
      <c r="E1990" s="5" t="s">
        <v>10</v>
      </c>
      <c r="F1990" s="5" t="s">
        <v>11</v>
      </c>
      <c r="G1990" s="5">
        <v>7</v>
      </c>
      <c r="H1990" s="6" t="s">
        <v>12</v>
      </c>
      <c r="I1990" t="s">
        <v>2251</v>
      </c>
      <c r="J1990" t="s">
        <v>2480</v>
      </c>
      <c r="K1990" t="str">
        <f>+VLOOKUP(C1990,'[1]TIENDAS 2025'!$A$1:$C$143,3,0)</f>
        <v>local</v>
      </c>
      <c r="L1990" t="str">
        <f>+VLOOKUP(C1990,[2]Hoja1!$A$1:$B$138,2,0)</f>
        <v>APROBAR</v>
      </c>
      <c r="M1990">
        <v>1</v>
      </c>
      <c r="N1990" t="e">
        <v>#N/A</v>
      </c>
    </row>
    <row r="1991" spans="1:14" ht="15" customHeight="1" x14ac:dyDescent="0.3">
      <c r="A1991" s="3">
        <v>1209660751</v>
      </c>
      <c r="B1991" s="3" t="s">
        <v>2231</v>
      </c>
      <c r="C1991" s="3" t="s">
        <v>2232</v>
      </c>
      <c r="D1991" s="4">
        <v>46307.468310185199</v>
      </c>
      <c r="E1991" s="5" t="s">
        <v>10</v>
      </c>
      <c r="F1991" s="5" t="s">
        <v>11</v>
      </c>
      <c r="G1991" s="5">
        <v>22</v>
      </c>
      <c r="H1991" s="6" t="s">
        <v>12</v>
      </c>
      <c r="I1991" t="s">
        <v>2252</v>
      </c>
      <c r="J1991" t="s">
        <v>2480</v>
      </c>
      <c r="K1991" t="str">
        <f>+VLOOKUP(C1991,'[1]TIENDAS 2025'!$A$1:$C$143,3,0)</f>
        <v>local</v>
      </c>
      <c r="L1991" t="str">
        <f>+VLOOKUP(C1991,[2]Hoja1!$A$1:$B$138,2,0)</f>
        <v>APROBAR</v>
      </c>
      <c r="M1991">
        <v>1</v>
      </c>
      <c r="N1991" t="e">
        <v>#N/A</v>
      </c>
    </row>
    <row r="1992" spans="1:14" ht="15" customHeight="1" x14ac:dyDescent="0.3">
      <c r="A1992" s="3">
        <v>8209660788</v>
      </c>
      <c r="B1992" s="3" t="s">
        <v>2242</v>
      </c>
      <c r="C1992" s="3" t="s">
        <v>2243</v>
      </c>
      <c r="D1992" s="4">
        <v>46307.468333333301</v>
      </c>
      <c r="E1992" s="5" t="s">
        <v>10</v>
      </c>
      <c r="F1992" s="5" t="s">
        <v>16</v>
      </c>
      <c r="G1992" s="5">
        <v>1</v>
      </c>
      <c r="H1992" s="8" t="s">
        <v>12</v>
      </c>
      <c r="I1992" t="s">
        <v>2253</v>
      </c>
      <c r="K1992" t="str">
        <f>+VLOOKUP(C1992,'[1]TIENDAS 2025'!$A$1:$C$143,3,0)</f>
        <v xml:space="preserve">departamental </v>
      </c>
      <c r="L1992" t="str">
        <f>+VLOOKUP(C1992,[2]Hoja1!$A$1:$B$138,2,0)</f>
        <v>APROBAR</v>
      </c>
      <c r="M1992">
        <v>1</v>
      </c>
      <c r="N1992" t="e">
        <v>#N/A</v>
      </c>
    </row>
    <row r="1993" spans="1:14" ht="15" customHeight="1" x14ac:dyDescent="0.3">
      <c r="A1993" s="3">
        <v>1209660809</v>
      </c>
      <c r="B1993" s="3" t="s">
        <v>2234</v>
      </c>
      <c r="C1993" s="3" t="s">
        <v>2235</v>
      </c>
      <c r="D1993" s="4">
        <v>46307.468333333301</v>
      </c>
      <c r="E1993" s="5" t="s">
        <v>10</v>
      </c>
      <c r="F1993" s="5" t="s">
        <v>17</v>
      </c>
      <c r="G1993" s="5">
        <v>20</v>
      </c>
      <c r="H1993" s="6" t="s">
        <v>12</v>
      </c>
      <c r="I1993" t="s">
        <v>2254</v>
      </c>
      <c r="J1993" t="s">
        <v>2480</v>
      </c>
      <c r="K1993" t="str">
        <f>+VLOOKUP(C1993,'[1]TIENDAS 2025'!$A$1:$C$143,3,0)</f>
        <v>departamental</v>
      </c>
      <c r="L1993" t="str">
        <f>+VLOOKUP(C1993,[2]Hoja1!$A$1:$B$138,2,0)</f>
        <v>APROBAR</v>
      </c>
      <c r="M1993">
        <v>1</v>
      </c>
      <c r="N1993" t="e">
        <v>#N/A</v>
      </c>
    </row>
    <row r="1994" spans="1:14" ht="15" customHeight="1" x14ac:dyDescent="0.3">
      <c r="A1994" s="3">
        <v>1209660793</v>
      </c>
      <c r="B1994" s="3" t="s">
        <v>2242</v>
      </c>
      <c r="C1994" s="3" t="s">
        <v>2243</v>
      </c>
      <c r="D1994" s="4">
        <v>46307.4683449074</v>
      </c>
      <c r="E1994" s="5" t="s">
        <v>10</v>
      </c>
      <c r="F1994" s="5" t="s">
        <v>11</v>
      </c>
      <c r="G1994" s="5">
        <v>3</v>
      </c>
      <c r="H1994" s="6" t="s">
        <v>12</v>
      </c>
      <c r="I1994" t="s">
        <v>2255</v>
      </c>
      <c r="J1994" t="s">
        <v>2480</v>
      </c>
      <c r="K1994" t="str">
        <f>+VLOOKUP(C1994,'[1]TIENDAS 2025'!$A$1:$C$143,3,0)</f>
        <v xml:space="preserve">departamental </v>
      </c>
      <c r="L1994" t="str">
        <f>+VLOOKUP(C1994,[2]Hoja1!$A$1:$B$138,2,0)</f>
        <v>APROBAR</v>
      </c>
      <c r="M1994">
        <v>1</v>
      </c>
      <c r="N1994" t="e">
        <v>#N/A</v>
      </c>
    </row>
    <row r="1995" spans="1:14" ht="15" customHeight="1" x14ac:dyDescent="0.3">
      <c r="A1995" s="3">
        <v>8209660822</v>
      </c>
      <c r="B1995" s="3" t="s">
        <v>2227</v>
      </c>
      <c r="C1995" s="3" t="s">
        <v>2228</v>
      </c>
      <c r="D1995" s="4">
        <v>46307.468368055597</v>
      </c>
      <c r="E1995" s="5" t="s">
        <v>10</v>
      </c>
      <c r="F1995" s="5" t="s">
        <v>16</v>
      </c>
      <c r="G1995" s="5">
        <v>1</v>
      </c>
      <c r="H1995" s="8" t="s">
        <v>12</v>
      </c>
      <c r="I1995" t="s">
        <v>2256</v>
      </c>
      <c r="K1995" t="str">
        <f>+VLOOKUP(C1995,'[1]TIENDAS 2025'!$A$1:$C$143,3,0)</f>
        <v>local</v>
      </c>
      <c r="L1995" t="str">
        <f>+VLOOKUP(C1995,[2]Hoja1!$A$1:$B$138,2,0)</f>
        <v>APROBAR</v>
      </c>
      <c r="M1995">
        <v>1</v>
      </c>
      <c r="N1995" t="e">
        <v>#N/A</v>
      </c>
    </row>
    <row r="1996" spans="1:14" ht="15" customHeight="1" x14ac:dyDescent="0.3">
      <c r="A1996" s="3">
        <v>1209660771</v>
      </c>
      <c r="B1996" s="3" t="s">
        <v>2224</v>
      </c>
      <c r="C1996" s="3" t="s">
        <v>2225</v>
      </c>
      <c r="D1996" s="4">
        <v>46307.468379629601</v>
      </c>
      <c r="E1996" s="5" t="s">
        <v>10</v>
      </c>
      <c r="F1996" s="5" t="s">
        <v>11</v>
      </c>
      <c r="G1996" s="5">
        <v>2</v>
      </c>
      <c r="H1996" s="6" t="s">
        <v>12</v>
      </c>
      <c r="I1996" t="s">
        <v>2257</v>
      </c>
      <c r="J1996" t="s">
        <v>2480</v>
      </c>
      <c r="K1996" t="str">
        <f>+VLOOKUP(C1996,'[1]TIENDAS 2025'!$A$1:$C$143,3,0)</f>
        <v>prioridad</v>
      </c>
      <c r="L1996" t="str">
        <f>+VLOOKUP(C1996,[2]Hoja1!$A$1:$B$138,2,0)</f>
        <v>APROBAR</v>
      </c>
      <c r="M1996">
        <v>1</v>
      </c>
      <c r="N1996" t="e">
        <v>#N/A</v>
      </c>
    </row>
    <row r="1997" spans="1:14" ht="15" customHeight="1" x14ac:dyDescent="0.3">
      <c r="A1997" s="3">
        <v>1209660752</v>
      </c>
      <c r="B1997" s="3" t="s">
        <v>2231</v>
      </c>
      <c r="C1997" s="3" t="s">
        <v>2232</v>
      </c>
      <c r="D1997" s="4">
        <v>46307.468414351897</v>
      </c>
      <c r="E1997" s="5" t="s">
        <v>10</v>
      </c>
      <c r="F1997" s="5" t="s">
        <v>11</v>
      </c>
      <c r="G1997" s="5">
        <v>17</v>
      </c>
      <c r="H1997" s="6" t="s">
        <v>12</v>
      </c>
      <c r="I1997" t="s">
        <v>2258</v>
      </c>
      <c r="J1997" t="s">
        <v>2480</v>
      </c>
      <c r="K1997" t="str">
        <f>+VLOOKUP(C1997,'[1]TIENDAS 2025'!$A$1:$C$143,3,0)</f>
        <v>local</v>
      </c>
      <c r="L1997" t="str">
        <f>+VLOOKUP(C1997,[2]Hoja1!$A$1:$B$138,2,0)</f>
        <v>APROBAR</v>
      </c>
      <c r="M1997">
        <v>1</v>
      </c>
      <c r="N1997" t="e">
        <v>#N/A</v>
      </c>
    </row>
    <row r="1998" spans="1:14" ht="15" customHeight="1" x14ac:dyDescent="0.3">
      <c r="A1998" s="3">
        <v>8209660803</v>
      </c>
      <c r="B1998" s="3" t="s">
        <v>2234</v>
      </c>
      <c r="C1998" s="3" t="s">
        <v>2235</v>
      </c>
      <c r="D1998" s="4">
        <v>46307.468414351897</v>
      </c>
      <c r="E1998" s="5" t="s">
        <v>10</v>
      </c>
      <c r="F1998" s="5" t="s">
        <v>16</v>
      </c>
      <c r="G1998" s="5">
        <v>13</v>
      </c>
      <c r="H1998" s="8" t="s">
        <v>12</v>
      </c>
      <c r="I1998" t="s">
        <v>2259</v>
      </c>
      <c r="K1998" t="str">
        <f>+VLOOKUP(C1998,'[1]TIENDAS 2025'!$A$1:$C$143,3,0)</f>
        <v>departamental</v>
      </c>
      <c r="L1998" t="str">
        <f>+VLOOKUP(C1998,[2]Hoja1!$A$1:$B$138,2,0)</f>
        <v>APROBAR</v>
      </c>
      <c r="M1998">
        <v>1</v>
      </c>
      <c r="N1998" t="e">
        <v>#N/A</v>
      </c>
    </row>
    <row r="1999" spans="1:14" ht="15" customHeight="1" x14ac:dyDescent="0.3">
      <c r="A1999" s="3">
        <v>1209660813</v>
      </c>
      <c r="B1999" s="3" t="s">
        <v>2234</v>
      </c>
      <c r="C1999" s="3" t="s">
        <v>2235</v>
      </c>
      <c r="D1999" s="4">
        <v>46307.4684375</v>
      </c>
      <c r="E1999" s="5" t="s">
        <v>10</v>
      </c>
      <c r="F1999" s="5" t="s">
        <v>17</v>
      </c>
      <c r="G1999" s="5">
        <v>35</v>
      </c>
      <c r="H1999" s="6" t="s">
        <v>12</v>
      </c>
      <c r="I1999" t="s">
        <v>2260</v>
      </c>
      <c r="J1999" t="s">
        <v>2480</v>
      </c>
      <c r="K1999" t="str">
        <f>+VLOOKUP(C1999,'[1]TIENDAS 2025'!$A$1:$C$143,3,0)</f>
        <v>departamental</v>
      </c>
      <c r="L1999" t="str">
        <f>+VLOOKUP(C1999,[2]Hoja1!$A$1:$B$138,2,0)</f>
        <v>APROBAR</v>
      </c>
      <c r="M1999">
        <v>1</v>
      </c>
      <c r="N1999" t="e">
        <v>#N/A</v>
      </c>
    </row>
    <row r="2000" spans="1:14" ht="15" customHeight="1" x14ac:dyDescent="0.3">
      <c r="A2000" s="3">
        <v>1209660765</v>
      </c>
      <c r="B2000" s="3" t="s">
        <v>2224</v>
      </c>
      <c r="C2000" s="3" t="s">
        <v>2225</v>
      </c>
      <c r="D2000" s="4">
        <v>46307.468449074098</v>
      </c>
      <c r="E2000" s="5" t="s">
        <v>10</v>
      </c>
      <c r="F2000" s="5" t="s">
        <v>11</v>
      </c>
      <c r="G2000" s="5">
        <v>6</v>
      </c>
      <c r="H2000" s="6" t="s">
        <v>12</v>
      </c>
      <c r="I2000" t="s">
        <v>2261</v>
      </c>
      <c r="J2000" t="s">
        <v>2480</v>
      </c>
      <c r="K2000" t="str">
        <f>+VLOOKUP(C2000,'[1]TIENDAS 2025'!$A$1:$C$143,3,0)</f>
        <v>prioridad</v>
      </c>
      <c r="L2000" t="str">
        <f>+VLOOKUP(C2000,[2]Hoja1!$A$1:$B$138,2,0)</f>
        <v>APROBAR</v>
      </c>
      <c r="M2000">
        <v>1</v>
      </c>
      <c r="N2000" t="e">
        <v>#N/A</v>
      </c>
    </row>
    <row r="2001" spans="1:14" ht="15" customHeight="1" x14ac:dyDescent="0.3">
      <c r="A2001" s="3">
        <v>1209660768</v>
      </c>
      <c r="B2001" s="3" t="s">
        <v>2224</v>
      </c>
      <c r="C2001" s="3" t="s">
        <v>2225</v>
      </c>
      <c r="D2001" s="4">
        <v>46307.468460648102</v>
      </c>
      <c r="E2001" s="5" t="s">
        <v>10</v>
      </c>
      <c r="F2001" s="5" t="s">
        <v>11</v>
      </c>
      <c r="G2001" s="5">
        <v>9</v>
      </c>
      <c r="H2001" s="6" t="s">
        <v>12</v>
      </c>
      <c r="I2001" t="s">
        <v>2262</v>
      </c>
      <c r="J2001" t="s">
        <v>2480</v>
      </c>
      <c r="K2001" t="str">
        <f>+VLOOKUP(C2001,'[1]TIENDAS 2025'!$A$1:$C$143,3,0)</f>
        <v>prioridad</v>
      </c>
      <c r="L2001" t="str">
        <f>+VLOOKUP(C2001,[2]Hoja1!$A$1:$B$138,2,0)</f>
        <v>APROBAR</v>
      </c>
      <c r="M2001">
        <v>1</v>
      </c>
      <c r="N2001" t="e">
        <v>#N/A</v>
      </c>
    </row>
    <row r="2002" spans="1:14" ht="15" customHeight="1" x14ac:dyDescent="0.3">
      <c r="A2002" s="3">
        <v>8209660818</v>
      </c>
      <c r="B2002" s="3" t="s">
        <v>2227</v>
      </c>
      <c r="C2002" s="3" t="s">
        <v>2228</v>
      </c>
      <c r="D2002" s="4">
        <v>46307.468472222201</v>
      </c>
      <c r="E2002" s="5" t="s">
        <v>10</v>
      </c>
      <c r="F2002" s="5" t="s">
        <v>16</v>
      </c>
      <c r="G2002" s="5">
        <v>1</v>
      </c>
      <c r="H2002" s="8" t="s">
        <v>12</v>
      </c>
      <c r="I2002" t="s">
        <v>2263</v>
      </c>
      <c r="K2002" t="str">
        <f>+VLOOKUP(C2002,'[1]TIENDAS 2025'!$A$1:$C$143,3,0)</f>
        <v>local</v>
      </c>
      <c r="L2002" t="str">
        <f>+VLOOKUP(C2002,[2]Hoja1!$A$1:$B$138,2,0)</f>
        <v>APROBAR</v>
      </c>
      <c r="M2002">
        <v>1</v>
      </c>
      <c r="N2002" t="e">
        <v>#N/A</v>
      </c>
    </row>
    <row r="2003" spans="1:14" ht="15" customHeight="1" x14ac:dyDescent="0.3">
      <c r="A2003" s="3">
        <v>8209660820</v>
      </c>
      <c r="B2003" s="3" t="s">
        <v>2227</v>
      </c>
      <c r="C2003" s="3" t="s">
        <v>2228</v>
      </c>
      <c r="D2003" s="4">
        <v>46307.4684837963</v>
      </c>
      <c r="E2003" s="5" t="s">
        <v>10</v>
      </c>
      <c r="F2003" s="5" t="s">
        <v>16</v>
      </c>
      <c r="G2003" s="5">
        <v>6</v>
      </c>
      <c r="H2003" s="8" t="s">
        <v>12</v>
      </c>
      <c r="I2003" t="s">
        <v>2264</v>
      </c>
      <c r="K2003" t="str">
        <f>+VLOOKUP(C2003,'[1]TIENDAS 2025'!$A$1:$C$143,3,0)</f>
        <v>local</v>
      </c>
      <c r="L2003" t="str">
        <f>+VLOOKUP(C2003,[2]Hoja1!$A$1:$B$138,2,0)</f>
        <v>APROBAR</v>
      </c>
      <c r="M2003">
        <v>1</v>
      </c>
      <c r="N2003" t="e">
        <v>#N/A</v>
      </c>
    </row>
    <row r="2004" spans="1:14" ht="15" customHeight="1" x14ac:dyDescent="0.3">
      <c r="A2004" s="3">
        <v>1209660746</v>
      </c>
      <c r="B2004" s="3" t="s">
        <v>2231</v>
      </c>
      <c r="C2004" s="3" t="s">
        <v>2232</v>
      </c>
      <c r="D2004" s="4">
        <v>46307.468506944402</v>
      </c>
      <c r="E2004" s="5" t="s">
        <v>10</v>
      </c>
      <c r="F2004" s="5" t="s">
        <v>11</v>
      </c>
      <c r="G2004" s="5">
        <v>2</v>
      </c>
      <c r="H2004" s="6" t="s">
        <v>12</v>
      </c>
      <c r="I2004" t="s">
        <v>2265</v>
      </c>
      <c r="J2004" t="s">
        <v>2480</v>
      </c>
      <c r="K2004" t="str">
        <f>+VLOOKUP(C2004,'[1]TIENDAS 2025'!$A$1:$C$143,3,0)</f>
        <v>local</v>
      </c>
      <c r="L2004" t="str">
        <f>+VLOOKUP(C2004,[2]Hoja1!$A$1:$B$138,2,0)</f>
        <v>APROBAR</v>
      </c>
      <c r="M2004">
        <v>1</v>
      </c>
      <c r="N2004" t="e">
        <v>#N/A</v>
      </c>
    </row>
    <row r="2005" spans="1:14" ht="15" customHeight="1" x14ac:dyDescent="0.3">
      <c r="A2005" s="3">
        <v>1209660806</v>
      </c>
      <c r="B2005" s="3" t="s">
        <v>2234</v>
      </c>
      <c r="C2005" s="3" t="s">
        <v>2235</v>
      </c>
      <c r="D2005" s="4">
        <v>46307.468541666698</v>
      </c>
      <c r="E2005" s="5" t="s">
        <v>10</v>
      </c>
      <c r="F2005" s="5" t="s">
        <v>11</v>
      </c>
      <c r="G2005" s="5">
        <v>6</v>
      </c>
      <c r="H2005" s="6" t="s">
        <v>12</v>
      </c>
      <c r="I2005" t="s">
        <v>2266</v>
      </c>
      <c r="J2005" t="s">
        <v>2480</v>
      </c>
      <c r="K2005" t="str">
        <f>+VLOOKUP(C2005,'[1]TIENDAS 2025'!$A$1:$C$143,3,0)</f>
        <v>departamental</v>
      </c>
      <c r="L2005" t="str">
        <f>+VLOOKUP(C2005,[2]Hoja1!$A$1:$B$138,2,0)</f>
        <v>APROBAR</v>
      </c>
      <c r="M2005">
        <v>1</v>
      </c>
      <c r="N2005" t="e">
        <v>#N/A</v>
      </c>
    </row>
    <row r="2006" spans="1:14" ht="15" customHeight="1" x14ac:dyDescent="0.3">
      <c r="A2006" s="3">
        <v>1209660830</v>
      </c>
      <c r="B2006" s="3" t="s">
        <v>2227</v>
      </c>
      <c r="C2006" s="3" t="s">
        <v>2228</v>
      </c>
      <c r="D2006" s="4">
        <v>46307.468553240702</v>
      </c>
      <c r="E2006" s="5" t="s">
        <v>10</v>
      </c>
      <c r="F2006" s="5" t="s">
        <v>17</v>
      </c>
      <c r="G2006" s="5">
        <v>11</v>
      </c>
      <c r="H2006" s="6" t="s">
        <v>12</v>
      </c>
      <c r="I2006" t="s">
        <v>2267</v>
      </c>
      <c r="J2006" t="s">
        <v>2480</v>
      </c>
      <c r="K2006" t="str">
        <f>+VLOOKUP(C2006,'[1]TIENDAS 2025'!$A$1:$C$143,3,0)</f>
        <v>local</v>
      </c>
      <c r="L2006" t="str">
        <f>+VLOOKUP(C2006,[2]Hoja1!$A$1:$B$138,2,0)</f>
        <v>APROBAR</v>
      </c>
      <c r="M2006">
        <v>1</v>
      </c>
      <c r="N2006" t="e">
        <v>#N/A</v>
      </c>
    </row>
    <row r="2007" spans="1:14" ht="15" customHeight="1" x14ac:dyDescent="0.3">
      <c r="A2007" s="3">
        <v>1209660753</v>
      </c>
      <c r="B2007" s="3" t="s">
        <v>2231</v>
      </c>
      <c r="C2007" s="3" t="s">
        <v>2232</v>
      </c>
      <c r="D2007" s="4">
        <v>46307.468587962998</v>
      </c>
      <c r="E2007" s="5" t="s">
        <v>10</v>
      </c>
      <c r="F2007" s="5" t="s">
        <v>11</v>
      </c>
      <c r="G2007" s="5">
        <v>4</v>
      </c>
      <c r="H2007" s="6" t="s">
        <v>12</v>
      </c>
      <c r="I2007" t="s">
        <v>2268</v>
      </c>
      <c r="J2007" t="s">
        <v>2480</v>
      </c>
      <c r="K2007" t="str">
        <f>+VLOOKUP(C2007,'[1]TIENDAS 2025'!$A$1:$C$143,3,0)</f>
        <v>local</v>
      </c>
      <c r="L2007" t="str">
        <f>+VLOOKUP(C2007,[2]Hoja1!$A$1:$B$138,2,0)</f>
        <v>APROBAR</v>
      </c>
      <c r="M2007">
        <v>1</v>
      </c>
      <c r="N2007" t="e">
        <v>#N/A</v>
      </c>
    </row>
    <row r="2008" spans="1:14" ht="15" customHeight="1" x14ac:dyDescent="0.3">
      <c r="A2008" s="3">
        <v>1209660811</v>
      </c>
      <c r="B2008" s="3" t="s">
        <v>2234</v>
      </c>
      <c r="C2008" s="3" t="s">
        <v>2235</v>
      </c>
      <c r="D2008" s="4">
        <v>46307.4686111111</v>
      </c>
      <c r="E2008" s="5" t="s">
        <v>10</v>
      </c>
      <c r="F2008" s="5" t="s">
        <v>11</v>
      </c>
      <c r="G2008" s="5">
        <v>3</v>
      </c>
      <c r="H2008" s="6" t="s">
        <v>12</v>
      </c>
      <c r="I2008" t="s">
        <v>2269</v>
      </c>
      <c r="J2008" t="s">
        <v>2480</v>
      </c>
      <c r="K2008" t="str">
        <f>+VLOOKUP(C2008,'[1]TIENDAS 2025'!$A$1:$C$143,3,0)</f>
        <v>departamental</v>
      </c>
      <c r="L2008" t="str">
        <f>+VLOOKUP(C2008,[2]Hoja1!$A$1:$B$138,2,0)</f>
        <v>APROBAR</v>
      </c>
      <c r="M2008">
        <v>1</v>
      </c>
      <c r="N2008" t="e">
        <v>#N/A</v>
      </c>
    </row>
    <row r="2009" spans="1:14" ht="15" customHeight="1" x14ac:dyDescent="0.3">
      <c r="A2009" s="3">
        <v>1209660812</v>
      </c>
      <c r="B2009" s="3" t="s">
        <v>2234</v>
      </c>
      <c r="C2009" s="3" t="s">
        <v>2235</v>
      </c>
      <c r="D2009" s="4">
        <v>46307.468622685199</v>
      </c>
      <c r="E2009" s="5" t="s">
        <v>10</v>
      </c>
      <c r="F2009" s="5" t="s">
        <v>11</v>
      </c>
      <c r="G2009" s="5">
        <v>26</v>
      </c>
      <c r="H2009" s="6" t="s">
        <v>12</v>
      </c>
      <c r="I2009" t="s">
        <v>2270</v>
      </c>
      <c r="J2009" t="s">
        <v>2480</v>
      </c>
      <c r="K2009" t="str">
        <f>+VLOOKUP(C2009,'[1]TIENDAS 2025'!$A$1:$C$143,3,0)</f>
        <v>departamental</v>
      </c>
      <c r="L2009" t="str">
        <f>+VLOOKUP(C2009,[2]Hoja1!$A$1:$B$138,2,0)</f>
        <v>APROBAR</v>
      </c>
      <c r="M2009">
        <v>1</v>
      </c>
      <c r="N2009" t="e">
        <v>#N/A</v>
      </c>
    </row>
    <row r="2010" spans="1:14" ht="15" customHeight="1" x14ac:dyDescent="0.3">
      <c r="A2010" s="3">
        <v>8209660761</v>
      </c>
      <c r="B2010" s="3" t="s">
        <v>2224</v>
      </c>
      <c r="C2010" s="3" t="s">
        <v>2225</v>
      </c>
      <c r="D2010" s="4">
        <v>46307.468668981499</v>
      </c>
      <c r="E2010" s="5" t="s">
        <v>10</v>
      </c>
      <c r="F2010" s="5" t="s">
        <v>16</v>
      </c>
      <c r="G2010" s="5">
        <v>4</v>
      </c>
      <c r="H2010" s="8" t="s">
        <v>12</v>
      </c>
      <c r="I2010" t="s">
        <v>2271</v>
      </c>
      <c r="K2010" t="str">
        <f>+VLOOKUP(C2010,'[1]TIENDAS 2025'!$A$1:$C$143,3,0)</f>
        <v>prioridad</v>
      </c>
      <c r="L2010" t="str">
        <f>+VLOOKUP(C2010,[2]Hoja1!$A$1:$B$138,2,0)</f>
        <v>APROBAR</v>
      </c>
      <c r="M2010">
        <v>1</v>
      </c>
      <c r="N2010" t="e">
        <v>#N/A</v>
      </c>
    </row>
    <row r="2011" spans="1:14" ht="15" customHeight="1" x14ac:dyDescent="0.3">
      <c r="A2011" s="3">
        <v>1209660797</v>
      </c>
      <c r="B2011" s="3" t="s">
        <v>2242</v>
      </c>
      <c r="C2011" s="3" t="s">
        <v>2243</v>
      </c>
      <c r="D2011" s="4">
        <v>46307.468680555598</v>
      </c>
      <c r="E2011" s="5" t="s">
        <v>10</v>
      </c>
      <c r="F2011" s="5" t="s">
        <v>11</v>
      </c>
      <c r="G2011" s="5">
        <v>7</v>
      </c>
      <c r="H2011" s="6" t="s">
        <v>12</v>
      </c>
      <c r="I2011" t="s">
        <v>2272</v>
      </c>
      <c r="J2011" t="s">
        <v>2480</v>
      </c>
      <c r="K2011" t="str">
        <f>+VLOOKUP(C2011,'[1]TIENDAS 2025'!$A$1:$C$143,3,0)</f>
        <v xml:space="preserve">departamental </v>
      </c>
      <c r="L2011" t="str">
        <f>+VLOOKUP(C2011,[2]Hoja1!$A$1:$B$138,2,0)</f>
        <v>APROBAR</v>
      </c>
      <c r="M2011">
        <v>1</v>
      </c>
      <c r="N2011" t="e">
        <v>#N/A</v>
      </c>
    </row>
    <row r="2012" spans="1:14" ht="15" customHeight="1" x14ac:dyDescent="0.3">
      <c r="A2012" s="3">
        <v>8209660741</v>
      </c>
      <c r="B2012" s="3" t="s">
        <v>2231</v>
      </c>
      <c r="C2012" s="3" t="s">
        <v>2232</v>
      </c>
      <c r="D2012" s="4">
        <v>46307.468692129602</v>
      </c>
      <c r="E2012" s="5" t="s">
        <v>10</v>
      </c>
      <c r="F2012" s="5" t="s">
        <v>16</v>
      </c>
      <c r="G2012" s="5">
        <v>1</v>
      </c>
      <c r="H2012" s="8" t="s">
        <v>12</v>
      </c>
      <c r="I2012" t="s">
        <v>2273</v>
      </c>
      <c r="K2012" t="str">
        <f>+VLOOKUP(C2012,'[1]TIENDAS 2025'!$A$1:$C$143,3,0)</f>
        <v>local</v>
      </c>
      <c r="L2012" t="str">
        <f>+VLOOKUP(C2012,[2]Hoja1!$A$1:$B$138,2,0)</f>
        <v>APROBAR</v>
      </c>
      <c r="M2012">
        <v>1</v>
      </c>
      <c r="N2012" t="e">
        <v>#N/A</v>
      </c>
    </row>
    <row r="2013" spans="1:14" ht="15" customHeight="1" x14ac:dyDescent="0.3">
      <c r="A2013" s="3">
        <v>8209660745</v>
      </c>
      <c r="B2013" s="3" t="s">
        <v>2231</v>
      </c>
      <c r="C2013" s="3" t="s">
        <v>2232</v>
      </c>
      <c r="D2013" s="4">
        <v>46307.4687037037</v>
      </c>
      <c r="E2013" s="5" t="s">
        <v>10</v>
      </c>
      <c r="F2013" s="5" t="s">
        <v>16</v>
      </c>
      <c r="G2013" s="5">
        <v>6</v>
      </c>
      <c r="H2013" s="8" t="s">
        <v>12</v>
      </c>
      <c r="I2013" t="s">
        <v>2274</v>
      </c>
      <c r="K2013" t="str">
        <f>+VLOOKUP(C2013,'[1]TIENDAS 2025'!$A$1:$C$143,3,0)</f>
        <v>local</v>
      </c>
      <c r="L2013" t="str">
        <f>+VLOOKUP(C2013,[2]Hoja1!$A$1:$B$138,2,0)</f>
        <v>APROBAR</v>
      </c>
      <c r="M2013">
        <v>1</v>
      </c>
      <c r="N2013" t="e">
        <v>#N/A</v>
      </c>
    </row>
    <row r="2014" spans="1:14" ht="15" customHeight="1" x14ac:dyDescent="0.3">
      <c r="A2014" s="3">
        <v>1209660828</v>
      </c>
      <c r="B2014" s="3" t="s">
        <v>2227</v>
      </c>
      <c r="C2014" s="3" t="s">
        <v>2228</v>
      </c>
      <c r="D2014" s="4">
        <v>46307.468726851897</v>
      </c>
      <c r="E2014" s="5" t="s">
        <v>10</v>
      </c>
      <c r="F2014" s="5" t="s">
        <v>11</v>
      </c>
      <c r="G2014" s="5">
        <v>9</v>
      </c>
      <c r="H2014" s="6" t="s">
        <v>12</v>
      </c>
      <c r="I2014" t="s">
        <v>2275</v>
      </c>
      <c r="J2014" t="s">
        <v>2480</v>
      </c>
      <c r="K2014" t="str">
        <f>+VLOOKUP(C2014,'[1]TIENDAS 2025'!$A$1:$C$143,3,0)</f>
        <v>local</v>
      </c>
      <c r="L2014" t="str">
        <f>+VLOOKUP(C2014,[2]Hoja1!$A$1:$B$138,2,0)</f>
        <v>APROBAR</v>
      </c>
      <c r="M2014">
        <v>1</v>
      </c>
      <c r="N2014" t="e">
        <v>#N/A</v>
      </c>
    </row>
    <row r="2015" spans="1:14" ht="15" customHeight="1" x14ac:dyDescent="0.3">
      <c r="A2015" s="3">
        <v>1209660832</v>
      </c>
      <c r="B2015" s="3" t="s">
        <v>2227</v>
      </c>
      <c r="C2015" s="3" t="s">
        <v>2228</v>
      </c>
      <c r="D2015" s="4">
        <v>46307.468738425901</v>
      </c>
      <c r="E2015" s="5" t="s">
        <v>10</v>
      </c>
      <c r="F2015" s="5" t="s">
        <v>11</v>
      </c>
      <c r="G2015" s="5">
        <v>23</v>
      </c>
      <c r="H2015" s="6" t="s">
        <v>12</v>
      </c>
      <c r="I2015" t="s">
        <v>2276</v>
      </c>
      <c r="J2015" t="s">
        <v>2480</v>
      </c>
      <c r="K2015" t="str">
        <f>+VLOOKUP(C2015,'[1]TIENDAS 2025'!$A$1:$C$143,3,0)</f>
        <v>local</v>
      </c>
      <c r="L2015" t="str">
        <f>+VLOOKUP(C2015,[2]Hoja1!$A$1:$B$138,2,0)</f>
        <v>APROBAR</v>
      </c>
      <c r="M2015">
        <v>1</v>
      </c>
      <c r="N2015" t="e">
        <v>#N/A</v>
      </c>
    </row>
    <row r="2016" spans="1:14" ht="15" customHeight="1" x14ac:dyDescent="0.3">
      <c r="A2016" s="3">
        <v>1209660754</v>
      </c>
      <c r="B2016" s="3" t="s">
        <v>2231</v>
      </c>
      <c r="C2016" s="3" t="s">
        <v>2232</v>
      </c>
      <c r="D2016" s="4">
        <v>46307.46875</v>
      </c>
      <c r="E2016" s="5" t="s">
        <v>10</v>
      </c>
      <c r="F2016" s="5" t="s">
        <v>11</v>
      </c>
      <c r="G2016" s="5">
        <v>40</v>
      </c>
      <c r="H2016" s="6" t="s">
        <v>12</v>
      </c>
      <c r="I2016" t="s">
        <v>2277</v>
      </c>
      <c r="J2016" t="s">
        <v>2480</v>
      </c>
      <c r="K2016" t="str">
        <f>+VLOOKUP(C2016,'[1]TIENDAS 2025'!$A$1:$C$143,3,0)</f>
        <v>local</v>
      </c>
      <c r="L2016" t="str">
        <f>+VLOOKUP(C2016,[2]Hoja1!$A$1:$B$138,2,0)</f>
        <v>APROBAR</v>
      </c>
      <c r="M2016">
        <v>1</v>
      </c>
      <c r="N2016" t="e">
        <v>#N/A</v>
      </c>
    </row>
    <row r="2017" spans="1:14" ht="15" customHeight="1" x14ac:dyDescent="0.3">
      <c r="A2017" s="3">
        <v>1209660756</v>
      </c>
      <c r="B2017" s="3" t="s">
        <v>2231</v>
      </c>
      <c r="C2017" s="3" t="s">
        <v>2232</v>
      </c>
      <c r="D2017" s="4">
        <v>46307.468761574099</v>
      </c>
      <c r="E2017" s="5" t="s">
        <v>10</v>
      </c>
      <c r="F2017" s="5" t="s">
        <v>17</v>
      </c>
      <c r="G2017" s="5">
        <v>42</v>
      </c>
      <c r="H2017" s="6" t="s">
        <v>12</v>
      </c>
      <c r="I2017" t="s">
        <v>2278</v>
      </c>
      <c r="J2017" t="s">
        <v>2480</v>
      </c>
      <c r="K2017" t="str">
        <f>+VLOOKUP(C2017,'[1]TIENDAS 2025'!$A$1:$C$143,3,0)</f>
        <v>local</v>
      </c>
      <c r="L2017" t="str">
        <f>+VLOOKUP(C2017,[2]Hoja1!$A$1:$B$138,2,0)</f>
        <v>APROBAR</v>
      </c>
      <c r="M2017">
        <v>1</v>
      </c>
      <c r="N2017" t="e">
        <v>#N/A</v>
      </c>
    </row>
    <row r="2018" spans="1:14" ht="15" customHeight="1" x14ac:dyDescent="0.3">
      <c r="A2018" s="3">
        <v>1209660760</v>
      </c>
      <c r="B2018" s="3" t="s">
        <v>2224</v>
      </c>
      <c r="C2018" s="3" t="s">
        <v>2225</v>
      </c>
      <c r="D2018" s="4">
        <v>46307.468784722201</v>
      </c>
      <c r="E2018" s="5" t="s">
        <v>10</v>
      </c>
      <c r="F2018" s="5" t="s">
        <v>11</v>
      </c>
      <c r="G2018" s="5">
        <v>1</v>
      </c>
      <c r="H2018" s="6" t="s">
        <v>12</v>
      </c>
      <c r="I2018" t="s">
        <v>2279</v>
      </c>
      <c r="J2018" t="s">
        <v>2480</v>
      </c>
      <c r="K2018" t="str">
        <f>+VLOOKUP(C2018,'[1]TIENDAS 2025'!$A$1:$C$143,3,0)</f>
        <v>prioridad</v>
      </c>
      <c r="L2018" t="str">
        <f>+VLOOKUP(C2018,[2]Hoja1!$A$1:$B$138,2,0)</f>
        <v>APROBAR</v>
      </c>
      <c r="M2018">
        <v>1</v>
      </c>
      <c r="N2018" t="e">
        <v>#N/A</v>
      </c>
    </row>
    <row r="2019" spans="1:14" ht="15" customHeight="1" x14ac:dyDescent="0.3">
      <c r="A2019" s="3">
        <v>1209660794</v>
      </c>
      <c r="B2019" s="3" t="s">
        <v>2242</v>
      </c>
      <c r="C2019" s="3" t="s">
        <v>2243</v>
      </c>
      <c r="D2019" s="4">
        <v>46307.4687962963</v>
      </c>
      <c r="E2019" s="5" t="s">
        <v>10</v>
      </c>
      <c r="F2019" s="5" t="s">
        <v>11</v>
      </c>
      <c r="G2019" s="5">
        <v>1</v>
      </c>
      <c r="H2019" s="6" t="s">
        <v>12</v>
      </c>
      <c r="I2019" t="s">
        <v>2280</v>
      </c>
      <c r="J2019" t="s">
        <v>2480</v>
      </c>
      <c r="K2019" t="str">
        <f>+VLOOKUP(C2019,'[1]TIENDAS 2025'!$A$1:$C$143,3,0)</f>
        <v xml:space="preserve">departamental </v>
      </c>
      <c r="L2019" t="str">
        <f>+VLOOKUP(C2019,[2]Hoja1!$A$1:$B$138,2,0)</f>
        <v>APROBAR</v>
      </c>
      <c r="M2019">
        <v>1</v>
      </c>
      <c r="N2019" t="e">
        <v>#N/A</v>
      </c>
    </row>
    <row r="2020" spans="1:14" ht="15" customHeight="1" x14ac:dyDescent="0.3">
      <c r="A2020" s="3">
        <v>1209660766</v>
      </c>
      <c r="B2020" s="3" t="s">
        <v>2224</v>
      </c>
      <c r="C2020" s="3" t="s">
        <v>2225</v>
      </c>
      <c r="D2020" s="4">
        <v>46307.468807870398</v>
      </c>
      <c r="E2020" s="5" t="s">
        <v>10</v>
      </c>
      <c r="F2020" s="5" t="s">
        <v>11</v>
      </c>
      <c r="G2020" s="5">
        <v>6</v>
      </c>
      <c r="H2020" s="6" t="s">
        <v>12</v>
      </c>
      <c r="I2020" t="s">
        <v>2281</v>
      </c>
      <c r="J2020" t="s">
        <v>2480</v>
      </c>
      <c r="K2020" t="str">
        <f>+VLOOKUP(C2020,'[1]TIENDAS 2025'!$A$1:$C$143,3,0)</f>
        <v>prioridad</v>
      </c>
      <c r="L2020" t="str">
        <f>+VLOOKUP(C2020,[2]Hoja1!$A$1:$B$138,2,0)</f>
        <v>APROBAR</v>
      </c>
      <c r="M2020">
        <v>1</v>
      </c>
      <c r="N2020" t="e">
        <v>#N/A</v>
      </c>
    </row>
    <row r="2021" spans="1:14" ht="15" customHeight="1" x14ac:dyDescent="0.3">
      <c r="A2021" s="3">
        <v>1209660798</v>
      </c>
      <c r="B2021" s="3" t="s">
        <v>2242</v>
      </c>
      <c r="C2021" s="3" t="s">
        <v>2243</v>
      </c>
      <c r="D2021" s="4">
        <v>46307.468819444402</v>
      </c>
      <c r="E2021" s="5" t="s">
        <v>10</v>
      </c>
      <c r="F2021" s="5" t="s">
        <v>11</v>
      </c>
      <c r="G2021" s="5">
        <v>12</v>
      </c>
      <c r="H2021" s="6" t="s">
        <v>12</v>
      </c>
      <c r="I2021" t="s">
        <v>2282</v>
      </c>
      <c r="J2021" t="s">
        <v>2480</v>
      </c>
      <c r="K2021" t="str">
        <f>+VLOOKUP(C2021,'[1]TIENDAS 2025'!$A$1:$C$143,3,0)</f>
        <v xml:space="preserve">departamental </v>
      </c>
      <c r="L2021" t="str">
        <f>+VLOOKUP(C2021,[2]Hoja1!$A$1:$B$138,2,0)</f>
        <v>APROBAR</v>
      </c>
      <c r="M2021">
        <v>1</v>
      </c>
      <c r="N2021" t="e">
        <v>#N/A</v>
      </c>
    </row>
    <row r="2022" spans="1:14" ht="15" customHeight="1" x14ac:dyDescent="0.3">
      <c r="A2022" s="3">
        <v>8209660802</v>
      </c>
      <c r="B2022" s="3" t="s">
        <v>2234</v>
      </c>
      <c r="C2022" s="3" t="s">
        <v>2235</v>
      </c>
      <c r="D2022" s="4">
        <v>46307.468831018501</v>
      </c>
      <c r="E2022" s="5" t="s">
        <v>10</v>
      </c>
      <c r="F2022" s="5" t="s">
        <v>16</v>
      </c>
      <c r="G2022" s="5">
        <v>7</v>
      </c>
      <c r="H2022" s="8" t="s">
        <v>12</v>
      </c>
      <c r="I2022" t="s">
        <v>2283</v>
      </c>
      <c r="K2022" t="str">
        <f>+VLOOKUP(C2022,'[1]TIENDAS 2025'!$A$1:$C$143,3,0)</f>
        <v>departamental</v>
      </c>
      <c r="L2022" t="str">
        <f>+VLOOKUP(C2022,[2]Hoja1!$A$1:$B$138,2,0)</f>
        <v>APROBAR</v>
      </c>
      <c r="M2022">
        <v>1</v>
      </c>
      <c r="N2022" t="e">
        <v>#N/A</v>
      </c>
    </row>
    <row r="2023" spans="1:14" ht="15" customHeight="1" x14ac:dyDescent="0.3">
      <c r="A2023" s="3">
        <v>8209660821</v>
      </c>
      <c r="B2023" s="3" t="s">
        <v>2227</v>
      </c>
      <c r="C2023" s="3" t="s">
        <v>2228</v>
      </c>
      <c r="D2023" s="4">
        <v>46307.468854166698</v>
      </c>
      <c r="E2023" s="5" t="s">
        <v>10</v>
      </c>
      <c r="F2023" s="5" t="s">
        <v>16</v>
      </c>
      <c r="G2023" s="5">
        <v>1</v>
      </c>
      <c r="H2023" s="8" t="s">
        <v>12</v>
      </c>
      <c r="I2023" t="s">
        <v>2284</v>
      </c>
      <c r="K2023" t="str">
        <f>+VLOOKUP(C2023,'[1]TIENDAS 2025'!$A$1:$C$143,3,0)</f>
        <v>local</v>
      </c>
      <c r="L2023" t="str">
        <f>+VLOOKUP(C2023,[2]Hoja1!$A$1:$B$138,2,0)</f>
        <v>APROBAR</v>
      </c>
      <c r="M2023">
        <v>1</v>
      </c>
      <c r="N2023" t="e">
        <v>#N/A</v>
      </c>
    </row>
    <row r="2024" spans="1:14" ht="15" customHeight="1" x14ac:dyDescent="0.3">
      <c r="A2024" s="3">
        <v>1209660747</v>
      </c>
      <c r="B2024" s="3" t="s">
        <v>2231</v>
      </c>
      <c r="C2024" s="3" t="s">
        <v>2232</v>
      </c>
      <c r="D2024" s="4">
        <v>46307.468865740702</v>
      </c>
      <c r="E2024" s="5" t="s">
        <v>10</v>
      </c>
      <c r="F2024" s="5" t="s">
        <v>11</v>
      </c>
      <c r="G2024" s="5">
        <v>5</v>
      </c>
      <c r="H2024" s="6" t="s">
        <v>12</v>
      </c>
      <c r="I2024" t="s">
        <v>2285</v>
      </c>
      <c r="J2024" t="s">
        <v>2480</v>
      </c>
      <c r="K2024" t="str">
        <f>+VLOOKUP(C2024,'[1]TIENDAS 2025'!$A$1:$C$143,3,0)</f>
        <v>local</v>
      </c>
      <c r="L2024" t="str">
        <f>+VLOOKUP(C2024,[2]Hoja1!$A$1:$B$138,2,0)</f>
        <v>APROBAR</v>
      </c>
      <c r="M2024">
        <v>1</v>
      </c>
      <c r="N2024" t="e">
        <v>#N/A</v>
      </c>
    </row>
    <row r="2025" spans="1:14" ht="15" customHeight="1" x14ac:dyDescent="0.3">
      <c r="A2025" s="3">
        <v>8209660804</v>
      </c>
      <c r="B2025" s="3" t="s">
        <v>2234</v>
      </c>
      <c r="C2025" s="3" t="s">
        <v>2235</v>
      </c>
      <c r="D2025" s="4">
        <v>46307.4688888889</v>
      </c>
      <c r="E2025" s="5" t="s">
        <v>10</v>
      </c>
      <c r="F2025" s="5" t="s">
        <v>16</v>
      </c>
      <c r="G2025" s="5">
        <v>1</v>
      </c>
      <c r="H2025" s="8" t="s">
        <v>12</v>
      </c>
      <c r="I2025" t="s">
        <v>2286</v>
      </c>
      <c r="K2025" t="str">
        <f>+VLOOKUP(C2025,'[1]TIENDAS 2025'!$A$1:$C$143,3,0)</f>
        <v>departamental</v>
      </c>
      <c r="L2025" t="str">
        <f>+VLOOKUP(C2025,[2]Hoja1!$A$1:$B$138,2,0)</f>
        <v>APROBAR</v>
      </c>
      <c r="M2025">
        <v>1</v>
      </c>
      <c r="N2025" t="e">
        <v>#N/A</v>
      </c>
    </row>
    <row r="2026" spans="1:14" ht="15" customHeight="1" x14ac:dyDescent="0.3">
      <c r="A2026" s="3">
        <v>8209660805</v>
      </c>
      <c r="B2026" s="3" t="s">
        <v>2234</v>
      </c>
      <c r="C2026" s="3" t="s">
        <v>2235</v>
      </c>
      <c r="D2026" s="4">
        <v>46307.468900462998</v>
      </c>
      <c r="E2026" s="5" t="s">
        <v>10</v>
      </c>
      <c r="F2026" s="5" t="s">
        <v>16</v>
      </c>
      <c r="G2026" s="5">
        <v>4</v>
      </c>
      <c r="H2026" s="8" t="s">
        <v>12</v>
      </c>
      <c r="I2026" t="s">
        <v>2287</v>
      </c>
      <c r="K2026" t="str">
        <f>+VLOOKUP(C2026,'[1]TIENDAS 2025'!$A$1:$C$143,3,0)</f>
        <v>departamental</v>
      </c>
      <c r="L2026" t="str">
        <f>+VLOOKUP(C2026,[2]Hoja1!$A$1:$B$138,2,0)</f>
        <v>APROBAR</v>
      </c>
      <c r="M2026">
        <v>1</v>
      </c>
      <c r="N2026" t="e">
        <v>#N/A</v>
      </c>
    </row>
    <row r="2027" spans="1:14" ht="15" customHeight="1" x14ac:dyDescent="0.3">
      <c r="A2027" s="3">
        <v>1209660827</v>
      </c>
      <c r="B2027" s="3" t="s">
        <v>2227</v>
      </c>
      <c r="C2027" s="3" t="s">
        <v>2228</v>
      </c>
      <c r="D2027" s="4">
        <v>46307.468912037002</v>
      </c>
      <c r="E2027" s="5" t="s">
        <v>10</v>
      </c>
      <c r="F2027" s="5" t="s">
        <v>11</v>
      </c>
      <c r="G2027" s="5">
        <v>7</v>
      </c>
      <c r="H2027" s="6" t="s">
        <v>12</v>
      </c>
      <c r="I2027" t="s">
        <v>2288</v>
      </c>
      <c r="J2027" t="s">
        <v>2480</v>
      </c>
      <c r="K2027" t="str">
        <f>+VLOOKUP(C2027,'[1]TIENDAS 2025'!$A$1:$C$143,3,0)</f>
        <v>local</v>
      </c>
      <c r="L2027" t="str">
        <f>+VLOOKUP(C2027,[2]Hoja1!$A$1:$B$138,2,0)</f>
        <v>APROBAR</v>
      </c>
      <c r="M2027">
        <v>1</v>
      </c>
      <c r="N2027" t="e">
        <v>#N/A</v>
      </c>
    </row>
    <row r="2028" spans="1:14" ht="15" customHeight="1" x14ac:dyDescent="0.3">
      <c r="A2028" s="3">
        <v>1209660810</v>
      </c>
      <c r="B2028" s="3" t="s">
        <v>2234</v>
      </c>
      <c r="C2028" s="3" t="s">
        <v>2235</v>
      </c>
      <c r="D2028" s="4">
        <v>46307.468946759298</v>
      </c>
      <c r="E2028" s="5" t="s">
        <v>10</v>
      </c>
      <c r="F2028" s="5" t="s">
        <v>17</v>
      </c>
      <c r="G2028" s="5">
        <v>16</v>
      </c>
      <c r="H2028" s="6" t="s">
        <v>12</v>
      </c>
      <c r="I2028" t="s">
        <v>2289</v>
      </c>
      <c r="J2028" t="s">
        <v>2480</v>
      </c>
      <c r="K2028" t="str">
        <f>+VLOOKUP(C2028,'[1]TIENDAS 2025'!$A$1:$C$143,3,0)</f>
        <v>departamental</v>
      </c>
      <c r="L2028" t="str">
        <f>+VLOOKUP(C2028,[2]Hoja1!$A$1:$B$138,2,0)</f>
        <v>APROBAR</v>
      </c>
      <c r="M2028">
        <v>1</v>
      </c>
      <c r="N2028" t="e">
        <v>#N/A</v>
      </c>
    </row>
    <row r="2029" spans="1:14" ht="15" customHeight="1" x14ac:dyDescent="0.3">
      <c r="A2029" s="3">
        <v>1209660814</v>
      </c>
      <c r="B2029" s="3" t="s">
        <v>2234</v>
      </c>
      <c r="C2029" s="3" t="s">
        <v>2235</v>
      </c>
      <c r="D2029" s="4">
        <v>46307.468969907401</v>
      </c>
      <c r="E2029" s="5" t="s">
        <v>10</v>
      </c>
      <c r="F2029" s="5" t="s">
        <v>11</v>
      </c>
      <c r="G2029" s="5">
        <v>36</v>
      </c>
      <c r="H2029" s="6" t="s">
        <v>12</v>
      </c>
      <c r="I2029" t="s">
        <v>2290</v>
      </c>
      <c r="J2029" t="s">
        <v>2480</v>
      </c>
      <c r="K2029" t="str">
        <f>+VLOOKUP(C2029,'[1]TIENDAS 2025'!$A$1:$C$143,3,0)</f>
        <v>departamental</v>
      </c>
      <c r="L2029" t="str">
        <f>+VLOOKUP(C2029,[2]Hoja1!$A$1:$B$138,2,0)</f>
        <v>APROBAR</v>
      </c>
      <c r="M2029">
        <v>1</v>
      </c>
      <c r="N2029" t="e">
        <v>#N/A</v>
      </c>
    </row>
    <row r="2030" spans="1:14" ht="15" customHeight="1" x14ac:dyDescent="0.3">
      <c r="A2030" s="3">
        <v>1209660815</v>
      </c>
      <c r="B2030" s="3" t="s">
        <v>2234</v>
      </c>
      <c r="C2030" s="3" t="s">
        <v>2235</v>
      </c>
      <c r="D2030" s="4">
        <v>46307.468993055598</v>
      </c>
      <c r="E2030" s="5" t="s">
        <v>10</v>
      </c>
      <c r="F2030" s="5" t="s">
        <v>17</v>
      </c>
      <c r="G2030" s="5">
        <v>33</v>
      </c>
      <c r="H2030" s="6" t="s">
        <v>12</v>
      </c>
      <c r="I2030" t="s">
        <v>2291</v>
      </c>
      <c r="J2030" t="s">
        <v>2480</v>
      </c>
      <c r="K2030" t="str">
        <f>+VLOOKUP(C2030,'[1]TIENDAS 2025'!$A$1:$C$143,3,0)</f>
        <v>departamental</v>
      </c>
      <c r="L2030" t="str">
        <f>+VLOOKUP(C2030,[2]Hoja1!$A$1:$B$138,2,0)</f>
        <v>APROBAR</v>
      </c>
      <c r="M2030">
        <v>1</v>
      </c>
      <c r="N2030" t="e">
        <v>#N/A</v>
      </c>
    </row>
    <row r="2031" spans="1:14" ht="15" customHeight="1" x14ac:dyDescent="0.3">
      <c r="A2031" s="3">
        <v>1209660800</v>
      </c>
      <c r="B2031" s="3" t="s">
        <v>2242</v>
      </c>
      <c r="C2031" s="3" t="s">
        <v>2243</v>
      </c>
      <c r="D2031" s="4">
        <v>46307.469004629602</v>
      </c>
      <c r="E2031" s="5" t="s">
        <v>10</v>
      </c>
      <c r="F2031" s="5" t="s">
        <v>11</v>
      </c>
      <c r="G2031" s="5">
        <v>14</v>
      </c>
      <c r="H2031" s="6" t="s">
        <v>12</v>
      </c>
      <c r="I2031" t="s">
        <v>2292</v>
      </c>
      <c r="J2031" t="s">
        <v>2480</v>
      </c>
      <c r="K2031" t="str">
        <f>+VLOOKUP(C2031,'[1]TIENDAS 2025'!$A$1:$C$143,3,0)</f>
        <v xml:space="preserve">departamental </v>
      </c>
      <c r="L2031" t="str">
        <f>+VLOOKUP(C2031,[2]Hoja1!$A$1:$B$138,2,0)</f>
        <v>APROBAR</v>
      </c>
      <c r="M2031">
        <v>1</v>
      </c>
      <c r="N2031" t="e">
        <v>#N/A</v>
      </c>
    </row>
    <row r="2032" spans="1:14" ht="15" customHeight="1" x14ac:dyDescent="0.3">
      <c r="A2032" s="3">
        <v>8209660742</v>
      </c>
      <c r="B2032" s="3" t="s">
        <v>2231</v>
      </c>
      <c r="C2032" s="3" t="s">
        <v>2232</v>
      </c>
      <c r="D2032" s="4">
        <v>46307.4690162037</v>
      </c>
      <c r="E2032" s="5" t="s">
        <v>10</v>
      </c>
      <c r="F2032" s="5" t="s">
        <v>16</v>
      </c>
      <c r="G2032" s="5">
        <v>1</v>
      </c>
      <c r="H2032" s="8" t="s">
        <v>12</v>
      </c>
      <c r="I2032" t="s">
        <v>2293</v>
      </c>
      <c r="K2032" t="str">
        <f>+VLOOKUP(C2032,'[1]TIENDAS 2025'!$A$1:$C$143,3,0)</f>
        <v>local</v>
      </c>
      <c r="L2032" t="str">
        <f>+VLOOKUP(C2032,[2]Hoja1!$A$1:$B$138,2,0)</f>
        <v>APROBAR</v>
      </c>
      <c r="M2032">
        <v>1</v>
      </c>
      <c r="N2032" t="e">
        <v>#N/A</v>
      </c>
    </row>
    <row r="2033" spans="1:14" ht="15" customHeight="1" x14ac:dyDescent="0.3">
      <c r="A2033" s="3">
        <v>8209660743</v>
      </c>
      <c r="B2033" s="3" t="s">
        <v>2231</v>
      </c>
      <c r="C2033" s="3" t="s">
        <v>2232</v>
      </c>
      <c r="D2033" s="4">
        <v>46307.469027777799</v>
      </c>
      <c r="E2033" s="5" t="s">
        <v>10</v>
      </c>
      <c r="F2033" s="5" t="s">
        <v>16</v>
      </c>
      <c r="G2033" s="5">
        <v>4</v>
      </c>
      <c r="H2033" s="8" t="s">
        <v>12</v>
      </c>
      <c r="I2033" t="s">
        <v>2294</v>
      </c>
      <c r="K2033" t="str">
        <f>+VLOOKUP(C2033,'[1]TIENDAS 2025'!$A$1:$C$143,3,0)</f>
        <v>local</v>
      </c>
      <c r="L2033" t="str">
        <f>+VLOOKUP(C2033,[2]Hoja1!$A$1:$B$138,2,0)</f>
        <v>APROBAR</v>
      </c>
      <c r="M2033">
        <v>1</v>
      </c>
      <c r="N2033" t="e">
        <v>#N/A</v>
      </c>
    </row>
    <row r="2034" spans="1:14" ht="15" customHeight="1" x14ac:dyDescent="0.3">
      <c r="A2034" s="3">
        <v>1209660823</v>
      </c>
      <c r="B2034" s="3" t="s">
        <v>2227</v>
      </c>
      <c r="C2034" s="3" t="s">
        <v>2228</v>
      </c>
      <c r="D2034" s="4">
        <v>46307.469050925902</v>
      </c>
      <c r="E2034" s="5" t="s">
        <v>10</v>
      </c>
      <c r="F2034" s="5" t="s">
        <v>11</v>
      </c>
      <c r="G2034" s="5">
        <v>3</v>
      </c>
      <c r="H2034" s="6" t="s">
        <v>12</v>
      </c>
      <c r="I2034" t="s">
        <v>2295</v>
      </c>
      <c r="J2034" t="s">
        <v>2480</v>
      </c>
      <c r="K2034" t="str">
        <f>+VLOOKUP(C2034,'[1]TIENDAS 2025'!$A$1:$C$143,3,0)</f>
        <v>local</v>
      </c>
      <c r="L2034" t="str">
        <f>+VLOOKUP(C2034,[2]Hoja1!$A$1:$B$138,2,0)</f>
        <v>APROBAR</v>
      </c>
      <c r="M2034">
        <v>1</v>
      </c>
      <c r="N2034" t="e">
        <v>#N/A</v>
      </c>
    </row>
    <row r="2035" spans="1:14" ht="15" customHeight="1" x14ac:dyDescent="0.3">
      <c r="A2035" s="3">
        <v>8209660758</v>
      </c>
      <c r="B2035" s="3" t="s">
        <v>2224</v>
      </c>
      <c r="C2035" s="3" t="s">
        <v>2225</v>
      </c>
      <c r="D2035" s="4">
        <v>46307.469085648103</v>
      </c>
      <c r="E2035" s="5" t="s">
        <v>10</v>
      </c>
      <c r="F2035" s="5" t="s">
        <v>16</v>
      </c>
      <c r="G2035" s="5">
        <v>1</v>
      </c>
      <c r="H2035" s="8" t="s">
        <v>12</v>
      </c>
      <c r="I2035" t="s">
        <v>2296</v>
      </c>
      <c r="K2035" t="str">
        <f>+VLOOKUP(C2035,'[1]TIENDAS 2025'!$A$1:$C$143,3,0)</f>
        <v>prioridad</v>
      </c>
      <c r="L2035" t="str">
        <f>+VLOOKUP(C2035,[2]Hoja1!$A$1:$B$138,2,0)</f>
        <v>APROBAR</v>
      </c>
      <c r="M2035">
        <v>1</v>
      </c>
      <c r="N2035" t="e">
        <v>#N/A</v>
      </c>
    </row>
    <row r="2036" spans="1:14" ht="15" customHeight="1" x14ac:dyDescent="0.3">
      <c r="A2036" s="3">
        <v>8209660789</v>
      </c>
      <c r="B2036" s="3" t="s">
        <v>2242</v>
      </c>
      <c r="C2036" s="3" t="s">
        <v>2243</v>
      </c>
      <c r="D2036" s="4">
        <v>46307.4691087963</v>
      </c>
      <c r="E2036" s="5" t="s">
        <v>10</v>
      </c>
      <c r="F2036" s="5" t="s">
        <v>16</v>
      </c>
      <c r="G2036" s="5">
        <v>2</v>
      </c>
      <c r="H2036" s="8" t="s">
        <v>12</v>
      </c>
      <c r="I2036" t="s">
        <v>2297</v>
      </c>
      <c r="K2036" t="str">
        <f>+VLOOKUP(C2036,'[1]TIENDAS 2025'!$A$1:$C$143,3,0)</f>
        <v xml:space="preserve">departamental </v>
      </c>
      <c r="L2036" t="str">
        <f>+VLOOKUP(C2036,[2]Hoja1!$A$1:$B$138,2,0)</f>
        <v>APROBAR</v>
      </c>
      <c r="M2036">
        <v>1</v>
      </c>
      <c r="N2036" t="e">
        <v>#N/A</v>
      </c>
    </row>
    <row r="2037" spans="1:14" ht="15" customHeight="1" x14ac:dyDescent="0.3">
      <c r="A2037" s="3">
        <v>8209660791</v>
      </c>
      <c r="B2037" s="3" t="s">
        <v>2242</v>
      </c>
      <c r="C2037" s="3" t="s">
        <v>2243</v>
      </c>
      <c r="D2037" s="4">
        <v>46307.469120370399</v>
      </c>
      <c r="E2037" s="5" t="s">
        <v>10</v>
      </c>
      <c r="F2037" s="5" t="s">
        <v>16</v>
      </c>
      <c r="G2037" s="5">
        <v>1</v>
      </c>
      <c r="H2037" s="8" t="s">
        <v>12</v>
      </c>
      <c r="I2037" t="s">
        <v>2298</v>
      </c>
      <c r="K2037" t="str">
        <f>+VLOOKUP(C2037,'[1]TIENDAS 2025'!$A$1:$C$143,3,0)</f>
        <v xml:space="preserve">departamental </v>
      </c>
      <c r="L2037" t="str">
        <f>+VLOOKUP(C2037,[2]Hoja1!$A$1:$B$138,2,0)</f>
        <v>APROBAR</v>
      </c>
      <c r="M2037">
        <v>1</v>
      </c>
      <c r="N2037" t="e">
        <v>#N/A</v>
      </c>
    </row>
    <row r="2038" spans="1:14" ht="15" customHeight="1" x14ac:dyDescent="0.3">
      <c r="A2038" s="3">
        <v>1209660763</v>
      </c>
      <c r="B2038" s="3" t="s">
        <v>2224</v>
      </c>
      <c r="C2038" s="3" t="s">
        <v>2225</v>
      </c>
      <c r="D2038" s="4">
        <v>46307.469131944403</v>
      </c>
      <c r="E2038" s="5" t="s">
        <v>10</v>
      </c>
      <c r="F2038" s="5" t="s">
        <v>11</v>
      </c>
      <c r="G2038" s="5">
        <v>3</v>
      </c>
      <c r="H2038" s="6" t="s">
        <v>12</v>
      </c>
      <c r="I2038" t="s">
        <v>2299</v>
      </c>
      <c r="J2038" t="s">
        <v>2480</v>
      </c>
      <c r="K2038" t="str">
        <f>+VLOOKUP(C2038,'[1]TIENDAS 2025'!$A$1:$C$143,3,0)</f>
        <v>prioridad</v>
      </c>
      <c r="L2038" t="str">
        <f>+VLOOKUP(C2038,[2]Hoja1!$A$1:$B$138,2,0)</f>
        <v>APROBAR</v>
      </c>
      <c r="M2038">
        <v>1</v>
      </c>
      <c r="N2038" t="e">
        <v>#N/A</v>
      </c>
    </row>
    <row r="2039" spans="1:14" ht="15" customHeight="1" x14ac:dyDescent="0.3">
      <c r="A2039" s="3">
        <v>1209660801</v>
      </c>
      <c r="B2039" s="3" t="s">
        <v>2242</v>
      </c>
      <c r="C2039" s="3" t="s">
        <v>2243</v>
      </c>
      <c r="D2039" s="4">
        <v>46307.4691550926</v>
      </c>
      <c r="E2039" s="5" t="s">
        <v>10</v>
      </c>
      <c r="F2039" s="5" t="s">
        <v>11</v>
      </c>
      <c r="G2039" s="5">
        <v>7</v>
      </c>
      <c r="H2039" s="6" t="s">
        <v>12</v>
      </c>
      <c r="I2039" t="s">
        <v>2300</v>
      </c>
      <c r="J2039" t="s">
        <v>2480</v>
      </c>
      <c r="K2039" t="str">
        <f>+VLOOKUP(C2039,'[1]TIENDAS 2025'!$A$1:$C$143,3,0)</f>
        <v xml:space="preserve">departamental </v>
      </c>
      <c r="L2039" t="str">
        <f>+VLOOKUP(C2039,[2]Hoja1!$A$1:$B$138,2,0)</f>
        <v>APROBAR</v>
      </c>
      <c r="M2039">
        <v>1</v>
      </c>
      <c r="N2039" t="e">
        <v>#N/A</v>
      </c>
    </row>
    <row r="2040" spans="1:14" ht="15" customHeight="1" x14ac:dyDescent="0.3">
      <c r="A2040" s="3">
        <v>8209660816</v>
      </c>
      <c r="B2040" s="3" t="s">
        <v>2234</v>
      </c>
      <c r="C2040" s="3" t="s">
        <v>2235</v>
      </c>
      <c r="D2040" s="4">
        <v>46307.4691550926</v>
      </c>
      <c r="E2040" s="5" t="s">
        <v>10</v>
      </c>
      <c r="F2040" s="5" t="s">
        <v>16</v>
      </c>
      <c r="G2040" s="5">
        <v>9</v>
      </c>
      <c r="H2040" s="8" t="s">
        <v>12</v>
      </c>
      <c r="I2040" t="s">
        <v>2301</v>
      </c>
      <c r="K2040" t="str">
        <f>+VLOOKUP(C2040,'[1]TIENDAS 2025'!$A$1:$C$143,3,0)</f>
        <v>departamental</v>
      </c>
      <c r="L2040" t="str">
        <f>+VLOOKUP(C2040,[2]Hoja1!$A$1:$B$138,2,0)</f>
        <v>APROBAR</v>
      </c>
      <c r="M2040">
        <v>1</v>
      </c>
      <c r="N2040" t="e">
        <v>#N/A</v>
      </c>
    </row>
    <row r="2041" spans="1:14" ht="15" customHeight="1" x14ac:dyDescent="0.3">
      <c r="A2041" s="3">
        <v>1209660825</v>
      </c>
      <c r="B2041" s="3" t="s">
        <v>2227</v>
      </c>
      <c r="C2041" s="3" t="s">
        <v>2228</v>
      </c>
      <c r="D2041" s="4">
        <v>46307.469178240703</v>
      </c>
      <c r="E2041" s="5" t="s">
        <v>10</v>
      </c>
      <c r="F2041" s="5" t="s">
        <v>11</v>
      </c>
      <c r="G2041" s="5">
        <v>2</v>
      </c>
      <c r="H2041" s="6" t="s">
        <v>12</v>
      </c>
      <c r="I2041" t="s">
        <v>2302</v>
      </c>
      <c r="J2041" t="s">
        <v>2480</v>
      </c>
      <c r="K2041" t="str">
        <f>+VLOOKUP(C2041,'[1]TIENDAS 2025'!$A$1:$C$143,3,0)</f>
        <v>local</v>
      </c>
      <c r="L2041" t="str">
        <f>+VLOOKUP(C2041,[2]Hoja1!$A$1:$B$138,2,0)</f>
        <v>APROBAR</v>
      </c>
      <c r="M2041">
        <v>1</v>
      </c>
      <c r="N2041" t="e">
        <v>#N/A</v>
      </c>
    </row>
    <row r="2042" spans="1:14" ht="15" customHeight="1" x14ac:dyDescent="0.3">
      <c r="A2042" s="3">
        <v>1209660831</v>
      </c>
      <c r="B2042" s="3" t="s">
        <v>2227</v>
      </c>
      <c r="C2042" s="3" t="s">
        <v>2228</v>
      </c>
      <c r="D2042" s="4">
        <v>46307.4692476852</v>
      </c>
      <c r="E2042" s="5" t="s">
        <v>10</v>
      </c>
      <c r="F2042" s="5" t="s">
        <v>11</v>
      </c>
      <c r="G2042" s="5">
        <v>19</v>
      </c>
      <c r="H2042" s="6" t="s">
        <v>12</v>
      </c>
      <c r="I2042" t="s">
        <v>2303</v>
      </c>
      <c r="J2042" t="s">
        <v>2480</v>
      </c>
      <c r="K2042" t="str">
        <f>+VLOOKUP(C2042,'[1]TIENDAS 2025'!$A$1:$C$143,3,0)</f>
        <v>local</v>
      </c>
      <c r="L2042" t="str">
        <f>+VLOOKUP(C2042,[2]Hoja1!$A$1:$B$138,2,0)</f>
        <v>APROBAR</v>
      </c>
      <c r="M2042">
        <v>1</v>
      </c>
      <c r="N2042" t="e">
        <v>#N/A</v>
      </c>
    </row>
    <row r="2043" spans="1:14" ht="15" customHeight="1" x14ac:dyDescent="0.3">
      <c r="A2043" s="3">
        <v>1209660755</v>
      </c>
      <c r="B2043" s="3" t="s">
        <v>2231</v>
      </c>
      <c r="C2043" s="3" t="s">
        <v>2232</v>
      </c>
      <c r="D2043" s="4">
        <v>46307.469270833302</v>
      </c>
      <c r="E2043" s="5" t="s">
        <v>10</v>
      </c>
      <c r="F2043" s="5" t="s">
        <v>11</v>
      </c>
      <c r="G2043" s="5">
        <v>37</v>
      </c>
      <c r="H2043" s="6" t="s">
        <v>12</v>
      </c>
      <c r="I2043" t="s">
        <v>2304</v>
      </c>
      <c r="J2043" t="s">
        <v>2480</v>
      </c>
      <c r="K2043" t="str">
        <f>+VLOOKUP(C2043,'[1]TIENDAS 2025'!$A$1:$C$143,3,0)</f>
        <v>local</v>
      </c>
      <c r="L2043" t="str">
        <f>+VLOOKUP(C2043,[2]Hoja1!$A$1:$B$138,2,0)</f>
        <v>APROBAR</v>
      </c>
      <c r="M2043">
        <v>1</v>
      </c>
      <c r="N2043" t="e">
        <v>#N/A</v>
      </c>
    </row>
    <row r="2044" spans="1:14" ht="15" customHeight="1" x14ac:dyDescent="0.3">
      <c r="A2044" s="3">
        <v>1209660762</v>
      </c>
      <c r="B2044" s="3" t="s">
        <v>2224</v>
      </c>
      <c r="C2044" s="3" t="s">
        <v>2225</v>
      </c>
      <c r="D2044" s="4">
        <v>46307.4692939815</v>
      </c>
      <c r="E2044" s="5" t="s">
        <v>10</v>
      </c>
      <c r="F2044" s="5" t="s">
        <v>11</v>
      </c>
      <c r="G2044" s="5">
        <v>4</v>
      </c>
      <c r="H2044" s="6" t="s">
        <v>12</v>
      </c>
      <c r="I2044" t="s">
        <v>2305</v>
      </c>
      <c r="J2044" t="s">
        <v>2480</v>
      </c>
      <c r="K2044" t="str">
        <f>+VLOOKUP(C2044,'[1]TIENDAS 2025'!$A$1:$C$143,3,0)</f>
        <v>prioridad</v>
      </c>
      <c r="L2044" t="str">
        <f>+VLOOKUP(C2044,[2]Hoja1!$A$1:$B$138,2,0)</f>
        <v>APROBAR</v>
      </c>
      <c r="M2044">
        <v>1</v>
      </c>
      <c r="N2044" t="e">
        <v>#N/A</v>
      </c>
    </row>
    <row r="2045" spans="1:14" ht="15" customHeight="1" x14ac:dyDescent="0.3">
      <c r="A2045" s="3">
        <v>1209660795</v>
      </c>
      <c r="B2045" s="3" t="s">
        <v>2242</v>
      </c>
      <c r="C2045" s="3" t="s">
        <v>2243</v>
      </c>
      <c r="D2045" s="4">
        <v>46307.469305555598</v>
      </c>
      <c r="E2045" s="5" t="s">
        <v>10</v>
      </c>
      <c r="F2045" s="5" t="s">
        <v>11</v>
      </c>
      <c r="G2045" s="5">
        <v>5</v>
      </c>
      <c r="H2045" s="6" t="s">
        <v>12</v>
      </c>
      <c r="I2045" t="s">
        <v>2306</v>
      </c>
      <c r="J2045" t="s">
        <v>2480</v>
      </c>
      <c r="K2045" t="str">
        <f>+VLOOKUP(C2045,'[1]TIENDAS 2025'!$A$1:$C$143,3,0)</f>
        <v xml:space="preserve">departamental </v>
      </c>
      <c r="L2045" t="str">
        <f>+VLOOKUP(C2045,[2]Hoja1!$A$1:$B$138,2,0)</f>
        <v>APROBAR</v>
      </c>
      <c r="M2045">
        <v>1</v>
      </c>
      <c r="N2045" t="e">
        <v>#N/A</v>
      </c>
    </row>
    <row r="2046" spans="1:14" ht="15" customHeight="1" x14ac:dyDescent="0.3">
      <c r="A2046" s="3">
        <v>1209660767</v>
      </c>
      <c r="B2046" s="3" t="s">
        <v>2224</v>
      </c>
      <c r="C2046" s="3" t="s">
        <v>2225</v>
      </c>
      <c r="D2046" s="4">
        <v>46307.469317129602</v>
      </c>
      <c r="E2046" s="5" t="s">
        <v>10</v>
      </c>
      <c r="F2046" s="5" t="s">
        <v>17</v>
      </c>
      <c r="G2046" s="5">
        <v>9</v>
      </c>
      <c r="H2046" s="6" t="s">
        <v>12</v>
      </c>
      <c r="I2046" t="s">
        <v>2307</v>
      </c>
      <c r="J2046" t="s">
        <v>2480</v>
      </c>
      <c r="K2046" t="str">
        <f>+VLOOKUP(C2046,'[1]TIENDAS 2025'!$A$1:$C$143,3,0)</f>
        <v>prioridad</v>
      </c>
      <c r="L2046" t="str">
        <f>+VLOOKUP(C2046,[2]Hoja1!$A$1:$B$138,2,0)</f>
        <v>APROBAR</v>
      </c>
      <c r="M2046">
        <v>1</v>
      </c>
      <c r="N2046" t="e">
        <v>#N/A</v>
      </c>
    </row>
    <row r="2047" spans="1:14" ht="15" customHeight="1" x14ac:dyDescent="0.3">
      <c r="A2047" s="3">
        <v>1209660799</v>
      </c>
      <c r="B2047" s="3" t="s">
        <v>2242</v>
      </c>
      <c r="C2047" s="3" t="s">
        <v>2243</v>
      </c>
      <c r="D2047" s="4">
        <v>46307.469328703701</v>
      </c>
      <c r="E2047" s="5" t="s">
        <v>10</v>
      </c>
      <c r="F2047" s="5" t="s">
        <v>11</v>
      </c>
      <c r="G2047" s="5">
        <v>10</v>
      </c>
      <c r="H2047" s="6" t="s">
        <v>12</v>
      </c>
      <c r="I2047" t="s">
        <v>2308</v>
      </c>
      <c r="J2047" t="s">
        <v>2480</v>
      </c>
      <c r="K2047" t="str">
        <f>+VLOOKUP(C2047,'[1]TIENDAS 2025'!$A$1:$C$143,3,0)</f>
        <v xml:space="preserve">departamental </v>
      </c>
      <c r="L2047" t="str">
        <f>+VLOOKUP(C2047,[2]Hoja1!$A$1:$B$138,2,0)</f>
        <v>APROBAR</v>
      </c>
      <c r="M2047">
        <v>1</v>
      </c>
      <c r="N2047" t="e">
        <v>#N/A</v>
      </c>
    </row>
    <row r="2048" spans="1:14" ht="15" customHeight="1" x14ac:dyDescent="0.3">
      <c r="A2048" s="3">
        <v>1209660769</v>
      </c>
      <c r="B2048" s="3" t="s">
        <v>2224</v>
      </c>
      <c r="C2048" s="3" t="s">
        <v>2225</v>
      </c>
      <c r="D2048" s="4">
        <v>46307.469340277799</v>
      </c>
      <c r="E2048" s="5" t="s">
        <v>10</v>
      </c>
      <c r="F2048" s="5" t="s">
        <v>11</v>
      </c>
      <c r="G2048" s="5">
        <v>10</v>
      </c>
      <c r="H2048" s="6" t="s">
        <v>12</v>
      </c>
      <c r="I2048" t="s">
        <v>2309</v>
      </c>
      <c r="J2048" t="s">
        <v>2480</v>
      </c>
      <c r="K2048" t="str">
        <f>+VLOOKUP(C2048,'[1]TIENDAS 2025'!$A$1:$C$143,3,0)</f>
        <v>prioridad</v>
      </c>
      <c r="L2048" t="str">
        <f>+VLOOKUP(C2048,[2]Hoja1!$A$1:$B$138,2,0)</f>
        <v>APROBAR</v>
      </c>
      <c r="M2048">
        <v>1</v>
      </c>
      <c r="N2048" t="e">
        <v>#N/A</v>
      </c>
    </row>
    <row r="2049" spans="1:14" ht="15" customHeight="1" x14ac:dyDescent="0.3">
      <c r="A2049" s="3">
        <v>1209660864</v>
      </c>
      <c r="B2049" s="3" t="s">
        <v>2311</v>
      </c>
      <c r="C2049" s="3" t="s">
        <v>2312</v>
      </c>
      <c r="D2049" s="4">
        <v>46307.4714467593</v>
      </c>
      <c r="E2049" s="5" t="s">
        <v>10</v>
      </c>
      <c r="F2049" s="5" t="s">
        <v>11</v>
      </c>
      <c r="G2049" s="5">
        <v>7</v>
      </c>
      <c r="H2049" s="6" t="s">
        <v>12</v>
      </c>
      <c r="I2049" t="s">
        <v>2310</v>
      </c>
      <c r="J2049" t="s">
        <v>2480</v>
      </c>
      <c r="K2049" t="str">
        <f>+VLOOKUP(C2049,'[1]TIENDAS 2025'!$A$1:$C$143,3,0)</f>
        <v>departamental</v>
      </c>
      <c r="L2049" t="str">
        <f>+VLOOKUP(C2049,[2]Hoja1!$A$1:$B$138,2,0)</f>
        <v>APROBAR</v>
      </c>
      <c r="M2049">
        <v>1</v>
      </c>
      <c r="N2049" t="e">
        <v>#N/A</v>
      </c>
    </row>
    <row r="2050" spans="1:14" ht="15" customHeight="1" x14ac:dyDescent="0.3">
      <c r="A2050" s="3">
        <v>8209660890</v>
      </c>
      <c r="B2050" s="3" t="s">
        <v>2314</v>
      </c>
      <c r="C2050" s="3" t="s">
        <v>2315</v>
      </c>
      <c r="D2050" s="4">
        <v>46307.471469907403</v>
      </c>
      <c r="E2050" s="5" t="s">
        <v>10</v>
      </c>
      <c r="F2050" s="5" t="s">
        <v>16</v>
      </c>
      <c r="G2050" s="5">
        <v>3</v>
      </c>
      <c r="H2050" s="8" t="s">
        <v>12</v>
      </c>
      <c r="I2050" t="s">
        <v>2313</v>
      </c>
      <c r="K2050" t="str">
        <f>+VLOOKUP(C2050,'[1]TIENDAS 2025'!$A$1:$C$143,3,0)</f>
        <v>local</v>
      </c>
      <c r="L2050" t="str">
        <f>+VLOOKUP(C2050,[2]Hoja1!$A$1:$B$138,2,0)</f>
        <v>APROBAR</v>
      </c>
      <c r="M2050">
        <v>1</v>
      </c>
      <c r="N2050" t="e">
        <v>#N/A</v>
      </c>
    </row>
    <row r="2051" spans="1:14" ht="15" customHeight="1" x14ac:dyDescent="0.3">
      <c r="A2051" s="3">
        <v>1209660891</v>
      </c>
      <c r="B2051" s="3" t="s">
        <v>2314</v>
      </c>
      <c r="C2051" s="3" t="s">
        <v>2315</v>
      </c>
      <c r="D2051" s="4">
        <v>46307.471481481502</v>
      </c>
      <c r="E2051" s="5" t="s">
        <v>10</v>
      </c>
      <c r="F2051" s="5" t="s">
        <v>11</v>
      </c>
      <c r="G2051" s="5">
        <v>1</v>
      </c>
      <c r="H2051" s="6" t="s">
        <v>12</v>
      </c>
      <c r="I2051" t="s">
        <v>2316</v>
      </c>
      <c r="J2051" t="s">
        <v>2480</v>
      </c>
      <c r="K2051" t="str">
        <f>+VLOOKUP(C2051,'[1]TIENDAS 2025'!$A$1:$C$143,3,0)</f>
        <v>local</v>
      </c>
      <c r="L2051" t="str">
        <f>+VLOOKUP(C2051,[2]Hoja1!$A$1:$B$138,2,0)</f>
        <v>APROBAR</v>
      </c>
      <c r="M2051">
        <v>1</v>
      </c>
      <c r="N2051" t="e">
        <v>#N/A</v>
      </c>
    </row>
    <row r="2052" spans="1:14" ht="15" customHeight="1" x14ac:dyDescent="0.3">
      <c r="A2052" s="3">
        <v>1209660868</v>
      </c>
      <c r="B2052" s="3" t="s">
        <v>2311</v>
      </c>
      <c r="C2052" s="3" t="s">
        <v>2312</v>
      </c>
      <c r="D2052" s="4">
        <v>46307.471504629597</v>
      </c>
      <c r="E2052" s="5" t="s">
        <v>10</v>
      </c>
      <c r="F2052" s="5" t="s">
        <v>11</v>
      </c>
      <c r="G2052" s="5">
        <v>1</v>
      </c>
      <c r="H2052" s="6" t="s">
        <v>12</v>
      </c>
      <c r="I2052" t="s">
        <v>2317</v>
      </c>
      <c r="J2052" t="s">
        <v>2480</v>
      </c>
      <c r="K2052" t="str">
        <f>+VLOOKUP(C2052,'[1]TIENDAS 2025'!$A$1:$C$143,3,0)</f>
        <v>departamental</v>
      </c>
      <c r="L2052" t="str">
        <f>+VLOOKUP(C2052,[2]Hoja1!$A$1:$B$138,2,0)</f>
        <v>APROBAR</v>
      </c>
      <c r="M2052">
        <v>1</v>
      </c>
      <c r="N2052" t="e">
        <v>#N/A</v>
      </c>
    </row>
    <row r="2053" spans="1:14" ht="15" customHeight="1" x14ac:dyDescent="0.3">
      <c r="A2053" s="3">
        <v>1209660913</v>
      </c>
      <c r="B2053" s="3" t="s">
        <v>2319</v>
      </c>
      <c r="C2053" s="3" t="s">
        <v>2320</v>
      </c>
      <c r="D2053" s="4">
        <v>46307.471516203703</v>
      </c>
      <c r="E2053" s="5" t="s">
        <v>10</v>
      </c>
      <c r="F2053" s="5" t="s">
        <v>11</v>
      </c>
      <c r="G2053" s="5">
        <v>6</v>
      </c>
      <c r="H2053" s="6" t="s">
        <v>12</v>
      </c>
      <c r="I2053" t="s">
        <v>2318</v>
      </c>
      <c r="J2053" t="s">
        <v>2480</v>
      </c>
      <c r="K2053" t="str">
        <f>+VLOOKUP(C2053,'[1]TIENDAS 2025'!$A$1:$C$143,3,0)</f>
        <v>departamental</v>
      </c>
      <c r="L2053" t="str">
        <f>+VLOOKUP(C2053,[2]Hoja1!$A$1:$B$138,2,0)</f>
        <v>APROBAR</v>
      </c>
      <c r="M2053">
        <v>1</v>
      </c>
      <c r="N2053" t="e">
        <v>#N/A</v>
      </c>
    </row>
    <row r="2054" spans="1:14" ht="15" customHeight="1" x14ac:dyDescent="0.3">
      <c r="A2054" s="3">
        <v>1209660845</v>
      </c>
      <c r="B2054" s="3" t="s">
        <v>2322</v>
      </c>
      <c r="C2054" s="3" t="s">
        <v>2323</v>
      </c>
      <c r="D2054" s="4">
        <v>46307.471539351798</v>
      </c>
      <c r="E2054" s="5" t="s">
        <v>10</v>
      </c>
      <c r="F2054" s="5" t="s">
        <v>17</v>
      </c>
      <c r="G2054" s="5">
        <v>16</v>
      </c>
      <c r="H2054" s="6" t="s">
        <v>12</v>
      </c>
      <c r="I2054" t="s">
        <v>2321</v>
      </c>
      <c r="J2054" t="s">
        <v>2480</v>
      </c>
      <c r="K2054" t="str">
        <f>+VLOOKUP(C2054,'[1]TIENDAS 2025'!$A$1:$C$143,3,0)</f>
        <v>departamental</v>
      </c>
      <c r="L2054" t="str">
        <f>+VLOOKUP(C2054,[2]Hoja1!$A$1:$B$138,2,0)</f>
        <v>APROBAR</v>
      </c>
      <c r="M2054">
        <v>1</v>
      </c>
      <c r="N2054" t="e">
        <v>#N/A</v>
      </c>
    </row>
    <row r="2055" spans="1:14" ht="15" customHeight="1" x14ac:dyDescent="0.3">
      <c r="A2055" s="3">
        <v>8209660876</v>
      </c>
      <c r="B2055" s="3" t="s">
        <v>2325</v>
      </c>
      <c r="C2055" s="3" t="s">
        <v>2326</v>
      </c>
      <c r="D2055" s="4">
        <v>46307.471550925897</v>
      </c>
      <c r="E2055" s="5" t="s">
        <v>10</v>
      </c>
      <c r="F2055" s="5" t="s">
        <v>16</v>
      </c>
      <c r="G2055" s="5">
        <v>20</v>
      </c>
      <c r="H2055" s="8" t="s">
        <v>12</v>
      </c>
      <c r="I2055" t="s">
        <v>2324</v>
      </c>
      <c r="K2055" t="str">
        <f>+VLOOKUP(C2055,'[1]TIENDAS 2025'!$A$1:$C$143,3,0)</f>
        <v>local</v>
      </c>
      <c r="L2055" t="str">
        <f>+VLOOKUP(C2055,[2]Hoja1!$A$1:$B$138,2,0)</f>
        <v>APROBAR</v>
      </c>
      <c r="M2055">
        <v>1</v>
      </c>
      <c r="N2055" t="e">
        <v>#N/A</v>
      </c>
    </row>
    <row r="2056" spans="1:14" ht="15" customHeight="1" x14ac:dyDescent="0.3">
      <c r="A2056" s="3">
        <v>1209660880</v>
      </c>
      <c r="B2056" s="3" t="s">
        <v>2325</v>
      </c>
      <c r="C2056" s="3" t="s">
        <v>2326</v>
      </c>
      <c r="D2056" s="4">
        <v>46307.471574074101</v>
      </c>
      <c r="E2056" s="5" t="s">
        <v>10</v>
      </c>
      <c r="F2056" s="5" t="s">
        <v>11</v>
      </c>
      <c r="G2056" s="5">
        <v>3</v>
      </c>
      <c r="H2056" s="6" t="s">
        <v>12</v>
      </c>
      <c r="I2056" t="s">
        <v>2327</v>
      </c>
      <c r="J2056" t="s">
        <v>2480</v>
      </c>
      <c r="K2056" t="str">
        <f>+VLOOKUP(C2056,'[1]TIENDAS 2025'!$A$1:$C$143,3,0)</f>
        <v>local</v>
      </c>
      <c r="L2056" t="str">
        <f>+VLOOKUP(C2056,[2]Hoja1!$A$1:$B$138,2,0)</f>
        <v>APROBAR</v>
      </c>
      <c r="M2056">
        <v>1</v>
      </c>
      <c r="N2056" t="e">
        <v>#N/A</v>
      </c>
    </row>
    <row r="2057" spans="1:14" ht="15" customHeight="1" x14ac:dyDescent="0.3">
      <c r="A2057" s="3">
        <v>1209660900</v>
      </c>
      <c r="B2057" s="3" t="s">
        <v>2314</v>
      </c>
      <c r="C2057" s="3" t="s">
        <v>2315</v>
      </c>
      <c r="D2057" s="4">
        <v>46307.471608796302</v>
      </c>
      <c r="E2057" s="5" t="s">
        <v>10</v>
      </c>
      <c r="F2057" s="5" t="s">
        <v>11</v>
      </c>
      <c r="G2057" s="5">
        <v>60</v>
      </c>
      <c r="H2057" s="6" t="s">
        <v>12</v>
      </c>
      <c r="I2057" t="s">
        <v>2328</v>
      </c>
      <c r="J2057" t="s">
        <v>2480</v>
      </c>
      <c r="K2057" t="str">
        <f>+VLOOKUP(C2057,'[1]TIENDAS 2025'!$A$1:$C$143,3,0)</f>
        <v>local</v>
      </c>
      <c r="L2057" t="str">
        <f>+VLOOKUP(C2057,[2]Hoja1!$A$1:$B$138,2,0)</f>
        <v>APROBAR</v>
      </c>
      <c r="M2057">
        <v>1</v>
      </c>
      <c r="N2057" t="e">
        <v>#N/A</v>
      </c>
    </row>
    <row r="2058" spans="1:14" ht="15" customHeight="1" x14ac:dyDescent="0.3">
      <c r="A2058" s="3">
        <v>8209660886</v>
      </c>
      <c r="B2058" s="3" t="s">
        <v>2314</v>
      </c>
      <c r="C2058" s="3" t="s">
        <v>2315</v>
      </c>
      <c r="D2058" s="4">
        <v>46307.471666666701</v>
      </c>
      <c r="E2058" s="5" t="s">
        <v>10</v>
      </c>
      <c r="F2058" s="5" t="s">
        <v>16</v>
      </c>
      <c r="G2058" s="5">
        <v>13</v>
      </c>
      <c r="H2058" s="8" t="s">
        <v>12</v>
      </c>
      <c r="I2058" t="s">
        <v>2329</v>
      </c>
      <c r="K2058" t="str">
        <f>+VLOOKUP(C2058,'[1]TIENDAS 2025'!$A$1:$C$143,3,0)</f>
        <v>local</v>
      </c>
      <c r="L2058" t="str">
        <f>+VLOOKUP(C2058,[2]Hoja1!$A$1:$B$138,2,0)</f>
        <v>APROBAR</v>
      </c>
      <c r="M2058">
        <v>1</v>
      </c>
      <c r="N2058" t="e">
        <v>#N/A</v>
      </c>
    </row>
    <row r="2059" spans="1:14" ht="15" customHeight="1" x14ac:dyDescent="0.3">
      <c r="A2059" s="3">
        <v>8209660892</v>
      </c>
      <c r="B2059" s="3" t="s">
        <v>2314</v>
      </c>
      <c r="C2059" s="3" t="s">
        <v>2315</v>
      </c>
      <c r="D2059" s="4">
        <v>46307.471678240698</v>
      </c>
      <c r="E2059" s="5" t="s">
        <v>10</v>
      </c>
      <c r="F2059" s="5" t="s">
        <v>16</v>
      </c>
      <c r="G2059" s="5">
        <v>1</v>
      </c>
      <c r="H2059" s="8" t="s">
        <v>12</v>
      </c>
      <c r="I2059" t="s">
        <v>2330</v>
      </c>
      <c r="K2059" t="str">
        <f>+VLOOKUP(C2059,'[1]TIENDAS 2025'!$A$1:$C$143,3,0)</f>
        <v>local</v>
      </c>
      <c r="L2059" t="str">
        <f>+VLOOKUP(C2059,[2]Hoja1!$A$1:$B$138,2,0)</f>
        <v>APROBAR</v>
      </c>
      <c r="M2059">
        <v>1</v>
      </c>
      <c r="N2059" t="e">
        <v>#N/A</v>
      </c>
    </row>
    <row r="2060" spans="1:14" ht="15" customHeight="1" x14ac:dyDescent="0.3">
      <c r="A2060" s="3">
        <v>1209660894</v>
      </c>
      <c r="B2060" s="3" t="s">
        <v>2314</v>
      </c>
      <c r="C2060" s="3" t="s">
        <v>2315</v>
      </c>
      <c r="D2060" s="4">
        <v>46307.471689814804</v>
      </c>
      <c r="E2060" s="5" t="s">
        <v>10</v>
      </c>
      <c r="F2060" s="5" t="s">
        <v>11</v>
      </c>
      <c r="G2060" s="5">
        <v>12</v>
      </c>
      <c r="H2060" s="6" t="s">
        <v>12</v>
      </c>
      <c r="I2060" t="s">
        <v>2331</v>
      </c>
      <c r="J2060" t="s">
        <v>2480</v>
      </c>
      <c r="K2060" t="str">
        <f>+VLOOKUP(C2060,'[1]TIENDAS 2025'!$A$1:$C$143,3,0)</f>
        <v>local</v>
      </c>
      <c r="L2060" t="str">
        <f>+VLOOKUP(C2060,[2]Hoja1!$A$1:$B$138,2,0)</f>
        <v>APROBAR</v>
      </c>
      <c r="M2060">
        <v>1</v>
      </c>
      <c r="N2060" t="e">
        <v>#N/A</v>
      </c>
    </row>
    <row r="2061" spans="1:14" ht="15" customHeight="1" x14ac:dyDescent="0.3">
      <c r="A2061" s="3">
        <v>1209660866</v>
      </c>
      <c r="B2061" s="3" t="s">
        <v>2311</v>
      </c>
      <c r="C2061" s="3" t="s">
        <v>2312</v>
      </c>
      <c r="D2061" s="4">
        <v>46307.471701388902</v>
      </c>
      <c r="E2061" s="5" t="s">
        <v>10</v>
      </c>
      <c r="F2061" s="5" t="s">
        <v>11</v>
      </c>
      <c r="G2061" s="5">
        <v>6</v>
      </c>
      <c r="H2061" s="6" t="s">
        <v>12</v>
      </c>
      <c r="I2061" t="s">
        <v>2332</v>
      </c>
      <c r="J2061" t="s">
        <v>2480</v>
      </c>
      <c r="K2061" t="str">
        <f>+VLOOKUP(C2061,'[1]TIENDAS 2025'!$A$1:$C$143,3,0)</f>
        <v>departamental</v>
      </c>
      <c r="L2061" t="str">
        <f>+VLOOKUP(C2061,[2]Hoja1!$A$1:$B$138,2,0)</f>
        <v>APROBAR</v>
      </c>
      <c r="M2061">
        <v>1</v>
      </c>
      <c r="N2061" t="e">
        <v>#N/A</v>
      </c>
    </row>
    <row r="2062" spans="1:14" ht="15" customHeight="1" x14ac:dyDescent="0.3">
      <c r="A2062" s="3">
        <v>8209660906</v>
      </c>
      <c r="B2062" s="3" t="s">
        <v>2319</v>
      </c>
      <c r="C2062" s="3" t="s">
        <v>2320</v>
      </c>
      <c r="D2062" s="4">
        <v>46307.471724536997</v>
      </c>
      <c r="E2062" s="5" t="s">
        <v>10</v>
      </c>
      <c r="F2062" s="5" t="s">
        <v>16</v>
      </c>
      <c r="G2062" s="5">
        <v>1</v>
      </c>
      <c r="H2062" s="8" t="s">
        <v>12</v>
      </c>
      <c r="I2062" t="s">
        <v>2333</v>
      </c>
      <c r="K2062" t="str">
        <f>+VLOOKUP(C2062,'[1]TIENDAS 2025'!$A$1:$C$143,3,0)</f>
        <v>departamental</v>
      </c>
      <c r="L2062" t="str">
        <f>+VLOOKUP(C2062,[2]Hoja1!$A$1:$B$138,2,0)</f>
        <v>APROBAR</v>
      </c>
      <c r="M2062">
        <v>1</v>
      </c>
      <c r="N2062" t="e">
        <v>#N/A</v>
      </c>
    </row>
    <row r="2063" spans="1:14" ht="15" customHeight="1" x14ac:dyDescent="0.3">
      <c r="A2063" s="3">
        <v>1209660910</v>
      </c>
      <c r="B2063" s="3" t="s">
        <v>2319</v>
      </c>
      <c r="C2063" s="3" t="s">
        <v>2320</v>
      </c>
      <c r="D2063" s="4">
        <v>46307.471747685202</v>
      </c>
      <c r="E2063" s="5" t="s">
        <v>10</v>
      </c>
      <c r="F2063" s="5" t="s">
        <v>11</v>
      </c>
      <c r="G2063" s="5">
        <v>2</v>
      </c>
      <c r="H2063" s="6" t="s">
        <v>12</v>
      </c>
      <c r="I2063" t="s">
        <v>2334</v>
      </c>
      <c r="J2063" t="s">
        <v>2480</v>
      </c>
      <c r="K2063" t="str">
        <f>+VLOOKUP(C2063,'[1]TIENDAS 2025'!$A$1:$C$143,3,0)</f>
        <v>departamental</v>
      </c>
      <c r="L2063" t="str">
        <f>+VLOOKUP(C2063,[2]Hoja1!$A$1:$B$138,2,0)</f>
        <v>APROBAR</v>
      </c>
      <c r="M2063">
        <v>1</v>
      </c>
      <c r="N2063" t="e">
        <v>#N/A</v>
      </c>
    </row>
    <row r="2064" spans="1:14" ht="15" customHeight="1" x14ac:dyDescent="0.3">
      <c r="A2064" s="3">
        <v>1209660897</v>
      </c>
      <c r="B2064" s="3" t="s">
        <v>2314</v>
      </c>
      <c r="C2064" s="3" t="s">
        <v>2315</v>
      </c>
      <c r="D2064" s="4">
        <v>46307.471759259301</v>
      </c>
      <c r="E2064" s="5" t="s">
        <v>10</v>
      </c>
      <c r="F2064" s="5" t="s">
        <v>17</v>
      </c>
      <c r="G2064" s="5">
        <v>22</v>
      </c>
      <c r="H2064" s="6" t="s">
        <v>12</v>
      </c>
      <c r="I2064" t="s">
        <v>2335</v>
      </c>
      <c r="J2064" t="s">
        <v>2480</v>
      </c>
      <c r="K2064" t="str">
        <f>+VLOOKUP(C2064,'[1]TIENDAS 2025'!$A$1:$C$143,3,0)</f>
        <v>local</v>
      </c>
      <c r="L2064" t="str">
        <f>+VLOOKUP(C2064,[2]Hoja1!$A$1:$B$138,2,0)</f>
        <v>APROBAR</v>
      </c>
      <c r="M2064">
        <v>1</v>
      </c>
      <c r="N2064" t="e">
        <v>#N/A</v>
      </c>
    </row>
    <row r="2065" spans="1:14" ht="15" customHeight="1" x14ac:dyDescent="0.3">
      <c r="A2065" s="3">
        <v>1209660875</v>
      </c>
      <c r="B2065" s="3" t="s">
        <v>2325</v>
      </c>
      <c r="C2065" s="3" t="s">
        <v>2326</v>
      </c>
      <c r="D2065" s="4">
        <v>46307.471782407403</v>
      </c>
      <c r="E2065" s="5" t="s">
        <v>10</v>
      </c>
      <c r="F2065" s="5" t="s">
        <v>11</v>
      </c>
      <c r="G2065" s="5">
        <v>1</v>
      </c>
      <c r="H2065" s="6" t="s">
        <v>12</v>
      </c>
      <c r="I2065" t="s">
        <v>2336</v>
      </c>
      <c r="J2065" t="s">
        <v>2480</v>
      </c>
      <c r="K2065" t="str">
        <f>+VLOOKUP(C2065,'[1]TIENDAS 2025'!$A$1:$C$143,3,0)</f>
        <v>local</v>
      </c>
      <c r="L2065" t="str">
        <f>+VLOOKUP(C2065,[2]Hoja1!$A$1:$B$138,2,0)</f>
        <v>APROBAR</v>
      </c>
      <c r="M2065">
        <v>1</v>
      </c>
      <c r="N2065" t="e">
        <v>#N/A</v>
      </c>
    </row>
    <row r="2066" spans="1:14" ht="15" customHeight="1" x14ac:dyDescent="0.3">
      <c r="A2066" s="3">
        <v>1209660918</v>
      </c>
      <c r="B2066" s="3" t="s">
        <v>2319</v>
      </c>
      <c r="C2066" s="3" t="s">
        <v>2320</v>
      </c>
      <c r="D2066" s="4">
        <v>46307.4718055556</v>
      </c>
      <c r="E2066" s="5" t="s">
        <v>10</v>
      </c>
      <c r="F2066" s="5" t="s">
        <v>11</v>
      </c>
      <c r="G2066" s="5">
        <v>7</v>
      </c>
      <c r="H2066" s="6" t="s">
        <v>12</v>
      </c>
      <c r="I2066" t="s">
        <v>2337</v>
      </c>
      <c r="J2066" t="s">
        <v>2480</v>
      </c>
      <c r="K2066" t="str">
        <f>+VLOOKUP(C2066,'[1]TIENDAS 2025'!$A$1:$C$143,3,0)</f>
        <v>departamental</v>
      </c>
      <c r="L2066" t="str">
        <f>+VLOOKUP(C2066,[2]Hoja1!$A$1:$B$138,2,0)</f>
        <v>APROBAR</v>
      </c>
      <c r="M2066">
        <v>1</v>
      </c>
      <c r="N2066" t="e">
        <v>#N/A</v>
      </c>
    </row>
    <row r="2067" spans="1:14" ht="15" customHeight="1" x14ac:dyDescent="0.3">
      <c r="A2067" s="3">
        <v>1209660883</v>
      </c>
      <c r="B2067" s="3" t="s">
        <v>2325</v>
      </c>
      <c r="C2067" s="3" t="s">
        <v>2326</v>
      </c>
      <c r="D2067" s="4">
        <v>46307.471851851798</v>
      </c>
      <c r="E2067" s="5" t="s">
        <v>10</v>
      </c>
      <c r="F2067" s="5" t="s">
        <v>11</v>
      </c>
      <c r="G2067" s="5">
        <v>19</v>
      </c>
      <c r="H2067" s="6" t="s">
        <v>12</v>
      </c>
      <c r="I2067" t="s">
        <v>2338</v>
      </c>
      <c r="J2067" t="s">
        <v>2480</v>
      </c>
      <c r="K2067" t="str">
        <f>+VLOOKUP(C2067,'[1]TIENDAS 2025'!$A$1:$C$143,3,0)</f>
        <v>local</v>
      </c>
      <c r="L2067" t="str">
        <f>+VLOOKUP(C2067,[2]Hoja1!$A$1:$B$138,2,0)</f>
        <v>APROBAR</v>
      </c>
      <c r="M2067">
        <v>1</v>
      </c>
      <c r="N2067" t="e">
        <v>#N/A</v>
      </c>
    </row>
    <row r="2068" spans="1:14" ht="15" customHeight="1" x14ac:dyDescent="0.3">
      <c r="A2068" s="3">
        <v>8209660857</v>
      </c>
      <c r="B2068" s="3" t="s">
        <v>2311</v>
      </c>
      <c r="C2068" s="3" t="s">
        <v>2312</v>
      </c>
      <c r="D2068" s="4">
        <v>46307.471909722197</v>
      </c>
      <c r="E2068" s="5" t="s">
        <v>10</v>
      </c>
      <c r="F2068" s="5" t="s">
        <v>16</v>
      </c>
      <c r="G2068" s="5">
        <v>1</v>
      </c>
      <c r="H2068" s="8" t="s">
        <v>12</v>
      </c>
      <c r="I2068" t="s">
        <v>2339</v>
      </c>
      <c r="K2068" t="str">
        <f>+VLOOKUP(C2068,'[1]TIENDAS 2025'!$A$1:$C$143,3,0)</f>
        <v>departamental</v>
      </c>
      <c r="L2068" t="str">
        <f>+VLOOKUP(C2068,[2]Hoja1!$A$1:$B$138,2,0)</f>
        <v>APROBAR</v>
      </c>
      <c r="M2068">
        <v>1</v>
      </c>
      <c r="N2068" t="e">
        <v>#N/A</v>
      </c>
    </row>
    <row r="2069" spans="1:14" ht="15" customHeight="1" x14ac:dyDescent="0.3">
      <c r="A2069" s="3">
        <v>8209660861</v>
      </c>
      <c r="B2069" s="3" t="s">
        <v>2311</v>
      </c>
      <c r="C2069" s="3" t="s">
        <v>2312</v>
      </c>
      <c r="D2069" s="4">
        <v>46307.471932870401</v>
      </c>
      <c r="E2069" s="5" t="s">
        <v>10</v>
      </c>
      <c r="F2069" s="5" t="s">
        <v>16</v>
      </c>
      <c r="G2069" s="5">
        <v>4</v>
      </c>
      <c r="H2069" s="8" t="s">
        <v>12</v>
      </c>
      <c r="I2069" t="s">
        <v>2340</v>
      </c>
      <c r="K2069" t="str">
        <f>+VLOOKUP(C2069,'[1]TIENDAS 2025'!$A$1:$C$143,3,0)</f>
        <v>departamental</v>
      </c>
      <c r="L2069" t="str">
        <f>+VLOOKUP(C2069,[2]Hoja1!$A$1:$B$138,2,0)</f>
        <v>APROBAR</v>
      </c>
      <c r="M2069">
        <v>1</v>
      </c>
      <c r="N2069" t="e">
        <v>#N/A</v>
      </c>
    </row>
    <row r="2070" spans="1:14" ht="15" customHeight="1" x14ac:dyDescent="0.3">
      <c r="A2070" s="3">
        <v>8209660833</v>
      </c>
      <c r="B2070" s="3" t="s">
        <v>2322</v>
      </c>
      <c r="C2070" s="3" t="s">
        <v>2323</v>
      </c>
      <c r="D2070" s="4">
        <v>46307.471944444398</v>
      </c>
      <c r="E2070" s="5" t="s">
        <v>10</v>
      </c>
      <c r="F2070" s="5" t="s">
        <v>16</v>
      </c>
      <c r="G2070" s="5">
        <v>3</v>
      </c>
      <c r="H2070" s="8" t="s">
        <v>12</v>
      </c>
      <c r="I2070" t="s">
        <v>2341</v>
      </c>
      <c r="K2070" t="str">
        <f>+VLOOKUP(C2070,'[1]TIENDAS 2025'!$A$1:$C$143,3,0)</f>
        <v>departamental</v>
      </c>
      <c r="L2070" t="str">
        <f>+VLOOKUP(C2070,[2]Hoja1!$A$1:$B$138,2,0)</f>
        <v>APROBAR</v>
      </c>
      <c r="M2070">
        <v>1</v>
      </c>
      <c r="N2070" t="e">
        <v>#N/A</v>
      </c>
    </row>
    <row r="2071" spans="1:14" ht="15" customHeight="1" x14ac:dyDescent="0.3">
      <c r="A2071" s="3">
        <v>8209660834</v>
      </c>
      <c r="B2071" s="3" t="s">
        <v>2322</v>
      </c>
      <c r="C2071" s="3" t="s">
        <v>2323</v>
      </c>
      <c r="D2071" s="4">
        <v>46307.471967592603</v>
      </c>
      <c r="E2071" s="5" t="s">
        <v>10</v>
      </c>
      <c r="F2071" s="5" t="s">
        <v>16</v>
      </c>
      <c r="G2071" s="5">
        <v>8</v>
      </c>
      <c r="H2071" s="8" t="s">
        <v>12</v>
      </c>
      <c r="I2071" t="s">
        <v>2342</v>
      </c>
      <c r="K2071" t="str">
        <f>+VLOOKUP(C2071,'[1]TIENDAS 2025'!$A$1:$C$143,3,0)</f>
        <v>departamental</v>
      </c>
      <c r="L2071" t="str">
        <f>+VLOOKUP(C2071,[2]Hoja1!$A$1:$B$138,2,0)</f>
        <v>APROBAR</v>
      </c>
      <c r="M2071">
        <v>1</v>
      </c>
      <c r="N2071" t="e">
        <v>#N/A</v>
      </c>
    </row>
    <row r="2072" spans="1:14" ht="15" customHeight="1" x14ac:dyDescent="0.3">
      <c r="A2072" s="3">
        <v>8209660835</v>
      </c>
      <c r="B2072" s="3" t="s">
        <v>2322</v>
      </c>
      <c r="C2072" s="3" t="s">
        <v>2323</v>
      </c>
      <c r="D2072" s="4">
        <v>46307.471990740698</v>
      </c>
      <c r="E2072" s="5" t="s">
        <v>10</v>
      </c>
      <c r="F2072" s="5" t="s">
        <v>16</v>
      </c>
      <c r="G2072" s="5">
        <v>7</v>
      </c>
      <c r="H2072" s="8" t="s">
        <v>12</v>
      </c>
      <c r="I2072" t="s">
        <v>2343</v>
      </c>
      <c r="K2072" t="str">
        <f>+VLOOKUP(C2072,'[1]TIENDAS 2025'!$A$1:$C$143,3,0)</f>
        <v>departamental</v>
      </c>
      <c r="L2072" t="str">
        <f>+VLOOKUP(C2072,[2]Hoja1!$A$1:$B$138,2,0)</f>
        <v>APROBAR</v>
      </c>
      <c r="M2072">
        <v>1</v>
      </c>
      <c r="N2072" t="e">
        <v>#N/A</v>
      </c>
    </row>
    <row r="2073" spans="1:14" ht="15" customHeight="1" x14ac:dyDescent="0.3">
      <c r="A2073" s="3">
        <v>8209660836</v>
      </c>
      <c r="B2073" s="3" t="s">
        <v>2322</v>
      </c>
      <c r="C2073" s="3" t="s">
        <v>2323</v>
      </c>
      <c r="D2073" s="4">
        <v>46307.472013888902</v>
      </c>
      <c r="E2073" s="5" t="s">
        <v>10</v>
      </c>
      <c r="F2073" s="5" t="s">
        <v>16</v>
      </c>
      <c r="G2073" s="5">
        <v>7</v>
      </c>
      <c r="H2073" s="8" t="s">
        <v>12</v>
      </c>
      <c r="I2073" t="s">
        <v>2344</v>
      </c>
      <c r="K2073" t="str">
        <f>+VLOOKUP(C2073,'[1]TIENDAS 2025'!$A$1:$C$143,3,0)</f>
        <v>departamental</v>
      </c>
      <c r="L2073" t="str">
        <f>+VLOOKUP(C2073,[2]Hoja1!$A$1:$B$138,2,0)</f>
        <v>APROBAR</v>
      </c>
      <c r="M2073">
        <v>1</v>
      </c>
      <c r="N2073" t="e">
        <v>#N/A</v>
      </c>
    </row>
    <row r="2074" spans="1:14" ht="15" customHeight="1" x14ac:dyDescent="0.3">
      <c r="A2074" s="3">
        <v>1209660911</v>
      </c>
      <c r="B2074" s="3" t="s">
        <v>2319</v>
      </c>
      <c r="C2074" s="3" t="s">
        <v>2320</v>
      </c>
      <c r="D2074" s="4">
        <v>46307.472025463001</v>
      </c>
      <c r="E2074" s="5" t="s">
        <v>10</v>
      </c>
      <c r="F2074" s="5" t="s">
        <v>11</v>
      </c>
      <c r="G2074" s="5">
        <v>5</v>
      </c>
      <c r="H2074" s="6" t="s">
        <v>12</v>
      </c>
      <c r="I2074" t="s">
        <v>2345</v>
      </c>
      <c r="J2074" t="s">
        <v>2480</v>
      </c>
      <c r="K2074" t="str">
        <f>+VLOOKUP(C2074,'[1]TIENDAS 2025'!$A$1:$C$143,3,0)</f>
        <v>departamental</v>
      </c>
      <c r="L2074" t="str">
        <f>+VLOOKUP(C2074,[2]Hoja1!$A$1:$B$138,2,0)</f>
        <v>APROBAR</v>
      </c>
      <c r="M2074">
        <v>1</v>
      </c>
      <c r="N2074" t="e">
        <v>#N/A</v>
      </c>
    </row>
    <row r="2075" spans="1:14" ht="15" customHeight="1" x14ac:dyDescent="0.3">
      <c r="A2075" s="3">
        <v>1209660844</v>
      </c>
      <c r="B2075" s="3" t="s">
        <v>2322</v>
      </c>
      <c r="C2075" s="3" t="s">
        <v>2323</v>
      </c>
      <c r="D2075" s="4">
        <v>46307.472048611096</v>
      </c>
      <c r="E2075" s="5" t="s">
        <v>10</v>
      </c>
      <c r="F2075" s="5" t="s">
        <v>11</v>
      </c>
      <c r="G2075" s="5">
        <v>15</v>
      </c>
      <c r="H2075" s="6" t="s">
        <v>12</v>
      </c>
      <c r="I2075" t="s">
        <v>2346</v>
      </c>
      <c r="J2075" t="s">
        <v>2480</v>
      </c>
      <c r="K2075" t="str">
        <f>+VLOOKUP(C2075,'[1]TIENDAS 2025'!$A$1:$C$143,3,0)</f>
        <v>departamental</v>
      </c>
      <c r="L2075" t="str">
        <f>+VLOOKUP(C2075,[2]Hoja1!$A$1:$B$138,2,0)</f>
        <v>APROBAR</v>
      </c>
      <c r="M2075">
        <v>1</v>
      </c>
      <c r="N2075" t="e">
        <v>#N/A</v>
      </c>
    </row>
    <row r="2076" spans="1:14" ht="15" customHeight="1" x14ac:dyDescent="0.3">
      <c r="A2076" s="3">
        <v>1209660881</v>
      </c>
      <c r="B2076" s="3" t="s">
        <v>2325</v>
      </c>
      <c r="C2076" s="3" t="s">
        <v>2326</v>
      </c>
      <c r="D2076" s="4">
        <v>46307.472060185202</v>
      </c>
      <c r="E2076" s="5" t="s">
        <v>10</v>
      </c>
      <c r="F2076" s="5" t="s">
        <v>11</v>
      </c>
      <c r="G2076" s="5">
        <v>24</v>
      </c>
      <c r="H2076" s="6" t="s">
        <v>12</v>
      </c>
      <c r="I2076" t="s">
        <v>2347</v>
      </c>
      <c r="J2076" t="s">
        <v>2480</v>
      </c>
      <c r="K2076" t="str">
        <f>+VLOOKUP(C2076,'[1]TIENDAS 2025'!$A$1:$C$143,3,0)</f>
        <v>local</v>
      </c>
      <c r="L2076" t="str">
        <f>+VLOOKUP(C2076,[2]Hoja1!$A$1:$B$138,2,0)</f>
        <v>APROBAR</v>
      </c>
      <c r="M2076">
        <v>1</v>
      </c>
      <c r="N2076" t="e">
        <v>#N/A</v>
      </c>
    </row>
    <row r="2077" spans="1:14" ht="15" customHeight="1" x14ac:dyDescent="0.3">
      <c r="A2077" s="3">
        <v>1209660849</v>
      </c>
      <c r="B2077" s="3" t="s">
        <v>2322</v>
      </c>
      <c r="C2077" s="3" t="s">
        <v>2323</v>
      </c>
      <c r="D2077" s="4">
        <v>46307.472083333298</v>
      </c>
      <c r="E2077" s="5" t="s">
        <v>10</v>
      </c>
      <c r="F2077" s="5" t="s">
        <v>11</v>
      </c>
      <c r="G2077" s="5">
        <v>40</v>
      </c>
      <c r="H2077" s="6" t="s">
        <v>12</v>
      </c>
      <c r="I2077" t="s">
        <v>2348</v>
      </c>
      <c r="J2077" t="s">
        <v>2480</v>
      </c>
      <c r="K2077" t="str">
        <f>+VLOOKUP(C2077,'[1]TIENDAS 2025'!$A$1:$C$143,3,0)</f>
        <v>departamental</v>
      </c>
      <c r="L2077" t="str">
        <f>+VLOOKUP(C2077,[2]Hoja1!$A$1:$B$138,2,0)</f>
        <v>APROBAR</v>
      </c>
      <c r="M2077">
        <v>1</v>
      </c>
      <c r="N2077" t="e">
        <v>#N/A</v>
      </c>
    </row>
    <row r="2078" spans="1:14" ht="15" customHeight="1" x14ac:dyDescent="0.3">
      <c r="A2078" s="3">
        <v>8209660889</v>
      </c>
      <c r="B2078" s="3" t="s">
        <v>2314</v>
      </c>
      <c r="C2078" s="3" t="s">
        <v>2315</v>
      </c>
      <c r="D2078" s="4">
        <v>46307.472152777802</v>
      </c>
      <c r="E2078" s="5" t="s">
        <v>10</v>
      </c>
      <c r="F2078" s="5" t="s">
        <v>16</v>
      </c>
      <c r="G2078" s="5">
        <v>7</v>
      </c>
      <c r="H2078" s="8" t="s">
        <v>12</v>
      </c>
      <c r="I2078" t="s">
        <v>2349</v>
      </c>
      <c r="K2078" t="str">
        <f>+VLOOKUP(C2078,'[1]TIENDAS 2025'!$A$1:$C$143,3,0)</f>
        <v>local</v>
      </c>
      <c r="L2078" t="str">
        <f>+VLOOKUP(C2078,[2]Hoja1!$A$1:$B$138,2,0)</f>
        <v>APROBAR</v>
      </c>
      <c r="M2078">
        <v>1</v>
      </c>
      <c r="N2078" t="e">
        <v>#N/A</v>
      </c>
    </row>
    <row r="2079" spans="1:14" ht="15" customHeight="1" x14ac:dyDescent="0.3">
      <c r="A2079" s="3">
        <v>8209660908</v>
      </c>
      <c r="B2079" s="3" t="s">
        <v>2319</v>
      </c>
      <c r="C2079" s="3" t="s">
        <v>2320</v>
      </c>
      <c r="D2079" s="4">
        <v>46307.472175925897</v>
      </c>
      <c r="E2079" s="5" t="s">
        <v>10</v>
      </c>
      <c r="F2079" s="5" t="s">
        <v>16</v>
      </c>
      <c r="G2079" s="5">
        <v>2</v>
      </c>
      <c r="H2079" s="8" t="s">
        <v>12</v>
      </c>
      <c r="I2079" t="s">
        <v>2350</v>
      </c>
      <c r="K2079" t="str">
        <f>+VLOOKUP(C2079,'[1]TIENDAS 2025'!$A$1:$C$143,3,0)</f>
        <v>departamental</v>
      </c>
      <c r="L2079" t="str">
        <f>+VLOOKUP(C2079,[2]Hoja1!$A$1:$B$138,2,0)</f>
        <v>APROBAR</v>
      </c>
      <c r="M2079">
        <v>1</v>
      </c>
      <c r="N2079" t="e">
        <v>#N/A</v>
      </c>
    </row>
    <row r="2080" spans="1:14" ht="15" customHeight="1" x14ac:dyDescent="0.3">
      <c r="A2080" s="3">
        <v>1209660909</v>
      </c>
      <c r="B2080" s="3" t="s">
        <v>2319</v>
      </c>
      <c r="C2080" s="3" t="s">
        <v>2320</v>
      </c>
      <c r="D2080" s="4">
        <v>46307.472187500003</v>
      </c>
      <c r="E2080" s="5" t="s">
        <v>10</v>
      </c>
      <c r="F2080" s="5" t="s">
        <v>11</v>
      </c>
      <c r="G2080" s="5">
        <v>5</v>
      </c>
      <c r="H2080" s="6" t="s">
        <v>12</v>
      </c>
      <c r="I2080" t="s">
        <v>2351</v>
      </c>
      <c r="J2080" t="s">
        <v>2480</v>
      </c>
      <c r="K2080" t="str">
        <f>+VLOOKUP(C2080,'[1]TIENDAS 2025'!$A$1:$C$143,3,0)</f>
        <v>departamental</v>
      </c>
      <c r="L2080" t="str">
        <f>+VLOOKUP(C2080,[2]Hoja1!$A$1:$B$138,2,0)</f>
        <v>APROBAR</v>
      </c>
      <c r="M2080">
        <v>1</v>
      </c>
      <c r="N2080" t="e">
        <v>#N/A</v>
      </c>
    </row>
    <row r="2081" spans="1:14" ht="15" customHeight="1" x14ac:dyDescent="0.3">
      <c r="A2081" s="3">
        <v>1209660898</v>
      </c>
      <c r="B2081" s="3" t="s">
        <v>2314</v>
      </c>
      <c r="C2081" s="3" t="s">
        <v>2315</v>
      </c>
      <c r="D2081" s="4">
        <v>46307.472210648099</v>
      </c>
      <c r="E2081" s="5" t="s">
        <v>10</v>
      </c>
      <c r="F2081" s="5" t="s">
        <v>17</v>
      </c>
      <c r="G2081" s="5">
        <v>35</v>
      </c>
      <c r="H2081" s="6" t="s">
        <v>12</v>
      </c>
      <c r="I2081" t="s">
        <v>2352</v>
      </c>
      <c r="J2081" t="s">
        <v>2480</v>
      </c>
      <c r="K2081" t="str">
        <f>+VLOOKUP(C2081,'[1]TIENDAS 2025'!$A$1:$C$143,3,0)</f>
        <v>local</v>
      </c>
      <c r="L2081" t="str">
        <f>+VLOOKUP(C2081,[2]Hoja1!$A$1:$B$138,2,0)</f>
        <v>APROBAR</v>
      </c>
      <c r="M2081">
        <v>1</v>
      </c>
      <c r="N2081" t="e">
        <v>#N/A</v>
      </c>
    </row>
    <row r="2082" spans="1:14" ht="15" customHeight="1" x14ac:dyDescent="0.3">
      <c r="A2082" s="3">
        <v>1209660848</v>
      </c>
      <c r="B2082" s="3" t="s">
        <v>2322</v>
      </c>
      <c r="C2082" s="3" t="s">
        <v>2323</v>
      </c>
      <c r="D2082" s="4">
        <v>46307.472245370402</v>
      </c>
      <c r="E2082" s="5" t="s">
        <v>10</v>
      </c>
      <c r="F2082" s="5" t="s">
        <v>17</v>
      </c>
      <c r="G2082" s="5">
        <v>35</v>
      </c>
      <c r="H2082" s="6" t="s">
        <v>12</v>
      </c>
      <c r="I2082" t="s">
        <v>2353</v>
      </c>
      <c r="J2082" t="s">
        <v>2480</v>
      </c>
      <c r="K2082" t="str">
        <f>+VLOOKUP(C2082,'[1]TIENDAS 2025'!$A$1:$C$143,3,0)</f>
        <v>departamental</v>
      </c>
      <c r="L2082" t="str">
        <f>+VLOOKUP(C2082,[2]Hoja1!$A$1:$B$138,2,0)</f>
        <v>APROBAR</v>
      </c>
      <c r="M2082">
        <v>1</v>
      </c>
      <c r="N2082" t="e">
        <v>#N/A</v>
      </c>
    </row>
    <row r="2083" spans="1:14" ht="15" customHeight="1" x14ac:dyDescent="0.3">
      <c r="A2083" s="3">
        <v>1209660884</v>
      </c>
      <c r="B2083" s="3" t="s">
        <v>2325</v>
      </c>
      <c r="C2083" s="3" t="s">
        <v>2326</v>
      </c>
      <c r="D2083" s="4">
        <v>46307.472303240698</v>
      </c>
      <c r="E2083" s="5" t="s">
        <v>10</v>
      </c>
      <c r="F2083" s="5" t="s">
        <v>17</v>
      </c>
      <c r="G2083" s="5">
        <v>30</v>
      </c>
      <c r="H2083" s="6" t="s">
        <v>12</v>
      </c>
      <c r="I2083" t="s">
        <v>2354</v>
      </c>
      <c r="J2083" t="s">
        <v>2480</v>
      </c>
      <c r="K2083" t="str">
        <f>+VLOOKUP(C2083,'[1]TIENDAS 2025'!$A$1:$C$143,3,0)</f>
        <v>local</v>
      </c>
      <c r="L2083" t="str">
        <f>+VLOOKUP(C2083,[2]Hoja1!$A$1:$B$138,2,0)</f>
        <v>APROBAR</v>
      </c>
      <c r="M2083">
        <v>1</v>
      </c>
      <c r="N2083" t="e">
        <v>#N/A</v>
      </c>
    </row>
    <row r="2084" spans="1:14" ht="15" customHeight="1" x14ac:dyDescent="0.3">
      <c r="A2084" s="3">
        <v>8209660859</v>
      </c>
      <c r="B2084" s="3" t="s">
        <v>2311</v>
      </c>
      <c r="C2084" s="3" t="s">
        <v>2312</v>
      </c>
      <c r="D2084" s="4">
        <v>46307.472326388903</v>
      </c>
      <c r="E2084" s="5" t="s">
        <v>10</v>
      </c>
      <c r="F2084" s="5" t="s">
        <v>16</v>
      </c>
      <c r="G2084" s="5">
        <v>6</v>
      </c>
      <c r="H2084" s="8" t="s">
        <v>12</v>
      </c>
      <c r="I2084" t="s">
        <v>2355</v>
      </c>
      <c r="K2084" t="str">
        <f>+VLOOKUP(C2084,'[1]TIENDAS 2025'!$A$1:$C$143,3,0)</f>
        <v>departamental</v>
      </c>
      <c r="L2084" t="str">
        <f>+VLOOKUP(C2084,[2]Hoja1!$A$1:$B$138,2,0)</f>
        <v>APROBAR</v>
      </c>
      <c r="M2084">
        <v>1</v>
      </c>
      <c r="N2084" t="e">
        <v>#N/A</v>
      </c>
    </row>
    <row r="2085" spans="1:14" ht="15" customHeight="1" x14ac:dyDescent="0.3">
      <c r="A2085" s="3">
        <v>8209660860</v>
      </c>
      <c r="B2085" s="3" t="s">
        <v>2311</v>
      </c>
      <c r="C2085" s="3" t="s">
        <v>2312</v>
      </c>
      <c r="D2085" s="4">
        <v>46307.472349536998</v>
      </c>
      <c r="E2085" s="5" t="s">
        <v>10</v>
      </c>
      <c r="F2085" s="5" t="s">
        <v>16</v>
      </c>
      <c r="G2085" s="5">
        <v>1</v>
      </c>
      <c r="H2085" s="8" t="s">
        <v>12</v>
      </c>
      <c r="I2085" t="s">
        <v>2356</v>
      </c>
      <c r="K2085" t="str">
        <f>+VLOOKUP(C2085,'[1]TIENDAS 2025'!$A$1:$C$143,3,0)</f>
        <v>departamental</v>
      </c>
      <c r="L2085" t="str">
        <f>+VLOOKUP(C2085,[2]Hoja1!$A$1:$B$138,2,0)</f>
        <v>APROBAR</v>
      </c>
      <c r="M2085">
        <v>1</v>
      </c>
      <c r="N2085" t="e">
        <v>#N/A</v>
      </c>
    </row>
    <row r="2086" spans="1:14" ht="15" customHeight="1" x14ac:dyDescent="0.3">
      <c r="A2086" s="3">
        <v>8209660888</v>
      </c>
      <c r="B2086" s="3" t="s">
        <v>2314</v>
      </c>
      <c r="C2086" s="3" t="s">
        <v>2315</v>
      </c>
      <c r="D2086" s="4">
        <v>46307.472361111097</v>
      </c>
      <c r="E2086" s="5" t="s">
        <v>10</v>
      </c>
      <c r="F2086" s="5" t="s">
        <v>16</v>
      </c>
      <c r="G2086" s="5">
        <v>2</v>
      </c>
      <c r="H2086" s="8" t="s">
        <v>12</v>
      </c>
      <c r="I2086" t="s">
        <v>2357</v>
      </c>
      <c r="K2086" t="str">
        <f>+VLOOKUP(C2086,'[1]TIENDAS 2025'!$A$1:$C$143,3,0)</f>
        <v>local</v>
      </c>
      <c r="L2086" t="str">
        <f>+VLOOKUP(C2086,[2]Hoja1!$A$1:$B$138,2,0)</f>
        <v>APROBAR</v>
      </c>
      <c r="M2086">
        <v>1</v>
      </c>
      <c r="N2086" t="e">
        <v>#N/A</v>
      </c>
    </row>
    <row r="2087" spans="1:14" ht="15" customHeight="1" x14ac:dyDescent="0.3">
      <c r="A2087" s="3">
        <v>1209660901</v>
      </c>
      <c r="B2087" s="3" t="s">
        <v>2314</v>
      </c>
      <c r="C2087" s="3" t="s">
        <v>2315</v>
      </c>
      <c r="D2087" s="4">
        <v>46307.472384259301</v>
      </c>
      <c r="E2087" s="5" t="s">
        <v>10</v>
      </c>
      <c r="F2087" s="5" t="s">
        <v>17</v>
      </c>
      <c r="G2087" s="5">
        <v>80</v>
      </c>
      <c r="H2087" s="6" t="s">
        <v>12</v>
      </c>
      <c r="I2087" t="s">
        <v>2358</v>
      </c>
      <c r="J2087" t="s">
        <v>2480</v>
      </c>
      <c r="K2087" t="str">
        <f>+VLOOKUP(C2087,'[1]TIENDAS 2025'!$A$1:$C$143,3,0)</f>
        <v>local</v>
      </c>
      <c r="L2087" t="str">
        <f>+VLOOKUP(C2087,[2]Hoja1!$A$1:$B$138,2,0)</f>
        <v>APROBAR</v>
      </c>
      <c r="M2087">
        <v>1</v>
      </c>
      <c r="N2087" t="e">
        <v>#N/A</v>
      </c>
    </row>
    <row r="2088" spans="1:14" ht="15" customHeight="1" x14ac:dyDescent="0.3">
      <c r="A2088" s="3">
        <v>1209660865</v>
      </c>
      <c r="B2088" s="3" t="s">
        <v>2311</v>
      </c>
      <c r="C2088" s="3" t="s">
        <v>2312</v>
      </c>
      <c r="D2088" s="4">
        <v>46307.472407407397</v>
      </c>
      <c r="E2088" s="5" t="s">
        <v>10</v>
      </c>
      <c r="F2088" s="5" t="s">
        <v>17</v>
      </c>
      <c r="G2088" s="5">
        <v>7</v>
      </c>
      <c r="H2088" s="6" t="s">
        <v>12</v>
      </c>
      <c r="I2088" t="s">
        <v>2359</v>
      </c>
      <c r="J2088" t="s">
        <v>2480</v>
      </c>
      <c r="K2088" t="str">
        <f>+VLOOKUP(C2088,'[1]TIENDAS 2025'!$A$1:$C$143,3,0)</f>
        <v>departamental</v>
      </c>
      <c r="L2088" t="str">
        <f>+VLOOKUP(C2088,[2]Hoja1!$A$1:$B$138,2,0)</f>
        <v>APROBAR</v>
      </c>
      <c r="M2088">
        <v>1</v>
      </c>
      <c r="N2088" t="e">
        <v>#N/A</v>
      </c>
    </row>
    <row r="2089" spans="1:14" ht="15" customHeight="1" x14ac:dyDescent="0.3">
      <c r="A2089" s="3">
        <v>8209660871</v>
      </c>
      <c r="B2089" s="3" t="s">
        <v>2311</v>
      </c>
      <c r="C2089" s="3" t="s">
        <v>2312</v>
      </c>
      <c r="D2089" s="4">
        <v>46307.472418981502</v>
      </c>
      <c r="E2089" s="5" t="s">
        <v>10</v>
      </c>
      <c r="F2089" s="5" t="s">
        <v>16</v>
      </c>
      <c r="G2089" s="5">
        <v>6</v>
      </c>
      <c r="H2089" s="8" t="s">
        <v>12</v>
      </c>
      <c r="I2089" t="s">
        <v>2360</v>
      </c>
      <c r="K2089" t="str">
        <f>+VLOOKUP(C2089,'[1]TIENDAS 2025'!$A$1:$C$143,3,0)</f>
        <v>departamental</v>
      </c>
      <c r="L2089" t="str">
        <f>+VLOOKUP(C2089,[2]Hoja1!$A$1:$B$138,2,0)</f>
        <v>APROBAR</v>
      </c>
      <c r="M2089">
        <v>1</v>
      </c>
      <c r="N2089" t="e">
        <v>#N/A</v>
      </c>
    </row>
    <row r="2090" spans="1:14" ht="15" customHeight="1" x14ac:dyDescent="0.3">
      <c r="A2090" s="3">
        <v>1209660915</v>
      </c>
      <c r="B2090" s="3" t="s">
        <v>2319</v>
      </c>
      <c r="C2090" s="3" t="s">
        <v>2320</v>
      </c>
      <c r="D2090" s="4">
        <v>46307.472442129598</v>
      </c>
      <c r="E2090" s="5" t="s">
        <v>10</v>
      </c>
      <c r="F2090" s="5" t="s">
        <v>11</v>
      </c>
      <c r="G2090" s="5">
        <v>13</v>
      </c>
      <c r="H2090" s="6" t="s">
        <v>12</v>
      </c>
      <c r="I2090" t="s">
        <v>2361</v>
      </c>
      <c r="J2090" t="s">
        <v>2480</v>
      </c>
      <c r="K2090" t="str">
        <f>+VLOOKUP(C2090,'[1]TIENDAS 2025'!$A$1:$C$143,3,0)</f>
        <v>departamental</v>
      </c>
      <c r="L2090" t="str">
        <f>+VLOOKUP(C2090,[2]Hoja1!$A$1:$B$138,2,0)</f>
        <v>APROBAR</v>
      </c>
      <c r="M2090">
        <v>1</v>
      </c>
      <c r="N2090" t="e">
        <v>#N/A</v>
      </c>
    </row>
    <row r="2091" spans="1:14" ht="15" customHeight="1" x14ac:dyDescent="0.3">
      <c r="A2091" s="3">
        <v>8209660873</v>
      </c>
      <c r="B2091" s="3" t="s">
        <v>2325</v>
      </c>
      <c r="C2091" s="3" t="s">
        <v>2326</v>
      </c>
      <c r="D2091" s="4">
        <v>46307.472465277802</v>
      </c>
      <c r="E2091" s="5" t="s">
        <v>10</v>
      </c>
      <c r="F2091" s="5" t="s">
        <v>16</v>
      </c>
      <c r="G2091" s="5">
        <v>1</v>
      </c>
      <c r="H2091" s="8" t="s">
        <v>12</v>
      </c>
      <c r="I2091" t="s">
        <v>2362</v>
      </c>
      <c r="K2091" t="str">
        <f>+VLOOKUP(C2091,'[1]TIENDAS 2025'!$A$1:$C$143,3,0)</f>
        <v>local</v>
      </c>
      <c r="L2091" t="str">
        <f>+VLOOKUP(C2091,[2]Hoja1!$A$1:$B$138,2,0)</f>
        <v>APROBAR</v>
      </c>
      <c r="M2091">
        <v>1</v>
      </c>
      <c r="N2091" t="e">
        <v>#N/A</v>
      </c>
    </row>
    <row r="2092" spans="1:14" ht="15" customHeight="1" x14ac:dyDescent="0.3">
      <c r="A2092" s="3">
        <v>1209660916</v>
      </c>
      <c r="B2092" s="3" t="s">
        <v>2319</v>
      </c>
      <c r="C2092" s="3" t="s">
        <v>2320</v>
      </c>
      <c r="D2092" s="4">
        <v>46307.472476851799</v>
      </c>
      <c r="E2092" s="5" t="s">
        <v>10</v>
      </c>
      <c r="F2092" s="5" t="s">
        <v>11</v>
      </c>
      <c r="G2092" s="5">
        <v>1</v>
      </c>
      <c r="H2092" s="6" t="s">
        <v>12</v>
      </c>
      <c r="I2092" t="s">
        <v>2363</v>
      </c>
      <c r="J2092" t="s">
        <v>2480</v>
      </c>
      <c r="K2092" t="str">
        <f>+VLOOKUP(C2092,'[1]TIENDAS 2025'!$A$1:$C$143,3,0)</f>
        <v>departamental</v>
      </c>
      <c r="L2092" t="str">
        <f>+VLOOKUP(C2092,[2]Hoja1!$A$1:$B$138,2,0)</f>
        <v>APROBAR</v>
      </c>
      <c r="M2092">
        <v>1</v>
      </c>
      <c r="N2092" t="e">
        <v>#N/A</v>
      </c>
    </row>
    <row r="2093" spans="1:14" ht="15" customHeight="1" x14ac:dyDescent="0.3">
      <c r="A2093" s="3">
        <v>1209660899</v>
      </c>
      <c r="B2093" s="3" t="s">
        <v>2314</v>
      </c>
      <c r="C2093" s="3" t="s">
        <v>2315</v>
      </c>
      <c r="D2093" s="4">
        <v>46307.472500000003</v>
      </c>
      <c r="E2093" s="5" t="s">
        <v>10</v>
      </c>
      <c r="F2093" s="5" t="s">
        <v>17</v>
      </c>
      <c r="G2093" s="5">
        <v>54</v>
      </c>
      <c r="H2093" s="6" t="s">
        <v>12</v>
      </c>
      <c r="I2093" t="s">
        <v>2364</v>
      </c>
      <c r="J2093" t="s">
        <v>2480</v>
      </c>
      <c r="K2093" t="str">
        <f>+VLOOKUP(C2093,'[1]TIENDAS 2025'!$A$1:$C$143,3,0)</f>
        <v>local</v>
      </c>
      <c r="L2093" t="str">
        <f>+VLOOKUP(C2093,[2]Hoja1!$A$1:$B$138,2,0)</f>
        <v>APROBAR</v>
      </c>
      <c r="M2093">
        <v>1</v>
      </c>
      <c r="N2093" t="e">
        <v>#N/A</v>
      </c>
    </row>
    <row r="2094" spans="1:14" ht="15" customHeight="1" x14ac:dyDescent="0.3">
      <c r="A2094" s="3">
        <v>8209660858</v>
      </c>
      <c r="B2094" s="3" t="s">
        <v>2311</v>
      </c>
      <c r="C2094" s="3" t="s">
        <v>2312</v>
      </c>
      <c r="D2094" s="4">
        <v>46307.472546296303</v>
      </c>
      <c r="E2094" s="5" t="s">
        <v>10</v>
      </c>
      <c r="F2094" s="5" t="s">
        <v>16</v>
      </c>
      <c r="G2094" s="5">
        <v>2</v>
      </c>
      <c r="H2094" s="8" t="s">
        <v>12</v>
      </c>
      <c r="I2094" t="s">
        <v>2365</v>
      </c>
      <c r="K2094" t="str">
        <f>+VLOOKUP(C2094,'[1]TIENDAS 2025'!$A$1:$C$143,3,0)</f>
        <v>departamental</v>
      </c>
      <c r="L2094" t="str">
        <f>+VLOOKUP(C2094,[2]Hoja1!$A$1:$B$138,2,0)</f>
        <v>APROBAR</v>
      </c>
      <c r="M2094">
        <v>1</v>
      </c>
      <c r="N2094" t="e">
        <v>#N/A</v>
      </c>
    </row>
    <row r="2095" spans="1:14" ht="15" customHeight="1" x14ac:dyDescent="0.3">
      <c r="A2095" s="3">
        <v>8209660902</v>
      </c>
      <c r="B2095" s="3" t="s">
        <v>2314</v>
      </c>
      <c r="C2095" s="3" t="s">
        <v>2315</v>
      </c>
      <c r="D2095" s="4">
        <v>46307.472569444399</v>
      </c>
      <c r="E2095" s="5" t="s">
        <v>10</v>
      </c>
      <c r="F2095" s="5" t="s">
        <v>16</v>
      </c>
      <c r="G2095" s="5">
        <v>2</v>
      </c>
      <c r="H2095" s="8" t="s">
        <v>12</v>
      </c>
      <c r="I2095" t="s">
        <v>2366</v>
      </c>
      <c r="K2095" t="str">
        <f>+VLOOKUP(C2095,'[1]TIENDAS 2025'!$A$1:$C$143,3,0)</f>
        <v>local</v>
      </c>
      <c r="L2095" t="str">
        <f>+VLOOKUP(C2095,[2]Hoja1!$A$1:$B$138,2,0)</f>
        <v>APROBAR</v>
      </c>
      <c r="M2095">
        <v>1</v>
      </c>
      <c r="N2095" t="e">
        <v>#N/A</v>
      </c>
    </row>
    <row r="2096" spans="1:14" ht="15" customHeight="1" x14ac:dyDescent="0.3">
      <c r="A2096" s="3">
        <v>1209660903</v>
      </c>
      <c r="B2096" s="3" t="s">
        <v>2314</v>
      </c>
      <c r="C2096" s="3" t="s">
        <v>2315</v>
      </c>
      <c r="D2096" s="4">
        <v>46307.472592592603</v>
      </c>
      <c r="E2096" s="5" t="s">
        <v>10</v>
      </c>
      <c r="F2096" s="5" t="s">
        <v>17</v>
      </c>
      <c r="G2096" s="5">
        <v>25</v>
      </c>
      <c r="H2096" s="6" t="s">
        <v>12</v>
      </c>
      <c r="I2096" t="s">
        <v>2367</v>
      </c>
      <c r="J2096" t="s">
        <v>2480</v>
      </c>
      <c r="K2096" t="str">
        <f>+VLOOKUP(C2096,'[1]TIENDAS 2025'!$A$1:$C$143,3,0)</f>
        <v>local</v>
      </c>
      <c r="L2096" t="str">
        <f>+VLOOKUP(C2096,[2]Hoja1!$A$1:$B$138,2,0)</f>
        <v>APROBAR</v>
      </c>
      <c r="M2096">
        <v>1</v>
      </c>
      <c r="N2096" t="e">
        <v>#N/A</v>
      </c>
    </row>
    <row r="2097" spans="1:14" ht="15" customHeight="1" x14ac:dyDescent="0.3">
      <c r="A2097" s="3">
        <v>8209660904</v>
      </c>
      <c r="B2097" s="3" t="s">
        <v>2319</v>
      </c>
      <c r="C2097" s="3" t="s">
        <v>2320</v>
      </c>
      <c r="D2097" s="4">
        <v>46307.472604166702</v>
      </c>
      <c r="E2097" s="5" t="s">
        <v>10</v>
      </c>
      <c r="F2097" s="5" t="s">
        <v>16</v>
      </c>
      <c r="G2097" s="5">
        <v>3</v>
      </c>
      <c r="H2097" s="8" t="s">
        <v>12</v>
      </c>
      <c r="I2097" t="s">
        <v>2368</v>
      </c>
      <c r="K2097" t="str">
        <f>+VLOOKUP(C2097,'[1]TIENDAS 2025'!$A$1:$C$143,3,0)</f>
        <v>departamental</v>
      </c>
      <c r="L2097" t="str">
        <f>+VLOOKUP(C2097,[2]Hoja1!$A$1:$B$138,2,0)</f>
        <v>APROBAR</v>
      </c>
      <c r="M2097">
        <v>1</v>
      </c>
      <c r="N2097" t="e">
        <v>#N/A</v>
      </c>
    </row>
    <row r="2098" spans="1:14" ht="15" customHeight="1" x14ac:dyDescent="0.3">
      <c r="A2098" s="3">
        <v>8209660905</v>
      </c>
      <c r="B2098" s="3" t="s">
        <v>2319</v>
      </c>
      <c r="C2098" s="3" t="s">
        <v>2320</v>
      </c>
      <c r="D2098" s="4">
        <v>46307.472627314797</v>
      </c>
      <c r="E2098" s="5" t="s">
        <v>10</v>
      </c>
      <c r="F2098" s="5" t="s">
        <v>16</v>
      </c>
      <c r="G2098" s="5">
        <v>1</v>
      </c>
      <c r="H2098" s="8" t="s">
        <v>12</v>
      </c>
      <c r="I2098" t="s">
        <v>2369</v>
      </c>
      <c r="K2098" t="str">
        <f>+VLOOKUP(C2098,'[1]TIENDAS 2025'!$A$1:$C$143,3,0)</f>
        <v>departamental</v>
      </c>
      <c r="L2098" t="str">
        <f>+VLOOKUP(C2098,[2]Hoja1!$A$1:$B$138,2,0)</f>
        <v>APROBAR</v>
      </c>
      <c r="M2098">
        <v>1</v>
      </c>
      <c r="N2098" t="e">
        <v>#N/A</v>
      </c>
    </row>
    <row r="2099" spans="1:14" ht="15" customHeight="1" x14ac:dyDescent="0.3">
      <c r="A2099" s="3">
        <v>1209660914</v>
      </c>
      <c r="B2099" s="3" t="s">
        <v>2319</v>
      </c>
      <c r="C2099" s="3" t="s">
        <v>2320</v>
      </c>
      <c r="D2099" s="4">
        <v>46307.472650463002</v>
      </c>
      <c r="E2099" s="5" t="s">
        <v>10</v>
      </c>
      <c r="F2099" s="5" t="s">
        <v>11</v>
      </c>
      <c r="G2099" s="5">
        <v>7</v>
      </c>
      <c r="H2099" s="6" t="s">
        <v>12</v>
      </c>
      <c r="I2099" t="s">
        <v>2370</v>
      </c>
      <c r="J2099" t="s">
        <v>2480</v>
      </c>
      <c r="K2099" t="str">
        <f>+VLOOKUP(C2099,'[1]TIENDAS 2025'!$A$1:$C$143,3,0)</f>
        <v>departamental</v>
      </c>
      <c r="L2099" t="str">
        <f>+VLOOKUP(C2099,[2]Hoja1!$A$1:$B$138,2,0)</f>
        <v>APROBAR</v>
      </c>
      <c r="M2099">
        <v>1</v>
      </c>
      <c r="N2099" t="e">
        <v>#N/A</v>
      </c>
    </row>
    <row r="2100" spans="1:14" ht="15" customHeight="1" x14ac:dyDescent="0.3">
      <c r="A2100" s="3">
        <v>1209660872</v>
      </c>
      <c r="B2100" s="3" t="s">
        <v>2311</v>
      </c>
      <c r="C2100" s="3" t="s">
        <v>2312</v>
      </c>
      <c r="D2100" s="4">
        <v>46307.472662036998</v>
      </c>
      <c r="E2100" s="5" t="s">
        <v>10</v>
      </c>
      <c r="F2100" s="5" t="s">
        <v>17</v>
      </c>
      <c r="G2100" s="5">
        <v>12</v>
      </c>
      <c r="H2100" s="6" t="s">
        <v>12</v>
      </c>
      <c r="I2100" t="s">
        <v>2371</v>
      </c>
      <c r="J2100" t="s">
        <v>2480</v>
      </c>
      <c r="K2100" t="str">
        <f>+VLOOKUP(C2100,'[1]TIENDAS 2025'!$A$1:$C$143,3,0)</f>
        <v>departamental</v>
      </c>
      <c r="L2100" t="str">
        <f>+VLOOKUP(C2100,[2]Hoja1!$A$1:$B$138,2,0)</f>
        <v>APROBAR</v>
      </c>
      <c r="M2100">
        <v>1</v>
      </c>
      <c r="N2100" t="e">
        <v>#N/A</v>
      </c>
    </row>
    <row r="2101" spans="1:14" ht="15" customHeight="1" x14ac:dyDescent="0.3">
      <c r="A2101" s="3">
        <v>8209660877</v>
      </c>
      <c r="B2101" s="3" t="s">
        <v>2325</v>
      </c>
      <c r="C2101" s="3" t="s">
        <v>2326</v>
      </c>
      <c r="D2101" s="4">
        <v>46307.472685185203</v>
      </c>
      <c r="E2101" s="5" t="s">
        <v>10</v>
      </c>
      <c r="F2101" s="5" t="s">
        <v>16</v>
      </c>
      <c r="G2101" s="5">
        <v>7</v>
      </c>
      <c r="H2101" s="8" t="s">
        <v>12</v>
      </c>
      <c r="I2101" t="s">
        <v>2372</v>
      </c>
      <c r="K2101" t="str">
        <f>+VLOOKUP(C2101,'[1]TIENDAS 2025'!$A$1:$C$143,3,0)</f>
        <v>local</v>
      </c>
      <c r="L2101" t="str">
        <f>+VLOOKUP(C2101,[2]Hoja1!$A$1:$B$138,2,0)</f>
        <v>APROBAR</v>
      </c>
      <c r="M2101">
        <v>1</v>
      </c>
      <c r="N2101" t="e">
        <v>#N/A</v>
      </c>
    </row>
    <row r="2102" spans="1:14" ht="15" customHeight="1" x14ac:dyDescent="0.3">
      <c r="A2102" s="3">
        <v>1209660862</v>
      </c>
      <c r="B2102" s="3" t="s">
        <v>2311</v>
      </c>
      <c r="C2102" s="3" t="s">
        <v>2312</v>
      </c>
      <c r="D2102" s="4">
        <v>46307.472812499997</v>
      </c>
      <c r="E2102" s="5" t="s">
        <v>10</v>
      </c>
      <c r="F2102" s="5" t="s">
        <v>11</v>
      </c>
      <c r="G2102" s="5">
        <v>8</v>
      </c>
      <c r="H2102" s="6" t="s">
        <v>12</v>
      </c>
      <c r="I2102" t="s">
        <v>2373</v>
      </c>
      <c r="J2102" t="s">
        <v>2480</v>
      </c>
      <c r="K2102" t="str">
        <f>+VLOOKUP(C2102,'[1]TIENDAS 2025'!$A$1:$C$143,3,0)</f>
        <v>departamental</v>
      </c>
      <c r="L2102" t="str">
        <f>+VLOOKUP(C2102,[2]Hoja1!$A$1:$B$138,2,0)</f>
        <v>APROBAR</v>
      </c>
      <c r="M2102">
        <v>1</v>
      </c>
      <c r="N2102" t="e">
        <v>#N/A</v>
      </c>
    </row>
    <row r="2103" spans="1:14" ht="15" customHeight="1" x14ac:dyDescent="0.3">
      <c r="A2103" s="3">
        <v>1209660863</v>
      </c>
      <c r="B2103" s="3" t="s">
        <v>2311</v>
      </c>
      <c r="C2103" s="3" t="s">
        <v>2312</v>
      </c>
      <c r="D2103" s="4">
        <v>46307.472824074102</v>
      </c>
      <c r="E2103" s="5" t="s">
        <v>10</v>
      </c>
      <c r="F2103" s="5" t="s">
        <v>11</v>
      </c>
      <c r="G2103" s="5">
        <v>10</v>
      </c>
      <c r="H2103" s="6" t="s">
        <v>12</v>
      </c>
      <c r="I2103" t="s">
        <v>2374</v>
      </c>
      <c r="J2103" t="s">
        <v>2480</v>
      </c>
      <c r="K2103" t="str">
        <f>+VLOOKUP(C2103,'[1]TIENDAS 2025'!$A$1:$C$143,3,0)</f>
        <v>departamental</v>
      </c>
      <c r="L2103" t="str">
        <f>+VLOOKUP(C2103,[2]Hoja1!$A$1:$B$138,2,0)</f>
        <v>APROBAR</v>
      </c>
      <c r="M2103">
        <v>1</v>
      </c>
      <c r="N2103" t="e">
        <v>#N/A</v>
      </c>
    </row>
    <row r="2104" spans="1:14" ht="15" customHeight="1" x14ac:dyDescent="0.3">
      <c r="A2104" s="3">
        <v>1209660895</v>
      </c>
      <c r="B2104" s="3" t="s">
        <v>2314</v>
      </c>
      <c r="C2104" s="3" t="s">
        <v>2315</v>
      </c>
      <c r="D2104" s="4">
        <v>46307.472847222198</v>
      </c>
      <c r="E2104" s="5" t="s">
        <v>10</v>
      </c>
      <c r="F2104" s="5" t="s">
        <v>11</v>
      </c>
      <c r="G2104" s="5">
        <v>21</v>
      </c>
      <c r="H2104" s="6" t="s">
        <v>12</v>
      </c>
      <c r="I2104" t="s">
        <v>2375</v>
      </c>
      <c r="J2104" t="s">
        <v>2480</v>
      </c>
      <c r="K2104" t="str">
        <f>+VLOOKUP(C2104,'[1]TIENDAS 2025'!$A$1:$C$143,3,0)</f>
        <v>local</v>
      </c>
      <c r="L2104" t="str">
        <f>+VLOOKUP(C2104,[2]Hoja1!$A$1:$B$138,2,0)</f>
        <v>APROBAR</v>
      </c>
      <c r="M2104">
        <v>1</v>
      </c>
      <c r="N2104" t="e">
        <v>#N/A</v>
      </c>
    </row>
    <row r="2105" spans="1:14" ht="15" customHeight="1" x14ac:dyDescent="0.3">
      <c r="A2105" s="3">
        <v>1209660837</v>
      </c>
      <c r="B2105" s="3" t="s">
        <v>2322</v>
      </c>
      <c r="C2105" s="3" t="s">
        <v>2323</v>
      </c>
      <c r="D2105" s="4">
        <v>46307.472858796304</v>
      </c>
      <c r="E2105" s="5" t="s">
        <v>10</v>
      </c>
      <c r="F2105" s="5" t="s">
        <v>11</v>
      </c>
      <c r="G2105" s="5">
        <v>1</v>
      </c>
      <c r="H2105" s="6" t="s">
        <v>12</v>
      </c>
      <c r="I2105" t="s">
        <v>2376</v>
      </c>
      <c r="J2105" t="s">
        <v>2480</v>
      </c>
      <c r="K2105" t="str">
        <f>+VLOOKUP(C2105,'[1]TIENDAS 2025'!$A$1:$C$143,3,0)</f>
        <v>departamental</v>
      </c>
      <c r="L2105" t="str">
        <f>+VLOOKUP(C2105,[2]Hoja1!$A$1:$B$138,2,0)</f>
        <v>APROBAR</v>
      </c>
      <c r="M2105">
        <v>1</v>
      </c>
      <c r="N2105" t="e">
        <v>#N/A</v>
      </c>
    </row>
    <row r="2106" spans="1:14" ht="15" customHeight="1" x14ac:dyDescent="0.3">
      <c r="A2106" s="3">
        <v>8209660838</v>
      </c>
      <c r="B2106" s="3" t="s">
        <v>2322</v>
      </c>
      <c r="C2106" s="3" t="s">
        <v>2323</v>
      </c>
      <c r="D2106" s="4">
        <v>46307.472881944399</v>
      </c>
      <c r="E2106" s="5" t="s">
        <v>10</v>
      </c>
      <c r="F2106" s="5" t="s">
        <v>16</v>
      </c>
      <c r="G2106" s="5">
        <v>5</v>
      </c>
      <c r="H2106" s="8" t="s">
        <v>12</v>
      </c>
      <c r="I2106" t="s">
        <v>2377</v>
      </c>
      <c r="K2106" t="str">
        <f>+VLOOKUP(C2106,'[1]TIENDAS 2025'!$A$1:$C$143,3,0)</f>
        <v>departamental</v>
      </c>
      <c r="L2106" t="str">
        <f>+VLOOKUP(C2106,[2]Hoja1!$A$1:$B$138,2,0)</f>
        <v>APROBAR</v>
      </c>
      <c r="M2106">
        <v>1</v>
      </c>
      <c r="N2106" t="e">
        <v>#N/A</v>
      </c>
    </row>
    <row r="2107" spans="1:14" ht="15" customHeight="1" x14ac:dyDescent="0.3">
      <c r="A2107" s="3">
        <v>8209660839</v>
      </c>
      <c r="B2107" s="3" t="s">
        <v>2322</v>
      </c>
      <c r="C2107" s="3" t="s">
        <v>2323</v>
      </c>
      <c r="D2107" s="4">
        <v>46307.472893518498</v>
      </c>
      <c r="E2107" s="5" t="s">
        <v>10</v>
      </c>
      <c r="F2107" s="5" t="s">
        <v>16</v>
      </c>
      <c r="G2107" s="5">
        <v>6</v>
      </c>
      <c r="H2107" s="8" t="s">
        <v>12</v>
      </c>
      <c r="I2107" t="s">
        <v>2378</v>
      </c>
      <c r="K2107" t="str">
        <f>+VLOOKUP(C2107,'[1]TIENDAS 2025'!$A$1:$C$143,3,0)</f>
        <v>departamental</v>
      </c>
      <c r="L2107" t="str">
        <f>+VLOOKUP(C2107,[2]Hoja1!$A$1:$B$138,2,0)</f>
        <v>APROBAR</v>
      </c>
      <c r="M2107">
        <v>1</v>
      </c>
      <c r="N2107" t="e">
        <v>#N/A</v>
      </c>
    </row>
    <row r="2108" spans="1:14" ht="15" customHeight="1" x14ac:dyDescent="0.3">
      <c r="A2108" s="3">
        <v>1209660867</v>
      </c>
      <c r="B2108" s="3" t="s">
        <v>2311</v>
      </c>
      <c r="C2108" s="3" t="s">
        <v>2312</v>
      </c>
      <c r="D2108" s="4">
        <v>46307.472905092603</v>
      </c>
      <c r="E2108" s="5" t="s">
        <v>10</v>
      </c>
      <c r="F2108" s="5" t="s">
        <v>11</v>
      </c>
      <c r="G2108" s="5">
        <v>15</v>
      </c>
      <c r="H2108" s="6" t="s">
        <v>12</v>
      </c>
      <c r="I2108" t="s">
        <v>2379</v>
      </c>
      <c r="J2108" t="s">
        <v>2480</v>
      </c>
      <c r="K2108" t="str">
        <f>+VLOOKUP(C2108,'[1]TIENDAS 2025'!$A$1:$C$143,3,0)</f>
        <v>departamental</v>
      </c>
      <c r="L2108" t="str">
        <f>+VLOOKUP(C2108,[2]Hoja1!$A$1:$B$138,2,0)</f>
        <v>APROBAR</v>
      </c>
      <c r="M2108">
        <v>1</v>
      </c>
      <c r="N2108" t="e">
        <v>#N/A</v>
      </c>
    </row>
    <row r="2109" spans="1:14" ht="15" customHeight="1" x14ac:dyDescent="0.3">
      <c r="A2109" s="3">
        <v>1209660840</v>
      </c>
      <c r="B2109" s="3" t="s">
        <v>2322</v>
      </c>
      <c r="C2109" s="3" t="s">
        <v>2323</v>
      </c>
      <c r="D2109" s="4">
        <v>46307.472928240699</v>
      </c>
      <c r="E2109" s="5" t="s">
        <v>10</v>
      </c>
      <c r="F2109" s="5" t="s">
        <v>11</v>
      </c>
      <c r="G2109" s="5">
        <v>10</v>
      </c>
      <c r="H2109" s="6" t="s">
        <v>12</v>
      </c>
      <c r="I2109" t="s">
        <v>2380</v>
      </c>
      <c r="J2109" t="s">
        <v>2480</v>
      </c>
      <c r="K2109" t="str">
        <f>+VLOOKUP(C2109,'[1]TIENDAS 2025'!$A$1:$C$143,3,0)</f>
        <v>departamental</v>
      </c>
      <c r="L2109" t="str">
        <f>+VLOOKUP(C2109,[2]Hoja1!$A$1:$B$138,2,0)</f>
        <v>APROBAR</v>
      </c>
      <c r="M2109">
        <v>1</v>
      </c>
      <c r="N2109" t="e">
        <v>#N/A</v>
      </c>
    </row>
    <row r="2110" spans="1:14" ht="15" customHeight="1" x14ac:dyDescent="0.3">
      <c r="A2110" s="3">
        <v>1209660896</v>
      </c>
      <c r="B2110" s="3" t="s">
        <v>2314</v>
      </c>
      <c r="C2110" s="3" t="s">
        <v>2315</v>
      </c>
      <c r="D2110" s="4">
        <v>46307.472939814797</v>
      </c>
      <c r="E2110" s="5" t="s">
        <v>10</v>
      </c>
      <c r="F2110" s="5" t="s">
        <v>17</v>
      </c>
      <c r="G2110" s="5">
        <v>23</v>
      </c>
      <c r="H2110" s="6" t="s">
        <v>12</v>
      </c>
      <c r="I2110" t="s">
        <v>2381</v>
      </c>
      <c r="J2110" t="s">
        <v>2480</v>
      </c>
      <c r="K2110" t="str">
        <f>+VLOOKUP(C2110,'[1]TIENDAS 2025'!$A$1:$C$143,3,0)</f>
        <v>local</v>
      </c>
      <c r="L2110" t="str">
        <f>+VLOOKUP(C2110,[2]Hoja1!$A$1:$B$138,2,0)</f>
        <v>APROBAR</v>
      </c>
      <c r="M2110">
        <v>1</v>
      </c>
      <c r="N2110" t="e">
        <v>#N/A</v>
      </c>
    </row>
    <row r="2111" spans="1:14" ht="15" customHeight="1" x14ac:dyDescent="0.3">
      <c r="A2111" s="3">
        <v>1209660843</v>
      </c>
      <c r="B2111" s="3" t="s">
        <v>2322</v>
      </c>
      <c r="C2111" s="3" t="s">
        <v>2323</v>
      </c>
      <c r="D2111" s="4">
        <v>46307.472951388903</v>
      </c>
      <c r="E2111" s="5" t="s">
        <v>10</v>
      </c>
      <c r="F2111" s="5" t="s">
        <v>17</v>
      </c>
      <c r="G2111" s="5">
        <v>10</v>
      </c>
      <c r="H2111" s="6" t="s">
        <v>12</v>
      </c>
      <c r="I2111" t="s">
        <v>2382</v>
      </c>
      <c r="J2111" t="s">
        <v>2480</v>
      </c>
      <c r="K2111" t="str">
        <f>+VLOOKUP(C2111,'[1]TIENDAS 2025'!$A$1:$C$143,3,0)</f>
        <v>departamental</v>
      </c>
      <c r="L2111" t="str">
        <f>+VLOOKUP(C2111,[2]Hoja1!$A$1:$B$138,2,0)</f>
        <v>APROBAR</v>
      </c>
      <c r="M2111">
        <v>1</v>
      </c>
      <c r="N2111" t="e">
        <v>#N/A</v>
      </c>
    </row>
    <row r="2112" spans="1:14" ht="15" customHeight="1" x14ac:dyDescent="0.3">
      <c r="A2112" s="3">
        <v>1209660878</v>
      </c>
      <c r="B2112" s="3" t="s">
        <v>2325</v>
      </c>
      <c r="C2112" s="3" t="s">
        <v>2326</v>
      </c>
      <c r="D2112" s="4">
        <v>46307.472962963002</v>
      </c>
      <c r="E2112" s="5" t="s">
        <v>10</v>
      </c>
      <c r="F2112" s="5" t="s">
        <v>11</v>
      </c>
      <c r="G2112" s="5">
        <v>5</v>
      </c>
      <c r="H2112" s="6" t="s">
        <v>12</v>
      </c>
      <c r="I2112" t="s">
        <v>2383</v>
      </c>
      <c r="J2112" t="s">
        <v>2480</v>
      </c>
      <c r="K2112" t="str">
        <f>+VLOOKUP(C2112,'[1]TIENDAS 2025'!$A$1:$C$143,3,0)</f>
        <v>local</v>
      </c>
      <c r="L2112" t="str">
        <f>+VLOOKUP(C2112,[2]Hoja1!$A$1:$B$138,2,0)</f>
        <v>APROBAR</v>
      </c>
      <c r="M2112">
        <v>1</v>
      </c>
      <c r="N2112" t="e">
        <v>#N/A</v>
      </c>
    </row>
    <row r="2113" spans="1:14" ht="15" customHeight="1" x14ac:dyDescent="0.3">
      <c r="A2113" s="3">
        <v>1209660879</v>
      </c>
      <c r="B2113" s="3" t="s">
        <v>2325</v>
      </c>
      <c r="C2113" s="3" t="s">
        <v>2326</v>
      </c>
      <c r="D2113" s="4">
        <v>46307.472986111097</v>
      </c>
      <c r="E2113" s="5" t="s">
        <v>10</v>
      </c>
      <c r="F2113" s="5" t="s">
        <v>11</v>
      </c>
      <c r="G2113" s="5">
        <v>6</v>
      </c>
      <c r="H2113" s="6" t="s">
        <v>12</v>
      </c>
      <c r="I2113" t="s">
        <v>2384</v>
      </c>
      <c r="J2113" t="s">
        <v>2480</v>
      </c>
      <c r="K2113" t="str">
        <f>+VLOOKUP(C2113,'[1]TIENDAS 2025'!$A$1:$C$143,3,0)</f>
        <v>local</v>
      </c>
      <c r="L2113" t="str">
        <f>+VLOOKUP(C2113,[2]Hoja1!$A$1:$B$138,2,0)</f>
        <v>APROBAR</v>
      </c>
      <c r="M2113">
        <v>1</v>
      </c>
      <c r="N2113" t="e">
        <v>#N/A</v>
      </c>
    </row>
    <row r="2114" spans="1:14" ht="15" customHeight="1" x14ac:dyDescent="0.3">
      <c r="A2114" s="3">
        <v>1209660847</v>
      </c>
      <c r="B2114" s="3" t="s">
        <v>2322</v>
      </c>
      <c r="C2114" s="3" t="s">
        <v>2323</v>
      </c>
      <c r="D2114" s="4">
        <v>46307.473009259302</v>
      </c>
      <c r="E2114" s="5" t="s">
        <v>10</v>
      </c>
      <c r="F2114" s="5" t="s">
        <v>11</v>
      </c>
      <c r="G2114" s="5">
        <v>1</v>
      </c>
      <c r="H2114" s="6" t="s">
        <v>12</v>
      </c>
      <c r="I2114" t="s">
        <v>2385</v>
      </c>
      <c r="J2114" t="s">
        <v>2480</v>
      </c>
      <c r="K2114" t="str">
        <f>+VLOOKUP(C2114,'[1]TIENDAS 2025'!$A$1:$C$143,3,0)</f>
        <v>departamental</v>
      </c>
      <c r="L2114" t="str">
        <f>+VLOOKUP(C2114,[2]Hoja1!$A$1:$B$138,2,0)</f>
        <v>APROBAR</v>
      </c>
      <c r="M2114">
        <v>1</v>
      </c>
      <c r="N2114" t="e">
        <v>#N/A</v>
      </c>
    </row>
    <row r="2115" spans="1:14" ht="15" customHeight="1" x14ac:dyDescent="0.3">
      <c r="A2115" s="3">
        <v>1209660882</v>
      </c>
      <c r="B2115" s="3" t="s">
        <v>2325</v>
      </c>
      <c r="C2115" s="3" t="s">
        <v>2326</v>
      </c>
      <c r="D2115" s="4">
        <v>46307.473043981503</v>
      </c>
      <c r="E2115" s="5" t="s">
        <v>10</v>
      </c>
      <c r="F2115" s="5" t="s">
        <v>17</v>
      </c>
      <c r="G2115" s="5">
        <v>34</v>
      </c>
      <c r="H2115" s="6" t="s">
        <v>12</v>
      </c>
      <c r="I2115" t="s">
        <v>2386</v>
      </c>
      <c r="J2115" t="s">
        <v>2480</v>
      </c>
      <c r="K2115" t="str">
        <f>+VLOOKUP(C2115,'[1]TIENDAS 2025'!$A$1:$C$143,3,0)</f>
        <v>local</v>
      </c>
      <c r="L2115" t="str">
        <f>+VLOOKUP(C2115,[2]Hoja1!$A$1:$B$138,2,0)</f>
        <v>APROBAR</v>
      </c>
      <c r="M2115">
        <v>1</v>
      </c>
      <c r="N2115" t="e">
        <v>#N/A</v>
      </c>
    </row>
    <row r="2116" spans="1:14" ht="15" customHeight="1" x14ac:dyDescent="0.3">
      <c r="A2116" s="3">
        <v>8209660887</v>
      </c>
      <c r="B2116" s="3" t="s">
        <v>2314</v>
      </c>
      <c r="C2116" s="3" t="s">
        <v>2315</v>
      </c>
      <c r="D2116" s="4">
        <v>46307.473067129598</v>
      </c>
      <c r="E2116" s="5" t="s">
        <v>10</v>
      </c>
      <c r="F2116" s="5" t="s">
        <v>16</v>
      </c>
      <c r="G2116" s="5">
        <v>8</v>
      </c>
      <c r="H2116" s="8" t="s">
        <v>12</v>
      </c>
      <c r="I2116" t="s">
        <v>2387</v>
      </c>
      <c r="K2116" t="str">
        <f>+VLOOKUP(C2116,'[1]TIENDAS 2025'!$A$1:$C$143,3,0)</f>
        <v>local</v>
      </c>
      <c r="L2116" t="str">
        <f>+VLOOKUP(C2116,[2]Hoja1!$A$1:$B$138,2,0)</f>
        <v>APROBAR</v>
      </c>
      <c r="M2116">
        <v>1</v>
      </c>
      <c r="N2116" t="e">
        <v>#N/A</v>
      </c>
    </row>
    <row r="2117" spans="1:14" ht="15" customHeight="1" x14ac:dyDescent="0.3">
      <c r="A2117" s="3">
        <v>1209660893</v>
      </c>
      <c r="B2117" s="3" t="s">
        <v>2314</v>
      </c>
      <c r="C2117" s="3" t="s">
        <v>2315</v>
      </c>
      <c r="D2117" s="4">
        <v>46307.473078703697</v>
      </c>
      <c r="E2117" s="5" t="s">
        <v>10</v>
      </c>
      <c r="F2117" s="5" t="s">
        <v>11</v>
      </c>
      <c r="G2117" s="5">
        <v>1</v>
      </c>
      <c r="H2117" s="6" t="s">
        <v>12</v>
      </c>
      <c r="I2117" t="s">
        <v>2388</v>
      </c>
      <c r="J2117" t="s">
        <v>2480</v>
      </c>
      <c r="K2117" t="str">
        <f>+VLOOKUP(C2117,'[1]TIENDAS 2025'!$A$1:$C$143,3,0)</f>
        <v>local</v>
      </c>
      <c r="L2117" t="str">
        <f>+VLOOKUP(C2117,[2]Hoja1!$A$1:$B$138,2,0)</f>
        <v>APROBAR</v>
      </c>
      <c r="M2117">
        <v>1</v>
      </c>
      <c r="N2117" t="e">
        <v>#N/A</v>
      </c>
    </row>
    <row r="2118" spans="1:14" ht="15" customHeight="1" x14ac:dyDescent="0.3">
      <c r="A2118" s="3">
        <v>1209660841</v>
      </c>
      <c r="B2118" s="3" t="s">
        <v>2322</v>
      </c>
      <c r="C2118" s="3" t="s">
        <v>2323</v>
      </c>
      <c r="D2118" s="4">
        <v>46307.473101851901</v>
      </c>
      <c r="E2118" s="5" t="s">
        <v>10</v>
      </c>
      <c r="F2118" s="5" t="s">
        <v>11</v>
      </c>
      <c r="G2118" s="5">
        <v>6</v>
      </c>
      <c r="H2118" s="6" t="s">
        <v>12</v>
      </c>
      <c r="I2118" t="s">
        <v>2389</v>
      </c>
      <c r="J2118" t="s">
        <v>2480</v>
      </c>
      <c r="K2118" t="str">
        <f>+VLOOKUP(C2118,'[1]TIENDAS 2025'!$A$1:$C$143,3,0)</f>
        <v>departamental</v>
      </c>
      <c r="L2118" t="str">
        <f>+VLOOKUP(C2118,[2]Hoja1!$A$1:$B$138,2,0)</f>
        <v>APROBAR</v>
      </c>
      <c r="M2118">
        <v>1</v>
      </c>
      <c r="N2118" t="e">
        <v>#N/A</v>
      </c>
    </row>
    <row r="2119" spans="1:14" ht="15" customHeight="1" x14ac:dyDescent="0.3">
      <c r="A2119" s="3">
        <v>1209660869</v>
      </c>
      <c r="B2119" s="3" t="s">
        <v>2311</v>
      </c>
      <c r="C2119" s="3" t="s">
        <v>2312</v>
      </c>
      <c r="D2119" s="4">
        <v>46307.473113425898</v>
      </c>
      <c r="E2119" s="5" t="s">
        <v>10</v>
      </c>
      <c r="F2119" s="5" t="s">
        <v>17</v>
      </c>
      <c r="G2119" s="5">
        <v>17</v>
      </c>
      <c r="H2119" s="6" t="s">
        <v>12</v>
      </c>
      <c r="I2119" t="s">
        <v>2390</v>
      </c>
      <c r="J2119" t="s">
        <v>2480</v>
      </c>
      <c r="K2119" t="str">
        <f>+VLOOKUP(C2119,'[1]TIENDAS 2025'!$A$1:$C$143,3,0)</f>
        <v>departamental</v>
      </c>
      <c r="L2119" t="str">
        <f>+VLOOKUP(C2119,[2]Hoja1!$A$1:$B$138,2,0)</f>
        <v>APROBAR</v>
      </c>
      <c r="M2119">
        <v>1</v>
      </c>
      <c r="N2119" t="e">
        <v>#N/A</v>
      </c>
    </row>
    <row r="2120" spans="1:14" ht="15" customHeight="1" x14ac:dyDescent="0.3">
      <c r="A2120" s="3">
        <v>8209660907</v>
      </c>
      <c r="B2120" s="3" t="s">
        <v>2319</v>
      </c>
      <c r="C2120" s="3" t="s">
        <v>2320</v>
      </c>
      <c r="D2120" s="4">
        <v>46307.473124999997</v>
      </c>
      <c r="E2120" s="5" t="s">
        <v>10</v>
      </c>
      <c r="F2120" s="5" t="s">
        <v>16</v>
      </c>
      <c r="G2120" s="5">
        <v>2</v>
      </c>
      <c r="H2120" s="8" t="s">
        <v>12</v>
      </c>
      <c r="I2120" t="s">
        <v>2391</v>
      </c>
      <c r="K2120" t="str">
        <f>+VLOOKUP(C2120,'[1]TIENDAS 2025'!$A$1:$C$143,3,0)</f>
        <v>departamental</v>
      </c>
      <c r="L2120" t="str">
        <f>+VLOOKUP(C2120,[2]Hoja1!$A$1:$B$138,2,0)</f>
        <v>APROBAR</v>
      </c>
      <c r="M2120">
        <v>1</v>
      </c>
      <c r="N2120" t="e">
        <v>#N/A</v>
      </c>
    </row>
    <row r="2121" spans="1:14" ht="15" customHeight="1" x14ac:dyDescent="0.3">
      <c r="A2121" s="3">
        <v>1209660842</v>
      </c>
      <c r="B2121" s="3" t="s">
        <v>2322</v>
      </c>
      <c r="C2121" s="3" t="s">
        <v>2323</v>
      </c>
      <c r="D2121" s="4">
        <v>46307.473136574103</v>
      </c>
      <c r="E2121" s="5" t="s">
        <v>10</v>
      </c>
      <c r="F2121" s="5" t="s">
        <v>11</v>
      </c>
      <c r="G2121" s="5">
        <v>7</v>
      </c>
      <c r="H2121" s="6" t="s">
        <v>12</v>
      </c>
      <c r="I2121" t="s">
        <v>2392</v>
      </c>
      <c r="J2121" t="s">
        <v>2480</v>
      </c>
      <c r="K2121" t="str">
        <f>+VLOOKUP(C2121,'[1]TIENDAS 2025'!$A$1:$C$143,3,0)</f>
        <v>departamental</v>
      </c>
      <c r="L2121" t="str">
        <f>+VLOOKUP(C2121,[2]Hoja1!$A$1:$B$138,2,0)</f>
        <v>APROBAR</v>
      </c>
      <c r="M2121">
        <v>1</v>
      </c>
      <c r="N2121" t="e">
        <v>#N/A</v>
      </c>
    </row>
    <row r="2122" spans="1:14" ht="15" customHeight="1" x14ac:dyDescent="0.3">
      <c r="A2122" s="3">
        <v>1209660870</v>
      </c>
      <c r="B2122" s="3" t="s">
        <v>2311</v>
      </c>
      <c r="C2122" s="3" t="s">
        <v>2312</v>
      </c>
      <c r="D2122" s="4">
        <v>46307.473159722198</v>
      </c>
      <c r="E2122" s="5" t="s">
        <v>10</v>
      </c>
      <c r="F2122" s="5" t="s">
        <v>11</v>
      </c>
      <c r="G2122" s="5">
        <v>21</v>
      </c>
      <c r="H2122" s="6" t="s">
        <v>12</v>
      </c>
      <c r="I2122" t="s">
        <v>2393</v>
      </c>
      <c r="J2122" t="s">
        <v>2480</v>
      </c>
      <c r="K2122" t="str">
        <f>+VLOOKUP(C2122,'[1]TIENDAS 2025'!$A$1:$C$143,3,0)</f>
        <v>departamental</v>
      </c>
      <c r="L2122" t="str">
        <f>+VLOOKUP(C2122,[2]Hoja1!$A$1:$B$138,2,0)</f>
        <v>APROBAR</v>
      </c>
      <c r="M2122">
        <v>1</v>
      </c>
      <c r="N2122" t="e">
        <v>#N/A</v>
      </c>
    </row>
    <row r="2123" spans="1:14" ht="15" customHeight="1" x14ac:dyDescent="0.3">
      <c r="A2123" s="3">
        <v>1209660912</v>
      </c>
      <c r="B2123" s="3" t="s">
        <v>2319</v>
      </c>
      <c r="C2123" s="3" t="s">
        <v>2320</v>
      </c>
      <c r="D2123" s="4">
        <v>46307.473182870403</v>
      </c>
      <c r="E2123" s="5" t="s">
        <v>10</v>
      </c>
      <c r="F2123" s="5" t="s">
        <v>11</v>
      </c>
      <c r="G2123" s="5">
        <v>6</v>
      </c>
      <c r="H2123" s="6" t="s">
        <v>12</v>
      </c>
      <c r="I2123" t="s">
        <v>2394</v>
      </c>
      <c r="J2123" t="s">
        <v>2480</v>
      </c>
      <c r="K2123" t="str">
        <f>+VLOOKUP(C2123,'[1]TIENDAS 2025'!$A$1:$C$143,3,0)</f>
        <v>departamental</v>
      </c>
      <c r="L2123" t="str">
        <f>+VLOOKUP(C2123,[2]Hoja1!$A$1:$B$138,2,0)</f>
        <v>APROBAR</v>
      </c>
      <c r="M2123">
        <v>1</v>
      </c>
      <c r="N2123" t="e">
        <v>#N/A</v>
      </c>
    </row>
    <row r="2124" spans="1:14" ht="15" customHeight="1" x14ac:dyDescent="0.3">
      <c r="A2124" s="3">
        <v>8209660874</v>
      </c>
      <c r="B2124" s="3" t="s">
        <v>2325</v>
      </c>
      <c r="C2124" s="3" t="s">
        <v>2326</v>
      </c>
      <c r="D2124" s="4">
        <v>46307.473194444399</v>
      </c>
      <c r="E2124" s="5" t="s">
        <v>10</v>
      </c>
      <c r="F2124" s="5" t="s">
        <v>16</v>
      </c>
      <c r="G2124" s="5">
        <v>1</v>
      </c>
      <c r="H2124" s="8" t="s">
        <v>12</v>
      </c>
      <c r="I2124" t="s">
        <v>2395</v>
      </c>
      <c r="K2124" t="str">
        <f>+VLOOKUP(C2124,'[1]TIENDAS 2025'!$A$1:$C$143,3,0)</f>
        <v>local</v>
      </c>
      <c r="L2124" t="str">
        <f>+VLOOKUP(C2124,[2]Hoja1!$A$1:$B$138,2,0)</f>
        <v>APROBAR</v>
      </c>
      <c r="M2124">
        <v>1</v>
      </c>
      <c r="N2124" t="e">
        <v>#N/A</v>
      </c>
    </row>
    <row r="2125" spans="1:14" ht="15" customHeight="1" x14ac:dyDescent="0.3">
      <c r="A2125" s="3">
        <v>1209660917</v>
      </c>
      <c r="B2125" s="3" t="s">
        <v>2319</v>
      </c>
      <c r="C2125" s="3" t="s">
        <v>2320</v>
      </c>
      <c r="D2125" s="4">
        <v>46307.473206018498</v>
      </c>
      <c r="E2125" s="5" t="s">
        <v>10</v>
      </c>
      <c r="F2125" s="5" t="s">
        <v>17</v>
      </c>
      <c r="G2125" s="5">
        <v>13</v>
      </c>
      <c r="H2125" s="6" t="s">
        <v>12</v>
      </c>
      <c r="I2125" t="s">
        <v>2396</v>
      </c>
      <c r="J2125" t="s">
        <v>2480</v>
      </c>
      <c r="K2125" t="str">
        <f>+VLOOKUP(C2125,'[1]TIENDAS 2025'!$A$1:$C$143,3,0)</f>
        <v>departamental</v>
      </c>
      <c r="L2125" t="str">
        <f>+VLOOKUP(C2125,[2]Hoja1!$A$1:$B$138,2,0)</f>
        <v>APROBAR</v>
      </c>
      <c r="M2125">
        <v>1</v>
      </c>
      <c r="N2125" t="e">
        <v>#N/A</v>
      </c>
    </row>
    <row r="2126" spans="1:14" ht="15" customHeight="1" x14ac:dyDescent="0.3">
      <c r="A2126" s="3">
        <v>1209660846</v>
      </c>
      <c r="B2126" s="3" t="s">
        <v>2322</v>
      </c>
      <c r="C2126" s="3" t="s">
        <v>2323</v>
      </c>
      <c r="D2126" s="4">
        <v>46307.473229166702</v>
      </c>
      <c r="E2126" s="5" t="s">
        <v>10</v>
      </c>
      <c r="F2126" s="5" t="s">
        <v>11</v>
      </c>
      <c r="G2126" s="5">
        <v>26</v>
      </c>
      <c r="H2126" s="6" t="s">
        <v>12</v>
      </c>
      <c r="I2126" t="s">
        <v>2397</v>
      </c>
      <c r="J2126" t="s">
        <v>2480</v>
      </c>
      <c r="K2126" t="str">
        <f>+VLOOKUP(C2126,'[1]TIENDAS 2025'!$A$1:$C$143,3,0)</f>
        <v>departamental</v>
      </c>
      <c r="L2126" t="str">
        <f>+VLOOKUP(C2126,[2]Hoja1!$A$1:$B$138,2,0)</f>
        <v>APROBAR</v>
      </c>
      <c r="M2126">
        <v>1</v>
      </c>
      <c r="N2126" t="e">
        <v>#N/A</v>
      </c>
    </row>
    <row r="2127" spans="1:14" ht="15" customHeight="1" x14ac:dyDescent="0.3">
      <c r="A2127" s="3">
        <v>1209660885</v>
      </c>
      <c r="B2127" s="3" t="s">
        <v>2325</v>
      </c>
      <c r="C2127" s="3" t="s">
        <v>2326</v>
      </c>
      <c r="D2127" s="4">
        <v>46307.473275463002</v>
      </c>
      <c r="E2127" s="5" t="s">
        <v>10</v>
      </c>
      <c r="F2127" s="5" t="s">
        <v>11</v>
      </c>
      <c r="G2127" s="5">
        <v>63</v>
      </c>
      <c r="H2127" s="6" t="s">
        <v>12</v>
      </c>
      <c r="I2127" t="s">
        <v>2398</v>
      </c>
      <c r="J2127" t="s">
        <v>2480</v>
      </c>
      <c r="K2127" t="str">
        <f>+VLOOKUP(C2127,'[1]TIENDAS 2025'!$A$1:$C$143,3,0)</f>
        <v>local</v>
      </c>
      <c r="L2127" t="str">
        <f>+VLOOKUP(C2127,[2]Hoja1!$A$1:$B$138,2,0)</f>
        <v>APROBAR</v>
      </c>
      <c r="M2127">
        <v>1</v>
      </c>
      <c r="N2127" t="e">
        <v>#N/A</v>
      </c>
    </row>
    <row r="2128" spans="1:14" ht="15" customHeight="1" x14ac:dyDescent="0.3">
      <c r="A2128" s="3">
        <v>1209661005</v>
      </c>
      <c r="B2128" s="3" t="s">
        <v>2400</v>
      </c>
      <c r="C2128" s="3" t="s">
        <v>2401</v>
      </c>
      <c r="D2128" s="4">
        <v>46307.474918981497</v>
      </c>
      <c r="E2128" s="5" t="s">
        <v>10</v>
      </c>
      <c r="F2128" s="5" t="s">
        <v>11</v>
      </c>
      <c r="G2128" s="5">
        <v>12</v>
      </c>
      <c r="H2128" s="6" t="s">
        <v>12</v>
      </c>
      <c r="I2128" t="s">
        <v>2399</v>
      </c>
      <c r="J2128" t="s">
        <v>2480</v>
      </c>
      <c r="K2128" t="str">
        <f>+VLOOKUP(C2128,'[1]TIENDAS 2025'!$A$1:$C$143,3,0)</f>
        <v>local</v>
      </c>
      <c r="L2128" t="str">
        <f>+VLOOKUP(C2128,[2]Hoja1!$A$1:$B$138,2,0)</f>
        <v>APROBAR</v>
      </c>
      <c r="M2128">
        <v>1</v>
      </c>
      <c r="N2128" t="e">
        <v>#N/A</v>
      </c>
    </row>
    <row r="2129" spans="1:14" ht="15" customHeight="1" x14ac:dyDescent="0.3">
      <c r="A2129" s="3">
        <v>1209660944</v>
      </c>
      <c r="B2129" s="3" t="s">
        <v>2403</v>
      </c>
      <c r="C2129" s="3" t="s">
        <v>2404</v>
      </c>
      <c r="D2129" s="4">
        <v>46307.474930555603</v>
      </c>
      <c r="E2129" s="5" t="s">
        <v>10</v>
      </c>
      <c r="F2129" s="5" t="s">
        <v>11</v>
      </c>
      <c r="G2129" s="5">
        <v>5</v>
      </c>
      <c r="H2129" s="6" t="s">
        <v>12</v>
      </c>
      <c r="I2129" t="s">
        <v>2402</v>
      </c>
      <c r="J2129" t="s">
        <v>2480</v>
      </c>
      <c r="K2129" t="str">
        <f>+VLOOKUP(C2129,'[1]TIENDAS 2025'!$A$1:$C$143,3,0)</f>
        <v>departamental</v>
      </c>
      <c r="L2129" t="str">
        <f>+VLOOKUP(C2129,[2]Hoja1!$A$1:$B$138,2,0)</f>
        <v>APROBAR</v>
      </c>
      <c r="M2129">
        <v>1</v>
      </c>
      <c r="N2129" t="e">
        <v>#N/A</v>
      </c>
    </row>
    <row r="2130" spans="1:14" ht="15" customHeight="1" x14ac:dyDescent="0.3">
      <c r="A2130" s="3">
        <v>1209661008</v>
      </c>
      <c r="B2130" s="3" t="s">
        <v>2400</v>
      </c>
      <c r="C2130" s="3" t="s">
        <v>2401</v>
      </c>
      <c r="D2130" s="4">
        <v>46307.4749421296</v>
      </c>
      <c r="E2130" s="5" t="s">
        <v>10</v>
      </c>
      <c r="F2130" s="5" t="s">
        <v>11</v>
      </c>
      <c r="G2130" s="5">
        <v>35</v>
      </c>
      <c r="H2130" s="6" t="s">
        <v>12</v>
      </c>
      <c r="I2130" t="s">
        <v>2405</v>
      </c>
      <c r="J2130" t="s">
        <v>2480</v>
      </c>
      <c r="K2130" t="str">
        <f>+VLOOKUP(C2130,'[1]TIENDAS 2025'!$A$1:$C$143,3,0)</f>
        <v>local</v>
      </c>
      <c r="L2130" t="str">
        <f>+VLOOKUP(C2130,[2]Hoja1!$A$1:$B$138,2,0)</f>
        <v>APROBAR</v>
      </c>
      <c r="M2130">
        <v>1</v>
      </c>
      <c r="N2130" t="e">
        <v>#N/A</v>
      </c>
    </row>
    <row r="2131" spans="1:14" ht="15" customHeight="1" x14ac:dyDescent="0.3">
      <c r="A2131" s="3">
        <v>1209661011</v>
      </c>
      <c r="B2131" s="3" t="s">
        <v>2407</v>
      </c>
      <c r="C2131" s="3" t="s">
        <v>2408</v>
      </c>
      <c r="D2131" s="4">
        <v>46307.474965277797</v>
      </c>
      <c r="E2131" s="5" t="s">
        <v>10</v>
      </c>
      <c r="F2131" s="5" t="s">
        <v>17</v>
      </c>
      <c r="G2131" s="5">
        <v>3</v>
      </c>
      <c r="H2131" s="6" t="s">
        <v>12</v>
      </c>
      <c r="I2131" t="s">
        <v>2406</v>
      </c>
      <c r="J2131" t="s">
        <v>2480</v>
      </c>
      <c r="K2131" t="str">
        <f>+VLOOKUP(C2131,'[1]TIENDAS 2025'!$A$1:$C$143,3,0)</f>
        <v>departamental</v>
      </c>
      <c r="L2131" t="str">
        <f>+VLOOKUP(C2131,[2]Hoja1!$A$1:$B$138,2,0)</f>
        <v>APROBAR</v>
      </c>
      <c r="M2131">
        <v>1</v>
      </c>
      <c r="N2131" t="e">
        <v>#N/A</v>
      </c>
    </row>
    <row r="2132" spans="1:14" ht="15" customHeight="1" x14ac:dyDescent="0.3">
      <c r="A2132" s="3">
        <v>1209660949</v>
      </c>
      <c r="B2132" s="3" t="s">
        <v>2403</v>
      </c>
      <c r="C2132" s="3" t="s">
        <v>2404</v>
      </c>
      <c r="D2132" s="4">
        <v>46307.4749884259</v>
      </c>
      <c r="E2132" s="5" t="s">
        <v>10</v>
      </c>
      <c r="F2132" s="5" t="s">
        <v>11</v>
      </c>
      <c r="G2132" s="5">
        <v>27</v>
      </c>
      <c r="H2132" s="6" t="s">
        <v>12</v>
      </c>
      <c r="I2132" t="s">
        <v>2409</v>
      </c>
      <c r="J2132" t="s">
        <v>2480</v>
      </c>
      <c r="K2132" t="str">
        <f>+VLOOKUP(C2132,'[1]TIENDAS 2025'!$A$1:$C$143,3,0)</f>
        <v>departamental</v>
      </c>
      <c r="L2132" t="str">
        <f>+VLOOKUP(C2132,[2]Hoja1!$A$1:$B$138,2,0)</f>
        <v>APROBAR</v>
      </c>
      <c r="M2132">
        <v>1</v>
      </c>
      <c r="N2132" t="e">
        <v>#N/A</v>
      </c>
    </row>
    <row r="2133" spans="1:14" ht="15" customHeight="1" x14ac:dyDescent="0.3">
      <c r="A2133" s="3">
        <v>8209660956</v>
      </c>
      <c r="B2133" s="3" t="s">
        <v>2411</v>
      </c>
      <c r="C2133" s="3" t="s">
        <v>2412</v>
      </c>
      <c r="D2133" s="4">
        <v>46307.474999999999</v>
      </c>
      <c r="E2133" s="5" t="s">
        <v>10</v>
      </c>
      <c r="F2133" s="5" t="s">
        <v>16</v>
      </c>
      <c r="G2133" s="5">
        <v>3</v>
      </c>
      <c r="H2133" s="8" t="s">
        <v>12</v>
      </c>
      <c r="I2133" t="s">
        <v>2410</v>
      </c>
      <c r="K2133" t="str">
        <f>+VLOOKUP(C2133,'[1]TIENDAS 2025'!$A$1:$C$143,3,0)</f>
        <v>departamental</v>
      </c>
      <c r="L2133" t="str">
        <f>+VLOOKUP(C2133,[2]Hoja1!$A$1:$B$138,2,0)</f>
        <v>APROBAR</v>
      </c>
      <c r="M2133">
        <v>1</v>
      </c>
      <c r="N2133" t="e">
        <v>#N/A</v>
      </c>
    </row>
    <row r="2134" spans="1:14" ht="15" customHeight="1" x14ac:dyDescent="0.3">
      <c r="A2134" s="3">
        <v>1209660972</v>
      </c>
      <c r="B2134" s="3" t="s">
        <v>2411</v>
      </c>
      <c r="C2134" s="3" t="s">
        <v>2412</v>
      </c>
      <c r="D2134" s="4">
        <v>46307.475023148101</v>
      </c>
      <c r="E2134" s="5" t="s">
        <v>10</v>
      </c>
      <c r="F2134" s="5" t="s">
        <v>17</v>
      </c>
      <c r="G2134" s="5">
        <v>31</v>
      </c>
      <c r="H2134" s="6" t="s">
        <v>12</v>
      </c>
      <c r="I2134" t="s">
        <v>2413</v>
      </c>
      <c r="J2134" t="s">
        <v>2480</v>
      </c>
      <c r="K2134" t="str">
        <f>+VLOOKUP(C2134,'[1]TIENDAS 2025'!$A$1:$C$143,3,0)</f>
        <v>departamental</v>
      </c>
      <c r="L2134" t="str">
        <f>+VLOOKUP(C2134,[2]Hoja1!$A$1:$B$138,2,0)</f>
        <v>APROBAR</v>
      </c>
      <c r="M2134">
        <v>1</v>
      </c>
      <c r="N2134" t="e">
        <v>#N/A</v>
      </c>
    </row>
    <row r="2135" spans="1:14" ht="15" customHeight="1" x14ac:dyDescent="0.3">
      <c r="A2135" s="3">
        <v>1209661016</v>
      </c>
      <c r="B2135" s="3" t="s">
        <v>2407</v>
      </c>
      <c r="C2135" s="3" t="s">
        <v>2408</v>
      </c>
      <c r="D2135" s="4">
        <v>46307.475046296298</v>
      </c>
      <c r="E2135" s="5" t="s">
        <v>10</v>
      </c>
      <c r="F2135" s="5" t="s">
        <v>11</v>
      </c>
      <c r="G2135" s="5">
        <v>14</v>
      </c>
      <c r="H2135" s="6" t="s">
        <v>12</v>
      </c>
      <c r="I2135" t="s">
        <v>2414</v>
      </c>
      <c r="J2135" t="s">
        <v>2480</v>
      </c>
      <c r="K2135" t="str">
        <f>+VLOOKUP(C2135,'[1]TIENDAS 2025'!$A$1:$C$143,3,0)</f>
        <v>departamental</v>
      </c>
      <c r="L2135" t="str">
        <f>+VLOOKUP(C2135,[2]Hoja1!$A$1:$B$138,2,0)</f>
        <v>APROBAR</v>
      </c>
      <c r="M2135">
        <v>1</v>
      </c>
      <c r="N2135" t="e">
        <v>#N/A</v>
      </c>
    </row>
    <row r="2136" spans="1:14" ht="15" customHeight="1" x14ac:dyDescent="0.3">
      <c r="A2136" s="3">
        <v>1209661017</v>
      </c>
      <c r="B2136" s="3" t="s">
        <v>2407</v>
      </c>
      <c r="C2136" s="3" t="s">
        <v>2408</v>
      </c>
      <c r="D2136" s="4">
        <v>46307.475069444401</v>
      </c>
      <c r="E2136" s="5" t="s">
        <v>10</v>
      </c>
      <c r="F2136" s="5" t="s">
        <v>17</v>
      </c>
      <c r="G2136" s="5">
        <v>15</v>
      </c>
      <c r="H2136" s="6" t="s">
        <v>12</v>
      </c>
      <c r="I2136" t="s">
        <v>2415</v>
      </c>
      <c r="J2136" t="s">
        <v>2480</v>
      </c>
      <c r="K2136" t="str">
        <f>+VLOOKUP(C2136,'[1]TIENDAS 2025'!$A$1:$C$143,3,0)</f>
        <v>departamental</v>
      </c>
      <c r="L2136" t="str">
        <f>+VLOOKUP(C2136,[2]Hoja1!$A$1:$B$138,2,0)</f>
        <v>APROBAR</v>
      </c>
      <c r="M2136">
        <v>1</v>
      </c>
      <c r="N2136" t="e">
        <v>#N/A</v>
      </c>
    </row>
    <row r="2137" spans="1:14" ht="15" customHeight="1" x14ac:dyDescent="0.3">
      <c r="A2137" s="3">
        <v>1209661001</v>
      </c>
      <c r="B2137" s="3" t="s">
        <v>2400</v>
      </c>
      <c r="C2137" s="3" t="s">
        <v>2401</v>
      </c>
      <c r="D2137" s="4">
        <v>46307.4750810185</v>
      </c>
      <c r="E2137" s="5" t="s">
        <v>10</v>
      </c>
      <c r="F2137" s="5" t="s">
        <v>17</v>
      </c>
      <c r="G2137" s="5">
        <v>1</v>
      </c>
      <c r="H2137" s="6" t="s">
        <v>12</v>
      </c>
      <c r="I2137" t="s">
        <v>2416</v>
      </c>
      <c r="J2137" t="s">
        <v>2480</v>
      </c>
      <c r="K2137" t="str">
        <f>+VLOOKUP(C2137,'[1]TIENDAS 2025'!$A$1:$C$143,3,0)</f>
        <v>local</v>
      </c>
      <c r="L2137" t="str">
        <f>+VLOOKUP(C2137,[2]Hoja1!$A$1:$B$138,2,0)</f>
        <v>APROBAR</v>
      </c>
      <c r="M2137">
        <v>1</v>
      </c>
      <c r="N2137" t="e">
        <v>#N/A</v>
      </c>
    </row>
    <row r="2138" spans="1:14" ht="15" customHeight="1" x14ac:dyDescent="0.3">
      <c r="A2138" s="3">
        <v>1209661002</v>
      </c>
      <c r="B2138" s="3" t="s">
        <v>2400</v>
      </c>
      <c r="C2138" s="3" t="s">
        <v>2401</v>
      </c>
      <c r="D2138" s="4">
        <v>46307.475104166697</v>
      </c>
      <c r="E2138" s="5" t="s">
        <v>10</v>
      </c>
      <c r="F2138" s="5" t="s">
        <v>11</v>
      </c>
      <c r="G2138" s="5">
        <v>2</v>
      </c>
      <c r="H2138" s="6" t="s">
        <v>12</v>
      </c>
      <c r="I2138" t="s">
        <v>2417</v>
      </c>
      <c r="J2138" t="s">
        <v>2480</v>
      </c>
      <c r="K2138" t="str">
        <f>+VLOOKUP(C2138,'[1]TIENDAS 2025'!$A$1:$C$143,3,0)</f>
        <v>local</v>
      </c>
      <c r="L2138" t="str">
        <f>+VLOOKUP(C2138,[2]Hoja1!$A$1:$B$138,2,0)</f>
        <v>APROBAR</v>
      </c>
      <c r="M2138">
        <v>1</v>
      </c>
      <c r="N2138" t="e">
        <v>#N/A</v>
      </c>
    </row>
    <row r="2139" spans="1:14" ht="15" customHeight="1" x14ac:dyDescent="0.3">
      <c r="A2139" s="3">
        <v>1209660965</v>
      </c>
      <c r="B2139" s="3" t="s">
        <v>2411</v>
      </c>
      <c r="C2139" s="3" t="s">
        <v>2412</v>
      </c>
      <c r="D2139" s="4">
        <v>46307.475115740701</v>
      </c>
      <c r="E2139" s="5" t="s">
        <v>10</v>
      </c>
      <c r="F2139" s="5" t="s">
        <v>11</v>
      </c>
      <c r="G2139" s="5">
        <v>10</v>
      </c>
      <c r="H2139" s="6" t="s">
        <v>12</v>
      </c>
      <c r="I2139" t="s">
        <v>2418</v>
      </c>
      <c r="J2139" t="s">
        <v>2480</v>
      </c>
      <c r="K2139" t="str">
        <f>+VLOOKUP(C2139,'[1]TIENDAS 2025'!$A$1:$C$143,3,0)</f>
        <v>departamental</v>
      </c>
      <c r="L2139" t="str">
        <f>+VLOOKUP(C2139,[2]Hoja1!$A$1:$B$138,2,0)</f>
        <v>APROBAR</v>
      </c>
      <c r="M2139">
        <v>1</v>
      </c>
      <c r="N2139" t="e">
        <v>#N/A</v>
      </c>
    </row>
    <row r="2140" spans="1:14" ht="15" customHeight="1" x14ac:dyDescent="0.3">
      <c r="A2140" s="3">
        <v>1209661012</v>
      </c>
      <c r="B2140" s="3" t="s">
        <v>2407</v>
      </c>
      <c r="C2140" s="3" t="s">
        <v>2408</v>
      </c>
      <c r="D2140" s="4">
        <v>46307.475138888898</v>
      </c>
      <c r="E2140" s="5" t="s">
        <v>10</v>
      </c>
      <c r="F2140" s="5" t="s">
        <v>11</v>
      </c>
      <c r="G2140" s="5">
        <v>1</v>
      </c>
      <c r="H2140" s="6" t="s">
        <v>12</v>
      </c>
      <c r="I2140" t="s">
        <v>2419</v>
      </c>
      <c r="J2140" t="s">
        <v>2480</v>
      </c>
      <c r="K2140" t="str">
        <f>+VLOOKUP(C2140,'[1]TIENDAS 2025'!$A$1:$C$143,3,0)</f>
        <v>departamental</v>
      </c>
      <c r="L2140" t="str">
        <f>+VLOOKUP(C2140,[2]Hoja1!$A$1:$B$138,2,0)</f>
        <v>APROBAR</v>
      </c>
      <c r="M2140">
        <v>1</v>
      </c>
      <c r="N2140" t="e">
        <v>#N/A</v>
      </c>
    </row>
    <row r="2141" spans="1:14" ht="15" customHeight="1" x14ac:dyDescent="0.3">
      <c r="A2141" s="3">
        <v>1209660980</v>
      </c>
      <c r="B2141" s="3" t="s">
        <v>2411</v>
      </c>
      <c r="C2141" s="3" t="s">
        <v>2412</v>
      </c>
      <c r="D2141" s="4">
        <v>46307.475150462997</v>
      </c>
      <c r="E2141" s="5" t="s">
        <v>10</v>
      </c>
      <c r="F2141" s="5" t="s">
        <v>17</v>
      </c>
      <c r="G2141" s="5">
        <v>3</v>
      </c>
      <c r="H2141" s="6" t="s">
        <v>12</v>
      </c>
      <c r="I2141" t="s">
        <v>2420</v>
      </c>
      <c r="J2141" t="s">
        <v>2480</v>
      </c>
      <c r="K2141" t="str">
        <f>+VLOOKUP(C2141,'[1]TIENDAS 2025'!$A$1:$C$143,3,0)</f>
        <v>departamental</v>
      </c>
      <c r="L2141" t="str">
        <f>+VLOOKUP(C2141,[2]Hoja1!$A$1:$B$138,2,0)</f>
        <v>APROBAR</v>
      </c>
      <c r="M2141">
        <v>1</v>
      </c>
      <c r="N2141" t="e">
        <v>#N/A</v>
      </c>
    </row>
    <row r="2142" spans="1:14" ht="15" customHeight="1" x14ac:dyDescent="0.3">
      <c r="A2142" s="3">
        <v>8209660983</v>
      </c>
      <c r="B2142" s="3" t="s">
        <v>2422</v>
      </c>
      <c r="C2142" s="3" t="s">
        <v>2423</v>
      </c>
      <c r="D2142" s="4">
        <v>46307.475173611099</v>
      </c>
      <c r="E2142" s="5" t="s">
        <v>10</v>
      </c>
      <c r="F2142" s="5" t="s">
        <v>16</v>
      </c>
      <c r="G2142" s="5">
        <v>1</v>
      </c>
      <c r="H2142" s="8" t="s">
        <v>12</v>
      </c>
      <c r="I2142" t="s">
        <v>2421</v>
      </c>
      <c r="K2142" t="str">
        <f>+VLOOKUP(C2142,'[1]TIENDAS 2025'!$A$1:$C$143,3,0)</f>
        <v>departamental</v>
      </c>
      <c r="L2142" t="str">
        <f>+VLOOKUP(C2142,[2]Hoja1!$A$1:$B$138,2,0)</f>
        <v>APROBAR</v>
      </c>
      <c r="M2142">
        <v>1</v>
      </c>
      <c r="N2142" t="e">
        <v>#N/A</v>
      </c>
    </row>
    <row r="2143" spans="1:14" ht="15" customHeight="1" x14ac:dyDescent="0.3">
      <c r="A2143" s="3">
        <v>1209660986</v>
      </c>
      <c r="B2143" s="3" t="s">
        <v>2422</v>
      </c>
      <c r="C2143" s="3" t="s">
        <v>2423</v>
      </c>
      <c r="D2143" s="4">
        <v>46307.475196759297</v>
      </c>
      <c r="E2143" s="5" t="s">
        <v>10</v>
      </c>
      <c r="F2143" s="5" t="s">
        <v>11</v>
      </c>
      <c r="G2143" s="5">
        <v>1</v>
      </c>
      <c r="H2143" s="6" t="s">
        <v>12</v>
      </c>
      <c r="I2143" t="s">
        <v>2424</v>
      </c>
      <c r="J2143" t="s">
        <v>2480</v>
      </c>
      <c r="K2143" t="str">
        <f>+VLOOKUP(C2143,'[1]TIENDAS 2025'!$A$1:$C$143,3,0)</f>
        <v>departamental</v>
      </c>
      <c r="L2143" t="str">
        <f>+VLOOKUP(C2143,[2]Hoja1!$A$1:$B$138,2,0)</f>
        <v>APROBAR</v>
      </c>
      <c r="M2143">
        <v>1</v>
      </c>
      <c r="N2143" t="e">
        <v>#N/A</v>
      </c>
    </row>
    <row r="2144" spans="1:14" ht="15" customHeight="1" x14ac:dyDescent="0.3">
      <c r="A2144" s="3">
        <v>1209660987</v>
      </c>
      <c r="B2144" s="3" t="s">
        <v>2422</v>
      </c>
      <c r="C2144" s="3" t="s">
        <v>2423</v>
      </c>
      <c r="D2144" s="4">
        <v>46307.475208333301</v>
      </c>
      <c r="E2144" s="5" t="s">
        <v>10</v>
      </c>
      <c r="F2144" s="5" t="s">
        <v>11</v>
      </c>
      <c r="G2144" s="5">
        <v>7</v>
      </c>
      <c r="H2144" s="6" t="s">
        <v>12</v>
      </c>
      <c r="I2144" t="s">
        <v>2425</v>
      </c>
      <c r="J2144" t="s">
        <v>2480</v>
      </c>
      <c r="K2144" t="str">
        <f>+VLOOKUP(C2144,'[1]TIENDAS 2025'!$A$1:$C$143,3,0)</f>
        <v>departamental</v>
      </c>
      <c r="L2144" t="str">
        <f>+VLOOKUP(C2144,[2]Hoja1!$A$1:$B$138,2,0)</f>
        <v>APROBAR</v>
      </c>
      <c r="M2144">
        <v>1</v>
      </c>
      <c r="N2144" t="e">
        <v>#N/A</v>
      </c>
    </row>
    <row r="2145" spans="1:14" ht="15" customHeight="1" x14ac:dyDescent="0.3">
      <c r="A2145" s="3">
        <v>8209660958</v>
      </c>
      <c r="B2145" s="3" t="s">
        <v>2411</v>
      </c>
      <c r="C2145" s="3" t="s">
        <v>2412</v>
      </c>
      <c r="D2145" s="4">
        <v>46307.475231481498</v>
      </c>
      <c r="E2145" s="5" t="s">
        <v>10</v>
      </c>
      <c r="F2145" s="5" t="s">
        <v>16</v>
      </c>
      <c r="G2145" s="5">
        <v>4</v>
      </c>
      <c r="H2145" s="8" t="s">
        <v>12</v>
      </c>
      <c r="I2145" t="s">
        <v>2426</v>
      </c>
      <c r="K2145" t="str">
        <f>+VLOOKUP(C2145,'[1]TIENDAS 2025'!$A$1:$C$143,3,0)</f>
        <v>departamental</v>
      </c>
      <c r="L2145" t="str">
        <f>+VLOOKUP(C2145,[2]Hoja1!$A$1:$B$138,2,0)</f>
        <v>APROBAR</v>
      </c>
      <c r="M2145">
        <v>1</v>
      </c>
      <c r="N2145" t="e">
        <v>#N/A</v>
      </c>
    </row>
    <row r="2146" spans="1:14" ht="15" customHeight="1" x14ac:dyDescent="0.3">
      <c r="A2146" s="3">
        <v>8209660938</v>
      </c>
      <c r="B2146" s="3" t="s">
        <v>2403</v>
      </c>
      <c r="C2146" s="3" t="s">
        <v>2404</v>
      </c>
      <c r="D2146" s="4">
        <v>46307.475312499999</v>
      </c>
      <c r="E2146" s="5" t="s">
        <v>10</v>
      </c>
      <c r="F2146" s="5" t="s">
        <v>16</v>
      </c>
      <c r="G2146" s="5">
        <v>3</v>
      </c>
      <c r="H2146" s="8" t="s">
        <v>12</v>
      </c>
      <c r="I2146" t="s">
        <v>2427</v>
      </c>
      <c r="K2146" t="str">
        <f>+VLOOKUP(C2146,'[1]TIENDAS 2025'!$A$1:$C$143,3,0)</f>
        <v>departamental</v>
      </c>
      <c r="L2146" t="str">
        <f>+VLOOKUP(C2146,[2]Hoja1!$A$1:$B$138,2,0)</f>
        <v>APROBAR</v>
      </c>
      <c r="M2146">
        <v>1</v>
      </c>
      <c r="N2146" t="e">
        <v>#N/A</v>
      </c>
    </row>
    <row r="2147" spans="1:14" ht="15" customHeight="1" x14ac:dyDescent="0.3">
      <c r="A2147" s="3">
        <v>1209660991</v>
      </c>
      <c r="B2147" s="3" t="s">
        <v>2422</v>
      </c>
      <c r="C2147" s="3" t="s">
        <v>2423</v>
      </c>
      <c r="D2147" s="4">
        <v>46307.475324074097</v>
      </c>
      <c r="E2147" s="5" t="s">
        <v>10</v>
      </c>
      <c r="F2147" s="5" t="s">
        <v>11</v>
      </c>
      <c r="G2147" s="5">
        <v>9</v>
      </c>
      <c r="H2147" s="6" t="s">
        <v>12</v>
      </c>
      <c r="I2147" t="s">
        <v>2428</v>
      </c>
      <c r="J2147" t="s">
        <v>2480</v>
      </c>
      <c r="K2147" t="str">
        <f>+VLOOKUP(C2147,'[1]TIENDAS 2025'!$A$1:$C$143,3,0)</f>
        <v>departamental</v>
      </c>
      <c r="L2147" t="str">
        <f>+VLOOKUP(C2147,[2]Hoja1!$A$1:$B$138,2,0)</f>
        <v>APROBAR</v>
      </c>
      <c r="M2147">
        <v>1</v>
      </c>
      <c r="N2147" t="e">
        <v>#N/A</v>
      </c>
    </row>
    <row r="2148" spans="1:14" ht="15" customHeight="1" x14ac:dyDescent="0.3">
      <c r="A2148" s="3">
        <v>1209660962</v>
      </c>
      <c r="B2148" s="3" t="s">
        <v>2411</v>
      </c>
      <c r="C2148" s="3" t="s">
        <v>2412</v>
      </c>
      <c r="D2148" s="4">
        <v>46307.475335648101</v>
      </c>
      <c r="E2148" s="5" t="s">
        <v>10</v>
      </c>
      <c r="F2148" s="5" t="s">
        <v>11</v>
      </c>
      <c r="G2148" s="5">
        <v>11</v>
      </c>
      <c r="H2148" s="6" t="s">
        <v>12</v>
      </c>
      <c r="I2148" t="s">
        <v>2429</v>
      </c>
      <c r="J2148" t="s">
        <v>2480</v>
      </c>
      <c r="K2148" t="str">
        <f>+VLOOKUP(C2148,'[1]TIENDAS 2025'!$A$1:$C$143,3,0)</f>
        <v>departamental</v>
      </c>
      <c r="L2148" t="str">
        <f>+VLOOKUP(C2148,[2]Hoja1!$A$1:$B$138,2,0)</f>
        <v>APROBAR</v>
      </c>
      <c r="M2148">
        <v>1</v>
      </c>
      <c r="N2148" t="e">
        <v>#N/A</v>
      </c>
    </row>
    <row r="2149" spans="1:14" ht="15" customHeight="1" x14ac:dyDescent="0.3">
      <c r="A2149" s="3">
        <v>1209660942</v>
      </c>
      <c r="B2149" s="3" t="s">
        <v>2403</v>
      </c>
      <c r="C2149" s="3" t="s">
        <v>2404</v>
      </c>
      <c r="D2149" s="4">
        <v>46307.4753472222</v>
      </c>
      <c r="E2149" s="5" t="s">
        <v>10</v>
      </c>
      <c r="F2149" s="5" t="s">
        <v>17</v>
      </c>
      <c r="G2149" s="5">
        <v>1</v>
      </c>
      <c r="H2149" s="6" t="s">
        <v>12</v>
      </c>
      <c r="I2149" t="s">
        <v>2430</v>
      </c>
      <c r="J2149" t="s">
        <v>2480</v>
      </c>
      <c r="K2149" t="str">
        <f>+VLOOKUP(C2149,'[1]TIENDAS 2025'!$A$1:$C$143,3,0)</f>
        <v>departamental</v>
      </c>
      <c r="L2149" t="str">
        <f>+VLOOKUP(C2149,[2]Hoja1!$A$1:$B$138,2,0)</f>
        <v>APROBAR</v>
      </c>
      <c r="M2149">
        <v>1</v>
      </c>
      <c r="N2149" t="e">
        <v>#N/A</v>
      </c>
    </row>
    <row r="2150" spans="1:14" ht="15" customHeight="1" x14ac:dyDescent="0.3">
      <c r="A2150" s="3">
        <v>8209660940</v>
      </c>
      <c r="B2150" s="3" t="s">
        <v>2403</v>
      </c>
      <c r="C2150" s="3" t="s">
        <v>2404</v>
      </c>
      <c r="D2150" s="4">
        <v>46307.4753472222</v>
      </c>
      <c r="E2150" s="5" t="s">
        <v>10</v>
      </c>
      <c r="F2150" s="5" t="s">
        <v>16</v>
      </c>
      <c r="G2150" s="5">
        <v>3</v>
      </c>
      <c r="H2150" s="8" t="s">
        <v>12</v>
      </c>
      <c r="I2150" t="s">
        <v>2431</v>
      </c>
      <c r="K2150" t="str">
        <f>+VLOOKUP(C2150,'[1]TIENDAS 2025'!$A$1:$C$143,3,0)</f>
        <v>departamental</v>
      </c>
      <c r="L2150" t="str">
        <f>+VLOOKUP(C2150,[2]Hoja1!$A$1:$B$138,2,0)</f>
        <v>APROBAR</v>
      </c>
      <c r="M2150">
        <v>1</v>
      </c>
      <c r="N2150" t="e">
        <v>#N/A</v>
      </c>
    </row>
    <row r="2151" spans="1:14" ht="15" customHeight="1" x14ac:dyDescent="0.3">
      <c r="A2151" s="3">
        <v>1209660996</v>
      </c>
      <c r="B2151" s="3" t="s">
        <v>2422</v>
      </c>
      <c r="C2151" s="3" t="s">
        <v>2423</v>
      </c>
      <c r="D2151" s="4">
        <v>46307.4753472222</v>
      </c>
      <c r="E2151" s="5" t="s">
        <v>10</v>
      </c>
      <c r="F2151" s="5" t="s">
        <v>17</v>
      </c>
      <c r="G2151" s="5">
        <v>3</v>
      </c>
      <c r="H2151" s="6" t="s">
        <v>12</v>
      </c>
      <c r="I2151" t="s">
        <v>2432</v>
      </c>
      <c r="J2151" t="s">
        <v>2480</v>
      </c>
      <c r="K2151" t="str">
        <f>+VLOOKUP(C2151,'[1]TIENDAS 2025'!$A$1:$C$143,3,0)</f>
        <v>departamental</v>
      </c>
      <c r="L2151" t="str">
        <f>+VLOOKUP(C2151,[2]Hoja1!$A$1:$B$138,2,0)</f>
        <v>APROBAR</v>
      </c>
      <c r="M2151">
        <v>1</v>
      </c>
      <c r="N2151" t="e">
        <v>#N/A</v>
      </c>
    </row>
    <row r="2152" spans="1:14" ht="15" customHeight="1" x14ac:dyDescent="0.3">
      <c r="A2152" s="3">
        <v>8209660937</v>
      </c>
      <c r="B2152" s="3" t="s">
        <v>2403</v>
      </c>
      <c r="C2152" s="3" t="s">
        <v>2404</v>
      </c>
      <c r="D2152" s="4">
        <v>46307.475358796299</v>
      </c>
      <c r="E2152" s="5" t="s">
        <v>10</v>
      </c>
      <c r="F2152" s="5" t="s">
        <v>16</v>
      </c>
      <c r="G2152" s="5">
        <v>7</v>
      </c>
      <c r="H2152" s="8" t="s">
        <v>12</v>
      </c>
      <c r="I2152" t="s">
        <v>2433</v>
      </c>
      <c r="K2152" t="str">
        <f>+VLOOKUP(C2152,'[1]TIENDAS 2025'!$A$1:$C$143,3,0)</f>
        <v>departamental</v>
      </c>
      <c r="L2152" t="str">
        <f>+VLOOKUP(C2152,[2]Hoja1!$A$1:$B$138,2,0)</f>
        <v>APROBAR</v>
      </c>
      <c r="M2152">
        <v>1</v>
      </c>
      <c r="N2152" t="e">
        <v>#N/A</v>
      </c>
    </row>
    <row r="2153" spans="1:14" ht="15" customHeight="1" x14ac:dyDescent="0.3">
      <c r="A2153" s="3">
        <v>1209661006</v>
      </c>
      <c r="B2153" s="3" t="s">
        <v>2400</v>
      </c>
      <c r="C2153" s="3" t="s">
        <v>2401</v>
      </c>
      <c r="D2153" s="4">
        <v>46307.475381944401</v>
      </c>
      <c r="E2153" s="5" t="s">
        <v>10</v>
      </c>
      <c r="F2153" s="5" t="s">
        <v>11</v>
      </c>
      <c r="G2153" s="5">
        <v>5</v>
      </c>
      <c r="H2153" s="6" t="s">
        <v>12</v>
      </c>
      <c r="I2153" t="s">
        <v>2434</v>
      </c>
      <c r="J2153" t="s">
        <v>2480</v>
      </c>
      <c r="K2153" t="str">
        <f>+VLOOKUP(C2153,'[1]TIENDAS 2025'!$A$1:$C$143,3,0)</f>
        <v>local</v>
      </c>
      <c r="L2153" t="str">
        <f>+VLOOKUP(C2153,[2]Hoja1!$A$1:$B$138,2,0)</f>
        <v>APROBAR</v>
      </c>
      <c r="M2153">
        <v>1</v>
      </c>
      <c r="N2153" t="e">
        <v>#N/A</v>
      </c>
    </row>
    <row r="2154" spans="1:14" ht="15" customHeight="1" x14ac:dyDescent="0.3">
      <c r="A2154" s="3">
        <v>1209661007</v>
      </c>
      <c r="B2154" s="3" t="s">
        <v>2400</v>
      </c>
      <c r="C2154" s="3" t="s">
        <v>2401</v>
      </c>
      <c r="D2154" s="4">
        <v>46307.4753935185</v>
      </c>
      <c r="E2154" s="5" t="s">
        <v>10</v>
      </c>
      <c r="F2154" s="5" t="s">
        <v>17</v>
      </c>
      <c r="G2154" s="5">
        <v>17</v>
      </c>
      <c r="H2154" s="6" t="s">
        <v>12</v>
      </c>
      <c r="I2154" t="s">
        <v>2435</v>
      </c>
      <c r="J2154" t="s">
        <v>2480</v>
      </c>
      <c r="K2154" t="str">
        <f>+VLOOKUP(C2154,'[1]TIENDAS 2025'!$A$1:$C$143,3,0)</f>
        <v>local</v>
      </c>
      <c r="L2154" t="str">
        <f>+VLOOKUP(C2154,[2]Hoja1!$A$1:$B$138,2,0)</f>
        <v>APROBAR</v>
      </c>
      <c r="M2154">
        <v>1</v>
      </c>
      <c r="N2154" t="e">
        <v>#N/A</v>
      </c>
    </row>
    <row r="2155" spans="1:14" ht="15" customHeight="1" x14ac:dyDescent="0.3">
      <c r="A2155" s="3">
        <v>1209660946</v>
      </c>
      <c r="B2155" s="3" t="s">
        <v>2403</v>
      </c>
      <c r="C2155" s="3" t="s">
        <v>2404</v>
      </c>
      <c r="D2155" s="4">
        <v>46307.475416666697</v>
      </c>
      <c r="E2155" s="5" t="s">
        <v>10</v>
      </c>
      <c r="F2155" s="5" t="s">
        <v>11</v>
      </c>
      <c r="G2155" s="5">
        <v>12</v>
      </c>
      <c r="H2155" s="6" t="s">
        <v>12</v>
      </c>
      <c r="I2155" t="s">
        <v>2436</v>
      </c>
      <c r="J2155" t="s">
        <v>2480</v>
      </c>
      <c r="K2155" t="str">
        <f>+VLOOKUP(C2155,'[1]TIENDAS 2025'!$A$1:$C$143,3,0)</f>
        <v>departamental</v>
      </c>
      <c r="L2155" t="str">
        <f>+VLOOKUP(C2155,[2]Hoja1!$A$1:$B$138,2,0)</f>
        <v>APROBAR</v>
      </c>
      <c r="M2155">
        <v>1</v>
      </c>
      <c r="N2155" t="e">
        <v>#N/A</v>
      </c>
    </row>
    <row r="2156" spans="1:14" ht="15" customHeight="1" x14ac:dyDescent="0.3">
      <c r="A2156" s="3">
        <v>8209661009</v>
      </c>
      <c r="B2156" s="3" t="s">
        <v>2407</v>
      </c>
      <c r="C2156" s="3" t="s">
        <v>2408</v>
      </c>
      <c r="D2156" s="4">
        <v>46307.4754398148</v>
      </c>
      <c r="E2156" s="5" t="s">
        <v>10</v>
      </c>
      <c r="F2156" s="5" t="s">
        <v>16</v>
      </c>
      <c r="G2156" s="5">
        <v>11</v>
      </c>
      <c r="H2156" s="8" t="s">
        <v>12</v>
      </c>
      <c r="I2156" t="s">
        <v>2437</v>
      </c>
      <c r="K2156" t="str">
        <f>+VLOOKUP(C2156,'[1]TIENDAS 2025'!$A$1:$C$143,3,0)</f>
        <v>departamental</v>
      </c>
      <c r="L2156" t="str">
        <f>+VLOOKUP(C2156,[2]Hoja1!$A$1:$B$138,2,0)</f>
        <v>APROBAR</v>
      </c>
      <c r="M2156">
        <v>1</v>
      </c>
      <c r="N2156" t="e">
        <v>#N/A</v>
      </c>
    </row>
    <row r="2157" spans="1:14" ht="15" customHeight="1" x14ac:dyDescent="0.3">
      <c r="A2157" s="3">
        <v>1209661014</v>
      </c>
      <c r="B2157" s="3" t="s">
        <v>2407</v>
      </c>
      <c r="C2157" s="3" t="s">
        <v>2408</v>
      </c>
      <c r="D2157" s="4">
        <v>46307.475462962997</v>
      </c>
      <c r="E2157" s="5" t="s">
        <v>10</v>
      </c>
      <c r="F2157" s="5" t="s">
        <v>11</v>
      </c>
      <c r="G2157" s="5">
        <v>8</v>
      </c>
      <c r="H2157" s="6" t="s">
        <v>12</v>
      </c>
      <c r="I2157" t="s">
        <v>2438</v>
      </c>
      <c r="J2157" t="s">
        <v>2480</v>
      </c>
      <c r="K2157" t="str">
        <f>+VLOOKUP(C2157,'[1]TIENDAS 2025'!$A$1:$C$143,3,0)</f>
        <v>departamental</v>
      </c>
      <c r="L2157" t="str">
        <f>+VLOOKUP(C2157,[2]Hoja1!$A$1:$B$138,2,0)</f>
        <v>APROBAR</v>
      </c>
      <c r="M2157">
        <v>1</v>
      </c>
      <c r="N2157" t="e">
        <v>#N/A</v>
      </c>
    </row>
    <row r="2158" spans="1:14" ht="15" customHeight="1" x14ac:dyDescent="0.3">
      <c r="A2158" s="3">
        <v>8209660998</v>
      </c>
      <c r="B2158" s="3" t="s">
        <v>2400</v>
      </c>
      <c r="C2158" s="3" t="s">
        <v>2401</v>
      </c>
      <c r="D2158" s="4">
        <v>46307.475474537001</v>
      </c>
      <c r="E2158" s="5" t="s">
        <v>10</v>
      </c>
      <c r="F2158" s="5" t="s">
        <v>16</v>
      </c>
      <c r="G2158" s="5">
        <v>1</v>
      </c>
      <c r="H2158" s="8" t="s">
        <v>12</v>
      </c>
      <c r="I2158" t="s">
        <v>2439</v>
      </c>
      <c r="K2158" t="str">
        <f>+VLOOKUP(C2158,'[1]TIENDAS 2025'!$A$1:$C$143,3,0)</f>
        <v>local</v>
      </c>
      <c r="L2158" t="str">
        <f>+VLOOKUP(C2158,[2]Hoja1!$A$1:$B$138,2,0)</f>
        <v>APROBAR</v>
      </c>
      <c r="M2158">
        <v>1</v>
      </c>
      <c r="N2158" t="e">
        <v>#N/A</v>
      </c>
    </row>
    <row r="2159" spans="1:14" ht="15" customHeight="1" x14ac:dyDescent="0.3">
      <c r="A2159" s="3">
        <v>1209660964</v>
      </c>
      <c r="B2159" s="3" t="s">
        <v>2411</v>
      </c>
      <c r="C2159" s="3" t="s">
        <v>2412</v>
      </c>
      <c r="D2159" s="4">
        <v>46307.475497685198</v>
      </c>
      <c r="E2159" s="5" t="s">
        <v>10</v>
      </c>
      <c r="F2159" s="5" t="s">
        <v>11</v>
      </c>
      <c r="G2159" s="5">
        <v>9</v>
      </c>
      <c r="H2159" s="6" t="s">
        <v>12</v>
      </c>
      <c r="I2159" t="s">
        <v>2440</v>
      </c>
      <c r="J2159" t="s">
        <v>2480</v>
      </c>
      <c r="K2159" t="str">
        <f>+VLOOKUP(C2159,'[1]TIENDAS 2025'!$A$1:$C$143,3,0)</f>
        <v>departamental</v>
      </c>
      <c r="L2159" t="str">
        <f>+VLOOKUP(C2159,[2]Hoja1!$A$1:$B$138,2,0)</f>
        <v>APROBAR</v>
      </c>
      <c r="M2159">
        <v>1</v>
      </c>
      <c r="N2159" t="e">
        <v>#N/A</v>
      </c>
    </row>
    <row r="2160" spans="1:14" ht="15" customHeight="1" x14ac:dyDescent="0.3">
      <c r="A2160" s="3">
        <v>1209661004</v>
      </c>
      <c r="B2160" s="3" t="s">
        <v>2400</v>
      </c>
      <c r="C2160" s="3" t="s">
        <v>2401</v>
      </c>
      <c r="D2160" s="4">
        <v>46307.475520833301</v>
      </c>
      <c r="E2160" s="5" t="s">
        <v>10</v>
      </c>
      <c r="F2160" s="5" t="s">
        <v>11</v>
      </c>
      <c r="G2160" s="5">
        <v>6</v>
      </c>
      <c r="H2160" s="6" t="s">
        <v>12</v>
      </c>
      <c r="I2160" t="s">
        <v>2441</v>
      </c>
      <c r="J2160" t="s">
        <v>2480</v>
      </c>
      <c r="K2160" t="str">
        <f>+VLOOKUP(C2160,'[1]TIENDAS 2025'!$A$1:$C$143,3,0)</f>
        <v>local</v>
      </c>
      <c r="L2160" t="str">
        <f>+VLOOKUP(C2160,[2]Hoja1!$A$1:$B$138,2,0)</f>
        <v>APROBAR</v>
      </c>
      <c r="M2160">
        <v>1</v>
      </c>
      <c r="N2160" t="e">
        <v>#N/A</v>
      </c>
    </row>
    <row r="2161" spans="1:14" ht="15" customHeight="1" x14ac:dyDescent="0.3">
      <c r="A2161" s="3">
        <v>8209660936</v>
      </c>
      <c r="B2161" s="3" t="s">
        <v>2403</v>
      </c>
      <c r="C2161" s="3" t="s">
        <v>2404</v>
      </c>
      <c r="D2161" s="4">
        <v>46307.475532407399</v>
      </c>
      <c r="E2161" s="5" t="s">
        <v>10</v>
      </c>
      <c r="F2161" s="5" t="s">
        <v>16</v>
      </c>
      <c r="G2161" s="5">
        <v>9</v>
      </c>
      <c r="H2161" s="8" t="s">
        <v>12</v>
      </c>
      <c r="I2161" t="s">
        <v>2442</v>
      </c>
      <c r="K2161" t="str">
        <f>+VLOOKUP(C2161,'[1]TIENDAS 2025'!$A$1:$C$143,3,0)</f>
        <v>departamental</v>
      </c>
      <c r="L2161" t="str">
        <f>+VLOOKUP(C2161,[2]Hoja1!$A$1:$B$138,2,0)</f>
        <v>APROBAR</v>
      </c>
      <c r="M2161">
        <v>1</v>
      </c>
      <c r="N2161" t="e">
        <v>#N/A</v>
      </c>
    </row>
    <row r="2162" spans="1:14" ht="15" customHeight="1" x14ac:dyDescent="0.3">
      <c r="A2162" s="3">
        <v>1209660945</v>
      </c>
      <c r="B2162" s="3" t="s">
        <v>2403</v>
      </c>
      <c r="C2162" s="3" t="s">
        <v>2404</v>
      </c>
      <c r="D2162" s="4">
        <v>46307.475555555597</v>
      </c>
      <c r="E2162" s="5" t="s">
        <v>10</v>
      </c>
      <c r="F2162" s="5" t="s">
        <v>11</v>
      </c>
      <c r="G2162" s="5">
        <v>15</v>
      </c>
      <c r="H2162" s="6" t="s">
        <v>12</v>
      </c>
      <c r="I2162" t="s">
        <v>2443</v>
      </c>
      <c r="J2162" t="s">
        <v>2480</v>
      </c>
      <c r="K2162" t="str">
        <f>+VLOOKUP(C2162,'[1]TIENDAS 2025'!$A$1:$C$143,3,0)</f>
        <v>departamental</v>
      </c>
      <c r="L2162" t="str">
        <f>+VLOOKUP(C2162,[2]Hoja1!$A$1:$B$138,2,0)</f>
        <v>APROBAR</v>
      </c>
      <c r="M2162">
        <v>1</v>
      </c>
      <c r="N2162" t="e">
        <v>#N/A</v>
      </c>
    </row>
    <row r="2163" spans="1:14" ht="15" customHeight="1" x14ac:dyDescent="0.3">
      <c r="A2163" s="3">
        <v>1209660947</v>
      </c>
      <c r="B2163" s="3" t="s">
        <v>2403</v>
      </c>
      <c r="C2163" s="3" t="s">
        <v>2404</v>
      </c>
      <c r="D2163" s="4">
        <v>46307.475567129601</v>
      </c>
      <c r="E2163" s="5" t="s">
        <v>10</v>
      </c>
      <c r="F2163" s="5" t="s">
        <v>11</v>
      </c>
      <c r="G2163" s="5">
        <v>6</v>
      </c>
      <c r="H2163" s="6" t="s">
        <v>12</v>
      </c>
      <c r="I2163" t="s">
        <v>2444</v>
      </c>
      <c r="J2163" t="s">
        <v>2480</v>
      </c>
      <c r="K2163" t="str">
        <f>+VLOOKUP(C2163,'[1]TIENDAS 2025'!$A$1:$C$143,3,0)</f>
        <v>departamental</v>
      </c>
      <c r="L2163" t="str">
        <f>+VLOOKUP(C2163,[2]Hoja1!$A$1:$B$138,2,0)</f>
        <v>APROBAR</v>
      </c>
      <c r="M2163">
        <v>1</v>
      </c>
      <c r="N2163" t="e">
        <v>#N/A</v>
      </c>
    </row>
    <row r="2164" spans="1:14" ht="15" customHeight="1" x14ac:dyDescent="0.3">
      <c r="A2164" s="3">
        <v>1209660948</v>
      </c>
      <c r="B2164" s="3" t="s">
        <v>2403</v>
      </c>
      <c r="C2164" s="3" t="s">
        <v>2404</v>
      </c>
      <c r="D2164" s="4">
        <v>46307.475590277798</v>
      </c>
      <c r="E2164" s="5" t="s">
        <v>10</v>
      </c>
      <c r="F2164" s="5" t="s">
        <v>17</v>
      </c>
      <c r="G2164" s="5">
        <v>18</v>
      </c>
      <c r="H2164" s="6" t="s">
        <v>12</v>
      </c>
      <c r="I2164" t="s">
        <v>2445</v>
      </c>
      <c r="J2164" t="s">
        <v>2480</v>
      </c>
      <c r="K2164" t="str">
        <f>+VLOOKUP(C2164,'[1]TIENDAS 2025'!$A$1:$C$143,3,0)</f>
        <v>departamental</v>
      </c>
      <c r="L2164" t="str">
        <f>+VLOOKUP(C2164,[2]Hoja1!$A$1:$B$138,2,0)</f>
        <v>APROBAR</v>
      </c>
      <c r="M2164">
        <v>1</v>
      </c>
      <c r="N2164" t="e">
        <v>#N/A</v>
      </c>
    </row>
    <row r="2165" spans="1:14" ht="15" customHeight="1" x14ac:dyDescent="0.3">
      <c r="A2165" s="3">
        <v>1209661015</v>
      </c>
      <c r="B2165" s="3" t="s">
        <v>2407</v>
      </c>
      <c r="C2165" s="3" t="s">
        <v>2408</v>
      </c>
      <c r="D2165" s="4">
        <v>46307.475613425901</v>
      </c>
      <c r="E2165" s="5" t="s">
        <v>10</v>
      </c>
      <c r="F2165" s="5" t="s">
        <v>11</v>
      </c>
      <c r="G2165" s="5">
        <v>8</v>
      </c>
      <c r="H2165" s="6" t="s">
        <v>12</v>
      </c>
      <c r="I2165" t="s">
        <v>2446</v>
      </c>
      <c r="J2165" t="s">
        <v>2480</v>
      </c>
      <c r="K2165" t="str">
        <f>+VLOOKUP(C2165,'[1]TIENDAS 2025'!$A$1:$C$143,3,0)</f>
        <v>departamental</v>
      </c>
      <c r="L2165" t="str">
        <f>+VLOOKUP(C2165,[2]Hoja1!$A$1:$B$138,2,0)</f>
        <v>APROBAR</v>
      </c>
      <c r="M2165">
        <v>1</v>
      </c>
      <c r="N2165" t="e">
        <v>#N/A</v>
      </c>
    </row>
    <row r="2166" spans="1:14" ht="15" customHeight="1" x14ac:dyDescent="0.3">
      <c r="A2166" s="3">
        <v>1209660950</v>
      </c>
      <c r="B2166" s="3" t="s">
        <v>2403</v>
      </c>
      <c r="C2166" s="3" t="s">
        <v>2404</v>
      </c>
      <c r="D2166" s="4">
        <v>46307.475624999999</v>
      </c>
      <c r="E2166" s="5" t="s">
        <v>10</v>
      </c>
      <c r="F2166" s="5" t="s">
        <v>17</v>
      </c>
      <c r="G2166" s="5">
        <v>23</v>
      </c>
      <c r="H2166" s="6" t="s">
        <v>12</v>
      </c>
      <c r="I2166" t="s">
        <v>2447</v>
      </c>
      <c r="J2166" t="s">
        <v>2480</v>
      </c>
      <c r="K2166" t="str">
        <f>+VLOOKUP(C2166,'[1]TIENDAS 2025'!$A$1:$C$143,3,0)</f>
        <v>departamental</v>
      </c>
      <c r="L2166" t="str">
        <f>+VLOOKUP(C2166,[2]Hoja1!$A$1:$B$138,2,0)</f>
        <v>APROBAR</v>
      </c>
      <c r="M2166">
        <v>1</v>
      </c>
      <c r="N2166" t="e">
        <v>#N/A</v>
      </c>
    </row>
    <row r="2167" spans="1:14" ht="15" customHeight="1" x14ac:dyDescent="0.3">
      <c r="A2167" s="3">
        <v>8209660982</v>
      </c>
      <c r="B2167" s="3" t="s">
        <v>2422</v>
      </c>
      <c r="C2167" s="3" t="s">
        <v>2423</v>
      </c>
      <c r="D2167" s="4">
        <v>46307.475648148102</v>
      </c>
      <c r="E2167" s="5" t="s">
        <v>10</v>
      </c>
      <c r="F2167" s="5" t="s">
        <v>16</v>
      </c>
      <c r="G2167" s="5">
        <v>1</v>
      </c>
      <c r="H2167" s="8" t="s">
        <v>12</v>
      </c>
      <c r="I2167" t="s">
        <v>2448</v>
      </c>
      <c r="K2167" t="str">
        <f>+VLOOKUP(C2167,'[1]TIENDAS 2025'!$A$1:$C$143,3,0)</f>
        <v>departamental</v>
      </c>
      <c r="L2167" t="str">
        <f>+VLOOKUP(C2167,[2]Hoja1!$A$1:$B$138,2,0)</f>
        <v>APROBAR</v>
      </c>
      <c r="M2167">
        <v>1</v>
      </c>
      <c r="N2167" t="e">
        <v>#N/A</v>
      </c>
    </row>
    <row r="2168" spans="1:14" ht="15" customHeight="1" x14ac:dyDescent="0.3">
      <c r="A2168" s="3">
        <v>8209660997</v>
      </c>
      <c r="B2168" s="3" t="s">
        <v>2400</v>
      </c>
      <c r="C2168" s="3" t="s">
        <v>2401</v>
      </c>
      <c r="D2168" s="4">
        <v>46307.475671296299</v>
      </c>
      <c r="E2168" s="5" t="s">
        <v>10</v>
      </c>
      <c r="F2168" s="5" t="s">
        <v>16</v>
      </c>
      <c r="G2168" s="5">
        <v>1</v>
      </c>
      <c r="H2168" s="8" t="s">
        <v>12</v>
      </c>
      <c r="I2168" t="s">
        <v>2449</v>
      </c>
      <c r="K2168" t="str">
        <f>+VLOOKUP(C2168,'[1]TIENDAS 2025'!$A$1:$C$143,3,0)</f>
        <v>local</v>
      </c>
      <c r="L2168" t="str">
        <f>+VLOOKUP(C2168,[2]Hoja1!$A$1:$B$138,2,0)</f>
        <v>APROBAR</v>
      </c>
      <c r="M2168">
        <v>1</v>
      </c>
      <c r="N2168" t="e">
        <v>#N/A</v>
      </c>
    </row>
    <row r="2169" spans="1:14" ht="15" customHeight="1" x14ac:dyDescent="0.3">
      <c r="A2169" s="3">
        <v>1209661003</v>
      </c>
      <c r="B2169" s="3" t="s">
        <v>2400</v>
      </c>
      <c r="C2169" s="3" t="s">
        <v>2401</v>
      </c>
      <c r="D2169" s="4">
        <v>46307.475682870398</v>
      </c>
      <c r="E2169" s="5" t="s">
        <v>10</v>
      </c>
      <c r="F2169" s="5" t="s">
        <v>11</v>
      </c>
      <c r="G2169" s="5">
        <v>5</v>
      </c>
      <c r="H2169" s="6" t="s">
        <v>12</v>
      </c>
      <c r="I2169" t="s">
        <v>2450</v>
      </c>
      <c r="J2169" t="s">
        <v>2480</v>
      </c>
      <c r="K2169" t="str">
        <f>+VLOOKUP(C2169,'[1]TIENDAS 2025'!$A$1:$C$143,3,0)</f>
        <v>local</v>
      </c>
      <c r="L2169" t="str">
        <f>+VLOOKUP(C2169,[2]Hoja1!$A$1:$B$138,2,0)</f>
        <v>APROBAR</v>
      </c>
      <c r="M2169">
        <v>1</v>
      </c>
      <c r="N2169" t="e">
        <v>#N/A</v>
      </c>
    </row>
    <row r="2170" spans="1:14" ht="15" customHeight="1" x14ac:dyDescent="0.3">
      <c r="A2170" s="3">
        <v>1209660967</v>
      </c>
      <c r="B2170" s="3" t="s">
        <v>2411</v>
      </c>
      <c r="C2170" s="3" t="s">
        <v>2412</v>
      </c>
      <c r="D2170" s="4">
        <v>46307.4757060185</v>
      </c>
      <c r="E2170" s="5" t="s">
        <v>10</v>
      </c>
      <c r="F2170" s="5" t="s">
        <v>11</v>
      </c>
      <c r="G2170" s="5">
        <v>12</v>
      </c>
      <c r="H2170" s="6" t="s">
        <v>12</v>
      </c>
      <c r="I2170" t="s">
        <v>2451</v>
      </c>
      <c r="J2170" t="s">
        <v>2480</v>
      </c>
      <c r="K2170" t="str">
        <f>+VLOOKUP(C2170,'[1]TIENDAS 2025'!$A$1:$C$143,3,0)</f>
        <v>departamental</v>
      </c>
      <c r="L2170" t="str">
        <f>+VLOOKUP(C2170,[2]Hoja1!$A$1:$B$138,2,0)</f>
        <v>APROBAR</v>
      </c>
      <c r="M2170">
        <v>1</v>
      </c>
      <c r="N2170" t="e">
        <v>#N/A</v>
      </c>
    </row>
    <row r="2171" spans="1:14" ht="15" customHeight="1" x14ac:dyDescent="0.3">
      <c r="A2171" s="3">
        <v>1209660941</v>
      </c>
      <c r="B2171" s="3" t="s">
        <v>2403</v>
      </c>
      <c r="C2171" s="3" t="s">
        <v>2404</v>
      </c>
      <c r="D2171" s="4">
        <v>46307.475729166697</v>
      </c>
      <c r="E2171" s="5" t="s">
        <v>10</v>
      </c>
      <c r="F2171" s="5" t="s">
        <v>17</v>
      </c>
      <c r="G2171" s="5">
        <v>4</v>
      </c>
      <c r="H2171" s="6" t="s">
        <v>12</v>
      </c>
      <c r="I2171" t="s">
        <v>2452</v>
      </c>
      <c r="J2171" t="s">
        <v>2480</v>
      </c>
      <c r="K2171" t="str">
        <f>+VLOOKUP(C2171,'[1]TIENDAS 2025'!$A$1:$C$143,3,0)</f>
        <v>departamental</v>
      </c>
      <c r="L2171" t="str">
        <f>+VLOOKUP(C2171,[2]Hoja1!$A$1:$B$138,2,0)</f>
        <v>APROBAR</v>
      </c>
      <c r="M2171">
        <v>1</v>
      </c>
      <c r="N2171" t="e">
        <v>#N/A</v>
      </c>
    </row>
    <row r="2172" spans="1:14" ht="15" customHeight="1" x14ac:dyDescent="0.3">
      <c r="A2172" s="3">
        <v>8209660978</v>
      </c>
      <c r="B2172" s="3" t="s">
        <v>2411</v>
      </c>
      <c r="C2172" s="3" t="s">
        <v>2412</v>
      </c>
      <c r="D2172" s="4">
        <v>46307.475740740701</v>
      </c>
      <c r="E2172" s="5" t="s">
        <v>10</v>
      </c>
      <c r="F2172" s="5" t="s">
        <v>16</v>
      </c>
      <c r="G2172" s="5">
        <v>3</v>
      </c>
      <c r="H2172" s="8" t="s">
        <v>12</v>
      </c>
      <c r="I2172" t="s">
        <v>2453</v>
      </c>
      <c r="K2172" t="str">
        <f>+VLOOKUP(C2172,'[1]TIENDAS 2025'!$A$1:$C$143,3,0)</f>
        <v>departamental</v>
      </c>
      <c r="L2172" t="str">
        <f>+VLOOKUP(C2172,[2]Hoja1!$A$1:$B$138,2,0)</f>
        <v>APROBAR</v>
      </c>
      <c r="M2172">
        <v>1</v>
      </c>
      <c r="N2172" t="e">
        <v>#N/A</v>
      </c>
    </row>
    <row r="2173" spans="1:14" ht="15" customHeight="1" x14ac:dyDescent="0.3">
      <c r="A2173" s="3">
        <v>8209660981</v>
      </c>
      <c r="B2173" s="3" t="s">
        <v>2422</v>
      </c>
      <c r="C2173" s="3" t="s">
        <v>2423</v>
      </c>
      <c r="D2173" s="4">
        <v>46307.475763888899</v>
      </c>
      <c r="E2173" s="5" t="s">
        <v>10</v>
      </c>
      <c r="F2173" s="5" t="s">
        <v>16</v>
      </c>
      <c r="G2173" s="5">
        <v>1</v>
      </c>
      <c r="H2173" s="8" t="s">
        <v>12</v>
      </c>
      <c r="I2173" t="s">
        <v>2454</v>
      </c>
      <c r="K2173" t="str">
        <f>+VLOOKUP(C2173,'[1]TIENDAS 2025'!$A$1:$C$143,3,0)</f>
        <v>departamental</v>
      </c>
      <c r="L2173" t="str">
        <f>+VLOOKUP(C2173,[2]Hoja1!$A$1:$B$138,2,0)</f>
        <v>APROBAR</v>
      </c>
      <c r="M2173">
        <v>1</v>
      </c>
      <c r="N2173" t="e">
        <v>#N/A</v>
      </c>
    </row>
    <row r="2174" spans="1:14" ht="15" customHeight="1" x14ac:dyDescent="0.3">
      <c r="A2174" s="3">
        <v>1209660951</v>
      </c>
      <c r="B2174" s="3" t="s">
        <v>2403</v>
      </c>
      <c r="C2174" s="3" t="s">
        <v>2404</v>
      </c>
      <c r="D2174" s="4">
        <v>46307.475775462997</v>
      </c>
      <c r="E2174" s="5" t="s">
        <v>10</v>
      </c>
      <c r="F2174" s="5" t="s">
        <v>17</v>
      </c>
      <c r="G2174" s="5">
        <v>19</v>
      </c>
      <c r="H2174" s="6" t="s">
        <v>12</v>
      </c>
      <c r="I2174" t="s">
        <v>2455</v>
      </c>
      <c r="J2174" t="s">
        <v>2480</v>
      </c>
      <c r="K2174" t="str">
        <f>+VLOOKUP(C2174,'[1]TIENDAS 2025'!$A$1:$C$143,3,0)</f>
        <v>departamental</v>
      </c>
      <c r="L2174" t="str">
        <f>+VLOOKUP(C2174,[2]Hoja1!$A$1:$B$138,2,0)</f>
        <v>APROBAR</v>
      </c>
      <c r="M2174">
        <v>1</v>
      </c>
      <c r="N2174" t="e">
        <v>#N/A</v>
      </c>
    </row>
    <row r="2175" spans="1:14" ht="15" customHeight="1" x14ac:dyDescent="0.3">
      <c r="A2175" s="3">
        <v>1209660994</v>
      </c>
      <c r="B2175" s="3" t="s">
        <v>2422</v>
      </c>
      <c r="C2175" s="3" t="s">
        <v>2423</v>
      </c>
      <c r="D2175" s="4">
        <v>46307.475787037001</v>
      </c>
      <c r="E2175" s="5" t="s">
        <v>10</v>
      </c>
      <c r="F2175" s="5" t="s">
        <v>17</v>
      </c>
      <c r="G2175" s="5">
        <v>21</v>
      </c>
      <c r="H2175" s="6" t="s">
        <v>12</v>
      </c>
      <c r="I2175" t="s">
        <v>2456</v>
      </c>
      <c r="J2175" t="s">
        <v>2480</v>
      </c>
      <c r="K2175" t="str">
        <f>+VLOOKUP(C2175,'[1]TIENDAS 2025'!$A$1:$C$143,3,0)</f>
        <v>departamental</v>
      </c>
      <c r="L2175" t="str">
        <f>+VLOOKUP(C2175,[2]Hoja1!$A$1:$B$138,2,0)</f>
        <v>APROBAR</v>
      </c>
      <c r="M2175">
        <v>1</v>
      </c>
      <c r="N2175" t="e">
        <v>#N/A</v>
      </c>
    </row>
    <row r="2176" spans="1:14" ht="15" customHeight="1" x14ac:dyDescent="0.3">
      <c r="A2176" s="3">
        <v>8209660999</v>
      </c>
      <c r="B2176" s="3" t="s">
        <v>2400</v>
      </c>
      <c r="C2176" s="3" t="s">
        <v>2401</v>
      </c>
      <c r="D2176" s="4">
        <v>46307.4757986111</v>
      </c>
      <c r="E2176" s="5" t="s">
        <v>10</v>
      </c>
      <c r="F2176" s="5" t="s">
        <v>16</v>
      </c>
      <c r="G2176" s="5">
        <v>2</v>
      </c>
      <c r="H2176" s="8" t="s">
        <v>12</v>
      </c>
      <c r="I2176" t="s">
        <v>2457</v>
      </c>
      <c r="K2176" t="str">
        <f>+VLOOKUP(C2176,'[1]TIENDAS 2025'!$A$1:$C$143,3,0)</f>
        <v>local</v>
      </c>
      <c r="L2176" t="str">
        <f>+VLOOKUP(C2176,[2]Hoja1!$A$1:$B$138,2,0)</f>
        <v>APROBAR</v>
      </c>
      <c r="M2176">
        <v>1</v>
      </c>
      <c r="N2176" t="e">
        <v>#N/A</v>
      </c>
    </row>
    <row r="2177" spans="1:14" ht="15" customHeight="1" x14ac:dyDescent="0.3">
      <c r="A2177" s="3">
        <v>8209660984</v>
      </c>
      <c r="B2177" s="3" t="s">
        <v>2422</v>
      </c>
      <c r="C2177" s="3" t="s">
        <v>2423</v>
      </c>
      <c r="D2177" s="4">
        <v>46307.475856481498</v>
      </c>
      <c r="E2177" s="5" t="s">
        <v>10</v>
      </c>
      <c r="F2177" s="5" t="s">
        <v>16</v>
      </c>
      <c r="G2177" s="5">
        <v>5</v>
      </c>
      <c r="H2177" s="8" t="s">
        <v>12</v>
      </c>
      <c r="I2177" t="s">
        <v>2458</v>
      </c>
      <c r="K2177" t="str">
        <f>+VLOOKUP(C2177,'[1]TIENDAS 2025'!$A$1:$C$143,3,0)</f>
        <v>departamental</v>
      </c>
      <c r="L2177" t="str">
        <f>+VLOOKUP(C2177,[2]Hoja1!$A$1:$B$138,2,0)</f>
        <v>APROBAR</v>
      </c>
      <c r="M2177">
        <v>1</v>
      </c>
      <c r="N2177" t="e">
        <v>#N/A</v>
      </c>
    </row>
    <row r="2178" spans="1:14" ht="15" customHeight="1" x14ac:dyDescent="0.3">
      <c r="A2178" s="3">
        <v>8209660985</v>
      </c>
      <c r="B2178" s="3" t="s">
        <v>2422</v>
      </c>
      <c r="C2178" s="3" t="s">
        <v>2423</v>
      </c>
      <c r="D2178" s="4">
        <v>46307.475879629601</v>
      </c>
      <c r="E2178" s="5" t="s">
        <v>10</v>
      </c>
      <c r="F2178" s="5" t="s">
        <v>16</v>
      </c>
      <c r="G2178" s="5">
        <v>1</v>
      </c>
      <c r="H2178" s="8" t="s">
        <v>12</v>
      </c>
      <c r="I2178" t="s">
        <v>2459</v>
      </c>
      <c r="K2178" t="str">
        <f>+VLOOKUP(C2178,'[1]TIENDAS 2025'!$A$1:$C$143,3,0)</f>
        <v>departamental</v>
      </c>
      <c r="L2178" t="str">
        <f>+VLOOKUP(C2178,[2]Hoja1!$A$1:$B$138,2,0)</f>
        <v>APROBAR</v>
      </c>
      <c r="M2178">
        <v>1</v>
      </c>
      <c r="N2178" t="e">
        <v>#N/A</v>
      </c>
    </row>
    <row r="2179" spans="1:14" ht="15" customHeight="1" x14ac:dyDescent="0.3">
      <c r="A2179" s="3">
        <v>1209660989</v>
      </c>
      <c r="B2179" s="3" t="s">
        <v>2422</v>
      </c>
      <c r="C2179" s="3" t="s">
        <v>2423</v>
      </c>
      <c r="D2179" s="4">
        <v>46307.4758912037</v>
      </c>
      <c r="E2179" s="5" t="s">
        <v>10</v>
      </c>
      <c r="F2179" s="5" t="s">
        <v>11</v>
      </c>
      <c r="G2179" s="5">
        <v>3</v>
      </c>
      <c r="H2179" s="6" t="s">
        <v>12</v>
      </c>
      <c r="I2179" t="s">
        <v>2460</v>
      </c>
      <c r="J2179" t="s">
        <v>2480</v>
      </c>
      <c r="K2179" t="str">
        <f>+VLOOKUP(C2179,'[1]TIENDAS 2025'!$A$1:$C$143,3,0)</f>
        <v>departamental</v>
      </c>
      <c r="L2179" t="str">
        <f>+VLOOKUP(C2179,[2]Hoja1!$A$1:$B$138,2,0)</f>
        <v>APROBAR</v>
      </c>
      <c r="M2179">
        <v>1</v>
      </c>
      <c r="N2179" t="e">
        <v>#N/A</v>
      </c>
    </row>
    <row r="2180" spans="1:14" ht="15" customHeight="1" x14ac:dyDescent="0.3">
      <c r="A2180" s="3">
        <v>1209660990</v>
      </c>
      <c r="B2180" s="3" t="s">
        <v>2422</v>
      </c>
      <c r="C2180" s="3" t="s">
        <v>2423</v>
      </c>
      <c r="D2180" s="4">
        <v>46307.475914351897</v>
      </c>
      <c r="E2180" s="5" t="s">
        <v>10</v>
      </c>
      <c r="F2180" s="5" t="s">
        <v>11</v>
      </c>
      <c r="G2180" s="5">
        <v>4</v>
      </c>
      <c r="H2180" s="6" t="s">
        <v>12</v>
      </c>
      <c r="I2180" t="s">
        <v>2461</v>
      </c>
      <c r="J2180" t="s">
        <v>2480</v>
      </c>
      <c r="K2180" t="str">
        <f>+VLOOKUP(C2180,'[1]TIENDAS 2025'!$A$1:$C$143,3,0)</f>
        <v>departamental</v>
      </c>
      <c r="L2180" t="str">
        <f>+VLOOKUP(C2180,[2]Hoja1!$A$1:$B$138,2,0)</f>
        <v>APROBAR</v>
      </c>
      <c r="M2180">
        <v>1</v>
      </c>
      <c r="N2180" t="e">
        <v>#N/A</v>
      </c>
    </row>
    <row r="2181" spans="1:14" ht="15" customHeight="1" x14ac:dyDescent="0.3">
      <c r="A2181" s="3">
        <v>1209660992</v>
      </c>
      <c r="B2181" s="3" t="s">
        <v>2422</v>
      </c>
      <c r="C2181" s="3" t="s">
        <v>2423</v>
      </c>
      <c r="D2181" s="4">
        <v>46307.475925925901</v>
      </c>
      <c r="E2181" s="5" t="s">
        <v>10</v>
      </c>
      <c r="F2181" s="5" t="s">
        <v>11</v>
      </c>
      <c r="G2181" s="5">
        <v>15</v>
      </c>
      <c r="H2181" s="6" t="s">
        <v>12</v>
      </c>
      <c r="I2181" t="s">
        <v>2462</v>
      </c>
      <c r="J2181" t="s">
        <v>2480</v>
      </c>
      <c r="K2181" t="str">
        <f>+VLOOKUP(C2181,'[1]TIENDAS 2025'!$A$1:$C$143,3,0)</f>
        <v>departamental</v>
      </c>
      <c r="L2181" t="str">
        <f>+VLOOKUP(C2181,[2]Hoja1!$A$1:$B$138,2,0)</f>
        <v>APROBAR</v>
      </c>
      <c r="M2181">
        <v>1</v>
      </c>
      <c r="N2181" t="e">
        <v>#N/A</v>
      </c>
    </row>
    <row r="2182" spans="1:14" ht="15" customHeight="1" x14ac:dyDescent="0.3">
      <c r="A2182" s="3">
        <v>1209660993</v>
      </c>
      <c r="B2182" s="3" t="s">
        <v>2422</v>
      </c>
      <c r="C2182" s="3" t="s">
        <v>2423</v>
      </c>
      <c r="D2182" s="4">
        <v>46307.475937499999</v>
      </c>
      <c r="E2182" s="5" t="s">
        <v>10</v>
      </c>
      <c r="F2182" s="5" t="s">
        <v>11</v>
      </c>
      <c r="G2182" s="5">
        <v>11</v>
      </c>
      <c r="H2182" s="6" t="s">
        <v>12</v>
      </c>
      <c r="I2182" t="s">
        <v>2463</v>
      </c>
      <c r="J2182" t="s">
        <v>2480</v>
      </c>
      <c r="K2182" t="str">
        <f>+VLOOKUP(C2182,'[1]TIENDAS 2025'!$A$1:$C$143,3,0)</f>
        <v>departamental</v>
      </c>
      <c r="L2182" t="str">
        <f>+VLOOKUP(C2182,[2]Hoja1!$A$1:$B$138,2,0)</f>
        <v>APROBAR</v>
      </c>
      <c r="M2182">
        <v>1</v>
      </c>
      <c r="N2182" t="e">
        <v>#N/A</v>
      </c>
    </row>
    <row r="2183" spans="1:14" ht="15" customHeight="1" x14ac:dyDescent="0.3">
      <c r="A2183" s="3">
        <v>1209660963</v>
      </c>
      <c r="B2183" s="3" t="s">
        <v>2411</v>
      </c>
      <c r="C2183" s="3" t="s">
        <v>2412</v>
      </c>
      <c r="D2183" s="4">
        <v>46307.475983796299</v>
      </c>
      <c r="E2183" s="5" t="s">
        <v>10</v>
      </c>
      <c r="F2183" s="5" t="s">
        <v>17</v>
      </c>
      <c r="G2183" s="5">
        <v>6</v>
      </c>
      <c r="H2183" s="6" t="s">
        <v>12</v>
      </c>
      <c r="I2183" t="s">
        <v>2464</v>
      </c>
      <c r="J2183" t="s">
        <v>2480</v>
      </c>
      <c r="K2183" t="str">
        <f>+VLOOKUP(C2183,'[1]TIENDAS 2025'!$A$1:$C$143,3,0)</f>
        <v>departamental</v>
      </c>
      <c r="L2183" t="str">
        <f>+VLOOKUP(C2183,[2]Hoja1!$A$1:$B$138,2,0)</f>
        <v>APROBAR</v>
      </c>
      <c r="M2183">
        <v>1</v>
      </c>
      <c r="N2183" t="e">
        <v>#N/A</v>
      </c>
    </row>
    <row r="2184" spans="1:14" ht="15" customHeight="1" x14ac:dyDescent="0.3">
      <c r="A2184" s="3">
        <v>8209660995</v>
      </c>
      <c r="B2184" s="3" t="s">
        <v>2422</v>
      </c>
      <c r="C2184" s="3" t="s">
        <v>2423</v>
      </c>
      <c r="D2184" s="4">
        <v>46307.476006944402</v>
      </c>
      <c r="E2184" s="5" t="s">
        <v>10</v>
      </c>
      <c r="F2184" s="5" t="s">
        <v>16</v>
      </c>
      <c r="G2184" s="5">
        <v>3</v>
      </c>
      <c r="H2184" s="8" t="s">
        <v>12</v>
      </c>
      <c r="I2184" t="s">
        <v>2465</v>
      </c>
      <c r="K2184" t="str">
        <f>+VLOOKUP(C2184,'[1]TIENDAS 2025'!$A$1:$C$143,3,0)</f>
        <v>departamental</v>
      </c>
      <c r="L2184" t="str">
        <f>+VLOOKUP(C2184,[2]Hoja1!$A$1:$B$138,2,0)</f>
        <v>APROBAR</v>
      </c>
      <c r="M2184">
        <v>1</v>
      </c>
      <c r="N2184" t="e">
        <v>#N/A</v>
      </c>
    </row>
    <row r="2185" spans="1:14" ht="15" customHeight="1" x14ac:dyDescent="0.3">
      <c r="A2185" s="3">
        <v>1209661000</v>
      </c>
      <c r="B2185" s="3" t="s">
        <v>2400</v>
      </c>
      <c r="C2185" s="3" t="s">
        <v>2401</v>
      </c>
      <c r="D2185" s="4">
        <v>46307.4760185185</v>
      </c>
      <c r="E2185" s="5" t="s">
        <v>10</v>
      </c>
      <c r="F2185" s="5" t="s">
        <v>11</v>
      </c>
      <c r="G2185" s="5">
        <v>6</v>
      </c>
      <c r="H2185" s="6" t="s">
        <v>12</v>
      </c>
      <c r="I2185" t="s">
        <v>2466</v>
      </c>
      <c r="J2185" t="s">
        <v>2480</v>
      </c>
      <c r="K2185" t="str">
        <f>+VLOOKUP(C2185,'[1]TIENDAS 2025'!$A$1:$C$143,3,0)</f>
        <v>local</v>
      </c>
      <c r="L2185" t="str">
        <f>+VLOOKUP(C2185,[2]Hoja1!$A$1:$B$138,2,0)</f>
        <v>APROBAR</v>
      </c>
      <c r="M2185">
        <v>1</v>
      </c>
      <c r="N2185" t="e">
        <v>#N/A</v>
      </c>
    </row>
    <row r="2186" spans="1:14" ht="15" customHeight="1" x14ac:dyDescent="0.3">
      <c r="A2186" s="3">
        <v>1209660966</v>
      </c>
      <c r="B2186" s="3" t="s">
        <v>2411</v>
      </c>
      <c r="C2186" s="3" t="s">
        <v>2412</v>
      </c>
      <c r="D2186" s="4">
        <v>46307.476041666698</v>
      </c>
      <c r="E2186" s="5" t="s">
        <v>10</v>
      </c>
      <c r="F2186" s="5" t="s">
        <v>11</v>
      </c>
      <c r="G2186" s="5">
        <v>1</v>
      </c>
      <c r="H2186" s="6" t="s">
        <v>12</v>
      </c>
      <c r="I2186" t="s">
        <v>2467</v>
      </c>
      <c r="J2186" t="s">
        <v>2480</v>
      </c>
      <c r="K2186" t="str">
        <f>+VLOOKUP(C2186,'[1]TIENDAS 2025'!$A$1:$C$143,3,0)</f>
        <v>departamental</v>
      </c>
      <c r="L2186" t="str">
        <f>+VLOOKUP(C2186,[2]Hoja1!$A$1:$B$138,2,0)</f>
        <v>APROBAR</v>
      </c>
      <c r="M2186">
        <v>1</v>
      </c>
      <c r="N2186" t="e">
        <v>#N/A</v>
      </c>
    </row>
    <row r="2187" spans="1:14" ht="15" customHeight="1" x14ac:dyDescent="0.3">
      <c r="A2187" s="3">
        <v>8209660939</v>
      </c>
      <c r="B2187" s="3" t="s">
        <v>2403</v>
      </c>
      <c r="C2187" s="3" t="s">
        <v>2404</v>
      </c>
      <c r="D2187" s="4">
        <v>46307.4760648148</v>
      </c>
      <c r="E2187" s="5" t="s">
        <v>10</v>
      </c>
      <c r="F2187" s="5" t="s">
        <v>16</v>
      </c>
      <c r="G2187" s="5">
        <v>3</v>
      </c>
      <c r="H2187" s="8" t="s">
        <v>12</v>
      </c>
      <c r="I2187" t="s">
        <v>2468</v>
      </c>
      <c r="K2187" t="str">
        <f>+VLOOKUP(C2187,'[1]TIENDAS 2025'!$A$1:$C$143,3,0)</f>
        <v>departamental</v>
      </c>
      <c r="L2187" t="str">
        <f>+VLOOKUP(C2187,[2]Hoja1!$A$1:$B$138,2,0)</f>
        <v>APROBAR</v>
      </c>
      <c r="M2187">
        <v>1</v>
      </c>
      <c r="N2187" t="e">
        <v>#N/A</v>
      </c>
    </row>
    <row r="2188" spans="1:14" ht="15" customHeight="1" x14ac:dyDescent="0.3">
      <c r="A2188" s="3">
        <v>1209660943</v>
      </c>
      <c r="B2188" s="3" t="s">
        <v>2403</v>
      </c>
      <c r="C2188" s="3" t="s">
        <v>2404</v>
      </c>
      <c r="D2188" s="4">
        <v>46307.476087962998</v>
      </c>
      <c r="E2188" s="5" t="s">
        <v>10</v>
      </c>
      <c r="F2188" s="5" t="s">
        <v>11</v>
      </c>
      <c r="G2188" s="5">
        <v>5</v>
      </c>
      <c r="H2188" s="6" t="s">
        <v>12</v>
      </c>
      <c r="I2188" t="s">
        <v>2469</v>
      </c>
      <c r="J2188" t="s">
        <v>2480</v>
      </c>
      <c r="K2188" t="str">
        <f>+VLOOKUP(C2188,'[1]TIENDAS 2025'!$A$1:$C$143,3,0)</f>
        <v>departamental</v>
      </c>
      <c r="L2188" t="str">
        <f>+VLOOKUP(C2188,[2]Hoja1!$A$1:$B$138,2,0)</f>
        <v>APROBAR</v>
      </c>
      <c r="M2188">
        <v>1</v>
      </c>
      <c r="N2188" t="e">
        <v>#N/A</v>
      </c>
    </row>
    <row r="2189" spans="1:14" ht="15" customHeight="1" x14ac:dyDescent="0.3">
      <c r="A2189" s="3">
        <v>1209660968</v>
      </c>
      <c r="B2189" s="3" t="s">
        <v>2411</v>
      </c>
      <c r="C2189" s="3" t="s">
        <v>2412</v>
      </c>
      <c r="D2189" s="4">
        <v>46307.476099537002</v>
      </c>
      <c r="E2189" s="5" t="s">
        <v>10</v>
      </c>
      <c r="F2189" s="5" t="s">
        <v>11</v>
      </c>
      <c r="G2189" s="5">
        <v>13</v>
      </c>
      <c r="H2189" s="6" t="s">
        <v>12</v>
      </c>
      <c r="I2189" t="s">
        <v>2470</v>
      </c>
      <c r="J2189" t="s">
        <v>2480</v>
      </c>
      <c r="K2189" t="str">
        <f>+VLOOKUP(C2189,'[1]TIENDAS 2025'!$A$1:$C$143,3,0)</f>
        <v>departamental</v>
      </c>
      <c r="L2189" t="str">
        <f>+VLOOKUP(C2189,[2]Hoja1!$A$1:$B$138,2,0)</f>
        <v>APROBAR</v>
      </c>
      <c r="M2189">
        <v>1</v>
      </c>
      <c r="N2189" t="e">
        <v>#N/A</v>
      </c>
    </row>
    <row r="2190" spans="1:14" ht="15" customHeight="1" x14ac:dyDescent="0.3">
      <c r="A2190" s="3">
        <v>1209660969</v>
      </c>
      <c r="B2190" s="3" t="s">
        <v>2411</v>
      </c>
      <c r="C2190" s="3" t="s">
        <v>2412</v>
      </c>
      <c r="D2190" s="4">
        <v>46307.476122685199</v>
      </c>
      <c r="E2190" s="5" t="s">
        <v>10</v>
      </c>
      <c r="F2190" s="5" t="s">
        <v>11</v>
      </c>
      <c r="G2190" s="5">
        <v>6</v>
      </c>
      <c r="H2190" s="6" t="s">
        <v>12</v>
      </c>
      <c r="I2190" t="s">
        <v>2471</v>
      </c>
      <c r="J2190" t="s">
        <v>2480</v>
      </c>
      <c r="K2190" t="str">
        <f>+VLOOKUP(C2190,'[1]TIENDAS 2025'!$A$1:$C$143,3,0)</f>
        <v>departamental</v>
      </c>
      <c r="L2190" t="str">
        <f>+VLOOKUP(C2190,[2]Hoja1!$A$1:$B$138,2,0)</f>
        <v>APROBAR</v>
      </c>
      <c r="M2190">
        <v>1</v>
      </c>
      <c r="N2190" t="e">
        <v>#N/A</v>
      </c>
    </row>
    <row r="2191" spans="1:14" ht="15" customHeight="1" x14ac:dyDescent="0.3">
      <c r="A2191" s="3">
        <v>1209661010</v>
      </c>
      <c r="B2191" s="3" t="s">
        <v>2407</v>
      </c>
      <c r="C2191" s="3" t="s">
        <v>2408</v>
      </c>
      <c r="D2191" s="4">
        <v>46307.476134259297</v>
      </c>
      <c r="E2191" s="5" t="s">
        <v>10</v>
      </c>
      <c r="F2191" s="5" t="s">
        <v>11</v>
      </c>
      <c r="G2191" s="5">
        <v>1</v>
      </c>
      <c r="H2191" s="6" t="s">
        <v>12</v>
      </c>
      <c r="I2191" t="s">
        <v>2472</v>
      </c>
      <c r="J2191" t="s">
        <v>2480</v>
      </c>
      <c r="K2191" t="str">
        <f>+VLOOKUP(C2191,'[1]TIENDAS 2025'!$A$1:$C$143,3,0)</f>
        <v>departamental</v>
      </c>
      <c r="L2191" t="str">
        <f>+VLOOKUP(C2191,[2]Hoja1!$A$1:$B$138,2,0)</f>
        <v>APROBAR</v>
      </c>
      <c r="M2191">
        <v>1</v>
      </c>
      <c r="N2191" t="e">
        <v>#N/A</v>
      </c>
    </row>
    <row r="2192" spans="1:14" ht="15" customHeight="1" x14ac:dyDescent="0.3">
      <c r="A2192" s="3">
        <v>1209661013</v>
      </c>
      <c r="B2192" s="3" t="s">
        <v>2407</v>
      </c>
      <c r="C2192" s="3" t="s">
        <v>2408</v>
      </c>
      <c r="D2192" s="4">
        <v>46307.476145833301</v>
      </c>
      <c r="E2192" s="5" t="s">
        <v>10</v>
      </c>
      <c r="F2192" s="5" t="s">
        <v>11</v>
      </c>
      <c r="G2192" s="5">
        <v>6</v>
      </c>
      <c r="H2192" s="6" t="s">
        <v>12</v>
      </c>
      <c r="I2192" t="s">
        <v>2473</v>
      </c>
      <c r="J2192" t="s">
        <v>2480</v>
      </c>
      <c r="K2192" t="str">
        <f>+VLOOKUP(C2192,'[1]TIENDAS 2025'!$A$1:$C$143,3,0)</f>
        <v>departamental</v>
      </c>
      <c r="L2192" t="str">
        <f>+VLOOKUP(C2192,[2]Hoja1!$A$1:$B$138,2,0)</f>
        <v>APROBAR</v>
      </c>
      <c r="M2192">
        <v>1</v>
      </c>
      <c r="N2192" t="e">
        <v>#N/A</v>
      </c>
    </row>
    <row r="2193" spans="1:14" ht="15" customHeight="1" x14ac:dyDescent="0.3">
      <c r="A2193" s="3">
        <v>1209660988</v>
      </c>
      <c r="B2193" s="3" t="s">
        <v>2422</v>
      </c>
      <c r="C2193" s="3" t="s">
        <v>2423</v>
      </c>
      <c r="D2193" s="4">
        <v>46307.476168981499</v>
      </c>
      <c r="E2193" s="5" t="s">
        <v>10</v>
      </c>
      <c r="F2193" s="5" t="s">
        <v>11</v>
      </c>
      <c r="G2193" s="5">
        <v>2</v>
      </c>
      <c r="H2193" s="6" t="s">
        <v>12</v>
      </c>
      <c r="I2193" t="s">
        <v>2474</v>
      </c>
      <c r="J2193" t="s">
        <v>2480</v>
      </c>
      <c r="K2193" t="str">
        <f>+VLOOKUP(C2193,'[1]TIENDAS 2025'!$A$1:$C$143,3,0)</f>
        <v>departamental</v>
      </c>
      <c r="L2193" t="str">
        <f>+VLOOKUP(C2193,[2]Hoja1!$A$1:$B$138,2,0)</f>
        <v>APROBAR</v>
      </c>
      <c r="M2193">
        <v>1</v>
      </c>
      <c r="N2193" t="e">
        <v>#N/A</v>
      </c>
    </row>
    <row r="2194" spans="1:14" ht="15" customHeight="1" x14ac:dyDescent="0.3">
      <c r="A2194" s="3">
        <v>8209660959</v>
      </c>
      <c r="B2194" s="3" t="s">
        <v>2411</v>
      </c>
      <c r="C2194" s="3" t="s">
        <v>2412</v>
      </c>
      <c r="D2194" s="4">
        <v>46307.476180555597</v>
      </c>
      <c r="E2194" s="5" t="s">
        <v>10</v>
      </c>
      <c r="F2194" s="5" t="s">
        <v>16</v>
      </c>
      <c r="G2194" s="5">
        <v>4</v>
      </c>
      <c r="H2194" s="8" t="s">
        <v>12</v>
      </c>
      <c r="I2194" t="s">
        <v>2475</v>
      </c>
      <c r="K2194" t="str">
        <f>+VLOOKUP(C2194,'[1]TIENDAS 2025'!$A$1:$C$143,3,0)</f>
        <v>departamental</v>
      </c>
      <c r="L2194" t="str">
        <f>+VLOOKUP(C2194,[2]Hoja1!$A$1:$B$138,2,0)</f>
        <v>APROBAR</v>
      </c>
      <c r="M2194">
        <v>1</v>
      </c>
      <c r="N2194" t="e">
        <v>#N/A</v>
      </c>
    </row>
    <row r="2195" spans="1:14" ht="15" customHeight="1" x14ac:dyDescent="0.3">
      <c r="A2195" s="3">
        <v>1209661018</v>
      </c>
      <c r="B2195" s="3" t="s">
        <v>2407</v>
      </c>
      <c r="C2195" s="3" t="s">
        <v>2408</v>
      </c>
      <c r="D2195" s="4">
        <v>46307.4762037037</v>
      </c>
      <c r="E2195" s="5" t="s">
        <v>10</v>
      </c>
      <c r="F2195" s="5" t="s">
        <v>17</v>
      </c>
      <c r="G2195" s="5">
        <v>24</v>
      </c>
      <c r="H2195" s="6" t="s">
        <v>12</v>
      </c>
      <c r="I2195" t="s">
        <v>2476</v>
      </c>
      <c r="J2195" t="s">
        <v>2480</v>
      </c>
      <c r="K2195" t="str">
        <f>+VLOOKUP(C2195,'[1]TIENDAS 2025'!$A$1:$C$143,3,0)</f>
        <v>departamental</v>
      </c>
      <c r="L2195" t="str">
        <f>+VLOOKUP(C2195,[2]Hoja1!$A$1:$B$138,2,0)</f>
        <v>APROBAR</v>
      </c>
      <c r="M2195">
        <v>1</v>
      </c>
      <c r="N2195" t="e">
        <v>#N/A</v>
      </c>
    </row>
    <row r="2196" spans="1:14" ht="15" customHeight="1" x14ac:dyDescent="0.3">
      <c r="A2196" s="3">
        <v>1209661019</v>
      </c>
      <c r="B2196" s="3" t="s">
        <v>2407</v>
      </c>
      <c r="C2196" s="3" t="s">
        <v>2408</v>
      </c>
      <c r="D2196" s="4">
        <v>46307.4762037037</v>
      </c>
      <c r="E2196" s="5" t="s">
        <v>10</v>
      </c>
      <c r="F2196" s="5" t="s">
        <v>11</v>
      </c>
      <c r="G2196" s="5">
        <v>27</v>
      </c>
      <c r="H2196" s="6" t="s">
        <v>12</v>
      </c>
      <c r="I2196" t="s">
        <v>2477</v>
      </c>
      <c r="J2196" t="s">
        <v>2480</v>
      </c>
      <c r="K2196" t="str">
        <f>+VLOOKUP(C2196,'[1]TIENDAS 2025'!$A$1:$C$143,3,0)</f>
        <v>departamental</v>
      </c>
      <c r="L2196" t="str">
        <f>+VLOOKUP(C2196,[2]Hoja1!$A$1:$B$138,2,0)</f>
        <v>APROBAR</v>
      </c>
      <c r="M2196">
        <v>1</v>
      </c>
      <c r="N2196" t="e">
        <v>#N/A</v>
      </c>
    </row>
    <row r="2197" spans="1:14" ht="15" customHeight="1" x14ac:dyDescent="0.3">
      <c r="A2197" s="3">
        <v>1209660961</v>
      </c>
      <c r="B2197" s="3" t="s">
        <v>2411</v>
      </c>
      <c r="C2197" s="3" t="s">
        <v>2412</v>
      </c>
      <c r="D2197" s="4">
        <v>46307.476226851897</v>
      </c>
      <c r="E2197" s="5" t="s">
        <v>10</v>
      </c>
      <c r="F2197" s="5" t="s">
        <v>11</v>
      </c>
      <c r="G2197" s="5">
        <v>4</v>
      </c>
      <c r="H2197" s="6" t="s">
        <v>12</v>
      </c>
      <c r="I2197" t="s">
        <v>2478</v>
      </c>
      <c r="J2197" t="s">
        <v>2480</v>
      </c>
      <c r="K2197" t="str">
        <f>+VLOOKUP(C2197,'[1]TIENDAS 2025'!$A$1:$C$143,3,0)</f>
        <v>departamental</v>
      </c>
      <c r="L2197" t="str">
        <f>+VLOOKUP(C2197,[2]Hoja1!$A$1:$B$138,2,0)</f>
        <v>APROBAR</v>
      </c>
      <c r="M2197">
        <v>1</v>
      </c>
      <c r="N2197" t="e">
        <v>#N/A</v>
      </c>
    </row>
    <row r="2199" spans="1:14" ht="15" customHeight="1" x14ac:dyDescent="0.3">
      <c r="B2199" s="9" t="s">
        <v>8</v>
      </c>
      <c r="C2199" s="9"/>
      <c r="E2199" s="10" t="s">
        <v>2487</v>
      </c>
      <c r="F2199" s="11">
        <v>0</v>
      </c>
    </row>
    <row r="2200" spans="1:14" ht="15" customHeight="1" x14ac:dyDescent="0.3">
      <c r="B2200" s="10" t="s">
        <v>2483</v>
      </c>
      <c r="C2200" s="11">
        <v>8982</v>
      </c>
    </row>
    <row r="2201" spans="1:14" ht="15" customHeight="1" x14ac:dyDescent="0.3">
      <c r="B2201" s="10" t="s">
        <v>2484</v>
      </c>
      <c r="C2201" s="11">
        <v>0</v>
      </c>
    </row>
    <row r="2202" spans="1:14" ht="15" customHeight="1" x14ac:dyDescent="0.3">
      <c r="B2202" s="10" t="s">
        <v>2485</v>
      </c>
      <c r="C2202" s="11">
        <v>16991</v>
      </c>
    </row>
    <row r="2203" spans="1:14" ht="15" customHeight="1" x14ac:dyDescent="0.3">
      <c r="B2203" s="12" t="s">
        <v>2486</v>
      </c>
      <c r="C2203" s="13">
        <f>IF(COUNT(C2200:C2202)=0,"",SUM(C2200:C2202))</f>
        <v>25973</v>
      </c>
      <c r="E2203" s="10" t="s">
        <v>2484</v>
      </c>
      <c r="F2203" s="11">
        <v>0</v>
      </c>
    </row>
    <row r="2205" spans="1:14" ht="15" customHeight="1" x14ac:dyDescent="0.3">
      <c r="B2205" s="9" t="s">
        <v>9</v>
      </c>
      <c r="C2205" s="9"/>
    </row>
    <row r="2206" spans="1:14" ht="15" customHeight="1" x14ac:dyDescent="0.3">
      <c r="B2206" s="10" t="s">
        <v>2483</v>
      </c>
      <c r="C2206" s="11">
        <v>2175</v>
      </c>
    </row>
    <row r="2207" spans="1:14" ht="15" customHeight="1" x14ac:dyDescent="0.3">
      <c r="B2207" s="10" t="s">
        <v>2484</v>
      </c>
      <c r="C2207" s="11">
        <v>0</v>
      </c>
    </row>
    <row r="2208" spans="1:14" ht="15" customHeight="1" x14ac:dyDescent="0.3">
      <c r="B2208" s="10" t="s">
        <v>2485</v>
      </c>
      <c r="C2208" s="11">
        <v>3994</v>
      </c>
    </row>
    <row r="2209" spans="2:3" ht="15" customHeight="1" x14ac:dyDescent="0.3">
      <c r="B2209" s="14" t="s">
        <v>2486</v>
      </c>
      <c r="C2209" s="15">
        <f>IF(COUNT(C2206:C2208)=0,"",SUM(C2206:C2208))</f>
        <v>6169</v>
      </c>
    </row>
  </sheetData>
  <autoFilter ref="A1:N2197" xr:uid="{00000000-0001-0000-0000-000000000000}"/>
  <mergeCells count="2">
    <mergeCell ref="B2199:C2199"/>
    <mergeCell ref="B2205:C220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AAFF2B9-AE62-4599-B72E-BF9DE8110FF3}"/>
</file>

<file path=customXml/itemProps2.xml><?xml version="1.0" encoding="utf-8"?>
<ds:datastoreItem xmlns:ds="http://schemas.openxmlformats.org/officeDocument/2006/customXml" ds:itemID="{013D7481-3E1E-464F-80E2-CAC207CAE550}"/>
</file>

<file path=customXml/itemProps3.xml><?xml version="1.0" encoding="utf-8"?>
<ds:datastoreItem xmlns:ds="http://schemas.openxmlformats.org/officeDocument/2006/customXml" ds:itemID="{7D77BE4A-3152-4364-830F-B7A6DB9955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12-10-2026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2026-10-12T14:15:59Z</dcterms:created>
  <dcterms:modified xsi:type="dcterms:W3CDTF">2026-10-12T14:15:59Z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