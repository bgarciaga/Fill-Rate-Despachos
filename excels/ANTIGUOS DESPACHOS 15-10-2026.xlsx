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5-10-2026/"/>
    </mc:Choice>
  </mc:AlternateContent>
  <xr:revisionPtr revIDLastSave="1" documentId="8_{CCF836C2-32D1-439D-BBAA-9CEFAFF52AF7}" xr6:coauthVersionLast="47" xr6:coauthVersionMax="47" xr10:uidLastSave="{4EC4A715-1404-414A-8C8B-DC1B189D9E7D}"/>
  <bookViews>
    <workbookView xWindow="-108" yWindow="-108" windowWidth="23256" windowHeight="13896" xr2:uid="{00000000-000D-0000-FFFF-FFFF00000000}"/>
  </bookViews>
  <sheets>
    <sheet name="ANTIGUOS DESPACHOS" sheetId="1" r:id="rId1"/>
  </sheets>
  <externalReferences>
    <externalReference r:id="rId2"/>
    <externalReference r:id="rId3"/>
  </externalReferences>
  <definedNames>
    <definedName name="_xlnm._FilterDatabase" localSheetId="0" hidden="1">'ANTIGUOS DESPACHOS'!$A$1:$I$37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H37" i="1"/>
  <c r="I37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2" i="1"/>
  <c r="I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" i="1"/>
</calcChain>
</file>

<file path=xl/sharedStrings.xml><?xml version="1.0" encoding="utf-8"?>
<sst xmlns="http://schemas.openxmlformats.org/spreadsheetml/2006/main" count="119" uniqueCount="79">
  <si>
    <t>ID DESPACHO</t>
  </si>
  <si>
    <t>SALA</t>
  </si>
  <si>
    <t>ESTADO DESPACHO</t>
  </si>
  <si>
    <t>FECHA GENERACION</t>
  </si>
  <si>
    <t>BULTOS PEDIDOS</t>
  </si>
  <si>
    <t>BULTOS SERVIR</t>
  </si>
  <si>
    <t>Con Incidencias</t>
  </si>
  <si>
    <t>2026/10/14 09:40:00</t>
  </si>
  <si>
    <t>2026/10/14 09:40:14</t>
  </si>
  <si>
    <t>2026/10/14 09:42:31</t>
  </si>
  <si>
    <t>2026/10/14 09:44:30</t>
  </si>
  <si>
    <t>2026/10/14 09:50:12</t>
  </si>
  <si>
    <t>2026/10/14 09:45:39</t>
  </si>
  <si>
    <t>2026/10/14 09:52:32</t>
  </si>
  <si>
    <t>2026/10/14 09:41:07</t>
  </si>
  <si>
    <t>2026/10/14 09:53:36</t>
  </si>
  <si>
    <t>2026/10/14 09:58:10</t>
  </si>
  <si>
    <t>2026/10/14 08:11:07</t>
  </si>
  <si>
    <t>2026/10/14 08:12:58</t>
  </si>
  <si>
    <t>2026/10/14 09:41:28</t>
  </si>
  <si>
    <t>2026/10/14 09:41:59</t>
  </si>
  <si>
    <t>2026/10/14 09:45:17</t>
  </si>
  <si>
    <t>2026/10/14 09:45:46</t>
  </si>
  <si>
    <t>2026/10/14 09:50:05</t>
  </si>
  <si>
    <t>2026/10/14 09:54:31</t>
  </si>
  <si>
    <t>2026/10/14 09:39:26</t>
  </si>
  <si>
    <t>2026/10/14 09:42:37</t>
  </si>
  <si>
    <t>2026/10/14 09:45:23</t>
  </si>
  <si>
    <t>2026/10/13 09:17:07</t>
  </si>
  <si>
    <t>2026/10/14 09:41:43</t>
  </si>
  <si>
    <t>2026/10/14 09:42:05</t>
  </si>
  <si>
    <t>2026/10/14 09:44:58</t>
  </si>
  <si>
    <t>2026/10/14 09:40:37</t>
  </si>
  <si>
    <t>2026/10/14 09:53:59</t>
  </si>
  <si>
    <t>2026/10/14 09:40:48</t>
  </si>
  <si>
    <t>2026/10/14 09:45:53</t>
  </si>
  <si>
    <t>2026/10/14 09:50:40</t>
  </si>
  <si>
    <t>2026/10/14 09:53:24</t>
  </si>
  <si>
    <t>LA TORRE LA QUINTA</t>
  </si>
  <si>
    <t>LA TORRE ZONA 16</t>
  </si>
  <si>
    <t>LA TORRE XELA 5</t>
  </si>
  <si>
    <t>LA TORRE SAN JUAN</t>
  </si>
  <si>
    <t>ECONO SUPER MAGNOLIA</t>
  </si>
  <si>
    <t>LA TORRE QUICHE 2</t>
  </si>
  <si>
    <t>LA TORRE PETAPA</t>
  </si>
  <si>
    <t>LA TORRE LOS AMATES</t>
  </si>
  <si>
    <t>LA TORRE VISTA HERMOSA 1</t>
  </si>
  <si>
    <t>LA TORRE TOTONICAPAN</t>
  </si>
  <si>
    <t>LA TORRE COATEPEQUE</t>
  </si>
  <si>
    <t>LA TORRE JALAPA 3</t>
  </si>
  <si>
    <t>LA TORRE MARISCAL</t>
  </si>
  <si>
    <t>LA TORRE JALAPA</t>
  </si>
  <si>
    <t>LA TORRE LA GOMERA</t>
  </si>
  <si>
    <t>LA TORRE SANTALU</t>
  </si>
  <si>
    <t>LA TORRE SAN MIGUEL PETAPA</t>
  </si>
  <si>
    <t>LA TORRE BARBERENA</t>
  </si>
  <si>
    <t>LA TORRE BOCA DEL MONTE</t>
  </si>
  <si>
    <t>LA TORRE QUICHE</t>
  </si>
  <si>
    <t>LA TORRE HUEHUETENANGO 2</t>
  </si>
  <si>
    <t>LT ANTIGUA 1</t>
  </si>
  <si>
    <t>LA TORRE SAN JOSE PINULA</t>
  </si>
  <si>
    <t>LA TORRE SALAMA</t>
  </si>
  <si>
    <t>LA TORRE ATANACIO</t>
  </si>
  <si>
    <t>LA TORRE TIQUISATE</t>
  </si>
  <si>
    <t>LA TORRE SANARATE</t>
  </si>
  <si>
    <t>LA TORRE SAN MIGUEL PETAPA 2</t>
  </si>
  <si>
    <t>ECONOSUPER LA BRIGADA</t>
  </si>
  <si>
    <t>ECONOSUPER NIMAJUYU</t>
  </si>
  <si>
    <t>LA TORRE ESQUIPULAS</t>
  </si>
  <si>
    <t>LA TORRE VILLA CANALES</t>
  </si>
  <si>
    <t>LA TORRE CARCHA</t>
  </si>
  <si>
    <t>LA TORRE CHIMALTENANGO</t>
  </si>
  <si>
    <t>LA TORRE PALMERAS</t>
  </si>
  <si>
    <t>LA TORRE COBAN</t>
  </si>
  <si>
    <t>LTX CD RANSA</t>
  </si>
  <si>
    <t>LA TORRE VILLALOBOS</t>
  </si>
  <si>
    <t>LA TORRE ANTIGUA 3</t>
  </si>
  <si>
    <t>ESTADO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</si>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</sst>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(0.00\)"/>
    <numFmt numFmtId="166" formatCode="dd/mm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sz val="8"/>
      <color rgb="FF000000"/>
      <name val="Tahoma"/>
      <family val="2"/>
    </font>
    <font>
      <sz val="8"/>
      <color rgb="FF696969"/>
      <name val="Tahoma"/>
      <family val="2"/>
    </font>
    <font>
      <b/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3" fillId="3" borderId="1" xfId="0" applyFont="1" applyFill="1" applyBorder="1" applyAlignment="1">
      <alignment vertical="top" readingOrder="1"/>
    </xf>
    <xf numFmtId="164" fontId="4" fillId="0" borderId="1" xfId="0" applyNumberFormat="1" applyFont="1" applyBorder="1" applyAlignment="1">
      <alignment vertical="top" readingOrder="1"/>
    </xf>
    <xf numFmtId="164" fontId="5" fillId="0" borderId="1" xfId="0" applyNumberFormat="1" applyFont="1" applyBorder="1" applyAlignment="1">
      <alignment vertical="top" readingOrder="1"/>
    </xf>
    <xf numFmtId="0" fontId="1" fillId="0" borderId="0" xfId="0" applyFont="1" applyAlignment="1"/>
    <xf numFmtId="0" fontId="3" fillId="4" borderId="1" xfId="0" applyFont="1" applyFill="1" applyBorder="1" applyAlignment="1">
      <alignment vertical="top" readingOrder="1"/>
    </xf>
    <xf numFmtId="0" fontId="1" fillId="0" borderId="0" xfId="0" applyFont="1" applyAlignment="1">
      <alignment wrapText="1"/>
    </xf>
    <xf numFmtId="164" fontId="1" fillId="0" borderId="0" xfId="0" applyNumberFormat="1" applyFont="1" applyAlignment="1"/>
    <xf numFmtId="0" fontId="3" fillId="5" borderId="1" xfId="0" applyFont="1" applyFill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C0C0C0"/>
      <rgbColor rgb="00696969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STADO%20DE%20TIENDAS%202024.xlsx" TargetMode="External"/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PEDIDOS%20APROBADOS/15-10-2026/APROBADOS%2015-10-2026.xlsx" TargetMode="External"/><Relationship Id="rId1" Type="http://schemas.openxmlformats.org/officeDocument/2006/relationships/externalLinkPath" Target="APROBADOS%2015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ENDAS 2025"/>
      <sheetName val="TIENDAS EN INVENTARIO"/>
    </sheetNames>
    <sheetDataSet>
      <sheetData sheetId="0"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15-10-2026"/>
    </sheetNames>
    <sheetDataSet>
      <sheetData sheetId="0">
        <row r="6">
          <cell r="A6" t="str">
            <v>ECONO SUPER MAGNOLIA</v>
          </cell>
          <cell r="B6">
            <v>194</v>
          </cell>
        </row>
        <row r="7">
          <cell r="A7" t="str">
            <v>ECONOSUPER BOULEVARD SUR</v>
          </cell>
          <cell r="B7">
            <v>234</v>
          </cell>
        </row>
        <row r="8">
          <cell r="A8" t="str">
            <v>ECONOSUPER LA BRIGADA</v>
          </cell>
          <cell r="B8">
            <v>148</v>
          </cell>
        </row>
        <row r="9">
          <cell r="A9" t="str">
            <v>ECONOSUPER LO DE FUENTES</v>
          </cell>
          <cell r="B9">
            <v>72</v>
          </cell>
        </row>
        <row r="10">
          <cell r="A10" t="str">
            <v>ECONOSUPER MILPAS ALTAS</v>
          </cell>
          <cell r="B10">
            <v>258</v>
          </cell>
        </row>
        <row r="11">
          <cell r="A11" t="str">
            <v>ECONOSUPER NIMAJUYU</v>
          </cell>
          <cell r="B11">
            <v>101</v>
          </cell>
        </row>
        <row r="12">
          <cell r="A12" t="str">
            <v>ECONOSUPER ZONA 2</v>
          </cell>
          <cell r="B12">
            <v>178</v>
          </cell>
        </row>
        <row r="13">
          <cell r="A13" t="str">
            <v>ECONOSUPER ZONA 6</v>
          </cell>
          <cell r="B13">
            <v>209</v>
          </cell>
        </row>
        <row r="14">
          <cell r="A14" t="str">
            <v>LA TORRE 20 CALLE</v>
          </cell>
          <cell r="B14">
            <v>499</v>
          </cell>
        </row>
        <row r="15">
          <cell r="A15" t="str">
            <v>LA TORRE AMATITLAN</v>
          </cell>
          <cell r="B15">
            <v>170</v>
          </cell>
        </row>
        <row r="16">
          <cell r="A16" t="str">
            <v>LA TORRE AMATITLAN2</v>
          </cell>
          <cell r="B16">
            <v>143</v>
          </cell>
        </row>
        <row r="17">
          <cell r="A17" t="str">
            <v>LA TORRE ANTIGUA 2</v>
          </cell>
          <cell r="B17">
            <v>476</v>
          </cell>
        </row>
        <row r="18">
          <cell r="A18" t="str">
            <v>LA TORRE ANTIGUA 3</v>
          </cell>
          <cell r="B18">
            <v>117</v>
          </cell>
        </row>
        <row r="19">
          <cell r="A19" t="str">
            <v>LA TORRE ARRAZOLA</v>
          </cell>
          <cell r="B19">
            <v>231</v>
          </cell>
        </row>
        <row r="20">
          <cell r="A20" t="str">
            <v>LA TORRE ATANACIO</v>
          </cell>
          <cell r="B20">
            <v>217</v>
          </cell>
        </row>
        <row r="21">
          <cell r="A21" t="str">
            <v>LA TORRE BARBERENA</v>
          </cell>
          <cell r="B21">
            <v>146</v>
          </cell>
        </row>
        <row r="22">
          <cell r="A22" t="str">
            <v>LA TORRE BARCENAS</v>
          </cell>
          <cell r="B22">
            <v>203</v>
          </cell>
        </row>
        <row r="23">
          <cell r="A23" t="str">
            <v>LA TORRE BOCA DEL MONTE</v>
          </cell>
          <cell r="B23">
            <v>280</v>
          </cell>
        </row>
        <row r="24">
          <cell r="A24" t="str">
            <v>LA TORRE CARCHA</v>
          </cell>
          <cell r="B24">
            <v>186</v>
          </cell>
        </row>
        <row r="25">
          <cell r="A25" t="str">
            <v>LA TORRE CAYALA</v>
          </cell>
          <cell r="B25">
            <v>589</v>
          </cell>
        </row>
        <row r="26">
          <cell r="A26" t="str">
            <v>LA TORRE CAYALA 2</v>
          </cell>
          <cell r="B26">
            <v>228</v>
          </cell>
        </row>
        <row r="27">
          <cell r="A27" t="str">
            <v>LA TORRE CENTRANORTE</v>
          </cell>
          <cell r="B27">
            <v>185</v>
          </cell>
        </row>
        <row r="28">
          <cell r="A28" t="str">
            <v>LA TORRE CENTRASUR</v>
          </cell>
          <cell r="B28">
            <v>446</v>
          </cell>
        </row>
        <row r="29">
          <cell r="A29" t="str">
            <v>LA TORRE CENTRICO Z5</v>
          </cell>
          <cell r="B29">
            <v>236</v>
          </cell>
        </row>
        <row r="30">
          <cell r="A30" t="str">
            <v>LA TORRE CENTRO</v>
          </cell>
          <cell r="B30">
            <v>249</v>
          </cell>
        </row>
        <row r="31">
          <cell r="A31" t="str">
            <v>LA TORRE CHIMALTENANGO</v>
          </cell>
          <cell r="B31">
            <v>211</v>
          </cell>
        </row>
        <row r="32">
          <cell r="A32" t="str">
            <v>LA TORRE CHIQUIMULA</v>
          </cell>
          <cell r="B32">
            <v>294</v>
          </cell>
        </row>
        <row r="33">
          <cell r="A33" t="str">
            <v>LA TORRE CIUDAD VIEJA</v>
          </cell>
          <cell r="B33">
            <v>325</v>
          </cell>
        </row>
        <row r="34">
          <cell r="A34" t="str">
            <v>LA TORRE COATEPEQUE</v>
          </cell>
          <cell r="B34">
            <v>336</v>
          </cell>
        </row>
        <row r="35">
          <cell r="A35" t="str">
            <v>LA TORRE COBAN</v>
          </cell>
          <cell r="B35">
            <v>298</v>
          </cell>
        </row>
        <row r="36">
          <cell r="A36" t="str">
            <v>LA TORRE CUATRO CAMINOS</v>
          </cell>
          <cell r="B36">
            <v>196</v>
          </cell>
        </row>
        <row r="37">
          <cell r="A37" t="str">
            <v>LA TORRE EL FRUTAL</v>
          </cell>
          <cell r="B37">
            <v>264</v>
          </cell>
        </row>
        <row r="38">
          <cell r="A38" t="str">
            <v>LA TORRE EL NARANJO</v>
          </cell>
          <cell r="B38">
            <v>453</v>
          </cell>
        </row>
        <row r="39">
          <cell r="A39" t="str">
            <v>LA TORRE EL RODEO</v>
          </cell>
          <cell r="B39">
            <v>155</v>
          </cell>
        </row>
        <row r="40">
          <cell r="A40" t="str">
            <v>LA TORRE ENCINAL</v>
          </cell>
          <cell r="B40">
            <v>300</v>
          </cell>
        </row>
        <row r="41">
          <cell r="A41" t="str">
            <v>LA TORRE ESCALA</v>
          </cell>
          <cell r="B41">
            <v>245</v>
          </cell>
        </row>
        <row r="42">
          <cell r="A42" t="str">
            <v>LA TORRE ESCUINTLA 2</v>
          </cell>
          <cell r="B42">
            <v>163</v>
          </cell>
        </row>
        <row r="43">
          <cell r="A43" t="str">
            <v>LA TORRE ESCUINTLA 3</v>
          </cell>
          <cell r="B43">
            <v>278</v>
          </cell>
        </row>
        <row r="44">
          <cell r="A44" t="str">
            <v>LA TORRE ESQUIPULAS</v>
          </cell>
          <cell r="B44">
            <v>220</v>
          </cell>
        </row>
        <row r="45">
          <cell r="A45" t="str">
            <v>LA TORRE FRAIJANES</v>
          </cell>
          <cell r="B45">
            <v>367</v>
          </cell>
        </row>
        <row r="46">
          <cell r="A46" t="str">
            <v>LA TORRE FUTECA Z14</v>
          </cell>
          <cell r="B46">
            <v>425</v>
          </cell>
        </row>
        <row r="47">
          <cell r="A47" t="str">
            <v>LA TORRE GUASTATOYA</v>
          </cell>
          <cell r="B47">
            <v>333</v>
          </cell>
        </row>
        <row r="48">
          <cell r="A48" t="str">
            <v>LA TORRE HUEHUETENANGO</v>
          </cell>
          <cell r="B48">
            <v>368</v>
          </cell>
        </row>
        <row r="49">
          <cell r="A49" t="str">
            <v>LA TORRE HUEHUETENANGO 2</v>
          </cell>
          <cell r="B49">
            <v>258</v>
          </cell>
        </row>
        <row r="50">
          <cell r="A50" t="str">
            <v>LA TORRE INDEPENDENCIA</v>
          </cell>
          <cell r="B50">
            <v>402</v>
          </cell>
        </row>
        <row r="51">
          <cell r="A51" t="str">
            <v>LA TORRE JALAPA</v>
          </cell>
          <cell r="B51">
            <v>206</v>
          </cell>
        </row>
        <row r="52">
          <cell r="A52" t="str">
            <v>LA TORRE JALAPA 2</v>
          </cell>
          <cell r="B52">
            <v>194</v>
          </cell>
        </row>
        <row r="53">
          <cell r="A53" t="str">
            <v>LA TORRE JALAPA 3</v>
          </cell>
          <cell r="B53">
            <v>150</v>
          </cell>
        </row>
        <row r="54">
          <cell r="A54" t="str">
            <v>LA TORRE JOCOTENANGO</v>
          </cell>
          <cell r="B54">
            <v>420</v>
          </cell>
        </row>
        <row r="55">
          <cell r="A55" t="str">
            <v>LA TORRE JUTIAPA</v>
          </cell>
          <cell r="B55">
            <v>181</v>
          </cell>
        </row>
        <row r="56">
          <cell r="A56" t="str">
            <v>LA TORRE LA GOMERA</v>
          </cell>
          <cell r="B56">
            <v>66</v>
          </cell>
        </row>
        <row r="57">
          <cell r="A57" t="str">
            <v>LA TORRE LA QUINTA</v>
          </cell>
          <cell r="B57">
            <v>210</v>
          </cell>
        </row>
        <row r="58">
          <cell r="A58" t="str">
            <v>LA TORRE LA RADIAL</v>
          </cell>
          <cell r="B58">
            <v>119</v>
          </cell>
        </row>
        <row r="59">
          <cell r="A59" t="str">
            <v>LA TORRE LIKIN</v>
          </cell>
          <cell r="B59">
            <v>169</v>
          </cell>
        </row>
        <row r="60">
          <cell r="A60" t="str">
            <v>LA TORRE LINDAMAR</v>
          </cell>
          <cell r="B60">
            <v>176</v>
          </cell>
        </row>
        <row r="61">
          <cell r="A61" t="str">
            <v>LA TORRE LOS AMATES</v>
          </cell>
          <cell r="B61">
            <v>153</v>
          </cell>
        </row>
        <row r="62">
          <cell r="A62" t="str">
            <v>LA TORRE MADERO</v>
          </cell>
          <cell r="B62">
            <v>343</v>
          </cell>
        </row>
        <row r="63">
          <cell r="A63" t="str">
            <v>LA TORRE MARISCAL</v>
          </cell>
          <cell r="B63">
            <v>127</v>
          </cell>
        </row>
        <row r="64">
          <cell r="A64" t="str">
            <v>LA TORRE MARISCAL 2</v>
          </cell>
          <cell r="B64">
            <v>513</v>
          </cell>
        </row>
        <row r="65">
          <cell r="A65" t="str">
            <v>LA TORRE MAZATENANGO</v>
          </cell>
          <cell r="B65">
            <v>439</v>
          </cell>
        </row>
        <row r="66">
          <cell r="A66" t="str">
            <v>LA TORRE METROCENTRO</v>
          </cell>
          <cell r="B66">
            <v>197</v>
          </cell>
        </row>
        <row r="67">
          <cell r="A67" t="str">
            <v>LA TORRE METRONORTE</v>
          </cell>
          <cell r="B67">
            <v>300</v>
          </cell>
        </row>
        <row r="68">
          <cell r="A68" t="str">
            <v>LA TORRE MILPAS ALTAS</v>
          </cell>
          <cell r="B68">
            <v>282</v>
          </cell>
        </row>
        <row r="69">
          <cell r="A69" t="str">
            <v>LA TORRE MIRAFLORES</v>
          </cell>
          <cell r="B69">
            <v>346</v>
          </cell>
        </row>
        <row r="70">
          <cell r="A70" t="str">
            <v>LA TORRE MITA</v>
          </cell>
          <cell r="B70">
            <v>189</v>
          </cell>
        </row>
        <row r="71">
          <cell r="A71" t="str">
            <v>LA TORRE MIXCO ZONA 1</v>
          </cell>
          <cell r="B71">
            <v>140</v>
          </cell>
        </row>
        <row r="72">
          <cell r="A72" t="str">
            <v>LA TORRE MORALES</v>
          </cell>
          <cell r="B72">
            <v>188</v>
          </cell>
        </row>
        <row r="73">
          <cell r="A73" t="str">
            <v>LA TORRE MUXBAL</v>
          </cell>
          <cell r="B73">
            <v>343</v>
          </cell>
        </row>
        <row r="74">
          <cell r="A74" t="str">
            <v>LA TORRE OAKLAND</v>
          </cell>
          <cell r="B74">
            <v>268</v>
          </cell>
        </row>
        <row r="75">
          <cell r="A75" t="str">
            <v>LA TORRE PALIN</v>
          </cell>
          <cell r="B75">
            <v>159</v>
          </cell>
        </row>
        <row r="76">
          <cell r="A76" t="str">
            <v>LA TORRE PALMERAS</v>
          </cell>
          <cell r="B76">
            <v>192</v>
          </cell>
        </row>
        <row r="77">
          <cell r="A77" t="str">
            <v>LA TORRE PANAJACHEL</v>
          </cell>
          <cell r="B77">
            <v>431</v>
          </cell>
        </row>
        <row r="78">
          <cell r="A78" t="str">
            <v>LA TORRE PETAPA</v>
          </cell>
          <cell r="B78">
            <v>113</v>
          </cell>
        </row>
        <row r="79">
          <cell r="A79" t="str">
            <v>LA TORRE PETAPOLIS</v>
          </cell>
          <cell r="B79">
            <v>210</v>
          </cell>
        </row>
        <row r="80">
          <cell r="A80" t="str">
            <v>LA TORRE PETEN</v>
          </cell>
          <cell r="B80">
            <v>242</v>
          </cell>
        </row>
        <row r="81">
          <cell r="A81" t="str">
            <v>LA TORRE PINARES</v>
          </cell>
          <cell r="B81">
            <v>276</v>
          </cell>
        </row>
        <row r="82">
          <cell r="A82" t="str">
            <v>LA TORRE POPTUN</v>
          </cell>
          <cell r="B82">
            <v>364</v>
          </cell>
        </row>
        <row r="83">
          <cell r="A83" t="str">
            <v>LA TORRE PORTALES</v>
          </cell>
          <cell r="B83">
            <v>268</v>
          </cell>
        </row>
        <row r="84">
          <cell r="A84" t="str">
            <v>LA TORRE PROCERES</v>
          </cell>
          <cell r="B84">
            <v>238</v>
          </cell>
        </row>
        <row r="85">
          <cell r="A85" t="str">
            <v>LA TORRE PUERTO BARRIOS</v>
          </cell>
          <cell r="B85">
            <v>258</v>
          </cell>
        </row>
        <row r="86">
          <cell r="A86" t="str">
            <v>LA TORRE PUERTO SAN JOSE</v>
          </cell>
          <cell r="B86">
            <v>225</v>
          </cell>
        </row>
        <row r="87">
          <cell r="A87" t="str">
            <v>LA TORRE QUICHE</v>
          </cell>
          <cell r="B87">
            <v>159</v>
          </cell>
        </row>
        <row r="88">
          <cell r="A88" t="str">
            <v>LA TORRE QUICHE 2</v>
          </cell>
          <cell r="B88">
            <v>104</v>
          </cell>
        </row>
        <row r="89">
          <cell r="A89" t="str">
            <v>LA TORRE REFORMA</v>
          </cell>
          <cell r="B89">
            <v>126</v>
          </cell>
        </row>
        <row r="90">
          <cell r="A90" t="str">
            <v>LA TORRE RETALHULEU</v>
          </cell>
          <cell r="B90">
            <v>185</v>
          </cell>
        </row>
        <row r="91">
          <cell r="A91" t="str">
            <v>LA TORRE RIO DULCE</v>
          </cell>
          <cell r="B91">
            <v>315</v>
          </cell>
        </row>
        <row r="92">
          <cell r="A92" t="str">
            <v>LA TORRE ROOSEVELT</v>
          </cell>
          <cell r="B92">
            <v>278</v>
          </cell>
        </row>
        <row r="93">
          <cell r="A93" t="str">
            <v>LA TORRE SALAMA</v>
          </cell>
          <cell r="B93">
            <v>216</v>
          </cell>
        </row>
        <row r="94">
          <cell r="A94" t="str">
            <v>LA TORRE SALCAJA</v>
          </cell>
          <cell r="B94">
            <v>255</v>
          </cell>
        </row>
        <row r="95">
          <cell r="A95" t="str">
            <v>LA TORRE SAN BENITO</v>
          </cell>
          <cell r="B95">
            <v>237</v>
          </cell>
        </row>
        <row r="96">
          <cell r="A96" t="str">
            <v>LA TORRE SAN CRISTOBAL</v>
          </cell>
          <cell r="B96">
            <v>195</v>
          </cell>
        </row>
        <row r="97">
          <cell r="A97" t="str">
            <v>LA TORRE SAN FRANCISCO</v>
          </cell>
          <cell r="B97">
            <v>207</v>
          </cell>
        </row>
        <row r="98">
          <cell r="A98" t="str">
            <v>LA TORRE SAN IGNACIO</v>
          </cell>
          <cell r="B98">
            <v>459</v>
          </cell>
        </row>
        <row r="99">
          <cell r="A99" t="str">
            <v>LA TORRE SAN ISIDRO</v>
          </cell>
          <cell r="B99">
            <v>415</v>
          </cell>
        </row>
        <row r="100">
          <cell r="A100" t="str">
            <v>LA TORRE SAN JOSE PINULA</v>
          </cell>
          <cell r="B100">
            <v>249</v>
          </cell>
        </row>
        <row r="101">
          <cell r="A101" t="str">
            <v>LA TORRE SAN JOSE PINULA 2</v>
          </cell>
          <cell r="B101">
            <v>238</v>
          </cell>
        </row>
        <row r="102">
          <cell r="A102" t="str">
            <v>LA TORRE SAN JUAN</v>
          </cell>
          <cell r="B102">
            <v>190</v>
          </cell>
        </row>
        <row r="103">
          <cell r="A103" t="str">
            <v>LA TORRE SAN LUCAS</v>
          </cell>
          <cell r="B103">
            <v>449</v>
          </cell>
        </row>
        <row r="104">
          <cell r="A104" t="str">
            <v>LA TORRE SAN MIGUEL PETAPA</v>
          </cell>
          <cell r="B104">
            <v>205</v>
          </cell>
        </row>
        <row r="105">
          <cell r="A105" t="str">
            <v>LA TORRE SAN MIGUEL PETAPA 2</v>
          </cell>
          <cell r="B105">
            <v>220</v>
          </cell>
        </row>
        <row r="106">
          <cell r="A106" t="str">
            <v>LA TORRE SAN NICOLAS</v>
          </cell>
          <cell r="B106">
            <v>268</v>
          </cell>
        </row>
        <row r="107">
          <cell r="A107" t="str">
            <v>LA TORRE SAN RAFAEL</v>
          </cell>
          <cell r="B107">
            <v>303</v>
          </cell>
        </row>
        <row r="108">
          <cell r="A108" t="str">
            <v>LA TORRE SANARATE</v>
          </cell>
          <cell r="B108">
            <v>118</v>
          </cell>
        </row>
        <row r="109">
          <cell r="A109" t="str">
            <v>LA TORRE SANKRIS</v>
          </cell>
          <cell r="B109">
            <v>416</v>
          </cell>
        </row>
        <row r="110">
          <cell r="A110" t="str">
            <v>LA TORRE SANTA LUCIA</v>
          </cell>
          <cell r="B110">
            <v>159</v>
          </cell>
        </row>
        <row r="111">
          <cell r="A111" t="str">
            <v>LA TORRE SANTALU</v>
          </cell>
          <cell r="B111">
            <v>170</v>
          </cell>
        </row>
        <row r="112">
          <cell r="A112" t="str">
            <v>LA TORRE TIQUISATE</v>
          </cell>
          <cell r="B112">
            <v>372</v>
          </cell>
        </row>
        <row r="113">
          <cell r="A113" t="str">
            <v>LA TORRE TOTONICAPAN</v>
          </cell>
          <cell r="B113">
            <v>191</v>
          </cell>
        </row>
        <row r="114">
          <cell r="A114" t="str">
            <v>LA TORRE TRINIDAD</v>
          </cell>
          <cell r="B114">
            <v>304</v>
          </cell>
        </row>
        <row r="115">
          <cell r="A115" t="str">
            <v>LA TORRE TULAM TZU</v>
          </cell>
          <cell r="B115">
            <v>320</v>
          </cell>
        </row>
        <row r="116">
          <cell r="A116" t="str">
            <v>LA TORRE VILLA CANALES</v>
          </cell>
          <cell r="B116">
            <v>214</v>
          </cell>
        </row>
        <row r="117">
          <cell r="A117" t="str">
            <v>LA TORRE VILLA HERMOSA</v>
          </cell>
          <cell r="B117">
            <v>249</v>
          </cell>
        </row>
        <row r="118">
          <cell r="A118" t="str">
            <v>LA TORRE VILLA NUEVA</v>
          </cell>
          <cell r="B118">
            <v>323</v>
          </cell>
        </row>
        <row r="119">
          <cell r="A119" t="str">
            <v>LA TORRE VILLALOBOS</v>
          </cell>
          <cell r="B119">
            <v>240</v>
          </cell>
        </row>
        <row r="120">
          <cell r="A120" t="str">
            <v>LA TORRE VISTA HERMOSA 1</v>
          </cell>
          <cell r="B120">
            <v>133</v>
          </cell>
        </row>
        <row r="121">
          <cell r="A121" t="str">
            <v>LA TORRE XELA</v>
          </cell>
          <cell r="B121">
            <v>262</v>
          </cell>
        </row>
        <row r="122">
          <cell r="A122" t="str">
            <v>LA TORRE XELA 3</v>
          </cell>
          <cell r="B122">
            <v>430</v>
          </cell>
        </row>
        <row r="123">
          <cell r="A123" t="str">
            <v>LA TORRE XELA 5</v>
          </cell>
          <cell r="B123">
            <v>212</v>
          </cell>
        </row>
        <row r="124">
          <cell r="A124" t="str">
            <v>LA TORRE ZONA 10</v>
          </cell>
          <cell r="B124">
            <v>262</v>
          </cell>
        </row>
        <row r="125">
          <cell r="A125" t="str">
            <v>LA TORRE ZONA 11</v>
          </cell>
          <cell r="B125">
            <v>166</v>
          </cell>
        </row>
        <row r="126">
          <cell r="A126" t="str">
            <v>LA TORRE ZONA 13 AMERICAS</v>
          </cell>
          <cell r="B126">
            <v>427</v>
          </cell>
        </row>
        <row r="127">
          <cell r="A127" t="str">
            <v>LA TORRE ZONA 14</v>
          </cell>
          <cell r="B127">
            <v>291</v>
          </cell>
        </row>
        <row r="128">
          <cell r="A128" t="str">
            <v>LA TORRE ZONA 15</v>
          </cell>
          <cell r="B128">
            <v>657</v>
          </cell>
        </row>
        <row r="129">
          <cell r="A129" t="str">
            <v>LA TORRE ZONA 16</v>
          </cell>
          <cell r="B129">
            <v>319</v>
          </cell>
        </row>
        <row r="130">
          <cell r="A130" t="str">
            <v>LA TORRE ZONA 19</v>
          </cell>
          <cell r="B130">
            <v>319</v>
          </cell>
        </row>
        <row r="131">
          <cell r="A131" t="str">
            <v>LA TORRE ZONA 2</v>
          </cell>
          <cell r="B131">
            <v>362</v>
          </cell>
        </row>
        <row r="132">
          <cell r="A132" t="str">
            <v>LA TORRE ZONA 3</v>
          </cell>
          <cell r="B132">
            <v>200</v>
          </cell>
        </row>
        <row r="133">
          <cell r="A133" t="str">
            <v>LA TORRE ZONA 4</v>
          </cell>
          <cell r="B133">
            <v>183</v>
          </cell>
        </row>
        <row r="134">
          <cell r="A134" t="str">
            <v>LA TORRE ZONA 5</v>
          </cell>
          <cell r="B134">
            <v>245</v>
          </cell>
        </row>
        <row r="135">
          <cell r="A135" t="str">
            <v>LT ANTIGUA 1</v>
          </cell>
          <cell r="B135">
            <v>189</v>
          </cell>
        </row>
        <row r="136">
          <cell r="A136" t="str">
            <v>LT SAN JOSE PINULA 3</v>
          </cell>
          <cell r="B136">
            <v>462</v>
          </cell>
        </row>
        <row r="137">
          <cell r="A137" t="str">
            <v>LT XELA 4</v>
          </cell>
          <cell r="B137">
            <v>351</v>
          </cell>
        </row>
        <row r="138">
          <cell r="A138" t="str">
            <v>Total general</v>
          </cell>
          <cell r="B138">
            <v>34400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showGridLines="0" tabSelected="1" topLeftCell="A26" workbookViewId="0">
      <selection activeCell="B42" sqref="B42:C42"/>
    </sheetView>
  </sheetViews>
  <sheetFormatPr baseColWidth="10" defaultRowHeight="14.4" x14ac:dyDescent="0.3"/>
  <cols>
    <col min="1" max="1" width="14.44140625" customWidth="1"/>
    <col min="2" max="2" width="22.44140625" bestFit="1" customWidth="1"/>
    <col min="3" max="3" width="19.109375" bestFit="1" customWidth="1"/>
    <col min="4" max="4" width="19.6640625" bestFit="1" customWidth="1"/>
    <col min="5" max="9" width="14.44140625" customWidth="1"/>
  </cols>
  <sheetData>
    <row r="1" spans="1:9" s="9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77</v>
      </c>
      <c r="H1" s="2">
        <v>46310</v>
      </c>
      <c r="I1" s="1" t="s">
        <v>78</v>
      </c>
    </row>
    <row r="2" spans="1:9" ht="14.4" customHeight="1" x14ac:dyDescent="0.3">
      <c r="A2" s="3">
        <v>801010</v>
      </c>
      <c r="B2" s="3" t="s">
        <v>42</v>
      </c>
      <c r="C2" s="3" t="s">
        <v>6</v>
      </c>
      <c r="D2" s="4" t="s">
        <v>10</v>
      </c>
      <c r="E2" s="5">
        <v>277</v>
      </c>
      <c r="F2" s="6">
        <v>274</v>
      </c>
      <c r="G2" s="7" t="str">
        <f>+VLOOKUP(B2,'[1]TIENDAS 2025'!$A$2:$C$143,3,0)</f>
        <v>local</v>
      </c>
      <c r="H2" s="7">
        <f>+VLOOKUP(B2,[2]Hoja1!$A$6:$B$138,2,0)</f>
        <v>194</v>
      </c>
      <c r="I2" s="10">
        <f>+E2+H2</f>
        <v>471</v>
      </c>
    </row>
    <row r="3" spans="1:9" ht="14.4" customHeight="1" x14ac:dyDescent="0.3">
      <c r="A3" s="3">
        <v>801013</v>
      </c>
      <c r="B3" s="3" t="s">
        <v>66</v>
      </c>
      <c r="C3" s="3" t="s">
        <v>6</v>
      </c>
      <c r="D3" s="4" t="s">
        <v>31</v>
      </c>
      <c r="E3" s="5">
        <v>149</v>
      </c>
      <c r="F3" s="6">
        <v>149</v>
      </c>
      <c r="G3" s="7" t="str">
        <f>+VLOOKUP(B3,'[1]TIENDAS 2025'!$A$2:$C$143,3,0)</f>
        <v>local</v>
      </c>
      <c r="H3" s="7">
        <f>+VLOOKUP(B3,[2]Hoja1!$A$6:$B$138,2,0)</f>
        <v>148</v>
      </c>
      <c r="I3" s="10">
        <f t="shared" ref="I3:I37" si="0">+E3+H3</f>
        <v>297</v>
      </c>
    </row>
    <row r="4" spans="1:9" ht="14.4" customHeight="1" x14ac:dyDescent="0.3">
      <c r="A4" s="3">
        <v>801015</v>
      </c>
      <c r="B4" s="3" t="s">
        <v>67</v>
      </c>
      <c r="C4" s="3" t="s">
        <v>6</v>
      </c>
      <c r="D4" s="4" t="s">
        <v>31</v>
      </c>
      <c r="E4" s="5">
        <v>99</v>
      </c>
      <c r="F4" s="6">
        <v>99</v>
      </c>
      <c r="G4" s="7" t="str">
        <f>+VLOOKUP(B4,'[1]TIENDAS 2025'!$A$2:$C$143,3,0)</f>
        <v>local</v>
      </c>
      <c r="H4" s="7">
        <f>+VLOOKUP(B4,[2]Hoja1!$A$6:$B$138,2,0)</f>
        <v>101</v>
      </c>
      <c r="I4" s="10">
        <f t="shared" si="0"/>
        <v>200</v>
      </c>
    </row>
    <row r="5" spans="1:9" ht="14.4" customHeight="1" x14ac:dyDescent="0.3">
      <c r="A5" s="3">
        <v>801019</v>
      </c>
      <c r="B5" s="3" t="s">
        <v>76</v>
      </c>
      <c r="C5" s="3" t="s">
        <v>6</v>
      </c>
      <c r="D5" s="4" t="s">
        <v>21</v>
      </c>
      <c r="E5" s="5">
        <v>109</v>
      </c>
      <c r="F5" s="6">
        <v>109</v>
      </c>
      <c r="G5" s="7" t="str">
        <f>+VLOOKUP(B5,'[1]TIENDAS 2025'!$A$2:$C$143,3,0)</f>
        <v>local</v>
      </c>
      <c r="H5" s="7">
        <f>+VLOOKUP(B5,[2]Hoja1!$A$6:$B$138,2,0)</f>
        <v>117</v>
      </c>
      <c r="I5" s="10">
        <f t="shared" si="0"/>
        <v>226</v>
      </c>
    </row>
    <row r="6" spans="1:9" ht="14.4" customHeight="1" x14ac:dyDescent="0.3">
      <c r="A6" s="3">
        <v>801018</v>
      </c>
      <c r="B6" s="3" t="s">
        <v>62</v>
      </c>
      <c r="C6" s="3" t="s">
        <v>6</v>
      </c>
      <c r="D6" s="4" t="s">
        <v>27</v>
      </c>
      <c r="E6" s="5">
        <v>249</v>
      </c>
      <c r="F6" s="6">
        <v>243</v>
      </c>
      <c r="G6" s="7" t="str">
        <f>+VLOOKUP(B6,'[1]TIENDAS 2025'!$A$2:$C$143,3,0)</f>
        <v>local</v>
      </c>
      <c r="H6" s="7">
        <f>+VLOOKUP(B6,[2]Hoja1!$A$6:$B$138,2,0)</f>
        <v>217</v>
      </c>
      <c r="I6" s="10">
        <f t="shared" si="0"/>
        <v>466</v>
      </c>
    </row>
    <row r="7" spans="1:9" ht="14.4" customHeight="1" x14ac:dyDescent="0.3">
      <c r="A7" s="3">
        <v>801017</v>
      </c>
      <c r="B7" s="3" t="s">
        <v>55</v>
      </c>
      <c r="C7" s="3" t="s">
        <v>6</v>
      </c>
      <c r="D7" s="4" t="s">
        <v>21</v>
      </c>
      <c r="E7" s="5">
        <v>142</v>
      </c>
      <c r="F7" s="6">
        <v>142</v>
      </c>
      <c r="G7" s="7" t="str">
        <f>+VLOOKUP(B7,'[1]TIENDAS 2025'!$A$2:$C$143,3,0)</f>
        <v>departamental</v>
      </c>
      <c r="H7" s="7">
        <f>+VLOOKUP(B7,[2]Hoja1!$A$6:$B$138,2,0)</f>
        <v>146</v>
      </c>
      <c r="I7" s="10">
        <f t="shared" si="0"/>
        <v>288</v>
      </c>
    </row>
    <row r="8" spans="1:9" ht="14.4" customHeight="1" x14ac:dyDescent="0.3">
      <c r="A8" s="3">
        <v>801022</v>
      </c>
      <c r="B8" s="3" t="s">
        <v>56</v>
      </c>
      <c r="C8" s="3" t="s">
        <v>6</v>
      </c>
      <c r="D8" s="4" t="s">
        <v>22</v>
      </c>
      <c r="E8" s="5">
        <v>233</v>
      </c>
      <c r="F8" s="6">
        <v>225</v>
      </c>
      <c r="G8" s="7" t="str">
        <f>+VLOOKUP(B8,'[1]TIENDAS 2025'!$A$2:$C$143,3,0)</f>
        <v>local</v>
      </c>
      <c r="H8" s="7">
        <f>+VLOOKUP(B8,[2]Hoja1!$A$6:$B$138,2,0)</f>
        <v>280</v>
      </c>
      <c r="I8" s="10">
        <f t="shared" si="0"/>
        <v>513</v>
      </c>
    </row>
    <row r="9" spans="1:9" ht="14.4" customHeight="1" x14ac:dyDescent="0.3">
      <c r="A9" s="3">
        <v>801021</v>
      </c>
      <c r="B9" s="3" t="s">
        <v>70</v>
      </c>
      <c r="C9" s="3" t="s">
        <v>6</v>
      </c>
      <c r="D9" s="4" t="s">
        <v>12</v>
      </c>
      <c r="E9" s="5">
        <v>179</v>
      </c>
      <c r="F9" s="6">
        <v>176</v>
      </c>
      <c r="G9" s="7" t="str">
        <f>+VLOOKUP(B9,'[1]TIENDAS 2025'!$A$2:$C$143,3,0)</f>
        <v>departamental</v>
      </c>
      <c r="H9" s="7">
        <f>+VLOOKUP(B9,[2]Hoja1!$A$6:$B$138,2,0)</f>
        <v>186</v>
      </c>
      <c r="I9" s="10">
        <f t="shared" si="0"/>
        <v>365</v>
      </c>
    </row>
    <row r="10" spans="1:9" ht="14.4" customHeight="1" x14ac:dyDescent="0.3">
      <c r="A10" s="3">
        <v>801023</v>
      </c>
      <c r="B10" s="3" t="s">
        <v>71</v>
      </c>
      <c r="C10" s="3" t="s">
        <v>6</v>
      </c>
      <c r="D10" s="4" t="s">
        <v>35</v>
      </c>
      <c r="E10" s="5">
        <v>289</v>
      </c>
      <c r="F10" s="6">
        <v>273</v>
      </c>
      <c r="G10" s="7" t="str">
        <f>+VLOOKUP(B10,'[1]TIENDAS 2025'!$A$2:$C$143,3,0)</f>
        <v>departamental</v>
      </c>
      <c r="H10" s="7">
        <f>+VLOOKUP(B10,[2]Hoja1!$A$6:$B$138,2,0)</f>
        <v>211</v>
      </c>
      <c r="I10" s="10">
        <f t="shared" si="0"/>
        <v>500</v>
      </c>
    </row>
    <row r="11" spans="1:9" ht="14.4" customHeight="1" x14ac:dyDescent="0.3">
      <c r="A11" s="3">
        <v>801049</v>
      </c>
      <c r="B11" s="3" t="s">
        <v>48</v>
      </c>
      <c r="C11" s="3" t="s">
        <v>6</v>
      </c>
      <c r="D11" s="4" t="s">
        <v>15</v>
      </c>
      <c r="E11" s="5">
        <v>337</v>
      </c>
      <c r="F11" s="6">
        <v>320</v>
      </c>
      <c r="G11" s="7" t="str">
        <f>+VLOOKUP(B11,'[1]TIENDAS 2025'!$A$2:$C$143,3,0)</f>
        <v>departamental</v>
      </c>
      <c r="H11" s="7">
        <f>+VLOOKUP(B11,[2]Hoja1!$A$6:$B$138,2,0)</f>
        <v>336</v>
      </c>
      <c r="I11" s="10">
        <f t="shared" si="0"/>
        <v>673</v>
      </c>
    </row>
    <row r="12" spans="1:9" ht="14.4" customHeight="1" x14ac:dyDescent="0.3">
      <c r="A12" s="3">
        <v>801048</v>
      </c>
      <c r="B12" s="3" t="s">
        <v>73</v>
      </c>
      <c r="C12" s="3" t="s">
        <v>6</v>
      </c>
      <c r="D12" s="4" t="s">
        <v>37</v>
      </c>
      <c r="E12" s="5">
        <v>277</v>
      </c>
      <c r="F12" s="6">
        <v>276</v>
      </c>
      <c r="G12" s="7" t="str">
        <f>+VLOOKUP(B12,'[1]TIENDAS 2025'!$A$2:$C$143,3,0)</f>
        <v>departamental</v>
      </c>
      <c r="H12" s="7">
        <f>+VLOOKUP(B12,[2]Hoja1!$A$6:$B$138,2,0)</f>
        <v>298</v>
      </c>
      <c r="I12" s="10">
        <f t="shared" si="0"/>
        <v>575</v>
      </c>
    </row>
    <row r="13" spans="1:9" ht="14.4" customHeight="1" x14ac:dyDescent="0.3">
      <c r="A13" s="3">
        <v>801052</v>
      </c>
      <c r="B13" s="3" t="s">
        <v>68</v>
      </c>
      <c r="C13" s="3" t="s">
        <v>6</v>
      </c>
      <c r="D13" s="4" t="s">
        <v>33</v>
      </c>
      <c r="E13" s="5">
        <v>338</v>
      </c>
      <c r="F13" s="6">
        <v>331</v>
      </c>
      <c r="G13" s="7" t="str">
        <f>+VLOOKUP(B13,'[1]TIENDAS 2025'!$A$2:$C$143,3,0)</f>
        <v>departamental</v>
      </c>
      <c r="H13" s="7">
        <f>+VLOOKUP(B13,[2]Hoja1!$A$6:$B$138,2,0)</f>
        <v>220</v>
      </c>
      <c r="I13" s="10">
        <f t="shared" si="0"/>
        <v>558</v>
      </c>
    </row>
    <row r="14" spans="1:9" ht="14.4" customHeight="1" x14ac:dyDescent="0.3">
      <c r="A14" s="3">
        <v>801055</v>
      </c>
      <c r="B14" s="3" t="s">
        <v>58</v>
      </c>
      <c r="C14" s="3" t="s">
        <v>6</v>
      </c>
      <c r="D14" s="4" t="s">
        <v>24</v>
      </c>
      <c r="E14" s="5">
        <v>264</v>
      </c>
      <c r="F14" s="6">
        <v>254</v>
      </c>
      <c r="G14" s="7" t="str">
        <f>+VLOOKUP(B14,'[1]TIENDAS 2025'!$A$2:$C$143,3,0)</f>
        <v>departamental</v>
      </c>
      <c r="H14" s="7">
        <f>+VLOOKUP(B14,[2]Hoja1!$A$6:$B$138,2,0)</f>
        <v>258</v>
      </c>
      <c r="I14" s="10">
        <f t="shared" si="0"/>
        <v>522</v>
      </c>
    </row>
    <row r="15" spans="1:9" ht="14.4" customHeight="1" x14ac:dyDescent="0.3">
      <c r="A15" s="3">
        <v>801040</v>
      </c>
      <c r="B15" s="3" t="s">
        <v>51</v>
      </c>
      <c r="C15" s="3" t="s">
        <v>6</v>
      </c>
      <c r="D15" s="4" t="s">
        <v>11</v>
      </c>
      <c r="E15" s="5">
        <v>124</v>
      </c>
      <c r="F15" s="6">
        <v>123</v>
      </c>
      <c r="G15" s="7" t="str">
        <f>+VLOOKUP(B15,'[1]TIENDAS 2025'!$A$2:$C$143,3,0)</f>
        <v>departamental</v>
      </c>
      <c r="H15" s="7">
        <f>+VLOOKUP(B15,[2]Hoja1!$A$6:$B$138,2,0)</f>
        <v>206</v>
      </c>
      <c r="I15" s="10">
        <f t="shared" si="0"/>
        <v>330</v>
      </c>
    </row>
    <row r="16" spans="1:9" ht="14.4" customHeight="1" x14ac:dyDescent="0.3">
      <c r="A16" s="3">
        <v>801058</v>
      </c>
      <c r="B16" s="3" t="s">
        <v>49</v>
      </c>
      <c r="C16" s="3" t="s">
        <v>6</v>
      </c>
      <c r="D16" s="4" t="s">
        <v>16</v>
      </c>
      <c r="E16" s="5">
        <v>307</v>
      </c>
      <c r="F16" s="6">
        <v>294</v>
      </c>
      <c r="G16" s="7" t="str">
        <f>+VLOOKUP(B16,'[1]TIENDAS 2025'!$A$2:$C$143,3,0)</f>
        <v>departamental</v>
      </c>
      <c r="H16" s="7">
        <f>+VLOOKUP(B16,[2]Hoja1!$A$6:$B$138,2,0)</f>
        <v>150</v>
      </c>
      <c r="I16" s="10">
        <f t="shared" si="0"/>
        <v>457</v>
      </c>
    </row>
    <row r="17" spans="1:9" ht="14.4" customHeight="1" x14ac:dyDescent="0.3">
      <c r="A17" s="3">
        <v>801043</v>
      </c>
      <c r="B17" s="3" t="s">
        <v>52</v>
      </c>
      <c r="C17" s="3" t="s">
        <v>6</v>
      </c>
      <c r="D17" s="4" t="s">
        <v>18</v>
      </c>
      <c r="E17" s="5">
        <v>77</v>
      </c>
      <c r="F17" s="6">
        <v>74</v>
      </c>
      <c r="G17" s="7" t="str">
        <f>+VLOOKUP(B17,'[1]TIENDAS 2025'!$A$2:$C$143,3,0)</f>
        <v>departamental</v>
      </c>
      <c r="H17" s="7">
        <f>+VLOOKUP(B17,[2]Hoja1!$A$6:$B$138,2,0)</f>
        <v>66</v>
      </c>
      <c r="I17" s="10">
        <f t="shared" si="0"/>
        <v>143</v>
      </c>
    </row>
    <row r="18" spans="1:9" ht="14.4" customHeight="1" x14ac:dyDescent="0.3">
      <c r="A18" s="3">
        <v>801046</v>
      </c>
      <c r="B18" s="3" t="s">
        <v>45</v>
      </c>
      <c r="C18" s="3" t="s">
        <v>6</v>
      </c>
      <c r="D18" s="4" t="s">
        <v>13</v>
      </c>
      <c r="E18" s="5">
        <v>350</v>
      </c>
      <c r="F18" s="6">
        <v>331</v>
      </c>
      <c r="G18" s="7" t="str">
        <f>+VLOOKUP(B18,'[1]TIENDAS 2025'!$A$2:$C$143,3,0)</f>
        <v>departamental</v>
      </c>
      <c r="H18" s="7">
        <f>+VLOOKUP(B18,[2]Hoja1!$A$6:$B$138,2,0)</f>
        <v>153</v>
      </c>
      <c r="I18" s="10">
        <f t="shared" si="0"/>
        <v>503</v>
      </c>
    </row>
    <row r="19" spans="1:9" ht="14.4" customHeight="1" x14ac:dyDescent="0.3">
      <c r="A19" s="3">
        <v>801035</v>
      </c>
      <c r="B19" s="3" t="s">
        <v>50</v>
      </c>
      <c r="C19" s="3" t="s">
        <v>6</v>
      </c>
      <c r="D19" s="4" t="s">
        <v>17</v>
      </c>
      <c r="E19" s="5">
        <v>75</v>
      </c>
      <c r="F19" s="6">
        <v>74</v>
      </c>
      <c r="G19" s="7" t="str">
        <f>+VLOOKUP(B19,'[1]TIENDAS 2025'!$A$2:$C$143,3,0)</f>
        <v>local</v>
      </c>
      <c r="H19" s="7">
        <f>+VLOOKUP(B19,[2]Hoja1!$A$6:$B$138,2,0)</f>
        <v>127</v>
      </c>
      <c r="I19" s="10">
        <f t="shared" si="0"/>
        <v>202</v>
      </c>
    </row>
    <row r="20" spans="1:9" ht="14.4" customHeight="1" x14ac:dyDescent="0.3">
      <c r="A20" s="3">
        <v>801031</v>
      </c>
      <c r="B20" s="3" t="s">
        <v>72</v>
      </c>
      <c r="C20" s="3" t="s">
        <v>6</v>
      </c>
      <c r="D20" s="4" t="s">
        <v>36</v>
      </c>
      <c r="E20" s="5">
        <v>177</v>
      </c>
      <c r="F20" s="6">
        <v>176</v>
      </c>
      <c r="G20" s="7" t="str">
        <f>+VLOOKUP(B20,'[1]TIENDAS 2025'!$A$2:$C$143,3,0)</f>
        <v>departamental</v>
      </c>
      <c r="H20" s="7">
        <f>+VLOOKUP(B20,[2]Hoja1!$A$6:$B$138,2,0)</f>
        <v>192</v>
      </c>
      <c r="I20" s="10">
        <f t="shared" si="0"/>
        <v>369</v>
      </c>
    </row>
    <row r="21" spans="1:9" ht="14.4" customHeight="1" x14ac:dyDescent="0.3">
      <c r="A21" s="3">
        <v>801032</v>
      </c>
      <c r="B21" s="3" t="s">
        <v>44</v>
      </c>
      <c r="C21" s="3" t="s">
        <v>6</v>
      </c>
      <c r="D21" s="4" t="s">
        <v>12</v>
      </c>
      <c r="E21" s="5">
        <v>119</v>
      </c>
      <c r="F21" s="6">
        <v>117</v>
      </c>
      <c r="G21" s="7" t="str">
        <f>+VLOOKUP(B21,'[1]TIENDAS 2025'!$A$2:$C$143,3,0)</f>
        <v>local</v>
      </c>
      <c r="H21" s="7">
        <f>+VLOOKUP(B21,[2]Hoja1!$A$6:$B$138,2,0)</f>
        <v>113</v>
      </c>
      <c r="I21" s="10">
        <f t="shared" si="0"/>
        <v>232</v>
      </c>
    </row>
    <row r="22" spans="1:9" ht="14.4" customHeight="1" x14ac:dyDescent="0.3">
      <c r="A22" s="3">
        <v>801027</v>
      </c>
      <c r="B22" s="3" t="s">
        <v>57</v>
      </c>
      <c r="C22" s="3" t="s">
        <v>6</v>
      </c>
      <c r="D22" s="4" t="s">
        <v>23</v>
      </c>
      <c r="E22" s="5">
        <v>332</v>
      </c>
      <c r="F22" s="6">
        <v>312</v>
      </c>
      <c r="G22" s="7" t="str">
        <f>+VLOOKUP(B22,'[1]TIENDAS 2025'!$A$2:$C$143,3,0)</f>
        <v>departamental</v>
      </c>
      <c r="H22" s="7">
        <f>+VLOOKUP(B22,[2]Hoja1!$A$6:$B$138,2,0)</f>
        <v>159</v>
      </c>
      <c r="I22" s="10">
        <f t="shared" si="0"/>
        <v>491</v>
      </c>
    </row>
    <row r="23" spans="1:9" ht="14.4" customHeight="1" x14ac:dyDescent="0.3">
      <c r="A23" s="3">
        <v>801028</v>
      </c>
      <c r="B23" s="3" t="s">
        <v>43</v>
      </c>
      <c r="C23" s="3" t="s">
        <v>6</v>
      </c>
      <c r="D23" s="4" t="s">
        <v>11</v>
      </c>
      <c r="E23" s="5">
        <v>205</v>
      </c>
      <c r="F23" s="6">
        <v>202</v>
      </c>
      <c r="G23" s="7" t="str">
        <f>+VLOOKUP(B23,'[1]TIENDAS 2025'!$A$2:$C$143,3,0)</f>
        <v>departamental</v>
      </c>
      <c r="H23" s="7">
        <f>+VLOOKUP(B23,[2]Hoja1!$A$6:$B$138,2,0)</f>
        <v>104</v>
      </c>
      <c r="I23" s="10">
        <f t="shared" si="0"/>
        <v>309</v>
      </c>
    </row>
    <row r="24" spans="1:9" ht="14.4" customHeight="1" x14ac:dyDescent="0.3">
      <c r="A24" s="3">
        <v>801008</v>
      </c>
      <c r="B24" s="3" t="s">
        <v>61</v>
      </c>
      <c r="C24" s="3" t="s">
        <v>6</v>
      </c>
      <c r="D24" s="4" t="s">
        <v>26</v>
      </c>
      <c r="E24" s="5">
        <v>259</v>
      </c>
      <c r="F24" s="6">
        <v>245</v>
      </c>
      <c r="G24" s="7" t="str">
        <f>+VLOOKUP(B24,'[1]TIENDAS 2025'!$A$2:$C$143,3,0)</f>
        <v>departamental</v>
      </c>
      <c r="H24" s="7">
        <f>+VLOOKUP(B24,[2]Hoja1!$A$6:$B$138,2,0)</f>
        <v>216</v>
      </c>
      <c r="I24" s="10">
        <f t="shared" si="0"/>
        <v>475</v>
      </c>
    </row>
    <row r="25" spans="1:9" ht="14.4" customHeight="1" x14ac:dyDescent="0.3">
      <c r="A25" s="3">
        <v>801006</v>
      </c>
      <c r="B25" s="3" t="s">
        <v>60</v>
      </c>
      <c r="C25" s="3" t="s">
        <v>6</v>
      </c>
      <c r="D25" s="4" t="s">
        <v>19</v>
      </c>
      <c r="E25" s="5">
        <v>155</v>
      </c>
      <c r="F25" s="6">
        <v>154</v>
      </c>
      <c r="G25" s="7" t="str">
        <f>+VLOOKUP(B25,'[1]TIENDAS 2025'!$A$2:$C$143,3,0)</f>
        <v>local</v>
      </c>
      <c r="H25" s="7">
        <f>+VLOOKUP(B25,[2]Hoja1!$A$6:$B$138,2,0)</f>
        <v>249</v>
      </c>
      <c r="I25" s="10">
        <f t="shared" si="0"/>
        <v>404</v>
      </c>
    </row>
    <row r="26" spans="1:9" ht="14.4" customHeight="1" x14ac:dyDescent="0.3">
      <c r="A26" s="3">
        <v>801007</v>
      </c>
      <c r="B26" s="3" t="s">
        <v>41</v>
      </c>
      <c r="C26" s="3" t="s">
        <v>6</v>
      </c>
      <c r="D26" s="4" t="s">
        <v>9</v>
      </c>
      <c r="E26" s="5">
        <v>341</v>
      </c>
      <c r="F26" s="6">
        <v>331</v>
      </c>
      <c r="G26" s="7" t="str">
        <f>+VLOOKUP(B26,'[1]TIENDAS 2025'!$A$2:$C$143,3,0)</f>
        <v>local</v>
      </c>
      <c r="H26" s="7">
        <f>+VLOOKUP(B26,[2]Hoja1!$A$6:$B$138,2,0)</f>
        <v>190</v>
      </c>
      <c r="I26" s="10">
        <f t="shared" si="0"/>
        <v>531</v>
      </c>
    </row>
    <row r="27" spans="1:9" ht="14.4" customHeight="1" x14ac:dyDescent="0.3">
      <c r="A27" s="3">
        <v>801002</v>
      </c>
      <c r="B27" s="3" t="s">
        <v>54</v>
      </c>
      <c r="C27" s="3" t="s">
        <v>6</v>
      </c>
      <c r="D27" s="4" t="s">
        <v>20</v>
      </c>
      <c r="E27" s="5">
        <v>155</v>
      </c>
      <c r="F27" s="6">
        <v>155</v>
      </c>
      <c r="G27" s="7" t="str">
        <f>+VLOOKUP(B27,'[1]TIENDAS 2025'!$A$2:$C$143,3,0)</f>
        <v>local</v>
      </c>
      <c r="H27" s="7">
        <f>+VLOOKUP(B27,[2]Hoja1!$A$6:$B$138,2,0)</f>
        <v>205</v>
      </c>
      <c r="I27" s="10">
        <f t="shared" si="0"/>
        <v>360</v>
      </c>
    </row>
    <row r="28" spans="1:9" ht="14.4" customHeight="1" x14ac:dyDescent="0.3">
      <c r="A28" s="3">
        <v>801003</v>
      </c>
      <c r="B28" s="3" t="s">
        <v>65</v>
      </c>
      <c r="C28" s="3" t="s">
        <v>6</v>
      </c>
      <c r="D28" s="4" t="s">
        <v>30</v>
      </c>
      <c r="E28" s="5">
        <v>191</v>
      </c>
      <c r="F28" s="6">
        <v>188</v>
      </c>
      <c r="G28" s="7" t="str">
        <f>+VLOOKUP(B28,'[1]TIENDAS 2025'!$A$2:$C$143,3,0)</f>
        <v>local</v>
      </c>
      <c r="H28" s="7">
        <f>+VLOOKUP(B28,[2]Hoja1!$A$6:$B$138,2,0)</f>
        <v>220</v>
      </c>
      <c r="I28" s="10">
        <f t="shared" si="0"/>
        <v>411</v>
      </c>
    </row>
    <row r="29" spans="1:9" ht="14.4" customHeight="1" x14ac:dyDescent="0.3">
      <c r="A29" s="3">
        <v>801000</v>
      </c>
      <c r="B29" s="3" t="s">
        <v>64</v>
      </c>
      <c r="C29" s="3" t="s">
        <v>6</v>
      </c>
      <c r="D29" s="4" t="s">
        <v>29</v>
      </c>
      <c r="E29" s="5">
        <v>236</v>
      </c>
      <c r="F29" s="6">
        <v>231</v>
      </c>
      <c r="G29" s="7" t="str">
        <f>+VLOOKUP(B29,'[1]TIENDAS 2025'!$A$2:$C$143,3,0)</f>
        <v>departamental</v>
      </c>
      <c r="H29" s="7">
        <f>+VLOOKUP(B29,[2]Hoja1!$A$6:$B$138,2,0)</f>
        <v>118</v>
      </c>
      <c r="I29" s="10">
        <f t="shared" si="0"/>
        <v>354</v>
      </c>
    </row>
    <row r="30" spans="1:9" ht="14.4" customHeight="1" x14ac:dyDescent="0.3">
      <c r="A30" s="3">
        <v>800998</v>
      </c>
      <c r="B30" s="3" t="s">
        <v>53</v>
      </c>
      <c r="C30" s="3" t="s">
        <v>6</v>
      </c>
      <c r="D30" s="4" t="s">
        <v>19</v>
      </c>
      <c r="E30" s="5">
        <v>146</v>
      </c>
      <c r="F30" s="6">
        <v>145</v>
      </c>
      <c r="G30" s="7" t="str">
        <f>+VLOOKUP(B30,'[1]TIENDAS 2025'!$A$2:$C$143,3,0)</f>
        <v xml:space="preserve">departamental </v>
      </c>
      <c r="H30" s="7">
        <f>+VLOOKUP(B30,[2]Hoja1!$A$6:$B$138,2,0)</f>
        <v>170</v>
      </c>
      <c r="I30" s="10">
        <f t="shared" si="0"/>
        <v>316</v>
      </c>
    </row>
    <row r="31" spans="1:9" ht="14.4" customHeight="1" x14ac:dyDescent="0.3">
      <c r="A31" s="3">
        <v>800910</v>
      </c>
      <c r="B31" s="3" t="s">
        <v>63</v>
      </c>
      <c r="C31" s="3" t="s">
        <v>6</v>
      </c>
      <c r="D31" s="8" t="s">
        <v>28</v>
      </c>
      <c r="E31" s="5">
        <v>280</v>
      </c>
      <c r="F31" s="6">
        <v>274</v>
      </c>
      <c r="G31" s="7" t="str">
        <f>+VLOOKUP(B31,'[1]TIENDAS 2025'!$A$2:$C$143,3,0)</f>
        <v>departamental</v>
      </c>
      <c r="H31" s="7">
        <f>+VLOOKUP(B31,[2]Hoja1!$A$6:$B$138,2,0)</f>
        <v>372</v>
      </c>
      <c r="I31" s="10">
        <f t="shared" si="0"/>
        <v>652</v>
      </c>
    </row>
    <row r="32" spans="1:9" ht="14.4" customHeight="1" x14ac:dyDescent="0.3">
      <c r="A32" s="3">
        <v>800995</v>
      </c>
      <c r="B32" s="3" t="s">
        <v>47</v>
      </c>
      <c r="C32" s="3" t="s">
        <v>6</v>
      </c>
      <c r="D32" s="4" t="s">
        <v>14</v>
      </c>
      <c r="E32" s="5">
        <v>252</v>
      </c>
      <c r="F32" s="6">
        <v>229</v>
      </c>
      <c r="G32" s="7" t="str">
        <f>+VLOOKUP(B32,'[1]TIENDAS 2025'!$A$2:$C$143,3,0)</f>
        <v>departamental</v>
      </c>
      <c r="H32" s="7">
        <f>+VLOOKUP(B32,[2]Hoja1!$A$6:$B$138,2,0)</f>
        <v>191</v>
      </c>
      <c r="I32" s="10">
        <f t="shared" si="0"/>
        <v>443</v>
      </c>
    </row>
    <row r="33" spans="1:9" ht="14.4" customHeight="1" x14ac:dyDescent="0.3">
      <c r="A33" s="3">
        <v>800992</v>
      </c>
      <c r="B33" s="3" t="s">
        <v>69</v>
      </c>
      <c r="C33" s="3" t="s">
        <v>6</v>
      </c>
      <c r="D33" s="4" t="s">
        <v>34</v>
      </c>
      <c r="E33" s="5">
        <v>225</v>
      </c>
      <c r="F33" s="6">
        <v>221</v>
      </c>
      <c r="G33" s="7" t="str">
        <f>+VLOOKUP(B33,'[1]TIENDAS 2025'!$A$2:$C$143,3,0)</f>
        <v>local</v>
      </c>
      <c r="H33" s="7">
        <f>+VLOOKUP(B33,[2]Hoja1!$A$6:$B$138,2,0)</f>
        <v>214</v>
      </c>
      <c r="I33" s="10">
        <f t="shared" si="0"/>
        <v>439</v>
      </c>
    </row>
    <row r="34" spans="1:9" ht="14.4" customHeight="1" x14ac:dyDescent="0.3">
      <c r="A34" s="3">
        <v>800990</v>
      </c>
      <c r="B34" s="3" t="s">
        <v>75</v>
      </c>
      <c r="C34" s="3" t="s">
        <v>6</v>
      </c>
      <c r="D34" s="4" t="s">
        <v>32</v>
      </c>
      <c r="E34" s="5">
        <v>186</v>
      </c>
      <c r="F34" s="6">
        <v>181</v>
      </c>
      <c r="G34" s="7" t="str">
        <f>+VLOOKUP(B34,'[1]TIENDAS 2025'!$A$2:$C$143,3,0)</f>
        <v>local</v>
      </c>
      <c r="H34" s="7">
        <f>+VLOOKUP(B34,[2]Hoja1!$A$6:$B$138,2,0)</f>
        <v>240</v>
      </c>
      <c r="I34" s="10">
        <f t="shared" si="0"/>
        <v>426</v>
      </c>
    </row>
    <row r="35" spans="1:9" ht="14.4" customHeight="1" x14ac:dyDescent="0.3">
      <c r="A35" s="3">
        <v>800989</v>
      </c>
      <c r="B35" s="3" t="s">
        <v>40</v>
      </c>
      <c r="C35" s="3" t="s">
        <v>6</v>
      </c>
      <c r="D35" s="4" t="s">
        <v>8</v>
      </c>
      <c r="E35" s="5">
        <v>195</v>
      </c>
      <c r="F35" s="6">
        <v>190</v>
      </c>
      <c r="G35" s="7" t="str">
        <f>+VLOOKUP(B35,'[1]TIENDAS 2025'!$A$2:$C$143,3,0)</f>
        <v>departamental</v>
      </c>
      <c r="H35" s="7">
        <f>+VLOOKUP(B35,[2]Hoja1!$A$6:$B$138,2,0)</f>
        <v>212</v>
      </c>
      <c r="I35" s="10">
        <f t="shared" si="0"/>
        <v>407</v>
      </c>
    </row>
    <row r="36" spans="1:9" ht="14.4" customHeight="1" x14ac:dyDescent="0.3">
      <c r="A36" s="3">
        <v>800987</v>
      </c>
      <c r="B36" s="3" t="s">
        <v>39</v>
      </c>
      <c r="C36" s="3" t="s">
        <v>6</v>
      </c>
      <c r="D36" s="4" t="s">
        <v>7</v>
      </c>
      <c r="E36" s="5">
        <v>252</v>
      </c>
      <c r="F36" s="6">
        <v>250</v>
      </c>
      <c r="G36" s="7" t="str">
        <f>+VLOOKUP(B36,'[1]TIENDAS 2025'!$A$2:$C$143,3,0)</f>
        <v>local</v>
      </c>
      <c r="H36" s="7">
        <f>+VLOOKUP(B36,[2]Hoja1!$A$6:$B$138,2,0)</f>
        <v>319</v>
      </c>
      <c r="I36" s="10">
        <f t="shared" si="0"/>
        <v>571</v>
      </c>
    </row>
    <row r="37" spans="1:9" ht="14.4" customHeight="1" x14ac:dyDescent="0.3">
      <c r="A37" s="3">
        <v>800983</v>
      </c>
      <c r="B37" s="3" t="s">
        <v>59</v>
      </c>
      <c r="C37" s="3" t="s">
        <v>6</v>
      </c>
      <c r="D37" s="4" t="s">
        <v>25</v>
      </c>
      <c r="E37" s="5">
        <v>249</v>
      </c>
      <c r="F37" s="6">
        <v>243</v>
      </c>
      <c r="G37" s="7" t="str">
        <f>+VLOOKUP(B37,'[1]TIENDAS 2025'!$A$2:$C$143,3,0)</f>
        <v>local</v>
      </c>
      <c r="H37" s="7">
        <f>+VLOOKUP(B37,[2]Hoja1!$A$6:$B$138,2,0)</f>
        <v>189</v>
      </c>
      <c r="I37" s="10">
        <f t="shared" si="0"/>
        <v>438</v>
      </c>
    </row>
    <row r="38" spans="1:9" ht="0" hidden="1" customHeight="1" x14ac:dyDescent="0.3"/>
    <row r="40" spans="1:9" x14ac:dyDescent="0.3">
      <c r="B40" s="11" t="s">
        <v>38</v>
      </c>
      <c r="C40" s="11">
        <v>800956</v>
      </c>
    </row>
    <row r="41" spans="1:9" x14ac:dyDescent="0.3">
      <c r="B41" s="11" t="s">
        <v>46</v>
      </c>
      <c r="C41" s="11">
        <v>800978</v>
      </c>
    </row>
    <row r="42" spans="1:9" x14ac:dyDescent="0.3">
      <c r="B42" s="11" t="s">
        <v>74</v>
      </c>
      <c r="C42" s="11">
        <v>801064</v>
      </c>
    </row>
  </sheetData>
  <sortState xmlns:xlrd2="http://schemas.microsoft.com/office/spreadsheetml/2017/richdata2" ref="A2:F37">
    <sortCondition ref="B2:B37"/>
  </sortState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16D7A00-30D8-463D-A9BD-F0D9456CB0F2}"/>
</file>

<file path=customXml/itemProps2.xml><?xml version="1.0" encoding="utf-8"?>
<ds:datastoreItem xmlns:ds="http://schemas.openxmlformats.org/officeDocument/2006/customXml" ds:itemID="{622CAD07-1A81-473F-A55A-E15F2B30417B}"/>
</file>

<file path=customXml/itemProps3.xml><?xml version="1.0" encoding="utf-8"?>
<ds:datastoreItem xmlns:ds="http://schemas.openxmlformats.org/officeDocument/2006/customXml" ds:itemID="{C2B16466-5B24-4E85-8604-2FFDD749D1C8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2026-10-15T13:45:45Z</dcterms:created>
  <dcterms:modified xsi:type="dcterms:W3CDTF">2026-10-15T13:45:50Z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