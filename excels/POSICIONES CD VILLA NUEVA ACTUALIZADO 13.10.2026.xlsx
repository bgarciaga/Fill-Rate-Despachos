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BA311F61-3486-4C13-A713-79FECB4D0DEE}" xr6:coauthVersionLast="47" xr6:coauthVersionMax="47" xr10:uidLastSave="{00000000-0000-0000-0000-000000000000}"/>
  <bookViews>
    <workbookView xWindow="-108" yWindow="-108" windowWidth="23256" windowHeight="12576" activeTab="1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<sst xmlns="http://schemas.openxmlformats.org/spreadsheetml/2006/main" count="1298" uniqueCount="85">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</sst>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8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9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4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828675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07.3142912037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65"/>
    </cacheField>
    <cacheField name="OCUPADO" numFmtId="0">
      <sharedItems containsSemiMixedTypes="0" containsString="0" containsNumber="1" containsInteger="1" minValue="0" maxValue="208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0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4847.7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9"/>
    <n v="93"/>
    <n v="102"/>
    <n v="0.91176470588235292"/>
    <s v="LIMPIEZA"/>
    <n v="264.42"/>
  </r>
  <r>
    <x v="0"/>
    <x v="0"/>
    <s v="Pasillo 1"/>
    <s v="A"/>
    <x v="1"/>
    <n v="10"/>
    <n v="42"/>
    <n v="52"/>
    <n v="0.80769230769230771"/>
    <s v="LIMPIEZA"/>
    <n v="293.8"/>
  </r>
  <r>
    <x v="0"/>
    <x v="0"/>
    <s v="Pasillo 1"/>
    <s v="B"/>
    <x v="0"/>
    <n v="5"/>
    <n v="104"/>
    <n v="109"/>
    <n v="0.95412844036697253"/>
    <s v="LIMPIEZA"/>
    <n v="146.9"/>
  </r>
  <r>
    <x v="0"/>
    <x v="0"/>
    <s v="Pasillo 1"/>
    <s v="B"/>
    <x v="1"/>
    <n v="3"/>
    <n v="57"/>
    <n v="60"/>
    <n v="0.95"/>
    <s v="LIMPIEZA"/>
    <n v="88.14"/>
  </r>
  <r>
    <x v="0"/>
    <x v="0"/>
    <s v="Pasillo 2"/>
    <s v="A"/>
    <x v="0"/>
    <n v="4"/>
    <n v="135"/>
    <n v="139"/>
    <n v="0.97122302158273377"/>
    <s v="LIMPIEZA"/>
    <n v="117.52"/>
  </r>
  <r>
    <x v="0"/>
    <x v="0"/>
    <s v="Pasillo 2"/>
    <s v="B"/>
    <x v="0"/>
    <n v="8"/>
    <n v="137"/>
    <n v="145"/>
    <n v="0.94482758620689655"/>
    <s v="LIMPIEZA"/>
    <n v="235.04"/>
  </r>
  <r>
    <x v="0"/>
    <x v="0"/>
    <s v="Pasillo 3"/>
    <s v="A"/>
    <x v="0"/>
    <n v="12"/>
    <n v="84"/>
    <n v="96"/>
    <n v="0.875"/>
    <s v="LIMPIEZA"/>
    <n v="352.56"/>
  </r>
  <r>
    <x v="0"/>
    <x v="0"/>
    <s v="Pasillo 3"/>
    <s v="A"/>
    <x v="1"/>
    <n v="7"/>
    <n v="76"/>
    <n v="83"/>
    <n v="0.91566265060240959"/>
    <s v="LIMPIEZA"/>
    <n v="205.66"/>
  </r>
  <r>
    <x v="0"/>
    <x v="0"/>
    <s v="Pasillo 3"/>
    <s v="B"/>
    <x v="0"/>
    <n v="18"/>
    <n v="93"/>
    <n v="111"/>
    <n v="0.83783783783783783"/>
    <s v="LIMPIEZA"/>
    <n v="528.84"/>
  </r>
  <r>
    <x v="0"/>
    <x v="0"/>
    <s v="Pasillo 3"/>
    <s v="B"/>
    <x v="1"/>
    <n v="6"/>
    <n v="50"/>
    <n v="56"/>
    <n v="0.8928571428571429"/>
    <s v="LIMPIEZA"/>
    <n v="176.28"/>
  </r>
  <r>
    <x v="0"/>
    <x v="0"/>
    <s v="Pasillo 4"/>
    <s v="A"/>
    <x v="0"/>
    <n v="14"/>
    <n v="109"/>
    <n v="123"/>
    <n v="0.88617886178861793"/>
    <s v="LIMPIEZA"/>
    <n v="411.32"/>
  </r>
  <r>
    <x v="0"/>
    <x v="0"/>
    <s v="Pasillo 4"/>
    <s v="A"/>
    <x v="1"/>
    <n v="8"/>
    <n v="36"/>
    <n v="44"/>
    <n v="0.81818181818181823"/>
    <s v="LIMPIEZA"/>
    <n v="235.04"/>
  </r>
  <r>
    <x v="0"/>
    <x v="0"/>
    <s v="Pasillo 4"/>
    <s v="B"/>
    <x v="0"/>
    <n v="15"/>
    <n v="96"/>
    <n v="111"/>
    <n v="0.86486486486486491"/>
    <s v="LIMPIEZA"/>
    <n v="440.7"/>
  </r>
  <r>
    <x v="0"/>
    <x v="0"/>
    <s v="Pasillo 4"/>
    <s v="B"/>
    <x v="1"/>
    <n v="4"/>
    <n v="64"/>
    <n v="68"/>
    <n v="0.94117647058823528"/>
    <s v="LIMPIEZA"/>
    <n v="117.52"/>
  </r>
  <r>
    <x v="0"/>
    <x v="0"/>
    <s v="Pasillo 5"/>
    <s v="A"/>
    <x v="0"/>
    <n v="13"/>
    <n v="60"/>
    <n v="73"/>
    <n v="0.82191780821917804"/>
    <s v="LIMPIEZA Y COSMETICOS"/>
    <n v="381.94"/>
  </r>
  <r>
    <x v="0"/>
    <x v="0"/>
    <s v="Pasillo 5"/>
    <s v="A"/>
    <x v="1"/>
    <n v="17"/>
    <n v="115"/>
    <n v="132"/>
    <n v="0.87121212121212122"/>
    <s v="LIMPIEZA Y COSMETICOS"/>
    <n v="499.46"/>
  </r>
  <r>
    <x v="0"/>
    <x v="0"/>
    <s v="Pasillo 5"/>
    <s v="B"/>
    <x v="0"/>
    <n v="7"/>
    <n v="53"/>
    <n v="60"/>
    <n v="0.8833333333333333"/>
    <s v="LIMPIEZA Y COSMETICOS"/>
    <n v="205.66"/>
  </r>
  <r>
    <x v="0"/>
    <x v="0"/>
    <s v="Pasillo 5"/>
    <s v="B"/>
    <x v="1"/>
    <n v="25"/>
    <n v="127"/>
    <n v="152"/>
    <n v="0.83552631578947367"/>
    <s v="LIMPIEZA Y COSMETICOS"/>
    <n v="734.5"/>
  </r>
  <r>
    <x v="0"/>
    <x v="0"/>
    <s v="Pasillo 6"/>
    <s v="A"/>
    <x v="0"/>
    <n v="4"/>
    <n v="57"/>
    <n v="61"/>
    <n v="0.93442622950819676"/>
    <s v="LIMPIEZA Y COSMETICOS"/>
    <n v="117.52"/>
  </r>
  <r>
    <x v="0"/>
    <x v="0"/>
    <s v="Pasillo 6"/>
    <s v="A"/>
    <x v="1"/>
    <n v="12"/>
    <n v="144"/>
    <n v="156"/>
    <n v="0.92307692307692313"/>
    <s v="LIMPIEZA Y COSMETICOS"/>
    <n v="352.56"/>
  </r>
  <r>
    <x v="0"/>
    <x v="0"/>
    <s v="Pasillo 6"/>
    <s v="B"/>
    <x v="0"/>
    <n v="12"/>
    <n v="49"/>
    <n v="61"/>
    <n v="0.80327868852459017"/>
    <s v="LIMPIEZA Y COSMETICOS"/>
    <n v="352.56"/>
  </r>
  <r>
    <x v="0"/>
    <x v="0"/>
    <s v="Pasillo 6"/>
    <s v="B"/>
    <x v="1"/>
    <n v="12"/>
    <n v="144"/>
    <n v="156"/>
    <n v="0.92307692307692313"/>
    <s v="LIMPIEZA Y COSMETICOS"/>
    <n v="352.56"/>
  </r>
  <r>
    <x v="0"/>
    <x v="0"/>
    <s v="Pasillo 7"/>
    <s v="A"/>
    <x v="0"/>
    <n v="3"/>
    <n v="60"/>
    <n v="63"/>
    <n v="0.95238095238095233"/>
    <s v="LIMPIEZA Y COSMETICOS"/>
    <n v="88.14"/>
  </r>
  <r>
    <x v="0"/>
    <x v="0"/>
    <s v="Pasillo 7"/>
    <s v="A"/>
    <x v="1"/>
    <n v="15"/>
    <n v="137"/>
    <n v="152"/>
    <n v="0.90131578947368418"/>
    <s v="LIMPIEZA Y COSMETICOS"/>
    <n v="440.7"/>
  </r>
  <r>
    <x v="0"/>
    <x v="0"/>
    <s v="Pasillo 7"/>
    <s v="B"/>
    <x v="0"/>
    <n v="9"/>
    <n v="130"/>
    <n v="139"/>
    <n v="0.93525179856115104"/>
    <s v="LIMPIEZA Y COSMETICOS"/>
    <n v="264.42"/>
  </r>
  <r>
    <x v="0"/>
    <x v="0"/>
    <s v="Pasillo 8"/>
    <s v="A"/>
    <x v="0"/>
    <n v="25"/>
    <n v="114"/>
    <n v="139"/>
    <n v="0.82014388489208634"/>
    <s v="LIMPIEZA Y COSMETICOS"/>
    <n v="734.5"/>
  </r>
  <r>
    <x v="0"/>
    <x v="0"/>
    <s v="Pasillo 8"/>
    <s v="B"/>
    <x v="0"/>
    <n v="45"/>
    <n v="89"/>
    <n v="134"/>
    <n v="0.66417910447761197"/>
    <s v="LIMPIEZA Y COSMETICOS"/>
    <n v="1322.1"/>
  </r>
  <r>
    <x v="0"/>
    <x v="0"/>
    <s v="Pasillo 8"/>
    <s v="B"/>
    <x v="1"/>
    <n v="2"/>
    <n v="2"/>
    <n v="4"/>
    <n v="0.5"/>
    <s v="LIMPIEZA Y COSMETICOS"/>
    <n v="58.76"/>
  </r>
  <r>
    <x v="0"/>
    <x v="0"/>
    <s v="Pasillo 9"/>
    <s v="A"/>
    <x v="0"/>
    <n v="17"/>
    <n v="74"/>
    <n v="91"/>
    <n v="0.81318681318681318"/>
    <s v="LIMPIEZA Y UNIDADES"/>
    <n v="499.46"/>
  </r>
  <r>
    <x v="0"/>
    <x v="0"/>
    <s v="Pasillo 9"/>
    <s v="A"/>
    <x v="1"/>
    <n v="9"/>
    <n v="87"/>
    <n v="96"/>
    <n v="0.90625"/>
    <s v="LIMPIEZA Y UNIDADES"/>
    <n v="264.42"/>
  </r>
  <r>
    <x v="0"/>
    <x v="0"/>
    <s v="Pasillo 9"/>
    <s v="B"/>
    <x v="0"/>
    <n v="21"/>
    <n v="63"/>
    <n v="84"/>
    <n v="0.75"/>
    <s v="LIMPIEZA Y UNIDADES"/>
    <n v="616.98"/>
  </r>
  <r>
    <x v="0"/>
    <x v="0"/>
    <s v="Pasillo 9"/>
    <s v="B"/>
    <x v="1"/>
    <n v="8"/>
    <n v="96"/>
    <n v="104"/>
    <n v="0.92307692307692313"/>
    <s v="LIMPIEZA Y UNIDADES"/>
    <n v="235.04"/>
  </r>
  <r>
    <x v="0"/>
    <x v="0"/>
    <s v="Pasillo 10"/>
    <s v="A"/>
    <x v="0"/>
    <n v="23"/>
    <n v="116"/>
    <n v="139"/>
    <n v="0.83453237410071945"/>
    <s v="LIMPIEZA"/>
    <n v="675.74"/>
  </r>
  <r>
    <x v="0"/>
    <x v="0"/>
    <s v="Pasillo 10"/>
    <s v="B"/>
    <x v="0"/>
    <n v="24"/>
    <n v="116"/>
    <n v="140"/>
    <n v="0.82857142857142863"/>
    <s v="LIMPIEZA"/>
    <n v="705.12"/>
  </r>
  <r>
    <x v="0"/>
    <x v="0"/>
    <s v="Pasillo 10"/>
    <s v="B"/>
    <x v="1"/>
    <n v="1"/>
    <n v="7"/>
    <n v="8"/>
    <n v="0.875"/>
    <s v="LIMPIEZA"/>
    <n v="29.38"/>
  </r>
  <r>
    <x v="0"/>
    <x v="0"/>
    <s v="Pasillo 11"/>
    <s v="A"/>
    <x v="0"/>
    <n v="21"/>
    <n v="115"/>
    <n v="136"/>
    <n v="0.84558823529411764"/>
    <s v="LIMPIEZA"/>
    <n v="616.98"/>
  </r>
  <r>
    <x v="0"/>
    <x v="0"/>
    <s v="Pasillo 11"/>
    <s v="B"/>
    <x v="0"/>
    <n v="35"/>
    <n v="104"/>
    <n v="139"/>
    <n v="0.74820143884892087"/>
    <s v="LIMPIEZA"/>
    <n v="1028.3"/>
  </r>
  <r>
    <x v="0"/>
    <x v="0"/>
    <s v="Pasillo 12"/>
    <s v="A"/>
    <x v="0"/>
    <n v="14"/>
    <n v="128"/>
    <n v="142"/>
    <n v="0.90140845070422537"/>
    <s v="COMESTIBLE"/>
    <n v="411.32"/>
  </r>
  <r>
    <x v="0"/>
    <x v="0"/>
    <s v="Pasillo 12"/>
    <s v="B"/>
    <x v="0"/>
    <n v="30"/>
    <n v="109"/>
    <n v="139"/>
    <n v="0.78417266187050361"/>
    <s v="COMESTIBLE"/>
    <n v="881.4"/>
  </r>
  <r>
    <x v="0"/>
    <x v="0"/>
    <s v="Pasillo 13"/>
    <s v="A"/>
    <x v="0"/>
    <n v="18"/>
    <n v="121"/>
    <n v="139"/>
    <n v="0.87050359712230219"/>
    <s v="COMESTIBLE"/>
    <n v="528.84"/>
  </r>
  <r>
    <x v="0"/>
    <x v="0"/>
    <s v="Pasillo 13"/>
    <s v="B"/>
    <x v="0"/>
    <n v="15"/>
    <n v="124"/>
    <n v="139"/>
    <n v="0.8920863309352518"/>
    <s v="COMESTIBLE"/>
    <n v="440.7"/>
  </r>
  <r>
    <x v="0"/>
    <x v="0"/>
    <s v="Pasillo 14"/>
    <s v="A"/>
    <x v="0"/>
    <n v="12"/>
    <n v="75"/>
    <n v="87"/>
    <n v="0.86206896551724133"/>
    <s v="COMESTIBLE"/>
    <n v="352.56"/>
  </r>
  <r>
    <x v="0"/>
    <x v="0"/>
    <s v="Pasillo 14"/>
    <s v="A"/>
    <x v="1"/>
    <n v="26"/>
    <n v="78"/>
    <n v="104"/>
    <n v="0.75"/>
    <s v="COMESTIBLE"/>
    <n v="763.88"/>
  </r>
  <r>
    <x v="0"/>
    <x v="0"/>
    <s v="Pasillo 14"/>
    <s v="B"/>
    <x v="0"/>
    <n v="14"/>
    <n v="79"/>
    <n v="93"/>
    <n v="0.84946236559139787"/>
    <s v="COMESTIBLE"/>
    <n v="411.32"/>
  </r>
  <r>
    <x v="0"/>
    <x v="0"/>
    <s v="Pasillo 14"/>
    <s v="B"/>
    <x v="1"/>
    <n v="21"/>
    <n v="123"/>
    <n v="144"/>
    <n v="0.85416666666666663"/>
    <s v="COMESTIBLE"/>
    <n v="616.98"/>
  </r>
  <r>
    <x v="0"/>
    <x v="0"/>
    <s v="Pasillo 15"/>
    <s v="A"/>
    <x v="0"/>
    <n v="21"/>
    <n v="118"/>
    <n v="139"/>
    <n v="0.84892086330935257"/>
    <s v="COMESTIBLE"/>
    <n v="616.98"/>
  </r>
  <r>
    <x v="0"/>
    <x v="0"/>
    <s v="Pasillo 15"/>
    <s v="B"/>
    <x v="0"/>
    <n v="17"/>
    <n v="122"/>
    <n v="139"/>
    <n v="0.87769784172661869"/>
    <s v="COMESTIBLE"/>
    <n v="499.46"/>
  </r>
  <r>
    <x v="0"/>
    <x v="0"/>
    <s v="Pasillo 16"/>
    <s v="A"/>
    <x v="0"/>
    <n v="29"/>
    <n v="107"/>
    <n v="136"/>
    <n v="0.78676470588235292"/>
    <s v="COMESTIBLE"/>
    <n v="852.02"/>
  </r>
  <r>
    <x v="0"/>
    <x v="0"/>
    <s v="Pasillo 16"/>
    <s v="B"/>
    <x v="0"/>
    <n v="26"/>
    <n v="114"/>
    <n v="140"/>
    <n v="0.81428571428571428"/>
    <s v="COMESTIBLE"/>
    <n v="763.88"/>
  </r>
  <r>
    <x v="0"/>
    <x v="0"/>
    <s v="Pasillo 16"/>
    <s v="B"/>
    <x v="1"/>
    <n v="1"/>
    <n v="3"/>
    <n v="4"/>
    <n v="0.75"/>
    <s v="COMESTIBLE"/>
    <n v="29.38"/>
  </r>
  <r>
    <x v="0"/>
    <x v="0"/>
    <s v="Pasillo 17"/>
    <s v="A"/>
    <x v="0"/>
    <n v="40"/>
    <n v="96"/>
    <n v="136"/>
    <n v="0.70588235294117652"/>
    <s v="COMESTIBLE"/>
    <n v="1175.2"/>
  </r>
  <r>
    <x v="0"/>
    <x v="0"/>
    <s v="Pasillo 17"/>
    <s v="B"/>
    <x v="0"/>
    <n v="39"/>
    <n v="100"/>
    <n v="139"/>
    <n v="0.71942446043165464"/>
    <s v="COMESTIBLE"/>
    <n v="1145.82"/>
  </r>
  <r>
    <x v="0"/>
    <x v="0"/>
    <s v="Pasillo 18"/>
    <s v="A"/>
    <x v="0"/>
    <n v="16"/>
    <n v="21"/>
    <n v="37"/>
    <n v="0.56756756756756754"/>
    <s v="COMESTIBLE"/>
    <n v="470.08"/>
  </r>
  <r>
    <x v="0"/>
    <x v="0"/>
    <s v="Pasillo 18"/>
    <s v="A"/>
    <x v="1"/>
    <n v="84"/>
    <n v="120"/>
    <n v="204"/>
    <n v="0.58823529411764708"/>
    <s v="COMESTIBLE"/>
    <n v="2467.92"/>
  </r>
  <r>
    <x v="0"/>
    <x v="0"/>
    <s v="Pasillo 18"/>
    <s v="B"/>
    <x v="0"/>
    <n v="24"/>
    <n v="27"/>
    <n v="51"/>
    <n v="0.52941176470588236"/>
    <s v="COMESTIBLE"/>
    <n v="705.12"/>
  </r>
  <r>
    <x v="0"/>
    <x v="0"/>
    <s v="Pasillo 18"/>
    <s v="B"/>
    <x v="1"/>
    <n v="130"/>
    <n v="70"/>
    <n v="200"/>
    <n v="0.35"/>
    <s v="COMESTIBLE"/>
    <n v="3819.4"/>
  </r>
  <r>
    <x v="0"/>
    <x v="0"/>
    <s v="Pasillo 19"/>
    <s v="A"/>
    <x v="0"/>
    <n v="26"/>
    <n v="87"/>
    <n v="113"/>
    <n v="0.76991150442477874"/>
    <s v="BEBES"/>
    <n v="763.88"/>
  </r>
  <r>
    <x v="0"/>
    <x v="0"/>
    <s v="Pasillo 19"/>
    <s v="A"/>
    <x v="1"/>
    <n v="20"/>
    <n v="44"/>
    <n v="64"/>
    <n v="0.6875"/>
    <s v="BEBES"/>
    <n v="587.6"/>
  </r>
  <r>
    <x v="0"/>
    <x v="0"/>
    <s v="Pasillo 19"/>
    <s v="B"/>
    <x v="0"/>
    <n v="18"/>
    <n v="86"/>
    <n v="104"/>
    <n v="0.82692307692307687"/>
    <s v="BEBES"/>
    <n v="528.84"/>
  </r>
  <r>
    <x v="0"/>
    <x v="0"/>
    <s v="Pasillo 19"/>
    <s v="B"/>
    <x v="1"/>
    <n v="19"/>
    <n v="45"/>
    <n v="64"/>
    <n v="0.703125"/>
    <s v="BEBES"/>
    <n v="558.22"/>
  </r>
  <r>
    <x v="0"/>
    <x v="0"/>
    <s v="Pasillo 20"/>
    <s v="A"/>
    <x v="0"/>
    <n v="21"/>
    <n v="91"/>
    <n v="112"/>
    <n v="0.8125"/>
    <s v="BEBES, PAPEL Y GRANOS "/>
    <n v="616.98"/>
  </r>
  <r>
    <x v="0"/>
    <x v="0"/>
    <s v="Pasillo 20"/>
    <s v="A"/>
    <x v="1"/>
    <n v="11"/>
    <n v="29"/>
    <n v="40"/>
    <n v="0.72499999999999998"/>
    <s v="BEBES, PAPEL Y GRANOS "/>
    <n v="323.18"/>
  </r>
  <r>
    <x v="0"/>
    <x v="0"/>
    <s v="Pasillo 20"/>
    <s v="B"/>
    <x v="0"/>
    <n v="10"/>
    <n v="90"/>
    <n v="100"/>
    <n v="0.9"/>
    <s v="BEBES, PAPEL Y GRANOS "/>
    <n v="293.8"/>
  </r>
  <r>
    <x v="0"/>
    <x v="0"/>
    <s v="Pasillo 20"/>
    <s v="B"/>
    <x v="1"/>
    <n v="15"/>
    <n v="29"/>
    <n v="44"/>
    <n v="0.65909090909090906"/>
    <s v="BEBES, PAPEL Y GRANOS "/>
    <n v="440.7"/>
  </r>
  <r>
    <x v="0"/>
    <x v="0"/>
    <s v="Pasillo 20"/>
    <s v="B"/>
    <x v="2"/>
    <n v="3"/>
    <n v="26"/>
    <n v="29"/>
    <n v="0.89655172413793105"/>
    <s v="BEBES, PAPEL Y GRANOS "/>
    <n v="88.14"/>
  </r>
  <r>
    <x v="0"/>
    <x v="0"/>
    <s v="Pasillo 21"/>
    <s v="A"/>
    <x v="0"/>
    <n v="39"/>
    <n v="77"/>
    <n v="116"/>
    <n v="0.66379310344827591"/>
    <s v="BEBES, PAPEL Y GRANOS "/>
    <n v="1145.82"/>
  </r>
  <r>
    <x v="0"/>
    <x v="0"/>
    <s v="Pasillo 21"/>
    <s v="A"/>
    <x v="1"/>
    <n v="21"/>
    <n v="15"/>
    <n v="36"/>
    <n v="0.41666666666666669"/>
    <s v="BEBES, PAPEL Y GRANOS "/>
    <n v="616.98"/>
  </r>
  <r>
    <x v="0"/>
    <x v="0"/>
    <s v="Pasillo 21"/>
    <s v="B"/>
    <x v="0"/>
    <n v="34"/>
    <n v="53"/>
    <n v="87"/>
    <n v="0.60919540229885061"/>
    <s v="BEBES, PAPEL Y GRANOS "/>
    <n v="998.92"/>
  </r>
  <r>
    <x v="0"/>
    <x v="0"/>
    <s v="Pasillo 21"/>
    <s v="B"/>
    <x v="1"/>
    <n v="29"/>
    <n v="10"/>
    <n v="39"/>
    <n v="0.25641025641025639"/>
    <s v="BEBES, PAPEL Y GRANOS "/>
    <n v="852.02"/>
  </r>
  <r>
    <x v="0"/>
    <x v="0"/>
    <s v="Pasillo 21"/>
    <s v="B"/>
    <x v="2"/>
    <n v="4"/>
    <n v="22"/>
    <n v="26"/>
    <n v="0.84615384615384615"/>
    <s v="BEBES, PAPEL Y GRANOS "/>
    <n v="117.52"/>
  </r>
  <r>
    <x v="0"/>
    <x v="0"/>
    <s v="Pasillo 22"/>
    <s v="A"/>
    <x v="0"/>
    <n v="35"/>
    <n v="116"/>
    <n v="151"/>
    <n v="0.76821192052980136"/>
    <s v="GRANOS"/>
    <n v="1028.3"/>
  </r>
  <r>
    <x v="0"/>
    <x v="0"/>
    <s v="Pasillo 22"/>
    <s v="A"/>
    <x v="1"/>
    <n v="8"/>
    <n v="16"/>
    <n v="24"/>
    <n v="0.66666666666666663"/>
    <s v="GRANOS"/>
    <n v="235.04"/>
  </r>
  <r>
    <x v="0"/>
    <x v="0"/>
    <s v="Pasillo 22"/>
    <s v="B"/>
    <x v="0"/>
    <n v="52"/>
    <n v="32"/>
    <n v="84"/>
    <n v="0.38095238095238093"/>
    <s v="GRANOS"/>
    <n v="1527.76"/>
  </r>
  <r>
    <x v="0"/>
    <x v="0"/>
    <s v="Pasillo 23"/>
    <s v="A"/>
    <x v="0"/>
    <n v="10"/>
    <n v="120"/>
    <n v="130"/>
    <n v="0.92307692307692313"/>
    <s v="LICOR"/>
    <n v="293.8"/>
  </r>
  <r>
    <x v="0"/>
    <x v="0"/>
    <s v="Pasillo 23"/>
    <s v="A"/>
    <x v="1"/>
    <n v="31"/>
    <n v="53"/>
    <n v="84"/>
    <n v="0.63095238095238093"/>
    <s v="LICOR"/>
    <n v="910.78"/>
  </r>
  <r>
    <x v="0"/>
    <x v="0"/>
    <s v="Pasillo 23"/>
    <s v="B"/>
    <x v="0"/>
    <n v="36"/>
    <n v="79"/>
    <n v="115"/>
    <n v="0.68695652173913047"/>
    <s v="LICOR"/>
    <n v="1057.68"/>
  </r>
  <r>
    <x v="0"/>
    <x v="0"/>
    <s v="Pasillo 23"/>
    <s v="B"/>
    <x v="1"/>
    <n v="12"/>
    <n v="40"/>
    <n v="52"/>
    <n v="0.76923076923076927"/>
    <s v="LICOR"/>
    <n v="352.56"/>
  </r>
  <r>
    <x v="1"/>
    <x v="0"/>
    <s v="Pasillo 24"/>
    <s v="A"/>
    <x v="0"/>
    <n v="19"/>
    <n v="45"/>
    <n v="64"/>
    <n v="0.703125"/>
    <s v="GNC"/>
    <n v="558.22"/>
  </r>
  <r>
    <x v="1"/>
    <x v="0"/>
    <s v="Pasillo 24"/>
    <s v="A"/>
    <x v="1"/>
    <n v="21"/>
    <n v="112"/>
    <n v="133"/>
    <n v="0.84210526315789469"/>
    <s v="GNC"/>
    <n v="616.98"/>
  </r>
  <r>
    <x v="1"/>
    <x v="0"/>
    <s v="Pasillo 24"/>
    <s v="B"/>
    <x v="0"/>
    <n v="10"/>
    <n v="54"/>
    <n v="64"/>
    <n v="0.84375"/>
    <s v="GNC"/>
    <n v="293.8"/>
  </r>
  <r>
    <x v="1"/>
    <x v="0"/>
    <s v="Pasillo 24"/>
    <s v="B"/>
    <x v="1"/>
    <n v="20"/>
    <n v="130"/>
    <n v="150"/>
    <n v="0.8666666666666667"/>
    <s v="GNC"/>
    <n v="587.6"/>
  </r>
  <r>
    <x v="1"/>
    <x v="0"/>
    <s v="Pasillo 25"/>
    <s v="A"/>
    <x v="0"/>
    <n v="26"/>
    <n v="40"/>
    <n v="66"/>
    <n v="0.60606060606060608"/>
    <s v="GNC"/>
    <n v="763.88"/>
  </r>
  <r>
    <x v="1"/>
    <x v="0"/>
    <s v="Pasillo 25"/>
    <s v="B"/>
    <x v="0"/>
    <n v="15"/>
    <n v="45"/>
    <n v="60"/>
    <n v="0.75"/>
    <s v="GNC"/>
    <n v="440.7"/>
  </r>
  <r>
    <x v="0"/>
    <x v="0"/>
    <s v="Pasillo 26"/>
    <s v="A"/>
    <x v="0"/>
    <n v="19"/>
    <n v="34"/>
    <n v="53"/>
    <n v="0.64150943396226412"/>
    <s v="AZUCAR Y PAPEL "/>
    <n v="558.22"/>
  </r>
  <r>
    <x v="0"/>
    <x v="0"/>
    <s v="Pasillo 26"/>
    <s v="A"/>
    <x v="2"/>
    <n v="6"/>
    <n v="9"/>
    <n v="15"/>
    <n v="0.6"/>
    <s v="AZUCAR Y PAPEL "/>
    <n v="176.28"/>
  </r>
  <r>
    <x v="0"/>
    <x v="0"/>
    <s v="Pasillo 26"/>
    <s v="B"/>
    <x v="0"/>
    <n v="20"/>
    <n v="33"/>
    <n v="53"/>
    <n v="0.62264150943396224"/>
    <s v="AZUCAR Y PAPEL "/>
    <n v="587.6"/>
  </r>
  <r>
    <x v="0"/>
    <x v="0"/>
    <s v="Pasillo 26"/>
    <s v="B"/>
    <x v="2"/>
    <n v="5"/>
    <n v="10"/>
    <n v="15"/>
    <n v="0.66666666666666663"/>
    <s v="AZUCAR Y PAPEL "/>
    <n v="146.9"/>
  </r>
  <r>
    <x v="0"/>
    <x v="0"/>
    <s v="Pasillo 27"/>
    <s v="A"/>
    <x v="0"/>
    <n v="3"/>
    <n v="46"/>
    <n v="49"/>
    <n v="0.93877551020408168"/>
    <s v="AZUCAR Y PAPEL "/>
    <n v="88.14"/>
  </r>
  <r>
    <x v="0"/>
    <x v="0"/>
    <s v="Pasillo 27"/>
    <s v="A"/>
    <x v="2"/>
    <n v="5"/>
    <n v="10"/>
    <n v="15"/>
    <n v="0.66666666666666663"/>
    <s v="AZUCAR Y PAPEL "/>
    <n v="146.9"/>
  </r>
  <r>
    <x v="0"/>
    <x v="0"/>
    <s v="Pasillo 27"/>
    <s v="B"/>
    <x v="0"/>
    <n v="6"/>
    <n v="45"/>
    <n v="51"/>
    <n v="0.88235294117647056"/>
    <s v="AZUCAR Y PAPEL "/>
    <n v="176.28"/>
  </r>
  <r>
    <x v="0"/>
    <x v="0"/>
    <s v="Pasillo 27"/>
    <s v="B"/>
    <x v="2"/>
    <n v="3"/>
    <n v="12"/>
    <n v="15"/>
    <n v="0.8"/>
    <s v="AZUCAR Y PAPEL "/>
    <n v="88.14"/>
  </r>
  <r>
    <x v="0"/>
    <x v="0"/>
    <s v="Pasillo 28"/>
    <s v="B"/>
    <x v="0"/>
    <n v="40"/>
    <n v="0"/>
    <n v="40"/>
    <n v="0"/>
    <s v="AZUCAR Y PAPEL "/>
    <n v="1175.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22"/>
    <n v="68"/>
    <n v="90"/>
    <n v="0.75555555555555554"/>
    <s v="DESECHALES"/>
    <n v="646.36"/>
  </r>
  <r>
    <x v="0"/>
    <x v="1"/>
    <s v="Pasillo 1"/>
    <s v="A"/>
    <x v="2"/>
    <n v="6"/>
    <n v="24"/>
    <n v="30"/>
    <n v="0.8"/>
    <s v="DESECHALES"/>
    <n v="176.28"/>
  </r>
  <r>
    <x v="0"/>
    <x v="1"/>
    <s v="Pasillo 1"/>
    <s v="A"/>
    <x v="1"/>
    <n v="20"/>
    <n v="28"/>
    <n v="48"/>
    <n v="0.58333333333333337"/>
    <s v="DESECHALES"/>
    <n v="587.6"/>
  </r>
  <r>
    <x v="0"/>
    <x v="1"/>
    <s v="Pasillo 1"/>
    <s v="B"/>
    <x v="0"/>
    <n v="19"/>
    <n v="64"/>
    <n v="83"/>
    <n v="0.77108433734939763"/>
    <s v="DESECHALES"/>
    <n v="558.22"/>
  </r>
  <r>
    <x v="0"/>
    <x v="1"/>
    <s v="Pasillo 1"/>
    <s v="B"/>
    <x v="2"/>
    <n v="1"/>
    <n v="28"/>
    <n v="29"/>
    <n v="0.96551724137931039"/>
    <s v="DESECHALES"/>
    <n v="29.38"/>
  </r>
  <r>
    <x v="0"/>
    <x v="1"/>
    <s v="Pasillo 1"/>
    <s v="B"/>
    <x v="1"/>
    <n v="17"/>
    <n v="21"/>
    <n v="38"/>
    <n v="0.55263157894736847"/>
    <s v="DESECHALES"/>
    <n v="499.46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92"/>
    <n v="76"/>
    <n v="168"/>
    <n v="0.45238095238095238"/>
    <s v="COMESTIBLE GRANDE Y DESECHABLE"/>
    <n v="2702.96"/>
  </r>
  <r>
    <x v="0"/>
    <x v="1"/>
    <s v="Pasillo 2"/>
    <s v="A"/>
    <x v="2"/>
    <n v="2"/>
    <n v="36"/>
    <n v="38"/>
    <n v="0.94736842105263153"/>
    <s v="COMESTIBLE GRANDE Y DESECHABLE"/>
    <n v="58.76"/>
  </r>
  <r>
    <x v="0"/>
    <x v="1"/>
    <s v="Pasillo 2"/>
    <s v="B"/>
    <x v="0"/>
    <n v="3"/>
    <n v="137"/>
    <n v="140"/>
    <n v="0.97857142857142854"/>
    <s v="COMESTIBLE GRANDE Y DESECHABLE"/>
    <n v="88.14"/>
  </r>
  <r>
    <x v="0"/>
    <x v="1"/>
    <s v="Pasillo 2"/>
    <s v="B"/>
    <x v="2"/>
    <n v="2"/>
    <n v="36"/>
    <n v="38"/>
    <n v="0.94736842105263153"/>
    <s v="COMESTIBLE GRANDE Y DESECHABLE"/>
    <n v="58.76"/>
  </r>
  <r>
    <x v="0"/>
    <x v="1"/>
    <s v="Pasillo 3"/>
    <s v="A"/>
    <x v="0"/>
    <n v="4"/>
    <n v="138"/>
    <n v="142"/>
    <n v="0.971830985915493"/>
    <s v="COMESTIBLE GRANDE Y DESECHABLE"/>
    <n v="117.52"/>
  </r>
  <r>
    <x v="0"/>
    <x v="1"/>
    <s v="Pasillo 3"/>
    <s v="A"/>
    <x v="2"/>
    <n v="3"/>
    <n v="35"/>
    <n v="38"/>
    <n v="0.92105263157894735"/>
    <s v="COMESTIBLE GRANDE Y DESECHABLE"/>
    <n v="88.14"/>
  </r>
  <r>
    <x v="0"/>
    <x v="1"/>
    <s v="Pasillo 3"/>
    <s v="B"/>
    <x v="0"/>
    <n v="5"/>
    <n v="137"/>
    <n v="142"/>
    <n v="0.96478873239436624"/>
    <s v="COMESTIBLE GRANDE Y DESECHABLE"/>
    <n v="146.9"/>
  </r>
  <r>
    <x v="0"/>
    <x v="1"/>
    <s v="Pasillo 3"/>
    <s v="B"/>
    <x v="2"/>
    <n v="2"/>
    <n v="36"/>
    <n v="38"/>
    <n v="0.94736842105263153"/>
    <s v="COMESTIBLE GRANDE Y DESECHABLE"/>
    <n v="58.76"/>
  </r>
  <r>
    <x v="0"/>
    <x v="1"/>
    <s v="Pasillo 4"/>
    <s v="A"/>
    <x v="0"/>
    <n v="11"/>
    <n v="109"/>
    <n v="120"/>
    <n v="0.90833333333333333"/>
    <s v="COMESTIBLE GRANDE Y DESECHABLE"/>
    <n v="323.18"/>
  </r>
  <r>
    <x v="0"/>
    <x v="1"/>
    <s v="Pasillo 4"/>
    <s v="A"/>
    <x v="2"/>
    <n v="5"/>
    <n v="25"/>
    <n v="30"/>
    <n v="0.83333333333333337"/>
    <s v="COMESTIBLE GRANDE Y DESECHABLE"/>
    <n v="146.9"/>
  </r>
  <r>
    <x v="0"/>
    <x v="1"/>
    <s v="Pasillo 4"/>
    <s v="B"/>
    <x v="0"/>
    <n v="10"/>
    <n v="80"/>
    <n v="90"/>
    <n v="0.88888888888888884"/>
    <s v="COMESTIBLE GRANDE Y DESECHABLE"/>
    <n v="293.8"/>
  </r>
  <r>
    <x v="0"/>
    <x v="1"/>
    <s v="Pasillo 4"/>
    <s v="B"/>
    <x v="1"/>
    <n v="19"/>
    <n v="9"/>
    <n v="28"/>
    <n v="0.32142857142857145"/>
    <s v="COMESTIBLE GRANDE Y DESECHABLE"/>
    <n v="558.22"/>
  </r>
  <r>
    <x v="0"/>
    <x v="1"/>
    <s v="Pasillo 4"/>
    <s v="B"/>
    <x v="2"/>
    <n v="11"/>
    <n v="19"/>
    <n v="30"/>
    <n v="0.6333333333333333"/>
    <s v="COMESTIBLE GRANDE Y DESECHABLE"/>
    <n v="323.18"/>
  </r>
  <r>
    <x v="0"/>
    <x v="1"/>
    <s v="Pasillo 5"/>
    <s v="A"/>
    <x v="0"/>
    <n v="0"/>
    <n v="92"/>
    <n v="92"/>
    <n v="1"/>
    <s v="COMESTIBLE GRANDE Y DESECHABLE"/>
    <n v="0"/>
  </r>
  <r>
    <x v="0"/>
    <x v="1"/>
    <s v="Pasillo 5"/>
    <s v="A"/>
    <x v="1"/>
    <n v="19"/>
    <n v="9"/>
    <n v="28"/>
    <n v="0.32142857142857145"/>
    <s v="COMESTIBLE GRANDE Y DESECHABLE"/>
    <n v="558.22"/>
  </r>
  <r>
    <x v="0"/>
    <x v="1"/>
    <s v="Pasillo 5"/>
    <s v="A"/>
    <x v="2"/>
    <n v="14"/>
    <n v="16"/>
    <n v="30"/>
    <n v="0.53333333333333333"/>
    <s v="COMESTIBLE GRANDE Y DESECHABLE"/>
    <n v="411.32"/>
  </r>
  <r>
    <x v="0"/>
    <x v="1"/>
    <s v="Pasillo 5"/>
    <s v="B"/>
    <x v="0"/>
    <n v="12"/>
    <n v="80"/>
    <n v="92"/>
    <n v="0.86956521739130432"/>
    <s v="COMESTIBLE GRANDE Y DESECHABLE"/>
    <n v="352.56"/>
  </r>
  <r>
    <x v="0"/>
    <x v="1"/>
    <s v="Pasillo 5"/>
    <s v="B"/>
    <x v="1"/>
    <n v="23"/>
    <n v="5"/>
    <n v="28"/>
    <n v="0.17857142857142858"/>
    <s v="COMESTIBLE GRANDE Y DESECHABLE"/>
    <n v="675.74"/>
  </r>
  <r>
    <x v="0"/>
    <x v="1"/>
    <s v="Pasillo 5"/>
    <s v="B"/>
    <x v="2"/>
    <n v="17"/>
    <n v="13"/>
    <n v="30"/>
    <n v="0.43333333333333335"/>
    <s v="COMESTIBLE GRANDE Y DESECHABLE"/>
    <n v="499.46"/>
  </r>
  <r>
    <x v="0"/>
    <x v="1"/>
    <s v="Pasillo 6"/>
    <s v="A"/>
    <x v="0"/>
    <n v="22"/>
    <n v="149"/>
    <n v="171"/>
    <n v="0.87134502923976609"/>
    <s v="LECHES TETRA"/>
    <n v="646.36"/>
  </r>
  <r>
    <x v="0"/>
    <x v="1"/>
    <s v="Pasillo 6"/>
    <s v="B"/>
    <x v="0"/>
    <n v="7"/>
    <n v="134"/>
    <n v="141"/>
    <n v="0.95035460992907805"/>
    <s v="LECHES TETRA"/>
    <n v="205.66"/>
  </r>
  <r>
    <x v="0"/>
    <x v="1"/>
    <s v="Pasillo 6"/>
    <s v="B"/>
    <x v="1"/>
    <n v="5"/>
    <n v="24"/>
    <n v="29"/>
    <n v="0.82758620689655171"/>
    <s v="LECHES TETRA"/>
    <n v="146.9"/>
  </r>
  <r>
    <x v="0"/>
    <x v="1"/>
    <s v="Pasillo 7"/>
    <s v="A"/>
    <x v="0"/>
    <n v="12"/>
    <n v="114"/>
    <n v="126"/>
    <n v="0.90476190476190477"/>
    <s v="GALLETAS"/>
    <n v="352.56"/>
  </r>
  <r>
    <x v="0"/>
    <x v="1"/>
    <s v="Pasillo 7"/>
    <s v="A"/>
    <x v="1"/>
    <n v="12"/>
    <n v="14"/>
    <n v="26"/>
    <n v="0.53846153846153844"/>
    <s v="GALLETAS"/>
    <n v="352.56"/>
  </r>
  <r>
    <x v="0"/>
    <x v="1"/>
    <s v="Pasillo 7"/>
    <s v="B"/>
    <x v="0"/>
    <n v="6"/>
    <n v="109"/>
    <n v="115"/>
    <n v="0.94782608695652171"/>
    <s v="GALLETAS"/>
    <n v="176.28"/>
  </r>
  <r>
    <x v="0"/>
    <x v="1"/>
    <s v="Pasillo 7"/>
    <s v="B"/>
    <x v="1"/>
    <n v="18"/>
    <n v="10"/>
    <n v="28"/>
    <n v="0.35714285714285715"/>
    <s v="GALLETAS"/>
    <n v="528.84"/>
  </r>
  <r>
    <x v="0"/>
    <x v="1"/>
    <s v="Pasillo 8"/>
    <s v="A"/>
    <x v="0"/>
    <n v="11"/>
    <n v="101"/>
    <n v="112"/>
    <n v="0.9017857142857143"/>
    <s v="GALLETAS"/>
    <n v="323.18"/>
  </r>
  <r>
    <x v="0"/>
    <x v="1"/>
    <s v="Pasillo 8"/>
    <s v="A"/>
    <x v="1"/>
    <n v="12"/>
    <n v="16"/>
    <n v="28"/>
    <n v="0.5714285714285714"/>
    <s v="GALLETAS"/>
    <n v="352.56"/>
  </r>
  <r>
    <x v="0"/>
    <x v="1"/>
    <s v="Pasillo 8"/>
    <s v="B"/>
    <x v="0"/>
    <n v="22"/>
    <n v="169"/>
    <n v="191"/>
    <n v="0.88481675392670156"/>
    <s v="GALLETAS"/>
    <n v="646.36"/>
  </r>
  <r>
    <x v="0"/>
    <x v="1"/>
    <s v="Pasillo 8"/>
    <s v="B"/>
    <x v="1"/>
    <n v="6"/>
    <n v="26"/>
    <n v="32"/>
    <n v="0.8125"/>
    <s v="GALLETAS"/>
    <n v="176.28"/>
  </r>
  <r>
    <x v="0"/>
    <x v="1"/>
    <s v="Pasillo 9"/>
    <s v="A"/>
    <x v="0"/>
    <n v="17"/>
    <n v="100"/>
    <n v="117"/>
    <n v="0.85470085470085466"/>
    <s v="BEBIDAS "/>
    <n v="499.46"/>
  </r>
  <r>
    <x v="0"/>
    <x v="1"/>
    <s v="Pasillo 9"/>
    <s v="A"/>
    <x v="1"/>
    <n v="3"/>
    <n v="25"/>
    <n v="28"/>
    <n v="0.8928571428571429"/>
    <s v="BEBIDAS "/>
    <n v="88.14"/>
  </r>
  <r>
    <x v="0"/>
    <x v="1"/>
    <s v="Pasillo 9"/>
    <s v="B"/>
    <x v="0"/>
    <n v="19"/>
    <n v="91"/>
    <n v="110"/>
    <n v="0.82727272727272727"/>
    <s v="BEBIDAS "/>
    <n v="558.22"/>
  </r>
  <r>
    <x v="0"/>
    <x v="1"/>
    <s v="Pasillo 9"/>
    <s v="B"/>
    <x v="2"/>
    <n v="14"/>
    <n v="15"/>
    <n v="29"/>
    <n v="0.51724137931034486"/>
    <s v="BEBIDAS "/>
    <n v="411.32"/>
  </r>
  <r>
    <x v="0"/>
    <x v="1"/>
    <s v="Pasillo 10"/>
    <s v="A"/>
    <x v="0"/>
    <n v="24"/>
    <n v="83"/>
    <n v="107"/>
    <n v="0.77570093457943923"/>
    <s v="BEBIDAS Y FIDELIZACION"/>
    <n v="705.12"/>
  </r>
  <r>
    <x v="0"/>
    <x v="1"/>
    <s v="Pasillo 10"/>
    <s v="A"/>
    <x v="2"/>
    <n v="5"/>
    <n v="24"/>
    <n v="29"/>
    <n v="0.82758620689655171"/>
    <s v="BEBIDAS Y FIDELIZACION"/>
    <n v="146.9"/>
  </r>
  <r>
    <x v="0"/>
    <x v="1"/>
    <s v="Pasillo 10"/>
    <s v="B"/>
    <x v="0"/>
    <n v="28"/>
    <n v="88"/>
    <n v="116"/>
    <n v="0.75862068965517238"/>
    <s v="BEBIDAS Y FIDELIZACION"/>
    <n v="822.64"/>
  </r>
  <r>
    <x v="0"/>
    <x v="1"/>
    <s v="Pasillo 10"/>
    <s v="B"/>
    <x v="2"/>
    <n v="5"/>
    <n v="24"/>
    <n v="29"/>
    <n v="0.82758620689655171"/>
    <s v="BEBIDAS Y FIDELIZACION"/>
    <n v="146.9"/>
  </r>
  <r>
    <x v="0"/>
    <x v="1"/>
    <s v="Pasillo 11"/>
    <s v="A"/>
    <x v="0"/>
    <n v="22"/>
    <n v="85"/>
    <n v="107"/>
    <n v="0.79439252336448596"/>
    <s v="MASCOTAS"/>
    <n v="646.36"/>
  </r>
  <r>
    <x v="0"/>
    <x v="1"/>
    <s v="Pasillo 11"/>
    <s v="A"/>
    <x v="2"/>
    <n v="2"/>
    <n v="27"/>
    <n v="29"/>
    <n v="0.93103448275862066"/>
    <s v="MASCOTAS"/>
    <n v="58.76"/>
  </r>
  <r>
    <x v="0"/>
    <x v="1"/>
    <s v="Pasillo 11"/>
    <s v="B"/>
    <x v="0"/>
    <n v="47"/>
    <n v="63"/>
    <n v="110"/>
    <n v="0.57272727272727275"/>
    <s v="MASCOTAS"/>
    <n v="1380.86"/>
  </r>
  <r>
    <x v="0"/>
    <x v="1"/>
    <s v="Pasillo 11"/>
    <s v="B"/>
    <x v="2"/>
    <n v="13"/>
    <n v="16"/>
    <n v="29"/>
    <n v="0.55172413793103448"/>
    <s v="MASCOTAS"/>
    <n v="381.94"/>
  </r>
  <r>
    <x v="0"/>
    <x v="1"/>
    <s v="Pasillo 12"/>
    <s v="A"/>
    <x v="0"/>
    <n v="108"/>
    <n v="2"/>
    <n v="110"/>
    <n v="1.8181818181818181E-2"/>
    <s v="NAVIDAD. JUGUETES Y FIDEIZACION "/>
    <n v="3173.04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46"/>
    <n v="75"/>
    <n v="121"/>
    <n v="0.6198347107438017"/>
    <s v="NAVIDAD. JUGUETES Y FIDEIZACION "/>
    <n v="1351.48"/>
  </r>
  <r>
    <x v="0"/>
    <x v="1"/>
    <s v="Pasillo 13"/>
    <s v="A"/>
    <x v="1"/>
    <n v="60"/>
    <n v="136"/>
    <n v="196"/>
    <n v="0.69387755102040816"/>
    <s v="NAVIDAD. JUGUETES Y FIDEIZACION "/>
    <n v="1762.8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0"/>
    <n v="4"/>
    <n v="34"/>
    <n v="0.11764705882352941"/>
    <s v="NAVIDAD. JUGUETES Y FIDEIZACION "/>
    <n v="881.4"/>
  </r>
  <r>
    <x v="0"/>
    <x v="1"/>
    <s v="Pasillo 14"/>
    <s v="A"/>
    <x v="0"/>
    <n v="149"/>
    <n v="21"/>
    <n v="170"/>
    <n v="0.12352941176470589"/>
    <s v="NAVIDAD. JUGUETES Y FIDEIZACION "/>
    <n v="4377.62"/>
  </r>
  <r>
    <x v="0"/>
    <x v="1"/>
    <s v="Pasillo 14"/>
    <s v="A"/>
    <x v="2"/>
    <n v="36"/>
    <n v="8"/>
    <n v="44"/>
    <n v="0.18181818181818182"/>
    <s v="NAVIDAD. JUGUETES Y FIDEIZACION "/>
    <n v="1057.68"/>
  </r>
  <r>
    <x v="0"/>
    <x v="1"/>
    <s v="Pasillo 14"/>
    <s v="B"/>
    <x v="0"/>
    <n v="138"/>
    <n v="29"/>
    <n v="167"/>
    <n v="0.17365269461077845"/>
    <s v="NAVIDAD. JUGUETES Y FIDEIZACION "/>
    <n v="4054.44"/>
  </r>
  <r>
    <x v="0"/>
    <x v="1"/>
    <s v="Pasillo 14"/>
    <s v="B"/>
    <x v="2"/>
    <n v="35"/>
    <n v="9"/>
    <n v="44"/>
    <n v="0.20454545454545456"/>
    <s v="NAVIDAD. JUGUETES Y FIDEIZACION "/>
    <n v="1028.3"/>
  </r>
  <r>
    <x v="0"/>
    <x v="1"/>
    <s v="Pasillo 15"/>
    <s v="A"/>
    <x v="0"/>
    <n v="39"/>
    <n v="52"/>
    <n v="91"/>
    <n v="0.5714285714285714"/>
    <s v="NAVIDAD. JUGUETES Y FIDEIZACION "/>
    <n v="1145.82"/>
  </r>
  <r>
    <x v="0"/>
    <x v="1"/>
    <s v="Pasillo 15"/>
    <s v="A"/>
    <x v="1"/>
    <n v="151"/>
    <n v="1"/>
    <n v="152"/>
    <n v="6.5789473684210523E-3"/>
    <s v="NAVIDAD. JUGUETES Y FIDEIZACION "/>
    <n v="4436.38"/>
  </r>
  <r>
    <x v="0"/>
    <x v="1"/>
    <s v="Pasillo 15"/>
    <s v="B"/>
    <x v="0"/>
    <n v="114"/>
    <n v="42"/>
    <n v="156"/>
    <n v="0.26923076923076922"/>
    <s v="NAVIDAD. JUGUETES Y FIDEIZACION "/>
    <n v="3349.3199999999997"/>
  </r>
  <r>
    <x v="0"/>
    <x v="1"/>
    <s v="Pasillo 15"/>
    <s v="B"/>
    <x v="1"/>
    <n v="0"/>
    <n v="42"/>
    <n v="42"/>
    <n v="1"/>
    <s v="NAVIDAD. JUGUETES Y FIDEIZACION "/>
    <n v="0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1"/>
    <n v="57"/>
    <n v="78"/>
    <n v="0.73076923076923073"/>
    <s v="QUALA"/>
    <n v="616.98"/>
  </r>
  <r>
    <x v="3"/>
    <x v="2"/>
    <s v="Pasillo 1"/>
    <s v="A"/>
    <x v="1"/>
    <n v="6"/>
    <n v="64"/>
    <n v="70"/>
    <n v="0.91428571428571426"/>
    <s v="LTX"/>
    <n v="176.28"/>
  </r>
  <r>
    <x v="3"/>
    <x v="2"/>
    <s v="Pasillo 1"/>
    <s v="B"/>
    <x v="0"/>
    <n v="24"/>
    <n v="116"/>
    <n v="140"/>
    <n v="0.82857142857142863"/>
    <s v="LTX"/>
    <n v="705.12"/>
  </r>
  <r>
    <x v="3"/>
    <x v="2"/>
    <s v="Pasillo 1"/>
    <s v="B"/>
    <x v="0"/>
    <n v="26"/>
    <n v="10"/>
    <n v="36"/>
    <n v="0.27777777777777779"/>
    <s v="QUALA"/>
    <n v="763.88"/>
  </r>
  <r>
    <x v="3"/>
    <x v="2"/>
    <s v="Pasillo 2"/>
    <s v="A"/>
    <x v="0"/>
    <n v="4"/>
    <n v="68"/>
    <n v="72"/>
    <n v="0.94444444444444442"/>
    <s v="LTX"/>
    <n v="117.52"/>
  </r>
  <r>
    <x v="3"/>
    <x v="2"/>
    <s v="Pasillo 2"/>
    <s v="A"/>
    <x v="1"/>
    <n v="25"/>
    <n v="111"/>
    <n v="136"/>
    <n v="0.81617647058823528"/>
    <s v="LTX"/>
    <n v="734.5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6"/>
    <n v="66"/>
    <n v="72"/>
    <n v="0.91666666666666663"/>
    <s v="LTX"/>
    <n v="176.28"/>
  </r>
  <r>
    <x v="3"/>
    <x v="2"/>
    <s v="Pasillo 2"/>
    <s v="B"/>
    <x v="1"/>
    <n v="60"/>
    <n v="76"/>
    <n v="136"/>
    <n v="0.55882352941176472"/>
    <s v="LTX"/>
    <n v="1762.8"/>
  </r>
  <r>
    <x v="3"/>
    <x v="2"/>
    <s v="Pasillo 2"/>
    <s v="B"/>
    <x v="0"/>
    <n v="32"/>
    <n v="4"/>
    <n v="36"/>
    <n v="0.1111111111111111"/>
    <s v="QUALA"/>
    <n v="940.16"/>
  </r>
  <r>
    <x v="3"/>
    <x v="2"/>
    <s v="Pasillo 3"/>
    <s v="A"/>
    <x v="0"/>
    <n v="34"/>
    <n v="38"/>
    <n v="72"/>
    <n v="0.52777777777777779"/>
    <s v="LTX"/>
    <n v="998.92"/>
  </r>
  <r>
    <x v="3"/>
    <x v="2"/>
    <s v="Pasillo 3"/>
    <s v="A"/>
    <x v="1"/>
    <n v="53"/>
    <n v="83"/>
    <n v="136"/>
    <n v="0.61029411764705888"/>
    <s v="LTX"/>
    <n v="1557.1399999999999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49"/>
    <n v="59"/>
    <n v="108"/>
    <n v="0.54629629629629628"/>
    <s v="LTX"/>
    <n v="1439.62"/>
  </r>
  <r>
    <x v="3"/>
    <x v="2"/>
    <s v="Pasillo 3"/>
    <s v="B"/>
    <x v="1"/>
    <n v="17"/>
    <n v="91"/>
    <n v="108"/>
    <n v="0.84259259259259256"/>
    <s v="LTX"/>
    <n v="499.46"/>
  </r>
  <r>
    <x v="3"/>
    <x v="2"/>
    <s v="Pasillo 4"/>
    <s v="A"/>
    <x v="0"/>
    <n v="70"/>
    <n v="110"/>
    <n v="180"/>
    <n v="0.61111111111111116"/>
    <s v="LTX"/>
    <n v="2056.6"/>
  </r>
  <r>
    <x v="3"/>
    <x v="2"/>
    <s v="Pasillo 4"/>
    <s v="A"/>
    <x v="1"/>
    <n v="16"/>
    <n v="40"/>
    <n v="56"/>
    <n v="0.7142857142857143"/>
    <s v="LTX"/>
    <n v="470.08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1"/>
    <n v="139"/>
    <n v="180"/>
    <n v="0.77222222222222225"/>
    <s v="QUALA"/>
    <n v="1204.58"/>
  </r>
  <r>
    <x v="4"/>
    <x v="2"/>
    <s v="Pasillo 5"/>
    <s v="A"/>
    <x v="1"/>
    <n v="30"/>
    <n v="74"/>
    <n v="104"/>
    <n v="0.71153846153846156"/>
    <s v="QUALA"/>
    <n v="881.4"/>
  </r>
  <r>
    <x v="4"/>
    <x v="2"/>
    <s v="Pasillo 5"/>
    <s v="B"/>
    <x v="0"/>
    <n v="74"/>
    <n v="104"/>
    <n v="178"/>
    <n v="0.5842696629213483"/>
    <s v="QUALA"/>
    <n v="2174.12"/>
  </r>
  <r>
    <x v="4"/>
    <x v="2"/>
    <s v="Pasillo 5"/>
    <s v="B"/>
    <x v="1"/>
    <n v="21"/>
    <n v="123"/>
    <n v="144"/>
    <n v="0.85416666666666663"/>
    <s v="QUALA"/>
    <n v="616.98"/>
  </r>
  <r>
    <x v="4"/>
    <x v="2"/>
    <s v="Pasillo 6"/>
    <s v="A"/>
    <x v="0"/>
    <n v="24"/>
    <n v="156"/>
    <n v="180"/>
    <n v="0.8666666666666667"/>
    <s v="QUALA"/>
    <n v="705.12"/>
  </r>
  <r>
    <x v="4"/>
    <x v="2"/>
    <s v="Pasillo 6"/>
    <s v="A"/>
    <x v="1"/>
    <n v="26"/>
    <n v="118"/>
    <n v="144"/>
    <n v="0.81944444444444442"/>
    <s v="QUALA"/>
    <n v="763.88"/>
  </r>
  <r>
    <x v="4"/>
    <x v="2"/>
    <s v="Pasillo 6"/>
    <s v="B"/>
    <x v="0"/>
    <n v="51"/>
    <n v="165"/>
    <n v="216"/>
    <n v="0.76388888888888884"/>
    <s v="QUALA"/>
    <n v="1498.3799999999999"/>
  </r>
  <r>
    <x v="4"/>
    <x v="2"/>
    <s v="Pasillo 6"/>
    <s v="B"/>
    <x v="1"/>
    <n v="28"/>
    <n v="116"/>
    <n v="144"/>
    <n v="0.80555555555555558"/>
    <s v="QUALA"/>
    <n v="822.64"/>
  </r>
  <r>
    <x v="4"/>
    <x v="2"/>
    <s v="Pasillo 7"/>
    <s v="A"/>
    <x v="0"/>
    <n v="59"/>
    <n v="157"/>
    <n v="216"/>
    <n v="0.72685185185185186"/>
    <s v="QUALA"/>
    <n v="1733.4199999999998"/>
  </r>
  <r>
    <x v="4"/>
    <x v="2"/>
    <s v="Pasillo 7"/>
    <s v="B"/>
    <x v="0"/>
    <n v="71"/>
    <n v="145"/>
    <n v="216"/>
    <n v="0.67129629629629628"/>
    <s v="QUALA"/>
    <n v="2085.98"/>
  </r>
  <r>
    <x v="4"/>
    <x v="2"/>
    <s v="Pasillo 8"/>
    <s v="A"/>
    <x v="0"/>
    <n v="45"/>
    <n v="171"/>
    <n v="216"/>
    <n v="0.79166666666666663"/>
    <s v="RESERVA"/>
    <n v="1322.1"/>
  </r>
  <r>
    <x v="4"/>
    <x v="2"/>
    <s v="Pasillo 8"/>
    <s v="B"/>
    <x v="0"/>
    <n v="50"/>
    <n v="166"/>
    <n v="216"/>
    <n v="0.76851851851851849"/>
    <s v="RESERVA"/>
    <n v="1469"/>
  </r>
  <r>
    <x v="4"/>
    <x v="2"/>
    <s v="Pasillo 9"/>
    <s v="A"/>
    <x v="0"/>
    <n v="8"/>
    <n v="208"/>
    <n v="216"/>
    <n v="0.96296296296296291"/>
    <s v="RESERVA"/>
    <n v="235.04"/>
  </r>
  <r>
    <x v="4"/>
    <x v="2"/>
    <s v="Pasillo 9"/>
    <s v="B"/>
    <x v="0"/>
    <n v="39"/>
    <n v="171"/>
    <n v="210"/>
    <n v="0.81428571428571428"/>
    <s v="RESERVA"/>
    <n v="1145.82"/>
  </r>
  <r>
    <x v="4"/>
    <x v="2"/>
    <s v="Pasillo 10"/>
    <s v="A"/>
    <x v="0"/>
    <n v="4"/>
    <n v="206"/>
    <n v="210"/>
    <n v="0.98095238095238091"/>
    <s v="RESERVA"/>
    <n v="117.52"/>
  </r>
  <r>
    <x v="4"/>
    <x v="2"/>
    <s v="Pasillo 10"/>
    <s v="B"/>
    <x v="0"/>
    <n v="29"/>
    <n v="187"/>
    <n v="216"/>
    <n v="0.8657407407407407"/>
    <s v="RESERVA"/>
    <n v="852.02"/>
  </r>
  <r>
    <x v="4"/>
    <x v="2"/>
    <s v="Pasillo 11"/>
    <s v="A"/>
    <x v="0"/>
    <n v="39"/>
    <n v="171"/>
    <n v="210"/>
    <n v="0.81428571428571428"/>
    <s v="RESERVA"/>
    <n v="1145.82"/>
  </r>
  <r>
    <x v="4"/>
    <x v="2"/>
    <s v="Pasillo 11"/>
    <s v="B"/>
    <x v="0"/>
    <n v="64"/>
    <n v="152"/>
    <n v="216"/>
    <n v="0.70370370370370372"/>
    <s v="RESERVA"/>
    <n v="1880.32"/>
  </r>
  <r>
    <x v="4"/>
    <x v="2"/>
    <s v="Pasillo 12"/>
    <s v="A"/>
    <x v="0"/>
    <n v="86"/>
    <n v="106"/>
    <n v="192"/>
    <n v="0.55208333333333337"/>
    <s v="RESERVA"/>
    <n v="2526.6799999999998"/>
  </r>
  <r>
    <x v="4"/>
    <x v="2"/>
    <s v="Pasillo 12"/>
    <s v="B"/>
    <x v="0"/>
    <n v="62"/>
    <n v="78"/>
    <n v="140"/>
    <n v="0.55714285714285716"/>
    <s v="RESERVA"/>
    <n v="1821.56"/>
  </r>
  <r>
    <x v="4"/>
    <x v="3"/>
    <s v="Pasillo 1"/>
    <s v="B"/>
    <x v="0"/>
    <n v="109"/>
    <n v="61"/>
    <n v="170"/>
    <n v="0.35882352941176471"/>
    <s v="RESERVA"/>
    <n v="3202.42"/>
  </r>
  <r>
    <x v="4"/>
    <x v="3"/>
    <s v="Pasillo 2"/>
    <s v="A"/>
    <x v="0"/>
    <n v="108"/>
    <n v="92"/>
    <n v="200"/>
    <n v="0.46"/>
    <s v="RESERVA"/>
    <n v="3173.04"/>
  </r>
  <r>
    <x v="4"/>
    <x v="3"/>
    <s v="Pasillo 2"/>
    <s v="B"/>
    <x v="0"/>
    <n v="164"/>
    <n v="36"/>
    <n v="200"/>
    <n v="0.18"/>
    <s v="RESERVA"/>
    <n v="4818.32"/>
  </r>
  <r>
    <x v="4"/>
    <x v="3"/>
    <s v="Pasillo 3"/>
    <s v="A"/>
    <x v="0"/>
    <n v="40"/>
    <n v="160"/>
    <n v="200"/>
    <n v="0.8"/>
    <s v="RESERVA"/>
    <n v="1175.2"/>
  </r>
  <r>
    <x v="4"/>
    <x v="3"/>
    <s v="Pasillo 3"/>
    <s v="B"/>
    <x v="0"/>
    <n v="75"/>
    <n v="129"/>
    <n v="204"/>
    <n v="0.63235294117647056"/>
    <s v="RESERVA"/>
    <n v="2203.5"/>
  </r>
  <r>
    <x v="4"/>
    <x v="3"/>
    <s v="Pasillo 4"/>
    <s v="A"/>
    <x v="0"/>
    <n v="102"/>
    <n v="98"/>
    <n v="200"/>
    <n v="0.49"/>
    <s v="RESERVA"/>
    <n v="2996.7599999999998"/>
  </r>
  <r>
    <x v="4"/>
    <x v="3"/>
    <s v="Pasillo 4"/>
    <s v="B"/>
    <x v="0"/>
    <n v="137"/>
    <n v="63"/>
    <n v="200"/>
    <n v="0.315"/>
    <s v="RESERVA"/>
    <n v="4025.06"/>
  </r>
  <r>
    <x v="4"/>
    <x v="3"/>
    <s v="Pasillo 5"/>
    <s v="A"/>
    <x v="0"/>
    <n v="6"/>
    <n v="90"/>
    <n v="96"/>
    <n v="0.9375"/>
    <s v="RESERVA"/>
    <n v="176.28"/>
  </r>
  <r>
    <x v="4"/>
    <x v="3"/>
    <s v="Pasillo 5"/>
    <s v="B"/>
    <x v="0"/>
    <n v="19"/>
    <n v="85"/>
    <n v="104"/>
    <n v="0.81730769230769229"/>
    <s v="RESERVA"/>
    <n v="558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2" dataDxfId="11">
  <tableColumns count="10">
    <tableColumn id="1" xr3:uid="{F4935CCF-EDC0-42C8-B25A-D284FF5F0DD4}" name="CD" dataDxfId="10"/>
    <tableColumn id="2" xr3:uid="{FB89C778-7D9D-4452-8D4A-BC110B1981D1}" name="PASILLO" dataDxfId="9"/>
    <tableColumn id="3" xr3:uid="{C181A8C1-9CDD-4DCF-816C-C22007D9C34B}" name="CARA" dataDxfId="8"/>
    <tableColumn id="4" xr3:uid="{0500DC24-B6B3-46A9-B7B2-00D658115AD4}" name="TIPO" dataDxfId="7"/>
    <tableColumn id="5" xr3:uid="{D1B888E2-7CD5-4F45-BA4A-9C776346A191}" name="VACIO" dataDxfId="6"/>
    <tableColumn id="6" xr3:uid="{1852218E-A22B-4B86-AB8C-9B8315831658}" name="OCUPADO" dataDxfId="5">
      <calculatedColumnFormula>+I11-G11</calculatedColumnFormula>
    </tableColumn>
    <tableColumn id="7" xr3:uid="{4E7A47AA-5F8B-4385-B6CE-28E1A4085010}" name="CAPACIDAD" dataDxfId="4"/>
    <tableColumn id="8" xr3:uid="{71C5C2A9-7DDB-4D80-AA05-D5D116266E53}" name="%OCUPACION" dataDxfId="3" totalsRowDxfId="0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>
        <v>2101</v>
      </c>
      <c r="D4">
        <v>2709</v>
      </c>
      <c r="E4" s="8">
        <v>0.77556293835363599</v>
      </c>
      <c r="G4" s="10"/>
    </row>
    <row r="5" spans="1:7" x14ac:dyDescent="0.3">
      <c r="B5" t="s">
        <v>15</v>
      </c>
      <c r="C5">
        <v>4694</v>
      </c>
      <c r="D5">
        <v>5792</v>
      </c>
      <c r="E5" s="8">
        <v>0.8104281767955801</v>
      </c>
      <c r="G5" s="10"/>
    </row>
    <row r="6" spans="1:7" x14ac:dyDescent="0.3">
      <c r="B6" t="s">
        <v>43</v>
      </c>
      <c r="C6">
        <v>93</v>
      </c>
      <c r="D6">
        <v>158</v>
      </c>
      <c r="E6" s="8">
        <v>0.58860759493670889</v>
      </c>
      <c r="G6" s="10"/>
    </row>
    <row r="7" spans="1:7" x14ac:dyDescent="0.3">
      <c r="A7" t="s">
        <v>72</v>
      </c>
      <c r="C7">
        <v>6888</v>
      </c>
      <c r="D7">
        <v>8659</v>
      </c>
      <c r="E7" s="8">
        <v>0.79547291835084888</v>
      </c>
      <c r="G7" s="10"/>
    </row>
    <row r="8" spans="1:7" x14ac:dyDescent="0.3">
      <c r="A8" t="s">
        <v>57</v>
      </c>
      <c r="B8" t="s">
        <v>17</v>
      </c>
      <c r="C8">
        <v>484</v>
      </c>
      <c r="D8">
        <v>971</v>
      </c>
      <c r="E8" s="8">
        <v>0.49845520082389289</v>
      </c>
      <c r="G8" s="10"/>
    </row>
    <row r="9" spans="1:7" x14ac:dyDescent="0.3">
      <c r="B9" t="s">
        <v>15</v>
      </c>
      <c r="C9">
        <v>2790</v>
      </c>
      <c r="D9">
        <v>4024</v>
      </c>
      <c r="E9" s="8">
        <v>0.69333996023856859</v>
      </c>
      <c r="G9" s="10"/>
    </row>
    <row r="10" spans="1:7" x14ac:dyDescent="0.3">
      <c r="B10" t="s">
        <v>43</v>
      </c>
      <c r="C10">
        <v>396</v>
      </c>
      <c r="D10">
        <v>623</v>
      </c>
      <c r="E10" s="8">
        <v>0.6356340288924559</v>
      </c>
      <c r="G10" s="10"/>
    </row>
    <row r="11" spans="1:7" x14ac:dyDescent="0.3">
      <c r="A11" t="s">
        <v>73</v>
      </c>
      <c r="C11">
        <v>3670</v>
      </c>
      <c r="D11">
        <v>5618</v>
      </c>
      <c r="E11" s="8">
        <v>0.6532573869704521</v>
      </c>
      <c r="G11" s="10"/>
    </row>
    <row r="12" spans="1:7" x14ac:dyDescent="0.3">
      <c r="A12" t="s">
        <v>66</v>
      </c>
      <c r="B12" t="s">
        <v>17</v>
      </c>
      <c r="C12">
        <v>896</v>
      </c>
      <c r="D12">
        <v>1178</v>
      </c>
      <c r="E12" s="8">
        <v>0.76061120543293714</v>
      </c>
      <c r="G12" s="10"/>
    </row>
    <row r="13" spans="1:7" x14ac:dyDescent="0.3">
      <c r="B13" t="s">
        <v>15</v>
      </c>
      <c r="C13">
        <v>3010</v>
      </c>
      <c r="D13">
        <v>4238</v>
      </c>
      <c r="E13" s="8">
        <v>0.71024067956583292</v>
      </c>
      <c r="G13" s="10"/>
    </row>
    <row r="14" spans="1:7" x14ac:dyDescent="0.3">
      <c r="A14" t="s">
        <v>74</v>
      </c>
      <c r="C14">
        <v>3906</v>
      </c>
      <c r="D14">
        <v>5416</v>
      </c>
      <c r="E14" s="8">
        <v>0.72119645494830131</v>
      </c>
      <c r="G14" s="10"/>
    </row>
    <row r="15" spans="1:7" x14ac:dyDescent="0.3">
      <c r="A15" t="s">
        <v>70</v>
      </c>
      <c r="B15" t="s">
        <v>15</v>
      </c>
      <c r="C15">
        <v>814</v>
      </c>
      <c r="D15">
        <v>1574</v>
      </c>
      <c r="E15" s="8">
        <v>0.51715374841168993</v>
      </c>
      <c r="G15" s="10"/>
    </row>
    <row r="16" spans="1:7" x14ac:dyDescent="0.3">
      <c r="A16" t="s">
        <v>75</v>
      </c>
      <c r="C16">
        <v>814</v>
      </c>
      <c r="D16">
        <v>1574</v>
      </c>
      <c r="E16" s="8">
        <v>0.51715374841168993</v>
      </c>
      <c r="G16" s="10"/>
    </row>
    <row r="17" spans="1:7" x14ac:dyDescent="0.3">
      <c r="A17" t="s">
        <v>71</v>
      </c>
      <c r="C17">
        <v>15278</v>
      </c>
      <c r="D17">
        <v>21267</v>
      </c>
      <c r="E17" s="8">
        <v>0.71838999388724312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tabSelected="1" topLeftCell="A195" zoomScaleNormal="100" workbookViewId="0">
      <selection activeCell="G221" sqref="G221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20" t="s">
        <v>0</v>
      </c>
      <c r="G2" s="20"/>
      <c r="H2" s="20"/>
      <c r="I2" s="20"/>
      <c r="J2" s="20"/>
      <c r="L2" s="1"/>
    </row>
    <row r="3" spans="2:12" ht="15" customHeight="1" x14ac:dyDescent="0.3">
      <c r="B3" s="1"/>
      <c r="C3" s="1"/>
      <c r="D3" s="1"/>
      <c r="E3" s="1"/>
      <c r="F3" s="20"/>
      <c r="G3" s="20"/>
      <c r="H3" s="20"/>
      <c r="I3" s="20"/>
      <c r="J3" s="20"/>
      <c r="L3" s="1"/>
    </row>
    <row r="4" spans="2:12" ht="15" customHeight="1" x14ac:dyDescent="0.3">
      <c r="B4" s="1"/>
      <c r="C4" s="1"/>
      <c r="D4" s="1"/>
      <c r="E4" s="1"/>
      <c r="F4" s="20"/>
      <c r="G4" s="20"/>
      <c r="H4" s="20"/>
      <c r="I4" s="20"/>
      <c r="J4" s="20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9" t="s">
        <v>1</v>
      </c>
      <c r="H9" s="19"/>
      <c r="I9" s="19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21</v>
      </c>
      <c r="H11">
        <f t="shared" ref="H11:H74" si="0">+I11-G11</f>
        <v>81</v>
      </c>
      <c r="I11">
        <v>102</v>
      </c>
      <c r="J11" s="6">
        <f>+Tabla3[[#This Row],[OCUPADO]]/Tabla3[[#This Row],[CAPACIDAD]]</f>
        <v>0.79411764705882348</v>
      </c>
      <c r="K11" t="s">
        <v>16</v>
      </c>
      <c r="L11">
        <f>+Tabla3[[#This Row],[VACIO]]*29.38</f>
        <v>616.98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12</v>
      </c>
      <c r="H12">
        <f t="shared" si="0"/>
        <v>40</v>
      </c>
      <c r="I12">
        <v>52</v>
      </c>
      <c r="J12" s="6">
        <f>+Tabla3[[#This Row],[OCUPADO]]/Tabla3[[#This Row],[CAPACIDAD]]</f>
        <v>0.76923076923076927</v>
      </c>
      <c r="K12" t="s">
        <v>16</v>
      </c>
      <c r="L12">
        <f>+Tabla3[[#This Row],[VACIO]]*29.38</f>
        <v>352.56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21</v>
      </c>
      <c r="H13">
        <f t="shared" si="0"/>
        <v>88</v>
      </c>
      <c r="I13">
        <v>109</v>
      </c>
      <c r="J13" s="6">
        <f>+Tabla3[[#This Row],[OCUPADO]]/Tabla3[[#This Row],[CAPACIDAD]]</f>
        <v>0.80733944954128445</v>
      </c>
      <c r="K13" t="s">
        <v>16</v>
      </c>
      <c r="L13">
        <f>+Tabla3[[#This Row],[VACIO]]*29.38</f>
        <v>616.98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5</v>
      </c>
      <c r="H14">
        <f t="shared" si="0"/>
        <v>55</v>
      </c>
      <c r="I14">
        <v>60</v>
      </c>
      <c r="J14" s="6">
        <f>+Tabla3[[#This Row],[OCUPADO]]/Tabla3[[#This Row],[CAPACIDAD]]</f>
        <v>0.91666666666666663</v>
      </c>
      <c r="K14" t="s">
        <v>16</v>
      </c>
      <c r="L14">
        <f>+Tabla3[[#This Row],[VACIO]]*29.38</f>
        <v>146.9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25</v>
      </c>
      <c r="H15">
        <f t="shared" si="0"/>
        <v>114</v>
      </c>
      <c r="I15">
        <v>139</v>
      </c>
      <c r="J15" s="6">
        <f>+Tabla3[[#This Row],[OCUPADO]]/Tabla3[[#This Row],[CAPACIDAD]]</f>
        <v>0.82014388489208634</v>
      </c>
      <c r="K15" t="s">
        <v>16</v>
      </c>
      <c r="L15">
        <f>+Tabla3[[#This Row],[VACIO]]*29.38</f>
        <v>734.5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14</v>
      </c>
      <c r="H16">
        <f t="shared" si="0"/>
        <v>131</v>
      </c>
      <c r="I16">
        <v>145</v>
      </c>
      <c r="J16" s="6">
        <f>+Tabla3[[#This Row],[OCUPADO]]/Tabla3[[#This Row],[CAPACIDAD]]</f>
        <v>0.90344827586206899</v>
      </c>
      <c r="K16" t="s">
        <v>16</v>
      </c>
      <c r="L16">
        <f>+Tabla3[[#This Row],[VACIO]]*29.38</f>
        <v>411.32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16</v>
      </c>
      <c r="H17">
        <f t="shared" si="0"/>
        <v>80</v>
      </c>
      <c r="I17">
        <v>96</v>
      </c>
      <c r="J17" s="6">
        <f>+Tabla3[[#This Row],[OCUPADO]]/Tabla3[[#This Row],[CAPACIDAD]]</f>
        <v>0.83333333333333337</v>
      </c>
      <c r="K17" t="s">
        <v>16</v>
      </c>
      <c r="L17">
        <f>+Tabla3[[#This Row],[VACIO]]*29.38</f>
        <v>470.08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11</v>
      </c>
      <c r="H18">
        <f t="shared" si="0"/>
        <v>72</v>
      </c>
      <c r="I18">
        <v>83</v>
      </c>
      <c r="J18" s="6">
        <f>+Tabla3[[#This Row],[OCUPADO]]/Tabla3[[#This Row],[CAPACIDAD]]</f>
        <v>0.86746987951807231</v>
      </c>
      <c r="K18" t="s">
        <v>16</v>
      </c>
      <c r="L18">
        <f>+Tabla3[[#This Row],[VACIO]]*29.38</f>
        <v>323.18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33</v>
      </c>
      <c r="H19">
        <f t="shared" si="0"/>
        <v>78</v>
      </c>
      <c r="I19">
        <v>111</v>
      </c>
      <c r="J19" s="6">
        <f>+Tabla3[[#This Row],[OCUPADO]]/Tabla3[[#This Row],[CAPACIDAD]]</f>
        <v>0.70270270270270274</v>
      </c>
      <c r="K19" t="s">
        <v>16</v>
      </c>
      <c r="L19">
        <f>+Tabla3[[#This Row],[VACIO]]*29.38</f>
        <v>969.54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9</v>
      </c>
      <c r="H20">
        <f t="shared" si="0"/>
        <v>47</v>
      </c>
      <c r="I20">
        <v>56</v>
      </c>
      <c r="J20" s="6">
        <f>+Tabla3[[#This Row],[OCUPADO]]/Tabla3[[#This Row],[CAPACIDAD]]</f>
        <v>0.8392857142857143</v>
      </c>
      <c r="K20" t="s">
        <v>16</v>
      </c>
      <c r="L20">
        <f>+Tabla3[[#This Row],[VACIO]]*29.38</f>
        <v>264.42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18</v>
      </c>
      <c r="H21">
        <f t="shared" si="0"/>
        <v>105</v>
      </c>
      <c r="I21">
        <v>123</v>
      </c>
      <c r="J21" s="6">
        <f>+Tabla3[[#This Row],[OCUPADO]]/Tabla3[[#This Row],[CAPACIDAD]]</f>
        <v>0.85365853658536583</v>
      </c>
      <c r="K21" t="s">
        <v>16</v>
      </c>
      <c r="L21">
        <f>+Tabla3[[#This Row],[VACIO]]*29.38</f>
        <v>528.84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12</v>
      </c>
      <c r="H22">
        <f t="shared" si="0"/>
        <v>32</v>
      </c>
      <c r="I22">
        <v>44</v>
      </c>
      <c r="J22" s="6">
        <f>+Tabla3[[#This Row],[OCUPADO]]/Tabla3[[#This Row],[CAPACIDAD]]</f>
        <v>0.72727272727272729</v>
      </c>
      <c r="K22" t="s">
        <v>16</v>
      </c>
      <c r="L22">
        <f>+Tabla3[[#This Row],[VACIO]]*29.38</f>
        <v>352.56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17</v>
      </c>
      <c r="H23">
        <f t="shared" si="0"/>
        <v>94</v>
      </c>
      <c r="I23">
        <v>111</v>
      </c>
      <c r="J23" s="6">
        <f>+Tabla3[[#This Row],[OCUPADO]]/Tabla3[[#This Row],[CAPACIDAD]]</f>
        <v>0.84684684684684686</v>
      </c>
      <c r="K23" t="s">
        <v>16</v>
      </c>
      <c r="L23">
        <f>+Tabla3[[#This Row],[VACIO]]*29.38</f>
        <v>499.46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12</v>
      </c>
      <c r="H24">
        <f t="shared" si="0"/>
        <v>56</v>
      </c>
      <c r="I24">
        <v>68</v>
      </c>
      <c r="J24" s="6">
        <f>+Tabla3[[#This Row],[OCUPADO]]/Tabla3[[#This Row],[CAPACIDAD]]</f>
        <v>0.82352941176470584</v>
      </c>
      <c r="K24" t="s">
        <v>16</v>
      </c>
      <c r="L24">
        <f>+Tabla3[[#This Row],[VACIO]]*29.38</f>
        <v>352.56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17</v>
      </c>
      <c r="H25">
        <f t="shared" si="0"/>
        <v>56</v>
      </c>
      <c r="I25">
        <v>73</v>
      </c>
      <c r="J25" s="6">
        <f>+Tabla3[[#This Row],[OCUPADO]]/Tabla3[[#This Row],[CAPACIDAD]]</f>
        <v>0.76712328767123283</v>
      </c>
      <c r="K25" t="s">
        <v>23</v>
      </c>
      <c r="L25">
        <f>+Tabla3[[#This Row],[VACIO]]*29.38</f>
        <v>499.46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21</v>
      </c>
      <c r="H26">
        <f t="shared" si="0"/>
        <v>111</v>
      </c>
      <c r="I26">
        <v>132</v>
      </c>
      <c r="J26" s="6">
        <f>+Tabla3[[#This Row],[OCUPADO]]/Tabla3[[#This Row],[CAPACIDAD]]</f>
        <v>0.84090909090909094</v>
      </c>
      <c r="K26" t="s">
        <v>23</v>
      </c>
      <c r="L26">
        <f>+Tabla3[[#This Row],[VACIO]]*29.38</f>
        <v>616.98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12</v>
      </c>
      <c r="H27">
        <f t="shared" si="0"/>
        <v>48</v>
      </c>
      <c r="I27">
        <v>60</v>
      </c>
      <c r="J27" s="6">
        <f>+Tabla3[[#This Row],[OCUPADO]]/Tabla3[[#This Row],[CAPACIDAD]]</f>
        <v>0.8</v>
      </c>
      <c r="K27" t="s">
        <v>23</v>
      </c>
      <c r="L27">
        <f>+Tabla3[[#This Row],[VACIO]]*29.38</f>
        <v>352.56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30</v>
      </c>
      <c r="H28">
        <f t="shared" si="0"/>
        <v>122</v>
      </c>
      <c r="I28">
        <v>152</v>
      </c>
      <c r="J28" s="6">
        <f>+Tabla3[[#This Row],[OCUPADO]]/Tabla3[[#This Row],[CAPACIDAD]]</f>
        <v>0.80263157894736847</v>
      </c>
      <c r="K28" t="s">
        <v>23</v>
      </c>
      <c r="L28">
        <f>+Tabla3[[#This Row],[VACIO]]*29.38</f>
        <v>881.4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5</v>
      </c>
      <c r="H29">
        <f t="shared" si="0"/>
        <v>56</v>
      </c>
      <c r="I29">
        <v>61</v>
      </c>
      <c r="J29" s="6">
        <f>+Tabla3[[#This Row],[OCUPADO]]/Tabla3[[#This Row],[CAPACIDAD]]</f>
        <v>0.91803278688524592</v>
      </c>
      <c r="K29" t="s">
        <v>23</v>
      </c>
      <c r="L29">
        <f>+Tabla3[[#This Row],[VACIO]]*29.38</f>
        <v>146.9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18</v>
      </c>
      <c r="H30">
        <f t="shared" si="0"/>
        <v>138</v>
      </c>
      <c r="I30">
        <v>156</v>
      </c>
      <c r="J30" s="6">
        <f>+Tabla3[[#This Row],[OCUPADO]]/Tabla3[[#This Row],[CAPACIDAD]]</f>
        <v>0.88461538461538458</v>
      </c>
      <c r="K30" t="s">
        <v>23</v>
      </c>
      <c r="L30">
        <f>+Tabla3[[#This Row],[VACIO]]*29.38</f>
        <v>528.84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14</v>
      </c>
      <c r="H31">
        <f t="shared" si="0"/>
        <v>47</v>
      </c>
      <c r="I31">
        <v>61</v>
      </c>
      <c r="J31" s="6">
        <f>+Tabla3[[#This Row],[OCUPADO]]/Tabla3[[#This Row],[CAPACIDAD]]</f>
        <v>0.77049180327868849</v>
      </c>
      <c r="K31" t="s">
        <v>23</v>
      </c>
      <c r="L31">
        <f>+Tabla3[[#This Row],[VACIO]]*29.38</f>
        <v>411.32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15</v>
      </c>
      <c r="H32">
        <f t="shared" si="0"/>
        <v>141</v>
      </c>
      <c r="I32">
        <v>156</v>
      </c>
      <c r="J32" s="6">
        <f>+Tabla3[[#This Row],[OCUPADO]]/Tabla3[[#This Row],[CAPACIDAD]]</f>
        <v>0.90384615384615385</v>
      </c>
      <c r="K32" t="s">
        <v>23</v>
      </c>
      <c r="L32">
        <f>+Tabla3[[#This Row],[VACIO]]*29.38</f>
        <v>440.7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9</v>
      </c>
      <c r="H33">
        <f t="shared" si="0"/>
        <v>54</v>
      </c>
      <c r="I33">
        <v>63</v>
      </c>
      <c r="J33" s="6">
        <f>+Tabla3[[#This Row],[OCUPADO]]/Tabla3[[#This Row],[CAPACIDAD]]</f>
        <v>0.8571428571428571</v>
      </c>
      <c r="K33" t="s">
        <v>23</v>
      </c>
      <c r="L33">
        <f>+Tabla3[[#This Row],[VACIO]]*29.38</f>
        <v>264.42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27</v>
      </c>
      <c r="H34">
        <f t="shared" si="0"/>
        <v>125</v>
      </c>
      <c r="I34">
        <v>152</v>
      </c>
      <c r="J34" s="6">
        <f>+Tabla3[[#This Row],[OCUPADO]]/Tabla3[[#This Row],[CAPACIDAD]]</f>
        <v>0.82236842105263153</v>
      </c>
      <c r="K34" t="s">
        <v>23</v>
      </c>
      <c r="L34">
        <f>+Tabla3[[#This Row],[VACIO]]*29.38</f>
        <v>793.26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14</v>
      </c>
      <c r="H35">
        <f t="shared" si="0"/>
        <v>125</v>
      </c>
      <c r="I35">
        <v>139</v>
      </c>
      <c r="J35" s="6">
        <f>+Tabla3[[#This Row],[OCUPADO]]/Tabla3[[#This Row],[CAPACIDAD]]</f>
        <v>0.89928057553956831</v>
      </c>
      <c r="K35" t="s">
        <v>23</v>
      </c>
      <c r="L35">
        <f>+Tabla3[[#This Row],[VACIO]]*29.38</f>
        <v>411.32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29</v>
      </c>
      <c r="H36">
        <f t="shared" si="0"/>
        <v>110</v>
      </c>
      <c r="I36">
        <v>139</v>
      </c>
      <c r="J36" s="6">
        <f>+Tabla3[[#This Row],[OCUPADO]]/Tabla3[[#This Row],[CAPACIDAD]]</f>
        <v>0.79136690647482011</v>
      </c>
      <c r="K36" t="s">
        <v>23</v>
      </c>
      <c r="L36">
        <f>+Tabla3[[#This Row],[VACIO]]*29.38</f>
        <v>852.02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56</v>
      </c>
      <c r="H37">
        <f t="shared" si="0"/>
        <v>78</v>
      </c>
      <c r="I37">
        <v>134</v>
      </c>
      <c r="J37" s="6">
        <f>+Tabla3[[#This Row],[OCUPADO]]/Tabla3[[#This Row],[CAPACIDAD]]</f>
        <v>0.58208955223880599</v>
      </c>
      <c r="K37" t="s">
        <v>23</v>
      </c>
      <c r="L37">
        <f>+Tabla3[[#This Row],[VACIO]]*29.38</f>
        <v>1645.28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1</v>
      </c>
      <c r="H38">
        <f t="shared" si="0"/>
        <v>3</v>
      </c>
      <c r="I38">
        <v>4</v>
      </c>
      <c r="J38" s="6">
        <f>+Tabla3[[#This Row],[OCUPADO]]/Tabla3[[#This Row],[CAPACIDAD]]</f>
        <v>0.75</v>
      </c>
      <c r="K38" t="s">
        <v>23</v>
      </c>
      <c r="L38">
        <f>+Tabla3[[#This Row],[VACIO]]*29.38</f>
        <v>29.38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11</v>
      </c>
      <c r="H39">
        <f t="shared" si="0"/>
        <v>80</v>
      </c>
      <c r="I39">
        <v>91</v>
      </c>
      <c r="J39" s="6">
        <f>+Tabla3[[#This Row],[OCUPADO]]/Tabla3[[#This Row],[CAPACIDAD]]</f>
        <v>0.87912087912087911</v>
      </c>
      <c r="K39" t="s">
        <v>28</v>
      </c>
      <c r="L39">
        <f>+Tabla3[[#This Row],[VACIO]]*29.38</f>
        <v>323.18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18</v>
      </c>
      <c r="H40">
        <f t="shared" si="0"/>
        <v>78</v>
      </c>
      <c r="I40">
        <v>96</v>
      </c>
      <c r="J40" s="6">
        <f>+Tabla3[[#This Row],[OCUPADO]]/Tabla3[[#This Row],[CAPACIDAD]]</f>
        <v>0.8125</v>
      </c>
      <c r="K40" t="s">
        <v>28</v>
      </c>
      <c r="L40">
        <f>+Tabla3[[#This Row],[VACIO]]*29.38</f>
        <v>528.84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17</v>
      </c>
      <c r="H41">
        <f t="shared" si="0"/>
        <v>67</v>
      </c>
      <c r="I41">
        <v>84</v>
      </c>
      <c r="J41" s="6">
        <f>+Tabla3[[#This Row],[OCUPADO]]/Tabla3[[#This Row],[CAPACIDAD]]</f>
        <v>0.79761904761904767</v>
      </c>
      <c r="K41" t="s">
        <v>28</v>
      </c>
      <c r="L41">
        <f>+Tabla3[[#This Row],[VACIO]]*29.38</f>
        <v>499.46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13</v>
      </c>
      <c r="H42">
        <f t="shared" si="0"/>
        <v>91</v>
      </c>
      <c r="I42">
        <v>104</v>
      </c>
      <c r="J42" s="6">
        <f>+Tabla3[[#This Row],[OCUPADO]]/Tabla3[[#This Row],[CAPACIDAD]]</f>
        <v>0.875</v>
      </c>
      <c r="K42" t="s">
        <v>28</v>
      </c>
      <c r="L42">
        <f>+Tabla3[[#This Row],[VACIO]]*29.38</f>
        <v>381.94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29</v>
      </c>
      <c r="H43">
        <f t="shared" si="0"/>
        <v>110</v>
      </c>
      <c r="I43">
        <v>139</v>
      </c>
      <c r="J43" s="6">
        <f>+Tabla3[[#This Row],[OCUPADO]]/Tabla3[[#This Row],[CAPACIDAD]]</f>
        <v>0.79136690647482011</v>
      </c>
      <c r="K43" t="s">
        <v>16</v>
      </c>
      <c r="L43">
        <f>+Tabla3[[#This Row],[VACIO]]*29.38</f>
        <v>852.02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24</v>
      </c>
      <c r="H44">
        <f t="shared" si="0"/>
        <v>116</v>
      </c>
      <c r="I44">
        <v>140</v>
      </c>
      <c r="J44" s="6">
        <f>+Tabla3[[#This Row],[OCUPADO]]/Tabla3[[#This Row],[CAPACIDAD]]</f>
        <v>0.82857142857142863</v>
      </c>
      <c r="K44" t="s">
        <v>16</v>
      </c>
      <c r="L44">
        <f>+Tabla3[[#This Row],[VACIO]]*29.38</f>
        <v>705.12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3</v>
      </c>
      <c r="H45">
        <f t="shared" si="0"/>
        <v>5</v>
      </c>
      <c r="I45">
        <v>8</v>
      </c>
      <c r="J45" s="6">
        <f>+Tabla3[[#This Row],[OCUPADO]]/Tabla3[[#This Row],[CAPACIDAD]]</f>
        <v>0.625</v>
      </c>
      <c r="K45" t="s">
        <v>16</v>
      </c>
      <c r="L45">
        <f>+Tabla3[[#This Row],[VACIO]]*29.38</f>
        <v>88.14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28</v>
      </c>
      <c r="H46">
        <f t="shared" si="0"/>
        <v>108</v>
      </c>
      <c r="I46">
        <v>136</v>
      </c>
      <c r="J46" s="6">
        <f>+Tabla3[[#This Row],[OCUPADO]]/Tabla3[[#This Row],[CAPACIDAD]]</f>
        <v>0.79411764705882348</v>
      </c>
      <c r="K46" t="s">
        <v>16</v>
      </c>
      <c r="L46">
        <f>+Tabla3[[#This Row],[VACIO]]*29.38</f>
        <v>822.64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31</v>
      </c>
      <c r="H47">
        <f t="shared" si="0"/>
        <v>108</v>
      </c>
      <c r="I47">
        <v>139</v>
      </c>
      <c r="J47" s="6">
        <f>+Tabla3[[#This Row],[OCUPADO]]/Tabla3[[#This Row],[CAPACIDAD]]</f>
        <v>0.7769784172661871</v>
      </c>
      <c r="K47" t="s">
        <v>16</v>
      </c>
      <c r="L47">
        <f>+Tabla3[[#This Row],[VACIO]]*29.38</f>
        <v>910.78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9</v>
      </c>
      <c r="H48">
        <f t="shared" si="0"/>
        <v>133</v>
      </c>
      <c r="I48">
        <v>142</v>
      </c>
      <c r="J48" s="6">
        <f>+Tabla3[[#This Row],[OCUPADO]]/Tabla3[[#This Row],[CAPACIDAD]]</f>
        <v>0.93661971830985913</v>
      </c>
      <c r="K48" t="s">
        <v>32</v>
      </c>
      <c r="L48">
        <f>+Tabla3[[#This Row],[VACIO]]*29.38</f>
        <v>264.42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24</v>
      </c>
      <c r="H49">
        <f t="shared" si="0"/>
        <v>115</v>
      </c>
      <c r="I49">
        <v>139</v>
      </c>
      <c r="J49" s="6">
        <f>+Tabla3[[#This Row],[OCUPADO]]/Tabla3[[#This Row],[CAPACIDAD]]</f>
        <v>0.82733812949640284</v>
      </c>
      <c r="K49" t="s">
        <v>32</v>
      </c>
      <c r="L49">
        <f>+Tabla3[[#This Row],[VACIO]]*29.38</f>
        <v>705.12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27</v>
      </c>
      <c r="H50">
        <f t="shared" si="0"/>
        <v>112</v>
      </c>
      <c r="I50">
        <v>139</v>
      </c>
      <c r="J50" s="6">
        <f>+Tabla3[[#This Row],[OCUPADO]]/Tabla3[[#This Row],[CAPACIDAD]]</f>
        <v>0.80575539568345322</v>
      </c>
      <c r="K50" t="s">
        <v>32</v>
      </c>
      <c r="L50">
        <f>+Tabla3[[#This Row],[VACIO]]*29.38</f>
        <v>793.26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22</v>
      </c>
      <c r="H51">
        <f t="shared" si="0"/>
        <v>117</v>
      </c>
      <c r="I51">
        <v>139</v>
      </c>
      <c r="J51" s="6">
        <f>+Tabla3[[#This Row],[OCUPADO]]/Tabla3[[#This Row],[CAPACIDAD]]</f>
        <v>0.84172661870503596</v>
      </c>
      <c r="K51" t="s">
        <v>32</v>
      </c>
      <c r="L51">
        <f>+Tabla3[[#This Row],[VACIO]]*29.38</f>
        <v>646.36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14</v>
      </c>
      <c r="H52">
        <f t="shared" si="0"/>
        <v>73</v>
      </c>
      <c r="I52">
        <v>87</v>
      </c>
      <c r="J52" s="6">
        <f>+Tabla3[[#This Row],[OCUPADO]]/Tabla3[[#This Row],[CAPACIDAD]]</f>
        <v>0.83908045977011492</v>
      </c>
      <c r="K52" t="s">
        <v>32</v>
      </c>
      <c r="L52">
        <f>+Tabla3[[#This Row],[VACIO]]*29.38</f>
        <v>411.32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21</v>
      </c>
      <c r="H53">
        <f t="shared" si="0"/>
        <v>83</v>
      </c>
      <c r="I53">
        <v>104</v>
      </c>
      <c r="J53" s="6">
        <f>+Tabla3[[#This Row],[OCUPADO]]/Tabla3[[#This Row],[CAPACIDAD]]</f>
        <v>0.79807692307692313</v>
      </c>
      <c r="K53" t="s">
        <v>32</v>
      </c>
      <c r="L53">
        <f>+Tabla3[[#This Row],[VACIO]]*29.38</f>
        <v>616.98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18</v>
      </c>
      <c r="H54">
        <f t="shared" si="0"/>
        <v>75</v>
      </c>
      <c r="I54">
        <v>93</v>
      </c>
      <c r="J54" s="6">
        <f>+Tabla3[[#This Row],[OCUPADO]]/Tabla3[[#This Row],[CAPACIDAD]]</f>
        <v>0.80645161290322576</v>
      </c>
      <c r="K54" t="s">
        <v>32</v>
      </c>
      <c r="L54">
        <f>+Tabla3[[#This Row],[VACIO]]*29.38</f>
        <v>528.84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26</v>
      </c>
      <c r="H55">
        <f t="shared" si="0"/>
        <v>118</v>
      </c>
      <c r="I55">
        <v>144</v>
      </c>
      <c r="J55" s="6">
        <f>+Tabla3[[#This Row],[OCUPADO]]/Tabla3[[#This Row],[CAPACIDAD]]</f>
        <v>0.81944444444444442</v>
      </c>
      <c r="K55" t="s">
        <v>32</v>
      </c>
      <c r="L55">
        <f>+Tabla3[[#This Row],[VACIO]]*29.38</f>
        <v>763.88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27</v>
      </c>
      <c r="H56">
        <f t="shared" si="0"/>
        <v>112</v>
      </c>
      <c r="I56">
        <v>139</v>
      </c>
      <c r="J56" s="6">
        <f>+Tabla3[[#This Row],[OCUPADO]]/Tabla3[[#This Row],[CAPACIDAD]]</f>
        <v>0.80575539568345322</v>
      </c>
      <c r="K56" t="s">
        <v>32</v>
      </c>
      <c r="L56">
        <f>+Tabla3[[#This Row],[VACIO]]*29.38</f>
        <v>793.26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23</v>
      </c>
      <c r="H57">
        <f t="shared" si="0"/>
        <v>116</v>
      </c>
      <c r="I57">
        <v>139</v>
      </c>
      <c r="J57" s="6">
        <f>+Tabla3[[#This Row],[OCUPADO]]/Tabla3[[#This Row],[CAPACIDAD]]</f>
        <v>0.83453237410071945</v>
      </c>
      <c r="K57" t="s">
        <v>32</v>
      </c>
      <c r="L57">
        <f>+Tabla3[[#This Row],[VACIO]]*29.38</f>
        <v>675.74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28</v>
      </c>
      <c r="H58">
        <f t="shared" si="0"/>
        <v>108</v>
      </c>
      <c r="I58">
        <v>136</v>
      </c>
      <c r="J58" s="6">
        <f>+Tabla3[[#This Row],[OCUPADO]]/Tabla3[[#This Row],[CAPACIDAD]]</f>
        <v>0.79411764705882348</v>
      </c>
      <c r="K58" t="s">
        <v>32</v>
      </c>
      <c r="L58">
        <f>+Tabla3[[#This Row],[VACIO]]*29.38</f>
        <v>822.64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28</v>
      </c>
      <c r="H59">
        <f t="shared" si="0"/>
        <v>112</v>
      </c>
      <c r="I59">
        <v>140</v>
      </c>
      <c r="J59" s="6">
        <f>+Tabla3[[#This Row],[OCUPADO]]/Tabla3[[#This Row],[CAPACIDAD]]</f>
        <v>0.8</v>
      </c>
      <c r="K59" t="s">
        <v>32</v>
      </c>
      <c r="L59">
        <f>+Tabla3[[#This Row],[VACIO]]*29.38</f>
        <v>822.64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2</v>
      </c>
      <c r="H60">
        <f t="shared" si="0"/>
        <v>2</v>
      </c>
      <c r="I60">
        <v>4</v>
      </c>
      <c r="J60" s="6">
        <f>+Tabla3[[#This Row],[OCUPADO]]/Tabla3[[#This Row],[CAPACIDAD]]</f>
        <v>0.5</v>
      </c>
      <c r="K60" t="s">
        <v>32</v>
      </c>
      <c r="L60">
        <f>+Tabla3[[#This Row],[VACIO]]*29.38</f>
        <v>58.76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27</v>
      </c>
      <c r="H61">
        <f t="shared" si="0"/>
        <v>109</v>
      </c>
      <c r="I61">
        <v>136</v>
      </c>
      <c r="J61" s="6">
        <f>+Tabla3[[#This Row],[OCUPADO]]/Tabla3[[#This Row],[CAPACIDAD]]</f>
        <v>0.80147058823529416</v>
      </c>
      <c r="K61" t="s">
        <v>32</v>
      </c>
      <c r="L61">
        <f>+Tabla3[[#This Row],[VACIO]]*29.38</f>
        <v>793.26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41</v>
      </c>
      <c r="H62">
        <f t="shared" si="0"/>
        <v>98</v>
      </c>
      <c r="I62">
        <v>139</v>
      </c>
      <c r="J62" s="6">
        <f>+Tabla3[[#This Row],[OCUPADO]]/Tabla3[[#This Row],[CAPACIDAD]]</f>
        <v>0.70503597122302153</v>
      </c>
      <c r="K62" t="s">
        <v>32</v>
      </c>
      <c r="L62">
        <f>+Tabla3[[#This Row],[VACIO]]*29.38</f>
        <v>1204.58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13</v>
      </c>
      <c r="H63">
        <f t="shared" si="0"/>
        <v>24</v>
      </c>
      <c r="I63">
        <v>37</v>
      </c>
      <c r="J63" s="6">
        <f>+Tabla3[[#This Row],[OCUPADO]]/Tabla3[[#This Row],[CAPACIDAD]]</f>
        <v>0.64864864864864868</v>
      </c>
      <c r="K63" t="s">
        <v>32</v>
      </c>
      <c r="L63">
        <f>+Tabla3[[#This Row],[VACIO]]*29.38</f>
        <v>381.94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83</v>
      </c>
      <c r="H64">
        <f t="shared" si="0"/>
        <v>121</v>
      </c>
      <c r="I64">
        <v>204</v>
      </c>
      <c r="J64" s="6">
        <f>+Tabla3[[#This Row],[OCUPADO]]/Tabla3[[#This Row],[CAPACIDAD]]</f>
        <v>0.59313725490196079</v>
      </c>
      <c r="K64" t="s">
        <v>32</v>
      </c>
      <c r="L64">
        <f>+Tabla3[[#This Row],[VACIO]]*29.38</f>
        <v>2438.54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25</v>
      </c>
      <c r="H65">
        <f t="shared" si="0"/>
        <v>26</v>
      </c>
      <c r="I65">
        <v>51</v>
      </c>
      <c r="J65" s="6">
        <f>+Tabla3[[#This Row],[OCUPADO]]/Tabla3[[#This Row],[CAPACIDAD]]</f>
        <v>0.50980392156862742</v>
      </c>
      <c r="K65" t="s">
        <v>32</v>
      </c>
      <c r="L65">
        <f>+Tabla3[[#This Row],[VACIO]]*29.38</f>
        <v>734.5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128</v>
      </c>
      <c r="H66">
        <f t="shared" si="0"/>
        <v>72</v>
      </c>
      <c r="I66">
        <v>200</v>
      </c>
      <c r="J66" s="6">
        <f>+Tabla3[[#This Row],[OCUPADO]]/Tabla3[[#This Row],[CAPACIDAD]]</f>
        <v>0.36</v>
      </c>
      <c r="K66" t="s">
        <v>32</v>
      </c>
      <c r="L66">
        <f>+Tabla3[[#This Row],[VACIO]]*29.38</f>
        <v>3760.64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20</v>
      </c>
      <c r="H67">
        <f t="shared" si="0"/>
        <v>93</v>
      </c>
      <c r="I67">
        <v>113</v>
      </c>
      <c r="J67" s="6">
        <f>+Tabla3[[#This Row],[OCUPADO]]/Tabla3[[#This Row],[CAPACIDAD]]</f>
        <v>0.82300884955752207</v>
      </c>
      <c r="K67" t="s">
        <v>40</v>
      </c>
      <c r="L67">
        <f>+Tabla3[[#This Row],[VACIO]]*29.38</f>
        <v>587.6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33</v>
      </c>
      <c r="H68">
        <f t="shared" si="0"/>
        <v>31</v>
      </c>
      <c r="I68">
        <v>64</v>
      </c>
      <c r="J68" s="6">
        <f>+Tabla3[[#This Row],[OCUPADO]]/Tabla3[[#This Row],[CAPACIDAD]]</f>
        <v>0.484375</v>
      </c>
      <c r="K68" t="s">
        <v>40</v>
      </c>
      <c r="L68">
        <f>+Tabla3[[#This Row],[VACIO]]*29.38</f>
        <v>969.54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20</v>
      </c>
      <c r="H69">
        <f t="shared" si="0"/>
        <v>84</v>
      </c>
      <c r="I69">
        <v>104</v>
      </c>
      <c r="J69" s="6">
        <f>+Tabla3[[#This Row],[OCUPADO]]/Tabla3[[#This Row],[CAPACIDAD]]</f>
        <v>0.80769230769230771</v>
      </c>
      <c r="K69" t="s">
        <v>40</v>
      </c>
      <c r="L69">
        <f>+Tabla3[[#This Row],[VACIO]]*29.38</f>
        <v>587.6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26</v>
      </c>
      <c r="H70">
        <f t="shared" si="0"/>
        <v>38</v>
      </c>
      <c r="I70">
        <v>64</v>
      </c>
      <c r="J70" s="6">
        <f>+Tabla3[[#This Row],[OCUPADO]]/Tabla3[[#This Row],[CAPACIDAD]]</f>
        <v>0.59375</v>
      </c>
      <c r="K70" t="s">
        <v>40</v>
      </c>
      <c r="L70">
        <f>+Tabla3[[#This Row],[VACIO]]*29.38</f>
        <v>763.88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23</v>
      </c>
      <c r="H71">
        <f t="shared" si="0"/>
        <v>89</v>
      </c>
      <c r="I71">
        <v>112</v>
      </c>
      <c r="J71" s="6">
        <f>+Tabla3[[#This Row],[OCUPADO]]/Tabla3[[#This Row],[CAPACIDAD]]</f>
        <v>0.7946428571428571</v>
      </c>
      <c r="K71" t="s">
        <v>42</v>
      </c>
      <c r="L71">
        <f>+Tabla3[[#This Row],[VACIO]]*29.38</f>
        <v>675.74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15</v>
      </c>
      <c r="H72">
        <f t="shared" si="0"/>
        <v>25</v>
      </c>
      <c r="I72">
        <v>40</v>
      </c>
      <c r="J72" s="6">
        <f>+Tabla3[[#This Row],[OCUPADO]]/Tabla3[[#This Row],[CAPACIDAD]]</f>
        <v>0.625</v>
      </c>
      <c r="K72" t="s">
        <v>42</v>
      </c>
      <c r="L72">
        <f>+Tabla3[[#This Row],[VACIO]]*29.38</f>
        <v>440.7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14</v>
      </c>
      <c r="H73">
        <f t="shared" si="0"/>
        <v>86</v>
      </c>
      <c r="I73">
        <v>100</v>
      </c>
      <c r="J73" s="6">
        <f>+Tabla3[[#This Row],[OCUPADO]]/Tabla3[[#This Row],[CAPACIDAD]]</f>
        <v>0.86</v>
      </c>
      <c r="K73" t="s">
        <v>42</v>
      </c>
      <c r="L73">
        <f>+Tabla3[[#This Row],[VACIO]]*29.38</f>
        <v>411.32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13</v>
      </c>
      <c r="H74">
        <f t="shared" si="0"/>
        <v>31</v>
      </c>
      <c r="I74">
        <v>44</v>
      </c>
      <c r="J74" s="6">
        <f>+Tabla3[[#This Row],[OCUPADO]]/Tabla3[[#This Row],[CAPACIDAD]]</f>
        <v>0.70454545454545459</v>
      </c>
      <c r="K74" t="s">
        <v>42</v>
      </c>
      <c r="L74">
        <f>+Tabla3[[#This Row],[VACIO]]*29.38</f>
        <v>381.94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3</v>
      </c>
      <c r="H75">
        <f t="shared" ref="H75:H140" si="1">+I75-G75</f>
        <v>26</v>
      </c>
      <c r="I75">
        <v>29</v>
      </c>
      <c r="J75" s="6">
        <f>+Tabla3[[#This Row],[OCUPADO]]/Tabla3[[#This Row],[CAPACIDAD]]</f>
        <v>0.89655172413793105</v>
      </c>
      <c r="K75" t="s">
        <v>42</v>
      </c>
      <c r="L75">
        <f>+Tabla3[[#This Row],[VACIO]]*29.38</f>
        <v>88.14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43</v>
      </c>
      <c r="H76">
        <f t="shared" si="1"/>
        <v>73</v>
      </c>
      <c r="I76">
        <v>116</v>
      </c>
      <c r="J76" s="6">
        <f>+Tabla3[[#This Row],[OCUPADO]]/Tabla3[[#This Row],[CAPACIDAD]]</f>
        <v>0.62931034482758619</v>
      </c>
      <c r="K76" t="s">
        <v>42</v>
      </c>
      <c r="L76">
        <f>+Tabla3[[#This Row],[VACIO]]*29.38</f>
        <v>1263.3399999999999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22</v>
      </c>
      <c r="H77">
        <f t="shared" si="1"/>
        <v>14</v>
      </c>
      <c r="I77">
        <v>36</v>
      </c>
      <c r="J77" s="6">
        <f>+Tabla3[[#This Row],[OCUPADO]]/Tabla3[[#This Row],[CAPACIDAD]]</f>
        <v>0.3888888888888889</v>
      </c>
      <c r="K77" t="s">
        <v>42</v>
      </c>
      <c r="L77">
        <f>+Tabla3[[#This Row],[VACIO]]*29.38</f>
        <v>646.36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32</v>
      </c>
      <c r="H78">
        <f t="shared" si="1"/>
        <v>55</v>
      </c>
      <c r="I78">
        <v>87</v>
      </c>
      <c r="J78" s="6">
        <f>+Tabla3[[#This Row],[OCUPADO]]/Tabla3[[#This Row],[CAPACIDAD]]</f>
        <v>0.63218390804597702</v>
      </c>
      <c r="K78" t="s">
        <v>42</v>
      </c>
      <c r="L78">
        <f>+Tabla3[[#This Row],[VACIO]]*29.38</f>
        <v>940.16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29</v>
      </c>
      <c r="H79">
        <f t="shared" si="1"/>
        <v>10</v>
      </c>
      <c r="I79">
        <v>39</v>
      </c>
      <c r="J79" s="6">
        <f>+Tabla3[[#This Row],[OCUPADO]]/Tabla3[[#This Row],[CAPACIDAD]]</f>
        <v>0.25641025641025639</v>
      </c>
      <c r="K79" t="s">
        <v>42</v>
      </c>
      <c r="L79">
        <f>+Tabla3[[#This Row],[VACIO]]*29.38</f>
        <v>852.02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6</v>
      </c>
      <c r="H80">
        <f t="shared" si="1"/>
        <v>20</v>
      </c>
      <c r="I80">
        <v>26</v>
      </c>
      <c r="J80" s="6">
        <f>+Tabla3[[#This Row],[OCUPADO]]/Tabla3[[#This Row],[CAPACIDAD]]</f>
        <v>0.76923076923076927</v>
      </c>
      <c r="K80" t="s">
        <v>42</v>
      </c>
      <c r="L80">
        <f>+Tabla3[[#This Row],[VACIO]]*29.38</f>
        <v>176.28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44</v>
      </c>
      <c r="H81">
        <f t="shared" si="1"/>
        <v>107</v>
      </c>
      <c r="I81">
        <v>151</v>
      </c>
      <c r="J81" s="6">
        <f>+Tabla3[[#This Row],[OCUPADO]]/Tabla3[[#This Row],[CAPACIDAD]]</f>
        <v>0.70860927152317876</v>
      </c>
      <c r="K81" t="s">
        <v>46</v>
      </c>
      <c r="L81">
        <f>+Tabla3[[#This Row],[VACIO]]*29.38</f>
        <v>1292.72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11</v>
      </c>
      <c r="H82">
        <f t="shared" si="1"/>
        <v>13</v>
      </c>
      <c r="I82">
        <v>24</v>
      </c>
      <c r="J82" s="6">
        <f>+Tabla3[[#This Row],[OCUPADO]]/Tabla3[[#This Row],[CAPACIDAD]]</f>
        <v>0.54166666666666663</v>
      </c>
      <c r="K82" t="s">
        <v>46</v>
      </c>
      <c r="L82">
        <f>+Tabla3[[#This Row],[VACIO]]*29.38</f>
        <v>323.18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49</v>
      </c>
      <c r="H83">
        <f t="shared" si="1"/>
        <v>35</v>
      </c>
      <c r="I83">
        <v>84</v>
      </c>
      <c r="J83" s="6">
        <f>+Tabla3[[#This Row],[OCUPADO]]/Tabla3[[#This Row],[CAPACIDAD]]</f>
        <v>0.41666666666666669</v>
      </c>
      <c r="K83" t="s">
        <v>46</v>
      </c>
      <c r="L83">
        <f>+Tabla3[[#This Row],[VACIO]]*29.38</f>
        <v>1439.62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24</v>
      </c>
      <c r="H84">
        <f t="shared" si="1"/>
        <v>106</v>
      </c>
      <c r="I84">
        <v>130</v>
      </c>
      <c r="J84" s="6">
        <f>+Tabla3[[#This Row],[OCUPADO]]/Tabla3[[#This Row],[CAPACIDAD]]</f>
        <v>0.81538461538461537</v>
      </c>
      <c r="K84" t="s">
        <v>48</v>
      </c>
      <c r="L84">
        <f>+Tabla3[[#This Row],[VACIO]]*29.38</f>
        <v>705.12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34</v>
      </c>
      <c r="H85">
        <f t="shared" si="1"/>
        <v>50</v>
      </c>
      <c r="I85">
        <v>84</v>
      </c>
      <c r="J85" s="6">
        <f>+Tabla3[[#This Row],[OCUPADO]]/Tabla3[[#This Row],[CAPACIDAD]]</f>
        <v>0.59523809523809523</v>
      </c>
      <c r="K85" t="s">
        <v>48</v>
      </c>
      <c r="L85">
        <f>+Tabla3[[#This Row],[VACIO]]*29.38</f>
        <v>998.92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42</v>
      </c>
      <c r="H86">
        <f t="shared" si="1"/>
        <v>73</v>
      </c>
      <c r="I86">
        <v>115</v>
      </c>
      <c r="J86" s="6">
        <f>+Tabla3[[#This Row],[OCUPADO]]/Tabla3[[#This Row],[CAPACIDAD]]</f>
        <v>0.63478260869565217</v>
      </c>
      <c r="K86" t="s">
        <v>48</v>
      </c>
      <c r="L86">
        <f>+Tabla3[[#This Row],[VACIO]]*29.38</f>
        <v>1233.96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12</v>
      </c>
      <c r="H87">
        <f t="shared" si="1"/>
        <v>40</v>
      </c>
      <c r="I87">
        <v>52</v>
      </c>
      <c r="J87" s="6">
        <f>+Tabla3[[#This Row],[OCUPADO]]/Tabla3[[#This Row],[CAPACIDAD]]</f>
        <v>0.76923076923076927</v>
      </c>
      <c r="K87" t="s">
        <v>48</v>
      </c>
      <c r="L87">
        <f>+Tabla3[[#This Row],[VACIO]]*29.38</f>
        <v>352.56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H88">
        <f t="shared" si="1"/>
        <v>64</v>
      </c>
      <c r="I88">
        <v>64</v>
      </c>
      <c r="J88" s="6">
        <f>+Tabla3[[#This Row],[OCUPADO]]/Tabla3[[#This Row],[CAPACIDAD]]</f>
        <v>1</v>
      </c>
      <c r="K88" t="s">
        <v>50</v>
      </c>
      <c r="L88">
        <f>+Tabla3[[#This Row],[VACIO]]*29.38</f>
        <v>0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H89">
        <f t="shared" si="1"/>
        <v>133</v>
      </c>
      <c r="I89">
        <v>133</v>
      </c>
      <c r="J89" s="6">
        <f>+Tabla3[[#This Row],[OCUPADO]]/Tabla3[[#This Row],[CAPACIDAD]]</f>
        <v>1</v>
      </c>
      <c r="K89" t="s">
        <v>50</v>
      </c>
      <c r="L89">
        <f>+Tabla3[[#This Row],[VACIO]]*29.38</f>
        <v>0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H90">
        <f t="shared" si="1"/>
        <v>64</v>
      </c>
      <c r="I90">
        <v>64</v>
      </c>
      <c r="J90" s="6">
        <f>+Tabla3[[#This Row],[OCUPADO]]/Tabla3[[#This Row],[CAPACIDAD]]</f>
        <v>1</v>
      </c>
      <c r="K90" t="s">
        <v>50</v>
      </c>
      <c r="L90">
        <f>+Tabla3[[#This Row],[VACIO]]*29.38</f>
        <v>0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H91">
        <f t="shared" si="1"/>
        <v>150</v>
      </c>
      <c r="I91">
        <v>150</v>
      </c>
      <c r="J91" s="6">
        <f>+Tabla3[[#This Row],[OCUPADO]]/Tabla3[[#This Row],[CAPACIDAD]]</f>
        <v>1</v>
      </c>
      <c r="K91" t="s">
        <v>50</v>
      </c>
      <c r="L91">
        <f>+Tabla3[[#This Row],[VACIO]]*29.38</f>
        <v>0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H92">
        <f t="shared" si="1"/>
        <v>66</v>
      </c>
      <c r="I92">
        <v>66</v>
      </c>
      <c r="J92" s="6">
        <f>+Tabla3[[#This Row],[OCUPADO]]/Tabla3[[#This Row],[CAPACIDAD]]</f>
        <v>1</v>
      </c>
      <c r="K92" t="s">
        <v>50</v>
      </c>
      <c r="L92">
        <f>+Tabla3[[#This Row],[VACIO]]*29.38</f>
        <v>0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H93">
        <f t="shared" si="1"/>
        <v>60</v>
      </c>
      <c r="I93">
        <v>60</v>
      </c>
      <c r="J93" s="6">
        <f>+Tabla3[[#This Row],[OCUPADO]]/Tabla3[[#This Row],[CAPACIDAD]]</f>
        <v>1</v>
      </c>
      <c r="K93" t="s">
        <v>50</v>
      </c>
      <c r="L93">
        <f>+Tabla3[[#This Row],[VACIO]]*29.38</f>
        <v>0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24</v>
      </c>
      <c r="H94">
        <f t="shared" si="1"/>
        <v>29</v>
      </c>
      <c r="I94">
        <v>53</v>
      </c>
      <c r="J94" s="6">
        <f>+Tabla3[[#This Row],[OCUPADO]]/Tabla3[[#This Row],[CAPACIDAD]]</f>
        <v>0.54716981132075471</v>
      </c>
      <c r="K94" t="s">
        <v>53</v>
      </c>
      <c r="L94">
        <f>+Tabla3[[#This Row],[VACIO]]*29.38</f>
        <v>705.12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3</v>
      </c>
      <c r="H95">
        <f t="shared" si="1"/>
        <v>12</v>
      </c>
      <c r="I95">
        <v>15</v>
      </c>
      <c r="J95" s="6">
        <f>+Tabla3[[#This Row],[OCUPADO]]/Tabla3[[#This Row],[CAPACIDAD]]</f>
        <v>0.8</v>
      </c>
      <c r="K95" t="s">
        <v>53</v>
      </c>
      <c r="L95">
        <f>+Tabla3[[#This Row],[VACIO]]*29.38</f>
        <v>88.14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21</v>
      </c>
      <c r="H96">
        <f t="shared" si="1"/>
        <v>32</v>
      </c>
      <c r="I96">
        <v>53</v>
      </c>
      <c r="J96" s="6">
        <f>+Tabla3[[#This Row],[OCUPADO]]/Tabla3[[#This Row],[CAPACIDAD]]</f>
        <v>0.60377358490566035</v>
      </c>
      <c r="K96" t="s">
        <v>53</v>
      </c>
      <c r="L96">
        <f>+Tabla3[[#This Row],[VACIO]]*29.38</f>
        <v>616.98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4</v>
      </c>
      <c r="H97">
        <f t="shared" si="1"/>
        <v>11</v>
      </c>
      <c r="I97">
        <v>15</v>
      </c>
      <c r="J97" s="6">
        <f>+Tabla3[[#This Row],[OCUPADO]]/Tabla3[[#This Row],[CAPACIDAD]]</f>
        <v>0.73333333333333328</v>
      </c>
      <c r="K97" t="s">
        <v>53</v>
      </c>
      <c r="L97">
        <f>+Tabla3[[#This Row],[VACIO]]*29.38</f>
        <v>117.52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18</v>
      </c>
      <c r="H98">
        <f t="shared" si="1"/>
        <v>31</v>
      </c>
      <c r="I98">
        <v>49</v>
      </c>
      <c r="J98" s="6">
        <f>+Tabla3[[#This Row],[OCUPADO]]/Tabla3[[#This Row],[CAPACIDAD]]</f>
        <v>0.63265306122448983</v>
      </c>
      <c r="K98" t="s">
        <v>53</v>
      </c>
      <c r="L98">
        <f>+Tabla3[[#This Row],[VACIO]]*29.38</f>
        <v>528.84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8</v>
      </c>
      <c r="H99">
        <f t="shared" si="1"/>
        <v>7</v>
      </c>
      <c r="I99">
        <v>15</v>
      </c>
      <c r="J99" s="6">
        <f>+Tabla3[[#This Row],[OCUPADO]]/Tabla3[[#This Row],[CAPACIDAD]]</f>
        <v>0.46666666666666667</v>
      </c>
      <c r="K99" t="s">
        <v>53</v>
      </c>
      <c r="L99">
        <f>+Tabla3[[#This Row],[VACIO]]*29.38</f>
        <v>235.04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15</v>
      </c>
      <c r="H100">
        <f t="shared" si="1"/>
        <v>36</v>
      </c>
      <c r="I100">
        <v>51</v>
      </c>
      <c r="J100" s="6">
        <f>+Tabla3[[#This Row],[OCUPADO]]/Tabla3[[#This Row],[CAPACIDAD]]</f>
        <v>0.70588235294117652</v>
      </c>
      <c r="K100" t="s">
        <v>53</v>
      </c>
      <c r="L100">
        <f>+Tabla3[[#This Row],[VACIO]]*29.38</f>
        <v>440.7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5</v>
      </c>
      <c r="H101">
        <f t="shared" si="1"/>
        <v>10</v>
      </c>
      <c r="I101">
        <v>15</v>
      </c>
      <c r="J101" s="6">
        <f>+Tabla3[[#This Row],[OCUPADO]]/Tabla3[[#This Row],[CAPACIDAD]]</f>
        <v>0.66666666666666663</v>
      </c>
      <c r="K101" t="s">
        <v>53</v>
      </c>
      <c r="L101">
        <f>+Tabla3[[#This Row],[VACIO]]*29.38</f>
        <v>146.9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62</v>
      </c>
      <c r="H102">
        <f t="shared" ref="H102:H103" si="2">+I102-G102</f>
        <v>-22</v>
      </c>
      <c r="I102">
        <v>40</v>
      </c>
      <c r="J102" s="6">
        <f>+Tabla3[[#This Row],[OCUPADO]]/Tabla3[[#This Row],[CAPACIDAD]]</f>
        <v>-0.55000000000000004</v>
      </c>
      <c r="K102" t="s">
        <v>53</v>
      </c>
      <c r="L102">
        <f>+Tabla3[[#This Row],[VACIO]]*29.38</f>
        <v>1821.56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8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8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24</v>
      </c>
      <c r="H106">
        <f t="shared" si="1"/>
        <v>66</v>
      </c>
      <c r="I106">
        <v>90</v>
      </c>
      <c r="J106" s="6">
        <f>+Tabla3[[#This Row],[OCUPADO]]/Tabla3[[#This Row],[CAPACIDAD]]</f>
        <v>0.73333333333333328</v>
      </c>
      <c r="K106" t="s">
        <v>58</v>
      </c>
      <c r="L106">
        <f>+Tabla3[[#This Row],[VACIO]]*29.38</f>
        <v>705.12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4</v>
      </c>
      <c r="H107">
        <f t="shared" si="1"/>
        <v>26</v>
      </c>
      <c r="I107">
        <v>30</v>
      </c>
      <c r="J107" s="6">
        <f>+Tabla3[[#This Row],[OCUPADO]]/Tabla3[[#This Row],[CAPACIDAD]]</f>
        <v>0.8666666666666667</v>
      </c>
      <c r="K107" t="s">
        <v>58</v>
      </c>
      <c r="L107">
        <f>+Tabla3[[#This Row],[VACIO]]*29.38</f>
        <v>117.52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21</v>
      </c>
      <c r="H108">
        <f t="shared" si="1"/>
        <v>27</v>
      </c>
      <c r="I108">
        <v>48</v>
      </c>
      <c r="J108" s="6">
        <f>+Tabla3[[#This Row],[OCUPADO]]/Tabla3[[#This Row],[CAPACIDAD]]</f>
        <v>0.5625</v>
      </c>
      <c r="K108" t="s">
        <v>58</v>
      </c>
      <c r="L108">
        <f>+Tabla3[[#This Row],[VACIO]]*29.38</f>
        <v>616.98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21</v>
      </c>
      <c r="H109">
        <f t="shared" si="1"/>
        <v>62</v>
      </c>
      <c r="I109">
        <v>83</v>
      </c>
      <c r="J109" s="6">
        <f>+Tabla3[[#This Row],[OCUPADO]]/Tabla3[[#This Row],[CAPACIDAD]]</f>
        <v>0.74698795180722888</v>
      </c>
      <c r="K109" t="s">
        <v>58</v>
      </c>
      <c r="L109">
        <f>+Tabla3[[#This Row],[VACIO]]*29.38</f>
        <v>616.98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3</v>
      </c>
      <c r="H110">
        <f t="shared" si="1"/>
        <v>26</v>
      </c>
      <c r="I110">
        <v>29</v>
      </c>
      <c r="J110" s="6">
        <f>+Tabla3[[#This Row],[OCUPADO]]/Tabla3[[#This Row],[CAPACIDAD]]</f>
        <v>0.89655172413793105</v>
      </c>
      <c r="K110" t="s">
        <v>58</v>
      </c>
      <c r="L110">
        <f>+Tabla3[[#This Row],[VACIO]]*29.38</f>
        <v>88.14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13</v>
      </c>
      <c r="H111">
        <f t="shared" si="1"/>
        <v>25</v>
      </c>
      <c r="I111">
        <v>38</v>
      </c>
      <c r="J111" s="6">
        <f>+Tabla3[[#This Row],[OCUPADO]]/Tabla3[[#This Row],[CAPACIDAD]]</f>
        <v>0.65789473684210531</v>
      </c>
      <c r="K111" t="s">
        <v>58</v>
      </c>
      <c r="L111">
        <f>+Tabla3[[#This Row],[VACIO]]*29.38</f>
        <v>381.94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93</v>
      </c>
      <c r="H113">
        <f t="shared" si="1"/>
        <v>75</v>
      </c>
      <c r="I113">
        <v>168</v>
      </c>
      <c r="J113" s="6">
        <f>+Tabla3[[#This Row],[OCUPADO]]/Tabla3[[#This Row],[CAPACIDAD]]</f>
        <v>0.44642857142857145</v>
      </c>
      <c r="K113" t="s">
        <v>59</v>
      </c>
      <c r="L113">
        <f>+Tabla3[[#This Row],[VACIO]]*29.38</f>
        <v>2732.3399999999997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2</v>
      </c>
      <c r="H114">
        <f t="shared" si="1"/>
        <v>36</v>
      </c>
      <c r="I114">
        <v>38</v>
      </c>
      <c r="J114" s="6">
        <f>+Tabla3[[#This Row],[OCUPADO]]/Tabla3[[#This Row],[CAPACIDAD]]</f>
        <v>0.94736842105263153</v>
      </c>
      <c r="K114" t="s">
        <v>59</v>
      </c>
      <c r="L114">
        <f>+Tabla3[[#This Row],[VACIO]]*29.38</f>
        <v>58.76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7</v>
      </c>
      <c r="H115">
        <f t="shared" si="1"/>
        <v>133</v>
      </c>
      <c r="I115">
        <v>140</v>
      </c>
      <c r="J115" s="6">
        <f>+Tabla3[[#This Row],[OCUPADO]]/Tabla3[[#This Row],[CAPACIDAD]]</f>
        <v>0.95</v>
      </c>
      <c r="K115" t="s">
        <v>59</v>
      </c>
      <c r="L115">
        <f>+Tabla3[[#This Row],[VACIO]]*29.38</f>
        <v>205.66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5</v>
      </c>
      <c r="H116">
        <f t="shared" si="1"/>
        <v>33</v>
      </c>
      <c r="I116">
        <v>38</v>
      </c>
      <c r="J116" s="6">
        <f>+Tabla3[[#This Row],[OCUPADO]]/Tabla3[[#This Row],[CAPACIDAD]]</f>
        <v>0.86842105263157898</v>
      </c>
      <c r="K116" t="s">
        <v>59</v>
      </c>
      <c r="L116">
        <f>+Tabla3[[#This Row],[VACIO]]*29.38</f>
        <v>146.9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9</v>
      </c>
      <c r="H117">
        <f t="shared" si="1"/>
        <v>133</v>
      </c>
      <c r="I117">
        <v>142</v>
      </c>
      <c r="J117" s="6">
        <f>+Tabla3[[#This Row],[OCUPADO]]/Tabla3[[#This Row],[CAPACIDAD]]</f>
        <v>0.93661971830985913</v>
      </c>
      <c r="K117" t="s">
        <v>59</v>
      </c>
      <c r="L117">
        <f>+Tabla3[[#This Row],[VACIO]]*29.38</f>
        <v>264.42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5</v>
      </c>
      <c r="H118">
        <f t="shared" si="1"/>
        <v>33</v>
      </c>
      <c r="I118">
        <v>38</v>
      </c>
      <c r="J118" s="6">
        <f>+Tabla3[[#This Row],[OCUPADO]]/Tabla3[[#This Row],[CAPACIDAD]]</f>
        <v>0.86842105263157898</v>
      </c>
      <c r="K118" t="s">
        <v>59</v>
      </c>
      <c r="L118">
        <f>+Tabla3[[#This Row],[VACIO]]*29.38</f>
        <v>146.9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6</v>
      </c>
      <c r="H119">
        <f t="shared" si="1"/>
        <v>136</v>
      </c>
      <c r="I119">
        <v>142</v>
      </c>
      <c r="J119" s="6">
        <f>+Tabla3[[#This Row],[OCUPADO]]/Tabla3[[#This Row],[CAPACIDAD]]</f>
        <v>0.95774647887323938</v>
      </c>
      <c r="K119" t="s">
        <v>59</v>
      </c>
      <c r="L119">
        <f>+Tabla3[[#This Row],[VACIO]]*29.38</f>
        <v>176.28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4</v>
      </c>
      <c r="H120">
        <f t="shared" si="1"/>
        <v>34</v>
      </c>
      <c r="I120">
        <v>38</v>
      </c>
      <c r="J120" s="6">
        <f>+Tabla3[[#This Row],[OCUPADO]]/Tabla3[[#This Row],[CAPACIDAD]]</f>
        <v>0.89473684210526316</v>
      </c>
      <c r="K120" t="s">
        <v>59</v>
      </c>
      <c r="L120">
        <f>+Tabla3[[#This Row],[VACIO]]*29.38</f>
        <v>117.52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13</v>
      </c>
      <c r="H121">
        <f t="shared" si="1"/>
        <v>107</v>
      </c>
      <c r="I121">
        <v>120</v>
      </c>
      <c r="J121" s="6">
        <f>+Tabla3[[#This Row],[OCUPADO]]/Tabla3[[#This Row],[CAPACIDAD]]</f>
        <v>0.89166666666666672</v>
      </c>
      <c r="K121" t="s">
        <v>59</v>
      </c>
      <c r="L121">
        <f>+Tabla3[[#This Row],[VACIO]]*29.38</f>
        <v>381.94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7</v>
      </c>
      <c r="H122">
        <f t="shared" si="1"/>
        <v>23</v>
      </c>
      <c r="I122">
        <v>30</v>
      </c>
      <c r="J122" s="6">
        <f>+Tabla3[[#This Row],[OCUPADO]]/Tabla3[[#This Row],[CAPACIDAD]]</f>
        <v>0.76666666666666672</v>
      </c>
      <c r="K122" t="s">
        <v>59</v>
      </c>
      <c r="L122">
        <f>+Tabla3[[#This Row],[VACIO]]*29.38</f>
        <v>205.66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8</v>
      </c>
      <c r="H123">
        <f t="shared" si="1"/>
        <v>82</v>
      </c>
      <c r="I123">
        <v>90</v>
      </c>
      <c r="J123" s="6">
        <f>+Tabla3[[#This Row],[OCUPADO]]/Tabla3[[#This Row],[CAPACIDAD]]</f>
        <v>0.91111111111111109</v>
      </c>
      <c r="K123" t="s">
        <v>59</v>
      </c>
      <c r="L123">
        <f>+Tabla3[[#This Row],[VACIO]]*29.38</f>
        <v>235.04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21</v>
      </c>
      <c r="H124">
        <f t="shared" si="1"/>
        <v>7</v>
      </c>
      <c r="I124">
        <v>28</v>
      </c>
      <c r="J124" s="6">
        <f>+Tabla3[[#This Row],[OCUPADO]]/Tabla3[[#This Row],[CAPACIDAD]]</f>
        <v>0.25</v>
      </c>
      <c r="K124" t="s">
        <v>59</v>
      </c>
      <c r="L124">
        <f>+Tabla3[[#This Row],[VACIO]]*29.38</f>
        <v>616.98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9</v>
      </c>
      <c r="H125">
        <f t="shared" si="1"/>
        <v>21</v>
      </c>
      <c r="I125">
        <v>30</v>
      </c>
      <c r="J125" s="6">
        <f>+Tabla3[[#This Row],[OCUPADO]]/Tabla3[[#This Row],[CAPACIDAD]]</f>
        <v>0.7</v>
      </c>
      <c r="K125" t="s">
        <v>59</v>
      </c>
      <c r="L125">
        <f>+Tabla3[[#This Row],[VACIO]]*29.38</f>
        <v>264.42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1</v>
      </c>
      <c r="H126">
        <f t="shared" si="1"/>
        <v>91</v>
      </c>
      <c r="I126">
        <v>92</v>
      </c>
      <c r="J126" s="6">
        <f>+Tabla3[[#This Row],[OCUPADO]]/Tabla3[[#This Row],[CAPACIDAD]]</f>
        <v>0.98913043478260865</v>
      </c>
      <c r="K126" t="s">
        <v>59</v>
      </c>
      <c r="L126">
        <f>+Tabla3[[#This Row],[VACIO]]*29.38</f>
        <v>29.38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19</v>
      </c>
      <c r="H127">
        <f t="shared" si="1"/>
        <v>9</v>
      </c>
      <c r="I127">
        <v>28</v>
      </c>
      <c r="J127" s="6">
        <f>+Tabla3[[#This Row],[OCUPADO]]/Tabla3[[#This Row],[CAPACIDAD]]</f>
        <v>0.32142857142857145</v>
      </c>
      <c r="K127" t="s">
        <v>59</v>
      </c>
      <c r="L127">
        <f>+Tabla3[[#This Row],[VACIO]]*29.38</f>
        <v>558.22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13</v>
      </c>
      <c r="H128">
        <f t="shared" si="1"/>
        <v>17</v>
      </c>
      <c r="I128">
        <v>30</v>
      </c>
      <c r="J128" s="6">
        <f>+Tabla3[[#This Row],[OCUPADO]]/Tabla3[[#This Row],[CAPACIDAD]]</f>
        <v>0.56666666666666665</v>
      </c>
      <c r="K128" t="s">
        <v>59</v>
      </c>
      <c r="L128">
        <f>+Tabla3[[#This Row],[VACIO]]*29.38</f>
        <v>381.94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8</v>
      </c>
      <c r="H129">
        <f t="shared" si="1"/>
        <v>84</v>
      </c>
      <c r="I129">
        <v>92</v>
      </c>
      <c r="J129" s="6">
        <f>+Tabla3[[#This Row],[OCUPADO]]/Tabla3[[#This Row],[CAPACIDAD]]</f>
        <v>0.91304347826086951</v>
      </c>
      <c r="K129" t="s">
        <v>59</v>
      </c>
      <c r="L129">
        <f>+Tabla3[[#This Row],[VACIO]]*29.38</f>
        <v>235.04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22</v>
      </c>
      <c r="H130">
        <f t="shared" si="1"/>
        <v>6</v>
      </c>
      <c r="I130">
        <v>28</v>
      </c>
      <c r="J130" s="6">
        <f>+Tabla3[[#This Row],[OCUPADO]]/Tabla3[[#This Row],[CAPACIDAD]]</f>
        <v>0.21428571428571427</v>
      </c>
      <c r="K130" t="s">
        <v>59</v>
      </c>
      <c r="L130">
        <f>+Tabla3[[#This Row],[VACIO]]*29.38</f>
        <v>646.36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16</v>
      </c>
      <c r="H131">
        <f t="shared" si="1"/>
        <v>14</v>
      </c>
      <c r="I131">
        <v>30</v>
      </c>
      <c r="J131" s="6">
        <f>+Tabla3[[#This Row],[OCUPADO]]/Tabla3[[#This Row],[CAPACIDAD]]</f>
        <v>0.46666666666666667</v>
      </c>
      <c r="K131" t="s">
        <v>59</v>
      </c>
      <c r="L131">
        <f>+Tabla3[[#This Row],[VACIO]]*29.38</f>
        <v>470.08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22</v>
      </c>
      <c r="H132">
        <f t="shared" si="1"/>
        <v>149</v>
      </c>
      <c r="I132">
        <v>171</v>
      </c>
      <c r="J132" s="6">
        <f>+Tabla3[[#This Row],[OCUPADO]]/Tabla3[[#This Row],[CAPACIDAD]]</f>
        <v>0.87134502923976609</v>
      </c>
      <c r="K132" t="s">
        <v>60</v>
      </c>
      <c r="L132">
        <f>+Tabla3[[#This Row],[VACIO]]*29.38</f>
        <v>646.36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11</v>
      </c>
      <c r="H133">
        <f t="shared" si="1"/>
        <v>130</v>
      </c>
      <c r="I133">
        <v>141</v>
      </c>
      <c r="J133" s="6">
        <f>+Tabla3[[#This Row],[OCUPADO]]/Tabla3[[#This Row],[CAPACIDAD]]</f>
        <v>0.92198581560283688</v>
      </c>
      <c r="K133" t="s">
        <v>60</v>
      </c>
      <c r="L133">
        <f>+Tabla3[[#This Row],[VACIO]]*29.38</f>
        <v>323.18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0</v>
      </c>
      <c r="H134">
        <f t="shared" si="1"/>
        <v>29</v>
      </c>
      <c r="I134">
        <v>29</v>
      </c>
      <c r="J134" s="6">
        <f>+Tabla3[[#This Row],[OCUPADO]]/Tabla3[[#This Row],[CAPACIDAD]]</f>
        <v>1</v>
      </c>
      <c r="K134" t="s">
        <v>60</v>
      </c>
      <c r="L134">
        <f>+Tabla3[[#This Row],[VACIO]]*29.38</f>
        <v>0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25</v>
      </c>
      <c r="H135">
        <f t="shared" si="1"/>
        <v>101</v>
      </c>
      <c r="I135">
        <v>126</v>
      </c>
      <c r="J135" s="6">
        <f>+Tabla3[[#This Row],[OCUPADO]]/Tabla3[[#This Row],[CAPACIDAD]]</f>
        <v>0.80158730158730163</v>
      </c>
      <c r="K135" t="s">
        <v>61</v>
      </c>
      <c r="L135">
        <f>+Tabla3[[#This Row],[VACIO]]*29.38</f>
        <v>734.5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12</v>
      </c>
      <c r="H136">
        <f t="shared" si="1"/>
        <v>14</v>
      </c>
      <c r="I136">
        <v>26</v>
      </c>
      <c r="J136" s="6">
        <f>+Tabla3[[#This Row],[OCUPADO]]/Tabla3[[#This Row],[CAPACIDAD]]</f>
        <v>0.53846153846153844</v>
      </c>
      <c r="K136" t="s">
        <v>61</v>
      </c>
      <c r="L136">
        <f>+Tabla3[[#This Row],[VACIO]]*29.38</f>
        <v>352.56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13</v>
      </c>
      <c r="H137">
        <f t="shared" si="1"/>
        <v>102</v>
      </c>
      <c r="I137">
        <v>115</v>
      </c>
      <c r="J137" s="6">
        <f>+Tabla3[[#This Row],[OCUPADO]]/Tabla3[[#This Row],[CAPACIDAD]]</f>
        <v>0.88695652173913042</v>
      </c>
      <c r="K137" t="s">
        <v>61</v>
      </c>
      <c r="L137">
        <f>+Tabla3[[#This Row],[VACIO]]*29.38</f>
        <v>381.94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20</v>
      </c>
      <c r="H138">
        <f t="shared" si="1"/>
        <v>8</v>
      </c>
      <c r="I138">
        <v>28</v>
      </c>
      <c r="J138" s="6">
        <f>+Tabla3[[#This Row],[OCUPADO]]/Tabla3[[#This Row],[CAPACIDAD]]</f>
        <v>0.2857142857142857</v>
      </c>
      <c r="K138" t="s">
        <v>61</v>
      </c>
      <c r="L138">
        <f>+Tabla3[[#This Row],[VACIO]]*29.38</f>
        <v>587.6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20</v>
      </c>
      <c r="H139">
        <f t="shared" si="1"/>
        <v>92</v>
      </c>
      <c r="I139">
        <v>112</v>
      </c>
      <c r="J139" s="6">
        <f>+Tabla3[[#This Row],[OCUPADO]]/Tabla3[[#This Row],[CAPACIDAD]]</f>
        <v>0.8214285714285714</v>
      </c>
      <c r="K139" t="s">
        <v>61</v>
      </c>
      <c r="L139">
        <f>+Tabla3[[#This Row],[VACIO]]*29.38</f>
        <v>587.6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12</v>
      </c>
      <c r="H140">
        <f t="shared" si="1"/>
        <v>16</v>
      </c>
      <c r="I140">
        <v>28</v>
      </c>
      <c r="J140" s="6">
        <f>+Tabla3[[#This Row],[OCUPADO]]/Tabla3[[#This Row],[CAPACIDAD]]</f>
        <v>0.5714285714285714</v>
      </c>
      <c r="K140" t="s">
        <v>61</v>
      </c>
      <c r="L140">
        <f>+Tabla3[[#This Row],[VACIO]]*29.38</f>
        <v>352.56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20</v>
      </c>
      <c r="H141">
        <f t="shared" ref="H141:H204" si="3">+I141-G141</f>
        <v>171</v>
      </c>
      <c r="I141">
        <v>191</v>
      </c>
      <c r="J141" s="6">
        <f>+Tabla3[[#This Row],[OCUPADO]]/Tabla3[[#This Row],[CAPACIDAD]]</f>
        <v>0.89528795811518325</v>
      </c>
      <c r="K141" t="s">
        <v>61</v>
      </c>
      <c r="L141">
        <f>+Tabla3[[#This Row],[VACIO]]*29.38</f>
        <v>587.6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7</v>
      </c>
      <c r="H142">
        <f t="shared" si="3"/>
        <v>25</v>
      </c>
      <c r="I142">
        <v>32</v>
      </c>
      <c r="J142" s="6">
        <f>+Tabla3[[#This Row],[OCUPADO]]/Tabla3[[#This Row],[CAPACIDAD]]</f>
        <v>0.78125</v>
      </c>
      <c r="K142" t="s">
        <v>61</v>
      </c>
      <c r="L142">
        <f>+Tabla3[[#This Row],[VACIO]]*29.38</f>
        <v>205.66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26</v>
      </c>
      <c r="H143">
        <f t="shared" si="3"/>
        <v>91</v>
      </c>
      <c r="I143">
        <v>117</v>
      </c>
      <c r="J143" s="6">
        <f>+Tabla3[[#This Row],[OCUPADO]]/Tabla3[[#This Row],[CAPACIDAD]]</f>
        <v>0.77777777777777779</v>
      </c>
      <c r="K143" t="s">
        <v>62</v>
      </c>
      <c r="L143">
        <f>+Tabla3[[#This Row],[VACIO]]*29.38</f>
        <v>763.88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8</v>
      </c>
      <c r="H144">
        <f t="shared" si="3"/>
        <v>20</v>
      </c>
      <c r="I144">
        <v>28</v>
      </c>
      <c r="J144" s="6">
        <f>+Tabla3[[#This Row],[OCUPADO]]/Tabla3[[#This Row],[CAPACIDAD]]</f>
        <v>0.7142857142857143</v>
      </c>
      <c r="K144" t="s">
        <v>62</v>
      </c>
      <c r="L144">
        <f>+Tabla3[[#This Row],[VACIO]]*29.38</f>
        <v>235.04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27</v>
      </c>
      <c r="H145">
        <f t="shared" si="3"/>
        <v>83</v>
      </c>
      <c r="I145">
        <v>110</v>
      </c>
      <c r="J145" s="6">
        <f>+Tabla3[[#This Row],[OCUPADO]]/Tabla3[[#This Row],[CAPACIDAD]]</f>
        <v>0.75454545454545452</v>
      </c>
      <c r="K145" t="s">
        <v>62</v>
      </c>
      <c r="L145">
        <f>+Tabla3[[#This Row],[VACIO]]*29.38</f>
        <v>793.26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15</v>
      </c>
      <c r="H146">
        <f t="shared" si="3"/>
        <v>14</v>
      </c>
      <c r="I146">
        <v>29</v>
      </c>
      <c r="J146" s="6">
        <f>+Tabla3[[#This Row],[OCUPADO]]/Tabla3[[#This Row],[CAPACIDAD]]</f>
        <v>0.48275862068965519</v>
      </c>
      <c r="K146" t="s">
        <v>62</v>
      </c>
      <c r="L146">
        <f>+Tabla3[[#This Row],[VACIO]]*29.38</f>
        <v>440.7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32</v>
      </c>
      <c r="H147">
        <f t="shared" si="3"/>
        <v>75</v>
      </c>
      <c r="I147">
        <v>107</v>
      </c>
      <c r="J147" s="6">
        <f>+Tabla3[[#This Row],[OCUPADO]]/Tabla3[[#This Row],[CAPACIDAD]]</f>
        <v>0.7009345794392523</v>
      </c>
      <c r="K147" t="s">
        <v>63</v>
      </c>
      <c r="L147">
        <f>+Tabla3[[#This Row],[VACIO]]*29.38</f>
        <v>940.16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5</v>
      </c>
      <c r="H148">
        <f t="shared" si="3"/>
        <v>24</v>
      </c>
      <c r="I148">
        <v>29</v>
      </c>
      <c r="J148" s="6">
        <f>+Tabla3[[#This Row],[OCUPADO]]/Tabla3[[#This Row],[CAPACIDAD]]</f>
        <v>0.82758620689655171</v>
      </c>
      <c r="K148" t="s">
        <v>63</v>
      </c>
      <c r="L148">
        <f>+Tabla3[[#This Row],[VACIO]]*29.38</f>
        <v>146.9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35</v>
      </c>
      <c r="H149">
        <f t="shared" si="3"/>
        <v>81</v>
      </c>
      <c r="I149">
        <v>116</v>
      </c>
      <c r="J149" s="6">
        <f>+Tabla3[[#This Row],[OCUPADO]]/Tabla3[[#This Row],[CAPACIDAD]]</f>
        <v>0.69827586206896552</v>
      </c>
      <c r="K149" t="s">
        <v>63</v>
      </c>
      <c r="L149">
        <f>+Tabla3[[#This Row],[VACIO]]*29.38</f>
        <v>1028.3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7</v>
      </c>
      <c r="H150">
        <f t="shared" si="3"/>
        <v>22</v>
      </c>
      <c r="I150">
        <v>29</v>
      </c>
      <c r="J150" s="6">
        <f>+Tabla3[[#This Row],[OCUPADO]]/Tabla3[[#This Row],[CAPACIDAD]]</f>
        <v>0.75862068965517238</v>
      </c>
      <c r="K150" t="s">
        <v>63</v>
      </c>
      <c r="L150">
        <f>+Tabla3[[#This Row],[VACIO]]*29.38</f>
        <v>205.66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11</v>
      </c>
      <c r="H151">
        <f t="shared" si="3"/>
        <v>96</v>
      </c>
      <c r="I151">
        <v>107</v>
      </c>
      <c r="J151" s="6">
        <f>+Tabla3[[#This Row],[OCUPADO]]/Tabla3[[#This Row],[CAPACIDAD]]</f>
        <v>0.89719626168224298</v>
      </c>
      <c r="K151" t="s">
        <v>64</v>
      </c>
      <c r="L151">
        <f>+Tabla3[[#This Row],[VACIO]]*29.38</f>
        <v>323.18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2</v>
      </c>
      <c r="H152">
        <f t="shared" si="3"/>
        <v>27</v>
      </c>
      <c r="I152">
        <v>29</v>
      </c>
      <c r="J152" s="6">
        <f>+Tabla3[[#This Row],[OCUPADO]]/Tabla3[[#This Row],[CAPACIDAD]]</f>
        <v>0.93103448275862066</v>
      </c>
      <c r="K152" t="s">
        <v>64</v>
      </c>
      <c r="L152">
        <f>+Tabla3[[#This Row],[VACIO]]*29.38</f>
        <v>58.76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44</v>
      </c>
      <c r="H153">
        <f t="shared" si="3"/>
        <v>66</v>
      </c>
      <c r="I153">
        <v>110</v>
      </c>
      <c r="J153" s="6">
        <f>+Tabla3[[#This Row],[OCUPADO]]/Tabla3[[#This Row],[CAPACIDAD]]</f>
        <v>0.6</v>
      </c>
      <c r="K153" t="s">
        <v>64</v>
      </c>
      <c r="L153">
        <f>+Tabla3[[#This Row],[VACIO]]*29.38</f>
        <v>1292.72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13</v>
      </c>
      <c r="H154">
        <f t="shared" si="3"/>
        <v>16</v>
      </c>
      <c r="I154">
        <v>29</v>
      </c>
      <c r="J154" s="6">
        <f>+Tabla3[[#This Row],[OCUPADO]]/Tabla3[[#This Row],[CAPACIDAD]]</f>
        <v>0.55172413793103448</v>
      </c>
      <c r="K154" t="s">
        <v>64</v>
      </c>
      <c r="L154">
        <f>+Tabla3[[#This Row],[VACIO]]*29.38</f>
        <v>381.94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110</v>
      </c>
      <c r="H155">
        <f t="shared" si="3"/>
        <v>0</v>
      </c>
      <c r="I155">
        <v>110</v>
      </c>
      <c r="J155" s="6">
        <f>+Tabla3[[#This Row],[OCUPADO]]/Tabla3[[#This Row],[CAPACIDAD]]</f>
        <v>0</v>
      </c>
      <c r="K155" t="s">
        <v>65</v>
      </c>
      <c r="L155">
        <f>+Tabla3[[#This Row],[VACIO]]*29.38</f>
        <v>3231.7999999999997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46</v>
      </c>
      <c r="H159">
        <f t="shared" si="3"/>
        <v>75</v>
      </c>
      <c r="I159">
        <v>121</v>
      </c>
      <c r="J159" s="6">
        <f>+Tabla3[[#This Row],[OCUPADO]]/Tabla3[[#This Row],[CAPACIDAD]]</f>
        <v>0.6198347107438017</v>
      </c>
      <c r="K159" t="s">
        <v>65</v>
      </c>
      <c r="L159">
        <f>+Tabla3[[#This Row],[VACIO]]*29.38</f>
        <v>1351.48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62</v>
      </c>
      <c r="H160">
        <f t="shared" si="3"/>
        <v>134</v>
      </c>
      <c r="I160">
        <v>196</v>
      </c>
      <c r="J160" s="6">
        <f>+Tabla3[[#This Row],[OCUPADO]]/Tabla3[[#This Row],[CAPACIDAD]]</f>
        <v>0.68367346938775508</v>
      </c>
      <c r="K160" t="s">
        <v>65</v>
      </c>
      <c r="L160">
        <f>+Tabla3[[#This Row],[VACIO]]*29.38</f>
        <v>1821.56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36</v>
      </c>
      <c r="H162">
        <f t="shared" si="3"/>
        <v>-2</v>
      </c>
      <c r="I162">
        <v>34</v>
      </c>
      <c r="J162" s="6">
        <f>+Tabla3[[#This Row],[OCUPADO]]/Tabla3[[#This Row],[CAPACIDAD]]</f>
        <v>-5.8823529411764705E-2</v>
      </c>
      <c r="K162" t="s">
        <v>65</v>
      </c>
      <c r="L162">
        <f>+Tabla3[[#This Row],[VACIO]]*29.38</f>
        <v>1057.68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149</v>
      </c>
      <c r="H163">
        <f t="shared" si="3"/>
        <v>21</v>
      </c>
      <c r="I163">
        <v>170</v>
      </c>
      <c r="J163" s="6">
        <f>+Tabla3[[#This Row],[OCUPADO]]/Tabla3[[#This Row],[CAPACIDAD]]</f>
        <v>0.12352941176470589</v>
      </c>
      <c r="K163" t="s">
        <v>65</v>
      </c>
      <c r="L163">
        <f>+Tabla3[[#This Row],[VACIO]]*29.38</f>
        <v>4377.62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36</v>
      </c>
      <c r="H164">
        <f t="shared" si="3"/>
        <v>8</v>
      </c>
      <c r="I164">
        <v>44</v>
      </c>
      <c r="J164" s="6">
        <f>+Tabla3[[#This Row],[OCUPADO]]/Tabla3[[#This Row],[CAPACIDAD]]</f>
        <v>0.18181818181818182</v>
      </c>
      <c r="K164" t="s">
        <v>65</v>
      </c>
      <c r="L164">
        <f>+Tabla3[[#This Row],[VACIO]]*29.38</f>
        <v>1057.68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138</v>
      </c>
      <c r="H165">
        <f t="shared" si="3"/>
        <v>29</v>
      </c>
      <c r="I165">
        <v>167</v>
      </c>
      <c r="J165" s="6">
        <f>+Tabla3[[#This Row],[OCUPADO]]/Tabla3[[#This Row],[CAPACIDAD]]</f>
        <v>0.17365269461077845</v>
      </c>
      <c r="K165" t="s">
        <v>65</v>
      </c>
      <c r="L165">
        <f>+Tabla3[[#This Row],[VACIO]]*29.38</f>
        <v>4054.44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35</v>
      </c>
      <c r="H166">
        <f t="shared" si="3"/>
        <v>9</v>
      </c>
      <c r="I166">
        <v>44</v>
      </c>
      <c r="J166" s="6">
        <f>+Tabla3[[#This Row],[OCUPADO]]/Tabla3[[#This Row],[CAPACIDAD]]</f>
        <v>0.20454545454545456</v>
      </c>
      <c r="K166" t="s">
        <v>65</v>
      </c>
      <c r="L166">
        <f>+Tabla3[[#This Row],[VACIO]]*29.38</f>
        <v>1028.3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39</v>
      </c>
      <c r="H167">
        <f t="shared" si="3"/>
        <v>52</v>
      </c>
      <c r="I167">
        <v>91</v>
      </c>
      <c r="J167" s="6">
        <f>+Tabla3[[#This Row],[OCUPADO]]/Tabla3[[#This Row],[CAPACIDAD]]</f>
        <v>0.5714285714285714</v>
      </c>
      <c r="K167" t="s">
        <v>65</v>
      </c>
      <c r="L167">
        <f>+Tabla3[[#This Row],[VACIO]]*29.38</f>
        <v>1145.82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151</v>
      </c>
      <c r="H168">
        <f t="shared" si="3"/>
        <v>1</v>
      </c>
      <c r="I168">
        <v>152</v>
      </c>
      <c r="J168" s="6">
        <f>+Tabla3[[#This Row],[OCUPADO]]/Tabla3[[#This Row],[CAPACIDAD]]</f>
        <v>6.5789473684210523E-3</v>
      </c>
      <c r="K168" t="s">
        <v>65</v>
      </c>
      <c r="L168">
        <f>+Tabla3[[#This Row],[VACIO]]*29.38</f>
        <v>4436.38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114</v>
      </c>
      <c r="H169">
        <f t="shared" si="3"/>
        <v>42</v>
      </c>
      <c r="I169">
        <v>156</v>
      </c>
      <c r="J169" s="6">
        <f>+Tabla3[[#This Row],[OCUPADO]]/Tabla3[[#This Row],[CAPACIDAD]]</f>
        <v>0.26923076923076922</v>
      </c>
      <c r="K169" t="s">
        <v>65</v>
      </c>
      <c r="L169">
        <f>+Tabla3[[#This Row],[VACIO]]*29.38</f>
        <v>3349.3199999999997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>
        <v>38</v>
      </c>
      <c r="H170">
        <f t="shared" si="3"/>
        <v>4</v>
      </c>
      <c r="I170">
        <v>42</v>
      </c>
      <c r="J170" s="6">
        <f>+Tabla3[[#This Row],[OCUPADO]]/Tabla3[[#This Row],[CAPACIDAD]]</f>
        <v>9.5238095238095233E-2</v>
      </c>
      <c r="K170" t="s">
        <v>65</v>
      </c>
      <c r="L170">
        <f>+Tabla3[[#This Row],[VACIO]]*29.38</f>
        <v>1116.44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32</v>
      </c>
      <c r="H174">
        <f t="shared" si="3"/>
        <v>46</v>
      </c>
      <c r="I174">
        <v>78</v>
      </c>
      <c r="J174" s="6">
        <f>+Tabla3[[#This Row],[OCUPADO]]/Tabla3[[#This Row],[CAPACIDAD]]</f>
        <v>0.58974358974358976</v>
      </c>
      <c r="K174" t="s">
        <v>67</v>
      </c>
      <c r="L174">
        <f>+Tabla3[[#This Row],[VACIO]]*29.38</f>
        <v>940.16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6</v>
      </c>
      <c r="H175">
        <f t="shared" si="3"/>
        <v>64</v>
      </c>
      <c r="I175">
        <v>70</v>
      </c>
      <c r="J175" s="6">
        <f>+Tabla3[[#This Row],[OCUPADO]]/Tabla3[[#This Row],[CAPACIDAD]]</f>
        <v>0.91428571428571426</v>
      </c>
      <c r="K175" t="s">
        <v>68</v>
      </c>
      <c r="L175">
        <f>+Tabla3[[#This Row],[VACIO]]*29.38</f>
        <v>176.28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37</v>
      </c>
      <c r="H176">
        <f t="shared" si="3"/>
        <v>103</v>
      </c>
      <c r="I176">
        <v>140</v>
      </c>
      <c r="J176" s="6">
        <f>+Tabla3[[#This Row],[OCUPADO]]/Tabla3[[#This Row],[CAPACIDAD]]</f>
        <v>0.73571428571428577</v>
      </c>
      <c r="K176" t="s">
        <v>68</v>
      </c>
      <c r="L176">
        <f>+Tabla3[[#This Row],[VACIO]]*29.38</f>
        <v>1087.06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26</v>
      </c>
      <c r="H177">
        <f t="shared" si="3"/>
        <v>10</v>
      </c>
      <c r="I177">
        <v>36</v>
      </c>
      <c r="J177" s="6">
        <f>+Tabla3[[#This Row],[OCUPADO]]/Tabla3[[#This Row],[CAPACIDAD]]</f>
        <v>0.27777777777777779</v>
      </c>
      <c r="K177" t="s">
        <v>67</v>
      </c>
      <c r="L177">
        <f>+Tabla3[[#This Row],[VACIO]]*29.38</f>
        <v>763.88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14</v>
      </c>
      <c r="H178">
        <f t="shared" si="3"/>
        <v>58</v>
      </c>
      <c r="I178">
        <v>72</v>
      </c>
      <c r="J178" s="6">
        <f>+Tabla3[[#This Row],[OCUPADO]]/Tabla3[[#This Row],[CAPACIDAD]]</f>
        <v>0.80555555555555558</v>
      </c>
      <c r="K178" t="s">
        <v>68</v>
      </c>
      <c r="L178">
        <f>+Tabla3[[#This Row],[VACIO]]*29.38</f>
        <v>411.32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41</v>
      </c>
      <c r="H179">
        <f t="shared" si="3"/>
        <v>95</v>
      </c>
      <c r="I179">
        <v>136</v>
      </c>
      <c r="J179" s="6">
        <f>+Tabla3[[#This Row],[OCUPADO]]/Tabla3[[#This Row],[CAPACIDAD]]</f>
        <v>0.69852941176470584</v>
      </c>
      <c r="K179" t="s">
        <v>68</v>
      </c>
      <c r="L179">
        <f>+Tabla3[[#This Row],[VACIO]]*29.38</f>
        <v>1204.58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25</v>
      </c>
      <c r="H181">
        <f t="shared" si="3"/>
        <v>47</v>
      </c>
      <c r="I181">
        <v>72</v>
      </c>
      <c r="J181" s="6">
        <f>+Tabla3[[#This Row],[OCUPADO]]/Tabla3[[#This Row],[CAPACIDAD]]</f>
        <v>0.65277777777777779</v>
      </c>
      <c r="K181" t="s">
        <v>68</v>
      </c>
      <c r="L181">
        <f>+Tabla3[[#This Row],[VACIO]]*29.38</f>
        <v>734.5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43</v>
      </c>
      <c r="H182">
        <f t="shared" si="3"/>
        <v>93</v>
      </c>
      <c r="I182">
        <v>136</v>
      </c>
      <c r="J182" s="6">
        <f>+Tabla3[[#This Row],[OCUPADO]]/Tabla3[[#This Row],[CAPACIDAD]]</f>
        <v>0.68382352941176472</v>
      </c>
      <c r="K182" t="s">
        <v>68</v>
      </c>
      <c r="L182">
        <f>+Tabla3[[#This Row],[VACIO]]*29.38</f>
        <v>1263.3399999999999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34</v>
      </c>
      <c r="H183">
        <f t="shared" si="3"/>
        <v>2</v>
      </c>
      <c r="I183">
        <v>36</v>
      </c>
      <c r="J183" s="6">
        <f>+Tabla3[[#This Row],[OCUPADO]]/Tabla3[[#This Row],[CAPACIDAD]]</f>
        <v>5.5555555555555552E-2</v>
      </c>
      <c r="K183" t="s">
        <v>67</v>
      </c>
      <c r="L183">
        <f>+Tabla3[[#This Row],[VACIO]]*29.38</f>
        <v>998.92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34</v>
      </c>
      <c r="H184">
        <f t="shared" si="3"/>
        <v>38</v>
      </c>
      <c r="I184">
        <v>72</v>
      </c>
      <c r="J184" s="6">
        <f>+Tabla3[[#This Row],[OCUPADO]]/Tabla3[[#This Row],[CAPACIDAD]]</f>
        <v>0.52777777777777779</v>
      </c>
      <c r="K184" t="s">
        <v>68</v>
      </c>
      <c r="L184">
        <f>+Tabla3[[#This Row],[VACIO]]*29.38</f>
        <v>998.92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103</v>
      </c>
      <c r="H185">
        <f t="shared" si="3"/>
        <v>33</v>
      </c>
      <c r="I185">
        <v>136</v>
      </c>
      <c r="J185" s="6">
        <f>+Tabla3[[#This Row],[OCUPADO]]/Tabla3[[#This Row],[CAPACIDAD]]</f>
        <v>0.24264705882352941</v>
      </c>
      <c r="K185" t="s">
        <v>68</v>
      </c>
      <c r="L185">
        <f>+Tabla3[[#This Row],[VACIO]]*29.38</f>
        <v>3026.14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36</v>
      </c>
      <c r="H186">
        <f t="shared" si="3"/>
        <v>0</v>
      </c>
      <c r="I186">
        <v>36</v>
      </c>
      <c r="J186" s="6">
        <f>+Tabla3[[#This Row],[OCUPADO]]/Tabla3[[#This Row],[CAPACIDAD]]</f>
        <v>0</v>
      </c>
      <c r="K186" t="s">
        <v>68</v>
      </c>
      <c r="L186">
        <f>+Tabla3[[#This Row],[VACIO]]*29.38</f>
        <v>1057.68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86</v>
      </c>
      <c r="H187">
        <f t="shared" si="3"/>
        <v>22</v>
      </c>
      <c r="I187">
        <v>108</v>
      </c>
      <c r="J187" s="6">
        <f>+Tabla3[[#This Row],[OCUPADO]]/Tabla3[[#This Row],[CAPACIDAD]]</f>
        <v>0.20370370370370369</v>
      </c>
      <c r="K187" t="s">
        <v>68</v>
      </c>
      <c r="L187">
        <f>+Tabla3[[#This Row],[VACIO]]*29.38</f>
        <v>2526.6799999999998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22</v>
      </c>
      <c r="H188">
        <f t="shared" si="3"/>
        <v>86</v>
      </c>
      <c r="I188">
        <v>108</v>
      </c>
      <c r="J188" s="6">
        <f>+Tabla3[[#This Row],[OCUPADO]]/Tabla3[[#This Row],[CAPACIDAD]]</f>
        <v>0.79629629629629628</v>
      </c>
      <c r="K188" t="s">
        <v>68</v>
      </c>
      <c r="L188">
        <f>+Tabla3[[#This Row],[VACIO]]*29.38</f>
        <v>646.36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108</v>
      </c>
      <c r="H189">
        <f t="shared" si="3"/>
        <v>72</v>
      </c>
      <c r="I189">
        <v>180</v>
      </c>
      <c r="J189" s="6">
        <f>+Tabla3[[#This Row],[OCUPADO]]/Tabla3[[#This Row],[CAPACIDAD]]</f>
        <v>0.4</v>
      </c>
      <c r="K189" t="s">
        <v>68</v>
      </c>
      <c r="L189">
        <f>+Tabla3[[#This Row],[VACIO]]*29.38</f>
        <v>3173.04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</v>
      </c>
      <c r="H190">
        <f t="shared" si="3"/>
        <v>55</v>
      </c>
      <c r="I190">
        <v>56</v>
      </c>
      <c r="J190" s="6">
        <f>+Tabla3[[#This Row],[OCUPADO]]/Tabla3[[#This Row],[CAPACIDAD]]</f>
        <v>0.9821428571428571</v>
      </c>
      <c r="K190" t="s">
        <v>68</v>
      </c>
      <c r="L190">
        <f>+Tabla3[[#This Row],[VACIO]]*29.38</f>
        <v>29.38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47</v>
      </c>
      <c r="H192">
        <f t="shared" si="3"/>
        <v>133</v>
      </c>
      <c r="I192">
        <v>180</v>
      </c>
      <c r="J192" s="6">
        <f>+Tabla3[[#This Row],[OCUPADO]]/Tabla3[[#This Row],[CAPACIDAD]]</f>
        <v>0.73888888888888893</v>
      </c>
      <c r="K192" t="s">
        <v>67</v>
      </c>
      <c r="L192">
        <f>+Tabla3[[#This Row],[VACIO]]*29.38</f>
        <v>1380.86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27</v>
      </c>
      <c r="H193">
        <f t="shared" si="3"/>
        <v>77</v>
      </c>
      <c r="I193">
        <v>104</v>
      </c>
      <c r="J193" s="6">
        <f>+Tabla3[[#This Row],[OCUPADO]]/Tabla3[[#This Row],[CAPACIDAD]]</f>
        <v>0.74038461538461542</v>
      </c>
      <c r="K193" t="s">
        <v>67</v>
      </c>
      <c r="L193">
        <f>+Tabla3[[#This Row],[VACIO]]*29.38</f>
        <v>793.26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64</v>
      </c>
      <c r="H194">
        <f t="shared" si="3"/>
        <v>114</v>
      </c>
      <c r="I194">
        <v>178</v>
      </c>
      <c r="J194" s="6">
        <f>+Tabla3[[#This Row],[OCUPADO]]/Tabla3[[#This Row],[CAPACIDAD]]</f>
        <v>0.6404494382022472</v>
      </c>
      <c r="K194" t="s">
        <v>67</v>
      </c>
      <c r="L194">
        <f>+Tabla3[[#This Row],[VACIO]]*29.38</f>
        <v>1880.32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23</v>
      </c>
      <c r="H195">
        <f t="shared" si="3"/>
        <v>121</v>
      </c>
      <c r="I195">
        <v>144</v>
      </c>
      <c r="J195" s="6">
        <f>+Tabla3[[#This Row],[OCUPADO]]/Tabla3[[#This Row],[CAPACIDAD]]</f>
        <v>0.84027777777777779</v>
      </c>
      <c r="K195" t="s">
        <v>67</v>
      </c>
      <c r="L195">
        <f>+Tabla3[[#This Row],[VACIO]]*29.38</f>
        <v>675.74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30</v>
      </c>
      <c r="H196">
        <f t="shared" si="3"/>
        <v>150</v>
      </c>
      <c r="I196">
        <v>180</v>
      </c>
      <c r="J196" s="7">
        <f>+Tabla3[[#This Row],[OCUPADO]]/Tabla3[[#This Row],[CAPACIDAD]]</f>
        <v>0.83333333333333337</v>
      </c>
      <c r="K196" t="s">
        <v>67</v>
      </c>
      <c r="L196">
        <f>+Tabla3[[#This Row],[VACIO]]*29.38</f>
        <v>881.4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29</v>
      </c>
      <c r="H197">
        <f t="shared" si="3"/>
        <v>115</v>
      </c>
      <c r="I197">
        <v>144</v>
      </c>
      <c r="J197" s="7">
        <f>+Tabla3[[#This Row],[OCUPADO]]/Tabla3[[#This Row],[CAPACIDAD]]</f>
        <v>0.79861111111111116</v>
      </c>
      <c r="K197" t="s">
        <v>67</v>
      </c>
      <c r="L197">
        <f>+Tabla3[[#This Row],[VACIO]]*29.38</f>
        <v>852.02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54</v>
      </c>
      <c r="H198">
        <f t="shared" si="3"/>
        <v>162</v>
      </c>
      <c r="I198">
        <v>216</v>
      </c>
      <c r="J198" s="7">
        <f>+Tabla3[[#This Row],[OCUPADO]]/Tabla3[[#This Row],[CAPACIDAD]]</f>
        <v>0.75</v>
      </c>
      <c r="K198" t="s">
        <v>67</v>
      </c>
      <c r="L198">
        <f>+Tabla3[[#This Row],[VACIO]]*29.38</f>
        <v>1586.52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27</v>
      </c>
      <c r="H199">
        <f t="shared" si="3"/>
        <v>117</v>
      </c>
      <c r="I199">
        <v>144</v>
      </c>
      <c r="J199" s="7">
        <f>+Tabla3[[#This Row],[OCUPADO]]/Tabla3[[#This Row],[CAPACIDAD]]</f>
        <v>0.8125</v>
      </c>
      <c r="K199" t="s">
        <v>67</v>
      </c>
      <c r="L199">
        <f>+Tabla3[[#This Row],[VACIO]]*29.38</f>
        <v>793.26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59</v>
      </c>
      <c r="H200">
        <f t="shared" si="3"/>
        <v>157</v>
      </c>
      <c r="I200">
        <v>216</v>
      </c>
      <c r="J200" s="7">
        <f>+Tabla3[[#This Row],[OCUPADO]]/Tabla3[[#This Row],[CAPACIDAD]]</f>
        <v>0.72685185185185186</v>
      </c>
      <c r="K200" t="s">
        <v>67</v>
      </c>
      <c r="L200">
        <f>+Tabla3[[#This Row],[VACIO]]*29.38</f>
        <v>1733.4199999999998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68</v>
      </c>
      <c r="H201">
        <f t="shared" si="3"/>
        <v>148</v>
      </c>
      <c r="I201">
        <v>216</v>
      </c>
      <c r="J201" s="7">
        <f>+Tabla3[[#This Row],[OCUPADO]]/Tabla3[[#This Row],[CAPACIDAD]]</f>
        <v>0.68518518518518523</v>
      </c>
      <c r="K201" t="s">
        <v>67</v>
      </c>
      <c r="L201">
        <f>+Tabla3[[#This Row],[VACIO]]*29.38</f>
        <v>1997.84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40</v>
      </c>
      <c r="H202">
        <f t="shared" si="3"/>
        <v>176</v>
      </c>
      <c r="I202">
        <v>216</v>
      </c>
      <c r="J202" s="7">
        <f>+Tabla3[[#This Row],[OCUPADO]]/Tabla3[[#This Row],[CAPACIDAD]]</f>
        <v>0.81481481481481477</v>
      </c>
      <c r="K202" t="s">
        <v>69</v>
      </c>
      <c r="L202">
        <f>+Tabla3[[#This Row],[VACIO]]*29.38</f>
        <v>1175.2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51</v>
      </c>
      <c r="H203">
        <f t="shared" si="3"/>
        <v>165</v>
      </c>
      <c r="I203">
        <v>216</v>
      </c>
      <c r="J203" s="7">
        <f>+Tabla3[[#This Row],[OCUPADO]]/Tabla3[[#This Row],[CAPACIDAD]]</f>
        <v>0.76388888888888884</v>
      </c>
      <c r="K203" t="s">
        <v>69</v>
      </c>
      <c r="L203">
        <f>+Tabla3[[#This Row],[VACIO]]*29.38</f>
        <v>1498.3799999999999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9</v>
      </c>
      <c r="H204">
        <f t="shared" si="3"/>
        <v>207</v>
      </c>
      <c r="I204">
        <v>216</v>
      </c>
      <c r="J204" s="7">
        <f>+Tabla3[[#This Row],[OCUPADO]]/Tabla3[[#This Row],[CAPACIDAD]]</f>
        <v>0.95833333333333337</v>
      </c>
      <c r="K204" t="s">
        <v>69</v>
      </c>
      <c r="L204">
        <f>+Tabla3[[#This Row],[VACIO]]*29.38</f>
        <v>264.42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30</v>
      </c>
      <c r="H205">
        <f t="shared" ref="H205:H211" si="4">+I205-G205</f>
        <v>180</v>
      </c>
      <c r="I205">
        <v>210</v>
      </c>
      <c r="J205" s="7">
        <f>+Tabla3[[#This Row],[OCUPADO]]/Tabla3[[#This Row],[CAPACIDAD]]</f>
        <v>0.8571428571428571</v>
      </c>
      <c r="K205" t="s">
        <v>69</v>
      </c>
      <c r="L205">
        <f>+Tabla3[[#This Row],[VACIO]]*29.38</f>
        <v>881.4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10</v>
      </c>
      <c r="H206">
        <f t="shared" si="4"/>
        <v>200</v>
      </c>
      <c r="I206">
        <v>210</v>
      </c>
      <c r="J206" s="7">
        <f>+Tabla3[[#This Row],[OCUPADO]]/Tabla3[[#This Row],[CAPACIDAD]]</f>
        <v>0.95238095238095233</v>
      </c>
      <c r="K206" t="s">
        <v>69</v>
      </c>
      <c r="L206">
        <f>+Tabla3[[#This Row],[VACIO]]*29.38</f>
        <v>293.8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10</v>
      </c>
      <c r="H207">
        <f t="shared" si="4"/>
        <v>206</v>
      </c>
      <c r="I207">
        <v>216</v>
      </c>
      <c r="J207" s="7">
        <f>+Tabla3[[#This Row],[OCUPADO]]/Tabla3[[#This Row],[CAPACIDAD]]</f>
        <v>0.95370370370370372</v>
      </c>
      <c r="K207" t="s">
        <v>69</v>
      </c>
      <c r="L207">
        <f>+Tabla3[[#This Row],[VACIO]]*29.38</f>
        <v>293.8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41</v>
      </c>
      <c r="H208">
        <f t="shared" si="4"/>
        <v>169</v>
      </c>
      <c r="I208">
        <v>210</v>
      </c>
      <c r="J208" s="7">
        <f>+Tabla3[[#This Row],[OCUPADO]]/Tabla3[[#This Row],[CAPACIDAD]]</f>
        <v>0.80476190476190479</v>
      </c>
      <c r="K208" t="s">
        <v>69</v>
      </c>
      <c r="L208">
        <f>+Tabla3[[#This Row],[VACIO]]*29.38</f>
        <v>1204.58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77</v>
      </c>
      <c r="H209">
        <f t="shared" si="4"/>
        <v>139</v>
      </c>
      <c r="I209">
        <v>216</v>
      </c>
      <c r="J209" s="7">
        <f>+Tabla3[[#This Row],[OCUPADO]]/Tabla3[[#This Row],[CAPACIDAD]]</f>
        <v>0.64351851851851849</v>
      </c>
      <c r="K209" t="s">
        <v>69</v>
      </c>
      <c r="L209">
        <f>+Tabla3[[#This Row],[VACIO]]*29.38</f>
        <v>2262.2599999999998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89</v>
      </c>
      <c r="H210">
        <f t="shared" si="4"/>
        <v>103</v>
      </c>
      <c r="I210">
        <v>192</v>
      </c>
      <c r="J210" s="7">
        <f>+Tabla3[[#This Row],[OCUPADO]]/Tabla3[[#This Row],[CAPACIDAD]]</f>
        <v>0.53645833333333337</v>
      </c>
      <c r="K210" t="s">
        <v>69</v>
      </c>
      <c r="L210">
        <f>+Tabla3[[#This Row],[VACIO]]*29.38</f>
        <v>2614.8199999999997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64</v>
      </c>
      <c r="H211">
        <f t="shared" si="4"/>
        <v>76</v>
      </c>
      <c r="I211">
        <v>140</v>
      </c>
      <c r="J211" s="7">
        <f>+Tabla3[[#This Row],[OCUPADO]]/Tabla3[[#This Row],[CAPACIDAD]]</f>
        <v>0.54285714285714282</v>
      </c>
      <c r="K211" t="s">
        <v>69</v>
      </c>
      <c r="L211">
        <f>+Tabla3[[#This Row],[VACIO]]*29.38</f>
        <v>1880.32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108</v>
      </c>
      <c r="H212">
        <f>+I212-G212</f>
        <v>62</v>
      </c>
      <c r="I212">
        <v>170</v>
      </c>
      <c r="J212" s="7">
        <f>+Tabla3[[#This Row],[OCUPADO]]/Tabla3[[#This Row],[CAPACIDAD]]</f>
        <v>0.36470588235294116</v>
      </c>
      <c r="K212" t="s">
        <v>69</v>
      </c>
      <c r="L212">
        <f>+Tabla3[[#This Row],[VACIO]]*29.38</f>
        <v>3173.04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172</v>
      </c>
      <c r="H213">
        <f>+I213-G213</f>
        <v>28</v>
      </c>
      <c r="I213">
        <v>200</v>
      </c>
      <c r="J213" s="7">
        <f>+Tabla3[[#This Row],[OCUPADO]]/Tabla3[[#This Row],[CAPACIDAD]]</f>
        <v>0.14000000000000001</v>
      </c>
      <c r="K213" t="s">
        <v>69</v>
      </c>
      <c r="L213">
        <f>+Tabla3[[#This Row],[VACIO]]*29.38</f>
        <v>5053.3599999999997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110</v>
      </c>
      <c r="H214">
        <f>+I214-G214</f>
        <v>90</v>
      </c>
      <c r="I214">
        <v>200</v>
      </c>
      <c r="J214" s="7">
        <f>+Tabla3[[#This Row],[OCUPADO]]/Tabla3[[#This Row],[CAPACIDAD]]</f>
        <v>0.45</v>
      </c>
      <c r="K214" t="s">
        <v>69</v>
      </c>
      <c r="L214">
        <f>+Tabla3[[#This Row],[VACIO]]*29.38</f>
        <v>3231.7999999999997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57</v>
      </c>
      <c r="H215">
        <f>+I215-G215</f>
        <v>143</v>
      </c>
      <c r="I215">
        <v>200</v>
      </c>
      <c r="J215" s="7">
        <f>+Tabla3[[#This Row],[OCUPADO]]/Tabla3[[#This Row],[CAPACIDAD]]</f>
        <v>0.71499999999999997</v>
      </c>
      <c r="K215" t="s">
        <v>69</v>
      </c>
      <c r="L215">
        <f>+Tabla3[[#This Row],[VACIO]]*29.38</f>
        <v>1674.6599999999999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84</v>
      </c>
      <c r="H216">
        <f>+I216-G216</f>
        <v>120</v>
      </c>
      <c r="I216">
        <v>204</v>
      </c>
      <c r="J216" s="7">
        <f>+Tabla3[[#This Row],[OCUPADO]]/Tabla3[[#This Row],[CAPACIDAD]]</f>
        <v>0.58823529411764708</v>
      </c>
      <c r="K216" t="s">
        <v>69</v>
      </c>
      <c r="L216">
        <f>+Tabla3[[#This Row],[VACIO]]*29.38</f>
        <v>2467.92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75</v>
      </c>
      <c r="H217">
        <f t="shared" ref="H217:H220" si="5">+I217-G217</f>
        <v>125</v>
      </c>
      <c r="I217">
        <v>200</v>
      </c>
      <c r="J217" s="7">
        <f>+Tabla3[[#This Row],[OCUPADO]]/Tabla3[[#This Row],[CAPACIDAD]]</f>
        <v>0.625</v>
      </c>
      <c r="K217" t="s">
        <v>69</v>
      </c>
      <c r="L217">
        <f>+Tabla3[[#This Row],[VACIO]]*29.38</f>
        <v>2203.5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136</v>
      </c>
      <c r="H218">
        <f t="shared" si="5"/>
        <v>64</v>
      </c>
      <c r="I218">
        <v>200</v>
      </c>
      <c r="J218" s="7">
        <f>+Tabla3[[#This Row],[OCUPADO]]/Tabla3[[#This Row],[CAPACIDAD]]</f>
        <v>0.32</v>
      </c>
      <c r="K218" t="s">
        <v>69</v>
      </c>
      <c r="L218">
        <f>+Tabla3[[#This Row],[VACIO]]*29.38</f>
        <v>3995.68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12</v>
      </c>
      <c r="H219">
        <f t="shared" si="5"/>
        <v>84</v>
      </c>
      <c r="I219">
        <v>96</v>
      </c>
      <c r="J219" s="7">
        <f>+Tabla3[[#This Row],[OCUPADO]]/Tabla3[[#This Row],[CAPACIDAD]]</f>
        <v>0.875</v>
      </c>
      <c r="K219" t="s">
        <v>69</v>
      </c>
      <c r="L219">
        <f>+Tabla3[[#This Row],[VACIO]]*29.38</f>
        <v>352.56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23</v>
      </c>
      <c r="H220">
        <f t="shared" si="5"/>
        <v>81</v>
      </c>
      <c r="I220">
        <v>104</v>
      </c>
      <c r="J220" s="7">
        <f>+Tabla3[[#This Row],[OCUPADO]]/Tabla3[[#This Row],[CAPACIDAD]]</f>
        <v>0.77884615384615385</v>
      </c>
      <c r="K220" t="s">
        <v>69</v>
      </c>
      <c r="L220">
        <f>+Tabla3[[#This Row],[VACIO]]*29.38</f>
        <v>675.74</v>
      </c>
    </row>
    <row r="221" spans="2:12" ht="15" thickTop="1" x14ac:dyDescent="0.3">
      <c r="B221" s="13"/>
      <c r="J221" s="8"/>
      <c r="L221">
        <f>SUBTOTAL(109,Tabla3[PROYECCION BULTOS A RECIBIR])</f>
        <v>190617.43999999992</v>
      </c>
    </row>
  </sheetData>
  <mergeCells count="2">
    <mergeCell ref="G9:I9"/>
    <mergeCell ref="F2:J4"/>
  </mergeCells>
  <phoneticPr fontId="7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customXml/itemProps2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Esdras Ademir Ramirez Herrera</cp:lastModifiedBy>
  <dcterms:created xsi:type="dcterms:W3CDTF">2024-02-08T15:12:37Z</dcterms:created>
  <dcterms:modified xsi:type="dcterms:W3CDTF">2026-10-13T12:52:13Z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