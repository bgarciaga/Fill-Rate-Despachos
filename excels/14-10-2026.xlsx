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4-10-2026/"/>
    </mc:Choice>
  </mc:AlternateContent>
  <xr:revisionPtr revIDLastSave="0" documentId="8_{56113051-1D51-45B9-A53D-23657D3ECB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externalReferences>
    <externalReference r:id="rId2"/>
  </externalReferences>
  <definedNames>
    <definedName name="_xlnm._FilterDatabase" localSheetId="0" hidden="1">BULTOS!$A$2:$H$125</definedName>
  </definedNames>
  <calcPr calcId="191029"/>
</workbook>
</file>

<file path=xl/calcChain.xml><?xml version="1.0" encoding="utf-8"?>
<calcChain xmlns="http://schemas.openxmlformats.org/spreadsheetml/2006/main">
  <c r="D124" i="1" l="1"/>
  <c r="D125" i="1"/>
  <c r="C124" i="1"/>
  <c r="C125" i="1" s="1"/>
  <c r="E129" i="1" l="1"/>
</calcChain>
</file>

<file path=xl/sharedStrings.xml><?xml version="1.0" encoding="utf-8"?>
<sst xmlns="http://schemas.openxmlformats.org/spreadsheetml/2006/main" count="272" uniqueCount="139">
  <si>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</si>
  <si>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</si>
  <si>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</si>
  <si>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</si>
  <si>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</si>
  <si>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</si>
  <si>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</si>
  <si>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</si>
  <si>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</si>
  <si>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LTX CD RANSA</t>
  </si>
  <si>
    <t>LA TORRE PROCERES</t>
  </si>
  <si>
    <t>LA TORRE ZONA 14</t>
  </si>
  <si>
    <t>LA TORRE ZONA 11</t>
  </si>
  <si>
    <t>LA TORRE ZONA 10</t>
  </si>
  <si>
    <t>LA TORRE PORTALES</t>
  </si>
  <si>
    <t>LA TORRE JALAPA 3</t>
  </si>
  <si>
    <t>LA TORRE ZONA 15</t>
  </si>
  <si>
    <t>LA TORRE HUEHUETENANGO</t>
  </si>
  <si>
    <t>LA TORRE HUEHUETENANGO 2</t>
  </si>
  <si>
    <t>LA TORRE ESCUINTLA 2</t>
  </si>
  <si>
    <t>LA TORRE ESCUINTLA 3</t>
  </si>
  <si>
    <t>LA TORRE ESQUIPULAS</t>
  </si>
  <si>
    <t>LA TORRE CUATRO CAMINOS</t>
  </si>
  <si>
    <t>LA TORRE ENCINAL</t>
  </si>
  <si>
    <t>LA TORRE COATEPEQUE</t>
  </si>
  <si>
    <t>LA TORRE COBAN</t>
  </si>
  <si>
    <t>LA TORRE CHIQUIMULA</t>
  </si>
  <si>
    <t>LA TORRE LOS AMATES</t>
  </si>
  <si>
    <t>LA TORRE LINDAMAR</t>
  </si>
  <si>
    <t>LA TORRE LIKIN</t>
  </si>
  <si>
    <t>LA TORRE JUTIAPA</t>
  </si>
  <si>
    <t>LA TORRE MORALES</t>
  </si>
  <si>
    <t>LA TORRE MITA</t>
  </si>
  <si>
    <t>LA TORRE MILPAS ALTAS</t>
  </si>
  <si>
    <t>LA TORRE METROCENTRO</t>
  </si>
  <si>
    <t>LA TORRE PINARES</t>
  </si>
  <si>
    <t>LA TORRE PETAPOLIS</t>
  </si>
  <si>
    <t>LA TORRE PALMERAS</t>
  </si>
  <si>
    <t>LA TORRE PUERTO SAN JOSE</t>
  </si>
  <si>
    <t>LA TORRE PUERTO BARRIOS</t>
  </si>
  <si>
    <t>LA TORRE JALAPA</t>
  </si>
  <si>
    <t>LA TORRE QUICHE 2</t>
  </si>
  <si>
    <t>LA TORRE QUICHE</t>
  </si>
  <si>
    <t>LA TORRE RETALHULEU</t>
  </si>
  <si>
    <t>LA TORRE RIO DULCE</t>
  </si>
  <si>
    <t>LA TORRE CENTRO</t>
  </si>
  <si>
    <t>LA TORRE CHIMALTENANGO</t>
  </si>
  <si>
    <t>LA TORRE BOCA DEL MONTE</t>
  </si>
  <si>
    <t>LA TORRE PETAPA</t>
  </si>
  <si>
    <t>LA TORRE CARCHA</t>
  </si>
  <si>
    <t>LA TORRE CENTRICO Z5</t>
  </si>
  <si>
    <t>LA TORRE ATANACIO</t>
  </si>
  <si>
    <t>LA TORRE ANTIGUA 3</t>
  </si>
  <si>
    <t>LA TORRE BARBERENA</t>
  </si>
  <si>
    <t>ECONOSUPER MILPAS ALTAS</t>
  </si>
  <si>
    <t>ECONOSUPER LA BRIGADA</t>
  </si>
  <si>
    <t>ECONOSUPER NIMAJUYU</t>
  </si>
  <si>
    <t>ECONOSUPER LO DE FUENTES</t>
  </si>
  <si>
    <t>ECONOSUPER BOULEVARD SUR</t>
  </si>
  <si>
    <t>ECONO SUPER MAGNOLIA</t>
  </si>
  <si>
    <t>LA TORRE SALCAJA</t>
  </si>
  <si>
    <t>LA TORRE SALAMA</t>
  </si>
  <si>
    <t>LA TORRE SAN JUAN</t>
  </si>
  <si>
    <t>LA TORRE SAN IGNACIO</t>
  </si>
  <si>
    <t>LA TORRE SAN FRANCISCO</t>
  </si>
  <si>
    <t>LA TORRE SAN MIGUEL PETAPA 2</t>
  </si>
  <si>
    <t>LA TORRE SAN MIGUEL PETAPA</t>
  </si>
  <si>
    <t>LA TORRE SANARATE</t>
  </si>
  <si>
    <t>LA TORRE SAN RAFAEL</t>
  </si>
  <si>
    <t>LA TORRE SAN JOSE PINULA</t>
  </si>
  <si>
    <t>LA TORRE SANTALU</t>
  </si>
  <si>
    <t>LA TORRE SANTA LUCIA</t>
  </si>
  <si>
    <t>LA TORRE TECULUTAN</t>
  </si>
  <si>
    <t>LA TORRE TOTONICAPAN</t>
  </si>
  <si>
    <t>LA TORRE TRINIDAD</t>
  </si>
  <si>
    <t>LA TORRE TULAM TZU</t>
  </si>
  <si>
    <t>LA TORRE VILLA CANALES</t>
  </si>
  <si>
    <t>LA TORRE VILLA NUEVA</t>
  </si>
  <si>
    <t>LA TORRE VILLALOBOS</t>
  </si>
  <si>
    <t>ECONOSUPER XELA</t>
  </si>
  <si>
    <t>LA TORRE XELA 5</t>
  </si>
  <si>
    <t>LA TORRE XELA 3</t>
  </si>
  <si>
    <t>LA TORRE ZONA 16</t>
  </si>
  <si>
    <t>LA TORRE ZONA 3</t>
  </si>
  <si>
    <t>LA TORRE ZONA 4</t>
  </si>
  <si>
    <t>LA TORRE ZONA 5</t>
  </si>
  <si>
    <t>LT ANTIGUA 1</t>
  </si>
  <si>
    <t>LA TORRE SAN JOSE PINULA 2</t>
  </si>
  <si>
    <t>LT SAN JOSE PINULA 3</t>
  </si>
  <si>
    <t>LA TORRE VILLA HERMOSA</t>
  </si>
  <si>
    <t>LA TORRE ZONA 13 AMERICAS</t>
  </si>
  <si>
    <t>LA TORRE SAN LUCAS</t>
  </si>
  <si>
    <t>LA TORRE SAN NICOLAS</t>
  </si>
  <si>
    <t>LA TORRE SANKRIS</t>
  </si>
  <si>
    <t>LA TORRE REFORMA</t>
  </si>
  <si>
    <t>LA TORRE VISTA HERMOSA 1</t>
  </si>
  <si>
    <t>LA TORRE ROOSEVELT</t>
  </si>
  <si>
    <t>LA TORRE SAN CRISTOBAL</t>
  </si>
  <si>
    <t>LA TORRE SAN ISIDRO</t>
  </si>
  <si>
    <t>LA TORRE OAKLAND</t>
  </si>
  <si>
    <t>LA TORRE PALIN</t>
  </si>
  <si>
    <t>LA TORRE MIRAFLORES</t>
  </si>
  <si>
    <t>LA TORRE LA GOMERA</t>
  </si>
  <si>
    <t>LA TORRE MIXCO ZONA 1</t>
  </si>
  <si>
    <t>LA TORRE MUXBAL</t>
  </si>
  <si>
    <t>LA TORRE MADERO</t>
  </si>
  <si>
    <t>LA TORRE MARISCAL 2</t>
  </si>
  <si>
    <t>LA TORRE METRONORTE</t>
  </si>
  <si>
    <t>LA TORRE ESCALA</t>
  </si>
  <si>
    <t>LA TORRE FRAIJANES</t>
  </si>
  <si>
    <t>LA TORRE FUTECA Z14</t>
  </si>
  <si>
    <t>LA TORRE LA QUINTA</t>
  </si>
  <si>
    <t>LA TORRE LA RADIAL</t>
  </si>
  <si>
    <t>LA TORRE CENTRANORTE</t>
  </si>
  <si>
    <t>LA TORRE EL FRUTAL</t>
  </si>
  <si>
    <t>LA TORRE EL NARANJO</t>
  </si>
  <si>
    <t>LA TORRE EL RODEO</t>
  </si>
  <si>
    <t>LA TORRE BARCENAS</t>
  </si>
  <si>
    <t>LA TORRE CAYALA</t>
  </si>
  <si>
    <t>LA TORRE MARISCAL</t>
  </si>
  <si>
    <t>LA TORRE CAYALA 2</t>
  </si>
  <si>
    <t>LA TORRE AMATITLAN2</t>
  </si>
  <si>
    <t>LA TORRE ARRAZOLA</t>
  </si>
  <si>
    <t>LA TORRE AMATITLAN</t>
  </si>
  <si>
    <t>LA TORRE 20 CALLE</t>
  </si>
  <si>
    <t>ECONOSUPER ZONA 6</t>
  </si>
  <si>
    <t>ECONOSUPER ZONA 2</t>
  </si>
  <si>
    <t>LA TORRE POPTUN</t>
  </si>
  <si>
    <t>LA TORRE PETEN</t>
  </si>
  <si>
    <t>LA TORRE SAN BENITO</t>
  </si>
  <si>
    <t>TOTAL BULTOS</t>
  </si>
  <si>
    <t>BULTOS FUCIONADOS</t>
  </si>
  <si>
    <t>BULTOS PROCESADOS 13/10/2026</t>
  </si>
  <si>
    <t>local</t>
  </si>
  <si>
    <t>prioridad</t>
  </si>
  <si>
    <t>nocturna</t>
  </si>
  <si>
    <t>TIENDAS ELITE</t>
  </si>
  <si>
    <t>departamental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</si>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</sst>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Border="1"/>
    <xf numFmtId="3" fontId="5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Avance%20despachos%20unisuper%20bultos%20formato%20(12).xlsx" TargetMode="External"/><Relationship Id="rId1" Type="http://schemas.openxmlformats.org/officeDocument/2006/relationships/externalLinkPath" Target="file:///C:\Users\eramirezh\Downloads\Avance%20despachos%20unisuper%20bultos%20formato%20(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ance despachos unisuper bulto"/>
    </sheetNames>
    <sheetDataSet>
      <sheetData sheetId="0">
        <row r="5">
          <cell r="A5">
            <v>800982</v>
          </cell>
          <cell r="B5" t="str">
            <v xml:space="preserve">LA TORRE SAN JOSE PINULA 2              </v>
          </cell>
          <cell r="D5" t="str">
            <v>En preparación</v>
          </cell>
          <cell r="E5" t="str">
            <v>2026/10/14 10:26:11</v>
          </cell>
          <cell r="F5" t="str">
            <v>2026/10/14 08:18:23</v>
          </cell>
          <cell r="H5" t="str">
            <v xml:space="preserve">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" t="str">
            <v>BULTOS</v>
          </cell>
          <cell r="J5">
            <v>254</v>
          </cell>
          <cell r="K5">
            <v>10</v>
          </cell>
          <cell r="L5">
            <v>244</v>
          </cell>
        </row>
        <row r="6">
          <cell r="A6">
            <v>800961</v>
          </cell>
          <cell r="B6" t="str">
            <v>LA TORRE MARISCAL 2     EX-C</v>
          </cell>
          <cell r="D6" t="str">
            <v>En preparación</v>
          </cell>
          <cell r="E6" t="str">
            <v>2026/10/14 10:25:10</v>
          </cell>
          <cell r="F6" t="str">
            <v>2026/10/14 08:12:38</v>
          </cell>
          <cell r="H6" t="str">
            <v xml:space="preserve">|1659|1660|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" t="str">
            <v>BULTOS</v>
          </cell>
          <cell r="J6">
            <v>386</v>
          </cell>
          <cell r="K6">
            <v>9</v>
          </cell>
          <cell r="L6">
            <v>377</v>
          </cell>
        </row>
        <row r="7">
          <cell r="A7">
            <v>800975</v>
          </cell>
          <cell r="B7" t="str">
            <v>LA TORRE SAN LUCAS     EX-C</v>
          </cell>
          <cell r="D7" t="str">
            <v>En preparación</v>
          </cell>
          <cell r="E7" t="str">
            <v>2026/10/14 10:23:50</v>
          </cell>
          <cell r="F7" t="str">
            <v>2026/10/14 08:14:20</v>
          </cell>
          <cell r="H7" t="str">
            <v xml:space="preserve">|1657|1658|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" t="str">
            <v>BULTOS</v>
          </cell>
          <cell r="J7">
            <v>410</v>
          </cell>
          <cell r="K7">
            <v>18</v>
          </cell>
          <cell r="L7">
            <v>392</v>
          </cell>
        </row>
        <row r="8">
          <cell r="A8">
            <v>801057</v>
          </cell>
          <cell r="B8" t="str">
            <v xml:space="preserve">LA TORRE ZONA 15                        </v>
          </cell>
          <cell r="D8" t="str">
            <v>En preparación</v>
          </cell>
          <cell r="E8" t="str">
            <v>2026/10/14 10:07:10</v>
          </cell>
          <cell r="F8" t="str">
            <v>2026/10/14 09:57:48</v>
          </cell>
          <cell r="H8" t="str">
            <v xml:space="preserve">|1655|1656|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" t="str">
            <v>BULTOS</v>
          </cell>
          <cell r="J8">
            <v>436</v>
          </cell>
          <cell r="K8">
            <v>16</v>
          </cell>
          <cell r="L8">
            <v>420</v>
          </cell>
        </row>
        <row r="9">
          <cell r="A9">
            <v>800958</v>
          </cell>
          <cell r="B9" t="str">
            <v xml:space="preserve">LA TORRE FRAIJANES                      </v>
          </cell>
          <cell r="D9" t="str">
            <v>En preparación</v>
          </cell>
          <cell r="E9" t="str">
            <v>2026/10/14 10:05:12</v>
          </cell>
          <cell r="F9" t="str">
            <v>2026/10/14 08:12:14</v>
          </cell>
          <cell r="H9" t="str">
            <v xml:space="preserve">|1653|1654|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" t="str">
            <v>BULTOS</v>
          </cell>
          <cell r="J9">
            <v>428</v>
          </cell>
          <cell r="K9">
            <v>9</v>
          </cell>
          <cell r="L9">
            <v>419</v>
          </cell>
        </row>
        <row r="10">
          <cell r="A10">
            <v>800949</v>
          </cell>
          <cell r="B10" t="str">
            <v xml:space="preserve">LA TORRE CAYALA                         </v>
          </cell>
          <cell r="D10" t="str">
            <v>En preparación</v>
          </cell>
          <cell r="E10" t="str">
            <v>2026/10/14 10:03:44</v>
          </cell>
          <cell r="F10" t="str">
            <v>2026/10/14 08:11:15</v>
          </cell>
          <cell r="H10" t="str">
            <v xml:space="preserve">|1651|1652|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" t="str">
            <v>BULTOS</v>
          </cell>
          <cell r="J10">
            <v>430</v>
          </cell>
          <cell r="K10">
            <v>11</v>
          </cell>
          <cell r="L10">
            <v>419</v>
          </cell>
        </row>
        <row r="11">
          <cell r="A11">
            <v>800979</v>
          </cell>
          <cell r="B11" t="str">
            <v xml:space="preserve">LA TORRE VILLA HERMOSA                  </v>
          </cell>
          <cell r="D11" t="str">
            <v>En preparación</v>
          </cell>
          <cell r="E11" t="str">
            <v>2026/10/14 09:39:11</v>
          </cell>
          <cell r="F11" t="str">
            <v>2026/10/14 08:14:53</v>
          </cell>
          <cell r="H11" t="str">
            <v xml:space="preserve">|1649|1650|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" t="str">
            <v>BULTOS</v>
          </cell>
          <cell r="J11">
            <v>456</v>
          </cell>
          <cell r="K11">
            <v>12</v>
          </cell>
          <cell r="L11">
            <v>444</v>
          </cell>
        </row>
        <row r="12">
          <cell r="A12">
            <v>800974</v>
          </cell>
          <cell r="B12" t="str">
            <v xml:space="preserve">LA TORRE SAN NICOLAS                    </v>
          </cell>
          <cell r="D12" t="str">
            <v>En preparación</v>
          </cell>
          <cell r="E12" t="str">
            <v>2026/10/14 09:37:31</v>
          </cell>
          <cell r="F12" t="str">
            <v>2026/10/14 08:14:11</v>
          </cell>
          <cell r="H12" t="str">
            <v xml:space="preserve">|1647|1648|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" t="str">
            <v>BULTOS</v>
          </cell>
          <cell r="J12">
            <v>375</v>
          </cell>
          <cell r="K12">
            <v>4</v>
          </cell>
          <cell r="L12">
            <v>371</v>
          </cell>
        </row>
        <row r="13">
          <cell r="A13">
            <v>800954</v>
          </cell>
          <cell r="B13" t="str">
            <v xml:space="preserve">LA TORRE CENTRANORTE                    </v>
          </cell>
          <cell r="D13" t="str">
            <v>En preparación</v>
          </cell>
          <cell r="E13" t="str">
            <v>2026/10/14 09:11:33</v>
          </cell>
          <cell r="F13" t="str">
            <v>2026/10/14 08:11:50</v>
          </cell>
          <cell r="H13" t="str">
            <v xml:space="preserve">|1645|1646|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" t="str">
            <v>BULTOS</v>
          </cell>
          <cell r="J13">
            <v>388</v>
          </cell>
          <cell r="K13">
            <v>14</v>
          </cell>
          <cell r="L13">
            <v>374</v>
          </cell>
        </row>
        <row r="14">
          <cell r="A14">
            <v>800950</v>
          </cell>
          <cell r="B14" t="str">
            <v xml:space="preserve">LA TORRE BARCENAS                       </v>
          </cell>
          <cell r="D14" t="str">
            <v>En preparación</v>
          </cell>
          <cell r="E14" t="str">
            <v>2026/10/14 09:10:45</v>
          </cell>
          <cell r="F14" t="str">
            <v>2026/10/14 08:11:24</v>
          </cell>
          <cell r="H14" t="str">
            <v xml:space="preserve">|1643|1644|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" t="str">
            <v>BULTOS</v>
          </cell>
          <cell r="J14">
            <v>385</v>
          </cell>
          <cell r="K14">
            <v>10</v>
          </cell>
          <cell r="L14">
            <v>375</v>
          </cell>
        </row>
        <row r="15">
          <cell r="A15">
            <v>800941</v>
          </cell>
          <cell r="B15" t="str">
            <v xml:space="preserve">LA TORRE POPTUN                         </v>
          </cell>
          <cell r="D15" t="str">
            <v>En preparación</v>
          </cell>
          <cell r="E15" t="str">
            <v>2026/10/14 09:09:42</v>
          </cell>
          <cell r="F15" t="str">
            <v>2026/10/14 08:05:47</v>
          </cell>
          <cell r="H15" t="str">
            <v xml:space="preserve">|1640|1641|1642|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" t="str">
            <v>BULTOS</v>
          </cell>
          <cell r="J15">
            <v>582</v>
          </cell>
          <cell r="K15">
            <v>15</v>
          </cell>
          <cell r="L15">
            <v>567</v>
          </cell>
        </row>
        <row r="16">
          <cell r="A16">
            <v>800944</v>
          </cell>
          <cell r="B16" t="str">
            <v xml:space="preserve">LA TORRE 20 CALLE                       </v>
          </cell>
          <cell r="D16" t="str">
            <v>En preparación</v>
          </cell>
          <cell r="E16" t="str">
            <v>2026/10/14 09:02:40</v>
          </cell>
          <cell r="F16" t="str">
            <v>2026/10/14 08:10:39</v>
          </cell>
          <cell r="H16" t="str">
            <v xml:space="preserve">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" t="str">
            <v>BULTOS</v>
          </cell>
          <cell r="J16">
            <v>395</v>
          </cell>
          <cell r="K16">
            <v>18</v>
          </cell>
          <cell r="L16">
            <v>377</v>
          </cell>
        </row>
        <row r="17">
          <cell r="A17">
            <v>800959</v>
          </cell>
          <cell r="B17" t="str">
            <v xml:space="preserve">LA TORRE ESCALA                         </v>
          </cell>
          <cell r="D17" t="str">
            <v>En preparación</v>
          </cell>
          <cell r="E17" t="str">
            <v>2026/10/14 09:01:45</v>
          </cell>
          <cell r="F17" t="str">
            <v>2026/10/14 08:12:23</v>
          </cell>
          <cell r="H17" t="str">
            <v xml:space="preserve">|1513|1514|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" t="str">
            <v>BULTOS</v>
          </cell>
          <cell r="J17">
            <v>444</v>
          </cell>
          <cell r="K17">
            <v>12</v>
          </cell>
          <cell r="L17">
            <v>432</v>
          </cell>
        </row>
        <row r="18">
          <cell r="A18">
            <v>800940</v>
          </cell>
          <cell r="B18" t="str">
            <v xml:space="preserve">LA TORRE PETEN                          </v>
          </cell>
          <cell r="D18" t="str">
            <v>En preparación</v>
          </cell>
          <cell r="E18" t="str">
            <v>2026/10/14 08:59:59</v>
          </cell>
          <cell r="F18" t="str">
            <v>2026/10/14 08:05:32</v>
          </cell>
          <cell r="H18" t="str">
            <v xml:space="preserve">|1510|1511|1512|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" t="str">
            <v>BULTOS</v>
          </cell>
          <cell r="J18">
            <v>768</v>
          </cell>
          <cell r="K18">
            <v>42</v>
          </cell>
          <cell r="L18">
            <v>726</v>
          </cell>
        </row>
        <row r="19">
          <cell r="A19">
            <v>800957</v>
          </cell>
          <cell r="B19" t="str">
            <v xml:space="preserve">LA TORRE FUTECA Z14                     </v>
          </cell>
          <cell r="D19" t="str">
            <v>En preparación</v>
          </cell>
          <cell r="E19" t="str">
            <v>2026/10/14 08:59:00</v>
          </cell>
          <cell r="F19" t="str">
            <v>2026/10/14 08:12:08</v>
          </cell>
          <cell r="H19" t="str">
            <v xml:space="preserve">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9" t="str">
            <v>BULTOS</v>
          </cell>
          <cell r="J19">
            <v>349</v>
          </cell>
          <cell r="K19">
            <v>24</v>
          </cell>
          <cell r="L19">
            <v>325</v>
          </cell>
        </row>
        <row r="20">
          <cell r="A20">
            <v>800939</v>
          </cell>
          <cell r="B20" t="str">
            <v xml:space="preserve">LA TORRE SAN BENITO                     </v>
          </cell>
          <cell r="D20" t="str">
            <v>En preparación</v>
          </cell>
          <cell r="E20" t="str">
            <v>2026/10/14 08:58:09</v>
          </cell>
          <cell r="F20" t="str">
            <v>2026/10/14 08:05:15</v>
          </cell>
          <cell r="H20" t="str">
            <v xml:space="preserve">|1663|1664|1665|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0" t="str">
            <v>BULTOS</v>
          </cell>
          <cell r="J20">
            <v>809</v>
          </cell>
          <cell r="K20">
            <v>36</v>
          </cell>
          <cell r="L20">
            <v>773</v>
          </cell>
        </row>
        <row r="21">
          <cell r="A21">
            <v>800840</v>
          </cell>
          <cell r="B21" t="str">
            <v xml:space="preserve">ECONOSUPER LA BRIGADA                   </v>
          </cell>
          <cell r="D21" t="str">
            <v>Pendiente de Expedición</v>
          </cell>
          <cell r="E21" t="str">
            <v>2026/10/14 06:21:50</v>
          </cell>
          <cell r="F21" t="str">
            <v>2026/10/13 08:58:13</v>
          </cell>
          <cell r="G21" t="str">
            <v>2026/10/14 07:43</v>
          </cell>
          <cell r="H21" t="str">
            <v xml:space="preserve">|1662|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1" t="str">
            <v>BULTOS</v>
          </cell>
          <cell r="J21">
            <v>344</v>
          </cell>
          <cell r="K21">
            <v>4</v>
          </cell>
          <cell r="L21">
            <v>340</v>
          </cell>
        </row>
        <row r="22">
          <cell r="A22">
            <v>800923</v>
          </cell>
          <cell r="B22" t="str">
            <v xml:space="preserve">LA TORRE ZONA 2                         </v>
          </cell>
          <cell r="D22" t="str">
            <v>Pendiente de Expedición</v>
          </cell>
          <cell r="E22" t="str">
            <v>2026/10/14 06:20:59</v>
          </cell>
          <cell r="F22" t="str">
            <v>2026/10/13 09:19:20</v>
          </cell>
          <cell r="G22" t="str">
            <v>2026/10/14 07:43</v>
          </cell>
          <cell r="H22" t="str">
            <v xml:space="preserve">|1687|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2" t="str">
            <v>BULTOS</v>
          </cell>
          <cell r="J22">
            <v>221</v>
          </cell>
          <cell r="K22">
            <v>24</v>
          </cell>
          <cell r="L22">
            <v>197</v>
          </cell>
        </row>
        <row r="23">
          <cell r="A23">
            <v>800853</v>
          </cell>
          <cell r="B23" t="str">
            <v xml:space="preserve">LA TORRE CENTRO                         </v>
          </cell>
          <cell r="D23" t="str">
            <v>Pendiente de Expedición</v>
          </cell>
          <cell r="E23" t="str">
            <v>2026/10/14 06:18:18</v>
          </cell>
          <cell r="F23" t="str">
            <v>2026/10/13 09:00:23</v>
          </cell>
          <cell r="G23" t="str">
            <v>2026/10/14 07:42</v>
          </cell>
          <cell r="H23" t="str">
            <v xml:space="preserve">|1686|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3" t="str">
            <v>BULTOS</v>
          </cell>
          <cell r="J23">
            <v>364</v>
          </cell>
          <cell r="K23">
            <v>13</v>
          </cell>
          <cell r="L23">
            <v>351</v>
          </cell>
        </row>
        <row r="24">
          <cell r="A24">
            <v>800850</v>
          </cell>
          <cell r="B24" t="str">
            <v xml:space="preserve">LA TORRE BOCA DEL MONTE                 </v>
          </cell>
          <cell r="D24" t="str">
            <v>Pendiente de Expedición</v>
          </cell>
          <cell r="E24" t="str">
            <v>2026/10/14 06:17:31</v>
          </cell>
          <cell r="F24" t="str">
            <v>2026/10/13 08:59:58</v>
          </cell>
          <cell r="G24" t="str">
            <v>2026/10/14 07:41</v>
          </cell>
          <cell r="H24" t="str">
            <v xml:space="preserve">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4" t="str">
            <v>BULTOS</v>
          </cell>
          <cell r="J24">
            <v>194</v>
          </cell>
          <cell r="K24">
            <v>2</v>
          </cell>
          <cell r="L24">
            <v>192</v>
          </cell>
        </row>
        <row r="25">
          <cell r="A25">
            <v>800914</v>
          </cell>
          <cell r="B25" t="str">
            <v xml:space="preserve">LA TORRE VILLA CANALES                  </v>
          </cell>
          <cell r="D25" t="str">
            <v>Pendiente de Expedición</v>
          </cell>
          <cell r="E25" t="str">
            <v>2026/10/14 06:16:21</v>
          </cell>
          <cell r="F25" t="str">
            <v>2026/10/13 09:17:34</v>
          </cell>
          <cell r="G25" t="str">
            <v>2026/10/14 07:40</v>
          </cell>
          <cell r="H25" t="str">
            <v xml:space="preserve">|1684|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5" t="str">
            <v>BULTOS</v>
          </cell>
          <cell r="J25">
            <v>221</v>
          </cell>
          <cell r="K25">
            <v>8</v>
          </cell>
          <cell r="L25">
            <v>213</v>
          </cell>
        </row>
        <row r="26">
          <cell r="A26">
            <v>800929</v>
          </cell>
          <cell r="B26" t="str">
            <v xml:space="preserve">LT ANTIGUA 1                            </v>
          </cell>
          <cell r="D26" t="str">
            <v>Pendiente de Expedición</v>
          </cell>
          <cell r="E26" t="str">
            <v>2026/10/14 06:13:36</v>
          </cell>
          <cell r="F26" t="str">
            <v>2026/10/13 09:20:16</v>
          </cell>
          <cell r="G26" t="str">
            <v>2026/10/14 07:38</v>
          </cell>
          <cell r="H26" t="str">
            <v xml:space="preserve">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6" t="str">
            <v>BULTOS</v>
          </cell>
          <cell r="J26">
            <v>167</v>
          </cell>
          <cell r="K26">
            <v>5</v>
          </cell>
          <cell r="L26">
            <v>162</v>
          </cell>
        </row>
        <row r="27">
          <cell r="A27">
            <v>800900</v>
          </cell>
          <cell r="B27" t="str">
            <v xml:space="preserve">LA TORRE SAN JOSE PINULA                </v>
          </cell>
          <cell r="D27" t="str">
            <v>Pendiente de Expedición</v>
          </cell>
          <cell r="E27" t="str">
            <v>2026/10/14 06:09:40</v>
          </cell>
          <cell r="F27" t="str">
            <v>2026/10/13 09:13:28</v>
          </cell>
          <cell r="G27" t="str">
            <v>2026/10/14 07:37</v>
          </cell>
          <cell r="H27" t="str">
            <v xml:space="preserve">|1681|1682|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7" t="str">
            <v>BULTOS</v>
          </cell>
          <cell r="J27">
            <v>339</v>
          </cell>
          <cell r="K27">
            <v>15</v>
          </cell>
          <cell r="L27">
            <v>324</v>
          </cell>
        </row>
        <row r="28">
          <cell r="A28">
            <v>800900</v>
          </cell>
          <cell r="B28" t="str">
            <v xml:space="preserve">LA TORRE SAN JOSE PINULA                </v>
          </cell>
          <cell r="D28" t="str">
            <v>Pendiente de Expedición</v>
          </cell>
          <cell r="E28" t="str">
            <v>2026/10/14 06:09:40</v>
          </cell>
          <cell r="F28" t="str">
            <v>2026/10/13 09:13:28</v>
          </cell>
          <cell r="G28" t="str">
            <v>2026/10/14 07:38</v>
          </cell>
          <cell r="H28" t="str">
            <v xml:space="preserve">|1681|1682|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8" t="str">
            <v>BULTOS</v>
          </cell>
          <cell r="J28">
            <v>89</v>
          </cell>
          <cell r="K28">
            <v>3</v>
          </cell>
          <cell r="L28">
            <v>86</v>
          </cell>
        </row>
        <row r="29">
          <cell r="A29">
            <v>800846</v>
          </cell>
          <cell r="B29" t="str">
            <v xml:space="preserve">LA TORRE ANTIGUA 3                      </v>
          </cell>
          <cell r="D29" t="str">
            <v>Pendiente de Expedición</v>
          </cell>
          <cell r="E29" t="str">
            <v>2026/10/14 06:08:32</v>
          </cell>
          <cell r="F29" t="str">
            <v>2026/10/13 08:59:15</v>
          </cell>
          <cell r="G29" t="str">
            <v>2026/10/14 07:34</v>
          </cell>
          <cell r="H29" t="str">
            <v xml:space="preserve">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29" t="str">
            <v>BULTOS</v>
          </cell>
          <cell r="J29">
            <v>346</v>
          </cell>
          <cell r="K29">
            <v>11</v>
          </cell>
          <cell r="L29">
            <v>335</v>
          </cell>
        </row>
        <row r="30">
          <cell r="A30">
            <v>800915</v>
          </cell>
          <cell r="B30" t="str">
            <v>LA TORRE VILLA NUEVA     EX-C</v>
          </cell>
          <cell r="D30" t="str">
            <v>Pendiente de Expedición</v>
          </cell>
          <cell r="E30" t="str">
            <v>2026/10/14 06:07:29</v>
          </cell>
          <cell r="F30" t="str">
            <v>2026/10/13 09:17:49</v>
          </cell>
          <cell r="G30" t="str">
            <v>2026/10/14 07:34</v>
          </cell>
          <cell r="H30" t="str">
            <v xml:space="preserve">|1679|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0" t="str">
            <v>BULTOS</v>
          </cell>
          <cell r="J30">
            <v>322</v>
          </cell>
          <cell r="K30">
            <v>13</v>
          </cell>
          <cell r="L30">
            <v>309</v>
          </cell>
        </row>
        <row r="31">
          <cell r="A31">
            <v>800855</v>
          </cell>
          <cell r="B31" t="str">
            <v xml:space="preserve">LA TORRE CIUDAD VIEJA                   </v>
          </cell>
          <cell r="D31" t="str">
            <v>Pendiente de Expedición</v>
          </cell>
          <cell r="E31" t="str">
            <v>2026/10/14 04:35:45</v>
          </cell>
          <cell r="F31" t="str">
            <v>2026/10/13 09:00:39</v>
          </cell>
          <cell r="G31" t="str">
            <v>2026/10/14 05:34</v>
          </cell>
          <cell r="H31" t="str">
            <v xml:space="preserve">|1677|1678|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1" t="str">
            <v>BULTOS</v>
          </cell>
          <cell r="J31">
            <v>546</v>
          </cell>
          <cell r="K31">
            <v>37</v>
          </cell>
          <cell r="L31">
            <v>509</v>
          </cell>
        </row>
        <row r="32">
          <cell r="A32">
            <v>800916</v>
          </cell>
          <cell r="B32" t="str">
            <v xml:space="preserve">LA TORRE VILLALOBOS                     </v>
          </cell>
          <cell r="D32" t="str">
            <v>Pendiente de Expedición</v>
          </cell>
          <cell r="E32" t="str">
            <v>2026/10/14 04:27:53</v>
          </cell>
          <cell r="F32" t="str">
            <v>2026/10/13 09:17:59</v>
          </cell>
          <cell r="G32" t="str">
            <v>2026/10/14 05:34</v>
          </cell>
          <cell r="H32" t="str">
            <v xml:space="preserve">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2" t="str">
            <v>BULTOS</v>
          </cell>
          <cell r="J32">
            <v>332</v>
          </cell>
          <cell r="K32">
            <v>5</v>
          </cell>
          <cell r="L32">
            <v>327</v>
          </cell>
        </row>
        <row r="33">
          <cell r="A33">
            <v>800845</v>
          </cell>
          <cell r="B33" t="str">
            <v xml:space="preserve">LA TORRE ANTIGUA 2                      </v>
          </cell>
          <cell r="D33" t="str">
            <v>Pendiente de Expedición</v>
          </cell>
          <cell r="E33" t="str">
            <v>2026/10/14 03:50:33</v>
          </cell>
          <cell r="F33" t="str">
            <v>2026/10/13 08:59:06</v>
          </cell>
          <cell r="G33" t="str">
            <v>2026/10/14 05:33</v>
          </cell>
          <cell r="H33" t="str">
            <v xml:space="preserve">|1656|1657|1658|1659|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3" t="str">
            <v>BULTOS</v>
          </cell>
          <cell r="J33">
            <v>744</v>
          </cell>
          <cell r="K33">
            <v>43</v>
          </cell>
          <cell r="L33">
            <v>701</v>
          </cell>
        </row>
        <row r="34">
          <cell r="A34">
            <v>800847</v>
          </cell>
          <cell r="B34" t="str">
            <v xml:space="preserve">LA TORRE ATANACIO                       </v>
          </cell>
          <cell r="D34" t="str">
            <v>Pendiente de Expedición</v>
          </cell>
          <cell r="E34" t="str">
            <v>2026/10/14 03:37:22</v>
          </cell>
          <cell r="F34" t="str">
            <v>2026/10/13 08:59:24</v>
          </cell>
          <cell r="G34" t="str">
            <v>2026/10/14 05:31</v>
          </cell>
          <cell r="H34" t="str">
            <v xml:space="preserve">|1654|1655|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4" t="str">
            <v>BULTOS</v>
          </cell>
          <cell r="J34">
            <v>411</v>
          </cell>
          <cell r="K34">
            <v>5</v>
          </cell>
          <cell r="L34">
            <v>406</v>
          </cell>
        </row>
        <row r="35">
          <cell r="A35">
            <v>800843</v>
          </cell>
          <cell r="B35" t="str">
            <v xml:space="preserve">ECONOSUPER NIMAJUYU                     </v>
          </cell>
          <cell r="D35" t="str">
            <v>Pendiente de Expedición</v>
          </cell>
          <cell r="E35" t="str">
            <v>2026/10/14 03:29:33</v>
          </cell>
          <cell r="F35" t="str">
            <v>2026/10/13 08:58:41</v>
          </cell>
          <cell r="G35" t="str">
            <v>2026/10/14 05:31</v>
          </cell>
          <cell r="H35" t="str">
            <v xml:space="preserve">|1651|1652|1653|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5" t="str">
            <v>BULTOS</v>
          </cell>
          <cell r="J35">
            <v>476</v>
          </cell>
          <cell r="K35">
            <v>12</v>
          </cell>
          <cell r="L35">
            <v>464</v>
          </cell>
        </row>
        <row r="36">
          <cell r="A36">
            <v>800852</v>
          </cell>
          <cell r="B36" t="str">
            <v xml:space="preserve">LA TORRE CENTRASUR                      </v>
          </cell>
          <cell r="D36" t="str">
            <v>Pendiente de Expedición</v>
          </cell>
          <cell r="E36" t="str">
            <v>2026/10/14 01:59:59</v>
          </cell>
          <cell r="F36" t="str">
            <v>2026/10/13 09:00:15</v>
          </cell>
          <cell r="G36" t="str">
            <v>2026/10/14 05:30</v>
          </cell>
          <cell r="H36" t="str">
            <v xml:space="preserve">|1648|1649|1650|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6" t="str">
            <v>BULTOS</v>
          </cell>
          <cell r="J36">
            <v>627</v>
          </cell>
          <cell r="K36">
            <v>11</v>
          </cell>
          <cell r="L36">
            <v>616</v>
          </cell>
        </row>
        <row r="37">
          <cell r="A37">
            <v>800869</v>
          </cell>
          <cell r="B37" t="str">
            <v xml:space="preserve">LA TORRE JOCOTENANGO                    </v>
          </cell>
          <cell r="D37" t="str">
            <v>Pendiente de Expedición</v>
          </cell>
          <cell r="E37" t="str">
            <v>2026/10/14 01:58:46</v>
          </cell>
          <cell r="F37" t="str">
            <v>2026/10/13 09:03:52</v>
          </cell>
          <cell r="G37" t="str">
            <v>2026/10/14 05:30</v>
          </cell>
          <cell r="H37" t="str">
            <v xml:space="preserve">|1645|1646|1647|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7" t="str">
            <v>BULTOS</v>
          </cell>
          <cell r="J37">
            <v>550</v>
          </cell>
          <cell r="K37">
            <v>26</v>
          </cell>
          <cell r="L37">
            <v>524</v>
          </cell>
        </row>
        <row r="38">
          <cell r="A38">
            <v>800859</v>
          </cell>
          <cell r="B38" t="str">
            <v xml:space="preserve">LA TORRE ENCINAL                        </v>
          </cell>
          <cell r="D38" t="str">
            <v>Pendiente de Expedición</v>
          </cell>
          <cell r="E38" t="str">
            <v>2026/10/14 01:50:43</v>
          </cell>
          <cell r="F38" t="str">
            <v>2026/10/13 09:01:31</v>
          </cell>
          <cell r="G38" t="str">
            <v>2026/10/14 05:30</v>
          </cell>
          <cell r="H38" t="str">
            <v xml:space="preserve">|1642|1643|1644|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8" t="str">
            <v>BULTOS</v>
          </cell>
          <cell r="J38">
            <v>622</v>
          </cell>
          <cell r="K38">
            <v>27</v>
          </cell>
          <cell r="L38">
            <v>595</v>
          </cell>
        </row>
        <row r="39">
          <cell r="A39">
            <v>800904</v>
          </cell>
          <cell r="B39" t="str">
            <v xml:space="preserve">LA TORRE SAN MIGUEL PETAPA 2            </v>
          </cell>
          <cell r="D39" t="str">
            <v>Pendiente de Expedición</v>
          </cell>
          <cell r="E39" t="str">
            <v>2026/10/14 01:49:52</v>
          </cell>
          <cell r="F39" t="str">
            <v>2026/10/13 09:14:14</v>
          </cell>
          <cell r="G39" t="str">
            <v>2026/10/14 04:31</v>
          </cell>
          <cell r="H39" t="str">
            <v xml:space="preserve">|1640|1641|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39" t="str">
            <v>BULTOS</v>
          </cell>
          <cell r="J39">
            <v>404</v>
          </cell>
          <cell r="K39">
            <v>7</v>
          </cell>
          <cell r="L39">
            <v>397</v>
          </cell>
        </row>
        <row r="40">
          <cell r="A40">
            <v>800903</v>
          </cell>
          <cell r="B40" t="str">
            <v xml:space="preserve">LA TORRE SAN MIGUEL PETAPA              </v>
          </cell>
          <cell r="D40" t="str">
            <v>Pendiente de Expedición</v>
          </cell>
          <cell r="E40" t="str">
            <v>2026/10/14 01:24:44</v>
          </cell>
          <cell r="F40" t="str">
            <v>2026/10/13 09:14:04</v>
          </cell>
          <cell r="G40" t="str">
            <v>2026/10/14 04:31</v>
          </cell>
          <cell r="H40" t="str">
            <v xml:space="preserve">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0" t="str">
            <v>BULTOS</v>
          </cell>
          <cell r="J40">
            <v>424</v>
          </cell>
          <cell r="K40">
            <v>4</v>
          </cell>
          <cell r="L40">
            <v>420</v>
          </cell>
        </row>
        <row r="41">
          <cell r="A41">
            <v>800918</v>
          </cell>
          <cell r="B41" t="str">
            <v xml:space="preserve">LA TORRE XELA 3                         </v>
          </cell>
          <cell r="D41" t="str">
            <v>Pendiente de Expedición</v>
          </cell>
          <cell r="E41" t="str">
            <v>2026/10/14 01:23:54</v>
          </cell>
          <cell r="F41" t="str">
            <v>2026/10/13 09:18:31</v>
          </cell>
          <cell r="G41" t="str">
            <v>2026/10/14 04:30</v>
          </cell>
          <cell r="H41" t="str">
            <v xml:space="preserve">|1513|1514|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1" t="str">
            <v>BULTOS</v>
          </cell>
          <cell r="J41">
            <v>295</v>
          </cell>
          <cell r="K41">
            <v>0</v>
          </cell>
          <cell r="L41">
            <v>295</v>
          </cell>
        </row>
        <row r="42">
          <cell r="A42">
            <v>800899</v>
          </cell>
          <cell r="B42" t="str">
            <v xml:space="preserve">LA TORRE SAN IGNACIO                    </v>
          </cell>
          <cell r="D42" t="str">
            <v>Pendiente de Expedición</v>
          </cell>
          <cell r="E42" t="str">
            <v>2026/10/14 01:23:03</v>
          </cell>
          <cell r="F42" t="str">
            <v>2026/10/13 09:13:15</v>
          </cell>
          <cell r="G42" t="str">
            <v>2026/10/14 04:29</v>
          </cell>
          <cell r="H42" t="str">
            <v xml:space="preserve">|1510|1511|1512|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2" t="str">
            <v>BULTOS</v>
          </cell>
          <cell r="J42">
            <v>653</v>
          </cell>
          <cell r="K42">
            <v>47</v>
          </cell>
          <cell r="L42">
            <v>606</v>
          </cell>
        </row>
        <row r="43">
          <cell r="A43">
            <v>800917</v>
          </cell>
          <cell r="B43" t="str">
            <v xml:space="preserve">LA TORRE XELA                           </v>
          </cell>
          <cell r="D43" t="str">
            <v>Pendiente de Expedición</v>
          </cell>
          <cell r="E43" t="str">
            <v>2026/10/14 01:06:35</v>
          </cell>
          <cell r="F43" t="str">
            <v>2026/10/13 09:18:24</v>
          </cell>
          <cell r="G43" t="str">
            <v>2026/10/14 03:27</v>
          </cell>
          <cell r="H43" t="str">
            <v xml:space="preserve">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3" t="str">
            <v>BULTOS</v>
          </cell>
          <cell r="J43">
            <v>231</v>
          </cell>
          <cell r="K43">
            <v>4</v>
          </cell>
          <cell r="L43">
            <v>227</v>
          </cell>
        </row>
        <row r="44">
          <cell r="A44">
            <v>800922</v>
          </cell>
          <cell r="B44" t="str">
            <v xml:space="preserve">LA TORRE ZONA 19                        </v>
          </cell>
          <cell r="D44" t="str">
            <v>Pendiente de Expedición</v>
          </cell>
          <cell r="E44" t="str">
            <v>2026/10/14 01:05:00</v>
          </cell>
          <cell r="F44" t="str">
            <v>2026/10/13 09:19:14</v>
          </cell>
          <cell r="G44" t="str">
            <v>2026/10/14 03:27</v>
          </cell>
          <cell r="H44" t="str">
            <v xml:space="preserve">|1664|1665|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4" t="str">
            <v>BULTOS</v>
          </cell>
          <cell r="J44">
            <v>547</v>
          </cell>
          <cell r="K44">
            <v>22</v>
          </cell>
          <cell r="L44">
            <v>525</v>
          </cell>
        </row>
        <row r="45">
          <cell r="A45">
            <v>800912</v>
          </cell>
          <cell r="B45" t="str">
            <v xml:space="preserve">LA TORRE TRINIDAD                       </v>
          </cell>
          <cell r="D45" t="str">
            <v>Pendiente de Expedición</v>
          </cell>
          <cell r="E45" t="str">
            <v>2026/10/14 00:30:20</v>
          </cell>
          <cell r="F45" t="str">
            <v>2026/10/13 09:17:23</v>
          </cell>
          <cell r="G45" t="str">
            <v>2026/10/14 03:27</v>
          </cell>
          <cell r="H45" t="str">
            <v xml:space="preserve">|1662|1663|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5" t="str">
            <v>BULTOS</v>
          </cell>
          <cell r="J45">
            <v>432</v>
          </cell>
          <cell r="K45">
            <v>4</v>
          </cell>
          <cell r="L45">
            <v>428</v>
          </cell>
        </row>
        <row r="46">
          <cell r="A46">
            <v>800921</v>
          </cell>
          <cell r="B46" t="str">
            <v xml:space="preserve">LA TORRE ZONA 16                        </v>
          </cell>
          <cell r="D46" t="str">
            <v>Pendiente de Expedición</v>
          </cell>
          <cell r="E46" t="str">
            <v>2026/10/14 00:29:59</v>
          </cell>
          <cell r="F46" t="str">
            <v>2026/10/13 09:19:03</v>
          </cell>
          <cell r="G46" t="str">
            <v>2026/10/14 03:26</v>
          </cell>
          <cell r="H46" t="str">
            <v xml:space="preserve">|1686|1687|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6" t="str">
            <v>BULTOS</v>
          </cell>
          <cell r="J46">
            <v>544</v>
          </cell>
          <cell r="K46">
            <v>17</v>
          </cell>
          <cell r="L46">
            <v>527</v>
          </cell>
        </row>
        <row r="47">
          <cell r="A47">
            <v>800856</v>
          </cell>
          <cell r="B47" t="str">
            <v xml:space="preserve">LA TORRE COATEPEQUE                     </v>
          </cell>
          <cell r="D47" t="str">
            <v>Pendiente de Expedición</v>
          </cell>
          <cell r="E47" t="str">
            <v>2026/10/14 00:08:17</v>
          </cell>
          <cell r="F47" t="str">
            <v>2026/10/13 09:00:50</v>
          </cell>
          <cell r="G47" t="str">
            <v>2026/10/14 03:19</v>
          </cell>
          <cell r="H47" t="str">
            <v xml:space="preserve">|1672|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7" t="str">
            <v>BULTOS</v>
          </cell>
          <cell r="J47">
            <v>498</v>
          </cell>
          <cell r="K47">
            <v>12</v>
          </cell>
          <cell r="L47">
            <v>486</v>
          </cell>
        </row>
        <row r="48">
          <cell r="A48">
            <v>800848</v>
          </cell>
          <cell r="B48" t="str">
            <v xml:space="preserve">LA TORRE BARBERENA                      </v>
          </cell>
          <cell r="D48" t="str">
            <v>Pendiente de Expedición</v>
          </cell>
          <cell r="E48" t="str">
            <v>2026/10/13 23:39:40</v>
          </cell>
          <cell r="F48" t="str">
            <v>2026/10/13 08:59:41</v>
          </cell>
          <cell r="G48" t="str">
            <v>2026/10/14 01:43</v>
          </cell>
          <cell r="H48" t="str">
            <v xml:space="preserve">|1670|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8" t="str">
            <v>BULTOS</v>
          </cell>
          <cell r="J48">
            <v>612</v>
          </cell>
          <cell r="K48">
            <v>15</v>
          </cell>
          <cell r="L48">
            <v>597</v>
          </cell>
        </row>
        <row r="49">
          <cell r="A49">
            <v>800930</v>
          </cell>
          <cell r="B49" t="str">
            <v xml:space="preserve">LA TORRE TULAM TZU                      </v>
          </cell>
          <cell r="D49" t="str">
            <v>Pendiente de Expedición</v>
          </cell>
          <cell r="E49" t="str">
            <v>2026/10/13 23:16:11</v>
          </cell>
          <cell r="F49" t="str">
            <v>2026/10/13 23:15:19</v>
          </cell>
          <cell r="G49" t="str">
            <v>2026/10/14 01:42</v>
          </cell>
          <cell r="H49" t="str">
            <v xml:space="preserve">|1683|1684|1685|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49" t="str">
            <v>BULTOS</v>
          </cell>
          <cell r="J49">
            <v>862</v>
          </cell>
          <cell r="K49">
            <v>14</v>
          </cell>
          <cell r="L49">
            <v>848</v>
          </cell>
        </row>
        <row r="50">
          <cell r="A50">
            <v>800871</v>
          </cell>
          <cell r="B50" t="str">
            <v xml:space="preserve">LA TORRE LA GOMERA                      </v>
          </cell>
          <cell r="D50" t="str">
            <v>Pendiente de Expedición</v>
          </cell>
          <cell r="E50" t="str">
            <v>2026/10/13 22:18:52</v>
          </cell>
          <cell r="F50" t="str">
            <v>2026/10/13 09:04:05</v>
          </cell>
          <cell r="G50" t="str">
            <v>2026/10/14 01:42</v>
          </cell>
          <cell r="H50" t="str">
            <v xml:space="preserve">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0" t="str">
            <v>BULTOS</v>
          </cell>
          <cell r="J50">
            <v>269</v>
          </cell>
          <cell r="K50">
            <v>9</v>
          </cell>
          <cell r="L50">
            <v>260</v>
          </cell>
        </row>
        <row r="51">
          <cell r="A51">
            <v>800863</v>
          </cell>
          <cell r="B51" t="str">
            <v xml:space="preserve">LA TORRE GUASTATOYA                     </v>
          </cell>
          <cell r="D51" t="str">
            <v>Pendiente de Expedición</v>
          </cell>
          <cell r="E51" t="str">
            <v>2026/10/13 22:17:17</v>
          </cell>
          <cell r="F51" t="str">
            <v>2026/10/13 09:02:03</v>
          </cell>
          <cell r="G51" t="str">
            <v>2026/10/13 23:54</v>
          </cell>
          <cell r="H51" t="str">
            <v xml:space="preserve">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1" t="str">
            <v>BULTOS</v>
          </cell>
          <cell r="J51">
            <v>268</v>
          </cell>
          <cell r="K51">
            <v>2</v>
          </cell>
          <cell r="L51">
            <v>266</v>
          </cell>
        </row>
        <row r="52">
          <cell r="A52">
            <v>800854</v>
          </cell>
          <cell r="B52" t="str">
            <v xml:space="preserve">LA TORRE CHIMALTENANGO                  </v>
          </cell>
          <cell r="D52" t="str">
            <v>Pendiente de Expedición</v>
          </cell>
          <cell r="E52" t="str">
            <v>2026/10/13 22:16:24</v>
          </cell>
          <cell r="F52" t="str">
            <v>2026/10/13 09:00:28</v>
          </cell>
          <cell r="G52" t="str">
            <v>2026/10/13 23:53</v>
          </cell>
          <cell r="H52" t="str">
            <v xml:space="preserve">|1677|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2" t="str">
            <v>BULTOS</v>
          </cell>
          <cell r="J52">
            <v>231</v>
          </cell>
          <cell r="K52">
            <v>4</v>
          </cell>
          <cell r="L52">
            <v>227</v>
          </cell>
        </row>
        <row r="53">
          <cell r="A53">
            <v>800927</v>
          </cell>
          <cell r="B53" t="str">
            <v xml:space="preserve">LT XELA 4                               </v>
          </cell>
          <cell r="D53" t="str">
            <v>Pendiente de Expedición</v>
          </cell>
          <cell r="E53" t="str">
            <v>2026/10/13 20:16:19</v>
          </cell>
          <cell r="F53" t="str">
            <v>2026/10/13 09:19:54</v>
          </cell>
          <cell r="G53" t="str">
            <v>2026/10/13 23:31</v>
          </cell>
          <cell r="H53" t="str">
            <v xml:space="preserve">|1643|1644|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3" t="str">
            <v>BULTOS</v>
          </cell>
          <cell r="J53">
            <v>228</v>
          </cell>
          <cell r="K53">
            <v>1</v>
          </cell>
          <cell r="L53">
            <v>227</v>
          </cell>
        </row>
        <row r="54">
          <cell r="A54">
            <v>800928</v>
          </cell>
          <cell r="B54" t="str">
            <v xml:space="preserve">LTX CD RANSA                            </v>
          </cell>
          <cell r="D54" t="str">
            <v>Pendiente de Expedición</v>
          </cell>
          <cell r="E54" t="str">
            <v>2026/10/13 14:09:58</v>
          </cell>
          <cell r="F54" t="str">
            <v>2026/10/13 09:19:59</v>
          </cell>
          <cell r="G54" t="str">
            <v>2026/10/13 16:47</v>
          </cell>
          <cell r="H54" t="str">
            <v xml:space="preserve">|1517|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4" t="str">
            <v>BULTOS</v>
          </cell>
          <cell r="J54">
            <v>1590</v>
          </cell>
          <cell r="K54">
            <v>574</v>
          </cell>
          <cell r="L54">
            <v>1016</v>
          </cell>
        </row>
        <row r="55">
          <cell r="A55">
            <v>800741</v>
          </cell>
          <cell r="B55" t="str">
            <v xml:space="preserve">LA TORRE METROCENTRO                    </v>
          </cell>
          <cell r="D55" t="str">
            <v>Pendiente de Expedición</v>
          </cell>
          <cell r="E55" t="str">
            <v>2026/10/13 10:32:45</v>
          </cell>
          <cell r="F55" t="str">
            <v>2026/10/12 11:55:17</v>
          </cell>
          <cell r="G55" t="str">
            <v>2026/10/13 13:37</v>
          </cell>
          <cell r="H55" t="str">
            <v xml:space="preserve">|1685|1686|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5" t="str">
            <v>BULTOS</v>
          </cell>
          <cell r="J55">
            <v>548</v>
          </cell>
          <cell r="K55">
            <v>2</v>
          </cell>
          <cell r="L55">
            <v>546</v>
          </cell>
        </row>
        <row r="56">
          <cell r="A56">
            <v>800768</v>
          </cell>
          <cell r="B56" t="str">
            <v xml:space="preserve">LA TORRE SANARATE                       </v>
          </cell>
          <cell r="D56" t="str">
            <v>Pendiente de Expedición</v>
          </cell>
          <cell r="E56" t="str">
            <v>2026/10/13 06:38:17</v>
          </cell>
          <cell r="F56" t="str">
            <v>2026/10/12 12:04:03</v>
          </cell>
          <cell r="G56" t="str">
            <v>2026/10/13 10:45</v>
          </cell>
          <cell r="H56" t="str">
            <v xml:space="preserve">|1513|1514|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6" t="str">
            <v>BULTOS</v>
          </cell>
          <cell r="J56">
            <v>510</v>
          </cell>
          <cell r="K56">
            <v>13</v>
          </cell>
          <cell r="L56">
            <v>497</v>
          </cell>
        </row>
        <row r="57">
          <cell r="A57">
            <v>796944</v>
          </cell>
          <cell r="B57" t="str">
            <v xml:space="preserve">LA TORRE METRONORTE                     </v>
          </cell>
          <cell r="D57" t="str">
            <v>Pendiente de Expedición</v>
          </cell>
          <cell r="E57" t="str">
            <v>2026/09/23 10:37:34</v>
          </cell>
          <cell r="F57" t="str">
            <v>2026/09/23 08:07:09</v>
          </cell>
          <cell r="G57" t="str">
            <v>2026/09/23 13:53</v>
          </cell>
          <cell r="H57" t="str">
            <v xml:space="preserve">|1513|1514|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7" t="str">
            <v>BULTOS</v>
          </cell>
          <cell r="J57">
            <v>413</v>
          </cell>
          <cell r="K57">
            <v>36</v>
          </cell>
          <cell r="L57">
            <v>377</v>
          </cell>
        </row>
        <row r="58">
          <cell r="A58">
            <v>796934</v>
          </cell>
          <cell r="B58" t="str">
            <v xml:space="preserve">LA TORRE EL NARANJO                     </v>
          </cell>
          <cell r="D58" t="str">
            <v>Pendiente de Expedición</v>
          </cell>
          <cell r="E58" t="str">
            <v>2026/09/23 10:01:53</v>
          </cell>
          <cell r="F58" t="str">
            <v>2026/09/23 08:05:53</v>
          </cell>
          <cell r="G58" t="str">
            <v>2026/09/23 12:20</v>
          </cell>
          <cell r="H58" t="str">
            <v xml:space="preserve">|1659|1660|1661|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8" t="str">
            <v>BULTOS</v>
          </cell>
          <cell r="J58">
            <v>482</v>
          </cell>
          <cell r="K58">
            <v>36</v>
          </cell>
          <cell r="L58">
            <v>446</v>
          </cell>
        </row>
        <row r="59">
          <cell r="A59">
            <v>796909</v>
          </cell>
          <cell r="B59" t="str">
            <v xml:space="preserve">LA TORRE TULAM TZU                      </v>
          </cell>
          <cell r="D59" t="str">
            <v>Pendiente de Expedición</v>
          </cell>
          <cell r="E59" t="str">
            <v>2026/09/23 08:03:57</v>
          </cell>
          <cell r="F59" t="str">
            <v>2026/09/22 18:20:03</v>
          </cell>
          <cell r="G59" t="str">
            <v>2026/09/23 11:20</v>
          </cell>
          <cell r="H59" t="str">
            <v xml:space="preserve">|1683|1684|1685|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9" t="str">
            <v>BULTOS</v>
          </cell>
          <cell r="J59">
            <v>822</v>
          </cell>
          <cell r="K59">
            <v>87</v>
          </cell>
          <cell r="L59">
            <v>735</v>
          </cell>
        </row>
        <row r="60">
          <cell r="A60">
            <v>796914</v>
          </cell>
          <cell r="B60" t="str">
            <v xml:space="preserve">LA TORRE TULAM TZU                      </v>
          </cell>
          <cell r="D60" t="str">
            <v>Pendiente de Expedición</v>
          </cell>
          <cell r="E60" t="str">
            <v>2026/09/23 07:17:44</v>
          </cell>
          <cell r="F60" t="str">
            <v>2026/09/22 18:26:28</v>
          </cell>
          <cell r="G60" t="str">
            <v>2026/09/23 10:17</v>
          </cell>
          <cell r="H60" t="str">
            <v xml:space="preserve">|1657|1658|1659|1660|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0" t="str">
            <v>BULTOS</v>
          </cell>
          <cell r="J60">
            <v>1013</v>
          </cell>
          <cell r="K60">
            <v>97</v>
          </cell>
          <cell r="L60">
            <v>916</v>
          </cell>
        </row>
        <row r="61">
          <cell r="A61">
            <v>796861</v>
          </cell>
          <cell r="B61" t="str">
            <v xml:space="preserve">LA TORRE METROCENTRO                    </v>
          </cell>
          <cell r="D61" t="str">
            <v>Pendiente de Expedición</v>
          </cell>
          <cell r="E61" t="str">
            <v>2026/09/23 06:24:06</v>
          </cell>
          <cell r="F61" t="str">
            <v>2026/09/22 11:45:57</v>
          </cell>
          <cell r="G61" t="str">
            <v>2026/09/23 08:20</v>
          </cell>
          <cell r="H61" t="str">
            <v xml:space="preserve">|1653|1654|1655|1656|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1" t="str">
            <v>BULTOS</v>
          </cell>
          <cell r="J61">
            <v>791</v>
          </cell>
          <cell r="K61">
            <v>40</v>
          </cell>
          <cell r="L61">
            <v>751</v>
          </cell>
        </row>
        <row r="62">
          <cell r="A62">
            <v>796826</v>
          </cell>
          <cell r="B62" t="str">
            <v xml:space="preserve">LA TORRE ATANACIO                       </v>
          </cell>
          <cell r="D62" t="str">
            <v>Pendiente de Expedición</v>
          </cell>
          <cell r="E62" t="str">
            <v>2026/09/23 06:07:06</v>
          </cell>
          <cell r="F62" t="str">
            <v>2026/09/22 11:34:40</v>
          </cell>
          <cell r="G62" t="str">
            <v>2026/09/23 08:19</v>
          </cell>
          <cell r="H62" t="str">
            <v xml:space="preserve">|1648|1649|1650|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2" t="str">
            <v>BULTOS</v>
          </cell>
          <cell r="J62">
            <v>487</v>
          </cell>
          <cell r="K62">
            <v>22</v>
          </cell>
          <cell r="L62">
            <v>465</v>
          </cell>
        </row>
        <row r="63">
          <cell r="A63">
            <v>796866</v>
          </cell>
          <cell r="B63" t="str">
            <v xml:space="preserve">LA TORRE PETAPA                         </v>
          </cell>
          <cell r="D63" t="str">
            <v>Pendiente de Expedición</v>
          </cell>
          <cell r="E63" t="str">
            <v>2026/09/23 06:06:16</v>
          </cell>
          <cell r="F63" t="str">
            <v>2026/09/22 11:46:48</v>
          </cell>
          <cell r="G63" t="str">
            <v>2026/09/23 07:56</v>
          </cell>
          <cell r="H63" t="str">
            <v xml:space="preserve">|1646|1647|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3" t="str">
            <v>BULTOS</v>
          </cell>
          <cell r="J63">
            <v>383</v>
          </cell>
          <cell r="K63">
            <v>13</v>
          </cell>
          <cell r="L63">
            <v>370</v>
          </cell>
        </row>
        <row r="64">
          <cell r="A64">
            <v>796818</v>
          </cell>
          <cell r="B64" t="str">
            <v xml:space="preserve">ECONO SUPER MAGNOLIA                    </v>
          </cell>
          <cell r="D64" t="str">
            <v>Pendiente de Expedición</v>
          </cell>
          <cell r="E64" t="str">
            <v>2026/09/23 06:01:47</v>
          </cell>
          <cell r="F64" t="str">
            <v>2026/09/22 11:33:06</v>
          </cell>
          <cell r="G64" t="str">
            <v>2026/09/23 07:53</v>
          </cell>
          <cell r="H64" t="str">
            <v xml:space="preserve">|1642|1643|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4" t="str">
            <v>BULTOS</v>
          </cell>
          <cell r="J64">
            <v>386</v>
          </cell>
          <cell r="K64">
            <v>19</v>
          </cell>
          <cell r="L64">
            <v>367</v>
          </cell>
        </row>
        <row r="65">
          <cell r="A65">
            <v>796892</v>
          </cell>
          <cell r="B65" t="str">
            <v>LA TORRE VILLA NUEVA     EX-C</v>
          </cell>
          <cell r="D65" t="str">
            <v>Pendiente de Expedición</v>
          </cell>
          <cell r="E65" t="str">
            <v>2026/09/23 03:49:33</v>
          </cell>
          <cell r="F65" t="str">
            <v>2026/09/22 11:54:36</v>
          </cell>
          <cell r="G65" t="str">
            <v>2026/09/23 05:52</v>
          </cell>
          <cell r="H65" t="str">
            <v xml:space="preserve">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5" t="str">
            <v>BULTOS</v>
          </cell>
          <cell r="J65">
            <v>353</v>
          </cell>
          <cell r="K65">
            <v>17</v>
          </cell>
          <cell r="L65">
            <v>336</v>
          </cell>
        </row>
        <row r="66">
          <cell r="A66">
            <v>796888</v>
          </cell>
          <cell r="B66" t="str">
            <v xml:space="preserve">LA TORRE TECULUTAN                      </v>
          </cell>
          <cell r="D66" t="str">
            <v>Pendiente de Expedición</v>
          </cell>
          <cell r="E66" t="str">
            <v>2026/09/22 22:00:38</v>
          </cell>
          <cell r="F66" t="str">
            <v>2026/09/22 11:53:58</v>
          </cell>
          <cell r="G66" t="str">
            <v>2026/09/22 23:28</v>
          </cell>
          <cell r="H66" t="str">
            <v xml:space="preserve">|1663|1664|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6" t="str">
            <v>BULTOS</v>
          </cell>
          <cell r="J66">
            <v>554</v>
          </cell>
          <cell r="K66">
            <v>32</v>
          </cell>
          <cell r="L66">
            <v>522</v>
          </cell>
        </row>
        <row r="67">
          <cell r="A67">
            <v>796724</v>
          </cell>
          <cell r="B67" t="str">
            <v xml:space="preserve">LA TORRE SAN MIGUEL PETAPA 2            </v>
          </cell>
          <cell r="D67" t="str">
            <v>Pendiente de Expedición</v>
          </cell>
          <cell r="E67" t="str">
            <v>2026/09/21 20:24:27</v>
          </cell>
          <cell r="F67" t="str">
            <v>2026/09/21 11:55:42</v>
          </cell>
          <cell r="G67" t="str">
            <v>2026/09/21 21:54</v>
          </cell>
          <cell r="H67" t="str">
            <v xml:space="preserve">|1645|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7" t="str">
            <v>BULTOS</v>
          </cell>
          <cell r="J67">
            <v>192</v>
          </cell>
          <cell r="K67">
            <v>11</v>
          </cell>
          <cell r="L67">
            <v>181</v>
          </cell>
        </row>
        <row r="68">
          <cell r="A68">
            <v>737603</v>
          </cell>
          <cell r="B68" t="str">
            <v xml:space="preserve">LA TORRE CENTRO                         </v>
          </cell>
          <cell r="D68" t="str">
            <v>Pendiente de Expedición</v>
          </cell>
          <cell r="E68" t="str">
            <v>2025/12/10 09:17:37</v>
          </cell>
          <cell r="F68" t="str">
            <v>2025/12/09 13:43:58</v>
          </cell>
          <cell r="G68" t="str">
            <v>2025/12/10 12:18</v>
          </cell>
          <cell r="H68" t="str">
            <v xml:space="preserve">|1677|1678|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8" t="str">
            <v>BULTOS</v>
          </cell>
          <cell r="J68">
            <v>913</v>
          </cell>
          <cell r="K68">
            <v>259</v>
          </cell>
          <cell r="L68">
            <v>654</v>
          </cell>
        </row>
        <row r="69">
          <cell r="A69">
            <v>737600</v>
          </cell>
          <cell r="B69" t="str">
            <v xml:space="preserve">LA TORRE BOCA DEL MONTE                 </v>
          </cell>
          <cell r="D69" t="str">
            <v>Pendiente de Expedición</v>
          </cell>
          <cell r="E69" t="str">
            <v>2025/12/10 08:48:10</v>
          </cell>
          <cell r="F69" t="str">
            <v>2025/12/09 13:43:19</v>
          </cell>
          <cell r="G69" t="str">
            <v>2025/12/10 12:12</v>
          </cell>
          <cell r="H69" t="str">
            <v xml:space="preserve">|1511|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69" t="str">
            <v>BULTOS</v>
          </cell>
          <cell r="J69">
            <v>914</v>
          </cell>
          <cell r="K69">
            <v>262</v>
          </cell>
          <cell r="L69">
            <v>652</v>
          </cell>
        </row>
        <row r="70">
          <cell r="A70">
            <v>737301</v>
          </cell>
          <cell r="B70" t="str">
            <v xml:space="preserve">LA TORRE SAN IGNACIO                    </v>
          </cell>
          <cell r="D70" t="str">
            <v>Pendiente de Expedición</v>
          </cell>
          <cell r="E70" t="str">
            <v>2025/12/10 08:03:37</v>
          </cell>
          <cell r="F70" t="str">
            <v>2025/12/08 14:06:45</v>
          </cell>
          <cell r="G70" t="str">
            <v>2025/12/10 12:04</v>
          </cell>
          <cell r="H70" t="str">
            <v xml:space="preserve">|1674|1675|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0" t="str">
            <v>BULTOS</v>
          </cell>
          <cell r="J70">
            <v>437</v>
          </cell>
          <cell r="K70">
            <v>157</v>
          </cell>
          <cell r="L70">
            <v>280</v>
          </cell>
        </row>
        <row r="71">
          <cell r="A71">
            <v>737239</v>
          </cell>
          <cell r="B71" t="str">
            <v xml:space="preserve">LA TORRE ANTIGUA 2                      </v>
          </cell>
          <cell r="D71" t="str">
            <v>Pendiente de Expedición</v>
          </cell>
          <cell r="E71" t="str">
            <v>2025/12/10 07:05:02</v>
          </cell>
          <cell r="F71" t="str">
            <v>2025/12/08 13:44:41</v>
          </cell>
          <cell r="G71" t="str">
            <v>2025/12/10 10:52</v>
          </cell>
          <cell r="H71" t="str">
            <v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1" t="str">
            <v>BULTOS</v>
          </cell>
          <cell r="J71">
            <v>522</v>
          </cell>
          <cell r="K71">
            <v>219</v>
          </cell>
          <cell r="L71">
            <v>303</v>
          </cell>
        </row>
        <row r="72">
          <cell r="A72">
            <v>737675</v>
          </cell>
          <cell r="B72" t="str">
            <v xml:space="preserve">LT ANTIGUA 1                            </v>
          </cell>
          <cell r="D72" t="str">
            <v>Pendiente de Expedición</v>
          </cell>
          <cell r="E72" t="str">
            <v>2025/12/10 07:01:29</v>
          </cell>
          <cell r="F72" t="str">
            <v>2025/12/09 14:03:46</v>
          </cell>
          <cell r="G72" t="str">
            <v>2025/12/10 10:14</v>
          </cell>
          <cell r="H72" t="str">
            <v xml:space="preserve">|1661|1662|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2" t="str">
            <v>BULTOS</v>
          </cell>
          <cell r="J72">
            <v>475</v>
          </cell>
          <cell r="K72">
            <v>160</v>
          </cell>
          <cell r="L72">
            <v>315</v>
          </cell>
        </row>
        <row r="73">
          <cell r="A73">
            <v>737621</v>
          </cell>
          <cell r="B73" t="str">
            <v xml:space="preserve">LA TORRE JOCOTENANGO                    </v>
          </cell>
          <cell r="D73" t="str">
            <v>Pendiente de Expedición</v>
          </cell>
          <cell r="E73" t="str">
            <v>2025/12/10 04:59:14</v>
          </cell>
          <cell r="F73" t="str">
            <v>2025/12/09 13:47:54</v>
          </cell>
          <cell r="G73" t="str">
            <v>2025/12/10 05:53</v>
          </cell>
          <cell r="H73" t="str">
            <v xml:space="preserve">|1681|1682|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3" t="str">
            <v>BULTOS</v>
          </cell>
          <cell r="J73">
            <v>825</v>
          </cell>
          <cell r="K73">
            <v>240</v>
          </cell>
          <cell r="L73">
            <v>585</v>
          </cell>
        </row>
        <row r="74">
          <cell r="A74">
            <v>736810</v>
          </cell>
          <cell r="B74" t="str">
            <v xml:space="preserve">LA TORRE TRINIDAD                       </v>
          </cell>
          <cell r="D74" t="str">
            <v>Pendiente de Expedición</v>
          </cell>
          <cell r="E74" t="str">
            <v>2025/12/10 03:16:50</v>
          </cell>
          <cell r="F74" t="str">
            <v>2025/12/05 13:36:55</v>
          </cell>
          <cell r="G74" t="str">
            <v>2025/12/10 05:15</v>
          </cell>
          <cell r="H74" t="str">
            <v xml:space="preserve">|1667|1668|1669|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4" t="str">
            <v>BULTOS</v>
          </cell>
          <cell r="J74">
            <v>652</v>
          </cell>
          <cell r="K74">
            <v>224</v>
          </cell>
          <cell r="L74">
            <v>428</v>
          </cell>
        </row>
        <row r="75">
          <cell r="A75">
            <v>737314</v>
          </cell>
          <cell r="B75" t="str">
            <v xml:space="preserve">LA TORRE XELA 5                         </v>
          </cell>
          <cell r="D75" t="str">
            <v>Pendiente de Expedición</v>
          </cell>
          <cell r="E75" t="str">
            <v>2025/12/10 03:13:50</v>
          </cell>
          <cell r="F75" t="str">
            <v>2025/12/08 14:10:07</v>
          </cell>
          <cell r="G75" t="str">
            <v>2025/12/10 05:07</v>
          </cell>
          <cell r="H75" t="str">
            <v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5" t="str">
            <v>BULTOS</v>
          </cell>
          <cell r="J75">
            <v>440</v>
          </cell>
          <cell r="K75">
            <v>172</v>
          </cell>
          <cell r="L75">
            <v>268</v>
          </cell>
        </row>
        <row r="76">
          <cell r="A76">
            <v>737261</v>
          </cell>
          <cell r="B76" t="str">
            <v xml:space="preserve">LA TORRE GUASTATOYA                     </v>
          </cell>
          <cell r="D76" t="str">
            <v>Pendiente de Expedición</v>
          </cell>
          <cell r="E76" t="str">
            <v>2025/12/09 23:58:27</v>
          </cell>
          <cell r="F76" t="str">
            <v>2025/12/08 13:55:21</v>
          </cell>
          <cell r="G76" t="str">
            <v>2025/12/10 01:54</v>
          </cell>
          <cell r="H76" t="str">
            <v xml:space="preserve">|1512|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6" t="str">
            <v>BULTOS</v>
          </cell>
          <cell r="J76">
            <v>686</v>
          </cell>
          <cell r="K76">
            <v>288</v>
          </cell>
          <cell r="L76">
            <v>398</v>
          </cell>
        </row>
        <row r="77">
          <cell r="A77">
            <v>737369</v>
          </cell>
          <cell r="B77" t="str">
            <v xml:space="preserve">LA TORRE QUICHE 2                       </v>
          </cell>
          <cell r="D77" t="str">
            <v>Pendiente de Expedición</v>
          </cell>
          <cell r="E77" t="str">
            <v>2025/12/09 21:32:41</v>
          </cell>
          <cell r="F77" t="str">
            <v>2025/12/08 15:16:33</v>
          </cell>
          <cell r="G77" t="str">
            <v>2025/12/10 01:42</v>
          </cell>
          <cell r="H77" t="str">
            <v xml:space="preserve">|1656|1657|1658|1659|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7" t="str">
            <v>BULTOS</v>
          </cell>
          <cell r="J77">
            <v>797</v>
          </cell>
          <cell r="K77">
            <v>464</v>
          </cell>
          <cell r="L77">
            <v>333</v>
          </cell>
        </row>
        <row r="78">
          <cell r="A78">
            <v>736969</v>
          </cell>
          <cell r="B78" t="str">
            <v xml:space="preserve">LA TORRE ZONA 4                         </v>
          </cell>
          <cell r="D78" t="str">
            <v>Pendiente de Expedición</v>
          </cell>
          <cell r="E78" t="str">
            <v>2025/12/06 18:30:42</v>
          </cell>
          <cell r="F78" t="str">
            <v>2025/12/06 09:45:36</v>
          </cell>
          <cell r="G78" t="str">
            <v>2025/12/06 20:51</v>
          </cell>
          <cell r="H78" t="str">
            <v xml:space="preserve">|1673|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8" t="str">
            <v>BULTOS</v>
          </cell>
          <cell r="J78">
            <v>141</v>
          </cell>
          <cell r="K78">
            <v>46</v>
          </cell>
          <cell r="L78">
            <v>95</v>
          </cell>
        </row>
        <row r="79">
          <cell r="A79">
            <v>736502</v>
          </cell>
          <cell r="B79" t="str">
            <v xml:space="preserve">LA TORRE ZONA 4                         </v>
          </cell>
          <cell r="D79" t="str">
            <v>Pendiente de Expedición</v>
          </cell>
          <cell r="E79" t="str">
            <v>2025/12/05 01:36:26</v>
          </cell>
          <cell r="F79" t="str">
            <v>2025/12/04 14:05:38</v>
          </cell>
          <cell r="G79" t="str">
            <v>2025/12/05 04:12</v>
          </cell>
          <cell r="H79" t="str">
            <v xml:space="preserve">|1677|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79" t="str">
            <v>BULTOS</v>
          </cell>
          <cell r="J79">
            <v>133</v>
          </cell>
          <cell r="K79">
            <v>14</v>
          </cell>
          <cell r="L79">
            <v>119</v>
          </cell>
        </row>
        <row r="80">
          <cell r="A80">
            <v>736502</v>
          </cell>
          <cell r="B80" t="str">
            <v xml:space="preserve">LA TORRE ZONA 4                         </v>
          </cell>
          <cell r="D80" t="str">
            <v>Pendiente de Expedición</v>
          </cell>
          <cell r="E80" t="str">
            <v>2025/12/05 01:36:26</v>
          </cell>
          <cell r="F80" t="str">
            <v>2025/12/04 14:05:38</v>
          </cell>
          <cell r="G80" t="str">
            <v>2025/12/05 04:11</v>
          </cell>
          <cell r="H80" t="str">
            <v xml:space="preserve">|1677|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0" t="str">
            <v>BULTOS</v>
          </cell>
          <cell r="J80">
            <v>41</v>
          </cell>
          <cell r="K80">
            <v>17</v>
          </cell>
          <cell r="L80">
            <v>24</v>
          </cell>
        </row>
        <row r="81">
          <cell r="A81">
            <v>800719</v>
          </cell>
          <cell r="B81" t="str">
            <v xml:space="preserve">LA TORRE COATEPEQUE 2                   </v>
          </cell>
          <cell r="D81" t="str">
            <v>Con Incidencias</v>
          </cell>
          <cell r="E81" t="str">
            <v xml:space="preserve">                   </v>
          </cell>
          <cell r="F81" t="str">
            <v>2026/10/12 11:48:58</v>
          </cell>
          <cell r="H8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1" t="str">
            <v>BULTOS</v>
          </cell>
          <cell r="J81">
            <v>608</v>
          </cell>
          <cell r="K81">
            <v>32</v>
          </cell>
          <cell r="L81">
            <v>576</v>
          </cell>
        </row>
        <row r="82">
          <cell r="A82">
            <v>800951</v>
          </cell>
          <cell r="B82" t="str">
            <v xml:space="preserve">LA TORRE EL RODEO                       </v>
          </cell>
          <cell r="D82" t="str">
            <v>Con Incidencias</v>
          </cell>
          <cell r="E82" t="str">
            <v xml:space="preserve">                   </v>
          </cell>
          <cell r="F82" t="str">
            <v>2026/10/14 08:11:30</v>
          </cell>
          <cell r="H8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2" t="str">
            <v>BULTOS</v>
          </cell>
          <cell r="J82">
            <v>246</v>
          </cell>
          <cell r="K82">
            <v>4</v>
          </cell>
          <cell r="L82">
            <v>242</v>
          </cell>
        </row>
        <row r="83">
          <cell r="A83">
            <v>800956</v>
          </cell>
          <cell r="B83" t="str">
            <v xml:space="preserve">LA TORRE LA QUINTA                      </v>
          </cell>
          <cell r="D83" t="str">
            <v>Con Incidencias</v>
          </cell>
          <cell r="E83" t="str">
            <v xml:space="preserve">                   </v>
          </cell>
          <cell r="F83" t="str">
            <v>2026/10/14 08:12:02</v>
          </cell>
          <cell r="H8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3" t="str">
            <v>BULTOS</v>
          </cell>
          <cell r="J83">
            <v>226</v>
          </cell>
          <cell r="K83">
            <v>5</v>
          </cell>
          <cell r="L83">
            <v>221</v>
          </cell>
        </row>
        <row r="84">
          <cell r="A84">
            <v>800967</v>
          </cell>
          <cell r="B84" t="str">
            <v xml:space="preserve">LA TORRE PALIN                          </v>
          </cell>
          <cell r="D84" t="str">
            <v>Con Incidencias</v>
          </cell>
          <cell r="E84" t="str">
            <v xml:space="preserve">                   </v>
          </cell>
          <cell r="F84" t="str">
            <v>2026/10/14 08:13:27</v>
          </cell>
          <cell r="H8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4" t="str">
            <v>BULTOS</v>
          </cell>
          <cell r="J84">
            <v>351</v>
          </cell>
          <cell r="K84">
            <v>7</v>
          </cell>
          <cell r="L84">
            <v>344</v>
          </cell>
        </row>
        <row r="85">
          <cell r="A85">
            <v>800969</v>
          </cell>
          <cell r="B85" t="str">
            <v xml:space="preserve">LA TORRE SAN ISIDRO                     </v>
          </cell>
          <cell r="D85" t="str">
            <v>Con Incidencias</v>
          </cell>
          <cell r="E85" t="str">
            <v xml:space="preserve">                   </v>
          </cell>
          <cell r="F85" t="str">
            <v>2026/10/14 08:13:41</v>
          </cell>
          <cell r="H8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5" t="str">
            <v>BULTOS</v>
          </cell>
          <cell r="J85">
            <v>329</v>
          </cell>
          <cell r="K85">
            <v>10</v>
          </cell>
          <cell r="L85">
            <v>319</v>
          </cell>
        </row>
        <row r="86">
          <cell r="A86">
            <v>800972</v>
          </cell>
          <cell r="B86" t="str">
            <v xml:space="preserve">LA TORRE REFORMA                        </v>
          </cell>
          <cell r="D86" t="str">
            <v>Con Incidencias</v>
          </cell>
          <cell r="E86" t="str">
            <v xml:space="preserve">                   </v>
          </cell>
          <cell r="F86" t="str">
            <v>2026/10/14 08:13:58</v>
          </cell>
          <cell r="H8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6" t="str">
            <v>BULTOS</v>
          </cell>
          <cell r="J86">
            <v>248</v>
          </cell>
          <cell r="K86">
            <v>5</v>
          </cell>
          <cell r="L86">
            <v>243</v>
          </cell>
        </row>
        <row r="87">
          <cell r="A87">
            <v>800984</v>
          </cell>
          <cell r="B87" t="str">
            <v xml:space="preserve">LA TORRE ZONA 5                         </v>
          </cell>
          <cell r="D87" t="str">
            <v>Con Incidencias</v>
          </cell>
          <cell r="E87" t="str">
            <v xml:space="preserve">                   </v>
          </cell>
          <cell r="F87" t="str">
            <v>2026/10/14 09:39:32</v>
          </cell>
          <cell r="H8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7" t="str">
            <v>BULTOS</v>
          </cell>
          <cell r="J87">
            <v>292</v>
          </cell>
          <cell r="K87">
            <v>3</v>
          </cell>
          <cell r="L87">
            <v>289</v>
          </cell>
        </row>
        <row r="88">
          <cell r="A88">
            <v>800985</v>
          </cell>
          <cell r="B88" t="str">
            <v xml:space="preserve">LA TORRE ZONA 4                         </v>
          </cell>
          <cell r="D88" t="str">
            <v>Con Incidencias</v>
          </cell>
          <cell r="E88" t="str">
            <v xml:space="preserve">                   </v>
          </cell>
          <cell r="F88" t="str">
            <v>2026/10/14 09:39:45</v>
          </cell>
          <cell r="H8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8" t="str">
            <v>BULTOS</v>
          </cell>
          <cell r="J88">
            <v>436</v>
          </cell>
          <cell r="K88">
            <v>19</v>
          </cell>
          <cell r="L88">
            <v>417</v>
          </cell>
        </row>
        <row r="89">
          <cell r="A89">
            <v>800987</v>
          </cell>
          <cell r="B89" t="str">
            <v xml:space="preserve">LA TORRE ZONA 16                        </v>
          </cell>
          <cell r="D89" t="str">
            <v>Con Incidencias</v>
          </cell>
          <cell r="E89" t="str">
            <v xml:space="preserve">                   </v>
          </cell>
          <cell r="F89" t="str">
            <v>2026/10/14 09:40:00</v>
          </cell>
          <cell r="H8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89" t="str">
            <v>BULTOS</v>
          </cell>
          <cell r="J89">
            <v>252</v>
          </cell>
          <cell r="K89">
            <v>4</v>
          </cell>
          <cell r="L89">
            <v>248</v>
          </cell>
        </row>
        <row r="90">
          <cell r="A90">
            <v>800989</v>
          </cell>
          <cell r="B90" t="str">
            <v xml:space="preserve">LA TORRE XELA 5                         </v>
          </cell>
          <cell r="D90" t="str">
            <v>Con Incidencias</v>
          </cell>
          <cell r="E90" t="str">
            <v xml:space="preserve">                   </v>
          </cell>
          <cell r="F90" t="str">
            <v>2026/10/14 09:40:14</v>
          </cell>
          <cell r="H9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0" t="str">
            <v>BULTOS</v>
          </cell>
          <cell r="J90">
            <v>195</v>
          </cell>
          <cell r="K90">
            <v>5</v>
          </cell>
          <cell r="L90">
            <v>190</v>
          </cell>
        </row>
        <row r="91">
          <cell r="A91">
            <v>800991</v>
          </cell>
          <cell r="B91" t="str">
            <v>LA TORRE VILLA NUEVA     EX-C</v>
          </cell>
          <cell r="D91" t="str">
            <v>Con Incidencias</v>
          </cell>
          <cell r="E91" t="str">
            <v xml:space="preserve">                   </v>
          </cell>
          <cell r="F91" t="str">
            <v>2026/10/14 09:40:43</v>
          </cell>
          <cell r="H9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1" t="str">
            <v>BULTOS</v>
          </cell>
          <cell r="J91">
            <v>289</v>
          </cell>
          <cell r="K91">
            <v>10</v>
          </cell>
          <cell r="L91">
            <v>279</v>
          </cell>
        </row>
        <row r="92">
          <cell r="A92">
            <v>801007</v>
          </cell>
          <cell r="B92" t="str">
            <v xml:space="preserve">LA TORRE SAN JUAN                       </v>
          </cell>
          <cell r="D92" t="str">
            <v>Con Incidencias</v>
          </cell>
          <cell r="E92" t="str">
            <v xml:space="preserve">                   </v>
          </cell>
          <cell r="F92" t="str">
            <v>2026/10/14 09:42:31</v>
          </cell>
          <cell r="H9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2" t="str">
            <v>BULTOS</v>
          </cell>
          <cell r="J92">
            <v>341</v>
          </cell>
          <cell r="K92">
            <v>6</v>
          </cell>
          <cell r="L92">
            <v>335</v>
          </cell>
        </row>
        <row r="93">
          <cell r="A93">
            <v>801010</v>
          </cell>
          <cell r="B93" t="str">
            <v xml:space="preserve">ECONO SUPER MAGNOLIA                    </v>
          </cell>
          <cell r="D93" t="str">
            <v>Con Incidencias</v>
          </cell>
          <cell r="E93" t="str">
            <v xml:space="preserve">                   </v>
          </cell>
          <cell r="F93" t="str">
            <v>2026/10/14 09:44:30</v>
          </cell>
          <cell r="H9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3" t="str">
            <v>BULTOS</v>
          </cell>
          <cell r="J93">
            <v>277</v>
          </cell>
          <cell r="K93">
            <v>2</v>
          </cell>
          <cell r="L93">
            <v>275</v>
          </cell>
        </row>
        <row r="94">
          <cell r="A94">
            <v>801012</v>
          </cell>
          <cell r="B94" t="str">
            <v xml:space="preserve">ECONOSUPER LO DE FUENTES                </v>
          </cell>
          <cell r="D94" t="str">
            <v>Con Incidencias</v>
          </cell>
          <cell r="E94" t="str">
            <v xml:space="preserve">                   </v>
          </cell>
          <cell r="F94" t="str">
            <v>2026/10/14 09:44:54</v>
          </cell>
          <cell r="H9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4" t="str">
            <v>BULTOS</v>
          </cell>
          <cell r="J94">
            <v>498</v>
          </cell>
          <cell r="K94">
            <v>16</v>
          </cell>
          <cell r="L94">
            <v>482</v>
          </cell>
        </row>
        <row r="95">
          <cell r="A95">
            <v>801025</v>
          </cell>
          <cell r="B95" t="str">
            <v xml:space="preserve">LA TORRE RIO DULCE                      </v>
          </cell>
          <cell r="D95" t="str">
            <v>Con Incidencias</v>
          </cell>
          <cell r="E95" t="str">
            <v xml:space="preserve">                   </v>
          </cell>
          <cell r="F95" t="str">
            <v>2026/10/14 09:49:45</v>
          </cell>
          <cell r="H9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5" t="str">
            <v>BULTOS</v>
          </cell>
          <cell r="J95">
            <v>330</v>
          </cell>
          <cell r="K95">
            <v>10</v>
          </cell>
          <cell r="L95">
            <v>320</v>
          </cell>
        </row>
        <row r="96">
          <cell r="A96">
            <v>801028</v>
          </cell>
          <cell r="B96" t="str">
            <v xml:space="preserve">LA TORRE QUICHE 2                       </v>
          </cell>
          <cell r="D96" t="str">
            <v>Con Incidencias</v>
          </cell>
          <cell r="E96" t="str">
            <v xml:space="preserve">                   </v>
          </cell>
          <cell r="F96" t="str">
            <v>2026/10/14 09:50:12</v>
          </cell>
          <cell r="H9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6" t="str">
            <v>BULTOS</v>
          </cell>
          <cell r="J96">
            <v>205</v>
          </cell>
          <cell r="K96">
            <v>3</v>
          </cell>
          <cell r="L96">
            <v>202</v>
          </cell>
        </row>
        <row r="97">
          <cell r="A97">
            <v>801032</v>
          </cell>
          <cell r="B97" t="str">
            <v xml:space="preserve">LA TORRE PETAPA                         </v>
          </cell>
          <cell r="D97" t="str">
            <v>Con Incidencias</v>
          </cell>
          <cell r="E97" t="str">
            <v xml:space="preserve">                   </v>
          </cell>
          <cell r="F97" t="str">
            <v>2026/10/14 09:45:39</v>
          </cell>
          <cell r="H9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7" t="str">
            <v>BULTOS</v>
          </cell>
          <cell r="J97">
            <v>119</v>
          </cell>
          <cell r="K97">
            <v>2</v>
          </cell>
          <cell r="L97">
            <v>117</v>
          </cell>
        </row>
        <row r="98">
          <cell r="A98">
            <v>801036</v>
          </cell>
          <cell r="B98" t="str">
            <v xml:space="preserve">LA TORRE METROCENTRO                    </v>
          </cell>
          <cell r="D98" t="str">
            <v>Con Incidencias</v>
          </cell>
          <cell r="E98" t="str">
            <v xml:space="preserve">                   </v>
          </cell>
          <cell r="F98" t="str">
            <v>2026/10/14 09:51:14</v>
          </cell>
          <cell r="H9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8" t="str">
            <v>BULTOS</v>
          </cell>
          <cell r="J98">
            <v>302</v>
          </cell>
          <cell r="K98">
            <v>2</v>
          </cell>
          <cell r="L98">
            <v>300</v>
          </cell>
        </row>
        <row r="99">
          <cell r="A99">
            <v>801037</v>
          </cell>
          <cell r="B99" t="str">
            <v xml:space="preserve">LA TORRE MILPAS ALTAS                   </v>
          </cell>
          <cell r="D99" t="str">
            <v>Con Incidencias</v>
          </cell>
          <cell r="E99" t="str">
            <v xml:space="preserve">                   </v>
          </cell>
          <cell r="F99" t="str">
            <v>2026/10/14 09:51:23</v>
          </cell>
          <cell r="H9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99" t="str">
            <v>BULTOS</v>
          </cell>
          <cell r="J99">
            <v>375</v>
          </cell>
          <cell r="K99">
            <v>7</v>
          </cell>
          <cell r="L99">
            <v>368</v>
          </cell>
        </row>
        <row r="100">
          <cell r="A100">
            <v>801046</v>
          </cell>
          <cell r="B100" t="str">
            <v xml:space="preserve">LA TORRE LOS AMATES                     </v>
          </cell>
          <cell r="D100" t="str">
            <v>Con Incidencias</v>
          </cell>
          <cell r="E100" t="str">
            <v xml:space="preserve">                   </v>
          </cell>
          <cell r="F100" t="str">
            <v>2026/10/14 09:52:32</v>
          </cell>
          <cell r="H10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0" t="str">
            <v>BULTOS</v>
          </cell>
          <cell r="J100">
            <v>350</v>
          </cell>
          <cell r="K100">
            <v>19</v>
          </cell>
          <cell r="L100">
            <v>331</v>
          </cell>
        </row>
        <row r="101">
          <cell r="A101">
            <v>801056</v>
          </cell>
          <cell r="B101" t="str">
            <v xml:space="preserve">LA TORRE HUEHUETENANGO                  </v>
          </cell>
          <cell r="D101" t="str">
            <v>Con Incidencias</v>
          </cell>
          <cell r="E101" t="str">
            <v xml:space="preserve">                   </v>
          </cell>
          <cell r="F101" t="str">
            <v>2026/10/14 09:54:42</v>
          </cell>
          <cell r="H10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1" t="str">
            <v>BULTOS</v>
          </cell>
          <cell r="J101">
            <v>485</v>
          </cell>
          <cell r="K101">
            <v>8</v>
          </cell>
          <cell r="L101">
            <v>477</v>
          </cell>
        </row>
        <row r="102">
          <cell r="A102">
            <v>801063</v>
          </cell>
          <cell r="B102" t="str">
            <v xml:space="preserve">LA TORRE PROCERES                       </v>
          </cell>
          <cell r="D102" t="str">
            <v>Con Incidencias</v>
          </cell>
          <cell r="E102" t="str">
            <v xml:space="preserve">                   </v>
          </cell>
          <cell r="F102" t="str">
            <v>2026/10/14 10:00:15</v>
          </cell>
          <cell r="H10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2" t="str">
            <v>BULTOS</v>
          </cell>
          <cell r="J102">
            <v>272</v>
          </cell>
          <cell r="K102">
            <v>13</v>
          </cell>
          <cell r="L102">
            <v>259</v>
          </cell>
        </row>
        <row r="103">
          <cell r="A103">
            <v>800945</v>
          </cell>
          <cell r="B103" t="str">
            <v xml:space="preserve">LA TORRE AMATITLAN                      </v>
          </cell>
          <cell r="D103" t="str">
            <v>Con Incidencias</v>
          </cell>
          <cell r="E103" t="str">
            <v xml:space="preserve">                   </v>
          </cell>
          <cell r="F103" t="str">
            <v>2026/10/14 08:10:48</v>
          </cell>
          <cell r="H10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3" t="str">
            <v>BULTOS</v>
          </cell>
          <cell r="J103">
            <v>432</v>
          </cell>
          <cell r="K103">
            <v>12</v>
          </cell>
          <cell r="L103">
            <v>420</v>
          </cell>
        </row>
        <row r="104">
          <cell r="A104">
            <v>800965</v>
          </cell>
          <cell r="B104" t="str">
            <v xml:space="preserve">LA TORRE MIRAFLORES                     </v>
          </cell>
          <cell r="D104" t="str">
            <v>Con Incidencias</v>
          </cell>
          <cell r="E104" t="str">
            <v xml:space="preserve">                   </v>
          </cell>
          <cell r="F104" t="str">
            <v>2026/10/14 08:13:05</v>
          </cell>
          <cell r="H10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4" t="str">
            <v>BULTOS</v>
          </cell>
          <cell r="J104">
            <v>315</v>
          </cell>
          <cell r="K104">
            <v>10</v>
          </cell>
          <cell r="L104">
            <v>305</v>
          </cell>
        </row>
        <row r="105">
          <cell r="A105">
            <v>800968</v>
          </cell>
          <cell r="B105" t="str">
            <v xml:space="preserve">LA TORRE OAKLAND                        </v>
          </cell>
          <cell r="D105" t="str">
            <v>Con Incidencias</v>
          </cell>
          <cell r="E105" t="str">
            <v xml:space="preserve">                   </v>
          </cell>
          <cell r="F105" t="str">
            <v>2026/10/14 08:13:34</v>
          </cell>
          <cell r="H10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5" t="str">
            <v>BULTOS</v>
          </cell>
          <cell r="J105">
            <v>315</v>
          </cell>
          <cell r="K105">
            <v>23</v>
          </cell>
          <cell r="L105">
            <v>292</v>
          </cell>
        </row>
        <row r="106">
          <cell r="A106">
            <v>800978</v>
          </cell>
          <cell r="B106" t="str">
            <v xml:space="preserve">LA TORRE VISTA HERMOSA 1                </v>
          </cell>
          <cell r="D106" t="str">
            <v>Con Incidencias</v>
          </cell>
          <cell r="E106" t="str">
            <v xml:space="preserve">                   </v>
          </cell>
          <cell r="F106" t="str">
            <v>2026/10/14 08:13:52</v>
          </cell>
          <cell r="H10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6" t="str">
            <v>BULTOS</v>
          </cell>
          <cell r="J106">
            <v>112</v>
          </cell>
          <cell r="K106">
            <v>4</v>
          </cell>
          <cell r="L106">
            <v>108</v>
          </cell>
        </row>
        <row r="107">
          <cell r="A107">
            <v>800995</v>
          </cell>
          <cell r="B107" t="str">
            <v xml:space="preserve">LA TORRE TOTONICAPAN                    </v>
          </cell>
          <cell r="D107" t="str">
            <v>Con Incidencias</v>
          </cell>
          <cell r="E107" t="str">
            <v xml:space="preserve">                   </v>
          </cell>
          <cell r="F107" t="str">
            <v>2026/10/14 09:41:07</v>
          </cell>
          <cell r="H10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7" t="str">
            <v>BULTOS</v>
          </cell>
          <cell r="J107">
            <v>252</v>
          </cell>
          <cell r="K107">
            <v>24</v>
          </cell>
          <cell r="L107">
            <v>228</v>
          </cell>
        </row>
        <row r="108">
          <cell r="A108">
            <v>801011</v>
          </cell>
          <cell r="B108" t="str">
            <v xml:space="preserve">ECONOSUPER BOULEVARD SUR                </v>
          </cell>
          <cell r="D108" t="str">
            <v>Con Incidencias</v>
          </cell>
          <cell r="E108" t="str">
            <v xml:space="preserve">                   </v>
          </cell>
          <cell r="F108" t="str">
            <v>2026/10/14 09:44:42</v>
          </cell>
          <cell r="H10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8" t="str">
            <v>BULTOS</v>
          </cell>
          <cell r="J108">
            <v>554</v>
          </cell>
          <cell r="K108">
            <v>9</v>
          </cell>
          <cell r="L108">
            <v>545</v>
          </cell>
        </row>
        <row r="109">
          <cell r="A109">
            <v>801024</v>
          </cell>
          <cell r="B109" t="str">
            <v xml:space="preserve">LA TORRE CENTRO                         </v>
          </cell>
          <cell r="D109" t="str">
            <v>Con Incidencias</v>
          </cell>
          <cell r="E109" t="str">
            <v xml:space="preserve">                   </v>
          </cell>
          <cell r="F109" t="str">
            <v>2026/10/14 09:46:00</v>
          </cell>
          <cell r="H10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09" t="str">
            <v>BULTOS</v>
          </cell>
          <cell r="J109">
            <v>246</v>
          </cell>
          <cell r="K109">
            <v>1</v>
          </cell>
          <cell r="L109">
            <v>245</v>
          </cell>
        </row>
        <row r="110">
          <cell r="A110">
            <v>801045</v>
          </cell>
          <cell r="B110" t="str">
            <v xml:space="preserve">LA TORRE LINDAMAR                       </v>
          </cell>
          <cell r="D110" t="str">
            <v>Con Incidencias</v>
          </cell>
          <cell r="E110" t="str">
            <v xml:space="preserve">                   </v>
          </cell>
          <cell r="F110" t="str">
            <v>2026/10/14 09:52:24</v>
          </cell>
          <cell r="H11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0" t="str">
            <v>BULTOS</v>
          </cell>
          <cell r="J110">
            <v>223</v>
          </cell>
          <cell r="K110">
            <v>6</v>
          </cell>
          <cell r="L110">
            <v>217</v>
          </cell>
        </row>
        <row r="111">
          <cell r="A111">
            <v>801049</v>
          </cell>
          <cell r="B111" t="str">
            <v xml:space="preserve">LA TORRE COATEPEQUE                     </v>
          </cell>
          <cell r="D111" t="str">
            <v>Con Incidencias</v>
          </cell>
          <cell r="E111" t="str">
            <v xml:space="preserve">                   </v>
          </cell>
          <cell r="F111" t="str">
            <v>2026/10/14 09:53:36</v>
          </cell>
          <cell r="H11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1" t="str">
            <v>BULTOS</v>
          </cell>
          <cell r="J111">
            <v>337</v>
          </cell>
          <cell r="K111">
            <v>17</v>
          </cell>
          <cell r="L111">
            <v>320</v>
          </cell>
        </row>
        <row r="112">
          <cell r="A112">
            <v>801058</v>
          </cell>
          <cell r="B112" t="str">
            <v xml:space="preserve">LA TORRE JALAPA 3                       </v>
          </cell>
          <cell r="D112" t="str">
            <v>Con Incidencias</v>
          </cell>
          <cell r="E112" t="str">
            <v xml:space="preserve">                   </v>
          </cell>
          <cell r="F112" t="str">
            <v>2026/10/14 09:58:10</v>
          </cell>
          <cell r="H11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2" t="str">
            <v>BULTOS</v>
          </cell>
          <cell r="J112">
            <v>307</v>
          </cell>
          <cell r="K112">
            <v>11</v>
          </cell>
          <cell r="L112">
            <v>296</v>
          </cell>
        </row>
        <row r="113">
          <cell r="A113">
            <v>800953</v>
          </cell>
          <cell r="B113" t="str">
            <v xml:space="preserve">LA TORRE EL FRUTAL                      </v>
          </cell>
          <cell r="D113" t="str">
            <v>Con Incidencias</v>
          </cell>
          <cell r="E113" t="str">
            <v xml:space="preserve">                   </v>
          </cell>
          <cell r="F113" t="str">
            <v>2026/10/14 08:11:43</v>
          </cell>
          <cell r="H11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3" t="str">
            <v>BULTOS</v>
          </cell>
          <cell r="J113">
            <v>350</v>
          </cell>
          <cell r="K113">
            <v>13</v>
          </cell>
          <cell r="L113">
            <v>337</v>
          </cell>
        </row>
        <row r="114">
          <cell r="A114">
            <v>800963</v>
          </cell>
          <cell r="B114" t="str">
            <v xml:space="preserve">LA TORRE MUXBAL                         </v>
          </cell>
          <cell r="D114" t="str">
            <v>Con Incidencias</v>
          </cell>
          <cell r="E114" t="str">
            <v xml:space="preserve">                   </v>
          </cell>
          <cell r="F114" t="str">
            <v>2026/10/14 08:12:51</v>
          </cell>
          <cell r="H11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4" t="str">
            <v>BULTOS</v>
          </cell>
          <cell r="J114">
            <v>296</v>
          </cell>
          <cell r="K114">
            <v>7</v>
          </cell>
          <cell r="L114">
            <v>289</v>
          </cell>
        </row>
        <row r="115">
          <cell r="A115">
            <v>800986</v>
          </cell>
          <cell r="B115" t="str">
            <v xml:space="preserve">LA TORRE ZONA 3                         </v>
          </cell>
          <cell r="D115" t="str">
            <v>Con Incidencias</v>
          </cell>
          <cell r="E115" t="str">
            <v xml:space="preserve">                   </v>
          </cell>
          <cell r="F115" t="str">
            <v>2026/10/14 09:39:54</v>
          </cell>
          <cell r="H11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5" t="str">
            <v>BULTOS</v>
          </cell>
          <cell r="J115">
            <v>427</v>
          </cell>
          <cell r="K115">
            <v>27</v>
          </cell>
          <cell r="L115">
            <v>400</v>
          </cell>
        </row>
        <row r="116">
          <cell r="A116">
            <v>800996</v>
          </cell>
          <cell r="B116" t="str">
            <v xml:space="preserve">LA TORRE TECULUTAN                      </v>
          </cell>
          <cell r="D116" t="str">
            <v>Con Incidencias</v>
          </cell>
          <cell r="E116" t="str">
            <v xml:space="preserve">                   </v>
          </cell>
          <cell r="F116" t="str">
            <v>2026/10/14 09:41:16</v>
          </cell>
          <cell r="H11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6" t="str">
            <v>BULTOS</v>
          </cell>
          <cell r="J116">
            <v>400</v>
          </cell>
          <cell r="K116">
            <v>10</v>
          </cell>
          <cell r="L116">
            <v>390</v>
          </cell>
        </row>
        <row r="117">
          <cell r="A117">
            <v>801009</v>
          </cell>
          <cell r="B117" t="str">
            <v xml:space="preserve">LA TORRE SALCAJA                        </v>
          </cell>
          <cell r="D117" t="str">
            <v>Con Incidencias</v>
          </cell>
          <cell r="E117" t="str">
            <v xml:space="preserve">                   </v>
          </cell>
          <cell r="F117" t="str">
            <v>2026/10/14 09:43:00</v>
          </cell>
          <cell r="H11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7" t="str">
            <v>BULTOS</v>
          </cell>
          <cell r="J117">
            <v>930</v>
          </cell>
          <cell r="K117">
            <v>36</v>
          </cell>
          <cell r="L117">
            <v>894</v>
          </cell>
        </row>
        <row r="118">
          <cell r="A118">
            <v>801035</v>
          </cell>
          <cell r="B118" t="str">
            <v xml:space="preserve">LA TORRE MARISCAL                       </v>
          </cell>
          <cell r="D118" t="str">
            <v>Con Incidencias</v>
          </cell>
          <cell r="E118" t="str">
            <v xml:space="preserve">                   </v>
          </cell>
          <cell r="F118" t="str">
            <v>2026/10/14 08:11:07</v>
          </cell>
          <cell r="H11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8" t="str">
            <v>BULTOS</v>
          </cell>
          <cell r="J118">
            <v>75</v>
          </cell>
          <cell r="K118">
            <v>1</v>
          </cell>
          <cell r="L118">
            <v>74</v>
          </cell>
        </row>
        <row r="119">
          <cell r="A119">
            <v>801040</v>
          </cell>
          <cell r="B119" t="str">
            <v xml:space="preserve">LA TORRE JALAPA                         </v>
          </cell>
          <cell r="D119" t="str">
            <v>Con Incidencias</v>
          </cell>
          <cell r="E119" t="str">
            <v xml:space="preserve">                   </v>
          </cell>
          <cell r="F119" t="str">
            <v>2026/10/14 09:50:12</v>
          </cell>
          <cell r="H11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19" t="str">
            <v>BULTOS</v>
          </cell>
          <cell r="J119">
            <v>124</v>
          </cell>
          <cell r="K119">
            <v>0</v>
          </cell>
          <cell r="L119">
            <v>124</v>
          </cell>
        </row>
        <row r="120">
          <cell r="A120">
            <v>801043</v>
          </cell>
          <cell r="B120" t="str">
            <v xml:space="preserve">LA TORRE LA GOMERA                      </v>
          </cell>
          <cell r="D120" t="str">
            <v>Con Incidencias</v>
          </cell>
          <cell r="E120" t="str">
            <v xml:space="preserve">                   </v>
          </cell>
          <cell r="F120" t="str">
            <v>2026/10/14 08:12:58</v>
          </cell>
          <cell r="H12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0" t="str">
            <v>BULTOS</v>
          </cell>
          <cell r="J120">
            <v>77</v>
          </cell>
          <cell r="K120">
            <v>2</v>
          </cell>
          <cell r="L120">
            <v>75</v>
          </cell>
        </row>
        <row r="121">
          <cell r="A121">
            <v>801050</v>
          </cell>
          <cell r="B121" t="str">
            <v xml:space="preserve">LA TORRE ENCINAL                        </v>
          </cell>
          <cell r="D121" t="str">
            <v>Con Incidencias</v>
          </cell>
          <cell r="E121" t="str">
            <v xml:space="preserve">                   </v>
          </cell>
          <cell r="F121" t="str">
            <v>2026/10/14 09:53:43</v>
          </cell>
          <cell r="H12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1" t="str">
            <v>BULTOS</v>
          </cell>
          <cell r="J121">
            <v>267</v>
          </cell>
          <cell r="K121">
            <v>3</v>
          </cell>
          <cell r="L121">
            <v>264</v>
          </cell>
        </row>
        <row r="122">
          <cell r="A122">
            <v>801054</v>
          </cell>
          <cell r="B122" t="str">
            <v xml:space="preserve">LA TORRE ESCUINTLA 2                    </v>
          </cell>
          <cell r="D122" t="str">
            <v>Con Incidencias</v>
          </cell>
          <cell r="E122" t="str">
            <v xml:space="preserve">                   </v>
          </cell>
          <cell r="F122" t="str">
            <v>2026/10/14 09:54:22</v>
          </cell>
          <cell r="H12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2" t="str">
            <v>BULTOS</v>
          </cell>
          <cell r="J122">
            <v>400</v>
          </cell>
          <cell r="K122">
            <v>15</v>
          </cell>
          <cell r="L122">
            <v>385</v>
          </cell>
        </row>
        <row r="123">
          <cell r="A123">
            <v>801060</v>
          </cell>
          <cell r="B123" t="str">
            <v xml:space="preserve">LA TORRE ZONA 10                        </v>
          </cell>
          <cell r="D123" t="str">
            <v>Con Incidencias</v>
          </cell>
          <cell r="E123" t="str">
            <v xml:space="preserve">                   </v>
          </cell>
          <cell r="F123" t="str">
            <v>2026/10/14 09:59:13</v>
          </cell>
          <cell r="H12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3" t="str">
            <v>BULTOS</v>
          </cell>
          <cell r="J123">
            <v>253</v>
          </cell>
          <cell r="K123">
            <v>9</v>
          </cell>
          <cell r="L123">
            <v>244</v>
          </cell>
        </row>
        <row r="124">
          <cell r="A124">
            <v>800782</v>
          </cell>
          <cell r="B124" t="str">
            <v xml:space="preserve">LA TORRE ZACAPA                         </v>
          </cell>
          <cell r="D124" t="str">
            <v>Con Incidencias</v>
          </cell>
          <cell r="E124" t="str">
            <v xml:space="preserve">                   </v>
          </cell>
          <cell r="F124" t="str">
            <v>2026/10/12 12:09:18</v>
          </cell>
          <cell r="H12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4" t="str">
            <v>BULTOS</v>
          </cell>
          <cell r="J124">
            <v>497</v>
          </cell>
          <cell r="K124">
            <v>11</v>
          </cell>
          <cell r="L124">
            <v>486</v>
          </cell>
        </row>
        <row r="125">
          <cell r="A125">
            <v>800841</v>
          </cell>
          <cell r="B125" t="str">
            <v xml:space="preserve">ECONOSUPER LO DE FUENTES                </v>
          </cell>
          <cell r="D125" t="str">
            <v>En analisis</v>
          </cell>
          <cell r="E125" t="str">
            <v xml:space="preserve">                   </v>
          </cell>
          <cell r="F125" t="str">
            <v>2026/10/13 08:58:16</v>
          </cell>
          <cell r="H12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5" t="str">
            <v>BULTOS</v>
          </cell>
          <cell r="J125">
            <v>127</v>
          </cell>
          <cell r="K125">
            <v>0</v>
          </cell>
          <cell r="L125">
            <v>127</v>
          </cell>
        </row>
        <row r="126">
          <cell r="A126">
            <v>800920</v>
          </cell>
          <cell r="B126" t="str">
            <v xml:space="preserve">LA TORRE ZACAPA 2                       </v>
          </cell>
          <cell r="D126" t="str">
            <v>Con Incidencias</v>
          </cell>
          <cell r="E126" t="str">
            <v xml:space="preserve">                   </v>
          </cell>
          <cell r="F126" t="str">
            <v>2026/10/13 09:18:51</v>
          </cell>
          <cell r="H12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6" t="str">
            <v>BULTOS</v>
          </cell>
          <cell r="J126">
            <v>211</v>
          </cell>
          <cell r="K126">
            <v>2</v>
          </cell>
          <cell r="L126">
            <v>209</v>
          </cell>
        </row>
        <row r="127">
          <cell r="A127">
            <v>800942</v>
          </cell>
          <cell r="B127" t="str">
            <v xml:space="preserve">ECONOSUPER ZONA 2                       </v>
          </cell>
          <cell r="D127" t="str">
            <v>Con Incidencias</v>
          </cell>
          <cell r="E127" t="str">
            <v xml:space="preserve">                   </v>
          </cell>
          <cell r="F127" t="str">
            <v>2026/10/14 08:10:26</v>
          </cell>
          <cell r="H12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7" t="str">
            <v>BULTOS</v>
          </cell>
          <cell r="J127">
            <v>357</v>
          </cell>
          <cell r="K127">
            <v>5</v>
          </cell>
          <cell r="L127">
            <v>352</v>
          </cell>
        </row>
        <row r="128">
          <cell r="A128">
            <v>800964</v>
          </cell>
          <cell r="B128" t="str">
            <v xml:space="preserve">LA TORRE MIXCO ZONA 1                   </v>
          </cell>
          <cell r="D128" t="str">
            <v>Con Incidencias</v>
          </cell>
          <cell r="E128" t="str">
            <v xml:space="preserve">                   </v>
          </cell>
          <cell r="F128" t="str">
            <v>2026/10/14 08:12:58</v>
          </cell>
          <cell r="H12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8" t="str">
            <v>BULTOS</v>
          </cell>
          <cell r="J128">
            <v>245</v>
          </cell>
          <cell r="K128">
            <v>2</v>
          </cell>
          <cell r="L128">
            <v>243</v>
          </cell>
        </row>
        <row r="129">
          <cell r="A129">
            <v>800971</v>
          </cell>
          <cell r="B129" t="str">
            <v xml:space="preserve">LA TORRE ROOSEVELT                      </v>
          </cell>
          <cell r="D129" t="str">
            <v>Con Incidencias</v>
          </cell>
          <cell r="E129" t="str">
            <v xml:space="preserve">                   </v>
          </cell>
          <cell r="F129" t="str">
            <v>2026/10/14 08:13:52</v>
          </cell>
          <cell r="H12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29" t="str">
            <v>BULTOS</v>
          </cell>
          <cell r="J129">
            <v>205</v>
          </cell>
          <cell r="K129">
            <v>1</v>
          </cell>
          <cell r="L129">
            <v>204</v>
          </cell>
        </row>
        <row r="130">
          <cell r="A130">
            <v>800973</v>
          </cell>
          <cell r="B130" t="str">
            <v xml:space="preserve">LA TORRE SANKRIS                        </v>
          </cell>
          <cell r="D130" t="str">
            <v>Con Incidencias</v>
          </cell>
          <cell r="E130" t="str">
            <v xml:space="preserve">                   </v>
          </cell>
          <cell r="F130" t="str">
            <v>2026/10/14 08:14:05</v>
          </cell>
          <cell r="H13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0" t="str">
            <v>BULTOS</v>
          </cell>
          <cell r="J130">
            <v>341</v>
          </cell>
          <cell r="K130">
            <v>4</v>
          </cell>
          <cell r="L130">
            <v>337</v>
          </cell>
        </row>
        <row r="131">
          <cell r="A131">
            <v>800998</v>
          </cell>
          <cell r="B131" t="str">
            <v xml:space="preserve">LA TORRE SANTALU                        </v>
          </cell>
          <cell r="D131" t="str">
            <v>Con Incidencias</v>
          </cell>
          <cell r="E131" t="str">
            <v xml:space="preserve">                   </v>
          </cell>
          <cell r="F131" t="str">
            <v>2026/10/14 09:41:28</v>
          </cell>
          <cell r="H13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1" t="str">
            <v>BULTOS</v>
          </cell>
          <cell r="J131">
            <v>146</v>
          </cell>
          <cell r="K131">
            <v>1</v>
          </cell>
          <cell r="L131">
            <v>145</v>
          </cell>
        </row>
        <row r="132">
          <cell r="A132">
            <v>800999</v>
          </cell>
          <cell r="B132" t="str">
            <v xml:space="preserve">LA TORRE SAN RAFAEL                     </v>
          </cell>
          <cell r="D132" t="str">
            <v>Con Incidencias</v>
          </cell>
          <cell r="E132" t="str">
            <v xml:space="preserve">                   </v>
          </cell>
          <cell r="F132" t="str">
            <v>2026/10/14 09:41:36</v>
          </cell>
          <cell r="H13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2" t="str">
            <v>BULTOS</v>
          </cell>
          <cell r="J132">
            <v>359</v>
          </cell>
          <cell r="K132">
            <v>3</v>
          </cell>
          <cell r="L132">
            <v>356</v>
          </cell>
        </row>
        <row r="133">
          <cell r="A133">
            <v>801002</v>
          </cell>
          <cell r="B133" t="str">
            <v xml:space="preserve">LA TORRE SAN MIGUEL PETAPA              </v>
          </cell>
          <cell r="D133" t="str">
            <v>Con Incidencias</v>
          </cell>
          <cell r="E133" t="str">
            <v xml:space="preserve">                   </v>
          </cell>
          <cell r="F133" t="str">
            <v>2026/10/14 09:41:59</v>
          </cell>
          <cell r="H13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3" t="str">
            <v>BULTOS</v>
          </cell>
          <cell r="J133">
            <v>155</v>
          </cell>
          <cell r="K133">
            <v>0</v>
          </cell>
          <cell r="L133">
            <v>155</v>
          </cell>
        </row>
        <row r="134">
          <cell r="A134">
            <v>801005</v>
          </cell>
          <cell r="B134" t="str">
            <v xml:space="preserve">LA TORRE SAN IGNACIO                    </v>
          </cell>
          <cell r="D134" t="str">
            <v>Con Incidencias</v>
          </cell>
          <cell r="E134" t="str">
            <v xml:space="preserve">                   </v>
          </cell>
          <cell r="F134" t="str">
            <v>2026/10/14 09:42:20</v>
          </cell>
          <cell r="H13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4" t="str">
            <v>BULTOS</v>
          </cell>
          <cell r="J134">
            <v>345</v>
          </cell>
          <cell r="K134">
            <v>11</v>
          </cell>
          <cell r="L134">
            <v>334</v>
          </cell>
        </row>
        <row r="135">
          <cell r="A135">
            <v>801017</v>
          </cell>
          <cell r="B135" t="str">
            <v xml:space="preserve">LA TORRE BARBERENA                      </v>
          </cell>
          <cell r="D135" t="str">
            <v>Con Incidencias</v>
          </cell>
          <cell r="E135" t="str">
            <v xml:space="preserve">                   </v>
          </cell>
          <cell r="F135" t="str">
            <v>2026/10/14 09:45:17</v>
          </cell>
          <cell r="H13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5" t="str">
            <v>BULTOS</v>
          </cell>
          <cell r="J135">
            <v>142</v>
          </cell>
          <cell r="K135">
            <v>0</v>
          </cell>
          <cell r="L135">
            <v>142</v>
          </cell>
        </row>
        <row r="136">
          <cell r="A136">
            <v>801022</v>
          </cell>
          <cell r="B136" t="str">
            <v xml:space="preserve">LA TORRE BOCA DEL MONTE                 </v>
          </cell>
          <cell r="D136" t="str">
            <v>Con Incidencias</v>
          </cell>
          <cell r="E136" t="str">
            <v xml:space="preserve">                   </v>
          </cell>
          <cell r="F136" t="str">
            <v>2026/10/14 09:45:46</v>
          </cell>
          <cell r="H13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6" t="str">
            <v>BULTOS</v>
          </cell>
          <cell r="J136">
            <v>233</v>
          </cell>
          <cell r="K136">
            <v>8</v>
          </cell>
          <cell r="L136">
            <v>225</v>
          </cell>
        </row>
        <row r="137">
          <cell r="A137">
            <v>801026</v>
          </cell>
          <cell r="B137" t="str">
            <v xml:space="preserve">LA TORRE RETALHULEU                     </v>
          </cell>
          <cell r="D137" t="str">
            <v>Con Incidencias</v>
          </cell>
          <cell r="E137" t="str">
            <v xml:space="preserve">                   </v>
          </cell>
          <cell r="F137" t="str">
            <v>2026/10/14 09:49:54</v>
          </cell>
          <cell r="H13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7" t="str">
            <v>BULTOS</v>
          </cell>
          <cell r="J137">
            <v>462</v>
          </cell>
          <cell r="K137">
            <v>20</v>
          </cell>
          <cell r="L137">
            <v>442</v>
          </cell>
        </row>
        <row r="138">
          <cell r="A138">
            <v>801027</v>
          </cell>
          <cell r="B138" t="str">
            <v xml:space="preserve">LA TORRE QUICHE                         </v>
          </cell>
          <cell r="D138" t="str">
            <v>Con Incidencias</v>
          </cell>
          <cell r="E138" t="str">
            <v xml:space="preserve">                   </v>
          </cell>
          <cell r="F138" t="str">
            <v>2026/10/14 09:50:05</v>
          </cell>
          <cell r="H13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8" t="str">
            <v>BULTOS</v>
          </cell>
          <cell r="J138">
            <v>332</v>
          </cell>
          <cell r="K138">
            <v>21</v>
          </cell>
          <cell r="L138">
            <v>311</v>
          </cell>
        </row>
        <row r="139">
          <cell r="A139">
            <v>801034</v>
          </cell>
          <cell r="B139" t="str">
            <v xml:space="preserve">LA TORRE PINARES                        </v>
          </cell>
          <cell r="D139" t="str">
            <v>Con Incidencias</v>
          </cell>
          <cell r="E139" t="str">
            <v xml:space="preserve">                   </v>
          </cell>
          <cell r="F139" t="str">
            <v>2026/10/14 09:51:04</v>
          </cell>
          <cell r="H13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39" t="str">
            <v>BULTOS</v>
          </cell>
          <cell r="J139">
            <v>467</v>
          </cell>
          <cell r="K139">
            <v>6</v>
          </cell>
          <cell r="L139">
            <v>461</v>
          </cell>
        </row>
        <row r="140">
          <cell r="A140">
            <v>801055</v>
          </cell>
          <cell r="B140" t="str">
            <v xml:space="preserve">LA TORRE HUEHUETENANGO 2                </v>
          </cell>
          <cell r="D140" t="str">
            <v>Con Incidencias</v>
          </cell>
          <cell r="E140" t="str">
            <v xml:space="preserve">                   </v>
          </cell>
          <cell r="F140" t="str">
            <v>2026/10/14 09:54:31</v>
          </cell>
          <cell r="H14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0" t="str">
            <v>BULTOS</v>
          </cell>
          <cell r="J140">
            <v>264</v>
          </cell>
          <cell r="K140">
            <v>10</v>
          </cell>
          <cell r="L140">
            <v>254</v>
          </cell>
        </row>
        <row r="141">
          <cell r="A141">
            <v>800946</v>
          </cell>
          <cell r="B141" t="str">
            <v xml:space="preserve">LA TORRE ARRAZOLA                       </v>
          </cell>
          <cell r="D141" t="str">
            <v>Con Incidencias</v>
          </cell>
          <cell r="E141" t="str">
            <v xml:space="preserve">                   </v>
          </cell>
          <cell r="F141" t="str">
            <v>2026/10/14 08:10:55</v>
          </cell>
          <cell r="H14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1" t="str">
            <v>BULTOS</v>
          </cell>
          <cell r="J141">
            <v>344</v>
          </cell>
          <cell r="K141">
            <v>12</v>
          </cell>
          <cell r="L141">
            <v>332</v>
          </cell>
        </row>
        <row r="142">
          <cell r="A142">
            <v>800976</v>
          </cell>
          <cell r="B142" t="str">
            <v xml:space="preserve">LA TORRE ZONA 13 AMERICAS               </v>
          </cell>
          <cell r="D142" t="str">
            <v>Con Incidencias</v>
          </cell>
          <cell r="E142" t="str">
            <v xml:space="preserve">                   </v>
          </cell>
          <cell r="F142" t="str">
            <v>2026/10/14 08:14:28</v>
          </cell>
          <cell r="H14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2" t="str">
            <v>BULTOS</v>
          </cell>
          <cell r="J142">
            <v>382</v>
          </cell>
          <cell r="K142">
            <v>20</v>
          </cell>
          <cell r="L142">
            <v>362</v>
          </cell>
        </row>
        <row r="143">
          <cell r="A143">
            <v>800983</v>
          </cell>
          <cell r="B143" t="str">
            <v xml:space="preserve">LT ANTIGUA 1                            </v>
          </cell>
          <cell r="D143" t="str">
            <v>Con Incidencias</v>
          </cell>
          <cell r="E143" t="str">
            <v xml:space="preserve">                   </v>
          </cell>
          <cell r="F143" t="str">
            <v>2026/10/14 09:39:26</v>
          </cell>
          <cell r="H14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3" t="str">
            <v>BULTOS</v>
          </cell>
          <cell r="J143">
            <v>249</v>
          </cell>
          <cell r="K143">
            <v>7</v>
          </cell>
          <cell r="L143">
            <v>242</v>
          </cell>
        </row>
        <row r="144">
          <cell r="A144">
            <v>801004</v>
          </cell>
          <cell r="B144" t="str">
            <v xml:space="preserve">LA TORRE SAN FRANCISCO                  </v>
          </cell>
          <cell r="D144" t="str">
            <v>Con Incidencias</v>
          </cell>
          <cell r="E144" t="str">
            <v xml:space="preserve">                   </v>
          </cell>
          <cell r="F144" t="str">
            <v>2026/10/14 09:42:12</v>
          </cell>
          <cell r="H14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4" t="str">
            <v>BULTOS</v>
          </cell>
          <cell r="J144">
            <v>276</v>
          </cell>
          <cell r="K144">
            <v>3</v>
          </cell>
          <cell r="L144">
            <v>273</v>
          </cell>
        </row>
        <row r="145">
          <cell r="A145">
            <v>801006</v>
          </cell>
          <cell r="B145" t="str">
            <v xml:space="preserve">LA TORRE SAN JOSE PINULA                </v>
          </cell>
          <cell r="D145" t="str">
            <v>Con Incidencias</v>
          </cell>
          <cell r="E145" t="str">
            <v xml:space="preserve">                   </v>
          </cell>
          <cell r="F145" t="str">
            <v>2026/10/14 09:41:28</v>
          </cell>
          <cell r="H14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5" t="str">
            <v>BULTOS</v>
          </cell>
          <cell r="J145">
            <v>155</v>
          </cell>
          <cell r="K145">
            <v>3</v>
          </cell>
          <cell r="L145">
            <v>152</v>
          </cell>
        </row>
        <row r="146">
          <cell r="A146">
            <v>801008</v>
          </cell>
          <cell r="B146" t="str">
            <v xml:space="preserve">LA TORRE SALAMA                         </v>
          </cell>
          <cell r="D146" t="str">
            <v>Con Incidencias</v>
          </cell>
          <cell r="E146" t="str">
            <v xml:space="preserve">                   </v>
          </cell>
          <cell r="F146" t="str">
            <v>2026/10/14 09:42:37</v>
          </cell>
          <cell r="H14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6" t="str">
            <v>BULTOS</v>
          </cell>
          <cell r="J146">
            <v>259</v>
          </cell>
          <cell r="K146">
            <v>15</v>
          </cell>
          <cell r="L146">
            <v>244</v>
          </cell>
        </row>
        <row r="147">
          <cell r="A147">
            <v>801018</v>
          </cell>
          <cell r="B147" t="str">
            <v xml:space="preserve">LA TORRE ATANACIO                       </v>
          </cell>
          <cell r="D147" t="str">
            <v>Con Incidencias</v>
          </cell>
          <cell r="E147" t="str">
            <v xml:space="preserve">                   </v>
          </cell>
          <cell r="F147" t="str">
            <v>2026/10/14 09:45:23</v>
          </cell>
          <cell r="H14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7" t="str">
            <v>BULTOS</v>
          </cell>
          <cell r="J147">
            <v>249</v>
          </cell>
          <cell r="K147">
            <v>4</v>
          </cell>
          <cell r="L147">
            <v>245</v>
          </cell>
        </row>
        <row r="148">
          <cell r="A148">
            <v>801029</v>
          </cell>
          <cell r="B148" t="str">
            <v xml:space="preserve">LA TORRE PUERTO BARRIOS                 </v>
          </cell>
          <cell r="D148" t="str">
            <v>Con Incidencias</v>
          </cell>
          <cell r="E148" t="str">
            <v xml:space="preserve">                   </v>
          </cell>
          <cell r="F148" t="str">
            <v>2026/10/14 09:50:25</v>
          </cell>
          <cell r="H14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8" t="str">
            <v>BULTOS</v>
          </cell>
          <cell r="J148">
            <v>451</v>
          </cell>
          <cell r="K148">
            <v>29</v>
          </cell>
          <cell r="L148">
            <v>422</v>
          </cell>
        </row>
        <row r="149">
          <cell r="A149">
            <v>801033</v>
          </cell>
          <cell r="B149" t="str">
            <v xml:space="preserve">LA TORRE PETAPOLIS                      </v>
          </cell>
          <cell r="D149" t="str">
            <v>Con Incidencias</v>
          </cell>
          <cell r="E149" t="str">
            <v xml:space="preserve">                   </v>
          </cell>
          <cell r="F149" t="str">
            <v>2026/10/14 09:50:51</v>
          </cell>
          <cell r="H14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49" t="str">
            <v>BULTOS</v>
          </cell>
          <cell r="J149">
            <v>289</v>
          </cell>
          <cell r="K149">
            <v>1</v>
          </cell>
          <cell r="L149">
            <v>288</v>
          </cell>
        </row>
        <row r="150">
          <cell r="A150">
            <v>801059</v>
          </cell>
          <cell r="B150" t="str">
            <v xml:space="preserve">LA TORRE PORTALES                       </v>
          </cell>
          <cell r="D150" t="str">
            <v>Con Incidencias</v>
          </cell>
          <cell r="E150" t="str">
            <v xml:space="preserve">                   </v>
          </cell>
          <cell r="F150" t="str">
            <v>2026/10/14 09:58:47</v>
          </cell>
          <cell r="H15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0" t="str">
            <v>BULTOS</v>
          </cell>
          <cell r="J150">
            <v>298</v>
          </cell>
          <cell r="K150">
            <v>8</v>
          </cell>
          <cell r="L150">
            <v>290</v>
          </cell>
        </row>
        <row r="151">
          <cell r="A151">
            <v>801061</v>
          </cell>
          <cell r="B151" t="str">
            <v xml:space="preserve">LA TORRE ZONA 11                        </v>
          </cell>
          <cell r="D151" t="str">
            <v>Con Incidencias</v>
          </cell>
          <cell r="E151" t="str">
            <v xml:space="preserve">                   </v>
          </cell>
          <cell r="F151" t="str">
            <v>2026/10/14 09:59:35</v>
          </cell>
          <cell r="H15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1" t="str">
            <v>BULTOS</v>
          </cell>
          <cell r="J151">
            <v>346</v>
          </cell>
          <cell r="K151">
            <v>8</v>
          </cell>
          <cell r="L151">
            <v>338</v>
          </cell>
        </row>
        <row r="152">
          <cell r="A152">
            <v>800910</v>
          </cell>
          <cell r="B152" t="str">
            <v xml:space="preserve">LA TORRE TIQUISATE                      </v>
          </cell>
          <cell r="D152" t="str">
            <v>Con Incidencias</v>
          </cell>
          <cell r="E152" t="str">
            <v xml:space="preserve">                   </v>
          </cell>
          <cell r="F152" t="str">
            <v>2026/10/13 09:17:07</v>
          </cell>
          <cell r="H15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2" t="str">
            <v>BULTOS</v>
          </cell>
          <cell r="J152">
            <v>280</v>
          </cell>
          <cell r="K152">
            <v>4</v>
          </cell>
          <cell r="L152">
            <v>276</v>
          </cell>
        </row>
        <row r="153">
          <cell r="A153">
            <v>800960</v>
          </cell>
          <cell r="B153" t="str">
            <v xml:space="preserve">LA TORRE METRONORTE                     </v>
          </cell>
          <cell r="D153" t="str">
            <v>Con Incidencias</v>
          </cell>
          <cell r="E153" t="str">
            <v xml:space="preserve">                   </v>
          </cell>
          <cell r="F153" t="str">
            <v>2026/10/14 08:12:31</v>
          </cell>
          <cell r="H15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3" t="str">
            <v>BULTOS</v>
          </cell>
          <cell r="J153">
            <v>336</v>
          </cell>
          <cell r="K153">
            <v>17</v>
          </cell>
          <cell r="L153">
            <v>319</v>
          </cell>
        </row>
        <row r="154">
          <cell r="A154">
            <v>800962</v>
          </cell>
          <cell r="B154" t="str">
            <v xml:space="preserve">LA TORRE MADERO                         </v>
          </cell>
          <cell r="D154" t="str">
            <v>Con Incidencias</v>
          </cell>
          <cell r="E154" t="str">
            <v xml:space="preserve">                   </v>
          </cell>
          <cell r="F154" t="str">
            <v>2026/10/14 08:12:45</v>
          </cell>
          <cell r="H15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4" t="str">
            <v>BULTOS</v>
          </cell>
          <cell r="J154">
            <v>350</v>
          </cell>
          <cell r="K154">
            <v>10</v>
          </cell>
          <cell r="L154">
            <v>340</v>
          </cell>
        </row>
        <row r="155">
          <cell r="A155">
            <v>800980</v>
          </cell>
          <cell r="B155" t="str">
            <v xml:space="preserve">LT SAN JOSE PINULA 3                    </v>
          </cell>
          <cell r="D155" t="str">
            <v>Con Incidencias</v>
          </cell>
          <cell r="E155" t="str">
            <v xml:space="preserve">                   </v>
          </cell>
          <cell r="F155" t="str">
            <v>2026/10/14 08:14:59</v>
          </cell>
          <cell r="H15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5" t="str">
            <v>BULTOS</v>
          </cell>
          <cell r="J155">
            <v>313</v>
          </cell>
          <cell r="K155">
            <v>11</v>
          </cell>
          <cell r="L155">
            <v>302</v>
          </cell>
        </row>
        <row r="156">
          <cell r="A156">
            <v>800988</v>
          </cell>
          <cell r="B156" t="str">
            <v xml:space="preserve">LA TORRE XELA 3                         </v>
          </cell>
          <cell r="D156" t="str">
            <v>Con Incidencias</v>
          </cell>
          <cell r="E156" t="str">
            <v xml:space="preserve">                   </v>
          </cell>
          <cell r="F156" t="str">
            <v>2026/10/14 09:40:09</v>
          </cell>
          <cell r="H15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6" t="str">
            <v>BULTOS</v>
          </cell>
          <cell r="J156">
            <v>354</v>
          </cell>
          <cell r="K156">
            <v>16</v>
          </cell>
          <cell r="L156">
            <v>338</v>
          </cell>
        </row>
        <row r="157">
          <cell r="A157">
            <v>801000</v>
          </cell>
          <cell r="B157" t="str">
            <v xml:space="preserve">LA TORRE SANARATE                       </v>
          </cell>
          <cell r="D157" t="str">
            <v>Con Incidencias</v>
          </cell>
          <cell r="E157" t="str">
            <v xml:space="preserve">                   </v>
          </cell>
          <cell r="F157" t="str">
            <v>2026/10/14 09:41:43</v>
          </cell>
          <cell r="H15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7" t="str">
            <v>BULTOS</v>
          </cell>
          <cell r="J157">
            <v>236</v>
          </cell>
          <cell r="K157">
            <v>2</v>
          </cell>
          <cell r="L157">
            <v>234</v>
          </cell>
        </row>
        <row r="158">
          <cell r="A158">
            <v>801003</v>
          </cell>
          <cell r="B158" t="str">
            <v xml:space="preserve">LA TORRE SAN MIGUEL PETAPA 2            </v>
          </cell>
          <cell r="D158" t="str">
            <v>Con Incidencias</v>
          </cell>
          <cell r="E158" t="str">
            <v xml:space="preserve">                   </v>
          </cell>
          <cell r="F158" t="str">
            <v>2026/10/14 09:42:05</v>
          </cell>
          <cell r="H15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8" t="str">
            <v>BULTOS</v>
          </cell>
          <cell r="J158">
            <v>191</v>
          </cell>
          <cell r="K158">
            <v>3</v>
          </cell>
          <cell r="L158">
            <v>188</v>
          </cell>
        </row>
        <row r="159">
          <cell r="A159">
            <v>801013</v>
          </cell>
          <cell r="B159" t="str">
            <v xml:space="preserve">ECONOSUPER LA BRIGADA                   </v>
          </cell>
          <cell r="D159" t="str">
            <v>Con Incidencias</v>
          </cell>
          <cell r="E159" t="str">
            <v xml:space="preserve">                   </v>
          </cell>
          <cell r="F159" t="str">
            <v>2026/10/14 09:44:58</v>
          </cell>
          <cell r="H15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59" t="str">
            <v>BULTOS</v>
          </cell>
          <cell r="J159">
            <v>149</v>
          </cell>
          <cell r="K159">
            <v>0</v>
          </cell>
          <cell r="L159">
            <v>149</v>
          </cell>
        </row>
        <row r="160">
          <cell r="A160">
            <v>801014</v>
          </cell>
          <cell r="B160" t="str">
            <v xml:space="preserve">ECONOSUPER XELA                         </v>
          </cell>
          <cell r="D160" t="str">
            <v>Con Incidencias</v>
          </cell>
          <cell r="E160" t="str">
            <v xml:space="preserve">                   </v>
          </cell>
          <cell r="F160" t="str">
            <v>2026/10/14 09:40:37</v>
          </cell>
          <cell r="H16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0" t="str">
            <v>BULTOS</v>
          </cell>
          <cell r="J160">
            <v>122</v>
          </cell>
          <cell r="K160">
            <v>2</v>
          </cell>
          <cell r="L160">
            <v>120</v>
          </cell>
        </row>
        <row r="161">
          <cell r="A161">
            <v>801015</v>
          </cell>
          <cell r="B161" t="str">
            <v xml:space="preserve">ECONOSUPER NIMAJUYU                     </v>
          </cell>
          <cell r="D161" t="str">
            <v>Con Incidencias</v>
          </cell>
          <cell r="E161" t="str">
            <v xml:space="preserve">                   </v>
          </cell>
          <cell r="F161" t="str">
            <v>2026/10/14 09:44:58</v>
          </cell>
          <cell r="H16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1" t="str">
            <v>BULTOS</v>
          </cell>
          <cell r="J161">
            <v>99</v>
          </cell>
          <cell r="K161">
            <v>0</v>
          </cell>
          <cell r="L161">
            <v>99</v>
          </cell>
        </row>
        <row r="162">
          <cell r="A162">
            <v>801016</v>
          </cell>
          <cell r="B162" t="str">
            <v xml:space="preserve">ECONOSUPER MILPAS ALTAS                 </v>
          </cell>
          <cell r="D162" t="str">
            <v>Con Incidencias</v>
          </cell>
          <cell r="E162" t="str">
            <v xml:space="preserve">                   </v>
          </cell>
          <cell r="F162" t="str">
            <v>2026/10/14 09:45:13</v>
          </cell>
          <cell r="H16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2" t="str">
            <v>BULTOS</v>
          </cell>
          <cell r="J162">
            <v>328</v>
          </cell>
          <cell r="K162">
            <v>4</v>
          </cell>
          <cell r="L162">
            <v>324</v>
          </cell>
        </row>
        <row r="163">
          <cell r="A163">
            <v>801052</v>
          </cell>
          <cell r="B163" t="str">
            <v xml:space="preserve">LA TORRE ESQUIPULAS                     </v>
          </cell>
          <cell r="D163" t="str">
            <v>Con Incidencias</v>
          </cell>
          <cell r="E163" t="str">
            <v xml:space="preserve">                   </v>
          </cell>
          <cell r="F163" t="str">
            <v>2026/10/14 09:53:59</v>
          </cell>
          <cell r="H16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3" t="str">
            <v>BULTOS</v>
          </cell>
          <cell r="J163">
            <v>338</v>
          </cell>
          <cell r="K163">
            <v>8</v>
          </cell>
          <cell r="L163">
            <v>330</v>
          </cell>
        </row>
        <row r="164">
          <cell r="A164">
            <v>800866</v>
          </cell>
          <cell r="B164" t="str">
            <v xml:space="preserve">LA TORRE INDEPENDENCIA                  </v>
          </cell>
          <cell r="D164" t="str">
            <v>Con Incidencias</v>
          </cell>
          <cell r="E164" t="str">
            <v xml:space="preserve">                   </v>
          </cell>
          <cell r="F164" t="str">
            <v>2026/10/13 09:02:46</v>
          </cell>
          <cell r="H16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4" t="str">
            <v>BULTOS</v>
          </cell>
          <cell r="J164">
            <v>303</v>
          </cell>
          <cell r="K164">
            <v>3</v>
          </cell>
          <cell r="L164">
            <v>300</v>
          </cell>
        </row>
        <row r="165">
          <cell r="A165">
            <v>800943</v>
          </cell>
          <cell r="B165" t="str">
            <v xml:space="preserve">ECONOSUPER ZONA 6                       </v>
          </cell>
          <cell r="D165" t="str">
            <v>Con Incidencias</v>
          </cell>
          <cell r="E165" t="str">
            <v xml:space="preserve">                   </v>
          </cell>
          <cell r="F165" t="str">
            <v>2026/10/14 08:10:32</v>
          </cell>
          <cell r="H16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5" t="str">
            <v>BULTOS</v>
          </cell>
          <cell r="J165">
            <v>293</v>
          </cell>
          <cell r="K165">
            <v>5</v>
          </cell>
          <cell r="L165">
            <v>288</v>
          </cell>
        </row>
        <row r="166">
          <cell r="A166">
            <v>800947</v>
          </cell>
          <cell r="B166" t="str">
            <v xml:space="preserve">LA TORRE AMATITLAN2                     </v>
          </cell>
          <cell r="D166" t="str">
            <v>Con Incidencias</v>
          </cell>
          <cell r="E166" t="str">
            <v xml:space="preserve">                   </v>
          </cell>
          <cell r="F166" t="str">
            <v>2026/10/14 08:11:01</v>
          </cell>
          <cell r="H16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6" t="str">
            <v>BULTOS</v>
          </cell>
          <cell r="J166">
            <v>303</v>
          </cell>
          <cell r="K166">
            <v>7</v>
          </cell>
          <cell r="L166">
            <v>296</v>
          </cell>
        </row>
        <row r="167">
          <cell r="A167">
            <v>800948</v>
          </cell>
          <cell r="B167" t="str">
            <v xml:space="preserve">LA TORRE CAYALA 2                       </v>
          </cell>
          <cell r="D167" t="str">
            <v>Con Incidencias</v>
          </cell>
          <cell r="E167" t="str">
            <v xml:space="preserve">                   </v>
          </cell>
          <cell r="F167" t="str">
            <v>2026/10/14 08:11:07</v>
          </cell>
          <cell r="H16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7" t="str">
            <v>BULTOS</v>
          </cell>
          <cell r="J167">
            <v>264</v>
          </cell>
          <cell r="K167">
            <v>9</v>
          </cell>
          <cell r="L167">
            <v>255</v>
          </cell>
        </row>
        <row r="168">
          <cell r="A168">
            <v>800952</v>
          </cell>
          <cell r="B168" t="str">
            <v xml:space="preserve">LA TORRE EL NARANJO                     </v>
          </cell>
          <cell r="D168" t="str">
            <v>Con Incidencias</v>
          </cell>
          <cell r="E168" t="str">
            <v xml:space="preserve">                   </v>
          </cell>
          <cell r="F168" t="str">
            <v>2026/10/14 08:11:37</v>
          </cell>
          <cell r="H16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8" t="str">
            <v>BULTOS</v>
          </cell>
          <cell r="J168">
            <v>379</v>
          </cell>
          <cell r="K168">
            <v>12</v>
          </cell>
          <cell r="L168">
            <v>367</v>
          </cell>
        </row>
        <row r="169">
          <cell r="A169">
            <v>800955</v>
          </cell>
          <cell r="B169" t="str">
            <v xml:space="preserve">LA TORRE LA RADIAL                      </v>
          </cell>
          <cell r="D169" t="str">
            <v>Con Incidencias</v>
          </cell>
          <cell r="E169" t="str">
            <v xml:space="preserve">                   </v>
          </cell>
          <cell r="F169" t="str">
            <v>2026/10/14 08:11:57</v>
          </cell>
          <cell r="H16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69" t="str">
            <v>BULTOS</v>
          </cell>
          <cell r="J169">
            <v>324</v>
          </cell>
          <cell r="K169">
            <v>5</v>
          </cell>
          <cell r="L169">
            <v>319</v>
          </cell>
        </row>
        <row r="170">
          <cell r="A170">
            <v>800992</v>
          </cell>
          <cell r="B170" t="str">
            <v xml:space="preserve">LA TORRE VILLA CANALES                  </v>
          </cell>
          <cell r="D170" t="str">
            <v>Con Incidencias</v>
          </cell>
          <cell r="E170" t="str">
            <v xml:space="preserve">                   </v>
          </cell>
          <cell r="F170" t="str">
            <v>2026/10/14 09:40:48</v>
          </cell>
          <cell r="H17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0" t="str">
            <v>BULTOS</v>
          </cell>
          <cell r="J170">
            <v>225</v>
          </cell>
          <cell r="K170">
            <v>5</v>
          </cell>
          <cell r="L170">
            <v>220</v>
          </cell>
        </row>
        <row r="171">
          <cell r="A171">
            <v>800993</v>
          </cell>
          <cell r="B171" t="str">
            <v xml:space="preserve">LA TORRE TULAM TZU                      </v>
          </cell>
          <cell r="D171" t="str">
            <v>Con Incidencias</v>
          </cell>
          <cell r="E171" t="str">
            <v xml:space="preserve">                   </v>
          </cell>
          <cell r="F171" t="str">
            <v>2026/10/14 09:40:54</v>
          </cell>
          <cell r="H17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1" t="str">
            <v>BULTOS</v>
          </cell>
          <cell r="J171">
            <v>362</v>
          </cell>
          <cell r="K171">
            <v>9</v>
          </cell>
          <cell r="L171">
            <v>353</v>
          </cell>
        </row>
        <row r="172">
          <cell r="A172">
            <v>800997</v>
          </cell>
          <cell r="B172" t="str">
            <v xml:space="preserve">LA TORRE SANTA LUCIA                    </v>
          </cell>
          <cell r="D172" t="str">
            <v>Con Incidencias</v>
          </cell>
          <cell r="E172" t="str">
            <v xml:space="preserve">                   </v>
          </cell>
          <cell r="F172" t="str">
            <v>2026/10/14 09:41:23</v>
          </cell>
          <cell r="H17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2" t="str">
            <v>BULTOS</v>
          </cell>
          <cell r="J172">
            <v>320</v>
          </cell>
          <cell r="K172">
            <v>9</v>
          </cell>
          <cell r="L172">
            <v>311</v>
          </cell>
        </row>
        <row r="173">
          <cell r="A173">
            <v>801020</v>
          </cell>
          <cell r="B173" t="str">
            <v xml:space="preserve">LA TORRE CENTRICO Z5                    </v>
          </cell>
          <cell r="D173" t="str">
            <v>Con Incidencias</v>
          </cell>
          <cell r="E173" t="str">
            <v xml:space="preserve">                   </v>
          </cell>
          <cell r="F173" t="str">
            <v>2026/10/14 09:45:34</v>
          </cell>
          <cell r="H17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3" t="str">
            <v>BULTOS</v>
          </cell>
          <cell r="J173">
            <v>385</v>
          </cell>
          <cell r="K173">
            <v>1</v>
          </cell>
          <cell r="L173">
            <v>384</v>
          </cell>
        </row>
        <row r="174">
          <cell r="A174">
            <v>801021</v>
          </cell>
          <cell r="B174" t="str">
            <v xml:space="preserve">LA TORRE CARCHA                         </v>
          </cell>
          <cell r="D174" t="str">
            <v>Con Incidencias</v>
          </cell>
          <cell r="E174" t="str">
            <v xml:space="preserve">                   </v>
          </cell>
          <cell r="F174" t="str">
            <v>2026/10/14 09:45:39</v>
          </cell>
          <cell r="H17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4" t="str">
            <v>BULTOS</v>
          </cell>
          <cell r="J174">
            <v>179</v>
          </cell>
          <cell r="K174">
            <v>1</v>
          </cell>
          <cell r="L174">
            <v>178</v>
          </cell>
        </row>
        <row r="175">
          <cell r="A175">
            <v>801023</v>
          </cell>
          <cell r="B175" t="str">
            <v xml:space="preserve">LA TORRE CHIMALTENANGO                  </v>
          </cell>
          <cell r="D175" t="str">
            <v>Con Incidencias</v>
          </cell>
          <cell r="E175" t="str">
            <v xml:space="preserve">                   </v>
          </cell>
          <cell r="F175" t="str">
            <v>2026/10/14 09:45:53</v>
          </cell>
          <cell r="H17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5" t="str">
            <v>BULTOS</v>
          </cell>
          <cell r="J175">
            <v>289</v>
          </cell>
          <cell r="K175">
            <v>19</v>
          </cell>
          <cell r="L175">
            <v>270</v>
          </cell>
        </row>
        <row r="176">
          <cell r="A176">
            <v>801031</v>
          </cell>
          <cell r="B176" t="str">
            <v xml:space="preserve">LA TORRE PALMERAS                       </v>
          </cell>
          <cell r="D176" t="str">
            <v>Con Incidencias</v>
          </cell>
          <cell r="E176" t="str">
            <v xml:space="preserve">                   </v>
          </cell>
          <cell r="F176" t="str">
            <v>2026/10/14 09:50:40</v>
          </cell>
          <cell r="H17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6" t="str">
            <v>BULTOS</v>
          </cell>
          <cell r="J176">
            <v>177</v>
          </cell>
          <cell r="K176">
            <v>1</v>
          </cell>
          <cell r="L176">
            <v>176</v>
          </cell>
        </row>
        <row r="177">
          <cell r="A177">
            <v>801042</v>
          </cell>
          <cell r="B177" t="str">
            <v xml:space="preserve">LA TORRE JUTIAPA                        </v>
          </cell>
          <cell r="D177" t="str">
            <v>Con Incidencias</v>
          </cell>
          <cell r="E177" t="str">
            <v xml:space="preserve">                   </v>
          </cell>
          <cell r="F177" t="str">
            <v>2026/10/14 09:52:08</v>
          </cell>
          <cell r="H17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7" t="str">
            <v>BULTOS</v>
          </cell>
          <cell r="J177">
            <v>360</v>
          </cell>
          <cell r="K177">
            <v>13</v>
          </cell>
          <cell r="L177">
            <v>347</v>
          </cell>
        </row>
        <row r="178">
          <cell r="A178">
            <v>801048</v>
          </cell>
          <cell r="B178" t="str">
            <v xml:space="preserve">LA TORRE COBAN                          </v>
          </cell>
          <cell r="D178" t="str">
            <v>Con Incidencias</v>
          </cell>
          <cell r="E178" t="str">
            <v xml:space="preserve">                   </v>
          </cell>
          <cell r="F178" t="str">
            <v>2026/10/14 09:53:24</v>
          </cell>
          <cell r="H17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8" t="str">
            <v>BULTOS</v>
          </cell>
          <cell r="J178">
            <v>277</v>
          </cell>
          <cell r="K178">
            <v>2</v>
          </cell>
          <cell r="L178">
            <v>275</v>
          </cell>
        </row>
        <row r="179">
          <cell r="A179">
            <v>801051</v>
          </cell>
          <cell r="B179" t="str">
            <v xml:space="preserve">LA TORRE CUATRO CAMINOS                 </v>
          </cell>
          <cell r="D179" t="str">
            <v>Con Incidencias</v>
          </cell>
          <cell r="E179" t="str">
            <v xml:space="preserve">                   </v>
          </cell>
          <cell r="F179" t="str">
            <v>2026/10/14 09:53:50</v>
          </cell>
          <cell r="H17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79" t="str">
            <v>BULTOS</v>
          </cell>
          <cell r="J179">
            <v>269</v>
          </cell>
          <cell r="K179">
            <v>8</v>
          </cell>
          <cell r="L179">
            <v>261</v>
          </cell>
        </row>
        <row r="180">
          <cell r="A180">
            <v>801062</v>
          </cell>
          <cell r="B180" t="str">
            <v xml:space="preserve">LA TORRE ZONA 14                        </v>
          </cell>
          <cell r="D180" t="str">
            <v>Con Incidencias</v>
          </cell>
          <cell r="E180" t="str">
            <v xml:space="preserve">                   </v>
          </cell>
          <cell r="F180" t="str">
            <v>2026/10/14 09:59:49</v>
          </cell>
          <cell r="H18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0" t="str">
            <v>BULTOS</v>
          </cell>
          <cell r="J180">
            <v>252</v>
          </cell>
          <cell r="K180">
            <v>13</v>
          </cell>
          <cell r="L180">
            <v>239</v>
          </cell>
        </row>
        <row r="181">
          <cell r="A181">
            <v>801064</v>
          </cell>
          <cell r="B181" t="str">
            <v xml:space="preserve">LTX CD RANSA                            </v>
          </cell>
          <cell r="D181" t="str">
            <v>Con Incidencias</v>
          </cell>
          <cell r="E181" t="str">
            <v xml:space="preserve">                   </v>
          </cell>
          <cell r="F181" t="str">
            <v>2026/10/14 10:16:18</v>
          </cell>
          <cell r="H18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1" t="str">
            <v>BULTOS</v>
          </cell>
          <cell r="J181">
            <v>514</v>
          </cell>
          <cell r="K181">
            <v>143</v>
          </cell>
          <cell r="L181">
            <v>371</v>
          </cell>
        </row>
        <row r="182">
          <cell r="A182">
            <v>800876</v>
          </cell>
          <cell r="B182" t="str">
            <v xml:space="preserve">LA TORRE MALACATAN                      </v>
          </cell>
          <cell r="D182" t="str">
            <v>Con Incidencias</v>
          </cell>
          <cell r="E182" t="str">
            <v xml:space="preserve">                   </v>
          </cell>
          <cell r="F182" t="str">
            <v>2026/10/13 09:05:18</v>
          </cell>
          <cell r="H18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2" t="str">
            <v>BULTOS</v>
          </cell>
          <cell r="J182">
            <v>545</v>
          </cell>
          <cell r="K182">
            <v>15</v>
          </cell>
          <cell r="L182">
            <v>530</v>
          </cell>
        </row>
        <row r="183">
          <cell r="A183">
            <v>800970</v>
          </cell>
          <cell r="B183" t="str">
            <v xml:space="preserve">LA TORRE SAN CRISTOBAL                  </v>
          </cell>
          <cell r="D183" t="str">
            <v>Con Incidencias</v>
          </cell>
          <cell r="E183" t="str">
            <v xml:space="preserve">                   </v>
          </cell>
          <cell r="F183" t="str">
            <v>2026/10/14 08:13:47</v>
          </cell>
          <cell r="H183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3" t="str">
            <v>BULTOS</v>
          </cell>
          <cell r="J183">
            <v>293</v>
          </cell>
          <cell r="K183">
            <v>5</v>
          </cell>
          <cell r="L183">
            <v>288</v>
          </cell>
        </row>
        <row r="184">
          <cell r="A184">
            <v>800990</v>
          </cell>
          <cell r="B184" t="str">
            <v xml:space="preserve">LA TORRE VILLALOBOS                     </v>
          </cell>
          <cell r="D184" t="str">
            <v>Con Incidencias</v>
          </cell>
          <cell r="E184" t="str">
            <v xml:space="preserve">                   </v>
          </cell>
          <cell r="F184" t="str">
            <v>2026/10/14 09:40:37</v>
          </cell>
          <cell r="H184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4" t="str">
            <v>BULTOS</v>
          </cell>
          <cell r="J184">
            <v>186</v>
          </cell>
          <cell r="K184">
            <v>5</v>
          </cell>
          <cell r="L184">
            <v>181</v>
          </cell>
        </row>
        <row r="185">
          <cell r="A185">
            <v>800994</v>
          </cell>
          <cell r="B185" t="str">
            <v xml:space="preserve">LA TORRE TRINIDAD                       </v>
          </cell>
          <cell r="D185" t="str">
            <v>Con Incidencias</v>
          </cell>
          <cell r="E185" t="str">
            <v xml:space="preserve">                   </v>
          </cell>
          <cell r="F185" t="str">
            <v>2026/10/14 09:41:00</v>
          </cell>
          <cell r="H185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5" t="str">
            <v>BULTOS</v>
          </cell>
          <cell r="J185">
            <v>437</v>
          </cell>
          <cell r="K185">
            <v>43</v>
          </cell>
          <cell r="L185">
            <v>394</v>
          </cell>
        </row>
        <row r="186">
          <cell r="A186">
            <v>801019</v>
          </cell>
          <cell r="B186" t="str">
            <v xml:space="preserve">LA TORRE ANTIGUA 3                      </v>
          </cell>
          <cell r="D186" t="str">
            <v>Con Incidencias</v>
          </cell>
          <cell r="E186" t="str">
            <v xml:space="preserve">                   </v>
          </cell>
          <cell r="F186" t="str">
            <v>2026/10/14 09:45:17</v>
          </cell>
          <cell r="H186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6" t="str">
            <v>BULTOS</v>
          </cell>
          <cell r="J186">
            <v>109</v>
          </cell>
          <cell r="K186">
            <v>0</v>
          </cell>
          <cell r="L186">
            <v>109</v>
          </cell>
        </row>
        <row r="187">
          <cell r="A187">
            <v>801030</v>
          </cell>
          <cell r="B187" t="str">
            <v xml:space="preserve">LA TORRE PUERTO SAN JOSE                </v>
          </cell>
          <cell r="D187" t="str">
            <v>Con Incidencias</v>
          </cell>
          <cell r="E187" t="str">
            <v xml:space="preserve">                   </v>
          </cell>
          <cell r="F187" t="str">
            <v>2026/10/14 09:50:35</v>
          </cell>
          <cell r="H187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7" t="str">
            <v>BULTOS</v>
          </cell>
          <cell r="J187">
            <v>500</v>
          </cell>
          <cell r="K187">
            <v>11</v>
          </cell>
          <cell r="L187">
            <v>489</v>
          </cell>
        </row>
        <row r="188">
          <cell r="A188">
            <v>801038</v>
          </cell>
          <cell r="B188" t="str">
            <v xml:space="preserve">LA TORRE MITA                           </v>
          </cell>
          <cell r="D188" t="str">
            <v>Con Incidencias</v>
          </cell>
          <cell r="E188" t="str">
            <v xml:space="preserve">                   </v>
          </cell>
          <cell r="F188" t="str">
            <v>2026/10/14 09:51:32</v>
          </cell>
          <cell r="H188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8" t="str">
            <v>BULTOS</v>
          </cell>
          <cell r="J188">
            <v>423</v>
          </cell>
          <cell r="K188">
            <v>10</v>
          </cell>
          <cell r="L188">
            <v>413</v>
          </cell>
        </row>
        <row r="189">
          <cell r="A189">
            <v>801039</v>
          </cell>
          <cell r="B189" t="str">
            <v xml:space="preserve">LA TORRE MORALES                        </v>
          </cell>
          <cell r="D189" t="str">
            <v>Con Incidencias</v>
          </cell>
          <cell r="E189" t="str">
            <v xml:space="preserve">                   </v>
          </cell>
          <cell r="F189" t="str">
            <v>2026/10/14 09:51:41</v>
          </cell>
          <cell r="H189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89" t="str">
            <v>BULTOS</v>
          </cell>
          <cell r="J189">
            <v>341</v>
          </cell>
          <cell r="K189">
            <v>22</v>
          </cell>
          <cell r="L189">
            <v>319</v>
          </cell>
        </row>
        <row r="190">
          <cell r="A190">
            <v>801044</v>
          </cell>
          <cell r="B190" t="str">
            <v xml:space="preserve">LA TORRE LIKIN                          </v>
          </cell>
          <cell r="D190" t="str">
            <v>Con Incidencias</v>
          </cell>
          <cell r="E190" t="str">
            <v xml:space="preserve">                   </v>
          </cell>
          <cell r="F190" t="str">
            <v>2026/10/14 09:52:18</v>
          </cell>
          <cell r="H190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90" t="str">
            <v>BULTOS</v>
          </cell>
          <cell r="J190">
            <v>350</v>
          </cell>
          <cell r="K190">
            <v>8</v>
          </cell>
          <cell r="L190">
            <v>342</v>
          </cell>
        </row>
        <row r="191">
          <cell r="A191">
            <v>801047</v>
          </cell>
          <cell r="B191" t="str">
            <v xml:space="preserve">LA TORRE CHIQUIMULA                     </v>
          </cell>
          <cell r="D191" t="str">
            <v>Con Incidencias</v>
          </cell>
          <cell r="E191" t="str">
            <v xml:space="preserve">                   </v>
          </cell>
          <cell r="F191" t="str">
            <v>2026/10/14 09:53:17</v>
          </cell>
          <cell r="H191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91" t="str">
            <v>BULTOS</v>
          </cell>
          <cell r="J191">
            <v>819</v>
          </cell>
          <cell r="K191">
            <v>19</v>
          </cell>
          <cell r="L191">
            <v>800</v>
          </cell>
        </row>
        <row r="192">
          <cell r="A192">
            <v>801053</v>
          </cell>
          <cell r="B192" t="str">
            <v xml:space="preserve">LA TORRE ESCUINTLA 3                    </v>
          </cell>
          <cell r="D192" t="str">
            <v>Con Incidencias</v>
          </cell>
          <cell r="E192" t="str">
            <v xml:space="preserve">                   </v>
          </cell>
          <cell r="F192" t="str">
            <v>2026/10/14 09:54:06</v>
          </cell>
          <cell r="H192" t="str">
            <v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192" t="str">
            <v>BULTOS</v>
          </cell>
          <cell r="J192">
            <v>303</v>
          </cell>
          <cell r="K192">
            <v>11</v>
          </cell>
          <cell r="L192">
            <v>292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showGridLines="0" tabSelected="1" workbookViewId="0">
      <selection activeCell="H2" sqref="H2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4" t="s">
        <v>0</v>
      </c>
      <c r="B1" s="14"/>
      <c r="C1" s="14"/>
    </row>
    <row r="2" spans="1:8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" customHeight="1" x14ac:dyDescent="0.3">
      <c r="A3" s="3">
        <v>801064</v>
      </c>
      <c r="B3" s="3" t="s">
        <v>9</v>
      </c>
      <c r="C3" s="3">
        <v>514</v>
      </c>
      <c r="D3" s="4">
        <v>371</v>
      </c>
      <c r="E3" s="5">
        <v>14.84</v>
      </c>
      <c r="F3" s="4" t="s">
        <v>133</v>
      </c>
      <c r="G3" s="4"/>
      <c r="H3" s="2"/>
    </row>
    <row r="4" spans="1:8" ht="15" customHeight="1" x14ac:dyDescent="0.3">
      <c r="A4" s="3">
        <v>801063</v>
      </c>
      <c r="B4" s="3" t="s">
        <v>10</v>
      </c>
      <c r="C4" s="3">
        <v>272</v>
      </c>
      <c r="D4" s="4">
        <v>259</v>
      </c>
      <c r="E4" s="5">
        <v>10.36</v>
      </c>
      <c r="F4" s="4" t="s">
        <v>134</v>
      </c>
      <c r="G4" s="4"/>
      <c r="H4" s="2"/>
    </row>
    <row r="5" spans="1:8" ht="15" customHeight="1" x14ac:dyDescent="0.3">
      <c r="A5" s="3">
        <v>801062</v>
      </c>
      <c r="B5" s="3" t="s">
        <v>11</v>
      </c>
      <c r="C5" s="3">
        <v>252</v>
      </c>
      <c r="D5" s="4">
        <v>239</v>
      </c>
      <c r="E5" s="5">
        <v>9.56</v>
      </c>
      <c r="F5" s="4" t="s">
        <v>134</v>
      </c>
      <c r="G5" s="4"/>
      <c r="H5" s="2"/>
    </row>
    <row r="6" spans="1:8" ht="15" customHeight="1" x14ac:dyDescent="0.3">
      <c r="A6" s="3">
        <v>801061</v>
      </c>
      <c r="B6" s="3" t="s">
        <v>12</v>
      </c>
      <c r="C6" s="3">
        <v>346</v>
      </c>
      <c r="D6" s="4">
        <v>338</v>
      </c>
      <c r="E6" s="5">
        <v>13.52</v>
      </c>
      <c r="F6" s="4" t="s">
        <v>134</v>
      </c>
      <c r="G6" s="4"/>
      <c r="H6" s="2">
        <v>800833</v>
      </c>
    </row>
    <row r="7" spans="1:8" ht="15" customHeight="1" x14ac:dyDescent="0.3">
      <c r="A7" s="3">
        <v>801060</v>
      </c>
      <c r="B7" s="3" t="s">
        <v>13</v>
      </c>
      <c r="C7" s="3">
        <v>253</v>
      </c>
      <c r="D7" s="4">
        <v>244</v>
      </c>
      <c r="E7" s="5">
        <v>9.76</v>
      </c>
      <c r="F7" s="4" t="s">
        <v>134</v>
      </c>
      <c r="G7" s="4"/>
      <c r="H7" s="2"/>
    </row>
    <row r="8" spans="1:8" ht="15" customHeight="1" x14ac:dyDescent="0.3">
      <c r="A8" s="3">
        <v>801059</v>
      </c>
      <c r="B8" s="3" t="s">
        <v>14</v>
      </c>
      <c r="C8" s="3">
        <v>298</v>
      </c>
      <c r="D8" s="4">
        <v>290</v>
      </c>
      <c r="E8" s="5">
        <v>11.6</v>
      </c>
      <c r="F8" s="4" t="s">
        <v>135</v>
      </c>
      <c r="G8" s="4" t="s">
        <v>136</v>
      </c>
      <c r="H8" s="2"/>
    </row>
    <row r="9" spans="1:8" ht="15" customHeight="1" x14ac:dyDescent="0.3">
      <c r="A9" s="3">
        <v>801058</v>
      </c>
      <c r="B9" s="3" t="s">
        <v>15</v>
      </c>
      <c r="C9" s="3">
        <v>307</v>
      </c>
      <c r="D9" s="4">
        <v>296</v>
      </c>
      <c r="E9" s="5">
        <v>11.84</v>
      </c>
      <c r="F9" s="4" t="s">
        <v>137</v>
      </c>
      <c r="G9" s="4"/>
      <c r="H9" s="2">
        <v>800870</v>
      </c>
    </row>
    <row r="10" spans="1:8" ht="15" customHeight="1" x14ac:dyDescent="0.3">
      <c r="A10" s="3">
        <v>801057</v>
      </c>
      <c r="B10" s="3" t="s">
        <v>16</v>
      </c>
      <c r="C10" s="3">
        <v>436</v>
      </c>
      <c r="D10" s="4">
        <v>420</v>
      </c>
      <c r="E10" s="5">
        <v>16.8</v>
      </c>
      <c r="F10" s="4" t="s">
        <v>134</v>
      </c>
      <c r="G10" s="4" t="s">
        <v>136</v>
      </c>
      <c r="H10" s="2"/>
    </row>
    <row r="11" spans="1:8" ht="15" customHeight="1" x14ac:dyDescent="0.3">
      <c r="A11" s="3">
        <v>801056</v>
      </c>
      <c r="B11" s="3" t="s">
        <v>17</v>
      </c>
      <c r="C11" s="3">
        <v>485</v>
      </c>
      <c r="D11" s="4">
        <v>477</v>
      </c>
      <c r="E11" s="5">
        <v>19.080000000000002</v>
      </c>
      <c r="F11" s="4" t="s">
        <v>137</v>
      </c>
      <c r="G11" s="4"/>
      <c r="H11" s="2">
        <v>800864</v>
      </c>
    </row>
    <row r="12" spans="1:8" ht="15" customHeight="1" x14ac:dyDescent="0.3">
      <c r="A12" s="3">
        <v>801055</v>
      </c>
      <c r="B12" s="3" t="s">
        <v>18</v>
      </c>
      <c r="C12" s="3">
        <v>264</v>
      </c>
      <c r="D12" s="4">
        <v>254</v>
      </c>
      <c r="E12" s="5">
        <v>10.16</v>
      </c>
      <c r="F12" s="4" t="s">
        <v>137</v>
      </c>
      <c r="G12" s="4"/>
      <c r="H12" s="2"/>
    </row>
    <row r="13" spans="1:8" ht="15" customHeight="1" x14ac:dyDescent="0.3">
      <c r="A13" s="3">
        <v>801054</v>
      </c>
      <c r="B13" s="3" t="s">
        <v>19</v>
      </c>
      <c r="C13" s="3">
        <v>400</v>
      </c>
      <c r="D13" s="4">
        <v>385</v>
      </c>
      <c r="E13" s="5">
        <v>15.4</v>
      </c>
      <c r="F13" s="4" t="s">
        <v>137</v>
      </c>
      <c r="G13" s="4"/>
      <c r="H13" s="2">
        <v>800860</v>
      </c>
    </row>
    <row r="14" spans="1:8" ht="15" customHeight="1" x14ac:dyDescent="0.3">
      <c r="A14" s="3">
        <v>801053</v>
      </c>
      <c r="B14" s="3" t="s">
        <v>20</v>
      </c>
      <c r="C14" s="3">
        <v>303</v>
      </c>
      <c r="D14" s="4">
        <v>292</v>
      </c>
      <c r="E14" s="5">
        <v>11.68</v>
      </c>
      <c r="F14" s="4" t="s">
        <v>133</v>
      </c>
      <c r="G14" s="4"/>
      <c r="H14" s="2"/>
    </row>
    <row r="15" spans="1:8" ht="15" customHeight="1" x14ac:dyDescent="0.3">
      <c r="A15" s="3">
        <v>801052</v>
      </c>
      <c r="B15" s="3" t="s">
        <v>21</v>
      </c>
      <c r="C15" s="3">
        <v>338</v>
      </c>
      <c r="D15" s="4">
        <v>330</v>
      </c>
      <c r="E15" s="5">
        <v>13.200000000000001</v>
      </c>
      <c r="F15" s="4" t="s">
        <v>137</v>
      </c>
      <c r="G15" s="4"/>
      <c r="H15" s="2"/>
    </row>
    <row r="16" spans="1:8" ht="15" customHeight="1" x14ac:dyDescent="0.3">
      <c r="A16" s="3">
        <v>801051</v>
      </c>
      <c r="B16" s="3" t="s">
        <v>22</v>
      </c>
      <c r="C16" s="3">
        <v>269</v>
      </c>
      <c r="D16" s="4">
        <v>261</v>
      </c>
      <c r="E16" s="5">
        <v>10.44</v>
      </c>
      <c r="F16" s="4" t="s">
        <v>137</v>
      </c>
      <c r="G16" s="4"/>
      <c r="H16" s="2"/>
    </row>
    <row r="17" spans="1:8" ht="15" customHeight="1" x14ac:dyDescent="0.3">
      <c r="A17" s="3">
        <v>801050</v>
      </c>
      <c r="B17" s="3" t="s">
        <v>23</v>
      </c>
      <c r="C17" s="3">
        <v>267</v>
      </c>
      <c r="D17" s="4">
        <v>264</v>
      </c>
      <c r="E17" s="5">
        <v>10.56</v>
      </c>
      <c r="F17" s="4" t="s">
        <v>133</v>
      </c>
      <c r="G17" s="4"/>
      <c r="H17" s="2"/>
    </row>
    <row r="18" spans="1:8" ht="15" customHeight="1" x14ac:dyDescent="0.3">
      <c r="A18" s="3">
        <v>801049</v>
      </c>
      <c r="B18" s="3" t="s">
        <v>24</v>
      </c>
      <c r="C18" s="3">
        <v>337</v>
      </c>
      <c r="D18" s="4">
        <v>320</v>
      </c>
      <c r="E18" s="5">
        <v>12.8</v>
      </c>
      <c r="F18" s="4" t="s">
        <v>137</v>
      </c>
      <c r="G18" s="4"/>
      <c r="H18" s="2"/>
    </row>
    <row r="19" spans="1:8" ht="15" customHeight="1" x14ac:dyDescent="0.3">
      <c r="A19" s="3">
        <v>801048</v>
      </c>
      <c r="B19" s="3" t="s">
        <v>25</v>
      </c>
      <c r="C19" s="3">
        <v>277</v>
      </c>
      <c r="D19" s="4">
        <v>275</v>
      </c>
      <c r="E19" s="5">
        <v>11</v>
      </c>
      <c r="F19" s="4" t="s">
        <v>137</v>
      </c>
      <c r="G19" s="4"/>
      <c r="H19" s="2"/>
    </row>
    <row r="20" spans="1:8" ht="15" customHeight="1" x14ac:dyDescent="0.3">
      <c r="A20" s="3">
        <v>801047</v>
      </c>
      <c r="B20" s="3" t="s">
        <v>26</v>
      </c>
      <c r="C20" s="3">
        <v>819</v>
      </c>
      <c r="D20" s="4">
        <v>800</v>
      </c>
      <c r="E20" s="5">
        <v>32</v>
      </c>
      <c r="F20" s="4" t="s">
        <v>137</v>
      </c>
      <c r="G20" s="4"/>
      <c r="H20" s="2"/>
    </row>
    <row r="21" spans="1:8" ht="15" customHeight="1" x14ac:dyDescent="0.3">
      <c r="A21" s="3">
        <v>801046</v>
      </c>
      <c r="B21" s="3" t="s">
        <v>27</v>
      </c>
      <c r="C21" s="3">
        <v>350</v>
      </c>
      <c r="D21" s="4">
        <v>331</v>
      </c>
      <c r="E21" s="5">
        <v>13.24</v>
      </c>
      <c r="F21" s="4" t="s">
        <v>137</v>
      </c>
      <c r="G21" s="4"/>
      <c r="H21" s="2">
        <v>800875</v>
      </c>
    </row>
    <row r="22" spans="1:8" ht="15" customHeight="1" x14ac:dyDescent="0.3">
      <c r="A22" s="3">
        <v>801045</v>
      </c>
      <c r="B22" s="3" t="s">
        <v>28</v>
      </c>
      <c r="C22" s="3">
        <v>223</v>
      </c>
      <c r="D22" s="4">
        <v>217</v>
      </c>
      <c r="E22" s="5">
        <v>8.68</v>
      </c>
      <c r="F22" s="4" t="s">
        <v>138</v>
      </c>
      <c r="G22" s="4"/>
      <c r="H22" s="2">
        <v>800874</v>
      </c>
    </row>
    <row r="23" spans="1:8" ht="15" customHeight="1" x14ac:dyDescent="0.3">
      <c r="A23" s="3">
        <v>801044</v>
      </c>
      <c r="B23" s="3" t="s">
        <v>29</v>
      </c>
      <c r="C23" s="3">
        <v>350</v>
      </c>
      <c r="D23" s="4">
        <v>342</v>
      </c>
      <c r="E23" s="5">
        <v>13.68</v>
      </c>
      <c r="F23" s="4" t="s">
        <v>137</v>
      </c>
      <c r="G23" s="4"/>
      <c r="H23" s="2">
        <v>800873</v>
      </c>
    </row>
    <row r="24" spans="1:8" ht="15" customHeight="1" x14ac:dyDescent="0.3">
      <c r="A24" s="3">
        <v>801042</v>
      </c>
      <c r="B24" s="3" t="s">
        <v>30</v>
      </c>
      <c r="C24" s="3">
        <v>360</v>
      </c>
      <c r="D24" s="4">
        <v>347</v>
      </c>
      <c r="E24" s="5">
        <v>13.88</v>
      </c>
      <c r="F24" s="4" t="s">
        <v>137</v>
      </c>
      <c r="G24" s="4"/>
      <c r="H24" s="2">
        <v>800872</v>
      </c>
    </row>
    <row r="25" spans="1:8" ht="15" customHeight="1" x14ac:dyDescent="0.3">
      <c r="A25" s="3">
        <v>801039</v>
      </c>
      <c r="B25" s="3" t="s">
        <v>31</v>
      </c>
      <c r="C25" s="3">
        <v>341</v>
      </c>
      <c r="D25" s="4">
        <v>319</v>
      </c>
      <c r="E25" s="5">
        <v>12.76</v>
      </c>
      <c r="F25" s="4" t="s">
        <v>137</v>
      </c>
      <c r="G25" s="4"/>
      <c r="H25" s="2">
        <v>800882</v>
      </c>
    </row>
    <row r="26" spans="1:8" ht="15" customHeight="1" x14ac:dyDescent="0.3">
      <c r="A26" s="3">
        <v>801038</v>
      </c>
      <c r="B26" s="3" t="s">
        <v>32</v>
      </c>
      <c r="C26" s="3">
        <v>423</v>
      </c>
      <c r="D26" s="4">
        <v>413</v>
      </c>
      <c r="E26" s="5">
        <v>16.52</v>
      </c>
      <c r="F26" s="4" t="s">
        <v>137</v>
      </c>
      <c r="G26" s="4"/>
      <c r="H26" s="2">
        <v>800881</v>
      </c>
    </row>
    <row r="27" spans="1:8" ht="15" customHeight="1" x14ac:dyDescent="0.3">
      <c r="A27" s="3">
        <v>801037</v>
      </c>
      <c r="B27" s="3" t="s">
        <v>33</v>
      </c>
      <c r="C27" s="3">
        <v>375</v>
      </c>
      <c r="D27" s="4">
        <v>368</v>
      </c>
      <c r="E27" s="5">
        <v>14.72</v>
      </c>
      <c r="F27" s="4" t="s">
        <v>133</v>
      </c>
      <c r="G27" s="4" t="s">
        <v>136</v>
      </c>
      <c r="H27" s="2">
        <v>800880</v>
      </c>
    </row>
    <row r="28" spans="1:8" ht="15" customHeight="1" x14ac:dyDescent="0.3">
      <c r="A28" s="3">
        <v>801036</v>
      </c>
      <c r="B28" s="3" t="s">
        <v>34</v>
      </c>
      <c r="C28" s="3">
        <v>302</v>
      </c>
      <c r="D28" s="4">
        <v>300</v>
      </c>
      <c r="E28" s="5">
        <v>12</v>
      </c>
      <c r="F28" s="4" t="s">
        <v>133</v>
      </c>
      <c r="G28" s="4"/>
      <c r="H28" s="2">
        <v>800879</v>
      </c>
    </row>
    <row r="29" spans="1:8" ht="15" customHeight="1" x14ac:dyDescent="0.3">
      <c r="A29" s="3">
        <v>801034</v>
      </c>
      <c r="B29" s="3" t="s">
        <v>35</v>
      </c>
      <c r="C29" s="3">
        <v>467</v>
      </c>
      <c r="D29" s="4">
        <v>461</v>
      </c>
      <c r="E29" s="5">
        <v>18.440000000000001</v>
      </c>
      <c r="F29" s="4" t="s">
        <v>133</v>
      </c>
      <c r="G29" s="4"/>
      <c r="H29" s="2">
        <v>800888</v>
      </c>
    </row>
    <row r="30" spans="1:8" ht="15" customHeight="1" x14ac:dyDescent="0.3">
      <c r="A30" s="3">
        <v>801033</v>
      </c>
      <c r="B30" s="3" t="s">
        <v>36</v>
      </c>
      <c r="C30" s="3">
        <v>289</v>
      </c>
      <c r="D30" s="4">
        <v>288</v>
      </c>
      <c r="E30" s="5">
        <v>11.52</v>
      </c>
      <c r="F30" s="4" t="s">
        <v>133</v>
      </c>
      <c r="G30" s="4"/>
      <c r="H30" s="2">
        <v>800886</v>
      </c>
    </row>
    <row r="31" spans="1:8" ht="15" customHeight="1" x14ac:dyDescent="0.3">
      <c r="A31" s="3">
        <v>801031</v>
      </c>
      <c r="B31" s="3" t="s">
        <v>37</v>
      </c>
      <c r="C31" s="3">
        <v>177</v>
      </c>
      <c r="D31" s="4">
        <v>176</v>
      </c>
      <c r="E31" s="5">
        <v>7.04</v>
      </c>
      <c r="F31" s="4" t="s">
        <v>137</v>
      </c>
      <c r="G31" s="4"/>
      <c r="H31" s="2"/>
    </row>
    <row r="32" spans="1:8" ht="15" customHeight="1" x14ac:dyDescent="0.3">
      <c r="A32" s="3">
        <v>801030</v>
      </c>
      <c r="B32" s="3" t="s">
        <v>38</v>
      </c>
      <c r="C32" s="3">
        <v>500</v>
      </c>
      <c r="D32" s="4">
        <v>489</v>
      </c>
      <c r="E32" s="5">
        <v>19.559999999999999</v>
      </c>
      <c r="F32" s="4" t="s">
        <v>137</v>
      </c>
      <c r="G32" s="4"/>
      <c r="H32" s="2">
        <v>800891</v>
      </c>
    </row>
    <row r="33" spans="1:8" ht="15" customHeight="1" x14ac:dyDescent="0.3">
      <c r="A33" s="3">
        <v>801029</v>
      </c>
      <c r="B33" s="3" t="s">
        <v>39</v>
      </c>
      <c r="C33" s="3">
        <v>451</v>
      </c>
      <c r="D33" s="4">
        <v>422</v>
      </c>
      <c r="E33" s="5">
        <v>16.88</v>
      </c>
      <c r="F33" s="4" t="s">
        <v>137</v>
      </c>
      <c r="G33" s="4"/>
      <c r="H33" s="2">
        <v>800890</v>
      </c>
    </row>
    <row r="34" spans="1:8" ht="15" customHeight="1" x14ac:dyDescent="0.3">
      <c r="A34" s="3">
        <v>801040</v>
      </c>
      <c r="B34" s="3" t="s">
        <v>40</v>
      </c>
      <c r="C34" s="3">
        <v>124</v>
      </c>
      <c r="D34" s="4">
        <v>124</v>
      </c>
      <c r="E34" s="5">
        <v>4.96</v>
      </c>
      <c r="F34" s="4" t="s">
        <v>137</v>
      </c>
      <c r="G34" s="4"/>
      <c r="H34" s="2"/>
    </row>
    <row r="35" spans="1:8" ht="15" customHeight="1" x14ac:dyDescent="0.3">
      <c r="A35" s="3">
        <v>801028</v>
      </c>
      <c r="B35" s="3" t="s">
        <v>41</v>
      </c>
      <c r="C35" s="3">
        <v>205</v>
      </c>
      <c r="D35" s="4">
        <v>202</v>
      </c>
      <c r="E35" s="5">
        <v>8.08</v>
      </c>
      <c r="F35" s="4" t="s">
        <v>137</v>
      </c>
      <c r="G35" s="4"/>
      <c r="H35" s="2">
        <v>800893</v>
      </c>
    </row>
    <row r="36" spans="1:8" ht="15" customHeight="1" x14ac:dyDescent="0.3">
      <c r="A36" s="3">
        <v>801027</v>
      </c>
      <c r="B36" s="3" t="s">
        <v>42</v>
      </c>
      <c r="C36" s="3">
        <v>332</v>
      </c>
      <c r="D36" s="4">
        <v>311</v>
      </c>
      <c r="E36" s="5">
        <v>12.44</v>
      </c>
      <c r="F36" s="4" t="s">
        <v>137</v>
      </c>
      <c r="G36" s="4"/>
      <c r="H36" s="2">
        <v>800892</v>
      </c>
    </row>
    <row r="37" spans="1:8" ht="15" customHeight="1" x14ac:dyDescent="0.3">
      <c r="A37" s="3">
        <v>801026</v>
      </c>
      <c r="B37" s="3" t="s">
        <v>43</v>
      </c>
      <c r="C37" s="3">
        <v>462</v>
      </c>
      <c r="D37" s="4">
        <v>442</v>
      </c>
      <c r="E37" s="5">
        <v>17.68</v>
      </c>
      <c r="F37" s="4" t="s">
        <v>137</v>
      </c>
      <c r="G37" s="4"/>
      <c r="H37" s="2">
        <v>800894</v>
      </c>
    </row>
    <row r="38" spans="1:8" ht="15" customHeight="1" x14ac:dyDescent="0.3">
      <c r="A38" s="3">
        <v>801025</v>
      </c>
      <c r="B38" s="3" t="s">
        <v>44</v>
      </c>
      <c r="C38" s="3">
        <v>330</v>
      </c>
      <c r="D38" s="4">
        <v>320</v>
      </c>
      <c r="E38" s="5">
        <v>12.8</v>
      </c>
      <c r="F38" s="4" t="s">
        <v>137</v>
      </c>
      <c r="G38" s="4"/>
      <c r="H38" s="2"/>
    </row>
    <row r="39" spans="1:8" ht="15" customHeight="1" x14ac:dyDescent="0.3">
      <c r="A39" s="3">
        <v>801024</v>
      </c>
      <c r="B39" s="3" t="s">
        <v>45</v>
      </c>
      <c r="C39" s="3">
        <v>246</v>
      </c>
      <c r="D39" s="4">
        <v>245</v>
      </c>
      <c r="E39" s="5">
        <v>9.8000000000000007</v>
      </c>
      <c r="F39" s="4" t="s">
        <v>133</v>
      </c>
      <c r="G39" s="4" t="s">
        <v>136</v>
      </c>
      <c r="H39" s="2"/>
    </row>
    <row r="40" spans="1:8" ht="15" customHeight="1" x14ac:dyDescent="0.3">
      <c r="A40" s="3">
        <v>801023</v>
      </c>
      <c r="B40" s="3" t="s">
        <v>46</v>
      </c>
      <c r="C40" s="3">
        <v>289</v>
      </c>
      <c r="D40" s="4">
        <v>270</v>
      </c>
      <c r="E40" s="5">
        <v>10.8</v>
      </c>
      <c r="F40" s="4" t="s">
        <v>137</v>
      </c>
      <c r="G40" s="4"/>
      <c r="H40" s="2"/>
    </row>
    <row r="41" spans="1:8" ht="15" customHeight="1" x14ac:dyDescent="0.3">
      <c r="A41" s="3">
        <v>801022</v>
      </c>
      <c r="B41" s="3" t="s">
        <v>47</v>
      </c>
      <c r="C41" s="3">
        <v>233</v>
      </c>
      <c r="D41" s="4">
        <v>225</v>
      </c>
      <c r="E41" s="5">
        <v>9</v>
      </c>
      <c r="F41" s="4" t="s">
        <v>133</v>
      </c>
      <c r="G41" s="4"/>
      <c r="H41" s="2"/>
    </row>
    <row r="42" spans="1:8" ht="15" customHeight="1" x14ac:dyDescent="0.3">
      <c r="A42" s="3">
        <v>801032</v>
      </c>
      <c r="B42" s="3" t="s">
        <v>48</v>
      </c>
      <c r="C42" s="3">
        <v>119</v>
      </c>
      <c r="D42" s="4">
        <v>117</v>
      </c>
      <c r="E42" s="5">
        <v>4.68</v>
      </c>
      <c r="F42" s="4" t="s">
        <v>133</v>
      </c>
      <c r="G42" s="4"/>
      <c r="H42" s="2"/>
    </row>
    <row r="43" spans="1:8" ht="15" customHeight="1" x14ac:dyDescent="0.3">
      <c r="A43" s="3">
        <v>801021</v>
      </c>
      <c r="B43" s="3" t="s">
        <v>49</v>
      </c>
      <c r="C43" s="3">
        <v>179</v>
      </c>
      <c r="D43" s="4">
        <v>178</v>
      </c>
      <c r="E43" s="5">
        <v>7.12</v>
      </c>
      <c r="F43" s="4" t="s">
        <v>137</v>
      </c>
      <c r="G43" s="4"/>
      <c r="H43" s="2"/>
    </row>
    <row r="44" spans="1:8" ht="15" customHeight="1" x14ac:dyDescent="0.3">
      <c r="A44" s="3">
        <v>801020</v>
      </c>
      <c r="B44" s="3" t="s">
        <v>50</v>
      </c>
      <c r="C44" s="3">
        <v>385</v>
      </c>
      <c r="D44" s="4">
        <v>384</v>
      </c>
      <c r="E44" s="5">
        <v>15.36</v>
      </c>
      <c r="F44" s="4" t="s">
        <v>133</v>
      </c>
      <c r="G44" s="4"/>
      <c r="H44" s="2">
        <v>800851</v>
      </c>
    </row>
    <row r="45" spans="1:8" ht="15" customHeight="1" x14ac:dyDescent="0.3">
      <c r="A45" s="3">
        <v>801018</v>
      </c>
      <c r="B45" s="3" t="s">
        <v>51</v>
      </c>
      <c r="C45" s="3">
        <v>249</v>
      </c>
      <c r="D45" s="4">
        <v>245</v>
      </c>
      <c r="E45" s="5">
        <v>9.8000000000000007</v>
      </c>
      <c r="F45" s="4" t="s">
        <v>133</v>
      </c>
      <c r="G45" s="4"/>
      <c r="H45" s="2"/>
    </row>
    <row r="46" spans="1:8" ht="15" customHeight="1" x14ac:dyDescent="0.3">
      <c r="A46" s="3">
        <v>801019</v>
      </c>
      <c r="B46" s="3" t="s">
        <v>52</v>
      </c>
      <c r="C46" s="3">
        <v>109</v>
      </c>
      <c r="D46" s="4">
        <v>109</v>
      </c>
      <c r="E46" s="5">
        <v>4.3600000000000003</v>
      </c>
      <c r="F46" s="4" t="s">
        <v>133</v>
      </c>
      <c r="G46" s="4"/>
      <c r="H46" s="2"/>
    </row>
    <row r="47" spans="1:8" ht="15" customHeight="1" x14ac:dyDescent="0.3">
      <c r="A47" s="3">
        <v>801017</v>
      </c>
      <c r="B47" s="3" t="s">
        <v>53</v>
      </c>
      <c r="C47" s="3">
        <v>142</v>
      </c>
      <c r="D47" s="4">
        <v>142</v>
      </c>
      <c r="E47" s="5">
        <v>5.68</v>
      </c>
      <c r="F47" s="4" t="s">
        <v>137</v>
      </c>
      <c r="G47" s="4"/>
      <c r="H47" s="2"/>
    </row>
    <row r="48" spans="1:8" ht="15" customHeight="1" x14ac:dyDescent="0.3">
      <c r="A48" s="3">
        <v>801016</v>
      </c>
      <c r="B48" s="3" t="s">
        <v>54</v>
      </c>
      <c r="C48" s="3">
        <v>328</v>
      </c>
      <c r="D48" s="4">
        <v>324</v>
      </c>
      <c r="E48" s="5">
        <v>12.96</v>
      </c>
      <c r="F48" s="4" t="s">
        <v>133</v>
      </c>
      <c r="G48" s="4"/>
      <c r="H48" s="2">
        <v>800842</v>
      </c>
    </row>
    <row r="49" spans="1:8" ht="15" customHeight="1" x14ac:dyDescent="0.3">
      <c r="A49" s="3">
        <v>801013</v>
      </c>
      <c r="B49" s="3" t="s">
        <v>55</v>
      </c>
      <c r="C49" s="3">
        <v>149</v>
      </c>
      <c r="D49" s="4">
        <v>149</v>
      </c>
      <c r="E49" s="5">
        <v>5.96</v>
      </c>
      <c r="F49" s="4" t="s">
        <v>133</v>
      </c>
      <c r="G49" s="4"/>
      <c r="H49" s="2"/>
    </row>
    <row r="50" spans="1:8" ht="15" customHeight="1" x14ac:dyDescent="0.3">
      <c r="A50" s="3">
        <v>801015</v>
      </c>
      <c r="B50" s="3" t="s">
        <v>56</v>
      </c>
      <c r="C50" s="3">
        <v>99</v>
      </c>
      <c r="D50" s="4">
        <v>99</v>
      </c>
      <c r="E50" s="5">
        <v>3.96</v>
      </c>
      <c r="F50" s="4" t="s">
        <v>133</v>
      </c>
      <c r="G50" s="4"/>
      <c r="H50" s="2"/>
    </row>
    <row r="51" spans="1:8" ht="15" customHeight="1" x14ac:dyDescent="0.3">
      <c r="A51" s="3">
        <v>801012</v>
      </c>
      <c r="B51" s="3" t="s">
        <v>57</v>
      </c>
      <c r="C51" s="3">
        <v>498</v>
      </c>
      <c r="D51" s="4">
        <v>482</v>
      </c>
      <c r="E51" s="5">
        <v>19.28</v>
      </c>
      <c r="F51" s="4" t="s">
        <v>133</v>
      </c>
      <c r="G51" s="4"/>
      <c r="H51" s="2">
        <v>800703</v>
      </c>
    </row>
    <row r="52" spans="1:8" ht="15" customHeight="1" x14ac:dyDescent="0.3">
      <c r="A52" s="3">
        <v>801011</v>
      </c>
      <c r="B52" s="3" t="s">
        <v>58</v>
      </c>
      <c r="C52" s="3">
        <v>554</v>
      </c>
      <c r="D52" s="4">
        <v>545</v>
      </c>
      <c r="E52" s="5">
        <v>21.8</v>
      </c>
      <c r="F52" s="4" t="s">
        <v>133</v>
      </c>
      <c r="G52" s="4"/>
      <c r="H52" s="2">
        <v>800701</v>
      </c>
    </row>
    <row r="53" spans="1:8" ht="15" customHeight="1" x14ac:dyDescent="0.3">
      <c r="A53" s="3">
        <v>801010</v>
      </c>
      <c r="B53" s="3" t="s">
        <v>59</v>
      </c>
      <c r="C53" s="3">
        <v>277</v>
      </c>
      <c r="D53" s="4">
        <v>275</v>
      </c>
      <c r="E53" s="5">
        <v>11</v>
      </c>
      <c r="F53" s="4" t="s">
        <v>133</v>
      </c>
      <c r="G53" s="4"/>
      <c r="H53" s="2">
        <v>800838</v>
      </c>
    </row>
    <row r="54" spans="1:8" ht="15" customHeight="1" x14ac:dyDescent="0.3">
      <c r="A54" s="3">
        <v>801009</v>
      </c>
      <c r="B54" s="3" t="s">
        <v>60</v>
      </c>
      <c r="C54" s="3">
        <v>930</v>
      </c>
      <c r="D54" s="4">
        <v>894</v>
      </c>
      <c r="E54" s="5">
        <v>35.76</v>
      </c>
      <c r="F54" s="4" t="s">
        <v>137</v>
      </c>
      <c r="G54" s="4"/>
      <c r="H54" s="2">
        <v>800297</v>
      </c>
    </row>
    <row r="55" spans="1:8" ht="15" customHeight="1" x14ac:dyDescent="0.3">
      <c r="A55" s="3">
        <v>801008</v>
      </c>
      <c r="B55" s="3" t="s">
        <v>61</v>
      </c>
      <c r="C55" s="3">
        <v>259</v>
      </c>
      <c r="D55" s="4">
        <v>244</v>
      </c>
      <c r="E55" s="5">
        <v>9.76</v>
      </c>
      <c r="F55" s="4" t="s">
        <v>137</v>
      </c>
      <c r="G55" s="4" t="s">
        <v>136</v>
      </c>
      <c r="H55" s="2"/>
    </row>
    <row r="56" spans="1:8" ht="15" customHeight="1" x14ac:dyDescent="0.3">
      <c r="A56" s="3">
        <v>801007</v>
      </c>
      <c r="B56" s="3" t="s">
        <v>62</v>
      </c>
      <c r="C56" s="3">
        <v>341</v>
      </c>
      <c r="D56" s="4">
        <v>335</v>
      </c>
      <c r="E56" s="5">
        <v>13.4</v>
      </c>
      <c r="F56" s="4" t="s">
        <v>133</v>
      </c>
      <c r="G56" s="4"/>
      <c r="H56" s="2">
        <v>800901</v>
      </c>
    </row>
    <row r="57" spans="1:8" ht="15" customHeight="1" x14ac:dyDescent="0.3">
      <c r="A57" s="3">
        <v>801005</v>
      </c>
      <c r="B57" s="3" t="s">
        <v>63</v>
      </c>
      <c r="C57" s="3">
        <v>345</v>
      </c>
      <c r="D57" s="4">
        <v>334</v>
      </c>
      <c r="E57" s="5">
        <v>13.36</v>
      </c>
      <c r="F57" s="4" t="s">
        <v>133</v>
      </c>
      <c r="G57" s="4"/>
      <c r="H57" s="2"/>
    </row>
    <row r="58" spans="1:8" ht="15" customHeight="1" x14ac:dyDescent="0.3">
      <c r="A58" s="3">
        <v>801004</v>
      </c>
      <c r="B58" s="3" t="s">
        <v>64</v>
      </c>
      <c r="C58" s="3">
        <v>276</v>
      </c>
      <c r="D58" s="4">
        <v>273</v>
      </c>
      <c r="E58" s="5">
        <v>10.92</v>
      </c>
      <c r="F58" s="4" t="s">
        <v>133</v>
      </c>
      <c r="G58" s="4"/>
      <c r="H58" s="2">
        <v>800898</v>
      </c>
    </row>
    <row r="59" spans="1:8" ht="15" customHeight="1" x14ac:dyDescent="0.3">
      <c r="A59" s="3">
        <v>801003</v>
      </c>
      <c r="B59" s="3" t="s">
        <v>65</v>
      </c>
      <c r="C59" s="3">
        <v>191</v>
      </c>
      <c r="D59" s="4">
        <v>188</v>
      </c>
      <c r="E59" s="5">
        <v>7.5200000000000005</v>
      </c>
      <c r="F59" s="4" t="s">
        <v>133</v>
      </c>
      <c r="G59" s="4"/>
      <c r="H59" s="2"/>
    </row>
    <row r="60" spans="1:8" ht="15" customHeight="1" x14ac:dyDescent="0.3">
      <c r="A60" s="3">
        <v>801002</v>
      </c>
      <c r="B60" s="3" t="s">
        <v>66</v>
      </c>
      <c r="C60" s="3">
        <v>155</v>
      </c>
      <c r="D60" s="4">
        <v>155</v>
      </c>
      <c r="E60" s="5">
        <v>6.2</v>
      </c>
      <c r="F60" s="4" t="s">
        <v>133</v>
      </c>
      <c r="G60" s="4"/>
      <c r="H60" s="2"/>
    </row>
    <row r="61" spans="1:8" ht="15" customHeight="1" x14ac:dyDescent="0.3">
      <c r="A61" s="3">
        <v>801000</v>
      </c>
      <c r="B61" s="3" t="s">
        <v>67</v>
      </c>
      <c r="C61" s="3">
        <v>236</v>
      </c>
      <c r="D61" s="4">
        <v>234</v>
      </c>
      <c r="E61" s="5">
        <v>9.36</v>
      </c>
      <c r="F61" s="4" t="s">
        <v>137</v>
      </c>
      <c r="G61" s="4"/>
      <c r="H61" s="2">
        <v>800906</v>
      </c>
    </row>
    <row r="62" spans="1:8" ht="15" customHeight="1" x14ac:dyDescent="0.3">
      <c r="A62" s="3">
        <v>800999</v>
      </c>
      <c r="B62" s="3" t="s">
        <v>68</v>
      </c>
      <c r="C62" s="3">
        <v>359</v>
      </c>
      <c r="D62" s="4">
        <v>356</v>
      </c>
      <c r="E62" s="5">
        <v>14.24</v>
      </c>
      <c r="F62" s="4" t="s">
        <v>133</v>
      </c>
      <c r="G62" s="4"/>
      <c r="H62" s="2">
        <v>800905</v>
      </c>
    </row>
    <row r="63" spans="1:8" ht="15" customHeight="1" x14ac:dyDescent="0.3">
      <c r="A63" s="3">
        <v>801006</v>
      </c>
      <c r="B63" s="3" t="s">
        <v>69</v>
      </c>
      <c r="C63" s="3">
        <v>155</v>
      </c>
      <c r="D63" s="4">
        <v>152</v>
      </c>
      <c r="E63" s="5">
        <v>6.08</v>
      </c>
      <c r="F63" s="4" t="s">
        <v>133</v>
      </c>
      <c r="G63" s="4"/>
      <c r="H63" s="2"/>
    </row>
    <row r="64" spans="1:8" ht="15" customHeight="1" x14ac:dyDescent="0.3">
      <c r="A64" s="3">
        <v>800998</v>
      </c>
      <c r="B64" s="3" t="s">
        <v>70</v>
      </c>
      <c r="C64" s="3">
        <v>146</v>
      </c>
      <c r="D64" s="4">
        <v>145</v>
      </c>
      <c r="E64" s="5">
        <v>5.8</v>
      </c>
      <c r="F64" s="4" t="s">
        <v>138</v>
      </c>
      <c r="G64" s="4"/>
      <c r="H64" s="2"/>
    </row>
    <row r="65" spans="1:8" ht="15" customHeight="1" x14ac:dyDescent="0.3">
      <c r="A65" s="3">
        <v>800997</v>
      </c>
      <c r="B65" s="3" t="s">
        <v>71</v>
      </c>
      <c r="C65" s="3">
        <v>320</v>
      </c>
      <c r="D65" s="4">
        <v>311</v>
      </c>
      <c r="E65" s="5">
        <v>12.44</v>
      </c>
      <c r="F65" s="4" t="s">
        <v>137</v>
      </c>
      <c r="G65" s="4"/>
      <c r="H65" s="2">
        <v>800907</v>
      </c>
    </row>
    <row r="66" spans="1:8" ht="15" customHeight="1" x14ac:dyDescent="0.3">
      <c r="A66" s="3">
        <v>800996</v>
      </c>
      <c r="B66" s="3" t="s">
        <v>72</v>
      </c>
      <c r="C66" s="3">
        <v>400</v>
      </c>
      <c r="D66" s="4">
        <v>390</v>
      </c>
      <c r="E66" s="5">
        <v>15.6</v>
      </c>
      <c r="F66" s="4" t="s">
        <v>137</v>
      </c>
      <c r="G66" s="4" t="s">
        <v>136</v>
      </c>
      <c r="H66" s="2">
        <v>800909</v>
      </c>
    </row>
    <row r="67" spans="1:8" ht="15" customHeight="1" x14ac:dyDescent="0.3">
      <c r="A67" s="3">
        <v>800995</v>
      </c>
      <c r="B67" s="3" t="s">
        <v>73</v>
      </c>
      <c r="C67" s="3">
        <v>252</v>
      </c>
      <c r="D67" s="4">
        <v>228</v>
      </c>
      <c r="E67" s="5">
        <v>9.120000000000001</v>
      </c>
      <c r="F67" s="4" t="s">
        <v>137</v>
      </c>
      <c r="G67" s="4"/>
      <c r="H67" s="2">
        <v>800911</v>
      </c>
    </row>
    <row r="68" spans="1:8" ht="15" customHeight="1" x14ac:dyDescent="0.3">
      <c r="A68" s="3">
        <v>800994</v>
      </c>
      <c r="B68" s="3" t="s">
        <v>74</v>
      </c>
      <c r="C68" s="3">
        <v>437</v>
      </c>
      <c r="D68" s="4">
        <v>394</v>
      </c>
      <c r="E68" s="5">
        <v>15.76</v>
      </c>
      <c r="F68" s="4" t="s">
        <v>137</v>
      </c>
      <c r="G68" s="4"/>
      <c r="H68" s="2"/>
    </row>
    <row r="69" spans="1:8" ht="15" customHeight="1" x14ac:dyDescent="0.3">
      <c r="A69" s="3">
        <v>800993</v>
      </c>
      <c r="B69" s="3" t="s">
        <v>75</v>
      </c>
      <c r="C69" s="3">
        <v>362</v>
      </c>
      <c r="D69" s="4">
        <v>353</v>
      </c>
      <c r="E69" s="5">
        <v>14.120000000000001</v>
      </c>
      <c r="F69" s="4" t="s">
        <v>133</v>
      </c>
      <c r="G69" s="4"/>
      <c r="H69" s="2"/>
    </row>
    <row r="70" spans="1:8" ht="15" customHeight="1" x14ac:dyDescent="0.3">
      <c r="A70" s="3">
        <v>800992</v>
      </c>
      <c r="B70" s="3" t="s">
        <v>76</v>
      </c>
      <c r="C70" s="3">
        <v>225</v>
      </c>
      <c r="D70" s="4">
        <v>220</v>
      </c>
      <c r="E70" s="5">
        <v>8.8000000000000007</v>
      </c>
      <c r="F70" s="4" t="s">
        <v>133</v>
      </c>
      <c r="G70" s="4"/>
      <c r="H70" s="2"/>
    </row>
    <row r="71" spans="1:8" ht="15" customHeight="1" x14ac:dyDescent="0.3">
      <c r="A71" s="3">
        <v>800991</v>
      </c>
      <c r="B71" s="3" t="s">
        <v>77</v>
      </c>
      <c r="C71" s="3">
        <v>289</v>
      </c>
      <c r="D71" s="4">
        <v>279</v>
      </c>
      <c r="E71" s="5">
        <v>11.16</v>
      </c>
      <c r="F71" s="4" t="s">
        <v>133</v>
      </c>
      <c r="G71" s="4"/>
      <c r="H71" s="2"/>
    </row>
    <row r="72" spans="1:8" ht="15" customHeight="1" x14ac:dyDescent="0.3">
      <c r="A72" s="3">
        <v>800990</v>
      </c>
      <c r="B72" s="3" t="s">
        <v>78</v>
      </c>
      <c r="C72" s="3">
        <v>186</v>
      </c>
      <c r="D72" s="4">
        <v>181</v>
      </c>
      <c r="E72" s="5">
        <v>7.24</v>
      </c>
      <c r="F72" s="4" t="s">
        <v>133</v>
      </c>
      <c r="G72" s="4"/>
      <c r="H72" s="2"/>
    </row>
    <row r="73" spans="1:8" ht="15" customHeight="1" x14ac:dyDescent="0.3">
      <c r="A73" s="3">
        <v>801014</v>
      </c>
      <c r="B73" s="3" t="s">
        <v>79</v>
      </c>
      <c r="C73" s="3">
        <v>122</v>
      </c>
      <c r="D73" s="4">
        <v>120</v>
      </c>
      <c r="E73" s="5">
        <v>4.8</v>
      </c>
      <c r="F73" s="4" t="s">
        <v>137</v>
      </c>
      <c r="G73" s="4"/>
      <c r="H73" s="2"/>
    </row>
    <row r="74" spans="1:8" ht="15" customHeight="1" x14ac:dyDescent="0.3">
      <c r="A74" s="3">
        <v>800989</v>
      </c>
      <c r="B74" s="3" t="s">
        <v>80</v>
      </c>
      <c r="C74" s="3">
        <v>195</v>
      </c>
      <c r="D74" s="4">
        <v>190</v>
      </c>
      <c r="E74" s="5">
        <v>7.6000000000000005</v>
      </c>
      <c r="F74" s="4" t="s">
        <v>137</v>
      </c>
      <c r="G74" s="4"/>
      <c r="H74" s="2"/>
    </row>
    <row r="75" spans="1:8" ht="15" customHeight="1" x14ac:dyDescent="0.3">
      <c r="A75" s="3">
        <v>800988</v>
      </c>
      <c r="B75" s="3" t="s">
        <v>81</v>
      </c>
      <c r="C75" s="3">
        <v>354</v>
      </c>
      <c r="D75" s="4">
        <v>338</v>
      </c>
      <c r="E75" s="5">
        <v>13.52</v>
      </c>
      <c r="F75" s="4" t="s">
        <v>137</v>
      </c>
      <c r="G75" s="4" t="s">
        <v>136</v>
      </c>
      <c r="H75" s="2"/>
    </row>
    <row r="76" spans="1:8" ht="15" customHeight="1" x14ac:dyDescent="0.3">
      <c r="A76" s="3">
        <v>800987</v>
      </c>
      <c r="B76" s="3" t="s">
        <v>82</v>
      </c>
      <c r="C76" s="3">
        <v>252</v>
      </c>
      <c r="D76" s="4">
        <v>248</v>
      </c>
      <c r="E76" s="5">
        <v>9.92</v>
      </c>
      <c r="F76" s="4" t="s">
        <v>133</v>
      </c>
      <c r="G76" s="4"/>
      <c r="H76" s="2"/>
    </row>
    <row r="77" spans="1:8" ht="15" customHeight="1" x14ac:dyDescent="0.3">
      <c r="A77" s="3">
        <v>800986</v>
      </c>
      <c r="B77" s="3" t="s">
        <v>83</v>
      </c>
      <c r="C77" s="3">
        <v>427</v>
      </c>
      <c r="D77" s="4">
        <v>400</v>
      </c>
      <c r="E77" s="5">
        <v>16</v>
      </c>
      <c r="F77" s="4" t="s">
        <v>133</v>
      </c>
      <c r="G77" s="4"/>
      <c r="H77" s="2">
        <v>800924</v>
      </c>
    </row>
    <row r="78" spans="1:8" ht="15" customHeight="1" x14ac:dyDescent="0.3">
      <c r="A78" s="3">
        <v>800985</v>
      </c>
      <c r="B78" s="3" t="s">
        <v>84</v>
      </c>
      <c r="C78" s="3">
        <v>436</v>
      </c>
      <c r="D78" s="4">
        <v>417</v>
      </c>
      <c r="E78" s="5">
        <v>16.68</v>
      </c>
      <c r="F78" s="4" t="s">
        <v>133</v>
      </c>
      <c r="G78" s="4"/>
      <c r="H78" s="2">
        <v>800925</v>
      </c>
    </row>
    <row r="79" spans="1:8" ht="15" customHeight="1" x14ac:dyDescent="0.3">
      <c r="A79" s="3">
        <v>800984</v>
      </c>
      <c r="B79" s="3" t="s">
        <v>85</v>
      </c>
      <c r="C79" s="3">
        <v>292</v>
      </c>
      <c r="D79" s="4">
        <v>289</v>
      </c>
      <c r="E79" s="5">
        <v>11.56</v>
      </c>
      <c r="F79" s="4" t="s">
        <v>133</v>
      </c>
      <c r="G79" s="4"/>
      <c r="H79" s="2"/>
    </row>
    <row r="80" spans="1:8" ht="15" customHeight="1" x14ac:dyDescent="0.3">
      <c r="A80" s="3">
        <v>800983</v>
      </c>
      <c r="B80" s="3" t="s">
        <v>86</v>
      </c>
      <c r="C80" s="3">
        <v>249</v>
      </c>
      <c r="D80" s="4">
        <v>242</v>
      </c>
      <c r="E80" s="5">
        <v>9.68</v>
      </c>
      <c r="F80" s="4" t="s">
        <v>133</v>
      </c>
      <c r="G80" s="4"/>
      <c r="H80" s="2"/>
    </row>
    <row r="81" spans="1:8" ht="15" customHeight="1" x14ac:dyDescent="0.3">
      <c r="A81" s="3">
        <v>800982</v>
      </c>
      <c r="B81" s="3" t="s">
        <v>87</v>
      </c>
      <c r="C81" s="3">
        <v>254</v>
      </c>
      <c r="D81" s="4">
        <v>244</v>
      </c>
      <c r="E81" s="5">
        <v>9.76</v>
      </c>
      <c r="F81" s="4" t="s">
        <v>134</v>
      </c>
      <c r="G81" s="4"/>
      <c r="H81" s="2"/>
    </row>
    <row r="82" spans="1:8" ht="15" customHeight="1" x14ac:dyDescent="0.3">
      <c r="A82" s="3">
        <v>800980</v>
      </c>
      <c r="B82" s="3" t="s">
        <v>88</v>
      </c>
      <c r="C82" s="3">
        <v>313</v>
      </c>
      <c r="D82" s="4">
        <v>302</v>
      </c>
      <c r="E82" s="5">
        <v>12.08</v>
      </c>
      <c r="F82" s="4" t="s">
        <v>135</v>
      </c>
      <c r="G82" s="4"/>
      <c r="H82" s="2"/>
    </row>
    <row r="83" spans="1:8" ht="15" customHeight="1" x14ac:dyDescent="0.3">
      <c r="A83" s="3">
        <v>800979</v>
      </c>
      <c r="B83" s="3" t="s">
        <v>89</v>
      </c>
      <c r="C83" s="3">
        <v>456</v>
      </c>
      <c r="D83" s="4">
        <v>444</v>
      </c>
      <c r="E83" s="5">
        <v>17.760000000000002</v>
      </c>
      <c r="F83" s="4" t="s">
        <v>134</v>
      </c>
      <c r="G83" s="4"/>
      <c r="H83" s="2">
        <v>800830</v>
      </c>
    </row>
    <row r="84" spans="1:8" ht="15" customHeight="1" x14ac:dyDescent="0.3">
      <c r="A84" s="3">
        <v>800976</v>
      </c>
      <c r="B84" s="3" t="s">
        <v>90</v>
      </c>
      <c r="C84" s="3">
        <v>382</v>
      </c>
      <c r="D84" s="4">
        <v>362</v>
      </c>
      <c r="E84" s="5">
        <v>14.48</v>
      </c>
      <c r="F84" s="4" t="s">
        <v>135</v>
      </c>
      <c r="G84" s="4"/>
      <c r="H84" s="2"/>
    </row>
    <row r="85" spans="1:8" ht="15" customHeight="1" x14ac:dyDescent="0.3">
      <c r="A85" s="3">
        <v>800975</v>
      </c>
      <c r="B85" s="3" t="s">
        <v>91</v>
      </c>
      <c r="C85" s="3">
        <v>410</v>
      </c>
      <c r="D85" s="4">
        <v>392</v>
      </c>
      <c r="E85" s="5">
        <v>15.68</v>
      </c>
      <c r="F85" s="4" t="s">
        <v>134</v>
      </c>
      <c r="G85" s="4"/>
      <c r="H85" s="2"/>
    </row>
    <row r="86" spans="1:8" ht="15" customHeight="1" x14ac:dyDescent="0.3">
      <c r="A86" s="3">
        <v>800974</v>
      </c>
      <c r="B86" s="3" t="s">
        <v>92</v>
      </c>
      <c r="C86" s="3">
        <v>375</v>
      </c>
      <c r="D86" s="4">
        <v>371</v>
      </c>
      <c r="E86" s="5">
        <v>14.84</v>
      </c>
      <c r="F86" s="4" t="s">
        <v>135</v>
      </c>
      <c r="G86" s="4"/>
      <c r="H86" s="2">
        <v>800828</v>
      </c>
    </row>
    <row r="87" spans="1:8" ht="15" customHeight="1" x14ac:dyDescent="0.3">
      <c r="A87" s="3">
        <v>800973</v>
      </c>
      <c r="B87" s="3" t="s">
        <v>93</v>
      </c>
      <c r="C87" s="3">
        <v>341</v>
      </c>
      <c r="D87" s="4">
        <v>337</v>
      </c>
      <c r="E87" s="5">
        <v>13.48</v>
      </c>
      <c r="F87" s="4" t="s">
        <v>135</v>
      </c>
      <c r="G87" s="4" t="s">
        <v>136</v>
      </c>
      <c r="H87" s="2"/>
    </row>
    <row r="88" spans="1:8" ht="15" customHeight="1" x14ac:dyDescent="0.3">
      <c r="A88" s="3">
        <v>800972</v>
      </c>
      <c r="B88" s="3" t="s">
        <v>94</v>
      </c>
      <c r="C88" s="3">
        <v>248</v>
      </c>
      <c r="D88" s="4">
        <v>243</v>
      </c>
      <c r="E88" s="5">
        <v>9.7200000000000006</v>
      </c>
      <c r="F88" s="4" t="s">
        <v>134</v>
      </c>
      <c r="G88" s="4"/>
      <c r="H88" s="2">
        <v>800822</v>
      </c>
    </row>
    <row r="89" spans="1:8" ht="15" customHeight="1" x14ac:dyDescent="0.3">
      <c r="A89" s="3">
        <v>800978</v>
      </c>
      <c r="B89" s="3" t="s">
        <v>95</v>
      </c>
      <c r="C89" s="3">
        <v>112</v>
      </c>
      <c r="D89" s="4">
        <v>108</v>
      </c>
      <c r="E89" s="5">
        <v>4.32</v>
      </c>
      <c r="F89" s="4" t="s">
        <v>134</v>
      </c>
      <c r="G89" s="4"/>
      <c r="H89" s="2"/>
    </row>
    <row r="90" spans="1:8" ht="15" customHeight="1" x14ac:dyDescent="0.3">
      <c r="A90" s="3">
        <v>800971</v>
      </c>
      <c r="B90" s="3" t="s">
        <v>96</v>
      </c>
      <c r="C90" s="3">
        <v>205</v>
      </c>
      <c r="D90" s="4">
        <v>204</v>
      </c>
      <c r="E90" s="5">
        <v>8.16</v>
      </c>
      <c r="F90" s="4" t="s">
        <v>135</v>
      </c>
      <c r="G90" s="4" t="s">
        <v>136</v>
      </c>
      <c r="H90" s="2"/>
    </row>
    <row r="91" spans="1:8" ht="15" customHeight="1" x14ac:dyDescent="0.3">
      <c r="A91" s="3">
        <v>800970</v>
      </c>
      <c r="B91" s="3" t="s">
        <v>97</v>
      </c>
      <c r="C91" s="3">
        <v>293</v>
      </c>
      <c r="D91" s="4">
        <v>288</v>
      </c>
      <c r="E91" s="5">
        <v>11.52</v>
      </c>
      <c r="F91" s="4" t="s">
        <v>134</v>
      </c>
      <c r="G91" s="4"/>
      <c r="H91" s="2">
        <v>800824</v>
      </c>
    </row>
    <row r="92" spans="1:8" ht="15" customHeight="1" x14ac:dyDescent="0.3">
      <c r="A92" s="3">
        <v>800969</v>
      </c>
      <c r="B92" s="3" t="s">
        <v>98</v>
      </c>
      <c r="C92" s="3">
        <v>329</v>
      </c>
      <c r="D92" s="4">
        <v>319</v>
      </c>
      <c r="E92" s="5">
        <v>12.76</v>
      </c>
      <c r="F92" s="4" t="s">
        <v>134</v>
      </c>
      <c r="G92" s="4"/>
      <c r="H92" s="2"/>
    </row>
    <row r="93" spans="1:8" ht="15" customHeight="1" x14ac:dyDescent="0.3">
      <c r="A93" s="3">
        <v>800968</v>
      </c>
      <c r="B93" s="3" t="s">
        <v>99</v>
      </c>
      <c r="C93" s="3">
        <v>315</v>
      </c>
      <c r="D93" s="4">
        <v>292</v>
      </c>
      <c r="E93" s="5">
        <v>11.68</v>
      </c>
      <c r="F93" s="4" t="s">
        <v>134</v>
      </c>
      <c r="G93" s="4"/>
      <c r="H93" s="2"/>
    </row>
    <row r="94" spans="1:8" ht="15" customHeight="1" x14ac:dyDescent="0.3">
      <c r="A94" s="3">
        <v>800967</v>
      </c>
      <c r="B94" s="3" t="s">
        <v>100</v>
      </c>
      <c r="C94" s="3">
        <v>351</v>
      </c>
      <c r="D94" s="4">
        <v>344</v>
      </c>
      <c r="E94" s="5">
        <v>13.76</v>
      </c>
      <c r="F94" s="4" t="s">
        <v>135</v>
      </c>
      <c r="G94" s="4"/>
      <c r="H94" s="2">
        <v>800819</v>
      </c>
    </row>
    <row r="95" spans="1:8" ht="15" customHeight="1" x14ac:dyDescent="0.3">
      <c r="A95" s="3">
        <v>800965</v>
      </c>
      <c r="B95" s="3" t="s">
        <v>101</v>
      </c>
      <c r="C95" s="3">
        <v>315</v>
      </c>
      <c r="D95" s="4">
        <v>305</v>
      </c>
      <c r="E95" s="5">
        <v>12.200000000000001</v>
      </c>
      <c r="F95" s="4" t="s">
        <v>135</v>
      </c>
      <c r="G95" s="4"/>
      <c r="H95" s="2"/>
    </row>
    <row r="96" spans="1:8" ht="15" customHeight="1" x14ac:dyDescent="0.3">
      <c r="A96" s="3">
        <v>801043</v>
      </c>
      <c r="B96" s="3" t="s">
        <v>102</v>
      </c>
      <c r="C96" s="3">
        <v>77</v>
      </c>
      <c r="D96" s="4">
        <v>75</v>
      </c>
      <c r="E96" s="5">
        <v>3</v>
      </c>
      <c r="F96" s="4" t="s">
        <v>137</v>
      </c>
      <c r="G96" s="4"/>
      <c r="H96" s="2"/>
    </row>
    <row r="97" spans="1:8" ht="15" customHeight="1" x14ac:dyDescent="0.3">
      <c r="A97" s="3">
        <v>800964</v>
      </c>
      <c r="B97" s="3" t="s">
        <v>103</v>
      </c>
      <c r="C97" s="3">
        <v>245</v>
      </c>
      <c r="D97" s="4">
        <v>243</v>
      </c>
      <c r="E97" s="5">
        <v>9.7200000000000006</v>
      </c>
      <c r="F97" s="4" t="s">
        <v>135</v>
      </c>
      <c r="G97" s="4"/>
      <c r="H97" s="2">
        <v>800816</v>
      </c>
    </row>
    <row r="98" spans="1:8" ht="15" customHeight="1" x14ac:dyDescent="0.3">
      <c r="A98" s="3">
        <v>800963</v>
      </c>
      <c r="B98" s="3" t="s">
        <v>104</v>
      </c>
      <c r="C98" s="3">
        <v>296</v>
      </c>
      <c r="D98" s="4">
        <v>289</v>
      </c>
      <c r="E98" s="5">
        <v>11.56</v>
      </c>
      <c r="F98" s="4" t="s">
        <v>134</v>
      </c>
      <c r="G98" s="4"/>
      <c r="H98" s="2"/>
    </row>
    <row r="99" spans="1:8" ht="15" customHeight="1" x14ac:dyDescent="0.3">
      <c r="A99" s="3">
        <v>800962</v>
      </c>
      <c r="B99" s="3" t="s">
        <v>105</v>
      </c>
      <c r="C99" s="3">
        <v>350</v>
      </c>
      <c r="D99" s="4">
        <v>340</v>
      </c>
      <c r="E99" s="5">
        <v>13.6</v>
      </c>
      <c r="F99" s="4" t="s">
        <v>134</v>
      </c>
      <c r="G99" s="4"/>
      <c r="H99" s="2"/>
    </row>
    <row r="100" spans="1:8" ht="15" customHeight="1" x14ac:dyDescent="0.3">
      <c r="A100" s="3">
        <v>800961</v>
      </c>
      <c r="B100" s="3" t="s">
        <v>106</v>
      </c>
      <c r="C100" s="3">
        <v>386</v>
      </c>
      <c r="D100" s="4">
        <v>377</v>
      </c>
      <c r="E100" s="5">
        <v>15.08</v>
      </c>
      <c r="F100" s="4" t="s">
        <v>134</v>
      </c>
      <c r="G100" s="4"/>
      <c r="H100" s="2"/>
    </row>
    <row r="101" spans="1:8" ht="15" customHeight="1" x14ac:dyDescent="0.3">
      <c r="A101" s="3">
        <v>800960</v>
      </c>
      <c r="B101" s="3" t="s">
        <v>107</v>
      </c>
      <c r="C101" s="3">
        <v>336</v>
      </c>
      <c r="D101" s="4">
        <v>319</v>
      </c>
      <c r="E101" s="5">
        <v>12.76</v>
      </c>
      <c r="F101" s="4" t="s">
        <v>135</v>
      </c>
      <c r="G101" s="4" t="s">
        <v>136</v>
      </c>
      <c r="H101" s="2"/>
    </row>
    <row r="102" spans="1:8" ht="15" customHeight="1" x14ac:dyDescent="0.3">
      <c r="A102" s="3">
        <v>800959</v>
      </c>
      <c r="B102" s="3" t="s">
        <v>108</v>
      </c>
      <c r="C102" s="3">
        <v>444</v>
      </c>
      <c r="D102" s="4">
        <v>432</v>
      </c>
      <c r="E102" s="5">
        <v>17.28</v>
      </c>
      <c r="F102" s="4" t="s">
        <v>134</v>
      </c>
      <c r="G102" s="4" t="s">
        <v>136</v>
      </c>
      <c r="H102" s="2">
        <v>800807</v>
      </c>
    </row>
    <row r="103" spans="1:8" ht="15" customHeight="1" x14ac:dyDescent="0.3">
      <c r="A103" s="3">
        <v>800958</v>
      </c>
      <c r="B103" s="3" t="s">
        <v>109</v>
      </c>
      <c r="C103" s="3">
        <v>428</v>
      </c>
      <c r="D103" s="4">
        <v>419</v>
      </c>
      <c r="E103" s="5">
        <v>16.760000000000002</v>
      </c>
      <c r="F103" s="4" t="s">
        <v>134</v>
      </c>
      <c r="G103" s="4" t="s">
        <v>136</v>
      </c>
      <c r="H103" s="2"/>
    </row>
    <row r="104" spans="1:8" ht="15" customHeight="1" x14ac:dyDescent="0.3">
      <c r="A104" s="3">
        <v>800957</v>
      </c>
      <c r="B104" s="3" t="s">
        <v>110</v>
      </c>
      <c r="C104" s="3">
        <v>349</v>
      </c>
      <c r="D104" s="4">
        <v>325</v>
      </c>
      <c r="E104" s="5">
        <v>13</v>
      </c>
      <c r="F104" s="4" t="s">
        <v>135</v>
      </c>
      <c r="G104" s="4"/>
      <c r="H104" s="2"/>
    </row>
    <row r="105" spans="1:8" ht="15" customHeight="1" x14ac:dyDescent="0.3">
      <c r="A105" s="3">
        <v>800956</v>
      </c>
      <c r="B105" s="3" t="s">
        <v>111</v>
      </c>
      <c r="C105" s="3">
        <v>226</v>
      </c>
      <c r="D105" s="4">
        <v>221</v>
      </c>
      <c r="E105" s="5">
        <v>8.84</v>
      </c>
      <c r="F105" s="4" t="s">
        <v>134</v>
      </c>
      <c r="G105" s="4"/>
      <c r="H105" s="2"/>
    </row>
    <row r="106" spans="1:8" ht="15" customHeight="1" x14ac:dyDescent="0.3">
      <c r="A106" s="3">
        <v>800955</v>
      </c>
      <c r="B106" s="3" t="s">
        <v>112</v>
      </c>
      <c r="C106" s="3">
        <v>324</v>
      </c>
      <c r="D106" s="4">
        <v>319</v>
      </c>
      <c r="E106" s="5">
        <v>12.76</v>
      </c>
      <c r="F106" s="4" t="s">
        <v>135</v>
      </c>
      <c r="G106" s="4"/>
      <c r="H106" s="2">
        <v>800811</v>
      </c>
    </row>
    <row r="107" spans="1:8" ht="15" customHeight="1" x14ac:dyDescent="0.3">
      <c r="A107" s="3">
        <v>800954</v>
      </c>
      <c r="B107" s="3" t="s">
        <v>113</v>
      </c>
      <c r="C107" s="3">
        <v>388</v>
      </c>
      <c r="D107" s="4">
        <v>374</v>
      </c>
      <c r="E107" s="5">
        <v>14.96</v>
      </c>
      <c r="F107" s="4" t="s">
        <v>135</v>
      </c>
      <c r="G107" s="4"/>
      <c r="H107" s="2">
        <v>800803</v>
      </c>
    </row>
    <row r="108" spans="1:8" ht="15" customHeight="1" x14ac:dyDescent="0.3">
      <c r="A108" s="3">
        <v>800953</v>
      </c>
      <c r="B108" s="3" t="s">
        <v>114</v>
      </c>
      <c r="C108" s="3">
        <v>350</v>
      </c>
      <c r="D108" s="4">
        <v>337</v>
      </c>
      <c r="E108" s="5">
        <v>13.48</v>
      </c>
      <c r="F108" s="4" t="s">
        <v>135</v>
      </c>
      <c r="G108" s="4"/>
      <c r="H108" s="2"/>
    </row>
    <row r="109" spans="1:8" ht="15" customHeight="1" x14ac:dyDescent="0.3">
      <c r="A109" s="3">
        <v>800952</v>
      </c>
      <c r="B109" s="3" t="s">
        <v>115</v>
      </c>
      <c r="C109" s="3">
        <v>379</v>
      </c>
      <c r="D109" s="4">
        <v>367</v>
      </c>
      <c r="E109" s="5">
        <v>14.68</v>
      </c>
      <c r="F109" s="4" t="s">
        <v>135</v>
      </c>
      <c r="G109" s="4" t="s">
        <v>136</v>
      </c>
      <c r="H109" s="2"/>
    </row>
    <row r="110" spans="1:8" ht="15" customHeight="1" x14ac:dyDescent="0.3">
      <c r="A110" s="3">
        <v>800951</v>
      </c>
      <c r="B110" s="3" t="s">
        <v>116</v>
      </c>
      <c r="C110" s="3">
        <v>246</v>
      </c>
      <c r="D110" s="4">
        <v>242</v>
      </c>
      <c r="E110" s="5">
        <v>9.68</v>
      </c>
      <c r="F110" s="4" t="s">
        <v>135</v>
      </c>
      <c r="G110" s="4"/>
      <c r="H110" s="2">
        <v>800806</v>
      </c>
    </row>
    <row r="111" spans="1:8" ht="15" customHeight="1" x14ac:dyDescent="0.3">
      <c r="A111" s="3">
        <v>800950</v>
      </c>
      <c r="B111" s="3" t="s">
        <v>117</v>
      </c>
      <c r="C111" s="3">
        <v>385</v>
      </c>
      <c r="D111" s="4">
        <v>375</v>
      </c>
      <c r="E111" s="5">
        <v>15</v>
      </c>
      <c r="F111" s="4" t="s">
        <v>135</v>
      </c>
      <c r="G111" s="4"/>
      <c r="H111" s="2">
        <v>800800</v>
      </c>
    </row>
    <row r="112" spans="1:8" ht="15" customHeight="1" x14ac:dyDescent="0.3">
      <c r="A112" s="3">
        <v>800949</v>
      </c>
      <c r="B112" s="3" t="s">
        <v>118</v>
      </c>
      <c r="C112" s="3">
        <v>430</v>
      </c>
      <c r="D112" s="4">
        <v>419</v>
      </c>
      <c r="E112" s="5">
        <v>16.760000000000002</v>
      </c>
      <c r="F112" s="4" t="s">
        <v>134</v>
      </c>
      <c r="G112" s="4" t="s">
        <v>136</v>
      </c>
      <c r="H112" s="2"/>
    </row>
    <row r="113" spans="1:8" ht="15" customHeight="1" x14ac:dyDescent="0.3">
      <c r="A113" s="3">
        <v>801035</v>
      </c>
      <c r="B113" s="3" t="s">
        <v>119</v>
      </c>
      <c r="C113" s="3">
        <v>75</v>
      </c>
      <c r="D113" s="4">
        <v>74</v>
      </c>
      <c r="E113" s="5">
        <v>2.96</v>
      </c>
      <c r="F113" s="4" t="s">
        <v>133</v>
      </c>
      <c r="G113" s="4"/>
      <c r="H113" s="2"/>
    </row>
    <row r="114" spans="1:8" ht="15" customHeight="1" x14ac:dyDescent="0.3">
      <c r="A114" s="3">
        <v>800948</v>
      </c>
      <c r="B114" s="3" t="s">
        <v>120</v>
      </c>
      <c r="C114" s="3">
        <v>264</v>
      </c>
      <c r="D114" s="4">
        <v>255</v>
      </c>
      <c r="E114" s="5">
        <v>10.200000000000001</v>
      </c>
      <c r="F114" s="4" t="s">
        <v>134</v>
      </c>
      <c r="G114" s="4"/>
      <c r="H114" s="2"/>
    </row>
    <row r="115" spans="1:8" ht="15" customHeight="1" x14ac:dyDescent="0.3">
      <c r="A115" s="3">
        <v>800947</v>
      </c>
      <c r="B115" s="3" t="s">
        <v>121</v>
      </c>
      <c r="C115" s="3">
        <v>303</v>
      </c>
      <c r="D115" s="4">
        <v>296</v>
      </c>
      <c r="E115" s="5">
        <v>11.84</v>
      </c>
      <c r="F115" s="4" t="s">
        <v>135</v>
      </c>
      <c r="G115" s="4" t="s">
        <v>136</v>
      </c>
      <c r="H115" s="2">
        <v>800798</v>
      </c>
    </row>
    <row r="116" spans="1:8" ht="15" customHeight="1" x14ac:dyDescent="0.3">
      <c r="A116" s="3">
        <v>800946</v>
      </c>
      <c r="B116" s="3" t="s">
        <v>122</v>
      </c>
      <c r="C116" s="3">
        <v>344</v>
      </c>
      <c r="D116" s="4">
        <v>332</v>
      </c>
      <c r="E116" s="5">
        <v>13.280000000000001</v>
      </c>
      <c r="F116" s="4" t="s">
        <v>135</v>
      </c>
      <c r="G116" s="4"/>
      <c r="H116" s="2"/>
    </row>
    <row r="117" spans="1:8" ht="15" customHeight="1" x14ac:dyDescent="0.3">
      <c r="A117" s="3">
        <v>800945</v>
      </c>
      <c r="B117" s="3" t="s">
        <v>123</v>
      </c>
      <c r="C117" s="3">
        <v>432</v>
      </c>
      <c r="D117" s="4">
        <v>420</v>
      </c>
      <c r="E117" s="5">
        <v>16.8</v>
      </c>
      <c r="F117" s="4" t="s">
        <v>134</v>
      </c>
      <c r="G117" s="4"/>
      <c r="H117" s="2">
        <v>800797</v>
      </c>
    </row>
    <row r="118" spans="1:8" ht="15" customHeight="1" x14ac:dyDescent="0.3">
      <c r="A118" s="3">
        <v>800944</v>
      </c>
      <c r="B118" s="3" t="s">
        <v>124</v>
      </c>
      <c r="C118" s="3">
        <v>395</v>
      </c>
      <c r="D118" s="4">
        <v>377</v>
      </c>
      <c r="E118" s="5">
        <v>15.08</v>
      </c>
      <c r="F118" s="4" t="s">
        <v>135</v>
      </c>
      <c r="G118" s="4" t="s">
        <v>136</v>
      </c>
      <c r="H118" s="2"/>
    </row>
    <row r="119" spans="1:8" ht="15" customHeight="1" x14ac:dyDescent="0.3">
      <c r="A119" s="3">
        <v>800943</v>
      </c>
      <c r="B119" s="3" t="s">
        <v>125</v>
      </c>
      <c r="C119" s="3">
        <v>293</v>
      </c>
      <c r="D119" s="4">
        <v>288</v>
      </c>
      <c r="E119" s="5">
        <v>11.52</v>
      </c>
      <c r="F119" s="4" t="s">
        <v>134</v>
      </c>
      <c r="G119" s="4"/>
      <c r="H119" s="2">
        <v>800795</v>
      </c>
    </row>
    <row r="120" spans="1:8" ht="15" customHeight="1" x14ac:dyDescent="0.3">
      <c r="A120" s="3">
        <v>800942</v>
      </c>
      <c r="B120" s="3" t="s">
        <v>126</v>
      </c>
      <c r="C120" s="3">
        <v>357</v>
      </c>
      <c r="D120" s="4">
        <v>352</v>
      </c>
      <c r="E120" s="5">
        <v>14.08</v>
      </c>
      <c r="F120" s="4" t="s">
        <v>134</v>
      </c>
      <c r="G120" s="4"/>
      <c r="H120" s="2">
        <v>800794</v>
      </c>
    </row>
    <row r="121" spans="1:8" ht="15" customHeight="1" x14ac:dyDescent="0.3">
      <c r="A121" s="3">
        <v>800941</v>
      </c>
      <c r="B121" s="3" t="s">
        <v>127</v>
      </c>
      <c r="C121" s="3">
        <v>582</v>
      </c>
      <c r="D121" s="4">
        <v>567</v>
      </c>
      <c r="E121" s="5">
        <v>22.68</v>
      </c>
      <c r="F121" s="4" t="s">
        <v>137</v>
      </c>
      <c r="G121" s="4"/>
      <c r="H121" s="2">
        <v>800889</v>
      </c>
    </row>
    <row r="122" spans="1:8" ht="15" customHeight="1" x14ac:dyDescent="0.3">
      <c r="A122" s="3">
        <v>800940</v>
      </c>
      <c r="B122" s="3" t="s">
        <v>128</v>
      </c>
      <c r="C122" s="3">
        <v>768</v>
      </c>
      <c r="D122" s="4">
        <v>726</v>
      </c>
      <c r="E122" s="5">
        <v>29.04</v>
      </c>
      <c r="F122" s="4" t="s">
        <v>137</v>
      </c>
      <c r="G122" s="4" t="s">
        <v>136</v>
      </c>
      <c r="H122" s="2">
        <v>800887</v>
      </c>
    </row>
    <row r="123" spans="1:8" ht="15" customHeight="1" x14ac:dyDescent="0.3">
      <c r="A123" s="3">
        <v>800939</v>
      </c>
      <c r="B123" s="3" t="s">
        <v>129</v>
      </c>
      <c r="C123" s="3">
        <v>809</v>
      </c>
      <c r="D123" s="4">
        <v>773</v>
      </c>
      <c r="E123" s="5">
        <v>30.92</v>
      </c>
      <c r="F123" s="4" t="s">
        <v>137</v>
      </c>
      <c r="G123" s="4"/>
      <c r="H123" s="2">
        <v>800897</v>
      </c>
    </row>
    <row r="124" spans="1:8" ht="15" customHeight="1" x14ac:dyDescent="0.3">
      <c r="B124" s="8" t="s">
        <v>130</v>
      </c>
      <c r="C124" s="9">
        <f>SUM(C3:C123)</f>
        <v>39505</v>
      </c>
      <c r="D124" s="4" t="e">
        <f>+VLOOKUP(A124,'[1]Avance despachos unisuper bulto'!$A$5:$L$192,12,0)</f>
        <v>#N/A</v>
      </c>
      <c r="F124" s="4"/>
      <c r="G124" s="4"/>
      <c r="H124" s="2"/>
    </row>
    <row r="125" spans="1:8" ht="15" customHeight="1" x14ac:dyDescent="0.3">
      <c r="B125" s="8" t="s">
        <v>131</v>
      </c>
      <c r="C125" s="9">
        <f>+C124-C127</f>
        <v>8301</v>
      </c>
      <c r="D125" s="4" t="e">
        <f>+VLOOKUP(A125,'[1]Avance despachos unisuper bulto'!$A$5:$L$192,12,0)</f>
        <v>#N/A</v>
      </c>
      <c r="F125" s="4"/>
      <c r="G125" s="4"/>
      <c r="H125" s="2"/>
    </row>
    <row r="126" spans="1:8" ht="15" customHeight="1" x14ac:dyDescent="0.3">
      <c r="B126" s="6"/>
      <c r="C126" s="7"/>
    </row>
    <row r="127" spans="1:8" ht="15" customHeight="1" x14ac:dyDescent="0.3">
      <c r="B127" s="10" t="s">
        <v>132</v>
      </c>
      <c r="C127" s="11">
        <v>31204</v>
      </c>
    </row>
    <row r="128" spans="1:8" ht="15" customHeight="1" x14ac:dyDescent="0.3"/>
    <row r="129" spans="4:5" ht="15" customHeight="1" x14ac:dyDescent="0.3">
      <c r="D129" s="12" t="s">
        <v>5</v>
      </c>
      <c r="E129" s="13">
        <f>SUM(E3:E123)</f>
        <v>1526.9599999999996</v>
      </c>
    </row>
  </sheetData>
  <mergeCells count="1">
    <mergeCell ref="A1:C1"/>
  </mergeCells>
  <conditionalFormatting sqref="A1:B1048576">
    <cfRule type="duplicateValues" dxfId="4" priority="3"/>
  </conditionalFormatting>
  <conditionalFormatting sqref="A3:G3 A4:C123 E4:E123 D4:D125 F4:G125">
    <cfRule type="expression" dxfId="3" priority="2" stopIfTrue="1">
      <formula>$G3&lt;&gt;""</formula>
    </cfRule>
  </conditionalFormatting>
  <conditionalFormatting sqref="B3:B123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C94EFDA-527C-41A6-8B22-BCCC22D058DC}"/>
</file>

<file path=customXml/itemProps2.xml><?xml version="1.0" encoding="utf-8"?>
<ds:datastoreItem xmlns:ds="http://schemas.openxmlformats.org/officeDocument/2006/customXml" ds:itemID="{EAF7B87E-A389-4A6D-8356-8D329C27BF20}"/>
</file>

<file path=customXml/itemProps3.xml><?xml version="1.0" encoding="utf-8"?>
<ds:datastoreItem xmlns:ds="http://schemas.openxmlformats.org/officeDocument/2006/customXml" ds:itemID="{B5B8151F-6932-4183-9849-6CD2A1B96C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2026-10-14T16:35:32Z</dcterms:created>
  <dcterms:modified xsi:type="dcterms:W3CDTF">2026-10-14T16:35:32Z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