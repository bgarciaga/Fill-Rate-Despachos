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1-10-2026/"/>
    </mc:Choice>
  </mc:AlternateContent>
  <xr:revisionPtr revIDLastSave="4" documentId="8_{15B72512-D987-4393-8328-3A889F733E72}" xr6:coauthVersionLast="47" xr6:coauthVersionMax="47" xr10:uidLastSave="{2A68CE8B-14E5-4B3A-8591-4065BA76BE9C}"/>
  <bookViews>
    <workbookView xWindow="-108" yWindow="-108" windowWidth="23256" windowHeight="13896" xr2:uid="{00000000-000D-0000-FFFF-FFFF00000000}"/>
  </bookViews>
  <sheets>
    <sheet name="ANTIGUOS DESPACHOS" sheetId="1" r:id="rId1"/>
  </sheets>
  <externalReferences>
    <externalReference r:id="rId2"/>
    <externalReference r:id="rId3"/>
  </externalReferences>
  <definedNames>
    <definedName name="_xlnm._FilterDatabase" localSheetId="0" hidden="1">'ANTIGUOS DESPACHOS'!$A$1:$I$81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3" i="1" l="1"/>
  <c r="I73" i="1" s="1"/>
  <c r="H28" i="1"/>
  <c r="I28" i="1" s="1"/>
  <c r="H74" i="1"/>
  <c r="I74" i="1" s="1"/>
  <c r="H75" i="1"/>
  <c r="I75" i="1" s="1"/>
  <c r="H72" i="1"/>
  <c r="I72" i="1" s="1"/>
  <c r="H76" i="1"/>
  <c r="I76" i="1" s="1"/>
  <c r="H23" i="1"/>
  <c r="I23" i="1" s="1"/>
  <c r="H60" i="1"/>
  <c r="I60" i="1" s="1"/>
  <c r="H7" i="1"/>
  <c r="I7" i="1" s="1"/>
  <c r="H56" i="1"/>
  <c r="I56" i="1" s="1"/>
  <c r="H32" i="1"/>
  <c r="I32" i="1" s="1"/>
  <c r="H34" i="1"/>
  <c r="I34" i="1" s="1"/>
  <c r="H18" i="1"/>
  <c r="I18" i="1" s="1"/>
  <c r="H44" i="1"/>
  <c r="I44" i="1" s="1"/>
  <c r="H9" i="1"/>
  <c r="I9" i="1" s="1"/>
  <c r="H48" i="1"/>
  <c r="I48" i="1" s="1"/>
  <c r="H37" i="1"/>
  <c r="I37" i="1" s="1"/>
  <c r="H8" i="1"/>
  <c r="I8" i="1" s="1"/>
  <c r="H21" i="1"/>
  <c r="I21" i="1" s="1"/>
  <c r="H35" i="1"/>
  <c r="I35" i="1" s="1"/>
  <c r="H14" i="1"/>
  <c r="I14" i="1" s="1"/>
  <c r="H3" i="1"/>
  <c r="I3" i="1" s="1"/>
  <c r="H63" i="1"/>
  <c r="I63" i="1" s="1"/>
  <c r="H69" i="1"/>
  <c r="I69" i="1" s="1"/>
  <c r="H26" i="1"/>
  <c r="I26" i="1" s="1"/>
  <c r="H38" i="1"/>
  <c r="I38" i="1" s="1"/>
  <c r="H10" i="1"/>
  <c r="I10" i="1" s="1"/>
  <c r="H65" i="1"/>
  <c r="I65" i="1" s="1"/>
  <c r="H67" i="1"/>
  <c r="I67" i="1" s="1"/>
  <c r="H53" i="1"/>
  <c r="I53" i="1" s="1"/>
  <c r="H40" i="1"/>
  <c r="I40" i="1" s="1"/>
  <c r="H68" i="1"/>
  <c r="I68" i="1" s="1"/>
  <c r="H22" i="1"/>
  <c r="I22" i="1" s="1"/>
  <c r="H16" i="1"/>
  <c r="I16" i="1" s="1"/>
  <c r="H78" i="1"/>
  <c r="I78" i="1" s="1"/>
  <c r="H79" i="1"/>
  <c r="I79" i="1" s="1"/>
  <c r="H29" i="1"/>
  <c r="I29" i="1" s="1"/>
  <c r="H6" i="1"/>
  <c r="I6" i="1" s="1"/>
  <c r="H58" i="1"/>
  <c r="I58" i="1" s="1"/>
  <c r="H49" i="1"/>
  <c r="I49" i="1" s="1"/>
  <c r="H12" i="1"/>
  <c r="I12" i="1" s="1"/>
  <c r="H51" i="1"/>
  <c r="I51" i="1" s="1"/>
  <c r="H66" i="1"/>
  <c r="I66" i="1" s="1"/>
  <c r="H15" i="1"/>
  <c r="I15" i="1" s="1"/>
  <c r="H77" i="1"/>
  <c r="I77" i="1" s="1"/>
  <c r="H45" i="1"/>
  <c r="I45" i="1" s="1"/>
  <c r="H41" i="1"/>
  <c r="I41" i="1" s="1"/>
  <c r="H36" i="1"/>
  <c r="I36" i="1" s="1"/>
  <c r="H39" i="1"/>
  <c r="I39" i="1" s="1"/>
  <c r="H30" i="1"/>
  <c r="I30" i="1" s="1"/>
  <c r="H61" i="1"/>
  <c r="I61" i="1" s="1"/>
  <c r="H25" i="1"/>
  <c r="I25" i="1" s="1"/>
  <c r="H11" i="1"/>
  <c r="I11" i="1" s="1"/>
  <c r="H47" i="1"/>
  <c r="I47" i="1" s="1"/>
  <c r="H4" i="1"/>
  <c r="I4" i="1" s="1"/>
  <c r="H33" i="1"/>
  <c r="I33" i="1" s="1"/>
  <c r="H24" i="1"/>
  <c r="I24" i="1" s="1"/>
  <c r="H50" i="1"/>
  <c r="I50" i="1" s="1"/>
  <c r="H52" i="1"/>
  <c r="I52" i="1" s="1"/>
  <c r="H55" i="1"/>
  <c r="I55" i="1" s="1"/>
  <c r="H71" i="1"/>
  <c r="I71" i="1" s="1"/>
  <c r="H42" i="1"/>
  <c r="I42" i="1" s="1"/>
  <c r="H54" i="1"/>
  <c r="I54" i="1" s="1"/>
  <c r="H20" i="1"/>
  <c r="I20" i="1" s="1"/>
  <c r="H64" i="1"/>
  <c r="I64" i="1" s="1"/>
  <c r="H2" i="1"/>
  <c r="I2" i="1" s="1"/>
  <c r="H5" i="1"/>
  <c r="I5" i="1" s="1"/>
  <c r="H31" i="1"/>
  <c r="I31" i="1" s="1"/>
  <c r="H13" i="1"/>
  <c r="I13" i="1" s="1"/>
  <c r="H59" i="1"/>
  <c r="I59" i="1" s="1"/>
  <c r="H43" i="1"/>
  <c r="I43" i="1" s="1"/>
  <c r="H70" i="1"/>
  <c r="I70" i="1" s="1"/>
  <c r="H27" i="1"/>
  <c r="I27" i="1" s="1"/>
  <c r="H19" i="1"/>
  <c r="I19" i="1" s="1"/>
  <c r="H46" i="1"/>
  <c r="I46" i="1" s="1"/>
  <c r="H57" i="1"/>
  <c r="I57" i="1" s="1"/>
  <c r="H17" i="1"/>
  <c r="I17" i="1" s="1"/>
  <c r="H62" i="1"/>
  <c r="I62" i="1" s="1"/>
  <c r="G73" i="1"/>
  <c r="G28" i="1"/>
  <c r="G74" i="1"/>
  <c r="G75" i="1"/>
  <c r="G72" i="1"/>
  <c r="G76" i="1"/>
  <c r="G23" i="1"/>
  <c r="G60" i="1"/>
  <c r="G7" i="1"/>
  <c r="G56" i="1"/>
  <c r="G32" i="1"/>
  <c r="G34" i="1"/>
  <c r="G18" i="1"/>
  <c r="G44" i="1"/>
  <c r="G9" i="1"/>
  <c r="G48" i="1"/>
  <c r="G37" i="1"/>
  <c r="G8" i="1"/>
  <c r="G21" i="1"/>
  <c r="G35" i="1"/>
  <c r="G14" i="1"/>
  <c r="G3" i="1"/>
  <c r="G63" i="1"/>
  <c r="G69" i="1"/>
  <c r="G26" i="1"/>
  <c r="G38" i="1"/>
  <c r="G10" i="1"/>
  <c r="G65" i="1"/>
  <c r="G80" i="1"/>
  <c r="G67" i="1"/>
  <c r="G53" i="1"/>
  <c r="G40" i="1"/>
  <c r="G68" i="1"/>
  <c r="G22" i="1"/>
  <c r="G16" i="1"/>
  <c r="G78" i="1"/>
  <c r="G79" i="1"/>
  <c r="G29" i="1"/>
  <c r="G6" i="1"/>
  <c r="G58" i="1"/>
  <c r="G49" i="1"/>
  <c r="G12" i="1"/>
  <c r="G51" i="1"/>
  <c r="G66" i="1"/>
  <c r="G15" i="1"/>
  <c r="G77" i="1"/>
  <c r="G45" i="1"/>
  <c r="G41" i="1"/>
  <c r="G36" i="1"/>
  <c r="G39" i="1"/>
  <c r="G30" i="1"/>
  <c r="G61" i="1"/>
  <c r="G25" i="1"/>
  <c r="G11" i="1"/>
  <c r="G81" i="1"/>
  <c r="G47" i="1"/>
  <c r="G4" i="1"/>
  <c r="G33" i="1"/>
  <c r="G24" i="1"/>
  <c r="G50" i="1"/>
  <c r="G52" i="1"/>
  <c r="G55" i="1"/>
  <c r="G71" i="1"/>
  <c r="G42" i="1"/>
  <c r="G54" i="1"/>
  <c r="G20" i="1"/>
  <c r="G64" i="1"/>
  <c r="G2" i="1"/>
  <c r="G5" i="1"/>
  <c r="G31" i="1"/>
  <c r="G13" i="1"/>
  <c r="G59" i="1"/>
  <c r="G43" i="1"/>
  <c r="G70" i="1"/>
  <c r="G27" i="1"/>
  <c r="G19" i="1"/>
  <c r="G46" i="1"/>
  <c r="G57" i="1"/>
  <c r="G17" i="1"/>
  <c r="G62" i="1"/>
</calcChain>
</file>

<file path=xl/sharedStrings.xml><?xml version="1.0" encoding="utf-8"?>
<sst xmlns="http://schemas.openxmlformats.org/spreadsheetml/2006/main" count="248" uniqueCount="146">
  <si>
    <t>ID DESPACHO</t>
  </si>
  <si>
    <t>SALA</t>
  </si>
  <si>
    <t>ESTADO DESPACHO</t>
  </si>
  <si>
    <t>FECHA GENERACION</t>
  </si>
  <si>
    <t>BULTOS PEDIDOS</t>
  </si>
  <si>
    <t>BULTOS SERVIR</t>
  </si>
  <si>
    <t>2026/10/10 08:54:48</t>
  </si>
  <si>
    <t>2026/10/10 08:54:21</t>
  </si>
  <si>
    <t>2026/10/10 08:57:21</t>
  </si>
  <si>
    <t>2026/10/10 08:57:08</t>
  </si>
  <si>
    <t>2026/10/10 09:10:18</t>
  </si>
  <si>
    <t>2026/10/10 08:58:55</t>
  </si>
  <si>
    <t>2026/10/09 12:12:54</t>
  </si>
  <si>
    <t>Con Incidencias</t>
  </si>
  <si>
    <t>2026/10/03 08:31:26</t>
  </si>
  <si>
    <t>2026/10/07 12:19:10</t>
  </si>
  <si>
    <t>2026/10/09 12:16:28</t>
  </si>
  <si>
    <t>2026/10/09 12:19:04</t>
  </si>
  <si>
    <t>2026/10/10 08:48:33</t>
  </si>
  <si>
    <t>2026/10/10 08:49:02</t>
  </si>
  <si>
    <t>2026/10/10 08:51:26</t>
  </si>
  <si>
    <t>2026/10/10 08:55:42</t>
  </si>
  <si>
    <t>2026/10/10 09:01:16</t>
  </si>
  <si>
    <t>2026/10/10 09:04:07</t>
  </si>
  <si>
    <t>2026/10/10 09:04:48</t>
  </si>
  <si>
    <t>2026/10/10 09:24:06</t>
  </si>
  <si>
    <t>2026/10/10 09:25:18</t>
  </si>
  <si>
    <t>2026/10/03 08:21:08</t>
  </si>
  <si>
    <t>2026/10/03 08:24:14</t>
  </si>
  <si>
    <t>2026/10/05 12:30:46</t>
  </si>
  <si>
    <t>2026/10/09 12:12:31</t>
  </si>
  <si>
    <t>2026/10/10 08:54:29</t>
  </si>
  <si>
    <t>2026/10/10 08:51:09</t>
  </si>
  <si>
    <t>2026/10/10 08:55:59</t>
  </si>
  <si>
    <t>2026/10/10 09:15:18</t>
  </si>
  <si>
    <t>2026/10/10 09:21:27</t>
  </si>
  <si>
    <t>2026/10/10 09:22:42</t>
  </si>
  <si>
    <t>2026/10/10 09:27:55</t>
  </si>
  <si>
    <t>2026/10/03 08:34:34</t>
  </si>
  <si>
    <t>2026/10/10 08:56:42</t>
  </si>
  <si>
    <t>2026/10/10 09:12:23</t>
  </si>
  <si>
    <t>2026/10/10 09:03:26</t>
  </si>
  <si>
    <t>2026/10/10 09:14:31</t>
  </si>
  <si>
    <t>2026/10/10 09:17:57</t>
  </si>
  <si>
    <t>2026/10/10 09:21:57</t>
  </si>
  <si>
    <t>2026/10/03 08:27:09</t>
  </si>
  <si>
    <t>2026/10/09 09:15:54</t>
  </si>
  <si>
    <t>2026/10/09 12:22:45</t>
  </si>
  <si>
    <t>2026/10/10 09:26:52</t>
  </si>
  <si>
    <t>2026/10/09 12:17:52</t>
  </si>
  <si>
    <t>2026/10/10 09:11:43</t>
  </si>
  <si>
    <t>2026/10/10 09:15:27</t>
  </si>
  <si>
    <t>2026/10/10 08:48:57</t>
  </si>
  <si>
    <t>2026/10/10 08:49:33</t>
  </si>
  <si>
    <t>2026/10/10 08:59:45</t>
  </si>
  <si>
    <t>2026/10/10 08:55:22</t>
  </si>
  <si>
    <t>2026/10/10 09:08:10</t>
  </si>
  <si>
    <t>2026/10/10 09:21:46</t>
  </si>
  <si>
    <t>2026/10/10 09:03:39</t>
  </si>
  <si>
    <t>2026/10/10 09:24:14</t>
  </si>
  <si>
    <t>2026/10/10 09:27:03</t>
  </si>
  <si>
    <t>2026/10/09 12:16:36</t>
  </si>
  <si>
    <t>2026/10/10 09:08:36</t>
  </si>
  <si>
    <t>2026/10/10 09:18:46</t>
  </si>
  <si>
    <t>2026/10/10 09:19:09</t>
  </si>
  <si>
    <t>2026/10/10 09:08:27</t>
  </si>
  <si>
    <t>2026/10/10 09:25:49</t>
  </si>
  <si>
    <t>2026/10/03 08:27:32</t>
  </si>
  <si>
    <t>2026/10/09 12:09:31</t>
  </si>
  <si>
    <t>2026/10/10 09:04:58</t>
  </si>
  <si>
    <t>2026/10/10 09:09:59</t>
  </si>
  <si>
    <t>2026/10/10 09:19:17</t>
  </si>
  <si>
    <t>2026/10/10 09:19:25</t>
  </si>
  <si>
    <t>2026/10/10 09:21:02</t>
  </si>
  <si>
    <t>LA TORRE TOTONICAPAN</t>
  </si>
  <si>
    <t>LA TORRE ESCUINTLA 3</t>
  </si>
  <si>
    <t>LA TORRE MALACATAN</t>
  </si>
  <si>
    <t>LA TORRE SALAMA</t>
  </si>
  <si>
    <t>ECONOSUPER BOULEVARD SUR</t>
  </si>
  <si>
    <t>ECONOSUPER LO DE FUENTES</t>
  </si>
  <si>
    <t>LA TORRE ATANACIO</t>
  </si>
  <si>
    <t>LA TORRE CENTRASUR</t>
  </si>
  <si>
    <t>LA TORRE ESCUINTLA 2</t>
  </si>
  <si>
    <t>LA TORRE INDEPENDENCIA</t>
  </si>
  <si>
    <t>LA TORRE JALAPA 3</t>
  </si>
  <si>
    <t>LA TORRE XELA</t>
  </si>
  <si>
    <t>LA TORRE LOS AMATES</t>
  </si>
  <si>
    <t>LA TORRE JOCOTENANGO</t>
  </si>
  <si>
    <t>LA TORRE CENTRICO Z5</t>
  </si>
  <si>
    <t>LA TORRE ESCALA</t>
  </si>
  <si>
    <t>LA TORRE PUERTO BARRIOS</t>
  </si>
  <si>
    <t>LA TORRE SAN MIGUEL PETAPA 2</t>
  </si>
  <si>
    <t>LA TORRE ZONA 4</t>
  </si>
  <si>
    <t>LT XELA 4</t>
  </si>
  <si>
    <t>ECONOSUPER NIMAJUYU</t>
  </si>
  <si>
    <t>LA TORRE CENTRO</t>
  </si>
  <si>
    <t>LA TORRE CIUDAD VIEJA</t>
  </si>
  <si>
    <t>LA TORRE METROCENTRO</t>
  </si>
  <si>
    <t>LA TORRE MORALES</t>
  </si>
  <si>
    <t>LA TORRE PALMERAS</t>
  </si>
  <si>
    <t>LA TORRE PETAPOLIS</t>
  </si>
  <si>
    <t>LA TORRE RETALHULEU</t>
  </si>
  <si>
    <t>LA TORRE SANARATE</t>
  </si>
  <si>
    <t>LA TORRE QUICHE</t>
  </si>
  <si>
    <t>LA TORRE LINDAMAR</t>
  </si>
  <si>
    <t>LA TORRE MARISCAL</t>
  </si>
  <si>
    <t>LA TORRE TRINIDAD</t>
  </si>
  <si>
    <t>ECONOSUPER MILPAS ALTAS</t>
  </si>
  <si>
    <t>LA TORRE ZONA 16</t>
  </si>
  <si>
    <t>LA TORRE PANAJACHEL</t>
  </si>
  <si>
    <t>ECONO SUPER MAGNOLIA</t>
  </si>
  <si>
    <t>LA TORRE COATEPEQUE 2</t>
  </si>
  <si>
    <t>LA TORRE MITA</t>
  </si>
  <si>
    <t>LA TORRE PUERTO SAN JOSE</t>
  </si>
  <si>
    <t>LA TORRE TECULUTAN</t>
  </si>
  <si>
    <t>LA TORRE TIQUISATE</t>
  </si>
  <si>
    <t>ECONOSUPER LA BRIGADA</t>
  </si>
  <si>
    <t>ECONOSUPER XELA</t>
  </si>
  <si>
    <t>LA TORRE ENCINAL</t>
  </si>
  <si>
    <t>LA TORRE JALAPA</t>
  </si>
  <si>
    <t>LA TORRE JUTIAPA</t>
  </si>
  <si>
    <t>LA TORRE PALIN</t>
  </si>
  <si>
    <t>LA TORRE SAN RAFAEL</t>
  </si>
  <si>
    <t>LA TORRE SANTA LUCIA</t>
  </si>
  <si>
    <t>LA TORRE VILLALOBOS</t>
  </si>
  <si>
    <t>LA TORRE ZONA 11</t>
  </si>
  <si>
    <t>LA TORRE ZONA 19</t>
  </si>
  <si>
    <t>LA TORRE MAZATENANGO</t>
  </si>
  <si>
    <t>LA TORRE JALAPA 2</t>
  </si>
  <si>
    <t>LA TORRE LA GOMERA</t>
  </si>
  <si>
    <t>LA TORRE SALCAJA</t>
  </si>
  <si>
    <t>LA TORRE SANTALU</t>
  </si>
  <si>
    <t>LA TORRE ZACAPA</t>
  </si>
  <si>
    <t>LA TORRE ZACAPA 2</t>
  </si>
  <si>
    <t>LA TORRE QUICHE 2</t>
  </si>
  <si>
    <t>LA TORRE CHIMALTENANGO</t>
  </si>
  <si>
    <t>LA TORRE BARBERENA</t>
  </si>
  <si>
    <t>LA TORRE GUASTATOYA</t>
  </si>
  <si>
    <t>LA TORRE PETAPA</t>
  </si>
  <si>
    <t>LA TORRE SAN IGNACIO</t>
  </si>
  <si>
    <t>LA TORRE SAN FRANCISCO</t>
  </si>
  <si>
    <t>LA TORRE SAN MARCOS</t>
  </si>
  <si>
    <t>LT ANTIGUA 1</t>
  </si>
  <si>
    <t>ESTADO</t>
  </si>
  <si>
    <t>TOTAL</t>
  </si>
  <si>
    <t>LA TORRE VILLA 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</si>
</sst>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0.00;\(0.00\)"/>
    <numFmt numFmtId="166" formatCode="dd/mm/yyyy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FFFFFF"/>
      <name val="Arial"/>
      <family val="2"/>
    </font>
    <font>
      <sz val="8"/>
      <color rgb="FF000000"/>
      <name val="Tahoma"/>
      <family val="2"/>
    </font>
    <font>
      <sz val="8"/>
      <color rgb="FF696969"/>
      <name val="Tahoma"/>
      <family val="2"/>
    </font>
    <font>
      <b/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166" fontId="2" fillId="2" borderId="1" xfId="0" applyNumberFormat="1" applyFont="1" applyFill="1" applyBorder="1" applyAlignment="1">
      <alignment horizontal="left" vertical="top" wrapText="1" readingOrder="1"/>
    </xf>
    <xf numFmtId="0" fontId="3" fillId="0" borderId="1" xfId="0" applyFont="1" applyBorder="1" applyAlignment="1">
      <alignment vertical="top" readingOrder="1"/>
    </xf>
    <xf numFmtId="0" fontId="3" fillId="3" borderId="1" xfId="0" applyFont="1" applyFill="1" applyBorder="1" applyAlignment="1">
      <alignment vertical="top" readingOrder="1"/>
    </xf>
    <xf numFmtId="164" fontId="4" fillId="0" borderId="1" xfId="0" applyNumberFormat="1" applyFont="1" applyBorder="1" applyAlignment="1">
      <alignment vertical="top" readingOrder="1"/>
    </xf>
    <xf numFmtId="164" fontId="5" fillId="0" borderId="1" xfId="0" applyNumberFormat="1" applyFont="1" applyBorder="1" applyAlignment="1">
      <alignment vertical="top" readingOrder="1"/>
    </xf>
    <xf numFmtId="0" fontId="1" fillId="0" borderId="0" xfId="0" applyFont="1" applyAlignment="1"/>
    <xf numFmtId="0" fontId="3" fillId="4" borderId="1" xfId="0" applyFont="1" applyFill="1" applyBorder="1" applyAlignment="1">
      <alignment vertical="top" readingOrder="1"/>
    </xf>
    <xf numFmtId="0" fontId="1" fillId="0" borderId="0" xfId="0" applyFont="1" applyAlignment="1">
      <alignment wrapText="1"/>
    </xf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C0C0C0"/>
      <rgbColor rgb="00696969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ISTADO%20DE%20TIENDAS%202024.xlsx" TargetMode="External"/><Relationship Id="rId2" Type="http://schemas.openxmlformats.org/officeDocument/2006/relationships/externalLinkPath" Target="https://gruporansa.sharepoint.com/sites/EQUIPO_SLOTTING/Shared%20Documents/Proceso%20de%20pedidos/LISTADO%20DE%20TIENDAS%202024.xlsx" TargetMode="External"/><Relationship Id="rId1" Type="http://schemas.openxmlformats.org/officeDocument/2006/relationships/externalLinkPath" Target="/sites/EQUIPO_SLOTTING/Shared%20Documents/Proceso%20de%20pedidos/LISTADO%20DE%20TIENDAS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.sharepoint.com/sites/EQUIPO_SLOTTING/Shared%20Documents/Proceso%20de%20pedidos/PEDIDOS%20APROBADOS/11-10-2026/APROBADOS%2011-10-2026.xlsx" TargetMode="External"/><Relationship Id="rId1" Type="http://schemas.openxmlformats.org/officeDocument/2006/relationships/externalLinkPath" Target="APROBADOS%2011-10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IENDAS 2025"/>
      <sheetName val="TIENDAS EN INVENTARIO"/>
    </sheetNames>
    <sheetDataSet>
      <sheetData sheetId="0">
        <row r="2">
          <cell r="A2" t="str">
            <v>BODEGAS DE CANASTAS 2</v>
          </cell>
          <cell r="C2" t="str">
            <v>local</v>
          </cell>
        </row>
        <row r="3">
          <cell r="A3" t="str">
            <v>CANASTAS NAVIDEÑAS</v>
          </cell>
          <cell r="C3" t="str">
            <v>local</v>
          </cell>
        </row>
        <row r="4">
          <cell r="A4" t="str">
            <v>ECONO SUPER MAGNOLIA</v>
          </cell>
          <cell r="C4" t="str">
            <v>local</v>
          </cell>
        </row>
        <row r="5">
          <cell r="A5" t="str">
            <v>ECONOSUPER BOULEVARD SUR</v>
          </cell>
          <cell r="C5" t="str">
            <v>local</v>
          </cell>
        </row>
        <row r="6">
          <cell r="A6" t="str">
            <v>ECONOSUPER LA BRIGADA</v>
          </cell>
          <cell r="C6" t="str">
            <v>local</v>
          </cell>
        </row>
        <row r="7">
          <cell r="A7" t="str">
            <v>ECONOSUPER LO DE FUENTES</v>
          </cell>
          <cell r="C7" t="str">
            <v>local</v>
          </cell>
        </row>
        <row r="8">
          <cell r="A8" t="str">
            <v>ECONOSUPER MILPAS ALTAS</v>
          </cell>
          <cell r="C8" t="str">
            <v>local</v>
          </cell>
        </row>
        <row r="9">
          <cell r="A9" t="str">
            <v>ECONOSUPER NIMAJUYU</v>
          </cell>
          <cell r="C9" t="str">
            <v>local</v>
          </cell>
        </row>
        <row r="10">
          <cell r="A10" t="str">
            <v>ECONOSUPER XELA</v>
          </cell>
          <cell r="C10" t="str">
            <v>departamental</v>
          </cell>
        </row>
        <row r="11">
          <cell r="A11" t="str">
            <v>ECONOSUPER ZONA 2</v>
          </cell>
          <cell r="C11" t="str">
            <v>prioridad</v>
          </cell>
        </row>
        <row r="12">
          <cell r="A12" t="str">
            <v>ECONOSUPER ZONA 6</v>
          </cell>
          <cell r="C12" t="str">
            <v>prioridad</v>
          </cell>
        </row>
        <row r="13">
          <cell r="A13" t="str">
            <v>LA TORRE 20 CALLE</v>
          </cell>
          <cell r="B13" t="str">
            <v>TIENDAS ELITE</v>
          </cell>
          <cell r="C13" t="str">
            <v>nocturna</v>
          </cell>
        </row>
        <row r="14">
          <cell r="A14" t="str">
            <v>LA TORRE AMATITLAN</v>
          </cell>
          <cell r="C14" t="str">
            <v>prioridad</v>
          </cell>
        </row>
        <row r="15">
          <cell r="A15" t="str">
            <v>LA TORRE AMATITLAN2</v>
          </cell>
          <cell r="B15" t="str">
            <v>TIENDAS ELITE</v>
          </cell>
          <cell r="C15" t="str">
            <v>nocturna</v>
          </cell>
        </row>
        <row r="16">
          <cell r="A16" t="str">
            <v>LA TORRE ANTIGUA 2</v>
          </cell>
          <cell r="C16" t="str">
            <v>local</v>
          </cell>
        </row>
        <row r="17">
          <cell r="A17" t="str">
            <v>LA TORRE ANTIGUA 3</v>
          </cell>
          <cell r="C17" t="str">
            <v>local</v>
          </cell>
        </row>
        <row r="18">
          <cell r="A18" t="str">
            <v>LA TORRE ARRAZOLA</v>
          </cell>
          <cell r="C18" t="str">
            <v>nocturna</v>
          </cell>
        </row>
        <row r="19">
          <cell r="A19" t="str">
            <v>LA TORRE ATANACIO</v>
          </cell>
          <cell r="C19" t="str">
            <v>local</v>
          </cell>
        </row>
        <row r="20">
          <cell r="A20" t="str">
            <v>LA TORRE BARBERENA</v>
          </cell>
          <cell r="C20" t="str">
            <v>departamental</v>
          </cell>
        </row>
        <row r="21">
          <cell r="A21" t="str">
            <v>LA TORRE BARCENAS</v>
          </cell>
          <cell r="C21" t="str">
            <v>nocturna</v>
          </cell>
        </row>
        <row r="22">
          <cell r="A22" t="str">
            <v>LA TORRE BOCA DEL MONTE</v>
          </cell>
          <cell r="C22" t="str">
            <v>local</v>
          </cell>
        </row>
        <row r="23">
          <cell r="A23" t="str">
            <v>LA TORRE CARCHA</v>
          </cell>
          <cell r="C23" t="str">
            <v>departamental</v>
          </cell>
        </row>
        <row r="24">
          <cell r="A24" t="str">
            <v>LA TORRE CAYALA</v>
          </cell>
          <cell r="B24" t="str">
            <v>TIENDAS ELITE</v>
          </cell>
          <cell r="C24" t="str">
            <v>prioridad</v>
          </cell>
        </row>
        <row r="25">
          <cell r="A25" t="str">
            <v>LA TORRE CAYALA 2</v>
          </cell>
          <cell r="C25" t="str">
            <v>prioridad</v>
          </cell>
        </row>
        <row r="26">
          <cell r="A26" t="str">
            <v>LA TORRE CENTRANORTE</v>
          </cell>
          <cell r="C26" t="str">
            <v>nocturna</v>
          </cell>
        </row>
        <row r="27">
          <cell r="A27" t="str">
            <v>LA TORRE CENTRASUR</v>
          </cell>
          <cell r="C27" t="str">
            <v>local</v>
          </cell>
        </row>
        <row r="28">
          <cell r="A28" t="str">
            <v>LA TORRE CENTRICO Z5</v>
          </cell>
          <cell r="C28" t="str">
            <v>local</v>
          </cell>
        </row>
        <row r="29">
          <cell r="A29" t="str">
            <v>LA TORRE CENTRO</v>
          </cell>
          <cell r="B29" t="str">
            <v>TIENDAS ELITE</v>
          </cell>
          <cell r="C29" t="str">
            <v>local</v>
          </cell>
        </row>
        <row r="30">
          <cell r="A30" t="str">
            <v>LA TORRE CHIMALTENANGO</v>
          </cell>
          <cell r="C30" t="str">
            <v>departamental</v>
          </cell>
        </row>
        <row r="31">
          <cell r="A31" t="str">
            <v>LA TORRE CHIQUIMULA</v>
          </cell>
          <cell r="C31" t="str">
            <v>departamental</v>
          </cell>
        </row>
        <row r="32">
          <cell r="A32" t="str">
            <v>LA TORRE CIUDAD VIEJA</v>
          </cell>
          <cell r="C32" t="str">
            <v>local</v>
          </cell>
        </row>
        <row r="33">
          <cell r="A33" t="str">
            <v>LA TORRE COATEPEQUE</v>
          </cell>
          <cell r="C33" t="str">
            <v>departamental</v>
          </cell>
        </row>
        <row r="34">
          <cell r="A34" t="str">
            <v>LA TORRE COATEPEQUE 2</v>
          </cell>
          <cell r="C34" t="str">
            <v>departamental</v>
          </cell>
        </row>
        <row r="35">
          <cell r="A35" t="str">
            <v>LA TORRE COBAN</v>
          </cell>
          <cell r="C35" t="str">
            <v>departamental</v>
          </cell>
        </row>
        <row r="36">
          <cell r="A36" t="str">
            <v>LA TORRE CUATRO CAMINOS</v>
          </cell>
          <cell r="C36" t="str">
            <v>departamental</v>
          </cell>
        </row>
        <row r="37">
          <cell r="A37" t="str">
            <v>LA TORRE EL FRUTAL</v>
          </cell>
          <cell r="C37" t="str">
            <v>nocturna</v>
          </cell>
        </row>
        <row r="38">
          <cell r="A38" t="str">
            <v>LA TORRE EL NARANJO</v>
          </cell>
          <cell r="B38" t="str">
            <v>TIENDAS ELITE</v>
          </cell>
          <cell r="C38" t="str">
            <v>nocturna</v>
          </cell>
        </row>
        <row r="39">
          <cell r="A39" t="str">
            <v>LA TORRE EL RODEO</v>
          </cell>
          <cell r="C39" t="str">
            <v>nocturna</v>
          </cell>
        </row>
        <row r="40">
          <cell r="A40" t="str">
            <v>LA TORRE ENCINAL</v>
          </cell>
          <cell r="C40" t="str">
            <v>local</v>
          </cell>
        </row>
        <row r="41">
          <cell r="A41" t="str">
            <v>LA TORRE ESCALA</v>
          </cell>
          <cell r="B41" t="str">
            <v>TIENDAS ELITE</v>
          </cell>
          <cell r="C41" t="str">
            <v>prioridad</v>
          </cell>
        </row>
        <row r="42">
          <cell r="A42" t="str">
            <v>LA TORRE ESCUINTLA 2</v>
          </cell>
          <cell r="C42" t="str">
            <v>departamental</v>
          </cell>
        </row>
        <row r="43">
          <cell r="A43" t="str">
            <v>LA TORRE ESCUINTLA 3</v>
          </cell>
          <cell r="C43" t="str">
            <v>local</v>
          </cell>
        </row>
        <row r="44">
          <cell r="A44" t="str">
            <v>LA TORRE ESQUIPULAS</v>
          </cell>
          <cell r="C44" t="str">
            <v>departamental</v>
          </cell>
        </row>
        <row r="45">
          <cell r="A45" t="str">
            <v>LA TORRE FRAIJANES</v>
          </cell>
          <cell r="B45" t="str">
            <v>TIENDAS ELITE</v>
          </cell>
          <cell r="C45" t="str">
            <v>prioridad</v>
          </cell>
        </row>
        <row r="46">
          <cell r="A46" t="str">
            <v>LA TORRE FUTECA Z14</v>
          </cell>
          <cell r="C46" t="str">
            <v>nocturna</v>
          </cell>
        </row>
        <row r="47">
          <cell r="A47" t="str">
            <v>LA TORRE GUASTATOYA</v>
          </cell>
          <cell r="C47" t="str">
            <v>departamental</v>
          </cell>
        </row>
        <row r="48">
          <cell r="A48" t="str">
            <v>LA TORRE HUEHUETENANGO</v>
          </cell>
          <cell r="C48" t="str">
            <v>departamental</v>
          </cell>
        </row>
        <row r="49">
          <cell r="A49" t="str">
            <v>LA TORRE HUEHUETENANGO 2</v>
          </cell>
          <cell r="C49" t="str">
            <v>departamental</v>
          </cell>
        </row>
        <row r="50">
          <cell r="A50" t="str">
            <v>LA TORRE INDEPENDENCIA</v>
          </cell>
          <cell r="B50" t="str">
            <v>TIENDAS ELITE</v>
          </cell>
          <cell r="C50" t="str">
            <v>departamental</v>
          </cell>
        </row>
        <row r="51">
          <cell r="A51" t="str">
            <v>LA TORRE JALAPA</v>
          </cell>
          <cell r="C51" t="str">
            <v>departamental</v>
          </cell>
        </row>
        <row r="52">
          <cell r="A52" t="str">
            <v>LA TORRE JALAPA 2</v>
          </cell>
          <cell r="C52" t="str">
            <v>departamental</v>
          </cell>
        </row>
        <row r="53">
          <cell r="A53" t="str">
            <v>LA TORRE JALAPA 3</v>
          </cell>
          <cell r="C53" t="str">
            <v>departamental</v>
          </cell>
        </row>
        <row r="54">
          <cell r="A54" t="str">
            <v>LA TORRE JOCOTENANGO</v>
          </cell>
          <cell r="C54" t="str">
            <v>local</v>
          </cell>
        </row>
        <row r="55">
          <cell r="A55" t="str">
            <v>LA TORRE JUTIAPA</v>
          </cell>
          <cell r="C55" t="str">
            <v>departamental</v>
          </cell>
        </row>
        <row r="56">
          <cell r="A56" t="str">
            <v>LA TORRE LA GOMERA</v>
          </cell>
          <cell r="C56" t="str">
            <v>departamental</v>
          </cell>
        </row>
        <row r="57">
          <cell r="A57" t="str">
            <v>LA TORRE LA QUINTA</v>
          </cell>
          <cell r="C57" t="str">
            <v>prioridad</v>
          </cell>
        </row>
        <row r="58">
          <cell r="A58" t="str">
            <v>LA TORRE LA RADIAL</v>
          </cell>
          <cell r="C58" t="str">
            <v>nocturna</v>
          </cell>
        </row>
        <row r="59">
          <cell r="A59" t="str">
            <v>LA TORRE LIKIN</v>
          </cell>
          <cell r="C59" t="str">
            <v>departamental</v>
          </cell>
        </row>
        <row r="60">
          <cell r="A60" t="str">
            <v>LA TORRE LINDAMAR</v>
          </cell>
          <cell r="C60" t="str">
            <v xml:space="preserve">departamental </v>
          </cell>
        </row>
        <row r="61">
          <cell r="A61" t="str">
            <v>LA TORRE LOS AMATES</v>
          </cell>
          <cell r="C61" t="str">
            <v>departamental</v>
          </cell>
        </row>
        <row r="62">
          <cell r="A62" t="str">
            <v>LA TORRE MADERO</v>
          </cell>
          <cell r="C62" t="str">
            <v>prioridad</v>
          </cell>
        </row>
        <row r="63">
          <cell r="A63" t="str">
            <v>LA TORRE MALACATAN</v>
          </cell>
          <cell r="C63" t="str">
            <v>departamental</v>
          </cell>
        </row>
        <row r="64">
          <cell r="A64" t="str">
            <v>LA TORRE MARISCAL</v>
          </cell>
          <cell r="C64" t="str">
            <v>local</v>
          </cell>
        </row>
        <row r="65">
          <cell r="A65" t="str">
            <v>LA TORRE MARISCAL 2</v>
          </cell>
          <cell r="C65" t="str">
            <v>prioridad</v>
          </cell>
        </row>
        <row r="66">
          <cell r="A66" t="str">
            <v>LA TORRE MAZATENANGO</v>
          </cell>
          <cell r="C66" t="str">
            <v>departamental</v>
          </cell>
        </row>
        <row r="67">
          <cell r="A67" t="str">
            <v>LA TORRE METROCENTRO</v>
          </cell>
          <cell r="C67" t="str">
            <v>local</v>
          </cell>
        </row>
        <row r="68">
          <cell r="A68" t="str">
            <v>LA TORRE METRONORTE</v>
          </cell>
          <cell r="B68" t="str">
            <v>TIENDAS ELITE</v>
          </cell>
          <cell r="C68" t="str">
            <v>nocturna</v>
          </cell>
        </row>
        <row r="69">
          <cell r="A69" t="str">
            <v>LA TORRE MILPAS ALTAS</v>
          </cell>
          <cell r="B69" t="str">
            <v>TIENDAS ELITE</v>
          </cell>
          <cell r="C69" t="str">
            <v>local</v>
          </cell>
        </row>
        <row r="70">
          <cell r="A70" t="str">
            <v>LA TORRE MIRAFLORES</v>
          </cell>
          <cell r="C70" t="str">
            <v>nocturna</v>
          </cell>
        </row>
        <row r="71">
          <cell r="A71" t="str">
            <v>LA TORRE MITA</v>
          </cell>
          <cell r="C71" t="str">
            <v>departamental</v>
          </cell>
        </row>
        <row r="72">
          <cell r="A72" t="str">
            <v>LA TORRE MIXCO ZONA 1</v>
          </cell>
          <cell r="C72" t="str">
            <v>nocturna</v>
          </cell>
        </row>
        <row r="73">
          <cell r="A73" t="str">
            <v>LA TORRE MORALES</v>
          </cell>
          <cell r="C73" t="str">
            <v>departamental</v>
          </cell>
        </row>
        <row r="74">
          <cell r="A74" t="str">
            <v>LA TORRE MUXBAL</v>
          </cell>
          <cell r="C74" t="str">
            <v>prioridad</v>
          </cell>
        </row>
        <row r="75">
          <cell r="A75" t="str">
            <v>LA TORRE OAKLAND</v>
          </cell>
          <cell r="C75" t="str">
            <v>prioridad</v>
          </cell>
        </row>
        <row r="76">
          <cell r="A76" t="str">
            <v>LA TORRE PALIN</v>
          </cell>
          <cell r="C76" t="str">
            <v>nocturna</v>
          </cell>
        </row>
        <row r="77">
          <cell r="A77" t="str">
            <v>LA TORRE PALMERAS</v>
          </cell>
          <cell r="C77" t="str">
            <v>departamental</v>
          </cell>
        </row>
        <row r="78">
          <cell r="A78" t="str">
            <v>LA TORRE PANAJACHEL</v>
          </cell>
          <cell r="C78" t="str">
            <v>departamental</v>
          </cell>
        </row>
        <row r="79">
          <cell r="A79" t="str">
            <v>LA TORRE PETAPA</v>
          </cell>
          <cell r="C79" t="str">
            <v>local</v>
          </cell>
        </row>
        <row r="80">
          <cell r="A80" t="str">
            <v>LA TORRE PETAPOLIS</v>
          </cell>
          <cell r="C80" t="str">
            <v>local</v>
          </cell>
        </row>
        <row r="81">
          <cell r="A81" t="str">
            <v>LA TORRE PETEN</v>
          </cell>
          <cell r="B81" t="str">
            <v>TIENDAS ELITE</v>
          </cell>
          <cell r="C81" t="str">
            <v>departamental</v>
          </cell>
        </row>
        <row r="82">
          <cell r="A82" t="str">
            <v>LA TORRE PINARES</v>
          </cell>
          <cell r="C82" t="str">
            <v>local</v>
          </cell>
        </row>
        <row r="83">
          <cell r="A83" t="str">
            <v>LA TORRE POPTUN</v>
          </cell>
          <cell r="C83" t="str">
            <v>departamental</v>
          </cell>
        </row>
        <row r="84">
          <cell r="A84" t="str">
            <v>LA TORRE PORTALES</v>
          </cell>
          <cell r="B84" t="str">
            <v>TIENDAS ELITE</v>
          </cell>
          <cell r="C84" t="str">
            <v>nocturna</v>
          </cell>
        </row>
        <row r="85">
          <cell r="A85" t="str">
            <v>LA TORRE PROCERES</v>
          </cell>
          <cell r="C85" t="str">
            <v>prioridad</v>
          </cell>
        </row>
        <row r="86">
          <cell r="A86" t="str">
            <v>LA TORRE PUERTO BARRIOS</v>
          </cell>
          <cell r="C86" t="str">
            <v>departamental</v>
          </cell>
        </row>
        <row r="87">
          <cell r="A87" t="str">
            <v>LA TORRE PUERTO SAN JOSE</v>
          </cell>
          <cell r="C87" t="str">
            <v>departamental</v>
          </cell>
        </row>
        <row r="88">
          <cell r="A88" t="str">
            <v>LA TORRE QUICHE</v>
          </cell>
          <cell r="C88" t="str">
            <v>departamental</v>
          </cell>
        </row>
        <row r="89">
          <cell r="A89" t="str">
            <v>LA TORRE QUICHE 2</v>
          </cell>
          <cell r="C89" t="str">
            <v>departamental</v>
          </cell>
        </row>
        <row r="90">
          <cell r="A90" t="str">
            <v>LA TORRE REFORMA</v>
          </cell>
          <cell r="C90" t="str">
            <v>prioridad</v>
          </cell>
        </row>
        <row r="91">
          <cell r="A91" t="str">
            <v>LA TORRE RETALHULEU</v>
          </cell>
          <cell r="C91" t="str">
            <v>departamental</v>
          </cell>
        </row>
        <row r="92">
          <cell r="A92" t="str">
            <v>LA TORRE RIO DULCE</v>
          </cell>
          <cell r="C92" t="str">
            <v>departamental</v>
          </cell>
        </row>
        <row r="93">
          <cell r="A93" t="str">
            <v>LA TORRE ROOSEVELT</v>
          </cell>
          <cell r="B93" t="str">
            <v>TIENDAS ELITE</v>
          </cell>
          <cell r="C93" t="str">
            <v>nocturna</v>
          </cell>
        </row>
        <row r="94">
          <cell r="A94" t="str">
            <v>LA TORRE SALAMA</v>
          </cell>
          <cell r="B94" t="str">
            <v>TIENDAS ELITE</v>
          </cell>
          <cell r="C94" t="str">
            <v>departamental</v>
          </cell>
        </row>
        <row r="95">
          <cell r="A95" t="str">
            <v>LA TORRE SALCAJA</v>
          </cell>
          <cell r="C95" t="str">
            <v>departamental</v>
          </cell>
        </row>
        <row r="96">
          <cell r="A96" t="str">
            <v>LA TORRE SAN BENITO</v>
          </cell>
          <cell r="C96" t="str">
            <v>departamental</v>
          </cell>
        </row>
        <row r="97">
          <cell r="A97" t="str">
            <v>LA TORRE SAN CRISTOBAL</v>
          </cell>
          <cell r="C97" t="str">
            <v>prioridad</v>
          </cell>
        </row>
        <row r="98">
          <cell r="A98" t="str">
            <v>LA TORRE SAN FRANCISCO</v>
          </cell>
          <cell r="C98" t="str">
            <v>local</v>
          </cell>
        </row>
        <row r="99">
          <cell r="A99" t="str">
            <v>LA TORRE SAN IGNACIO</v>
          </cell>
          <cell r="C99" t="str">
            <v>local</v>
          </cell>
        </row>
        <row r="100">
          <cell r="A100" t="str">
            <v>LA TORRE SAN ISIDRO</v>
          </cell>
          <cell r="C100" t="str">
            <v>prioridad</v>
          </cell>
        </row>
        <row r="101">
          <cell r="A101" t="str">
            <v>LA TORRE SAN JOSE PINULA</v>
          </cell>
          <cell r="C101" t="str">
            <v>local</v>
          </cell>
        </row>
        <row r="102">
          <cell r="A102" t="str">
            <v>LA TORRE SAN JOSE PINULA 2</v>
          </cell>
          <cell r="C102" t="str">
            <v>prioridad</v>
          </cell>
        </row>
        <row r="103">
          <cell r="A103" t="str">
            <v>LA TORRE SAN JUAN</v>
          </cell>
          <cell r="C103" t="str">
            <v>local</v>
          </cell>
        </row>
        <row r="104">
          <cell r="A104" t="str">
            <v>LA TORRE SAN LUCAS</v>
          </cell>
          <cell r="C104" t="str">
            <v>prioridad</v>
          </cell>
        </row>
        <row r="105">
          <cell r="A105" t="str">
            <v>LA TORRE SAN MARCOS</v>
          </cell>
          <cell r="B105" t="str">
            <v>TIENDAS ELITE</v>
          </cell>
          <cell r="C105" t="str">
            <v>departamental</v>
          </cell>
        </row>
        <row r="106">
          <cell r="A106" t="str">
            <v>LA TORRE SAN MIGUEL PETAPA</v>
          </cell>
          <cell r="C106" t="str">
            <v>local</v>
          </cell>
        </row>
        <row r="107">
          <cell r="A107" t="str">
            <v>LA TORRE SAN MIGUEL PETAPA 2</v>
          </cell>
          <cell r="C107" t="str">
            <v>local</v>
          </cell>
        </row>
        <row r="108">
          <cell r="A108" t="str">
            <v>LA TORRE SAN NICOLAS</v>
          </cell>
          <cell r="C108" t="str">
            <v>nocturna</v>
          </cell>
        </row>
        <row r="109">
          <cell r="A109" t="str">
            <v>LA TORRE SAN RAFAEL</v>
          </cell>
          <cell r="C109" t="str">
            <v>local</v>
          </cell>
        </row>
        <row r="110">
          <cell r="A110" t="str">
            <v>LA TORRE SANARATE</v>
          </cell>
          <cell r="C110" t="str">
            <v>departamental</v>
          </cell>
        </row>
        <row r="111">
          <cell r="A111" t="str">
            <v>LA TORRE SANKRIS</v>
          </cell>
          <cell r="B111" t="str">
            <v>TIENDAS ELITE</v>
          </cell>
          <cell r="C111" t="str">
            <v>nocturna</v>
          </cell>
        </row>
        <row r="112">
          <cell r="A112" t="str">
            <v>LA TORRE SANTA LUCIA</v>
          </cell>
          <cell r="C112" t="str">
            <v>departamental</v>
          </cell>
        </row>
        <row r="113">
          <cell r="A113" t="str">
            <v>LA TORRE SANTALU</v>
          </cell>
          <cell r="C113" t="str">
            <v xml:space="preserve">departamental </v>
          </cell>
        </row>
        <row r="114">
          <cell r="A114" t="str">
            <v>LA TORRE TECULUTAN</v>
          </cell>
          <cell r="B114" t="str">
            <v>TIENDAS ELITE</v>
          </cell>
          <cell r="C114" t="str">
            <v>departamental</v>
          </cell>
        </row>
        <row r="115">
          <cell r="A115" t="str">
            <v>LA TORRE TIQUISATE</v>
          </cell>
          <cell r="C115" t="str">
            <v>departamental</v>
          </cell>
        </row>
        <row r="116">
          <cell r="A116" t="str">
            <v>LA TORRE TOTONICAPAN</v>
          </cell>
          <cell r="C116" t="str">
            <v>departamental</v>
          </cell>
        </row>
        <row r="117">
          <cell r="A117" t="str">
            <v>LA TORRE TRINIDAD</v>
          </cell>
          <cell r="C117" t="str">
            <v>departamental</v>
          </cell>
        </row>
        <row r="118">
          <cell r="A118" t="str">
            <v>LA TORRE VILLA CANALES</v>
          </cell>
          <cell r="C118" t="str">
            <v>local</v>
          </cell>
        </row>
        <row r="119">
          <cell r="A119" t="str">
            <v>LA TORRE VILLA HERMOSA</v>
          </cell>
          <cell r="C119" t="str">
            <v>prioridad</v>
          </cell>
        </row>
        <row r="120">
          <cell r="A120" t="str">
            <v>LA TORRE VILLA NUEVA</v>
          </cell>
          <cell r="C120" t="str">
            <v>local</v>
          </cell>
        </row>
        <row r="121">
          <cell r="A121" t="str">
            <v>LA TORRE VILLALOBOS</v>
          </cell>
          <cell r="C121" t="str">
            <v>local</v>
          </cell>
        </row>
        <row r="122">
          <cell r="A122" t="str">
            <v>LA TORRE VISTA HERMOSA 1</v>
          </cell>
          <cell r="C122" t="str">
            <v>prioridad</v>
          </cell>
        </row>
        <row r="123">
          <cell r="A123" t="str">
            <v>LA TORRE XELA</v>
          </cell>
          <cell r="B123" t="str">
            <v>TIENDAS ELITE</v>
          </cell>
          <cell r="C123" t="str">
            <v>departamental</v>
          </cell>
        </row>
        <row r="124">
          <cell r="A124" t="str">
            <v>LA TORRE XELA 3</v>
          </cell>
          <cell r="B124" t="str">
            <v>TIENDAS ELITE</v>
          </cell>
          <cell r="C124" t="str">
            <v>departamental</v>
          </cell>
        </row>
        <row r="125">
          <cell r="A125" t="str">
            <v>LA TORRE XELA 5</v>
          </cell>
          <cell r="C125" t="str">
            <v>departamental</v>
          </cell>
        </row>
        <row r="126">
          <cell r="A126" t="str">
            <v>LA TORRE ZACAPA</v>
          </cell>
          <cell r="B126" t="str">
            <v>TIENDAS ELITE</v>
          </cell>
          <cell r="C126" t="str">
            <v>departamental</v>
          </cell>
        </row>
        <row r="127">
          <cell r="A127" t="str">
            <v>LA TORRE ZACAPA 2</v>
          </cell>
          <cell r="C127" t="str">
            <v>departamental</v>
          </cell>
        </row>
        <row r="128">
          <cell r="A128" t="str">
            <v>LA TORRE ZONA 10</v>
          </cell>
          <cell r="C128" t="str">
            <v>prioridad</v>
          </cell>
        </row>
        <row r="129">
          <cell r="A129" t="str">
            <v>LA TORRE ZONA 11</v>
          </cell>
          <cell r="C129" t="str">
            <v>prioridad</v>
          </cell>
        </row>
        <row r="130">
          <cell r="A130" t="str">
            <v>LA TORRE ZONA 13 AMERICAS</v>
          </cell>
          <cell r="C130" t="str">
            <v>nocturna</v>
          </cell>
        </row>
        <row r="131">
          <cell r="A131" t="str">
            <v>LA TORRE ZONA 14</v>
          </cell>
          <cell r="C131" t="str">
            <v>prioridad</v>
          </cell>
        </row>
        <row r="132">
          <cell r="A132" t="str">
            <v>LA TORRE ZONA 15</v>
          </cell>
          <cell r="B132" t="str">
            <v>TIENDAS ELITE</v>
          </cell>
          <cell r="C132" t="str">
            <v>prioridad</v>
          </cell>
        </row>
        <row r="133">
          <cell r="A133" t="str">
            <v>LA TORRE ZONA 16</v>
          </cell>
          <cell r="C133" t="str">
            <v>local</v>
          </cell>
        </row>
        <row r="134">
          <cell r="A134" t="str">
            <v>LA TORRE ZONA 19</v>
          </cell>
          <cell r="C134" t="str">
            <v>local</v>
          </cell>
        </row>
        <row r="135">
          <cell r="A135" t="str">
            <v>LA TORRE ZONA 2</v>
          </cell>
          <cell r="C135" t="str">
            <v>local</v>
          </cell>
        </row>
        <row r="136">
          <cell r="A136" t="str">
            <v>LA TORRE ZONA 3</v>
          </cell>
          <cell r="C136" t="str">
            <v>local</v>
          </cell>
        </row>
        <row r="137">
          <cell r="A137" t="str">
            <v>LA TORRE ZONA 4</v>
          </cell>
          <cell r="C137" t="str">
            <v>local</v>
          </cell>
        </row>
        <row r="138">
          <cell r="A138" t="str">
            <v>LA TORRE ZONA 5</v>
          </cell>
          <cell r="C138" t="str">
            <v>local</v>
          </cell>
        </row>
        <row r="139">
          <cell r="A139" t="str">
            <v>LT ANTIGUA 1</v>
          </cell>
          <cell r="C139" t="str">
            <v>local</v>
          </cell>
        </row>
        <row r="140">
          <cell r="A140" t="str">
            <v>LT SAN JOSE PINULA 3</v>
          </cell>
          <cell r="C140" t="str">
            <v>nocturna</v>
          </cell>
        </row>
        <row r="141">
          <cell r="A141" t="str">
            <v>LT XELA 4</v>
          </cell>
          <cell r="C141" t="str">
            <v>departamental</v>
          </cell>
        </row>
        <row r="142">
          <cell r="A142" t="str">
            <v>LTX CD RANSA</v>
          </cell>
          <cell r="C142" t="str">
            <v>local</v>
          </cell>
        </row>
        <row r="143">
          <cell r="A143" t="str">
            <v>LA TORRE TULAM TZU</v>
          </cell>
          <cell r="C143" t="str">
            <v>local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TIENDAS 11-10-2026"/>
    </sheetNames>
    <sheetDataSet>
      <sheetData sheetId="0">
        <row r="6">
          <cell r="A6" t="str">
            <v>ECONO SUPER MAGNOLIA</v>
          </cell>
          <cell r="B6">
            <v>117</v>
          </cell>
        </row>
        <row r="7">
          <cell r="A7" t="str">
            <v>ECONOSUPER BOULEVARD SUR</v>
          </cell>
          <cell r="B7">
            <v>168</v>
          </cell>
        </row>
        <row r="8">
          <cell r="A8" t="str">
            <v>ECONOSUPER LA BRIGADA</v>
          </cell>
          <cell r="B8">
            <v>136</v>
          </cell>
        </row>
        <row r="9">
          <cell r="A9" t="str">
            <v>ECONOSUPER LO DE FUENTES</v>
          </cell>
          <cell r="B9">
            <v>86</v>
          </cell>
        </row>
        <row r="10">
          <cell r="A10" t="str">
            <v>ECONOSUPER MILPAS ALTAS</v>
          </cell>
          <cell r="B10">
            <v>104</v>
          </cell>
        </row>
        <row r="11">
          <cell r="A11" t="str">
            <v>ECONOSUPER NIMAJUYU</v>
          </cell>
          <cell r="B11">
            <v>141</v>
          </cell>
        </row>
        <row r="12">
          <cell r="A12" t="str">
            <v>ECONOSUPER XELA</v>
          </cell>
          <cell r="B12">
            <v>119</v>
          </cell>
        </row>
        <row r="13">
          <cell r="A13" t="str">
            <v>ECONOSUPER ZONA 2</v>
          </cell>
          <cell r="B13">
            <v>149</v>
          </cell>
        </row>
        <row r="14">
          <cell r="A14" t="str">
            <v>ECONOSUPER ZONA 6</v>
          </cell>
          <cell r="B14">
            <v>224</v>
          </cell>
        </row>
        <row r="15">
          <cell r="A15" t="str">
            <v>LA TORRE 20 CALLE</v>
          </cell>
          <cell r="B15">
            <v>391</v>
          </cell>
        </row>
        <row r="16">
          <cell r="A16" t="str">
            <v>LA TORRE AMATITLAN</v>
          </cell>
          <cell r="B16">
            <v>168</v>
          </cell>
        </row>
        <row r="17">
          <cell r="A17" t="str">
            <v>LA TORRE AMATITLAN2</v>
          </cell>
          <cell r="B17">
            <v>174</v>
          </cell>
        </row>
        <row r="18">
          <cell r="A18" t="str">
            <v>LA TORRE ANTIGUA 2</v>
          </cell>
          <cell r="B18">
            <v>335</v>
          </cell>
        </row>
        <row r="19">
          <cell r="A19" t="str">
            <v>LA TORRE ANTIGUA 3</v>
          </cell>
          <cell r="B19">
            <v>120</v>
          </cell>
        </row>
        <row r="20">
          <cell r="A20" t="str">
            <v>LA TORRE ARRAZOLA</v>
          </cell>
          <cell r="B20">
            <v>275</v>
          </cell>
        </row>
        <row r="21">
          <cell r="A21" t="str">
            <v>LA TORRE ATANACIO</v>
          </cell>
          <cell r="B21">
            <v>264</v>
          </cell>
        </row>
        <row r="22">
          <cell r="A22" t="str">
            <v>LA TORRE BARBERENA</v>
          </cell>
          <cell r="B22">
            <v>126</v>
          </cell>
        </row>
        <row r="23">
          <cell r="A23" t="str">
            <v>LA TORRE BARCENAS</v>
          </cell>
          <cell r="B23">
            <v>194</v>
          </cell>
        </row>
        <row r="24">
          <cell r="A24" t="str">
            <v>LA TORRE BOCA DEL MONTE</v>
          </cell>
          <cell r="B24">
            <v>251</v>
          </cell>
        </row>
        <row r="25">
          <cell r="A25" t="str">
            <v>LA TORRE CARCHA</v>
          </cell>
          <cell r="B25">
            <v>189</v>
          </cell>
        </row>
        <row r="26">
          <cell r="A26" t="str">
            <v>LA TORRE CAYALA</v>
          </cell>
          <cell r="B26">
            <v>401</v>
          </cell>
        </row>
        <row r="27">
          <cell r="A27" t="str">
            <v>LA TORRE CAYALA 2</v>
          </cell>
          <cell r="B27">
            <v>227</v>
          </cell>
        </row>
        <row r="28">
          <cell r="A28" t="str">
            <v>LA TORRE CENTRANORTE</v>
          </cell>
          <cell r="B28">
            <v>199</v>
          </cell>
        </row>
        <row r="29">
          <cell r="A29" t="str">
            <v>LA TORRE CENTRASUR</v>
          </cell>
          <cell r="B29">
            <v>266</v>
          </cell>
        </row>
        <row r="30">
          <cell r="A30" t="str">
            <v>LA TORRE CENTRICO Z5</v>
          </cell>
          <cell r="B30">
            <v>180</v>
          </cell>
        </row>
        <row r="31">
          <cell r="A31" t="str">
            <v>LA TORRE CENTRO</v>
          </cell>
          <cell r="B31">
            <v>228</v>
          </cell>
        </row>
        <row r="32">
          <cell r="A32" t="str">
            <v>LA TORRE CHIMALTENANGO</v>
          </cell>
          <cell r="B32">
            <v>271</v>
          </cell>
        </row>
        <row r="33">
          <cell r="A33" t="str">
            <v>LA TORRE CIUDAD VIEJA</v>
          </cell>
          <cell r="B33">
            <v>232</v>
          </cell>
        </row>
        <row r="34">
          <cell r="A34" t="str">
            <v>LA TORRE COATEPEQUE 2</v>
          </cell>
          <cell r="B34">
            <v>214</v>
          </cell>
        </row>
        <row r="35">
          <cell r="A35" t="str">
            <v>LA TORRE COBAN</v>
          </cell>
          <cell r="B35">
            <v>188</v>
          </cell>
        </row>
        <row r="36">
          <cell r="A36" t="str">
            <v>LA TORRE EL FRUTAL</v>
          </cell>
          <cell r="B36">
            <v>334</v>
          </cell>
        </row>
        <row r="37">
          <cell r="A37" t="str">
            <v>LA TORRE EL NARANJO</v>
          </cell>
          <cell r="B37">
            <v>424</v>
          </cell>
        </row>
        <row r="38">
          <cell r="A38" t="str">
            <v>LA TORRE EL RODEO</v>
          </cell>
          <cell r="B38">
            <v>136</v>
          </cell>
        </row>
        <row r="39">
          <cell r="A39" t="str">
            <v>LA TORRE ENCINAL</v>
          </cell>
          <cell r="B39">
            <v>263</v>
          </cell>
        </row>
        <row r="40">
          <cell r="A40" t="str">
            <v>LA TORRE ESCALA</v>
          </cell>
          <cell r="B40">
            <v>237</v>
          </cell>
        </row>
        <row r="41">
          <cell r="A41" t="str">
            <v>LA TORRE ESCUINTLA 2</v>
          </cell>
          <cell r="B41">
            <v>199</v>
          </cell>
        </row>
        <row r="42">
          <cell r="A42" t="str">
            <v>LA TORRE ESCUINTLA 3</v>
          </cell>
          <cell r="B42">
            <v>286</v>
          </cell>
        </row>
        <row r="43">
          <cell r="A43" t="str">
            <v>LA TORRE FRAIJANES</v>
          </cell>
          <cell r="B43">
            <v>264</v>
          </cell>
        </row>
        <row r="44">
          <cell r="A44" t="str">
            <v>LA TORRE FUTECA Z14</v>
          </cell>
          <cell r="B44">
            <v>201</v>
          </cell>
        </row>
        <row r="45">
          <cell r="A45" t="str">
            <v>LA TORRE GUASTATOYA</v>
          </cell>
          <cell r="B45">
            <v>236</v>
          </cell>
        </row>
        <row r="46">
          <cell r="A46" t="str">
            <v>LA TORRE HUEHUETENANGO</v>
          </cell>
          <cell r="B46">
            <v>379</v>
          </cell>
        </row>
        <row r="47">
          <cell r="A47" t="str">
            <v>LA TORRE HUEHUETENANGO 2</v>
          </cell>
          <cell r="B47">
            <v>238</v>
          </cell>
        </row>
        <row r="48">
          <cell r="A48" t="str">
            <v>LA TORRE INDEPENDENCIA</v>
          </cell>
          <cell r="B48">
            <v>249</v>
          </cell>
        </row>
        <row r="49">
          <cell r="A49" t="str">
            <v>LA TORRE JALAPA</v>
          </cell>
          <cell r="B49">
            <v>172</v>
          </cell>
        </row>
        <row r="50">
          <cell r="A50" t="str">
            <v>LA TORRE JALAPA 2</v>
          </cell>
          <cell r="B50">
            <v>149</v>
          </cell>
        </row>
        <row r="51">
          <cell r="A51" t="str">
            <v>LA TORRE JALAPA 3</v>
          </cell>
          <cell r="B51">
            <v>191</v>
          </cell>
        </row>
        <row r="52">
          <cell r="A52" t="str">
            <v>LA TORRE JOCOTENANGO</v>
          </cell>
          <cell r="B52">
            <v>226</v>
          </cell>
        </row>
        <row r="53">
          <cell r="A53" t="str">
            <v>LA TORRE JUTIAPA</v>
          </cell>
          <cell r="B53">
            <v>156</v>
          </cell>
        </row>
        <row r="54">
          <cell r="A54" t="str">
            <v>LA TORRE LA QUINTA</v>
          </cell>
          <cell r="B54">
            <v>251</v>
          </cell>
        </row>
        <row r="55">
          <cell r="A55" t="str">
            <v>LA TORRE LA RADIAL</v>
          </cell>
          <cell r="B55">
            <v>165</v>
          </cell>
        </row>
        <row r="56">
          <cell r="A56" t="str">
            <v>LA TORRE LIKIN</v>
          </cell>
          <cell r="B56">
            <v>179</v>
          </cell>
        </row>
        <row r="57">
          <cell r="A57" t="str">
            <v>LA TORRE LINDAMAR</v>
          </cell>
          <cell r="B57">
            <v>178</v>
          </cell>
        </row>
        <row r="58">
          <cell r="A58" t="str">
            <v>LA TORRE LOS AMATES</v>
          </cell>
          <cell r="B58">
            <v>191</v>
          </cell>
        </row>
        <row r="59">
          <cell r="A59" t="str">
            <v>LA TORRE MADERO</v>
          </cell>
          <cell r="B59">
            <v>359</v>
          </cell>
        </row>
        <row r="60">
          <cell r="A60" t="str">
            <v>LA TORRE MALACATAN</v>
          </cell>
          <cell r="B60">
            <v>268</v>
          </cell>
        </row>
        <row r="61">
          <cell r="A61" t="str">
            <v>LA TORRE MARISCAL</v>
          </cell>
          <cell r="B61">
            <v>54</v>
          </cell>
        </row>
        <row r="62">
          <cell r="A62" t="str">
            <v>LA TORRE MARISCAL 2</v>
          </cell>
          <cell r="B62">
            <v>389</v>
          </cell>
        </row>
        <row r="63">
          <cell r="A63" t="str">
            <v>LA TORRE MAZATENANGO</v>
          </cell>
          <cell r="B63">
            <v>247</v>
          </cell>
        </row>
        <row r="64">
          <cell r="A64" t="str">
            <v>LA TORRE METROCENTRO</v>
          </cell>
          <cell r="B64">
            <v>232</v>
          </cell>
        </row>
        <row r="65">
          <cell r="A65" t="str">
            <v>LA TORRE METRONORTE</v>
          </cell>
          <cell r="B65">
            <v>359</v>
          </cell>
        </row>
        <row r="66">
          <cell r="A66" t="str">
            <v>LA TORRE MILPAS ALTAS</v>
          </cell>
          <cell r="B66">
            <v>256</v>
          </cell>
        </row>
        <row r="67">
          <cell r="A67" t="str">
            <v>LA TORRE MIRAFLORES</v>
          </cell>
          <cell r="B67">
            <v>392</v>
          </cell>
        </row>
        <row r="68">
          <cell r="A68" t="str">
            <v>LA TORRE MITA</v>
          </cell>
          <cell r="B68">
            <v>204</v>
          </cell>
        </row>
        <row r="69">
          <cell r="A69" t="str">
            <v>LA TORRE MIXCO ZONA 1</v>
          </cell>
          <cell r="B69">
            <v>141</v>
          </cell>
        </row>
        <row r="70">
          <cell r="A70" t="str">
            <v>LA TORRE MORALES</v>
          </cell>
          <cell r="B70">
            <v>200</v>
          </cell>
        </row>
        <row r="71">
          <cell r="A71" t="str">
            <v>LA TORRE MUXBAL</v>
          </cell>
          <cell r="B71">
            <v>203</v>
          </cell>
        </row>
        <row r="72">
          <cell r="A72" t="str">
            <v>LA TORRE OAKLAND</v>
          </cell>
          <cell r="B72">
            <v>351</v>
          </cell>
        </row>
        <row r="73">
          <cell r="A73" t="str">
            <v>LA TORRE PALIN</v>
          </cell>
          <cell r="B73">
            <v>231</v>
          </cell>
        </row>
        <row r="74">
          <cell r="A74" t="str">
            <v>LA TORRE PALMERAS</v>
          </cell>
          <cell r="B74">
            <v>163</v>
          </cell>
        </row>
        <row r="75">
          <cell r="A75" t="str">
            <v>LA TORRE PANAJACHEL</v>
          </cell>
          <cell r="B75">
            <v>272</v>
          </cell>
        </row>
        <row r="76">
          <cell r="A76" t="str">
            <v>LA TORRE PETAPA</v>
          </cell>
          <cell r="B76">
            <v>78</v>
          </cell>
        </row>
        <row r="77">
          <cell r="A77" t="str">
            <v>LA TORRE PETAPOLIS</v>
          </cell>
          <cell r="B77">
            <v>127</v>
          </cell>
        </row>
        <row r="78">
          <cell r="A78" t="str">
            <v>LA TORRE PETEN</v>
          </cell>
          <cell r="B78">
            <v>209</v>
          </cell>
        </row>
        <row r="79">
          <cell r="A79" t="str">
            <v>LA TORRE PINARES</v>
          </cell>
          <cell r="B79">
            <v>247</v>
          </cell>
        </row>
        <row r="80">
          <cell r="A80" t="str">
            <v>LA TORRE POPTUN</v>
          </cell>
          <cell r="B80">
            <v>144</v>
          </cell>
        </row>
        <row r="81">
          <cell r="A81" t="str">
            <v>LA TORRE PORTALES</v>
          </cell>
          <cell r="B81">
            <v>363</v>
          </cell>
        </row>
        <row r="82">
          <cell r="A82" t="str">
            <v>LA TORRE PROCERES</v>
          </cell>
          <cell r="B82">
            <v>255</v>
          </cell>
        </row>
        <row r="83">
          <cell r="A83" t="str">
            <v>LA TORRE PUERTO BARRIOS</v>
          </cell>
          <cell r="B83">
            <v>221</v>
          </cell>
        </row>
        <row r="84">
          <cell r="A84" t="str">
            <v>LA TORRE PUERTO SAN JOSE</v>
          </cell>
          <cell r="B84">
            <v>235</v>
          </cell>
        </row>
        <row r="85">
          <cell r="A85" t="str">
            <v>LA TORRE QUICHE</v>
          </cell>
          <cell r="B85">
            <v>133</v>
          </cell>
        </row>
        <row r="86">
          <cell r="A86" t="str">
            <v>LA TORRE QUICHE 2</v>
          </cell>
          <cell r="B86">
            <v>107</v>
          </cell>
        </row>
        <row r="87">
          <cell r="A87" t="str">
            <v>LA TORRE REFORMA</v>
          </cell>
          <cell r="B87">
            <v>114</v>
          </cell>
        </row>
        <row r="88">
          <cell r="A88" t="str">
            <v>LA TORRE RETALHULEU</v>
          </cell>
          <cell r="B88">
            <v>164</v>
          </cell>
        </row>
        <row r="89">
          <cell r="A89" t="str">
            <v>LA TORRE RIO DULCE</v>
          </cell>
          <cell r="B89">
            <v>296</v>
          </cell>
        </row>
        <row r="90">
          <cell r="A90" t="str">
            <v>LA TORRE ROOSEVELT</v>
          </cell>
          <cell r="B90">
            <v>255</v>
          </cell>
        </row>
        <row r="91">
          <cell r="A91" t="str">
            <v>LA TORRE SALAMA</v>
          </cell>
          <cell r="B91">
            <v>243</v>
          </cell>
        </row>
        <row r="92">
          <cell r="A92" t="str">
            <v>LA TORRE SAN BENITO</v>
          </cell>
          <cell r="B92">
            <v>239</v>
          </cell>
        </row>
        <row r="93">
          <cell r="A93" t="str">
            <v>LA TORRE SAN CRISTOBAL</v>
          </cell>
          <cell r="B93">
            <v>164</v>
          </cell>
        </row>
        <row r="94">
          <cell r="A94" t="str">
            <v>LA TORRE SAN FRANCISCO</v>
          </cell>
          <cell r="B94">
            <v>146</v>
          </cell>
        </row>
        <row r="95">
          <cell r="A95" t="str">
            <v>LA TORRE SAN IGNACIO</v>
          </cell>
          <cell r="B95">
            <v>355</v>
          </cell>
        </row>
        <row r="96">
          <cell r="A96" t="str">
            <v>LA TORRE SAN ISIDRO</v>
          </cell>
          <cell r="B96">
            <v>446</v>
          </cell>
        </row>
        <row r="97">
          <cell r="A97" t="str">
            <v>LA TORRE SAN JOSE PINULA</v>
          </cell>
          <cell r="B97">
            <v>139</v>
          </cell>
        </row>
        <row r="98">
          <cell r="A98" t="str">
            <v>LA TORRE SAN JOSE PINULA 2</v>
          </cell>
          <cell r="B98">
            <v>331</v>
          </cell>
        </row>
        <row r="99">
          <cell r="A99" t="str">
            <v>LA TORRE SAN JUAN</v>
          </cell>
          <cell r="B99">
            <v>197</v>
          </cell>
        </row>
        <row r="100">
          <cell r="A100" t="str">
            <v>LA TORRE SAN LUCAS</v>
          </cell>
          <cell r="B100">
            <v>381</v>
          </cell>
        </row>
        <row r="101">
          <cell r="A101" t="str">
            <v>LA TORRE SAN MARCOS</v>
          </cell>
          <cell r="B101">
            <v>243</v>
          </cell>
        </row>
        <row r="102">
          <cell r="A102" t="str">
            <v>LA TORRE SAN MIGUEL PETAPA</v>
          </cell>
          <cell r="B102">
            <v>151</v>
          </cell>
        </row>
        <row r="103">
          <cell r="A103" t="str">
            <v>LA TORRE SAN MIGUEL PETAPA 2</v>
          </cell>
          <cell r="B103">
            <v>254</v>
          </cell>
        </row>
        <row r="104">
          <cell r="A104" t="str">
            <v>LA TORRE SAN NICOLAS</v>
          </cell>
          <cell r="B104">
            <v>218</v>
          </cell>
        </row>
        <row r="105">
          <cell r="A105" t="str">
            <v>LA TORRE SAN RAFAEL</v>
          </cell>
          <cell r="B105">
            <v>199</v>
          </cell>
        </row>
        <row r="106">
          <cell r="A106" t="str">
            <v>LA TORRE SANARATE</v>
          </cell>
          <cell r="B106">
            <v>133</v>
          </cell>
        </row>
        <row r="107">
          <cell r="A107" t="str">
            <v>LA TORRE SANKRIS</v>
          </cell>
          <cell r="B107">
            <v>339</v>
          </cell>
        </row>
        <row r="108">
          <cell r="A108" t="str">
            <v>LA TORRE SANTA LUCIA</v>
          </cell>
          <cell r="B108">
            <v>197</v>
          </cell>
        </row>
        <row r="109">
          <cell r="A109" t="str">
            <v>LA TORRE SANTALU</v>
          </cell>
          <cell r="B109">
            <v>136</v>
          </cell>
        </row>
        <row r="110">
          <cell r="A110" t="str">
            <v>LA TORRE TECULUTAN</v>
          </cell>
          <cell r="B110">
            <v>271</v>
          </cell>
        </row>
        <row r="111">
          <cell r="A111" t="str">
            <v>LA TORRE TIQUISATE</v>
          </cell>
          <cell r="B111">
            <v>188</v>
          </cell>
        </row>
        <row r="112">
          <cell r="A112" t="str">
            <v>LA TORRE TOTONICAPAN</v>
          </cell>
          <cell r="B112">
            <v>137</v>
          </cell>
        </row>
        <row r="113">
          <cell r="A113" t="str">
            <v>LA TORRE TRINIDAD</v>
          </cell>
          <cell r="B113">
            <v>438</v>
          </cell>
        </row>
        <row r="114">
          <cell r="A114" t="str">
            <v>LA TORRE TULAM TZU</v>
          </cell>
          <cell r="B114">
            <v>601</v>
          </cell>
        </row>
        <row r="115">
          <cell r="A115" t="str">
            <v>LA TORRE VILLA CANALES</v>
          </cell>
          <cell r="B115">
            <v>251</v>
          </cell>
        </row>
        <row r="116">
          <cell r="A116" t="str">
            <v>LA TORRE VILLA HERMOSA</v>
          </cell>
          <cell r="B116">
            <v>294</v>
          </cell>
        </row>
        <row r="117">
          <cell r="A117" t="str">
            <v>LA TORRE VILLA NUEVA</v>
          </cell>
          <cell r="B117">
            <v>344</v>
          </cell>
        </row>
        <row r="118">
          <cell r="A118" t="str">
            <v>LA TORRE VILLALOBOS</v>
          </cell>
          <cell r="B118">
            <v>287</v>
          </cell>
        </row>
        <row r="119">
          <cell r="A119" t="str">
            <v>LA TORRE VISTA HERMOSA 1</v>
          </cell>
          <cell r="B119">
            <v>82</v>
          </cell>
        </row>
        <row r="120">
          <cell r="A120" t="str">
            <v>LA TORRE XELA</v>
          </cell>
          <cell r="B120">
            <v>340</v>
          </cell>
        </row>
        <row r="121">
          <cell r="A121" t="str">
            <v>LA TORRE XELA 3</v>
          </cell>
          <cell r="B121">
            <v>409</v>
          </cell>
        </row>
        <row r="122">
          <cell r="A122" t="str">
            <v>LA TORRE XELA 5</v>
          </cell>
          <cell r="B122">
            <v>202</v>
          </cell>
        </row>
        <row r="123">
          <cell r="A123" t="str">
            <v>LA TORRE ZACAPA</v>
          </cell>
          <cell r="B123">
            <v>223</v>
          </cell>
        </row>
        <row r="124">
          <cell r="A124" t="str">
            <v>LA TORRE ZACAPA 2</v>
          </cell>
          <cell r="B124">
            <v>226</v>
          </cell>
        </row>
        <row r="125">
          <cell r="A125" t="str">
            <v>LA TORRE ZONA 10</v>
          </cell>
          <cell r="B125">
            <v>166</v>
          </cell>
        </row>
        <row r="126">
          <cell r="A126" t="str">
            <v>LA TORRE ZONA 11</v>
          </cell>
          <cell r="B126">
            <v>138</v>
          </cell>
        </row>
        <row r="127">
          <cell r="A127" t="str">
            <v>LA TORRE ZONA 13 AMERICAS</v>
          </cell>
          <cell r="B127">
            <v>406</v>
          </cell>
        </row>
        <row r="128">
          <cell r="A128" t="str">
            <v>LA TORRE ZONA 14</v>
          </cell>
          <cell r="B128">
            <v>230</v>
          </cell>
        </row>
        <row r="129">
          <cell r="A129" t="str">
            <v>LA TORRE ZONA 15</v>
          </cell>
          <cell r="B129">
            <v>496</v>
          </cell>
        </row>
        <row r="130">
          <cell r="A130" t="str">
            <v>LA TORRE ZONA 16</v>
          </cell>
          <cell r="B130">
            <v>228</v>
          </cell>
        </row>
        <row r="131">
          <cell r="A131" t="str">
            <v>LA TORRE ZONA 19</v>
          </cell>
          <cell r="B131">
            <v>283</v>
          </cell>
        </row>
        <row r="132">
          <cell r="A132" t="str">
            <v>LA TORRE ZONA 2</v>
          </cell>
          <cell r="B132">
            <v>189</v>
          </cell>
        </row>
        <row r="133">
          <cell r="A133" t="str">
            <v>LA TORRE ZONA 4</v>
          </cell>
          <cell r="B133">
            <v>142</v>
          </cell>
        </row>
        <row r="134">
          <cell r="A134" t="str">
            <v>LA TORRE ZONA 5</v>
          </cell>
          <cell r="B134">
            <v>247</v>
          </cell>
        </row>
        <row r="135">
          <cell r="A135" t="str">
            <v>LT ANTIGUA 1</v>
          </cell>
          <cell r="B135">
            <v>154</v>
          </cell>
        </row>
        <row r="136">
          <cell r="A136" t="str">
            <v>LT SAN JOSE PINULA 3</v>
          </cell>
          <cell r="B136">
            <v>288</v>
          </cell>
        </row>
        <row r="137">
          <cell r="A137" t="str">
            <v>LT XELA 4</v>
          </cell>
          <cell r="B137">
            <v>187</v>
          </cell>
        </row>
        <row r="138">
          <cell r="A138" t="str">
            <v>LTX CD RANSA</v>
          </cell>
          <cell r="B138">
            <v>870</v>
          </cell>
        </row>
        <row r="139">
          <cell r="A139" t="str">
            <v>Total general</v>
          </cell>
          <cell r="B139">
            <v>31538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"/>
  <sheetViews>
    <sheetView showGridLines="0" tabSelected="1" workbookViewId="0">
      <selection activeCell="H2" sqref="H2:I3"/>
    </sheetView>
  </sheetViews>
  <sheetFormatPr baseColWidth="10" defaultRowHeight="14.4" x14ac:dyDescent="0.3"/>
  <cols>
    <col min="1" max="1" width="14.44140625" customWidth="1"/>
    <col min="2" max="2" width="22.44140625" bestFit="1" customWidth="1"/>
    <col min="3" max="3" width="19.109375" bestFit="1" customWidth="1"/>
    <col min="4" max="4" width="19.6640625" bestFit="1" customWidth="1"/>
    <col min="5" max="9" width="14.44140625" customWidth="1"/>
  </cols>
  <sheetData>
    <row r="1" spans="1:9" s="9" customFormat="1" ht="2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143</v>
      </c>
      <c r="H1" s="2">
        <v>46306</v>
      </c>
      <c r="I1" s="1" t="s">
        <v>144</v>
      </c>
    </row>
    <row r="2" spans="1:9" ht="14.4" customHeight="1" x14ac:dyDescent="0.3">
      <c r="A2" s="3">
        <v>800106</v>
      </c>
      <c r="B2" s="3" t="s">
        <v>106</v>
      </c>
      <c r="C2" s="3" t="s">
        <v>13</v>
      </c>
      <c r="D2" s="8" t="s">
        <v>47</v>
      </c>
      <c r="E2" s="5">
        <v>333</v>
      </c>
      <c r="F2" s="6">
        <v>329</v>
      </c>
      <c r="G2" s="7" t="str">
        <f>+VLOOKUP(B2,'[1]TIENDAS 2025'!$A$2:$C$143,3,0)</f>
        <v>departamental</v>
      </c>
      <c r="H2" s="7">
        <f>+VLOOKUP(B2,[2]Hoja1!$A$6:$B$139,2,0)</f>
        <v>438</v>
      </c>
      <c r="I2" s="10">
        <f>+E2+H2</f>
        <v>771</v>
      </c>
    </row>
    <row r="3" spans="1:9" ht="14.4" customHeight="1" x14ac:dyDescent="0.3">
      <c r="A3" s="3">
        <v>798897</v>
      </c>
      <c r="B3" s="3" t="s">
        <v>83</v>
      </c>
      <c r="C3" s="3" t="s">
        <v>13</v>
      </c>
      <c r="D3" s="8" t="s">
        <v>27</v>
      </c>
      <c r="E3" s="5">
        <v>479</v>
      </c>
      <c r="F3" s="6">
        <v>459</v>
      </c>
      <c r="G3" s="7" t="str">
        <f>+VLOOKUP(B3,'[1]TIENDAS 2025'!$A$2:$C$143,3,0)</f>
        <v>departamental</v>
      </c>
      <c r="H3" s="7">
        <f>+VLOOKUP(B3,[2]Hoja1!$A$6:$B$139,2,0)</f>
        <v>249</v>
      </c>
      <c r="I3" s="10">
        <f>+E3+H3</f>
        <v>728</v>
      </c>
    </row>
    <row r="4" spans="1:9" ht="14.4" customHeight="1" x14ac:dyDescent="0.3">
      <c r="A4" s="3">
        <v>800298</v>
      </c>
      <c r="B4" s="3" t="s">
        <v>139</v>
      </c>
      <c r="C4" s="3" t="s">
        <v>13</v>
      </c>
      <c r="D4" s="4" t="s">
        <v>71</v>
      </c>
      <c r="E4" s="5">
        <v>364</v>
      </c>
      <c r="F4" s="6">
        <v>355</v>
      </c>
      <c r="G4" s="7" t="str">
        <f>+VLOOKUP(B4,'[1]TIENDAS 2025'!$A$2:$C$143,3,0)</f>
        <v>local</v>
      </c>
      <c r="H4" s="7">
        <f>+VLOOKUP(B4,[2]Hoja1!$A$6:$B$139,2,0)</f>
        <v>355</v>
      </c>
      <c r="I4" s="10">
        <f>+E4+H4</f>
        <v>719</v>
      </c>
    </row>
    <row r="5" spans="1:9" ht="14.4" customHeight="1" x14ac:dyDescent="0.3">
      <c r="A5" s="3">
        <v>800321</v>
      </c>
      <c r="B5" s="3" t="s">
        <v>145</v>
      </c>
      <c r="C5" s="3" t="s">
        <v>13</v>
      </c>
      <c r="D5" s="4" t="s">
        <v>25</v>
      </c>
      <c r="E5" s="5">
        <v>303</v>
      </c>
      <c r="F5" s="6">
        <v>300</v>
      </c>
      <c r="G5" s="7" t="str">
        <f>+VLOOKUP(B5,'[1]TIENDAS 2025'!$A$2:$C$143,3,0)</f>
        <v>local</v>
      </c>
      <c r="H5" s="7">
        <f>+VLOOKUP(B5,[2]Hoja1!$A$6:$B$139,2,0)</f>
        <v>344</v>
      </c>
      <c r="I5" s="10">
        <f>+E5+H5</f>
        <v>647</v>
      </c>
    </row>
    <row r="6" spans="1:9" ht="14.4" customHeight="1" x14ac:dyDescent="0.3">
      <c r="A6" s="3">
        <v>800269</v>
      </c>
      <c r="B6" s="3" t="s">
        <v>127</v>
      </c>
      <c r="C6" s="3" t="s">
        <v>13</v>
      </c>
      <c r="D6" s="4" t="s">
        <v>70</v>
      </c>
      <c r="E6" s="5">
        <v>385</v>
      </c>
      <c r="F6" s="6">
        <v>374</v>
      </c>
      <c r="G6" s="7" t="str">
        <f>+VLOOKUP(B6,'[1]TIENDAS 2025'!$A$2:$C$143,3,0)</f>
        <v>departamental</v>
      </c>
      <c r="H6" s="7">
        <f>+VLOOKUP(B6,[2]Hoja1!$A$6:$B$139,2,0)</f>
        <v>247</v>
      </c>
      <c r="I6" s="10">
        <f>+E6+H6</f>
        <v>632</v>
      </c>
    </row>
    <row r="7" spans="1:9" ht="14.4" customHeight="1" x14ac:dyDescent="0.3">
      <c r="A7" s="3">
        <v>800231</v>
      </c>
      <c r="B7" s="3" t="s">
        <v>81</v>
      </c>
      <c r="C7" s="3" t="s">
        <v>13</v>
      </c>
      <c r="D7" s="4" t="s">
        <v>21</v>
      </c>
      <c r="E7" s="5">
        <v>345</v>
      </c>
      <c r="F7" s="6">
        <v>343</v>
      </c>
      <c r="G7" s="7" t="str">
        <f>+VLOOKUP(B7,'[1]TIENDAS 2025'!$A$2:$C$143,3,0)</f>
        <v>local</v>
      </c>
      <c r="H7" s="7">
        <f>+VLOOKUP(B7,[2]Hoja1!$A$6:$B$139,2,0)</f>
        <v>266</v>
      </c>
      <c r="I7" s="10">
        <f>+E7+H7</f>
        <v>611</v>
      </c>
    </row>
    <row r="8" spans="1:9" ht="14.4" customHeight="1" x14ac:dyDescent="0.3">
      <c r="A8" s="3">
        <v>799562</v>
      </c>
      <c r="B8" s="3" t="s">
        <v>75</v>
      </c>
      <c r="C8" s="3" t="s">
        <v>13</v>
      </c>
      <c r="D8" s="8" t="s">
        <v>15</v>
      </c>
      <c r="E8" s="5">
        <v>312</v>
      </c>
      <c r="F8" s="6">
        <v>298</v>
      </c>
      <c r="G8" s="7" t="str">
        <f>+VLOOKUP(B8,'[1]TIENDAS 2025'!$A$2:$C$143,3,0)</f>
        <v>local</v>
      </c>
      <c r="H8" s="7">
        <f>+VLOOKUP(B8,[2]Hoja1!$A$6:$B$139,2,0)</f>
        <v>286</v>
      </c>
      <c r="I8" s="10">
        <f>+E8+H8</f>
        <v>598</v>
      </c>
    </row>
    <row r="9" spans="1:9" ht="14.4" customHeight="1" x14ac:dyDescent="0.3">
      <c r="A9" s="3">
        <v>800244</v>
      </c>
      <c r="B9" s="3" t="s">
        <v>118</v>
      </c>
      <c r="C9" s="3" t="s">
        <v>13</v>
      </c>
      <c r="D9" s="4" t="s">
        <v>54</v>
      </c>
      <c r="E9" s="5">
        <v>329</v>
      </c>
      <c r="F9" s="6">
        <v>326</v>
      </c>
      <c r="G9" s="7" t="str">
        <f>+VLOOKUP(B9,'[1]TIENDAS 2025'!$A$2:$C$143,3,0)</f>
        <v>local</v>
      </c>
      <c r="H9" s="7">
        <f>+VLOOKUP(B9,[2]Hoja1!$A$6:$B$139,2,0)</f>
        <v>263</v>
      </c>
      <c r="I9" s="10">
        <f>+E9+H9</f>
        <v>592</v>
      </c>
    </row>
    <row r="10" spans="1:9" ht="14.4" customHeight="1" x14ac:dyDescent="0.3">
      <c r="A10" s="3">
        <v>800257</v>
      </c>
      <c r="B10" s="3" t="s">
        <v>87</v>
      </c>
      <c r="C10" s="3" t="s">
        <v>13</v>
      </c>
      <c r="D10" s="4" t="s">
        <v>69</v>
      </c>
      <c r="E10" s="5">
        <v>355</v>
      </c>
      <c r="F10" s="6">
        <v>348</v>
      </c>
      <c r="G10" s="7" t="str">
        <f>+VLOOKUP(B10,'[1]TIENDAS 2025'!$A$2:$C$143,3,0)</f>
        <v>local</v>
      </c>
      <c r="H10" s="7">
        <f>+VLOOKUP(B10,[2]Hoja1!$A$6:$B$139,2,0)</f>
        <v>226</v>
      </c>
      <c r="I10" s="10">
        <f>+E10+H10</f>
        <v>581</v>
      </c>
    </row>
    <row r="11" spans="1:9" ht="14.4" customHeight="1" x14ac:dyDescent="0.3">
      <c r="A11" s="3">
        <v>800294</v>
      </c>
      <c r="B11" s="3" t="s">
        <v>77</v>
      </c>
      <c r="C11" s="3" t="s">
        <v>13</v>
      </c>
      <c r="D11" s="4" t="s">
        <v>63</v>
      </c>
      <c r="E11" s="5">
        <v>333</v>
      </c>
      <c r="F11" s="6">
        <v>325</v>
      </c>
      <c r="G11" s="7" t="str">
        <f>+VLOOKUP(B11,'[1]TIENDAS 2025'!$A$2:$C$143,3,0)</f>
        <v>departamental</v>
      </c>
      <c r="H11" s="7">
        <f>+VLOOKUP(B11,[2]Hoja1!$A$6:$B$139,2,0)</f>
        <v>243</v>
      </c>
      <c r="I11" s="10">
        <f>+E11+H11</f>
        <v>576</v>
      </c>
    </row>
    <row r="12" spans="1:9" ht="14.4" customHeight="1" x14ac:dyDescent="0.3">
      <c r="A12" s="3">
        <v>800276</v>
      </c>
      <c r="B12" s="3" t="s">
        <v>98</v>
      </c>
      <c r="C12" s="3" t="s">
        <v>13</v>
      </c>
      <c r="D12" s="4" t="s">
        <v>40</v>
      </c>
      <c r="E12" s="5">
        <v>370</v>
      </c>
      <c r="F12" s="6">
        <v>352</v>
      </c>
      <c r="G12" s="7" t="str">
        <f>+VLOOKUP(B12,'[1]TIENDAS 2025'!$A$2:$C$143,3,0)</f>
        <v>departamental</v>
      </c>
      <c r="H12" s="7">
        <f>+VLOOKUP(B12,[2]Hoja1!$A$6:$B$139,2,0)</f>
        <v>200</v>
      </c>
      <c r="I12" s="10">
        <f>+E12+H12</f>
        <v>570</v>
      </c>
    </row>
    <row r="13" spans="1:9" ht="14.4" customHeight="1" x14ac:dyDescent="0.3">
      <c r="A13" s="3">
        <v>800324</v>
      </c>
      <c r="B13" s="3" t="s">
        <v>85</v>
      </c>
      <c r="C13" s="3" t="s">
        <v>13</v>
      </c>
      <c r="D13" s="4" t="s">
        <v>26</v>
      </c>
      <c r="E13" s="5">
        <v>230</v>
      </c>
      <c r="F13" s="6">
        <v>228</v>
      </c>
      <c r="G13" s="7" t="str">
        <f>+VLOOKUP(B13,'[1]TIENDAS 2025'!$A$2:$C$143,3,0)</f>
        <v>departamental</v>
      </c>
      <c r="H13" s="7">
        <f>+VLOOKUP(B13,[2]Hoja1!$A$6:$B$139,2,0)</f>
        <v>340</v>
      </c>
      <c r="I13" s="10">
        <f>+E13+H13</f>
        <v>570</v>
      </c>
    </row>
    <row r="14" spans="1:9" ht="14.4" customHeight="1" x14ac:dyDescent="0.3">
      <c r="A14" s="3">
        <v>800253</v>
      </c>
      <c r="B14" s="3" t="s">
        <v>83</v>
      </c>
      <c r="C14" s="3" t="s">
        <v>13</v>
      </c>
      <c r="D14" s="4" t="s">
        <v>23</v>
      </c>
      <c r="E14" s="5">
        <v>304</v>
      </c>
      <c r="F14" s="6">
        <v>298</v>
      </c>
      <c r="G14" s="7" t="str">
        <f>+VLOOKUP(B14,'[1]TIENDAS 2025'!$A$2:$C$143,3,0)</f>
        <v>departamental</v>
      </c>
      <c r="H14" s="7">
        <f>+VLOOKUP(B14,[2]Hoja1!$A$6:$B$139,2,0)</f>
        <v>249</v>
      </c>
      <c r="I14" s="10">
        <f>+E14+H14</f>
        <v>553</v>
      </c>
    </row>
    <row r="15" spans="1:9" ht="14.4" customHeight="1" x14ac:dyDescent="0.3">
      <c r="A15" s="3">
        <v>800083</v>
      </c>
      <c r="B15" s="3" t="s">
        <v>109</v>
      </c>
      <c r="C15" s="3" t="s">
        <v>13</v>
      </c>
      <c r="D15" s="8" t="s">
        <v>49</v>
      </c>
      <c r="E15" s="5">
        <v>278</v>
      </c>
      <c r="F15" s="6">
        <v>265</v>
      </c>
      <c r="G15" s="7" t="str">
        <f>+VLOOKUP(B15,'[1]TIENDAS 2025'!$A$2:$C$143,3,0)</f>
        <v>departamental</v>
      </c>
      <c r="H15" s="7">
        <f>+VLOOKUP(B15,[2]Hoja1!$A$6:$B$139,2,0)</f>
        <v>272</v>
      </c>
      <c r="I15" s="10">
        <f>+E15+H15</f>
        <v>550</v>
      </c>
    </row>
    <row r="16" spans="1:9" ht="14.4" customHeight="1" x14ac:dyDescent="0.3">
      <c r="A16" s="3">
        <v>800266</v>
      </c>
      <c r="B16" s="3" t="s">
        <v>76</v>
      </c>
      <c r="C16" s="3" t="s">
        <v>13</v>
      </c>
      <c r="D16" s="4" t="s">
        <v>62</v>
      </c>
      <c r="E16" s="5">
        <v>275</v>
      </c>
      <c r="F16" s="6">
        <v>272</v>
      </c>
      <c r="G16" s="7" t="str">
        <f>+VLOOKUP(B16,'[1]TIENDAS 2025'!$A$2:$C$143,3,0)</f>
        <v>departamental</v>
      </c>
      <c r="H16" s="7">
        <f>+VLOOKUP(B16,[2]Hoja1!$A$6:$B$139,2,0)</f>
        <v>268</v>
      </c>
      <c r="I16" s="10">
        <f>+E16+H16</f>
        <v>543</v>
      </c>
    </row>
    <row r="17" spans="1:9" ht="14.4" customHeight="1" x14ac:dyDescent="0.3">
      <c r="A17" s="3">
        <v>798959</v>
      </c>
      <c r="B17" s="3" t="s">
        <v>93</v>
      </c>
      <c r="C17" s="3" t="s">
        <v>13</v>
      </c>
      <c r="D17" s="8" t="s">
        <v>38</v>
      </c>
      <c r="E17" s="5">
        <v>352</v>
      </c>
      <c r="F17" s="6">
        <v>324</v>
      </c>
      <c r="G17" s="7" t="str">
        <f>+VLOOKUP(B17,'[1]TIENDAS 2025'!$A$2:$C$143,3,0)</f>
        <v>departamental</v>
      </c>
      <c r="H17" s="7">
        <f>+VLOOKUP(B17,[2]Hoja1!$A$6:$B$139,2,0)</f>
        <v>187</v>
      </c>
      <c r="I17" s="10">
        <f>+E17+H17</f>
        <v>539</v>
      </c>
    </row>
    <row r="18" spans="1:9" ht="14.4" customHeight="1" x14ac:dyDescent="0.3">
      <c r="A18" s="3">
        <v>800236</v>
      </c>
      <c r="B18" s="3" t="s">
        <v>96</v>
      </c>
      <c r="C18" s="3" t="s">
        <v>13</v>
      </c>
      <c r="D18" s="4" t="s">
        <v>39</v>
      </c>
      <c r="E18" s="5">
        <v>301</v>
      </c>
      <c r="F18" s="6">
        <v>297</v>
      </c>
      <c r="G18" s="7" t="str">
        <f>+VLOOKUP(B18,'[1]TIENDAS 2025'!$A$2:$C$143,3,0)</f>
        <v>local</v>
      </c>
      <c r="H18" s="7">
        <f>+VLOOKUP(B18,[2]Hoja1!$A$6:$B$139,2,0)</f>
        <v>232</v>
      </c>
      <c r="I18" s="10">
        <f>+E18+H18</f>
        <v>533</v>
      </c>
    </row>
    <row r="19" spans="1:9" ht="14.4" customHeight="1" x14ac:dyDescent="0.3">
      <c r="A19" s="3">
        <v>800335</v>
      </c>
      <c r="B19" s="3" t="s">
        <v>126</v>
      </c>
      <c r="C19" s="3" t="s">
        <v>13</v>
      </c>
      <c r="D19" s="4" t="s">
        <v>60</v>
      </c>
      <c r="E19" s="5">
        <v>250</v>
      </c>
      <c r="F19" s="6">
        <v>246</v>
      </c>
      <c r="G19" s="7" t="str">
        <f>+VLOOKUP(B19,'[1]TIENDAS 2025'!$A$2:$C$143,3,0)</f>
        <v>local</v>
      </c>
      <c r="H19" s="7">
        <f>+VLOOKUP(B19,[2]Hoja1!$A$6:$B$139,2,0)</f>
        <v>283</v>
      </c>
      <c r="I19" s="10">
        <f>+E19+H19</f>
        <v>533</v>
      </c>
    </row>
    <row r="20" spans="1:9" ht="14.4" customHeight="1" x14ac:dyDescent="0.3">
      <c r="A20" s="3">
        <v>798941</v>
      </c>
      <c r="B20" s="3" t="s">
        <v>74</v>
      </c>
      <c r="C20" s="3" t="s">
        <v>13</v>
      </c>
      <c r="D20" s="8" t="s">
        <v>14</v>
      </c>
      <c r="E20" s="5">
        <v>390</v>
      </c>
      <c r="F20" s="6">
        <v>371</v>
      </c>
      <c r="G20" s="7" t="str">
        <f>+VLOOKUP(B20,'[1]TIENDAS 2025'!$A$2:$C$143,3,0)</f>
        <v>departamental</v>
      </c>
      <c r="H20" s="7">
        <f>+VLOOKUP(B20,[2]Hoja1!$A$6:$B$139,2,0)</f>
        <v>137</v>
      </c>
      <c r="I20" s="10">
        <f>+E20+H20</f>
        <v>527</v>
      </c>
    </row>
    <row r="21" spans="1:9" ht="14.4" customHeight="1" x14ac:dyDescent="0.3">
      <c r="A21" s="3">
        <v>799251</v>
      </c>
      <c r="B21" s="3" t="s">
        <v>75</v>
      </c>
      <c r="C21" s="3" t="s">
        <v>13</v>
      </c>
      <c r="D21" s="8" t="s">
        <v>29</v>
      </c>
      <c r="E21" s="5">
        <v>240</v>
      </c>
      <c r="F21" s="6">
        <v>229</v>
      </c>
      <c r="G21" s="7" t="str">
        <f>+VLOOKUP(B21,'[1]TIENDAS 2025'!$A$2:$C$143,3,0)</f>
        <v>local</v>
      </c>
      <c r="H21" s="7">
        <f>+VLOOKUP(B21,[2]Hoja1!$A$6:$B$139,2,0)</f>
        <v>286</v>
      </c>
      <c r="I21" s="10">
        <f>+E21+H21</f>
        <v>526</v>
      </c>
    </row>
    <row r="22" spans="1:9" ht="14.4" customHeight="1" x14ac:dyDescent="0.3">
      <c r="A22" s="3">
        <v>800076</v>
      </c>
      <c r="B22" s="3" t="s">
        <v>76</v>
      </c>
      <c r="C22" s="3" t="s">
        <v>13</v>
      </c>
      <c r="D22" s="8" t="s">
        <v>16</v>
      </c>
      <c r="E22" s="5">
        <v>250</v>
      </c>
      <c r="F22" s="6">
        <v>246</v>
      </c>
      <c r="G22" s="7" t="str">
        <f>+VLOOKUP(B22,'[1]TIENDAS 2025'!$A$2:$C$143,3,0)</f>
        <v>departamental</v>
      </c>
      <c r="H22" s="7">
        <f>+VLOOKUP(B22,[2]Hoja1!$A$6:$B$139,2,0)</f>
        <v>268</v>
      </c>
      <c r="I22" s="10">
        <f>+E22+H22</f>
        <v>518</v>
      </c>
    </row>
    <row r="23" spans="1:9" ht="14.4" customHeight="1" x14ac:dyDescent="0.3">
      <c r="A23" s="3">
        <v>800221</v>
      </c>
      <c r="B23" s="3" t="s">
        <v>80</v>
      </c>
      <c r="C23" s="3" t="s">
        <v>13</v>
      </c>
      <c r="D23" s="4" t="s">
        <v>20</v>
      </c>
      <c r="E23" s="5">
        <v>253</v>
      </c>
      <c r="F23" s="6">
        <v>250</v>
      </c>
      <c r="G23" s="7" t="str">
        <f>+VLOOKUP(B23,'[1]TIENDAS 2025'!$A$2:$C$143,3,0)</f>
        <v>local</v>
      </c>
      <c r="H23" s="7">
        <f>+VLOOKUP(B23,[2]Hoja1!$A$6:$B$139,2,0)</f>
        <v>264</v>
      </c>
      <c r="I23" s="10">
        <f>+E23+H23</f>
        <v>517</v>
      </c>
    </row>
    <row r="24" spans="1:9" ht="14.4" customHeight="1" x14ac:dyDescent="0.3">
      <c r="A24" s="3">
        <v>800307</v>
      </c>
      <c r="B24" s="3" t="s">
        <v>91</v>
      </c>
      <c r="C24" s="3" t="s">
        <v>13</v>
      </c>
      <c r="D24" s="4" t="s">
        <v>35</v>
      </c>
      <c r="E24" s="5">
        <v>259</v>
      </c>
      <c r="F24" s="6">
        <v>254</v>
      </c>
      <c r="G24" s="7" t="str">
        <f>+VLOOKUP(B24,'[1]TIENDAS 2025'!$A$2:$C$143,3,0)</f>
        <v>local</v>
      </c>
      <c r="H24" s="7">
        <f>+VLOOKUP(B24,[2]Hoja1!$A$6:$B$139,2,0)</f>
        <v>254</v>
      </c>
      <c r="I24" s="10">
        <f>+E24+H24</f>
        <v>513</v>
      </c>
    </row>
    <row r="25" spans="1:9" ht="14.4" customHeight="1" x14ac:dyDescent="0.3">
      <c r="A25" s="3">
        <v>800090</v>
      </c>
      <c r="B25" s="3" t="s">
        <v>77</v>
      </c>
      <c r="C25" s="3" t="s">
        <v>13</v>
      </c>
      <c r="D25" s="8" t="s">
        <v>17</v>
      </c>
      <c r="E25" s="5">
        <v>264</v>
      </c>
      <c r="F25" s="6">
        <v>260</v>
      </c>
      <c r="G25" s="7" t="str">
        <f>+VLOOKUP(B25,'[1]TIENDAS 2025'!$A$2:$C$143,3,0)</f>
        <v>departamental</v>
      </c>
      <c r="H25" s="7">
        <f>+VLOOKUP(B25,[2]Hoja1!$A$6:$B$139,2,0)</f>
        <v>243</v>
      </c>
      <c r="I25" s="10">
        <f>+E25+H25</f>
        <v>507</v>
      </c>
    </row>
    <row r="26" spans="1:9" ht="14.4" customHeight="1" x14ac:dyDescent="0.3">
      <c r="A26" s="3">
        <v>800256</v>
      </c>
      <c r="B26" s="3" t="s">
        <v>84</v>
      </c>
      <c r="C26" s="3" t="s">
        <v>13</v>
      </c>
      <c r="D26" s="4" t="s">
        <v>24</v>
      </c>
      <c r="E26" s="5">
        <v>314</v>
      </c>
      <c r="F26" s="6">
        <v>303</v>
      </c>
      <c r="G26" s="7" t="str">
        <f>+VLOOKUP(B26,'[1]TIENDAS 2025'!$A$2:$C$143,3,0)</f>
        <v>departamental</v>
      </c>
      <c r="H26" s="7">
        <f>+VLOOKUP(B26,[2]Hoja1!$A$6:$B$139,2,0)</f>
        <v>191</v>
      </c>
      <c r="I26" s="10">
        <f>+E26+H26</f>
        <v>505</v>
      </c>
    </row>
    <row r="27" spans="1:9" ht="14.4" customHeight="1" x14ac:dyDescent="0.3">
      <c r="A27" s="3">
        <v>800334</v>
      </c>
      <c r="B27" s="3" t="s">
        <v>108</v>
      </c>
      <c r="C27" s="3" t="s">
        <v>13</v>
      </c>
      <c r="D27" s="4" t="s">
        <v>48</v>
      </c>
      <c r="E27" s="5">
        <v>277</v>
      </c>
      <c r="F27" s="6">
        <v>275</v>
      </c>
      <c r="G27" s="7" t="str">
        <f>+VLOOKUP(B27,'[1]TIENDAS 2025'!$A$2:$C$143,3,0)</f>
        <v>local</v>
      </c>
      <c r="H27" s="7">
        <f>+VLOOKUP(B27,[2]Hoja1!$A$6:$B$139,2,0)</f>
        <v>228</v>
      </c>
      <c r="I27" s="10">
        <f>+E27+H27</f>
        <v>505</v>
      </c>
    </row>
    <row r="28" spans="1:9" ht="14.4" customHeight="1" x14ac:dyDescent="0.3">
      <c r="A28" s="3">
        <v>800209</v>
      </c>
      <c r="B28" s="3" t="s">
        <v>116</v>
      </c>
      <c r="C28" s="3" t="s">
        <v>13</v>
      </c>
      <c r="D28" s="4" t="s">
        <v>52</v>
      </c>
      <c r="E28" s="5">
        <v>362</v>
      </c>
      <c r="F28" s="6">
        <v>357</v>
      </c>
      <c r="G28" s="7" t="str">
        <f>+VLOOKUP(B28,'[1]TIENDAS 2025'!$A$2:$C$143,3,0)</f>
        <v>local</v>
      </c>
      <c r="H28" s="7">
        <f>+VLOOKUP(B28,[2]Hoja1!$A$6:$B$139,2,0)</f>
        <v>136</v>
      </c>
      <c r="I28" s="10">
        <f>+E28+H28</f>
        <v>498</v>
      </c>
    </row>
    <row r="29" spans="1:9" ht="14.4" customHeight="1" x14ac:dyDescent="0.3">
      <c r="A29" s="3">
        <v>800077</v>
      </c>
      <c r="B29" s="3" t="s">
        <v>127</v>
      </c>
      <c r="C29" s="3" t="s">
        <v>13</v>
      </c>
      <c r="D29" s="8" t="s">
        <v>61</v>
      </c>
      <c r="E29" s="5">
        <v>247</v>
      </c>
      <c r="F29" s="6">
        <v>241</v>
      </c>
      <c r="G29" s="7" t="str">
        <f>+VLOOKUP(B29,'[1]TIENDAS 2025'!$A$2:$C$143,3,0)</f>
        <v>departamental</v>
      </c>
      <c r="H29" s="7">
        <f>+VLOOKUP(B29,[2]Hoja1!$A$6:$B$139,2,0)</f>
        <v>247</v>
      </c>
      <c r="I29" s="10">
        <f>+E29+H29</f>
        <v>494</v>
      </c>
    </row>
    <row r="30" spans="1:9" ht="14.4" customHeight="1" x14ac:dyDescent="0.3">
      <c r="A30" s="3">
        <v>798922</v>
      </c>
      <c r="B30" s="3" t="s">
        <v>134</v>
      </c>
      <c r="C30" s="3" t="s">
        <v>13</v>
      </c>
      <c r="D30" s="8" t="s">
        <v>67</v>
      </c>
      <c r="E30" s="5">
        <v>387</v>
      </c>
      <c r="F30" s="6">
        <v>367</v>
      </c>
      <c r="G30" s="7" t="str">
        <f>+VLOOKUP(B30,'[1]TIENDAS 2025'!$A$2:$C$143,3,0)</f>
        <v>departamental</v>
      </c>
      <c r="H30" s="7">
        <f>+VLOOKUP(B30,[2]Hoja1!$A$6:$B$139,2,0)</f>
        <v>107</v>
      </c>
      <c r="I30" s="10">
        <f>+E30+H30</f>
        <v>494</v>
      </c>
    </row>
    <row r="31" spans="1:9" ht="14.4" customHeight="1" x14ac:dyDescent="0.3">
      <c r="A31" s="3">
        <v>800322</v>
      </c>
      <c r="B31" s="3" t="s">
        <v>124</v>
      </c>
      <c r="C31" s="3" t="s">
        <v>13</v>
      </c>
      <c r="D31" s="4" t="s">
        <v>59</v>
      </c>
      <c r="E31" s="5">
        <v>207</v>
      </c>
      <c r="F31" s="6">
        <v>207</v>
      </c>
      <c r="G31" s="7" t="str">
        <f>+VLOOKUP(B31,'[1]TIENDAS 2025'!$A$2:$C$143,3,0)</f>
        <v>local</v>
      </c>
      <c r="H31" s="7">
        <f>+VLOOKUP(B31,[2]Hoja1!$A$6:$B$139,2,0)</f>
        <v>287</v>
      </c>
      <c r="I31" s="10">
        <f>+E31+H31</f>
        <v>494</v>
      </c>
    </row>
    <row r="32" spans="1:9" ht="14.4" customHeight="1" x14ac:dyDescent="0.3">
      <c r="A32" s="3">
        <v>800233</v>
      </c>
      <c r="B32" s="3" t="s">
        <v>95</v>
      </c>
      <c r="C32" s="3" t="s">
        <v>13</v>
      </c>
      <c r="D32" s="4" t="s">
        <v>33</v>
      </c>
      <c r="E32" s="5">
        <v>265</v>
      </c>
      <c r="F32" s="6">
        <v>261</v>
      </c>
      <c r="G32" s="7" t="str">
        <f>+VLOOKUP(B32,'[1]TIENDAS 2025'!$A$2:$C$143,3,0)</f>
        <v>local</v>
      </c>
      <c r="H32" s="7">
        <f>+VLOOKUP(B32,[2]Hoja1!$A$6:$B$139,2,0)</f>
        <v>228</v>
      </c>
      <c r="I32" s="10">
        <f>+E32+H32</f>
        <v>493</v>
      </c>
    </row>
    <row r="33" spans="1:9" ht="14.4" customHeight="1" x14ac:dyDescent="0.3">
      <c r="A33" s="3">
        <v>800305</v>
      </c>
      <c r="B33" s="3" t="s">
        <v>141</v>
      </c>
      <c r="C33" s="3" t="s">
        <v>13</v>
      </c>
      <c r="D33" s="4" t="s">
        <v>73</v>
      </c>
      <c r="E33" s="5">
        <v>248</v>
      </c>
      <c r="F33" s="6">
        <v>246</v>
      </c>
      <c r="G33" s="7" t="str">
        <f>+VLOOKUP(B33,'[1]TIENDAS 2025'!$A$2:$C$143,3,0)</f>
        <v>departamental</v>
      </c>
      <c r="H33" s="7">
        <f>+VLOOKUP(B33,[2]Hoja1!$A$6:$B$139,2,0)</f>
        <v>243</v>
      </c>
      <c r="I33" s="10">
        <f>+E33+H33</f>
        <v>491</v>
      </c>
    </row>
    <row r="34" spans="1:9" ht="14.4" customHeight="1" x14ac:dyDescent="0.3">
      <c r="A34" s="3">
        <v>800049</v>
      </c>
      <c r="B34" s="3" t="s">
        <v>135</v>
      </c>
      <c r="C34" s="3" t="s">
        <v>13</v>
      </c>
      <c r="D34" s="8" t="s">
        <v>68</v>
      </c>
      <c r="E34" s="5">
        <v>219</v>
      </c>
      <c r="F34" s="6">
        <v>216</v>
      </c>
      <c r="G34" s="7" t="str">
        <f>+VLOOKUP(B34,'[1]TIENDAS 2025'!$A$2:$C$143,3,0)</f>
        <v>departamental</v>
      </c>
      <c r="H34" s="7">
        <f>+VLOOKUP(B34,[2]Hoja1!$A$6:$B$139,2,0)</f>
        <v>271</v>
      </c>
      <c r="I34" s="10">
        <f>+E34+H34</f>
        <v>490</v>
      </c>
    </row>
    <row r="35" spans="1:9" ht="14.4" customHeight="1" x14ac:dyDescent="0.3">
      <c r="A35" s="3">
        <v>800250</v>
      </c>
      <c r="B35" s="3" t="s">
        <v>137</v>
      </c>
      <c r="C35" s="3" t="s">
        <v>13</v>
      </c>
      <c r="D35" s="4" t="s">
        <v>58</v>
      </c>
      <c r="E35" s="5">
        <v>248</v>
      </c>
      <c r="F35" s="6">
        <v>247</v>
      </c>
      <c r="G35" s="7" t="str">
        <f>+VLOOKUP(B35,'[1]TIENDAS 2025'!$A$2:$C$143,3,0)</f>
        <v>departamental</v>
      </c>
      <c r="H35" s="7">
        <f>+VLOOKUP(B35,[2]Hoja1!$A$6:$B$139,2,0)</f>
        <v>236</v>
      </c>
      <c r="I35" s="10">
        <f>+E35+H35</f>
        <v>484</v>
      </c>
    </row>
    <row r="36" spans="1:9" ht="14.4" customHeight="1" x14ac:dyDescent="0.3">
      <c r="A36" s="3">
        <v>800288</v>
      </c>
      <c r="B36" s="3" t="s">
        <v>113</v>
      </c>
      <c r="C36" s="3" t="s">
        <v>13</v>
      </c>
      <c r="D36" s="4" t="s">
        <v>51</v>
      </c>
      <c r="E36" s="5">
        <v>247</v>
      </c>
      <c r="F36" s="6">
        <v>242</v>
      </c>
      <c r="G36" s="7" t="str">
        <f>+VLOOKUP(B36,'[1]TIENDAS 2025'!$A$2:$C$143,3,0)</f>
        <v>departamental</v>
      </c>
      <c r="H36" s="7">
        <f>+VLOOKUP(B36,[2]Hoja1!$A$6:$B$139,2,0)</f>
        <v>235</v>
      </c>
      <c r="I36" s="10">
        <f>+E36+H36</f>
        <v>482</v>
      </c>
    </row>
    <row r="37" spans="1:9" ht="14.4" customHeight="1" x14ac:dyDescent="0.3">
      <c r="A37" s="3">
        <v>800246</v>
      </c>
      <c r="B37" s="3" t="s">
        <v>82</v>
      </c>
      <c r="C37" s="3" t="s">
        <v>13</v>
      </c>
      <c r="D37" s="4" t="s">
        <v>22</v>
      </c>
      <c r="E37" s="5">
        <v>281</v>
      </c>
      <c r="F37" s="6">
        <v>276</v>
      </c>
      <c r="G37" s="7" t="str">
        <f>+VLOOKUP(B37,'[1]TIENDAS 2025'!$A$2:$C$143,3,0)</f>
        <v>departamental</v>
      </c>
      <c r="H37" s="7">
        <f>+VLOOKUP(B37,[2]Hoja1!$A$6:$B$139,2,0)</f>
        <v>199</v>
      </c>
      <c r="I37" s="10">
        <f>+E37+H37</f>
        <v>480</v>
      </c>
    </row>
    <row r="38" spans="1:9" ht="14.4" customHeight="1" x14ac:dyDescent="0.3">
      <c r="A38" s="3">
        <v>800070</v>
      </c>
      <c r="B38" s="3" t="s">
        <v>87</v>
      </c>
      <c r="C38" s="3" t="s">
        <v>13</v>
      </c>
      <c r="D38" s="8" t="s">
        <v>30</v>
      </c>
      <c r="E38" s="5">
        <v>253</v>
      </c>
      <c r="F38" s="6">
        <v>235</v>
      </c>
      <c r="G38" s="7" t="str">
        <f>+VLOOKUP(B38,'[1]TIENDAS 2025'!$A$2:$C$143,3,0)</f>
        <v>local</v>
      </c>
      <c r="H38" s="7">
        <f>+VLOOKUP(B38,[2]Hoja1!$A$6:$B$139,2,0)</f>
        <v>226</v>
      </c>
      <c r="I38" s="10">
        <f>+E38+H38</f>
        <v>479</v>
      </c>
    </row>
    <row r="39" spans="1:9" ht="14.4" customHeight="1" x14ac:dyDescent="0.3">
      <c r="A39" s="3">
        <v>798921</v>
      </c>
      <c r="B39" s="3" t="s">
        <v>103</v>
      </c>
      <c r="C39" s="3" t="s">
        <v>13</v>
      </c>
      <c r="D39" s="8" t="s">
        <v>45</v>
      </c>
      <c r="E39" s="5">
        <v>337</v>
      </c>
      <c r="F39" s="6">
        <v>314</v>
      </c>
      <c r="G39" s="7" t="str">
        <f>+VLOOKUP(B39,'[1]TIENDAS 2025'!$A$2:$C$143,3,0)</f>
        <v>departamental</v>
      </c>
      <c r="H39" s="7">
        <f>+VLOOKUP(B39,[2]Hoja1!$A$6:$B$139,2,0)</f>
        <v>133</v>
      </c>
      <c r="I39" s="10">
        <f>+E39+H39</f>
        <v>470</v>
      </c>
    </row>
    <row r="40" spans="1:9" ht="14.4" customHeight="1" x14ac:dyDescent="0.3">
      <c r="A40" s="3">
        <v>798906</v>
      </c>
      <c r="B40" s="3" t="s">
        <v>86</v>
      </c>
      <c r="C40" s="3" t="s">
        <v>13</v>
      </c>
      <c r="D40" s="8" t="s">
        <v>28</v>
      </c>
      <c r="E40" s="5">
        <v>276</v>
      </c>
      <c r="F40" s="6">
        <v>262</v>
      </c>
      <c r="G40" s="7" t="str">
        <f>+VLOOKUP(B40,'[1]TIENDAS 2025'!$A$2:$C$143,3,0)</f>
        <v>departamental</v>
      </c>
      <c r="H40" s="7">
        <f>+VLOOKUP(B40,[2]Hoja1!$A$6:$B$139,2,0)</f>
        <v>191</v>
      </c>
      <c r="I40" s="10">
        <f>+E40+H40</f>
        <v>467</v>
      </c>
    </row>
    <row r="41" spans="1:9" ht="14.4" customHeight="1" x14ac:dyDescent="0.3">
      <c r="A41" s="3">
        <v>800287</v>
      </c>
      <c r="B41" s="3" t="s">
        <v>90</v>
      </c>
      <c r="C41" s="3" t="s">
        <v>13</v>
      </c>
      <c r="D41" s="4" t="s">
        <v>34</v>
      </c>
      <c r="E41" s="5">
        <v>243</v>
      </c>
      <c r="F41" s="6">
        <v>239</v>
      </c>
      <c r="G41" s="7" t="str">
        <f>+VLOOKUP(B41,'[1]TIENDAS 2025'!$A$2:$C$143,3,0)</f>
        <v>departamental</v>
      </c>
      <c r="H41" s="7">
        <f>+VLOOKUP(B41,[2]Hoja1!$A$6:$B$139,2,0)</f>
        <v>221</v>
      </c>
      <c r="I41" s="10">
        <f>+E41+H41</f>
        <v>464</v>
      </c>
    </row>
    <row r="42" spans="1:9" ht="14.4" customHeight="1" x14ac:dyDescent="0.3">
      <c r="A42" s="3">
        <v>800314</v>
      </c>
      <c r="B42" s="3" t="s">
        <v>114</v>
      </c>
      <c r="C42" s="3" t="s">
        <v>13</v>
      </c>
      <c r="D42" s="4" t="s">
        <v>43</v>
      </c>
      <c r="E42" s="5">
        <v>179</v>
      </c>
      <c r="F42" s="6">
        <v>179</v>
      </c>
      <c r="G42" s="7" t="str">
        <f>+VLOOKUP(B42,'[1]TIENDAS 2025'!$A$2:$C$143,3,0)</f>
        <v>departamental</v>
      </c>
      <c r="H42" s="7">
        <f>+VLOOKUP(B42,[2]Hoja1!$A$6:$B$139,2,0)</f>
        <v>271</v>
      </c>
      <c r="I42" s="10">
        <f>+E42+H42</f>
        <v>450</v>
      </c>
    </row>
    <row r="43" spans="1:9" ht="14.4" customHeight="1" x14ac:dyDescent="0.3">
      <c r="A43" s="3">
        <v>800328</v>
      </c>
      <c r="B43" s="3" t="s">
        <v>133</v>
      </c>
      <c r="C43" s="3" t="s">
        <v>13</v>
      </c>
      <c r="D43" s="4" t="s">
        <v>66</v>
      </c>
      <c r="E43" s="5">
        <v>215</v>
      </c>
      <c r="F43" s="6">
        <v>212</v>
      </c>
      <c r="G43" s="7" t="str">
        <f>+VLOOKUP(B43,'[1]TIENDAS 2025'!$A$2:$C$143,3,0)</f>
        <v>departamental</v>
      </c>
      <c r="H43" s="7">
        <f>+VLOOKUP(B43,[2]Hoja1!$A$6:$B$139,2,0)</f>
        <v>226</v>
      </c>
      <c r="I43" s="10">
        <f>+E43+H43</f>
        <v>441</v>
      </c>
    </row>
    <row r="44" spans="1:9" ht="14.4" customHeight="1" x14ac:dyDescent="0.3">
      <c r="A44" s="3">
        <v>800238</v>
      </c>
      <c r="B44" s="3" t="s">
        <v>111</v>
      </c>
      <c r="C44" s="3" t="s">
        <v>13</v>
      </c>
      <c r="D44" s="4" t="s">
        <v>8</v>
      </c>
      <c r="E44" s="5">
        <v>224</v>
      </c>
      <c r="F44" s="6">
        <v>212</v>
      </c>
      <c r="G44" s="7" t="str">
        <f>+VLOOKUP(B44,'[1]TIENDAS 2025'!$A$2:$C$143,3,0)</f>
        <v>departamental</v>
      </c>
      <c r="H44" s="7">
        <f>+VLOOKUP(B44,[2]Hoja1!$A$6:$B$139,2,0)</f>
        <v>214</v>
      </c>
      <c r="I44" s="10">
        <f>+E44+H44</f>
        <v>438</v>
      </c>
    </row>
    <row r="45" spans="1:9" ht="14.4" customHeight="1" x14ac:dyDescent="0.3">
      <c r="A45" s="3">
        <v>800283</v>
      </c>
      <c r="B45" s="3" t="s">
        <v>100</v>
      </c>
      <c r="C45" s="3" t="s">
        <v>13</v>
      </c>
      <c r="D45" s="4" t="s">
        <v>42</v>
      </c>
      <c r="E45" s="5">
        <v>308</v>
      </c>
      <c r="F45" s="6">
        <v>307</v>
      </c>
      <c r="G45" s="7" t="str">
        <f>+VLOOKUP(B45,'[1]TIENDAS 2025'!$A$2:$C$143,3,0)</f>
        <v>local</v>
      </c>
      <c r="H45" s="7">
        <f>+VLOOKUP(B45,[2]Hoja1!$A$6:$B$139,2,0)</f>
        <v>127</v>
      </c>
      <c r="I45" s="10">
        <f>+E45+H45</f>
        <v>435</v>
      </c>
    </row>
    <row r="46" spans="1:9" ht="14.4" customHeight="1" x14ac:dyDescent="0.3">
      <c r="A46" s="3">
        <v>800338</v>
      </c>
      <c r="B46" s="3" t="s">
        <v>92</v>
      </c>
      <c r="C46" s="3" t="s">
        <v>13</v>
      </c>
      <c r="D46" s="4" t="s">
        <v>37</v>
      </c>
      <c r="E46" s="5">
        <v>291</v>
      </c>
      <c r="F46" s="6">
        <v>283</v>
      </c>
      <c r="G46" s="7" t="str">
        <f>+VLOOKUP(B46,'[1]TIENDAS 2025'!$A$2:$C$143,3,0)</f>
        <v>local</v>
      </c>
      <c r="H46" s="7">
        <f>+VLOOKUP(B46,[2]Hoja1!$A$6:$B$139,2,0)</f>
        <v>142</v>
      </c>
      <c r="I46" s="10">
        <f>+E46+H46</f>
        <v>433</v>
      </c>
    </row>
    <row r="47" spans="1:9" ht="14.4" customHeight="1" x14ac:dyDescent="0.3">
      <c r="A47" s="3">
        <v>800299</v>
      </c>
      <c r="B47" s="3" t="s">
        <v>140</v>
      </c>
      <c r="C47" s="3" t="s">
        <v>13</v>
      </c>
      <c r="D47" s="4" t="s">
        <v>72</v>
      </c>
      <c r="E47" s="5">
        <v>282</v>
      </c>
      <c r="F47" s="6">
        <v>278</v>
      </c>
      <c r="G47" s="7" t="str">
        <f>+VLOOKUP(B47,'[1]TIENDAS 2025'!$A$2:$C$143,3,0)</f>
        <v>local</v>
      </c>
      <c r="H47" s="7">
        <f>+VLOOKUP(B47,[2]Hoja1!$A$6:$B$139,2,0)</f>
        <v>146</v>
      </c>
      <c r="I47" s="10">
        <f>+E47+H47</f>
        <v>428</v>
      </c>
    </row>
    <row r="48" spans="1:9" ht="14.4" customHeight="1" x14ac:dyDescent="0.3">
      <c r="A48" s="3">
        <v>800245</v>
      </c>
      <c r="B48" s="3" t="s">
        <v>89</v>
      </c>
      <c r="C48" s="3" t="s">
        <v>13</v>
      </c>
      <c r="D48" s="4" t="s">
        <v>32</v>
      </c>
      <c r="E48" s="5">
        <v>190</v>
      </c>
      <c r="F48" s="6">
        <v>187</v>
      </c>
      <c r="G48" s="7" t="str">
        <f>+VLOOKUP(B48,'[1]TIENDAS 2025'!$A$2:$C$143,3,0)</f>
        <v>prioridad</v>
      </c>
      <c r="H48" s="7">
        <f>+VLOOKUP(B48,[2]Hoja1!$A$6:$B$139,2,0)</f>
        <v>237</v>
      </c>
      <c r="I48" s="10">
        <f>+E48+H48</f>
        <v>427</v>
      </c>
    </row>
    <row r="49" spans="1:9" ht="14.4" customHeight="1" x14ac:dyDescent="0.3">
      <c r="A49" s="3">
        <v>800274</v>
      </c>
      <c r="B49" s="3" t="s">
        <v>112</v>
      </c>
      <c r="C49" s="3" t="s">
        <v>13</v>
      </c>
      <c r="D49" s="4" t="s">
        <v>50</v>
      </c>
      <c r="E49" s="5">
        <v>217</v>
      </c>
      <c r="F49" s="6">
        <v>208</v>
      </c>
      <c r="G49" s="7" t="str">
        <f>+VLOOKUP(B49,'[1]TIENDAS 2025'!$A$2:$C$143,3,0)</f>
        <v>departamental</v>
      </c>
      <c r="H49" s="7">
        <f>+VLOOKUP(B49,[2]Hoja1!$A$6:$B$139,2,0)</f>
        <v>204</v>
      </c>
      <c r="I49" s="10">
        <f>+E49+H49</f>
        <v>421</v>
      </c>
    </row>
    <row r="50" spans="1:9" ht="14.4" customHeight="1" x14ac:dyDescent="0.3">
      <c r="A50" s="3">
        <v>800309</v>
      </c>
      <c r="B50" s="3" t="s">
        <v>122</v>
      </c>
      <c r="C50" s="3" t="s">
        <v>13</v>
      </c>
      <c r="D50" s="4" t="s">
        <v>57</v>
      </c>
      <c r="E50" s="5">
        <v>222</v>
      </c>
      <c r="F50" s="6">
        <v>222</v>
      </c>
      <c r="G50" s="7" t="str">
        <f>+VLOOKUP(B50,'[1]TIENDAS 2025'!$A$2:$C$143,3,0)</f>
        <v>local</v>
      </c>
      <c r="H50" s="7">
        <f>+VLOOKUP(B50,[2]Hoja1!$A$6:$B$139,2,0)</f>
        <v>199</v>
      </c>
      <c r="I50" s="10">
        <f>+E50+H50</f>
        <v>421</v>
      </c>
    </row>
    <row r="51" spans="1:9" ht="14.4" customHeight="1" x14ac:dyDescent="0.3">
      <c r="A51" s="3">
        <v>800279</v>
      </c>
      <c r="B51" s="3" t="s">
        <v>121</v>
      </c>
      <c r="C51" s="3" t="s">
        <v>13</v>
      </c>
      <c r="D51" s="4" t="s">
        <v>56</v>
      </c>
      <c r="E51" s="5">
        <v>182</v>
      </c>
      <c r="F51" s="6">
        <v>181</v>
      </c>
      <c r="G51" s="7" t="str">
        <f>+VLOOKUP(B51,'[1]TIENDAS 2025'!$A$2:$C$143,3,0)</f>
        <v>nocturna</v>
      </c>
      <c r="H51" s="7">
        <f>+VLOOKUP(B51,[2]Hoja1!$A$6:$B$139,2,0)</f>
        <v>231</v>
      </c>
      <c r="I51" s="10">
        <f>+E51+H51</f>
        <v>413</v>
      </c>
    </row>
    <row r="52" spans="1:9" ht="14.4" customHeight="1" x14ac:dyDescent="0.3">
      <c r="A52" s="3">
        <v>800310</v>
      </c>
      <c r="B52" s="3" t="s">
        <v>102</v>
      </c>
      <c r="C52" s="3" t="s">
        <v>13</v>
      </c>
      <c r="D52" s="4" t="s">
        <v>44</v>
      </c>
      <c r="E52" s="5">
        <v>278</v>
      </c>
      <c r="F52" s="6">
        <v>271</v>
      </c>
      <c r="G52" s="7" t="str">
        <f>+VLOOKUP(B52,'[1]TIENDAS 2025'!$A$2:$C$143,3,0)</f>
        <v>departamental</v>
      </c>
      <c r="H52" s="7">
        <f>+VLOOKUP(B52,[2]Hoja1!$A$6:$B$139,2,0)</f>
        <v>133</v>
      </c>
      <c r="I52" s="10">
        <f>+E52+H52</f>
        <v>411</v>
      </c>
    </row>
    <row r="53" spans="1:9" ht="14.4" customHeight="1" x14ac:dyDescent="0.3">
      <c r="A53" s="3">
        <v>800263</v>
      </c>
      <c r="B53" s="3" t="s">
        <v>104</v>
      </c>
      <c r="C53" s="3" t="s">
        <v>13</v>
      </c>
      <c r="D53" s="4" t="s">
        <v>56</v>
      </c>
      <c r="E53" s="5">
        <v>223</v>
      </c>
      <c r="F53" s="6">
        <v>221</v>
      </c>
      <c r="G53" s="7" t="str">
        <f>+VLOOKUP(B53,'[1]TIENDAS 2025'!$A$2:$C$143,3,0)</f>
        <v xml:space="preserve">departamental </v>
      </c>
      <c r="H53" s="7">
        <f>+VLOOKUP(B53,[2]Hoja1!$A$6:$B$139,2,0)</f>
        <v>178</v>
      </c>
      <c r="I53" s="10">
        <f>+E53+H53</f>
        <v>401</v>
      </c>
    </row>
    <row r="54" spans="1:9" ht="14.4" customHeight="1" x14ac:dyDescent="0.3">
      <c r="A54" s="3">
        <v>800315</v>
      </c>
      <c r="B54" s="3" t="s">
        <v>115</v>
      </c>
      <c r="C54" s="3" t="s">
        <v>13</v>
      </c>
      <c r="D54" s="4" t="s">
        <v>36</v>
      </c>
      <c r="E54" s="5">
        <v>207</v>
      </c>
      <c r="F54" s="6">
        <v>207</v>
      </c>
      <c r="G54" s="7" t="str">
        <f>+VLOOKUP(B54,'[1]TIENDAS 2025'!$A$2:$C$143,3,0)</f>
        <v>departamental</v>
      </c>
      <c r="H54" s="7">
        <f>+VLOOKUP(B54,[2]Hoja1!$A$6:$B$139,2,0)</f>
        <v>188</v>
      </c>
      <c r="I54" s="10">
        <f>+E54+H54</f>
        <v>395</v>
      </c>
    </row>
    <row r="55" spans="1:9" ht="14.4" customHeight="1" x14ac:dyDescent="0.3">
      <c r="A55" s="3">
        <v>800312</v>
      </c>
      <c r="B55" s="3" t="s">
        <v>123</v>
      </c>
      <c r="C55" s="3" t="s">
        <v>13</v>
      </c>
      <c r="D55" s="4" t="s">
        <v>58</v>
      </c>
      <c r="E55" s="5">
        <v>187</v>
      </c>
      <c r="F55" s="6">
        <v>185</v>
      </c>
      <c r="G55" s="7" t="str">
        <f>+VLOOKUP(B55,'[1]TIENDAS 2025'!$A$2:$C$143,3,0)</f>
        <v>departamental</v>
      </c>
      <c r="H55" s="7">
        <f>+VLOOKUP(B55,[2]Hoja1!$A$6:$B$139,2,0)</f>
        <v>197</v>
      </c>
      <c r="I55" s="10">
        <f>+E55+H55</f>
        <v>384</v>
      </c>
    </row>
    <row r="56" spans="1:9" ht="14.4" customHeight="1" x14ac:dyDescent="0.3">
      <c r="A56" s="3">
        <v>800232</v>
      </c>
      <c r="B56" s="3" t="s">
        <v>88</v>
      </c>
      <c r="C56" s="3" t="s">
        <v>13</v>
      </c>
      <c r="D56" s="4" t="s">
        <v>31</v>
      </c>
      <c r="E56" s="5">
        <v>203</v>
      </c>
      <c r="F56" s="6">
        <v>203</v>
      </c>
      <c r="G56" s="7" t="str">
        <f>+VLOOKUP(B56,'[1]TIENDAS 2025'!$A$2:$C$143,3,0)</f>
        <v>local</v>
      </c>
      <c r="H56" s="7">
        <f>+VLOOKUP(B56,[2]Hoja1!$A$6:$B$139,2,0)</f>
        <v>180</v>
      </c>
      <c r="I56" s="10">
        <f>+E56+H56</f>
        <v>383</v>
      </c>
    </row>
    <row r="57" spans="1:9" ht="14.4" customHeight="1" x14ac:dyDescent="0.3">
      <c r="A57" s="3">
        <v>800342</v>
      </c>
      <c r="B57" s="3" t="s">
        <v>142</v>
      </c>
      <c r="C57" s="3" t="s">
        <v>13</v>
      </c>
      <c r="D57" s="4" t="s">
        <v>50</v>
      </c>
      <c r="E57" s="5">
        <v>228</v>
      </c>
      <c r="F57" s="6">
        <v>224</v>
      </c>
      <c r="G57" s="7" t="str">
        <f>+VLOOKUP(B57,'[1]TIENDAS 2025'!$A$2:$C$143,3,0)</f>
        <v>local</v>
      </c>
      <c r="H57" s="7">
        <f>+VLOOKUP(B57,[2]Hoja1!$A$6:$B$139,2,0)</f>
        <v>154</v>
      </c>
      <c r="I57" s="10">
        <f>+E57+H57</f>
        <v>382</v>
      </c>
    </row>
    <row r="58" spans="1:9" ht="14.4" customHeight="1" x14ac:dyDescent="0.3">
      <c r="A58" s="3">
        <v>800270</v>
      </c>
      <c r="B58" s="3" t="s">
        <v>97</v>
      </c>
      <c r="C58" s="3" t="s">
        <v>13</v>
      </c>
      <c r="D58" s="4" t="s">
        <v>39</v>
      </c>
      <c r="E58" s="5">
        <v>145</v>
      </c>
      <c r="F58" s="6">
        <v>145</v>
      </c>
      <c r="G58" s="7" t="str">
        <f>+VLOOKUP(B58,'[1]TIENDAS 2025'!$A$2:$C$143,3,0)</f>
        <v>local</v>
      </c>
      <c r="H58" s="7">
        <f>+VLOOKUP(B58,[2]Hoja1!$A$6:$B$139,2,0)</f>
        <v>232</v>
      </c>
      <c r="I58" s="10">
        <f>+E58+H58</f>
        <v>377</v>
      </c>
    </row>
    <row r="59" spans="1:9" ht="14.4" customHeight="1" x14ac:dyDescent="0.3">
      <c r="A59" s="3">
        <v>800327</v>
      </c>
      <c r="B59" s="3" t="s">
        <v>132</v>
      </c>
      <c r="C59" s="3" t="s">
        <v>13</v>
      </c>
      <c r="D59" s="4" t="s">
        <v>65</v>
      </c>
      <c r="E59" s="5">
        <v>151</v>
      </c>
      <c r="F59" s="6">
        <v>150</v>
      </c>
      <c r="G59" s="7" t="str">
        <f>+VLOOKUP(B59,'[1]TIENDAS 2025'!$A$2:$C$143,3,0)</f>
        <v>departamental</v>
      </c>
      <c r="H59" s="7">
        <f>+VLOOKUP(B59,[2]Hoja1!$A$6:$B$139,2,0)</f>
        <v>223</v>
      </c>
      <c r="I59" s="10">
        <f>+E59+H59</f>
        <v>374</v>
      </c>
    </row>
    <row r="60" spans="1:9" ht="14.4" customHeight="1" x14ac:dyDescent="0.3">
      <c r="A60" s="3">
        <v>800224</v>
      </c>
      <c r="B60" s="3" t="s">
        <v>136</v>
      </c>
      <c r="C60" s="3" t="s">
        <v>13</v>
      </c>
      <c r="D60" s="4" t="s">
        <v>31</v>
      </c>
      <c r="E60" s="5">
        <v>232</v>
      </c>
      <c r="F60" s="6">
        <v>229</v>
      </c>
      <c r="G60" s="7" t="str">
        <f>+VLOOKUP(B60,'[1]TIENDAS 2025'!$A$2:$C$143,3,0)</f>
        <v>departamental</v>
      </c>
      <c r="H60" s="7">
        <f>+VLOOKUP(B60,[2]Hoja1!$A$6:$B$139,2,0)</f>
        <v>126</v>
      </c>
      <c r="I60" s="10">
        <f>+E60+H60</f>
        <v>358</v>
      </c>
    </row>
    <row r="61" spans="1:9" ht="14.4" customHeight="1" x14ac:dyDescent="0.3">
      <c r="A61" s="3">
        <v>800292</v>
      </c>
      <c r="B61" s="3" t="s">
        <v>101</v>
      </c>
      <c r="C61" s="3" t="s">
        <v>13</v>
      </c>
      <c r="D61" s="4" t="s">
        <v>43</v>
      </c>
      <c r="E61" s="5">
        <v>192</v>
      </c>
      <c r="F61" s="6">
        <v>191</v>
      </c>
      <c r="G61" s="7" t="str">
        <f>+VLOOKUP(B61,'[1]TIENDAS 2025'!$A$2:$C$143,3,0)</f>
        <v>departamental</v>
      </c>
      <c r="H61" s="7">
        <f>+VLOOKUP(B61,[2]Hoja1!$A$6:$B$139,2,0)</f>
        <v>164</v>
      </c>
      <c r="I61" s="10">
        <f>+E61+H61</f>
        <v>356</v>
      </c>
    </row>
    <row r="62" spans="1:9" ht="14.4" customHeight="1" x14ac:dyDescent="0.3">
      <c r="A62" s="3">
        <v>800207</v>
      </c>
      <c r="B62" s="3" t="s">
        <v>110</v>
      </c>
      <c r="C62" s="3" t="s">
        <v>13</v>
      </c>
      <c r="D62" s="4" t="s">
        <v>18</v>
      </c>
      <c r="E62" s="5">
        <v>221</v>
      </c>
      <c r="F62" s="6">
        <v>220</v>
      </c>
      <c r="G62" s="7" t="str">
        <f>+VLOOKUP(B62,'[1]TIENDAS 2025'!$A$2:$C$143,3,0)</f>
        <v>local</v>
      </c>
      <c r="H62" s="7">
        <f>+VLOOKUP(B62,[2]Hoja1!$A$6:$B$139,2,0)</f>
        <v>117</v>
      </c>
      <c r="I62" s="10">
        <f>+E62+H62</f>
        <v>338</v>
      </c>
    </row>
    <row r="63" spans="1:9" ht="14.4" customHeight="1" x14ac:dyDescent="0.3">
      <c r="A63" s="3">
        <v>800254</v>
      </c>
      <c r="B63" s="3" t="s">
        <v>119</v>
      </c>
      <c r="C63" s="3" t="s">
        <v>13</v>
      </c>
      <c r="D63" s="4" t="s">
        <v>20</v>
      </c>
      <c r="E63" s="5">
        <v>165</v>
      </c>
      <c r="F63" s="6">
        <v>163</v>
      </c>
      <c r="G63" s="7" t="str">
        <f>+VLOOKUP(B63,'[1]TIENDAS 2025'!$A$2:$C$143,3,0)</f>
        <v>departamental</v>
      </c>
      <c r="H63" s="7">
        <f>+VLOOKUP(B63,[2]Hoja1!$A$6:$B$139,2,0)</f>
        <v>172</v>
      </c>
      <c r="I63" s="10">
        <f>+E63+H63</f>
        <v>337</v>
      </c>
    </row>
    <row r="64" spans="1:9" ht="14.4" customHeight="1" x14ac:dyDescent="0.3">
      <c r="A64" s="3">
        <v>800316</v>
      </c>
      <c r="B64" s="3" t="s">
        <v>74</v>
      </c>
      <c r="C64" s="3" t="s">
        <v>13</v>
      </c>
      <c r="D64" s="4" t="s">
        <v>36</v>
      </c>
      <c r="E64" s="5">
        <v>189</v>
      </c>
      <c r="F64" s="6">
        <v>187</v>
      </c>
      <c r="G64" s="7" t="str">
        <f>+VLOOKUP(B64,'[1]TIENDAS 2025'!$A$2:$C$143,3,0)</f>
        <v>departamental</v>
      </c>
      <c r="H64" s="7">
        <f>+VLOOKUP(B64,[2]Hoja1!$A$6:$B$139,2,0)</f>
        <v>137</v>
      </c>
      <c r="I64" s="10">
        <f>+E64+H64</f>
        <v>326</v>
      </c>
    </row>
    <row r="65" spans="1:9" ht="14.4" customHeight="1" x14ac:dyDescent="0.3">
      <c r="A65" s="3">
        <v>800258</v>
      </c>
      <c r="B65" s="3" t="s">
        <v>120</v>
      </c>
      <c r="C65" s="3" t="s">
        <v>13</v>
      </c>
      <c r="D65" s="4" t="s">
        <v>55</v>
      </c>
      <c r="E65" s="5">
        <v>165</v>
      </c>
      <c r="F65" s="6">
        <v>165</v>
      </c>
      <c r="G65" s="7" t="str">
        <f>+VLOOKUP(B65,'[1]TIENDAS 2025'!$A$2:$C$143,3,0)</f>
        <v>departamental</v>
      </c>
      <c r="H65" s="7">
        <f>+VLOOKUP(B65,[2]Hoja1!$A$6:$B$139,2,0)</f>
        <v>156</v>
      </c>
      <c r="I65" s="10">
        <f>+E65+H65</f>
        <v>321</v>
      </c>
    </row>
    <row r="66" spans="1:9" ht="14.4" customHeight="1" x14ac:dyDescent="0.3">
      <c r="A66" s="3">
        <v>800280</v>
      </c>
      <c r="B66" s="3" t="s">
        <v>99</v>
      </c>
      <c r="C66" s="3" t="s">
        <v>13</v>
      </c>
      <c r="D66" s="4" t="s">
        <v>41</v>
      </c>
      <c r="E66" s="5">
        <v>157</v>
      </c>
      <c r="F66" s="6">
        <v>156</v>
      </c>
      <c r="G66" s="7" t="str">
        <f>+VLOOKUP(B66,'[1]TIENDAS 2025'!$A$2:$C$143,3,0)</f>
        <v>departamental</v>
      </c>
      <c r="H66" s="7">
        <f>+VLOOKUP(B66,[2]Hoja1!$A$6:$B$139,2,0)</f>
        <v>163</v>
      </c>
      <c r="I66" s="10">
        <f>+E66+H66</f>
        <v>320</v>
      </c>
    </row>
    <row r="67" spans="1:9" ht="14.4" customHeight="1" x14ac:dyDescent="0.3">
      <c r="A67" s="3">
        <v>800073</v>
      </c>
      <c r="B67" s="3" t="s">
        <v>104</v>
      </c>
      <c r="C67" s="3" t="s">
        <v>13</v>
      </c>
      <c r="D67" s="8" t="s">
        <v>12</v>
      </c>
      <c r="E67" s="5">
        <v>141</v>
      </c>
      <c r="F67" s="6">
        <v>130</v>
      </c>
      <c r="G67" s="7" t="str">
        <f>+VLOOKUP(B67,'[1]TIENDAS 2025'!$A$2:$C$143,3,0)</f>
        <v xml:space="preserve">departamental </v>
      </c>
      <c r="H67" s="7">
        <f>+VLOOKUP(B67,[2]Hoja1!$A$6:$B$139,2,0)</f>
        <v>178</v>
      </c>
      <c r="I67" s="10">
        <f>+E67+H67</f>
        <v>319</v>
      </c>
    </row>
    <row r="68" spans="1:9" ht="14.4" customHeight="1" x14ac:dyDescent="0.3">
      <c r="A68" s="3">
        <v>800264</v>
      </c>
      <c r="B68" s="3" t="s">
        <v>86</v>
      </c>
      <c r="C68" s="3" t="s">
        <v>13</v>
      </c>
      <c r="D68" s="4" t="s">
        <v>33</v>
      </c>
      <c r="E68" s="5">
        <v>113</v>
      </c>
      <c r="F68" s="6">
        <v>112</v>
      </c>
      <c r="G68" s="7" t="str">
        <f>+VLOOKUP(B68,'[1]TIENDAS 2025'!$A$2:$C$143,3,0)</f>
        <v>departamental</v>
      </c>
      <c r="H68" s="7">
        <f>+VLOOKUP(B68,[2]Hoja1!$A$6:$B$139,2,0)</f>
        <v>191</v>
      </c>
      <c r="I68" s="10">
        <f>+E68+H68</f>
        <v>304</v>
      </c>
    </row>
    <row r="69" spans="1:9" ht="14.4" customHeight="1" x14ac:dyDescent="0.3">
      <c r="A69" s="3">
        <v>800255</v>
      </c>
      <c r="B69" s="3" t="s">
        <v>128</v>
      </c>
      <c r="C69" s="3" t="s">
        <v>13</v>
      </c>
      <c r="D69" s="4" t="s">
        <v>7</v>
      </c>
      <c r="E69" s="5">
        <v>146</v>
      </c>
      <c r="F69" s="6">
        <v>145</v>
      </c>
      <c r="G69" s="7" t="str">
        <f>+VLOOKUP(B69,'[1]TIENDAS 2025'!$A$2:$C$143,3,0)</f>
        <v>departamental</v>
      </c>
      <c r="H69" s="7">
        <f>+VLOOKUP(B69,[2]Hoja1!$A$6:$B$139,2,0)</f>
        <v>149</v>
      </c>
      <c r="I69" s="10">
        <f>+E69+H69</f>
        <v>295</v>
      </c>
    </row>
    <row r="70" spans="1:9" ht="14.4" customHeight="1" x14ac:dyDescent="0.3">
      <c r="A70" s="3">
        <v>800330</v>
      </c>
      <c r="B70" s="3" t="s">
        <v>125</v>
      </c>
      <c r="C70" s="3" t="s">
        <v>13</v>
      </c>
      <c r="D70" s="4" t="s">
        <v>10</v>
      </c>
      <c r="E70" s="5">
        <v>156</v>
      </c>
      <c r="F70" s="6">
        <v>151</v>
      </c>
      <c r="G70" s="7" t="str">
        <f>+VLOOKUP(B70,'[1]TIENDAS 2025'!$A$2:$C$143,3,0)</f>
        <v>prioridad</v>
      </c>
      <c r="H70" s="7">
        <f>+VLOOKUP(B70,[2]Hoja1!$A$6:$B$139,2,0)</f>
        <v>138</v>
      </c>
      <c r="I70" s="10">
        <f>+E70+H70</f>
        <v>294</v>
      </c>
    </row>
    <row r="71" spans="1:9" ht="14.4" customHeight="1" x14ac:dyDescent="0.3">
      <c r="A71" s="3">
        <v>800313</v>
      </c>
      <c r="B71" s="3" t="s">
        <v>131</v>
      </c>
      <c r="C71" s="3" t="s">
        <v>13</v>
      </c>
      <c r="D71" s="4" t="s">
        <v>11</v>
      </c>
      <c r="E71" s="5">
        <v>137</v>
      </c>
      <c r="F71" s="6">
        <v>135</v>
      </c>
      <c r="G71" s="7" t="str">
        <f>+VLOOKUP(B71,'[1]TIENDAS 2025'!$A$2:$C$143,3,0)</f>
        <v xml:space="preserve">departamental </v>
      </c>
      <c r="H71" s="7">
        <f>+VLOOKUP(B71,[2]Hoja1!$A$6:$B$139,2,0)</f>
        <v>136</v>
      </c>
      <c r="I71" s="10">
        <f>+E71+H71</f>
        <v>273</v>
      </c>
    </row>
    <row r="72" spans="1:9" ht="14.4" customHeight="1" x14ac:dyDescent="0.3">
      <c r="A72" s="3">
        <v>800212</v>
      </c>
      <c r="B72" s="3" t="s">
        <v>94</v>
      </c>
      <c r="C72" s="3" t="s">
        <v>13</v>
      </c>
      <c r="D72" s="4" t="s">
        <v>19</v>
      </c>
      <c r="E72" s="5">
        <v>116</v>
      </c>
      <c r="F72" s="6">
        <v>114</v>
      </c>
      <c r="G72" s="7" t="str">
        <f>+VLOOKUP(B72,'[1]TIENDAS 2025'!$A$2:$C$143,3,0)</f>
        <v>local</v>
      </c>
      <c r="H72" s="7">
        <f>+VLOOKUP(B72,[2]Hoja1!$A$6:$B$139,2,0)</f>
        <v>141</v>
      </c>
      <c r="I72" s="10">
        <f>+E72+H72</f>
        <v>257</v>
      </c>
    </row>
    <row r="73" spans="1:9" ht="14.4" customHeight="1" x14ac:dyDescent="0.3">
      <c r="A73" s="3">
        <v>800208</v>
      </c>
      <c r="B73" s="3" t="s">
        <v>78</v>
      </c>
      <c r="C73" s="3" t="s">
        <v>13</v>
      </c>
      <c r="D73" s="4" t="s">
        <v>18</v>
      </c>
      <c r="E73" s="5">
        <v>80</v>
      </c>
      <c r="F73" s="6">
        <v>78</v>
      </c>
      <c r="G73" s="7" t="str">
        <f>+VLOOKUP(B73,'[1]TIENDAS 2025'!$A$2:$C$143,3,0)</f>
        <v>local</v>
      </c>
      <c r="H73" s="7">
        <f>+VLOOKUP(B73,[2]Hoja1!$A$6:$B$139,2,0)</f>
        <v>168</v>
      </c>
      <c r="I73" s="10">
        <f>+E73+H73</f>
        <v>248</v>
      </c>
    </row>
    <row r="74" spans="1:9" ht="14.4" customHeight="1" x14ac:dyDescent="0.3">
      <c r="A74" s="3">
        <v>800210</v>
      </c>
      <c r="B74" s="3" t="s">
        <v>79</v>
      </c>
      <c r="C74" s="3" t="s">
        <v>13</v>
      </c>
      <c r="D74" s="4" t="s">
        <v>19</v>
      </c>
      <c r="E74" s="5">
        <v>151</v>
      </c>
      <c r="F74" s="6">
        <v>147</v>
      </c>
      <c r="G74" s="7" t="str">
        <f>+VLOOKUP(B74,'[1]TIENDAS 2025'!$A$2:$C$143,3,0)</f>
        <v>local</v>
      </c>
      <c r="H74" s="7">
        <f>+VLOOKUP(B74,[2]Hoja1!$A$6:$B$139,2,0)</f>
        <v>86</v>
      </c>
      <c r="I74" s="10">
        <f>+E74+H74</f>
        <v>237</v>
      </c>
    </row>
    <row r="75" spans="1:9" ht="14.4" customHeight="1" x14ac:dyDescent="0.3">
      <c r="A75" s="3">
        <v>800211</v>
      </c>
      <c r="B75" s="3" t="s">
        <v>107</v>
      </c>
      <c r="C75" s="3" t="s">
        <v>13</v>
      </c>
      <c r="D75" s="4" t="s">
        <v>19</v>
      </c>
      <c r="E75" s="5">
        <v>112</v>
      </c>
      <c r="F75" s="6">
        <v>112</v>
      </c>
      <c r="G75" s="7" t="str">
        <f>+VLOOKUP(B75,'[1]TIENDAS 2025'!$A$2:$C$143,3,0)</f>
        <v>local</v>
      </c>
      <c r="H75" s="7">
        <f>+VLOOKUP(B75,[2]Hoja1!$A$6:$B$139,2,0)</f>
        <v>104</v>
      </c>
      <c r="I75" s="10">
        <f>+E75+H75</f>
        <v>216</v>
      </c>
    </row>
    <row r="76" spans="1:9" ht="14.4" customHeight="1" x14ac:dyDescent="0.3">
      <c r="A76" s="3">
        <v>800213</v>
      </c>
      <c r="B76" s="3" t="s">
        <v>117</v>
      </c>
      <c r="C76" s="3" t="s">
        <v>13</v>
      </c>
      <c r="D76" s="4" t="s">
        <v>53</v>
      </c>
      <c r="E76" s="5">
        <v>88</v>
      </c>
      <c r="F76" s="6">
        <v>88</v>
      </c>
      <c r="G76" s="7" t="str">
        <f>+VLOOKUP(B76,'[1]TIENDAS 2025'!$A$2:$C$143,3,0)</f>
        <v>departamental</v>
      </c>
      <c r="H76" s="7">
        <f>+VLOOKUP(B76,[2]Hoja1!$A$6:$B$139,2,0)</f>
        <v>119</v>
      </c>
      <c r="I76" s="10">
        <f>+E76+H76</f>
        <v>207</v>
      </c>
    </row>
    <row r="77" spans="1:9" ht="14.4" customHeight="1" x14ac:dyDescent="0.3">
      <c r="A77" s="3">
        <v>800282</v>
      </c>
      <c r="B77" s="3" t="s">
        <v>138</v>
      </c>
      <c r="C77" s="3" t="s">
        <v>13</v>
      </c>
      <c r="D77" s="4" t="s">
        <v>9</v>
      </c>
      <c r="E77" s="5">
        <v>101</v>
      </c>
      <c r="F77" s="6">
        <v>101</v>
      </c>
      <c r="G77" s="7" t="str">
        <f>+VLOOKUP(B77,'[1]TIENDAS 2025'!$A$2:$C$143,3,0)</f>
        <v>local</v>
      </c>
      <c r="H77" s="7">
        <f>+VLOOKUP(B77,[2]Hoja1!$A$6:$B$139,2,0)</f>
        <v>78</v>
      </c>
      <c r="I77" s="10">
        <f>+E77+H77</f>
        <v>179</v>
      </c>
    </row>
    <row r="78" spans="1:9" ht="14.4" customHeight="1" x14ac:dyDescent="0.3">
      <c r="A78" s="3">
        <v>800075</v>
      </c>
      <c r="B78" s="3" t="s">
        <v>105</v>
      </c>
      <c r="C78" s="3" t="s">
        <v>13</v>
      </c>
      <c r="D78" s="8" t="s">
        <v>46</v>
      </c>
      <c r="E78" s="5">
        <v>73</v>
      </c>
      <c r="F78" s="6">
        <v>67</v>
      </c>
      <c r="G78" s="7" t="str">
        <f>+VLOOKUP(B78,'[1]TIENDAS 2025'!$A$2:$C$143,3,0)</f>
        <v>local</v>
      </c>
      <c r="H78" s="7">
        <f>+VLOOKUP(B78,[2]Hoja1!$A$6:$B$139,2,0)</f>
        <v>54</v>
      </c>
      <c r="I78" s="10">
        <f>+E78+H78</f>
        <v>127</v>
      </c>
    </row>
    <row r="79" spans="1:9" ht="14.4" customHeight="1" x14ac:dyDescent="0.3">
      <c r="A79" s="3">
        <v>800267</v>
      </c>
      <c r="B79" s="3" t="s">
        <v>105</v>
      </c>
      <c r="C79" s="3" t="s">
        <v>13</v>
      </c>
      <c r="D79" s="4" t="s">
        <v>18</v>
      </c>
      <c r="E79" s="5">
        <v>61</v>
      </c>
      <c r="F79" s="6">
        <v>60</v>
      </c>
      <c r="G79" s="7" t="str">
        <f>+VLOOKUP(B79,'[1]TIENDAS 2025'!$A$2:$C$143,3,0)</f>
        <v>local</v>
      </c>
      <c r="H79" s="7">
        <f>+VLOOKUP(B79,[2]Hoja1!$A$6:$B$139,2,0)</f>
        <v>54</v>
      </c>
      <c r="I79" s="10">
        <f>+E79+H79</f>
        <v>115</v>
      </c>
    </row>
    <row r="80" spans="1:9" ht="14.4" customHeight="1" x14ac:dyDescent="0.3">
      <c r="A80" s="3">
        <v>800259</v>
      </c>
      <c r="B80" s="3" t="s">
        <v>129</v>
      </c>
      <c r="C80" s="3" t="s">
        <v>13</v>
      </c>
      <c r="D80" s="4" t="s">
        <v>6</v>
      </c>
      <c r="E80" s="5">
        <v>146</v>
      </c>
      <c r="F80" s="6">
        <v>143</v>
      </c>
      <c r="G80" s="7" t="str">
        <f>+VLOOKUP(B80,'[1]TIENDAS 2025'!$A$2:$C$143,3,0)</f>
        <v>departamental</v>
      </c>
      <c r="H80" s="7"/>
      <c r="I80" s="10"/>
    </row>
    <row r="81" spans="1:9" ht="14.4" customHeight="1" x14ac:dyDescent="0.3">
      <c r="A81" s="3">
        <v>800297</v>
      </c>
      <c r="B81" s="3" t="s">
        <v>130</v>
      </c>
      <c r="C81" s="3" t="s">
        <v>13</v>
      </c>
      <c r="D81" s="4" t="s">
        <v>64</v>
      </c>
      <c r="E81" s="5">
        <v>291</v>
      </c>
      <c r="F81" s="6">
        <v>287</v>
      </c>
      <c r="G81" s="7" t="str">
        <f>+VLOOKUP(B81,'[1]TIENDAS 2025'!$A$2:$C$143,3,0)</f>
        <v>departamental</v>
      </c>
      <c r="H81" s="7"/>
      <c r="I81" s="10"/>
    </row>
  </sheetData>
  <autoFilter ref="A1:I81" xr:uid="{00000000-0001-0000-0000-000000000000}">
    <sortState xmlns:xlrd2="http://schemas.microsoft.com/office/spreadsheetml/2017/richdata2" ref="A2:I81">
      <sortCondition descending="1" ref="I1:I81"/>
    </sortState>
  </autoFilter>
  <sortState xmlns:xlrd2="http://schemas.microsoft.com/office/spreadsheetml/2017/richdata2" ref="A2:F81">
    <sortCondition ref="B2:B81"/>
  </sortState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F076A48-38E8-4248-BFD6-0C8E91B7E291}"/>
</file>

<file path=customXml/itemProps2.xml><?xml version="1.0" encoding="utf-8"?>
<ds:datastoreItem xmlns:ds="http://schemas.openxmlformats.org/officeDocument/2006/customXml" ds:itemID="{526A7C6B-6916-4C7E-83FC-ED0D5E318049}"/>
</file>

<file path=customXml/itemProps3.xml><?xml version="1.0" encoding="utf-8"?>
<ds:datastoreItem xmlns:ds="http://schemas.openxmlformats.org/officeDocument/2006/customXml" ds:itemID="{61AD03C5-0397-4CAC-829E-242E2200FAE2}"/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ANTIGUOS DESPACHOS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2026-10-11T21:21:05Z</dcterms:created>
  <dcterms:modified xsi:type="dcterms:W3CDTF">2026-10-11T21:21:36Z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