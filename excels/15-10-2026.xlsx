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5-10-2026/"/>
    </mc:Choice>
  </mc:AlternateContent>
  <xr:revisionPtr revIDLastSave="0" documentId="8_{9A5E83C4-6B0C-4315-AFFE-0493E260DA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externalReferences>
    <externalReference r:id="rId2"/>
    <externalReference r:id="rId3"/>
  </externalReferences>
  <definedNames>
    <definedName name="_xlnm._FilterDatabase" localSheetId="0" hidden="1">BULTOS!$A$2:$H$134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1" l="1"/>
  <c r="C138" i="1"/>
  <c r="G118" i="1"/>
  <c r="G90" i="1"/>
  <c r="G77" i="1"/>
  <c r="G65" i="1"/>
  <c r="G47" i="1"/>
  <c r="G27" i="1"/>
  <c r="G124" i="1"/>
  <c r="G106" i="1"/>
  <c r="G89" i="1"/>
  <c r="G80" i="1"/>
  <c r="G64" i="1"/>
  <c r="G42" i="1"/>
  <c r="G38" i="1"/>
  <c r="G35" i="1"/>
  <c r="G22" i="1"/>
  <c r="G13" i="1"/>
  <c r="G11" i="1"/>
  <c r="C135" i="1"/>
  <c r="E140" i="1" l="1"/>
</calcChain>
</file>

<file path=xl/sharedStrings.xml><?xml version="1.0" encoding="utf-8"?>
<sst xmlns="http://schemas.openxmlformats.org/spreadsheetml/2006/main" count="277" uniqueCount="149">
  <si>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</si>
  <si>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</si>
  <si>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</si>
  <si>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</si>
  <si>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</si>
  <si>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</si>
  <si>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</si>
  <si>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</si>
  <si>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</si>
  <si>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VILLALOBOS</t>
  </si>
  <si>
    <t>LA TORRE XELA 3</t>
  </si>
  <si>
    <t>LA TORRE XELA 5</t>
  </si>
  <si>
    <t>LA TORRE ZONA 16</t>
  </si>
  <si>
    <t>LA TORRE ZONA 19</t>
  </si>
  <si>
    <t>LA TORRE ZONA 2</t>
  </si>
  <si>
    <t>LA TORRE ZONA 3</t>
  </si>
  <si>
    <t>LT ANTIGUA 1</t>
  </si>
  <si>
    <t>LT XELA 4</t>
  </si>
  <si>
    <t>LA TORRE SAN MIGUEL PETAPA 2</t>
  </si>
  <si>
    <t>LA TORRE SAN RAFAEL</t>
  </si>
  <si>
    <t>LA TORRE SANARATE</t>
  </si>
  <si>
    <t>LA TORRE SANTALU</t>
  </si>
  <si>
    <t>LA TORRE TIQUISATE</t>
  </si>
  <si>
    <t>LA TORRE TOTONICAPAN</t>
  </si>
  <si>
    <t>LA TORRE TRINIDAD</t>
  </si>
  <si>
    <t>LA TORRE TULAM TZU</t>
  </si>
  <si>
    <t>LA TORRE VILLA CANALES</t>
  </si>
  <si>
    <t>LA TORRE VILLA NUEVA</t>
  </si>
  <si>
    <t>LA TORRE SAN MIGUEL PETAPA</t>
  </si>
  <si>
    <t>LA TORRE RIO DULCE</t>
  </si>
  <si>
    <t>LA TORRE SALAMA</t>
  </si>
  <si>
    <t>LA TORRE SALCAJA</t>
  </si>
  <si>
    <t>LA TORRE ZONA 5</t>
  </si>
  <si>
    <t>LA TORRE SAN BENITO</t>
  </si>
  <si>
    <t>LA TORRE SAN IGNACIO</t>
  </si>
  <si>
    <t>LA TORRE SAN JOSE PINULA</t>
  </si>
  <si>
    <t>LA TORRE SAN JUAN</t>
  </si>
  <si>
    <t>LA TORRE PALMERAS</t>
  </si>
  <si>
    <t>LA TORRE PANAJACHEL</t>
  </si>
  <si>
    <t>LA TORRE PETAPA</t>
  </si>
  <si>
    <t>LA TORRE SANTA LUCIA</t>
  </si>
  <si>
    <t>LA TORRE PETEN</t>
  </si>
  <si>
    <t>LA TORRE PINARES</t>
  </si>
  <si>
    <t>LA TORRE SAN FRANCISCO</t>
  </si>
  <si>
    <t>LA TORRE POPTUN</t>
  </si>
  <si>
    <t>LA TORRE PUERTO BARRIOS</t>
  </si>
  <si>
    <t>LA TORRE PETAPOLIS</t>
  </si>
  <si>
    <t>LA TORRE QUICHE</t>
  </si>
  <si>
    <t>LA TORRE QUICHE 2</t>
  </si>
  <si>
    <t>LA TORRE PUERTO SAN JOSE</t>
  </si>
  <si>
    <t>LA TORRE RETALHULEU</t>
  </si>
  <si>
    <t>LA TORRE MILPAS ALTAS</t>
  </si>
  <si>
    <t>LA TORRE MAZATENANGO</t>
  </si>
  <si>
    <t>LA TORRE MARISCAL</t>
  </si>
  <si>
    <t>LA TORRE MORALES</t>
  </si>
  <si>
    <t>LA TORRE LOS AMATES</t>
  </si>
  <si>
    <t>LA TORRE JOCOTENANGO</t>
  </si>
  <si>
    <t>LA TORRE JALAPA 2</t>
  </si>
  <si>
    <t>LA TORRE JALAPA</t>
  </si>
  <si>
    <t>LA TORRE INDEPENDENCIA</t>
  </si>
  <si>
    <t>LA TORRE HUEHUETENANGO 2</t>
  </si>
  <si>
    <t>LA TORRE GUASTATOYA</t>
  </si>
  <si>
    <t>LA TORRE HUEHUETENANGO</t>
  </si>
  <si>
    <t>LA TORRE CUATRO CAMINOS</t>
  </si>
  <si>
    <t>LA TORRE LA GOMERA</t>
  </si>
  <si>
    <t>LA TORRE ENCINAL</t>
  </si>
  <si>
    <t>LA TORRE ESQUIPULAS</t>
  </si>
  <si>
    <t>LA TORRE CENTRO</t>
  </si>
  <si>
    <t>LA TORRE ESCUINTLA 3</t>
  </si>
  <si>
    <t>LA TORRE CHIMALTENANGO</t>
  </si>
  <si>
    <t>LA TORRE CHIQUIMULA</t>
  </si>
  <si>
    <t>LA TORRE CIUDAD VIEJA</t>
  </si>
  <si>
    <t>LA TORRE COATEPEQUE</t>
  </si>
  <si>
    <t>LA TORRE COBAN</t>
  </si>
  <si>
    <t>LA TORRE ANTIGUA 2</t>
  </si>
  <si>
    <t>LA TORRE ANTIGUA 3</t>
  </si>
  <si>
    <t>LA TORRE MITA</t>
  </si>
  <si>
    <t>LA TORRE ATANACIO</t>
  </si>
  <si>
    <t>LA TORRE BARBERENA</t>
  </si>
  <si>
    <t>LA TORRE BOCA DEL MONTE</t>
  </si>
  <si>
    <t>LA TORRE CARCHA</t>
  </si>
  <si>
    <t>LA TORRE CENTRASUR</t>
  </si>
  <si>
    <t>ECONOSUPER NIMAJUYU</t>
  </si>
  <si>
    <t>LA TORRE METROCENTRO</t>
  </si>
  <si>
    <t>LA TORRE LINDAMAR</t>
  </si>
  <si>
    <t>ECONOSUPER MILPAS ALTAS</t>
  </si>
  <si>
    <t>ECONOSUPER LA BRIGADA</t>
  </si>
  <si>
    <t>ECONOSUPER BOULEVARD SUR</t>
  </si>
  <si>
    <t>ECONO SUPER MAGNOLIA</t>
  </si>
  <si>
    <t>LA TORRE VISTA HERMOSA 1</t>
  </si>
  <si>
    <t>LA TORRE LIKIN</t>
  </si>
  <si>
    <t>LT SAN JOSE PINULA 3</t>
  </si>
  <si>
    <t>LTX CD RANSA</t>
  </si>
  <si>
    <t>LA TORRE ZONA 15</t>
  </si>
  <si>
    <t>LA TORRE JUTIAPA</t>
  </si>
  <si>
    <t>LA TORRE ZONA 14</t>
  </si>
  <si>
    <t>LA TORRE ZONA 13 AMERICAS</t>
  </si>
  <si>
    <t>LA TORRE ZONA 10</t>
  </si>
  <si>
    <t>LA TORRE JALAPA 3</t>
  </si>
  <si>
    <t>LA TORRE CENTRICO Z5</t>
  </si>
  <si>
    <t>LA TORRE VILLA HERMOSA</t>
  </si>
  <si>
    <t>LA TORRE SANKRIS</t>
  </si>
  <si>
    <t>LA TORRE SAN CRISTOBAL</t>
  </si>
  <si>
    <t>LA TORRE SAN NICOLAS</t>
  </si>
  <si>
    <t>LA TORRE SAN LUCAS</t>
  </si>
  <si>
    <t>LA TORRE SAN ISIDRO</t>
  </si>
  <si>
    <t>LA TORRE SAN JOSE PINULA 2</t>
  </si>
  <si>
    <t>LA TORRE ROOSEVELT</t>
  </si>
  <si>
    <t>LA TORRE ESCUINTLA 2</t>
  </si>
  <si>
    <t>LA TORRE PORTALES</t>
  </si>
  <si>
    <t>LA TORRE OAKLAND</t>
  </si>
  <si>
    <t>LA TORRE PROCERES</t>
  </si>
  <si>
    <t>LA TORRE MUXBAL</t>
  </si>
  <si>
    <t>LA TORRE ZONA 11</t>
  </si>
  <si>
    <t>LA TORRE MIRAFLORES</t>
  </si>
  <si>
    <t>LA TORRE METRONORTE</t>
  </si>
  <si>
    <t>LA TORRE ZONA 4</t>
  </si>
  <si>
    <t>LA TORRE MARISCAL 2</t>
  </si>
  <si>
    <t>LA TORRE REFORMA</t>
  </si>
  <si>
    <t>LA TORRE MADERO</t>
  </si>
  <si>
    <t>LA TORRE LA QUINTA</t>
  </si>
  <si>
    <t>LA TORRE FUTECA Z14</t>
  </si>
  <si>
    <t>LA TORRE FRAIJANES</t>
  </si>
  <si>
    <t>LA TORRE PALIN</t>
  </si>
  <si>
    <t>LA TORRE MIXCO ZONA 1</t>
  </si>
  <si>
    <t>LA TORRE ESCALA</t>
  </si>
  <si>
    <t>ECONOSUPER LO DE FUENTES</t>
  </si>
  <si>
    <t>LA TORRE EL NARANJO</t>
  </si>
  <si>
    <t>LA TORRE EL FRUTAL</t>
  </si>
  <si>
    <t>LA TORRE EL RODEO</t>
  </si>
  <si>
    <t>LA TORRE CENTRANORTE</t>
  </si>
  <si>
    <t>LA TORRE CAYALA 2</t>
  </si>
  <si>
    <t>LA TORRE CAYALA</t>
  </si>
  <si>
    <t>LA TORRE BARCENAS</t>
  </si>
  <si>
    <t>LA TORRE ARRAZOLA</t>
  </si>
  <si>
    <t>LA TORRE AMATITLAN2</t>
  </si>
  <si>
    <t>LA TORRE AMATITLAN</t>
  </si>
  <si>
    <t>LA TORRE LA RADIAL</t>
  </si>
  <si>
    <t>LA TORRE 20 CALLE</t>
  </si>
  <si>
    <t>ECONOSUPER ZONA 6</t>
  </si>
  <si>
    <t>ECONOSUPER ZONA 2</t>
  </si>
  <si>
    <t>TOTAL BULTOS</t>
  </si>
  <si>
    <t>BULTOS FUCIONADOS</t>
  </si>
  <si>
    <t>BULTOS PROCESADOS 14/10/2026</t>
  </si>
  <si>
    <t>local</t>
  </si>
  <si>
    <t>departamental</t>
  </si>
  <si>
    <t xml:space="preserve">departamental </t>
  </si>
  <si>
    <t>prioridad</t>
  </si>
  <si>
    <t>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</si>
</sst>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STADO%20DE%20TIENDAS%202024.xlsx" TargetMode="External"/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5-10-2026/APROBADOS%2015-10-2026.xlsx" TargetMode="External"/><Relationship Id="rId1" Type="http://schemas.openxmlformats.org/officeDocument/2006/relationships/externalLinkPath" Target="APROBADOS%2015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</row>
        <row r="3">
          <cell r="A3" t="str">
            <v>CANASTAS NAVIDEÑAS</v>
          </cell>
        </row>
        <row r="4">
          <cell r="A4" t="str">
            <v>ECONO SUPER MAGNOLIA</v>
          </cell>
        </row>
        <row r="5">
          <cell r="A5" t="str">
            <v>ECONOSUPER BOULEVARD SUR</v>
          </cell>
        </row>
        <row r="6">
          <cell r="A6" t="str">
            <v>ECONOSUPER LA BRIGADA</v>
          </cell>
        </row>
        <row r="7">
          <cell r="A7" t="str">
            <v>ECONOSUPER LO DE FUENTES</v>
          </cell>
        </row>
        <row r="8">
          <cell r="A8" t="str">
            <v>ECONOSUPER MILPAS ALTAS</v>
          </cell>
        </row>
        <row r="9">
          <cell r="A9" t="str">
            <v>ECONOSUPER NIMAJUYU</v>
          </cell>
        </row>
        <row r="10">
          <cell r="A10" t="str">
            <v>ECONOSUPER XELA</v>
          </cell>
        </row>
        <row r="11">
          <cell r="A11" t="str">
            <v>ECONOSUPER ZONA 2</v>
          </cell>
        </row>
        <row r="12">
          <cell r="A12" t="str">
            <v>ECONOSUPER ZONA 6</v>
          </cell>
        </row>
        <row r="13">
          <cell r="A13" t="str">
            <v>LA TORRE 20 CALLE</v>
          </cell>
          <cell r="B13" t="str">
            <v>TIENDAS ELITE</v>
          </cell>
        </row>
        <row r="14">
          <cell r="A14" t="str">
            <v>LA TORRE AMATITLAN</v>
          </cell>
        </row>
        <row r="15">
          <cell r="A15" t="str">
            <v>LA TORRE AMATITLAN2</v>
          </cell>
          <cell r="B15" t="str">
            <v>TIENDAS ELITE</v>
          </cell>
        </row>
        <row r="16">
          <cell r="A16" t="str">
            <v>LA TORRE ANTIGUA 2</v>
          </cell>
        </row>
        <row r="17">
          <cell r="A17" t="str">
            <v>LA TORRE ANTIGUA 3</v>
          </cell>
        </row>
        <row r="18">
          <cell r="A18" t="str">
            <v>LA TORRE ARRAZOLA</v>
          </cell>
        </row>
        <row r="19">
          <cell r="A19" t="str">
            <v>LA TORRE ATANACIO</v>
          </cell>
        </row>
        <row r="20">
          <cell r="A20" t="str">
            <v>LA TORRE BARBERENA</v>
          </cell>
        </row>
        <row r="21">
          <cell r="A21" t="str">
            <v>LA TORRE BARCENAS</v>
          </cell>
        </row>
        <row r="22">
          <cell r="A22" t="str">
            <v>LA TORRE BOCA DEL MONTE</v>
          </cell>
        </row>
        <row r="23">
          <cell r="A23" t="str">
            <v>LA TORRE CARCHA</v>
          </cell>
        </row>
        <row r="24">
          <cell r="A24" t="str">
            <v>LA TORRE CAYALA</v>
          </cell>
          <cell r="B24" t="str">
            <v>TIENDAS ELITE</v>
          </cell>
        </row>
        <row r="25">
          <cell r="A25" t="str">
            <v>LA TORRE CAYALA 2</v>
          </cell>
        </row>
        <row r="26">
          <cell r="A26" t="str">
            <v>LA TORRE CENTRANORTE</v>
          </cell>
        </row>
        <row r="27">
          <cell r="A27" t="str">
            <v>LA TORRE CENTRASUR</v>
          </cell>
        </row>
        <row r="28">
          <cell r="A28" t="str">
            <v>LA TORRE CENTRICO Z5</v>
          </cell>
        </row>
        <row r="29">
          <cell r="A29" t="str">
            <v>LA TORRE CENTRO</v>
          </cell>
          <cell r="B29" t="str">
            <v>TIENDAS ELITE</v>
          </cell>
        </row>
        <row r="30">
          <cell r="A30" t="str">
            <v>LA TORRE CHIMALTENANGO</v>
          </cell>
        </row>
        <row r="31">
          <cell r="A31" t="str">
            <v>LA TORRE CHIQUIMULA</v>
          </cell>
        </row>
        <row r="32">
          <cell r="A32" t="str">
            <v>LA TORRE CIUDAD VIEJA</v>
          </cell>
        </row>
        <row r="33">
          <cell r="A33" t="str">
            <v>LA TORRE COATEPEQUE</v>
          </cell>
        </row>
        <row r="34">
          <cell r="A34" t="str">
            <v>LA TORRE COATEPEQUE 2</v>
          </cell>
        </row>
        <row r="35">
          <cell r="A35" t="str">
            <v>LA TORRE COBAN</v>
          </cell>
        </row>
        <row r="36">
          <cell r="A36" t="str">
            <v>LA TORRE CUATRO CAMINOS</v>
          </cell>
        </row>
        <row r="37">
          <cell r="A37" t="str">
            <v>LA TORRE EL FRUTAL</v>
          </cell>
        </row>
        <row r="38">
          <cell r="A38" t="str">
            <v>LA TORRE EL NARANJO</v>
          </cell>
          <cell r="B38" t="str">
            <v>TIENDAS ELITE</v>
          </cell>
        </row>
        <row r="39">
          <cell r="A39" t="str">
            <v>LA TORRE EL RODEO</v>
          </cell>
        </row>
        <row r="40">
          <cell r="A40" t="str">
            <v>LA TORRE ENCINAL</v>
          </cell>
        </row>
        <row r="41">
          <cell r="A41" t="str">
            <v>LA TORRE ESCALA</v>
          </cell>
          <cell r="B41" t="str">
            <v>TIENDAS ELITE</v>
          </cell>
        </row>
        <row r="42">
          <cell r="A42" t="str">
            <v>LA TORRE ESCUINTLA 2</v>
          </cell>
        </row>
        <row r="43">
          <cell r="A43" t="str">
            <v>LA TORRE ESCUINTLA 3</v>
          </cell>
        </row>
        <row r="44">
          <cell r="A44" t="str">
            <v>LA TORRE ESQUIPULAS</v>
          </cell>
        </row>
        <row r="45">
          <cell r="A45" t="str">
            <v>LA TORRE FRAIJANES</v>
          </cell>
          <cell r="B45" t="str">
            <v>TIENDAS ELITE</v>
          </cell>
        </row>
        <row r="46">
          <cell r="A46" t="str">
            <v>LA TORRE FUTECA Z14</v>
          </cell>
        </row>
        <row r="47">
          <cell r="A47" t="str">
            <v>LA TORRE GUASTATOYA</v>
          </cell>
        </row>
        <row r="48">
          <cell r="A48" t="str">
            <v>LA TORRE HUEHUETENANGO</v>
          </cell>
        </row>
        <row r="49">
          <cell r="A49" t="str">
            <v>LA TORRE HUEHUETENANGO 2</v>
          </cell>
        </row>
        <row r="50">
          <cell r="A50" t="str">
            <v>LA TORRE INDEPENDENCIA</v>
          </cell>
          <cell r="B50" t="str">
            <v>TIENDAS ELITE</v>
          </cell>
        </row>
        <row r="51">
          <cell r="A51" t="str">
            <v>LA TORRE JALAPA</v>
          </cell>
        </row>
        <row r="52">
          <cell r="A52" t="str">
            <v>LA TORRE JALAPA 2</v>
          </cell>
        </row>
        <row r="53">
          <cell r="A53" t="str">
            <v>LA TORRE JALAPA 3</v>
          </cell>
        </row>
        <row r="54">
          <cell r="A54" t="str">
            <v>LA TORRE JOCOTENANGO</v>
          </cell>
        </row>
        <row r="55">
          <cell r="A55" t="str">
            <v>LA TORRE JUTIAPA</v>
          </cell>
        </row>
        <row r="56">
          <cell r="A56" t="str">
            <v>LA TORRE LA GOMERA</v>
          </cell>
        </row>
        <row r="57">
          <cell r="A57" t="str">
            <v>LA TORRE LA QUINTA</v>
          </cell>
        </row>
        <row r="58">
          <cell r="A58" t="str">
            <v>LA TORRE LA RADIAL</v>
          </cell>
        </row>
        <row r="59">
          <cell r="A59" t="str">
            <v>LA TORRE LIKIN</v>
          </cell>
        </row>
        <row r="60">
          <cell r="A60" t="str">
            <v>LA TORRE LINDAMAR</v>
          </cell>
        </row>
        <row r="61">
          <cell r="A61" t="str">
            <v>LA TORRE LOS AMATES</v>
          </cell>
        </row>
        <row r="62">
          <cell r="A62" t="str">
            <v>LA TORRE MADERO</v>
          </cell>
        </row>
        <row r="63">
          <cell r="A63" t="str">
            <v>LA TORRE MALACATAN</v>
          </cell>
        </row>
        <row r="64">
          <cell r="A64" t="str">
            <v>LA TORRE MARISCAL</v>
          </cell>
        </row>
        <row r="65">
          <cell r="A65" t="str">
            <v>LA TORRE MARISCAL 2</v>
          </cell>
        </row>
        <row r="66">
          <cell r="A66" t="str">
            <v>LA TORRE MAZATENANGO</v>
          </cell>
        </row>
        <row r="67">
          <cell r="A67" t="str">
            <v>LA TORRE METROCENTRO</v>
          </cell>
        </row>
        <row r="68">
          <cell r="A68" t="str">
            <v>LA TORRE METRONORTE</v>
          </cell>
          <cell r="B68" t="str">
            <v>TIENDAS ELITE</v>
          </cell>
        </row>
        <row r="69">
          <cell r="A69" t="str">
            <v>LA TORRE MILPAS ALTAS</v>
          </cell>
          <cell r="B69" t="str">
            <v>TIENDAS ELITE</v>
          </cell>
        </row>
        <row r="70">
          <cell r="A70" t="str">
            <v>LA TORRE MIRAFLORES</v>
          </cell>
        </row>
        <row r="71">
          <cell r="A71" t="str">
            <v>LA TORRE MITA</v>
          </cell>
        </row>
        <row r="72">
          <cell r="A72" t="str">
            <v>LA TORRE MIXCO ZONA 1</v>
          </cell>
        </row>
        <row r="73">
          <cell r="A73" t="str">
            <v>LA TORRE MORALES</v>
          </cell>
        </row>
        <row r="74">
          <cell r="A74" t="str">
            <v>LA TORRE MUXBAL</v>
          </cell>
        </row>
        <row r="75">
          <cell r="A75" t="str">
            <v>LA TORRE OAKLAND</v>
          </cell>
        </row>
        <row r="76">
          <cell r="A76" t="str">
            <v>LA TORRE PALIN</v>
          </cell>
        </row>
        <row r="77">
          <cell r="A77" t="str">
            <v>LA TORRE PALMERAS</v>
          </cell>
        </row>
        <row r="78">
          <cell r="A78" t="str">
            <v>LA TORRE PANAJACHEL</v>
          </cell>
        </row>
        <row r="79">
          <cell r="A79" t="str">
            <v>LA TORRE PETAPA</v>
          </cell>
        </row>
        <row r="80">
          <cell r="A80" t="str">
            <v>LA TORRE PETAPOLIS</v>
          </cell>
        </row>
        <row r="81">
          <cell r="A81" t="str">
            <v>LA TORRE PETEN</v>
          </cell>
          <cell r="B81" t="str">
            <v>TIENDAS ELITE</v>
          </cell>
        </row>
        <row r="82">
          <cell r="A82" t="str">
            <v>LA TORRE PINARES</v>
          </cell>
        </row>
        <row r="83">
          <cell r="A83" t="str">
            <v>LA TORRE POPTUN</v>
          </cell>
        </row>
        <row r="84">
          <cell r="A84" t="str">
            <v>LA TORRE PORTALES</v>
          </cell>
          <cell r="B84" t="str">
            <v>TIENDAS ELITE</v>
          </cell>
        </row>
        <row r="85">
          <cell r="A85" t="str">
            <v>LA TORRE PROCERES</v>
          </cell>
        </row>
        <row r="86">
          <cell r="A86" t="str">
            <v>LA TORRE PUERTO BARRIOS</v>
          </cell>
        </row>
        <row r="87">
          <cell r="A87" t="str">
            <v>LA TORRE PUERTO SAN JOSE</v>
          </cell>
        </row>
        <row r="88">
          <cell r="A88" t="str">
            <v>LA TORRE QUICHE</v>
          </cell>
        </row>
        <row r="89">
          <cell r="A89" t="str">
            <v>LA TORRE QUICHE 2</v>
          </cell>
        </row>
        <row r="90">
          <cell r="A90" t="str">
            <v>LA TORRE REFORMA</v>
          </cell>
        </row>
        <row r="91">
          <cell r="A91" t="str">
            <v>LA TORRE RETALHULEU</v>
          </cell>
        </row>
        <row r="92">
          <cell r="A92" t="str">
            <v>LA TORRE RIO DULCE</v>
          </cell>
        </row>
        <row r="93">
          <cell r="A93" t="str">
            <v>LA TORRE ROOSEVELT</v>
          </cell>
          <cell r="B93" t="str">
            <v>TIENDAS ELITE</v>
          </cell>
        </row>
        <row r="94">
          <cell r="A94" t="str">
            <v>LA TORRE SALAMA</v>
          </cell>
          <cell r="B94" t="str">
            <v>TIENDAS ELITE</v>
          </cell>
        </row>
        <row r="95">
          <cell r="A95" t="str">
            <v>LA TORRE SALCAJA</v>
          </cell>
        </row>
        <row r="96">
          <cell r="A96" t="str">
            <v>LA TORRE SAN BENITO</v>
          </cell>
        </row>
        <row r="97">
          <cell r="A97" t="str">
            <v>LA TORRE SAN CRISTOBAL</v>
          </cell>
        </row>
        <row r="98">
          <cell r="A98" t="str">
            <v>LA TORRE SAN FRANCISCO</v>
          </cell>
        </row>
        <row r="99">
          <cell r="A99" t="str">
            <v>LA TORRE SAN IGNACIO</v>
          </cell>
        </row>
        <row r="100">
          <cell r="A100" t="str">
            <v>LA TORRE SAN ISIDRO</v>
          </cell>
        </row>
        <row r="101">
          <cell r="A101" t="str">
            <v>LA TORRE SAN JOSE PINULA</v>
          </cell>
        </row>
        <row r="102">
          <cell r="A102" t="str">
            <v>LA TORRE SAN JOSE PINULA 2</v>
          </cell>
        </row>
        <row r="103">
          <cell r="A103" t="str">
            <v>LA TORRE SAN JUAN</v>
          </cell>
        </row>
        <row r="104">
          <cell r="A104" t="str">
            <v>LA TORRE SAN LUCAS</v>
          </cell>
        </row>
        <row r="105">
          <cell r="A105" t="str">
            <v>LA TORRE SAN MARCOS</v>
          </cell>
          <cell r="B105" t="str">
            <v>TIENDAS ELITE</v>
          </cell>
        </row>
        <row r="106">
          <cell r="A106" t="str">
            <v>LA TORRE SAN MIGUEL PETAPA</v>
          </cell>
        </row>
        <row r="107">
          <cell r="A107" t="str">
            <v>LA TORRE SAN MIGUEL PETAPA 2</v>
          </cell>
        </row>
        <row r="108">
          <cell r="A108" t="str">
            <v>LA TORRE SAN NICOLAS</v>
          </cell>
        </row>
        <row r="109">
          <cell r="A109" t="str">
            <v>LA TORRE SAN RAFAEL</v>
          </cell>
        </row>
        <row r="110">
          <cell r="A110" t="str">
            <v>LA TORRE SANARATE</v>
          </cell>
        </row>
        <row r="111">
          <cell r="A111" t="str">
            <v>LA TORRE SANKRIS</v>
          </cell>
          <cell r="B111" t="str">
            <v>TIENDAS ELITE</v>
          </cell>
        </row>
        <row r="112">
          <cell r="A112" t="str">
            <v>LA TORRE SANTA LUCIA</v>
          </cell>
        </row>
        <row r="113">
          <cell r="A113" t="str">
            <v>LA TORRE SANTALU</v>
          </cell>
        </row>
        <row r="114">
          <cell r="A114" t="str">
            <v>LA TORRE TECULUTAN</v>
          </cell>
          <cell r="B114" t="str">
            <v>TIENDAS ELITE</v>
          </cell>
        </row>
        <row r="115">
          <cell r="A115" t="str">
            <v>LA TORRE TIQUISATE</v>
          </cell>
        </row>
        <row r="116">
          <cell r="A116" t="str">
            <v>LA TORRE TOTONICAPAN</v>
          </cell>
        </row>
        <row r="117">
          <cell r="A117" t="str">
            <v>LA TORRE TRINIDAD</v>
          </cell>
        </row>
        <row r="118">
          <cell r="A118" t="str">
            <v>LA TORRE VILLA CANALES</v>
          </cell>
        </row>
        <row r="119">
          <cell r="A119" t="str">
            <v>LA TORRE VILLA HERMOSA</v>
          </cell>
        </row>
        <row r="120">
          <cell r="A120" t="str">
            <v>LA TORRE VILLA NUEVA</v>
          </cell>
        </row>
        <row r="121">
          <cell r="A121" t="str">
            <v>LA TORRE VILLALOBOS</v>
          </cell>
        </row>
        <row r="122">
          <cell r="A122" t="str">
            <v>LA TORRE VISTA HERMOSA 1</v>
          </cell>
        </row>
        <row r="123">
          <cell r="A123" t="str">
            <v>LA TORRE XELA</v>
          </cell>
          <cell r="B123" t="str">
            <v>TIENDAS ELITE</v>
          </cell>
        </row>
        <row r="124">
          <cell r="A124" t="str">
            <v>LA TORRE XELA 3</v>
          </cell>
          <cell r="B124" t="str">
            <v>TIENDAS ELITE</v>
          </cell>
        </row>
        <row r="125">
          <cell r="A125" t="str">
            <v>LA TORRE XELA 5</v>
          </cell>
        </row>
        <row r="126">
          <cell r="A126" t="str">
            <v>LA TORRE ZACAPA</v>
          </cell>
          <cell r="B126" t="str">
            <v>TIENDAS ELITE</v>
          </cell>
        </row>
        <row r="127">
          <cell r="A127" t="str">
            <v>LA TORRE ZACAPA 2</v>
          </cell>
        </row>
        <row r="128">
          <cell r="A128" t="str">
            <v>LA TORRE ZONA 10</v>
          </cell>
        </row>
        <row r="129">
          <cell r="A129" t="str">
            <v>LA TORRE ZONA 11</v>
          </cell>
        </row>
        <row r="130">
          <cell r="A130" t="str">
            <v>LA TORRE ZONA 13 AMERICAS</v>
          </cell>
        </row>
        <row r="131">
          <cell r="A131" t="str">
            <v>LA TORRE ZONA 14</v>
          </cell>
        </row>
        <row r="132">
          <cell r="A132" t="str">
            <v>LA TORRE ZONA 15</v>
          </cell>
          <cell r="B132" t="str">
            <v>TIENDAS ELITE</v>
          </cell>
        </row>
        <row r="133">
          <cell r="A133" t="str">
            <v>LA TORRE ZONA 16</v>
          </cell>
        </row>
        <row r="134">
          <cell r="A134" t="str">
            <v>LA TORRE ZONA 19</v>
          </cell>
        </row>
        <row r="135">
          <cell r="A135" t="str">
            <v>LA TORRE ZONA 2</v>
          </cell>
        </row>
        <row r="136">
          <cell r="A136" t="str">
            <v>LA TORRE ZONA 3</v>
          </cell>
        </row>
        <row r="137">
          <cell r="A137" t="str">
            <v>LA TORRE ZONA 4</v>
          </cell>
        </row>
        <row r="138">
          <cell r="A138" t="str">
            <v>LA TORRE ZONA 5</v>
          </cell>
        </row>
        <row r="139">
          <cell r="A139" t="str">
            <v>LT ANTIGUA 1</v>
          </cell>
        </row>
        <row r="140">
          <cell r="A140" t="str">
            <v>LT SAN JOSE PINULA 3</v>
          </cell>
        </row>
        <row r="141">
          <cell r="A141" t="str">
            <v>LT XELA 4</v>
          </cell>
        </row>
        <row r="142">
          <cell r="A142" t="str">
            <v>LTX CD RANSA</v>
          </cell>
        </row>
        <row r="143">
          <cell r="A143" t="str">
            <v>LA TORRE TULAM TZU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5-10-2026"/>
    </sheetNames>
    <sheetDataSet>
      <sheetData sheetId="0"/>
      <sheetData sheetId="1">
        <row r="2334">
          <cell r="C2334">
            <v>36099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showGridLines="0" tabSelected="1" workbookViewId="0">
      <selection sqref="A1:C1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801111</v>
      </c>
      <c r="B3" s="4" t="s">
        <v>88</v>
      </c>
      <c r="C3" s="4">
        <v>475</v>
      </c>
      <c r="D3" s="5">
        <v>469</v>
      </c>
      <c r="E3" s="6">
        <v>18.760000000000002</v>
      </c>
      <c r="F3" s="5" t="s">
        <v>144</v>
      </c>
      <c r="G3" s="5"/>
      <c r="H3" s="3">
        <v>801010</v>
      </c>
    </row>
    <row r="4" spans="1:8" ht="15" customHeight="1" x14ac:dyDescent="0.3">
      <c r="A4" s="4">
        <v>801112</v>
      </c>
      <c r="B4" s="4" t="s">
        <v>87</v>
      </c>
      <c r="C4" s="4">
        <v>236</v>
      </c>
      <c r="D4" s="5">
        <v>234</v>
      </c>
      <c r="E4" s="6">
        <v>9.36</v>
      </c>
      <c r="F4" s="5" t="s">
        <v>144</v>
      </c>
      <c r="G4" s="5"/>
      <c r="H4" s="3"/>
    </row>
    <row r="5" spans="1:8" ht="15" customHeight="1" x14ac:dyDescent="0.3">
      <c r="A5" s="4">
        <v>801113</v>
      </c>
      <c r="B5" s="4" t="s">
        <v>86</v>
      </c>
      <c r="C5" s="4">
        <v>303</v>
      </c>
      <c r="D5" s="5">
        <v>302</v>
      </c>
      <c r="E5" s="6">
        <v>12.08</v>
      </c>
      <c r="F5" s="5" t="s">
        <v>144</v>
      </c>
      <c r="G5" s="5"/>
      <c r="H5" s="3">
        <v>801013</v>
      </c>
    </row>
    <row r="6" spans="1:8" ht="15" customHeight="1" x14ac:dyDescent="0.3">
      <c r="A6" s="4">
        <v>801114</v>
      </c>
      <c r="B6" s="4" t="s">
        <v>126</v>
      </c>
      <c r="C6" s="4">
        <v>72</v>
      </c>
      <c r="D6" s="5">
        <v>71</v>
      </c>
      <c r="E6" s="6">
        <v>2.84</v>
      </c>
      <c r="F6" s="5" t="s">
        <v>144</v>
      </c>
      <c r="G6" s="5"/>
      <c r="H6" s="3"/>
    </row>
    <row r="7" spans="1:8" ht="15" customHeight="1" x14ac:dyDescent="0.3">
      <c r="A7" s="4">
        <v>801115</v>
      </c>
      <c r="B7" s="4" t="s">
        <v>85</v>
      </c>
      <c r="C7" s="4">
        <v>258</v>
      </c>
      <c r="D7" s="5">
        <v>258</v>
      </c>
      <c r="E7" s="6">
        <v>10.32</v>
      </c>
      <c r="F7" s="5" t="s">
        <v>144</v>
      </c>
      <c r="G7" s="5"/>
      <c r="H7" s="3"/>
    </row>
    <row r="8" spans="1:8" ht="15" customHeight="1" x14ac:dyDescent="0.3">
      <c r="A8" s="4">
        <v>801116</v>
      </c>
      <c r="B8" s="4" t="s">
        <v>82</v>
      </c>
      <c r="C8" s="4">
        <v>203</v>
      </c>
      <c r="D8" s="5">
        <v>199</v>
      </c>
      <c r="E8" s="6">
        <v>7.96</v>
      </c>
      <c r="F8" s="5" t="s">
        <v>144</v>
      </c>
      <c r="G8" s="5"/>
      <c r="H8" s="3">
        <v>801015</v>
      </c>
    </row>
    <row r="9" spans="1:8" ht="15" customHeight="1" x14ac:dyDescent="0.3">
      <c r="A9" s="4">
        <v>801066</v>
      </c>
      <c r="B9" s="4" t="s">
        <v>140</v>
      </c>
      <c r="C9" s="4">
        <v>182</v>
      </c>
      <c r="D9" s="5">
        <v>182</v>
      </c>
      <c r="E9" s="6">
        <v>7.28</v>
      </c>
      <c r="F9" s="5" t="s">
        <v>147</v>
      </c>
      <c r="G9" s="5"/>
      <c r="H9" s="3"/>
    </row>
    <row r="10" spans="1:8" ht="15" customHeight="1" x14ac:dyDescent="0.3">
      <c r="A10" s="4">
        <v>801067</v>
      </c>
      <c r="B10" s="4" t="s">
        <v>139</v>
      </c>
      <c r="C10" s="4">
        <v>212</v>
      </c>
      <c r="D10" s="5">
        <v>211</v>
      </c>
      <c r="E10" s="6">
        <v>8.44</v>
      </c>
      <c r="F10" s="5" t="s">
        <v>147</v>
      </c>
      <c r="G10" s="5"/>
      <c r="H10" s="3"/>
    </row>
    <row r="11" spans="1:8" ht="15" customHeight="1" x14ac:dyDescent="0.3">
      <c r="A11" s="4">
        <v>801068</v>
      </c>
      <c r="B11" s="4" t="s">
        <v>138</v>
      </c>
      <c r="C11" s="4">
        <v>491</v>
      </c>
      <c r="D11" s="5">
        <v>469</v>
      </c>
      <c r="E11" s="6">
        <v>18.760000000000002</v>
      </c>
      <c r="F11" s="5" t="s">
        <v>148</v>
      </c>
      <c r="G11" s="5" t="str">
        <f>+VLOOKUP(B11,'[1]TIENDAS 2025'!$A$2:$B$143,2,0)</f>
        <v>TIENDAS ELITE</v>
      </c>
      <c r="H11" s="3"/>
    </row>
    <row r="12" spans="1:8" ht="15" customHeight="1" x14ac:dyDescent="0.3">
      <c r="A12" s="4">
        <v>801069</v>
      </c>
      <c r="B12" s="4" t="s">
        <v>136</v>
      </c>
      <c r="C12" s="4">
        <v>173</v>
      </c>
      <c r="D12" s="5">
        <v>170</v>
      </c>
      <c r="E12" s="6">
        <v>6.8</v>
      </c>
      <c r="F12" s="5" t="s">
        <v>147</v>
      </c>
      <c r="G12" s="5"/>
      <c r="H12" s="3"/>
    </row>
    <row r="13" spans="1:8" ht="15" customHeight="1" x14ac:dyDescent="0.3">
      <c r="A13" s="4">
        <v>801070</v>
      </c>
      <c r="B13" s="4" t="s">
        <v>135</v>
      </c>
      <c r="C13" s="4">
        <v>147</v>
      </c>
      <c r="D13" s="5">
        <v>146</v>
      </c>
      <c r="E13" s="6">
        <v>5.84</v>
      </c>
      <c r="F13" s="5" t="s">
        <v>148</v>
      </c>
      <c r="G13" s="5" t="str">
        <f>+VLOOKUP(B13,'[1]TIENDAS 2025'!$A$2:$B$143,2,0)</f>
        <v>TIENDAS ELITE</v>
      </c>
      <c r="H13" s="3"/>
    </row>
    <row r="14" spans="1:8" ht="15" customHeight="1" x14ac:dyDescent="0.3">
      <c r="A14" s="4">
        <v>801124</v>
      </c>
      <c r="B14" s="4" t="s">
        <v>74</v>
      </c>
      <c r="C14" s="4">
        <v>521</v>
      </c>
      <c r="D14" s="5">
        <v>513</v>
      </c>
      <c r="E14" s="6">
        <v>20.52</v>
      </c>
      <c r="F14" s="5" t="s">
        <v>144</v>
      </c>
      <c r="G14" s="5"/>
      <c r="H14" s="3"/>
    </row>
    <row r="15" spans="1:8" ht="15" customHeight="1" x14ac:dyDescent="0.3">
      <c r="A15" s="4">
        <v>801123</v>
      </c>
      <c r="B15" s="4" t="s">
        <v>75</v>
      </c>
      <c r="C15" s="4">
        <v>226</v>
      </c>
      <c r="D15" s="5">
        <v>226</v>
      </c>
      <c r="E15" s="6">
        <v>9.0400000000000009</v>
      </c>
      <c r="F15" s="5" t="s">
        <v>144</v>
      </c>
      <c r="G15" s="5"/>
      <c r="H15" s="3">
        <v>801019</v>
      </c>
    </row>
    <row r="16" spans="1:8" ht="15" customHeight="1" x14ac:dyDescent="0.3">
      <c r="A16" s="4">
        <v>801071</v>
      </c>
      <c r="B16" s="4" t="s">
        <v>134</v>
      </c>
      <c r="C16" s="4">
        <v>236</v>
      </c>
      <c r="D16" s="5">
        <v>235</v>
      </c>
      <c r="E16" s="6">
        <v>9.4</v>
      </c>
      <c r="F16" s="5" t="s">
        <v>148</v>
      </c>
      <c r="G16" s="5"/>
      <c r="H16" s="3"/>
    </row>
    <row r="17" spans="1:8" ht="15" customHeight="1" x14ac:dyDescent="0.3">
      <c r="A17" s="4">
        <v>801122</v>
      </c>
      <c r="B17" s="4" t="s">
        <v>77</v>
      </c>
      <c r="C17" s="4">
        <v>459</v>
      </c>
      <c r="D17" s="5">
        <v>450</v>
      </c>
      <c r="E17" s="6">
        <v>18</v>
      </c>
      <c r="F17" s="5" t="s">
        <v>144</v>
      </c>
      <c r="G17" s="5"/>
      <c r="H17" s="3">
        <v>801018</v>
      </c>
    </row>
    <row r="18" spans="1:8" ht="15" customHeight="1" x14ac:dyDescent="0.3">
      <c r="A18" s="4">
        <v>801121</v>
      </c>
      <c r="B18" s="4" t="s">
        <v>78</v>
      </c>
      <c r="C18" s="4">
        <v>298</v>
      </c>
      <c r="D18" s="5">
        <v>296</v>
      </c>
      <c r="E18" s="6">
        <v>11.84</v>
      </c>
      <c r="F18" s="5" t="s">
        <v>145</v>
      </c>
      <c r="G18" s="5"/>
      <c r="H18" s="3">
        <v>801017</v>
      </c>
    </row>
    <row r="19" spans="1:8" ht="15" customHeight="1" x14ac:dyDescent="0.3">
      <c r="A19" s="4">
        <v>801072</v>
      </c>
      <c r="B19" s="4" t="s">
        <v>133</v>
      </c>
      <c r="C19" s="4">
        <v>207</v>
      </c>
      <c r="D19" s="5">
        <v>206</v>
      </c>
      <c r="E19" s="6">
        <v>8.24</v>
      </c>
      <c r="F19" s="5" t="s">
        <v>148</v>
      </c>
      <c r="G19" s="5"/>
      <c r="H19" s="3"/>
    </row>
    <row r="20" spans="1:8" ht="15" customHeight="1" x14ac:dyDescent="0.3">
      <c r="A20" s="4">
        <v>801120</v>
      </c>
      <c r="B20" s="4" t="s">
        <v>79</v>
      </c>
      <c r="C20" s="4">
        <v>504</v>
      </c>
      <c r="D20" s="5">
        <v>491</v>
      </c>
      <c r="E20" s="6">
        <v>19.64</v>
      </c>
      <c r="F20" s="5" t="s">
        <v>144</v>
      </c>
      <c r="G20" s="5"/>
      <c r="H20" s="3">
        <v>801022</v>
      </c>
    </row>
    <row r="21" spans="1:8" ht="15" customHeight="1" x14ac:dyDescent="0.3">
      <c r="A21" s="4">
        <v>801119</v>
      </c>
      <c r="B21" s="4" t="s">
        <v>80</v>
      </c>
      <c r="C21" s="4">
        <v>367</v>
      </c>
      <c r="D21" s="5">
        <v>359</v>
      </c>
      <c r="E21" s="6">
        <v>14.36</v>
      </c>
      <c r="F21" s="5" t="s">
        <v>145</v>
      </c>
      <c r="G21" s="5"/>
      <c r="H21" s="3">
        <v>801021</v>
      </c>
    </row>
    <row r="22" spans="1:8" ht="15" customHeight="1" x14ac:dyDescent="0.3">
      <c r="A22" s="4">
        <v>801073</v>
      </c>
      <c r="B22" s="4" t="s">
        <v>132</v>
      </c>
      <c r="C22" s="4">
        <v>577</v>
      </c>
      <c r="D22" s="5">
        <v>554</v>
      </c>
      <c r="E22" s="6">
        <v>22.16</v>
      </c>
      <c r="F22" s="5" t="s">
        <v>147</v>
      </c>
      <c r="G22" s="5" t="str">
        <f>+VLOOKUP(B22,'[1]TIENDAS 2025'!$A$2:$B$143,2,0)</f>
        <v>TIENDAS ELITE</v>
      </c>
      <c r="H22" s="3"/>
    </row>
    <row r="23" spans="1:8" ht="15" customHeight="1" x14ac:dyDescent="0.3">
      <c r="A23" s="4">
        <v>801074</v>
      </c>
      <c r="B23" s="4" t="s">
        <v>131</v>
      </c>
      <c r="C23" s="4">
        <v>231</v>
      </c>
      <c r="D23" s="5">
        <v>228</v>
      </c>
      <c r="E23" s="6">
        <v>9.120000000000001</v>
      </c>
      <c r="F23" s="5" t="s">
        <v>147</v>
      </c>
      <c r="G23" s="5"/>
      <c r="H23" s="3"/>
    </row>
    <row r="24" spans="1:8" ht="15" customHeight="1" x14ac:dyDescent="0.3">
      <c r="A24" s="4">
        <v>801075</v>
      </c>
      <c r="B24" s="4" t="s">
        <v>130</v>
      </c>
      <c r="C24" s="4">
        <v>175</v>
      </c>
      <c r="D24" s="5">
        <v>164</v>
      </c>
      <c r="E24" s="6">
        <v>6.5600000000000005</v>
      </c>
      <c r="F24" s="5" t="s">
        <v>148</v>
      </c>
      <c r="G24" s="5"/>
      <c r="H24" s="3"/>
    </row>
    <row r="25" spans="1:8" ht="15" customHeight="1" x14ac:dyDescent="0.3">
      <c r="A25" s="4">
        <v>801118</v>
      </c>
      <c r="B25" s="4" t="s">
        <v>81</v>
      </c>
      <c r="C25" s="4">
        <v>470</v>
      </c>
      <c r="D25" s="5">
        <v>464</v>
      </c>
      <c r="E25" s="6">
        <v>18.559999999999999</v>
      </c>
      <c r="F25" s="5" t="s">
        <v>144</v>
      </c>
      <c r="G25" s="5"/>
      <c r="H25" s="3"/>
    </row>
    <row r="26" spans="1:8" ht="15" customHeight="1" x14ac:dyDescent="0.3">
      <c r="A26" s="4">
        <v>801117</v>
      </c>
      <c r="B26" s="4" t="s">
        <v>99</v>
      </c>
      <c r="C26" s="4">
        <v>238</v>
      </c>
      <c r="D26" s="5">
        <v>231</v>
      </c>
      <c r="E26" s="6">
        <v>9.24</v>
      </c>
      <c r="F26" s="5" t="s">
        <v>144</v>
      </c>
      <c r="G26" s="5"/>
      <c r="H26" s="3"/>
    </row>
    <row r="27" spans="1:8" ht="15" customHeight="1" x14ac:dyDescent="0.3">
      <c r="A27" s="4">
        <v>801130</v>
      </c>
      <c r="B27" s="4" t="s">
        <v>67</v>
      </c>
      <c r="C27" s="4">
        <v>243</v>
      </c>
      <c r="D27" s="5">
        <v>233</v>
      </c>
      <c r="E27" s="6">
        <v>9.32</v>
      </c>
      <c r="F27" s="5" t="s">
        <v>144</v>
      </c>
      <c r="G27" s="5" t="str">
        <f>+VLOOKUP(B27,'[1]TIENDAS 2025'!$A$2:$B$143,2,0)</f>
        <v>TIENDAS ELITE</v>
      </c>
      <c r="H27" s="3"/>
    </row>
    <row r="28" spans="1:8" ht="15" customHeight="1" x14ac:dyDescent="0.3">
      <c r="A28" s="4">
        <v>801129</v>
      </c>
      <c r="B28" s="4" t="s">
        <v>69</v>
      </c>
      <c r="C28" s="4">
        <v>504</v>
      </c>
      <c r="D28" s="5">
        <v>483</v>
      </c>
      <c r="E28" s="6">
        <v>19.32</v>
      </c>
      <c r="F28" s="5" t="s">
        <v>145</v>
      </c>
      <c r="G28" s="5"/>
      <c r="H28" s="3">
        <v>801023</v>
      </c>
    </row>
    <row r="29" spans="1:8" ht="15" customHeight="1" x14ac:dyDescent="0.3">
      <c r="A29" s="4">
        <v>801128</v>
      </c>
      <c r="B29" s="4" t="s">
        <v>70</v>
      </c>
      <c r="C29" s="4">
        <v>301</v>
      </c>
      <c r="D29" s="5">
        <v>295</v>
      </c>
      <c r="E29" s="6">
        <v>11.8</v>
      </c>
      <c r="F29" s="5" t="s">
        <v>145</v>
      </c>
      <c r="G29" s="5"/>
      <c r="H29" s="3"/>
    </row>
    <row r="30" spans="1:8" ht="15" customHeight="1" x14ac:dyDescent="0.3">
      <c r="A30" s="4">
        <v>801127</v>
      </c>
      <c r="B30" s="4" t="s">
        <v>71</v>
      </c>
      <c r="C30" s="4">
        <v>355</v>
      </c>
      <c r="D30" s="5">
        <v>349</v>
      </c>
      <c r="E30" s="6">
        <v>13.96</v>
      </c>
      <c r="F30" s="5" t="s">
        <v>144</v>
      </c>
      <c r="G30" s="5"/>
      <c r="H30" s="3"/>
    </row>
    <row r="31" spans="1:8" ht="15" customHeight="1" x14ac:dyDescent="0.3">
      <c r="A31" s="4">
        <v>801126</v>
      </c>
      <c r="B31" s="4" t="s">
        <v>72</v>
      </c>
      <c r="C31" s="4">
        <v>680</v>
      </c>
      <c r="D31" s="5">
        <v>652</v>
      </c>
      <c r="E31" s="6">
        <v>26.080000000000002</v>
      </c>
      <c r="F31" s="5" t="s">
        <v>145</v>
      </c>
      <c r="G31" s="5"/>
      <c r="H31" s="3">
        <v>801049</v>
      </c>
    </row>
    <row r="32" spans="1:8" ht="15" customHeight="1" x14ac:dyDescent="0.3">
      <c r="A32" s="4">
        <v>801125</v>
      </c>
      <c r="B32" s="4" t="s">
        <v>73</v>
      </c>
      <c r="C32" s="4">
        <v>567</v>
      </c>
      <c r="D32" s="5">
        <v>559</v>
      </c>
      <c r="E32" s="6">
        <v>22.36</v>
      </c>
      <c r="F32" s="5" t="s">
        <v>145</v>
      </c>
      <c r="G32" s="5"/>
      <c r="H32" s="3">
        <v>801048</v>
      </c>
    </row>
    <row r="33" spans="1:8" ht="15" customHeight="1" x14ac:dyDescent="0.3">
      <c r="A33" s="4">
        <v>801135</v>
      </c>
      <c r="B33" s="4" t="s">
        <v>63</v>
      </c>
      <c r="C33" s="4">
        <v>195</v>
      </c>
      <c r="D33" s="5">
        <v>190</v>
      </c>
      <c r="E33" s="6">
        <v>7.6000000000000005</v>
      </c>
      <c r="F33" s="5" t="s">
        <v>145</v>
      </c>
      <c r="G33" s="5"/>
      <c r="H33" s="3"/>
    </row>
    <row r="34" spans="1:8" ht="15" customHeight="1" x14ac:dyDescent="0.3">
      <c r="A34" s="4">
        <v>801076</v>
      </c>
      <c r="B34" s="4" t="s">
        <v>128</v>
      </c>
      <c r="C34" s="4">
        <v>265</v>
      </c>
      <c r="D34" s="5">
        <v>260</v>
      </c>
      <c r="E34" s="6">
        <v>10.4</v>
      </c>
      <c r="F34" s="5" t="s">
        <v>148</v>
      </c>
      <c r="G34" s="5"/>
      <c r="H34" s="3"/>
    </row>
    <row r="35" spans="1:8" ht="15" customHeight="1" x14ac:dyDescent="0.3">
      <c r="A35" s="4">
        <v>801077</v>
      </c>
      <c r="B35" s="4" t="s">
        <v>127</v>
      </c>
      <c r="C35" s="4">
        <v>432</v>
      </c>
      <c r="D35" s="5">
        <v>408</v>
      </c>
      <c r="E35" s="6">
        <v>16.32</v>
      </c>
      <c r="F35" s="5" t="s">
        <v>148</v>
      </c>
      <c r="G35" s="5" t="str">
        <f>+VLOOKUP(B35,'[1]TIENDAS 2025'!$A$2:$B$143,2,0)</f>
        <v>TIENDAS ELITE</v>
      </c>
      <c r="H35" s="3"/>
    </row>
    <row r="36" spans="1:8" ht="15" customHeight="1" x14ac:dyDescent="0.3">
      <c r="A36" s="4">
        <v>801078</v>
      </c>
      <c r="B36" s="4" t="s">
        <v>129</v>
      </c>
      <c r="C36" s="4">
        <v>160</v>
      </c>
      <c r="D36" s="5">
        <v>157</v>
      </c>
      <c r="E36" s="6">
        <v>6.28</v>
      </c>
      <c r="F36" s="5" t="s">
        <v>148</v>
      </c>
      <c r="G36" s="5"/>
      <c r="H36" s="3"/>
    </row>
    <row r="37" spans="1:8" ht="15" customHeight="1" x14ac:dyDescent="0.3">
      <c r="A37" s="4">
        <v>801134</v>
      </c>
      <c r="B37" s="4" t="s">
        <v>65</v>
      </c>
      <c r="C37" s="4">
        <v>303</v>
      </c>
      <c r="D37" s="5">
        <v>296</v>
      </c>
      <c r="E37" s="6">
        <v>11.84</v>
      </c>
      <c r="F37" s="5" t="s">
        <v>144</v>
      </c>
      <c r="G37" s="5"/>
      <c r="H37" s="3"/>
    </row>
    <row r="38" spans="1:8" ht="15" customHeight="1" x14ac:dyDescent="0.3">
      <c r="A38" s="4">
        <v>801079</v>
      </c>
      <c r="B38" s="4" t="s">
        <v>125</v>
      </c>
      <c r="C38" s="4">
        <v>246</v>
      </c>
      <c r="D38" s="5">
        <v>242</v>
      </c>
      <c r="E38" s="6">
        <v>9.68</v>
      </c>
      <c r="F38" s="5" t="s">
        <v>147</v>
      </c>
      <c r="G38" s="5" t="str">
        <f>+VLOOKUP(B38,'[1]TIENDAS 2025'!$A$2:$B$143,2,0)</f>
        <v>TIENDAS ELITE</v>
      </c>
      <c r="H38" s="3"/>
    </row>
    <row r="39" spans="1:8" ht="15" customHeight="1" x14ac:dyDescent="0.3">
      <c r="A39" s="4">
        <v>801133</v>
      </c>
      <c r="B39" s="4" t="s">
        <v>108</v>
      </c>
      <c r="C39" s="4">
        <v>168</v>
      </c>
      <c r="D39" s="5">
        <v>165</v>
      </c>
      <c r="E39" s="6">
        <v>6.6000000000000005</v>
      </c>
      <c r="F39" s="5" t="s">
        <v>145</v>
      </c>
      <c r="G39" s="5"/>
      <c r="H39" s="3"/>
    </row>
    <row r="40" spans="1:8" ht="15" customHeight="1" x14ac:dyDescent="0.3">
      <c r="A40" s="4">
        <v>801132</v>
      </c>
      <c r="B40" s="4" t="s">
        <v>68</v>
      </c>
      <c r="C40" s="4">
        <v>279</v>
      </c>
      <c r="D40" s="5">
        <v>267</v>
      </c>
      <c r="E40" s="6">
        <v>10.68</v>
      </c>
      <c r="F40" s="5" t="s">
        <v>144</v>
      </c>
      <c r="G40" s="5"/>
      <c r="H40" s="3"/>
    </row>
    <row r="41" spans="1:8" ht="15" customHeight="1" x14ac:dyDescent="0.3">
      <c r="A41" s="4">
        <v>801131</v>
      </c>
      <c r="B41" s="4" t="s">
        <v>66</v>
      </c>
      <c r="C41" s="4">
        <v>551</v>
      </c>
      <c r="D41" s="5">
        <v>539</v>
      </c>
      <c r="E41" s="6">
        <v>21.56</v>
      </c>
      <c r="F41" s="5" t="s">
        <v>145</v>
      </c>
      <c r="G41" s="5"/>
      <c r="H41" s="3">
        <v>801052</v>
      </c>
    </row>
    <row r="42" spans="1:8" ht="15" customHeight="1" x14ac:dyDescent="0.3">
      <c r="A42" s="4">
        <v>801080</v>
      </c>
      <c r="B42" s="4" t="s">
        <v>122</v>
      </c>
      <c r="C42" s="4">
        <v>357</v>
      </c>
      <c r="D42" s="5">
        <v>342</v>
      </c>
      <c r="E42" s="6">
        <v>13.68</v>
      </c>
      <c r="F42" s="5" t="s">
        <v>147</v>
      </c>
      <c r="G42" s="5" t="str">
        <f>+VLOOKUP(B42,'[1]TIENDAS 2025'!$A$2:$B$143,2,0)</f>
        <v>TIENDAS ELITE</v>
      </c>
      <c r="H42" s="3"/>
    </row>
    <row r="43" spans="1:8" ht="15" customHeight="1" x14ac:dyDescent="0.3">
      <c r="A43" s="4">
        <v>801081</v>
      </c>
      <c r="B43" s="4" t="s">
        <v>121</v>
      </c>
      <c r="C43" s="4">
        <v>428</v>
      </c>
      <c r="D43" s="5">
        <v>410</v>
      </c>
      <c r="E43" s="6">
        <v>16.399999999999999</v>
      </c>
      <c r="F43" s="5" t="s">
        <v>148</v>
      </c>
      <c r="G43" s="5"/>
      <c r="H43" s="3"/>
    </row>
    <row r="44" spans="1:8" ht="15" customHeight="1" x14ac:dyDescent="0.3">
      <c r="A44" s="4">
        <v>801137</v>
      </c>
      <c r="B44" s="4" t="s">
        <v>61</v>
      </c>
      <c r="C44" s="4">
        <v>383</v>
      </c>
      <c r="D44" s="5">
        <v>373</v>
      </c>
      <c r="E44" s="6">
        <v>14.92</v>
      </c>
      <c r="F44" s="5" t="s">
        <v>145</v>
      </c>
      <c r="G44" s="5"/>
      <c r="H44" s="3"/>
    </row>
    <row r="45" spans="1:8" ht="15" customHeight="1" x14ac:dyDescent="0.3">
      <c r="A45" s="4">
        <v>801136</v>
      </c>
      <c r="B45" s="4" t="s">
        <v>62</v>
      </c>
      <c r="C45" s="4">
        <v>358</v>
      </c>
      <c r="D45" s="5">
        <v>345</v>
      </c>
      <c r="E45" s="6">
        <v>13.8</v>
      </c>
      <c r="F45" s="5" t="s">
        <v>145</v>
      </c>
      <c r="G45" s="5"/>
      <c r="H45" s="3"/>
    </row>
    <row r="46" spans="1:8" ht="15" customHeight="1" x14ac:dyDescent="0.3">
      <c r="A46" s="4">
        <v>801138</v>
      </c>
      <c r="B46" s="4" t="s">
        <v>60</v>
      </c>
      <c r="C46" s="4">
        <v>517</v>
      </c>
      <c r="D46" s="5">
        <v>499</v>
      </c>
      <c r="E46" s="6">
        <v>19.96</v>
      </c>
      <c r="F46" s="5" t="s">
        <v>145</v>
      </c>
      <c r="G46" s="5"/>
      <c r="H46" s="3">
        <v>801055</v>
      </c>
    </row>
    <row r="47" spans="1:8" ht="15" customHeight="1" x14ac:dyDescent="0.3">
      <c r="A47" s="4">
        <v>801139</v>
      </c>
      <c r="B47" s="4" t="s">
        <v>59</v>
      </c>
      <c r="C47" s="4">
        <v>468</v>
      </c>
      <c r="D47" s="5">
        <v>456</v>
      </c>
      <c r="E47" s="6">
        <v>18.240000000000002</v>
      </c>
      <c r="F47" s="5" t="s">
        <v>145</v>
      </c>
      <c r="G47" s="5" t="str">
        <f>+VLOOKUP(B47,'[1]TIENDAS 2025'!$A$2:$B$143,2,0)</f>
        <v>TIENDAS ELITE</v>
      </c>
      <c r="H47" s="3"/>
    </row>
    <row r="48" spans="1:8" ht="15" customHeight="1" x14ac:dyDescent="0.3">
      <c r="A48" s="4">
        <v>801140</v>
      </c>
      <c r="B48" s="4" t="s">
        <v>58</v>
      </c>
      <c r="C48" s="4">
        <v>316</v>
      </c>
      <c r="D48" s="5">
        <v>310</v>
      </c>
      <c r="E48" s="6">
        <v>12.4</v>
      </c>
      <c r="F48" s="5" t="s">
        <v>145</v>
      </c>
      <c r="G48" s="5"/>
      <c r="H48" s="3">
        <v>801040</v>
      </c>
    </row>
    <row r="49" spans="1:8" ht="15" customHeight="1" x14ac:dyDescent="0.3">
      <c r="A49" s="4">
        <v>801141</v>
      </c>
      <c r="B49" s="4" t="s">
        <v>57</v>
      </c>
      <c r="C49" s="4">
        <v>340</v>
      </c>
      <c r="D49" s="5">
        <v>333</v>
      </c>
      <c r="E49" s="6">
        <v>13.32</v>
      </c>
      <c r="F49" s="5" t="s">
        <v>145</v>
      </c>
      <c r="G49" s="5"/>
      <c r="H49" s="3"/>
    </row>
    <row r="50" spans="1:8" ht="15" customHeight="1" x14ac:dyDescent="0.3">
      <c r="A50" s="4">
        <v>801142</v>
      </c>
      <c r="B50" s="4" t="s">
        <v>98</v>
      </c>
      <c r="C50" s="4">
        <v>154</v>
      </c>
      <c r="D50" s="5">
        <v>152</v>
      </c>
      <c r="E50" s="6">
        <v>6.08</v>
      </c>
      <c r="F50" s="5" t="s">
        <v>145</v>
      </c>
      <c r="G50" s="5"/>
      <c r="H50" s="3">
        <v>801058</v>
      </c>
    </row>
    <row r="51" spans="1:8" ht="15" customHeight="1" x14ac:dyDescent="0.3">
      <c r="A51" s="4">
        <v>801143</v>
      </c>
      <c r="B51" s="4" t="s">
        <v>56</v>
      </c>
      <c r="C51" s="4">
        <v>472</v>
      </c>
      <c r="D51" s="5">
        <v>459</v>
      </c>
      <c r="E51" s="6">
        <v>18.36</v>
      </c>
      <c r="F51" s="5" t="s">
        <v>144</v>
      </c>
      <c r="G51" s="5"/>
      <c r="H51" s="3"/>
    </row>
    <row r="52" spans="1:8" ht="15" customHeight="1" x14ac:dyDescent="0.3">
      <c r="A52" s="4">
        <v>801144</v>
      </c>
      <c r="B52" s="4" t="s">
        <v>94</v>
      </c>
      <c r="C52" s="4">
        <v>182</v>
      </c>
      <c r="D52" s="5">
        <v>180</v>
      </c>
      <c r="E52" s="6">
        <v>7.2</v>
      </c>
      <c r="F52" s="5" t="s">
        <v>145</v>
      </c>
      <c r="G52" s="5"/>
      <c r="H52" s="3"/>
    </row>
    <row r="53" spans="1:8" ht="15" customHeight="1" x14ac:dyDescent="0.3">
      <c r="A53" s="4">
        <v>801145</v>
      </c>
      <c r="B53" s="4" t="s">
        <v>64</v>
      </c>
      <c r="C53" s="4">
        <v>143</v>
      </c>
      <c r="D53" s="5">
        <v>140</v>
      </c>
      <c r="E53" s="6">
        <v>5.6000000000000005</v>
      </c>
      <c r="F53" s="5" t="s">
        <v>145</v>
      </c>
      <c r="G53" s="5"/>
      <c r="H53" s="3">
        <v>801043</v>
      </c>
    </row>
    <row r="54" spans="1:8" ht="15" customHeight="1" x14ac:dyDescent="0.3">
      <c r="A54" s="4">
        <v>801082</v>
      </c>
      <c r="B54" s="4" t="s">
        <v>120</v>
      </c>
      <c r="C54" s="4">
        <v>440</v>
      </c>
      <c r="D54" s="5">
        <v>432</v>
      </c>
      <c r="E54" s="6">
        <v>17.28</v>
      </c>
      <c r="F54" s="5" t="s">
        <v>147</v>
      </c>
      <c r="G54" s="5"/>
      <c r="H54" s="3">
        <v>800956</v>
      </c>
    </row>
    <row r="55" spans="1:8" ht="15" customHeight="1" x14ac:dyDescent="0.3">
      <c r="A55" s="4">
        <v>801083</v>
      </c>
      <c r="B55" s="4" t="s">
        <v>137</v>
      </c>
      <c r="C55" s="4">
        <v>122</v>
      </c>
      <c r="D55" s="5">
        <v>121</v>
      </c>
      <c r="E55" s="6">
        <v>4.84</v>
      </c>
      <c r="F55" s="5" t="s">
        <v>148</v>
      </c>
      <c r="G55" s="5"/>
      <c r="H55" s="3"/>
    </row>
    <row r="56" spans="1:8" ht="15" customHeight="1" x14ac:dyDescent="0.3">
      <c r="A56" s="4">
        <v>801146</v>
      </c>
      <c r="B56" s="4" t="s">
        <v>90</v>
      </c>
      <c r="C56" s="4">
        <v>175</v>
      </c>
      <c r="D56" s="5">
        <v>175</v>
      </c>
      <c r="E56" s="6">
        <v>7</v>
      </c>
      <c r="F56" s="5" t="s">
        <v>145</v>
      </c>
      <c r="G56" s="5"/>
      <c r="H56" s="3"/>
    </row>
    <row r="57" spans="1:8" ht="15" customHeight="1" x14ac:dyDescent="0.3">
      <c r="A57" s="4">
        <v>801147</v>
      </c>
      <c r="B57" s="4" t="s">
        <v>84</v>
      </c>
      <c r="C57" s="4">
        <v>181</v>
      </c>
      <c r="D57" s="5">
        <v>180</v>
      </c>
      <c r="E57" s="6">
        <v>7.2</v>
      </c>
      <c r="F57" s="5" t="s">
        <v>146</v>
      </c>
      <c r="G57" s="5"/>
      <c r="H57" s="3"/>
    </row>
    <row r="58" spans="1:8" ht="15" customHeight="1" x14ac:dyDescent="0.3">
      <c r="A58" s="4">
        <v>801148</v>
      </c>
      <c r="B58" s="4" t="s">
        <v>55</v>
      </c>
      <c r="C58" s="4">
        <v>505</v>
      </c>
      <c r="D58" s="5">
        <v>485</v>
      </c>
      <c r="E58" s="6">
        <v>19.400000000000002</v>
      </c>
      <c r="F58" s="5" t="s">
        <v>145</v>
      </c>
      <c r="G58" s="5"/>
      <c r="H58" s="3">
        <v>801046</v>
      </c>
    </row>
    <row r="59" spans="1:8" ht="15" customHeight="1" x14ac:dyDescent="0.3">
      <c r="A59" s="4">
        <v>801084</v>
      </c>
      <c r="B59" s="4" t="s">
        <v>119</v>
      </c>
      <c r="C59" s="4">
        <v>331</v>
      </c>
      <c r="D59" s="5">
        <v>315</v>
      </c>
      <c r="E59" s="6">
        <v>12.6</v>
      </c>
      <c r="F59" s="5" t="s">
        <v>147</v>
      </c>
      <c r="G59" s="5"/>
      <c r="H59" s="3"/>
    </row>
    <row r="60" spans="1:8" ht="15" customHeight="1" x14ac:dyDescent="0.3">
      <c r="A60" s="4">
        <v>801149</v>
      </c>
      <c r="B60" s="4" t="s">
        <v>53</v>
      </c>
      <c r="C60" s="4">
        <v>202</v>
      </c>
      <c r="D60" s="5">
        <v>199</v>
      </c>
      <c r="E60" s="6">
        <v>7.96</v>
      </c>
      <c r="F60" s="5" t="s">
        <v>144</v>
      </c>
      <c r="G60" s="5"/>
      <c r="H60" s="3">
        <v>801035</v>
      </c>
    </row>
    <row r="61" spans="1:8" ht="15" customHeight="1" x14ac:dyDescent="0.3">
      <c r="A61" s="4">
        <v>801085</v>
      </c>
      <c r="B61" s="4" t="s">
        <v>117</v>
      </c>
      <c r="C61" s="4">
        <v>511</v>
      </c>
      <c r="D61" s="5">
        <v>494</v>
      </c>
      <c r="E61" s="6">
        <v>19.760000000000002</v>
      </c>
      <c r="F61" s="5" t="s">
        <v>147</v>
      </c>
      <c r="G61" s="5"/>
      <c r="H61" s="3"/>
    </row>
    <row r="62" spans="1:8" ht="15" customHeight="1" x14ac:dyDescent="0.3">
      <c r="A62" s="4">
        <v>801150</v>
      </c>
      <c r="B62" s="4" t="s">
        <v>52</v>
      </c>
      <c r="C62" s="4">
        <v>483</v>
      </c>
      <c r="D62" s="5">
        <v>466</v>
      </c>
      <c r="E62" s="6">
        <v>18.64</v>
      </c>
      <c r="F62" s="5" t="s">
        <v>145</v>
      </c>
      <c r="G62" s="5"/>
      <c r="H62" s="3"/>
    </row>
    <row r="63" spans="1:8" ht="15" customHeight="1" x14ac:dyDescent="0.3">
      <c r="A63" s="4">
        <v>801151</v>
      </c>
      <c r="B63" s="4" t="s">
        <v>83</v>
      </c>
      <c r="C63" s="4">
        <v>190</v>
      </c>
      <c r="D63" s="5">
        <v>187</v>
      </c>
      <c r="E63" s="6">
        <v>7.48</v>
      </c>
      <c r="F63" s="5" t="s">
        <v>144</v>
      </c>
      <c r="G63" s="5"/>
      <c r="H63" s="3"/>
    </row>
    <row r="64" spans="1:8" ht="15" customHeight="1" x14ac:dyDescent="0.3">
      <c r="A64" s="4">
        <v>801086</v>
      </c>
      <c r="B64" s="4" t="s">
        <v>115</v>
      </c>
      <c r="C64" s="4">
        <v>298</v>
      </c>
      <c r="D64" s="5">
        <v>289</v>
      </c>
      <c r="E64" s="6">
        <v>11.56</v>
      </c>
      <c r="F64" s="5" t="s">
        <v>148</v>
      </c>
      <c r="G64" s="5" t="str">
        <f>+VLOOKUP(B64,'[1]TIENDAS 2025'!$A$2:$B$143,2,0)</f>
        <v>TIENDAS ELITE</v>
      </c>
      <c r="H64" s="3"/>
    </row>
    <row r="65" spans="1:8" ht="15" customHeight="1" x14ac:dyDescent="0.3">
      <c r="A65" s="4">
        <v>801153</v>
      </c>
      <c r="B65" s="4" t="s">
        <v>51</v>
      </c>
      <c r="C65" s="4">
        <v>279</v>
      </c>
      <c r="D65" s="5">
        <v>271</v>
      </c>
      <c r="E65" s="6">
        <v>10.84</v>
      </c>
      <c r="F65" s="5" t="s">
        <v>144</v>
      </c>
      <c r="G65" s="5" t="str">
        <f>+VLOOKUP(B65,'[1]TIENDAS 2025'!$A$2:$B$143,2,0)</f>
        <v>TIENDAS ELITE</v>
      </c>
      <c r="H65" s="3"/>
    </row>
    <row r="66" spans="1:8" ht="15" customHeight="1" x14ac:dyDescent="0.3">
      <c r="A66" s="4">
        <v>801087</v>
      </c>
      <c r="B66" s="4" t="s">
        <v>114</v>
      </c>
      <c r="C66" s="4">
        <v>330</v>
      </c>
      <c r="D66" s="5">
        <v>313</v>
      </c>
      <c r="E66" s="6">
        <v>12.52</v>
      </c>
      <c r="F66" s="5" t="s">
        <v>148</v>
      </c>
      <c r="G66" s="5"/>
      <c r="H66" s="3"/>
    </row>
    <row r="67" spans="1:8" ht="15" customHeight="1" x14ac:dyDescent="0.3">
      <c r="A67" s="4">
        <v>801152</v>
      </c>
      <c r="B67" s="4" t="s">
        <v>76</v>
      </c>
      <c r="C67" s="4">
        <v>189</v>
      </c>
      <c r="D67" s="5">
        <v>183</v>
      </c>
      <c r="E67" s="6">
        <v>7.32</v>
      </c>
      <c r="F67" s="5" t="s">
        <v>145</v>
      </c>
      <c r="G67" s="5"/>
      <c r="H67" s="3"/>
    </row>
    <row r="68" spans="1:8" ht="15" customHeight="1" x14ac:dyDescent="0.3">
      <c r="A68" s="4">
        <v>801088</v>
      </c>
      <c r="B68" s="4" t="s">
        <v>124</v>
      </c>
      <c r="C68" s="4">
        <v>140</v>
      </c>
      <c r="D68" s="5">
        <v>140</v>
      </c>
      <c r="E68" s="6">
        <v>5.6000000000000005</v>
      </c>
      <c r="F68" s="5" t="s">
        <v>148</v>
      </c>
      <c r="G68" s="5"/>
      <c r="H68" s="3"/>
    </row>
    <row r="69" spans="1:8" ht="15" customHeight="1" x14ac:dyDescent="0.3">
      <c r="A69" s="4">
        <v>801154</v>
      </c>
      <c r="B69" s="4" t="s">
        <v>54</v>
      </c>
      <c r="C69" s="4">
        <v>190</v>
      </c>
      <c r="D69" s="5">
        <v>190</v>
      </c>
      <c r="E69" s="6">
        <v>7.6000000000000005</v>
      </c>
      <c r="F69" s="5" t="s">
        <v>145</v>
      </c>
      <c r="G69" s="5"/>
      <c r="H69" s="3"/>
    </row>
    <row r="70" spans="1:8" ht="15" customHeight="1" x14ac:dyDescent="0.3">
      <c r="A70" s="4">
        <v>801089</v>
      </c>
      <c r="B70" s="4" t="s">
        <v>112</v>
      </c>
      <c r="C70" s="4">
        <v>335</v>
      </c>
      <c r="D70" s="5">
        <v>325</v>
      </c>
      <c r="E70" s="6">
        <v>13</v>
      </c>
      <c r="F70" s="5" t="s">
        <v>147</v>
      </c>
      <c r="G70" s="5"/>
      <c r="H70" s="3"/>
    </row>
    <row r="71" spans="1:8" ht="15" customHeight="1" x14ac:dyDescent="0.3">
      <c r="A71" s="4">
        <v>801090</v>
      </c>
      <c r="B71" s="4" t="s">
        <v>110</v>
      </c>
      <c r="C71" s="4">
        <v>271</v>
      </c>
      <c r="D71" s="5">
        <v>260</v>
      </c>
      <c r="E71" s="6">
        <v>10.4</v>
      </c>
      <c r="F71" s="5" t="s">
        <v>147</v>
      </c>
      <c r="G71" s="5"/>
      <c r="H71" s="3"/>
    </row>
    <row r="72" spans="1:8" ht="15" customHeight="1" x14ac:dyDescent="0.3">
      <c r="A72" s="4">
        <v>801091</v>
      </c>
      <c r="B72" s="4" t="s">
        <v>123</v>
      </c>
      <c r="C72" s="4">
        <v>164</v>
      </c>
      <c r="D72" s="5">
        <v>161</v>
      </c>
      <c r="E72" s="6">
        <v>6.44</v>
      </c>
      <c r="F72" s="5" t="s">
        <v>148</v>
      </c>
      <c r="G72" s="5"/>
      <c r="H72" s="3"/>
    </row>
    <row r="73" spans="1:8" ht="15" customHeight="1" x14ac:dyDescent="0.3">
      <c r="A73" s="4">
        <v>801166</v>
      </c>
      <c r="B73" s="4" t="s">
        <v>37</v>
      </c>
      <c r="C73" s="4">
        <v>354</v>
      </c>
      <c r="D73" s="5">
        <v>347</v>
      </c>
      <c r="E73" s="6">
        <v>13.88</v>
      </c>
      <c r="F73" s="5" t="s">
        <v>145</v>
      </c>
      <c r="G73" s="5"/>
      <c r="H73" s="3">
        <v>801031</v>
      </c>
    </row>
    <row r="74" spans="1:8" ht="15" customHeight="1" x14ac:dyDescent="0.3">
      <c r="A74" s="4">
        <v>801165</v>
      </c>
      <c r="B74" s="4" t="s">
        <v>38</v>
      </c>
      <c r="C74" s="4">
        <v>464</v>
      </c>
      <c r="D74" s="5">
        <v>449</v>
      </c>
      <c r="E74" s="6">
        <v>17.96</v>
      </c>
      <c r="F74" s="5" t="s">
        <v>145</v>
      </c>
      <c r="G74" s="5"/>
      <c r="H74" s="3"/>
    </row>
    <row r="75" spans="1:8" ht="15" customHeight="1" x14ac:dyDescent="0.3">
      <c r="A75" s="4">
        <v>801164</v>
      </c>
      <c r="B75" s="4" t="s">
        <v>39</v>
      </c>
      <c r="C75" s="4">
        <v>223</v>
      </c>
      <c r="D75" s="5">
        <v>221</v>
      </c>
      <c r="E75" s="6">
        <v>8.84</v>
      </c>
      <c r="F75" s="5" t="s">
        <v>144</v>
      </c>
      <c r="G75" s="5"/>
      <c r="H75" s="3">
        <v>801032</v>
      </c>
    </row>
    <row r="76" spans="1:8" ht="15" customHeight="1" x14ac:dyDescent="0.3">
      <c r="A76" s="4">
        <v>801163</v>
      </c>
      <c r="B76" s="4" t="s">
        <v>46</v>
      </c>
      <c r="C76" s="4">
        <v>202</v>
      </c>
      <c r="D76" s="5">
        <v>196</v>
      </c>
      <c r="E76" s="6">
        <v>7.84</v>
      </c>
      <c r="F76" s="5" t="s">
        <v>144</v>
      </c>
      <c r="G76" s="5"/>
      <c r="H76" s="3"/>
    </row>
    <row r="77" spans="1:8" ht="15" customHeight="1" x14ac:dyDescent="0.3">
      <c r="A77" s="4">
        <v>801162</v>
      </c>
      <c r="B77" s="4" t="s">
        <v>41</v>
      </c>
      <c r="C77" s="4">
        <v>243</v>
      </c>
      <c r="D77" s="5">
        <v>240</v>
      </c>
      <c r="E77" s="6">
        <v>9.6</v>
      </c>
      <c r="F77" s="5" t="s">
        <v>145</v>
      </c>
      <c r="G77" s="5" t="str">
        <f>+VLOOKUP(B77,'[1]TIENDAS 2025'!$A$2:$B$143,2,0)</f>
        <v>TIENDAS ELITE</v>
      </c>
      <c r="H77" s="3"/>
    </row>
    <row r="78" spans="1:8" ht="15" customHeight="1" x14ac:dyDescent="0.3">
      <c r="A78" s="4">
        <v>801161</v>
      </c>
      <c r="B78" s="4" t="s">
        <v>42</v>
      </c>
      <c r="C78" s="4">
        <v>280</v>
      </c>
      <c r="D78" s="5">
        <v>276</v>
      </c>
      <c r="E78" s="6">
        <v>11.040000000000001</v>
      </c>
      <c r="F78" s="5" t="s">
        <v>144</v>
      </c>
      <c r="G78" s="5"/>
      <c r="H78" s="3"/>
    </row>
    <row r="79" spans="1:8" ht="15" customHeight="1" x14ac:dyDescent="0.3">
      <c r="A79" s="4">
        <v>801160</v>
      </c>
      <c r="B79" s="4" t="s">
        <v>44</v>
      </c>
      <c r="C79" s="4">
        <v>357</v>
      </c>
      <c r="D79" s="5">
        <v>349</v>
      </c>
      <c r="E79" s="6">
        <v>13.96</v>
      </c>
      <c r="F79" s="5" t="s">
        <v>145</v>
      </c>
      <c r="G79" s="5"/>
      <c r="H79" s="3"/>
    </row>
    <row r="80" spans="1:8" ht="15" customHeight="1" x14ac:dyDescent="0.3">
      <c r="A80" s="4">
        <v>801092</v>
      </c>
      <c r="B80" s="4" t="s">
        <v>109</v>
      </c>
      <c r="C80" s="4">
        <v>253</v>
      </c>
      <c r="D80" s="5">
        <v>248</v>
      </c>
      <c r="E80" s="6">
        <v>9.92</v>
      </c>
      <c r="F80" s="5" t="s">
        <v>148</v>
      </c>
      <c r="G80" s="5" t="str">
        <f>+VLOOKUP(B80,'[1]TIENDAS 2025'!$A$2:$B$143,2,0)</f>
        <v>TIENDAS ELITE</v>
      </c>
      <c r="H80" s="3"/>
    </row>
    <row r="81" spans="1:8" ht="15" customHeight="1" x14ac:dyDescent="0.3">
      <c r="A81" s="4">
        <v>801093</v>
      </c>
      <c r="B81" s="4" t="s">
        <v>111</v>
      </c>
      <c r="C81" s="4">
        <v>230</v>
      </c>
      <c r="D81" s="5">
        <v>227</v>
      </c>
      <c r="E81" s="6">
        <v>9.08</v>
      </c>
      <c r="F81" s="5" t="s">
        <v>147</v>
      </c>
      <c r="G81" s="5"/>
      <c r="H81" s="3"/>
    </row>
    <row r="82" spans="1:8" ht="15" customHeight="1" x14ac:dyDescent="0.3">
      <c r="A82" s="4">
        <v>801159</v>
      </c>
      <c r="B82" s="4" t="s">
        <v>45</v>
      </c>
      <c r="C82" s="4">
        <v>265</v>
      </c>
      <c r="D82" s="5">
        <v>264</v>
      </c>
      <c r="E82" s="6">
        <v>10.56</v>
      </c>
      <c r="F82" s="5" t="s">
        <v>145</v>
      </c>
      <c r="G82" s="5"/>
      <c r="H82" s="3"/>
    </row>
    <row r="83" spans="1:8" ht="15" customHeight="1" x14ac:dyDescent="0.3">
      <c r="A83" s="4">
        <v>801158</v>
      </c>
      <c r="B83" s="4" t="s">
        <v>49</v>
      </c>
      <c r="C83" s="4">
        <v>224</v>
      </c>
      <c r="D83" s="5">
        <v>222</v>
      </c>
      <c r="E83" s="6">
        <v>8.8800000000000008</v>
      </c>
      <c r="F83" s="5" t="s">
        <v>145</v>
      </c>
      <c r="G83" s="5"/>
      <c r="H83" s="3"/>
    </row>
    <row r="84" spans="1:8" ht="15" customHeight="1" x14ac:dyDescent="0.3">
      <c r="A84" s="4">
        <v>801157</v>
      </c>
      <c r="B84" s="4" t="s">
        <v>47</v>
      </c>
      <c r="C84" s="4">
        <v>492</v>
      </c>
      <c r="D84" s="5">
        <v>465</v>
      </c>
      <c r="E84" s="6">
        <v>18.600000000000001</v>
      </c>
      <c r="F84" s="5" t="s">
        <v>145</v>
      </c>
      <c r="G84" s="5"/>
      <c r="H84" s="3">
        <v>801027</v>
      </c>
    </row>
    <row r="85" spans="1:8" ht="15" customHeight="1" x14ac:dyDescent="0.3">
      <c r="A85" s="4">
        <v>801156</v>
      </c>
      <c r="B85" s="4" t="s">
        <v>48</v>
      </c>
      <c r="C85" s="4">
        <v>313</v>
      </c>
      <c r="D85" s="5">
        <v>308</v>
      </c>
      <c r="E85" s="6">
        <v>12.32</v>
      </c>
      <c r="F85" s="5" t="s">
        <v>145</v>
      </c>
      <c r="G85" s="5"/>
      <c r="H85" s="3">
        <v>801028</v>
      </c>
    </row>
    <row r="86" spans="1:8" ht="15" customHeight="1" x14ac:dyDescent="0.3">
      <c r="A86" s="4">
        <v>801094</v>
      </c>
      <c r="B86" s="4" t="s">
        <v>118</v>
      </c>
      <c r="C86" s="4">
        <v>123</v>
      </c>
      <c r="D86" s="5">
        <v>123</v>
      </c>
      <c r="E86" s="6">
        <v>4.92</v>
      </c>
      <c r="F86" s="5" t="s">
        <v>147</v>
      </c>
      <c r="G86" s="5"/>
      <c r="H86" s="3"/>
    </row>
    <row r="87" spans="1:8" ht="15" customHeight="1" x14ac:dyDescent="0.3">
      <c r="A87" s="4">
        <v>801155</v>
      </c>
      <c r="B87" s="4" t="s">
        <v>50</v>
      </c>
      <c r="C87" s="4">
        <v>189</v>
      </c>
      <c r="D87" s="5">
        <v>189</v>
      </c>
      <c r="E87" s="6">
        <v>7.5600000000000005</v>
      </c>
      <c r="F87" s="5" t="s">
        <v>145</v>
      </c>
      <c r="G87" s="5"/>
      <c r="H87" s="3"/>
    </row>
    <row r="88" spans="1:8" ht="15" customHeight="1" x14ac:dyDescent="0.3">
      <c r="A88" s="4">
        <v>801174</v>
      </c>
      <c r="B88" s="4" t="s">
        <v>29</v>
      </c>
      <c r="C88" s="4">
        <v>316</v>
      </c>
      <c r="D88" s="5">
        <v>300</v>
      </c>
      <c r="E88" s="6">
        <v>12</v>
      </c>
      <c r="F88" s="5" t="s">
        <v>145</v>
      </c>
      <c r="G88" s="5"/>
      <c r="H88" s="3"/>
    </row>
    <row r="89" spans="1:8" ht="15" customHeight="1" x14ac:dyDescent="0.3">
      <c r="A89" s="4">
        <v>801095</v>
      </c>
      <c r="B89" s="4" t="s">
        <v>107</v>
      </c>
      <c r="C89" s="4">
        <v>271</v>
      </c>
      <c r="D89" s="5">
        <v>263</v>
      </c>
      <c r="E89" s="6">
        <v>10.52</v>
      </c>
      <c r="F89" s="5" t="s">
        <v>148</v>
      </c>
      <c r="G89" s="5" t="str">
        <f>+VLOOKUP(B89,'[1]TIENDAS 2025'!$A$2:$B$143,2,0)</f>
        <v>TIENDAS ELITE</v>
      </c>
      <c r="H89" s="3"/>
    </row>
    <row r="90" spans="1:8" ht="15" customHeight="1" x14ac:dyDescent="0.3">
      <c r="A90" s="4">
        <v>801173</v>
      </c>
      <c r="B90" s="4" t="s">
        <v>30</v>
      </c>
      <c r="C90" s="4">
        <v>483</v>
      </c>
      <c r="D90" s="5">
        <v>461</v>
      </c>
      <c r="E90" s="6">
        <v>18.440000000000001</v>
      </c>
      <c r="F90" s="5" t="s">
        <v>145</v>
      </c>
      <c r="G90" s="5" t="str">
        <f>+VLOOKUP(B90,'[1]TIENDAS 2025'!$A$2:$B$143,2,0)</f>
        <v>TIENDAS ELITE</v>
      </c>
      <c r="H90" s="3">
        <v>801008</v>
      </c>
    </row>
    <row r="91" spans="1:8" ht="15" customHeight="1" x14ac:dyDescent="0.3">
      <c r="A91" s="4">
        <v>801172</v>
      </c>
      <c r="B91" s="4" t="s">
        <v>31</v>
      </c>
      <c r="C91" s="4">
        <v>256</v>
      </c>
      <c r="D91" s="5">
        <v>251</v>
      </c>
      <c r="E91" s="6">
        <v>10.040000000000001</v>
      </c>
      <c r="F91" s="5" t="s">
        <v>145</v>
      </c>
      <c r="G91" s="5"/>
      <c r="H91" s="3"/>
    </row>
    <row r="92" spans="1:8" ht="15" customHeight="1" x14ac:dyDescent="0.3">
      <c r="A92" s="4">
        <v>801171</v>
      </c>
      <c r="B92" s="4" t="s">
        <v>33</v>
      </c>
      <c r="C92" s="4">
        <v>239</v>
      </c>
      <c r="D92" s="5">
        <v>219</v>
      </c>
      <c r="E92" s="6">
        <v>8.76</v>
      </c>
      <c r="F92" s="5" t="s">
        <v>145</v>
      </c>
      <c r="G92" s="5"/>
      <c r="H92" s="3"/>
    </row>
    <row r="93" spans="1:8" ht="15" customHeight="1" x14ac:dyDescent="0.3">
      <c r="A93" s="4">
        <v>801099</v>
      </c>
      <c r="B93" s="4" t="s">
        <v>102</v>
      </c>
      <c r="C93" s="4">
        <v>195</v>
      </c>
      <c r="D93" s="5">
        <v>195</v>
      </c>
      <c r="E93" s="6">
        <v>7.8</v>
      </c>
      <c r="F93" s="5" t="s">
        <v>147</v>
      </c>
      <c r="G93" s="5"/>
      <c r="H93" s="3"/>
    </row>
    <row r="94" spans="1:8" ht="15" customHeight="1" x14ac:dyDescent="0.3">
      <c r="A94" s="4">
        <v>801170</v>
      </c>
      <c r="B94" s="4" t="s">
        <v>43</v>
      </c>
      <c r="C94" s="4">
        <v>190</v>
      </c>
      <c r="D94" s="5">
        <v>189</v>
      </c>
      <c r="E94" s="6">
        <v>7.5600000000000005</v>
      </c>
      <c r="F94" s="5" t="s">
        <v>144</v>
      </c>
      <c r="G94" s="5"/>
      <c r="H94" s="3"/>
    </row>
    <row r="95" spans="1:8" ht="15" customHeight="1" x14ac:dyDescent="0.3">
      <c r="A95" s="4">
        <v>801169</v>
      </c>
      <c r="B95" s="4" t="s">
        <v>34</v>
      </c>
      <c r="C95" s="4">
        <v>447</v>
      </c>
      <c r="D95" s="5">
        <v>413</v>
      </c>
      <c r="E95" s="6">
        <v>16.52</v>
      </c>
      <c r="F95" s="5" t="s">
        <v>144</v>
      </c>
      <c r="G95" s="5"/>
      <c r="H95" s="3"/>
    </row>
    <row r="96" spans="1:8" ht="15" customHeight="1" x14ac:dyDescent="0.3">
      <c r="A96" s="4">
        <v>801096</v>
      </c>
      <c r="B96" s="4" t="s">
        <v>105</v>
      </c>
      <c r="C96" s="4">
        <v>391</v>
      </c>
      <c r="D96" s="5">
        <v>372</v>
      </c>
      <c r="E96" s="6">
        <v>14.88</v>
      </c>
      <c r="F96" s="5" t="s">
        <v>147</v>
      </c>
      <c r="G96" s="5"/>
      <c r="H96" s="3"/>
    </row>
    <row r="97" spans="1:8" ht="15" customHeight="1" x14ac:dyDescent="0.3">
      <c r="A97" s="4">
        <v>801168</v>
      </c>
      <c r="B97" s="4" t="s">
        <v>35</v>
      </c>
      <c r="C97" s="4">
        <v>391</v>
      </c>
      <c r="D97" s="5">
        <v>382</v>
      </c>
      <c r="E97" s="6">
        <v>15.280000000000001</v>
      </c>
      <c r="F97" s="5" t="s">
        <v>144</v>
      </c>
      <c r="G97" s="5"/>
      <c r="H97" s="3">
        <v>801006</v>
      </c>
    </row>
    <row r="98" spans="1:8" ht="15" customHeight="1" x14ac:dyDescent="0.3">
      <c r="A98" s="4">
        <v>801097</v>
      </c>
      <c r="B98" s="4" t="s">
        <v>106</v>
      </c>
      <c r="C98" s="4">
        <v>243</v>
      </c>
      <c r="D98" s="5">
        <v>240</v>
      </c>
      <c r="E98" s="6">
        <v>9.6</v>
      </c>
      <c r="F98" s="5" t="s">
        <v>147</v>
      </c>
      <c r="G98" s="5"/>
      <c r="H98" s="3"/>
    </row>
    <row r="99" spans="1:8" ht="15" customHeight="1" x14ac:dyDescent="0.3">
      <c r="A99" s="4">
        <v>801167</v>
      </c>
      <c r="B99" s="4" t="s">
        <v>36</v>
      </c>
      <c r="C99" s="4">
        <v>536</v>
      </c>
      <c r="D99" s="5">
        <v>524</v>
      </c>
      <c r="E99" s="6">
        <v>20.96</v>
      </c>
      <c r="F99" s="5" t="s">
        <v>144</v>
      </c>
      <c r="G99" s="5"/>
      <c r="H99" s="3">
        <v>801007</v>
      </c>
    </row>
    <row r="100" spans="1:8" ht="15" customHeight="1" x14ac:dyDescent="0.3">
      <c r="A100" s="4">
        <v>801098</v>
      </c>
      <c r="B100" s="4" t="s">
        <v>104</v>
      </c>
      <c r="C100" s="4">
        <v>440</v>
      </c>
      <c r="D100" s="5">
        <v>428</v>
      </c>
      <c r="E100" s="6">
        <v>17.12</v>
      </c>
      <c r="F100" s="5" t="s">
        <v>147</v>
      </c>
      <c r="G100" s="5"/>
      <c r="H100" s="3"/>
    </row>
    <row r="101" spans="1:8" ht="15" customHeight="1" x14ac:dyDescent="0.3">
      <c r="A101" s="4">
        <v>801175</v>
      </c>
      <c r="B101" s="4" t="s">
        <v>28</v>
      </c>
      <c r="C101" s="4">
        <v>354</v>
      </c>
      <c r="D101" s="5">
        <v>351</v>
      </c>
      <c r="E101" s="6">
        <v>14.040000000000001</v>
      </c>
      <c r="F101" s="5" t="s">
        <v>144</v>
      </c>
      <c r="G101" s="5"/>
      <c r="H101" s="3">
        <v>801002</v>
      </c>
    </row>
    <row r="102" spans="1:8" ht="15" customHeight="1" x14ac:dyDescent="0.3">
      <c r="A102" s="4">
        <v>801186</v>
      </c>
      <c r="B102" s="4" t="s">
        <v>18</v>
      </c>
      <c r="C102" s="4">
        <v>412</v>
      </c>
      <c r="D102" s="5">
        <v>406</v>
      </c>
      <c r="E102" s="6">
        <v>16.240000000000002</v>
      </c>
      <c r="F102" s="5" t="s">
        <v>144</v>
      </c>
      <c r="G102" s="5"/>
      <c r="H102" s="3">
        <v>801003</v>
      </c>
    </row>
    <row r="103" spans="1:8" ht="15" customHeight="1" x14ac:dyDescent="0.3">
      <c r="A103" s="4">
        <v>801100</v>
      </c>
      <c r="B103" s="4" t="s">
        <v>103</v>
      </c>
      <c r="C103" s="4">
        <v>212</v>
      </c>
      <c r="D103" s="5">
        <v>209</v>
      </c>
      <c r="E103" s="6">
        <v>8.36</v>
      </c>
      <c r="F103" s="5" t="s">
        <v>148</v>
      </c>
      <c r="G103" s="5"/>
      <c r="H103" s="3"/>
    </row>
    <row r="104" spans="1:8" ht="15" customHeight="1" x14ac:dyDescent="0.3">
      <c r="A104" s="4">
        <v>801185</v>
      </c>
      <c r="B104" s="4" t="s">
        <v>19</v>
      </c>
      <c r="C104" s="4">
        <v>297</v>
      </c>
      <c r="D104" s="5">
        <v>291</v>
      </c>
      <c r="E104" s="6">
        <v>11.64</v>
      </c>
      <c r="F104" s="5" t="s">
        <v>144</v>
      </c>
      <c r="G104" s="5"/>
      <c r="H104" s="3"/>
    </row>
    <row r="105" spans="1:8" ht="15" customHeight="1" x14ac:dyDescent="0.3">
      <c r="A105" s="4">
        <v>801184</v>
      </c>
      <c r="B105" s="4" t="s">
        <v>20</v>
      </c>
      <c r="C105" s="4">
        <v>359</v>
      </c>
      <c r="D105" s="5">
        <v>353</v>
      </c>
      <c r="E105" s="6">
        <v>14.120000000000001</v>
      </c>
      <c r="F105" s="5" t="s">
        <v>145</v>
      </c>
      <c r="G105" s="5"/>
      <c r="H105" s="3">
        <v>801000</v>
      </c>
    </row>
    <row r="106" spans="1:8" ht="15" customHeight="1" x14ac:dyDescent="0.3">
      <c r="A106" s="4">
        <v>801101</v>
      </c>
      <c r="B106" s="4" t="s">
        <v>101</v>
      </c>
      <c r="C106" s="4">
        <v>399</v>
      </c>
      <c r="D106" s="5">
        <v>387</v>
      </c>
      <c r="E106" s="6">
        <v>15.48</v>
      </c>
      <c r="F106" s="5" t="s">
        <v>148</v>
      </c>
      <c r="G106" s="5" t="str">
        <f>+VLOOKUP(B106,'[1]TIENDAS 2025'!$A$2:$B$143,2,0)</f>
        <v>TIENDAS ELITE</v>
      </c>
      <c r="H106" s="3"/>
    </row>
    <row r="107" spans="1:8" ht="15" customHeight="1" x14ac:dyDescent="0.3">
      <c r="A107" s="4">
        <v>801183</v>
      </c>
      <c r="B107" s="4" t="s">
        <v>40</v>
      </c>
      <c r="C107" s="4">
        <v>162</v>
      </c>
      <c r="D107" s="5">
        <v>160</v>
      </c>
      <c r="E107" s="6">
        <v>6.4</v>
      </c>
      <c r="F107" s="5" t="s">
        <v>145</v>
      </c>
      <c r="G107" s="5"/>
      <c r="H107" s="3"/>
    </row>
    <row r="108" spans="1:8" ht="15" customHeight="1" x14ac:dyDescent="0.3">
      <c r="A108" s="4">
        <v>801182</v>
      </c>
      <c r="B108" s="4" t="s">
        <v>21</v>
      </c>
      <c r="C108" s="4">
        <v>310</v>
      </c>
      <c r="D108" s="5">
        <v>304</v>
      </c>
      <c r="E108" s="6">
        <v>12.16</v>
      </c>
      <c r="F108" s="5" t="s">
        <v>146</v>
      </c>
      <c r="G108" s="5"/>
      <c r="H108" s="3">
        <v>800998</v>
      </c>
    </row>
    <row r="109" spans="1:8" ht="15" customHeight="1" x14ac:dyDescent="0.3">
      <c r="A109" s="4">
        <v>801181</v>
      </c>
      <c r="B109" s="4" t="s">
        <v>22</v>
      </c>
      <c r="C109" s="4">
        <v>682</v>
      </c>
      <c r="D109" s="5">
        <v>667</v>
      </c>
      <c r="E109" s="6">
        <v>26.68</v>
      </c>
      <c r="F109" s="5" t="s">
        <v>145</v>
      </c>
      <c r="G109" s="5"/>
      <c r="H109" s="3">
        <v>800910</v>
      </c>
    </row>
    <row r="110" spans="1:8" ht="15" customHeight="1" x14ac:dyDescent="0.3">
      <c r="A110" s="4">
        <v>801180</v>
      </c>
      <c r="B110" s="4" t="s">
        <v>23</v>
      </c>
      <c r="C110" s="4">
        <v>447</v>
      </c>
      <c r="D110" s="5">
        <v>423</v>
      </c>
      <c r="E110" s="6">
        <v>16.920000000000002</v>
      </c>
      <c r="F110" s="5" t="s">
        <v>145</v>
      </c>
      <c r="G110" s="5"/>
      <c r="H110" s="3">
        <v>800995</v>
      </c>
    </row>
    <row r="111" spans="1:8" ht="15" customHeight="1" x14ac:dyDescent="0.3">
      <c r="A111" s="4">
        <v>801179</v>
      </c>
      <c r="B111" s="4" t="s">
        <v>24</v>
      </c>
      <c r="C111" s="4">
        <v>305</v>
      </c>
      <c r="D111" s="5">
        <v>299</v>
      </c>
      <c r="E111" s="6">
        <v>11.96</v>
      </c>
      <c r="F111" s="5" t="s">
        <v>145</v>
      </c>
      <c r="G111" s="5"/>
      <c r="H111" s="3"/>
    </row>
    <row r="112" spans="1:8" ht="15" customHeight="1" x14ac:dyDescent="0.3">
      <c r="A112" s="4">
        <v>801178</v>
      </c>
      <c r="B112" s="4" t="s">
        <v>25</v>
      </c>
      <c r="C112" s="4">
        <v>321</v>
      </c>
      <c r="D112" s="5">
        <v>304</v>
      </c>
      <c r="E112" s="6">
        <v>12.16</v>
      </c>
      <c r="F112" s="5" t="s">
        <v>144</v>
      </c>
      <c r="G112" s="5"/>
      <c r="H112" s="3"/>
    </row>
    <row r="113" spans="1:8" ht="15" customHeight="1" x14ac:dyDescent="0.3">
      <c r="A113" s="4">
        <v>801177</v>
      </c>
      <c r="B113" s="4" t="s">
        <v>26</v>
      </c>
      <c r="C113" s="4">
        <v>427</v>
      </c>
      <c r="D113" s="5">
        <v>418</v>
      </c>
      <c r="E113" s="6">
        <v>16.72</v>
      </c>
      <c r="F113" s="5" t="s">
        <v>144</v>
      </c>
      <c r="G113" s="5"/>
      <c r="H113" s="3">
        <v>800992</v>
      </c>
    </row>
    <row r="114" spans="1:8" ht="15" customHeight="1" x14ac:dyDescent="0.3">
      <c r="A114" s="4">
        <v>801102</v>
      </c>
      <c r="B114" s="4" t="s">
        <v>100</v>
      </c>
      <c r="C114" s="4">
        <v>238</v>
      </c>
      <c r="D114" s="5">
        <v>229</v>
      </c>
      <c r="E114" s="6">
        <v>9.16</v>
      </c>
      <c r="F114" s="5" t="s">
        <v>147</v>
      </c>
      <c r="G114" s="5"/>
      <c r="H114" s="3"/>
    </row>
    <row r="115" spans="1:8" ht="15" customHeight="1" x14ac:dyDescent="0.3">
      <c r="A115" s="4">
        <v>801176</v>
      </c>
      <c r="B115" s="4" t="s">
        <v>27</v>
      </c>
      <c r="C115" s="4">
        <v>314</v>
      </c>
      <c r="D115" s="5">
        <v>309</v>
      </c>
      <c r="E115" s="6">
        <v>12.36</v>
      </c>
      <c r="F115" s="5" t="s">
        <v>144</v>
      </c>
      <c r="G115" s="5"/>
      <c r="H115" s="3"/>
    </row>
    <row r="116" spans="1:8" ht="15" customHeight="1" x14ac:dyDescent="0.3">
      <c r="A116" s="4">
        <v>801197</v>
      </c>
      <c r="B116" s="4" t="s">
        <v>9</v>
      </c>
      <c r="C116" s="4">
        <v>418</v>
      </c>
      <c r="D116" s="5">
        <v>407</v>
      </c>
      <c r="E116" s="6">
        <v>16.28</v>
      </c>
      <c r="F116" s="5" t="s">
        <v>144</v>
      </c>
      <c r="G116" s="5"/>
      <c r="H116" s="3">
        <v>800990</v>
      </c>
    </row>
    <row r="117" spans="1:8" ht="15" customHeight="1" x14ac:dyDescent="0.3">
      <c r="A117" s="4">
        <v>801110</v>
      </c>
      <c r="B117" s="4" t="s">
        <v>89</v>
      </c>
      <c r="C117" s="4">
        <v>249</v>
      </c>
      <c r="D117" s="5">
        <v>242</v>
      </c>
      <c r="E117" s="6">
        <v>9.68</v>
      </c>
      <c r="F117" s="5" t="s">
        <v>147</v>
      </c>
      <c r="G117" s="5"/>
      <c r="H117" s="3">
        <v>800978</v>
      </c>
    </row>
    <row r="118" spans="1:8" ht="15" customHeight="1" x14ac:dyDescent="0.3">
      <c r="A118" s="4">
        <v>801196</v>
      </c>
      <c r="B118" s="4" t="s">
        <v>10</v>
      </c>
      <c r="C118" s="4">
        <v>435</v>
      </c>
      <c r="D118" s="5">
        <v>431</v>
      </c>
      <c r="E118" s="6">
        <v>17.240000000000002</v>
      </c>
      <c r="F118" s="5" t="s">
        <v>145</v>
      </c>
      <c r="G118" s="5" t="str">
        <f>+VLOOKUP(B118,'[1]TIENDAS 2025'!$A$2:$B$143,2,0)</f>
        <v>TIENDAS ELITE</v>
      </c>
      <c r="H118" s="3"/>
    </row>
    <row r="119" spans="1:8" ht="15" customHeight="1" x14ac:dyDescent="0.3">
      <c r="A119" s="4">
        <v>801195</v>
      </c>
      <c r="B119" s="4" t="s">
        <v>11</v>
      </c>
      <c r="C119" s="4">
        <v>413</v>
      </c>
      <c r="D119" s="5">
        <v>394</v>
      </c>
      <c r="E119" s="6">
        <v>15.76</v>
      </c>
      <c r="F119" s="5" t="s">
        <v>145</v>
      </c>
      <c r="G119" s="5"/>
      <c r="H119" s="3">
        <v>800989</v>
      </c>
    </row>
    <row r="120" spans="1:8" ht="15" customHeight="1" x14ac:dyDescent="0.3">
      <c r="A120" s="4">
        <v>801103</v>
      </c>
      <c r="B120" s="4" t="s">
        <v>97</v>
      </c>
      <c r="C120" s="4">
        <v>262</v>
      </c>
      <c r="D120" s="5">
        <v>248</v>
      </c>
      <c r="E120" s="6">
        <v>9.92</v>
      </c>
      <c r="F120" s="5" t="s">
        <v>147</v>
      </c>
      <c r="G120" s="5"/>
      <c r="H120" s="3"/>
    </row>
    <row r="121" spans="1:8" ht="15" customHeight="1" x14ac:dyDescent="0.3">
      <c r="A121" s="4">
        <v>801104</v>
      </c>
      <c r="B121" s="4" t="s">
        <v>113</v>
      </c>
      <c r="C121" s="4">
        <v>169</v>
      </c>
      <c r="D121" s="5">
        <v>169</v>
      </c>
      <c r="E121" s="6">
        <v>6.76</v>
      </c>
      <c r="F121" s="5" t="s">
        <v>147</v>
      </c>
      <c r="G121" s="5"/>
      <c r="H121" s="3"/>
    </row>
    <row r="122" spans="1:8" ht="15" customHeight="1" x14ac:dyDescent="0.3">
      <c r="A122" s="4">
        <v>801105</v>
      </c>
      <c r="B122" s="4" t="s">
        <v>96</v>
      </c>
      <c r="C122" s="4">
        <v>411</v>
      </c>
      <c r="D122" s="5">
        <v>404</v>
      </c>
      <c r="E122" s="6">
        <v>16.16</v>
      </c>
      <c r="F122" s="5" t="s">
        <v>148</v>
      </c>
      <c r="G122" s="5"/>
      <c r="H122" s="3"/>
    </row>
    <row r="123" spans="1:8" ht="15" customHeight="1" x14ac:dyDescent="0.3">
      <c r="A123" s="4">
        <v>801106</v>
      </c>
      <c r="B123" s="4" t="s">
        <v>95</v>
      </c>
      <c r="C123" s="4">
        <v>293</v>
      </c>
      <c r="D123" s="5">
        <v>289</v>
      </c>
      <c r="E123" s="6">
        <v>11.56</v>
      </c>
      <c r="F123" s="5" t="s">
        <v>147</v>
      </c>
      <c r="G123" s="5"/>
      <c r="H123" s="3"/>
    </row>
    <row r="124" spans="1:8" ht="15" customHeight="1" x14ac:dyDescent="0.3">
      <c r="A124" s="4">
        <v>801107</v>
      </c>
      <c r="B124" s="4" t="s">
        <v>93</v>
      </c>
      <c r="C124" s="4">
        <v>633</v>
      </c>
      <c r="D124" s="5">
        <v>604</v>
      </c>
      <c r="E124" s="6">
        <v>24.16</v>
      </c>
      <c r="F124" s="5" t="s">
        <v>147</v>
      </c>
      <c r="G124" s="5" t="str">
        <f>+VLOOKUP(B124,'[1]TIENDAS 2025'!$A$2:$B$143,2,0)</f>
        <v>TIENDAS ELITE</v>
      </c>
      <c r="H124" s="3"/>
    </row>
    <row r="125" spans="1:8" ht="15" customHeight="1" x14ac:dyDescent="0.3">
      <c r="A125" s="4">
        <v>801194</v>
      </c>
      <c r="B125" s="4" t="s">
        <v>12</v>
      </c>
      <c r="C125" s="4">
        <v>564</v>
      </c>
      <c r="D125" s="5">
        <v>552</v>
      </c>
      <c r="E125" s="6">
        <v>22.080000000000002</v>
      </c>
      <c r="F125" s="5" t="s">
        <v>144</v>
      </c>
      <c r="G125" s="5"/>
      <c r="H125" s="3">
        <v>800987</v>
      </c>
    </row>
    <row r="126" spans="1:8" ht="15" customHeight="1" x14ac:dyDescent="0.3">
      <c r="A126" s="4">
        <v>801193</v>
      </c>
      <c r="B126" s="4" t="s">
        <v>13</v>
      </c>
      <c r="C126" s="4">
        <v>347</v>
      </c>
      <c r="D126" s="5">
        <v>335</v>
      </c>
      <c r="E126" s="6">
        <v>13.4</v>
      </c>
      <c r="F126" s="5" t="s">
        <v>144</v>
      </c>
      <c r="G126" s="5"/>
      <c r="H126" s="3"/>
    </row>
    <row r="127" spans="1:8" ht="15" customHeight="1" x14ac:dyDescent="0.3">
      <c r="A127" s="4">
        <v>801192</v>
      </c>
      <c r="B127" s="4" t="s">
        <v>14</v>
      </c>
      <c r="C127" s="4">
        <v>406</v>
      </c>
      <c r="D127" s="5">
        <v>402</v>
      </c>
      <c r="E127" s="6">
        <v>16.080000000000002</v>
      </c>
      <c r="F127" s="5" t="s">
        <v>144</v>
      </c>
      <c r="G127" s="5"/>
      <c r="H127" s="3"/>
    </row>
    <row r="128" spans="1:8" ht="15" customHeight="1" x14ac:dyDescent="0.3">
      <c r="A128" s="4">
        <v>801191</v>
      </c>
      <c r="B128" s="4" t="s">
        <v>15</v>
      </c>
      <c r="C128" s="4">
        <v>197</v>
      </c>
      <c r="D128" s="5">
        <v>195</v>
      </c>
      <c r="E128" s="6">
        <v>7.8</v>
      </c>
      <c r="F128" s="5" t="s">
        <v>144</v>
      </c>
      <c r="G128" s="5"/>
      <c r="H128" s="3"/>
    </row>
    <row r="129" spans="1:8" ht="15" customHeight="1" x14ac:dyDescent="0.3">
      <c r="A129" s="4">
        <v>801190</v>
      </c>
      <c r="B129" s="4" t="s">
        <v>116</v>
      </c>
      <c r="C129" s="4">
        <v>183</v>
      </c>
      <c r="D129" s="5">
        <v>183</v>
      </c>
      <c r="E129" s="6">
        <v>7.32</v>
      </c>
      <c r="F129" s="5" t="s">
        <v>144</v>
      </c>
      <c r="G129" s="5"/>
      <c r="H129" s="3"/>
    </row>
    <row r="130" spans="1:8" ht="15" customHeight="1" x14ac:dyDescent="0.3">
      <c r="A130" s="4">
        <v>801189</v>
      </c>
      <c r="B130" s="4" t="s">
        <v>32</v>
      </c>
      <c r="C130" s="4">
        <v>232</v>
      </c>
      <c r="D130" s="5">
        <v>229</v>
      </c>
      <c r="E130" s="6">
        <v>9.16</v>
      </c>
      <c r="F130" s="5" t="s">
        <v>144</v>
      </c>
      <c r="G130" s="5"/>
      <c r="H130" s="3"/>
    </row>
    <row r="131" spans="1:8" ht="15" customHeight="1" x14ac:dyDescent="0.3">
      <c r="A131" s="4">
        <v>801188</v>
      </c>
      <c r="B131" s="4" t="s">
        <v>16</v>
      </c>
      <c r="C131" s="4">
        <v>439</v>
      </c>
      <c r="D131" s="5">
        <v>432</v>
      </c>
      <c r="E131" s="6">
        <v>17.28</v>
      </c>
      <c r="F131" s="5" t="s">
        <v>144</v>
      </c>
      <c r="G131" s="5"/>
      <c r="H131" s="3">
        <v>800983</v>
      </c>
    </row>
    <row r="132" spans="1:8" ht="15" customHeight="1" x14ac:dyDescent="0.3">
      <c r="A132" s="4">
        <v>801109</v>
      </c>
      <c r="B132" s="4" t="s">
        <v>91</v>
      </c>
      <c r="C132" s="4">
        <v>457</v>
      </c>
      <c r="D132" s="5">
        <v>453</v>
      </c>
      <c r="E132" s="6">
        <v>18.12</v>
      </c>
      <c r="F132" s="5" t="s">
        <v>148</v>
      </c>
      <c r="G132" s="5"/>
      <c r="H132" s="3"/>
    </row>
    <row r="133" spans="1:8" ht="15" customHeight="1" x14ac:dyDescent="0.3">
      <c r="A133" s="4">
        <v>801187</v>
      </c>
      <c r="B133" s="4" t="s">
        <v>17</v>
      </c>
      <c r="C133" s="4">
        <v>403</v>
      </c>
      <c r="D133" s="5">
        <v>392</v>
      </c>
      <c r="E133" s="6">
        <v>15.68</v>
      </c>
      <c r="F133" s="5" t="s">
        <v>145</v>
      </c>
      <c r="G133" s="5"/>
      <c r="H133" s="3"/>
    </row>
    <row r="134" spans="1:8" ht="15" customHeight="1" x14ac:dyDescent="0.3">
      <c r="A134" s="4">
        <v>801108</v>
      </c>
      <c r="B134" s="4" t="s">
        <v>92</v>
      </c>
      <c r="C134" s="4">
        <v>1178</v>
      </c>
      <c r="D134" s="5">
        <v>542</v>
      </c>
      <c r="E134" s="6">
        <v>21.68</v>
      </c>
      <c r="F134" s="5" t="s">
        <v>144</v>
      </c>
      <c r="G134" s="5"/>
      <c r="H134" s="3">
        <v>801064</v>
      </c>
    </row>
    <row r="135" spans="1:8" ht="15" customHeight="1" x14ac:dyDescent="0.3">
      <c r="B135" s="9" t="s">
        <v>141</v>
      </c>
      <c r="C135" s="10">
        <f>SUM(C3:C134)</f>
        <v>43502</v>
      </c>
      <c r="H135" s="3"/>
    </row>
    <row r="136" spans="1:8" ht="15" customHeight="1" x14ac:dyDescent="0.3">
      <c r="A136" s="15"/>
      <c r="B136" s="9" t="s">
        <v>142</v>
      </c>
      <c r="C136" s="10">
        <f>+C135-C138</f>
        <v>7403</v>
      </c>
      <c r="E136" s="15"/>
      <c r="F136" s="15"/>
      <c r="G136" s="15"/>
      <c r="H136" s="3"/>
    </row>
    <row r="137" spans="1:8" ht="15" customHeight="1" x14ac:dyDescent="0.3">
      <c r="B137" s="7"/>
      <c r="C137" s="8"/>
    </row>
    <row r="138" spans="1:8" ht="15" customHeight="1" x14ac:dyDescent="0.3">
      <c r="B138" s="11" t="s">
        <v>143</v>
      </c>
      <c r="C138" s="12">
        <f>+'[2]TIENDAS 15-10-2026'!$C$2334</f>
        <v>36099</v>
      </c>
    </row>
    <row r="139" spans="1:8" ht="15" customHeight="1" x14ac:dyDescent="0.3"/>
    <row r="140" spans="1:8" ht="15" customHeight="1" x14ac:dyDescent="0.3">
      <c r="D140" s="13" t="s">
        <v>5</v>
      </c>
      <c r="E140" s="14">
        <f>SUM(E3:E134)</f>
        <v>1671.2800000000004</v>
      </c>
    </row>
  </sheetData>
  <mergeCells count="1">
    <mergeCell ref="A1:C1"/>
  </mergeCells>
  <conditionalFormatting sqref="A3:G134">
    <cfRule type="expression" dxfId="6" priority="3" stopIfTrue="1">
      <formula>$G3&lt;&gt;""</formula>
    </cfRule>
  </conditionalFormatting>
  <conditionalFormatting sqref="A1:B1048576">
    <cfRule type="duplicateValues" dxfId="0" priority="2"/>
    <cfRule type="duplicateValues" dxfId="1" priority="4"/>
    <cfRule type="duplicateValues" dxfId="2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6976F3E-917A-4A65-867E-59F1E86ED2CB}"/>
</file>

<file path=customXml/itemProps2.xml><?xml version="1.0" encoding="utf-8"?>
<ds:datastoreItem xmlns:ds="http://schemas.openxmlformats.org/officeDocument/2006/customXml" ds:itemID="{BB2FBA73-6483-4E9A-95F4-1805EE85598F}"/>
</file>

<file path=customXml/itemProps3.xml><?xml version="1.0" encoding="utf-8"?>
<ds:datastoreItem xmlns:ds="http://schemas.openxmlformats.org/officeDocument/2006/customXml" ds:itemID="{A508406D-8ACB-4A50-853D-CD1DC0267A2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2026-10-15T15:36:13Z</dcterms:created>
  <dcterms:modified xsi:type="dcterms:W3CDTF">2026-10-15T15:36:13Z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