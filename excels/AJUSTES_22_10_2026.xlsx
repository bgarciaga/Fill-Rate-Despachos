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INVENTARIOS/AJUSTES/"/>
    </mc:Choice>
  </mc:AlternateContent>
  <xr:revisionPtr revIDLastSave="0" documentId="8_{3733AB84-4C82-4861-9659-33A60C22CB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ustes Multiclientes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J139" i="1" l="1"/>
  <c r="K139" i="1" s="1"/>
  <c r="J103" i="1"/>
  <c r="K103" i="1" s="1"/>
  <c r="J96" i="1"/>
  <c r="K96" i="1" s="1"/>
  <c r="J77" i="1"/>
  <c r="K77" i="1" s="1"/>
  <c r="J140" i="1"/>
  <c r="K140" i="1" s="1"/>
  <c r="J89" i="1"/>
  <c r="K89" i="1" s="1"/>
  <c r="J108" i="1"/>
  <c r="K108" i="1" s="1"/>
  <c r="J124" i="1"/>
  <c r="K124" i="1" s="1"/>
  <c r="J95" i="1"/>
  <c r="K95" i="1" s="1"/>
  <c r="J66" i="1"/>
  <c r="K66" i="1" s="1"/>
  <c r="J65" i="1"/>
  <c r="K65" i="1" s="1"/>
  <c r="J82" i="1"/>
  <c r="K82" i="1" s="1"/>
  <c r="J93" i="1"/>
  <c r="K93" i="1" s="1"/>
  <c r="J127" i="1"/>
  <c r="K127" i="1" s="1"/>
  <c r="J123" i="1"/>
  <c r="K123" i="1" s="1"/>
  <c r="J40" i="1"/>
  <c r="K40" i="1" s="1"/>
  <c r="J116" i="1"/>
  <c r="K116" i="1" s="1"/>
  <c r="J22" i="1"/>
  <c r="K22" i="1" s="1"/>
  <c r="J113" i="1"/>
  <c r="K113" i="1" s="1"/>
  <c r="J112" i="1"/>
  <c r="K112" i="1" s="1"/>
  <c r="J61" i="1"/>
  <c r="K61" i="1" s="1"/>
  <c r="J122" i="1"/>
  <c r="K122" i="1" s="1"/>
  <c r="J90" i="1"/>
  <c r="K90" i="1" s="1"/>
  <c r="J62" i="1"/>
  <c r="K62" i="1" s="1"/>
  <c r="J32" i="1"/>
  <c r="K32" i="1" s="1"/>
  <c r="J86" i="1"/>
  <c r="K86" i="1" s="1"/>
  <c r="J114" i="1"/>
  <c r="K114" i="1" s="1"/>
  <c r="J136" i="1"/>
  <c r="K136" i="1" s="1"/>
  <c r="J131" i="1"/>
  <c r="K131" i="1" s="1"/>
  <c r="J125" i="1"/>
  <c r="K125" i="1" s="1"/>
  <c r="J88" i="1"/>
  <c r="K88" i="1" s="1"/>
  <c r="J85" i="1"/>
  <c r="K85" i="1" s="1"/>
  <c r="J118" i="1"/>
  <c r="K118" i="1" s="1"/>
  <c r="J83" i="1"/>
  <c r="K83" i="1" s="1"/>
  <c r="J138" i="1"/>
  <c r="K138" i="1" s="1"/>
  <c r="J137" i="1"/>
  <c r="K137" i="1" s="1"/>
  <c r="J48" i="1"/>
  <c r="K48" i="1" s="1"/>
  <c r="J41" i="1"/>
  <c r="K41" i="1" s="1"/>
  <c r="J39" i="1"/>
  <c r="K39" i="1" s="1"/>
  <c r="J142" i="1"/>
  <c r="K142" i="1" s="1"/>
  <c r="J92" i="1"/>
  <c r="K92" i="1" s="1"/>
  <c r="J44" i="1"/>
  <c r="K44" i="1" s="1"/>
  <c r="J141" i="1"/>
  <c r="K141" i="1" s="1"/>
  <c r="J106" i="1"/>
  <c r="K106" i="1" s="1"/>
  <c r="J28" i="1"/>
  <c r="K28" i="1" s="1"/>
  <c r="J107" i="1"/>
  <c r="K107" i="1" s="1"/>
  <c r="J42" i="1"/>
  <c r="K42" i="1" s="1"/>
  <c r="J63" i="1"/>
  <c r="K63" i="1" s="1"/>
  <c r="J49" i="1"/>
  <c r="K49" i="1" s="1"/>
  <c r="J120" i="1"/>
  <c r="K120" i="1" s="1"/>
  <c r="J72" i="1"/>
  <c r="K72" i="1" s="1"/>
  <c r="J130" i="1"/>
  <c r="K130" i="1" s="1"/>
  <c r="J129" i="1"/>
  <c r="K129" i="1" s="1"/>
  <c r="J75" i="1"/>
  <c r="K75" i="1" s="1"/>
  <c r="J16" i="1"/>
  <c r="K16" i="1" s="1"/>
  <c r="J78" i="1"/>
  <c r="K78" i="1" s="1"/>
  <c r="J73" i="1"/>
  <c r="K73" i="1" s="1"/>
  <c r="J56" i="1"/>
  <c r="K56" i="1" s="1"/>
  <c r="J55" i="1"/>
  <c r="K55" i="1" s="1"/>
  <c r="J134" i="1"/>
  <c r="K134" i="1" s="1"/>
  <c r="J94" i="1"/>
  <c r="K94" i="1" s="1"/>
  <c r="J99" i="1"/>
  <c r="K99" i="1" s="1"/>
  <c r="J126" i="1"/>
  <c r="K126" i="1" s="1"/>
  <c r="J58" i="1"/>
  <c r="K58" i="1" s="1"/>
  <c r="J53" i="1"/>
  <c r="K53" i="1" s="1"/>
  <c r="J135" i="1"/>
  <c r="K135" i="1" s="1"/>
  <c r="J105" i="1"/>
  <c r="K105" i="1" s="1"/>
  <c r="J64" i="1"/>
  <c r="K64" i="1" s="1"/>
  <c r="J81" i="1"/>
  <c r="K81" i="1" s="1"/>
  <c r="J111" i="1"/>
  <c r="K111" i="1" s="1"/>
  <c r="J133" i="1"/>
  <c r="K133" i="1" s="1"/>
  <c r="J47" i="1"/>
  <c r="K47" i="1" s="1"/>
  <c r="J128" i="1"/>
  <c r="K128" i="1" s="1"/>
  <c r="J110" i="1"/>
  <c r="K110" i="1" s="1"/>
  <c r="J117" i="1"/>
  <c r="K117" i="1" s="1"/>
  <c r="J60" i="1"/>
  <c r="K60" i="1" s="1"/>
  <c r="J132" i="1"/>
  <c r="K132" i="1" s="1"/>
  <c r="J87" i="1"/>
  <c r="K87" i="1" s="1"/>
  <c r="J76" i="1"/>
  <c r="K76" i="1" s="1"/>
  <c r="J121" i="1"/>
  <c r="K121" i="1" s="1"/>
  <c r="J71" i="1"/>
  <c r="K71" i="1" s="1"/>
  <c r="J119" i="1"/>
  <c r="K119" i="1" s="1"/>
  <c r="J31" i="1"/>
  <c r="K31" i="1" s="1"/>
  <c r="J35" i="1"/>
  <c r="K35" i="1" s="1"/>
  <c r="J91" i="1"/>
  <c r="K91" i="1" s="1"/>
  <c r="J24" i="1"/>
  <c r="K24" i="1" s="1"/>
  <c r="J98" i="1"/>
  <c r="K98" i="1" s="1"/>
  <c r="J51" i="1"/>
  <c r="K51" i="1" s="1"/>
  <c r="J101" i="1"/>
  <c r="K101" i="1" s="1"/>
  <c r="J100" i="1"/>
  <c r="K100" i="1" s="1"/>
  <c r="J84" i="1"/>
  <c r="K84" i="1" s="1"/>
  <c r="J43" i="1"/>
  <c r="K43" i="1" s="1"/>
  <c r="J52" i="1"/>
  <c r="K52" i="1" s="1"/>
  <c r="J30" i="1"/>
  <c r="K30" i="1" s="1"/>
  <c r="J80" i="1"/>
  <c r="K80" i="1" s="1"/>
  <c r="J26" i="1"/>
  <c r="K26" i="1" s="1"/>
  <c r="J54" i="1"/>
  <c r="K54" i="1" s="1"/>
  <c r="J12" i="1"/>
  <c r="K12" i="1" s="1"/>
  <c r="J115" i="1"/>
  <c r="K115" i="1" s="1"/>
  <c r="J74" i="1"/>
  <c r="K74" i="1" s="1"/>
  <c r="J37" i="1"/>
  <c r="K37" i="1" s="1"/>
  <c r="J97" i="1"/>
  <c r="K97" i="1" s="1"/>
  <c r="J59" i="1"/>
  <c r="K59" i="1" s="1"/>
  <c r="J3" i="1"/>
  <c r="K3" i="1" s="1"/>
  <c r="J9" i="1"/>
  <c r="K9" i="1" s="1"/>
  <c r="J68" i="1"/>
  <c r="K68" i="1" s="1"/>
  <c r="J20" i="1"/>
  <c r="K20" i="1" s="1"/>
  <c r="J79" i="1"/>
  <c r="K79" i="1" s="1"/>
  <c r="J21" i="1"/>
  <c r="K21" i="1" s="1"/>
  <c r="J45" i="1"/>
  <c r="K45" i="1" s="1"/>
  <c r="J29" i="1"/>
  <c r="K29" i="1" s="1"/>
  <c r="J69" i="1"/>
  <c r="K69" i="1" s="1"/>
  <c r="J109" i="1"/>
  <c r="K109" i="1" s="1"/>
  <c r="J50" i="1"/>
  <c r="K50" i="1" s="1"/>
  <c r="J15" i="1"/>
  <c r="K15" i="1" s="1"/>
  <c r="J11" i="1"/>
  <c r="K11" i="1" s="1"/>
  <c r="J25" i="1"/>
  <c r="K25" i="1" s="1"/>
  <c r="J57" i="1"/>
  <c r="K57" i="1" s="1"/>
  <c r="J33" i="1"/>
  <c r="K33" i="1" s="1"/>
  <c r="J19" i="1"/>
  <c r="K19" i="1" s="1"/>
  <c r="J104" i="1"/>
  <c r="K104" i="1" s="1"/>
  <c r="J38" i="1"/>
  <c r="K38" i="1" s="1"/>
  <c r="J27" i="1"/>
  <c r="K27" i="1" s="1"/>
  <c r="J36" i="1"/>
  <c r="K36" i="1" s="1"/>
  <c r="J46" i="1"/>
  <c r="K46" i="1" s="1"/>
  <c r="J34" i="1"/>
  <c r="K34" i="1" s="1"/>
  <c r="J4" i="1"/>
  <c r="K4" i="1" s="1"/>
  <c r="J14" i="1"/>
  <c r="K14" i="1" s="1"/>
  <c r="J67" i="1"/>
  <c r="K67" i="1" s="1"/>
  <c r="J10" i="1"/>
  <c r="K10" i="1" s="1"/>
  <c r="J23" i="1"/>
  <c r="K23" i="1" s="1"/>
  <c r="J6" i="1"/>
  <c r="K6" i="1" s="1"/>
  <c r="J13" i="1"/>
  <c r="K13" i="1" s="1"/>
  <c r="J102" i="1"/>
  <c r="K102" i="1" s="1"/>
  <c r="J17" i="1"/>
  <c r="K17" i="1" s="1"/>
  <c r="J7" i="1"/>
  <c r="K7" i="1" s="1"/>
  <c r="J2" i="1"/>
  <c r="K2" i="1" s="1"/>
  <c r="J18" i="1"/>
  <c r="K18" i="1" s="1"/>
  <c r="J5" i="1"/>
  <c r="K5" i="1" s="1"/>
  <c r="J70" i="1"/>
  <c r="K70" i="1" s="1"/>
  <c r="J8" i="1"/>
  <c r="K8" i="1" s="1"/>
</calcChain>
</file>

<file path=xl/sharedStrings.xml><?xml version="1.0" encoding="utf-8"?>
<sst xmlns="http://schemas.openxmlformats.org/spreadsheetml/2006/main" count="1244" uniqueCount="613">
  <si>
    <t>CODE ERP</t>
  </si>
  <si>
    <t>DESCRIPCION</t>
  </si>
  <si>
    <t>FECHA MOV STOCK</t>
  </si>
  <si>
    <t>NOMBRE USUARIO</t>
  </si>
  <si>
    <t>ETIQ CONTENEDOR</t>
  </si>
  <si>
    <t>NOMBRE UBICACION</t>
  </si>
  <si>
    <t>UNIDADES</t>
  </si>
  <si>
    <t>CAJAS</t>
  </si>
  <si>
    <t>STOCK ACTUAL</t>
  </si>
  <si>
    <t>COMENTARIO</t>
  </si>
  <si>
    <t/>
  </si>
  <si>
    <t xml:space="preserve">ROSAL PAPEL HIGIENICO TRIPLE HOJA 4 UND. 3EN1                                   </t>
  </si>
  <si>
    <t xml:space="preserve">AXE DESODORANTE CHERRY 300ML 2PACK                                              </t>
  </si>
  <si>
    <t>2026/10/21 00:08:15</t>
  </si>
  <si>
    <t xml:space="preserve">RGARCIAG            </t>
  </si>
  <si>
    <t xml:space="preserve">EST000000000207650  </t>
  </si>
  <si>
    <t xml:space="preserve">CO-006-048-01-11    </t>
  </si>
  <si>
    <t xml:space="preserve">JORELLANAT          </t>
  </si>
  <si>
    <t xml:space="preserve">KORTEGAM            </t>
  </si>
  <si>
    <t xml:space="preserve">GARNIER CREMA FACIAL EXPRESS ACLARA HIDRATAN 50ML                               </t>
  </si>
  <si>
    <t>2026/10/21 00:12:13</t>
  </si>
  <si>
    <t xml:space="preserve">EST000000000330207  </t>
  </si>
  <si>
    <t xml:space="preserve">CO-006-036-01-04    </t>
  </si>
  <si>
    <t xml:space="preserve">SCOTT PAPEL HIGIENICO BLANCO 6 ROLLOS DOBLE HOJA                                </t>
  </si>
  <si>
    <t>2026/10/21 00:12:39</t>
  </si>
  <si>
    <t xml:space="preserve">JGUZMANS            </t>
  </si>
  <si>
    <t xml:space="preserve">0000006351034357    </t>
  </si>
  <si>
    <t xml:space="preserve">ZC-021-024-01       </t>
  </si>
  <si>
    <t xml:space="preserve">CPASCUALJ           </t>
  </si>
  <si>
    <t xml:space="preserve">SENSAT ACEITE DE OLIVA EXTRA VIRGEN 1 LT.                                       </t>
  </si>
  <si>
    <t>2026/10/21 00:17:08</t>
  </si>
  <si>
    <t xml:space="preserve">GMORATAYA           </t>
  </si>
  <si>
    <t xml:space="preserve">EST000000000402462  </t>
  </si>
  <si>
    <t xml:space="preserve">AC-011-036-01-01    </t>
  </si>
  <si>
    <t xml:space="preserve">CAT CHOW GATITO 500G                                                            </t>
  </si>
  <si>
    <t>2026/10/21 00:17:27</t>
  </si>
  <si>
    <t xml:space="preserve">EST000000000369015  </t>
  </si>
  <si>
    <t xml:space="preserve">MA-011-042-01-02    </t>
  </si>
  <si>
    <t xml:space="preserve">LMARTINEZP          </t>
  </si>
  <si>
    <t xml:space="preserve">LAKY MEN SOPA INSTANTANEA DE GALLINA 64 GR. VASO                                </t>
  </si>
  <si>
    <t xml:space="preserve">JMEDRANOC           </t>
  </si>
  <si>
    <t xml:space="preserve">GILLETTE RASURADORA ROSADA 4 UND. SIMPLY VENUS                                  </t>
  </si>
  <si>
    <t>2026/10/21 00:58:03</t>
  </si>
  <si>
    <t xml:space="preserve">EST000000100207657  </t>
  </si>
  <si>
    <t xml:space="preserve">CO-006-050-01-12    </t>
  </si>
  <si>
    <t xml:space="preserve">DON LAZARO ACEITE DE OLIVA EXTRA VIRGEN 1 LT. PET                               </t>
  </si>
  <si>
    <t>2026/10/21 01:32:47</t>
  </si>
  <si>
    <t xml:space="preserve">ACASTROT            </t>
  </si>
  <si>
    <t xml:space="preserve">EST000000000146575  </t>
  </si>
  <si>
    <t xml:space="preserve">AC-013-016-01-04    </t>
  </si>
  <si>
    <t xml:space="preserve">PACIFICO AZUL ATUN TROZOS D/LOMO EN AGUA 160 GR.                                </t>
  </si>
  <si>
    <t>2026/10/21 01:33:19</t>
  </si>
  <si>
    <t xml:space="preserve">0000006351037883    </t>
  </si>
  <si>
    <t xml:space="preserve">AC-011-044-01       </t>
  </si>
  <si>
    <t xml:space="preserve">CAPULLO ACEITE VEGETAL 450 ML. DOY PACK                                         </t>
  </si>
  <si>
    <t>2026/10/21 01:46:46</t>
  </si>
  <si>
    <t xml:space="preserve">EST000000000136854  </t>
  </si>
  <si>
    <t xml:space="preserve">AC-012-027-01-03    </t>
  </si>
  <si>
    <t xml:space="preserve">NIVEA BLOQUEADOR PROTECCION &amp; PIEL SENSI                                        </t>
  </si>
  <si>
    <t>2026/10/21 01:48:25</t>
  </si>
  <si>
    <t xml:space="preserve">EST000000000329716  </t>
  </si>
  <si>
    <t xml:space="preserve">CO-007-008-01-07    </t>
  </si>
  <si>
    <t xml:space="preserve">BENEFUL ALIMENTO PARA PERRO PUPPY 4 KG. CARNE                                   </t>
  </si>
  <si>
    <t>2026/10/21 02:43:38</t>
  </si>
  <si>
    <t xml:space="preserve">EST000000000368980  </t>
  </si>
  <si>
    <t xml:space="preserve">MA-011-043-01-03    </t>
  </si>
  <si>
    <t>2026/10/21 02:56:19</t>
  </si>
  <si>
    <t xml:space="preserve">GBURRION            </t>
  </si>
  <si>
    <t xml:space="preserve">0000006351027625    </t>
  </si>
  <si>
    <t xml:space="preserve">URP-28              </t>
  </si>
  <si>
    <t xml:space="preserve">HUGGIES PANAL DES. NATURAL CARE POOH XXXG6 50U                                  </t>
  </si>
  <si>
    <t xml:space="preserve">HERBAL ESSENCES ESPUMA MODELADORA P/RIZOS 2U 400M                               </t>
  </si>
  <si>
    <t xml:space="preserve">EST000000000316173  </t>
  </si>
  <si>
    <t xml:space="preserve">CO-006-062-01-01    </t>
  </si>
  <si>
    <t xml:space="preserve">FRANCESA MARGARINA LIGHT 400 GR.                                                </t>
  </si>
  <si>
    <t xml:space="preserve">VENADO RON BLANCO ESPECIAL BOT 2U 750+250ML                                     </t>
  </si>
  <si>
    <t xml:space="preserve">KPAZ                </t>
  </si>
  <si>
    <t xml:space="preserve">0000006350520833    </t>
  </si>
  <si>
    <t xml:space="preserve">JL-023-025-01-02    </t>
  </si>
  <si>
    <t xml:space="preserve">KROJASV             </t>
  </si>
  <si>
    <t xml:space="preserve">CAREVALO            </t>
  </si>
  <si>
    <t xml:space="preserve">JDIONIA             </t>
  </si>
  <si>
    <t xml:space="preserve">DPABLOR             </t>
  </si>
  <si>
    <t xml:space="preserve">KIKA ESCOBA SUPER FLORE. C/PALO MADERA                                          </t>
  </si>
  <si>
    <t>2026/10/21 06:16:50</t>
  </si>
  <si>
    <t xml:space="preserve">LGUARCASC           </t>
  </si>
  <si>
    <t xml:space="preserve">EST000000000299153  </t>
  </si>
  <si>
    <t xml:space="preserve">ZC-021-050-01-02    </t>
  </si>
  <si>
    <t xml:space="preserve">DIANA BOQUITAS MAIZ CHINO 143 GR. PICANTE EN BOLSA                              </t>
  </si>
  <si>
    <t>2026/10/21 06:16:55</t>
  </si>
  <si>
    <t xml:space="preserve">EMORALESR           </t>
  </si>
  <si>
    <t xml:space="preserve">0000006351032866    </t>
  </si>
  <si>
    <t xml:space="preserve">IC-003-050-01       </t>
  </si>
  <si>
    <t>2026/10/21 06:17:00</t>
  </si>
  <si>
    <t xml:space="preserve">EST000000000385991  </t>
  </si>
  <si>
    <t xml:space="preserve">GC-008-050-01-02    </t>
  </si>
  <si>
    <t xml:space="preserve">SANTA RITA 12O VINO TINTO MERLOT BOT 750 ML.                                    </t>
  </si>
  <si>
    <t>2026/10/21 06:21:17</t>
  </si>
  <si>
    <t xml:space="preserve">EST000000000488839  </t>
  </si>
  <si>
    <t xml:space="preserve">JL-023-016-01-02    </t>
  </si>
  <si>
    <t xml:space="preserve">TELUMA SAL REFINADA 100 UND. 1G                                                 </t>
  </si>
  <si>
    <t>2026/10/21 06:23:05</t>
  </si>
  <si>
    <t xml:space="preserve">EST000000000316259  </t>
  </si>
  <si>
    <t xml:space="preserve">AC-015-036-01-01    </t>
  </si>
  <si>
    <t xml:space="preserve">YSALVADOR           </t>
  </si>
  <si>
    <t xml:space="preserve">LOS TILOS MIEL DE ABEJA  730 GR. ENVASE VIDRIO                                  </t>
  </si>
  <si>
    <t>2026/10/21 06:31:04</t>
  </si>
  <si>
    <t xml:space="preserve">EST000000000324799  </t>
  </si>
  <si>
    <t xml:space="preserve">AC-011-025-01-03    </t>
  </si>
  <si>
    <t xml:space="preserve">KERNS JUGO PERA 1 LT.                                                           </t>
  </si>
  <si>
    <t>2026/10/21 06:34:18</t>
  </si>
  <si>
    <t xml:space="preserve">LBAMACAJ            </t>
  </si>
  <si>
    <t xml:space="preserve">0000006351030741    </t>
  </si>
  <si>
    <t xml:space="preserve">QL-006-031-01       </t>
  </si>
  <si>
    <t xml:space="preserve">MAS DETERGENTE LIQUIDO BEBE 4.65 LT                                             </t>
  </si>
  <si>
    <t>2026/10/21 06:35:28</t>
  </si>
  <si>
    <t xml:space="preserve">WJUAREZ             </t>
  </si>
  <si>
    <t xml:space="preserve">0000006351037117    </t>
  </si>
  <si>
    <t xml:space="preserve">LI-001-003-01       </t>
  </si>
  <si>
    <t xml:space="preserve">VENADO ESPECIAL LICOR  1.75 LT. GORDITO                                         </t>
  </si>
  <si>
    <t>2026/10/21 06:37:17</t>
  </si>
  <si>
    <t xml:space="preserve">RGOMEZC             </t>
  </si>
  <si>
    <t xml:space="preserve">EST000000000391854  </t>
  </si>
  <si>
    <t xml:space="preserve">JL-023-036-01-06    </t>
  </si>
  <si>
    <t xml:space="preserve">DLUCASL             </t>
  </si>
  <si>
    <t xml:space="preserve">URP-29              </t>
  </si>
  <si>
    <t>2026/10/21 06:41:05</t>
  </si>
  <si>
    <t xml:space="preserve">LRAMIREZH           </t>
  </si>
  <si>
    <t xml:space="preserve">VENADO LIGHT RON 1750 ML. GORDITO                                               </t>
  </si>
  <si>
    <t xml:space="preserve">EST000000000391801  </t>
  </si>
  <si>
    <t xml:space="preserve">JL-023-053-01-08    </t>
  </si>
  <si>
    <t xml:space="preserve">REXONA DESODORANTE TONO PERFECTO AER 150 ML 2PACK                               </t>
  </si>
  <si>
    <t>2026/10/21 06:42:39</t>
  </si>
  <si>
    <t xml:space="preserve">EST000000000329866  </t>
  </si>
  <si>
    <t xml:space="preserve">CO-007-046-01-05    </t>
  </si>
  <si>
    <t xml:space="preserve">BRUIZG              </t>
  </si>
  <si>
    <t xml:space="preserve">LUFA MAYA ESPONJA BODY BUFF P/BANO                                              </t>
  </si>
  <si>
    <t>2026/10/21 06:46:00</t>
  </si>
  <si>
    <t xml:space="preserve">0000006350829674    </t>
  </si>
  <si>
    <t xml:space="preserve">NV-013-049-01-01    </t>
  </si>
  <si>
    <t xml:space="preserve">BORA BORA TOALLA DE BANO BEIGE 27X54 UND                                        </t>
  </si>
  <si>
    <t>2026/10/21 06:46:49</t>
  </si>
  <si>
    <t xml:space="preserve">0000006350515515    </t>
  </si>
  <si>
    <t xml:space="preserve">NV-013-061-01-02    </t>
  </si>
  <si>
    <t xml:space="preserve">PORTOFINO TOALLA DE BAÑO CHOCOLATE UND                                          </t>
  </si>
  <si>
    <t>2026/10/21 06:58:18</t>
  </si>
  <si>
    <t xml:space="preserve">0000006350034585    </t>
  </si>
  <si>
    <t xml:space="preserve">NV-013-029-01-01    </t>
  </si>
  <si>
    <t xml:space="preserve">DOG CHOW ALIMENTO PARA CACHORRO 2 KG. RP                                        </t>
  </si>
  <si>
    <t>2026/10/21 07:01:23</t>
  </si>
  <si>
    <t xml:space="preserve">0000006351025731    </t>
  </si>
  <si>
    <t xml:space="preserve">MA-011-023-01       </t>
  </si>
  <si>
    <t xml:space="preserve">GVASQUEZM           </t>
  </si>
  <si>
    <t xml:space="preserve">BOTRAN XL RON SOUR BLAST LIMON &amp; BERRI BOT 750ML                                </t>
  </si>
  <si>
    <t>2026/10/21 07:24:51</t>
  </si>
  <si>
    <t xml:space="preserve">EST000000000391817  </t>
  </si>
  <si>
    <t xml:space="preserve">JL-023-049-01-06    </t>
  </si>
  <si>
    <t xml:space="preserve">LATEXPORT GUANTES CORRUGADO TALLA M                                             </t>
  </si>
  <si>
    <t>2026/10/21 07:30:08</t>
  </si>
  <si>
    <t xml:space="preserve">EST000000000127869  </t>
  </si>
  <si>
    <t xml:space="preserve">LI-004-001-01-04    </t>
  </si>
  <si>
    <t xml:space="preserve">PANTENE OLEO PRO VITAMINA B5 KERATINA 95ML                                      </t>
  </si>
  <si>
    <t>2026/10/21 07:52:07</t>
  </si>
  <si>
    <t xml:space="preserve">0000006351015955    </t>
  </si>
  <si>
    <t xml:space="preserve">CO-007-060          </t>
  </si>
  <si>
    <t xml:space="preserve">MALHER BASE PARA CALDO GALLINA SOBRE 40 GR.                                     </t>
  </si>
  <si>
    <t>2026/10/21 08:03:41</t>
  </si>
  <si>
    <t xml:space="preserve">EST000000000135090  </t>
  </si>
  <si>
    <t xml:space="preserve">AC-017-052-01-05    </t>
  </si>
  <si>
    <t xml:space="preserve">HUGGIES PANAL DESECHABLE SOFT CONFORT XXG 56U                                   </t>
  </si>
  <si>
    <t>2026/10/21 08:04:06</t>
  </si>
  <si>
    <t xml:space="preserve">EST000000000250026  </t>
  </si>
  <si>
    <t xml:space="preserve">SB-019-032-01-01    </t>
  </si>
  <si>
    <t xml:space="preserve">JROMERO             </t>
  </si>
  <si>
    <t xml:space="preserve">EST000000000263389  </t>
  </si>
  <si>
    <t xml:space="preserve">SB-019-014-01-03    </t>
  </si>
  <si>
    <t xml:space="preserve">DIANA GALLETA DE VAINILLA 12 UND. PIC NIC/PAQUETE                               </t>
  </si>
  <si>
    <t xml:space="preserve">0000006351029764    </t>
  </si>
  <si>
    <t xml:space="preserve">IC-003-051-01       </t>
  </si>
  <si>
    <t xml:space="preserve">ISABEL CAFE MOLIDO ESPECIAL PAQUETE 340GR                                       </t>
  </si>
  <si>
    <t xml:space="preserve">EST000000000158466  </t>
  </si>
  <si>
    <t xml:space="preserve">GR-022-053-01-02    </t>
  </si>
  <si>
    <t xml:space="preserve">MAGGI SOPA DE POLLO 60 GR. C/LETRAS                                             </t>
  </si>
  <si>
    <t>2026/10/21 09:09:07</t>
  </si>
  <si>
    <t xml:space="preserve">EST000000000134910  </t>
  </si>
  <si>
    <t xml:space="preserve">AC-015-015-01-01    </t>
  </si>
  <si>
    <t xml:space="preserve">NIVEA DESMAQUILLANTE DE OJOS 125 ML. BIFASICO                                   </t>
  </si>
  <si>
    <t>2026/10/21 09:13:27</t>
  </si>
  <si>
    <t xml:space="preserve">OALVAREZ            </t>
  </si>
  <si>
    <t xml:space="preserve">0000006351014284    </t>
  </si>
  <si>
    <t xml:space="preserve">UUR-25              </t>
  </si>
  <si>
    <t xml:space="preserve">VENADO ESPECIAL LICOR LIGHT 750 ML.                                             </t>
  </si>
  <si>
    <t xml:space="preserve">EST000000000320900  </t>
  </si>
  <si>
    <t xml:space="preserve">JL-023-048-01-03    </t>
  </si>
  <si>
    <t xml:space="preserve">KANGURO BOLSA NEGRA XGDE.  30 UND P/BASURA                                      </t>
  </si>
  <si>
    <t>2026/10/21 09:36:19</t>
  </si>
  <si>
    <t xml:space="preserve">EST000000000428862  </t>
  </si>
  <si>
    <t xml:space="preserve">SB-018-014-01-04    </t>
  </si>
  <si>
    <t xml:space="preserve">LOREAL BASE DE MAQUILLAJE INFALLIBLE NO 105.5 30M                               </t>
  </si>
  <si>
    <t>2026/10/21 09:58:01</t>
  </si>
  <si>
    <t xml:space="preserve">0000006349912453    </t>
  </si>
  <si>
    <t xml:space="preserve">EU-009-038-01-07    </t>
  </si>
  <si>
    <t xml:space="preserve">TACOPLAST BASURERO 20L ORGANICO C/BALANCIN U                                    </t>
  </si>
  <si>
    <t>2026/10/21 10:10:35</t>
  </si>
  <si>
    <t xml:space="preserve">0000006348659506    </t>
  </si>
  <si>
    <t xml:space="preserve">NV-013-025-01-02    </t>
  </si>
  <si>
    <t xml:space="preserve">CYP PAPALINAS DE QUESO 100 GR.                                                  </t>
  </si>
  <si>
    <t xml:space="preserve">0000006351023190    </t>
  </si>
  <si>
    <t xml:space="preserve">IC-004-056-01       </t>
  </si>
  <si>
    <t xml:space="preserve">C&amp;P PAPALINAS NATURAL 100 GR.                                                   </t>
  </si>
  <si>
    <t>2026/10/21 10:11:23</t>
  </si>
  <si>
    <t xml:space="preserve">0000006351034308    </t>
  </si>
  <si>
    <t xml:space="preserve">IC-004-023-01       </t>
  </si>
  <si>
    <t xml:space="preserve">EJEREMIAS           </t>
  </si>
  <si>
    <t xml:space="preserve">ASANTAYC            </t>
  </si>
  <si>
    <t xml:space="preserve">NIDO LECHE EN POLVO CRECIMIENTO 1+ LATA 2000GR                                  </t>
  </si>
  <si>
    <t>2026/10/21 10:25:24</t>
  </si>
  <si>
    <t xml:space="preserve">EST000000000429183  </t>
  </si>
  <si>
    <t xml:space="preserve">VC-020-043-01-02    </t>
  </si>
  <si>
    <t xml:space="preserve">SENORIAL TORTILLITAS C/QUESIFRITO CHILTEADOS 250G                               </t>
  </si>
  <si>
    <t>2026/10/21 10:26:08</t>
  </si>
  <si>
    <t xml:space="preserve">0000006350259300    </t>
  </si>
  <si>
    <t xml:space="preserve">IC-004-050-01       </t>
  </si>
  <si>
    <t xml:space="preserve">MAGGI CREMA DE MARISCOS CON COCO 64GR                                           </t>
  </si>
  <si>
    <t>2026/10/21 10:29:21</t>
  </si>
  <si>
    <t xml:space="preserve">EST000000000316254  </t>
  </si>
  <si>
    <t xml:space="preserve">AC-015-002-01-03    </t>
  </si>
  <si>
    <t xml:space="preserve">JOHNSON BABY SHAMPOO GOTAS DE BRILLO 400ML                                      </t>
  </si>
  <si>
    <t>2026/10/21 10:48:19</t>
  </si>
  <si>
    <t xml:space="preserve">EST000000000131320  </t>
  </si>
  <si>
    <t xml:space="preserve">CO-006-027-01-03    </t>
  </si>
  <si>
    <t xml:space="preserve">FAMILIA GASCON VINO TINTO MALBEC BOT 750ML.                                     </t>
  </si>
  <si>
    <t>2026/10/21 10:48:42</t>
  </si>
  <si>
    <t xml:space="preserve">VRODRIGUEZ          </t>
  </si>
  <si>
    <t xml:space="preserve">0000006351029852    </t>
  </si>
  <si>
    <t xml:space="preserve">URP-27              </t>
  </si>
  <si>
    <t xml:space="preserve">GOYA ACEITUNAS RELLENAS C/JAMON LATA 5.25 OZ                                    </t>
  </si>
  <si>
    <t>2026/10/21 11:01:33</t>
  </si>
  <si>
    <t xml:space="preserve">EST000000000357901  </t>
  </si>
  <si>
    <t xml:space="preserve">AC-010-016-01-03    </t>
  </si>
  <si>
    <t xml:space="preserve">ERNIC               </t>
  </si>
  <si>
    <t xml:space="preserve">HUGGIES PANAL DESECHABLE SOFT CONFORT G3 80U                                    </t>
  </si>
  <si>
    <t>2026/10/21 11:38:23</t>
  </si>
  <si>
    <t xml:space="preserve">0000006351034239    </t>
  </si>
  <si>
    <t xml:space="preserve">KOTEX DAY S PROTECTORES DIARIOS LARGO 50 UND. PH                                </t>
  </si>
  <si>
    <t>2026/10/21 11:42:34</t>
  </si>
  <si>
    <t xml:space="preserve">EST000000000428882  </t>
  </si>
  <si>
    <t xml:space="preserve">SB-018-028-01-03    </t>
  </si>
  <si>
    <t xml:space="preserve">DOVE ANTITRANSPIRANTE TONO UNI JASM Y RASPB 150ML                               </t>
  </si>
  <si>
    <t>2026/10/21 12:06:47</t>
  </si>
  <si>
    <t xml:space="preserve">EST000000100207595  </t>
  </si>
  <si>
    <t xml:space="preserve">CO-006-030-01-10    </t>
  </si>
  <si>
    <t xml:space="preserve">TIDE DETERGENTE LIQUIDO ALPINE BREEZE 31 UND                                    </t>
  </si>
  <si>
    <t>2026/10/21 12:09:18</t>
  </si>
  <si>
    <t xml:space="preserve">EST000000000128590  </t>
  </si>
  <si>
    <t xml:space="preserve">LI-001-050-01-02    </t>
  </si>
  <si>
    <t>2026/10/21 12:13:38</t>
  </si>
  <si>
    <t xml:space="preserve">CERAVE GEL LIMPIADOR CORPORAL ESPUMOSO 473ML                                    </t>
  </si>
  <si>
    <t>2026/10/21 12:15:43</t>
  </si>
  <si>
    <t xml:space="preserve">0000006344495249    </t>
  </si>
  <si>
    <t xml:space="preserve">CO-007-011-01-06    </t>
  </si>
  <si>
    <t xml:space="preserve">TRIDENT GOMA DE MASCAR EVUP FRESH HERBAL 30.6 GR                                </t>
  </si>
  <si>
    <t>2026/10/21 12:25:34</t>
  </si>
  <si>
    <t xml:space="preserve">EST000000000322586  </t>
  </si>
  <si>
    <t xml:space="preserve">VC-020-012-01-05    </t>
  </si>
  <si>
    <t xml:space="preserve">GRAN ANDES VINO TINTO CABERNET SAUVIGNON 1000 ML.                               </t>
  </si>
  <si>
    <t>2026/10/21 12:32:33</t>
  </si>
  <si>
    <t xml:space="preserve">EST000000000395645  </t>
  </si>
  <si>
    <t xml:space="preserve">JL-023-032-01-02    </t>
  </si>
  <si>
    <t xml:space="preserve">NIVEA DESODORANTE SPRAY BLACK &amp; WHITE 150 ML. 2 PACK                            </t>
  </si>
  <si>
    <t>2026/10/21 12:35:00</t>
  </si>
  <si>
    <t xml:space="preserve">EST000000000329862  </t>
  </si>
  <si>
    <t xml:space="preserve">CO-007-044-01-09    </t>
  </si>
  <si>
    <t xml:space="preserve">JIXPANELS           </t>
  </si>
  <si>
    <t xml:space="preserve">ADOBE VINO BLANCO CHARDONNAY BOT 750ML                                          </t>
  </si>
  <si>
    <t>2026/10/21 12:51:14</t>
  </si>
  <si>
    <t xml:space="preserve">0000006344571502    </t>
  </si>
  <si>
    <t xml:space="preserve">JL-023-032-01-04    </t>
  </si>
  <si>
    <t xml:space="preserve">PIC NIC PLATO DESECHABLE 25 UND. N.9/BLANCO RED.                                </t>
  </si>
  <si>
    <t>2026/10/21 13:00:22</t>
  </si>
  <si>
    <t xml:space="preserve">EST000000000438818  </t>
  </si>
  <si>
    <t xml:space="preserve">DE-001-042-01-03    </t>
  </si>
  <si>
    <t xml:space="preserve">DEL MONTE FRIJOLES NEGROS VOLTEADOS 400G                                        </t>
  </si>
  <si>
    <t>2026/10/21 13:04:15</t>
  </si>
  <si>
    <t xml:space="preserve">EST000000000147073  </t>
  </si>
  <si>
    <t xml:space="preserve">AC-014-024-01-03    </t>
  </si>
  <si>
    <t xml:space="preserve">TORNADO VASO DESECHABLE TRASLUCIDO 25 UND. 16 ONZ                               </t>
  </si>
  <si>
    <t>2026/10/21 13:04:47</t>
  </si>
  <si>
    <t xml:space="preserve">0000006349787051    </t>
  </si>
  <si>
    <t xml:space="preserve">DE-001-046-01-03    </t>
  </si>
  <si>
    <t xml:space="preserve">GILLETTE ESPUMA SENSITIVE 312 GR.                                               </t>
  </si>
  <si>
    <t xml:space="preserve">EST000000000207565  </t>
  </si>
  <si>
    <t xml:space="preserve">CO-006-020-01-10    </t>
  </si>
  <si>
    <t xml:space="preserve">MAS OSCURA DETERGENTE LIQ CUIDADO Y RENOV 1.83 LT                               </t>
  </si>
  <si>
    <t xml:space="preserve">EST000000100128651  </t>
  </si>
  <si>
    <t xml:space="preserve">LI-003-021-01-03    </t>
  </si>
  <si>
    <t xml:space="preserve">DOS PINOS LECHE PINITO 350 GR. POLVO Kkk                                        </t>
  </si>
  <si>
    <t>2026/10/21 13:18:17</t>
  </si>
  <si>
    <t xml:space="preserve">EST000000000322498  </t>
  </si>
  <si>
    <t xml:space="preserve">VC-020-040-01-01    </t>
  </si>
  <si>
    <t xml:space="preserve">HEAD&amp;SHOULDERS SHAMPOO PURIFICACION CAPILAR 650ML                               </t>
  </si>
  <si>
    <t>2026/10/21 13:28:38</t>
  </si>
  <si>
    <t xml:space="preserve">EST000000000130691  </t>
  </si>
  <si>
    <t xml:space="preserve">CO-006-016-01-05    </t>
  </si>
  <si>
    <t xml:space="preserve">ORAL B CEPILLO DENTAL 5 ACCIONES CON CARBON 2 U.                                </t>
  </si>
  <si>
    <t>2026/10/21 13:29:13</t>
  </si>
  <si>
    <t xml:space="preserve">EST000000000131416  </t>
  </si>
  <si>
    <t xml:space="preserve">CO-005-036-01-03    </t>
  </si>
  <si>
    <t>2026/10/21 13:33:04</t>
  </si>
  <si>
    <t xml:space="preserve">APINEDAR            </t>
  </si>
  <si>
    <t xml:space="preserve">LIP SMACKER BALSAMO FRESA/ALGODON/SANDIA 3U 12GR                                </t>
  </si>
  <si>
    <t>2026/10/21 14:11:09</t>
  </si>
  <si>
    <t xml:space="preserve">00000062358412      </t>
  </si>
  <si>
    <t xml:space="preserve">GL-008-020-01-05    </t>
  </si>
  <si>
    <t xml:space="preserve">AAGUILAR            </t>
  </si>
  <si>
    <t xml:space="preserve">DCRUZ               </t>
  </si>
  <si>
    <t xml:space="preserve">NATURAS SALSA ITALIANA 106 GR. Kkk                                              </t>
  </si>
  <si>
    <t>2026/10/21 14:17:38</t>
  </si>
  <si>
    <t xml:space="preserve">CLOPEZS             </t>
  </si>
  <si>
    <t xml:space="preserve">EST000000000400884  </t>
  </si>
  <si>
    <t xml:space="preserve">GC-007-022-01-04    </t>
  </si>
  <si>
    <t xml:space="preserve">EAGOSTOL            </t>
  </si>
  <si>
    <t>2026/10/21 14:23:09</t>
  </si>
  <si>
    <t xml:space="preserve">0000006351029806    </t>
  </si>
  <si>
    <t xml:space="preserve">ZC-021-007-01       </t>
  </si>
  <si>
    <t xml:space="preserve">KIKA ESCOBA SUPER VERONA                                                        </t>
  </si>
  <si>
    <t>2026/10/21 14:23:59</t>
  </si>
  <si>
    <t xml:space="preserve">JRAMIREZM           </t>
  </si>
  <si>
    <t xml:space="preserve">EST000000000299156  </t>
  </si>
  <si>
    <t xml:space="preserve">ZC-021-052-01-02    </t>
  </si>
  <si>
    <t xml:space="preserve">JOHNSON BABY JABON CREMOSO 75 GR. AVENA                                         </t>
  </si>
  <si>
    <t>2026/10/21 14:25:47</t>
  </si>
  <si>
    <t xml:space="preserve">FFRANCO             </t>
  </si>
  <si>
    <t xml:space="preserve">EST000000000473196  </t>
  </si>
  <si>
    <t xml:space="preserve">CO-006-060-01-04    </t>
  </si>
  <si>
    <t xml:space="preserve">HALLS CARAMELO DE CEREZA 25.2 GR.                                               </t>
  </si>
  <si>
    <t>2026/10/21 14:26:26</t>
  </si>
  <si>
    <t xml:space="preserve">JGALINDOB           </t>
  </si>
  <si>
    <t xml:space="preserve">EST000000000322583  </t>
  </si>
  <si>
    <t xml:space="preserve">VC-020-012-01-02    </t>
  </si>
  <si>
    <t xml:space="preserve">IMEDIA TINTE RUBIO OSCURO CENIZO                                                </t>
  </si>
  <si>
    <t>2026/10/21 14:34:05</t>
  </si>
  <si>
    <t xml:space="preserve">EST000000000330208  </t>
  </si>
  <si>
    <t xml:space="preserve">CO-008-028-01-03    </t>
  </si>
  <si>
    <t xml:space="preserve">VLUNA               </t>
  </si>
  <si>
    <t xml:space="preserve">SUPREMO TE VERDE C/VAINILLA 20 UND. CAJA                                        </t>
  </si>
  <si>
    <t>2026/10/21 14:46:08</t>
  </si>
  <si>
    <t xml:space="preserve">EST000000000267334  </t>
  </si>
  <si>
    <t xml:space="preserve">VC-020-012-01-06    </t>
  </si>
  <si>
    <t xml:space="preserve">CAMINS DEL PRIORAT VINO TINTO BLEND BOT 750 ML.                                 </t>
  </si>
  <si>
    <t>2026/10/21 14:47:46</t>
  </si>
  <si>
    <t xml:space="preserve">EST000000100391800  </t>
  </si>
  <si>
    <t xml:space="preserve">JL-023-053-01-07    </t>
  </si>
  <si>
    <t xml:space="preserve">SABA PANTIES BUENAS NOCHES BOLSA 3 UND. T-CHI-MED.                              </t>
  </si>
  <si>
    <t>2026/10/21 14:47:49</t>
  </si>
  <si>
    <t xml:space="preserve">ERAMIREZ            </t>
  </si>
  <si>
    <t xml:space="preserve">EST000000000429568  </t>
  </si>
  <si>
    <t xml:space="preserve">SB-019-039-01-04    </t>
  </si>
  <si>
    <t xml:space="preserve">GILLETTE RASURADORA PRESTO BARBA3 CARBON 4U                                     </t>
  </si>
  <si>
    <t>2026/10/21 15:07:52</t>
  </si>
  <si>
    <t xml:space="preserve">EST000000000319595  </t>
  </si>
  <si>
    <t xml:space="preserve">GL-008-002-01-09    </t>
  </si>
  <si>
    <t xml:space="preserve">JCAMO               </t>
  </si>
  <si>
    <t xml:space="preserve">LEON CAFE REGIONES BLEND ESPECIAL BOLSA 1000G                                   </t>
  </si>
  <si>
    <t>2026/10/21 15:19:30</t>
  </si>
  <si>
    <t xml:space="preserve">LJUAREZB            </t>
  </si>
  <si>
    <t xml:space="preserve">0000006351032165    </t>
  </si>
  <si>
    <t xml:space="preserve">URP-22              </t>
  </si>
  <si>
    <t xml:space="preserve">COFFEE MATE CREMA P/CAFE ORIGINAL BOLSA 800GR                                   </t>
  </si>
  <si>
    <t>2026/10/21 15:51:29</t>
  </si>
  <si>
    <t xml:space="preserve">EST000000000316193  </t>
  </si>
  <si>
    <t xml:space="preserve">AC-015-013-01-02    </t>
  </si>
  <si>
    <t xml:space="preserve">HEAD &amp; SHOULDER SHAMPOO SUAVE Y MANEJABLE 830ML                                 </t>
  </si>
  <si>
    <t>2026/10/21 15:59:52</t>
  </si>
  <si>
    <t xml:space="preserve">EST000000100131503  </t>
  </si>
  <si>
    <t xml:space="preserve">CO-006-002-01-09    </t>
  </si>
  <si>
    <t xml:space="preserve">DOVE DESODORANTE AEROSOL PEPINO VERDE 2U 150ML                                  </t>
  </si>
  <si>
    <t xml:space="preserve">EST000000000329107  </t>
  </si>
  <si>
    <t xml:space="preserve">CO-007-034-01-01    </t>
  </si>
  <si>
    <t>2026/10/21 16:07:20</t>
  </si>
  <si>
    <t xml:space="preserve">0000006351024760    </t>
  </si>
  <si>
    <t>2026/10/21 16:09:14</t>
  </si>
  <si>
    <t xml:space="preserve">TANG REFRESCO EN POLVO LIMON 13 GR.                                             </t>
  </si>
  <si>
    <t xml:space="preserve">EST000000000263815  </t>
  </si>
  <si>
    <t xml:space="preserve">AC-018-051-01-04    </t>
  </si>
  <si>
    <t xml:space="preserve">QUEZALTECA AGUARDIENTE MORA BOT 1LT.                                            </t>
  </si>
  <si>
    <t xml:space="preserve">0000006351013656    </t>
  </si>
  <si>
    <t xml:space="preserve">JL-023-005-01       </t>
  </si>
  <si>
    <t xml:space="preserve">CHORTIZ             </t>
  </si>
  <si>
    <t xml:space="preserve">HEAD &amp; SHOULDERS SHAMPOO MEN 3 EN 1 650ML                                       </t>
  </si>
  <si>
    <t>2026/10/21 16:28:13</t>
  </si>
  <si>
    <t xml:space="preserve">EST000000000130779  </t>
  </si>
  <si>
    <t xml:space="preserve">CO-006-030-01-04    </t>
  </si>
  <si>
    <t>2026/10/21 16:28:49</t>
  </si>
  <si>
    <t xml:space="preserve">KOTEX TOALLA SANITARIA ECONOMICAS 12 UND. NORMAL C/ALAS TELA                    </t>
  </si>
  <si>
    <t xml:space="preserve">HCASTRO             </t>
  </si>
  <si>
    <t xml:space="preserve">0000006350817398    </t>
  </si>
  <si>
    <t xml:space="preserve">URP-23              </t>
  </si>
  <si>
    <t xml:space="preserve">VITAFERTIL TRATAMIENTO  C/PLACENTA 4U 10 ML/AMP.                                </t>
  </si>
  <si>
    <t>2026/10/21 16:30:11</t>
  </si>
  <si>
    <t xml:space="preserve">EST000000000207577  </t>
  </si>
  <si>
    <t xml:space="preserve">CO-006-024-01-10    </t>
  </si>
  <si>
    <t xml:space="preserve">YSALOJ              </t>
  </si>
  <si>
    <t>2026/10/21 16:59:51</t>
  </si>
  <si>
    <t xml:space="preserve">lguarchajd          </t>
  </si>
  <si>
    <t xml:space="preserve">SHALOM SHAMPOO CONTROL CAIDA BERRO Y ARGAN 960ML                                </t>
  </si>
  <si>
    <t xml:space="preserve">0000006341428411    </t>
  </si>
  <si>
    <t xml:space="preserve">CO-005-052-01-02    </t>
  </si>
  <si>
    <t xml:space="preserve">HEAD &amp; SHOULDERS SHAMPOO ANTICAIDA ROMERO 180ML                                 </t>
  </si>
  <si>
    <t>2026/10/21 17:12:30</t>
  </si>
  <si>
    <t xml:space="preserve">EST000000000130775  </t>
  </si>
  <si>
    <t xml:space="preserve">CO-006-028-01-05    </t>
  </si>
  <si>
    <t>2026/10/21 17:13:44</t>
  </si>
  <si>
    <t xml:space="preserve">SECRET DESODORANTE GEL NO APLICA WATERLILY 73GR                                 </t>
  </si>
  <si>
    <t>2026/10/21 17:28:31</t>
  </si>
  <si>
    <t xml:space="preserve">EST000000200207440  </t>
  </si>
  <si>
    <t xml:space="preserve">CO-006-029-01-11    </t>
  </si>
  <si>
    <t xml:space="preserve">ARIVERA             </t>
  </si>
  <si>
    <t>2026/10/21 18:48:45</t>
  </si>
  <si>
    <t xml:space="preserve">BOTRAN RON ORO 750 ML. +RON 200ML                                               </t>
  </si>
  <si>
    <t xml:space="preserve">EST000000000320866  </t>
  </si>
  <si>
    <t xml:space="preserve">JL-023-026-01-04    </t>
  </si>
  <si>
    <t xml:space="preserve">CGUTIERREZ          </t>
  </si>
  <si>
    <t xml:space="preserve">HEAD &amp; SHOULDERS SHAMPOO MEN OLD SPICE 650ML                                    </t>
  </si>
  <si>
    <t>2026/10/21 19:02:25</t>
  </si>
  <si>
    <t xml:space="preserve">EST000000000130848  </t>
  </si>
  <si>
    <t xml:space="preserve">CO-006-046-01-09    </t>
  </si>
  <si>
    <t xml:space="preserve">FIEL AMIGO ALIMENTO P/RES/VEG 44 LB. PERRO ADULTO                               </t>
  </si>
  <si>
    <t xml:space="preserve">MA-011-011-01       </t>
  </si>
  <si>
    <t xml:space="preserve">WEIMAN LIMPIADOR P/ACERO CLEANER &amp; POLISH 355ML.                                </t>
  </si>
  <si>
    <t xml:space="preserve">0000006348516424    </t>
  </si>
  <si>
    <t xml:space="preserve">LI-003-050-01-04    </t>
  </si>
  <si>
    <t xml:space="preserve">JOHNSON BABY SHAMPOO ORIGINAL 200ML                                             </t>
  </si>
  <si>
    <t>2026/10/21 19:25:38</t>
  </si>
  <si>
    <t xml:space="preserve">EST000000000130802  </t>
  </si>
  <si>
    <t xml:space="preserve">CO-006-036-01-03    </t>
  </si>
  <si>
    <t xml:space="preserve">RUMBA PAJILLA BIODEGRADABLE FORRADA C/RESORTE 75U                               </t>
  </si>
  <si>
    <t>2026/10/21 19:39:15</t>
  </si>
  <si>
    <t xml:space="preserve">EST000000000427774  </t>
  </si>
  <si>
    <t xml:space="preserve">DE-001-052-01-01    </t>
  </si>
  <si>
    <t xml:space="preserve">BOTRAN RON ANEJO 15 ANOS BOTELLA 700 ML                                         </t>
  </si>
  <si>
    <t>2026/10/21 19:40:41</t>
  </si>
  <si>
    <t xml:space="preserve">MBARRONDOM          </t>
  </si>
  <si>
    <t xml:space="preserve">EST000000100391821  </t>
  </si>
  <si>
    <t xml:space="preserve">JL-023-051-01-05    </t>
  </si>
  <si>
    <t xml:space="preserve">MAYBELLINE MASCARA P/PESTANA SKYHIGH NO 801 7.2ML                               </t>
  </si>
  <si>
    <t>2026/10/21 19:53:27</t>
  </si>
  <si>
    <t xml:space="preserve">0000006349992236    </t>
  </si>
  <si>
    <t xml:space="preserve">EU-009-020-01-03    </t>
  </si>
  <si>
    <t xml:space="preserve">SARDIMAR ATUN C/MAIZ DULCE 160 GR. LIGHT/PLASTICO                               </t>
  </si>
  <si>
    <t>2026/10/21 19:55:09</t>
  </si>
  <si>
    <t xml:space="preserve">EST000000000134202  </t>
  </si>
  <si>
    <t xml:space="preserve">AC-010-046-01-01    </t>
  </si>
  <si>
    <t xml:space="preserve">MAGIA BLANCA DESINFECTANTE LAVANDA  1895ML                                      </t>
  </si>
  <si>
    <t>2026/10/21 20:11:20</t>
  </si>
  <si>
    <t xml:space="preserve">EST000000000128626  </t>
  </si>
  <si>
    <t xml:space="preserve">LI-003-005-01-02    </t>
  </si>
  <si>
    <t xml:space="preserve">HERBAL ESSENCES MASCARILLA ROSA MOSQUETA 300ML                                  </t>
  </si>
  <si>
    <t>2026/10/21 20:22:31</t>
  </si>
  <si>
    <t xml:space="preserve">EST000000000130659  </t>
  </si>
  <si>
    <t xml:space="preserve">CO-006-004-01-03    </t>
  </si>
  <si>
    <t>2026/10/21 20:49:58</t>
  </si>
  <si>
    <t xml:space="preserve">PRESTOBARBA RASURADORA ULTRA GRIP 5 UND.                                        </t>
  </si>
  <si>
    <t>2026/10/21 21:06:08</t>
  </si>
  <si>
    <t xml:space="preserve">EST000000000319600  </t>
  </si>
  <si>
    <t xml:space="preserve">GL-008-004-01-06    </t>
  </si>
  <si>
    <t xml:space="preserve">NESCAFE CAFE INSTANTANEO CLASICO FRASCO 200GR                                   </t>
  </si>
  <si>
    <t>2026/10/21 21:27:50</t>
  </si>
  <si>
    <t xml:space="preserve">EST000000000328797  </t>
  </si>
  <si>
    <t xml:space="preserve">AC-016-019-01-03    </t>
  </si>
  <si>
    <t xml:space="preserve">MABY MERMELADAS SIN AZUCAR FRESA BOTE  270GRS                                   </t>
  </si>
  <si>
    <t>2026/10/21 21:34:25</t>
  </si>
  <si>
    <t xml:space="preserve">EST000000000134574  </t>
  </si>
  <si>
    <t xml:space="preserve">AC-014-025-01-01    </t>
  </si>
  <si>
    <t xml:space="preserve">ARAMIREZ            </t>
  </si>
  <si>
    <t xml:space="preserve">MFLORESS            </t>
  </si>
  <si>
    <t xml:space="preserve">MIGUELS PINA EN ALMIBAR RODAJAS LATA 820 GR.                                    </t>
  </si>
  <si>
    <t>2026/10/21 23:23:12</t>
  </si>
  <si>
    <t xml:space="preserve">BMENCOS             </t>
  </si>
  <si>
    <t xml:space="preserve">EST000000000324738  </t>
  </si>
  <si>
    <t xml:space="preserve">AC-010-022-01-02    </t>
  </si>
  <si>
    <t xml:space="preserve">APEREZL             </t>
  </si>
  <si>
    <t xml:space="preserve">VIVESOY BEBIDA DE ALMENDRA SIN AZUCAR TETRAB. 1LT                               </t>
  </si>
  <si>
    <t>2026/10/21 23:40:47</t>
  </si>
  <si>
    <t xml:space="preserve">EST000000000316952  </t>
  </si>
  <si>
    <t xml:space="preserve">BD-009-044-01-02    </t>
  </si>
  <si>
    <t xml:space="preserve">GGARCIAD            </t>
  </si>
  <si>
    <t>2026/10/21 23:55:52</t>
  </si>
  <si>
    <t xml:space="preserve">BGARCIAH            </t>
  </si>
  <si>
    <t>2026/10/22 00:13:54</t>
  </si>
  <si>
    <t xml:space="preserve">LANDRES             </t>
  </si>
  <si>
    <t xml:space="preserve">0000006351036119    </t>
  </si>
  <si>
    <t xml:space="preserve">LEON SINKOFI BEBIDA DE CAFE BOLSA 300GR                                         </t>
  </si>
  <si>
    <t>2026/10/22 00:35:41</t>
  </si>
  <si>
    <t xml:space="preserve">EST000000000158418  </t>
  </si>
  <si>
    <t xml:space="preserve">GR-022-050-01-01    </t>
  </si>
  <si>
    <t xml:space="preserve">HEAD &amp; SHOULDERS SHAMPOO ANTI-RESEQUEDAD 650ML                                  </t>
  </si>
  <si>
    <t>2026/10/22 00:36:08</t>
  </si>
  <si>
    <t xml:space="preserve">0000006347619763    </t>
  </si>
  <si>
    <t xml:space="preserve">CO-006-036-01-09    </t>
  </si>
  <si>
    <t xml:space="preserve">DON LAZARO ACEITE DE OLIVA EXTRA VIRGEN 2 LT.                                   </t>
  </si>
  <si>
    <t>2026/10/22 00:44:12</t>
  </si>
  <si>
    <t xml:space="preserve">EST000000000146555  </t>
  </si>
  <si>
    <t xml:space="preserve">AC-013-004-01-02    </t>
  </si>
  <si>
    <t>2026/10/22 00:49:32</t>
  </si>
  <si>
    <t xml:space="preserve">MUSUN CAFE INSTANTANEO 170 GR. SUAVE                                            </t>
  </si>
  <si>
    <t>2026/10/22 01:07:22</t>
  </si>
  <si>
    <t xml:space="preserve">EST000000000249872  </t>
  </si>
  <si>
    <t xml:space="preserve">AC-015-033-01-01    </t>
  </si>
  <si>
    <t xml:space="preserve">SARDIMAR ATUN CON VEGETALES 160 GR. LIGHT/ENV. PLASTICO                         </t>
  </si>
  <si>
    <t>2026/10/22 01:16:34</t>
  </si>
  <si>
    <t xml:space="preserve">EST000000000133386  </t>
  </si>
  <si>
    <t xml:space="preserve">AC-010-048-01-01    </t>
  </si>
  <si>
    <t xml:space="preserve">ELVIVE SHAMPOO LOREAL PARIS DREAM LISO 370ML                                    </t>
  </si>
  <si>
    <t>2026/10/22 01:17:10</t>
  </si>
  <si>
    <t xml:space="preserve">EDYG                </t>
  </si>
  <si>
    <t xml:space="preserve">0000006351014195    </t>
  </si>
  <si>
    <t xml:space="preserve">PRESTOBARBA RASURADORA ACEITES BOTANICOS 4 UND 3 HOJAS DAMA                     </t>
  </si>
  <si>
    <t>2026/10/22 01:18:46</t>
  </si>
  <si>
    <t xml:space="preserve">EST000000000319597  </t>
  </si>
  <si>
    <t xml:space="preserve">GL-008-004-01-03    </t>
  </si>
  <si>
    <t>2026/10/22 01:20:46</t>
  </si>
  <si>
    <t>2026/10/22 01:45:05</t>
  </si>
  <si>
    <t xml:space="preserve">DIANA GALLETA CHOCOLATE 12 UND. PIC NIC/PAQUETE                                 </t>
  </si>
  <si>
    <t>2026/10/22 02:38:13</t>
  </si>
  <si>
    <t xml:space="preserve">0000006351029731    </t>
  </si>
  <si>
    <t xml:space="preserve">IC-005-027-01       </t>
  </si>
  <si>
    <t>2026/10/22 03:08:14</t>
  </si>
  <si>
    <t>2026/10/22 03:09:00</t>
  </si>
  <si>
    <t xml:space="preserve">EST000000000130102  </t>
  </si>
  <si>
    <t xml:space="preserve">CO-006-037-01-01    </t>
  </si>
  <si>
    <t xml:space="preserve">CLEMENTE JACQUES VINAGRE BLANCO 1000 ML. D/ALCOHOL D/CAÑA                       </t>
  </si>
  <si>
    <t>2026/10/22 03:13:43</t>
  </si>
  <si>
    <t xml:space="preserve">EST000000000146560  </t>
  </si>
  <si>
    <t xml:space="preserve">AC-013-006-01-04    </t>
  </si>
  <si>
    <t xml:space="preserve">PONDS CREMA FACIAL AGE MIRACLE ANTIEDAD DIA 50G                                 </t>
  </si>
  <si>
    <t>2026/10/22 03:17:18</t>
  </si>
  <si>
    <t xml:space="preserve">EST000000000207559  </t>
  </si>
  <si>
    <t xml:space="preserve">CO-006-018-01-10    </t>
  </si>
  <si>
    <t>2026/10/22 03:17:42</t>
  </si>
  <si>
    <t>2026/10/22 03:19:05</t>
  </si>
  <si>
    <t xml:space="preserve">1-2-3 DETERGENTE LIQUIDO LIMON BICARBONATO 8.3 LT                               </t>
  </si>
  <si>
    <t>2026/10/22 03:26:37</t>
  </si>
  <si>
    <t xml:space="preserve">EST000000000299566  </t>
  </si>
  <si>
    <t xml:space="preserve">LI-001-049-01-02    </t>
  </si>
  <si>
    <t xml:space="preserve">NIVEA CREMA CORPORAL Q10 1000 ML.                                               </t>
  </si>
  <si>
    <t>2026/10/22 03:50:39</t>
  </si>
  <si>
    <t xml:space="preserve">EST000000000329717  </t>
  </si>
  <si>
    <t xml:space="preserve">CO-007-008-01-08    </t>
  </si>
  <si>
    <t xml:space="preserve">LISTERINE ENJUAGUE BUCAL TOTAL CARE 500 ML.                                     </t>
  </si>
  <si>
    <t>2026/10/22 03:59:49</t>
  </si>
  <si>
    <t xml:space="preserve">EST000000000130680  </t>
  </si>
  <si>
    <t xml:space="preserve">CO-006-012-01-04    </t>
  </si>
  <si>
    <t xml:space="preserve">DOLOKALORUB TERMOALIVIO PARA EL DOLOR AERO 415ML                                </t>
  </si>
  <si>
    <t>2026/10/22 04:10:41</t>
  </si>
  <si>
    <t xml:space="preserve">EST000000000330281  </t>
  </si>
  <si>
    <t xml:space="preserve">CO-008-046-01-04    </t>
  </si>
  <si>
    <t xml:space="preserve">POST IT BANDERITA COLORES 4U.                                                   </t>
  </si>
  <si>
    <t>2026/10/22 04:10:59</t>
  </si>
  <si>
    <t xml:space="preserve">EST000000000319486  </t>
  </si>
  <si>
    <t xml:space="preserve">GL-008-020-01-01    </t>
  </si>
  <si>
    <t xml:space="preserve">ELVIVE ACONDICIONADOR CAIDA RESIST AMINEXIL 370ML                               </t>
  </si>
  <si>
    <t>2026/10/22 04:16:58</t>
  </si>
  <si>
    <t xml:space="preserve">JLOPEZ              </t>
  </si>
  <si>
    <t xml:space="preserve">0000006351014194    </t>
  </si>
  <si>
    <t xml:space="preserve">UAL-51              </t>
  </si>
  <si>
    <t xml:space="preserve">HUGGIES PANAL DES. NATURAL CARE POOH XG4 56U                                    </t>
  </si>
  <si>
    <t>2026/10/22 04:48:28</t>
  </si>
  <si>
    <t xml:space="preserve">EST000000000285290  </t>
  </si>
  <si>
    <t xml:space="preserve">SB-019-053-01-04    </t>
  </si>
  <si>
    <t xml:space="preserve">DOS PINOS PREPARADO ALIM CRE-C 1+ BOLSA 350G S/AZ                               </t>
  </si>
  <si>
    <t>2026/10/22 04:52:05</t>
  </si>
  <si>
    <t xml:space="preserve">EST000000000429180  </t>
  </si>
  <si>
    <t xml:space="preserve">VC-020-041-01-02    </t>
  </si>
  <si>
    <t xml:space="preserve">IGORA VITAL MASCARILLA MATIZANTE 100 ML. TUBO                                   </t>
  </si>
  <si>
    <t>2026/10/22 04:56:10</t>
  </si>
  <si>
    <t xml:space="preserve">EST000000100207385  </t>
  </si>
  <si>
    <t xml:space="preserve">CO-006-011-01-10    </t>
  </si>
  <si>
    <t>2026/10/22 04:59:52</t>
  </si>
  <si>
    <t>2026/10/22 05:01:46</t>
  </si>
  <si>
    <t>2026/10/22 05:04:55</t>
  </si>
  <si>
    <t xml:space="preserve">BLANCA NIEVES DETERGENTE POLVO MULTIUSOS 2 KG                                   </t>
  </si>
  <si>
    <t>2026/10/22 05:06:22</t>
  </si>
  <si>
    <t xml:space="preserve">EST000000000397262  </t>
  </si>
  <si>
    <t xml:space="preserve">LI-001-016-01-02    </t>
  </si>
  <si>
    <t xml:space="preserve">OLITALIA ACEITE DE OLIVA EXTRA VIRGEN 1000 ML.                                  </t>
  </si>
  <si>
    <t>2026/10/22 05:13:39</t>
  </si>
  <si>
    <t xml:space="preserve">EST000000000137003  </t>
  </si>
  <si>
    <t xml:space="preserve">AC-012-028-01-04    </t>
  </si>
  <si>
    <t xml:space="preserve">TACOPLAST HERMETICO N.2 CLIK CEREZA R 32555 U.                                  </t>
  </si>
  <si>
    <t>2026/10/22 05:13:52</t>
  </si>
  <si>
    <t xml:space="preserve">ESTANTE8759632      </t>
  </si>
  <si>
    <t xml:space="preserve">NV-014-063-01-01    </t>
  </si>
  <si>
    <t xml:space="preserve">RITZ GALLETA QUESO PAQUETE                                                      </t>
  </si>
  <si>
    <t>2026/10/22 05:21:45</t>
  </si>
  <si>
    <t xml:space="preserve">0000006351038120    </t>
  </si>
  <si>
    <t xml:space="preserve">GC-007-035-01       </t>
  </si>
  <si>
    <t>COSTO,U</t>
  </si>
  <si>
    <t>TOTAL,COSTO</t>
  </si>
  <si>
    <t>SOLUCIONADO EN PICKING 19C</t>
  </si>
  <si>
    <t>SOLUCIONADO EN PICKING 4C</t>
  </si>
  <si>
    <t>SOLUCIONADO EN PICKING 2C</t>
  </si>
  <si>
    <t>SOLUCIONADO EN PICKING 4P</t>
  </si>
  <si>
    <t>SOLUCIONADO EN PICKING 5C</t>
  </si>
  <si>
    <t>SOLUCIONADO EN PICKING 6C</t>
  </si>
  <si>
    <t>SOLUCIONADO EN PICKING 1C</t>
  </si>
  <si>
    <t>SOLUCIONADO EN PICKING 3C</t>
  </si>
  <si>
    <t>SOLUCIONADO EN PICKING 7C</t>
  </si>
  <si>
    <t>SOLUCIONADO DAÑOS AVERIAS</t>
  </si>
  <si>
    <t>SOLUCIONADO EN PICKING 8C</t>
  </si>
  <si>
    <t>SOLUCIONADO EN PICKING 1P</t>
  </si>
  <si>
    <t>SOLUCIONADO EN PIKCING 3P</t>
  </si>
  <si>
    <t>SOLUCIONDO EN PICKING 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</si>
</sst>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[$-10C0A]0.00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Segoe UI"/>
    </font>
    <font>
      <sz val="10"/>
      <color rgb="FFFFFFFF"/>
      <name val="Arial"/>
    </font>
    <font>
      <sz val="10"/>
      <color rgb="FF000000"/>
      <name val="Segoe UI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4"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44" fontId="5" fillId="0" borderId="1" xfId="1" applyFont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164" fontId="5" fillId="3" borderId="1" xfId="0" applyNumberFormat="1" applyFont="1" applyFill="1" applyBorder="1" applyAlignment="1">
      <alignment horizontal="center" vertical="center" wrapText="1" readingOrder="1"/>
    </xf>
    <xf numFmtId="44" fontId="5" fillId="3" borderId="1" xfId="1" applyFont="1" applyFill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4682B4"/>
          <bgColor rgb="FF4682B4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-10C0A]0.00"/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682B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-my.sharepoint.com/personal/hmoralesb_ransa_net/Documents/Escritorio/Copia%20de%20Ruta%20Critica%20Ransa%20Inventario%2022.08.2026.xlsx" TargetMode="External"/><Relationship Id="rId1" Type="http://schemas.openxmlformats.org/officeDocument/2006/relationships/externalLinkPath" Target="https://gruporansa-my.sharepoint.com/personal/hmoralesb_ransa_net/Documents/Escritorio/Copia%20de%20Ruta%20Critica%20Ransa%20Inventario%2022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ferencias"/>
      <sheetName val="OC Unilever"/>
      <sheetName val="Vale Unilever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CD8CA-12B9-45BF-802C-16446E2A1847}" name="Tabla1" displayName="Tabla1" ref="A1:L142" totalsRowShown="0" headerRowDxfId="2" dataDxfId="4" headerRowBorderDxfId="3" tableBorderDxfId="16" totalsRowBorderDxfId="15">
  <autoFilter ref="A1:L142" xr:uid="{62DCD8CA-12B9-45BF-802C-16446E2A1847}"/>
  <sortState xmlns:xlrd2="http://schemas.microsoft.com/office/spreadsheetml/2017/richdata2" ref="A3:L142">
    <sortCondition ref="K2:K142"/>
  </sortState>
  <tableColumns count="12">
    <tableColumn id="1" xr3:uid="{F6E3BFD9-059E-457B-9A6F-98060F2467ED}" name="CODE ERP" dataDxfId="14"/>
    <tableColumn id="2" xr3:uid="{5686B04E-6089-4065-BD8C-D3DA5B856F55}" name="DESCRIPCION" dataDxfId="13"/>
    <tableColumn id="3" xr3:uid="{A798AD8C-4500-47D5-9FCC-2DE6EEEBEB90}" name="FECHA MOV STOCK" dataDxfId="12"/>
    <tableColumn id="4" xr3:uid="{C3D4D1DA-76E2-4821-89D0-ADF35A2D6357}" name="NOMBRE USUARIO" dataDxfId="11"/>
    <tableColumn id="5" xr3:uid="{780DD88D-8D04-4AC8-9B0B-AECDCCB057B6}" name="ETIQ CONTENEDOR" dataDxfId="10"/>
    <tableColumn id="6" xr3:uid="{877F643C-BD8E-48B9-91D8-2D5CAE88DA96}" name="NOMBRE UBICACION" dataDxfId="9"/>
    <tableColumn id="8" xr3:uid="{6DE1EDD8-9FBF-4CC9-A677-FEFE86F86AF6}" name="UNIDADES" dataDxfId="8"/>
    <tableColumn id="9" xr3:uid="{B58F53B7-2071-44C4-9522-A4D28A6A580E}" name="CAJAS" dataDxfId="7"/>
    <tableColumn id="10" xr3:uid="{C2599868-9B93-4962-AC5E-5D796AF0B7BC}" name="STOCK ACTUAL" dataDxfId="6"/>
    <tableColumn id="13" xr3:uid="{46714193-0599-4E8E-A819-14453A66741C}" name="COSTO,U" dataDxfId="1">
      <calculatedColumnFormula>+VLOOKUP(Tabla1[[#This Row],[CODE ERP]],[1]!Tabla1[[#Data],[#Totals],[SKU]:[Costo CD]],3,0)</calculatedColumnFormula>
    </tableColumn>
    <tableColumn id="12" xr3:uid="{943D1C32-9FEA-4B8F-A888-C4B213227B58}" name="TOTAL,COSTO" dataDxfId="0">
      <calculatedColumnFormula>+Tabla1[[#This Row],[COSTO,U]]*Tabla1[[#This Row],[UNIDADES]]</calculatedColumnFormula>
    </tableColumn>
    <tableColumn id="11" xr3:uid="{E200C25C-9B28-46C1-BDC4-70A444787E44}" name="COMENTARIO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2"/>
  <sheetViews>
    <sheetView showGridLines="0" tabSelected="1" topLeftCell="A97" workbookViewId="0">
      <selection activeCell="A103" sqref="A103"/>
    </sheetView>
  </sheetViews>
  <sheetFormatPr baseColWidth="10" defaultColWidth="42.6640625" defaultRowHeight="28.8" customHeight="1"/>
  <cols>
    <col min="1" max="1" width="9.21875" style="1" customWidth="1"/>
    <col min="2" max="2" width="42.6640625" style="1"/>
    <col min="3" max="3" width="15.109375" style="1" customWidth="1"/>
    <col min="4" max="4" width="13.88671875" style="1" customWidth="1"/>
    <col min="5" max="5" width="20.21875" style="1" customWidth="1"/>
    <col min="6" max="6" width="21.109375" style="1" customWidth="1"/>
    <col min="7" max="7" width="7.33203125" style="1" customWidth="1"/>
    <col min="8" max="8" width="8" style="1" customWidth="1"/>
    <col min="9" max="9" width="8.44140625" style="1" customWidth="1"/>
    <col min="10" max="10" width="9.77734375" style="1" customWidth="1"/>
    <col min="11" max="11" width="13" style="1" customWidth="1"/>
    <col min="12" max="12" width="29.109375" style="1" customWidth="1"/>
    <col min="13" max="16384" width="42.6640625" style="1"/>
  </cols>
  <sheetData>
    <row r="1" spans="1:12" ht="28.8" customHeigh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597</v>
      </c>
      <c r="K1" s="3" t="s">
        <v>598</v>
      </c>
      <c r="L1" s="3" t="s">
        <v>9</v>
      </c>
    </row>
    <row r="2" spans="1:12" ht="28.8" customHeight="1">
      <c r="A2" s="9">
        <v>2011896</v>
      </c>
      <c r="B2" s="10" t="s">
        <v>432</v>
      </c>
      <c r="C2" s="10" t="s">
        <v>433</v>
      </c>
      <c r="D2" s="11" t="s">
        <v>332</v>
      </c>
      <c r="E2" s="11" t="s">
        <v>434</v>
      </c>
      <c r="F2" s="11" t="s">
        <v>435</v>
      </c>
      <c r="G2" s="11">
        <v>-228</v>
      </c>
      <c r="H2" s="12">
        <v>-19</v>
      </c>
      <c r="I2" s="11">
        <v>696</v>
      </c>
      <c r="J2" s="13">
        <f>+VLOOKUP(Tabla1[[#This Row],[CODE ERP]],[1]!Tabla1[[#Data],[#Totals],[SKU]:[Costo CD]],3,0)</f>
        <v>38.340000000000003</v>
      </c>
      <c r="K2" s="13">
        <f>+Tabla1[[#This Row],[COSTO,U]]*Tabla1[[#This Row],[UNIDADES]]</f>
        <v>-8741.52</v>
      </c>
      <c r="L2" s="11" t="s">
        <v>599</v>
      </c>
    </row>
    <row r="3" spans="1:12" ht="28.8" customHeight="1">
      <c r="A3" s="4">
        <v>96806</v>
      </c>
      <c r="B3" s="5" t="s">
        <v>261</v>
      </c>
      <c r="C3" s="5" t="s">
        <v>262</v>
      </c>
      <c r="D3" s="6" t="s">
        <v>127</v>
      </c>
      <c r="E3" s="6" t="s">
        <v>263</v>
      </c>
      <c r="F3" s="6" t="s">
        <v>264</v>
      </c>
      <c r="G3" s="6">
        <v>-720</v>
      </c>
      <c r="H3" s="7">
        <v>-5</v>
      </c>
      <c r="I3" s="6">
        <v>384</v>
      </c>
      <c r="J3" s="8">
        <f>+VLOOKUP(Tabla1[[#This Row],[CODE ERP]],[1]!Tabla1[[#Data],[#Totals],[SKU]:[Costo CD]],3,0)</f>
        <v>11.85</v>
      </c>
      <c r="K3" s="8">
        <f>+Tabla1[[#This Row],[COSTO,U]]*Tabla1[[#This Row],[UNIDADES]]</f>
        <v>-8532</v>
      </c>
      <c r="L3" s="6" t="s">
        <v>10</v>
      </c>
    </row>
    <row r="4" spans="1:12" ht="28.8" customHeight="1">
      <c r="A4" s="4">
        <v>2081868</v>
      </c>
      <c r="B4" s="5" t="s">
        <v>140</v>
      </c>
      <c r="C4" s="5" t="s">
        <v>141</v>
      </c>
      <c r="D4" s="6" t="s">
        <v>127</v>
      </c>
      <c r="E4" s="6" t="s">
        <v>142</v>
      </c>
      <c r="F4" s="6" t="s">
        <v>143</v>
      </c>
      <c r="G4" s="6">
        <v>-288</v>
      </c>
      <c r="H4" s="7">
        <v>-8</v>
      </c>
      <c r="I4" s="6">
        <v>3190</v>
      </c>
      <c r="J4" s="8">
        <f>+VLOOKUP(Tabla1[[#This Row],[CODE ERP]],[1]!Tabla1[[#Data],[#Totals],[SKU]:[Costo CD]],3,0)</f>
        <v>25.91</v>
      </c>
      <c r="K4" s="8">
        <f>+Tabla1[[#This Row],[COSTO,U]]*Tabla1[[#This Row],[UNIDADES]]</f>
        <v>-7462.08</v>
      </c>
      <c r="L4" s="6" t="s">
        <v>10</v>
      </c>
    </row>
    <row r="5" spans="1:12" ht="28.8" customHeight="1">
      <c r="A5" s="4">
        <v>2074066</v>
      </c>
      <c r="B5" s="5" t="s">
        <v>376</v>
      </c>
      <c r="C5" s="5" t="s">
        <v>504</v>
      </c>
      <c r="D5" s="6" t="s">
        <v>28</v>
      </c>
      <c r="E5" s="6" t="s">
        <v>377</v>
      </c>
      <c r="F5" s="6" t="s">
        <v>378</v>
      </c>
      <c r="G5" s="6">
        <v>-126</v>
      </c>
      <c r="H5" s="7">
        <v>-21</v>
      </c>
      <c r="I5" s="6">
        <v>528</v>
      </c>
      <c r="J5" s="8">
        <f>+VLOOKUP(Tabla1[[#This Row],[CODE ERP]],[1]!Tabla1[[#Data],[#Totals],[SKU]:[Costo CD]],3,0)</f>
        <v>50.14</v>
      </c>
      <c r="K5" s="8">
        <f>+Tabla1[[#This Row],[COSTO,U]]*Tabla1[[#This Row],[UNIDADES]]</f>
        <v>-6317.64</v>
      </c>
      <c r="L5" s="6" t="s">
        <v>10</v>
      </c>
    </row>
    <row r="6" spans="1:12" ht="28.8" customHeight="1">
      <c r="A6" s="4">
        <v>74353</v>
      </c>
      <c r="B6" s="5" t="s">
        <v>449</v>
      </c>
      <c r="C6" s="5" t="s">
        <v>450</v>
      </c>
      <c r="D6" s="6" t="s">
        <v>402</v>
      </c>
      <c r="E6" s="6" t="s">
        <v>451</v>
      </c>
      <c r="F6" s="6" t="s">
        <v>452</v>
      </c>
      <c r="G6" s="6">
        <v>-480</v>
      </c>
      <c r="H6" s="7">
        <v>-10</v>
      </c>
      <c r="I6" s="6">
        <v>720</v>
      </c>
      <c r="J6" s="8">
        <f>+VLOOKUP(Tabla1[[#This Row],[CODE ERP]],[1]!Tabla1[[#Data],[#Totals],[SKU]:[Costo CD]],3,0)</f>
        <v>12.84</v>
      </c>
      <c r="K6" s="8">
        <f>+Tabla1[[#This Row],[COSTO,U]]*Tabla1[[#This Row],[UNIDADES]]</f>
        <v>-6163.2</v>
      </c>
      <c r="L6" s="6" t="s">
        <v>10</v>
      </c>
    </row>
    <row r="7" spans="1:12" ht="28.8" customHeight="1">
      <c r="A7" s="4">
        <v>2085456</v>
      </c>
      <c r="B7" s="5" t="s">
        <v>12</v>
      </c>
      <c r="C7" s="5" t="s">
        <v>580</v>
      </c>
      <c r="D7" s="6" t="s">
        <v>475</v>
      </c>
      <c r="E7" s="6" t="s">
        <v>15</v>
      </c>
      <c r="F7" s="6" t="s">
        <v>16</v>
      </c>
      <c r="G7" s="6">
        <v>-102</v>
      </c>
      <c r="H7" s="7">
        <v>-17</v>
      </c>
      <c r="I7" s="6">
        <v>276</v>
      </c>
      <c r="J7" s="8">
        <f>+VLOOKUP(Tabla1[[#This Row],[CODE ERP]],[1]!Tabla1[[#Data],[#Totals],[SKU]:[Costo CD]],3,0)</f>
        <v>49.5</v>
      </c>
      <c r="K7" s="8">
        <f>+Tabla1[[#This Row],[COSTO,U]]*Tabla1[[#This Row],[UNIDADES]]</f>
        <v>-5049</v>
      </c>
      <c r="L7" s="6" t="s">
        <v>10</v>
      </c>
    </row>
    <row r="8" spans="1:12" ht="28.8" customHeight="1">
      <c r="A8" s="4">
        <v>115183</v>
      </c>
      <c r="B8" s="5" t="s">
        <v>531</v>
      </c>
      <c r="C8" s="5" t="s">
        <v>532</v>
      </c>
      <c r="D8" s="6" t="s">
        <v>31</v>
      </c>
      <c r="E8" s="6" t="s">
        <v>533</v>
      </c>
      <c r="F8" s="6" t="s">
        <v>534</v>
      </c>
      <c r="G8" s="6">
        <v>-504</v>
      </c>
      <c r="H8" s="7">
        <v>-42</v>
      </c>
      <c r="I8" s="6">
        <v>936</v>
      </c>
      <c r="J8" s="8">
        <f>+VLOOKUP(Tabla1[[#This Row],[CODE ERP]],[1]!Tabla1[[#Data],[#Totals],[SKU]:[Costo CD]],3,0)</f>
        <v>9.65</v>
      </c>
      <c r="K8" s="8">
        <f>+Tabla1[[#This Row],[COSTO,U]]*Tabla1[[#This Row],[UNIDADES]]</f>
        <v>-4863.6000000000004</v>
      </c>
      <c r="L8" s="6" t="s">
        <v>10</v>
      </c>
    </row>
    <row r="9" spans="1:12" ht="28.8" customHeight="1">
      <c r="A9" s="4">
        <v>2084178</v>
      </c>
      <c r="B9" s="5" t="s">
        <v>215</v>
      </c>
      <c r="C9" s="5" t="s">
        <v>256</v>
      </c>
      <c r="D9" s="6" t="s">
        <v>127</v>
      </c>
      <c r="E9" s="6" t="s">
        <v>217</v>
      </c>
      <c r="F9" s="6" t="s">
        <v>218</v>
      </c>
      <c r="G9" s="6">
        <v>-30</v>
      </c>
      <c r="H9" s="7">
        <v>-5</v>
      </c>
      <c r="I9" s="6">
        <v>438</v>
      </c>
      <c r="J9" s="8">
        <f>+VLOOKUP(Tabla1[[#This Row],[CODE ERP]],[1]!Tabla1[[#Data],[#Totals],[SKU]:[Costo CD]],3,0)</f>
        <v>153.35</v>
      </c>
      <c r="K9" s="8">
        <f>+Tabla1[[#This Row],[COSTO,U]]*Tabla1[[#This Row],[UNIDADES]]</f>
        <v>-4600.5</v>
      </c>
      <c r="L9" s="6" t="s">
        <v>10</v>
      </c>
    </row>
    <row r="10" spans="1:12" ht="28.8" customHeight="1">
      <c r="A10" s="4">
        <v>2077826</v>
      </c>
      <c r="B10" s="5" t="s">
        <v>570</v>
      </c>
      <c r="C10" s="5" t="s">
        <v>571</v>
      </c>
      <c r="D10" s="6" t="s">
        <v>18</v>
      </c>
      <c r="E10" s="6" t="s">
        <v>572</v>
      </c>
      <c r="F10" s="6" t="s">
        <v>573</v>
      </c>
      <c r="G10" s="6">
        <v>-140</v>
      </c>
      <c r="H10" s="7">
        <v>-10</v>
      </c>
      <c r="I10" s="6">
        <v>154</v>
      </c>
      <c r="J10" s="8">
        <f>+VLOOKUP(Tabla1[[#This Row],[CODE ERP]],[1]!Tabla1[[#Data],[#Totals],[SKU]:[Costo CD]],3,0)</f>
        <v>31.07</v>
      </c>
      <c r="K10" s="8">
        <f>+Tabla1[[#This Row],[COSTO,U]]*Tabla1[[#This Row],[UNIDADES]]</f>
        <v>-4349.8</v>
      </c>
      <c r="L10" s="6" t="s">
        <v>10</v>
      </c>
    </row>
    <row r="11" spans="1:12" ht="28.8" customHeight="1">
      <c r="A11" s="4">
        <v>2079343</v>
      </c>
      <c r="B11" s="5" t="s">
        <v>385</v>
      </c>
      <c r="C11" s="5" t="s">
        <v>521</v>
      </c>
      <c r="D11" s="6" t="s">
        <v>47</v>
      </c>
      <c r="E11" s="6" t="s">
        <v>386</v>
      </c>
      <c r="F11" s="6" t="s">
        <v>387</v>
      </c>
      <c r="G11" s="6">
        <v>-84</v>
      </c>
      <c r="H11" s="7">
        <v>-7</v>
      </c>
      <c r="I11" s="6">
        <v>1908</v>
      </c>
      <c r="J11" s="8">
        <f>+VLOOKUP(Tabla1[[#This Row],[CODE ERP]],[1]!Tabla1[[#Data],[#Totals],[SKU]:[Costo CD]],3,0)</f>
        <v>45.85</v>
      </c>
      <c r="K11" s="8">
        <f>+Tabla1[[#This Row],[COSTO,U]]*Tabla1[[#This Row],[UNIDADES]]</f>
        <v>-3851.4</v>
      </c>
      <c r="L11" s="6" t="s">
        <v>10</v>
      </c>
    </row>
    <row r="12" spans="1:12" ht="28.8" customHeight="1">
      <c r="A12" s="9">
        <v>2084178</v>
      </c>
      <c r="B12" s="10" t="s">
        <v>215</v>
      </c>
      <c r="C12" s="10" t="s">
        <v>216</v>
      </c>
      <c r="D12" s="11" t="s">
        <v>127</v>
      </c>
      <c r="E12" s="11" t="s">
        <v>217</v>
      </c>
      <c r="F12" s="11" t="s">
        <v>218</v>
      </c>
      <c r="G12" s="11">
        <v>-24</v>
      </c>
      <c r="H12" s="12">
        <v>-4</v>
      </c>
      <c r="I12" s="11">
        <v>468</v>
      </c>
      <c r="J12" s="13">
        <f>+VLOOKUP(Tabla1[[#This Row],[CODE ERP]],[1]!Tabla1[[#Data],[#Totals],[SKU]:[Costo CD]],3,0)</f>
        <v>153.35</v>
      </c>
      <c r="K12" s="13">
        <f>+Tabla1[[#This Row],[COSTO,U]]*Tabla1[[#This Row],[UNIDADES]]</f>
        <v>-3680.3999999999996</v>
      </c>
      <c r="L12" s="11" t="s">
        <v>600</v>
      </c>
    </row>
    <row r="13" spans="1:12" ht="28.8" customHeight="1">
      <c r="A13" s="4">
        <v>83977</v>
      </c>
      <c r="B13" s="5" t="s">
        <v>206</v>
      </c>
      <c r="C13" s="5" t="s">
        <v>203</v>
      </c>
      <c r="D13" s="6" t="s">
        <v>85</v>
      </c>
      <c r="E13" s="6" t="s">
        <v>207</v>
      </c>
      <c r="F13" s="6" t="s">
        <v>208</v>
      </c>
      <c r="G13" s="6">
        <v>-336</v>
      </c>
      <c r="H13" s="7">
        <v>-14</v>
      </c>
      <c r="I13" s="6">
        <v>48</v>
      </c>
      <c r="J13" s="8">
        <f>+VLOOKUP(Tabla1[[#This Row],[CODE ERP]],[1]!Tabla1[[#Data],[#Totals],[SKU]:[Costo CD]],3,0)</f>
        <v>10.71</v>
      </c>
      <c r="K13" s="8">
        <f>+Tabla1[[#This Row],[COSTO,U]]*Tabla1[[#This Row],[UNIDADES]]</f>
        <v>-3598.5600000000004</v>
      </c>
      <c r="L13" s="6" t="s">
        <v>10</v>
      </c>
    </row>
    <row r="14" spans="1:12" ht="28.8" customHeight="1">
      <c r="A14" s="4">
        <v>2022666</v>
      </c>
      <c r="B14" s="5" t="s">
        <v>19</v>
      </c>
      <c r="C14" s="5" t="s">
        <v>20</v>
      </c>
      <c r="D14" s="6" t="s">
        <v>14</v>
      </c>
      <c r="E14" s="6" t="s">
        <v>21</v>
      </c>
      <c r="F14" s="6" t="s">
        <v>22</v>
      </c>
      <c r="G14" s="6">
        <v>-48</v>
      </c>
      <c r="H14" s="7">
        <v>-8</v>
      </c>
      <c r="I14" s="6">
        <v>144</v>
      </c>
      <c r="J14" s="8">
        <f>+VLOOKUP(Tabla1[[#This Row],[CODE ERP]],[1]!Tabla1[[#Data],[#Totals],[SKU]:[Costo CD]],3,0)</f>
        <v>70.08</v>
      </c>
      <c r="K14" s="8">
        <f>+Tabla1[[#This Row],[COSTO,U]]*Tabla1[[#This Row],[UNIDADES]]</f>
        <v>-3363.84</v>
      </c>
      <c r="L14" s="6" t="s">
        <v>10</v>
      </c>
    </row>
    <row r="15" spans="1:12" ht="28.8" customHeight="1">
      <c r="A15" s="4">
        <v>2063126</v>
      </c>
      <c r="B15" s="5" t="s">
        <v>561</v>
      </c>
      <c r="C15" s="5" t="s">
        <v>562</v>
      </c>
      <c r="D15" s="6" t="s">
        <v>563</v>
      </c>
      <c r="E15" s="6" t="s">
        <v>564</v>
      </c>
      <c r="F15" s="6" t="s">
        <v>565</v>
      </c>
      <c r="G15" s="6">
        <v>-84</v>
      </c>
      <c r="H15" s="7">
        <v>-7</v>
      </c>
      <c r="I15" s="6">
        <v>228</v>
      </c>
      <c r="J15" s="8">
        <f>+VLOOKUP(Tabla1[[#This Row],[CODE ERP]],[1]!Tabla1[[#Data],[#Totals],[SKU]:[Costo CD]],3,0)</f>
        <v>39.19</v>
      </c>
      <c r="K15" s="8">
        <f>+Tabla1[[#This Row],[COSTO,U]]*Tabla1[[#This Row],[UNIDADES]]</f>
        <v>-3291.96</v>
      </c>
      <c r="L15" s="6" t="s">
        <v>10</v>
      </c>
    </row>
    <row r="16" spans="1:12" ht="28.8" customHeight="1">
      <c r="A16" s="9">
        <v>2077326</v>
      </c>
      <c r="B16" s="10" t="s">
        <v>358</v>
      </c>
      <c r="C16" s="10" t="s">
        <v>359</v>
      </c>
      <c r="D16" s="11" t="s">
        <v>14</v>
      </c>
      <c r="E16" s="11" t="s">
        <v>360</v>
      </c>
      <c r="F16" s="11" t="s">
        <v>361</v>
      </c>
      <c r="G16" s="11">
        <v>-72</v>
      </c>
      <c r="H16" s="12">
        <v>-2</v>
      </c>
      <c r="I16" s="11">
        <v>636</v>
      </c>
      <c r="J16" s="13">
        <f>+VLOOKUP(Tabla1[[#This Row],[CODE ERP]],[1]!Tabla1[[#Data],[#Totals],[SKU]:[Costo CD]],3,0)</f>
        <v>45.07</v>
      </c>
      <c r="K16" s="13">
        <f>+Tabla1[[#This Row],[COSTO,U]]*Tabla1[[#This Row],[UNIDADES]]</f>
        <v>-3245.04</v>
      </c>
      <c r="L16" s="11" t="s">
        <v>601</v>
      </c>
    </row>
    <row r="17" spans="1:12" ht="28.8" customHeight="1">
      <c r="A17" s="4">
        <v>95694</v>
      </c>
      <c r="B17" s="5" t="s">
        <v>39</v>
      </c>
      <c r="C17" s="5" t="s">
        <v>93</v>
      </c>
      <c r="D17" s="6" t="s">
        <v>82</v>
      </c>
      <c r="E17" s="6" t="s">
        <v>94</v>
      </c>
      <c r="F17" s="6" t="s">
        <v>95</v>
      </c>
      <c r="G17" s="6">
        <v>-960</v>
      </c>
      <c r="H17" s="7">
        <v>-16</v>
      </c>
      <c r="I17" s="6">
        <v>5580</v>
      </c>
      <c r="J17" s="8">
        <f>+VLOOKUP(Tabla1[[#This Row],[CODE ERP]],[1]!Tabla1[[#Data],[#Totals],[SKU]:[Costo CD]],3,0)</f>
        <v>3.05</v>
      </c>
      <c r="K17" s="8">
        <f>+Tabla1[[#This Row],[COSTO,U]]*Tabla1[[#This Row],[UNIDADES]]</f>
        <v>-2928</v>
      </c>
      <c r="L17" s="6" t="s">
        <v>10</v>
      </c>
    </row>
    <row r="18" spans="1:12" ht="28.8" customHeight="1">
      <c r="A18" s="4">
        <v>9355</v>
      </c>
      <c r="B18" s="5" t="s">
        <v>136</v>
      </c>
      <c r="C18" s="5" t="s">
        <v>137</v>
      </c>
      <c r="D18" s="6" t="s">
        <v>127</v>
      </c>
      <c r="E18" s="6" t="s">
        <v>138</v>
      </c>
      <c r="F18" s="6" t="s">
        <v>139</v>
      </c>
      <c r="G18" s="6">
        <v>-456</v>
      </c>
      <c r="H18" s="7">
        <v>-19</v>
      </c>
      <c r="I18" s="6">
        <v>480</v>
      </c>
      <c r="J18" s="8">
        <f>+VLOOKUP(Tabla1[[#This Row],[CODE ERP]],[1]!Tabla1[[#Data],[#Totals],[SKU]:[Costo CD]],3,0)</f>
        <v>6.21</v>
      </c>
      <c r="K18" s="8">
        <f>+Tabla1[[#This Row],[COSTO,U]]*Tabla1[[#This Row],[UNIDADES]]</f>
        <v>-2831.7599999999998</v>
      </c>
      <c r="L18" s="6" t="s">
        <v>10</v>
      </c>
    </row>
    <row r="19" spans="1:12" ht="28.8" customHeight="1">
      <c r="A19" s="4">
        <v>2078729</v>
      </c>
      <c r="B19" s="5" t="s">
        <v>202</v>
      </c>
      <c r="C19" s="5" t="s">
        <v>203</v>
      </c>
      <c r="D19" s="6" t="s">
        <v>127</v>
      </c>
      <c r="E19" s="6" t="s">
        <v>204</v>
      </c>
      <c r="F19" s="6" t="s">
        <v>205</v>
      </c>
      <c r="G19" s="6">
        <v>-42</v>
      </c>
      <c r="H19" s="7">
        <v>-7</v>
      </c>
      <c r="I19" s="6">
        <v>156</v>
      </c>
      <c r="J19" s="8">
        <f>+VLOOKUP(Tabla1[[#This Row],[CODE ERP]],[1]!Tabla1[[#Data],[#Totals],[SKU]:[Costo CD]],3,0)</f>
        <v>66.06</v>
      </c>
      <c r="K19" s="8">
        <f>+Tabla1[[#This Row],[COSTO,U]]*Tabla1[[#This Row],[UNIDADES]]</f>
        <v>-2774.52</v>
      </c>
      <c r="L19" s="6" t="s">
        <v>10</v>
      </c>
    </row>
    <row r="20" spans="1:12" ht="28.8" customHeight="1">
      <c r="A20" s="9">
        <v>84001</v>
      </c>
      <c r="B20" s="10" t="s">
        <v>186</v>
      </c>
      <c r="C20" s="10" t="s">
        <v>187</v>
      </c>
      <c r="D20" s="11" t="s">
        <v>188</v>
      </c>
      <c r="E20" s="11" t="s">
        <v>189</v>
      </c>
      <c r="F20" s="11" t="s">
        <v>190</v>
      </c>
      <c r="G20" s="11">
        <v>-60</v>
      </c>
      <c r="H20" s="12">
        <v>-5</v>
      </c>
      <c r="I20" s="11">
        <v>149</v>
      </c>
      <c r="J20" s="13">
        <f>+VLOOKUP(Tabla1[[#This Row],[CODE ERP]],[1]!Tabla1[[#Data],[#Totals],[SKU]:[Costo CD]],3,0)</f>
        <v>44.69</v>
      </c>
      <c r="K20" s="13">
        <f>+Tabla1[[#This Row],[COSTO,U]]*Tabla1[[#This Row],[UNIDADES]]</f>
        <v>-2681.3999999999996</v>
      </c>
      <c r="L20" s="11" t="s">
        <v>603</v>
      </c>
    </row>
    <row r="21" spans="1:12" ht="28.8" customHeight="1">
      <c r="A21" s="4">
        <v>106509</v>
      </c>
      <c r="B21" s="5" t="s">
        <v>290</v>
      </c>
      <c r="C21" s="5" t="s">
        <v>539</v>
      </c>
      <c r="D21" s="6" t="s">
        <v>481</v>
      </c>
      <c r="E21" s="6" t="s">
        <v>291</v>
      </c>
      <c r="F21" s="6" t="s">
        <v>292</v>
      </c>
      <c r="G21" s="6">
        <v>-72</v>
      </c>
      <c r="H21" s="7">
        <v>-6</v>
      </c>
      <c r="I21" s="6">
        <v>696</v>
      </c>
      <c r="J21" s="8">
        <f>+VLOOKUP(Tabla1[[#This Row],[CODE ERP]],[1]!Tabla1[[#Data],[#Totals],[SKU]:[Costo CD]],3,0)</f>
        <v>36.729999999999997</v>
      </c>
      <c r="K21" s="8">
        <f>+Tabla1[[#This Row],[COSTO,U]]*Tabla1[[#This Row],[UNIDADES]]</f>
        <v>-2644.56</v>
      </c>
      <c r="L21" s="6" t="s">
        <v>10</v>
      </c>
    </row>
    <row r="22" spans="1:12" ht="28.8" customHeight="1">
      <c r="A22" s="4">
        <v>2059444</v>
      </c>
      <c r="B22" s="5" t="s">
        <v>349</v>
      </c>
      <c r="C22" s="5" t="s">
        <v>350</v>
      </c>
      <c r="D22" s="6" t="s">
        <v>327</v>
      </c>
      <c r="E22" s="6" t="s">
        <v>351</v>
      </c>
      <c r="F22" s="6" t="s">
        <v>352</v>
      </c>
      <c r="G22" s="6">
        <v>-12</v>
      </c>
      <c r="H22" s="7">
        <v>-1</v>
      </c>
      <c r="I22" s="6">
        <v>0</v>
      </c>
      <c r="J22" s="8">
        <f>+VLOOKUP(Tabla1[[#This Row],[CODE ERP]],[1]!Tabla1[[#Data],[#Totals],[SKU]:[Costo CD]],3,0)</f>
        <v>210.66</v>
      </c>
      <c r="K22" s="8">
        <f>+Tabla1[[#This Row],[COSTO,U]]*Tabla1[[#This Row],[UNIDADES]]</f>
        <v>-2527.92</v>
      </c>
      <c r="L22" s="6" t="s">
        <v>10</v>
      </c>
    </row>
    <row r="23" spans="1:12" ht="28.8" customHeight="1">
      <c r="A23" s="4">
        <v>86030</v>
      </c>
      <c r="B23" s="5" t="s">
        <v>419</v>
      </c>
      <c r="C23" s="5" t="s">
        <v>540</v>
      </c>
      <c r="D23" s="6" t="s">
        <v>17</v>
      </c>
      <c r="E23" s="6" t="s">
        <v>420</v>
      </c>
      <c r="F23" s="6" t="s">
        <v>421</v>
      </c>
      <c r="G23" s="6">
        <v>-60</v>
      </c>
      <c r="H23" s="7">
        <v>-10</v>
      </c>
      <c r="I23" s="6">
        <v>564</v>
      </c>
      <c r="J23" s="8">
        <f>+VLOOKUP(Tabla1[[#This Row],[CODE ERP]],[1]!Tabla1[[#Data],[#Totals],[SKU]:[Costo CD]],3,0)</f>
        <v>41.96</v>
      </c>
      <c r="K23" s="8">
        <f>+Tabla1[[#This Row],[COSTO,U]]*Tabla1[[#This Row],[UNIDADES]]</f>
        <v>-2517.6</v>
      </c>
      <c r="L23" s="6" t="s">
        <v>10</v>
      </c>
    </row>
    <row r="24" spans="1:12" ht="28.8" customHeight="1">
      <c r="A24" s="9">
        <v>2079518</v>
      </c>
      <c r="B24" s="10" t="s">
        <v>144</v>
      </c>
      <c r="C24" s="10" t="s">
        <v>145</v>
      </c>
      <c r="D24" s="11" t="s">
        <v>127</v>
      </c>
      <c r="E24" s="11" t="s">
        <v>146</v>
      </c>
      <c r="F24" s="11" t="s">
        <v>147</v>
      </c>
      <c r="G24" s="11">
        <v>-36</v>
      </c>
      <c r="H24" s="12">
        <v>-3</v>
      </c>
      <c r="I24" s="11">
        <v>252</v>
      </c>
      <c r="J24" s="13">
        <f>+VLOOKUP(Tabla1[[#This Row],[CODE ERP]],[1]!Tabla1[[#Data],[#Totals],[SKU]:[Costo CD]],3,0)</f>
        <v>63.33</v>
      </c>
      <c r="K24" s="13">
        <f>+Tabla1[[#This Row],[COSTO,U]]*Tabla1[[#This Row],[UNIDADES]]</f>
        <v>-2279.88</v>
      </c>
      <c r="L24" s="11" t="s">
        <v>601</v>
      </c>
    </row>
    <row r="25" spans="1:12" ht="28.8" customHeight="1">
      <c r="A25" s="9">
        <v>2026962</v>
      </c>
      <c r="B25" s="10" t="s">
        <v>476</v>
      </c>
      <c r="C25" s="10" t="s">
        <v>477</v>
      </c>
      <c r="D25" s="11" t="s">
        <v>478</v>
      </c>
      <c r="E25" s="11" t="s">
        <v>479</v>
      </c>
      <c r="F25" s="11" t="s">
        <v>480</v>
      </c>
      <c r="G25" s="11">
        <v>-84</v>
      </c>
      <c r="H25" s="12">
        <v>-7</v>
      </c>
      <c r="I25" s="11">
        <v>312</v>
      </c>
      <c r="J25" s="13">
        <f>+VLOOKUP(Tabla1[[#This Row],[CODE ERP]],[1]!Tabla1[[#Data],[#Totals],[SKU]:[Costo CD]],3,0)</f>
        <v>27.01</v>
      </c>
      <c r="K25" s="13">
        <f>+Tabla1[[#This Row],[COSTO,U]]*Tabla1[[#This Row],[UNIDADES]]</f>
        <v>-2268.84</v>
      </c>
      <c r="L25" s="11" t="s">
        <v>604</v>
      </c>
    </row>
    <row r="26" spans="1:12" ht="28.8" customHeight="1">
      <c r="A26" s="4">
        <v>2075277</v>
      </c>
      <c r="B26" s="5" t="s">
        <v>372</v>
      </c>
      <c r="C26" s="5" t="s">
        <v>373</v>
      </c>
      <c r="D26" s="6" t="s">
        <v>321</v>
      </c>
      <c r="E26" s="6" t="s">
        <v>374</v>
      </c>
      <c r="F26" s="6" t="s">
        <v>375</v>
      </c>
      <c r="G26" s="6">
        <v>-40</v>
      </c>
      <c r="H26" s="7">
        <v>-4</v>
      </c>
      <c r="I26" s="6">
        <v>190</v>
      </c>
      <c r="J26" s="8">
        <f>+VLOOKUP(Tabla1[[#This Row],[CODE ERP]],[1]!Tabla1[[#Data],[#Totals],[SKU]:[Costo CD]],3,0)</f>
        <v>56.26</v>
      </c>
      <c r="K26" s="8">
        <f>+Tabla1[[#This Row],[COSTO,U]]*Tabla1[[#This Row],[UNIDADES]]</f>
        <v>-2250.4</v>
      </c>
      <c r="L26" s="6" t="s">
        <v>10</v>
      </c>
    </row>
    <row r="27" spans="1:12" ht="28.8" customHeight="1">
      <c r="A27" s="4">
        <v>2070607</v>
      </c>
      <c r="B27" s="5" t="s">
        <v>581</v>
      </c>
      <c r="C27" s="5" t="s">
        <v>582</v>
      </c>
      <c r="D27" s="6" t="s">
        <v>17</v>
      </c>
      <c r="E27" s="6" t="s">
        <v>583</v>
      </c>
      <c r="F27" s="6" t="s">
        <v>584</v>
      </c>
      <c r="G27" s="6">
        <v>-80</v>
      </c>
      <c r="H27" s="7">
        <v>-8</v>
      </c>
      <c r="I27" s="6">
        <v>70</v>
      </c>
      <c r="J27" s="8">
        <f>+VLOOKUP(Tabla1[[#This Row],[CODE ERP]],[1]!Tabla1[[#Data],[#Totals],[SKU]:[Costo CD]],3,0)</f>
        <v>27.84</v>
      </c>
      <c r="K27" s="8">
        <f>+Tabla1[[#This Row],[COSTO,U]]*Tabla1[[#This Row],[UNIDADES]]</f>
        <v>-2227.1999999999998</v>
      </c>
      <c r="L27" s="6" t="s">
        <v>10</v>
      </c>
    </row>
    <row r="28" spans="1:12" ht="28.8" customHeight="1">
      <c r="A28" s="9">
        <v>76453</v>
      </c>
      <c r="B28" s="10" t="s">
        <v>500</v>
      </c>
      <c r="C28" s="10" t="s">
        <v>501</v>
      </c>
      <c r="D28" s="11" t="s">
        <v>475</v>
      </c>
      <c r="E28" s="11" t="s">
        <v>502</v>
      </c>
      <c r="F28" s="11" t="s">
        <v>503</v>
      </c>
      <c r="G28" s="11">
        <v>-12</v>
      </c>
      <c r="H28" s="12">
        <v>-2</v>
      </c>
      <c r="I28" s="11">
        <v>198</v>
      </c>
      <c r="J28" s="13">
        <f>+VLOOKUP(Tabla1[[#This Row],[CODE ERP]],[1]!Tabla1[[#Data],[#Totals],[SKU]:[Costo CD]],3,0)</f>
        <v>183.27</v>
      </c>
      <c r="K28" s="13">
        <f>+Tabla1[[#This Row],[COSTO,U]]*Tabla1[[#This Row],[UNIDADES]]</f>
        <v>-2199.2400000000002</v>
      </c>
      <c r="L28" s="11" t="s">
        <v>601</v>
      </c>
    </row>
    <row r="29" spans="1:12" ht="28.8" customHeight="1">
      <c r="A29" s="4">
        <v>2086050</v>
      </c>
      <c r="B29" s="5" t="s">
        <v>457</v>
      </c>
      <c r="C29" s="5" t="s">
        <v>458</v>
      </c>
      <c r="D29" s="6" t="s">
        <v>362</v>
      </c>
      <c r="E29" s="6" t="s">
        <v>459</v>
      </c>
      <c r="F29" s="6" t="s">
        <v>460</v>
      </c>
      <c r="G29" s="6">
        <v>-72</v>
      </c>
      <c r="H29" s="7">
        <v>-6</v>
      </c>
      <c r="I29" s="6">
        <v>2676</v>
      </c>
      <c r="J29" s="8">
        <f>+VLOOKUP(Tabla1[[#This Row],[CODE ERP]],[1]!Tabla1[[#Data],[#Totals],[SKU]:[Costo CD]],3,0)</f>
        <v>29.76</v>
      </c>
      <c r="K29" s="8">
        <f>+Tabla1[[#This Row],[COSTO,U]]*Tabla1[[#This Row],[UNIDADES]]</f>
        <v>-2142.7200000000003</v>
      </c>
      <c r="L29" s="6" t="s">
        <v>10</v>
      </c>
    </row>
    <row r="30" spans="1:12" ht="28.8" customHeight="1">
      <c r="A30" s="9">
        <v>2082096</v>
      </c>
      <c r="B30" s="10" t="s">
        <v>513</v>
      </c>
      <c r="C30" s="10" t="s">
        <v>514</v>
      </c>
      <c r="D30" s="11" t="s">
        <v>515</v>
      </c>
      <c r="E30" s="11" t="s">
        <v>516</v>
      </c>
      <c r="F30" s="11" t="s">
        <v>367</v>
      </c>
      <c r="G30" s="11">
        <v>-48</v>
      </c>
      <c r="H30" s="12">
        <v>-4</v>
      </c>
      <c r="I30" s="11">
        <v>624</v>
      </c>
      <c r="J30" s="13">
        <f>+VLOOKUP(Tabla1[[#This Row],[CODE ERP]],[1]!Tabla1[[#Data],[#Totals],[SKU]:[Costo CD]],3,0)</f>
        <v>42.21</v>
      </c>
      <c r="K30" s="13">
        <f>+Tabla1[[#This Row],[COSTO,U]]*Tabla1[[#This Row],[UNIDADES]]</f>
        <v>-2026.08</v>
      </c>
      <c r="L30" s="11" t="s">
        <v>608</v>
      </c>
    </row>
    <row r="31" spans="1:12" ht="28.8" customHeight="1">
      <c r="A31" s="4">
        <v>10348</v>
      </c>
      <c r="B31" s="5" t="s">
        <v>340</v>
      </c>
      <c r="C31" s="5" t="s">
        <v>341</v>
      </c>
      <c r="D31" s="6" t="s">
        <v>309</v>
      </c>
      <c r="E31" s="6" t="s">
        <v>342</v>
      </c>
      <c r="F31" s="6" t="s">
        <v>343</v>
      </c>
      <c r="G31" s="6">
        <v>-36</v>
      </c>
      <c r="H31" s="7">
        <v>-3</v>
      </c>
      <c r="I31" s="6">
        <v>576</v>
      </c>
      <c r="J31" s="8">
        <f>+VLOOKUP(Tabla1[[#This Row],[CODE ERP]],[1]!Tabla1[[#Data],[#Totals],[SKU]:[Costo CD]],3,0)</f>
        <v>53.26</v>
      </c>
      <c r="K31" s="8">
        <f>+Tabla1[[#This Row],[COSTO,U]]*Tabla1[[#This Row],[UNIDADES]]</f>
        <v>-1917.36</v>
      </c>
      <c r="L31" s="6" t="s">
        <v>10</v>
      </c>
    </row>
    <row r="32" spans="1:12" ht="28.8" customHeight="1">
      <c r="A32" s="9">
        <v>2053287</v>
      </c>
      <c r="B32" s="10" t="s">
        <v>257</v>
      </c>
      <c r="C32" s="10" t="s">
        <v>258</v>
      </c>
      <c r="D32" s="11" t="s">
        <v>80</v>
      </c>
      <c r="E32" s="11" t="s">
        <v>259</v>
      </c>
      <c r="F32" s="11" t="s">
        <v>260</v>
      </c>
      <c r="G32" s="11">
        <v>-12</v>
      </c>
      <c r="H32" s="12">
        <v>-1</v>
      </c>
      <c r="I32" s="11">
        <v>36</v>
      </c>
      <c r="J32" s="13">
        <f>+VLOOKUP(Tabla1[[#This Row],[CODE ERP]],[1]!Tabla1[[#Data],[#Totals],[SKU]:[Costo CD]],3,0)</f>
        <v>155.02000000000001</v>
      </c>
      <c r="K32" s="13">
        <f>+Tabla1[[#This Row],[COSTO,U]]*Tabla1[[#This Row],[UNIDADES]]</f>
        <v>-1860.2400000000002</v>
      </c>
      <c r="L32" s="11" t="s">
        <v>605</v>
      </c>
    </row>
    <row r="33" spans="1:12" ht="28.8" customHeight="1">
      <c r="A33" s="9">
        <v>54884</v>
      </c>
      <c r="B33" s="10" t="s">
        <v>316</v>
      </c>
      <c r="C33" s="10" t="s">
        <v>317</v>
      </c>
      <c r="D33" s="11" t="s">
        <v>318</v>
      </c>
      <c r="E33" s="11" t="s">
        <v>319</v>
      </c>
      <c r="F33" s="11" t="s">
        <v>320</v>
      </c>
      <c r="G33" s="11">
        <v>-672</v>
      </c>
      <c r="H33" s="12">
        <v>-7</v>
      </c>
      <c r="I33" s="11">
        <v>6528</v>
      </c>
      <c r="J33" s="13">
        <f>+VLOOKUP(Tabla1[[#This Row],[CODE ERP]],[1]!Tabla1[[#Data],[#Totals],[SKU]:[Costo CD]],3,0)</f>
        <v>2.74</v>
      </c>
      <c r="K33" s="13">
        <f>+Tabla1[[#This Row],[COSTO,U]]*Tabla1[[#This Row],[UNIDADES]]</f>
        <v>-1841.2800000000002</v>
      </c>
      <c r="L33" s="11" t="s">
        <v>607</v>
      </c>
    </row>
    <row r="34" spans="1:12" ht="28.8" customHeight="1">
      <c r="A34" s="4">
        <v>115797</v>
      </c>
      <c r="B34" s="5" t="s">
        <v>269</v>
      </c>
      <c r="C34" s="5" t="s">
        <v>270</v>
      </c>
      <c r="D34" s="6" t="s">
        <v>81</v>
      </c>
      <c r="E34" s="6" t="s">
        <v>271</v>
      </c>
      <c r="F34" s="6" t="s">
        <v>272</v>
      </c>
      <c r="G34" s="6">
        <v>-48</v>
      </c>
      <c r="H34" s="7">
        <v>-8</v>
      </c>
      <c r="I34" s="6">
        <v>3654</v>
      </c>
      <c r="J34" s="8">
        <f>+VLOOKUP(Tabla1[[#This Row],[CODE ERP]],[1]!Tabla1[[#Data],[#Totals],[SKU]:[Costo CD]],3,0)</f>
        <v>36.770000000000003</v>
      </c>
      <c r="K34" s="8">
        <f>+Tabla1[[#This Row],[COSTO,U]]*Tabla1[[#This Row],[UNIDADES]]</f>
        <v>-1764.96</v>
      </c>
      <c r="L34" s="6" t="s">
        <v>10</v>
      </c>
    </row>
    <row r="35" spans="1:12" ht="28.8" customHeight="1">
      <c r="A35" s="4">
        <v>88497</v>
      </c>
      <c r="B35" s="5" t="s">
        <v>330</v>
      </c>
      <c r="C35" s="5" t="s">
        <v>331</v>
      </c>
      <c r="D35" s="6" t="s">
        <v>332</v>
      </c>
      <c r="E35" s="6" t="s">
        <v>333</v>
      </c>
      <c r="F35" s="6" t="s">
        <v>334</v>
      </c>
      <c r="G35" s="6">
        <v>-144</v>
      </c>
      <c r="H35" s="7">
        <v>-3</v>
      </c>
      <c r="I35" s="6">
        <v>864</v>
      </c>
      <c r="J35" s="8">
        <f>+VLOOKUP(Tabla1[[#This Row],[CODE ERP]],[1]!Tabla1[[#Data],[#Totals],[SKU]:[Costo CD]],3,0)</f>
        <v>12.21</v>
      </c>
      <c r="K35" s="8">
        <f>+Tabla1[[#This Row],[COSTO,U]]*Tabla1[[#This Row],[UNIDADES]]</f>
        <v>-1758.2400000000002</v>
      </c>
      <c r="L35" s="6" t="s">
        <v>10</v>
      </c>
    </row>
    <row r="36" spans="1:12" ht="28.8" customHeight="1">
      <c r="A36" s="9">
        <v>78737</v>
      </c>
      <c r="B36" s="10" t="s">
        <v>11</v>
      </c>
      <c r="C36" s="10" t="s">
        <v>322</v>
      </c>
      <c r="D36" s="11" t="s">
        <v>321</v>
      </c>
      <c r="E36" s="11" t="s">
        <v>323</v>
      </c>
      <c r="F36" s="11" t="s">
        <v>324</v>
      </c>
      <c r="G36" s="11">
        <v>-96</v>
      </c>
      <c r="H36" s="12">
        <v>-8</v>
      </c>
      <c r="I36" s="11">
        <v>6168</v>
      </c>
      <c r="J36" s="13">
        <f>+VLOOKUP(Tabla1[[#This Row],[CODE ERP]],[1]!Tabla1[[#Data],[#Totals],[SKU]:[Costo CD]],3,0)</f>
        <v>15.9</v>
      </c>
      <c r="K36" s="13">
        <f>+Tabla1[[#This Row],[COSTO,U]]*Tabla1[[#This Row],[UNIDADES]]</f>
        <v>-1526.4</v>
      </c>
      <c r="L36" s="11" t="s">
        <v>609</v>
      </c>
    </row>
    <row r="37" spans="1:12" ht="28.8" customHeight="1">
      <c r="A37" s="9">
        <v>2075168</v>
      </c>
      <c r="B37" s="10" t="s">
        <v>589</v>
      </c>
      <c r="C37" s="10" t="s">
        <v>590</v>
      </c>
      <c r="D37" s="11" t="s">
        <v>490</v>
      </c>
      <c r="E37" s="11" t="s">
        <v>591</v>
      </c>
      <c r="F37" s="11" t="s">
        <v>592</v>
      </c>
      <c r="G37" s="11">
        <v>-240</v>
      </c>
      <c r="H37" s="12">
        <v>-5</v>
      </c>
      <c r="I37" s="11">
        <v>0</v>
      </c>
      <c r="J37" s="13">
        <f>+VLOOKUP(Tabla1[[#This Row],[CODE ERP]],[1]!Tabla1[[#Data],[#Totals],[SKU]:[Costo CD]],3,0)</f>
        <v>6.19</v>
      </c>
      <c r="K37" s="13">
        <f>+Tabla1[[#This Row],[COSTO,U]]*Tabla1[[#This Row],[UNIDADES]]</f>
        <v>-1485.6000000000001</v>
      </c>
      <c r="L37" s="11" t="s">
        <v>603</v>
      </c>
    </row>
    <row r="38" spans="1:12" ht="28.8" customHeight="1">
      <c r="A38" s="9">
        <v>60589</v>
      </c>
      <c r="B38" s="10" t="s">
        <v>23</v>
      </c>
      <c r="C38" s="10" t="s">
        <v>24</v>
      </c>
      <c r="D38" s="11" t="s">
        <v>25</v>
      </c>
      <c r="E38" s="11" t="s">
        <v>26</v>
      </c>
      <c r="F38" s="11" t="s">
        <v>27</v>
      </c>
      <c r="G38" s="11">
        <v>-56</v>
      </c>
      <c r="H38" s="12">
        <v>-7</v>
      </c>
      <c r="I38" s="11">
        <v>1216</v>
      </c>
      <c r="J38" s="13">
        <f>+VLOOKUP(Tabla1[[#This Row],[CODE ERP]],[1]!Tabla1[[#Data],[#Totals],[SKU]:[Costo CD]],3,0)</f>
        <v>26.12</v>
      </c>
      <c r="K38" s="13">
        <f>+Tabla1[[#This Row],[COSTO,U]]*Tabla1[[#This Row],[UNIDADES]]</f>
        <v>-1462.72</v>
      </c>
      <c r="L38" s="11" t="s">
        <v>607</v>
      </c>
    </row>
    <row r="39" spans="1:12" ht="28.8" customHeight="1">
      <c r="A39" s="9">
        <v>88650</v>
      </c>
      <c r="B39" s="10" t="s">
        <v>585</v>
      </c>
      <c r="C39" s="10" t="s">
        <v>586</v>
      </c>
      <c r="D39" s="11" t="s">
        <v>38</v>
      </c>
      <c r="E39" s="11" t="s">
        <v>587</v>
      </c>
      <c r="F39" s="11" t="s">
        <v>588</v>
      </c>
      <c r="G39" s="11">
        <v>-12</v>
      </c>
      <c r="H39" s="12">
        <v>-2</v>
      </c>
      <c r="I39" s="11">
        <v>300</v>
      </c>
      <c r="J39" s="13">
        <f>+VLOOKUP(Tabla1[[#This Row],[CODE ERP]],[1]!Tabla1[[#Data],[#Totals],[SKU]:[Costo CD]],3,0)</f>
        <v>119.88</v>
      </c>
      <c r="K39" s="13">
        <f>+Tabla1[[#This Row],[COSTO,U]]*Tabla1[[#This Row],[UNIDADES]]</f>
        <v>-1438.56</v>
      </c>
      <c r="L39" s="11" t="s">
        <v>601</v>
      </c>
    </row>
    <row r="40" spans="1:12" ht="28.8" customHeight="1">
      <c r="A40" s="9">
        <v>2068479</v>
      </c>
      <c r="B40" s="10" t="s">
        <v>363</v>
      </c>
      <c r="C40" s="10" t="s">
        <v>364</v>
      </c>
      <c r="D40" s="11" t="s">
        <v>365</v>
      </c>
      <c r="E40" s="11" t="s">
        <v>366</v>
      </c>
      <c r="F40" s="11" t="s">
        <v>367</v>
      </c>
      <c r="G40" s="11">
        <v>-10</v>
      </c>
      <c r="H40" s="12">
        <v>-1</v>
      </c>
      <c r="I40" s="11">
        <v>90</v>
      </c>
      <c r="J40" s="13">
        <f>+VLOOKUP(Tabla1[[#This Row],[CODE ERP]],[1]!Tabla1[[#Data],[#Totals],[SKU]:[Costo CD]],3,0)</f>
        <v>140.88999999999999</v>
      </c>
      <c r="K40" s="13">
        <f>+Tabla1[[#This Row],[COSTO,U]]*Tabla1[[#This Row],[UNIDADES]]</f>
        <v>-1408.8999999999999</v>
      </c>
      <c r="L40" s="11" t="s">
        <v>605</v>
      </c>
    </row>
    <row r="41" spans="1:12" ht="28.8" customHeight="1">
      <c r="A41" s="9">
        <v>8990</v>
      </c>
      <c r="B41" s="10" t="s">
        <v>29</v>
      </c>
      <c r="C41" s="10" t="s">
        <v>30</v>
      </c>
      <c r="D41" s="11" t="s">
        <v>31</v>
      </c>
      <c r="E41" s="11" t="s">
        <v>32</v>
      </c>
      <c r="F41" s="11" t="s">
        <v>33</v>
      </c>
      <c r="G41" s="11">
        <v>-12</v>
      </c>
      <c r="H41" s="12">
        <v>-1</v>
      </c>
      <c r="I41" s="11">
        <v>72</v>
      </c>
      <c r="J41" s="13">
        <f>+VLOOKUP(Tabla1[[#This Row],[CODE ERP]],[1]!Tabla1[[#Data],[#Totals],[SKU]:[Costo CD]],3,0)</f>
        <v>115</v>
      </c>
      <c r="K41" s="13">
        <f>+Tabla1[[#This Row],[COSTO,U]]*Tabla1[[#This Row],[UNIDADES]]</f>
        <v>-1380</v>
      </c>
      <c r="L41" s="11" t="s">
        <v>608</v>
      </c>
    </row>
    <row r="42" spans="1:12" ht="28.8" customHeight="1">
      <c r="A42" s="9">
        <v>2088852</v>
      </c>
      <c r="B42" s="10" t="s">
        <v>440</v>
      </c>
      <c r="C42" s="10" t="s">
        <v>441</v>
      </c>
      <c r="D42" s="11" t="s">
        <v>442</v>
      </c>
      <c r="E42" s="11" t="s">
        <v>443</v>
      </c>
      <c r="F42" s="11" t="s">
        <v>444</v>
      </c>
      <c r="G42" s="11">
        <v>-12</v>
      </c>
      <c r="H42" s="12">
        <v>-2</v>
      </c>
      <c r="I42" s="11">
        <v>234</v>
      </c>
      <c r="J42" s="13">
        <f>+VLOOKUP(Tabla1[[#This Row],[CODE ERP]],[1]!Tabla1[[#Data],[#Totals],[SKU]:[Costo CD]],3,0)</f>
        <v>112.95</v>
      </c>
      <c r="K42" s="13">
        <f>+Tabla1[[#This Row],[COSTO,U]]*Tabla1[[#This Row],[UNIDADES]]</f>
        <v>-1355.4</v>
      </c>
      <c r="L42" s="11" t="s">
        <v>605</v>
      </c>
    </row>
    <row r="43" spans="1:12" ht="28.8" customHeight="1">
      <c r="A43" s="4">
        <v>2025974</v>
      </c>
      <c r="B43" s="5" t="s">
        <v>405</v>
      </c>
      <c r="C43" s="5" t="s">
        <v>579</v>
      </c>
      <c r="D43" s="6" t="s">
        <v>475</v>
      </c>
      <c r="E43" s="6" t="s">
        <v>406</v>
      </c>
      <c r="F43" s="6" t="s">
        <v>407</v>
      </c>
      <c r="G43" s="6">
        <v>-24</v>
      </c>
      <c r="H43" s="7">
        <v>-4</v>
      </c>
      <c r="I43" s="6">
        <v>48</v>
      </c>
      <c r="J43" s="8">
        <f>+VLOOKUP(Tabla1[[#This Row],[CODE ERP]],[1]!Tabla1[[#Data],[#Totals],[SKU]:[Costo CD]],3,0)</f>
        <v>55.57</v>
      </c>
      <c r="K43" s="8">
        <f>+Tabla1[[#This Row],[COSTO,U]]*Tabla1[[#This Row],[UNIDADES]]</f>
        <v>-1333.68</v>
      </c>
      <c r="L43" s="6" t="s">
        <v>10</v>
      </c>
    </row>
    <row r="44" spans="1:12" ht="28.8" customHeight="1">
      <c r="A44" s="4">
        <v>2067986</v>
      </c>
      <c r="B44" s="5" t="s">
        <v>535</v>
      </c>
      <c r="C44" s="5" t="s">
        <v>536</v>
      </c>
      <c r="D44" s="6" t="s">
        <v>28</v>
      </c>
      <c r="E44" s="6" t="s">
        <v>537</v>
      </c>
      <c r="F44" s="6" t="s">
        <v>538</v>
      </c>
      <c r="G44" s="6">
        <v>-12</v>
      </c>
      <c r="H44" s="7">
        <v>-2</v>
      </c>
      <c r="I44" s="6">
        <v>6</v>
      </c>
      <c r="J44" s="8">
        <f>+VLOOKUP(Tabla1[[#This Row],[CODE ERP]],[1]!Tabla1[[#Data],[#Totals],[SKU]:[Costo CD]],3,0)</f>
        <v>103.18</v>
      </c>
      <c r="K44" s="8">
        <f>+Tabla1[[#This Row],[COSTO,U]]*Tabla1[[#This Row],[UNIDADES]]</f>
        <v>-1238.1600000000001</v>
      </c>
      <c r="L44" s="6" t="s">
        <v>10</v>
      </c>
    </row>
    <row r="45" spans="1:12" ht="28.8" customHeight="1">
      <c r="A45" s="9">
        <v>2026012</v>
      </c>
      <c r="B45" s="10" t="s">
        <v>75</v>
      </c>
      <c r="C45" s="10" t="s">
        <v>522</v>
      </c>
      <c r="D45" s="11" t="s">
        <v>25</v>
      </c>
      <c r="E45" s="11" t="s">
        <v>77</v>
      </c>
      <c r="F45" s="11" t="s">
        <v>78</v>
      </c>
      <c r="G45" s="11">
        <v>-36</v>
      </c>
      <c r="H45" s="12">
        <v>-6</v>
      </c>
      <c r="I45" s="11">
        <v>516</v>
      </c>
      <c r="J45" s="13">
        <f>+VLOOKUP(Tabla1[[#This Row],[CODE ERP]],[1]!Tabla1[[#Data],[#Totals],[SKU]:[Costo CD]],3,0)</f>
        <v>33.28</v>
      </c>
      <c r="K45" s="13">
        <f>+Tabla1[[#This Row],[COSTO,U]]*Tabla1[[#This Row],[UNIDADES]]</f>
        <v>-1198.08</v>
      </c>
      <c r="L45" s="11" t="s">
        <v>604</v>
      </c>
    </row>
    <row r="46" spans="1:12" ht="28.8" customHeight="1">
      <c r="A46" s="4">
        <v>90404</v>
      </c>
      <c r="B46" s="5" t="s">
        <v>282</v>
      </c>
      <c r="C46" s="5" t="s">
        <v>283</v>
      </c>
      <c r="D46" s="6" t="s">
        <v>79</v>
      </c>
      <c r="E46" s="6" t="s">
        <v>284</v>
      </c>
      <c r="F46" s="6" t="s">
        <v>285</v>
      </c>
      <c r="G46" s="6">
        <v>-192</v>
      </c>
      <c r="H46" s="7">
        <v>-8</v>
      </c>
      <c r="I46" s="6">
        <v>1464</v>
      </c>
      <c r="J46" s="8">
        <f>+VLOOKUP(Tabla1[[#This Row],[CODE ERP]],[1]!Tabla1[[#Data],[#Totals],[SKU]:[Costo CD]],3,0)</f>
        <v>6.23</v>
      </c>
      <c r="K46" s="8">
        <f>+Tabla1[[#This Row],[COSTO,U]]*Tabla1[[#This Row],[UNIDADES]]</f>
        <v>-1196.1600000000001</v>
      </c>
      <c r="L46" s="6" t="s">
        <v>10</v>
      </c>
    </row>
    <row r="47" spans="1:12" ht="28.8" customHeight="1">
      <c r="A47" s="9">
        <v>108801</v>
      </c>
      <c r="B47" s="10" t="s">
        <v>58</v>
      </c>
      <c r="C47" s="10" t="s">
        <v>59</v>
      </c>
      <c r="D47" s="11" t="s">
        <v>28</v>
      </c>
      <c r="E47" s="11" t="s">
        <v>60</v>
      </c>
      <c r="F47" s="11" t="s">
        <v>61</v>
      </c>
      <c r="G47" s="11">
        <v>-12</v>
      </c>
      <c r="H47" s="12">
        <v>-2</v>
      </c>
      <c r="I47" s="11">
        <v>24</v>
      </c>
      <c r="J47" s="13">
        <f>+VLOOKUP(Tabla1[[#This Row],[CODE ERP]],[1]!Tabla1[[#Data],[#Totals],[SKU]:[Costo CD]],3,0)</f>
        <v>96.88</v>
      </c>
      <c r="K47" s="13">
        <f>+Tabla1[[#This Row],[COSTO,U]]*Tabla1[[#This Row],[UNIDADES]]</f>
        <v>-1162.56</v>
      </c>
      <c r="L47" s="11" t="s">
        <v>601</v>
      </c>
    </row>
    <row r="48" spans="1:12" ht="28.8" customHeight="1">
      <c r="A48" s="9">
        <v>92222</v>
      </c>
      <c r="B48" s="10" t="s">
        <v>45</v>
      </c>
      <c r="C48" s="10" t="s">
        <v>46</v>
      </c>
      <c r="D48" s="11" t="s">
        <v>47</v>
      </c>
      <c r="E48" s="11" t="s">
        <v>48</v>
      </c>
      <c r="F48" s="11" t="s">
        <v>49</v>
      </c>
      <c r="G48" s="11">
        <v>-12</v>
      </c>
      <c r="H48" s="12">
        <v>-1</v>
      </c>
      <c r="I48" s="11">
        <v>300</v>
      </c>
      <c r="J48" s="13">
        <f>+VLOOKUP(Tabla1[[#This Row],[CODE ERP]],[1]!Tabla1[[#Data],[#Totals],[SKU]:[Costo CD]],3,0)</f>
        <v>96.28</v>
      </c>
      <c r="K48" s="13">
        <f>+Tabla1[[#This Row],[COSTO,U]]*Tabla1[[#This Row],[UNIDADES]]</f>
        <v>-1155.3600000000001</v>
      </c>
      <c r="L48" s="11" t="s">
        <v>605</v>
      </c>
    </row>
    <row r="49" spans="1:12" ht="28.8" customHeight="1">
      <c r="A49" s="9">
        <v>2069633</v>
      </c>
      <c r="B49" s="10" t="s">
        <v>300</v>
      </c>
      <c r="C49" s="10" t="s">
        <v>412</v>
      </c>
      <c r="D49" s="11" t="s">
        <v>309</v>
      </c>
      <c r="E49" s="11" t="s">
        <v>302</v>
      </c>
      <c r="F49" s="11" t="s">
        <v>303</v>
      </c>
      <c r="G49" s="11">
        <v>-20</v>
      </c>
      <c r="H49" s="12">
        <v>-2</v>
      </c>
      <c r="I49" s="11">
        <v>1010</v>
      </c>
      <c r="J49" s="13">
        <f>+VLOOKUP(Tabla1[[#This Row],[CODE ERP]],[1]!Tabla1[[#Data],[#Totals],[SKU]:[Costo CD]],3,0)</f>
        <v>56.26</v>
      </c>
      <c r="K49" s="13">
        <f>+Tabla1[[#This Row],[COSTO,U]]*Tabla1[[#This Row],[UNIDADES]]</f>
        <v>-1125.2</v>
      </c>
      <c r="L49" s="11" t="s">
        <v>601</v>
      </c>
    </row>
    <row r="50" spans="1:12" ht="28.8" customHeight="1">
      <c r="A50" s="4">
        <v>10714</v>
      </c>
      <c r="B50" s="5" t="s">
        <v>88</v>
      </c>
      <c r="C50" s="5" t="s">
        <v>89</v>
      </c>
      <c r="D50" s="6" t="s">
        <v>90</v>
      </c>
      <c r="E50" s="6" t="s">
        <v>91</v>
      </c>
      <c r="F50" s="6" t="s">
        <v>92</v>
      </c>
      <c r="G50" s="6">
        <v>-210</v>
      </c>
      <c r="H50" s="7">
        <v>-6</v>
      </c>
      <c r="I50" s="6">
        <v>35</v>
      </c>
      <c r="J50" s="8">
        <f>+VLOOKUP(Tabla1[[#This Row],[CODE ERP]],[1]!Tabla1[[#Data],[#Totals],[SKU]:[Costo CD]],3,0)</f>
        <v>5.34</v>
      </c>
      <c r="K50" s="8">
        <f>+Tabla1[[#This Row],[COSTO,U]]*Tabla1[[#This Row],[UNIDADES]]</f>
        <v>-1121.3999999999999</v>
      </c>
      <c r="L50" s="6" t="s">
        <v>10</v>
      </c>
    </row>
    <row r="51" spans="1:12" ht="28.8" customHeight="1">
      <c r="A51" s="4">
        <v>6401</v>
      </c>
      <c r="B51" s="5" t="s">
        <v>119</v>
      </c>
      <c r="C51" s="5" t="s">
        <v>120</v>
      </c>
      <c r="D51" s="6" t="s">
        <v>121</v>
      </c>
      <c r="E51" s="6" t="s">
        <v>122</v>
      </c>
      <c r="F51" s="6" t="s">
        <v>123</v>
      </c>
      <c r="G51" s="6">
        <v>-18</v>
      </c>
      <c r="H51" s="7">
        <v>-3</v>
      </c>
      <c r="I51" s="6">
        <v>348</v>
      </c>
      <c r="J51" s="8">
        <f>+VLOOKUP(Tabla1[[#This Row],[CODE ERP]],[1]!Tabla1[[#Data],[#Totals],[SKU]:[Costo CD]],3,0)</f>
        <v>62.02</v>
      </c>
      <c r="K51" s="8">
        <f>+Tabla1[[#This Row],[COSTO,U]]*Tabla1[[#This Row],[UNIDADES]]</f>
        <v>-1116.3600000000001</v>
      </c>
      <c r="L51" s="6" t="s">
        <v>10</v>
      </c>
    </row>
    <row r="52" spans="1:12" ht="28.8" customHeight="1">
      <c r="A52" s="4">
        <v>48746</v>
      </c>
      <c r="B52" s="5" t="s">
        <v>517</v>
      </c>
      <c r="C52" s="5" t="s">
        <v>518</v>
      </c>
      <c r="D52" s="6" t="s">
        <v>28</v>
      </c>
      <c r="E52" s="6" t="s">
        <v>519</v>
      </c>
      <c r="F52" s="6" t="s">
        <v>520</v>
      </c>
      <c r="G52" s="6">
        <v>-24</v>
      </c>
      <c r="H52" s="7">
        <v>-4</v>
      </c>
      <c r="I52" s="6">
        <v>84</v>
      </c>
      <c r="J52" s="8">
        <f>+VLOOKUP(Tabla1[[#This Row],[CODE ERP]],[1]!Tabla1[[#Data],[#Totals],[SKU]:[Costo CD]],3,0)</f>
        <v>46.43</v>
      </c>
      <c r="K52" s="8">
        <f>+Tabla1[[#This Row],[COSTO,U]]*Tabla1[[#This Row],[UNIDADES]]</f>
        <v>-1114.32</v>
      </c>
      <c r="L52" s="6" t="s">
        <v>10</v>
      </c>
    </row>
    <row r="53" spans="1:12" ht="28.8" customHeight="1">
      <c r="A53" s="9">
        <v>2085755</v>
      </c>
      <c r="B53" s="10" t="s">
        <v>223</v>
      </c>
      <c r="C53" s="10" t="s">
        <v>224</v>
      </c>
      <c r="D53" s="11" t="s">
        <v>213</v>
      </c>
      <c r="E53" s="11" t="s">
        <v>225</v>
      </c>
      <c r="F53" s="11" t="s">
        <v>226</v>
      </c>
      <c r="G53" s="11">
        <v>-288</v>
      </c>
      <c r="H53" s="12">
        <v>-2</v>
      </c>
      <c r="I53" s="11">
        <v>432</v>
      </c>
      <c r="J53" s="13">
        <f>+VLOOKUP(Tabla1[[#This Row],[CODE ERP]],[1]!Tabla1[[#Data],[#Totals],[SKU]:[Costo CD]],3,0)</f>
        <v>3.79</v>
      </c>
      <c r="K53" s="13">
        <f>+Tabla1[[#This Row],[COSTO,U]]*Tabla1[[#This Row],[UNIDADES]]</f>
        <v>-1091.52</v>
      </c>
      <c r="L53" s="11" t="s">
        <v>601</v>
      </c>
    </row>
    <row r="54" spans="1:12" ht="28.8" customHeight="1">
      <c r="A54" s="9">
        <v>2077326</v>
      </c>
      <c r="B54" s="10" t="s">
        <v>358</v>
      </c>
      <c r="C54" s="10" t="s">
        <v>359</v>
      </c>
      <c r="D54" s="11" t="s">
        <v>14</v>
      </c>
      <c r="E54" s="11" t="s">
        <v>360</v>
      </c>
      <c r="F54" s="11" t="s">
        <v>361</v>
      </c>
      <c r="G54" s="11">
        <v>-24</v>
      </c>
      <c r="H54" s="12">
        <v>-4</v>
      </c>
      <c r="I54" s="11">
        <v>636</v>
      </c>
      <c r="J54" s="13">
        <f>+VLOOKUP(Tabla1[[#This Row],[CODE ERP]],[1]!Tabla1[[#Data],[#Totals],[SKU]:[Costo CD]],3,0)</f>
        <v>45.07</v>
      </c>
      <c r="K54" s="13">
        <f>+Tabla1[[#This Row],[COSTO,U]]*Tabla1[[#This Row],[UNIDADES]]</f>
        <v>-1081.68</v>
      </c>
      <c r="L54" s="11" t="s">
        <v>602</v>
      </c>
    </row>
    <row r="55" spans="1:12" ht="28.8" customHeight="1">
      <c r="A55" s="9">
        <v>65229</v>
      </c>
      <c r="B55" s="10" t="s">
        <v>278</v>
      </c>
      <c r="C55" s="10" t="s">
        <v>279</v>
      </c>
      <c r="D55" s="11" t="s">
        <v>240</v>
      </c>
      <c r="E55" s="11" t="s">
        <v>280</v>
      </c>
      <c r="F55" s="11" t="s">
        <v>281</v>
      </c>
      <c r="G55" s="11">
        <v>-80</v>
      </c>
      <c r="H55" s="12">
        <v>-2</v>
      </c>
      <c r="I55" s="11">
        <v>2440</v>
      </c>
      <c r="J55" s="13">
        <f>+VLOOKUP(Tabla1[[#This Row],[CODE ERP]],[1]!Tabla1[[#Data],[#Totals],[SKU]:[Costo CD]],3,0)</f>
        <v>12.86</v>
      </c>
      <c r="K55" s="13">
        <f>+Tabla1[[#This Row],[COSTO,U]]*Tabla1[[#This Row],[UNIDADES]]</f>
        <v>-1028.8</v>
      </c>
      <c r="L55" s="11" t="s">
        <v>601</v>
      </c>
    </row>
    <row r="56" spans="1:12" ht="28.8" customHeight="1">
      <c r="A56" s="9">
        <v>69620</v>
      </c>
      <c r="B56" s="10" t="s">
        <v>286</v>
      </c>
      <c r="C56" s="10" t="s">
        <v>287</v>
      </c>
      <c r="D56" s="11" t="s">
        <v>273</v>
      </c>
      <c r="E56" s="11" t="s">
        <v>288</v>
      </c>
      <c r="F56" s="11" t="s">
        <v>289</v>
      </c>
      <c r="G56" s="11">
        <v>-80</v>
      </c>
      <c r="H56" s="12">
        <v>-2</v>
      </c>
      <c r="I56" s="11">
        <v>2040</v>
      </c>
      <c r="J56" s="13">
        <f>+VLOOKUP(Tabla1[[#This Row],[CODE ERP]],[1]!Tabla1[[#Data],[#Totals],[SKU]:[Costo CD]],3,0)</f>
        <v>12.81</v>
      </c>
      <c r="K56" s="13">
        <f>+Tabla1[[#This Row],[COSTO,U]]*Tabla1[[#This Row],[UNIDADES]]</f>
        <v>-1024.8</v>
      </c>
      <c r="L56" s="11" t="s">
        <v>601</v>
      </c>
    </row>
    <row r="57" spans="1:12" ht="28.8" customHeight="1">
      <c r="A57" s="9">
        <v>82523</v>
      </c>
      <c r="B57" s="10" t="s">
        <v>325</v>
      </c>
      <c r="C57" s="10" t="s">
        <v>326</v>
      </c>
      <c r="D57" s="11" t="s">
        <v>327</v>
      </c>
      <c r="E57" s="11" t="s">
        <v>328</v>
      </c>
      <c r="F57" s="11" t="s">
        <v>329</v>
      </c>
      <c r="G57" s="11">
        <v>-84</v>
      </c>
      <c r="H57" s="12">
        <v>-7</v>
      </c>
      <c r="I57" s="11">
        <v>492</v>
      </c>
      <c r="J57" s="13">
        <f>+VLOOKUP(Tabla1[[#This Row],[CODE ERP]],[1]!Tabla1[[#Data],[#Totals],[SKU]:[Costo CD]],3,0)</f>
        <v>12.19</v>
      </c>
      <c r="K57" s="13">
        <f>+Tabla1[[#This Row],[COSTO,U]]*Tabla1[[#This Row],[UNIDADES]]</f>
        <v>-1023.9599999999999</v>
      </c>
      <c r="L57" s="11" t="s">
        <v>604</v>
      </c>
    </row>
    <row r="58" spans="1:12" ht="28.8" customHeight="1">
      <c r="A58" s="9">
        <v>2079315</v>
      </c>
      <c r="B58" s="10" t="s">
        <v>231</v>
      </c>
      <c r="C58" s="10" t="s">
        <v>232</v>
      </c>
      <c r="D58" s="11" t="s">
        <v>233</v>
      </c>
      <c r="E58" s="11" t="s">
        <v>234</v>
      </c>
      <c r="F58" s="11" t="s">
        <v>235</v>
      </c>
      <c r="G58" s="11">
        <v>-12</v>
      </c>
      <c r="H58" s="12">
        <v>-2</v>
      </c>
      <c r="I58" s="11">
        <v>108</v>
      </c>
      <c r="J58" s="13">
        <f>+VLOOKUP(Tabla1[[#This Row],[CODE ERP]],[1]!Tabla1[[#Data],[#Totals],[SKU]:[Costo CD]],3,0)</f>
        <v>84.82</v>
      </c>
      <c r="K58" s="13">
        <f>+Tabla1[[#This Row],[COSTO,U]]*Tabla1[[#This Row],[UNIDADES]]</f>
        <v>-1017.8399999999999</v>
      </c>
      <c r="L58" s="11" t="s">
        <v>608</v>
      </c>
    </row>
    <row r="59" spans="1:12" ht="28.8" customHeight="1">
      <c r="A59" s="9">
        <v>2016146</v>
      </c>
      <c r="B59" s="10" t="s">
        <v>436</v>
      </c>
      <c r="C59" s="10" t="s">
        <v>437</v>
      </c>
      <c r="D59" s="11" t="s">
        <v>314</v>
      </c>
      <c r="E59" s="11" t="s">
        <v>438</v>
      </c>
      <c r="F59" s="11" t="s">
        <v>439</v>
      </c>
      <c r="G59" s="11">
        <v>-250</v>
      </c>
      <c r="H59" s="12">
        <v>-5</v>
      </c>
      <c r="I59" s="11">
        <v>850</v>
      </c>
      <c r="J59" s="13">
        <f>+VLOOKUP(Tabla1[[#This Row],[CODE ERP]],[1]!Tabla1[[#Data],[#Totals],[SKU]:[Costo CD]],3,0)</f>
        <v>4.04</v>
      </c>
      <c r="K59" s="13">
        <f>+Tabla1[[#This Row],[COSTO,U]]*Tabla1[[#This Row],[UNIDADES]]</f>
        <v>-1010</v>
      </c>
      <c r="L59" s="11" t="s">
        <v>603</v>
      </c>
    </row>
    <row r="60" spans="1:12" ht="28.8" customHeight="1">
      <c r="A60" s="4">
        <v>2083858</v>
      </c>
      <c r="B60" s="5" t="s">
        <v>553</v>
      </c>
      <c r="C60" s="5" t="s">
        <v>554</v>
      </c>
      <c r="D60" s="6" t="s">
        <v>28</v>
      </c>
      <c r="E60" s="6" t="s">
        <v>555</v>
      </c>
      <c r="F60" s="6" t="s">
        <v>556</v>
      </c>
      <c r="G60" s="6">
        <v>-36</v>
      </c>
      <c r="H60" s="7">
        <v>-3</v>
      </c>
      <c r="I60" s="6">
        <v>144</v>
      </c>
      <c r="J60" s="8">
        <f>+VLOOKUP(Tabla1[[#This Row],[CODE ERP]],[1]!Tabla1[[#Data],[#Totals],[SKU]:[Costo CD]],3,0)</f>
        <v>27.69</v>
      </c>
      <c r="K60" s="8">
        <f>+Tabla1[[#This Row],[COSTO,U]]*Tabla1[[#This Row],[UNIDADES]]</f>
        <v>-996.84</v>
      </c>
      <c r="L60" s="6" t="s">
        <v>10</v>
      </c>
    </row>
    <row r="61" spans="1:12" ht="28.8" customHeight="1">
      <c r="A61" s="4">
        <v>2022177</v>
      </c>
      <c r="B61" s="5" t="s">
        <v>304</v>
      </c>
      <c r="C61" s="5" t="s">
        <v>305</v>
      </c>
      <c r="D61" s="6" t="s">
        <v>80</v>
      </c>
      <c r="E61" s="6" t="s">
        <v>306</v>
      </c>
      <c r="F61" s="6" t="s">
        <v>307</v>
      </c>
      <c r="G61" s="6">
        <v>-36</v>
      </c>
      <c r="H61" s="7">
        <v>-1</v>
      </c>
      <c r="I61" s="6">
        <v>576</v>
      </c>
      <c r="J61" s="8">
        <f>+VLOOKUP(Tabla1[[#This Row],[CODE ERP]],[1]!Tabla1[[#Data],[#Totals],[SKU]:[Costo CD]],3,0)</f>
        <v>26.95</v>
      </c>
      <c r="K61" s="8">
        <f>+Tabla1[[#This Row],[COSTO,U]]*Tabla1[[#This Row],[UNIDADES]]</f>
        <v>-970.19999999999993</v>
      </c>
      <c r="L61" s="6" t="s">
        <v>10</v>
      </c>
    </row>
    <row r="62" spans="1:12" ht="28.8" customHeight="1">
      <c r="A62" s="9">
        <v>2021017</v>
      </c>
      <c r="B62" s="10" t="s">
        <v>274</v>
      </c>
      <c r="C62" s="10" t="s">
        <v>275</v>
      </c>
      <c r="D62" s="11" t="s">
        <v>82</v>
      </c>
      <c r="E62" s="11" t="s">
        <v>276</v>
      </c>
      <c r="F62" s="11" t="s">
        <v>277</v>
      </c>
      <c r="G62" s="11">
        <v>-12</v>
      </c>
      <c r="H62" s="12">
        <v>-1</v>
      </c>
      <c r="I62" s="11">
        <v>12</v>
      </c>
      <c r="J62" s="13">
        <f>+VLOOKUP(Tabla1[[#This Row],[CODE ERP]],[1]!Tabla1[[#Data],[#Totals],[SKU]:[Costo CD]],3,0)</f>
        <v>78.38</v>
      </c>
      <c r="K62" s="13">
        <f>+Tabla1[[#This Row],[COSTO,U]]*Tabla1[[#This Row],[UNIDADES]]</f>
        <v>-940.56</v>
      </c>
      <c r="L62" s="11" t="s">
        <v>605</v>
      </c>
    </row>
    <row r="63" spans="1:12" ht="28.8" customHeight="1">
      <c r="A63" s="9">
        <v>2077454</v>
      </c>
      <c r="B63" s="10" t="s">
        <v>413</v>
      </c>
      <c r="C63" s="10" t="s">
        <v>414</v>
      </c>
      <c r="D63" s="11" t="s">
        <v>362</v>
      </c>
      <c r="E63" s="11" t="s">
        <v>415</v>
      </c>
      <c r="F63" s="11" t="s">
        <v>416</v>
      </c>
      <c r="G63" s="11">
        <v>-24</v>
      </c>
      <c r="H63" s="12">
        <v>-2</v>
      </c>
      <c r="I63" s="11">
        <v>48</v>
      </c>
      <c r="J63" s="13">
        <f>+VLOOKUP(Tabla1[[#This Row],[CODE ERP]],[1]!Tabla1[[#Data],[#Totals],[SKU]:[Costo CD]],3,0)</f>
        <v>39.11</v>
      </c>
      <c r="K63" s="13">
        <f>+Tabla1[[#This Row],[COSTO,U]]*Tabla1[[#This Row],[UNIDADES]]</f>
        <v>-938.64</v>
      </c>
      <c r="L63" s="11" t="s">
        <v>601</v>
      </c>
    </row>
    <row r="64" spans="1:12" ht="28.8" customHeight="1">
      <c r="A64" s="9">
        <v>2083536</v>
      </c>
      <c r="B64" s="10" t="s">
        <v>161</v>
      </c>
      <c r="C64" s="10" t="s">
        <v>162</v>
      </c>
      <c r="D64" s="11" t="s">
        <v>80</v>
      </c>
      <c r="E64" s="11" t="s">
        <v>163</v>
      </c>
      <c r="F64" s="11" t="s">
        <v>164</v>
      </c>
      <c r="G64" s="11">
        <v>-18</v>
      </c>
      <c r="H64" s="12">
        <v>-2</v>
      </c>
      <c r="I64" s="11">
        <v>504</v>
      </c>
      <c r="J64" s="13">
        <f>+VLOOKUP(Tabla1[[#This Row],[CODE ERP]],[1]!Tabla1[[#Data],[#Totals],[SKU]:[Costo CD]],3,0)</f>
        <v>51.96</v>
      </c>
      <c r="K64" s="13">
        <f>+Tabla1[[#This Row],[COSTO,U]]*Tabla1[[#This Row],[UNIDADES]]</f>
        <v>-935.28</v>
      </c>
      <c r="L64" s="11" t="s">
        <v>601</v>
      </c>
    </row>
    <row r="65" spans="1:12" ht="28.8" customHeight="1">
      <c r="A65" s="9">
        <v>2057</v>
      </c>
      <c r="B65" s="10" t="s">
        <v>462</v>
      </c>
      <c r="C65" s="10" t="s">
        <v>463</v>
      </c>
      <c r="D65" s="11" t="s">
        <v>309</v>
      </c>
      <c r="E65" s="11" t="s">
        <v>464</v>
      </c>
      <c r="F65" s="11" t="s">
        <v>465</v>
      </c>
      <c r="G65" s="11">
        <v>-24</v>
      </c>
      <c r="H65" s="12">
        <v>-1</v>
      </c>
      <c r="I65" s="11">
        <v>264</v>
      </c>
      <c r="J65" s="13">
        <f>+VLOOKUP(Tabla1[[#This Row],[CODE ERP]],[1]!Tabla1[[#Data],[#Totals],[SKU]:[Costo CD]],3,0)</f>
        <v>38.549999999999997</v>
      </c>
      <c r="K65" s="13">
        <f>+Tabla1[[#This Row],[COSTO,U]]*Tabla1[[#This Row],[UNIDADES]]</f>
        <v>-925.19999999999993</v>
      </c>
      <c r="L65" s="11" t="s">
        <v>610</v>
      </c>
    </row>
    <row r="66" spans="1:12" ht="28.8" customHeight="1">
      <c r="A66" s="9">
        <v>2057</v>
      </c>
      <c r="B66" s="10" t="s">
        <v>462</v>
      </c>
      <c r="C66" s="10" t="s">
        <v>463</v>
      </c>
      <c r="D66" s="11" t="s">
        <v>309</v>
      </c>
      <c r="E66" s="11" t="s">
        <v>464</v>
      </c>
      <c r="F66" s="11" t="s">
        <v>465</v>
      </c>
      <c r="G66" s="11">
        <v>-24</v>
      </c>
      <c r="H66" s="12">
        <v>-1</v>
      </c>
      <c r="I66" s="11">
        <v>264</v>
      </c>
      <c r="J66" s="13">
        <f>+VLOOKUP(Tabla1[[#This Row],[CODE ERP]],[1]!Tabla1[[#Data],[#Totals],[SKU]:[Costo CD]],3,0)</f>
        <v>38.549999999999997</v>
      </c>
      <c r="K66" s="13">
        <f>+Tabla1[[#This Row],[COSTO,U]]*Tabla1[[#This Row],[UNIDADES]]</f>
        <v>-925.19999999999993</v>
      </c>
      <c r="L66" s="11" t="s">
        <v>610</v>
      </c>
    </row>
    <row r="67" spans="1:12" ht="28.8" customHeight="1">
      <c r="A67" s="4">
        <v>2041193</v>
      </c>
      <c r="B67" s="5" t="s">
        <v>445</v>
      </c>
      <c r="C67" s="5" t="s">
        <v>446</v>
      </c>
      <c r="D67" s="6" t="s">
        <v>344</v>
      </c>
      <c r="E67" s="6" t="s">
        <v>447</v>
      </c>
      <c r="F67" s="6" t="s">
        <v>448</v>
      </c>
      <c r="G67" s="6">
        <v>-9</v>
      </c>
      <c r="H67" s="7">
        <v>-9</v>
      </c>
      <c r="I67" s="6">
        <v>6</v>
      </c>
      <c r="J67" s="8">
        <f>+VLOOKUP(Tabla1[[#This Row],[CODE ERP]],[1]!Tabla1[[#Data],[#Totals],[SKU]:[Costo CD]],3,0)</f>
        <v>102.68</v>
      </c>
      <c r="K67" s="8">
        <f>+Tabla1[[#This Row],[COSTO,U]]*Tabla1[[#This Row],[UNIDADES]]</f>
        <v>-924.12000000000012</v>
      </c>
      <c r="L67" s="6" t="s">
        <v>10</v>
      </c>
    </row>
    <row r="68" spans="1:12" ht="28.8" customHeight="1">
      <c r="A68" s="4">
        <v>2014159</v>
      </c>
      <c r="B68" s="5" t="s">
        <v>236</v>
      </c>
      <c r="C68" s="5" t="s">
        <v>237</v>
      </c>
      <c r="D68" s="6" t="s">
        <v>173</v>
      </c>
      <c r="E68" s="6" t="s">
        <v>238</v>
      </c>
      <c r="F68" s="6" t="s">
        <v>239</v>
      </c>
      <c r="G68" s="6">
        <v>-60</v>
      </c>
      <c r="H68" s="7">
        <v>-5</v>
      </c>
      <c r="I68" s="6">
        <v>336</v>
      </c>
      <c r="J68" s="8">
        <f>+VLOOKUP(Tabla1[[#This Row],[CODE ERP]],[1]!Tabla1[[#Data],[#Totals],[SKU]:[Costo CD]],3,0)</f>
        <v>15.29</v>
      </c>
      <c r="K68" s="8">
        <f>+Tabla1[[#This Row],[COSTO,U]]*Tabla1[[#This Row],[UNIDADES]]</f>
        <v>-917.4</v>
      </c>
      <c r="L68" s="6" t="s">
        <v>10</v>
      </c>
    </row>
    <row r="69" spans="1:12" ht="28.8" customHeight="1">
      <c r="A69" s="9">
        <v>2263</v>
      </c>
      <c r="B69" s="10" t="s">
        <v>394</v>
      </c>
      <c r="C69" s="10" t="s">
        <v>393</v>
      </c>
      <c r="D69" s="11" t="s">
        <v>395</v>
      </c>
      <c r="E69" s="11" t="s">
        <v>396</v>
      </c>
      <c r="F69" s="11" t="s">
        <v>397</v>
      </c>
      <c r="G69" s="11">
        <v>-144</v>
      </c>
      <c r="H69" s="12">
        <v>-6</v>
      </c>
      <c r="I69" s="11">
        <v>1128</v>
      </c>
      <c r="J69" s="13">
        <f>+VLOOKUP(Tabla1[[#This Row],[CODE ERP]],[1]!Tabla1[[#Data],[#Totals],[SKU]:[Costo CD]],3,0)</f>
        <v>6.36</v>
      </c>
      <c r="K69" s="13">
        <f>+Tabla1[[#This Row],[COSTO,U]]*Tabla1[[#This Row],[UNIDADES]]</f>
        <v>-915.84</v>
      </c>
      <c r="L69" s="11" t="s">
        <v>604</v>
      </c>
    </row>
    <row r="70" spans="1:12" ht="28.8" customHeight="1">
      <c r="A70" s="4">
        <v>2081868</v>
      </c>
      <c r="B70" s="5" t="s">
        <v>140</v>
      </c>
      <c r="C70" s="5" t="s">
        <v>141</v>
      </c>
      <c r="D70" s="6" t="s">
        <v>127</v>
      </c>
      <c r="E70" s="6" t="s">
        <v>142</v>
      </c>
      <c r="F70" s="6" t="s">
        <v>143</v>
      </c>
      <c r="G70" s="6">
        <v>-35</v>
      </c>
      <c r="H70" s="7">
        <v>-35</v>
      </c>
      <c r="I70" s="6">
        <v>3190</v>
      </c>
      <c r="J70" s="8">
        <f>+VLOOKUP(Tabla1[[#This Row],[CODE ERP]],[1]!Tabla1[[#Data],[#Totals],[SKU]:[Costo CD]],3,0)</f>
        <v>25.91</v>
      </c>
      <c r="K70" s="8">
        <f>+Tabla1[[#This Row],[COSTO,U]]*Tabla1[[#This Row],[UNIDADES]]</f>
        <v>-906.85</v>
      </c>
      <c r="L70" s="6" t="s">
        <v>10</v>
      </c>
    </row>
    <row r="71" spans="1:12" ht="28.8" customHeight="1">
      <c r="A71" s="9">
        <v>2056035</v>
      </c>
      <c r="B71" s="10" t="s">
        <v>293</v>
      </c>
      <c r="C71" s="10" t="s">
        <v>418</v>
      </c>
      <c r="D71" s="11" t="s">
        <v>337</v>
      </c>
      <c r="E71" s="11" t="s">
        <v>294</v>
      </c>
      <c r="F71" s="11" t="s">
        <v>295</v>
      </c>
      <c r="G71" s="11">
        <v>-27</v>
      </c>
      <c r="H71" s="12">
        <v>-3</v>
      </c>
      <c r="I71" s="11">
        <v>1224</v>
      </c>
      <c r="J71" s="13">
        <f>+VLOOKUP(Tabla1[[#This Row],[CODE ERP]],[1]!Tabla1[[#Data],[#Totals],[SKU]:[Costo CD]],3,0)</f>
        <v>32.76</v>
      </c>
      <c r="K71" s="13">
        <f>+Tabla1[[#This Row],[COSTO,U]]*Tabla1[[#This Row],[UNIDADES]]</f>
        <v>-884.52</v>
      </c>
      <c r="L71" s="11" t="s">
        <v>606</v>
      </c>
    </row>
    <row r="72" spans="1:12" ht="28.8" customHeight="1">
      <c r="A72" s="9">
        <v>6353</v>
      </c>
      <c r="B72" s="10" t="s">
        <v>191</v>
      </c>
      <c r="C72" s="10" t="s">
        <v>403</v>
      </c>
      <c r="D72" s="11" t="s">
        <v>404</v>
      </c>
      <c r="E72" s="11" t="s">
        <v>192</v>
      </c>
      <c r="F72" s="11" t="s">
        <v>193</v>
      </c>
      <c r="G72" s="11">
        <v>-24</v>
      </c>
      <c r="H72" s="12">
        <v>-2</v>
      </c>
      <c r="I72" s="11">
        <v>4200</v>
      </c>
      <c r="J72" s="13">
        <f>+VLOOKUP(Tabla1[[#This Row],[CODE ERP]],[1]!Tabla1[[#Data],[#Totals],[SKU]:[Costo CD]],3,0)</f>
        <v>36.83</v>
      </c>
      <c r="K72" s="13">
        <f>+Tabla1[[#This Row],[COSTO,U]]*Tabla1[[#This Row],[UNIDADES]]</f>
        <v>-883.92</v>
      </c>
      <c r="L72" s="11" t="s">
        <v>601</v>
      </c>
    </row>
    <row r="73" spans="1:12" ht="28.8" customHeight="1">
      <c r="A73" s="4">
        <v>2023796</v>
      </c>
      <c r="B73" s="5" t="s">
        <v>71</v>
      </c>
      <c r="C73" s="5" t="s">
        <v>308</v>
      </c>
      <c r="D73" s="6" t="s">
        <v>80</v>
      </c>
      <c r="E73" s="6" t="s">
        <v>72</v>
      </c>
      <c r="F73" s="6" t="s">
        <v>73</v>
      </c>
      <c r="G73" s="6">
        <v>-20</v>
      </c>
      <c r="H73" s="7">
        <v>-2</v>
      </c>
      <c r="I73" s="6">
        <v>2270</v>
      </c>
      <c r="J73" s="8">
        <f>+VLOOKUP(Tabla1[[#This Row],[CODE ERP]],[1]!Tabla1[[#Data],[#Totals],[SKU]:[Costo CD]],3,0)</f>
        <v>43.94</v>
      </c>
      <c r="K73" s="8">
        <f>+Tabla1[[#This Row],[COSTO,U]]*Tabla1[[#This Row],[UNIDADES]]</f>
        <v>-878.8</v>
      </c>
      <c r="L73" s="6" t="s">
        <v>10</v>
      </c>
    </row>
    <row r="74" spans="1:12" ht="28.8" customHeight="1">
      <c r="A74" s="9">
        <v>55246</v>
      </c>
      <c r="B74" s="10" t="s">
        <v>83</v>
      </c>
      <c r="C74" s="10" t="s">
        <v>84</v>
      </c>
      <c r="D74" s="11" t="s">
        <v>85</v>
      </c>
      <c r="E74" s="11" t="s">
        <v>86</v>
      </c>
      <c r="F74" s="11" t="s">
        <v>87</v>
      </c>
      <c r="G74" s="11">
        <v>-48</v>
      </c>
      <c r="H74" s="12">
        <v>-4</v>
      </c>
      <c r="I74" s="11">
        <v>744</v>
      </c>
      <c r="J74" s="13">
        <f>+VLOOKUP(Tabla1[[#This Row],[CODE ERP]],[1]!Tabla1[[#Data],[#Totals],[SKU]:[Costo CD]],3,0)</f>
        <v>18.3</v>
      </c>
      <c r="K74" s="13">
        <f>+Tabla1[[#This Row],[COSTO,U]]*Tabla1[[#This Row],[UNIDADES]]</f>
        <v>-878.40000000000009</v>
      </c>
      <c r="L74" s="11" t="s">
        <v>600</v>
      </c>
    </row>
    <row r="75" spans="1:12" ht="28.8" customHeight="1">
      <c r="A75" s="9">
        <v>2076477</v>
      </c>
      <c r="B75" s="10" t="s">
        <v>368</v>
      </c>
      <c r="C75" s="10" t="s">
        <v>369</v>
      </c>
      <c r="D75" s="11" t="s">
        <v>327</v>
      </c>
      <c r="E75" s="11" t="s">
        <v>370</v>
      </c>
      <c r="F75" s="11" t="s">
        <v>371</v>
      </c>
      <c r="G75" s="11">
        <v>-16</v>
      </c>
      <c r="H75" s="12">
        <v>-2</v>
      </c>
      <c r="I75" s="11">
        <v>728</v>
      </c>
      <c r="J75" s="13">
        <f>+VLOOKUP(Tabla1[[#This Row],[CODE ERP]],[1]!Tabla1[[#Data],[#Totals],[SKU]:[Costo CD]],3,0)</f>
        <v>54.39</v>
      </c>
      <c r="K75" s="13">
        <f>+Tabla1[[#This Row],[COSTO,U]]*Tabla1[[#This Row],[UNIDADES]]</f>
        <v>-870.24</v>
      </c>
      <c r="L75" s="11" t="s">
        <v>608</v>
      </c>
    </row>
    <row r="76" spans="1:12" ht="28.8" customHeight="1">
      <c r="A76" s="4">
        <v>2085837</v>
      </c>
      <c r="B76" s="5" t="s">
        <v>470</v>
      </c>
      <c r="C76" s="5" t="s">
        <v>471</v>
      </c>
      <c r="D76" s="6" t="s">
        <v>422</v>
      </c>
      <c r="E76" s="6" t="s">
        <v>472</v>
      </c>
      <c r="F76" s="6" t="s">
        <v>473</v>
      </c>
      <c r="G76" s="6">
        <v>-72</v>
      </c>
      <c r="H76" s="7">
        <v>-3</v>
      </c>
      <c r="I76" s="6">
        <v>24</v>
      </c>
      <c r="J76" s="8">
        <f>+VLOOKUP(Tabla1[[#This Row],[CODE ERP]],[1]!Tabla1[[#Data],[#Totals],[SKU]:[Costo CD]],3,0)</f>
        <v>11.85</v>
      </c>
      <c r="K76" s="8">
        <f>+Tabla1[[#This Row],[COSTO,U]]*Tabla1[[#This Row],[UNIDADES]]</f>
        <v>-853.19999999999993</v>
      </c>
      <c r="L76" s="6" t="s">
        <v>10</v>
      </c>
    </row>
    <row r="77" spans="1:12" ht="28.8" customHeight="1">
      <c r="A77" s="9">
        <v>109676</v>
      </c>
      <c r="B77" s="10" t="s">
        <v>545</v>
      </c>
      <c r="C77" s="10" t="s">
        <v>546</v>
      </c>
      <c r="D77" s="11" t="s">
        <v>474</v>
      </c>
      <c r="E77" s="11" t="s">
        <v>547</v>
      </c>
      <c r="F77" s="11" t="s">
        <v>548</v>
      </c>
      <c r="G77" s="11">
        <v>-9</v>
      </c>
      <c r="H77" s="12">
        <v>-1</v>
      </c>
      <c r="I77" s="11">
        <v>189</v>
      </c>
      <c r="J77" s="13">
        <f>+VLOOKUP(Tabla1[[#This Row],[CODE ERP]],[1]!Tabla1[[#Data],[#Totals],[SKU]:[Costo CD]],3,0)</f>
        <v>94.79</v>
      </c>
      <c r="K77" s="13">
        <f>+Tabla1[[#This Row],[COSTO,U]]*Tabla1[[#This Row],[UNIDADES]]</f>
        <v>-853.11</v>
      </c>
      <c r="L77" s="11" t="s">
        <v>605</v>
      </c>
    </row>
    <row r="78" spans="1:12" ht="28.8" customHeight="1">
      <c r="A78" s="4">
        <v>2047923</v>
      </c>
      <c r="B78" s="5" t="s">
        <v>310</v>
      </c>
      <c r="C78" s="5" t="s">
        <v>311</v>
      </c>
      <c r="D78" s="6" t="s">
        <v>14</v>
      </c>
      <c r="E78" s="6" t="s">
        <v>312</v>
      </c>
      <c r="F78" s="6" t="s">
        <v>313</v>
      </c>
      <c r="G78" s="6">
        <v>-24</v>
      </c>
      <c r="H78" s="7">
        <v>-2</v>
      </c>
      <c r="I78" s="6">
        <v>36</v>
      </c>
      <c r="J78" s="8">
        <f>+VLOOKUP(Tabla1[[#This Row],[CODE ERP]],[1]!Tabla1[[#Data],[#Totals],[SKU]:[Costo CD]],3,0)</f>
        <v>35.53</v>
      </c>
      <c r="K78" s="8">
        <f>+Tabla1[[#This Row],[COSTO,U]]*Tabla1[[#This Row],[UNIDADES]]</f>
        <v>-852.72</v>
      </c>
      <c r="L78" s="6" t="s">
        <v>10</v>
      </c>
    </row>
    <row r="79" spans="1:12" ht="28.8" customHeight="1">
      <c r="A79" s="4">
        <v>2021483</v>
      </c>
      <c r="B79" s="5" t="s">
        <v>165</v>
      </c>
      <c r="C79" s="5" t="s">
        <v>166</v>
      </c>
      <c r="D79" s="6" t="s">
        <v>135</v>
      </c>
      <c r="E79" s="6" t="s">
        <v>167</v>
      </c>
      <c r="F79" s="6" t="s">
        <v>168</v>
      </c>
      <c r="G79" s="6">
        <v>-360</v>
      </c>
      <c r="H79" s="7">
        <v>-5</v>
      </c>
      <c r="I79" s="6">
        <v>4896</v>
      </c>
      <c r="J79" s="8">
        <f>+VLOOKUP(Tabla1[[#This Row],[CODE ERP]],[1]!Tabla1[[#Data],[#Totals],[SKU]:[Costo CD]],3,0)</f>
        <v>2.23</v>
      </c>
      <c r="K79" s="8">
        <f>+Tabla1[[#This Row],[COSTO,U]]*Tabla1[[#This Row],[UNIDADES]]</f>
        <v>-802.8</v>
      </c>
      <c r="L79" s="6" t="s">
        <v>10</v>
      </c>
    </row>
    <row r="80" spans="1:12" ht="28.8" customHeight="1">
      <c r="A80" s="9">
        <v>2077034</v>
      </c>
      <c r="B80" s="10" t="s">
        <v>482</v>
      </c>
      <c r="C80" s="10" t="s">
        <v>483</v>
      </c>
      <c r="D80" s="11" t="s">
        <v>474</v>
      </c>
      <c r="E80" s="11" t="s">
        <v>484</v>
      </c>
      <c r="F80" s="11" t="s">
        <v>485</v>
      </c>
      <c r="G80" s="11">
        <v>-48</v>
      </c>
      <c r="H80" s="12">
        <v>-4</v>
      </c>
      <c r="I80" s="11">
        <v>1704</v>
      </c>
      <c r="J80" s="13">
        <f>+VLOOKUP(Tabla1[[#This Row],[CODE ERP]],[1]!Tabla1[[#Data],[#Totals],[SKU]:[Costo CD]],3,0)</f>
        <v>16.54</v>
      </c>
      <c r="K80" s="13">
        <f>+Tabla1[[#This Row],[COSTO,U]]*Tabla1[[#This Row],[UNIDADES]]</f>
        <v>-793.92</v>
      </c>
      <c r="L80" s="11" t="s">
        <v>600</v>
      </c>
    </row>
    <row r="81" spans="1:12" ht="28.8" customHeight="1">
      <c r="A81" s="9">
        <v>104666</v>
      </c>
      <c r="B81" s="10" t="s">
        <v>128</v>
      </c>
      <c r="C81" s="10" t="s">
        <v>126</v>
      </c>
      <c r="D81" s="11" t="s">
        <v>121</v>
      </c>
      <c r="E81" s="11" t="s">
        <v>129</v>
      </c>
      <c r="F81" s="11" t="s">
        <v>130</v>
      </c>
      <c r="G81" s="11">
        <v>-12</v>
      </c>
      <c r="H81" s="12">
        <v>-2</v>
      </c>
      <c r="I81" s="11">
        <v>624</v>
      </c>
      <c r="J81" s="13">
        <f>+VLOOKUP(Tabla1[[#This Row],[CODE ERP]],[1]!Tabla1[[#Data],[#Totals],[SKU]:[Costo CD]],3,0)</f>
        <v>65.8</v>
      </c>
      <c r="K81" s="13">
        <f>+Tabla1[[#This Row],[COSTO,U]]*Tabla1[[#This Row],[UNIDADES]]</f>
        <v>-789.59999999999991</v>
      </c>
      <c r="L81" s="11" t="s">
        <v>601</v>
      </c>
    </row>
    <row r="82" spans="1:12" ht="28.8" customHeight="1">
      <c r="A82" s="9">
        <v>2079719</v>
      </c>
      <c r="B82" s="10" t="s">
        <v>179</v>
      </c>
      <c r="C82" s="10" t="s">
        <v>461</v>
      </c>
      <c r="D82" s="11" t="s">
        <v>388</v>
      </c>
      <c r="E82" s="11" t="s">
        <v>180</v>
      </c>
      <c r="F82" s="11" t="s">
        <v>181</v>
      </c>
      <c r="G82" s="11">
        <v>-20</v>
      </c>
      <c r="H82" s="12">
        <v>-1</v>
      </c>
      <c r="I82" s="11">
        <v>900</v>
      </c>
      <c r="J82" s="13">
        <f>+VLOOKUP(Tabla1[[#This Row],[CODE ERP]],[1]!Tabla1[[#Data],[#Totals],[SKU]:[Costo CD]],3,0)</f>
        <v>38.21</v>
      </c>
      <c r="K82" s="13">
        <f>+Tabla1[[#This Row],[COSTO,U]]*Tabla1[[#This Row],[UNIDADES]]</f>
        <v>-764.2</v>
      </c>
      <c r="L82" s="11" t="s">
        <v>608</v>
      </c>
    </row>
    <row r="83" spans="1:12" ht="28.8" customHeight="1">
      <c r="A83" s="9">
        <v>66911</v>
      </c>
      <c r="B83" s="10" t="s">
        <v>62</v>
      </c>
      <c r="C83" s="10" t="s">
        <v>63</v>
      </c>
      <c r="D83" s="11" t="s">
        <v>31</v>
      </c>
      <c r="E83" s="11" t="s">
        <v>64</v>
      </c>
      <c r="F83" s="11" t="s">
        <v>65</v>
      </c>
      <c r="G83" s="11">
        <v>-6</v>
      </c>
      <c r="H83" s="12">
        <v>-1</v>
      </c>
      <c r="I83" s="11">
        <v>126</v>
      </c>
      <c r="J83" s="13">
        <f>+VLOOKUP(Tabla1[[#This Row],[CODE ERP]],[1]!Tabla1[[#Data],[#Totals],[SKU]:[Costo CD]],3,0)</f>
        <v>122.87</v>
      </c>
      <c r="K83" s="13">
        <f>+Tabla1[[#This Row],[COSTO,U]]*Tabla1[[#This Row],[UNIDADES]]</f>
        <v>-737.22</v>
      </c>
      <c r="L83" s="11" t="s">
        <v>605</v>
      </c>
    </row>
    <row r="84" spans="1:12" ht="28.8" customHeight="1">
      <c r="A84" s="9">
        <v>82065</v>
      </c>
      <c r="B84" s="10" t="s">
        <v>41</v>
      </c>
      <c r="C84" s="10" t="s">
        <v>42</v>
      </c>
      <c r="D84" s="11" t="s">
        <v>14</v>
      </c>
      <c r="E84" s="11" t="s">
        <v>43</v>
      </c>
      <c r="F84" s="11" t="s">
        <v>44</v>
      </c>
      <c r="G84" s="11">
        <v>-18</v>
      </c>
      <c r="H84" s="12">
        <v>-3</v>
      </c>
      <c r="I84" s="11">
        <v>1566</v>
      </c>
      <c r="J84" s="13">
        <f>+VLOOKUP(Tabla1[[#This Row],[CODE ERP]],[1]!Tabla1[[#Data],[#Totals],[SKU]:[Costo CD]],3,0)</f>
        <v>40.94</v>
      </c>
      <c r="K84" s="13">
        <f>+Tabla1[[#This Row],[COSTO,U]]*Tabla1[[#This Row],[UNIDADES]]</f>
        <v>-736.92</v>
      </c>
      <c r="L84" s="11" t="s">
        <v>611</v>
      </c>
    </row>
    <row r="85" spans="1:12" ht="28.8" customHeight="1">
      <c r="A85" s="9">
        <v>15530</v>
      </c>
      <c r="B85" s="10" t="s">
        <v>105</v>
      </c>
      <c r="C85" s="10" t="s">
        <v>106</v>
      </c>
      <c r="D85" s="11" t="s">
        <v>79</v>
      </c>
      <c r="E85" s="11" t="s">
        <v>107</v>
      </c>
      <c r="F85" s="11" t="s">
        <v>108</v>
      </c>
      <c r="G85" s="11">
        <v>-24</v>
      </c>
      <c r="H85" s="12">
        <v>-1</v>
      </c>
      <c r="I85" s="11">
        <v>840</v>
      </c>
      <c r="J85" s="13">
        <f>+VLOOKUP(Tabla1[[#This Row],[CODE ERP]],[1]!Tabla1[[#Data],[#Totals],[SKU]:[Costo CD]],3,0)</f>
        <v>30.7</v>
      </c>
      <c r="K85" s="13">
        <f>+Tabla1[[#This Row],[COSTO,U]]*Tabla1[[#This Row],[UNIDADES]]</f>
        <v>-736.8</v>
      </c>
      <c r="L85" s="11" t="s">
        <v>608</v>
      </c>
    </row>
    <row r="86" spans="1:12" ht="28.8" customHeight="1">
      <c r="A86" s="9">
        <v>2011912</v>
      </c>
      <c r="B86" s="10" t="s">
        <v>227</v>
      </c>
      <c r="C86" s="10" t="s">
        <v>228</v>
      </c>
      <c r="D86" s="11" t="s">
        <v>81</v>
      </c>
      <c r="E86" s="11" t="s">
        <v>229</v>
      </c>
      <c r="F86" s="11" t="s">
        <v>230</v>
      </c>
      <c r="G86" s="11">
        <v>-12</v>
      </c>
      <c r="H86" s="12">
        <v>-1</v>
      </c>
      <c r="I86" s="11">
        <v>216</v>
      </c>
      <c r="J86" s="13">
        <f>+VLOOKUP(Tabla1[[#This Row],[CODE ERP]],[1]!Tabla1[[#Data],[#Totals],[SKU]:[Costo CD]],3,0)</f>
        <v>60.91</v>
      </c>
      <c r="K86" s="13">
        <f>+Tabla1[[#This Row],[COSTO,U]]*Tabla1[[#This Row],[UNIDADES]]</f>
        <v>-730.92</v>
      </c>
      <c r="L86" s="11" t="s">
        <v>612</v>
      </c>
    </row>
    <row r="87" spans="1:12" ht="28.8" customHeight="1">
      <c r="A87" s="9">
        <v>2048433</v>
      </c>
      <c r="B87" s="10" t="s">
        <v>429</v>
      </c>
      <c r="C87" s="10" t="s">
        <v>487</v>
      </c>
      <c r="D87" s="11" t="s">
        <v>38</v>
      </c>
      <c r="E87" s="11" t="s">
        <v>430</v>
      </c>
      <c r="F87" s="11" t="s">
        <v>431</v>
      </c>
      <c r="G87" s="11">
        <v>-18</v>
      </c>
      <c r="H87" s="12">
        <v>-3</v>
      </c>
      <c r="I87" s="11">
        <v>150</v>
      </c>
      <c r="J87" s="13">
        <f>+VLOOKUP(Tabla1[[#This Row],[CODE ERP]],[1]!Tabla1[[#Data],[#Totals],[SKU]:[Costo CD]],3,0)</f>
        <v>40.5</v>
      </c>
      <c r="K87" s="13">
        <f>+Tabla1[[#This Row],[COSTO,U]]*Tabla1[[#This Row],[UNIDADES]]</f>
        <v>-729</v>
      </c>
      <c r="L87" s="11" t="s">
        <v>606</v>
      </c>
    </row>
    <row r="88" spans="1:12" ht="28.8" customHeight="1">
      <c r="A88" s="9">
        <v>44376</v>
      </c>
      <c r="B88" s="10" t="s">
        <v>148</v>
      </c>
      <c r="C88" s="10" t="s">
        <v>149</v>
      </c>
      <c r="D88" s="11" t="s">
        <v>90</v>
      </c>
      <c r="E88" s="11" t="s">
        <v>150</v>
      </c>
      <c r="F88" s="11" t="s">
        <v>151</v>
      </c>
      <c r="G88" s="11">
        <v>-12</v>
      </c>
      <c r="H88" s="12">
        <v>-1</v>
      </c>
      <c r="I88" s="11">
        <v>588</v>
      </c>
      <c r="J88" s="13">
        <f>+VLOOKUP(Tabla1[[#This Row],[CODE ERP]],[1]!Tabla1[[#Data],[#Totals],[SKU]:[Costo CD]],3,0)</f>
        <v>59.2</v>
      </c>
      <c r="K88" s="13">
        <f>+Tabla1[[#This Row],[COSTO,U]]*Tabla1[[#This Row],[UNIDADES]]</f>
        <v>-710.40000000000009</v>
      </c>
      <c r="L88" s="11" t="s">
        <v>605</v>
      </c>
    </row>
    <row r="89" spans="1:12" ht="28.8" customHeight="1">
      <c r="A89" s="9">
        <v>2088482</v>
      </c>
      <c r="B89" s="10" t="s">
        <v>70</v>
      </c>
      <c r="C89" s="10" t="s">
        <v>527</v>
      </c>
      <c r="D89" s="11" t="s">
        <v>40</v>
      </c>
      <c r="E89" s="11" t="s">
        <v>174</v>
      </c>
      <c r="F89" s="11" t="s">
        <v>175</v>
      </c>
      <c r="G89" s="11">
        <v>-4</v>
      </c>
      <c r="H89" s="12">
        <v>-1</v>
      </c>
      <c r="I89" s="11">
        <v>20</v>
      </c>
      <c r="J89" s="13">
        <f>+VLOOKUP(Tabla1[[#This Row],[CODE ERP]],[1]!Tabla1[[#Data],[#Totals],[SKU]:[Costo CD]],3,0)</f>
        <v>176.81</v>
      </c>
      <c r="K89" s="13">
        <f>+Tabla1[[#This Row],[COSTO,U]]*Tabla1[[#This Row],[UNIDADES]]</f>
        <v>-707.24</v>
      </c>
      <c r="L89" s="11" t="s">
        <v>605</v>
      </c>
    </row>
    <row r="90" spans="1:12" ht="28.8" customHeight="1">
      <c r="A90" s="9">
        <v>49283</v>
      </c>
      <c r="B90" s="10" t="s">
        <v>296</v>
      </c>
      <c r="C90" s="10" t="s">
        <v>297</v>
      </c>
      <c r="D90" s="11" t="s">
        <v>121</v>
      </c>
      <c r="E90" s="11" t="s">
        <v>298</v>
      </c>
      <c r="F90" s="11" t="s">
        <v>299</v>
      </c>
      <c r="G90" s="11">
        <v>-24</v>
      </c>
      <c r="H90" s="12">
        <v>-1</v>
      </c>
      <c r="I90" s="11">
        <v>3504</v>
      </c>
      <c r="J90" s="13">
        <f>+VLOOKUP(Tabla1[[#This Row],[CODE ERP]],[1]!Tabla1[[#Data],[#Totals],[SKU]:[Costo CD]],3,0)</f>
        <v>28.93</v>
      </c>
      <c r="K90" s="13">
        <f>+Tabla1[[#This Row],[COSTO,U]]*Tabla1[[#This Row],[UNIDADES]]</f>
        <v>-694.31999999999994</v>
      </c>
      <c r="L90" s="11" t="s">
        <v>605</v>
      </c>
    </row>
    <row r="91" spans="1:12" ht="28.8" customHeight="1">
      <c r="A91" s="9">
        <v>81667</v>
      </c>
      <c r="B91" s="10" t="s">
        <v>244</v>
      </c>
      <c r="C91" s="10" t="s">
        <v>245</v>
      </c>
      <c r="D91" s="11" t="s">
        <v>152</v>
      </c>
      <c r="E91" s="11" t="s">
        <v>246</v>
      </c>
      <c r="F91" s="11" t="s">
        <v>247</v>
      </c>
      <c r="G91" s="11">
        <v>-36</v>
      </c>
      <c r="H91" s="12">
        <v>-3</v>
      </c>
      <c r="I91" s="11">
        <v>744</v>
      </c>
      <c r="J91" s="13">
        <f>+VLOOKUP(Tabla1[[#This Row],[CODE ERP]],[1]!Tabla1[[#Data],[#Totals],[SKU]:[Costo CD]],3,0)</f>
        <v>19.25</v>
      </c>
      <c r="K91" s="13">
        <f>+Tabla1[[#This Row],[COSTO,U]]*Tabla1[[#This Row],[UNIDADES]]</f>
        <v>-693</v>
      </c>
      <c r="L91" s="11" t="s">
        <v>606</v>
      </c>
    </row>
    <row r="92" spans="1:12" ht="28.8" customHeight="1">
      <c r="A92" s="4">
        <v>107885</v>
      </c>
      <c r="B92" s="5" t="s">
        <v>574</v>
      </c>
      <c r="C92" s="5" t="s">
        <v>575</v>
      </c>
      <c r="D92" s="6" t="s">
        <v>40</v>
      </c>
      <c r="E92" s="6" t="s">
        <v>576</v>
      </c>
      <c r="F92" s="6" t="s">
        <v>577</v>
      </c>
      <c r="G92" s="6">
        <v>-24</v>
      </c>
      <c r="H92" s="7">
        <v>-2</v>
      </c>
      <c r="I92" s="6">
        <v>324</v>
      </c>
      <c r="J92" s="8">
        <f>+VLOOKUP(Tabla1[[#This Row],[CODE ERP]],[1]!Tabla1[[#Data],[#Totals],[SKU]:[Costo CD]],3,0)</f>
        <v>28.8</v>
      </c>
      <c r="K92" s="8">
        <f>+Tabla1[[#This Row],[COSTO,U]]*Tabla1[[#This Row],[UNIDADES]]</f>
        <v>-691.2</v>
      </c>
      <c r="L92" s="6" t="s">
        <v>10</v>
      </c>
    </row>
    <row r="93" spans="1:12" ht="28.8" customHeight="1">
      <c r="A93" s="9">
        <v>2069672</v>
      </c>
      <c r="B93" s="10" t="s">
        <v>423</v>
      </c>
      <c r="C93" s="10" t="s">
        <v>424</v>
      </c>
      <c r="D93" s="11" t="s">
        <v>309</v>
      </c>
      <c r="E93" s="11" t="s">
        <v>425</v>
      </c>
      <c r="F93" s="11" t="s">
        <v>426</v>
      </c>
      <c r="G93" s="11">
        <v>-10</v>
      </c>
      <c r="H93" s="12">
        <v>-1</v>
      </c>
      <c r="I93" s="11">
        <v>1550</v>
      </c>
      <c r="J93" s="13">
        <f>+VLOOKUP(Tabla1[[#This Row],[CODE ERP]],[1]!Tabla1[[#Data],[#Totals],[SKU]:[Costo CD]],3,0)</f>
        <v>68.48</v>
      </c>
      <c r="K93" s="13">
        <f>+Tabla1[[#This Row],[COSTO,U]]*Tabla1[[#This Row],[UNIDADES]]</f>
        <v>-684.80000000000007</v>
      </c>
      <c r="L93" s="11" t="s">
        <v>605</v>
      </c>
    </row>
    <row r="94" spans="1:12" ht="28.8" customHeight="1">
      <c r="A94" s="9">
        <v>95230</v>
      </c>
      <c r="B94" s="10" t="s">
        <v>252</v>
      </c>
      <c r="C94" s="10" t="s">
        <v>253</v>
      </c>
      <c r="D94" s="11" t="s">
        <v>79</v>
      </c>
      <c r="E94" s="11" t="s">
        <v>254</v>
      </c>
      <c r="F94" s="11" t="s">
        <v>255</v>
      </c>
      <c r="G94" s="11">
        <v>-8</v>
      </c>
      <c r="H94" s="12">
        <v>-2</v>
      </c>
      <c r="I94" s="11">
        <v>1204</v>
      </c>
      <c r="J94" s="13">
        <f>+VLOOKUP(Tabla1[[#This Row],[CODE ERP]],[1]!Tabla1[[#Data],[#Totals],[SKU]:[Costo CD]],3,0)</f>
        <v>85.31</v>
      </c>
      <c r="K94" s="13">
        <f>+Tabla1[[#This Row],[COSTO,U]]*Tabla1[[#This Row],[UNIDADES]]</f>
        <v>-682.48</v>
      </c>
      <c r="L94" s="11" t="s">
        <v>608</v>
      </c>
    </row>
    <row r="95" spans="1:12" ht="28.8" customHeight="1">
      <c r="A95" s="9">
        <v>2041813</v>
      </c>
      <c r="B95" s="10" t="s">
        <v>466</v>
      </c>
      <c r="C95" s="10" t="s">
        <v>467</v>
      </c>
      <c r="D95" s="11" t="s">
        <v>417</v>
      </c>
      <c r="E95" s="11" t="s">
        <v>468</v>
      </c>
      <c r="F95" s="11" t="s">
        <v>469</v>
      </c>
      <c r="G95" s="11">
        <v>-12</v>
      </c>
      <c r="H95" s="12">
        <v>-1</v>
      </c>
      <c r="I95" s="11">
        <v>1008</v>
      </c>
      <c r="J95" s="13">
        <f>+VLOOKUP(Tabla1[[#This Row],[CODE ERP]],[1]!Tabla1[[#Data],[#Totals],[SKU]:[Costo CD]],3,0)</f>
        <v>56.09</v>
      </c>
      <c r="K95" s="13">
        <f>+Tabla1[[#This Row],[COSTO,U]]*Tabla1[[#This Row],[UNIDADES]]</f>
        <v>-673.08</v>
      </c>
      <c r="L95" s="11" t="s">
        <v>605</v>
      </c>
    </row>
    <row r="96" spans="1:12" ht="28.8" customHeight="1">
      <c r="A96" s="9">
        <v>53559</v>
      </c>
      <c r="B96" s="10" t="s">
        <v>549</v>
      </c>
      <c r="C96" s="10" t="s">
        <v>550</v>
      </c>
      <c r="D96" s="11" t="s">
        <v>28</v>
      </c>
      <c r="E96" s="11" t="s">
        <v>551</v>
      </c>
      <c r="F96" s="11" t="s">
        <v>552</v>
      </c>
      <c r="G96" s="11">
        <v>-12</v>
      </c>
      <c r="H96" s="12">
        <v>-1</v>
      </c>
      <c r="I96" s="11">
        <v>12</v>
      </c>
      <c r="J96" s="13">
        <f>+VLOOKUP(Tabla1[[#This Row],[CODE ERP]],[1]!Tabla1[[#Data],[#Totals],[SKU]:[Costo CD]],3,0)</f>
        <v>56.06</v>
      </c>
      <c r="K96" s="13">
        <f>+Tabla1[[#This Row],[COSTO,U]]*Tabla1[[#This Row],[UNIDADES]]</f>
        <v>-672.72</v>
      </c>
      <c r="L96" s="11" t="s">
        <v>608</v>
      </c>
    </row>
    <row r="97" spans="1:12" ht="28.8" customHeight="1">
      <c r="A97" s="9">
        <v>116700</v>
      </c>
      <c r="B97" s="10" t="s">
        <v>427</v>
      </c>
      <c r="C97" s="10" t="s">
        <v>489</v>
      </c>
      <c r="D97" s="11" t="s">
        <v>490</v>
      </c>
      <c r="E97" s="11" t="s">
        <v>491</v>
      </c>
      <c r="F97" s="11" t="s">
        <v>428</v>
      </c>
      <c r="G97" s="11">
        <v>-5</v>
      </c>
      <c r="H97" s="12">
        <v>-5</v>
      </c>
      <c r="I97" s="11">
        <v>1596</v>
      </c>
      <c r="J97" s="13">
        <f>+VLOOKUP(Tabla1[[#This Row],[CODE ERP]],[1]!Tabla1[[#Data],[#Totals],[SKU]:[Costo CD]],3,0)</f>
        <v>134.38999999999999</v>
      </c>
      <c r="K97" s="13">
        <f>+Tabla1[[#This Row],[COSTO,U]]*Tabla1[[#This Row],[UNIDADES]]</f>
        <v>-671.94999999999993</v>
      </c>
      <c r="L97" s="11" t="s">
        <v>603</v>
      </c>
    </row>
    <row r="98" spans="1:12" ht="28.8" customHeight="1">
      <c r="A98" s="9">
        <v>2038503</v>
      </c>
      <c r="B98" s="10" t="s">
        <v>131</v>
      </c>
      <c r="C98" s="10" t="s">
        <v>132</v>
      </c>
      <c r="D98" s="11" t="s">
        <v>80</v>
      </c>
      <c r="E98" s="11" t="s">
        <v>133</v>
      </c>
      <c r="F98" s="11" t="s">
        <v>134</v>
      </c>
      <c r="G98" s="11">
        <v>-18</v>
      </c>
      <c r="H98" s="12">
        <v>-3</v>
      </c>
      <c r="I98" s="11">
        <v>552</v>
      </c>
      <c r="J98" s="13">
        <f>+VLOOKUP(Tabla1[[#This Row],[CODE ERP]],[1]!Tabla1[[#Data],[#Totals],[SKU]:[Costo CD]],3,0)</f>
        <v>37.130000000000003</v>
      </c>
      <c r="K98" s="13">
        <f>+Tabla1[[#This Row],[COSTO,U]]*Tabla1[[#This Row],[UNIDADES]]</f>
        <v>-668.34</v>
      </c>
      <c r="L98" s="11" t="s">
        <v>606</v>
      </c>
    </row>
    <row r="99" spans="1:12" ht="28.8" customHeight="1">
      <c r="A99" s="9">
        <v>2085429</v>
      </c>
      <c r="B99" s="10" t="s">
        <v>248</v>
      </c>
      <c r="C99" s="10" t="s">
        <v>249</v>
      </c>
      <c r="D99" s="11" t="s">
        <v>80</v>
      </c>
      <c r="E99" s="11" t="s">
        <v>250</v>
      </c>
      <c r="F99" s="11" t="s">
        <v>251</v>
      </c>
      <c r="G99" s="11">
        <v>-24</v>
      </c>
      <c r="H99" s="12">
        <v>-2</v>
      </c>
      <c r="I99" s="11">
        <v>348</v>
      </c>
      <c r="J99" s="13">
        <f>+VLOOKUP(Tabla1[[#This Row],[CODE ERP]],[1]!Tabla1[[#Data],[#Totals],[SKU]:[Costo CD]],3,0)</f>
        <v>27.64</v>
      </c>
      <c r="K99" s="13">
        <f>+Tabla1[[#This Row],[COSTO,U]]*Tabla1[[#This Row],[UNIDADES]]</f>
        <v>-663.36</v>
      </c>
      <c r="L99" s="11" t="s">
        <v>605</v>
      </c>
    </row>
    <row r="100" spans="1:12" ht="28.8" customHeight="1">
      <c r="A100" s="4">
        <v>104166</v>
      </c>
      <c r="B100" s="5" t="s">
        <v>54</v>
      </c>
      <c r="C100" s="5" t="s">
        <v>55</v>
      </c>
      <c r="D100" s="6" t="s">
        <v>40</v>
      </c>
      <c r="E100" s="6" t="s">
        <v>56</v>
      </c>
      <c r="F100" s="6" t="s">
        <v>57</v>
      </c>
      <c r="G100" s="6">
        <v>-72</v>
      </c>
      <c r="H100" s="7">
        <v>-3</v>
      </c>
      <c r="I100" s="6">
        <v>96</v>
      </c>
      <c r="J100" s="8">
        <f>+VLOOKUP(Tabla1[[#This Row],[CODE ERP]],[1]!Tabla1[[#Data],[#Totals],[SKU]:[Costo CD]],3,0)</f>
        <v>9.2100000000000009</v>
      </c>
      <c r="K100" s="8">
        <f>+Tabla1[[#This Row],[COSTO,U]]*Tabla1[[#This Row],[UNIDADES]]</f>
        <v>-663.12000000000012</v>
      </c>
      <c r="L100" s="6" t="s">
        <v>10</v>
      </c>
    </row>
    <row r="101" spans="1:12" ht="28.8" customHeight="1">
      <c r="A101" s="4">
        <v>104166</v>
      </c>
      <c r="B101" s="5" t="s">
        <v>54</v>
      </c>
      <c r="C101" s="5" t="s">
        <v>66</v>
      </c>
      <c r="D101" s="6" t="s">
        <v>67</v>
      </c>
      <c r="E101" s="6" t="s">
        <v>68</v>
      </c>
      <c r="F101" s="6" t="s">
        <v>69</v>
      </c>
      <c r="G101" s="6">
        <v>-72</v>
      </c>
      <c r="H101" s="7">
        <v>-3</v>
      </c>
      <c r="I101" s="6">
        <v>24</v>
      </c>
      <c r="J101" s="8">
        <f>+VLOOKUP(Tabla1[[#This Row],[CODE ERP]],[1]!Tabla1[[#Data],[#Totals],[SKU]:[Costo CD]],3,0)</f>
        <v>9.2100000000000009</v>
      </c>
      <c r="K101" s="8">
        <f>+Tabla1[[#This Row],[COSTO,U]]*Tabla1[[#This Row],[UNIDADES]]</f>
        <v>-663.12000000000012</v>
      </c>
      <c r="L101" s="6" t="s">
        <v>10</v>
      </c>
    </row>
    <row r="102" spans="1:12" ht="28.8" customHeight="1">
      <c r="A102" s="4">
        <v>97153</v>
      </c>
      <c r="B102" s="5" t="s">
        <v>335</v>
      </c>
      <c r="C102" s="5" t="s">
        <v>336</v>
      </c>
      <c r="D102" s="6" t="s">
        <v>337</v>
      </c>
      <c r="E102" s="6" t="s">
        <v>338</v>
      </c>
      <c r="F102" s="6" t="s">
        <v>339</v>
      </c>
      <c r="G102" s="6">
        <v>-192</v>
      </c>
      <c r="H102" s="7">
        <v>-16</v>
      </c>
      <c r="I102" s="6">
        <v>984</v>
      </c>
      <c r="J102" s="8">
        <f>+VLOOKUP(Tabla1[[#This Row],[CODE ERP]],[1]!Tabla1[[#Data],[#Totals],[SKU]:[Costo CD]],3,0)</f>
        <v>3.44</v>
      </c>
      <c r="K102" s="8">
        <f>+Tabla1[[#This Row],[COSTO,U]]*Tabla1[[#This Row],[UNIDADES]]</f>
        <v>-660.48</v>
      </c>
      <c r="L102" s="6" t="s">
        <v>10</v>
      </c>
    </row>
    <row r="103" spans="1:12" ht="28.8" customHeight="1">
      <c r="A103" s="9">
        <v>2088476</v>
      </c>
      <c r="B103" s="10" t="s">
        <v>566</v>
      </c>
      <c r="C103" s="10" t="s">
        <v>567</v>
      </c>
      <c r="D103" s="11" t="s">
        <v>38</v>
      </c>
      <c r="E103" s="11" t="s">
        <v>568</v>
      </c>
      <c r="F103" s="11" t="s">
        <v>569</v>
      </c>
      <c r="G103" s="11">
        <v>-4</v>
      </c>
      <c r="H103" s="12">
        <v>-1</v>
      </c>
      <c r="I103" s="11">
        <v>128</v>
      </c>
      <c r="J103" s="13">
        <f>+VLOOKUP(Tabla1[[#This Row],[CODE ERP]],[1]!Tabla1[[#Data],[#Totals],[SKU]:[Costo CD]],3,0)</f>
        <v>159.97</v>
      </c>
      <c r="K103" s="13">
        <f>+Tabla1[[#This Row],[COSTO,U]]*Tabla1[[#This Row],[UNIDADES]]</f>
        <v>-639.88</v>
      </c>
      <c r="L103" s="11" t="s">
        <v>605</v>
      </c>
    </row>
    <row r="104" spans="1:12" ht="28.8" customHeight="1">
      <c r="A104" s="4">
        <v>49793</v>
      </c>
      <c r="B104" s="5" t="s">
        <v>109</v>
      </c>
      <c r="C104" s="5" t="s">
        <v>110</v>
      </c>
      <c r="D104" s="6" t="s">
        <v>111</v>
      </c>
      <c r="E104" s="6" t="s">
        <v>112</v>
      </c>
      <c r="F104" s="6" t="s">
        <v>113</v>
      </c>
      <c r="G104" s="6">
        <v>-84</v>
      </c>
      <c r="H104" s="7">
        <v>-7</v>
      </c>
      <c r="I104" s="6">
        <v>2424</v>
      </c>
      <c r="J104" s="8">
        <f>+VLOOKUP(Tabla1[[#This Row],[CODE ERP]],[1]!Tabla1[[#Data],[#Totals],[SKU]:[Costo CD]],3,0)</f>
        <v>7.59</v>
      </c>
      <c r="K104" s="8">
        <f>+Tabla1[[#This Row],[COSTO,U]]*Tabla1[[#This Row],[UNIDADES]]</f>
        <v>-637.55999999999995</v>
      </c>
      <c r="L104" s="6" t="s">
        <v>10</v>
      </c>
    </row>
    <row r="105" spans="1:12" ht="28.8" customHeight="1">
      <c r="A105" s="4">
        <v>3383</v>
      </c>
      <c r="B105" s="5" t="s">
        <v>182</v>
      </c>
      <c r="C105" s="5" t="s">
        <v>183</v>
      </c>
      <c r="D105" s="6" t="s">
        <v>76</v>
      </c>
      <c r="E105" s="6" t="s">
        <v>184</v>
      </c>
      <c r="F105" s="6" t="s">
        <v>185</v>
      </c>
      <c r="G105" s="6">
        <v>-288</v>
      </c>
      <c r="H105" s="7">
        <v>-2</v>
      </c>
      <c r="I105" s="6">
        <v>1008</v>
      </c>
      <c r="J105" s="8">
        <f>+VLOOKUP(Tabla1[[#This Row],[CODE ERP]],[1]!Tabla1[[#Data],[#Totals],[SKU]:[Costo CD]],3,0)</f>
        <v>2.14</v>
      </c>
      <c r="K105" s="8">
        <f>+Tabla1[[#This Row],[COSTO,U]]*Tabla1[[#This Row],[UNIDADES]]</f>
        <v>-616.32000000000005</v>
      </c>
      <c r="L105" s="6" t="s">
        <v>10</v>
      </c>
    </row>
    <row r="106" spans="1:12" ht="28.8" customHeight="1">
      <c r="A106" s="4">
        <v>73899</v>
      </c>
      <c r="B106" s="5" t="s">
        <v>509</v>
      </c>
      <c r="C106" s="5" t="s">
        <v>510</v>
      </c>
      <c r="D106" s="6" t="s">
        <v>474</v>
      </c>
      <c r="E106" s="6" t="s">
        <v>511</v>
      </c>
      <c r="F106" s="6" t="s">
        <v>512</v>
      </c>
      <c r="G106" s="6">
        <v>-48</v>
      </c>
      <c r="H106" s="7">
        <v>-2</v>
      </c>
      <c r="I106" s="6">
        <v>1824</v>
      </c>
      <c r="J106" s="8">
        <f>+VLOOKUP(Tabla1[[#This Row],[CODE ERP]],[1]!Tabla1[[#Data],[#Totals],[SKU]:[Costo CD]],3,0)</f>
        <v>12.84</v>
      </c>
      <c r="K106" s="8">
        <f>+Tabla1[[#This Row],[COSTO,U]]*Tabla1[[#This Row],[UNIDADES]]</f>
        <v>-616.31999999999994</v>
      </c>
      <c r="L106" s="6" t="s">
        <v>10</v>
      </c>
    </row>
    <row r="107" spans="1:12" ht="28.8" customHeight="1">
      <c r="A107" s="4">
        <v>2087878</v>
      </c>
      <c r="B107" s="5" t="s">
        <v>492</v>
      </c>
      <c r="C107" s="5" t="s">
        <v>493</v>
      </c>
      <c r="D107" s="6" t="s">
        <v>474</v>
      </c>
      <c r="E107" s="6" t="s">
        <v>494</v>
      </c>
      <c r="F107" s="6" t="s">
        <v>495</v>
      </c>
      <c r="G107" s="6">
        <v>-40</v>
      </c>
      <c r="H107" s="7">
        <v>-2</v>
      </c>
      <c r="I107" s="6">
        <v>840</v>
      </c>
      <c r="J107" s="8">
        <f>+VLOOKUP(Tabla1[[#This Row],[CODE ERP]],[1]!Tabla1[[#Data],[#Totals],[SKU]:[Costo CD]],3,0)</f>
        <v>15.4</v>
      </c>
      <c r="K107" s="8">
        <f>+Tabla1[[#This Row],[COSTO,U]]*Tabla1[[#This Row],[UNIDADES]]</f>
        <v>-616</v>
      </c>
      <c r="L107" s="6" t="s">
        <v>10</v>
      </c>
    </row>
    <row r="108" spans="1:12" ht="28.8" customHeight="1">
      <c r="A108" s="4">
        <v>110129</v>
      </c>
      <c r="B108" s="5" t="s">
        <v>505</v>
      </c>
      <c r="C108" s="5" t="s">
        <v>506</v>
      </c>
      <c r="D108" s="6" t="s">
        <v>488</v>
      </c>
      <c r="E108" s="6" t="s">
        <v>507</v>
      </c>
      <c r="F108" s="6" t="s">
        <v>508</v>
      </c>
      <c r="G108" s="6">
        <v>-15</v>
      </c>
      <c r="H108" s="7">
        <v>-1</v>
      </c>
      <c r="I108" s="6">
        <v>1260</v>
      </c>
      <c r="J108" s="8">
        <f>+VLOOKUP(Tabla1[[#This Row],[CODE ERP]],[1]!Tabla1[[#Data],[#Totals],[SKU]:[Costo CD]],3,0)</f>
        <v>40.369999999999997</v>
      </c>
      <c r="K108" s="8">
        <f>+Tabla1[[#This Row],[COSTO,U]]*Tabla1[[#This Row],[UNIDADES]]</f>
        <v>-605.54999999999995</v>
      </c>
      <c r="L108" s="6" t="s">
        <v>10</v>
      </c>
    </row>
    <row r="109" spans="1:12" ht="28.8" customHeight="1">
      <c r="A109" s="4">
        <v>2037325</v>
      </c>
      <c r="B109" s="5" t="s">
        <v>219</v>
      </c>
      <c r="C109" s="5" t="s">
        <v>220</v>
      </c>
      <c r="D109" s="6" t="s">
        <v>213</v>
      </c>
      <c r="E109" s="6" t="s">
        <v>221</v>
      </c>
      <c r="F109" s="6" t="s">
        <v>222</v>
      </c>
      <c r="G109" s="6">
        <v>-72</v>
      </c>
      <c r="H109" s="7">
        <v>-6</v>
      </c>
      <c r="I109" s="6">
        <v>120</v>
      </c>
      <c r="J109" s="8">
        <f>+VLOOKUP(Tabla1[[#This Row],[CODE ERP]],[1]!Tabla1[[#Data],[#Totals],[SKU]:[Costo CD]],3,0)</f>
        <v>8.41</v>
      </c>
      <c r="K109" s="8">
        <f>+Tabla1[[#This Row],[COSTO,U]]*Tabla1[[#This Row],[UNIDADES]]</f>
        <v>-605.52</v>
      </c>
      <c r="L109" s="6" t="s">
        <v>10</v>
      </c>
    </row>
    <row r="110" spans="1:12" ht="28.8" customHeight="1">
      <c r="A110" s="4">
        <v>2085456</v>
      </c>
      <c r="B110" s="5" t="s">
        <v>12</v>
      </c>
      <c r="C110" s="5" t="s">
        <v>13</v>
      </c>
      <c r="D110" s="6" t="s">
        <v>14</v>
      </c>
      <c r="E110" s="6" t="s">
        <v>15</v>
      </c>
      <c r="F110" s="6" t="s">
        <v>16</v>
      </c>
      <c r="G110" s="6">
        <v>-12</v>
      </c>
      <c r="H110" s="7">
        <v>-2</v>
      </c>
      <c r="I110" s="6">
        <v>432</v>
      </c>
      <c r="J110" s="8">
        <f>+VLOOKUP(Tabla1[[#This Row],[CODE ERP]],[1]!Tabla1[[#Data],[#Totals],[SKU]:[Costo CD]],3,0)</f>
        <v>49.5</v>
      </c>
      <c r="K110" s="8">
        <f>+Tabla1[[#This Row],[COSTO,U]]*Tabla1[[#This Row],[UNIDADES]]</f>
        <v>-594</v>
      </c>
      <c r="L110" s="6" t="s">
        <v>10</v>
      </c>
    </row>
    <row r="111" spans="1:12" ht="28.8" customHeight="1">
      <c r="A111" s="4">
        <v>2080490</v>
      </c>
      <c r="B111" s="5" t="s">
        <v>114</v>
      </c>
      <c r="C111" s="5" t="s">
        <v>115</v>
      </c>
      <c r="D111" s="6" t="s">
        <v>116</v>
      </c>
      <c r="E111" s="6" t="s">
        <v>117</v>
      </c>
      <c r="F111" s="6" t="s">
        <v>118</v>
      </c>
      <c r="G111" s="6">
        <v>-8</v>
      </c>
      <c r="H111" s="7">
        <v>-2</v>
      </c>
      <c r="I111" s="6">
        <v>8</v>
      </c>
      <c r="J111" s="8">
        <f>+VLOOKUP(Tabla1[[#This Row],[CODE ERP]],[1]!Tabla1[[#Data],[#Totals],[SKU]:[Costo CD]],3,0)</f>
        <v>73.33</v>
      </c>
      <c r="K111" s="8">
        <f>+Tabla1[[#This Row],[COSTO,U]]*Tabla1[[#This Row],[UNIDADES]]</f>
        <v>-586.64</v>
      </c>
      <c r="L111" s="6" t="s">
        <v>10</v>
      </c>
    </row>
    <row r="112" spans="1:12" ht="28.8" customHeight="1">
      <c r="A112" s="4">
        <v>88497</v>
      </c>
      <c r="B112" s="5" t="s">
        <v>330</v>
      </c>
      <c r="C112" s="5" t="s">
        <v>331</v>
      </c>
      <c r="D112" s="6" t="s">
        <v>332</v>
      </c>
      <c r="E112" s="6" t="s">
        <v>333</v>
      </c>
      <c r="F112" s="6" t="s">
        <v>334</v>
      </c>
      <c r="G112" s="6">
        <v>-48</v>
      </c>
      <c r="H112" s="7">
        <v>-1</v>
      </c>
      <c r="I112" s="6">
        <v>864</v>
      </c>
      <c r="J112" s="8">
        <f>+VLOOKUP(Tabla1[[#This Row],[CODE ERP]],[1]!Tabla1[[#Data],[#Totals],[SKU]:[Costo CD]],3,0)</f>
        <v>12.21</v>
      </c>
      <c r="K112" s="8">
        <f>+Tabla1[[#This Row],[COSTO,U]]*Tabla1[[#This Row],[UNIDADES]]</f>
        <v>-586.08000000000004</v>
      </c>
      <c r="L112" s="6" t="s">
        <v>10</v>
      </c>
    </row>
    <row r="113" spans="1:12" ht="28.8" customHeight="1">
      <c r="A113" s="4">
        <v>60793</v>
      </c>
      <c r="B113" s="5" t="s">
        <v>345</v>
      </c>
      <c r="C113" s="5" t="s">
        <v>346</v>
      </c>
      <c r="D113" s="6" t="s">
        <v>315</v>
      </c>
      <c r="E113" s="6" t="s">
        <v>347</v>
      </c>
      <c r="F113" s="6" t="s">
        <v>348</v>
      </c>
      <c r="G113" s="6">
        <v>-48</v>
      </c>
      <c r="H113" s="7">
        <v>-1</v>
      </c>
      <c r="I113" s="6">
        <v>120</v>
      </c>
      <c r="J113" s="8">
        <f>+VLOOKUP(Tabla1[[#This Row],[CODE ERP]],[1]!Tabla1[[#Data],[#Totals],[SKU]:[Costo CD]],3,0)</f>
        <v>12.14</v>
      </c>
      <c r="K113" s="8">
        <f>+Tabla1[[#This Row],[COSTO,U]]*Tabla1[[#This Row],[UNIDADES]]</f>
        <v>-582.72</v>
      </c>
      <c r="L113" s="6" t="s">
        <v>10</v>
      </c>
    </row>
    <row r="114" spans="1:12" ht="28.8" customHeight="1">
      <c r="A114" s="4">
        <v>8046</v>
      </c>
      <c r="B114" s="5" t="s">
        <v>194</v>
      </c>
      <c r="C114" s="5" t="s">
        <v>195</v>
      </c>
      <c r="D114" s="6" t="s">
        <v>82</v>
      </c>
      <c r="E114" s="6" t="s">
        <v>196</v>
      </c>
      <c r="F114" s="6" t="s">
        <v>197</v>
      </c>
      <c r="G114" s="6">
        <v>-15</v>
      </c>
      <c r="H114" s="7">
        <v>-1</v>
      </c>
      <c r="I114" s="6">
        <v>285</v>
      </c>
      <c r="J114" s="8">
        <f>+VLOOKUP(Tabla1[[#This Row],[CODE ERP]],[1]!Tabla1[[#Data],[#Totals],[SKU]:[Costo CD]],3,0)</f>
        <v>38.799999999999997</v>
      </c>
      <c r="K114" s="8">
        <f>+Tabla1[[#This Row],[COSTO,U]]*Tabla1[[#This Row],[UNIDADES]]</f>
        <v>-582</v>
      </c>
      <c r="L114" s="6" t="s">
        <v>10</v>
      </c>
    </row>
    <row r="115" spans="1:12" ht="28.8" customHeight="1">
      <c r="A115" s="4">
        <v>2032531</v>
      </c>
      <c r="B115" s="5" t="s">
        <v>198</v>
      </c>
      <c r="C115" s="5" t="s">
        <v>199</v>
      </c>
      <c r="D115" s="6" t="s">
        <v>104</v>
      </c>
      <c r="E115" s="6" t="s">
        <v>200</v>
      </c>
      <c r="F115" s="6" t="s">
        <v>201</v>
      </c>
      <c r="G115" s="6">
        <v>-4</v>
      </c>
      <c r="H115" s="7">
        <v>-4</v>
      </c>
      <c r="I115" s="6">
        <v>0</v>
      </c>
      <c r="J115" s="8">
        <f>+VLOOKUP(Tabla1[[#This Row],[CODE ERP]],[1]!Tabla1[[#Data],[#Totals],[SKU]:[Costo CD]],3,0)</f>
        <v>144.86000000000001</v>
      </c>
      <c r="K115" s="8">
        <f>+Tabla1[[#This Row],[COSTO,U]]*Tabla1[[#This Row],[UNIDADES]]</f>
        <v>-579.44000000000005</v>
      </c>
      <c r="L115" s="6" t="s">
        <v>10</v>
      </c>
    </row>
    <row r="116" spans="1:12" ht="28.8" customHeight="1">
      <c r="A116" s="4">
        <v>118592</v>
      </c>
      <c r="B116" s="5" t="s">
        <v>353</v>
      </c>
      <c r="C116" s="5" t="s">
        <v>354</v>
      </c>
      <c r="D116" s="6" t="s">
        <v>355</v>
      </c>
      <c r="E116" s="6" t="s">
        <v>356</v>
      </c>
      <c r="F116" s="6" t="s">
        <v>357</v>
      </c>
      <c r="G116" s="6">
        <v>-24</v>
      </c>
      <c r="H116" s="7">
        <v>-1</v>
      </c>
      <c r="I116" s="6">
        <v>144</v>
      </c>
      <c r="J116" s="8">
        <f>+VLOOKUP(Tabla1[[#This Row],[CODE ERP]],[1]!Tabla1[[#Data],[#Totals],[SKU]:[Costo CD]],3,0)</f>
        <v>24.08</v>
      </c>
      <c r="K116" s="8">
        <f>+Tabla1[[#This Row],[COSTO,U]]*Tabla1[[#This Row],[UNIDADES]]</f>
        <v>-577.91999999999996</v>
      </c>
      <c r="L116" s="6" t="s">
        <v>10</v>
      </c>
    </row>
    <row r="117" spans="1:12" ht="28.8" customHeight="1">
      <c r="A117" s="4">
        <v>2077074</v>
      </c>
      <c r="B117" s="5" t="s">
        <v>557</v>
      </c>
      <c r="C117" s="5" t="s">
        <v>558</v>
      </c>
      <c r="D117" s="6" t="s">
        <v>478</v>
      </c>
      <c r="E117" s="6" t="s">
        <v>559</v>
      </c>
      <c r="F117" s="6" t="s">
        <v>560</v>
      </c>
      <c r="G117" s="6">
        <v>-18</v>
      </c>
      <c r="H117" s="7">
        <v>-3</v>
      </c>
      <c r="I117" s="6">
        <v>30</v>
      </c>
      <c r="J117" s="8">
        <f>+VLOOKUP(Tabla1[[#This Row],[CODE ERP]],[1]!Tabla1[[#Data],[#Totals],[SKU]:[Costo CD]],3,0)</f>
        <v>31.97</v>
      </c>
      <c r="K117" s="8">
        <f>+Tabla1[[#This Row],[COSTO,U]]*Tabla1[[#This Row],[UNIDADES]]</f>
        <v>-575.46</v>
      </c>
      <c r="L117" s="6" t="s">
        <v>10</v>
      </c>
    </row>
    <row r="118" spans="1:12" ht="28.8" customHeight="1">
      <c r="A118" s="4">
        <v>16135</v>
      </c>
      <c r="B118" s="5" t="s">
        <v>96</v>
      </c>
      <c r="C118" s="5" t="s">
        <v>97</v>
      </c>
      <c r="D118" s="6" t="s">
        <v>90</v>
      </c>
      <c r="E118" s="6" t="s">
        <v>98</v>
      </c>
      <c r="F118" s="6" t="s">
        <v>99</v>
      </c>
      <c r="G118" s="6">
        <v>-12</v>
      </c>
      <c r="H118" s="7">
        <v>-1</v>
      </c>
      <c r="I118" s="6">
        <v>432</v>
      </c>
      <c r="J118" s="8">
        <f>+VLOOKUP(Tabla1[[#This Row],[CODE ERP]],[1]!Tabla1[[#Data],[#Totals],[SKU]:[Costo CD]],3,0)</f>
        <v>47.77</v>
      </c>
      <c r="K118" s="8">
        <f>+Tabla1[[#This Row],[COSTO,U]]*Tabla1[[#This Row],[UNIDADES]]</f>
        <v>-573.24</v>
      </c>
      <c r="L118" s="6" t="s">
        <v>10</v>
      </c>
    </row>
    <row r="119" spans="1:12" ht="28.8" customHeight="1">
      <c r="A119" s="4">
        <v>62647</v>
      </c>
      <c r="B119" s="5" t="s">
        <v>74</v>
      </c>
      <c r="C119" s="5" t="s">
        <v>379</v>
      </c>
      <c r="D119" s="6" t="s">
        <v>365</v>
      </c>
      <c r="E119" s="6" t="s">
        <v>380</v>
      </c>
      <c r="F119" s="6" t="s">
        <v>367</v>
      </c>
      <c r="G119" s="6">
        <v>-72</v>
      </c>
      <c r="H119" s="7">
        <v>-3</v>
      </c>
      <c r="I119" s="6">
        <v>2520</v>
      </c>
      <c r="J119" s="8">
        <f>+VLOOKUP(Tabla1[[#This Row],[CODE ERP]],[1]!Tabla1[[#Data],[#Totals],[SKU]:[Costo CD]],3,0)</f>
        <v>7.96</v>
      </c>
      <c r="K119" s="8">
        <f>+Tabla1[[#This Row],[COSTO,U]]*Tabla1[[#This Row],[UNIDADES]]</f>
        <v>-573.12</v>
      </c>
      <c r="L119" s="6" t="s">
        <v>10</v>
      </c>
    </row>
    <row r="120" spans="1:12" ht="28.8" customHeight="1">
      <c r="A120" s="4">
        <v>2085992</v>
      </c>
      <c r="B120" s="5" t="s">
        <v>408</v>
      </c>
      <c r="C120" s="5" t="s">
        <v>409</v>
      </c>
      <c r="D120" s="6" t="s">
        <v>309</v>
      </c>
      <c r="E120" s="6" t="s">
        <v>410</v>
      </c>
      <c r="F120" s="6" t="s">
        <v>411</v>
      </c>
      <c r="G120" s="6">
        <v>-24</v>
      </c>
      <c r="H120" s="7">
        <v>-2</v>
      </c>
      <c r="I120" s="6">
        <v>612</v>
      </c>
      <c r="J120" s="8">
        <f>+VLOOKUP(Tabla1[[#This Row],[CODE ERP]],[1]!Tabla1[[#Data],[#Totals],[SKU]:[Costo CD]],3,0)</f>
        <v>23.88</v>
      </c>
      <c r="K120" s="8">
        <f>+Tabla1[[#This Row],[COSTO,U]]*Tabla1[[#This Row],[UNIDADES]]</f>
        <v>-573.12</v>
      </c>
      <c r="L120" s="6" t="s">
        <v>10</v>
      </c>
    </row>
    <row r="121" spans="1:12" ht="28.8" customHeight="1">
      <c r="A121" s="4">
        <v>2011785</v>
      </c>
      <c r="B121" s="5" t="s">
        <v>453</v>
      </c>
      <c r="C121" s="5" t="s">
        <v>454</v>
      </c>
      <c r="D121" s="6" t="s">
        <v>318</v>
      </c>
      <c r="E121" s="6" t="s">
        <v>455</v>
      </c>
      <c r="F121" s="6" t="s">
        <v>456</v>
      </c>
      <c r="G121" s="6">
        <v>-24</v>
      </c>
      <c r="H121" s="7">
        <v>-3</v>
      </c>
      <c r="I121" s="6">
        <v>704</v>
      </c>
      <c r="J121" s="8">
        <f>+VLOOKUP(Tabla1[[#This Row],[CODE ERP]],[1]!Tabla1[[#Data],[#Totals],[SKU]:[Costo CD]],3,0)</f>
        <v>23.45</v>
      </c>
      <c r="K121" s="8">
        <f>+Tabla1[[#This Row],[COSTO,U]]*Tabla1[[#This Row],[UNIDADES]]</f>
        <v>-562.79999999999995</v>
      </c>
      <c r="L121" s="6" t="s">
        <v>10</v>
      </c>
    </row>
    <row r="122" spans="1:12" ht="28.8" customHeight="1">
      <c r="A122" s="4">
        <v>2069633</v>
      </c>
      <c r="B122" s="5" t="s">
        <v>300</v>
      </c>
      <c r="C122" s="5" t="s">
        <v>301</v>
      </c>
      <c r="D122" s="6" t="s">
        <v>214</v>
      </c>
      <c r="E122" s="6" t="s">
        <v>302</v>
      </c>
      <c r="F122" s="6" t="s">
        <v>303</v>
      </c>
      <c r="G122" s="6">
        <v>-10</v>
      </c>
      <c r="H122" s="7">
        <v>-1</v>
      </c>
      <c r="I122" s="6">
        <v>1120</v>
      </c>
      <c r="J122" s="8">
        <f>+VLOOKUP(Tabla1[[#This Row],[CODE ERP]],[1]!Tabla1[[#Data],[#Totals],[SKU]:[Costo CD]],3,0)</f>
        <v>56.26</v>
      </c>
      <c r="K122" s="8">
        <f>+Tabla1[[#This Row],[COSTO,U]]*Tabla1[[#This Row],[UNIDADES]]</f>
        <v>-562.6</v>
      </c>
      <c r="L122" s="6" t="s">
        <v>10</v>
      </c>
    </row>
    <row r="123" spans="1:12" ht="28.8" customHeight="1">
      <c r="A123" s="4">
        <v>2069670</v>
      </c>
      <c r="B123" s="5" t="s">
        <v>389</v>
      </c>
      <c r="C123" s="5" t="s">
        <v>390</v>
      </c>
      <c r="D123" s="6" t="s">
        <v>309</v>
      </c>
      <c r="E123" s="6" t="s">
        <v>391</v>
      </c>
      <c r="F123" s="6" t="s">
        <v>392</v>
      </c>
      <c r="G123" s="6">
        <v>-10</v>
      </c>
      <c r="H123" s="7">
        <v>-1</v>
      </c>
      <c r="I123" s="6">
        <v>1450</v>
      </c>
      <c r="J123" s="8">
        <f>+VLOOKUP(Tabla1[[#This Row],[CODE ERP]],[1]!Tabla1[[#Data],[#Totals],[SKU]:[Costo CD]],3,0)</f>
        <v>56.26</v>
      </c>
      <c r="K123" s="8">
        <f>+Tabla1[[#This Row],[COSTO,U]]*Tabla1[[#This Row],[UNIDADES]]</f>
        <v>-562.6</v>
      </c>
      <c r="L123" s="6" t="s">
        <v>10</v>
      </c>
    </row>
    <row r="124" spans="1:12" ht="28.8" customHeight="1">
      <c r="A124" s="4">
        <v>2080216</v>
      </c>
      <c r="B124" s="5" t="s">
        <v>496</v>
      </c>
      <c r="C124" s="5" t="s">
        <v>497</v>
      </c>
      <c r="D124" s="6" t="s">
        <v>481</v>
      </c>
      <c r="E124" s="6" t="s">
        <v>498</v>
      </c>
      <c r="F124" s="6" t="s">
        <v>499</v>
      </c>
      <c r="G124" s="6">
        <v>-10</v>
      </c>
      <c r="H124" s="7">
        <v>-1</v>
      </c>
      <c r="I124" s="6">
        <v>550</v>
      </c>
      <c r="J124" s="8">
        <f>+VLOOKUP(Tabla1[[#This Row],[CODE ERP]],[1]!Tabla1[[#Data],[#Totals],[SKU]:[Costo CD]],3,0)</f>
        <v>56.26</v>
      </c>
      <c r="K124" s="8">
        <f>+Tabla1[[#This Row],[COSTO,U]]*Tabla1[[#This Row],[UNIDADES]]</f>
        <v>-562.6</v>
      </c>
      <c r="L124" s="6" t="s">
        <v>10</v>
      </c>
    </row>
    <row r="125" spans="1:12" ht="28.8" customHeight="1">
      <c r="A125" s="4">
        <v>2019234</v>
      </c>
      <c r="B125" s="5" t="s">
        <v>153</v>
      </c>
      <c r="C125" s="5" t="s">
        <v>154</v>
      </c>
      <c r="D125" s="6" t="s">
        <v>85</v>
      </c>
      <c r="E125" s="6" t="s">
        <v>155</v>
      </c>
      <c r="F125" s="6" t="s">
        <v>156</v>
      </c>
      <c r="G125" s="6">
        <v>-12</v>
      </c>
      <c r="H125" s="7">
        <v>-1</v>
      </c>
      <c r="I125" s="6">
        <v>636</v>
      </c>
      <c r="J125" s="8">
        <f>+VLOOKUP(Tabla1[[#This Row],[CODE ERP]],[1]!Tabla1[[#Data],[#Totals],[SKU]:[Costo CD]],3,0)</f>
        <v>46.4</v>
      </c>
      <c r="K125" s="8">
        <f>+Tabla1[[#This Row],[COSTO,U]]*Tabla1[[#This Row],[UNIDADES]]</f>
        <v>-556.79999999999995</v>
      </c>
      <c r="L125" s="6" t="s">
        <v>10</v>
      </c>
    </row>
    <row r="126" spans="1:12" ht="28.8" customHeight="1">
      <c r="A126" s="4">
        <v>2087520</v>
      </c>
      <c r="B126" s="5" t="s">
        <v>241</v>
      </c>
      <c r="C126" s="5" t="s">
        <v>242</v>
      </c>
      <c r="D126" s="6" t="s">
        <v>124</v>
      </c>
      <c r="E126" s="6" t="s">
        <v>243</v>
      </c>
      <c r="F126" s="6" t="s">
        <v>125</v>
      </c>
      <c r="G126" s="6">
        <v>-4</v>
      </c>
      <c r="H126" s="7">
        <v>-2</v>
      </c>
      <c r="I126" s="6">
        <v>168</v>
      </c>
      <c r="J126" s="8">
        <f>+VLOOKUP(Tabla1[[#This Row],[CODE ERP]],[1]!Tabla1[[#Data],[#Totals],[SKU]:[Costo CD]],3,0)</f>
        <v>139.11000000000001</v>
      </c>
      <c r="K126" s="8">
        <f>+Tabla1[[#This Row],[COSTO,U]]*Tabla1[[#This Row],[UNIDADES]]</f>
        <v>-556.44000000000005</v>
      </c>
      <c r="L126" s="6" t="s">
        <v>10</v>
      </c>
    </row>
    <row r="127" spans="1:12" ht="28.8" customHeight="1">
      <c r="A127" s="4">
        <v>75973</v>
      </c>
      <c r="B127" s="5" t="s">
        <v>398</v>
      </c>
      <c r="C127" s="5" t="s">
        <v>399</v>
      </c>
      <c r="D127" s="6" t="s">
        <v>309</v>
      </c>
      <c r="E127" s="6" t="s">
        <v>400</v>
      </c>
      <c r="F127" s="6" t="s">
        <v>401</v>
      </c>
      <c r="G127" s="6">
        <v>-24</v>
      </c>
      <c r="H127" s="7">
        <v>-1</v>
      </c>
      <c r="I127" s="6">
        <v>288</v>
      </c>
      <c r="J127" s="8">
        <f>+VLOOKUP(Tabla1[[#This Row],[CODE ERP]],[1]!Tabla1[[#Data],[#Totals],[SKU]:[Costo CD]],3,0)</f>
        <v>22.56</v>
      </c>
      <c r="K127" s="8">
        <f>+Tabla1[[#This Row],[COSTO,U]]*Tabla1[[#This Row],[UNIDADES]]</f>
        <v>-541.43999999999994</v>
      </c>
      <c r="L127" s="6" t="s">
        <v>10</v>
      </c>
    </row>
    <row r="128" spans="1:12" ht="28.8" customHeight="1">
      <c r="A128" s="4">
        <v>9769</v>
      </c>
      <c r="B128" s="5" t="s">
        <v>34</v>
      </c>
      <c r="C128" s="5" t="s">
        <v>35</v>
      </c>
      <c r="D128" s="6" t="s">
        <v>17</v>
      </c>
      <c r="E128" s="6" t="s">
        <v>36</v>
      </c>
      <c r="F128" s="6" t="s">
        <v>37</v>
      </c>
      <c r="G128" s="6">
        <v>-24</v>
      </c>
      <c r="H128" s="7">
        <v>-2</v>
      </c>
      <c r="I128" s="6">
        <v>60</v>
      </c>
      <c r="J128" s="8">
        <f>+VLOOKUP(Tabla1[[#This Row],[CODE ERP]],[1]!Tabla1[[#Data],[#Totals],[SKU]:[Costo CD]],3,0)</f>
        <v>22.1</v>
      </c>
      <c r="K128" s="8">
        <f>+Tabla1[[#This Row],[COSTO,U]]*Tabla1[[#This Row],[UNIDADES]]</f>
        <v>-530.40000000000009</v>
      </c>
      <c r="L128" s="6" t="s">
        <v>10</v>
      </c>
    </row>
    <row r="129" spans="1:12" ht="28.8" customHeight="1">
      <c r="A129" s="4">
        <v>2074801</v>
      </c>
      <c r="B129" s="5" t="s">
        <v>382</v>
      </c>
      <c r="C129" s="5" t="s">
        <v>381</v>
      </c>
      <c r="D129" s="6" t="s">
        <v>327</v>
      </c>
      <c r="E129" s="6" t="s">
        <v>383</v>
      </c>
      <c r="F129" s="6" t="s">
        <v>384</v>
      </c>
      <c r="G129" s="6">
        <v>-288</v>
      </c>
      <c r="H129" s="7">
        <v>-2</v>
      </c>
      <c r="I129" s="6">
        <v>576</v>
      </c>
      <c r="J129" s="8">
        <f>+VLOOKUP(Tabla1[[#This Row],[CODE ERP]],[1]!Tabla1[[#Data],[#Totals],[SKU]:[Costo CD]],3,0)</f>
        <v>1.84</v>
      </c>
      <c r="K129" s="8">
        <f>+Tabla1[[#This Row],[COSTO,U]]*Tabla1[[#This Row],[UNIDADES]]</f>
        <v>-529.92000000000007</v>
      </c>
      <c r="L129" s="6" t="s">
        <v>10</v>
      </c>
    </row>
    <row r="130" spans="1:12" ht="28.8" customHeight="1">
      <c r="A130" s="4">
        <v>2074801</v>
      </c>
      <c r="B130" s="5" t="s">
        <v>382</v>
      </c>
      <c r="C130" s="5" t="s">
        <v>381</v>
      </c>
      <c r="D130" s="6" t="s">
        <v>327</v>
      </c>
      <c r="E130" s="6" t="s">
        <v>383</v>
      </c>
      <c r="F130" s="6" t="s">
        <v>384</v>
      </c>
      <c r="G130" s="6">
        <v>-288</v>
      </c>
      <c r="H130" s="7">
        <v>-2</v>
      </c>
      <c r="I130" s="6">
        <v>576</v>
      </c>
      <c r="J130" s="8">
        <f>+VLOOKUP(Tabla1[[#This Row],[CODE ERP]],[1]!Tabla1[[#Data],[#Totals],[SKU]:[Costo CD]],3,0)</f>
        <v>1.84</v>
      </c>
      <c r="K130" s="8">
        <f>+Tabla1[[#This Row],[COSTO,U]]*Tabla1[[#This Row],[UNIDADES]]</f>
        <v>-529.92000000000007</v>
      </c>
      <c r="L130" s="6" t="s">
        <v>10</v>
      </c>
    </row>
    <row r="131" spans="1:12" ht="28.8" customHeight="1">
      <c r="A131" s="4">
        <v>2016860</v>
      </c>
      <c r="B131" s="5" t="s">
        <v>157</v>
      </c>
      <c r="C131" s="5" t="s">
        <v>158</v>
      </c>
      <c r="D131" s="6" t="s">
        <v>152</v>
      </c>
      <c r="E131" s="6" t="s">
        <v>159</v>
      </c>
      <c r="F131" s="6" t="s">
        <v>160</v>
      </c>
      <c r="G131" s="6">
        <v>-36</v>
      </c>
      <c r="H131" s="7">
        <v>-1</v>
      </c>
      <c r="I131" s="6">
        <v>0</v>
      </c>
      <c r="J131" s="8">
        <f>+VLOOKUP(Tabla1[[#This Row],[CODE ERP]],[1]!Tabla1[[#Data],[#Totals],[SKU]:[Costo CD]],3,0)</f>
        <v>14.68</v>
      </c>
      <c r="K131" s="8">
        <f>+Tabla1[[#This Row],[COSTO,U]]*Tabla1[[#This Row],[UNIDADES]]</f>
        <v>-528.48</v>
      </c>
      <c r="L131" s="6" t="s">
        <v>10</v>
      </c>
    </row>
    <row r="132" spans="1:12" ht="28.8" customHeight="1">
      <c r="A132" s="4">
        <v>2068549</v>
      </c>
      <c r="B132" s="5" t="s">
        <v>541</v>
      </c>
      <c r="C132" s="5" t="s">
        <v>542</v>
      </c>
      <c r="D132" s="6" t="s">
        <v>486</v>
      </c>
      <c r="E132" s="6" t="s">
        <v>543</v>
      </c>
      <c r="F132" s="6" t="s">
        <v>544</v>
      </c>
      <c r="G132" s="6">
        <v>-6</v>
      </c>
      <c r="H132" s="7">
        <v>-3</v>
      </c>
      <c r="I132" s="6">
        <v>286</v>
      </c>
      <c r="J132" s="8">
        <f>+VLOOKUP(Tabla1[[#This Row],[CODE ERP]],[1]!Tabla1[[#Data],[#Totals],[SKU]:[Costo CD]],3,0)</f>
        <v>86.92</v>
      </c>
      <c r="K132" s="8">
        <f>+Tabla1[[#This Row],[COSTO,U]]*Tabla1[[#This Row],[UNIDADES]]</f>
        <v>-521.52</v>
      </c>
      <c r="L132" s="6" t="s">
        <v>10</v>
      </c>
    </row>
    <row r="133" spans="1:12" ht="28.8" customHeight="1">
      <c r="A133" s="4">
        <v>76448</v>
      </c>
      <c r="B133" s="5" t="s">
        <v>100</v>
      </c>
      <c r="C133" s="5" t="s">
        <v>101</v>
      </c>
      <c r="D133" s="6" t="s">
        <v>76</v>
      </c>
      <c r="E133" s="6" t="s">
        <v>102</v>
      </c>
      <c r="F133" s="6" t="s">
        <v>103</v>
      </c>
      <c r="G133" s="6">
        <v>-60</v>
      </c>
      <c r="H133" s="7">
        <v>-2</v>
      </c>
      <c r="I133" s="6">
        <v>780</v>
      </c>
      <c r="J133" s="8">
        <f>+VLOOKUP(Tabla1[[#This Row],[CODE ERP]],[1]!Tabla1[[#Data],[#Totals],[SKU]:[Costo CD]],3,0)</f>
        <v>8.66</v>
      </c>
      <c r="K133" s="8">
        <f>+Tabla1[[#This Row],[COSTO,U]]*Tabla1[[#This Row],[UNIDADES]]</f>
        <v>-519.6</v>
      </c>
      <c r="L133" s="6" t="s">
        <v>10</v>
      </c>
    </row>
    <row r="134" spans="1:12" ht="28.8" customHeight="1">
      <c r="A134" s="4">
        <v>117345</v>
      </c>
      <c r="B134" s="5" t="s">
        <v>265</v>
      </c>
      <c r="C134" s="5" t="s">
        <v>266</v>
      </c>
      <c r="D134" s="6" t="s">
        <v>135</v>
      </c>
      <c r="E134" s="6" t="s">
        <v>267</v>
      </c>
      <c r="F134" s="6" t="s">
        <v>268</v>
      </c>
      <c r="G134" s="6">
        <v>-24</v>
      </c>
      <c r="H134" s="7">
        <v>-2</v>
      </c>
      <c r="I134" s="6">
        <v>576</v>
      </c>
      <c r="J134" s="8">
        <f>+VLOOKUP(Tabla1[[#This Row],[CODE ERP]],[1]!Tabla1[[#Data],[#Totals],[SKU]:[Costo CD]],3,0)</f>
        <v>21.43</v>
      </c>
      <c r="K134" s="8">
        <f>+Tabla1[[#This Row],[COSTO,U]]*Tabla1[[#This Row],[UNIDADES]]</f>
        <v>-514.31999999999994</v>
      </c>
      <c r="L134" s="6" t="s">
        <v>10</v>
      </c>
    </row>
    <row r="135" spans="1:12" ht="28.8" customHeight="1">
      <c r="A135" s="4">
        <v>83719</v>
      </c>
      <c r="B135" s="5" t="s">
        <v>209</v>
      </c>
      <c r="C135" s="5" t="s">
        <v>210</v>
      </c>
      <c r="D135" s="6" t="s">
        <v>85</v>
      </c>
      <c r="E135" s="6" t="s">
        <v>211</v>
      </c>
      <c r="F135" s="6" t="s">
        <v>212</v>
      </c>
      <c r="G135" s="6">
        <v>-48</v>
      </c>
      <c r="H135" s="7">
        <v>-2</v>
      </c>
      <c r="I135" s="6">
        <v>720</v>
      </c>
      <c r="J135" s="8">
        <f>+VLOOKUP(Tabla1[[#This Row],[CODE ERP]],[1]!Tabla1[[#Data],[#Totals],[SKU]:[Costo CD]],3,0)</f>
        <v>10.71</v>
      </c>
      <c r="K135" s="8">
        <f>+Tabla1[[#This Row],[COSTO,U]]*Tabla1[[#This Row],[UNIDADES]]</f>
        <v>-514.08000000000004</v>
      </c>
      <c r="L135" s="6" t="s">
        <v>10</v>
      </c>
    </row>
    <row r="136" spans="1:12" ht="28.8" customHeight="1">
      <c r="A136" s="4">
        <v>2087507</v>
      </c>
      <c r="B136" s="5" t="s">
        <v>169</v>
      </c>
      <c r="C136" s="5" t="s">
        <v>170</v>
      </c>
      <c r="D136" s="6" t="s">
        <v>82</v>
      </c>
      <c r="E136" s="6" t="s">
        <v>171</v>
      </c>
      <c r="F136" s="6" t="s">
        <v>172</v>
      </c>
      <c r="G136" s="6">
        <v>-4</v>
      </c>
      <c r="H136" s="7">
        <v>-1</v>
      </c>
      <c r="I136" s="6">
        <v>132</v>
      </c>
      <c r="J136" s="8">
        <f>+VLOOKUP(Tabla1[[#This Row],[CODE ERP]],[1]!Tabla1[[#Data],[#Totals],[SKU]:[Costo CD]],3,0)</f>
        <v>128.13</v>
      </c>
      <c r="K136" s="8">
        <f>+Tabla1[[#This Row],[COSTO,U]]*Tabla1[[#This Row],[UNIDADES]]</f>
        <v>-512.52</v>
      </c>
      <c r="L136" s="6" t="s">
        <v>10</v>
      </c>
    </row>
    <row r="137" spans="1:12" ht="28.8" customHeight="1">
      <c r="A137" s="4">
        <v>822</v>
      </c>
      <c r="B137" s="5" t="s">
        <v>50</v>
      </c>
      <c r="C137" s="5" t="s">
        <v>51</v>
      </c>
      <c r="D137" s="6" t="s">
        <v>17</v>
      </c>
      <c r="E137" s="6" t="s">
        <v>52</v>
      </c>
      <c r="F137" s="6" t="s">
        <v>53</v>
      </c>
      <c r="G137" s="6">
        <v>-48</v>
      </c>
      <c r="H137" s="7">
        <v>-1</v>
      </c>
      <c r="I137" s="6">
        <v>24240</v>
      </c>
      <c r="J137" s="8">
        <f>+VLOOKUP(Tabla1[[#This Row],[CODE ERP]],[1]!Tabla1[[#Data],[#Totals],[SKU]:[Costo CD]],3,0)</f>
        <v>10.62</v>
      </c>
      <c r="K137" s="8">
        <f>+Tabla1[[#This Row],[COSTO,U]]*Tabla1[[#This Row],[UNIDADES]]</f>
        <v>-509.76</v>
      </c>
      <c r="L137" s="6" t="s">
        <v>10</v>
      </c>
    </row>
    <row r="138" spans="1:12" ht="28.8" customHeight="1">
      <c r="A138" s="4">
        <v>822</v>
      </c>
      <c r="B138" s="5" t="s">
        <v>50</v>
      </c>
      <c r="C138" s="5" t="s">
        <v>51</v>
      </c>
      <c r="D138" s="6" t="s">
        <v>17</v>
      </c>
      <c r="E138" s="6" t="s">
        <v>52</v>
      </c>
      <c r="F138" s="6" t="s">
        <v>53</v>
      </c>
      <c r="G138" s="6">
        <v>-48</v>
      </c>
      <c r="H138" s="7">
        <v>-1</v>
      </c>
      <c r="I138" s="6">
        <v>24240</v>
      </c>
      <c r="J138" s="8">
        <f>+VLOOKUP(Tabla1[[#This Row],[CODE ERP]],[1]!Tabla1[[#Data],[#Totals],[SKU]:[Costo CD]],3,0)</f>
        <v>10.62</v>
      </c>
      <c r="K138" s="8">
        <f>+Tabla1[[#This Row],[COSTO,U]]*Tabla1[[#This Row],[UNIDADES]]</f>
        <v>-509.76</v>
      </c>
      <c r="L138" s="6" t="s">
        <v>10</v>
      </c>
    </row>
    <row r="139" spans="1:12" ht="28.8" customHeight="1">
      <c r="A139" s="4">
        <v>2055765</v>
      </c>
      <c r="B139" s="5" t="s">
        <v>593</v>
      </c>
      <c r="C139" s="5" t="s">
        <v>594</v>
      </c>
      <c r="D139" s="6" t="s">
        <v>17</v>
      </c>
      <c r="E139" s="6" t="s">
        <v>595</v>
      </c>
      <c r="F139" s="6" t="s">
        <v>596</v>
      </c>
      <c r="G139" s="6">
        <v>-24</v>
      </c>
      <c r="H139" s="7">
        <v>-1</v>
      </c>
      <c r="I139" s="6">
        <v>96</v>
      </c>
      <c r="J139" s="8">
        <f>+VLOOKUP(Tabla1[[#This Row],[CODE ERP]],[1]!Tabla1[[#Data],[#Totals],[SKU]:[Costo CD]],3,0)</f>
        <v>21.11</v>
      </c>
      <c r="K139" s="8">
        <f>+Tabla1[[#This Row],[COSTO,U]]*Tabla1[[#This Row],[UNIDADES]]</f>
        <v>-506.64</v>
      </c>
      <c r="L139" s="6" t="s">
        <v>10</v>
      </c>
    </row>
    <row r="140" spans="1:12" ht="28.8" customHeight="1">
      <c r="A140" s="4">
        <v>2082096</v>
      </c>
      <c r="B140" s="5" t="s">
        <v>513</v>
      </c>
      <c r="C140" s="5" t="s">
        <v>528</v>
      </c>
      <c r="D140" s="6" t="s">
        <v>481</v>
      </c>
      <c r="E140" s="6" t="s">
        <v>529</v>
      </c>
      <c r="F140" s="6" t="s">
        <v>530</v>
      </c>
      <c r="G140" s="6">
        <v>-12</v>
      </c>
      <c r="H140" s="7">
        <v>-1</v>
      </c>
      <c r="I140" s="6">
        <v>612</v>
      </c>
      <c r="J140" s="8">
        <f>+VLOOKUP(Tabla1[[#This Row],[CODE ERP]],[1]!Tabla1[[#Data],[#Totals],[SKU]:[Costo CD]],3,0)</f>
        <v>42.21</v>
      </c>
      <c r="K140" s="8">
        <f>+Tabla1[[#This Row],[COSTO,U]]*Tabla1[[#This Row],[UNIDADES]]</f>
        <v>-506.52</v>
      </c>
      <c r="L140" s="6" t="s">
        <v>10</v>
      </c>
    </row>
    <row r="141" spans="1:12" ht="28.8" customHeight="1">
      <c r="A141" s="4">
        <v>104533</v>
      </c>
      <c r="B141" s="5" t="s">
        <v>523</v>
      </c>
      <c r="C141" s="5" t="s">
        <v>524</v>
      </c>
      <c r="D141" s="6" t="s">
        <v>475</v>
      </c>
      <c r="E141" s="6" t="s">
        <v>525</v>
      </c>
      <c r="F141" s="6" t="s">
        <v>526</v>
      </c>
      <c r="G141" s="6">
        <v>-100</v>
      </c>
      <c r="H141" s="7">
        <v>-2</v>
      </c>
      <c r="I141" s="6">
        <v>1150</v>
      </c>
      <c r="J141" s="8">
        <f>+VLOOKUP(Tabla1[[#This Row],[CODE ERP]],[1]!Tabla1[[#Data],[#Totals],[SKU]:[Costo CD]],3,0)</f>
        <v>5.04</v>
      </c>
      <c r="K141" s="8">
        <f>+Tabla1[[#This Row],[COSTO,U]]*Tabla1[[#This Row],[UNIDADES]]</f>
        <v>-504</v>
      </c>
      <c r="L141" s="6" t="s">
        <v>10</v>
      </c>
    </row>
    <row r="142" spans="1:12" ht="28.8" customHeight="1">
      <c r="A142" s="4">
        <v>42438</v>
      </c>
      <c r="B142" s="5" t="s">
        <v>176</v>
      </c>
      <c r="C142" s="5" t="s">
        <v>578</v>
      </c>
      <c r="D142" s="6" t="s">
        <v>38</v>
      </c>
      <c r="E142" s="6" t="s">
        <v>177</v>
      </c>
      <c r="F142" s="6" t="s">
        <v>178</v>
      </c>
      <c r="G142" s="6">
        <v>-100</v>
      </c>
      <c r="H142" s="7">
        <v>-2</v>
      </c>
      <c r="I142" s="6">
        <v>4600</v>
      </c>
      <c r="J142" s="8">
        <f>+VLOOKUP(Tabla1[[#This Row],[CODE ERP]],[1]!Tabla1[[#Data],[#Totals],[SKU]:[Costo CD]],3,0)</f>
        <v>5.04</v>
      </c>
      <c r="K142" s="8">
        <f>+Tabla1[[#This Row],[COSTO,U]]*Tabla1[[#This Row],[UNIDADES]]</f>
        <v>-504</v>
      </c>
      <c r="L142" s="6" t="s">
        <v>10</v>
      </c>
    </row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52E7536-3034-488C-B899-F85E27FE71F0}"/>
</file>

<file path=customXml/itemProps2.xml><?xml version="1.0" encoding="utf-8"?>
<ds:datastoreItem xmlns:ds="http://schemas.openxmlformats.org/officeDocument/2006/customXml" ds:itemID="{A4FD157C-212D-4846-ABB5-AE9997E17DFB}"/>
</file>

<file path=customXml/itemProps3.xml><?xml version="1.0" encoding="utf-8"?>
<ds:datastoreItem xmlns:ds="http://schemas.openxmlformats.org/officeDocument/2006/customXml" ds:itemID="{022A530E-EB6D-4677-9E83-AD657676B7FF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 Multiclientes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Armando Morales Baten</dc:creator>
  <cp:lastModifiedBy>Hugo Armando Morales Baten</cp:lastModifiedBy>
  <dcterms:created xsi:type="dcterms:W3CDTF">2026-10-22T16:54:15Z</dcterms:created>
  <dcterms:modified xsi:type="dcterms:W3CDTF">2026-10-22T16:54:22Z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