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4-10-2026/"/>
    </mc:Choice>
  </mc:AlternateContent>
  <xr:revisionPtr revIDLastSave="2" documentId="8_{0A5759DD-6F9A-4EFE-82E7-9F9BC1F02453}" xr6:coauthVersionLast="47" xr6:coauthVersionMax="47" xr10:uidLastSave="{129F13F6-7E32-4069-8C68-DC4FDB891579}"/>
  <bookViews>
    <workbookView xWindow="-108" yWindow="-108" windowWidth="23256" windowHeight="13896" activeTab="1" xr2:uid="{00000000-000D-0000-FFFF-FFFF00000000}"/>
  </bookViews>
  <sheets>
    <sheet name="Hoja1" sheetId="2" r:id="rId1"/>
    <sheet name="TIENDAS 14-10-2026" sheetId="1" r:id="rId2"/>
  </sheets>
  <externalReferences>
    <externalReference r:id="rId3"/>
  </externalReferences>
  <definedNames>
    <definedName name="_xlnm._FilterDatabase" localSheetId="1" hidden="1">'TIENDAS 14-10-2026'!$A$1:$P$2990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" i="1"/>
  <c r="C3002" i="1"/>
  <c r="C2996" i="1"/>
</calcChain>
</file>

<file path=xl/sharedStrings.xml><?xml version="1.0" encoding="utf-8"?>
<sst xmlns="http://schemas.openxmlformats.org/spreadsheetml/2006/main" count="20354" uniqueCount="3301">
  <si>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</si>
  <si>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</si>
  <si>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</si>
  <si>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</si>
  <si>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</si>
  <si>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</si>
  <si>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</si>
  <si>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</si>
  <si>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</si>
  <si>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</si>
  <si>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</si>
  <si>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</si>
  <si>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/>
  </si>
  <si>
    <t>000000000209652799</t>
  </si>
  <si>
    <t>280</t>
  </si>
  <si>
    <t>LA TORRE SALCAJA</t>
  </si>
  <si>
    <t>CAJA</t>
  </si>
  <si>
    <t>PENDIENTE APROBACION  ENVIO TMS</t>
  </si>
  <si>
    <t>000000000209652812</t>
  </si>
  <si>
    <t>47</t>
  </si>
  <si>
    <t>LA TORRE CHIQUIMULA</t>
  </si>
  <si>
    <t>000000001209653753</t>
  </si>
  <si>
    <t>000000001209653752</t>
  </si>
  <si>
    <t>000000001209653754</t>
  </si>
  <si>
    <t>000000001209653748</t>
  </si>
  <si>
    <t>000000001209653742</t>
  </si>
  <si>
    <t>000000008209653743</t>
  </si>
  <si>
    <t>UNIDAD</t>
  </si>
  <si>
    <t>000000001209653746</t>
  </si>
  <si>
    <t>PACK</t>
  </si>
  <si>
    <t>000000001209653755</t>
  </si>
  <si>
    <t>000000001209653749</t>
  </si>
  <si>
    <t>000000001209653747</t>
  </si>
  <si>
    <t>000000008209653739</t>
  </si>
  <si>
    <t>000000008209653741</t>
  </si>
  <si>
    <t>000000008209653744</t>
  </si>
  <si>
    <t>000000008209653745</t>
  </si>
  <si>
    <t>000000001209653750</t>
  </si>
  <si>
    <t>000000008209653740</t>
  </si>
  <si>
    <t>000000001209653751</t>
  </si>
  <si>
    <t>000000001209655356</t>
  </si>
  <si>
    <t>000000001209655353</t>
  </si>
  <si>
    <t>000000008209655358</t>
  </si>
  <si>
    <t>000000008209655348</t>
  </si>
  <si>
    <t>000000001209655354</t>
  </si>
  <si>
    <t>000000001209655357</t>
  </si>
  <si>
    <t>000000008209655347</t>
  </si>
  <si>
    <t>000000008209655349</t>
  </si>
  <si>
    <t>000000001209655359</t>
  </si>
  <si>
    <t>000000008209655346</t>
  </si>
  <si>
    <t>000000001209655352</t>
  </si>
  <si>
    <t>000000001209655351</t>
  </si>
  <si>
    <t>000000008209655345</t>
  </si>
  <si>
    <t>000000001209655355</t>
  </si>
  <si>
    <t>000000001209655350</t>
  </si>
  <si>
    <t>000000008209657723</t>
  </si>
  <si>
    <t>000000001209657727</t>
  </si>
  <si>
    <t>000000001209657728</t>
  </si>
  <si>
    <t>000000001209657735</t>
  </si>
  <si>
    <t>000000001209657729</t>
  </si>
  <si>
    <t>000000001209657736</t>
  </si>
  <si>
    <t>000000001209657738</t>
  </si>
  <si>
    <t>000000001209657730</t>
  </si>
  <si>
    <t>000000001209657731</t>
  </si>
  <si>
    <t>000000008209657734</t>
  </si>
  <si>
    <t>000000001209657737</t>
  </si>
  <si>
    <t>000000008209657722</t>
  </si>
  <si>
    <t>000000008209657725</t>
  </si>
  <si>
    <t>000000008209657733</t>
  </si>
  <si>
    <t>000000008209657724</t>
  </si>
  <si>
    <t>000000001209657732</t>
  </si>
  <si>
    <t>000000008209660925</t>
  </si>
  <si>
    <t>000000008209660920</t>
  </si>
  <si>
    <t>000000001209660926</t>
  </si>
  <si>
    <t>000000001209660930</t>
  </si>
  <si>
    <t>000000001209660931</t>
  </si>
  <si>
    <t>000000008209660924</t>
  </si>
  <si>
    <t>000000001209660928</t>
  </si>
  <si>
    <t>000000001209660932</t>
  </si>
  <si>
    <t>000000008209660921</t>
  </si>
  <si>
    <t>000000008209660923</t>
  </si>
  <si>
    <t>000000008209660919</t>
  </si>
  <si>
    <t>000000001209660927</t>
  </si>
  <si>
    <t>000000001209660929</t>
  </si>
  <si>
    <t>000000001209660934</t>
  </si>
  <si>
    <t>000000001209660935</t>
  </si>
  <si>
    <t>000000008209660922</t>
  </si>
  <si>
    <t>000000001209660933</t>
  </si>
  <si>
    <t>LA TORRE COATEPEQUE 2</t>
  </si>
  <si>
    <t>000000000209662425</t>
  </si>
  <si>
    <t>000000000209662725</t>
  </si>
  <si>
    <t>000000000209662816</t>
  </si>
  <si>
    <t>000000000209662818</t>
  </si>
  <si>
    <t>123</t>
  </si>
  <si>
    <t>LA TORRE ZACAPA</t>
  </si>
  <si>
    <t>000000000209663196</t>
  </si>
  <si>
    <t>000000000209663182</t>
  </si>
  <si>
    <t>000000000209663764</t>
  </si>
  <si>
    <t>000000000209663749</t>
  </si>
  <si>
    <t>000000000209664061</t>
  </si>
  <si>
    <t>000000000209664115</t>
  </si>
  <si>
    <t>000000000209663924</t>
  </si>
  <si>
    <t>000000000209663977</t>
  </si>
  <si>
    <t>000000000209664021</t>
  </si>
  <si>
    <t>000000008209665303</t>
  </si>
  <si>
    <t>000000001209665315</t>
  </si>
  <si>
    <t>000000001209665316</t>
  </si>
  <si>
    <t>000000001209665308</t>
  </si>
  <si>
    <t>000000008209665304</t>
  </si>
  <si>
    <t>000000001209665317</t>
  </si>
  <si>
    <t>000000008209665302</t>
  </si>
  <si>
    <t>000000001209665307</t>
  </si>
  <si>
    <t>000000001209665312</t>
  </si>
  <si>
    <t>000000008209665301</t>
  </si>
  <si>
    <t>000000001209665310</t>
  </si>
  <si>
    <t>000000001209665313</t>
  </si>
  <si>
    <t>000000008209665305</t>
  </si>
  <si>
    <t>000000008209665306</t>
  </si>
  <si>
    <t>000000001209665309</t>
  </si>
  <si>
    <t>000000001209665311</t>
  </si>
  <si>
    <t>000000001209665314</t>
  </si>
  <si>
    <t>000000001209666397</t>
  </si>
  <si>
    <t>000000008209666391</t>
  </si>
  <si>
    <t>000000008209666392</t>
  </si>
  <si>
    <t>000000008209666390</t>
  </si>
  <si>
    <t>000000001209666393</t>
  </si>
  <si>
    <t>000000001209666394</t>
  </si>
  <si>
    <t>000000008209666389</t>
  </si>
  <si>
    <t>000000001209666399</t>
  </si>
  <si>
    <t>000000001209666396</t>
  </si>
  <si>
    <t>000000001209666398</t>
  </si>
  <si>
    <t>000000001209666400</t>
  </si>
  <si>
    <t>000000001209666401</t>
  </si>
  <si>
    <t>000000001209666395</t>
  </si>
  <si>
    <t>000000008209667277</t>
  </si>
  <si>
    <t>000000001209667279</t>
  </si>
  <si>
    <t>000000001209667284</t>
  </si>
  <si>
    <t>000000001209667280</t>
  </si>
  <si>
    <t>000000001209667283</t>
  </si>
  <si>
    <t>000000001209667288</t>
  </si>
  <si>
    <t>000000008209667275</t>
  </si>
  <si>
    <t>000000001209667281</t>
  </si>
  <si>
    <t>000000001209667282</t>
  </si>
  <si>
    <t>000000001209667285</t>
  </si>
  <si>
    <t>000000001209667289</t>
  </si>
  <si>
    <t>000000001209667286</t>
  </si>
  <si>
    <t>000000008209667276</t>
  </si>
  <si>
    <t>000000001209667287</t>
  </si>
  <si>
    <t>000000008209667278</t>
  </si>
  <si>
    <t>000000001209667375</t>
  </si>
  <si>
    <t>277</t>
  </si>
  <si>
    <t>LA TORRE TULAM TZU</t>
  </si>
  <si>
    <t>000000001209667382</t>
  </si>
  <si>
    <t>000000000209667600</t>
  </si>
  <si>
    <t>66</t>
  </si>
  <si>
    <t>LA TORRE METRONORTE</t>
  </si>
  <si>
    <t>000000000209667661</t>
  </si>
  <si>
    <t>224</t>
  </si>
  <si>
    <t>LA TORRE QUICHE</t>
  </si>
  <si>
    <t>000000000209667618</t>
  </si>
  <si>
    <t>91</t>
  </si>
  <si>
    <t>LA TORRE ROOSEVELT</t>
  </si>
  <si>
    <t>000000000209667668</t>
  </si>
  <si>
    <t>263</t>
  </si>
  <si>
    <t>LA TORRE ZACAPA 2</t>
  </si>
  <si>
    <t>000000000209667621</t>
  </si>
  <si>
    <t>104</t>
  </si>
  <si>
    <t>LA TORRE JOCOTENANGO</t>
  </si>
  <si>
    <t>000000000209667624</t>
  </si>
  <si>
    <t>107</t>
  </si>
  <si>
    <t>LA TORRE PANAJACHEL</t>
  </si>
  <si>
    <t>000000000209667672</t>
  </si>
  <si>
    <t>264</t>
  </si>
  <si>
    <t>LA TORRE ANTIGUA 3</t>
  </si>
  <si>
    <t>000000000209667583</t>
  </si>
  <si>
    <t>52</t>
  </si>
  <si>
    <t>LA TORRE MALACATAN</t>
  </si>
  <si>
    <t>000000000209667678</t>
  </si>
  <si>
    <t>296</t>
  </si>
  <si>
    <t>ECONOSUPER MILPAS ALTAS</t>
  </si>
  <si>
    <t>000000000209667636</t>
  </si>
  <si>
    <t>128</t>
  </si>
  <si>
    <t>LA TORRE HUEHUETENANGO</t>
  </si>
  <si>
    <t>000000000209667598</t>
  </si>
  <si>
    <t>64</t>
  </si>
  <si>
    <t>LA TORRE ARRAZOLA</t>
  </si>
  <si>
    <t>000000000209667551</t>
  </si>
  <si>
    <t>9</t>
  </si>
  <si>
    <t>LA TORRE PALMERAS</t>
  </si>
  <si>
    <t>000000000209667647</t>
  </si>
  <si>
    <t>156</t>
  </si>
  <si>
    <t>LA TORRE CHIMALTENANGO</t>
  </si>
  <si>
    <t>000000000209667557</t>
  </si>
  <si>
    <t>16</t>
  </si>
  <si>
    <t>LA TORRE SAN FRANCISCO</t>
  </si>
  <si>
    <t>000000000209667654</t>
  </si>
  <si>
    <t>205</t>
  </si>
  <si>
    <t>LA TORRE TOTONICAPAN</t>
  </si>
  <si>
    <t>000000000209667609</t>
  </si>
  <si>
    <t>82</t>
  </si>
  <si>
    <t>LA TORRE SALAMA</t>
  </si>
  <si>
    <t>000000000209667569</t>
  </si>
  <si>
    <t>36</t>
  </si>
  <si>
    <t>LA TORRE MARISCAL</t>
  </si>
  <si>
    <t>000000000209667572</t>
  </si>
  <si>
    <t>40</t>
  </si>
  <si>
    <t>LA TORRE SAN LUCAS</t>
  </si>
  <si>
    <t>000000000209667574</t>
  </si>
  <si>
    <t>43</t>
  </si>
  <si>
    <t>LA TORRE ENCINAL</t>
  </si>
  <si>
    <t>000000000209667575</t>
  </si>
  <si>
    <t>44</t>
  </si>
  <si>
    <t>LA TORRE XELA</t>
  </si>
  <si>
    <t>000000000209667623</t>
  </si>
  <si>
    <t>106</t>
  </si>
  <si>
    <t>LA TORRE GUASTATOYA</t>
  </si>
  <si>
    <t>000000000209667627</t>
  </si>
  <si>
    <t>114</t>
  </si>
  <si>
    <t>LA TORRE LA RADIAL</t>
  </si>
  <si>
    <t>000000000209667675</t>
  </si>
  <si>
    <t>281</t>
  </si>
  <si>
    <t>LA TORRE HUEHUETENANGO 2</t>
  </si>
  <si>
    <t>000000000209667586</t>
  </si>
  <si>
    <t>55</t>
  </si>
  <si>
    <t>LA TORRE MAZATENANGO</t>
  </si>
  <si>
    <t>000000000209667635</t>
  </si>
  <si>
    <t>126</t>
  </si>
  <si>
    <t>LA TORRE RIO DULCE</t>
  </si>
  <si>
    <t>000000000209667589</t>
  </si>
  <si>
    <t>58</t>
  </si>
  <si>
    <t>LA TORRE ZONA 16</t>
  </si>
  <si>
    <t>000000000209667592</t>
  </si>
  <si>
    <t>71</t>
  </si>
  <si>
    <t>LA TORRE INDEPENDENCIA</t>
  </si>
  <si>
    <t>000000000209667547</t>
  </si>
  <si>
    <t>4</t>
  </si>
  <si>
    <t>LA TORRE ZONA 11</t>
  </si>
  <si>
    <t>000000000209667645</t>
  </si>
  <si>
    <t>160</t>
  </si>
  <si>
    <t>LA TORRE MIRAFLORES</t>
  </si>
  <si>
    <t>000000000209667643</t>
  </si>
  <si>
    <t>144</t>
  </si>
  <si>
    <t>LA TORRE PETAPOLIS</t>
  </si>
  <si>
    <t>000000000209667646</t>
  </si>
  <si>
    <t>140</t>
  </si>
  <si>
    <t>LA TORRE MIXCO ZONA 1</t>
  </si>
  <si>
    <t>000000000209667650</t>
  </si>
  <si>
    <t>159</t>
  </si>
  <si>
    <t>LA TORRE ESCUINTLA 3</t>
  </si>
  <si>
    <t>000000000209667605</t>
  </si>
  <si>
    <t>75</t>
  </si>
  <si>
    <t>LA TORRE SAN JOSE PINULA 2</t>
  </si>
  <si>
    <t>000000000209667562</t>
  </si>
  <si>
    <t>29</t>
  </si>
  <si>
    <t>LA TORRE TRINIDAD</t>
  </si>
  <si>
    <t>000000000209667564</t>
  </si>
  <si>
    <t>25</t>
  </si>
  <si>
    <t>ECONOSUPER ZONA 6</t>
  </si>
  <si>
    <t>000000000209667566</t>
  </si>
  <si>
    <t>31</t>
  </si>
  <si>
    <t>ECONOSUPER LO DE FUENTES</t>
  </si>
  <si>
    <t>000000000209667616</t>
  </si>
  <si>
    <t>87</t>
  </si>
  <si>
    <t>LA TORRE POPTUN</t>
  </si>
  <si>
    <t>000000000209667620</t>
  </si>
  <si>
    <t>103</t>
  </si>
  <si>
    <t>LA TORRE PORTALES</t>
  </si>
  <si>
    <t>000000000209667573</t>
  </si>
  <si>
    <t>41</t>
  </si>
  <si>
    <t>LA TORRE TIQUISATE</t>
  </si>
  <si>
    <t>000000000209667582</t>
  </si>
  <si>
    <t>51</t>
  </si>
  <si>
    <t>LA TORRE SAN MIGUEL PETAPA</t>
  </si>
  <si>
    <t>000000000209667587</t>
  </si>
  <si>
    <t>70</t>
  </si>
  <si>
    <t>LA TORRE EL FRUTAL</t>
  </si>
  <si>
    <t>000000000209667681</t>
  </si>
  <si>
    <t>278</t>
  </si>
  <si>
    <t>LA TORRE ZONA 3</t>
  </si>
  <si>
    <t>000000000209667638</t>
  </si>
  <si>
    <t>129</t>
  </si>
  <si>
    <t>LA TORRE ZONA 13 AMERICAS</t>
  </si>
  <si>
    <t>000000000209667549</t>
  </si>
  <si>
    <t>6</t>
  </si>
  <si>
    <t>LA TORRE ZONA 15</t>
  </si>
  <si>
    <t>000000000209667607</t>
  </si>
  <si>
    <t>76</t>
  </si>
  <si>
    <t>LA TORRE EL NARANJO</t>
  </si>
  <si>
    <t>000000000209667608</t>
  </si>
  <si>
    <t>77</t>
  </si>
  <si>
    <t>LA TORRE ESCUINTLA 2</t>
  </si>
  <si>
    <t>000000000209667655</t>
  </si>
  <si>
    <t>210</t>
  </si>
  <si>
    <t>LA TORRE CIUDAD VIEJA</t>
  </si>
  <si>
    <t>000000000209667561</t>
  </si>
  <si>
    <t>28</t>
  </si>
  <si>
    <t>LA TORRE ZONA 5</t>
  </si>
  <si>
    <t>000000000209667565</t>
  </si>
  <si>
    <t>27</t>
  </si>
  <si>
    <t>ECONOSUPER NIMAJUYU</t>
  </si>
  <si>
    <t>000000000209667614</t>
  </si>
  <si>
    <t>80</t>
  </si>
  <si>
    <t>LA TORRE BARBERENA</t>
  </si>
  <si>
    <t>000000000209667626</t>
  </si>
  <si>
    <t>110</t>
  </si>
  <si>
    <t>LA TORRE LOS AMATES</t>
  </si>
  <si>
    <t>000000000209667632</t>
  </si>
  <si>
    <t>000000000209667683</t>
  </si>
  <si>
    <t>000000000209667590</t>
  </si>
  <si>
    <t>59</t>
  </si>
  <si>
    <t>LA TORRE COATEPEQUE</t>
  </si>
  <si>
    <t>000000000209667546</t>
  </si>
  <si>
    <t>3</t>
  </si>
  <si>
    <t>LA TORRE ZONA 10</t>
  </si>
  <si>
    <t>000000000209667594</t>
  </si>
  <si>
    <t>62</t>
  </si>
  <si>
    <t>LA TORRE MUXBAL</t>
  </si>
  <si>
    <t>000000000209667644</t>
  </si>
  <si>
    <t>150</t>
  </si>
  <si>
    <t>LA TORRE CENTRICO Z5</t>
  </si>
  <si>
    <t>000000000209667595</t>
  </si>
  <si>
    <t>72</t>
  </si>
  <si>
    <t>LA TORRE MADERO</t>
  </si>
  <si>
    <t>000000000209667553</t>
  </si>
  <si>
    <t>11</t>
  </si>
  <si>
    <t>LA TORRE BOCA DEL MONTE</t>
  </si>
  <si>
    <t>000000000209667554</t>
  </si>
  <si>
    <t>12</t>
  </si>
  <si>
    <t>LA TORRE PETAPA</t>
  </si>
  <si>
    <t>000000000209667601</t>
  </si>
  <si>
    <t>74</t>
  </si>
  <si>
    <t>LA TORRE SAN MARCOS</t>
  </si>
  <si>
    <t>000000000209667602</t>
  </si>
  <si>
    <t>67</t>
  </si>
  <si>
    <t>LA TORRE SANKRIS</t>
  </si>
  <si>
    <t>000000000209667648</t>
  </si>
  <si>
    <t>161</t>
  </si>
  <si>
    <t>LA TORRE SANTALU</t>
  </si>
  <si>
    <t>000000000209667606</t>
  </si>
  <si>
    <t>81</t>
  </si>
  <si>
    <t>LA TORRE SAN NICOLAS</t>
  </si>
  <si>
    <t>000000000209667610</t>
  </si>
  <si>
    <t>83</t>
  </si>
  <si>
    <t>LA TORRE PINARES</t>
  </si>
  <si>
    <t>000000000209667659</t>
  </si>
  <si>
    <t>220</t>
  </si>
  <si>
    <t>LA TORRE ANTIGUA 2</t>
  </si>
  <si>
    <t>000000000209667612</t>
  </si>
  <si>
    <t>85</t>
  </si>
  <si>
    <t>ECONO SUPER MAGNOLIA</t>
  </si>
  <si>
    <t>000000000209667660</t>
  </si>
  <si>
    <t>225</t>
  </si>
  <si>
    <t>LA TORRE OAKLAND</t>
  </si>
  <si>
    <t>000000000209667622</t>
  </si>
  <si>
    <t>105</t>
  </si>
  <si>
    <t>LA TORRE 20 CALLE</t>
  </si>
  <si>
    <t>000000000209667578</t>
  </si>
  <si>
    <t>000000000209667630</t>
  </si>
  <si>
    <t>117</t>
  </si>
  <si>
    <t>LA TORRE SAN ISIDRO</t>
  </si>
  <si>
    <t>000000000209667679</t>
  </si>
  <si>
    <t>297</t>
  </si>
  <si>
    <t>ECONOSUPER XELA</t>
  </si>
  <si>
    <t>000000000209667634</t>
  </si>
  <si>
    <t>125</t>
  </si>
  <si>
    <t>LA TORRE SAN IGNACIO</t>
  </si>
  <si>
    <t>000000000209667637</t>
  </si>
  <si>
    <t>130</t>
  </si>
  <si>
    <t>LA TORRE ZONA 4</t>
  </si>
  <si>
    <t>000000000209667640</t>
  </si>
  <si>
    <t>141</t>
  </si>
  <si>
    <t>LA TORRE FUTECA Z14</t>
  </si>
  <si>
    <t>000000000209667593</t>
  </si>
  <si>
    <t>61</t>
  </si>
  <si>
    <t>LA TORRE JALAPA</t>
  </si>
  <si>
    <t>000000000209667642</t>
  </si>
  <si>
    <t>143</t>
  </si>
  <si>
    <t>LA TORRE BARCENAS</t>
  </si>
  <si>
    <t>000000000209667599</t>
  </si>
  <si>
    <t>65</t>
  </si>
  <si>
    <t>LA TORRE JUTIAPA</t>
  </si>
  <si>
    <t>000000000209667604</t>
  </si>
  <si>
    <t>69</t>
  </si>
  <si>
    <t>LA TORRE VILLA CANALES</t>
  </si>
  <si>
    <t>000000000209667651</t>
  </si>
  <si>
    <t>196</t>
  </si>
  <si>
    <t>LA TORRE PALIN</t>
  </si>
  <si>
    <t>000000000209667611</t>
  </si>
  <si>
    <t>84</t>
  </si>
  <si>
    <t>LA TORRE SANTA LUCIA</t>
  </si>
  <si>
    <t>000000000209667568</t>
  </si>
  <si>
    <t>56</t>
  </si>
  <si>
    <t>ECONOSUPER BOULEVARD SUR</t>
  </si>
  <si>
    <t>000000000209667664</t>
  </si>
  <si>
    <t>238</t>
  </si>
  <si>
    <t>LA TORRE VILLALOBOS</t>
  </si>
  <si>
    <t>000000000209667667</t>
  </si>
  <si>
    <t>259</t>
  </si>
  <si>
    <t>LA TORRE SAN MIGUEL PETAPA 2</t>
  </si>
  <si>
    <t>000000000209667577</t>
  </si>
  <si>
    <t>46</t>
  </si>
  <si>
    <t>LA TORRE SAN RAFAEL</t>
  </si>
  <si>
    <t>000000000209667579</t>
  </si>
  <si>
    <t>48</t>
  </si>
  <si>
    <t>LA TORRE AMATITLAN</t>
  </si>
  <si>
    <t>000000000209667628</t>
  </si>
  <si>
    <t>115</t>
  </si>
  <si>
    <t>LA TORRE EL RODEO</t>
  </si>
  <si>
    <t>000000000209667677</t>
  </si>
  <si>
    <t>275</t>
  </si>
  <si>
    <t>LA TORRE MORALES</t>
  </si>
  <si>
    <t>000000000209667633</t>
  </si>
  <si>
    <t>124</t>
  </si>
  <si>
    <t>LA TORRE ATANACIO</t>
  </si>
  <si>
    <t>000000000209667548</t>
  </si>
  <si>
    <t>5</t>
  </si>
  <si>
    <t>LA TORRE ZONA 14</t>
  </si>
  <si>
    <t>000000000209667550</t>
  </si>
  <si>
    <t>7</t>
  </si>
  <si>
    <t>LA TORRE ZONA 19</t>
  </si>
  <si>
    <t>000000000209667597</t>
  </si>
  <si>
    <t>73</t>
  </si>
  <si>
    <t>LA TORRE JALAPA 2</t>
  </si>
  <si>
    <t>000000000209667649</t>
  </si>
  <si>
    <t>162</t>
  </si>
  <si>
    <t>LA TORRE MARISCAL 2</t>
  </si>
  <si>
    <t>000000000209667555</t>
  </si>
  <si>
    <t>13</t>
  </si>
  <si>
    <t>LA TORRE CENTRO</t>
  </si>
  <si>
    <t>000000000209667556</t>
  </si>
  <si>
    <t>14</t>
  </si>
  <si>
    <t>LA TORRE LA QUINTA</t>
  </si>
  <si>
    <t>000000000209667603</t>
  </si>
  <si>
    <t>68</t>
  </si>
  <si>
    <t>LA TORRE CAYALA</t>
  </si>
  <si>
    <t>000000000209667653</t>
  </si>
  <si>
    <t>204</t>
  </si>
  <si>
    <t>LA TORRE LIKIN</t>
  </si>
  <si>
    <t>000000000209667558</t>
  </si>
  <si>
    <t>17</t>
  </si>
  <si>
    <t>LA TORRE REFORMA</t>
  </si>
  <si>
    <t>000000000209667560</t>
  </si>
  <si>
    <t>26</t>
  </si>
  <si>
    <t>LA TORRE METROCENTRO</t>
  </si>
  <si>
    <t>000000000209667656</t>
  </si>
  <si>
    <t>215</t>
  </si>
  <si>
    <t>LA TORRE MITA</t>
  </si>
  <si>
    <t>000000000209667662</t>
  </si>
  <si>
    <t>228</t>
  </si>
  <si>
    <t>LT ANTIGUA 1</t>
  </si>
  <si>
    <t>000000000209667615</t>
  </si>
  <si>
    <t>88</t>
  </si>
  <si>
    <t>LA TORRE ESQUIPULAS</t>
  </si>
  <si>
    <t>000000000209667617</t>
  </si>
  <si>
    <t>89</t>
  </si>
  <si>
    <t>LA TORRE PUERTO BARRIOS</t>
  </si>
  <si>
    <t>000000000209667663</t>
  </si>
  <si>
    <t>237</t>
  </si>
  <si>
    <t>LT XELA 4</t>
  </si>
  <si>
    <t>000000000209667619</t>
  </si>
  <si>
    <t>102</t>
  </si>
  <si>
    <t>LA TORRE ESCALA</t>
  </si>
  <si>
    <t>000000000209667670</t>
  </si>
  <si>
    <t>262</t>
  </si>
  <si>
    <t>LA TORRE LINDAMAR</t>
  </si>
  <si>
    <t>000000000209667671</t>
  </si>
  <si>
    <t>249</t>
  </si>
  <si>
    <t>LA TORRE SAN BENITO</t>
  </si>
  <si>
    <t>000000000209667673</t>
  </si>
  <si>
    <t>266</t>
  </si>
  <si>
    <t>LA TORRE XELA 5</t>
  </si>
  <si>
    <t>000000000209667674</t>
  </si>
  <si>
    <t>282</t>
  </si>
  <si>
    <t>LA TORRE SANARATE</t>
  </si>
  <si>
    <t>000000000209667580</t>
  </si>
  <si>
    <t>49</t>
  </si>
  <si>
    <t>LA TORRE FRAIJANES</t>
  </si>
  <si>
    <t>000000000209667629</t>
  </si>
  <si>
    <t>116</t>
  </si>
  <si>
    <t>LA TORRE CARCHA</t>
  </si>
  <si>
    <t>000000000209667676</t>
  </si>
  <si>
    <t>000000000209667631</t>
  </si>
  <si>
    <t>118</t>
  </si>
  <si>
    <t>LA TORRE SAN JUAN</t>
  </si>
  <si>
    <t>000000000209667680</t>
  </si>
  <si>
    <t>279</t>
  </si>
  <si>
    <t>LA TORRE QUICHE 2</t>
  </si>
  <si>
    <t>000000000209667585</t>
  </si>
  <si>
    <t>54</t>
  </si>
  <si>
    <t>LA TORRE PETEN</t>
  </si>
  <si>
    <t>000000000209667682</t>
  </si>
  <si>
    <t>284</t>
  </si>
  <si>
    <t>LA TORRE LA GOMERA</t>
  </si>
  <si>
    <t>000000000209667588</t>
  </si>
  <si>
    <t>57</t>
  </si>
  <si>
    <t>LA TORRE CENTRASUR</t>
  </si>
  <si>
    <t>000000000209667641</t>
  </si>
  <si>
    <t>142</t>
  </si>
  <si>
    <t>LA TORRE CAYALA 2</t>
  </si>
  <si>
    <t>000000000209667639</t>
  </si>
  <si>
    <t>133</t>
  </si>
  <si>
    <t>LA TORRE COBAN</t>
  </si>
  <si>
    <t>000000000209667596</t>
  </si>
  <si>
    <t>63</t>
  </si>
  <si>
    <t>LA TORRE TECULUTAN</t>
  </si>
  <si>
    <t>000000000209667552</t>
  </si>
  <si>
    <t>10</t>
  </si>
  <si>
    <t>LA TORRE RETALHULEU</t>
  </si>
  <si>
    <t>000000000209667652</t>
  </si>
  <si>
    <t>195</t>
  </si>
  <si>
    <t>LT SAN JOSE PINULA 3</t>
  </si>
  <si>
    <t>000000000209667563</t>
  </si>
  <si>
    <t>22</t>
  </si>
  <si>
    <t>ECONOSUPER ZONA 2</t>
  </si>
  <si>
    <t>000000000209667559</t>
  </si>
  <si>
    <t>21</t>
  </si>
  <si>
    <t>LA TORRE SAN CRISTOBAL</t>
  </si>
  <si>
    <t>000000000209667658</t>
  </si>
  <si>
    <t>221</t>
  </si>
  <si>
    <t>LA TORRE PROCERES</t>
  </si>
  <si>
    <t>000000000209667613</t>
  </si>
  <si>
    <t>86</t>
  </si>
  <si>
    <t>LA TORRE MILPAS ALTAS</t>
  </si>
  <si>
    <t>000000000209667567</t>
  </si>
  <si>
    <t>37</t>
  </si>
  <si>
    <t>ECONOSUPER LA BRIGADA</t>
  </si>
  <si>
    <t>000000000209667665</t>
  </si>
  <si>
    <t>260</t>
  </si>
  <si>
    <t>LA TORRE VISTA HERMOSA 1</t>
  </si>
  <si>
    <t>000000000209667570</t>
  </si>
  <si>
    <t>38</t>
  </si>
  <si>
    <t>LA TORRE SAN JOSE PINULA</t>
  </si>
  <si>
    <t>000000000209667571</t>
  </si>
  <si>
    <t>39</t>
  </si>
  <si>
    <t>LA TORRE VILLA NUEVA</t>
  </si>
  <si>
    <t>000000000209667666</t>
  </si>
  <si>
    <t>258</t>
  </si>
  <si>
    <t>LA TORRE JALAPA 3</t>
  </si>
  <si>
    <t>000000000209667669</t>
  </si>
  <si>
    <t>261</t>
  </si>
  <si>
    <t>LA TORRE CUATRO CAMINOS</t>
  </si>
  <si>
    <t>000000000209667576</t>
  </si>
  <si>
    <t>45</t>
  </si>
  <si>
    <t>LA TORRE VILLA HERMOSA</t>
  </si>
  <si>
    <t>000000000209667625</t>
  </si>
  <si>
    <t>109</t>
  </si>
  <si>
    <t>LA TORRE XELA 3</t>
  </si>
  <si>
    <t>000000000209667581</t>
  </si>
  <si>
    <t>50</t>
  </si>
  <si>
    <t>LA TORRE PUERTO SAN JOSE</t>
  </si>
  <si>
    <t>000000000209667584</t>
  </si>
  <si>
    <t>53</t>
  </si>
  <si>
    <t>LA TORRE AMATITLAN2</t>
  </si>
  <si>
    <t>000000000209667591</t>
  </si>
  <si>
    <t>60</t>
  </si>
  <si>
    <t>LA TORRE CENTRANORTE</t>
  </si>
  <si>
    <t>000000000209667545</t>
  </si>
  <si>
    <t>1</t>
  </si>
  <si>
    <t>LA TORRE ZONA 2</t>
  </si>
  <si>
    <t>000000000209667856</t>
  </si>
  <si>
    <t>000000000209667863</t>
  </si>
  <si>
    <t>000000000209667814</t>
  </si>
  <si>
    <t>000000000209667868</t>
  </si>
  <si>
    <t>000000000209667871</t>
  </si>
  <si>
    <t>000000000209667825</t>
  </si>
  <si>
    <t>000000000209667881</t>
  </si>
  <si>
    <t>000000000209667882</t>
  </si>
  <si>
    <t>000000000209667895</t>
  </si>
  <si>
    <t>000000000209667899</t>
  </si>
  <si>
    <t>000000000209667911</t>
  </si>
  <si>
    <t>000000000209667799</t>
  </si>
  <si>
    <t>000000000209667801</t>
  </si>
  <si>
    <t>000000000209667802</t>
  </si>
  <si>
    <t>000000000209667806</t>
  </si>
  <si>
    <t>000000000209667860</t>
  </si>
  <si>
    <t>000000000209667807</t>
  </si>
  <si>
    <t>000000000209667809</t>
  </si>
  <si>
    <t>000000000209667810</t>
  </si>
  <si>
    <t>000000000209667819</t>
  </si>
  <si>
    <t>000000000209667821</t>
  </si>
  <si>
    <t>000000000209667875</t>
  </si>
  <si>
    <t>000000000209667829</t>
  </si>
  <si>
    <t>000000000209667910</t>
  </si>
  <si>
    <t>000000000209667912</t>
  </si>
  <si>
    <t>000000000209667846</t>
  </si>
  <si>
    <t>000000000209667915</t>
  </si>
  <si>
    <t>000000000209667798</t>
  </si>
  <si>
    <t>000000000209667859</t>
  </si>
  <si>
    <t>000000000209667812</t>
  </si>
  <si>
    <t>000000000209667865</t>
  </si>
  <si>
    <t>000000000209667866</t>
  </si>
  <si>
    <t>000000000209667877</t>
  </si>
  <si>
    <t>000000000209667827</t>
  </si>
  <si>
    <t>000000000209667886</t>
  </si>
  <si>
    <t>000000000209667893</t>
  </si>
  <si>
    <t>000000000209667901</t>
  </si>
  <si>
    <t>000000000209667907</t>
  </si>
  <si>
    <t>000000000209667840</t>
  </si>
  <si>
    <t>000000000209667916</t>
  </si>
  <si>
    <t>000000000209667795</t>
  </si>
  <si>
    <t>000000000209667796</t>
  </si>
  <si>
    <t>000000000209667847</t>
  </si>
  <si>
    <t>000000000209667917</t>
  </si>
  <si>
    <t>000000000209667797</t>
  </si>
  <si>
    <t>000000000209667850</t>
  </si>
  <si>
    <t>000000000209667800</t>
  </si>
  <si>
    <t>000000000209667804</t>
  </si>
  <si>
    <t>000000000209667793</t>
  </si>
  <si>
    <t>000000000209667869</t>
  </si>
  <si>
    <t>000000000209667874</t>
  </si>
  <si>
    <t>000000000209667880</t>
  </si>
  <si>
    <t>000000000209667826</t>
  </si>
  <si>
    <t>000000000209667891</t>
  </si>
  <si>
    <t>000000000209667892</t>
  </si>
  <si>
    <t>000000000209667831</t>
  </si>
  <si>
    <t>000000000209667832</t>
  </si>
  <si>
    <t>000000000209667898</t>
  </si>
  <si>
    <t>000000000209667835</t>
  </si>
  <si>
    <t>000000000209667841</t>
  </si>
  <si>
    <t>000000000209667842</t>
  </si>
  <si>
    <t>000000000209667909</t>
  </si>
  <si>
    <t>000000000209667918</t>
  </si>
  <si>
    <t>000000000209667849</t>
  </si>
  <si>
    <t>000000000209667857</t>
  </si>
  <si>
    <t>000000000209667864</t>
  </si>
  <si>
    <t>000000000209667873</t>
  </si>
  <si>
    <t>000000000209667876</t>
  </si>
  <si>
    <t>000000000209667824</t>
  </si>
  <si>
    <t>000000000209667879</t>
  </si>
  <si>
    <t>000000000209667883</t>
  </si>
  <si>
    <t>000000000209667888</t>
  </si>
  <si>
    <t>000000000209667889</t>
  </si>
  <si>
    <t>000000000209667830</t>
  </si>
  <si>
    <t>000000000209667834</t>
  </si>
  <si>
    <t>000000000209667897</t>
  </si>
  <si>
    <t>000000000209667908</t>
  </si>
  <si>
    <t>000000000209667844</t>
  </si>
  <si>
    <t>000000000209667919</t>
  </si>
  <si>
    <t>000000000209667920</t>
  </si>
  <si>
    <t>000000000209667851</t>
  </si>
  <si>
    <t>000000000209667852</t>
  </si>
  <si>
    <t>000000000209667853</t>
  </si>
  <si>
    <t>000000000209667808</t>
  </si>
  <si>
    <t>000000000209667791</t>
  </si>
  <si>
    <t>000000000209667867</t>
  </si>
  <si>
    <t>000000000209667820</t>
  </si>
  <si>
    <t>000000000209667823</t>
  </si>
  <si>
    <t>000000000209667885</t>
  </si>
  <si>
    <t>000000000209667887</t>
  </si>
  <si>
    <t>000000000209667890</t>
  </si>
  <si>
    <t>000000000209667833</t>
  </si>
  <si>
    <t>000000000209667900</t>
  </si>
  <si>
    <t>000000000209667903</t>
  </si>
  <si>
    <t>000000000209667836</t>
  </si>
  <si>
    <t>000000000209667904</t>
  </si>
  <si>
    <t>000000000209667858</t>
  </si>
  <si>
    <t>000000000209667805</t>
  </si>
  <si>
    <t>000000000209667811</t>
  </si>
  <si>
    <t>000000000209667815</t>
  </si>
  <si>
    <t>000000000209667816</t>
  </si>
  <si>
    <t>000000000209667884</t>
  </si>
  <si>
    <t>000000000209667828</t>
  </si>
  <si>
    <t>000000000209667838</t>
  </si>
  <si>
    <t>000000000209667902</t>
  </si>
  <si>
    <t>000000000209667906</t>
  </si>
  <si>
    <t>000000000209667913</t>
  </si>
  <si>
    <t>000000000209667914</t>
  </si>
  <si>
    <t>000000000209667794</t>
  </si>
  <si>
    <t>000000000209667845</t>
  </si>
  <si>
    <t>000000000209667854</t>
  </si>
  <si>
    <t>000000000209667861</t>
  </si>
  <si>
    <t>000000000209667862</t>
  </si>
  <si>
    <t>000000000209667792</t>
  </si>
  <si>
    <t>000000000209667870</t>
  </si>
  <si>
    <t>000000000209667817</t>
  </si>
  <si>
    <t>000000000209667872</t>
  </si>
  <si>
    <t>000000000209667818</t>
  </si>
  <si>
    <t>000000000209667822</t>
  </si>
  <si>
    <t>000000000209667894</t>
  </si>
  <si>
    <t>000000000209667896</t>
  </si>
  <si>
    <t>000000000209667837</t>
  </si>
  <si>
    <t>000000000209667839</t>
  </si>
  <si>
    <t>000000000209667905</t>
  </si>
  <si>
    <t>000000000209667843</t>
  </si>
  <si>
    <t>000000000209667848</t>
  </si>
  <si>
    <t>000000000209667855</t>
  </si>
  <si>
    <t>000000000209667803</t>
  </si>
  <si>
    <t>000000000209667878</t>
  </si>
  <si>
    <t>000000000209668041</t>
  </si>
  <si>
    <t>000000000209668044</t>
  </si>
  <si>
    <t>000000000209668048</t>
  </si>
  <si>
    <t>000000000209668052</t>
  </si>
  <si>
    <t>000000000209668056</t>
  </si>
  <si>
    <t>000000000209668062</t>
  </si>
  <si>
    <t>000000000209668063</t>
  </si>
  <si>
    <t>000000000209668064</t>
  </si>
  <si>
    <t>000000000209667995</t>
  </si>
  <si>
    <t>000000000209668078</t>
  </si>
  <si>
    <t>000000000209668012</t>
  </si>
  <si>
    <t>000000000209668031</t>
  </si>
  <si>
    <t>000000000209668060</t>
  </si>
  <si>
    <t>000000000209668065</t>
  </si>
  <si>
    <t>000000000209668067</t>
  </si>
  <si>
    <t>000000000209668076</t>
  </si>
  <si>
    <t>000000000209668010</t>
  </si>
  <si>
    <t>000000000209668033</t>
  </si>
  <si>
    <t>000000000209668035</t>
  </si>
  <si>
    <t>000000000209668049</t>
  </si>
  <si>
    <t>000000000209668050</t>
  </si>
  <si>
    <t>000000000209668057</t>
  </si>
  <si>
    <t>000000000209668068</t>
  </si>
  <si>
    <t>000000000209667997</t>
  </si>
  <si>
    <t>000000000209668072</t>
  </si>
  <si>
    <t>000000000209668000</t>
  </si>
  <si>
    <t>000000000209668002</t>
  </si>
  <si>
    <t>000000000209668006</t>
  </si>
  <si>
    <t>000000000209668013</t>
  </si>
  <si>
    <t>000000000209668016</t>
  </si>
  <si>
    <t>000000000209668018</t>
  </si>
  <si>
    <t>000000000209668021</t>
  </si>
  <si>
    <t>000000000209668022</t>
  </si>
  <si>
    <t>000000000209668032</t>
  </si>
  <si>
    <t>000000000209668042</t>
  </si>
  <si>
    <t>000000000209668043</t>
  </si>
  <si>
    <t>000000000209668045</t>
  </si>
  <si>
    <t>000000000209668046</t>
  </si>
  <si>
    <t>000000000209668053</t>
  </si>
  <si>
    <t>000000000209668070</t>
  </si>
  <si>
    <t>000000000209668071</t>
  </si>
  <si>
    <t>000000000209667998</t>
  </si>
  <si>
    <t>000000000209668017</t>
  </si>
  <si>
    <t>000000000209668019</t>
  </si>
  <si>
    <t>000000000209668023</t>
  </si>
  <si>
    <t>000000000209668036</t>
  </si>
  <si>
    <t>000000000209668038</t>
  </si>
  <si>
    <t>000000000209668039</t>
  </si>
  <si>
    <t>000000000209668047</t>
  </si>
  <si>
    <t>000000000209668058</t>
  </si>
  <si>
    <t>000000000209667996</t>
  </si>
  <si>
    <t>000000000209668077</t>
  </si>
  <si>
    <t>000000000209668081</t>
  </si>
  <si>
    <t>000000000209668005</t>
  </si>
  <si>
    <t>000000000209668008</t>
  </si>
  <si>
    <t>000000000209668014</t>
  </si>
  <si>
    <t>000000000209668024</t>
  </si>
  <si>
    <t>000000000209668027</t>
  </si>
  <si>
    <t>000000000209668029</t>
  </si>
  <si>
    <t>000000000209667993</t>
  </si>
  <si>
    <t>000000000209668074</t>
  </si>
  <si>
    <t>000000000209668079</t>
  </si>
  <si>
    <t>000000000209668082</t>
  </si>
  <si>
    <t>000000000209668004</t>
  </si>
  <si>
    <t>000000000209668009</t>
  </si>
  <si>
    <t>000000000209668011</t>
  </si>
  <si>
    <t>000000000209668026</t>
  </si>
  <si>
    <t>000000000209667994</t>
  </si>
  <si>
    <t>000000000209668059</t>
  </si>
  <si>
    <t>000000000209668061</t>
  </si>
  <si>
    <t>000000000209668069</t>
  </si>
  <si>
    <t>000000000209668073</t>
  </si>
  <si>
    <t>000000000209668080</t>
  </si>
  <si>
    <t>000000000209668007</t>
  </si>
  <si>
    <t>000000000209668020</t>
  </si>
  <si>
    <t>000000000209668028</t>
  </si>
  <si>
    <t>000000000209668030</t>
  </si>
  <si>
    <t>000000000209668034</t>
  </si>
  <si>
    <t>000000000209668040</t>
  </si>
  <si>
    <t>000000000209668037</t>
  </si>
  <si>
    <t>000000000209668051</t>
  </si>
  <si>
    <t>000000000209668055</t>
  </si>
  <si>
    <t>000000000209668066</t>
  </si>
  <si>
    <t>000000000209668075</t>
  </si>
  <si>
    <t>000000000209668003</t>
  </si>
  <si>
    <t>000000000209668015</t>
  </si>
  <si>
    <t>000000000209668025</t>
  </si>
  <si>
    <t>000000000209668146</t>
  </si>
  <si>
    <t>000000000209668178</t>
  </si>
  <si>
    <t>000000000209668169</t>
  </si>
  <si>
    <t>000000000209668171</t>
  </si>
  <si>
    <t>000000000209668120</t>
  </si>
  <si>
    <t>000000000209668150</t>
  </si>
  <si>
    <t>000000000209668127</t>
  </si>
  <si>
    <t>000000000209668130</t>
  </si>
  <si>
    <t>000000000209668194</t>
  </si>
  <si>
    <t>000000000209668236</t>
  </si>
  <si>
    <t>000000000209668140</t>
  </si>
  <si>
    <t>000000000209668198</t>
  </si>
  <si>
    <t>000000000209668174</t>
  </si>
  <si>
    <t>000000000209668144</t>
  </si>
  <si>
    <t>000000000209668176</t>
  </si>
  <si>
    <t>000000000209668158</t>
  </si>
  <si>
    <t>000000000209668128</t>
  </si>
  <si>
    <t>000000000209668162</t>
  </si>
  <si>
    <t>000000000209668137</t>
  </si>
  <si>
    <t>000000000209668226</t>
  </si>
  <si>
    <t>000000000209668189</t>
  </si>
  <si>
    <t>000000000209668234</t>
  </si>
  <si>
    <t>000000000209668199</t>
  </si>
  <si>
    <t>000000000209668208</t>
  </si>
  <si>
    <t>000000000209668135</t>
  </si>
  <si>
    <t>000000000209668166</t>
  </si>
  <si>
    <t>000000000209668116</t>
  </si>
  <si>
    <t>000000000209668118</t>
  </si>
  <si>
    <t>000000000209668138</t>
  </si>
  <si>
    <t>000000000209668142</t>
  </si>
  <si>
    <t>000000000209668143</t>
  </si>
  <si>
    <t>000000000209668183</t>
  </si>
  <si>
    <t>000000000209668225</t>
  </si>
  <si>
    <t>000000000209668188</t>
  </si>
  <si>
    <t>000000000209668191</t>
  </si>
  <si>
    <t>000000000209668200</t>
  </si>
  <si>
    <t>000000000209668220</t>
  </si>
  <si>
    <t>000000000209668139</t>
  </si>
  <si>
    <t>000000000209668148</t>
  </si>
  <si>
    <t>000000000209668165</t>
  </si>
  <si>
    <t>000000000209668121</t>
  </si>
  <si>
    <t>000000000209668122</t>
  </si>
  <si>
    <t>000000000209668131</t>
  </si>
  <si>
    <t>000000000209668184</t>
  </si>
  <si>
    <t>000000000209668185</t>
  </si>
  <si>
    <t>000000000209668227</t>
  </si>
  <si>
    <t>000000000209668190</t>
  </si>
  <si>
    <t>000000000209668229</t>
  </si>
  <si>
    <t>000000000209668231</t>
  </si>
  <si>
    <t>000000000209668195</t>
  </si>
  <si>
    <t>000000000209668201</t>
  </si>
  <si>
    <t>000000000209668215</t>
  </si>
  <si>
    <t>000000000209668221</t>
  </si>
  <si>
    <t>000000000209668222</t>
  </si>
  <si>
    <t>000000000209668173</t>
  </si>
  <si>
    <t>000000000209668145</t>
  </si>
  <si>
    <t>000000000209668152</t>
  </si>
  <si>
    <t>000000000209668115</t>
  </si>
  <si>
    <t>000000000209668167</t>
  </si>
  <si>
    <t>000000000209668170</t>
  </si>
  <si>
    <t>000000000209668117</t>
  </si>
  <si>
    <t>000000000209668132</t>
  </si>
  <si>
    <t>000000000209668133</t>
  </si>
  <si>
    <t>000000000209668182</t>
  </si>
  <si>
    <t>000000000209668223</t>
  </si>
  <si>
    <t>000000000209668232</t>
  </si>
  <si>
    <t>000000000209668233</t>
  </si>
  <si>
    <t>000000000209668235</t>
  </si>
  <si>
    <t>000000000209668203</t>
  </si>
  <si>
    <t>000000000209668206</t>
  </si>
  <si>
    <t>000000000209668207</t>
  </si>
  <si>
    <t>000000000209668212</t>
  </si>
  <si>
    <t>000000000209668214</t>
  </si>
  <si>
    <t>000000000209668151</t>
  </si>
  <si>
    <t>000000000209668163</t>
  </si>
  <si>
    <t>000000000209668168</t>
  </si>
  <si>
    <t>000000000209668172</t>
  </si>
  <si>
    <t>000000000209668119</t>
  </si>
  <si>
    <t>000000000209668179</t>
  </si>
  <si>
    <t>000000000209668123</t>
  </si>
  <si>
    <t>000000000209668156</t>
  </si>
  <si>
    <t>000000000209668125</t>
  </si>
  <si>
    <t>000000000209668129</t>
  </si>
  <si>
    <t>000000000209668224</t>
  </si>
  <si>
    <t>000000000209668202</t>
  </si>
  <si>
    <t>000000000209668211</t>
  </si>
  <si>
    <t>000000000209668213</t>
  </si>
  <si>
    <t>000000000209668216</t>
  </si>
  <si>
    <t>000000000209668217</t>
  </si>
  <si>
    <t>000000000209668218</t>
  </si>
  <si>
    <t>000000000209668219</t>
  </si>
  <si>
    <t>000000000209668134</t>
  </si>
  <si>
    <t>000000000209668147</t>
  </si>
  <si>
    <t>000000000209668141</t>
  </si>
  <si>
    <t>000000000209668155</t>
  </si>
  <si>
    <t>000000000209668153</t>
  </si>
  <si>
    <t>000000000209668161</t>
  </si>
  <si>
    <t>000000000209668159</t>
  </si>
  <si>
    <t>000000000209668124</t>
  </si>
  <si>
    <t>000000000209668164</t>
  </si>
  <si>
    <t>000000000209668126</t>
  </si>
  <si>
    <t>000000000209668230</t>
  </si>
  <si>
    <t>000000000209668192</t>
  </si>
  <si>
    <t>000000000209668193</t>
  </si>
  <si>
    <t>000000000209668196</t>
  </si>
  <si>
    <t>000000000209668209</t>
  </si>
  <si>
    <t>000000000209668210</t>
  </si>
  <si>
    <t>000000000209668136</t>
  </si>
  <si>
    <t>000000000209668149</t>
  </si>
  <si>
    <t>000000000209668175</t>
  </si>
  <si>
    <t>000000000209668177</t>
  </si>
  <si>
    <t>000000000209668154</t>
  </si>
  <si>
    <t>000000000209668160</t>
  </si>
  <si>
    <t>000000000209668157</t>
  </si>
  <si>
    <t>000000000209668181</t>
  </si>
  <si>
    <t>000000000209668228</t>
  </si>
  <si>
    <t>000000000209668197</t>
  </si>
  <si>
    <t>000000000209668204</t>
  </si>
  <si>
    <t>000000000209668205</t>
  </si>
  <si>
    <t>000000000209668262</t>
  </si>
  <si>
    <t>000000000209668277</t>
  </si>
  <si>
    <t>000000000209668264</t>
  </si>
  <si>
    <t>000000000209668274</t>
  </si>
  <si>
    <t>000000000209668353</t>
  </si>
  <si>
    <t>000000000209668275</t>
  </si>
  <si>
    <t>000000000209668281</t>
  </si>
  <si>
    <t>000000000209668340</t>
  </si>
  <si>
    <t>000000000209668341</t>
  </si>
  <si>
    <t>000000000209668342</t>
  </si>
  <si>
    <t>000000000209668250</t>
  </si>
  <si>
    <t>000000000209668301</t>
  </si>
  <si>
    <t>000000000209668294</t>
  </si>
  <si>
    <t>000000000209668302</t>
  </si>
  <si>
    <t>000000000209668303</t>
  </si>
  <si>
    <t>000000000209668313</t>
  </si>
  <si>
    <t>000000000209668319</t>
  </si>
  <si>
    <t>000000000209668366</t>
  </si>
  <si>
    <t>000000000209668329</t>
  </si>
  <si>
    <t>000000000209668272</t>
  </si>
  <si>
    <t>000000000209668330</t>
  </si>
  <si>
    <t>000000000209668334</t>
  </si>
  <si>
    <t>000000000209668276</t>
  </si>
  <si>
    <t>000000000209668285</t>
  </si>
  <si>
    <t>000000000209668249</t>
  </si>
  <si>
    <t>000000000209668253</t>
  </si>
  <si>
    <t>000000000209668296</t>
  </si>
  <si>
    <t>000000000209668297</t>
  </si>
  <si>
    <t>000000000209668306</t>
  </si>
  <si>
    <t>000000000209668317</t>
  </si>
  <si>
    <t>000000000209668323</t>
  </si>
  <si>
    <t>000000000209668363</t>
  </si>
  <si>
    <t>000000000209668273</t>
  </si>
  <si>
    <t>000000000209668278</t>
  </si>
  <si>
    <t>000000000209668354</t>
  </si>
  <si>
    <t>000000000209668339</t>
  </si>
  <si>
    <t>000000000209668346</t>
  </si>
  <si>
    <t>000000000209668348</t>
  </si>
  <si>
    <t>000000000209668288</t>
  </si>
  <si>
    <t>000000000209668309</t>
  </si>
  <si>
    <t>000000000209668311</t>
  </si>
  <si>
    <t>000000000209668318</t>
  </si>
  <si>
    <t>000000000209668362</t>
  </si>
  <si>
    <t>000000000209668352</t>
  </si>
  <si>
    <t>000000000209668355</t>
  </si>
  <si>
    <t>000000000209668280</t>
  </si>
  <si>
    <t>000000000209668357</t>
  </si>
  <si>
    <t>000000000209668245</t>
  </si>
  <si>
    <t>000000000209668266</t>
  </si>
  <si>
    <t>000000000209668247</t>
  </si>
  <si>
    <t>000000000209668251</t>
  </si>
  <si>
    <t>000000000209668289</t>
  </si>
  <si>
    <t>000000000209668290</t>
  </si>
  <si>
    <t>000000000209668255</t>
  </si>
  <si>
    <t>000000000209668291</t>
  </si>
  <si>
    <t>000000000209668259</t>
  </si>
  <si>
    <t>000000000209668316</t>
  </si>
  <si>
    <t>000000000209668326</t>
  </si>
  <si>
    <t>000000000209668335</t>
  </si>
  <si>
    <t>000000000209668350</t>
  </si>
  <si>
    <t>000000000209668351</t>
  </si>
  <si>
    <t>000000000209668267</t>
  </si>
  <si>
    <t>000000000209668268</t>
  </si>
  <si>
    <t>000000000209668269</t>
  </si>
  <si>
    <t>000000000209668284</t>
  </si>
  <si>
    <t>000000000209668286</t>
  </si>
  <si>
    <t>000000000209668293</t>
  </si>
  <si>
    <t>000000000209668299</t>
  </si>
  <si>
    <t>000000000209668307</t>
  </si>
  <si>
    <t>000000000209668308</t>
  </si>
  <si>
    <t>000000000209668359</t>
  </si>
  <si>
    <t>000000000209668361</t>
  </si>
  <si>
    <t>000000000209668328</t>
  </si>
  <si>
    <t>000000000209668261</t>
  </si>
  <si>
    <t>000000000209668331</t>
  </si>
  <si>
    <t>000000000209668265</t>
  </si>
  <si>
    <t>000000000209668349</t>
  </si>
  <si>
    <t>000000000209668279</t>
  </si>
  <si>
    <t>000000000209668336</t>
  </si>
  <si>
    <t>000000000209668246</t>
  </si>
  <si>
    <t>000000000209668248</t>
  </si>
  <si>
    <t>000000000209668345</t>
  </si>
  <si>
    <t>000000000209668283</t>
  </si>
  <si>
    <t>000000000209668347</t>
  </si>
  <si>
    <t>000000000209668258</t>
  </si>
  <si>
    <t>000000000209668298</t>
  </si>
  <si>
    <t>000000000209668315</t>
  </si>
  <si>
    <t>000000000209668320</t>
  </si>
  <si>
    <t>000000000209668321</t>
  </si>
  <si>
    <t>000000000209668322</t>
  </si>
  <si>
    <t>000000000209668324</t>
  </si>
  <si>
    <t>000000000209668327</t>
  </si>
  <si>
    <t>000000000209668325</t>
  </si>
  <si>
    <t>000000000209668356</t>
  </si>
  <si>
    <t>000000000209668282</t>
  </si>
  <si>
    <t>000000000209668337</t>
  </si>
  <si>
    <t>000000000209668271</t>
  </si>
  <si>
    <t>000000000209668254</t>
  </si>
  <si>
    <t>000000000209668256</t>
  </si>
  <si>
    <t>000000000209668292</t>
  </si>
  <si>
    <t>000000000209668295</t>
  </si>
  <si>
    <t>000000000209668304</t>
  </si>
  <si>
    <t>000000000209668314</t>
  </si>
  <si>
    <t>000000000209668360</t>
  </si>
  <si>
    <t>000000000209668364</t>
  </si>
  <si>
    <t>000000000209668365</t>
  </si>
  <si>
    <t>000000000209668368</t>
  </si>
  <si>
    <t>000000000209668263</t>
  </si>
  <si>
    <t>000000000209668332</t>
  </si>
  <si>
    <t>000000000209668333</t>
  </si>
  <si>
    <t>000000000209668358</t>
  </si>
  <si>
    <t>000000000209668338</t>
  </si>
  <si>
    <t>000000000209668270</t>
  </si>
  <si>
    <t>000000000209668343</t>
  </si>
  <si>
    <t>000000000209668344</t>
  </si>
  <si>
    <t>000000000209668287</t>
  </si>
  <si>
    <t>000000000209668257</t>
  </si>
  <si>
    <t>000000000209668260</t>
  </si>
  <si>
    <t>000000000209668300</t>
  </si>
  <si>
    <t>000000000209668305</t>
  </si>
  <si>
    <t>000000000209668310</t>
  </si>
  <si>
    <t>000000000209668312</t>
  </si>
  <si>
    <t>000000000209668367</t>
  </si>
  <si>
    <t>000000008209669181</t>
  </si>
  <si>
    <t>000000001209669186</t>
  </si>
  <si>
    <t>000000001209669253</t>
  </si>
  <si>
    <t>000000008209669254</t>
  </si>
  <si>
    <t>000000008209669237</t>
  </si>
  <si>
    <t>000000008209669241</t>
  </si>
  <si>
    <t>000000001209669170</t>
  </si>
  <si>
    <t>000000008209669177</t>
  </si>
  <si>
    <t>000000008209669255</t>
  </si>
  <si>
    <t>000000001209669256</t>
  </si>
  <si>
    <t>000000001209669210</t>
  </si>
  <si>
    <t>000000001209669193</t>
  </si>
  <si>
    <t>000000008209669205</t>
  </si>
  <si>
    <t>000000001209669222</t>
  </si>
  <si>
    <t>000000001209669246</t>
  </si>
  <si>
    <t>000000001209669226</t>
  </si>
  <si>
    <t>000000008209669238</t>
  </si>
  <si>
    <t>000000001209669172</t>
  </si>
  <si>
    <t>000000001209669213</t>
  </si>
  <si>
    <t>000000001209669189</t>
  </si>
  <si>
    <t>000000008209669202</t>
  </si>
  <si>
    <t>000000001209669252</t>
  </si>
  <si>
    <t>000000001209669228</t>
  </si>
  <si>
    <t>000000008209669240</t>
  </si>
  <si>
    <t>000000001209669211</t>
  </si>
  <si>
    <t>000000001209669174</t>
  </si>
  <si>
    <t>000000008209669203</t>
  </si>
  <si>
    <t>000000008209669206</t>
  </si>
  <si>
    <t>000000001209669260</t>
  </si>
  <si>
    <t>000000001209669247</t>
  </si>
  <si>
    <t>000000008209669221</t>
  </si>
  <si>
    <t>000000001209669245</t>
  </si>
  <si>
    <t>000000001209669224</t>
  </si>
  <si>
    <t>000000008209669165</t>
  </si>
  <si>
    <t>000000001209669171</t>
  </si>
  <si>
    <t>000000008209669190</t>
  </si>
  <si>
    <t>000000001209669192</t>
  </si>
  <si>
    <t>000000001209669209</t>
  </si>
  <si>
    <t>000000001209669182</t>
  </si>
  <si>
    <t>000000001209669249</t>
  </si>
  <si>
    <t>000000008209669166</t>
  </si>
  <si>
    <t>000000001209669212</t>
  </si>
  <si>
    <t>000000008209669167</t>
  </si>
  <si>
    <t>000000001209669184</t>
  </si>
  <si>
    <t>000000008209669204</t>
  </si>
  <si>
    <t>000000001209669215</t>
  </si>
  <si>
    <t>000000008209669220</t>
  </si>
  <si>
    <t>000000001209669227</t>
  </si>
  <si>
    <t>000000008209669239</t>
  </si>
  <si>
    <t>000000001209669243</t>
  </si>
  <si>
    <t>000000001209669244</t>
  </si>
  <si>
    <t>000000008209669332</t>
  </si>
  <si>
    <t>000000001209669384</t>
  </si>
  <si>
    <t>000000001209669340</t>
  </si>
  <si>
    <t>000000008209669361</t>
  </si>
  <si>
    <t>000000001209669381</t>
  </si>
  <si>
    <t>000000008209669407</t>
  </si>
  <si>
    <t>000000001209669409</t>
  </si>
  <si>
    <t>000000001209669324</t>
  </si>
  <si>
    <t>000000001209669335</t>
  </si>
  <si>
    <t>000000001209669339</t>
  </si>
  <si>
    <t>000000008209669366</t>
  </si>
  <si>
    <t>000000008209669376</t>
  </si>
  <si>
    <t>000000001209669408</t>
  </si>
  <si>
    <t>000000001209669276</t>
  </si>
  <si>
    <t>000000001209669278</t>
  </si>
  <si>
    <t>000000001209669282</t>
  </si>
  <si>
    <t>000000001209669322</t>
  </si>
  <si>
    <t>000000001209669323</t>
  </si>
  <si>
    <t>000000008209669272</t>
  </si>
  <si>
    <t>000000008209669333</t>
  </si>
  <si>
    <t>000000008209669378</t>
  </si>
  <si>
    <t>000000001209669411</t>
  </si>
  <si>
    <t>000000001209669415</t>
  </si>
  <si>
    <t>000000001209669277</t>
  </si>
  <si>
    <t>000000008209669271</t>
  </si>
  <si>
    <t>000000008209669331</t>
  </si>
  <si>
    <t>000000001209669338</t>
  </si>
  <si>
    <t>000000001209669343</t>
  </si>
  <si>
    <t>000000001209669327</t>
  </si>
  <si>
    <t>000000001209669307</t>
  </si>
  <si>
    <t>000000001209669314</t>
  </si>
  <si>
    <t>000000008209669303</t>
  </si>
  <si>
    <t>000000008209669318</t>
  </si>
  <si>
    <t>000000001209669285</t>
  </si>
  <si>
    <t>000000001209669289</t>
  </si>
  <si>
    <t>000000008209669404</t>
  </si>
  <si>
    <t>000000001209669385</t>
  </si>
  <si>
    <t>000000001209669341</t>
  </si>
  <si>
    <t>000000001209669383</t>
  </si>
  <si>
    <t>000000001209669326</t>
  </si>
  <si>
    <t>000000001209669412</t>
  </si>
  <si>
    <t>000000001209669280</t>
  </si>
  <si>
    <t>000000008209669319</t>
  </si>
  <si>
    <t>000000001209669328</t>
  </si>
  <si>
    <t>000000001209669382</t>
  </si>
  <si>
    <t>000000001209669374</t>
  </si>
  <si>
    <t>000000008209669406</t>
  </si>
  <si>
    <t>000000001209669416</t>
  </si>
  <si>
    <t>000000001209669279</t>
  </si>
  <si>
    <t>000000008209669316</t>
  </si>
  <si>
    <t>000000008209669317</t>
  </si>
  <si>
    <t>000000001209669336</t>
  </si>
  <si>
    <t>000000001209669399</t>
  </si>
  <si>
    <t>000000008209669375</t>
  </si>
  <si>
    <t>000000008209669377</t>
  </si>
  <si>
    <t>000000001209669379</t>
  </si>
  <si>
    <t>000000001209669417</t>
  </si>
  <si>
    <t>000000001209669413</t>
  </si>
  <si>
    <t>000000001209669414</t>
  </si>
  <si>
    <t>000000008209669275</t>
  </si>
  <si>
    <t>000000008209669301</t>
  </si>
  <si>
    <t>000000001209669320</t>
  </si>
  <si>
    <t>000000001209669284</t>
  </si>
  <si>
    <t>000000001209669286</t>
  </si>
  <si>
    <t>000000008209669273</t>
  </si>
  <si>
    <t>000000001209669334</t>
  </si>
  <si>
    <t>000000008209669274</t>
  </si>
  <si>
    <t>000000001209669337</t>
  </si>
  <si>
    <t>000000008209669403</t>
  </si>
  <si>
    <t>000000001209669342</t>
  </si>
  <si>
    <t>000000001209669367</t>
  </si>
  <si>
    <t>000000001209669346</t>
  </si>
  <si>
    <t>000000001209669386</t>
  </si>
  <si>
    <t>000000008209669405</t>
  </si>
  <si>
    <t>000000001209669310</t>
  </si>
  <si>
    <t>000000008209669315</t>
  </si>
  <si>
    <t>000000001209669321</t>
  </si>
  <si>
    <t>000000001209669535</t>
  </si>
  <si>
    <t>000000008209669479</t>
  </si>
  <si>
    <t>000000001209669486</t>
  </si>
  <si>
    <t>000000001209669547</t>
  </si>
  <si>
    <t>000000008209669490</t>
  </si>
  <si>
    <t>000000008209669481</t>
  </si>
  <si>
    <t>000000001209669499</t>
  </si>
  <si>
    <t>000000001209669429</t>
  </si>
  <si>
    <t>000000001209669485</t>
  </si>
  <si>
    <t>000000001209669501</t>
  </si>
  <si>
    <t>000000001209669487</t>
  </si>
  <si>
    <t>000000001209669503</t>
  </si>
  <si>
    <t>000000001209669432</t>
  </si>
  <si>
    <t>000000008209669544</t>
  </si>
  <si>
    <t>000000001209669505</t>
  </si>
  <si>
    <t>000000001209669551</t>
  </si>
  <si>
    <t>000000001209669507</t>
  </si>
  <si>
    <t>000000008209669493</t>
  </si>
  <si>
    <t>000000008209669530</t>
  </si>
  <si>
    <t>000000008209669418</t>
  </si>
  <si>
    <t>000000001209669502</t>
  </si>
  <si>
    <t>000000001209669431</t>
  </si>
  <si>
    <t>000000001209669488</t>
  </si>
  <si>
    <t>000000008209669421</t>
  </si>
  <si>
    <t>000000001209669534</t>
  </si>
  <si>
    <t>000000001209669428</t>
  </si>
  <si>
    <t>000000001209669500</t>
  </si>
  <si>
    <t>000000008209669491</t>
  </si>
  <si>
    <t>000000008209669492</t>
  </si>
  <si>
    <t>000000008209669494</t>
  </si>
  <si>
    <t>000000008209669495</t>
  </si>
  <si>
    <t>000000001209669496</t>
  </si>
  <si>
    <t>000000008209669532</t>
  </si>
  <si>
    <t>000000008209669423</t>
  </si>
  <si>
    <t>000000001209669424</t>
  </si>
  <si>
    <t>000000001209669536</t>
  </si>
  <si>
    <t>000000001209669482</t>
  </si>
  <si>
    <t>000000001209669473</t>
  </si>
  <si>
    <t>000000001209669430</t>
  </si>
  <si>
    <t>000000001209669484</t>
  </si>
  <si>
    <t>000000001209669546</t>
  </si>
  <si>
    <t>000000008209669497</t>
  </si>
  <si>
    <t>000000001209669472</t>
  </si>
  <si>
    <t>000000001209669498</t>
  </si>
  <si>
    <t>000000001209669433</t>
  </si>
  <si>
    <t>000000008209669533</t>
  </si>
  <si>
    <t>000000001209669425</t>
  </si>
  <si>
    <t>000000001209669427</t>
  </si>
  <si>
    <t>000000008209669480</t>
  </si>
  <si>
    <t>000000001209669483</t>
  </si>
  <si>
    <t>000000001209669543</t>
  </si>
  <si>
    <t>000000001209669504</t>
  </si>
  <si>
    <t>000000008209669545</t>
  </si>
  <si>
    <t>000000001209669489</t>
  </si>
  <si>
    <t>000000008209669467</t>
  </si>
  <si>
    <t>000000001209669508</t>
  </si>
  <si>
    <t>000000008209669531</t>
  </si>
  <si>
    <t>000000008209669419</t>
  </si>
  <si>
    <t>000000001209669426</t>
  </si>
  <si>
    <t>000000001209669471</t>
  </si>
  <si>
    <t>000000008209669478</t>
  </si>
  <si>
    <t>000000001209669537</t>
  </si>
  <si>
    <t>000000001209669548</t>
  </si>
  <si>
    <t>000000008209669466</t>
  </si>
  <si>
    <t>000000008209669420</t>
  </si>
  <si>
    <t>000000008209669422</t>
  </si>
  <si>
    <t>000000001209669632</t>
  </si>
  <si>
    <t>000000001209669566</t>
  </si>
  <si>
    <t>000000001209669568</t>
  </si>
  <si>
    <t>000000001209669569</t>
  </si>
  <si>
    <t>000000001209669571</t>
  </si>
  <si>
    <t>000000001209669574</t>
  </si>
  <si>
    <t>000000001209669621</t>
  </si>
  <si>
    <t>000000008209669558</t>
  </si>
  <si>
    <t>000000008209669583</t>
  </si>
  <si>
    <t>000000008209669585</t>
  </si>
  <si>
    <t>000000008209669586</t>
  </si>
  <si>
    <t>000000001209669597</t>
  </si>
  <si>
    <t>000000001209669591</t>
  </si>
  <si>
    <t>000000001209669622</t>
  </si>
  <si>
    <t>000000001209669598</t>
  </si>
  <si>
    <t>000000008209669618</t>
  </si>
  <si>
    <t>000000008209669562</t>
  </si>
  <si>
    <t>000000001209669589</t>
  </si>
  <si>
    <t>000000008209669616</t>
  </si>
  <si>
    <t>000000001209669578</t>
  </si>
  <si>
    <t>000000001209669579</t>
  </si>
  <si>
    <t>000000001209669596</t>
  </si>
  <si>
    <t>000000008209669584</t>
  </si>
  <si>
    <t>000000008209669587</t>
  </si>
  <si>
    <t>000000008209669588</t>
  </si>
  <si>
    <t>000000008209669628</t>
  </si>
  <si>
    <t>000000008209669629</t>
  </si>
  <si>
    <t>000000001209669580</t>
  </si>
  <si>
    <t>000000001209669563</t>
  </si>
  <si>
    <t>000000001209669592</t>
  </si>
  <si>
    <t>000000001209669626</t>
  </si>
  <si>
    <t>000000001209669633</t>
  </si>
  <si>
    <t>000000001209669595</t>
  </si>
  <si>
    <t>000000008209669573</t>
  </si>
  <si>
    <t>000000001209669620</t>
  </si>
  <si>
    <t>000000001209669590</t>
  </si>
  <si>
    <t>000000001209669594</t>
  </si>
  <si>
    <t>000000008209669560</t>
  </si>
  <si>
    <t>000000008209669561</t>
  </si>
  <si>
    <t>000000001209669593</t>
  </si>
  <si>
    <t>000000001209669631</t>
  </si>
  <si>
    <t>000000001209669567</t>
  </si>
  <si>
    <t>000000001209669624</t>
  </si>
  <si>
    <t>000000008209669572</t>
  </si>
  <si>
    <t>000000001209669623</t>
  </si>
  <si>
    <t>000000001209669649</t>
  </si>
  <si>
    <t>000000008209669738</t>
  </si>
  <si>
    <t>000000001209669745</t>
  </si>
  <si>
    <t>000000001209669746</t>
  </si>
  <si>
    <t>000000001209669701</t>
  </si>
  <si>
    <t>000000001209669661</t>
  </si>
  <si>
    <t>000000008209669680</t>
  </si>
  <si>
    <t>000000001209669752</t>
  </si>
  <si>
    <t>000000008209669643</t>
  </si>
  <si>
    <t>000000008209669741</t>
  </si>
  <si>
    <t>000000001209669653</t>
  </si>
  <si>
    <t>000000008209669713</t>
  </si>
  <si>
    <t>000000001209669748</t>
  </si>
  <si>
    <t>000000001209669695</t>
  </si>
  <si>
    <t>000000008209669739</t>
  </si>
  <si>
    <t>000000008209669743</t>
  </si>
  <si>
    <t>000000008209669656</t>
  </si>
  <si>
    <t>000000001209669669</t>
  </si>
  <si>
    <t>000000001209669694</t>
  </si>
  <si>
    <t>000000008209669714</t>
  </si>
  <si>
    <t>000000001209669716</t>
  </si>
  <si>
    <t>000000001209669717</t>
  </si>
  <si>
    <t>000000008209669742</t>
  </si>
  <si>
    <t>000000008209669677</t>
  </si>
  <si>
    <t>000000008209669678</t>
  </si>
  <si>
    <t>000000008209669744</t>
  </si>
  <si>
    <t>000000001209669747</t>
  </si>
  <si>
    <t>000000001209669662</t>
  </si>
  <si>
    <t>000000001209669751</t>
  </si>
  <si>
    <t>000000001209669687</t>
  </si>
  <si>
    <t>000000001209669753</t>
  </si>
  <si>
    <t>000000008209669693</t>
  </si>
  <si>
    <t>000000008209669711</t>
  </si>
  <si>
    <t>000000001209669720</t>
  </si>
  <si>
    <t>000000001209669721</t>
  </si>
  <si>
    <t>000000001209669685</t>
  </si>
  <si>
    <t>000000001209669691</t>
  </si>
  <si>
    <t>000000001209669692</t>
  </si>
  <si>
    <t>000000008209669710</t>
  </si>
  <si>
    <t>000000001209669650</t>
  </si>
  <si>
    <t>000000001209669697</t>
  </si>
  <si>
    <t>000000001209669665</t>
  </si>
  <si>
    <t>000000001209669718</t>
  </si>
  <si>
    <t>000000001209669719</t>
  </si>
  <si>
    <t>000000001209669755</t>
  </si>
  <si>
    <t>000000008209669681</t>
  </si>
  <si>
    <t>000000001209669749</t>
  </si>
  <si>
    <t>000000001209669750</t>
  </si>
  <si>
    <t>000000001209669683</t>
  </si>
  <si>
    <t>000000001209669686</t>
  </si>
  <si>
    <t>000000008209669712</t>
  </si>
  <si>
    <t>000000001209669715</t>
  </si>
  <si>
    <t>000000008209669740</t>
  </si>
  <si>
    <t>000000001209669652</t>
  </si>
  <si>
    <t>000000001209669722</t>
  </si>
  <si>
    <t>000000008209669655</t>
  </si>
  <si>
    <t>000000001209669725</t>
  </si>
  <si>
    <t>000000001209669934</t>
  </si>
  <si>
    <t>000000001209669813</t>
  </si>
  <si>
    <t>000000001209669816</t>
  </si>
  <si>
    <t>000000001209669823</t>
  </si>
  <si>
    <t>000000008209669795</t>
  </si>
  <si>
    <t>000000008209669928</t>
  </si>
  <si>
    <t>000000008209669929</t>
  </si>
  <si>
    <t>000000001209669855</t>
  </si>
  <si>
    <t>000000001209669910</t>
  </si>
  <si>
    <t>000000001209669913</t>
  </si>
  <si>
    <t>000000008209669926</t>
  </si>
  <si>
    <t>000000001209669879</t>
  </si>
  <si>
    <t>000000008209669845</t>
  </si>
  <si>
    <t>000000001209669791</t>
  </si>
  <si>
    <t>000000008209669786</t>
  </si>
  <si>
    <t>000000001209669799</t>
  </si>
  <si>
    <t>000000001209669854</t>
  </si>
  <si>
    <t>000000008209669899</t>
  </si>
  <si>
    <t>000000008209669872</t>
  </si>
  <si>
    <t>000000008209669874</t>
  </si>
  <si>
    <t>000000001209669877</t>
  </si>
  <si>
    <t>000000001209669889</t>
  </si>
  <si>
    <t>000000001209669938</t>
  </si>
  <si>
    <t>000000008209669941</t>
  </si>
  <si>
    <t>000000001209669812</t>
  </si>
  <si>
    <t>000000008209669844</t>
  </si>
  <si>
    <t>000000001209669804</t>
  </si>
  <si>
    <t>000000001209669815</t>
  </si>
  <si>
    <t>000000008209669784</t>
  </si>
  <si>
    <t>000000001209669792</t>
  </si>
  <si>
    <t>000000008209669794</t>
  </si>
  <si>
    <t>000000001209669802</t>
  </si>
  <si>
    <t>000000001209669850</t>
  </si>
  <si>
    <t>000000001209669852</t>
  </si>
  <si>
    <t>000000001209669853</t>
  </si>
  <si>
    <t>000000001209669880</t>
  </si>
  <si>
    <t>000000001209669936</t>
  </si>
  <si>
    <t>000000001209669935</t>
  </si>
  <si>
    <t>000000008209669942</t>
  </si>
  <si>
    <t>000000001209669811</t>
  </si>
  <si>
    <t>000000008209669819</t>
  </si>
  <si>
    <t>000000008209669820</t>
  </si>
  <si>
    <t>000000001209669824</t>
  </si>
  <si>
    <t>000000001209669826</t>
  </si>
  <si>
    <t>000000008209669796</t>
  </si>
  <si>
    <t>000000001209669809</t>
  </si>
  <si>
    <t>000000001209669848</t>
  </si>
  <si>
    <t>000000008209669897</t>
  </si>
  <si>
    <t>000000001209669904</t>
  </si>
  <si>
    <t>000000001209669949</t>
  </si>
  <si>
    <t>000000008209669846</t>
  </si>
  <si>
    <t>000000001209669822</t>
  </si>
  <si>
    <t>000000001209669825</t>
  </si>
  <si>
    <t>000000001209669801</t>
  </si>
  <si>
    <t>000000001209669858</t>
  </si>
  <si>
    <t>000000008209669912</t>
  </si>
  <si>
    <t>000000001209669878</t>
  </si>
  <si>
    <t>000000001209669939</t>
  </si>
  <si>
    <t>000000001209669803</t>
  </si>
  <si>
    <t>000000001209669814</t>
  </si>
  <si>
    <t>000000008209669806</t>
  </si>
  <si>
    <t>000000001209669821</t>
  </si>
  <si>
    <t>000000008209669797</t>
  </si>
  <si>
    <t>000000001209669788</t>
  </si>
  <si>
    <t>000000001209669800</t>
  </si>
  <si>
    <t>000000001209669831</t>
  </si>
  <si>
    <t>000000008209669808</t>
  </si>
  <si>
    <t>000000001209669810</t>
  </si>
  <si>
    <t>000000001209669882</t>
  </si>
  <si>
    <t>000000001209669907</t>
  </si>
  <si>
    <t>000000001209669909</t>
  </si>
  <si>
    <t>000000001209669884</t>
  </si>
  <si>
    <t>000000001209669915</t>
  </si>
  <si>
    <t>000000001209669914</t>
  </si>
  <si>
    <t>000000008209669900</t>
  </si>
  <si>
    <t>000000001209669943</t>
  </si>
  <si>
    <t>000000008209669843</t>
  </si>
  <si>
    <t>000000008209669817</t>
  </si>
  <si>
    <t>000000001209669798</t>
  </si>
  <si>
    <t>000000001209669883</t>
  </si>
  <si>
    <t>000000001209669849</t>
  </si>
  <si>
    <t>000000001209669851</t>
  </si>
  <si>
    <t>000000001209669885</t>
  </si>
  <si>
    <t>000000008209669911</t>
  </si>
  <si>
    <t>000000008209669875</t>
  </si>
  <si>
    <t>000000001209669937</t>
  </si>
  <si>
    <t>000000001209669940</t>
  </si>
  <si>
    <t>000000001209669947</t>
  </si>
  <si>
    <t>000000008209669805</t>
  </si>
  <si>
    <t>000000001209669827</t>
  </si>
  <si>
    <t>000000008209669818</t>
  </si>
  <si>
    <t>000000001209669829</t>
  </si>
  <si>
    <t>000000001209669807</t>
  </si>
  <si>
    <t>000000001209669906</t>
  </si>
  <si>
    <t>000000001209669881</t>
  </si>
  <si>
    <t>000000001209669916</t>
  </si>
  <si>
    <t>000000001209669902</t>
  </si>
  <si>
    <t>000000008209669898</t>
  </si>
  <si>
    <t>000000008209669925</t>
  </si>
  <si>
    <t>000000008209669873</t>
  </si>
  <si>
    <t>000000008209669876</t>
  </si>
  <si>
    <t>000000001209669905</t>
  </si>
  <si>
    <t>000000001209669933</t>
  </si>
  <si>
    <t>000000001209670039</t>
  </si>
  <si>
    <t>000000008209669989</t>
  </si>
  <si>
    <t>000000008209670063</t>
  </si>
  <si>
    <t>000000001209670001</t>
  </si>
  <si>
    <t>000000001209670066</t>
  </si>
  <si>
    <t>000000001209670080</t>
  </si>
  <si>
    <t>000000001209669972</t>
  </si>
  <si>
    <t>000000001209669976</t>
  </si>
  <si>
    <t>000000001209670070</t>
  </si>
  <si>
    <t>000000008209670090</t>
  </si>
  <si>
    <t>000000008209670092</t>
  </si>
  <si>
    <t>000000008209670060</t>
  </si>
  <si>
    <t>000000008209670062</t>
  </si>
  <si>
    <t>000000008209670017</t>
  </si>
  <si>
    <t>000000001209669990</t>
  </si>
  <si>
    <t>000000001209670109</t>
  </si>
  <si>
    <t>000000001209670078</t>
  </si>
  <si>
    <t>000000001209670031</t>
  </si>
  <si>
    <t>000000001209669967</t>
  </si>
  <si>
    <t>000000001209669998</t>
  </si>
  <si>
    <t>000000001209669968</t>
  </si>
  <si>
    <t>000000001209669999</t>
  </si>
  <si>
    <t>000000001209670103</t>
  </si>
  <si>
    <t>000000001209669970</t>
  </si>
  <si>
    <t>000000001209669988</t>
  </si>
  <si>
    <t>000000008209670019</t>
  </si>
  <si>
    <t>000000008209670020</t>
  </si>
  <si>
    <t>000000001209669991</t>
  </si>
  <si>
    <t>000000001209670097</t>
  </si>
  <si>
    <t>000000001209669975</t>
  </si>
  <si>
    <t>000000001209670030</t>
  </si>
  <si>
    <t>000000001209670100</t>
  </si>
  <si>
    <t>000000008209670018</t>
  </si>
  <si>
    <t>000000008209669983</t>
  </si>
  <si>
    <t>000000008209670064</t>
  </si>
  <si>
    <t>000000008209670021</t>
  </si>
  <si>
    <t>000000001209670110</t>
  </si>
  <si>
    <t>000000001209669992</t>
  </si>
  <si>
    <t>000000001209670025</t>
  </si>
  <si>
    <t>000000008209670096</t>
  </si>
  <si>
    <t>000000001209670026</t>
  </si>
  <si>
    <t>000000001209670027</t>
  </si>
  <si>
    <t>000000008209669960</t>
  </si>
  <si>
    <t>000000008209669961</t>
  </si>
  <si>
    <t>000000001209670028</t>
  </si>
  <si>
    <t>000000008209669962</t>
  </si>
  <si>
    <t>000000008209669974</t>
  </si>
  <si>
    <t>000000001209669965</t>
  </si>
  <si>
    <t>000000001209669997</t>
  </si>
  <si>
    <t>000000001209669969</t>
  </si>
  <si>
    <t>000000008209669987</t>
  </si>
  <si>
    <t>000000008209670022</t>
  </si>
  <si>
    <t>000000001209670108</t>
  </si>
  <si>
    <t>000000001209670112</t>
  </si>
  <si>
    <t>000000008209669963</t>
  </si>
  <si>
    <t>000000001209669993</t>
  </si>
  <si>
    <t>000000001209669979</t>
  </si>
  <si>
    <t>000000008209669982</t>
  </si>
  <si>
    <t>000000008209669984</t>
  </si>
  <si>
    <t>000000008209669985</t>
  </si>
  <si>
    <t>000000008209669986</t>
  </si>
  <si>
    <t>000000008209670095</t>
  </si>
  <si>
    <t>000000001209670077</t>
  </si>
  <si>
    <t>000000001209669964</t>
  </si>
  <si>
    <t>000000001209669996</t>
  </si>
  <si>
    <t>000000001209669966</t>
  </si>
  <si>
    <t>000000001209670071</t>
  </si>
  <si>
    <t>000000001209670072</t>
  </si>
  <si>
    <t>000000008209670091</t>
  </si>
  <si>
    <t>000000001209670102</t>
  </si>
  <si>
    <t>000000008209670016</t>
  </si>
  <si>
    <t>000000008209670107</t>
  </si>
  <si>
    <t>000000001209670024</t>
  </si>
  <si>
    <t>000000008209670075</t>
  </si>
  <si>
    <t>000000001209670098</t>
  </si>
  <si>
    <t>000000008209669973</t>
  </si>
  <si>
    <t>000000001209670083</t>
  </si>
  <si>
    <t>000000001209670023</t>
  </si>
  <si>
    <t>000000001209670065</t>
  </si>
  <si>
    <t>000000001209670111</t>
  </si>
  <si>
    <t>000000008209670076</t>
  </si>
  <si>
    <t>000000001209670082</t>
  </si>
  <si>
    <t>000000001209669995</t>
  </si>
  <si>
    <t>000000001209670032</t>
  </si>
  <si>
    <t>000000008209670061</t>
  </si>
  <si>
    <t>000000008209670184</t>
  </si>
  <si>
    <t>000000008209670115</t>
  </si>
  <si>
    <t>000000001209670122</t>
  </si>
  <si>
    <t>000000001209670171</t>
  </si>
  <si>
    <t>000000008209670152</t>
  </si>
  <si>
    <t>000000001209670164</t>
  </si>
  <si>
    <t>000000008209670156</t>
  </si>
  <si>
    <t>000000001209670179</t>
  </si>
  <si>
    <t>000000001209670127</t>
  </si>
  <si>
    <t>000000001209670273</t>
  </si>
  <si>
    <t>000000001209670225</t>
  </si>
  <si>
    <t>000000008209670241</t>
  </si>
  <si>
    <t>000000008209670244</t>
  </si>
  <si>
    <t>000000008209670113</t>
  </si>
  <si>
    <t>000000008209670116</t>
  </si>
  <si>
    <t>000000008209670118</t>
  </si>
  <si>
    <t>000000001209670168</t>
  </si>
  <si>
    <t>000000008209670271</t>
  </si>
  <si>
    <t>000000001209670232</t>
  </si>
  <si>
    <t>000000001209670250</t>
  </si>
  <si>
    <t>000000008209670221</t>
  </si>
  <si>
    <t>000000001209670252</t>
  </si>
  <si>
    <t>000000001209670228</t>
  </si>
  <si>
    <t>000000008209670170</t>
  </si>
  <si>
    <t>000000001209670125</t>
  </si>
  <si>
    <t>000000008209670180</t>
  </si>
  <si>
    <t>000000001209670277</t>
  </si>
  <si>
    <t>000000001209670227</t>
  </si>
  <si>
    <t>000000008209670183</t>
  </si>
  <si>
    <t>000000001209670187</t>
  </si>
  <si>
    <t>000000001209670172</t>
  </si>
  <si>
    <t>000000008209670157</t>
  </si>
  <si>
    <t>000000001209670159</t>
  </si>
  <si>
    <t>000000008209670269</t>
  </si>
  <si>
    <t>000000008209670181</t>
  </si>
  <si>
    <t>000000001209670283</t>
  </si>
  <si>
    <t>000000001209670274</t>
  </si>
  <si>
    <t>000000008209670231</t>
  </si>
  <si>
    <t>000000001209670190</t>
  </si>
  <si>
    <t>000000001209670192</t>
  </si>
  <si>
    <t>000000008209670240</t>
  </si>
  <si>
    <t>000000001209670193</t>
  </si>
  <si>
    <t>000000008209670268</t>
  </si>
  <si>
    <t>000000001209670185</t>
  </si>
  <si>
    <t>000000008209670114</t>
  </si>
  <si>
    <t>000000008209670117</t>
  </si>
  <si>
    <t>000000001209670188</t>
  </si>
  <si>
    <t>000000001209670121</t>
  </si>
  <si>
    <t>000000001209670123</t>
  </si>
  <si>
    <t>000000008209670153</t>
  </si>
  <si>
    <t>000000001209670196</t>
  </si>
  <si>
    <t>000000001209670275</t>
  </si>
  <si>
    <t>000000001209670224</t>
  </si>
  <si>
    <t>000000001209670278</t>
  </si>
  <si>
    <t>000000001209670162</t>
  </si>
  <si>
    <t>000000001209670119</t>
  </si>
  <si>
    <t>000000001209670120</t>
  </si>
  <si>
    <t>000000008209670154</t>
  </si>
  <si>
    <t>000000001209670177</t>
  </si>
  <si>
    <t>000000001209670126</t>
  </si>
  <si>
    <t>000000001209670165</t>
  </si>
  <si>
    <t>000000001209670254</t>
  </si>
  <si>
    <t>000000001209670282</t>
  </si>
  <si>
    <t>000000008209670245</t>
  </si>
  <si>
    <t>000000001209670255</t>
  </si>
  <si>
    <t>000000001209670130</t>
  </si>
  <si>
    <t>000000001209670186</t>
  </si>
  <si>
    <t>000000001209670167</t>
  </si>
  <si>
    <t>000000001209670189</t>
  </si>
  <si>
    <t>000000008209670169</t>
  </si>
  <si>
    <t>000000008209670182</t>
  </si>
  <si>
    <t>000000001209670160</t>
  </si>
  <si>
    <t>000000001209670281</t>
  </si>
  <si>
    <t>000000001209670249</t>
  </si>
  <si>
    <t>000000008209670219</t>
  </si>
  <si>
    <t>000000001209670251</t>
  </si>
  <si>
    <t>000000008209670220</t>
  </si>
  <si>
    <t>000000008209670242</t>
  </si>
  <si>
    <t>000000001209670280</t>
  </si>
  <si>
    <t>000000001209670128</t>
  </si>
  <si>
    <t>000000001209670247</t>
  </si>
  <si>
    <t>000000001209670248</t>
  </si>
  <si>
    <t>000000008209670270</t>
  </si>
  <si>
    <t>000000001209670272</t>
  </si>
  <si>
    <t>000000001209670230</t>
  </si>
  <si>
    <t>000000001209670191</t>
  </si>
  <si>
    <t>000000008209670222</t>
  </si>
  <si>
    <t>000000001209670223</t>
  </si>
  <si>
    <t>000000001209670226</t>
  </si>
  <si>
    <t>000000001209670253</t>
  </si>
  <si>
    <t>000000001209670279</t>
  </si>
  <si>
    <t>000000001209670246</t>
  </si>
  <si>
    <t>000000008209670267</t>
  </si>
  <si>
    <t>000000008209670303</t>
  </si>
  <si>
    <t>000000001209670405</t>
  </si>
  <si>
    <t>000000008209670395</t>
  </si>
  <si>
    <t>000000001209670306</t>
  </si>
  <si>
    <t>000000001209670340</t>
  </si>
  <si>
    <t>000000001209670437</t>
  </si>
  <si>
    <t>000000001209670394</t>
  </si>
  <si>
    <t>000000008209670396</t>
  </si>
  <si>
    <t>000000008209670302</t>
  </si>
  <si>
    <t>000000001209670312</t>
  </si>
  <si>
    <t>000000008209670317</t>
  </si>
  <si>
    <t>000000001209670390</t>
  </si>
  <si>
    <t>000000001209670404</t>
  </si>
  <si>
    <t>000000008209670369</t>
  </si>
  <si>
    <t>000000001209670408</t>
  </si>
  <si>
    <t>000000008209670397</t>
  </si>
  <si>
    <t>000000001209670310</t>
  </si>
  <si>
    <t>000000008209670333</t>
  </si>
  <si>
    <t>000000001209670337</t>
  </si>
  <si>
    <t>000000001209670339</t>
  </si>
  <si>
    <t>000000001209670318</t>
  </si>
  <si>
    <t>000000008209670316</t>
  </si>
  <si>
    <t>000000001209670320</t>
  </si>
  <si>
    <t>000000001209670401</t>
  </si>
  <si>
    <t>000000001209670446</t>
  </si>
  <si>
    <t>000000001209670391</t>
  </si>
  <si>
    <t>000000001209670407</t>
  </si>
  <si>
    <t>000000008209670371</t>
  </si>
  <si>
    <t>000000008209670445</t>
  </si>
  <si>
    <t>000000001209670309</t>
  </si>
  <si>
    <t>000000008209670332</t>
  </si>
  <si>
    <t>000000008209670334</t>
  </si>
  <si>
    <t>000000001209670347</t>
  </si>
  <si>
    <t>000000008209670335</t>
  </si>
  <si>
    <t>000000001209670338</t>
  </si>
  <si>
    <t>000000001209670436</t>
  </si>
  <si>
    <t>000000001209670448</t>
  </si>
  <si>
    <t>000000008209670430</t>
  </si>
  <si>
    <t>000000008209670398</t>
  </si>
  <si>
    <t>000000001209670452</t>
  </si>
  <si>
    <t>000000001209670311</t>
  </si>
  <si>
    <t>000000001209670342</t>
  </si>
  <si>
    <t>000000001209670343</t>
  </si>
  <si>
    <t>000000001209670345</t>
  </si>
  <si>
    <t>000000001209670346</t>
  </si>
  <si>
    <t>000000001209670447</t>
  </si>
  <si>
    <t>000000001209670381</t>
  </si>
  <si>
    <t>000000008209670368</t>
  </si>
  <si>
    <t>000000008209670370</t>
  </si>
  <si>
    <t>000000008209670428</t>
  </si>
  <si>
    <t>000000001209670372</t>
  </si>
  <si>
    <t>000000001209670410</t>
  </si>
  <si>
    <t>000000008209670431</t>
  </si>
  <si>
    <t>000000008209670443</t>
  </si>
  <si>
    <t>000000001209670400</t>
  </si>
  <si>
    <t>000000001209670435</t>
  </si>
  <si>
    <t>000000008209670305</t>
  </si>
  <si>
    <t>000000001209670307</t>
  </si>
  <si>
    <t>000000008209670336</t>
  </si>
  <si>
    <t>000000001209670353</t>
  </si>
  <si>
    <t>000000001209670321</t>
  </si>
  <si>
    <t>000000008209670331</t>
  </si>
  <si>
    <t>000000001209670402</t>
  </si>
  <si>
    <t>000000001209670380</t>
  </si>
  <si>
    <t>000000008209670383</t>
  </si>
  <si>
    <t>000000008209670444</t>
  </si>
  <si>
    <t>000000001209670411</t>
  </si>
  <si>
    <t>000000001209670376</t>
  </si>
  <si>
    <t>000000008209670399</t>
  </si>
  <si>
    <t>000000001209670385</t>
  </si>
  <si>
    <t>000000001209670341</t>
  </si>
  <si>
    <t>000000001209670377</t>
  </si>
  <si>
    <t>000000001209670403</t>
  </si>
  <si>
    <t>000000001209670406</t>
  </si>
  <si>
    <t>000000001209670449</t>
  </si>
  <si>
    <t>000000008209670382</t>
  </si>
  <si>
    <t>000000001209670375</t>
  </si>
  <si>
    <t>000000001209670433</t>
  </si>
  <si>
    <t>000000001209670386</t>
  </si>
  <si>
    <t>000000008209670464</t>
  </si>
  <si>
    <t>000000008209670465</t>
  </si>
  <si>
    <t>000000001209670545</t>
  </si>
  <si>
    <t>000000001209670501</t>
  </si>
  <si>
    <t>000000001209670503</t>
  </si>
  <si>
    <t>000000008209670579</t>
  </si>
  <si>
    <t>000000001209670547</t>
  </si>
  <si>
    <t>000000001209670560</t>
  </si>
  <si>
    <t>000000001209670498</t>
  </si>
  <si>
    <t>000000001209670534</t>
  </si>
  <si>
    <t>000000001209670562</t>
  </si>
  <si>
    <t>000000001209670509</t>
  </si>
  <si>
    <t>000000008209670463</t>
  </si>
  <si>
    <t>000000001209670597</t>
  </si>
  <si>
    <t>000000008209670524</t>
  </si>
  <si>
    <t>000000001209670585</t>
  </si>
  <si>
    <t>000000008209670582</t>
  </si>
  <si>
    <t>000000001209670473</t>
  </si>
  <si>
    <t>000000001209670569</t>
  </si>
  <si>
    <t>000000008209670555</t>
  </si>
  <si>
    <t>000000008209670557</t>
  </si>
  <si>
    <t>000000001209670595</t>
  </si>
  <si>
    <t>000000008209670462</t>
  </si>
  <si>
    <t>000000001209670471</t>
  </si>
  <si>
    <t>000000008209670580</t>
  </si>
  <si>
    <t>000000008209670530</t>
  </si>
  <si>
    <t>000000001209670505</t>
  </si>
  <si>
    <t>000000001209670563</t>
  </si>
  <si>
    <t>000000001209670564</t>
  </si>
  <si>
    <t>000000001209670510</t>
  </si>
  <si>
    <t>000000001209670517</t>
  </si>
  <si>
    <t>000000001209670542</t>
  </si>
  <si>
    <t>000000001209670477</t>
  </si>
  <si>
    <t>000000008209670525</t>
  </si>
  <si>
    <t>000000008209670526</t>
  </si>
  <si>
    <t>000000001209670589</t>
  </si>
  <si>
    <t>000000001209670502</t>
  </si>
  <si>
    <t>000000001209670586</t>
  </si>
  <si>
    <t>000000001209670474</t>
  </si>
  <si>
    <t>000000001209670538</t>
  </si>
  <si>
    <t>000000008209670581</t>
  </si>
  <si>
    <t>000000008209670583</t>
  </si>
  <si>
    <t>000000001209670591</t>
  </si>
  <si>
    <t>000000001209670587</t>
  </si>
  <si>
    <t>000000001209670593</t>
  </si>
  <si>
    <t>000000008209670496</t>
  </si>
  <si>
    <t>000000008209670554</t>
  </si>
  <si>
    <t>000000008209670558</t>
  </si>
  <si>
    <t>000000008209670529</t>
  </si>
  <si>
    <t>000000008209670494</t>
  </si>
  <si>
    <t>000000001209670561</t>
  </si>
  <si>
    <t>000000001209670565</t>
  </si>
  <si>
    <t>000000008209670466</t>
  </si>
  <si>
    <t>000000008209670468</t>
  </si>
  <si>
    <t>000000001209670476</t>
  </si>
  <si>
    <t>000000001209670566</t>
  </si>
  <si>
    <t>000000001209670469</t>
  </si>
  <si>
    <t>000000001209670478</t>
  </si>
  <si>
    <t>000000001209670567</t>
  </si>
  <si>
    <t>000000001209670588</t>
  </si>
  <si>
    <t>000000001209670472</t>
  </si>
  <si>
    <t>000000001209670546</t>
  </si>
  <si>
    <t>000000008209670584</t>
  </si>
  <si>
    <t>000000001209670592</t>
  </si>
  <si>
    <t>000000008209670493</t>
  </si>
  <si>
    <t>000000008209670495</t>
  </si>
  <si>
    <t>000000001209670594</t>
  </si>
  <si>
    <t>000000001209670507</t>
  </si>
  <si>
    <t>000000001209670535</t>
  </si>
  <si>
    <t>000000001209670537</t>
  </si>
  <si>
    <t>000000008209670467</t>
  </si>
  <si>
    <t>000000001209670470</t>
  </si>
  <si>
    <t>000000001209670500</t>
  </si>
  <si>
    <t>000000001209670568</t>
  </si>
  <si>
    <t>000000001209670540</t>
  </si>
  <si>
    <t>000000008209670556</t>
  </si>
  <si>
    <t>000000001209670506</t>
  </si>
  <si>
    <t>000000008209670559</t>
  </si>
  <si>
    <t>000000001209670475</t>
  </si>
  <si>
    <t>000000008209670508</t>
  </si>
  <si>
    <t>000000001209670541</t>
  </si>
  <si>
    <t>000000001209670622</t>
  </si>
  <si>
    <t>000000008209670642</t>
  </si>
  <si>
    <t>000000008209670644</t>
  </si>
  <si>
    <t>000000008209670691</t>
  </si>
  <si>
    <t>000000008209670693</t>
  </si>
  <si>
    <t>000000001209670649</t>
  </si>
  <si>
    <t>000000008209670611</t>
  </si>
  <si>
    <t>000000001209670650</t>
  </si>
  <si>
    <t>000000008209670614</t>
  </si>
  <si>
    <t>000000008209670626</t>
  </si>
  <si>
    <t>000000001209670646</t>
  </si>
  <si>
    <t>000000001209670764</t>
  </si>
  <si>
    <t>000000001209670698</t>
  </si>
  <si>
    <t>000000001209670701</t>
  </si>
  <si>
    <t>000000008209670610</t>
  </si>
  <si>
    <t>000000008209670637</t>
  </si>
  <si>
    <t>000000001209670618</t>
  </si>
  <si>
    <t>000000008209670640</t>
  </si>
  <si>
    <t>000000001209670620</t>
  </si>
  <si>
    <t>000000001209670645</t>
  </si>
  <si>
    <t>000000008209670729</t>
  </si>
  <si>
    <t>000000008209670743</t>
  </si>
  <si>
    <t>000000008209670733</t>
  </si>
  <si>
    <t>000000001209670695</t>
  </si>
  <si>
    <t>000000001209670697</t>
  </si>
  <si>
    <t>000000001209670702</t>
  </si>
  <si>
    <t>000000001209670653</t>
  </si>
  <si>
    <t>000000001209670624</t>
  </si>
  <si>
    <t>000000001209670643</t>
  </si>
  <si>
    <t>000000001209670711</t>
  </si>
  <si>
    <t>000000008209670759</t>
  </si>
  <si>
    <t>000000001209670737</t>
  </si>
  <si>
    <t>000000001209670619</t>
  </si>
  <si>
    <t>000000001209670621</t>
  </si>
  <si>
    <t>000000008209670728</t>
  </si>
  <si>
    <t>000000001209670755</t>
  </si>
  <si>
    <t>000000001209670748</t>
  </si>
  <si>
    <t>000000008209670694</t>
  </si>
  <si>
    <t>000000001209670696</t>
  </si>
  <si>
    <t>000000001209670750</t>
  </si>
  <si>
    <t>000000001209670736</t>
  </si>
  <si>
    <t>000000001209670753</t>
  </si>
  <si>
    <t>000000001209670761</t>
  </si>
  <si>
    <t>000000001209670648</t>
  </si>
  <si>
    <t>000000001209670652</t>
  </si>
  <si>
    <t>000000008209670638</t>
  </si>
  <si>
    <t>000000008209670641</t>
  </si>
  <si>
    <t>000000008209670625</t>
  </si>
  <si>
    <t>000000001209670617</t>
  </si>
  <si>
    <t>000000001209670700</t>
  </si>
  <si>
    <t>000000001209670623</t>
  </si>
  <si>
    <t>000000001209670647</t>
  </si>
  <si>
    <t>000000008209670639</t>
  </si>
  <si>
    <t>000000001209670651</t>
  </si>
  <si>
    <t>000000001209670654</t>
  </si>
  <si>
    <t>000000001209670739</t>
  </si>
  <si>
    <t>000000001209670735</t>
  </si>
  <si>
    <t>000000001209670628</t>
  </si>
  <si>
    <t>000000001209670629</t>
  </si>
  <si>
    <t>000000001209670635</t>
  </si>
  <si>
    <t>000000008209670613</t>
  </si>
  <si>
    <t>000000008209670615</t>
  </si>
  <si>
    <t>000000001209670707</t>
  </si>
  <si>
    <t>000000008209670730</t>
  </si>
  <si>
    <t>000000008209670744</t>
  </si>
  <si>
    <t>000000008209670690</t>
  </si>
  <si>
    <t>000000008209670692</t>
  </si>
  <si>
    <t>000000001209670699</t>
  </si>
  <si>
    <t>000000008209670874</t>
  </si>
  <si>
    <t>000000001209670782</t>
  </si>
  <si>
    <t>000000001209670854</t>
  </si>
  <si>
    <t>000000008209670803</t>
  </si>
  <si>
    <t>000000001209670808</t>
  </si>
  <si>
    <t>000000001209670882</t>
  </si>
  <si>
    <t>000000001209670897</t>
  </si>
  <si>
    <t>000000008209670895</t>
  </si>
  <si>
    <t>000000008209670772</t>
  </si>
  <si>
    <t>000000001209670811</t>
  </si>
  <si>
    <t>000000001209670853</t>
  </si>
  <si>
    <t>000000008209670861</t>
  </si>
  <si>
    <t>000000008209670846</t>
  </si>
  <si>
    <t>000000001209670855</t>
  </si>
  <si>
    <t>000000008209670789</t>
  </si>
  <si>
    <t>000000008209670804</t>
  </si>
  <si>
    <t>000000001209670805</t>
  </si>
  <si>
    <t>000000001209670885</t>
  </si>
  <si>
    <t>000000001209670898</t>
  </si>
  <si>
    <t>000000008209670776</t>
  </si>
  <si>
    <t>000000001209670813</t>
  </si>
  <si>
    <t>000000001209670817</t>
  </si>
  <si>
    <t>000000001209670799</t>
  </si>
  <si>
    <t>000000008209670800</t>
  </si>
  <si>
    <t>000000008209670802</t>
  </si>
  <si>
    <t>000000008209670788</t>
  </si>
  <si>
    <t>000000001209670809</t>
  </si>
  <si>
    <t>000000008209670903</t>
  </si>
  <si>
    <t>000000001209670905</t>
  </si>
  <si>
    <t>000000008209670774</t>
  </si>
  <si>
    <t>000000001209670851</t>
  </si>
  <si>
    <t>000000001209670862</t>
  </si>
  <si>
    <t>000000001209670848</t>
  </si>
  <si>
    <t>000000008209670787</t>
  </si>
  <si>
    <t>000000001209670849</t>
  </si>
  <si>
    <t>000000001209670807</t>
  </si>
  <si>
    <t>000000001209670906</t>
  </si>
  <si>
    <t>000000001209670880</t>
  </si>
  <si>
    <t>000000001209670887</t>
  </si>
  <si>
    <t>000000008209670894</t>
  </si>
  <si>
    <t>000000001209670913</t>
  </si>
  <si>
    <t>000000008209670902</t>
  </si>
  <si>
    <t>000000001209670815</t>
  </si>
  <si>
    <t>000000001209670863</t>
  </si>
  <si>
    <t>000000008209670842</t>
  </si>
  <si>
    <t>000000001209670914</t>
  </si>
  <si>
    <t>000000008209670843</t>
  </si>
  <si>
    <t>000000008209670878</t>
  </si>
  <si>
    <t>000000001209670911</t>
  </si>
  <si>
    <t>000000001209670879</t>
  </si>
  <si>
    <t>000000001209670883</t>
  </si>
  <si>
    <t>000000001209670912</t>
  </si>
  <si>
    <t>000000008209670873</t>
  </si>
  <si>
    <t>000000001209670812</t>
  </si>
  <si>
    <t>000000001209670860</t>
  </si>
  <si>
    <t>000000008209670844</t>
  </si>
  <si>
    <t>000000001209670847</t>
  </si>
  <si>
    <t>000000001209670785</t>
  </si>
  <si>
    <t>000000001209670786</t>
  </si>
  <si>
    <t>000000008209670801</t>
  </si>
  <si>
    <t>000000001209670806</t>
  </si>
  <si>
    <t>000000001209670790</t>
  </si>
  <si>
    <t>000000008209670876</t>
  </si>
  <si>
    <t>000000008209670877</t>
  </si>
  <si>
    <t>000000001209670896</t>
  </si>
  <si>
    <t>000000008209670899</t>
  </si>
  <si>
    <t>000000008209670900</t>
  </si>
  <si>
    <t>000000001209670796</t>
  </si>
  <si>
    <t>000000001209670781</t>
  </si>
  <si>
    <t>000000001209670798</t>
  </si>
  <si>
    <t>000000008209670845</t>
  </si>
  <si>
    <t>000000001209670793</t>
  </si>
  <si>
    <t>000000001209670907</t>
  </si>
  <si>
    <t>000000001209670886</t>
  </si>
  <si>
    <t>000000001209670910</t>
  </si>
  <si>
    <t>000000001209670881</t>
  </si>
  <si>
    <t>000000008209670901</t>
  </si>
  <si>
    <t>000000008209670773</t>
  </si>
  <si>
    <t>000000001209670795</t>
  </si>
  <si>
    <t>000000001209670810</t>
  </si>
  <si>
    <t>000000001209670783</t>
  </si>
  <si>
    <t>000000008209670841</t>
  </si>
  <si>
    <t>000000001209670850</t>
  </si>
  <si>
    <t>000000001209670908</t>
  </si>
  <si>
    <t>000000001209670909</t>
  </si>
  <si>
    <t>000000001209670904</t>
  </si>
  <si>
    <t>000000001209670956</t>
  </si>
  <si>
    <t>000000001209671074</t>
  </si>
  <si>
    <t>000000001209670996</t>
  </si>
  <si>
    <t>000000008209670943</t>
  </si>
  <si>
    <t>000000008209670991</t>
  </si>
  <si>
    <t>000000001209671005</t>
  </si>
  <si>
    <t>000000001209671147</t>
  </si>
  <si>
    <t>000000001209671138</t>
  </si>
  <si>
    <t>000000008209671130</t>
  </si>
  <si>
    <t>000000001209670955</t>
  </si>
  <si>
    <t>000000008209671057</t>
  </si>
  <si>
    <t>000000001209670999</t>
  </si>
  <si>
    <t>000000001209671086</t>
  </si>
  <si>
    <t>000000001209671067</t>
  </si>
  <si>
    <t>000000001209671000</t>
  </si>
  <si>
    <t>000000008209670942</t>
  </si>
  <si>
    <t>000000001209671141</t>
  </si>
  <si>
    <t>000000008209671131</t>
  </si>
  <si>
    <t>000000001209671071</t>
  </si>
  <si>
    <t>000000001209670952</t>
  </si>
  <si>
    <t>000000008209671058</t>
  </si>
  <si>
    <t>000000001209670995</t>
  </si>
  <si>
    <t>000000001209670997</t>
  </si>
  <si>
    <t>000000001209671062</t>
  </si>
  <si>
    <t>000000001209671064</t>
  </si>
  <si>
    <t>000000001209670946</t>
  </si>
  <si>
    <t>000000001209671136</t>
  </si>
  <si>
    <t>000000001209670954</t>
  </si>
  <si>
    <t>000000001209671063</t>
  </si>
  <si>
    <t>000000008209671059</t>
  </si>
  <si>
    <t>000000001209671003</t>
  </si>
  <si>
    <t>000000008209670941</t>
  </si>
  <si>
    <t>000000008209670993</t>
  </si>
  <si>
    <t>000000008209671055</t>
  </si>
  <si>
    <t>000000008209671056</t>
  </si>
  <si>
    <t>000000001209671002</t>
  </si>
  <si>
    <t>000000008209670945</t>
  </si>
  <si>
    <t>000000001209671009</t>
  </si>
  <si>
    <t>000000001209670949</t>
  </si>
  <si>
    <t>000000008209670992</t>
  </si>
  <si>
    <t>000000008209671135</t>
  </si>
  <si>
    <t>000000001209671073</t>
  </si>
  <si>
    <t>000000001209670951</t>
  </si>
  <si>
    <t>000000008209671060</t>
  </si>
  <si>
    <t>000000001209671070</t>
  </si>
  <si>
    <t>000000001209670998</t>
  </si>
  <si>
    <t>000000001209671001</t>
  </si>
  <si>
    <t>000000001209670948</t>
  </si>
  <si>
    <t>000000008209670990</t>
  </si>
  <si>
    <t>000000001209670950</t>
  </si>
  <si>
    <t>000000001209671065</t>
  </si>
  <si>
    <t>000000008209670944</t>
  </si>
  <si>
    <t>000000001209670947</t>
  </si>
  <si>
    <t>000000008209670989</t>
  </si>
  <si>
    <t>000000001209671148</t>
  </si>
  <si>
    <t>000000001209671289</t>
  </si>
  <si>
    <t>000000001209671298</t>
  </si>
  <si>
    <t>000000001209671277</t>
  </si>
  <si>
    <t>000000008209671282</t>
  </si>
  <si>
    <t>000000008209671191</t>
  </si>
  <si>
    <t>000000001209671230</t>
  </si>
  <si>
    <t>000000001209671284</t>
  </si>
  <si>
    <t>000000001209671286</t>
  </si>
  <si>
    <t>000000001209671140</t>
  </si>
  <si>
    <t>000000001209671203</t>
  </si>
  <si>
    <t>000000008209671221</t>
  </si>
  <si>
    <t>000000001209671263</t>
  </si>
  <si>
    <t>000000001209671228</t>
  </si>
  <si>
    <t>000000001209671267</t>
  </si>
  <si>
    <t>000000001209671205</t>
  </si>
  <si>
    <t>000000001209671232</t>
  </si>
  <si>
    <t>000000001209671196</t>
  </si>
  <si>
    <t>000000001209671226</t>
  </si>
  <si>
    <t>000000001209671266</t>
  </si>
  <si>
    <t>000000008209671194</t>
  </si>
  <si>
    <t>000000008209671274</t>
  </si>
  <si>
    <t>000000008209671280</t>
  </si>
  <si>
    <t>000000008209671259</t>
  </si>
  <si>
    <t>000000001209671287</t>
  </si>
  <si>
    <t>000000001209671290</t>
  </si>
  <si>
    <t>000000008209671279</t>
  </si>
  <si>
    <t>000000008209671281</t>
  </si>
  <si>
    <t>000000008209671193</t>
  </si>
  <si>
    <t>000000001209671231</t>
  </si>
  <si>
    <t>000000001209671202</t>
  </si>
  <si>
    <t>000000008209671129</t>
  </si>
  <si>
    <t>000000001209671199</t>
  </si>
  <si>
    <t>000000001209671144</t>
  </si>
  <si>
    <t>000000001209671200</t>
  </si>
  <si>
    <t>000000001209671288</t>
  </si>
  <si>
    <t>000000001209671293</t>
  </si>
  <si>
    <t>000000008209671190</t>
  </si>
  <si>
    <t>000000008209671260</t>
  </si>
  <si>
    <t>000000008209671134</t>
  </si>
  <si>
    <t>000000001209671262</t>
  </si>
  <si>
    <t>000000008209671222</t>
  </si>
  <si>
    <t>000000008209671223</t>
  </si>
  <si>
    <t>000000001209671225</t>
  </si>
  <si>
    <t>000000001209671268</t>
  </si>
  <si>
    <t>000000001209671160</t>
  </si>
  <si>
    <t>000000008209671283</t>
  </si>
  <si>
    <t>000000008209671188</t>
  </si>
  <si>
    <t>000000001209671210</t>
  </si>
  <si>
    <t>000000001209671233</t>
  </si>
  <si>
    <t>000000001209671143</t>
  </si>
  <si>
    <t>000000001209671264</t>
  </si>
  <si>
    <t>000000001209671204</t>
  </si>
  <si>
    <t>000000001209671227</t>
  </si>
  <si>
    <t>000000001209671276</t>
  </si>
  <si>
    <t>000000001209671145</t>
  </si>
  <si>
    <t>000000001209671291</t>
  </si>
  <si>
    <t>000000008209671278</t>
  </si>
  <si>
    <t>000000008209671189</t>
  </si>
  <si>
    <t>000000008209671192</t>
  </si>
  <si>
    <t>000000001209671197</t>
  </si>
  <si>
    <t>000000008209671220</t>
  </si>
  <si>
    <t>000000008209671224</t>
  </si>
  <si>
    <t>000000001209671292</t>
  </si>
  <si>
    <t>000000001209671201</t>
  </si>
  <si>
    <t>000000001209671285</t>
  </si>
  <si>
    <t>000000008209671133</t>
  </si>
  <si>
    <t>000000001209671198</t>
  </si>
  <si>
    <t>000000001209671237</t>
  </si>
  <si>
    <t>000000001209671265</t>
  </si>
  <si>
    <t>000000001209671229</t>
  </si>
  <si>
    <t>000000001209671328</t>
  </si>
  <si>
    <t>000000001209671336</t>
  </si>
  <si>
    <t>000000001209671324</t>
  </si>
  <si>
    <t>000000001209671414</t>
  </si>
  <si>
    <t>000000008209671365</t>
  </si>
  <si>
    <t>000000001209671442</t>
  </si>
  <si>
    <t>000000001209671370</t>
  </si>
  <si>
    <t>000000008209671334</t>
  </si>
  <si>
    <t>000000001209671373</t>
  </si>
  <si>
    <t>000000001209671449</t>
  </si>
  <si>
    <t>000000001209671375</t>
  </si>
  <si>
    <t>000000001209671341</t>
  </si>
  <si>
    <t>000000008209671404</t>
  </si>
  <si>
    <t>000000008209671378</t>
  </si>
  <si>
    <t>000000001209671379</t>
  </si>
  <si>
    <t>000000001209671327</t>
  </si>
  <si>
    <t>000000008209671316</t>
  </si>
  <si>
    <t>000000008209671318</t>
  </si>
  <si>
    <t>000000008209671319</t>
  </si>
  <si>
    <t>000000001209671415</t>
  </si>
  <si>
    <t>000000008209671402</t>
  </si>
  <si>
    <t>000000001209671408</t>
  </si>
  <si>
    <t>000000001209671444</t>
  </si>
  <si>
    <t>000000001209671380</t>
  </si>
  <si>
    <t>000000001209671445</t>
  </si>
  <si>
    <t>000000001209671374</t>
  </si>
  <si>
    <t>000000001209671446</t>
  </si>
  <si>
    <t>000000008209671361</t>
  </si>
  <si>
    <t>000000001209671419</t>
  </si>
  <si>
    <t>000000008209671436</t>
  </si>
  <si>
    <t>000000008209671400</t>
  </si>
  <si>
    <t>000000001209671376</t>
  </si>
  <si>
    <t>000000008209671403</t>
  </si>
  <si>
    <t>000000001209671441</t>
  </si>
  <si>
    <t>000000008209671377</t>
  </si>
  <si>
    <t>000000001209671371</t>
  </si>
  <si>
    <t>000000001209671321</t>
  </si>
  <si>
    <t>000000001209671450</t>
  </si>
  <si>
    <t>000000001209671366</t>
  </si>
  <si>
    <t>000000001209671439</t>
  </si>
  <si>
    <t>000000001209671367</t>
  </si>
  <si>
    <t>000000001209671385</t>
  </si>
  <si>
    <t>000000001209671329</t>
  </si>
  <si>
    <t>000000001209671337</t>
  </si>
  <si>
    <t>000000008209671317</t>
  </si>
  <si>
    <t>000000001209671326</t>
  </si>
  <si>
    <t>000000001209671413</t>
  </si>
  <si>
    <t>000000001209671448</t>
  </si>
  <si>
    <t>000000008209671398</t>
  </si>
  <si>
    <t>000000008209671440</t>
  </si>
  <si>
    <t>000000001209671443</t>
  </si>
  <si>
    <t>000000001209671409</t>
  </si>
  <si>
    <t>000000008209671335</t>
  </si>
  <si>
    <t>000000001209671325</t>
  </si>
  <si>
    <t>000000008209671362</t>
  </si>
  <si>
    <t>000000008209671363</t>
  </si>
  <si>
    <t>000000008209671364</t>
  </si>
  <si>
    <t>000000008209671437</t>
  </si>
  <si>
    <t>000000008209671399</t>
  </si>
  <si>
    <t>000000008209671438</t>
  </si>
  <si>
    <t>000000001209671410</t>
  </si>
  <si>
    <t>000000001209671338</t>
  </si>
  <si>
    <t>000000008209671435</t>
  </si>
  <si>
    <t>000000008209671401</t>
  </si>
  <si>
    <t>000000001209671405</t>
  </si>
  <si>
    <t>000000001209671406</t>
  </si>
  <si>
    <t>000000001209671407</t>
  </si>
  <si>
    <t>000000001209671447</t>
  </si>
  <si>
    <t>000000001209671411</t>
  </si>
  <si>
    <t>000000001209671619</t>
  </si>
  <si>
    <t>000000008209671583</t>
  </si>
  <si>
    <t>000000001209671614</t>
  </si>
  <si>
    <t>000000008209671469</t>
  </si>
  <si>
    <t>000000008209671566</t>
  </si>
  <si>
    <t>000000001209671475</t>
  </si>
  <si>
    <t>000000008209671537</t>
  </si>
  <si>
    <t>000000008209671538</t>
  </si>
  <si>
    <t>000000001209671481</t>
  </si>
  <si>
    <t>000000008209671496</t>
  </si>
  <si>
    <t>000000001209671504</t>
  </si>
  <si>
    <t>000000008209671569</t>
  </si>
  <si>
    <t>000000001209671586</t>
  </si>
  <si>
    <t>000000001209671580</t>
  </si>
  <si>
    <t>000000001209671620</t>
  </si>
  <si>
    <t>000000008209671611</t>
  </si>
  <si>
    <t>000000001209671615</t>
  </si>
  <si>
    <t>000000001209671548</t>
  </si>
  <si>
    <t>000000001209671474</t>
  </si>
  <si>
    <t>000000001209671540</t>
  </si>
  <si>
    <t>000000001209671545</t>
  </si>
  <si>
    <t>000000001209671574</t>
  </si>
  <si>
    <t>000000001209671576</t>
  </si>
  <si>
    <t>000000001209671570</t>
  </si>
  <si>
    <t>000000008209671571</t>
  </si>
  <si>
    <t>000000001209671577</t>
  </si>
  <si>
    <t>000000001209671573</t>
  </si>
  <si>
    <t>000000001209671506</t>
  </si>
  <si>
    <t>000000001209671510</t>
  </si>
  <si>
    <t>000000008209671536</t>
  </si>
  <si>
    <t>000000001209671480</t>
  </si>
  <si>
    <t>000000008209671498</t>
  </si>
  <si>
    <t>000000001209671483</t>
  </si>
  <si>
    <t>000000001209671505</t>
  </si>
  <si>
    <t>000000008209671568</t>
  </si>
  <si>
    <t>000000001209671517</t>
  </si>
  <si>
    <t>000000001209671507</t>
  </si>
  <si>
    <t>000000001209671473</t>
  </si>
  <si>
    <t>000000008209671534</t>
  </si>
  <si>
    <t>000000008209671495</t>
  </si>
  <si>
    <t>000000008209671551</t>
  </si>
  <si>
    <t>000000001209671488</t>
  </si>
  <si>
    <t>000000001209671617</t>
  </si>
  <si>
    <t>000000001209671618</t>
  </si>
  <si>
    <t>000000001209671558</t>
  </si>
  <si>
    <t>000000008209671467</t>
  </si>
  <si>
    <t>000000008209671468</t>
  </si>
  <si>
    <t>000000001209671512</t>
  </si>
  <si>
    <t>000000001209671479</t>
  </si>
  <si>
    <t>000000001209671544</t>
  </si>
  <si>
    <t>000000001209671501</t>
  </si>
  <si>
    <t>000000001209671613</t>
  </si>
  <si>
    <t>000000001209671508</t>
  </si>
  <si>
    <t>000000001209671549</t>
  </si>
  <si>
    <t>000000008209671539</t>
  </si>
  <si>
    <t>000000001209671543</t>
  </si>
  <si>
    <t>000000008209671500</t>
  </si>
  <si>
    <t>000000001209671575</t>
  </si>
  <si>
    <t>000000001209671579</t>
  </si>
  <si>
    <t>000000001209671616</t>
  </si>
  <si>
    <t>000000008209671609</t>
  </si>
  <si>
    <t>000000008209671610</t>
  </si>
  <si>
    <t>000000001209671612</t>
  </si>
  <si>
    <t>000000001209671546</t>
  </si>
  <si>
    <t>000000008209671470</t>
  </si>
  <si>
    <t>000000008209671565</t>
  </si>
  <si>
    <t>000000001209671541</t>
  </si>
  <si>
    <t>000000001209671542</t>
  </si>
  <si>
    <t>000000008209671497</t>
  </si>
  <si>
    <t>000000008209671499</t>
  </si>
  <si>
    <t>000000008209671482</t>
  </si>
  <si>
    <t>000000001209671502</t>
  </si>
  <si>
    <t>000000001209671572</t>
  </si>
  <si>
    <t>000000001209671627</t>
  </si>
  <si>
    <t>000000008209671471</t>
  </si>
  <si>
    <t>000000008209671472</t>
  </si>
  <si>
    <t>000000008209671535</t>
  </si>
  <si>
    <t>000000001209671477</t>
  </si>
  <si>
    <t>000000001209671478</t>
  </si>
  <si>
    <t>000000001209671550</t>
  </si>
  <si>
    <t>000000001209671503</t>
  </si>
  <si>
    <t>000000008209671494</t>
  </si>
  <si>
    <t>000000001209671581</t>
  </si>
  <si>
    <t>000000008209671567</t>
  </si>
  <si>
    <t>000000008209671658</t>
  </si>
  <si>
    <t>000000008209671739</t>
  </si>
  <si>
    <t>000000008209671740</t>
  </si>
  <si>
    <t>000000001209671689</t>
  </si>
  <si>
    <t>000000001209671715</t>
  </si>
  <si>
    <t>000000001209671749</t>
  </si>
  <si>
    <t>000000001209671649</t>
  </si>
  <si>
    <t>000000001209671709</t>
  </si>
  <si>
    <t>000000001209671752</t>
  </si>
  <si>
    <t>000000008209671657</t>
  </si>
  <si>
    <t>000000001209671660</t>
  </si>
  <si>
    <t>000000001209671688</t>
  </si>
  <si>
    <t>000000008209671744</t>
  </si>
  <si>
    <t>000000001209671666</t>
  </si>
  <si>
    <t>000000001209671748</t>
  </si>
  <si>
    <t>000000008209671656</t>
  </si>
  <si>
    <t>000000001209671713</t>
  </si>
  <si>
    <t>000000001209671662</t>
  </si>
  <si>
    <t>000000001209671714</t>
  </si>
  <si>
    <t>000000001209671663</t>
  </si>
  <si>
    <t>000000001209671691</t>
  </si>
  <si>
    <t>000000001209671716</t>
  </si>
  <si>
    <t>000000008209671695</t>
  </si>
  <si>
    <t>000000008209671644</t>
  </si>
  <si>
    <t>000000001209671699</t>
  </si>
  <si>
    <t>000000001209671750</t>
  </si>
  <si>
    <t>000000001209671651</t>
  </si>
  <si>
    <t>000000001209671708</t>
  </si>
  <si>
    <t>000000001209671710</t>
  </si>
  <si>
    <t>000000001209671712</t>
  </si>
  <si>
    <t>000000001209671661</t>
  </si>
  <si>
    <t>000000001209671647</t>
  </si>
  <si>
    <t>000000001209671648</t>
  </si>
  <si>
    <t>000000001209671701</t>
  </si>
  <si>
    <t>000000008209671684</t>
  </si>
  <si>
    <t>000000001209671753</t>
  </si>
  <si>
    <t>000000008209671741</t>
  </si>
  <si>
    <t>000000008209671743</t>
  </si>
  <si>
    <t>000000001209671690</t>
  </si>
  <si>
    <t>000000001209671692</t>
  </si>
  <si>
    <t>000000001209671747</t>
  </si>
  <si>
    <t>000000001209671751</t>
  </si>
  <si>
    <t>000000008209671703</t>
  </si>
  <si>
    <t>000000008209671704</t>
  </si>
  <si>
    <t>000000008209671705</t>
  </si>
  <si>
    <t>000000008209671707</t>
  </si>
  <si>
    <t>000000001209671755</t>
  </si>
  <si>
    <t>000000001209671686</t>
  </si>
  <si>
    <t>000000008209671742</t>
  </si>
  <si>
    <t>000000001209671746</t>
  </si>
  <si>
    <t>000000001209671700</t>
  </si>
  <si>
    <t>000000001209671762</t>
  </si>
  <si>
    <t>000000001209671665</t>
  </si>
  <si>
    <t>000000001209671745</t>
  </si>
  <si>
    <t>000000001209671650</t>
  </si>
  <si>
    <t>000000008209671681</t>
  </si>
  <si>
    <t>000000008209671683</t>
  </si>
  <si>
    <t>000000008209671706</t>
  </si>
  <si>
    <t>000000008209671756</t>
  </si>
  <si>
    <t>000000001209671711</t>
  </si>
  <si>
    <t>000000001209671698</t>
  </si>
  <si>
    <t>000000008209671645</t>
  </si>
  <si>
    <t>000000001209671721</t>
  </si>
  <si>
    <t>000000001209671734</t>
  </si>
  <si>
    <t>000000008209671682</t>
  </si>
  <si>
    <t>000000001209671840</t>
  </si>
  <si>
    <t>000000001209671841</t>
  </si>
  <si>
    <t>000000008209671873</t>
  </si>
  <si>
    <t>000000001209671783</t>
  </si>
  <si>
    <t>000000001209671819</t>
  </si>
  <si>
    <t>000000001209671858</t>
  </si>
  <si>
    <t>000000001209671880</t>
  </si>
  <si>
    <t>000000008209671821</t>
  </si>
  <si>
    <t>000000001209671794</t>
  </si>
  <si>
    <t>000000008209671823</t>
  </si>
  <si>
    <t>000000008209671902</t>
  </si>
  <si>
    <t>000000001209671812</t>
  </si>
  <si>
    <t>000000008209671885</t>
  </si>
  <si>
    <t>000000001209671838</t>
  </si>
  <si>
    <t>000000001209671909</t>
  </si>
  <si>
    <t>000000001209671910</t>
  </si>
  <si>
    <t>000000001209671912</t>
  </si>
  <si>
    <t>000000001209671782</t>
  </si>
  <si>
    <t>000000008209671780</t>
  </si>
  <si>
    <t>000000001209671896</t>
  </si>
  <si>
    <t>000000008209671790</t>
  </si>
  <si>
    <t>000000001209671907</t>
  </si>
  <si>
    <t>000000008209671887</t>
  </si>
  <si>
    <t>000000001209671816</t>
  </si>
  <si>
    <t>000000008209671875</t>
  </si>
  <si>
    <t>000000008209671778</t>
  </si>
  <si>
    <t>000000001209671893</t>
  </si>
  <si>
    <t>000000008209671779</t>
  </si>
  <si>
    <t>000000001209671894</t>
  </si>
  <si>
    <t>000000001209671895</t>
  </si>
  <si>
    <t>000000001209671785</t>
  </si>
  <si>
    <t>000000001209671787</t>
  </si>
  <si>
    <t>000000001209671917</t>
  </si>
  <si>
    <t>000000001209671791</t>
  </si>
  <si>
    <t>000000008209671900</t>
  </si>
  <si>
    <t>000000008209671905</t>
  </si>
  <si>
    <t>000000008209671835</t>
  </si>
  <si>
    <t>000000008209671886</t>
  </si>
  <si>
    <t>000000001209671913</t>
  </si>
  <si>
    <t>000000001209671784</t>
  </si>
  <si>
    <t>000000001209671915</t>
  </si>
  <si>
    <t>000000001209671786</t>
  </si>
  <si>
    <t>000000001209671842</t>
  </si>
  <si>
    <t>000000001209671788</t>
  </si>
  <si>
    <t>000000008209671822</t>
  </si>
  <si>
    <t>000000008209671811</t>
  </si>
  <si>
    <t>000000008209671904</t>
  </si>
  <si>
    <t>000000001209671906</t>
  </si>
  <si>
    <t>000000001209671848</t>
  </si>
  <si>
    <t>000000008209671888</t>
  </si>
  <si>
    <t>000000001209671911</t>
  </si>
  <si>
    <t>000000001209671897</t>
  </si>
  <si>
    <t>000000008209671789</t>
  </si>
  <si>
    <t>000000001209671847</t>
  </si>
  <si>
    <t>000000008209671832</t>
  </si>
  <si>
    <t>000000008209671833</t>
  </si>
  <si>
    <t>000000001209671876</t>
  </si>
  <si>
    <t>000000008209671810</t>
  </si>
  <si>
    <t>000000001209671814</t>
  </si>
  <si>
    <t>000000008209671831</t>
  </si>
  <si>
    <t>000000001209671908</t>
  </si>
  <si>
    <t>000000008209671837</t>
  </si>
  <si>
    <t>000000001209671849</t>
  </si>
  <si>
    <t>000000001209671817</t>
  </si>
  <si>
    <t>000000001209671879</t>
  </si>
  <si>
    <t>000000001209671881</t>
  </si>
  <si>
    <t>000000001209671898</t>
  </si>
  <si>
    <t>000000008209671901</t>
  </si>
  <si>
    <t>000000001209671830</t>
  </si>
  <si>
    <t>000000008209671834</t>
  </si>
  <si>
    <t>000000008209671836</t>
  </si>
  <si>
    <t>000000001209671839</t>
  </si>
  <si>
    <t>000000008209671874</t>
  </si>
  <si>
    <t>000000008209671776</t>
  </si>
  <si>
    <t>000000001209671781</t>
  </si>
  <si>
    <t>000000001209671843</t>
  </si>
  <si>
    <t>000000001209671818</t>
  </si>
  <si>
    <t>000000001209671826</t>
  </si>
  <si>
    <t>000000001209671827</t>
  </si>
  <si>
    <t>000000001209671844</t>
  </si>
  <si>
    <t>000000001209671828</t>
  </si>
  <si>
    <t>000000001209671829</t>
  </si>
  <si>
    <t>000000008209671903</t>
  </si>
  <si>
    <t>000000001209671926</t>
  </si>
  <si>
    <t>000000001209671884</t>
  </si>
  <si>
    <t>000000001209671989</t>
  </si>
  <si>
    <t>000000008209671996</t>
  </si>
  <si>
    <t>000000001209671992</t>
  </si>
  <si>
    <t>000000008209672010</t>
  </si>
  <si>
    <t>000000001209672029</t>
  </si>
  <si>
    <t>000000001209672011</t>
  </si>
  <si>
    <t>000000001209671949</t>
  </si>
  <si>
    <t>000000001209672014</t>
  </si>
  <si>
    <t>000000008209671979</t>
  </si>
  <si>
    <t>000000008209672006</t>
  </si>
  <si>
    <t>000000001209671985</t>
  </si>
  <si>
    <t>000000008209671943</t>
  </si>
  <si>
    <t>000000001209671945</t>
  </si>
  <si>
    <t>000000001209672013</t>
  </si>
  <si>
    <t>000000001209672002</t>
  </si>
  <si>
    <t>000000008209672007</t>
  </si>
  <si>
    <t>000000008209672008</t>
  </si>
  <si>
    <t>000000001209671951</t>
  </si>
  <si>
    <t>000000008209671955</t>
  </si>
  <si>
    <t>000000001209672015</t>
  </si>
  <si>
    <t>000000008209671982</t>
  </si>
  <si>
    <t>000000001209672012</t>
  </si>
  <si>
    <t>000000008209671942</t>
  </si>
  <si>
    <t>000000001209671958</t>
  </si>
  <si>
    <t>000000001209671961</t>
  </si>
  <si>
    <t>000000001209671995</t>
  </si>
  <si>
    <t>000000001209671988</t>
  </si>
  <si>
    <t>000000001209672016</t>
  </si>
  <si>
    <t>000000001209672000</t>
  </si>
  <si>
    <t>000000008209672009</t>
  </si>
  <si>
    <t>000000001209671950</t>
  </si>
  <si>
    <t>000000008209671941</t>
  </si>
  <si>
    <t>000000001209671959</t>
  </si>
  <si>
    <t>000000001209671987</t>
  </si>
  <si>
    <t>000000001209672017</t>
  </si>
  <si>
    <t>000000001209672019</t>
  </si>
  <si>
    <t>000000008209671983</t>
  </si>
  <si>
    <t>000000008209671984</t>
  </si>
  <si>
    <t>000000008209672005</t>
  </si>
  <si>
    <t>000000001209671952</t>
  </si>
  <si>
    <t>000000001209671944</t>
  </si>
  <si>
    <t>000000008209671956</t>
  </si>
  <si>
    <t>000000001209671965</t>
  </si>
  <si>
    <t>000000001209671947</t>
  </si>
  <si>
    <t>000000001209671986</t>
  </si>
  <si>
    <t>000000008209671954</t>
  </si>
  <si>
    <t>000000001209671990</t>
  </si>
  <si>
    <t>000000001209672018</t>
  </si>
  <si>
    <t>000000008209671980</t>
  </si>
  <si>
    <t>000000008209671981</t>
  </si>
  <si>
    <t>000000001209672104</t>
  </si>
  <si>
    <t>000000001209672134</t>
  </si>
  <si>
    <t>000000001209672072</t>
  </si>
  <si>
    <t>000000001209672073</t>
  </si>
  <si>
    <t>000000008209672190</t>
  </si>
  <si>
    <t>000000008209672192</t>
  </si>
  <si>
    <t>000000001209672194</t>
  </si>
  <si>
    <t>000000001209672115</t>
  </si>
  <si>
    <t>000000001209672116</t>
  </si>
  <si>
    <t>000000001209672143</t>
  </si>
  <si>
    <t>000000008209672061</t>
  </si>
  <si>
    <t>000000001209672136</t>
  </si>
  <si>
    <t>000000008209672109</t>
  </si>
  <si>
    <t>000000008209672180</t>
  </si>
  <si>
    <t>000000001209672181</t>
  </si>
  <si>
    <t>000000001209672174</t>
  </si>
  <si>
    <t>000000008209672110</t>
  </si>
  <si>
    <t>000000008209672164</t>
  </si>
  <si>
    <t>000000008209672097</t>
  </si>
  <si>
    <t>000000001209672131</t>
  </si>
  <si>
    <t>000000001209672063</t>
  </si>
  <si>
    <t>000000001209672178</t>
  </si>
  <si>
    <t>000000001209672199</t>
  </si>
  <si>
    <t>000000001209672207</t>
  </si>
  <si>
    <t>000000001209672176</t>
  </si>
  <si>
    <t>000000001209672171</t>
  </si>
  <si>
    <t>000000001209672050</t>
  </si>
  <si>
    <t>000000001209672170</t>
  </si>
  <si>
    <t>000000001209672051</t>
  </si>
  <si>
    <t>000000008209672166</t>
  </si>
  <si>
    <t>000000008209672167</t>
  </si>
  <si>
    <t>000000008209672129</t>
  </si>
  <si>
    <t>000000008209672062</t>
  </si>
  <si>
    <t>000000001209672103</t>
  </si>
  <si>
    <t>000000001209672173</t>
  </si>
  <si>
    <t>000000001209672112</t>
  </si>
  <si>
    <t>000000008209672096</t>
  </si>
  <si>
    <t>000000001209672168</t>
  </si>
  <si>
    <t>000000001209672057</t>
  </si>
  <si>
    <t>000000008209672059</t>
  </si>
  <si>
    <t>000000001209672196</t>
  </si>
  <si>
    <t>000000001209672197</t>
  </si>
  <si>
    <t>000000001209672200</t>
  </si>
  <si>
    <t>000000001209672201</t>
  </si>
  <si>
    <t>000000008209672188</t>
  </si>
  <si>
    <t>000000008209672189</t>
  </si>
  <si>
    <t>000000008209672047</t>
  </si>
  <si>
    <t>000000001209672113</t>
  </si>
  <si>
    <t>000000008209672165</t>
  </si>
  <si>
    <t>000000001209672146</t>
  </si>
  <si>
    <t>000000001209672102</t>
  </si>
  <si>
    <t>000000008209672108</t>
  </si>
  <si>
    <t>000000001209672219</t>
  </si>
  <si>
    <t>000000001209672185</t>
  </si>
  <si>
    <t>000000001209672175</t>
  </si>
  <si>
    <t>000000008209672187</t>
  </si>
  <si>
    <t>000000008209672048</t>
  </si>
  <si>
    <t>000000001209672111</t>
  </si>
  <si>
    <t>000000001209672138</t>
  </si>
  <si>
    <t>000000001209672114</t>
  </si>
  <si>
    <t>000000001209672139</t>
  </si>
  <si>
    <t>000000008209672163</t>
  </si>
  <si>
    <t>000000008209672141</t>
  </si>
  <si>
    <t>000000008209672142</t>
  </si>
  <si>
    <t>000000001209672101</t>
  </si>
  <si>
    <t>000000001209672064</t>
  </si>
  <si>
    <t>000000001209672198</t>
  </si>
  <si>
    <t>000000008209672191</t>
  </si>
  <si>
    <t>000000001209672055</t>
  </si>
  <si>
    <t>000000001209672140</t>
  </si>
  <si>
    <t>000000008209672127</t>
  </si>
  <si>
    <t>000000008209672128</t>
  </si>
  <si>
    <t>000000001209672130</t>
  </si>
  <si>
    <t>000000001209672132</t>
  </si>
  <si>
    <t>000000001209672100</t>
  </si>
  <si>
    <t>000000001209672133</t>
  </si>
  <si>
    <t>000000001209672070</t>
  </si>
  <si>
    <t>000000001209672182</t>
  </si>
  <si>
    <t>000000001209672193</t>
  </si>
  <si>
    <t>000000001209672195</t>
  </si>
  <si>
    <t>000000001209672054</t>
  </si>
  <si>
    <t>000000001209672056</t>
  </si>
  <si>
    <t>000000008209672060</t>
  </si>
  <si>
    <t>000000001209672307</t>
  </si>
  <si>
    <t>000000008209672263</t>
  </si>
  <si>
    <t>000000001209672264</t>
  </si>
  <si>
    <t>000000001209672236</t>
  </si>
  <si>
    <t>000000001209672249</t>
  </si>
  <si>
    <t>000000001209672269</t>
  </si>
  <si>
    <t>000000001209672300</t>
  </si>
  <si>
    <t>000000001209672312</t>
  </si>
  <si>
    <t>000000000209672468</t>
  </si>
  <si>
    <t>000000008209672359</t>
  </si>
  <si>
    <t>000000000209672483</t>
  </si>
  <si>
    <t>000000001209672363</t>
  </si>
  <si>
    <t>000000000209672504</t>
  </si>
  <si>
    <t>000000000209672509</t>
  </si>
  <si>
    <t>000000008209672373</t>
  </si>
  <si>
    <t>000000000209672426</t>
  </si>
  <si>
    <t>000000000209672430</t>
  </si>
  <si>
    <t>000000000209672431</t>
  </si>
  <si>
    <t>000000000209672385</t>
  </si>
  <si>
    <t>000000000209672386</t>
  </si>
  <si>
    <t>000000000209672388</t>
  </si>
  <si>
    <t>000000000209672445</t>
  </si>
  <si>
    <t>000000000209672400</t>
  </si>
  <si>
    <t>000000000209672448</t>
  </si>
  <si>
    <t>000000000209672405</t>
  </si>
  <si>
    <t>000000000209672456</t>
  </si>
  <si>
    <t>000000000209672457</t>
  </si>
  <si>
    <t>000000000209672461</t>
  </si>
  <si>
    <t>000000008209672260</t>
  </si>
  <si>
    <t>000000001209672266</t>
  </si>
  <si>
    <t>000000001209672267</t>
  </si>
  <si>
    <t>000000001209672308</t>
  </si>
  <si>
    <t>000000001209672335</t>
  </si>
  <si>
    <t>000000008209672324</t>
  </si>
  <si>
    <t>000000008209672325</t>
  </si>
  <si>
    <t>000000001209672247</t>
  </si>
  <si>
    <t>000000000209672469</t>
  </si>
  <si>
    <t>000000000209672478</t>
  </si>
  <si>
    <t>000000000209672489</t>
  </si>
  <si>
    <t>000000000209672495</t>
  </si>
  <si>
    <t>000000000209672498</t>
  </si>
  <si>
    <t>000000000209672502</t>
  </si>
  <si>
    <t>000000000209672505</t>
  </si>
  <si>
    <t>000000000209672512</t>
  </si>
  <si>
    <t>000000000209672513</t>
  </si>
  <si>
    <t>000000000209672437</t>
  </si>
  <si>
    <t>000000000209672439</t>
  </si>
  <si>
    <t>000000000209672442</t>
  </si>
  <si>
    <t>000000000209672446</t>
  </si>
  <si>
    <t>000000000209672402</t>
  </si>
  <si>
    <t>000000008209672261</t>
  </si>
  <si>
    <t>000000008209672230</t>
  </si>
  <si>
    <t>000000001209672232</t>
  </si>
  <si>
    <t>000000001209672301</t>
  </si>
  <si>
    <t>000000001209672313</t>
  </si>
  <si>
    <t>000000001209672329</t>
  </si>
  <si>
    <t>000000001209672304</t>
  </si>
  <si>
    <t>000000001209672333</t>
  </si>
  <si>
    <t>000000000209672467</t>
  </si>
  <si>
    <t>000000008209672358</t>
  </si>
  <si>
    <t>000000001209672361</t>
  </si>
  <si>
    <t>000000000209672487</t>
  </si>
  <si>
    <t>000000000209672491</t>
  </si>
  <si>
    <t>000000000209672510</t>
  </si>
  <si>
    <t>000000001209672375</t>
  </si>
  <si>
    <t>000000000209672432</t>
  </si>
  <si>
    <t>000000000209672440</t>
  </si>
  <si>
    <t>000000000209672443</t>
  </si>
  <si>
    <t>000000000209672453</t>
  </si>
  <si>
    <t>000000000209672459</t>
  </si>
  <si>
    <t>000000001209672305</t>
  </si>
  <si>
    <t>000000008209672262</t>
  </si>
  <si>
    <t>000000001209672306</t>
  </si>
  <si>
    <t>000000008209672229</t>
  </si>
  <si>
    <t>000000008209672298</t>
  </si>
  <si>
    <t>000000001209672270</t>
  </si>
  <si>
    <t>000000008209672310</t>
  </si>
  <si>
    <t>000000001209672331</t>
  </si>
  <si>
    <t>000000001209672332</t>
  </si>
  <si>
    <t>000000000209672417</t>
  </si>
  <si>
    <t>000000000209672476</t>
  </si>
  <si>
    <t>000000000209672471</t>
  </si>
  <si>
    <t>000000008209672360</t>
  </si>
  <si>
    <t>000000000209672496</t>
  </si>
  <si>
    <t>000000000209672500</t>
  </si>
  <si>
    <t>000000000209672497</t>
  </si>
  <si>
    <t>000000000209672506</t>
  </si>
  <si>
    <t>000000000209672511</t>
  </si>
  <si>
    <t>000000000209672418</t>
  </si>
  <si>
    <t>000000000209672427</t>
  </si>
  <si>
    <t>000000000209672434</t>
  </si>
  <si>
    <t>000000001209672370</t>
  </si>
  <si>
    <t>000000000209672479</t>
  </si>
  <si>
    <t>000000000209672494</t>
  </si>
  <si>
    <t>000000000209672503</t>
  </si>
  <si>
    <t>000000000209672508</t>
  </si>
  <si>
    <t>000000000209672514</t>
  </si>
  <si>
    <t>000000000209672419</t>
  </si>
  <si>
    <t>000000000209672420</t>
  </si>
  <si>
    <t>000000000209672428</t>
  </si>
  <si>
    <t>000000000209672435</t>
  </si>
  <si>
    <t>000000000209672438</t>
  </si>
  <si>
    <t>000000000209672398</t>
  </si>
  <si>
    <t>000000000209672399</t>
  </si>
  <si>
    <t>000000000209672452</t>
  </si>
  <si>
    <t>000000000209672454</t>
  </si>
  <si>
    <t>000000000209672407</t>
  </si>
  <si>
    <t>000000001209672337</t>
  </si>
  <si>
    <t>000000008209672228</t>
  </si>
  <si>
    <t>000000008209672242</t>
  </si>
  <si>
    <t>000000008209672296</t>
  </si>
  <si>
    <t>000000001209672268</t>
  </si>
  <si>
    <t>000000001209672237</t>
  </si>
  <si>
    <t>000000001209672330</t>
  </si>
  <si>
    <t>000000001209672274</t>
  </si>
  <si>
    <t>000000001209672303</t>
  </si>
  <si>
    <t>000000000209672463</t>
  </si>
  <si>
    <t>000000000209672480</t>
  </si>
  <si>
    <t>000000000209672486</t>
  </si>
  <si>
    <t>000000000209672493</t>
  </si>
  <si>
    <t>000000000209672499</t>
  </si>
  <si>
    <t>000000000209672501</t>
  </si>
  <si>
    <t>000000001209672367</t>
  </si>
  <si>
    <t>000000000209672421</t>
  </si>
  <si>
    <t>000000000209672424</t>
  </si>
  <si>
    <t>000000001209672376</t>
  </si>
  <si>
    <t>000000000209672429</t>
  </si>
  <si>
    <t>000000000209672394</t>
  </si>
  <si>
    <t>000000000209672444</t>
  </si>
  <si>
    <t>000000000209672447</t>
  </si>
  <si>
    <t>000000000209672397</t>
  </si>
  <si>
    <t>000000000209672450</t>
  </si>
  <si>
    <t>000000000209672451</t>
  </si>
  <si>
    <t>000000000209672403</t>
  </si>
  <si>
    <t>000000000209672408</t>
  </si>
  <si>
    <t>000000000209672409</t>
  </si>
  <si>
    <t>000000008209672357</t>
  </si>
  <si>
    <t>000000001209672336</t>
  </si>
  <si>
    <t>000000001209672265</t>
  </si>
  <si>
    <t>000000001209672340</t>
  </si>
  <si>
    <t>000000008209672231</t>
  </si>
  <si>
    <t>000000001209672234</t>
  </si>
  <si>
    <t>000000008209672323</t>
  </si>
  <si>
    <t>000000008209672297</t>
  </si>
  <si>
    <t>000000008209672338</t>
  </si>
  <si>
    <t>000000008209672328</t>
  </si>
  <si>
    <t>000000001209672273</t>
  </si>
  <si>
    <t>000000000209672412</t>
  </si>
  <si>
    <t>000000000209672414</t>
  </si>
  <si>
    <t>000000000209672416</t>
  </si>
  <si>
    <t>000000000209672464</t>
  </si>
  <si>
    <t>000000000209672466</t>
  </si>
  <si>
    <t>000000000209672470</t>
  </si>
  <si>
    <t>000000000209672472</t>
  </si>
  <si>
    <t>000000000209672477</t>
  </si>
  <si>
    <t>000000000209672481</t>
  </si>
  <si>
    <t>000000000209672484</t>
  </si>
  <si>
    <t>000000001209672362</t>
  </si>
  <si>
    <t>000000000209672485</t>
  </si>
  <si>
    <t>000000000209672488</t>
  </si>
  <si>
    <t>000000001209672365</t>
  </si>
  <si>
    <t>000000000209672422</t>
  </si>
  <si>
    <t>000000008209672374</t>
  </si>
  <si>
    <t>000000000209672425</t>
  </si>
  <si>
    <t>000000001209672368</t>
  </si>
  <si>
    <t>000000000209672387</t>
  </si>
  <si>
    <t>000000000209672433</t>
  </si>
  <si>
    <t>000000000209672460</t>
  </si>
  <si>
    <t>000000000209672462</t>
  </si>
  <si>
    <t>000000000209672389</t>
  </si>
  <si>
    <t>000000000209672390</t>
  </si>
  <si>
    <t>000000000209672393</t>
  </si>
  <si>
    <t>000000000209672391</t>
  </si>
  <si>
    <t>000000000209672396</t>
  </si>
  <si>
    <t>000000000209672449</t>
  </si>
  <si>
    <t>000000000209672404</t>
  </si>
  <si>
    <t>000000000209672406</t>
  </si>
  <si>
    <t>000000000209672410</t>
  </si>
  <si>
    <t>000000000209672458</t>
  </si>
  <si>
    <t>000000001209672334</t>
  </si>
  <si>
    <t>000000008209672259</t>
  </si>
  <si>
    <t>000000008209672276</t>
  </si>
  <si>
    <t>000000001209672238</t>
  </si>
  <si>
    <t>000000001209672277</t>
  </si>
  <si>
    <t>000000001209672240</t>
  </si>
  <si>
    <t>000000001209672309</t>
  </si>
  <si>
    <t>000000008209672299</t>
  </si>
  <si>
    <t>000000001209672371</t>
  </si>
  <si>
    <t>000000000209672411</t>
  </si>
  <si>
    <t>000000000209672413</t>
  </si>
  <si>
    <t>000000000209672474</t>
  </si>
  <si>
    <t>000000000209672482</t>
  </si>
  <si>
    <t>000000000209672492</t>
  </si>
  <si>
    <t>000000001209672364</t>
  </si>
  <si>
    <t>000000000209672507</t>
  </si>
  <si>
    <t>000000000209672423</t>
  </si>
  <si>
    <t>000000000209672436</t>
  </si>
  <si>
    <t>000000000209672392</t>
  </si>
  <si>
    <t>000000000209672395</t>
  </si>
  <si>
    <t>000000000209672441</t>
  </si>
  <si>
    <t>000000000209672401</t>
  </si>
  <si>
    <t>000000000209672455</t>
  </si>
  <si>
    <t>000000008209672241</t>
  </si>
  <si>
    <t>000000001209672243</t>
  </si>
  <si>
    <t>000000008209672311</t>
  </si>
  <si>
    <t>000000008209672326</t>
  </si>
  <si>
    <t>000000001209672339</t>
  </si>
  <si>
    <t>000000001209672272</t>
  </si>
  <si>
    <t>000000000209672415</t>
  </si>
  <si>
    <t>000000000209672465</t>
  </si>
  <si>
    <t>000000000209672473</t>
  </si>
  <si>
    <t>000000000209672475</t>
  </si>
  <si>
    <t>000000001209672716</t>
  </si>
  <si>
    <t>000000000209672630</t>
  </si>
  <si>
    <t>000000000209672632</t>
  </si>
  <si>
    <t>000000000209672636</t>
  </si>
  <si>
    <t>000000000209672642</t>
  </si>
  <si>
    <t>000000000209672653</t>
  </si>
  <si>
    <t>000000001209672762</t>
  </si>
  <si>
    <t>000000001209672772</t>
  </si>
  <si>
    <t>000000008209672792</t>
  </si>
  <si>
    <t>000000008209672794</t>
  </si>
  <si>
    <t>000000001209672527</t>
  </si>
  <si>
    <t>000000001209672536</t>
  </si>
  <si>
    <t>000000000209672660</t>
  </si>
  <si>
    <t>000000000209672664</t>
  </si>
  <si>
    <t>000000001209672715</t>
  </si>
  <si>
    <t>000000000209672687</t>
  </si>
  <si>
    <t>000000000209672688</t>
  </si>
  <si>
    <t>000000000209672690</t>
  </si>
  <si>
    <t>000000000209672697</t>
  </si>
  <si>
    <t>000000000209672703</t>
  </si>
  <si>
    <t>000000000209672707</t>
  </si>
  <si>
    <t>000000008209672576</t>
  </si>
  <si>
    <t>000000000209672593</t>
  </si>
  <si>
    <t>000000001209672712</t>
  </si>
  <si>
    <t>000000000209672595</t>
  </si>
  <si>
    <t>000000000209672598</t>
  </si>
  <si>
    <t>000000000209672610</t>
  </si>
  <si>
    <t>000000000209672616</t>
  </si>
  <si>
    <t>000000000209672619</t>
  </si>
  <si>
    <t>000000000209672641</t>
  </si>
  <si>
    <t>000000001209672778</t>
  </si>
  <si>
    <t>000000001209672763</t>
  </si>
  <si>
    <t>000000001209672767</t>
  </si>
  <si>
    <t>000000001209672768</t>
  </si>
  <si>
    <t>000000008209672728</t>
  </si>
  <si>
    <t>000000008209672729</t>
  </si>
  <si>
    <t>000000008209672731</t>
  </si>
  <si>
    <t>000000001209672744</t>
  </si>
  <si>
    <t>000000008209672793</t>
  </si>
  <si>
    <t>000000001209672735</t>
  </si>
  <si>
    <t>000000001209672796</t>
  </si>
  <si>
    <t>000000001209672806</t>
  </si>
  <si>
    <t>000000001209672800</t>
  </si>
  <si>
    <t>000000001209672525</t>
  </si>
  <si>
    <t>000000001209672528</t>
  </si>
  <si>
    <t>000000001209672529</t>
  </si>
  <si>
    <t>000000008209672523</t>
  </si>
  <si>
    <t>000000000209672661</t>
  </si>
  <si>
    <t>000000000209672658</t>
  </si>
  <si>
    <t>000000000209672670</t>
  </si>
  <si>
    <t>000000000209672671</t>
  </si>
  <si>
    <t>000000000209672691</t>
  </si>
  <si>
    <t>000000000209672696</t>
  </si>
  <si>
    <t>000000000209672701</t>
  </si>
  <si>
    <t>000000000209672706</t>
  </si>
  <si>
    <t>000000008209672574</t>
  </si>
  <si>
    <t>000000000209672585</t>
  </si>
  <si>
    <t>000000000209672584</t>
  </si>
  <si>
    <t>000000000209672589</t>
  </si>
  <si>
    <t>000000000209672594</t>
  </si>
  <si>
    <t>000000001209672713</t>
  </si>
  <si>
    <t>000000000209672604</t>
  </si>
  <si>
    <t>000000000209672624</t>
  </si>
  <si>
    <t>000000000209672625</t>
  </si>
  <si>
    <t>000000000209672627</t>
  </si>
  <si>
    <t>000000000209672629</t>
  </si>
  <si>
    <t>000000000209672633</t>
  </si>
  <si>
    <t>000000000209672646</t>
  </si>
  <si>
    <t>000000008209672757</t>
  </si>
  <si>
    <t>000000001209672739</t>
  </si>
  <si>
    <t>000000001209672779</t>
  </si>
  <si>
    <t>000000008209672732</t>
  </si>
  <si>
    <t>000000001209672801</t>
  </si>
  <si>
    <t>000000008209672791</t>
  </si>
  <si>
    <t>000000001209672531</t>
  </si>
  <si>
    <t>000000001209672530</t>
  </si>
  <si>
    <t>000000008209672522</t>
  </si>
  <si>
    <t>000000000209672657</t>
  </si>
  <si>
    <t>000000000209672669</t>
  </si>
  <si>
    <t>000000000209672673</t>
  </si>
  <si>
    <t>000000000209672679</t>
  </si>
  <si>
    <t>000000000209672683</t>
  </si>
  <si>
    <t>000000001209672717</t>
  </si>
  <si>
    <t>000000000209672693</t>
  </si>
  <si>
    <t>000000000209672694</t>
  </si>
  <si>
    <t>000000000209672700</t>
  </si>
  <si>
    <t>000000000209672702</t>
  </si>
  <si>
    <t>000000000209672708</t>
  </si>
  <si>
    <t>000000000209672582</t>
  </si>
  <si>
    <t>000000000209672579</t>
  </si>
  <si>
    <t>000000001209672567</t>
  </si>
  <si>
    <t>000000000209672597</t>
  </si>
  <si>
    <t>000000000209672609</t>
  </si>
  <si>
    <t>000000000209672621</t>
  </si>
  <si>
    <t>000000000209672613</t>
  </si>
  <si>
    <t>000000000209672637</t>
  </si>
  <si>
    <t>000000000209672643</t>
  </si>
  <si>
    <t>000000000209672644</t>
  </si>
  <si>
    <t>000000001209672761</t>
  </si>
  <si>
    <t>000000001209672740</t>
  </si>
  <si>
    <t>000000001209672743</t>
  </si>
  <si>
    <t>000000001209672782</t>
  </si>
  <si>
    <t>000000001209672733</t>
  </si>
  <si>
    <t>000000000209672663</t>
  </si>
  <si>
    <t>000000000209672668</t>
  </si>
  <si>
    <t>000000000209672672</t>
  </si>
  <si>
    <t>000000000209672677</t>
  </si>
  <si>
    <t>000000000209672678</t>
  </si>
  <si>
    <t>000000000209672686</t>
  </si>
  <si>
    <t>000000001209672742</t>
  </si>
  <si>
    <t>000000008209672770</t>
  </si>
  <si>
    <t>000000001209672775</t>
  </si>
  <si>
    <t>000000001209672737</t>
  </si>
  <si>
    <t>000000001209672526</t>
  </si>
  <si>
    <t>000000000209672667</t>
  </si>
  <si>
    <t>000000001209672719</t>
  </si>
  <si>
    <t>000000000209672685</t>
  </si>
  <si>
    <t>000000008209672572</t>
  </si>
  <si>
    <t>000000000209672583</t>
  </si>
  <si>
    <t>000000000209672591</t>
  </si>
  <si>
    <t>000000000209672600</t>
  </si>
  <si>
    <t>000000000209672596</t>
  </si>
  <si>
    <t>000000000209672607</t>
  </si>
  <si>
    <t>000000000209672615</t>
  </si>
  <si>
    <t>000000000209672620</t>
  </si>
  <si>
    <t>000000000209672647</t>
  </si>
  <si>
    <t>000000000209672649</t>
  </si>
  <si>
    <t>000000000209672654</t>
  </si>
  <si>
    <t>000000008209672759</t>
  </si>
  <si>
    <t>000000001209672748</t>
  </si>
  <si>
    <t>000000001209672734</t>
  </si>
  <si>
    <t>000000008209672790</t>
  </si>
  <si>
    <t>000000001209672795</t>
  </si>
  <si>
    <t>000000001209672803</t>
  </si>
  <si>
    <t>000000001209672797</t>
  </si>
  <si>
    <t>000000000209672662</t>
  </si>
  <si>
    <t>000000000209672665</t>
  </si>
  <si>
    <t>000000000209672680</t>
  </si>
  <si>
    <t>000000000209672699</t>
  </si>
  <si>
    <t>000000000209672705</t>
  </si>
  <si>
    <t>000000001209672711</t>
  </si>
  <si>
    <t>000000008209672575</t>
  </si>
  <si>
    <t>000000000209672581</t>
  </si>
  <si>
    <t>000000000209672588</t>
  </si>
  <si>
    <t>000000000209672606</t>
  </si>
  <si>
    <t>000000000209672611</t>
  </si>
  <si>
    <t>000000000209672614</t>
  </si>
  <si>
    <t>000000000209672623</t>
  </si>
  <si>
    <t>000000000209672626</t>
  </si>
  <si>
    <t>000000000209672634</t>
  </si>
  <si>
    <t>000000000209672652</t>
  </si>
  <si>
    <t>000000008209672730</t>
  </si>
  <si>
    <t>000000001209672736</t>
  </si>
  <si>
    <t>000000001209672802</t>
  </si>
  <si>
    <t>000000008209672805</t>
  </si>
  <si>
    <t>000000001209672809</t>
  </si>
  <si>
    <t>000000001209672535</t>
  </si>
  <si>
    <t>000000008209672520</t>
  </si>
  <si>
    <t>000000000209672656</t>
  </si>
  <si>
    <t>000000000209672659</t>
  </si>
  <si>
    <t>000000000209672666</t>
  </si>
  <si>
    <t>000000001209672714</t>
  </si>
  <si>
    <t>000000000209672676</t>
  </si>
  <si>
    <t>000000000209672681</t>
  </si>
  <si>
    <t>000000000209672704</t>
  </si>
  <si>
    <t>000000008209672577</t>
  </si>
  <si>
    <t>000000000209672586</t>
  </si>
  <si>
    <t>000000000209672590</t>
  </si>
  <si>
    <t>000000000209672592</t>
  </si>
  <si>
    <t>000000000209672601</t>
  </si>
  <si>
    <t>000000000209672603</t>
  </si>
  <si>
    <t>000000000209672617</t>
  </si>
  <si>
    <t>000000000209672618</t>
  </si>
  <si>
    <t>000000000209672622</t>
  </si>
  <si>
    <t>000000000209672631</t>
  </si>
  <si>
    <t>000000000209672638</t>
  </si>
  <si>
    <t>000000000209672639</t>
  </si>
  <si>
    <t>000000000209672640</t>
  </si>
  <si>
    <t>000000000209672648</t>
  </si>
  <si>
    <t>000000000209672650</t>
  </si>
  <si>
    <t>000000008209672771</t>
  </si>
  <si>
    <t>000000001209672804</t>
  </si>
  <si>
    <t>000000001209672799</t>
  </si>
  <si>
    <t>000000001209672532</t>
  </si>
  <si>
    <t>000000008209672521</t>
  </si>
  <si>
    <t>000000000209672655</t>
  </si>
  <si>
    <t>000000000209672674</t>
  </si>
  <si>
    <t>000000000209672675</t>
  </si>
  <si>
    <t>000000000209672682</t>
  </si>
  <si>
    <t>000000000209672689</t>
  </si>
  <si>
    <t>000000000209672695</t>
  </si>
  <si>
    <t>000000001209672578</t>
  </si>
  <si>
    <t>000000000209672580</t>
  </si>
  <si>
    <t>000000000209672608</t>
  </si>
  <si>
    <t>000000008209672718</t>
  </si>
  <si>
    <t>000000000209672698</t>
  </si>
  <si>
    <t>000000001209672710</t>
  </si>
  <si>
    <t>000000000209672587</t>
  </si>
  <si>
    <t>000000000209672602</t>
  </si>
  <si>
    <t>000000000209672599</t>
  </si>
  <si>
    <t>000000000209672605</t>
  </si>
  <si>
    <t>000000000209672612</t>
  </si>
  <si>
    <t>000000000209672628</t>
  </si>
  <si>
    <t>000000000209672635</t>
  </si>
  <si>
    <t>000000000209672645</t>
  </si>
  <si>
    <t>000000000209672651</t>
  </si>
  <si>
    <t>000000001209672947</t>
  </si>
  <si>
    <t>000000001209672944</t>
  </si>
  <si>
    <t>000000001209672882</t>
  </si>
  <si>
    <t>000000001209672876</t>
  </si>
  <si>
    <t>000000008209672867</t>
  </si>
  <si>
    <t>000000001209672875</t>
  </si>
  <si>
    <t>000000001209672889</t>
  </si>
  <si>
    <t>000000008209672910</t>
  </si>
  <si>
    <t>000000001209672919</t>
  </si>
  <si>
    <t>000000001209672915</t>
  </si>
  <si>
    <t>000000001209672877</t>
  </si>
  <si>
    <t>000000008209672817</t>
  </si>
  <si>
    <t>000000001209672878</t>
  </si>
  <si>
    <t>000000001209672822</t>
  </si>
  <si>
    <t>000000008209672869</t>
  </si>
  <si>
    <t>000000001209672883</t>
  </si>
  <si>
    <t>000000001209672916</t>
  </si>
  <si>
    <t>000000008209672939</t>
  </si>
  <si>
    <t>000000008209672905</t>
  </si>
  <si>
    <t>000000008209672941</t>
  </si>
  <si>
    <t>000000008209672813</t>
  </si>
  <si>
    <t>000000008209672815</t>
  </si>
  <si>
    <t>000000001209672825</t>
  </si>
  <si>
    <t>000000008209672868</t>
  </si>
  <si>
    <t>000000001209672946</t>
  </si>
  <si>
    <t>000000001209672918</t>
  </si>
  <si>
    <t>000000001209672819</t>
  </si>
  <si>
    <t>000000001209672821</t>
  </si>
  <si>
    <t>000000008209672871</t>
  </si>
  <si>
    <t>000000001209672826</t>
  </si>
  <si>
    <t>000000001209672945</t>
  </si>
  <si>
    <t>000000001209672949</t>
  </si>
  <si>
    <t>000000008209672924</t>
  </si>
  <si>
    <t>000000001209672911</t>
  </si>
  <si>
    <t>000000008209672937</t>
  </si>
  <si>
    <t>000000008209672870</t>
  </si>
  <si>
    <t>000000008209672872</t>
  </si>
  <si>
    <t>000000001209672950</t>
  </si>
  <si>
    <t>000000001209672917</t>
  </si>
  <si>
    <t>000000001209672926</t>
  </si>
  <si>
    <t>000000008209672906</t>
  </si>
  <si>
    <t>000000001209672912</t>
  </si>
  <si>
    <t>000000001209672940</t>
  </si>
  <si>
    <t>000000008209672934</t>
  </si>
  <si>
    <t>000000008209672814</t>
  </si>
  <si>
    <t>000000008209672816</t>
  </si>
  <si>
    <t>000000001209672818</t>
  </si>
  <si>
    <t>000000001209672824</t>
  </si>
  <si>
    <t>000000001209672925</t>
  </si>
  <si>
    <t>000000001209672927</t>
  </si>
  <si>
    <t>000000008209672935</t>
  </si>
  <si>
    <t>000000008209672908</t>
  </si>
  <si>
    <t>000000001209672820</t>
  </si>
  <si>
    <t>000000001209672837</t>
  </si>
  <si>
    <t>000000001209672873</t>
  </si>
  <si>
    <t>000000001209672874</t>
  </si>
  <si>
    <t>000000001209672948</t>
  </si>
  <si>
    <t>000000008209672909</t>
  </si>
  <si>
    <t>000000001209672943</t>
  </si>
  <si>
    <t>000000001209672914</t>
  </si>
  <si>
    <t>000000001209672885</t>
  </si>
  <si>
    <t>000000008209672936</t>
  </si>
  <si>
    <t>000000008209672938</t>
  </si>
  <si>
    <t>000000001209672942</t>
  </si>
  <si>
    <t>000000001209672879</t>
  </si>
  <si>
    <t>000000001209672823</t>
  </si>
  <si>
    <t>000000001209673013</t>
  </si>
  <si>
    <t>000000008209672971</t>
  </si>
  <si>
    <t>000000001209673006</t>
  </si>
  <si>
    <t>000000008209672982</t>
  </si>
  <si>
    <t>000000001209672975</t>
  </si>
  <si>
    <t>000000008209673078</t>
  </si>
  <si>
    <t>000000001209673131</t>
  </si>
  <si>
    <t>000000001209673155</t>
  </si>
  <si>
    <t>000000001209673089</t>
  </si>
  <si>
    <t>000000008209673110</t>
  </si>
  <si>
    <t>000000001209673145</t>
  </si>
  <si>
    <t>000000001209673049</t>
  </si>
  <si>
    <t>000000001209672990</t>
  </si>
  <si>
    <t>000000001209672979</t>
  </si>
  <si>
    <t>000000008209672966</t>
  </si>
  <si>
    <t>000000008209672999</t>
  </si>
  <si>
    <t>000000008209673002</t>
  </si>
  <si>
    <t>000000001209672974</t>
  </si>
  <si>
    <t>000000008209673079</t>
  </si>
  <si>
    <t>000000008209673083</t>
  </si>
  <si>
    <t>000000001209673151</t>
  </si>
  <si>
    <t>000000001209673087</t>
  </si>
  <si>
    <t>000000001209673043</t>
  </si>
  <si>
    <t>000000001209673114</t>
  </si>
  <si>
    <t>000000001209673098</t>
  </si>
  <si>
    <t>000000008209673038</t>
  </si>
  <si>
    <t>000000008209673041</t>
  </si>
  <si>
    <t>000000008209672969</t>
  </si>
  <si>
    <t>000000001209673055</t>
  </si>
  <si>
    <t>000000001209673085</t>
  </si>
  <si>
    <t>000000008209673108</t>
  </si>
  <si>
    <t>000000001209673093</t>
  </si>
  <si>
    <t>000000008209673141</t>
  </si>
  <si>
    <t>000000008209673143</t>
  </si>
  <si>
    <t>000000001209673146</t>
  </si>
  <si>
    <t>000000001209673149</t>
  </si>
  <si>
    <t>000000001209673048</t>
  </si>
  <si>
    <t>000000001209672976</t>
  </si>
  <si>
    <t>000000008209672968</t>
  </si>
  <si>
    <t>000000001209672981</t>
  </si>
  <si>
    <t>000000001209673014</t>
  </si>
  <si>
    <t>000000001209672973</t>
  </si>
  <si>
    <t>000000001209673050</t>
  </si>
  <si>
    <t>000000001209673150</t>
  </si>
  <si>
    <t>000000001209673082</t>
  </si>
  <si>
    <t>000000001209673042</t>
  </si>
  <si>
    <t>000000008209673111</t>
  </si>
  <si>
    <t>000000001209673115</t>
  </si>
  <si>
    <t>000000008209673035</t>
  </si>
  <si>
    <t>000000001209673011</t>
  </si>
  <si>
    <t>000000001209672980</t>
  </si>
  <si>
    <t>000000008209672998</t>
  </si>
  <si>
    <t>000000001209672972</t>
  </si>
  <si>
    <t>000000008209673076</t>
  </si>
  <si>
    <t>000000008209673003</t>
  </si>
  <si>
    <t>000000001209673088</t>
  </si>
  <si>
    <t>000000001209673047</t>
  </si>
  <si>
    <t>000000001209673119</t>
  </si>
  <si>
    <t>000000001209673148</t>
  </si>
  <si>
    <t>000000001209673120</t>
  </si>
  <si>
    <t>000000008209673037</t>
  </si>
  <si>
    <t>000000008209673039</t>
  </si>
  <si>
    <t>000000001209673012</t>
  </si>
  <si>
    <t>000000001209672970</t>
  </si>
  <si>
    <t>000000008209673001</t>
  </si>
  <si>
    <t>000000008209673077</t>
  </si>
  <si>
    <t>000000008209673081</t>
  </si>
  <si>
    <t>000000001209673154</t>
  </si>
  <si>
    <t>000000001209673045</t>
  </si>
  <si>
    <t>000000008209673112</t>
  </si>
  <si>
    <t>000000008209673140</t>
  </si>
  <si>
    <t>000000001209673113</t>
  </si>
  <si>
    <t>000000001209673142</t>
  </si>
  <si>
    <t>000000001209673008</t>
  </si>
  <si>
    <t>000000001209673009</t>
  </si>
  <si>
    <t>000000001209672977</t>
  </si>
  <si>
    <t>000000001209673010</t>
  </si>
  <si>
    <t>000000008209672967</t>
  </si>
  <si>
    <t>000000008209673000</t>
  </si>
  <si>
    <t>000000001209673005</t>
  </si>
  <si>
    <t>000000001209673103</t>
  </si>
  <si>
    <t>000000001209673122</t>
  </si>
  <si>
    <t>000000001209673044</t>
  </si>
  <si>
    <t>000000001209673046</t>
  </si>
  <si>
    <t>000000001209673117</t>
  </si>
  <si>
    <t>000000001209673147</t>
  </si>
  <si>
    <t>000000001209673007</t>
  </si>
  <si>
    <t>000000008209673036</t>
  </si>
  <si>
    <t>000000008209673040</t>
  </si>
  <si>
    <t>000000008209672997</t>
  </si>
  <si>
    <t>000000001209673121</t>
  </si>
  <si>
    <t>000000001209673004</t>
  </si>
  <si>
    <t>000000001209673084</t>
  </si>
  <si>
    <t>000000001209673086</t>
  </si>
  <si>
    <t>000000008209673109</t>
  </si>
  <si>
    <t>000000001209673094</t>
  </si>
  <si>
    <t>000000001209673144</t>
  </si>
  <si>
    <t>000000001209673116</t>
  </si>
  <si>
    <t>000000001209673118</t>
  </si>
  <si>
    <t>000000001209673247</t>
  </si>
  <si>
    <t>000000001209673265</t>
  </si>
  <si>
    <t>000000001209673219</t>
  </si>
  <si>
    <t>000000001209673171</t>
  </si>
  <si>
    <t>000000008209673169</t>
  </si>
  <si>
    <t>000000001209673284</t>
  </si>
  <si>
    <t>000000001209673195</t>
  </si>
  <si>
    <t>000000008209673208</t>
  </si>
  <si>
    <t>000000008209673211</t>
  </si>
  <si>
    <t>000000001209673179</t>
  </si>
  <si>
    <t>000000008209673239</t>
  </si>
  <si>
    <t>000000008209673242</t>
  </si>
  <si>
    <t>000000001209673289</t>
  </si>
  <si>
    <t>000000001209673245</t>
  </si>
  <si>
    <t>000000008209673257</t>
  </si>
  <si>
    <t>000000001209673248</t>
  </si>
  <si>
    <t>000000008209673183</t>
  </si>
  <si>
    <t>000000001209673216</t>
  </si>
  <si>
    <t>000000001209673217</t>
  </si>
  <si>
    <t>000000008209673187</t>
  </si>
  <si>
    <t>000000008209673188</t>
  </si>
  <si>
    <t>000000008209673190</t>
  </si>
  <si>
    <t>000000001209673176</t>
  </si>
  <si>
    <t>000000001209673254</t>
  </si>
  <si>
    <t>000000001209673246</t>
  </si>
  <si>
    <t>000000008209673255</t>
  </si>
  <si>
    <t>000000008209673260</t>
  </si>
  <si>
    <t>000000001209673249</t>
  </si>
  <si>
    <t>000000001209673266</t>
  </si>
  <si>
    <t>000000001209673293</t>
  </si>
  <si>
    <t>000000008209673185</t>
  </si>
  <si>
    <t>000000001209673250</t>
  </si>
  <si>
    <t>000000001209673251</t>
  </si>
  <si>
    <t>000000001209673204</t>
  </si>
  <si>
    <t>000000008209673282</t>
  </si>
  <si>
    <t>000000001209673286</t>
  </si>
  <si>
    <t>000000008209673209</t>
  </si>
  <si>
    <t>000000001209673177</t>
  </si>
  <si>
    <t>000000001209673212</t>
  </si>
  <si>
    <t>000000008209673241</t>
  </si>
  <si>
    <t>000000001209673259</t>
  </si>
  <si>
    <t>000000001209673218</t>
  </si>
  <si>
    <t>000000008209673170</t>
  </si>
  <si>
    <t>000000001209673192</t>
  </si>
  <si>
    <t>000000001209673172</t>
  </si>
  <si>
    <t>000000008209673283</t>
  </si>
  <si>
    <t>000000008209673207</t>
  </si>
  <si>
    <t>000000001209673287</t>
  </si>
  <si>
    <t>000000008209673238</t>
  </si>
  <si>
    <t>000000001209673290</t>
  </si>
  <si>
    <t>000000001209673291</t>
  </si>
  <si>
    <t>000000008209673186</t>
  </si>
  <si>
    <t>000000001209673173</t>
  </si>
  <si>
    <t>000000008209673280</t>
  </si>
  <si>
    <t>000000008209673206</t>
  </si>
  <si>
    <t>000000001209673213</t>
  </si>
  <si>
    <t>000000008209673243</t>
  </si>
  <si>
    <t>000000008209673258</t>
  </si>
  <si>
    <t>000000001209673261</t>
  </si>
  <si>
    <t>000000001209673262</t>
  </si>
  <si>
    <t>000000001209673263</t>
  </si>
  <si>
    <t>000000001209673264</t>
  </si>
  <si>
    <t>000000001209673294</t>
  </si>
  <si>
    <t>000000001209673175</t>
  </si>
  <si>
    <t>000000001209673194</t>
  </si>
  <si>
    <t>000000008209673281</t>
  </si>
  <si>
    <t>000000001209673253</t>
  </si>
  <si>
    <t>000000001209673285</t>
  </si>
  <si>
    <t>000000001209673196</t>
  </si>
  <si>
    <t>000000001209673178</t>
  </si>
  <si>
    <t>000000001209673215</t>
  </si>
  <si>
    <t>000000008209673256</t>
  </si>
  <si>
    <t>000000008209673184</t>
  </si>
  <si>
    <t>000000001209673267</t>
  </si>
  <si>
    <t>000000001209673191</t>
  </si>
  <si>
    <t>000000001209673220</t>
  </si>
  <si>
    <t>000000001209673252</t>
  </si>
  <si>
    <t>000000001209673193</t>
  </si>
  <si>
    <t>000000008209673279</t>
  </si>
  <si>
    <t>000000001209673222</t>
  </si>
  <si>
    <t>000000008209673210</t>
  </si>
  <si>
    <t>000000001209673181</t>
  </si>
  <si>
    <t>000000008209673240</t>
  </si>
  <si>
    <t>000000001209673197</t>
  </si>
  <si>
    <t>000000001209673292</t>
  </si>
  <si>
    <t>000000001209673198</t>
  </si>
  <si>
    <t>000000001209673268</t>
  </si>
  <si>
    <t>000000001209673189</t>
  </si>
  <si>
    <t>000000001209673221</t>
  </si>
  <si>
    <t>000000001209673174</t>
  </si>
  <si>
    <t>000000001209673214</t>
  </si>
  <si>
    <t>000000001209673288</t>
  </si>
  <si>
    <t>000000008209673180</t>
  </si>
  <si>
    <t>000000001209673244</t>
  </si>
  <si>
    <t>000000001209673360</t>
  </si>
  <si>
    <t>000000001209673410</t>
  </si>
  <si>
    <t>000000001209673370</t>
  </si>
  <si>
    <t>000000008209673347</t>
  </si>
  <si>
    <t>000000001209673390</t>
  </si>
  <si>
    <t>000000008209673350</t>
  </si>
  <si>
    <t>000000008209673397</t>
  </si>
  <si>
    <t>000000008209673398</t>
  </si>
  <si>
    <t>000000008209673399</t>
  </si>
  <si>
    <t>000000001209673330</t>
  </si>
  <si>
    <t>000000001209673377</t>
  </si>
  <si>
    <t>000000001209673407</t>
  </si>
  <si>
    <t>000000001209673408</t>
  </si>
  <si>
    <t>000000001209673337</t>
  </si>
  <si>
    <t>000000001209673361</t>
  </si>
  <si>
    <t>000000001209673338</t>
  </si>
  <si>
    <t>000000001209673383</t>
  </si>
  <si>
    <t>000000001209673388</t>
  </si>
  <si>
    <t>000000008209673365</t>
  </si>
  <si>
    <t>000000001209673411</t>
  </si>
  <si>
    <t>000000001209673378</t>
  </si>
  <si>
    <t>000000008209673364</t>
  </si>
  <si>
    <t>000000001209673387</t>
  </si>
  <si>
    <t>000000001209673340</t>
  </si>
  <si>
    <t>000000001209673371</t>
  </si>
  <si>
    <t>000000001209673372</t>
  </si>
  <si>
    <t>000000001209673375</t>
  </si>
  <si>
    <t>000000008209673324</t>
  </si>
  <si>
    <t>000000008209673326</t>
  </si>
  <si>
    <t>000000008209673328</t>
  </si>
  <si>
    <t>000000001209673405</t>
  </si>
  <si>
    <t>000000001209673331</t>
  </si>
  <si>
    <t>000000001209673359</t>
  </si>
  <si>
    <t>000000001209673339</t>
  </si>
  <si>
    <t>000000008209673363</t>
  </si>
  <si>
    <t>000000008209673366</t>
  </si>
  <si>
    <t>000000001209673373</t>
  </si>
  <si>
    <t>000000008209673323</t>
  </si>
  <si>
    <t>000000008209673402</t>
  </si>
  <si>
    <t>000000001209673369</t>
  </si>
  <si>
    <t>000000001209673389</t>
  </si>
  <si>
    <t>000000001209673349</t>
  </si>
  <si>
    <t>000000001209673352</t>
  </si>
  <si>
    <t>000000008209673327</t>
  </si>
  <si>
    <t>000000001209673353</t>
  </si>
  <si>
    <t>000000008209673401</t>
  </si>
  <si>
    <t>000000001209673403</t>
  </si>
  <si>
    <t>000000001209673404</t>
  </si>
  <si>
    <t>000000001209673332</t>
  </si>
  <si>
    <t>000000001209673409</t>
  </si>
  <si>
    <t>000000001209673334</t>
  </si>
  <si>
    <t>000000001209673381</t>
  </si>
  <si>
    <t>000000008209673382</t>
  </si>
  <si>
    <t>000000001209673385</t>
  </si>
  <si>
    <t>000000001209673351</t>
  </si>
  <si>
    <t>000000001209673329</t>
  </si>
  <si>
    <t>000000001209673335</t>
  </si>
  <si>
    <t>000000008209673380</t>
  </si>
  <si>
    <t>000000001209673386</t>
  </si>
  <si>
    <t>000000008209673346</t>
  </si>
  <si>
    <t>000000001209673374</t>
  </si>
  <si>
    <t>000000001209673376</t>
  </si>
  <si>
    <t>000000001209673354</t>
  </si>
  <si>
    <t>000000001209673333</t>
  </si>
  <si>
    <t>000000008209673379</t>
  </si>
  <si>
    <t>000000001209673384</t>
  </si>
  <si>
    <t>000000008209673367</t>
  </si>
  <si>
    <t>000000008209673368</t>
  </si>
  <si>
    <t>000000001209673348</t>
  </si>
  <si>
    <t>000000008209673325</t>
  </si>
  <si>
    <t>000000008209673400</t>
  </si>
  <si>
    <t>000000001209673406</t>
  </si>
  <si>
    <t>000000001209673476</t>
  </si>
  <si>
    <t>000000008209673444</t>
  </si>
  <si>
    <t>000000001209673433</t>
  </si>
  <si>
    <t>000000001209673434</t>
  </si>
  <si>
    <t>000000008209673424</t>
  </si>
  <si>
    <t>000000001209673450</t>
  </si>
  <si>
    <t>000000001209673462</t>
  </si>
  <si>
    <t>000000001209673464</t>
  </si>
  <si>
    <t>000000001209673479</t>
  </si>
  <si>
    <t>000000001209673447</t>
  </si>
  <si>
    <t>000000001209673474</t>
  </si>
  <si>
    <t>000000001209673428</t>
  </si>
  <si>
    <t>000000001209673487</t>
  </si>
  <si>
    <t>000000001209673445</t>
  </si>
  <si>
    <t>000000001209673429</t>
  </si>
  <si>
    <t>000000001209673484</t>
  </si>
  <si>
    <t>000000001209673469</t>
  </si>
  <si>
    <t>000000001209673478</t>
  </si>
  <si>
    <t>000000001209673472</t>
  </si>
  <si>
    <t>000000008209673460</t>
  </si>
  <si>
    <t>000000001209673481</t>
  </si>
  <si>
    <t>000000001209673437</t>
  </si>
  <si>
    <t>000000001209673451</t>
  </si>
  <si>
    <t>000000001209673461</t>
  </si>
  <si>
    <t>000000001209673463</t>
  </si>
  <si>
    <t>000000001209673475</t>
  </si>
  <si>
    <t>000000001209673477</t>
  </si>
  <si>
    <t>000000001209673489</t>
  </si>
  <si>
    <t>000000001209673452</t>
  </si>
  <si>
    <t>000000001209673438</t>
  </si>
  <si>
    <t>000000001209673436</t>
  </si>
  <si>
    <t>000000008209673439</t>
  </si>
  <si>
    <t>000000008209673441</t>
  </si>
  <si>
    <t>000000001209673443</t>
  </si>
  <si>
    <t>000000001209673488</t>
  </si>
  <si>
    <t>000000001209673432</t>
  </si>
  <si>
    <t>000000008209673425</t>
  </si>
  <si>
    <t>000000001209673430</t>
  </si>
  <si>
    <t>000000001209673449</t>
  </si>
  <si>
    <t>000000001209673482</t>
  </si>
  <si>
    <t>000000008209673459</t>
  </si>
  <si>
    <t>000000008209673427</t>
  </si>
  <si>
    <t>000000001209673431</t>
  </si>
  <si>
    <t>000000001209673485</t>
  </si>
  <si>
    <t>000000001209673486</t>
  </si>
  <si>
    <t>000000001209673467</t>
  </si>
  <si>
    <t>000000008209673442</t>
  </si>
  <si>
    <t>000000008209673470</t>
  </si>
  <si>
    <t>000000008209673471</t>
  </si>
  <si>
    <t>000000008209673423</t>
  </si>
  <si>
    <t>000000008209673426</t>
  </si>
  <si>
    <t>000000001209673465</t>
  </si>
  <si>
    <t>000000001209673483</t>
  </si>
  <si>
    <t>000000001209673466</t>
  </si>
  <si>
    <t>000000001209673435</t>
  </si>
  <si>
    <t>000000001209673453</t>
  </si>
  <si>
    <t>000000001209673468</t>
  </si>
  <si>
    <t>000000008209673440</t>
  </si>
  <si>
    <t>000000001209673446</t>
  </si>
  <si>
    <t>000000001209673454</t>
  </si>
  <si>
    <t>000000001209673473</t>
  </si>
  <si>
    <t>000000001209673448</t>
  </si>
  <si>
    <t>000000008209673458</t>
  </si>
  <si>
    <t>000000008209673480</t>
  </si>
  <si>
    <t>000000008209673422</t>
  </si>
  <si>
    <t>SUBIR</t>
  </si>
  <si>
    <t>DIARIO</t>
  </si>
  <si>
    <t>APROBAR</t>
  </si>
  <si>
    <t>CANTI P</t>
  </si>
  <si>
    <t>CONFIRMAR</t>
  </si>
  <si>
    <t>NOCTURNAS/PRIORIDADES</t>
  </si>
  <si>
    <t>LTX</t>
  </si>
  <si>
    <t>RESTO</t>
  </si>
  <si>
    <t>TOTAL</t>
  </si>
  <si>
    <t>RE PEDIDOS</t>
  </si>
  <si>
    <t>Total general</t>
  </si>
  <si>
    <t>(Todas)</t>
  </si>
  <si>
    <t>(Varios elementos)</t>
  </si>
  <si>
    <t>ESTADO2</t>
  </si>
  <si>
    <t>Suma de CANTIDAD</t>
  </si>
  <si>
    <t>Suma de CANTI P</t>
  </si>
  <si>
    <t xml:space="preserve"> 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</si>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</sst>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1" fillId="0" borderId="2" xfId="0" applyFont="1" applyBorder="1"/>
    <xf numFmtId="3" fontId="1" fillId="0" borderId="2" xfId="0" applyNumberFormat="1" applyFont="1" applyBorder="1"/>
    <xf numFmtId="0" fontId="6" fillId="3" borderId="2" xfId="0" applyFont="1" applyFill="1" applyBorder="1"/>
    <xf numFmtId="3" fontId="6" fillId="3" borderId="2" xfId="0" applyNumberFormat="1" applyFont="1" applyFill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STADO%20DE%20TIENDAS%202024.xlsx" TargetMode="External"/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ENDAS 2025"/>
      <sheetName val="TIENDAS EN INVENTARIO"/>
    </sheetNames>
    <sheetDataSet>
      <sheetData sheetId="0">
        <row r="1">
          <cell r="A1" t="str">
            <v>TIENDA</v>
          </cell>
          <cell r="B1" t="str">
            <v>TIENDAS ELITE</v>
          </cell>
          <cell r="C1" t="str">
            <v xml:space="preserve">LOCALIDAD </v>
          </cell>
        </row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09.294653703706" createdVersion="3" refreshedVersion="8" minRefreshableVersion="3" recordCount="3034" xr:uid="{447B0CEC-84E5-4DC8-B4B0-278C27F591B7}">
  <cacheSource type="worksheet">
    <worksheetSource ref="A1:P2990" sheet="TIENDAS 14-10-2026"/>
  </cacheSource>
  <cacheFields count="16">
    <cacheField name="PEDIDO" numFmtId="1">
      <sharedItems containsSemiMixedTypes="0" containsString="0" containsNumber="1" containsInteger="1" minValue="209652799" maxValue="8209673480"/>
    </cacheField>
    <cacheField name="COD TIENDA" numFmtId="0">
      <sharedItems/>
    </cacheField>
    <cacheField name="TIENDA" numFmtId="0">
      <sharedItems count="139">
        <s v="LA TORRE SALCAJA"/>
        <s v="LA TORRE CHIQUIMULA"/>
        <s v="LA TORRE COATEPEQUE 2"/>
        <s v="LA TORRE ZACAPA"/>
        <s v="LA TORRE TULAM TZU"/>
        <s v="LA TORRE METRONORTE"/>
        <s v="LA TORRE QUICHE"/>
        <s v="LA TORRE ROOSEVELT"/>
        <s v="LA TORRE ZACAPA 2"/>
        <s v="LA TORRE JOCOTENANGO"/>
        <s v="LA TORRE PANAJACHEL"/>
        <s v="LA TORRE ANTIGUA 3"/>
        <s v="LA TORRE MALACATAN"/>
        <s v="ECONOSUPER MILPAS ALTAS"/>
        <s v="LA TORRE HUEHUETENANGO"/>
        <s v="LA TORRE ARRAZOLA"/>
        <s v="LA TORRE PALMERAS"/>
        <s v="LA TORRE CHIMALTENANGO"/>
        <s v="LA TORRE SAN FRANCISCO"/>
        <s v="LA TORRE TOTONICAPAN"/>
        <s v="LA TORRE SALAMA"/>
        <s v="LA TORRE MARISCAL"/>
        <s v="LA TORRE SAN LUCAS"/>
        <s v="LA TORRE ENCINAL"/>
        <s v="LA TORRE XELA"/>
        <s v="LA TORRE GUASTATOYA"/>
        <s v="LA TORRE LA RADIAL"/>
        <s v="LA TORRE HUEHUETENANGO 2"/>
        <s v="LA TORRE MAZATENANGO"/>
        <s v="LA TORRE RIO DULCE"/>
        <s v="LA TORRE ZONA 16"/>
        <s v="LA TORRE INDEPENDENCIA"/>
        <s v="LA TORRE ZONA 11"/>
        <s v="LA TORRE MIRAFLORES"/>
        <s v="LA TORRE PETAPOLIS"/>
        <s v="LA TORRE MIXCO ZONA 1"/>
        <s v="LA TORRE ESCUINTLA 3"/>
        <s v="LA TORRE SAN JOSE PINULA 2"/>
        <s v="LA TORRE TRINIDAD"/>
        <s v="ECONOSUPER ZONA 6"/>
        <s v="ECONOSUPER LO DE FUENTES"/>
        <s v="LA TORRE POPTUN"/>
        <s v="LA TORRE PORTALES"/>
        <s v="LA TORRE TIQUISATE"/>
        <s v="LA TORRE SAN MIGUEL PETAPA"/>
        <s v="LA TORRE EL FRUTAL"/>
        <s v="LA TORRE ZONA 3"/>
        <s v="LA TORRE ZONA 13 AMERICAS"/>
        <s v="LA TORRE ZONA 15"/>
        <s v="LA TORRE EL NARANJO"/>
        <s v="LA TORRE ESCUINTLA 2"/>
        <s v="LA TORRE CIUDAD VIEJA"/>
        <s v="LA TORRE ZONA 5"/>
        <s v="ECONOSUPER NIMAJUYU"/>
        <s v="LA TORRE BARBERENA"/>
        <s v="LA TORRE LOS AMATES"/>
        <s v="LA TORRE COATEPEQUE"/>
        <s v="LA TORRE ZONA 10"/>
        <s v="LA TORRE MUXBAL"/>
        <s v="LA TORRE CENTRICO Z5"/>
        <s v="LA TORRE MADERO"/>
        <s v="LA TORRE BOCA DEL MONTE"/>
        <s v="LA TORRE PETAPA"/>
        <s v="LA TORRE SAN MARCOS"/>
        <s v="LA TORRE SANKRIS"/>
        <s v="LA TORRE SANTALU"/>
        <s v="LA TORRE SAN NICOLAS"/>
        <s v="LA TORRE PINARES"/>
        <s v="LA TORRE ANTIGUA 2"/>
        <s v="ECONO SUPER MAGNOLIA"/>
        <s v="LA TORRE OAKLAND"/>
        <s v="LA TORRE 20 CALLE"/>
        <s v="LA TORRE SAN ISIDRO"/>
        <s v="ECONOSUPER XELA"/>
        <s v="LA TORRE SAN IGNACIO"/>
        <s v="LA TORRE ZONA 4"/>
        <s v="LA TORRE FUTECA Z14"/>
        <s v="LA TORRE JALAPA"/>
        <s v="LA TORRE BARCENAS"/>
        <s v="LA TORRE JUTIAPA"/>
        <s v="LA TORRE VILLA CANALES"/>
        <s v="LA TORRE PALIN"/>
        <s v="LA TORRE SANTA LUCIA"/>
        <s v="ECONOSUPER BOULEVARD SUR"/>
        <s v="LA TORRE VILLALOBOS"/>
        <s v="LA TORRE SAN MIGUEL PETAPA 2"/>
        <s v="LA TORRE SAN RAFAEL"/>
        <s v="LA TORRE AMATITLAN"/>
        <s v="LA TORRE EL RODEO"/>
        <s v="LA TORRE MORALES"/>
        <s v="LA TORRE ATANACIO"/>
        <s v="LA TORRE ZONA 14"/>
        <s v="LA TORRE ZONA 19"/>
        <s v="LA TORRE JALAPA 2"/>
        <s v="LA TORRE MARISCAL 2"/>
        <s v="LA TORRE CENTRO"/>
        <s v="LA TORRE LA QUINTA"/>
        <s v="LA TORRE CAYALA"/>
        <s v="LA TORRE LIKIN"/>
        <s v="LA TORRE REFORMA"/>
        <s v="LA TORRE METROCENTRO"/>
        <s v="LA TORRE MITA"/>
        <s v="LT ANTIGUA 1"/>
        <s v="LA TORRE ESQUIPULAS"/>
        <s v="LA TORRE PUERTO BARRIOS"/>
        <s v="LT XELA 4"/>
        <s v="LA TORRE ESCALA"/>
        <s v="LA TORRE LINDAMAR"/>
        <s v="LA TORRE SAN BENITO"/>
        <s v="LA TORRE XELA 5"/>
        <s v="LA TORRE SANARATE"/>
        <s v="LA TORRE FRAIJANES"/>
        <s v="LA TORRE CARCHA"/>
        <s v="LA TORRE SAN JUAN"/>
        <s v="LA TORRE QUICHE 2"/>
        <s v="LA TORRE PETEN"/>
        <s v="LA TORRE LA GOMERA"/>
        <s v="LA TORRE CENTRASUR"/>
        <s v="LA TORRE CAYALA 2"/>
        <s v="LA TORRE COBAN"/>
        <s v="LA TORRE TECULUTAN"/>
        <s v="LA TORRE RETALHULEU"/>
        <s v="LT SAN JOSE PINULA 3"/>
        <s v="ECONOSUPER ZONA 2"/>
        <s v="LA TORRE SAN CRISTOBAL"/>
        <s v="LA TORRE PROCERES"/>
        <s v="LA TORRE MILPAS ALTAS"/>
        <s v="ECONOSUPER LA BRIGADA"/>
        <s v="LA TORRE VISTA HERMOSA 1"/>
        <s v="LA TORRE SAN JOSE PINULA"/>
        <s v="LA TORRE VILLA NUEVA"/>
        <s v="LA TORRE JALAPA 3"/>
        <s v="LA TORRE CUATRO CAMINOS"/>
        <s v="LA TORRE VILLA HERMOSA"/>
        <s v="LA TORRE XELA 3"/>
        <s v="LA TORRE PUERTO SAN JOSE"/>
        <s v="LA TORRE AMATITLAN2"/>
        <s v="LA TORRE CENTRANORTE"/>
        <s v="LA TORRE ZONA 2"/>
      </sharedItems>
    </cacheField>
    <cacheField name="FECHA CREACION" numFmtId="164">
      <sharedItems containsSemiMixedTypes="0" containsNonDate="0" containsDate="1" containsString="0" minDate="2026-10-10T17:02:57" maxDate="2026-10-14T12:20:41"/>
    </cacheField>
    <cacheField name="FECHA GENERACION" numFmtId="164">
      <sharedItems containsSemiMixedTypes="0" containsNonDate="0" containsDate="1" containsString="0" minDate="2026-10-10T11:02:55" maxDate="2026-10-14T06:20:39"/>
    </cacheField>
    <cacheField name="FECHA SERVICIO" numFmtId="164">
      <sharedItems containsSemiMixedTypes="0" containsNonDate="0" containsDate="1" containsString="0" minDate="2026-10-10T00:00:00" maxDate="2026-10-15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131"/>
    </cacheField>
    <cacheField name="ESTADO" numFmtId="0">
      <sharedItems/>
    </cacheField>
    <cacheField name="SUBIR" numFmtId="49">
      <sharedItems/>
    </cacheField>
    <cacheField name="DIARIO" numFmtId="0">
      <sharedItems containsBlank="1" count="3">
        <s v="BULTOS"/>
        <s v="DIARIO"/>
        <m/>
      </sharedItems>
    </cacheField>
    <cacheField name="ESTADO2" numFmtId="0">
      <sharedItems containsBlank="1" count="6">
        <s v="departamental"/>
        <s v="local"/>
        <s v="nocturna"/>
        <s v="prioridad"/>
        <s v="departamental "/>
        <m u="1"/>
      </sharedItems>
    </cacheField>
    <cacheField name="APROBAR" numFmtId="0">
      <sharedItems containsNonDate="0" containsString="0" containsBlank="1"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4">
  <r>
    <n v="209652799"/>
    <s v="280"/>
    <x v="0"/>
    <d v="2026-10-10T17:02:57"/>
    <d v="2026-10-10T11:02:55"/>
    <d v="2026-10-10T00:00:00"/>
    <s v=""/>
    <s v="CAJA"/>
    <n v="2"/>
    <s v="PENDIENTE APROBACION  ENVIO TMS"/>
    <s v="000000000209652799"/>
    <x v="0"/>
    <x v="0"/>
    <m/>
    <n v="1"/>
    <m/>
  </r>
  <r>
    <n v="209652812"/>
    <s v="47"/>
    <x v="1"/>
    <d v="2026-10-10T17:03:05"/>
    <d v="2026-10-10T11:03:02"/>
    <d v="2026-10-10T00:00:00"/>
    <s v=""/>
    <s v="CAJA"/>
    <n v="2"/>
    <s v="PENDIENTE APROBACION  ENVIO TMS"/>
    <s v="000000000209652812"/>
    <x v="0"/>
    <x v="0"/>
    <m/>
    <n v="1"/>
    <m/>
  </r>
  <r>
    <n v="1209653753"/>
    <s v="47"/>
    <x v="1"/>
    <d v="2026-10-11T11:06:49"/>
    <d v="2026-10-11T05:06:47"/>
    <d v="2026-10-11T00:00:00"/>
    <s v=""/>
    <s v="CAJA"/>
    <n v="1"/>
    <s v="PENDIENTE APROBACION  ENVIO TMS"/>
    <s v="000000001209653753"/>
    <x v="1"/>
    <x v="0"/>
    <m/>
    <n v="1"/>
    <m/>
  </r>
  <r>
    <n v="1209653752"/>
    <s v="47"/>
    <x v="1"/>
    <d v="2026-10-11T11:06:56"/>
    <d v="2026-10-11T05:06:54"/>
    <d v="2026-10-11T00:00:00"/>
    <s v=""/>
    <s v="CAJA"/>
    <n v="29"/>
    <s v="PENDIENTE APROBACION  ENVIO TMS"/>
    <s v="000000001209653752"/>
    <x v="1"/>
    <x v="0"/>
    <m/>
    <n v="1"/>
    <m/>
  </r>
  <r>
    <n v="1209653754"/>
    <s v="47"/>
    <x v="1"/>
    <d v="2026-10-11T11:07:00"/>
    <d v="2026-10-11T05:06:58"/>
    <d v="2026-10-11T00:00:00"/>
    <s v=""/>
    <s v="CAJA"/>
    <n v="34"/>
    <s v="PENDIENTE APROBACION  ENVIO TMS"/>
    <s v="000000001209653754"/>
    <x v="1"/>
    <x v="0"/>
    <m/>
    <n v="1"/>
    <m/>
  </r>
  <r>
    <n v="1209653748"/>
    <s v="47"/>
    <x v="1"/>
    <d v="2026-10-11T11:07:09"/>
    <d v="2026-10-11T05:07:06"/>
    <d v="2026-10-11T00:00:00"/>
    <s v=""/>
    <s v="CAJA"/>
    <n v="13"/>
    <s v="PENDIENTE APROBACION  ENVIO TMS"/>
    <s v="000000001209653748"/>
    <x v="1"/>
    <x v="0"/>
    <m/>
    <n v="1"/>
    <m/>
  </r>
  <r>
    <n v="1209653742"/>
    <s v="47"/>
    <x v="1"/>
    <d v="2026-10-11T11:07:20"/>
    <d v="2026-10-11T05:07:18"/>
    <d v="2026-10-11T00:00:00"/>
    <s v=""/>
    <s v="CAJA"/>
    <n v="2"/>
    <s v="PENDIENTE APROBACION  ENVIO TMS"/>
    <s v="000000001209653742"/>
    <x v="1"/>
    <x v="0"/>
    <m/>
    <n v="1"/>
    <m/>
  </r>
  <r>
    <n v="8209653743"/>
    <s v="47"/>
    <x v="1"/>
    <d v="2026-10-11T11:07:22"/>
    <d v="2026-10-11T05:07:19"/>
    <d v="2026-10-11T00:00:00"/>
    <s v=""/>
    <s v="UNIDAD"/>
    <n v="1"/>
    <s v="PENDIENTE APROBACION  ENVIO TMS"/>
    <s v="000000008209653743"/>
    <x v="2"/>
    <x v="0"/>
    <m/>
    <n v="1"/>
    <m/>
  </r>
  <r>
    <n v="1209653746"/>
    <s v="47"/>
    <x v="1"/>
    <d v="2026-10-11T11:07:24"/>
    <d v="2026-10-11T05:07:22"/>
    <d v="2026-10-11T00:00:00"/>
    <s v=""/>
    <s v="PACK"/>
    <n v="8"/>
    <s v="PENDIENTE APROBACION  ENVIO TMS"/>
    <s v="000000001209653746"/>
    <x v="1"/>
    <x v="0"/>
    <m/>
    <n v="1"/>
    <m/>
  </r>
  <r>
    <n v="1209653755"/>
    <s v="47"/>
    <x v="1"/>
    <d v="2026-10-11T11:07:26"/>
    <d v="2026-10-11T05:07:23"/>
    <d v="2026-10-11T00:00:00"/>
    <s v=""/>
    <s v="PACK"/>
    <n v="49"/>
    <s v="PENDIENTE APROBACION  ENVIO TMS"/>
    <s v="000000001209653755"/>
    <x v="1"/>
    <x v="0"/>
    <m/>
    <n v="1"/>
    <m/>
  </r>
  <r>
    <n v="1209653749"/>
    <s v="47"/>
    <x v="1"/>
    <d v="2026-10-11T11:07:33"/>
    <d v="2026-10-11T05:07:30"/>
    <d v="2026-10-11T00:00:00"/>
    <s v=""/>
    <s v="CAJA"/>
    <n v="14"/>
    <s v="PENDIENTE APROBACION  ENVIO TMS"/>
    <s v="000000001209653749"/>
    <x v="1"/>
    <x v="0"/>
    <m/>
    <n v="1"/>
    <m/>
  </r>
  <r>
    <n v="1209653747"/>
    <s v="47"/>
    <x v="1"/>
    <d v="2026-10-11T11:07:49"/>
    <d v="2026-10-11T05:07:47"/>
    <d v="2026-10-11T00:00:00"/>
    <s v=""/>
    <s v="CAJA"/>
    <n v="13"/>
    <s v="PENDIENTE APROBACION  ENVIO TMS"/>
    <s v="000000001209653747"/>
    <x v="1"/>
    <x v="0"/>
    <m/>
    <n v="1"/>
    <m/>
  </r>
  <r>
    <n v="8209653739"/>
    <s v="47"/>
    <x v="1"/>
    <d v="2026-10-11T11:08:00"/>
    <d v="2026-10-11T05:07:58"/>
    <d v="2026-10-11T00:00:00"/>
    <s v=""/>
    <s v="UNIDAD"/>
    <n v="1"/>
    <s v="PENDIENTE APROBACION  ENVIO TMS"/>
    <s v="000000008209653739"/>
    <x v="2"/>
    <x v="0"/>
    <m/>
    <n v="1"/>
    <m/>
  </r>
  <r>
    <n v="8209653741"/>
    <s v="47"/>
    <x v="1"/>
    <d v="2026-10-11T11:08:21"/>
    <d v="2026-10-11T05:08:19"/>
    <d v="2026-10-11T00:00:00"/>
    <s v=""/>
    <s v="UNIDAD"/>
    <n v="2"/>
    <s v="PENDIENTE APROBACION  ENVIO TMS"/>
    <s v="000000008209653741"/>
    <x v="2"/>
    <x v="0"/>
    <m/>
    <n v="1"/>
    <m/>
  </r>
  <r>
    <n v="8209653744"/>
    <s v="47"/>
    <x v="1"/>
    <d v="2026-10-11T11:08:23"/>
    <d v="2026-10-11T05:08:21"/>
    <d v="2026-10-11T00:00:00"/>
    <s v=""/>
    <s v="UNIDAD"/>
    <n v="1"/>
    <s v="PENDIENTE APROBACION  ENVIO TMS"/>
    <s v="000000008209653744"/>
    <x v="2"/>
    <x v="0"/>
    <m/>
    <n v="1"/>
    <m/>
  </r>
  <r>
    <n v="8209653745"/>
    <s v="47"/>
    <x v="1"/>
    <d v="2026-10-11T11:08:25"/>
    <d v="2026-10-11T05:08:22"/>
    <d v="2026-10-11T00:00:00"/>
    <s v=""/>
    <s v="UNIDAD"/>
    <n v="7"/>
    <s v="PENDIENTE APROBACION  ENVIO TMS"/>
    <s v="000000008209653745"/>
    <x v="2"/>
    <x v="0"/>
    <m/>
    <n v="1"/>
    <m/>
  </r>
  <r>
    <n v="1209653750"/>
    <s v="47"/>
    <x v="1"/>
    <d v="2026-10-11T11:08:51"/>
    <d v="2026-10-11T05:08:49"/>
    <d v="2026-10-11T00:00:00"/>
    <s v=""/>
    <s v="PACK"/>
    <n v="21"/>
    <s v="PENDIENTE APROBACION  ENVIO TMS"/>
    <s v="000000001209653750"/>
    <x v="1"/>
    <x v="0"/>
    <m/>
    <n v="1"/>
    <m/>
  </r>
  <r>
    <n v="8209653740"/>
    <s v="47"/>
    <x v="1"/>
    <d v="2026-10-11T11:08:58"/>
    <d v="2026-10-11T05:08:56"/>
    <d v="2026-10-11T00:00:00"/>
    <s v=""/>
    <s v="UNIDAD"/>
    <n v="1"/>
    <s v="PENDIENTE APROBACION  ENVIO TMS"/>
    <s v="000000008209653740"/>
    <x v="2"/>
    <x v="0"/>
    <m/>
    <n v="1"/>
    <m/>
  </r>
  <r>
    <n v="1209653751"/>
    <s v="47"/>
    <x v="1"/>
    <d v="2026-10-11T11:09:00"/>
    <d v="2026-10-11T05:08:57"/>
    <d v="2026-10-11T00:00:00"/>
    <s v=""/>
    <s v="CAJA"/>
    <n v="23"/>
    <s v="PENDIENTE APROBACION  ENVIO TMS"/>
    <s v="000000001209653751"/>
    <x v="1"/>
    <x v="0"/>
    <m/>
    <n v="1"/>
    <m/>
  </r>
  <r>
    <n v="1209655356"/>
    <s v="280"/>
    <x v="0"/>
    <d v="2026-10-11T12:32:00"/>
    <d v="2026-10-11T06:31:57"/>
    <d v="2026-10-11T00:00:00"/>
    <s v=""/>
    <s v="CAJA"/>
    <n v="35"/>
    <s v="PENDIENTE APROBACION  ENVIO TMS"/>
    <s v="000000001209655356"/>
    <x v="1"/>
    <x v="0"/>
    <m/>
    <n v="1"/>
    <m/>
  </r>
  <r>
    <n v="1209655353"/>
    <s v="280"/>
    <x v="0"/>
    <d v="2026-10-11T12:32:34"/>
    <d v="2026-10-11T06:32:31"/>
    <d v="2026-10-11T00:00:00"/>
    <s v=""/>
    <s v="CAJA"/>
    <n v="15"/>
    <s v="PENDIENTE APROBACION  ENVIO TMS"/>
    <s v="000000001209655353"/>
    <x v="1"/>
    <x v="0"/>
    <m/>
    <n v="1"/>
    <m/>
  </r>
  <r>
    <n v="8209655358"/>
    <s v="280"/>
    <x v="0"/>
    <d v="2026-10-11T12:32:47"/>
    <d v="2026-10-11T06:32:45"/>
    <d v="2026-10-11T00:00:00"/>
    <s v=""/>
    <s v="UNIDAD"/>
    <n v="4"/>
    <s v="PENDIENTE APROBACION  ENVIO TMS"/>
    <s v="000000008209655358"/>
    <x v="2"/>
    <x v="0"/>
    <m/>
    <n v="1"/>
    <m/>
  </r>
  <r>
    <n v="8209655348"/>
    <s v="280"/>
    <x v="0"/>
    <d v="2026-10-11T12:32:53"/>
    <d v="2026-10-11T06:32:50"/>
    <d v="2026-10-11T00:00:00"/>
    <s v=""/>
    <s v="UNIDAD"/>
    <n v="3"/>
    <s v="PENDIENTE APROBACION  ENVIO TMS"/>
    <s v="000000008209655348"/>
    <x v="2"/>
    <x v="0"/>
    <m/>
    <n v="1"/>
    <m/>
  </r>
  <r>
    <n v="1209655354"/>
    <s v="280"/>
    <x v="0"/>
    <d v="2026-10-11T12:32:55"/>
    <d v="2026-10-11T06:32:53"/>
    <d v="2026-10-11T00:00:00"/>
    <s v=""/>
    <s v="PACK"/>
    <n v="13"/>
    <s v="PENDIENTE APROBACION  ENVIO TMS"/>
    <s v="000000001209655354"/>
    <x v="1"/>
    <x v="0"/>
    <m/>
    <n v="1"/>
    <m/>
  </r>
  <r>
    <n v="1209655357"/>
    <s v="280"/>
    <x v="0"/>
    <d v="2026-10-11T12:32:59"/>
    <d v="2026-10-11T06:32:57"/>
    <d v="2026-10-11T00:00:00"/>
    <s v=""/>
    <s v="PACK"/>
    <n v="58"/>
    <s v="PENDIENTE APROBACION  ENVIO TMS"/>
    <s v="000000001209655357"/>
    <x v="1"/>
    <x v="0"/>
    <m/>
    <n v="1"/>
    <m/>
  </r>
  <r>
    <n v="8209655347"/>
    <s v="280"/>
    <x v="0"/>
    <d v="2026-10-11T12:33:07"/>
    <d v="2026-10-11T06:33:05"/>
    <d v="2026-10-11T00:00:00"/>
    <s v=""/>
    <s v="UNIDAD"/>
    <n v="4"/>
    <s v="PENDIENTE APROBACION  ENVIO TMS"/>
    <s v="000000008209655347"/>
    <x v="2"/>
    <x v="0"/>
    <m/>
    <n v="1"/>
    <m/>
  </r>
  <r>
    <n v="8209655349"/>
    <s v="280"/>
    <x v="0"/>
    <d v="2026-10-11T12:33:09"/>
    <d v="2026-10-11T06:33:06"/>
    <d v="2026-10-11T00:00:00"/>
    <s v=""/>
    <s v="UNIDAD"/>
    <n v="3"/>
    <s v="PENDIENTE APROBACION  ENVIO TMS"/>
    <s v="000000008209655349"/>
    <x v="2"/>
    <x v="0"/>
    <m/>
    <n v="1"/>
    <m/>
  </r>
  <r>
    <n v="1209655359"/>
    <s v="280"/>
    <x v="0"/>
    <d v="2026-10-11T12:33:16"/>
    <d v="2026-10-11T06:33:14"/>
    <d v="2026-10-11T00:00:00"/>
    <s v=""/>
    <s v="PACK"/>
    <n v="21"/>
    <s v="PENDIENTE APROBACION  ENVIO TMS"/>
    <s v="000000001209655359"/>
    <x v="1"/>
    <x v="0"/>
    <m/>
    <n v="1"/>
    <m/>
  </r>
  <r>
    <n v="8209655346"/>
    <s v="280"/>
    <x v="0"/>
    <d v="2026-10-11T12:33:24"/>
    <d v="2026-10-11T06:33:21"/>
    <d v="2026-10-11T00:00:00"/>
    <s v=""/>
    <s v="UNIDAD"/>
    <n v="7"/>
    <s v="PENDIENTE APROBACION  ENVIO TMS"/>
    <s v="000000008209655346"/>
    <x v="2"/>
    <x v="0"/>
    <m/>
    <n v="1"/>
    <m/>
  </r>
  <r>
    <n v="1209655352"/>
    <s v="280"/>
    <x v="0"/>
    <d v="2026-10-11T12:33:32"/>
    <d v="2026-10-11T06:33:29"/>
    <d v="2026-10-11T00:00:00"/>
    <s v=""/>
    <s v="PACK"/>
    <n v="14"/>
    <s v="PENDIENTE APROBACION  ENVIO TMS"/>
    <s v="000000001209655352"/>
    <x v="1"/>
    <x v="0"/>
    <m/>
    <n v="1"/>
    <m/>
  </r>
  <r>
    <n v="1209655351"/>
    <s v="280"/>
    <x v="0"/>
    <d v="2026-10-11T12:33:47"/>
    <d v="2026-10-11T06:33:45"/>
    <d v="2026-10-11T00:00:00"/>
    <s v=""/>
    <s v="CAJA"/>
    <n v="12"/>
    <s v="PENDIENTE APROBACION  ENVIO TMS"/>
    <s v="000000001209655351"/>
    <x v="1"/>
    <x v="0"/>
    <m/>
    <n v="1"/>
    <m/>
  </r>
  <r>
    <n v="8209655345"/>
    <s v="280"/>
    <x v="0"/>
    <d v="2026-10-11T12:33:47"/>
    <d v="2026-10-11T06:33:43"/>
    <d v="2026-10-11T00:00:00"/>
    <s v=""/>
    <s v="UNIDAD"/>
    <n v="7"/>
    <s v="PENDIENTE APROBACION  ENVIO TMS"/>
    <s v="000000008209655345"/>
    <x v="2"/>
    <x v="0"/>
    <m/>
    <n v="1"/>
    <m/>
  </r>
  <r>
    <n v="1209655355"/>
    <s v="280"/>
    <x v="0"/>
    <d v="2026-10-11T12:33:49"/>
    <d v="2026-10-11T06:33:46"/>
    <d v="2026-10-11T00:00:00"/>
    <s v=""/>
    <s v="CAJA"/>
    <n v="8"/>
    <s v="PENDIENTE APROBACION  ENVIO TMS"/>
    <s v="000000001209655355"/>
    <x v="1"/>
    <x v="0"/>
    <m/>
    <n v="1"/>
    <m/>
  </r>
  <r>
    <n v="1209655350"/>
    <s v="280"/>
    <x v="0"/>
    <d v="2026-10-11T12:33:58"/>
    <d v="2026-10-11T06:33:56"/>
    <d v="2026-10-11T00:00:00"/>
    <s v=""/>
    <s v="CAJA"/>
    <n v="5"/>
    <s v="PENDIENTE APROBACION  ENVIO TMS"/>
    <s v="000000001209655350"/>
    <x v="1"/>
    <x v="0"/>
    <m/>
    <n v="1"/>
    <m/>
  </r>
  <r>
    <n v="8209657723"/>
    <s v="47"/>
    <x v="1"/>
    <d v="2026-10-12T09:43:59"/>
    <d v="2026-10-12T03:43:56"/>
    <d v="2026-10-12T00:00:00"/>
    <s v=""/>
    <s v="UNIDAD"/>
    <n v="3"/>
    <s v="PENDIENTE APROBACION  ENVIO TMS"/>
    <s v="000000008209657723"/>
    <x v="2"/>
    <x v="0"/>
    <m/>
    <n v="1"/>
    <m/>
  </r>
  <r>
    <n v="1209657727"/>
    <s v="47"/>
    <x v="1"/>
    <d v="2026-10-12T09:44:01"/>
    <d v="2026-10-12T03:43:59"/>
    <d v="2026-10-12T00:00:00"/>
    <s v=""/>
    <s v="CAJA"/>
    <n v="11"/>
    <s v="PENDIENTE APROBACION  ENVIO TMS"/>
    <s v="000000001209657727"/>
    <x v="1"/>
    <x v="0"/>
    <m/>
    <n v="1"/>
    <m/>
  </r>
  <r>
    <n v="1209657728"/>
    <s v="47"/>
    <x v="1"/>
    <d v="2026-10-12T09:44:02"/>
    <d v="2026-10-12T03:44:00"/>
    <d v="2026-10-12T00:00:00"/>
    <s v=""/>
    <s v="PACK"/>
    <n v="22"/>
    <s v="PENDIENTE APROBACION  ENVIO TMS"/>
    <s v="000000001209657728"/>
    <x v="1"/>
    <x v="0"/>
    <m/>
    <n v="1"/>
    <m/>
  </r>
  <r>
    <n v="1209657735"/>
    <s v="47"/>
    <x v="1"/>
    <d v="2026-10-12T09:44:05"/>
    <d v="2026-10-12T03:44:02"/>
    <d v="2026-10-12T00:00:00"/>
    <s v=""/>
    <s v="CAJA"/>
    <n v="1"/>
    <s v="PENDIENTE APROBACION  ENVIO TMS"/>
    <s v="000000001209657735"/>
    <x v="1"/>
    <x v="0"/>
    <m/>
    <n v="1"/>
    <m/>
  </r>
  <r>
    <n v="1209657729"/>
    <s v="47"/>
    <x v="1"/>
    <d v="2026-10-12T09:44:13"/>
    <d v="2026-10-12T03:44:11"/>
    <d v="2026-10-12T00:00:00"/>
    <s v=""/>
    <s v="CAJA"/>
    <n v="17"/>
    <s v="PENDIENTE APROBACION  ENVIO TMS"/>
    <s v="000000001209657729"/>
    <x v="1"/>
    <x v="0"/>
    <m/>
    <n v="1"/>
    <m/>
  </r>
  <r>
    <n v="1209657736"/>
    <s v="47"/>
    <x v="1"/>
    <d v="2026-10-12T09:44:31"/>
    <d v="2026-10-12T03:44:28"/>
    <d v="2026-10-12T00:00:00"/>
    <s v=""/>
    <s v="CAJA"/>
    <n v="7"/>
    <s v="PENDIENTE APROBACION  ENVIO TMS"/>
    <s v="000000001209657736"/>
    <x v="1"/>
    <x v="0"/>
    <m/>
    <n v="1"/>
    <m/>
  </r>
  <r>
    <n v="1209657738"/>
    <s v="47"/>
    <x v="1"/>
    <d v="2026-10-12T09:44:35"/>
    <d v="2026-10-12T03:44:33"/>
    <d v="2026-10-12T00:00:00"/>
    <s v=""/>
    <s v="CAJA"/>
    <n v="23"/>
    <s v="PENDIENTE APROBACION  ENVIO TMS"/>
    <s v="000000001209657738"/>
    <x v="1"/>
    <x v="0"/>
    <m/>
    <n v="1"/>
    <m/>
  </r>
  <r>
    <n v="1209657730"/>
    <s v="47"/>
    <x v="1"/>
    <d v="2026-10-12T09:44:43"/>
    <d v="2026-10-12T03:44:40"/>
    <d v="2026-10-12T00:00:00"/>
    <s v=""/>
    <s v="PACK"/>
    <n v="19"/>
    <s v="PENDIENTE APROBACION  ENVIO TMS"/>
    <s v="000000001209657730"/>
    <x v="1"/>
    <x v="0"/>
    <m/>
    <n v="1"/>
    <m/>
  </r>
  <r>
    <n v="1209657731"/>
    <s v="47"/>
    <x v="1"/>
    <d v="2026-10-12T09:44:44"/>
    <d v="2026-10-12T03:44:41"/>
    <d v="2026-10-12T00:00:00"/>
    <s v=""/>
    <s v="CAJA"/>
    <n v="14"/>
    <s v="PENDIENTE APROBACION  ENVIO TMS"/>
    <s v="000000001209657731"/>
    <x v="1"/>
    <x v="0"/>
    <m/>
    <n v="1"/>
    <m/>
  </r>
  <r>
    <n v="8209657734"/>
    <s v="47"/>
    <x v="1"/>
    <d v="2026-10-12T09:44:46"/>
    <d v="2026-10-12T03:44:43"/>
    <d v="2026-10-12T00:00:00"/>
    <s v=""/>
    <s v="UNIDAD"/>
    <n v="4"/>
    <s v="PENDIENTE APROBACION  ENVIO TMS"/>
    <s v="000000008209657734"/>
    <x v="2"/>
    <x v="0"/>
    <m/>
    <n v="1"/>
    <m/>
  </r>
  <r>
    <n v="1209657737"/>
    <s v="47"/>
    <x v="1"/>
    <d v="2026-10-12T09:44:47"/>
    <d v="2026-10-12T03:44:44"/>
    <d v="2026-10-12T00:00:00"/>
    <s v=""/>
    <s v="CAJA"/>
    <n v="19"/>
    <s v="PENDIENTE APROBACION  ENVIO TMS"/>
    <s v="000000001209657737"/>
    <x v="1"/>
    <x v="0"/>
    <m/>
    <n v="1"/>
    <m/>
  </r>
  <r>
    <n v="8209657722"/>
    <s v="47"/>
    <x v="1"/>
    <d v="2026-10-12T09:45:02"/>
    <d v="2026-10-12T03:45:00"/>
    <d v="2026-10-12T00:00:00"/>
    <s v=""/>
    <s v="UNIDAD"/>
    <n v="1"/>
    <s v="PENDIENTE APROBACION  ENVIO TMS"/>
    <s v="000000008209657722"/>
    <x v="2"/>
    <x v="0"/>
    <m/>
    <n v="1"/>
    <m/>
  </r>
  <r>
    <n v="8209657725"/>
    <s v="47"/>
    <x v="1"/>
    <d v="2026-10-12T09:45:03"/>
    <d v="2026-10-12T03:45:01"/>
    <d v="2026-10-12T00:00:00"/>
    <s v=""/>
    <s v="UNIDAD"/>
    <n v="4"/>
    <s v="PENDIENTE APROBACION  ENVIO TMS"/>
    <s v="000000008209657725"/>
    <x v="2"/>
    <x v="0"/>
    <m/>
    <n v="1"/>
    <m/>
  </r>
  <r>
    <n v="8209657733"/>
    <s v="47"/>
    <x v="1"/>
    <d v="2026-10-12T09:45:13"/>
    <d v="2026-10-12T03:45:10"/>
    <d v="2026-10-12T00:00:00"/>
    <s v=""/>
    <s v="UNIDAD"/>
    <n v="1"/>
    <s v="PENDIENTE APROBACION  ENVIO TMS"/>
    <s v="000000008209657733"/>
    <x v="2"/>
    <x v="0"/>
    <m/>
    <n v="1"/>
    <m/>
  </r>
  <r>
    <n v="8209657724"/>
    <s v="47"/>
    <x v="1"/>
    <d v="2026-10-12T09:45:24"/>
    <d v="2026-10-12T03:45:21"/>
    <d v="2026-10-12T00:00:00"/>
    <s v=""/>
    <s v="UNIDAD"/>
    <n v="1"/>
    <s v="PENDIENTE APROBACION  ENVIO TMS"/>
    <s v="000000008209657724"/>
    <x v="2"/>
    <x v="0"/>
    <m/>
    <n v="1"/>
    <m/>
  </r>
  <r>
    <n v="1209657732"/>
    <s v="47"/>
    <x v="1"/>
    <d v="2026-10-12T09:45:27"/>
    <d v="2026-10-12T03:45:25"/>
    <d v="2026-10-12T00:00:00"/>
    <s v=""/>
    <s v="PACK"/>
    <n v="21"/>
    <s v="PENDIENTE APROBACION  ENVIO TMS"/>
    <s v="000000001209657732"/>
    <x v="1"/>
    <x v="0"/>
    <m/>
    <n v="1"/>
    <m/>
  </r>
  <r>
    <n v="8209660925"/>
    <s v="280"/>
    <x v="0"/>
    <d v="2026-10-12T11:19:06"/>
    <d v="2026-10-12T05:19:03"/>
    <d v="2026-10-12T00:00:00"/>
    <s v=""/>
    <s v="UNIDAD"/>
    <n v="1"/>
    <s v="PENDIENTE APROBACION  ENVIO TMS"/>
    <s v="000000008209660925"/>
    <x v="2"/>
    <x v="0"/>
    <m/>
    <n v="1"/>
    <m/>
  </r>
  <r>
    <n v="8209660920"/>
    <s v="280"/>
    <x v="0"/>
    <d v="2026-10-12T11:19:25"/>
    <d v="2026-10-12T05:19:23"/>
    <d v="2026-10-12T00:00:00"/>
    <s v=""/>
    <s v="UNIDAD"/>
    <n v="2"/>
    <s v="PENDIENTE APROBACION  ENVIO TMS"/>
    <s v="000000008209660920"/>
    <x v="2"/>
    <x v="0"/>
    <m/>
    <n v="1"/>
    <m/>
  </r>
  <r>
    <n v="1209660926"/>
    <s v="280"/>
    <x v="0"/>
    <d v="2026-10-12T11:19:26"/>
    <d v="2026-10-12T05:19:24"/>
    <d v="2026-10-12T00:00:00"/>
    <s v=""/>
    <s v="CAJA"/>
    <n v="1"/>
    <s v="PENDIENTE APROBACION  ENVIO TMS"/>
    <s v="000000001209660926"/>
    <x v="1"/>
    <x v="0"/>
    <m/>
    <n v="1"/>
    <m/>
  </r>
  <r>
    <n v="1209660930"/>
    <s v="280"/>
    <x v="0"/>
    <d v="2026-10-12T11:19:29"/>
    <d v="2026-10-12T05:19:26"/>
    <d v="2026-10-12T00:00:00"/>
    <s v=""/>
    <s v="CAJA"/>
    <n v="9"/>
    <s v="PENDIENTE APROBACION  ENVIO TMS"/>
    <s v="000000001209660930"/>
    <x v="1"/>
    <x v="0"/>
    <m/>
    <n v="1"/>
    <m/>
  </r>
  <r>
    <n v="1209660931"/>
    <s v="280"/>
    <x v="0"/>
    <d v="2026-10-12T11:19:31"/>
    <d v="2026-10-12T05:19:28"/>
    <d v="2026-10-12T00:00:00"/>
    <s v=""/>
    <s v="PACK"/>
    <n v="8"/>
    <s v="PENDIENTE APROBACION  ENVIO TMS"/>
    <s v="000000001209660931"/>
    <x v="1"/>
    <x v="0"/>
    <m/>
    <n v="1"/>
    <m/>
  </r>
  <r>
    <n v="8209660924"/>
    <s v="280"/>
    <x v="0"/>
    <d v="2026-10-12T11:20:01"/>
    <d v="2026-10-12T05:19:58"/>
    <d v="2026-10-12T00:00:00"/>
    <s v=""/>
    <s v="UNIDAD"/>
    <n v="1"/>
    <s v="PENDIENTE APROBACION  ENVIO TMS"/>
    <s v="000000008209660924"/>
    <x v="2"/>
    <x v="0"/>
    <m/>
    <n v="1"/>
    <m/>
  </r>
  <r>
    <n v="1209660928"/>
    <s v="280"/>
    <x v="0"/>
    <d v="2026-10-12T11:20:04"/>
    <d v="2026-10-12T05:20:01"/>
    <d v="2026-10-12T00:00:00"/>
    <s v=""/>
    <s v="CAJA"/>
    <n v="5"/>
    <s v="PENDIENTE APROBACION  ENVIO TMS"/>
    <s v="000000001209660928"/>
    <x v="1"/>
    <x v="0"/>
    <m/>
    <n v="1"/>
    <m/>
  </r>
  <r>
    <n v="1209660932"/>
    <s v="280"/>
    <x v="0"/>
    <d v="2026-10-12T11:20:05"/>
    <d v="2026-10-12T05:20:03"/>
    <d v="2026-10-12T00:00:00"/>
    <s v=""/>
    <s v="PACK"/>
    <n v="19"/>
    <s v="PENDIENTE APROBACION  ENVIO TMS"/>
    <s v="000000001209660932"/>
    <x v="1"/>
    <x v="0"/>
    <m/>
    <n v="1"/>
    <m/>
  </r>
  <r>
    <n v="8209660921"/>
    <s v="280"/>
    <x v="0"/>
    <d v="2026-10-12T11:20:26"/>
    <d v="2026-10-12T05:20:23"/>
    <d v="2026-10-12T00:00:00"/>
    <s v=""/>
    <s v="UNIDAD"/>
    <n v="3"/>
    <s v="PENDIENTE APROBACION  ENVIO TMS"/>
    <s v="000000008209660921"/>
    <x v="2"/>
    <x v="0"/>
    <m/>
    <n v="1"/>
    <m/>
  </r>
  <r>
    <n v="8209660923"/>
    <s v="280"/>
    <x v="0"/>
    <d v="2026-10-12T11:20:27"/>
    <d v="2026-10-12T05:20:24"/>
    <d v="2026-10-12T00:00:00"/>
    <s v=""/>
    <s v="UNIDAD"/>
    <n v="6"/>
    <s v="PENDIENTE APROBACION  ENVIO TMS"/>
    <s v="000000008209660923"/>
    <x v="2"/>
    <x v="0"/>
    <m/>
    <n v="1"/>
    <m/>
  </r>
  <r>
    <n v="8209660919"/>
    <s v="280"/>
    <x v="0"/>
    <d v="2026-10-12T11:20:42"/>
    <d v="2026-10-12T05:20:39"/>
    <d v="2026-10-12T00:00:00"/>
    <s v=""/>
    <s v="UNIDAD"/>
    <n v="4"/>
    <s v="PENDIENTE APROBACION  ENVIO TMS"/>
    <s v="000000008209660919"/>
    <x v="2"/>
    <x v="0"/>
    <m/>
    <n v="1"/>
    <m/>
  </r>
  <r>
    <n v="1209660927"/>
    <s v="280"/>
    <x v="0"/>
    <d v="2026-10-12T11:20:44"/>
    <d v="2026-10-12T05:20:41"/>
    <d v="2026-10-12T00:00:00"/>
    <s v=""/>
    <s v="PACK"/>
    <n v="6"/>
    <s v="PENDIENTE APROBACION  ENVIO TMS"/>
    <s v="000000001209660927"/>
    <x v="1"/>
    <x v="0"/>
    <m/>
    <n v="1"/>
    <m/>
  </r>
  <r>
    <n v="1209660929"/>
    <s v="280"/>
    <x v="0"/>
    <d v="2026-10-12T11:20:45"/>
    <d v="2026-10-12T05:20:43"/>
    <d v="2026-10-12T00:00:00"/>
    <s v=""/>
    <s v="CAJA"/>
    <n v="13"/>
    <s v="PENDIENTE APROBACION  ENVIO TMS"/>
    <s v="000000001209660929"/>
    <x v="1"/>
    <x v="0"/>
    <m/>
    <n v="1"/>
    <m/>
  </r>
  <r>
    <n v="1209660934"/>
    <s v="280"/>
    <x v="0"/>
    <d v="2026-10-12T11:20:46"/>
    <d v="2026-10-12T05:20:44"/>
    <d v="2026-10-12T00:00:00"/>
    <s v=""/>
    <s v="CAJA"/>
    <n v="27"/>
    <s v="PENDIENTE APROBACION  ENVIO TMS"/>
    <s v="000000001209660934"/>
    <x v="1"/>
    <x v="0"/>
    <m/>
    <n v="1"/>
    <m/>
  </r>
  <r>
    <n v="1209660935"/>
    <s v="280"/>
    <x v="0"/>
    <d v="2026-10-12T11:20:48"/>
    <d v="2026-10-12T05:20:45"/>
    <d v="2026-10-12T00:00:00"/>
    <s v=""/>
    <s v="PACK"/>
    <n v="42"/>
    <s v="PENDIENTE APROBACION  ENVIO TMS"/>
    <s v="000000001209660935"/>
    <x v="1"/>
    <x v="0"/>
    <m/>
    <n v="1"/>
    <m/>
  </r>
  <r>
    <n v="8209660922"/>
    <s v="280"/>
    <x v="0"/>
    <d v="2026-10-12T11:21:09"/>
    <d v="2026-10-12T05:21:06"/>
    <d v="2026-10-12T00:00:00"/>
    <s v=""/>
    <s v="UNIDAD"/>
    <n v="4"/>
    <s v="PENDIENTE APROBACION  ENVIO TMS"/>
    <s v="000000008209660922"/>
    <x v="2"/>
    <x v="0"/>
    <m/>
    <n v="1"/>
    <m/>
  </r>
  <r>
    <n v="1209660933"/>
    <s v="280"/>
    <x v="0"/>
    <d v="2026-10-12T11:21:29"/>
    <d v="2026-10-12T05:21:26"/>
    <d v="2026-10-12T00:00:00"/>
    <s v=""/>
    <s v="CAJA"/>
    <n v="21"/>
    <s v="PENDIENTE APROBACION  ENVIO TMS"/>
    <s v="000000001209660933"/>
    <x v="1"/>
    <x v="0"/>
    <m/>
    <n v="1"/>
    <m/>
  </r>
  <r>
    <n v="209661404"/>
    <s v="209"/>
    <x v="2"/>
    <d v="2026-10-12T17:14:15"/>
    <d v="2026-10-12T11:14:09"/>
    <d v="2026-10-12T00:00:00"/>
    <s v=""/>
    <s v="UNIDAD"/>
    <n v="25"/>
    <s v="PENDIENTE APROBACION  ENVIO TMS"/>
    <s v="000000000209661404"/>
    <x v="2"/>
    <x v="0"/>
    <m/>
    <n v="1"/>
    <m/>
  </r>
  <r>
    <n v="209662425"/>
    <s v="47"/>
    <x v="1"/>
    <d v="2026-10-12T18:44:03"/>
    <d v="2026-10-12T12:44:00"/>
    <d v="2026-10-12T00:00:00"/>
    <s v=""/>
    <s v="CAJA"/>
    <n v="1"/>
    <s v="PENDIENTE APROBACION  ENVIO TMS"/>
    <s v="000000000209662425"/>
    <x v="0"/>
    <x v="0"/>
    <m/>
    <n v="1"/>
    <m/>
  </r>
  <r>
    <n v="209662725"/>
    <s v="280"/>
    <x v="0"/>
    <d v="2026-10-12T19:09:47"/>
    <d v="2026-10-12T13:09:44"/>
    <d v="2026-10-12T00:00:00"/>
    <s v=""/>
    <s v="CAJA"/>
    <n v="4"/>
    <s v="PENDIENTE APROBACION  ENVIO TMS"/>
    <s v="000000000209662725"/>
    <x v="0"/>
    <x v="0"/>
    <m/>
    <n v="1"/>
    <m/>
  </r>
  <r>
    <n v="209662816"/>
    <s v="47"/>
    <x v="1"/>
    <d v="2026-10-12T20:14:33"/>
    <d v="2026-10-12T14:14:31"/>
    <d v="2026-10-12T00:00:00"/>
    <s v=""/>
    <s v="CAJA"/>
    <n v="5"/>
    <s v="PENDIENTE APROBACION  ENVIO TMS"/>
    <s v="000000000209662816"/>
    <x v="0"/>
    <x v="0"/>
    <m/>
    <n v="1"/>
    <m/>
  </r>
  <r>
    <n v="209662818"/>
    <s v="123"/>
    <x v="3"/>
    <d v="2026-10-12T20:14:36"/>
    <d v="2026-10-12T14:14:33"/>
    <d v="2026-10-12T00:00:00"/>
    <s v=""/>
    <s v="CAJA"/>
    <n v="5"/>
    <s v="PENDIENTE APROBACION  ENVIO TMS"/>
    <s v="000000000209662818"/>
    <x v="0"/>
    <x v="0"/>
    <m/>
    <n v="1"/>
    <m/>
  </r>
  <r>
    <n v="209662847"/>
    <s v="209"/>
    <x v="2"/>
    <d v="2026-10-12T20:19:09"/>
    <d v="2026-10-12T14:19:07"/>
    <d v="2026-10-12T00:00:00"/>
    <s v=""/>
    <s v="CAJA"/>
    <n v="5"/>
    <s v="PENDIENTE APROBACION  ENVIO TMS"/>
    <s v="000000000209662847"/>
    <x v="0"/>
    <x v="0"/>
    <m/>
    <n v="1"/>
    <m/>
  </r>
  <r>
    <n v="209663196"/>
    <s v="123"/>
    <x v="3"/>
    <d v="2026-10-12T21:49:20"/>
    <d v="2026-10-12T15:49:17"/>
    <d v="2026-10-12T00:00:00"/>
    <s v=""/>
    <s v="CAJA"/>
    <n v="1"/>
    <s v="PENDIENTE APROBACION  ENVIO TMS"/>
    <s v="000000000209663196"/>
    <x v="0"/>
    <x v="0"/>
    <m/>
    <n v="1"/>
    <m/>
  </r>
  <r>
    <n v="209663182"/>
    <s v="47"/>
    <x v="1"/>
    <d v="2026-10-12T21:49:33"/>
    <d v="2026-10-12T15:49:31"/>
    <d v="2026-10-12T00:00:00"/>
    <s v=""/>
    <s v="CAJA"/>
    <n v="1"/>
    <s v="PENDIENTE APROBACION  ENVIO TMS"/>
    <s v="000000000209663182"/>
    <x v="0"/>
    <x v="0"/>
    <m/>
    <n v="1"/>
    <m/>
  </r>
  <r>
    <n v="209663205"/>
    <s v="209"/>
    <x v="2"/>
    <d v="2026-10-12T21:49:54"/>
    <d v="2026-10-12T15:49:52"/>
    <d v="2026-10-12T00:00:00"/>
    <s v=""/>
    <s v="CAJA"/>
    <n v="1"/>
    <s v="PENDIENTE APROBACION  ENVIO TMS"/>
    <s v="000000000209663205"/>
    <x v="0"/>
    <x v="0"/>
    <m/>
    <n v="1"/>
    <m/>
  </r>
  <r>
    <n v="209663764"/>
    <s v="280"/>
    <x v="0"/>
    <d v="2026-10-12T22:49:01"/>
    <d v="2026-10-12T16:48:59"/>
    <d v="2026-10-12T00:00:00"/>
    <s v=""/>
    <s v="CAJA"/>
    <n v="8"/>
    <s v="PENDIENTE APROBACION  ENVIO TMS"/>
    <s v="000000000209663764"/>
    <x v="0"/>
    <x v="0"/>
    <m/>
    <n v="1"/>
    <m/>
  </r>
  <r>
    <n v="209663758"/>
    <s v="209"/>
    <x v="2"/>
    <d v="2026-10-12T22:49:34"/>
    <d v="2026-10-12T16:49:31"/>
    <d v="2026-10-12T00:00:00"/>
    <s v=""/>
    <s v="CAJA"/>
    <n v="8"/>
    <s v="PENDIENTE APROBACION  ENVIO TMS"/>
    <s v="000000000209663758"/>
    <x v="0"/>
    <x v="0"/>
    <m/>
    <n v="1"/>
    <m/>
  </r>
  <r>
    <n v="209663749"/>
    <s v="123"/>
    <x v="3"/>
    <d v="2026-10-12T22:50:21"/>
    <d v="2026-10-12T16:50:19"/>
    <d v="2026-10-12T00:00:00"/>
    <s v=""/>
    <s v="CAJA"/>
    <n v="10"/>
    <s v="PENDIENTE APROBACION  ENVIO TMS"/>
    <s v="000000000209663749"/>
    <x v="0"/>
    <x v="0"/>
    <m/>
    <n v="1"/>
    <m/>
  </r>
  <r>
    <n v="209664061"/>
    <s v="47"/>
    <x v="1"/>
    <d v="2026-10-12T23:09:19"/>
    <d v="2026-10-12T17:09:13"/>
    <d v="2026-10-12T00:00:00"/>
    <s v=""/>
    <s v="CAJA"/>
    <n v="1"/>
    <s v="PENDIENTE APROBACION  ENVIO TMS"/>
    <s v="000000000209664061"/>
    <x v="0"/>
    <x v="0"/>
    <m/>
    <n v="1"/>
    <m/>
  </r>
  <r>
    <n v="209664002"/>
    <s v="209"/>
    <x v="2"/>
    <d v="2026-10-12T23:09:24"/>
    <d v="2026-10-12T17:09:21"/>
    <d v="2026-10-12T00:00:00"/>
    <s v=""/>
    <s v="CAJA"/>
    <n v="1"/>
    <s v="PENDIENTE APROBACION  ENVIO TMS"/>
    <s v="000000000209664002"/>
    <x v="0"/>
    <x v="0"/>
    <m/>
    <n v="1"/>
    <m/>
  </r>
  <r>
    <n v="209664115"/>
    <s v="123"/>
    <x v="3"/>
    <d v="2026-10-12T23:10:01"/>
    <d v="2026-10-12T17:09:58"/>
    <d v="2026-10-12T00:00:00"/>
    <s v=""/>
    <s v="CAJA"/>
    <n v="1"/>
    <s v="PENDIENTE APROBACION  ENVIO TMS"/>
    <s v="000000000209664115"/>
    <x v="0"/>
    <x v="0"/>
    <m/>
    <n v="1"/>
    <m/>
  </r>
  <r>
    <n v="209663924"/>
    <s v="47"/>
    <x v="1"/>
    <d v="2026-10-12T23:10:05"/>
    <d v="2026-10-12T17:10:02"/>
    <d v="2026-10-12T00:00:00"/>
    <s v=""/>
    <s v="CAJA"/>
    <n v="3"/>
    <s v="PENDIENTE APROBACION  ENVIO TMS"/>
    <s v="000000000209663924"/>
    <x v="0"/>
    <x v="0"/>
    <m/>
    <n v="1"/>
    <m/>
  </r>
  <r>
    <n v="209663977"/>
    <s v="123"/>
    <x v="3"/>
    <d v="2026-10-12T23:11:11"/>
    <d v="2026-10-12T17:11:09"/>
    <d v="2026-10-12T00:00:00"/>
    <s v=""/>
    <s v="CAJA"/>
    <n v="1"/>
    <s v="PENDIENTE APROBACION  ENVIO TMS"/>
    <s v="000000000209663977"/>
    <x v="0"/>
    <x v="0"/>
    <m/>
    <n v="1"/>
    <m/>
  </r>
  <r>
    <n v="209664021"/>
    <s v="280"/>
    <x v="0"/>
    <d v="2026-10-12T23:11:56"/>
    <d v="2026-10-12T17:11:54"/>
    <d v="2026-10-12T00:00:00"/>
    <s v=""/>
    <s v="CAJA"/>
    <n v="4"/>
    <s v="PENDIENTE APROBACION  ENVIO TMS"/>
    <s v="000000000209664021"/>
    <x v="0"/>
    <x v="0"/>
    <m/>
    <n v="1"/>
    <m/>
  </r>
  <r>
    <n v="8209665303"/>
    <s v="47"/>
    <x v="1"/>
    <d v="2026-10-13T10:09:23"/>
    <d v="2026-10-13T04:09:21"/>
    <d v="2026-10-13T00:00:00"/>
    <s v=""/>
    <s v="UNIDAD"/>
    <n v="4"/>
    <s v="PENDIENTE APROBACION  ENVIO TMS"/>
    <s v="000000008209665303"/>
    <x v="2"/>
    <x v="0"/>
    <m/>
    <n v="1"/>
    <m/>
  </r>
  <r>
    <n v="1209665315"/>
    <s v="47"/>
    <x v="1"/>
    <d v="2026-10-13T10:09:31"/>
    <d v="2026-10-13T04:09:29"/>
    <d v="2026-10-13T00:00:00"/>
    <s v=""/>
    <s v="PACK"/>
    <n v="40"/>
    <s v="PENDIENTE APROBACION  ENVIO TMS"/>
    <s v="000000001209665315"/>
    <x v="1"/>
    <x v="0"/>
    <m/>
    <n v="1"/>
    <m/>
  </r>
  <r>
    <n v="1209665316"/>
    <s v="47"/>
    <x v="1"/>
    <d v="2026-10-13T10:09:33"/>
    <d v="2026-10-13T04:09:30"/>
    <d v="2026-10-13T00:00:00"/>
    <s v=""/>
    <s v="CAJA"/>
    <n v="3"/>
    <s v="PENDIENTE APROBACION  ENVIO TMS"/>
    <s v="000000001209665316"/>
    <x v="1"/>
    <x v="0"/>
    <m/>
    <n v="1"/>
    <m/>
  </r>
  <r>
    <n v="1209665308"/>
    <s v="47"/>
    <x v="1"/>
    <d v="2026-10-13T10:09:40"/>
    <d v="2026-10-13T04:09:38"/>
    <d v="2026-10-13T00:00:00"/>
    <s v=""/>
    <s v="CAJA"/>
    <n v="7"/>
    <s v="PENDIENTE APROBACION  ENVIO TMS"/>
    <s v="000000001209665308"/>
    <x v="1"/>
    <x v="0"/>
    <m/>
    <n v="1"/>
    <m/>
  </r>
  <r>
    <n v="8209665304"/>
    <s v="47"/>
    <x v="1"/>
    <d v="2026-10-13T10:10:14"/>
    <d v="2026-10-13T04:09:53"/>
    <d v="2026-10-13T00:00:00"/>
    <s v=""/>
    <s v="UNIDAD"/>
    <n v="4"/>
    <s v="PENDIENTE APROBACION  ENVIO TMS"/>
    <s v="000000008209665304"/>
    <x v="2"/>
    <x v="0"/>
    <m/>
    <n v="1"/>
    <m/>
  </r>
  <r>
    <n v="1209665317"/>
    <s v="47"/>
    <x v="1"/>
    <d v="2026-10-13T10:10:16"/>
    <d v="2026-10-13T04:10:11"/>
    <d v="2026-10-13T00:00:00"/>
    <s v=""/>
    <s v="PACK"/>
    <n v="35"/>
    <s v="PENDIENTE APROBACION  ENVIO TMS"/>
    <s v="000000001209665317"/>
    <x v="1"/>
    <x v="0"/>
    <m/>
    <n v="1"/>
    <m/>
  </r>
  <r>
    <n v="8209665302"/>
    <s v="47"/>
    <x v="1"/>
    <d v="2026-10-13T10:10:20"/>
    <d v="2026-10-13T04:10:18"/>
    <d v="2026-10-13T00:00:00"/>
    <s v=""/>
    <s v="UNIDAD"/>
    <n v="1"/>
    <s v="PENDIENTE APROBACION  ENVIO TMS"/>
    <s v="000000008209665302"/>
    <x v="2"/>
    <x v="0"/>
    <m/>
    <n v="1"/>
    <m/>
  </r>
  <r>
    <n v="1209665307"/>
    <s v="47"/>
    <x v="1"/>
    <d v="2026-10-13T10:10:26"/>
    <d v="2026-10-13T04:10:24"/>
    <d v="2026-10-13T00:00:00"/>
    <s v=""/>
    <s v="CAJA"/>
    <n v="6"/>
    <s v="PENDIENTE APROBACION  ENVIO TMS"/>
    <s v="000000001209665307"/>
    <x v="1"/>
    <x v="0"/>
    <m/>
    <n v="1"/>
    <m/>
  </r>
  <r>
    <n v="1209665312"/>
    <s v="47"/>
    <x v="1"/>
    <d v="2026-10-13T10:10:29"/>
    <d v="2026-10-13T04:10:27"/>
    <d v="2026-10-13T00:00:00"/>
    <s v=""/>
    <s v="CAJA"/>
    <n v="9"/>
    <s v="PENDIENTE APROBACION  ENVIO TMS"/>
    <s v="000000001209665312"/>
    <x v="1"/>
    <x v="0"/>
    <m/>
    <n v="1"/>
    <m/>
  </r>
  <r>
    <n v="8209665301"/>
    <s v="47"/>
    <x v="1"/>
    <d v="2026-10-13T10:10:41"/>
    <d v="2026-10-13T04:10:38"/>
    <d v="2026-10-13T00:00:00"/>
    <s v=""/>
    <s v="UNIDAD"/>
    <n v="2"/>
    <s v="PENDIENTE APROBACION  ENVIO TMS"/>
    <s v="000000008209665301"/>
    <x v="2"/>
    <x v="0"/>
    <m/>
    <n v="1"/>
    <m/>
  </r>
  <r>
    <n v="1209665310"/>
    <s v="47"/>
    <x v="1"/>
    <d v="2026-10-13T10:11:04"/>
    <d v="2026-10-13T04:11:02"/>
    <d v="2026-10-13T00:00:00"/>
    <s v=""/>
    <s v="PACK"/>
    <n v="7"/>
    <s v="PENDIENTE APROBACION  ENVIO TMS"/>
    <s v="000000001209665310"/>
    <x v="1"/>
    <x v="0"/>
    <m/>
    <n v="1"/>
    <m/>
  </r>
  <r>
    <n v="1209665313"/>
    <s v="47"/>
    <x v="1"/>
    <d v="2026-10-13T10:11:08"/>
    <d v="2026-10-13T04:11:05"/>
    <d v="2026-10-13T00:00:00"/>
    <s v=""/>
    <s v="CAJA"/>
    <n v="25"/>
    <s v="PENDIENTE APROBACION  ENVIO TMS"/>
    <s v="000000001209665313"/>
    <x v="1"/>
    <x v="0"/>
    <m/>
    <n v="1"/>
    <m/>
  </r>
  <r>
    <n v="8209665305"/>
    <s v="47"/>
    <x v="1"/>
    <d v="2026-10-13T10:11:19"/>
    <d v="2026-10-13T04:11:17"/>
    <d v="2026-10-13T00:00:00"/>
    <s v=""/>
    <s v="UNIDAD"/>
    <n v="6"/>
    <s v="PENDIENTE APROBACION  ENVIO TMS"/>
    <s v="000000008209665305"/>
    <x v="2"/>
    <x v="0"/>
    <m/>
    <n v="1"/>
    <m/>
  </r>
  <r>
    <n v="8209665306"/>
    <s v="47"/>
    <x v="1"/>
    <d v="2026-10-13T10:11:21"/>
    <d v="2026-10-13T04:11:18"/>
    <d v="2026-10-13T00:00:00"/>
    <s v=""/>
    <s v="UNIDAD"/>
    <n v="48"/>
    <s v="PENDIENTE APROBACION  ENVIO TMS"/>
    <s v="000000008209665306"/>
    <x v="2"/>
    <x v="0"/>
    <m/>
    <n v="1"/>
    <m/>
  </r>
  <r>
    <n v="1209665309"/>
    <s v="47"/>
    <x v="1"/>
    <d v="2026-10-13T10:11:24"/>
    <d v="2026-10-13T04:11:22"/>
    <d v="2026-10-13T00:00:00"/>
    <s v=""/>
    <s v="CAJA"/>
    <n v="12"/>
    <s v="PENDIENTE APROBACION  ENVIO TMS"/>
    <s v="000000001209665309"/>
    <x v="1"/>
    <x v="0"/>
    <m/>
    <n v="1"/>
    <m/>
  </r>
  <r>
    <n v="1209665311"/>
    <s v="47"/>
    <x v="1"/>
    <d v="2026-10-13T10:11:26"/>
    <d v="2026-10-13T04:11:23"/>
    <d v="2026-10-13T00:00:00"/>
    <s v=""/>
    <s v="CAJA"/>
    <n v="14"/>
    <s v="PENDIENTE APROBACION  ENVIO TMS"/>
    <s v="000000001209665311"/>
    <x v="1"/>
    <x v="0"/>
    <m/>
    <n v="1"/>
    <m/>
  </r>
  <r>
    <n v="1209665314"/>
    <s v="47"/>
    <x v="1"/>
    <d v="2026-10-13T10:11:30"/>
    <d v="2026-10-13T04:11:28"/>
    <d v="2026-10-13T00:00:00"/>
    <s v=""/>
    <s v="CAJA"/>
    <n v="28"/>
    <s v="PENDIENTE APROBACION  ENVIO TMS"/>
    <s v="000000001209665314"/>
    <x v="1"/>
    <x v="0"/>
    <m/>
    <n v="1"/>
    <m/>
  </r>
  <r>
    <n v="1209666397"/>
    <s v="123"/>
    <x v="3"/>
    <d v="2026-10-13T10:59:14"/>
    <d v="2026-10-13T04:59:12"/>
    <d v="2026-10-13T00:00:00"/>
    <s v=""/>
    <s v="CAJA"/>
    <n v="8"/>
    <s v="PENDIENTE APROBACION  ENVIO TMS"/>
    <s v="000000001209666397"/>
    <x v="1"/>
    <x v="0"/>
    <m/>
    <n v="1"/>
    <m/>
  </r>
  <r>
    <n v="8209666391"/>
    <s v="123"/>
    <x v="3"/>
    <d v="2026-10-13T10:59:26"/>
    <d v="2026-10-13T04:59:24"/>
    <d v="2026-10-13T00:00:00"/>
    <s v=""/>
    <s v="UNIDAD"/>
    <n v="1"/>
    <s v="PENDIENTE APROBACION  ENVIO TMS"/>
    <s v="000000008209666391"/>
    <x v="2"/>
    <x v="0"/>
    <m/>
    <n v="1"/>
    <m/>
  </r>
  <r>
    <n v="8209666392"/>
    <s v="123"/>
    <x v="3"/>
    <d v="2026-10-13T10:59:28"/>
    <d v="2026-10-13T04:59:25"/>
    <d v="2026-10-13T00:00:00"/>
    <s v=""/>
    <s v="UNIDAD"/>
    <n v="1"/>
    <s v="PENDIENTE APROBACION  ENVIO TMS"/>
    <s v="000000008209666392"/>
    <x v="2"/>
    <x v="0"/>
    <m/>
    <n v="1"/>
    <m/>
  </r>
  <r>
    <n v="8209666390"/>
    <s v="123"/>
    <x v="3"/>
    <d v="2026-10-13T11:00:01"/>
    <d v="2026-10-13T04:59:58"/>
    <d v="2026-10-13T00:00:00"/>
    <s v=""/>
    <s v="UNIDAD"/>
    <n v="2"/>
    <s v="PENDIENTE APROBACION  ENVIO TMS"/>
    <s v="000000008209666390"/>
    <x v="2"/>
    <x v="0"/>
    <m/>
    <n v="1"/>
    <m/>
  </r>
  <r>
    <n v="1209666393"/>
    <s v="123"/>
    <x v="3"/>
    <d v="2026-10-13T11:00:03"/>
    <d v="2026-10-13T05:00:00"/>
    <d v="2026-10-13T00:00:00"/>
    <s v=""/>
    <s v="CAJA"/>
    <n v="2"/>
    <s v="PENDIENTE APROBACION  ENVIO TMS"/>
    <s v="000000001209666393"/>
    <x v="1"/>
    <x v="0"/>
    <m/>
    <n v="1"/>
    <m/>
  </r>
  <r>
    <n v="1209666394"/>
    <s v="123"/>
    <x v="3"/>
    <d v="2026-10-13T11:00:16"/>
    <d v="2026-10-13T05:00:13"/>
    <d v="2026-10-13T00:00:00"/>
    <s v=""/>
    <s v="CAJA"/>
    <n v="3"/>
    <s v="PENDIENTE APROBACION  ENVIO TMS"/>
    <s v="000000001209666394"/>
    <x v="1"/>
    <x v="0"/>
    <m/>
    <n v="1"/>
    <m/>
  </r>
  <r>
    <n v="8209666389"/>
    <s v="123"/>
    <x v="3"/>
    <d v="2026-10-13T11:00:35"/>
    <d v="2026-10-13T05:00:33"/>
    <d v="2026-10-13T00:00:00"/>
    <s v=""/>
    <s v="UNIDAD"/>
    <n v="4"/>
    <s v="PENDIENTE APROBACION  ENVIO TMS"/>
    <s v="000000008209666389"/>
    <x v="2"/>
    <x v="0"/>
    <m/>
    <n v="1"/>
    <m/>
  </r>
  <r>
    <n v="1209666399"/>
    <s v="123"/>
    <x v="3"/>
    <d v="2026-10-13T11:00:48"/>
    <d v="2026-10-13T05:00:46"/>
    <d v="2026-10-13T00:00:00"/>
    <s v=""/>
    <s v="CAJA"/>
    <n v="19"/>
    <s v="PENDIENTE APROBACION  ENVIO TMS"/>
    <s v="000000001209666399"/>
    <x v="1"/>
    <x v="0"/>
    <m/>
    <n v="1"/>
    <m/>
  </r>
  <r>
    <n v="1209666396"/>
    <s v="123"/>
    <x v="3"/>
    <d v="2026-10-13T11:01:00"/>
    <d v="2026-10-13T05:00:57"/>
    <d v="2026-10-13T00:00:00"/>
    <s v=""/>
    <s v="CAJA"/>
    <n v="4"/>
    <s v="PENDIENTE APROBACION  ENVIO TMS"/>
    <s v="000000001209666396"/>
    <x v="1"/>
    <x v="0"/>
    <m/>
    <n v="1"/>
    <m/>
  </r>
  <r>
    <n v="1209666398"/>
    <s v="123"/>
    <x v="3"/>
    <d v="2026-10-13T11:01:01"/>
    <d v="2026-10-13T05:00:58"/>
    <d v="2026-10-13T00:00:00"/>
    <s v=""/>
    <s v="PACK"/>
    <n v="8"/>
    <s v="PENDIENTE APROBACION  ENVIO TMS"/>
    <s v="000000001209666398"/>
    <x v="1"/>
    <x v="0"/>
    <m/>
    <n v="1"/>
    <m/>
  </r>
  <r>
    <n v="1209666400"/>
    <s v="123"/>
    <x v="3"/>
    <d v="2026-10-13T11:01:04"/>
    <d v="2026-10-13T05:01:01"/>
    <d v="2026-10-13T00:00:00"/>
    <s v=""/>
    <s v="PACK"/>
    <n v="17"/>
    <s v="PENDIENTE APROBACION  ENVIO TMS"/>
    <s v="000000001209666400"/>
    <x v="1"/>
    <x v="0"/>
    <m/>
    <n v="1"/>
    <m/>
  </r>
  <r>
    <n v="1209666401"/>
    <s v="123"/>
    <x v="3"/>
    <d v="2026-10-13T11:01:07"/>
    <d v="2026-10-13T05:01:04"/>
    <d v="2026-10-13T00:00:00"/>
    <s v=""/>
    <s v="PACK"/>
    <n v="23"/>
    <s v="PENDIENTE APROBACION  ENVIO TMS"/>
    <s v="000000001209666401"/>
    <x v="1"/>
    <x v="0"/>
    <m/>
    <n v="1"/>
    <m/>
  </r>
  <r>
    <n v="1209666395"/>
    <s v="123"/>
    <x v="3"/>
    <d v="2026-10-13T11:01:19"/>
    <d v="2026-10-13T05:01:16"/>
    <d v="2026-10-13T00:00:00"/>
    <s v=""/>
    <s v="CAJA"/>
    <n v="12"/>
    <s v="PENDIENTE APROBACION  ENVIO TMS"/>
    <s v="000000001209666395"/>
    <x v="1"/>
    <x v="0"/>
    <m/>
    <n v="1"/>
    <m/>
  </r>
  <r>
    <n v="8209666890"/>
    <s v="209"/>
    <x v="2"/>
    <d v="2026-10-13T11:14:18"/>
    <d v="2026-10-13T05:14:16"/>
    <d v="2026-10-13T00:00:00"/>
    <s v=""/>
    <s v="UNIDAD"/>
    <n v="1"/>
    <s v="PENDIENTE APROBACION  ENVIO TMS"/>
    <s v="000000008209666890"/>
    <x v="2"/>
    <x v="0"/>
    <m/>
    <n v="1"/>
    <m/>
  </r>
  <r>
    <n v="1209666896"/>
    <s v="209"/>
    <x v="2"/>
    <d v="2026-10-13T11:14:22"/>
    <d v="2026-10-13T05:14:19"/>
    <d v="2026-10-13T00:00:00"/>
    <s v=""/>
    <s v="CAJA"/>
    <n v="4"/>
    <s v="PENDIENTE APROBACION  ENVIO TMS"/>
    <s v="000000001209666896"/>
    <x v="1"/>
    <x v="0"/>
    <m/>
    <n v="1"/>
    <m/>
  </r>
  <r>
    <n v="1209666899"/>
    <s v="209"/>
    <x v="2"/>
    <d v="2026-10-13T11:14:27"/>
    <d v="2026-10-13T05:14:24"/>
    <d v="2026-10-13T00:00:00"/>
    <s v=""/>
    <s v="CAJA"/>
    <n v="34"/>
    <s v="PENDIENTE APROBACION  ENVIO TMS"/>
    <s v="000000001209666899"/>
    <x v="1"/>
    <x v="0"/>
    <m/>
    <n v="1"/>
    <m/>
  </r>
  <r>
    <n v="1209666903"/>
    <s v="209"/>
    <x v="2"/>
    <d v="2026-10-13T11:14:35"/>
    <d v="2026-10-13T05:14:33"/>
    <d v="2026-10-13T00:00:00"/>
    <s v=""/>
    <s v="CAJA"/>
    <n v="6"/>
    <s v="PENDIENTE APROBACION  ENVIO TMS"/>
    <s v="000000001209666903"/>
    <x v="1"/>
    <x v="0"/>
    <m/>
    <n v="1"/>
    <m/>
  </r>
  <r>
    <n v="8209666891"/>
    <s v="209"/>
    <x v="2"/>
    <d v="2026-10-13T11:14:44"/>
    <d v="2026-10-13T05:14:41"/>
    <d v="2026-10-13T00:00:00"/>
    <s v=""/>
    <s v="UNIDAD"/>
    <n v="4"/>
    <s v="PENDIENTE APROBACION  ENVIO TMS"/>
    <s v="000000008209666891"/>
    <x v="2"/>
    <x v="0"/>
    <m/>
    <n v="1"/>
    <m/>
  </r>
  <r>
    <n v="1209666906"/>
    <s v="209"/>
    <x v="2"/>
    <d v="2026-10-13T11:14:45"/>
    <d v="2026-10-13T05:14:42"/>
    <d v="2026-10-13T00:00:00"/>
    <s v=""/>
    <s v="CAJA"/>
    <n v="8"/>
    <s v="PENDIENTE APROBACION  ENVIO TMS"/>
    <s v="000000001209666906"/>
    <x v="1"/>
    <x v="0"/>
    <m/>
    <n v="1"/>
    <m/>
  </r>
  <r>
    <n v="8209666892"/>
    <s v="209"/>
    <x v="2"/>
    <d v="2026-10-13T11:14:55"/>
    <d v="2026-10-13T05:14:52"/>
    <d v="2026-10-13T00:00:00"/>
    <s v=""/>
    <s v="UNIDAD"/>
    <n v="7"/>
    <s v="PENDIENTE APROBACION  ENVIO TMS"/>
    <s v="000000008209666892"/>
    <x v="2"/>
    <x v="0"/>
    <m/>
    <n v="1"/>
    <m/>
  </r>
  <r>
    <n v="8209666894"/>
    <s v="209"/>
    <x v="2"/>
    <d v="2026-10-13T11:14:55"/>
    <d v="2026-10-13T05:14:53"/>
    <d v="2026-10-13T00:00:00"/>
    <s v=""/>
    <s v="UNIDAD"/>
    <n v="5"/>
    <s v="PENDIENTE APROBACION  ENVIO TMS"/>
    <s v="000000008209666894"/>
    <x v="2"/>
    <x v="0"/>
    <m/>
    <n v="1"/>
    <m/>
  </r>
  <r>
    <n v="8209666904"/>
    <s v="209"/>
    <x v="2"/>
    <d v="2026-10-13T11:15:08"/>
    <d v="2026-10-13T05:15:06"/>
    <d v="2026-10-13T00:00:00"/>
    <s v=""/>
    <s v="UNIDAD"/>
    <n v="3"/>
    <s v="PENDIENTE APROBACION  ENVIO TMS"/>
    <s v="000000008209666904"/>
    <x v="2"/>
    <x v="0"/>
    <m/>
    <n v="1"/>
    <m/>
  </r>
  <r>
    <n v="1209666893"/>
    <s v="209"/>
    <x v="2"/>
    <d v="2026-10-13T11:15:19"/>
    <d v="2026-10-13T05:15:16"/>
    <d v="2026-10-13T00:00:00"/>
    <s v=""/>
    <s v="PACK"/>
    <n v="3"/>
    <s v="PENDIENTE APROBACION  ENVIO TMS"/>
    <s v="000000001209666893"/>
    <x v="1"/>
    <x v="0"/>
    <m/>
    <n v="1"/>
    <m/>
  </r>
  <r>
    <n v="1209666895"/>
    <s v="209"/>
    <x v="2"/>
    <d v="2026-10-13T11:15:29"/>
    <d v="2026-10-13T05:15:27"/>
    <d v="2026-10-13T00:00:00"/>
    <s v=""/>
    <s v="CAJA"/>
    <n v="3"/>
    <s v="PENDIENTE APROBACION  ENVIO TMS"/>
    <s v="000000001209666895"/>
    <x v="1"/>
    <x v="0"/>
    <m/>
    <n v="1"/>
    <m/>
  </r>
  <r>
    <n v="1209666898"/>
    <s v="209"/>
    <x v="2"/>
    <d v="2026-10-13T11:15:31"/>
    <d v="2026-10-13T05:15:28"/>
    <d v="2026-10-13T00:00:00"/>
    <s v=""/>
    <s v="CAJA"/>
    <n v="7"/>
    <s v="PENDIENTE APROBACION  ENVIO TMS"/>
    <s v="000000001209666898"/>
    <x v="1"/>
    <x v="0"/>
    <m/>
    <n v="1"/>
    <m/>
  </r>
  <r>
    <n v="1209666900"/>
    <s v="209"/>
    <x v="2"/>
    <d v="2026-10-13T11:15:34"/>
    <d v="2026-10-13T05:15:31"/>
    <d v="2026-10-13T00:00:00"/>
    <s v=""/>
    <s v="PACK"/>
    <n v="14"/>
    <s v="PENDIENTE APROBACION  ENVIO TMS"/>
    <s v="000000001209666900"/>
    <x v="1"/>
    <x v="0"/>
    <m/>
    <n v="1"/>
    <m/>
  </r>
  <r>
    <n v="1209666901"/>
    <s v="209"/>
    <x v="2"/>
    <d v="2026-10-13T11:16:00"/>
    <d v="2026-10-13T05:15:57"/>
    <d v="2026-10-13T00:00:00"/>
    <s v=""/>
    <s v="CAJA"/>
    <n v="34"/>
    <s v="PENDIENTE APROBACION  ENVIO TMS"/>
    <s v="000000001209666901"/>
    <x v="1"/>
    <x v="0"/>
    <m/>
    <n v="1"/>
    <m/>
  </r>
  <r>
    <n v="1209666902"/>
    <s v="209"/>
    <x v="2"/>
    <d v="2026-10-13T11:16:03"/>
    <d v="2026-10-13T05:16:00"/>
    <d v="2026-10-13T00:00:00"/>
    <s v=""/>
    <s v="PACK"/>
    <n v="28"/>
    <s v="PENDIENTE APROBACION  ENVIO TMS"/>
    <s v="000000001209666902"/>
    <x v="1"/>
    <x v="0"/>
    <m/>
    <n v="1"/>
    <m/>
  </r>
  <r>
    <n v="1209666897"/>
    <s v="209"/>
    <x v="2"/>
    <d v="2026-10-13T11:16:08"/>
    <d v="2026-10-13T05:16:05"/>
    <d v="2026-10-13T00:00:00"/>
    <s v=""/>
    <s v="CAJA"/>
    <n v="7"/>
    <s v="PENDIENTE APROBACION  ENVIO TMS"/>
    <s v="000000001209666897"/>
    <x v="1"/>
    <x v="0"/>
    <m/>
    <n v="1"/>
    <m/>
  </r>
  <r>
    <n v="8209667277"/>
    <s v="280"/>
    <x v="0"/>
    <d v="2026-10-13T11:34:16"/>
    <d v="2026-10-13T05:34:13"/>
    <d v="2026-10-13T00:00:00"/>
    <s v=""/>
    <s v="UNIDAD"/>
    <n v="1"/>
    <s v="PENDIENTE APROBACION  ENVIO TMS"/>
    <s v="000000008209667277"/>
    <x v="2"/>
    <x v="0"/>
    <m/>
    <n v="1"/>
    <m/>
  </r>
  <r>
    <n v="1209667279"/>
    <s v="280"/>
    <x v="0"/>
    <d v="2026-10-13T11:34:17"/>
    <d v="2026-10-13T05:34:14"/>
    <d v="2026-10-13T00:00:00"/>
    <s v=""/>
    <s v="CAJA"/>
    <n v="2"/>
    <s v="PENDIENTE APROBACION  ENVIO TMS"/>
    <s v="000000001209667279"/>
    <x v="1"/>
    <x v="0"/>
    <m/>
    <n v="1"/>
    <m/>
  </r>
  <r>
    <n v="1209667284"/>
    <s v="280"/>
    <x v="0"/>
    <d v="2026-10-13T11:34:19"/>
    <d v="2026-10-13T05:34:17"/>
    <d v="2026-10-13T00:00:00"/>
    <s v=""/>
    <s v="CAJA"/>
    <n v="20"/>
    <s v="PENDIENTE APROBACION  ENVIO TMS"/>
    <s v="000000001209667284"/>
    <x v="1"/>
    <x v="0"/>
    <m/>
    <n v="1"/>
    <m/>
  </r>
  <r>
    <n v="1209667280"/>
    <s v="280"/>
    <x v="0"/>
    <d v="2026-10-13T11:34:33"/>
    <d v="2026-10-13T05:34:30"/>
    <d v="2026-10-13T00:00:00"/>
    <s v=""/>
    <s v="PACK"/>
    <n v="5"/>
    <s v="PENDIENTE APROBACION  ENVIO TMS"/>
    <s v="000000001209667280"/>
    <x v="1"/>
    <x v="0"/>
    <m/>
    <n v="1"/>
    <m/>
  </r>
  <r>
    <n v="1209667283"/>
    <s v="280"/>
    <x v="0"/>
    <d v="2026-10-13T11:34:38"/>
    <d v="2026-10-13T05:34:35"/>
    <d v="2026-10-13T00:00:00"/>
    <s v=""/>
    <s v="CAJA"/>
    <n v="11"/>
    <s v="PENDIENTE APROBACION  ENVIO TMS"/>
    <s v="000000001209667283"/>
    <x v="1"/>
    <x v="0"/>
    <m/>
    <n v="1"/>
    <m/>
  </r>
  <r>
    <n v="1209667288"/>
    <s v="280"/>
    <x v="0"/>
    <d v="2026-10-13T11:34:57"/>
    <d v="2026-10-13T05:34:54"/>
    <d v="2026-10-13T00:00:00"/>
    <s v=""/>
    <s v="PACK"/>
    <n v="41"/>
    <s v="PENDIENTE APROBACION  ENVIO TMS"/>
    <s v="000000001209667288"/>
    <x v="1"/>
    <x v="0"/>
    <m/>
    <n v="1"/>
    <m/>
  </r>
  <r>
    <n v="8209667275"/>
    <s v="280"/>
    <x v="0"/>
    <d v="2026-10-13T11:35:04"/>
    <d v="2026-10-13T05:35:02"/>
    <d v="2026-10-13T00:00:00"/>
    <s v=""/>
    <s v="UNIDAD"/>
    <n v="1"/>
    <s v="PENDIENTE APROBACION  ENVIO TMS"/>
    <s v="000000008209667275"/>
    <x v="2"/>
    <x v="0"/>
    <m/>
    <n v="1"/>
    <m/>
  </r>
  <r>
    <n v="1209667281"/>
    <s v="280"/>
    <x v="0"/>
    <d v="2026-10-13T11:35:07"/>
    <d v="2026-10-13T05:35:04"/>
    <d v="2026-10-13T00:00:00"/>
    <s v=""/>
    <s v="PACK"/>
    <n v="4"/>
    <s v="PENDIENTE APROBACION  ENVIO TMS"/>
    <s v="000000001209667281"/>
    <x v="1"/>
    <x v="0"/>
    <m/>
    <n v="1"/>
    <m/>
  </r>
  <r>
    <n v="1209667282"/>
    <s v="280"/>
    <x v="0"/>
    <d v="2026-10-13T11:35:08"/>
    <d v="2026-10-13T05:35:06"/>
    <d v="2026-10-13T00:00:00"/>
    <s v=""/>
    <s v="CAJA"/>
    <n v="5"/>
    <s v="PENDIENTE APROBACION  ENVIO TMS"/>
    <s v="000000001209667282"/>
    <x v="1"/>
    <x v="0"/>
    <m/>
    <n v="1"/>
    <m/>
  </r>
  <r>
    <n v="1209667285"/>
    <s v="280"/>
    <x v="0"/>
    <d v="2026-10-13T11:35:11"/>
    <d v="2026-10-13T05:35:08"/>
    <d v="2026-10-13T00:00:00"/>
    <s v=""/>
    <s v="PACK"/>
    <n v="21"/>
    <s v="PENDIENTE APROBACION  ENVIO TMS"/>
    <s v="000000001209667285"/>
    <x v="1"/>
    <x v="0"/>
    <m/>
    <n v="1"/>
    <m/>
  </r>
  <r>
    <n v="1209667289"/>
    <s v="280"/>
    <x v="0"/>
    <d v="2026-10-13T11:35:16"/>
    <d v="2026-10-13T05:35:14"/>
    <d v="2026-10-13T00:00:00"/>
    <s v=""/>
    <s v="PACK"/>
    <n v="1"/>
    <s v="PENDIENTE APROBACION  ENVIO TMS"/>
    <s v="000000001209667289"/>
    <x v="1"/>
    <x v="0"/>
    <m/>
    <n v="1"/>
    <m/>
  </r>
  <r>
    <n v="1209667286"/>
    <s v="280"/>
    <x v="0"/>
    <d v="2026-10-13T11:35:29"/>
    <d v="2026-10-13T05:35:26"/>
    <d v="2026-10-13T00:00:00"/>
    <s v=""/>
    <s v="CAJA"/>
    <n v="3"/>
    <s v="PENDIENTE APROBACION  ENVIO TMS"/>
    <s v="000000001209667286"/>
    <x v="1"/>
    <x v="0"/>
    <m/>
    <n v="1"/>
    <m/>
  </r>
  <r>
    <n v="8209667276"/>
    <s v="280"/>
    <x v="0"/>
    <d v="2026-10-13T11:35:48"/>
    <d v="2026-10-13T05:35:46"/>
    <d v="2026-10-13T00:00:00"/>
    <s v=""/>
    <s v="UNIDAD"/>
    <n v="1"/>
    <s v="PENDIENTE APROBACION  ENVIO TMS"/>
    <s v="000000008209667276"/>
    <x v="2"/>
    <x v="0"/>
    <m/>
    <n v="1"/>
    <m/>
  </r>
  <r>
    <n v="1209667287"/>
    <s v="280"/>
    <x v="0"/>
    <d v="2026-10-13T11:36:08"/>
    <d v="2026-10-13T05:36:05"/>
    <d v="2026-10-13T00:00:00"/>
    <s v=""/>
    <s v="PACK"/>
    <n v="22"/>
    <s v="PENDIENTE APROBACION  ENVIO TMS"/>
    <s v="000000001209667287"/>
    <x v="1"/>
    <x v="0"/>
    <m/>
    <n v="1"/>
    <m/>
  </r>
  <r>
    <n v="8209667278"/>
    <s v="280"/>
    <x v="0"/>
    <d v="2026-10-13T11:36:21"/>
    <d v="2026-10-13T05:36:18"/>
    <d v="2026-10-13T00:00:00"/>
    <s v=""/>
    <s v="UNIDAD"/>
    <n v="3"/>
    <s v="PENDIENTE APROBACION  ENVIO TMS"/>
    <s v="000000008209667278"/>
    <x v="2"/>
    <x v="0"/>
    <m/>
    <n v="1"/>
    <m/>
  </r>
  <r>
    <n v="1209667375"/>
    <s v="277"/>
    <x v="4"/>
    <d v="2026-10-13T13:59:40"/>
    <d v="2026-10-13T07:59:37"/>
    <d v="2026-10-13T00:00:00"/>
    <s v=""/>
    <s v="PACK"/>
    <n v="77"/>
    <s v="PENDIENTE APROBACION  ENVIO TMS"/>
    <s v="000000001209667375"/>
    <x v="1"/>
    <x v="1"/>
    <m/>
    <n v="1"/>
    <m/>
  </r>
  <r>
    <n v="1209667382"/>
    <s v="277"/>
    <x v="4"/>
    <d v="2026-10-13T14:29:42"/>
    <d v="2026-10-13T08:29:39"/>
    <d v="2026-10-13T00:00:00"/>
    <s v=""/>
    <s v="PACK"/>
    <n v="20"/>
    <s v="PENDIENTE APROBACION  ENVIO TMS"/>
    <s v="000000001209667382"/>
    <x v="1"/>
    <x v="1"/>
    <m/>
    <n v="1"/>
    <m/>
  </r>
  <r>
    <n v="209667600"/>
    <s v="66"/>
    <x v="5"/>
    <d v="2026-10-13T17:29:40"/>
    <d v="2026-10-13T11:29:36"/>
    <d v="2026-10-13T00:00:00"/>
    <s v=""/>
    <s v="CAJA"/>
    <n v="4"/>
    <s v="PENDIENTE APROBACION  ENVIO TMS"/>
    <s v="000000000209667600"/>
    <x v="0"/>
    <x v="2"/>
    <m/>
    <n v="1"/>
    <m/>
  </r>
  <r>
    <n v="209667661"/>
    <s v="224"/>
    <x v="6"/>
    <d v="2026-10-13T17:29:41"/>
    <d v="2026-10-13T11:29:38"/>
    <d v="2026-10-13T00:00:00"/>
    <s v=""/>
    <s v="CAJA"/>
    <n v="4"/>
    <s v="PENDIENTE APROBACION  ENVIO TMS"/>
    <s v="000000000209667661"/>
    <x v="0"/>
    <x v="0"/>
    <m/>
    <n v="1"/>
    <m/>
  </r>
  <r>
    <n v="209667618"/>
    <s v="91"/>
    <x v="7"/>
    <d v="2026-10-13T17:29:42"/>
    <d v="2026-10-13T11:29:40"/>
    <d v="2026-10-13T00:00:00"/>
    <s v=""/>
    <s v="CAJA"/>
    <n v="8"/>
    <s v="PENDIENTE APROBACION  ENVIO TMS"/>
    <s v="000000000209667618"/>
    <x v="0"/>
    <x v="2"/>
    <m/>
    <n v="1"/>
    <m/>
  </r>
  <r>
    <n v="209667668"/>
    <s v="263"/>
    <x v="8"/>
    <d v="2026-10-13T17:29:44"/>
    <d v="2026-10-13T11:29:41"/>
    <d v="2026-10-13T00:00:00"/>
    <s v=""/>
    <s v="CAJA"/>
    <n v="4"/>
    <s v="PENDIENTE APROBACION  ENVIO TMS"/>
    <s v="000000000209667668"/>
    <x v="0"/>
    <x v="0"/>
    <m/>
    <n v="1"/>
    <m/>
  </r>
  <r>
    <n v="209667621"/>
    <s v="104"/>
    <x v="9"/>
    <d v="2026-10-13T17:29:45"/>
    <d v="2026-10-13T11:29:42"/>
    <d v="2026-10-13T00:00:00"/>
    <s v=""/>
    <s v="CAJA"/>
    <n v="8"/>
    <s v="PENDIENTE APROBACION  ENVIO TMS"/>
    <s v="000000000209667621"/>
    <x v="0"/>
    <x v="1"/>
    <m/>
    <n v="1"/>
    <m/>
  </r>
  <r>
    <n v="209667624"/>
    <s v="107"/>
    <x v="10"/>
    <d v="2026-10-13T17:29:46"/>
    <d v="2026-10-13T11:29:43"/>
    <d v="2026-10-13T00:00:00"/>
    <s v=""/>
    <s v="CAJA"/>
    <n v="4"/>
    <s v="PENDIENTE APROBACION  ENVIO TMS"/>
    <s v="000000000209667624"/>
    <x v="0"/>
    <x v="0"/>
    <m/>
    <n v="1"/>
    <m/>
  </r>
  <r>
    <n v="209667672"/>
    <s v="264"/>
    <x v="11"/>
    <d v="2026-10-13T17:29:47"/>
    <d v="2026-10-13T11:29:45"/>
    <d v="2026-10-13T00:00:00"/>
    <s v=""/>
    <s v="CAJA"/>
    <n v="8"/>
    <s v="PENDIENTE APROBACION  ENVIO TMS"/>
    <s v="000000000209667672"/>
    <x v="0"/>
    <x v="1"/>
    <m/>
    <n v="1"/>
    <m/>
  </r>
  <r>
    <n v="209667583"/>
    <s v="52"/>
    <x v="12"/>
    <d v="2026-10-13T17:29:48"/>
    <d v="2026-10-13T11:29:46"/>
    <d v="2026-10-13T00:00:00"/>
    <s v=""/>
    <s v="CAJA"/>
    <n v="4"/>
    <s v="PENDIENTE APROBACION  ENVIO TMS"/>
    <s v="000000000209667583"/>
    <x v="0"/>
    <x v="0"/>
    <m/>
    <n v="1"/>
    <m/>
  </r>
  <r>
    <n v="209667678"/>
    <s v="296"/>
    <x v="13"/>
    <d v="2026-10-13T17:29:50"/>
    <d v="2026-10-13T11:29:47"/>
    <d v="2026-10-13T00:00:00"/>
    <s v=""/>
    <s v="CAJA"/>
    <n v="4"/>
    <s v="PENDIENTE APROBACION  ENVIO TMS"/>
    <s v="000000000209667678"/>
    <x v="0"/>
    <x v="1"/>
    <m/>
    <n v="1"/>
    <m/>
  </r>
  <r>
    <n v="209667636"/>
    <s v="128"/>
    <x v="14"/>
    <d v="2026-10-13T17:29:51"/>
    <d v="2026-10-13T11:29:48"/>
    <d v="2026-10-13T00:00:00"/>
    <s v=""/>
    <s v="CAJA"/>
    <n v="4"/>
    <s v="PENDIENTE APROBACION  ENVIO TMS"/>
    <s v="000000000209667636"/>
    <x v="0"/>
    <x v="0"/>
    <m/>
    <n v="1"/>
    <m/>
  </r>
  <r>
    <n v="209667598"/>
    <s v="64"/>
    <x v="15"/>
    <d v="2026-10-13T17:29:52"/>
    <d v="2026-10-13T11:29:49"/>
    <d v="2026-10-13T00:00:00"/>
    <s v=""/>
    <s v="CAJA"/>
    <n v="8"/>
    <s v="PENDIENTE APROBACION  ENVIO TMS"/>
    <s v="000000000209667598"/>
    <x v="0"/>
    <x v="2"/>
    <m/>
    <n v="1"/>
    <m/>
  </r>
  <r>
    <n v="209667551"/>
    <s v="9"/>
    <x v="16"/>
    <d v="2026-10-13T17:29:53"/>
    <d v="2026-10-13T11:29:51"/>
    <d v="2026-10-13T00:00:00"/>
    <s v=""/>
    <s v="CAJA"/>
    <n v="4"/>
    <s v="PENDIENTE APROBACION  ENVIO TMS"/>
    <s v="000000000209667551"/>
    <x v="0"/>
    <x v="0"/>
    <m/>
    <n v="1"/>
    <m/>
  </r>
  <r>
    <n v="209667647"/>
    <s v="156"/>
    <x v="17"/>
    <d v="2026-10-13T17:29:54"/>
    <d v="2026-10-13T11:29:52"/>
    <d v="2026-10-13T00:00:00"/>
    <s v=""/>
    <s v="CAJA"/>
    <n v="4"/>
    <s v="PENDIENTE APROBACION  ENVIO TMS"/>
    <s v="000000000209667647"/>
    <x v="0"/>
    <x v="0"/>
    <m/>
    <n v="1"/>
    <m/>
  </r>
  <r>
    <n v="209667557"/>
    <s v="16"/>
    <x v="18"/>
    <d v="2026-10-13T17:29:56"/>
    <d v="2026-10-13T11:29:53"/>
    <d v="2026-10-13T00:00:00"/>
    <s v=""/>
    <s v="CAJA"/>
    <n v="4"/>
    <s v="PENDIENTE APROBACION  ENVIO TMS"/>
    <s v="000000000209667557"/>
    <x v="0"/>
    <x v="1"/>
    <m/>
    <n v="1"/>
    <m/>
  </r>
  <r>
    <n v="209667654"/>
    <s v="205"/>
    <x v="19"/>
    <d v="2026-10-13T17:29:57"/>
    <d v="2026-10-13T11:29:54"/>
    <d v="2026-10-13T00:00:00"/>
    <s v=""/>
    <s v="CAJA"/>
    <n v="4"/>
    <s v="PENDIENTE APROBACION  ENVIO TMS"/>
    <s v="000000000209667654"/>
    <x v="0"/>
    <x v="0"/>
    <m/>
    <n v="1"/>
    <m/>
  </r>
  <r>
    <n v="209667609"/>
    <s v="82"/>
    <x v="20"/>
    <d v="2026-10-13T17:29:58"/>
    <d v="2026-10-13T11:29:55"/>
    <d v="2026-10-13T00:00:00"/>
    <s v=""/>
    <s v="CAJA"/>
    <n v="4"/>
    <s v="PENDIENTE APROBACION  ENVIO TMS"/>
    <s v="000000000209667609"/>
    <x v="0"/>
    <x v="0"/>
    <m/>
    <n v="1"/>
    <m/>
  </r>
  <r>
    <n v="209667569"/>
    <s v="36"/>
    <x v="21"/>
    <d v="2026-10-13T17:29:59"/>
    <d v="2026-10-13T11:29:57"/>
    <d v="2026-10-13T00:00:00"/>
    <s v=""/>
    <s v="CAJA"/>
    <n v="4"/>
    <s v="PENDIENTE APROBACION  ENVIO TMS"/>
    <s v="000000000209667569"/>
    <x v="0"/>
    <x v="1"/>
    <m/>
    <n v="1"/>
    <m/>
  </r>
  <r>
    <n v="209667572"/>
    <s v="40"/>
    <x v="22"/>
    <d v="2026-10-13T17:30:00"/>
    <d v="2026-10-13T11:29:58"/>
    <d v="2026-10-13T00:00:00"/>
    <s v=""/>
    <s v="CAJA"/>
    <n v="4"/>
    <s v="PENDIENTE APROBACION  ENVIO TMS"/>
    <s v="000000000209667572"/>
    <x v="0"/>
    <x v="3"/>
    <m/>
    <n v="1"/>
    <m/>
  </r>
  <r>
    <n v="209667574"/>
    <s v="43"/>
    <x v="23"/>
    <d v="2026-10-13T17:30:02"/>
    <d v="2026-10-13T11:29:59"/>
    <d v="2026-10-13T00:00:00"/>
    <s v=""/>
    <s v="CAJA"/>
    <n v="8"/>
    <s v="PENDIENTE APROBACION  ENVIO TMS"/>
    <s v="000000000209667574"/>
    <x v="0"/>
    <x v="1"/>
    <m/>
    <n v="1"/>
    <m/>
  </r>
  <r>
    <n v="209667575"/>
    <s v="44"/>
    <x v="24"/>
    <d v="2026-10-13T17:30:03"/>
    <d v="2026-10-13T11:30:00"/>
    <d v="2026-10-13T00:00:00"/>
    <s v=""/>
    <s v="CAJA"/>
    <n v="4"/>
    <s v="PENDIENTE APROBACION  ENVIO TMS"/>
    <s v="000000000209667575"/>
    <x v="0"/>
    <x v="0"/>
    <m/>
    <n v="1"/>
    <m/>
  </r>
  <r>
    <n v="209667623"/>
    <s v="106"/>
    <x v="25"/>
    <d v="2026-10-13T17:30:04"/>
    <d v="2026-10-13T11:30:02"/>
    <d v="2026-10-13T00:00:00"/>
    <s v=""/>
    <s v="CAJA"/>
    <n v="4"/>
    <s v="PENDIENTE APROBACION  ENVIO TMS"/>
    <s v="000000000209667623"/>
    <x v="0"/>
    <x v="0"/>
    <m/>
    <n v="1"/>
    <m/>
  </r>
  <r>
    <n v="209667627"/>
    <s v="114"/>
    <x v="26"/>
    <d v="2026-10-13T17:30:05"/>
    <d v="2026-10-13T11:30:03"/>
    <d v="2026-10-13T00:00:00"/>
    <s v=""/>
    <s v="CAJA"/>
    <n v="4"/>
    <s v="PENDIENTE APROBACION  ENVIO TMS"/>
    <s v="000000000209667627"/>
    <x v="0"/>
    <x v="2"/>
    <m/>
    <n v="1"/>
    <m/>
  </r>
  <r>
    <n v="209667675"/>
    <s v="281"/>
    <x v="27"/>
    <d v="2026-10-13T17:30:07"/>
    <d v="2026-10-13T11:30:04"/>
    <d v="2026-10-13T00:00:00"/>
    <s v=""/>
    <s v="CAJA"/>
    <n v="4"/>
    <s v="PENDIENTE APROBACION  ENVIO TMS"/>
    <s v="000000000209667675"/>
    <x v="0"/>
    <x v="0"/>
    <m/>
    <n v="1"/>
    <m/>
  </r>
  <r>
    <n v="209667586"/>
    <s v="55"/>
    <x v="28"/>
    <d v="2026-10-13T17:30:08"/>
    <d v="2026-10-13T11:30:05"/>
    <d v="2026-10-13T00:00:00"/>
    <s v=""/>
    <s v="CAJA"/>
    <n v="4"/>
    <s v="PENDIENTE APROBACION  ENVIO TMS"/>
    <s v="000000000209667586"/>
    <x v="0"/>
    <x v="0"/>
    <m/>
    <n v="1"/>
    <m/>
  </r>
  <r>
    <n v="209667635"/>
    <s v="126"/>
    <x v="29"/>
    <d v="2026-10-13T17:30:09"/>
    <d v="2026-10-13T11:30:07"/>
    <d v="2026-10-13T00:00:00"/>
    <s v=""/>
    <s v="CAJA"/>
    <n v="4"/>
    <s v="PENDIENTE APROBACION  ENVIO TMS"/>
    <s v="000000000209667635"/>
    <x v="0"/>
    <x v="0"/>
    <m/>
    <n v="1"/>
    <m/>
  </r>
  <r>
    <n v="209667589"/>
    <s v="58"/>
    <x v="30"/>
    <d v="2026-10-13T17:30:11"/>
    <d v="2026-10-13T11:30:08"/>
    <d v="2026-10-13T00:00:00"/>
    <s v=""/>
    <s v="CAJA"/>
    <n v="8"/>
    <s v="PENDIENTE APROBACION  ENVIO TMS"/>
    <s v="000000000209667589"/>
    <x v="0"/>
    <x v="1"/>
    <m/>
    <n v="1"/>
    <m/>
  </r>
  <r>
    <n v="209667592"/>
    <s v="71"/>
    <x v="31"/>
    <d v="2026-10-13T17:30:12"/>
    <d v="2026-10-13T11:30:09"/>
    <d v="2026-10-13T00:00:00"/>
    <s v=""/>
    <s v="CAJA"/>
    <n v="4"/>
    <s v="PENDIENTE APROBACION  ENVIO TMS"/>
    <s v="000000000209667592"/>
    <x v="0"/>
    <x v="0"/>
    <m/>
    <n v="1"/>
    <m/>
  </r>
  <r>
    <n v="209667547"/>
    <s v="4"/>
    <x v="32"/>
    <d v="2026-10-13T17:30:14"/>
    <d v="2026-10-13T11:30:11"/>
    <d v="2026-10-13T00:00:00"/>
    <s v=""/>
    <s v="CAJA"/>
    <n v="4"/>
    <s v="PENDIENTE APROBACION  ENVIO TMS"/>
    <s v="000000000209667547"/>
    <x v="0"/>
    <x v="3"/>
    <m/>
    <n v="1"/>
    <m/>
  </r>
  <r>
    <n v="209667645"/>
    <s v="160"/>
    <x v="33"/>
    <d v="2026-10-13T17:30:15"/>
    <d v="2026-10-13T11:30:13"/>
    <d v="2026-10-13T00:00:00"/>
    <s v=""/>
    <s v="CAJA"/>
    <n v="8"/>
    <s v="PENDIENTE APROBACION  ENVIO TMS"/>
    <s v="000000000209667645"/>
    <x v="0"/>
    <x v="2"/>
    <m/>
    <n v="1"/>
    <m/>
  </r>
  <r>
    <n v="209667643"/>
    <s v="144"/>
    <x v="34"/>
    <d v="2026-10-13T17:30:15"/>
    <d v="2026-10-13T11:30:12"/>
    <d v="2026-10-13T00:00:00"/>
    <s v=""/>
    <s v="CAJA"/>
    <n v="4"/>
    <s v="PENDIENTE APROBACION  ENVIO TMS"/>
    <s v="000000000209667643"/>
    <x v="0"/>
    <x v="1"/>
    <m/>
    <n v="1"/>
    <m/>
  </r>
  <r>
    <n v="209667646"/>
    <s v="140"/>
    <x v="35"/>
    <d v="2026-10-13T17:30:17"/>
    <d v="2026-10-13T11:30:14"/>
    <d v="2026-10-13T00:00:00"/>
    <s v=""/>
    <s v="CAJA"/>
    <n v="4"/>
    <s v="PENDIENTE APROBACION  ENVIO TMS"/>
    <s v="000000000209667646"/>
    <x v="0"/>
    <x v="2"/>
    <m/>
    <n v="1"/>
    <m/>
  </r>
  <r>
    <n v="209667650"/>
    <s v="159"/>
    <x v="36"/>
    <d v="2026-10-13T17:30:18"/>
    <d v="2026-10-13T11:30:16"/>
    <d v="2026-10-13T00:00:00"/>
    <s v=""/>
    <s v="CAJA"/>
    <n v="4"/>
    <s v="PENDIENTE APROBACION  ENVIO TMS"/>
    <s v="000000000209667650"/>
    <x v="0"/>
    <x v="1"/>
    <m/>
    <n v="1"/>
    <m/>
  </r>
  <r>
    <n v="209667605"/>
    <s v="75"/>
    <x v="37"/>
    <d v="2026-10-13T17:30:20"/>
    <d v="2026-10-13T11:30:17"/>
    <d v="2026-10-13T00:00:00"/>
    <s v=""/>
    <s v="CAJA"/>
    <n v="8"/>
    <s v="PENDIENTE APROBACION  ENVIO TMS"/>
    <s v="000000000209667605"/>
    <x v="0"/>
    <x v="3"/>
    <m/>
    <n v="1"/>
    <m/>
  </r>
  <r>
    <n v="209667562"/>
    <s v="29"/>
    <x v="38"/>
    <d v="2026-10-13T17:30:20"/>
    <d v="2026-10-13T11:30:18"/>
    <d v="2026-10-13T00:00:00"/>
    <s v=""/>
    <s v="CAJA"/>
    <n v="4"/>
    <s v="PENDIENTE APROBACION  ENVIO TMS"/>
    <s v="000000000209667562"/>
    <x v="0"/>
    <x v="0"/>
    <m/>
    <n v="1"/>
    <m/>
  </r>
  <r>
    <n v="209667564"/>
    <s v="25"/>
    <x v="39"/>
    <d v="2026-10-13T17:30:22"/>
    <d v="2026-10-13T11:30:19"/>
    <d v="2026-10-13T00:00:00"/>
    <s v=""/>
    <s v="CAJA"/>
    <n v="4"/>
    <s v="PENDIENTE APROBACION  ENVIO TMS"/>
    <s v="000000000209667564"/>
    <x v="0"/>
    <x v="3"/>
    <m/>
    <n v="1"/>
    <m/>
  </r>
  <r>
    <n v="209667566"/>
    <s v="31"/>
    <x v="40"/>
    <d v="2026-10-13T17:30:23"/>
    <d v="2026-10-13T11:30:21"/>
    <d v="2026-10-13T00:00:00"/>
    <s v=""/>
    <s v="CAJA"/>
    <n v="4"/>
    <s v="PENDIENTE APROBACION  ENVIO TMS"/>
    <s v="000000000209667566"/>
    <x v="0"/>
    <x v="1"/>
    <m/>
    <n v="1"/>
    <m/>
  </r>
  <r>
    <n v="209667616"/>
    <s v="87"/>
    <x v="41"/>
    <d v="2026-10-13T17:30:25"/>
    <d v="2026-10-13T11:30:22"/>
    <d v="2026-10-13T00:00:00"/>
    <s v=""/>
    <s v="CAJA"/>
    <n v="4"/>
    <s v="PENDIENTE APROBACION  ENVIO TMS"/>
    <s v="000000000209667616"/>
    <x v="0"/>
    <x v="0"/>
    <m/>
    <n v="1"/>
    <m/>
  </r>
  <r>
    <n v="209667620"/>
    <s v="103"/>
    <x v="42"/>
    <d v="2026-10-13T17:30:26"/>
    <d v="2026-10-13T11:30:23"/>
    <d v="2026-10-13T00:00:00"/>
    <s v=""/>
    <s v="CAJA"/>
    <n v="4"/>
    <s v="PENDIENTE APROBACION  ENVIO TMS"/>
    <s v="000000000209667620"/>
    <x v="0"/>
    <x v="2"/>
    <m/>
    <n v="1"/>
    <m/>
  </r>
  <r>
    <n v="209667573"/>
    <s v="41"/>
    <x v="43"/>
    <d v="2026-10-13T17:30:27"/>
    <d v="2026-10-13T11:30:24"/>
    <d v="2026-10-13T00:00:00"/>
    <s v=""/>
    <s v="CAJA"/>
    <n v="4"/>
    <s v="PENDIENTE APROBACION  ENVIO TMS"/>
    <s v="000000000209667573"/>
    <x v="0"/>
    <x v="0"/>
    <m/>
    <n v="1"/>
    <m/>
  </r>
  <r>
    <n v="209667582"/>
    <s v="51"/>
    <x v="44"/>
    <d v="2026-10-13T17:30:28"/>
    <d v="2026-10-13T11:30:26"/>
    <d v="2026-10-13T00:00:00"/>
    <s v=""/>
    <s v="CAJA"/>
    <n v="4"/>
    <s v="PENDIENTE APROBACION  ENVIO TMS"/>
    <s v="000000000209667582"/>
    <x v="0"/>
    <x v="1"/>
    <m/>
    <n v="1"/>
    <m/>
  </r>
  <r>
    <n v="209667587"/>
    <s v="70"/>
    <x v="45"/>
    <d v="2026-10-13T17:30:30"/>
    <d v="2026-10-13T11:30:27"/>
    <d v="2026-10-13T00:00:00"/>
    <s v=""/>
    <s v="CAJA"/>
    <n v="4"/>
    <s v="PENDIENTE APROBACION  ENVIO TMS"/>
    <s v="000000000209667587"/>
    <x v="0"/>
    <x v="2"/>
    <m/>
    <n v="1"/>
    <m/>
  </r>
  <r>
    <n v="209667681"/>
    <s v="278"/>
    <x v="46"/>
    <d v="2026-10-13T17:30:31"/>
    <d v="2026-10-13T11:30:28"/>
    <d v="2026-10-13T00:00:00"/>
    <s v=""/>
    <s v="CAJA"/>
    <n v="4"/>
    <s v="PENDIENTE APROBACION  ENVIO TMS"/>
    <s v="000000000209667681"/>
    <x v="0"/>
    <x v="1"/>
    <m/>
    <n v="1"/>
    <m/>
  </r>
  <r>
    <n v="209667638"/>
    <s v="129"/>
    <x v="47"/>
    <d v="2026-10-13T17:30:32"/>
    <d v="2026-10-13T11:30:29"/>
    <d v="2026-10-13T00:00:00"/>
    <s v=""/>
    <s v="CAJA"/>
    <n v="8"/>
    <s v="PENDIENTE APROBACION  ENVIO TMS"/>
    <s v="000000000209667638"/>
    <x v="0"/>
    <x v="2"/>
    <m/>
    <n v="1"/>
    <m/>
  </r>
  <r>
    <n v="209667549"/>
    <s v="6"/>
    <x v="48"/>
    <d v="2026-10-13T17:30:33"/>
    <d v="2026-10-13T11:30:31"/>
    <d v="2026-10-13T00:00:00"/>
    <s v=""/>
    <s v="CAJA"/>
    <n v="8"/>
    <s v="PENDIENTE APROBACION  ENVIO TMS"/>
    <s v="000000000209667549"/>
    <x v="0"/>
    <x v="3"/>
    <m/>
    <n v="1"/>
    <m/>
  </r>
  <r>
    <n v="209667607"/>
    <s v="76"/>
    <x v="49"/>
    <d v="2026-10-13T17:30:34"/>
    <d v="2026-10-13T11:30:32"/>
    <d v="2026-10-13T00:00:00"/>
    <s v=""/>
    <s v="CAJA"/>
    <n v="8"/>
    <s v="PENDIENTE APROBACION  ENVIO TMS"/>
    <s v="000000000209667607"/>
    <x v="0"/>
    <x v="2"/>
    <m/>
    <n v="1"/>
    <m/>
  </r>
  <r>
    <n v="209667608"/>
    <s v="77"/>
    <x v="50"/>
    <d v="2026-10-13T17:30:36"/>
    <d v="2026-10-13T11:30:33"/>
    <d v="2026-10-13T00:00:00"/>
    <s v=""/>
    <s v="CAJA"/>
    <n v="4"/>
    <s v="PENDIENTE APROBACION  ENVIO TMS"/>
    <s v="000000000209667608"/>
    <x v="0"/>
    <x v="0"/>
    <m/>
    <n v="1"/>
    <m/>
  </r>
  <r>
    <n v="209667655"/>
    <s v="210"/>
    <x v="51"/>
    <d v="2026-10-13T17:30:37"/>
    <d v="2026-10-13T11:30:34"/>
    <d v="2026-10-13T00:00:00"/>
    <s v=""/>
    <s v="CAJA"/>
    <n v="6"/>
    <s v="PENDIENTE APROBACION  ENVIO TMS"/>
    <s v="000000000209667655"/>
    <x v="0"/>
    <x v="1"/>
    <m/>
    <n v="1"/>
    <m/>
  </r>
  <r>
    <n v="209667561"/>
    <s v="28"/>
    <x v="52"/>
    <d v="2026-10-13T17:30:38"/>
    <d v="2026-10-13T11:30:36"/>
    <d v="2026-10-13T00:00:00"/>
    <s v=""/>
    <s v="CAJA"/>
    <n v="4"/>
    <s v="PENDIENTE APROBACION  ENVIO TMS"/>
    <s v="000000000209667561"/>
    <x v="0"/>
    <x v="1"/>
    <m/>
    <n v="1"/>
    <m/>
  </r>
  <r>
    <n v="209667565"/>
    <s v="27"/>
    <x v="53"/>
    <d v="2026-10-13T17:30:39"/>
    <d v="2026-10-13T11:30:37"/>
    <d v="2026-10-13T00:00:00"/>
    <s v=""/>
    <s v="CAJA"/>
    <n v="4"/>
    <s v="PENDIENTE APROBACION  ENVIO TMS"/>
    <s v="000000000209667565"/>
    <x v="0"/>
    <x v="1"/>
    <m/>
    <n v="1"/>
    <m/>
  </r>
  <r>
    <n v="209667614"/>
    <s v="80"/>
    <x v="54"/>
    <d v="2026-10-13T17:30:41"/>
    <d v="2026-10-13T11:30:38"/>
    <d v="2026-10-13T00:00:00"/>
    <s v=""/>
    <s v="CAJA"/>
    <n v="4"/>
    <s v="PENDIENTE APROBACION  ENVIO TMS"/>
    <s v="000000000209667614"/>
    <x v="0"/>
    <x v="0"/>
    <m/>
    <n v="1"/>
    <m/>
  </r>
  <r>
    <n v="209667626"/>
    <s v="110"/>
    <x v="55"/>
    <d v="2026-10-13T17:30:42"/>
    <d v="2026-10-13T11:30:39"/>
    <d v="2026-10-13T00:00:00"/>
    <s v=""/>
    <s v="CAJA"/>
    <n v="4"/>
    <s v="PENDIENTE APROBACION  ENVIO TMS"/>
    <s v="000000000209667626"/>
    <x v="0"/>
    <x v="0"/>
    <m/>
    <n v="1"/>
    <m/>
  </r>
  <r>
    <n v="209667632"/>
    <s v="123"/>
    <x v="3"/>
    <d v="2026-10-13T17:30:44"/>
    <d v="2026-10-13T11:30:41"/>
    <d v="2026-10-13T00:00:00"/>
    <s v=""/>
    <s v="CAJA"/>
    <n v="4"/>
    <s v="PENDIENTE APROBACION  ENVIO TMS"/>
    <s v="000000000209667632"/>
    <x v="0"/>
    <x v="0"/>
    <m/>
    <n v="1"/>
    <m/>
  </r>
  <r>
    <n v="209667683"/>
    <s v="277"/>
    <x v="4"/>
    <d v="2026-10-13T17:30:45"/>
    <d v="2026-10-13T11:30:42"/>
    <d v="2026-10-13T00:00:00"/>
    <s v=""/>
    <s v="CAJA"/>
    <n v="4"/>
    <s v="PENDIENTE APROBACION  ENVIO TMS"/>
    <s v="000000000209667683"/>
    <x v="0"/>
    <x v="1"/>
    <m/>
    <n v="1"/>
    <m/>
  </r>
  <r>
    <n v="209667590"/>
    <s v="59"/>
    <x v="56"/>
    <d v="2026-10-13T17:30:46"/>
    <d v="2026-10-13T11:30:43"/>
    <d v="2026-10-13T00:00:00"/>
    <s v=""/>
    <s v="CAJA"/>
    <n v="4"/>
    <s v="PENDIENTE APROBACION  ENVIO TMS"/>
    <s v="000000000209667590"/>
    <x v="0"/>
    <x v="0"/>
    <m/>
    <n v="1"/>
    <m/>
  </r>
  <r>
    <n v="209667546"/>
    <s v="3"/>
    <x v="57"/>
    <d v="2026-10-13T17:30:47"/>
    <d v="2026-10-13T11:30:44"/>
    <d v="2026-10-13T00:00:00"/>
    <s v=""/>
    <s v="CAJA"/>
    <n v="8"/>
    <s v="PENDIENTE APROBACION  ENVIO TMS"/>
    <s v="000000000209667546"/>
    <x v="0"/>
    <x v="3"/>
    <m/>
    <n v="1"/>
    <m/>
  </r>
  <r>
    <n v="209667594"/>
    <s v="62"/>
    <x v="58"/>
    <d v="2026-10-13T17:30:48"/>
    <d v="2026-10-13T11:30:45"/>
    <d v="2026-10-13T00:00:00"/>
    <s v=""/>
    <s v="CAJA"/>
    <n v="7"/>
    <s v="PENDIENTE APROBACION  ENVIO TMS"/>
    <s v="000000000209667594"/>
    <x v="0"/>
    <x v="3"/>
    <m/>
    <n v="1"/>
    <m/>
  </r>
  <r>
    <n v="209667644"/>
    <s v="150"/>
    <x v="59"/>
    <d v="2026-10-13T17:30:50"/>
    <d v="2026-10-13T11:30:48"/>
    <d v="2026-10-13T00:00:00"/>
    <s v=""/>
    <s v="CAJA"/>
    <n v="4"/>
    <s v="PENDIENTE APROBACION  ENVIO TMS"/>
    <s v="000000000209667644"/>
    <x v="0"/>
    <x v="1"/>
    <m/>
    <n v="1"/>
    <m/>
  </r>
  <r>
    <n v="209667595"/>
    <s v="72"/>
    <x v="60"/>
    <d v="2026-10-13T17:30:50"/>
    <d v="2026-10-13T11:30:47"/>
    <d v="2026-10-13T00:00:00"/>
    <s v=""/>
    <s v="CAJA"/>
    <n v="8"/>
    <s v="PENDIENTE APROBACION  ENVIO TMS"/>
    <s v="000000000209667595"/>
    <x v="0"/>
    <x v="3"/>
    <m/>
    <n v="1"/>
    <m/>
  </r>
  <r>
    <n v="209667553"/>
    <s v="11"/>
    <x v="61"/>
    <d v="2026-10-13T17:30:52"/>
    <d v="2026-10-13T11:30:49"/>
    <d v="2026-10-13T00:00:00"/>
    <s v=""/>
    <s v="CAJA"/>
    <n v="4"/>
    <s v="PENDIENTE APROBACION  ENVIO TMS"/>
    <s v="000000000209667553"/>
    <x v="0"/>
    <x v="1"/>
    <m/>
    <n v="1"/>
    <m/>
  </r>
  <r>
    <n v="209667554"/>
    <s v="12"/>
    <x v="62"/>
    <d v="2026-10-13T17:30:53"/>
    <d v="2026-10-13T11:30:50"/>
    <d v="2026-10-13T00:00:00"/>
    <s v=""/>
    <s v="CAJA"/>
    <n v="4"/>
    <s v="PENDIENTE APROBACION  ENVIO TMS"/>
    <s v="000000000209667554"/>
    <x v="0"/>
    <x v="1"/>
    <m/>
    <n v="1"/>
    <m/>
  </r>
  <r>
    <n v="209667601"/>
    <s v="74"/>
    <x v="63"/>
    <d v="2026-10-13T17:30:54"/>
    <d v="2026-10-13T11:30:51"/>
    <d v="2026-10-13T00:00:00"/>
    <s v=""/>
    <s v="CAJA"/>
    <n v="4"/>
    <s v="PENDIENTE APROBACION  ENVIO TMS"/>
    <s v="000000000209667601"/>
    <x v="0"/>
    <x v="0"/>
    <m/>
    <n v="1"/>
    <m/>
  </r>
  <r>
    <n v="209667602"/>
    <s v="67"/>
    <x v="64"/>
    <d v="2026-10-13T17:30:55"/>
    <d v="2026-10-13T11:30:53"/>
    <d v="2026-10-13T00:00:00"/>
    <s v=""/>
    <s v="CAJA"/>
    <n v="8"/>
    <s v="PENDIENTE APROBACION  ENVIO TMS"/>
    <s v="000000000209667602"/>
    <x v="0"/>
    <x v="2"/>
    <m/>
    <n v="1"/>
    <m/>
  </r>
  <r>
    <n v="209667648"/>
    <s v="161"/>
    <x v="65"/>
    <d v="2026-10-13T17:30:57"/>
    <d v="2026-10-13T11:30:54"/>
    <d v="2026-10-13T00:00:00"/>
    <s v=""/>
    <s v="CAJA"/>
    <n v="4"/>
    <s v="PENDIENTE APROBACION  ENVIO TMS"/>
    <s v="000000000209667648"/>
    <x v="0"/>
    <x v="4"/>
    <m/>
    <n v="1"/>
    <m/>
  </r>
  <r>
    <n v="209667606"/>
    <s v="81"/>
    <x v="66"/>
    <d v="2026-10-13T17:30:58"/>
    <d v="2026-10-13T11:30:56"/>
    <d v="2026-10-13T00:00:00"/>
    <s v=""/>
    <s v="CAJA"/>
    <n v="4"/>
    <s v="PENDIENTE APROBACION  ENVIO TMS"/>
    <s v="000000000209667606"/>
    <x v="0"/>
    <x v="2"/>
    <m/>
    <n v="1"/>
    <m/>
  </r>
  <r>
    <n v="209667610"/>
    <s v="83"/>
    <x v="67"/>
    <d v="2026-10-13T17:31:00"/>
    <d v="2026-10-13T11:30:57"/>
    <d v="2026-10-13T00:00:00"/>
    <s v=""/>
    <s v="CAJA"/>
    <n v="4"/>
    <s v="PENDIENTE APROBACION  ENVIO TMS"/>
    <s v="000000000209667610"/>
    <x v="0"/>
    <x v="1"/>
    <m/>
    <n v="1"/>
    <m/>
  </r>
  <r>
    <n v="209667659"/>
    <s v="220"/>
    <x v="68"/>
    <d v="2026-10-13T17:31:01"/>
    <d v="2026-10-13T11:30:58"/>
    <d v="2026-10-13T00:00:00"/>
    <s v=""/>
    <s v="CAJA"/>
    <n v="8"/>
    <s v="PENDIENTE APROBACION  ENVIO TMS"/>
    <s v="000000000209667659"/>
    <x v="0"/>
    <x v="1"/>
    <m/>
    <n v="1"/>
    <m/>
  </r>
  <r>
    <n v="209667612"/>
    <s v="85"/>
    <x v="69"/>
    <d v="2026-10-13T17:31:02"/>
    <d v="2026-10-13T11:30:59"/>
    <d v="2026-10-13T00:00:00"/>
    <s v=""/>
    <s v="CAJA"/>
    <n v="4"/>
    <s v="PENDIENTE APROBACION  ENVIO TMS"/>
    <s v="000000000209667612"/>
    <x v="0"/>
    <x v="1"/>
    <m/>
    <n v="1"/>
    <m/>
  </r>
  <r>
    <n v="209667660"/>
    <s v="225"/>
    <x v="70"/>
    <d v="2026-10-13T17:31:03"/>
    <d v="2026-10-13T11:31:01"/>
    <d v="2026-10-13T00:00:00"/>
    <s v=""/>
    <s v="CAJA"/>
    <n v="7"/>
    <s v="PENDIENTE APROBACION  ENVIO TMS"/>
    <s v="000000000209667660"/>
    <x v="0"/>
    <x v="3"/>
    <m/>
    <n v="1"/>
    <m/>
  </r>
  <r>
    <n v="209667622"/>
    <s v="105"/>
    <x v="71"/>
    <d v="2026-10-13T17:31:05"/>
    <d v="2026-10-13T11:31:02"/>
    <d v="2026-10-13T00:00:00"/>
    <s v=""/>
    <s v="CAJA"/>
    <n v="8"/>
    <s v="PENDIENTE APROBACION  ENVIO TMS"/>
    <s v="000000000209667622"/>
    <x v="0"/>
    <x v="2"/>
    <m/>
    <n v="1"/>
    <m/>
  </r>
  <r>
    <n v="209667578"/>
    <s v="47"/>
    <x v="1"/>
    <d v="2026-10-13T17:31:06"/>
    <d v="2026-10-13T11:31:03"/>
    <d v="2026-10-13T00:00:00"/>
    <s v=""/>
    <s v="CAJA"/>
    <n v="4"/>
    <s v="PENDIENTE APROBACION  ENVIO TMS"/>
    <s v="000000000209667578"/>
    <x v="0"/>
    <x v="0"/>
    <m/>
    <n v="1"/>
    <m/>
  </r>
  <r>
    <n v="209667630"/>
    <s v="117"/>
    <x v="72"/>
    <d v="2026-10-13T17:31:07"/>
    <d v="2026-10-13T11:31:04"/>
    <d v="2026-10-13T00:00:00"/>
    <s v=""/>
    <s v="CAJA"/>
    <n v="8"/>
    <s v="PENDIENTE APROBACION  ENVIO TMS"/>
    <s v="000000000209667630"/>
    <x v="0"/>
    <x v="3"/>
    <m/>
    <n v="1"/>
    <m/>
  </r>
  <r>
    <n v="209667679"/>
    <s v="297"/>
    <x v="73"/>
    <d v="2026-10-13T17:31:08"/>
    <d v="2026-10-13T11:31:05"/>
    <d v="2026-10-13T00:00:00"/>
    <s v=""/>
    <s v="CAJA"/>
    <n v="4"/>
    <s v="PENDIENTE APROBACION  ENVIO TMS"/>
    <s v="000000000209667679"/>
    <x v="0"/>
    <x v="0"/>
    <m/>
    <n v="1"/>
    <m/>
  </r>
  <r>
    <n v="209667634"/>
    <s v="125"/>
    <x v="74"/>
    <d v="2026-10-13T17:31:09"/>
    <d v="2026-10-13T11:31:07"/>
    <d v="2026-10-13T00:00:00"/>
    <s v=""/>
    <s v="CAJA"/>
    <n v="8"/>
    <s v="PENDIENTE APROBACION  ENVIO TMS"/>
    <s v="000000000209667634"/>
    <x v="0"/>
    <x v="1"/>
    <m/>
    <n v="1"/>
    <m/>
  </r>
  <r>
    <n v="209667637"/>
    <s v="130"/>
    <x v="75"/>
    <d v="2026-10-13T17:31:11"/>
    <d v="2026-10-13T11:31:08"/>
    <d v="2026-10-13T00:00:00"/>
    <s v=""/>
    <s v="CAJA"/>
    <n v="4"/>
    <s v="PENDIENTE APROBACION  ENVIO TMS"/>
    <s v="000000000209667637"/>
    <x v="0"/>
    <x v="1"/>
    <m/>
    <n v="1"/>
    <m/>
  </r>
  <r>
    <n v="209667640"/>
    <s v="141"/>
    <x v="76"/>
    <d v="2026-10-13T17:31:12"/>
    <d v="2026-10-13T11:31:10"/>
    <d v="2026-10-13T00:00:00"/>
    <s v=""/>
    <s v="CAJA"/>
    <n v="8"/>
    <s v="PENDIENTE APROBACION  ENVIO TMS"/>
    <s v="000000000209667640"/>
    <x v="0"/>
    <x v="2"/>
    <m/>
    <n v="1"/>
    <m/>
  </r>
  <r>
    <n v="209667593"/>
    <s v="61"/>
    <x v="77"/>
    <d v="2026-10-13T17:31:12"/>
    <d v="2026-10-13T11:31:09"/>
    <d v="2026-10-13T00:00:00"/>
    <s v=""/>
    <s v="CAJA"/>
    <n v="5"/>
    <s v="PENDIENTE APROBACION  ENVIO TMS"/>
    <s v="000000000209667593"/>
    <x v="0"/>
    <x v="0"/>
    <m/>
    <n v="1"/>
    <m/>
  </r>
  <r>
    <n v="209667642"/>
    <s v="143"/>
    <x v="78"/>
    <d v="2026-10-13T17:31:14"/>
    <d v="2026-10-13T11:31:12"/>
    <d v="2026-10-13T00:00:00"/>
    <s v=""/>
    <s v="CAJA"/>
    <n v="4"/>
    <s v="PENDIENTE APROBACION  ENVIO TMS"/>
    <s v="000000000209667642"/>
    <x v="0"/>
    <x v="2"/>
    <m/>
    <n v="1"/>
    <m/>
  </r>
  <r>
    <n v="209667599"/>
    <s v="65"/>
    <x v="79"/>
    <d v="2026-10-13T17:31:15"/>
    <d v="2026-10-13T11:31:13"/>
    <d v="2026-10-13T00:00:00"/>
    <s v=""/>
    <s v="CAJA"/>
    <n v="4"/>
    <s v="PENDIENTE APROBACION  ENVIO TMS"/>
    <s v="000000000209667599"/>
    <x v="0"/>
    <x v="0"/>
    <m/>
    <n v="1"/>
    <m/>
  </r>
  <r>
    <n v="209667604"/>
    <s v="69"/>
    <x v="80"/>
    <d v="2026-10-13T17:31:17"/>
    <d v="2026-10-13T11:31:14"/>
    <d v="2026-10-13T00:00:00"/>
    <s v=""/>
    <s v="CAJA"/>
    <n v="4"/>
    <s v="PENDIENTE APROBACION  ENVIO TMS"/>
    <s v="000000000209667604"/>
    <x v="0"/>
    <x v="1"/>
    <m/>
    <n v="1"/>
    <m/>
  </r>
  <r>
    <n v="209667651"/>
    <s v="196"/>
    <x v="81"/>
    <d v="2026-10-13T17:31:18"/>
    <d v="2026-10-13T11:31:15"/>
    <d v="2026-10-13T00:00:00"/>
    <s v=""/>
    <s v="CAJA"/>
    <n v="4"/>
    <s v="PENDIENTE APROBACION  ENVIO TMS"/>
    <s v="000000000209667651"/>
    <x v="0"/>
    <x v="2"/>
    <m/>
    <n v="1"/>
    <m/>
  </r>
  <r>
    <n v="209667611"/>
    <s v="84"/>
    <x v="82"/>
    <d v="2026-10-13T17:31:19"/>
    <d v="2026-10-13T11:31:16"/>
    <d v="2026-10-13T00:00:00"/>
    <s v=""/>
    <s v="CAJA"/>
    <n v="4"/>
    <s v="PENDIENTE APROBACION  ENVIO TMS"/>
    <s v="000000000209667611"/>
    <x v="0"/>
    <x v="0"/>
    <m/>
    <n v="1"/>
    <m/>
  </r>
  <r>
    <n v="209667568"/>
    <s v="56"/>
    <x v="83"/>
    <d v="2026-10-13T17:31:20"/>
    <d v="2026-10-13T11:31:18"/>
    <d v="2026-10-13T00:00:00"/>
    <s v=""/>
    <s v="CAJA"/>
    <n v="4"/>
    <s v="PENDIENTE APROBACION  ENVIO TMS"/>
    <s v="000000000209667568"/>
    <x v="0"/>
    <x v="1"/>
    <m/>
    <n v="1"/>
    <m/>
  </r>
  <r>
    <n v="209667664"/>
    <s v="238"/>
    <x v="84"/>
    <d v="2026-10-13T17:31:21"/>
    <d v="2026-10-13T11:31:19"/>
    <d v="2026-10-13T00:00:00"/>
    <s v=""/>
    <s v="CAJA"/>
    <n v="4"/>
    <s v="PENDIENTE APROBACION  ENVIO TMS"/>
    <s v="000000000209667664"/>
    <x v="0"/>
    <x v="1"/>
    <m/>
    <n v="1"/>
    <m/>
  </r>
  <r>
    <n v="209667667"/>
    <s v="259"/>
    <x v="85"/>
    <d v="2026-10-13T17:31:23"/>
    <d v="2026-10-13T11:31:20"/>
    <d v="2026-10-13T00:00:00"/>
    <s v=""/>
    <s v="CAJA"/>
    <n v="4"/>
    <s v="PENDIENTE APROBACION  ENVIO TMS"/>
    <s v="000000000209667667"/>
    <x v="0"/>
    <x v="1"/>
    <m/>
    <n v="1"/>
    <m/>
  </r>
  <r>
    <n v="209667577"/>
    <s v="46"/>
    <x v="86"/>
    <d v="2026-10-13T17:31:24"/>
    <d v="2026-10-13T11:31:21"/>
    <d v="2026-10-13T00:00:00"/>
    <s v=""/>
    <s v="CAJA"/>
    <n v="4"/>
    <s v="PENDIENTE APROBACION  ENVIO TMS"/>
    <s v="000000000209667577"/>
    <x v="0"/>
    <x v="1"/>
    <m/>
    <n v="1"/>
    <m/>
  </r>
  <r>
    <n v="209667579"/>
    <s v="48"/>
    <x v="87"/>
    <d v="2026-10-13T17:31:25"/>
    <d v="2026-10-13T11:31:22"/>
    <d v="2026-10-13T00:00:00"/>
    <s v=""/>
    <s v="CAJA"/>
    <n v="4"/>
    <s v="PENDIENTE APROBACION  ENVIO TMS"/>
    <s v="000000000209667579"/>
    <x v="0"/>
    <x v="3"/>
    <m/>
    <n v="1"/>
    <m/>
  </r>
  <r>
    <n v="209667628"/>
    <s v="115"/>
    <x v="88"/>
    <d v="2026-10-13T17:31:26"/>
    <d v="2026-10-13T11:31:24"/>
    <d v="2026-10-13T00:00:00"/>
    <s v=""/>
    <s v="CAJA"/>
    <n v="4"/>
    <s v="PENDIENTE APROBACION  ENVIO TMS"/>
    <s v="000000000209667628"/>
    <x v="0"/>
    <x v="2"/>
    <m/>
    <n v="1"/>
    <m/>
  </r>
  <r>
    <n v="209667677"/>
    <s v="275"/>
    <x v="89"/>
    <d v="2026-10-13T17:31:28"/>
    <d v="2026-10-13T11:31:25"/>
    <d v="2026-10-13T00:00:00"/>
    <s v=""/>
    <s v="CAJA"/>
    <n v="4"/>
    <s v="PENDIENTE APROBACION  ENVIO TMS"/>
    <s v="000000000209667677"/>
    <x v="0"/>
    <x v="0"/>
    <m/>
    <n v="1"/>
    <m/>
  </r>
  <r>
    <n v="209667633"/>
    <s v="124"/>
    <x v="90"/>
    <d v="2026-10-13T17:31:29"/>
    <d v="2026-10-13T11:31:26"/>
    <d v="2026-10-13T00:00:00"/>
    <s v=""/>
    <s v="CAJA"/>
    <n v="4"/>
    <s v="PENDIENTE APROBACION  ENVIO TMS"/>
    <s v="000000000209667633"/>
    <x v="0"/>
    <x v="1"/>
    <m/>
    <n v="1"/>
    <m/>
  </r>
  <r>
    <n v="209667548"/>
    <s v="5"/>
    <x v="91"/>
    <d v="2026-10-13T17:31:30"/>
    <d v="2026-10-13T11:31:27"/>
    <d v="2026-10-13T00:00:00"/>
    <s v=""/>
    <s v="CAJA"/>
    <n v="8"/>
    <s v="PENDIENTE APROBACION  ENVIO TMS"/>
    <s v="000000000209667548"/>
    <x v="0"/>
    <x v="3"/>
    <m/>
    <n v="1"/>
    <m/>
  </r>
  <r>
    <n v="209667550"/>
    <s v="7"/>
    <x v="92"/>
    <d v="2026-10-13T17:31:31"/>
    <d v="2026-10-13T11:31:29"/>
    <d v="2026-10-13T00:00:00"/>
    <s v=""/>
    <s v="CAJA"/>
    <n v="4"/>
    <s v="PENDIENTE APROBACION  ENVIO TMS"/>
    <s v="000000000209667550"/>
    <x v="0"/>
    <x v="1"/>
    <m/>
    <n v="1"/>
    <m/>
  </r>
  <r>
    <n v="209667597"/>
    <s v="73"/>
    <x v="93"/>
    <d v="2026-10-13T17:31:32"/>
    <d v="2026-10-13T11:31:30"/>
    <d v="2026-10-13T00:00:00"/>
    <s v=""/>
    <s v="CAJA"/>
    <n v="4"/>
    <s v="PENDIENTE APROBACION  ENVIO TMS"/>
    <s v="000000000209667597"/>
    <x v="0"/>
    <x v="0"/>
    <m/>
    <n v="1"/>
    <m/>
  </r>
  <r>
    <n v="209667649"/>
    <s v="162"/>
    <x v="94"/>
    <d v="2026-10-13T17:31:34"/>
    <d v="2026-10-13T11:31:31"/>
    <d v="2026-10-13T00:00:00"/>
    <s v=""/>
    <s v="CAJA"/>
    <n v="8"/>
    <s v="PENDIENTE APROBACION  ENVIO TMS"/>
    <s v="000000000209667649"/>
    <x v="0"/>
    <x v="3"/>
    <m/>
    <n v="1"/>
    <m/>
  </r>
  <r>
    <n v="209667555"/>
    <s v="13"/>
    <x v="95"/>
    <d v="2026-10-13T17:31:35"/>
    <d v="2026-10-13T11:31:32"/>
    <d v="2026-10-13T00:00:00"/>
    <s v=""/>
    <s v="CAJA"/>
    <n v="4"/>
    <s v="PENDIENTE APROBACION  ENVIO TMS"/>
    <s v="000000000209667555"/>
    <x v="0"/>
    <x v="1"/>
    <m/>
    <n v="1"/>
    <m/>
  </r>
  <r>
    <n v="209667556"/>
    <s v="14"/>
    <x v="96"/>
    <d v="2026-10-13T17:31:36"/>
    <d v="2026-10-13T11:31:34"/>
    <d v="2026-10-13T00:00:00"/>
    <s v=""/>
    <s v="CAJA"/>
    <n v="4"/>
    <s v="PENDIENTE APROBACION  ENVIO TMS"/>
    <s v="000000000209667556"/>
    <x v="0"/>
    <x v="3"/>
    <m/>
    <n v="1"/>
    <m/>
  </r>
  <r>
    <n v="209667603"/>
    <s v="68"/>
    <x v="97"/>
    <d v="2026-10-13T17:31:38"/>
    <d v="2026-10-13T11:31:35"/>
    <d v="2026-10-13T00:00:00"/>
    <s v=""/>
    <s v="CAJA"/>
    <n v="8"/>
    <s v="PENDIENTE APROBACION  ENVIO TMS"/>
    <s v="000000000209667603"/>
    <x v="0"/>
    <x v="3"/>
    <m/>
    <n v="1"/>
    <m/>
  </r>
  <r>
    <n v="209667653"/>
    <s v="204"/>
    <x v="98"/>
    <d v="2026-10-13T17:31:38"/>
    <d v="2026-10-13T11:31:36"/>
    <d v="2026-10-13T00:00:00"/>
    <s v=""/>
    <s v="CAJA"/>
    <n v="4"/>
    <s v="PENDIENTE APROBACION  ENVIO TMS"/>
    <s v="000000000209667653"/>
    <x v="0"/>
    <x v="0"/>
    <m/>
    <n v="1"/>
    <m/>
  </r>
  <r>
    <n v="209667558"/>
    <s v="17"/>
    <x v="99"/>
    <d v="2026-10-13T17:31:40"/>
    <d v="2026-10-13T11:31:37"/>
    <d v="2026-10-13T00:00:00"/>
    <s v=""/>
    <s v="CAJA"/>
    <n v="4"/>
    <s v="PENDIENTE APROBACION  ENVIO TMS"/>
    <s v="000000000209667558"/>
    <x v="0"/>
    <x v="3"/>
    <m/>
    <n v="1"/>
    <m/>
  </r>
  <r>
    <n v="209667560"/>
    <s v="26"/>
    <x v="100"/>
    <d v="2026-10-13T17:31:41"/>
    <d v="2026-10-13T11:31:38"/>
    <d v="2026-10-13T00:00:00"/>
    <s v=""/>
    <s v="CAJA"/>
    <n v="4"/>
    <s v="PENDIENTE APROBACION  ENVIO TMS"/>
    <s v="000000000209667560"/>
    <x v="0"/>
    <x v="1"/>
    <m/>
    <n v="1"/>
    <m/>
  </r>
  <r>
    <n v="209667656"/>
    <s v="215"/>
    <x v="101"/>
    <d v="2026-10-13T17:31:42"/>
    <d v="2026-10-13T11:31:40"/>
    <d v="2026-10-13T00:00:00"/>
    <s v=""/>
    <s v="CAJA"/>
    <n v="4"/>
    <s v="PENDIENTE APROBACION  ENVIO TMS"/>
    <s v="000000000209667656"/>
    <x v="0"/>
    <x v="0"/>
    <m/>
    <n v="1"/>
    <m/>
  </r>
  <r>
    <n v="209667662"/>
    <s v="228"/>
    <x v="102"/>
    <d v="2026-10-13T17:31:43"/>
    <d v="2026-10-13T11:31:41"/>
    <d v="2026-10-13T00:00:00"/>
    <s v=""/>
    <s v="CAJA"/>
    <n v="8"/>
    <s v="PENDIENTE APROBACION  ENVIO TMS"/>
    <s v="000000000209667662"/>
    <x v="0"/>
    <x v="1"/>
    <m/>
    <n v="1"/>
    <m/>
  </r>
  <r>
    <n v="209667615"/>
    <s v="88"/>
    <x v="103"/>
    <d v="2026-10-13T17:31:45"/>
    <d v="2026-10-13T11:31:42"/>
    <d v="2026-10-13T00:00:00"/>
    <s v=""/>
    <s v="CAJA"/>
    <n v="4"/>
    <s v="PENDIENTE APROBACION  ENVIO TMS"/>
    <s v="000000000209667615"/>
    <x v="0"/>
    <x v="0"/>
    <m/>
    <n v="1"/>
    <m/>
  </r>
  <r>
    <n v="209667617"/>
    <s v="89"/>
    <x v="104"/>
    <d v="2026-10-13T17:31:46"/>
    <d v="2026-10-13T11:31:43"/>
    <d v="2026-10-13T00:00:00"/>
    <s v=""/>
    <s v="CAJA"/>
    <n v="4"/>
    <s v="PENDIENTE APROBACION  ENVIO TMS"/>
    <s v="000000000209667617"/>
    <x v="0"/>
    <x v="0"/>
    <m/>
    <n v="1"/>
    <m/>
  </r>
  <r>
    <n v="209667663"/>
    <s v="237"/>
    <x v="105"/>
    <d v="2026-10-13T17:31:47"/>
    <d v="2026-10-13T11:31:44"/>
    <d v="2026-10-13T00:00:00"/>
    <s v=""/>
    <s v="CAJA"/>
    <n v="4"/>
    <s v="PENDIENTE APROBACION  ENVIO TMS"/>
    <s v="000000000209667663"/>
    <x v="0"/>
    <x v="0"/>
    <m/>
    <n v="1"/>
    <m/>
  </r>
  <r>
    <n v="209667619"/>
    <s v="102"/>
    <x v="106"/>
    <d v="2026-10-13T17:31:49"/>
    <d v="2026-10-13T11:31:46"/>
    <d v="2026-10-13T00:00:00"/>
    <s v=""/>
    <s v="CAJA"/>
    <n v="8"/>
    <s v="PENDIENTE APROBACION  ENVIO TMS"/>
    <s v="000000000209667619"/>
    <x v="0"/>
    <x v="3"/>
    <m/>
    <n v="1"/>
    <m/>
  </r>
  <r>
    <n v="209667670"/>
    <s v="262"/>
    <x v="107"/>
    <d v="2026-10-13T17:31:49"/>
    <d v="2026-10-13T11:31:47"/>
    <d v="2026-10-13T00:00:00"/>
    <s v=""/>
    <s v="CAJA"/>
    <n v="4"/>
    <s v="PENDIENTE APROBACION  ENVIO TMS"/>
    <s v="000000000209667670"/>
    <x v="0"/>
    <x v="4"/>
    <m/>
    <n v="1"/>
    <m/>
  </r>
  <r>
    <n v="209667671"/>
    <s v="249"/>
    <x v="108"/>
    <d v="2026-10-13T17:31:51"/>
    <d v="2026-10-13T11:31:48"/>
    <d v="2026-10-13T00:00:00"/>
    <s v=""/>
    <s v="CAJA"/>
    <n v="4"/>
    <s v="PENDIENTE APROBACION  ENVIO TMS"/>
    <s v="000000000209667671"/>
    <x v="0"/>
    <x v="0"/>
    <m/>
    <n v="1"/>
    <m/>
  </r>
  <r>
    <n v="209667673"/>
    <s v="266"/>
    <x v="109"/>
    <d v="2026-10-13T17:31:52"/>
    <d v="2026-10-13T11:31:49"/>
    <d v="2026-10-13T00:00:00"/>
    <s v=""/>
    <s v="CAJA"/>
    <n v="4"/>
    <s v="PENDIENTE APROBACION  ENVIO TMS"/>
    <s v="000000000209667673"/>
    <x v="0"/>
    <x v="0"/>
    <m/>
    <n v="1"/>
    <m/>
  </r>
  <r>
    <n v="209667674"/>
    <s v="282"/>
    <x v="110"/>
    <d v="2026-10-13T17:31:53"/>
    <d v="2026-10-13T11:31:51"/>
    <d v="2026-10-13T00:00:00"/>
    <s v=""/>
    <s v="CAJA"/>
    <n v="4"/>
    <s v="PENDIENTE APROBACION  ENVIO TMS"/>
    <s v="000000000209667674"/>
    <x v="0"/>
    <x v="0"/>
    <m/>
    <n v="1"/>
    <m/>
  </r>
  <r>
    <n v="209667580"/>
    <s v="49"/>
    <x v="111"/>
    <d v="2026-10-13T17:31:54"/>
    <d v="2026-10-13T11:31:52"/>
    <d v="2026-10-13T00:00:00"/>
    <s v=""/>
    <s v="CAJA"/>
    <n v="8"/>
    <s v="PENDIENTE APROBACION  ENVIO TMS"/>
    <s v="000000000209667580"/>
    <x v="0"/>
    <x v="3"/>
    <m/>
    <n v="1"/>
    <m/>
  </r>
  <r>
    <n v="209667629"/>
    <s v="116"/>
    <x v="112"/>
    <d v="2026-10-13T17:31:55"/>
    <d v="2026-10-13T11:31:53"/>
    <d v="2026-10-13T00:00:00"/>
    <s v=""/>
    <s v="CAJA"/>
    <n v="4"/>
    <s v="PENDIENTE APROBACION  ENVIO TMS"/>
    <s v="000000000209667629"/>
    <x v="0"/>
    <x v="0"/>
    <m/>
    <n v="1"/>
    <m/>
  </r>
  <r>
    <n v="209667676"/>
    <s v="280"/>
    <x v="0"/>
    <d v="2026-10-13T17:31:57"/>
    <d v="2026-10-13T11:31:54"/>
    <d v="2026-10-13T00:00:00"/>
    <s v=""/>
    <s v="CAJA"/>
    <n v="4"/>
    <s v="PENDIENTE APROBACION  ENVIO TMS"/>
    <s v="000000000209667676"/>
    <x v="0"/>
    <x v="0"/>
    <m/>
    <n v="1"/>
    <m/>
  </r>
  <r>
    <n v="209667631"/>
    <s v="118"/>
    <x v="113"/>
    <d v="2026-10-13T17:31:58"/>
    <d v="2026-10-13T11:31:56"/>
    <d v="2026-10-13T00:00:00"/>
    <s v=""/>
    <s v="CAJA"/>
    <n v="4"/>
    <s v="PENDIENTE APROBACION  ENVIO TMS"/>
    <s v="000000000209667631"/>
    <x v="0"/>
    <x v="1"/>
    <m/>
    <n v="1"/>
    <m/>
  </r>
  <r>
    <n v="209667680"/>
    <s v="279"/>
    <x v="114"/>
    <d v="2026-10-13T17:31:59"/>
    <d v="2026-10-13T11:31:57"/>
    <d v="2026-10-13T00:00:00"/>
    <s v=""/>
    <s v="CAJA"/>
    <n v="4"/>
    <s v="PENDIENTE APROBACION  ENVIO TMS"/>
    <s v="000000000209667680"/>
    <x v="0"/>
    <x v="0"/>
    <m/>
    <n v="1"/>
    <m/>
  </r>
  <r>
    <n v="209667585"/>
    <s v="54"/>
    <x v="115"/>
    <d v="2026-10-13T17:32:00"/>
    <d v="2026-10-13T11:31:58"/>
    <d v="2026-10-13T00:00:00"/>
    <s v=""/>
    <s v="CAJA"/>
    <n v="4"/>
    <s v="PENDIENTE APROBACION  ENVIO TMS"/>
    <s v="000000000209667585"/>
    <x v="0"/>
    <x v="0"/>
    <m/>
    <n v="1"/>
    <m/>
  </r>
  <r>
    <n v="209667682"/>
    <s v="284"/>
    <x v="116"/>
    <d v="2026-10-13T17:32:02"/>
    <d v="2026-10-13T11:31:59"/>
    <d v="2026-10-13T00:00:00"/>
    <s v=""/>
    <s v="CAJA"/>
    <n v="4"/>
    <s v="PENDIENTE APROBACION  ENVIO TMS"/>
    <s v="000000000209667682"/>
    <x v="0"/>
    <x v="0"/>
    <m/>
    <n v="1"/>
    <m/>
  </r>
  <r>
    <n v="209667588"/>
    <s v="57"/>
    <x v="117"/>
    <d v="2026-10-13T17:32:03"/>
    <d v="2026-10-13T11:32:00"/>
    <d v="2026-10-13T00:00:00"/>
    <s v=""/>
    <s v="CAJA"/>
    <n v="4"/>
    <s v="PENDIENTE APROBACION  ENVIO TMS"/>
    <s v="000000000209667588"/>
    <x v="0"/>
    <x v="1"/>
    <m/>
    <n v="1"/>
    <m/>
  </r>
  <r>
    <n v="209667641"/>
    <s v="142"/>
    <x v="118"/>
    <d v="2026-10-13T17:32:05"/>
    <d v="2026-10-13T11:32:03"/>
    <d v="2026-10-13T00:00:00"/>
    <s v=""/>
    <s v="CAJA"/>
    <n v="7"/>
    <s v="PENDIENTE APROBACION  ENVIO TMS"/>
    <s v="000000000209667641"/>
    <x v="0"/>
    <x v="3"/>
    <m/>
    <n v="1"/>
    <m/>
  </r>
  <r>
    <n v="209667639"/>
    <s v="133"/>
    <x v="119"/>
    <d v="2026-10-13T17:32:05"/>
    <d v="2026-10-13T11:32:02"/>
    <d v="2026-10-13T00:00:00"/>
    <s v=""/>
    <s v="CAJA"/>
    <n v="4"/>
    <s v="PENDIENTE APROBACION  ENVIO TMS"/>
    <s v="000000000209667639"/>
    <x v="0"/>
    <x v="0"/>
    <m/>
    <n v="1"/>
    <m/>
  </r>
  <r>
    <n v="209667596"/>
    <s v="63"/>
    <x v="120"/>
    <d v="2026-10-13T17:32:06"/>
    <d v="2026-10-13T11:32:04"/>
    <d v="2026-10-13T00:00:00"/>
    <s v=""/>
    <s v="CAJA"/>
    <n v="4"/>
    <s v="PENDIENTE APROBACION  ENVIO TMS"/>
    <s v="000000000209667596"/>
    <x v="0"/>
    <x v="0"/>
    <m/>
    <n v="1"/>
    <m/>
  </r>
  <r>
    <n v="209667552"/>
    <s v="10"/>
    <x v="121"/>
    <d v="2026-10-13T17:32:08"/>
    <d v="2026-10-13T11:32:05"/>
    <d v="2026-10-13T00:00:00"/>
    <s v=""/>
    <s v="CAJA"/>
    <n v="4"/>
    <s v="PENDIENTE APROBACION  ENVIO TMS"/>
    <s v="000000000209667552"/>
    <x v="0"/>
    <x v="0"/>
    <m/>
    <n v="1"/>
    <m/>
  </r>
  <r>
    <n v="209667652"/>
    <s v="195"/>
    <x v="122"/>
    <d v="2026-10-13T17:32:09"/>
    <d v="2026-10-13T11:32:06"/>
    <d v="2026-10-13T00:00:00"/>
    <s v=""/>
    <s v="CAJA"/>
    <n v="4"/>
    <s v="PENDIENTE APROBACION  ENVIO TMS"/>
    <s v="000000000209667652"/>
    <x v="0"/>
    <x v="2"/>
    <m/>
    <n v="1"/>
    <m/>
  </r>
  <r>
    <n v="209667563"/>
    <s v="22"/>
    <x v="123"/>
    <d v="2026-10-13T17:32:11"/>
    <d v="2026-10-13T11:32:09"/>
    <d v="2026-10-13T00:00:00"/>
    <s v=""/>
    <s v="CAJA"/>
    <n v="4"/>
    <s v="PENDIENTE APROBACION  ENVIO TMS"/>
    <s v="000000000209667563"/>
    <x v="0"/>
    <x v="3"/>
    <m/>
    <n v="1"/>
    <m/>
  </r>
  <r>
    <n v="209667559"/>
    <s v="21"/>
    <x v="124"/>
    <d v="2026-10-13T17:32:11"/>
    <d v="2026-10-13T11:32:08"/>
    <d v="2026-10-13T00:00:00"/>
    <s v=""/>
    <s v="CAJA"/>
    <n v="4"/>
    <s v="PENDIENTE APROBACION  ENVIO TMS"/>
    <s v="000000000209667559"/>
    <x v="0"/>
    <x v="3"/>
    <m/>
    <n v="1"/>
    <m/>
  </r>
  <r>
    <n v="209667657"/>
    <s v="209"/>
    <x v="2"/>
    <d v="2026-10-13T17:32:13"/>
    <d v="2026-10-13T11:32:10"/>
    <d v="2026-10-13T00:00:00"/>
    <s v=""/>
    <s v="CAJA"/>
    <n v="4"/>
    <s v="PENDIENTE APROBACION  ENVIO TMS"/>
    <s v="000000000209667657"/>
    <x v="0"/>
    <x v="0"/>
    <m/>
    <n v="1"/>
    <m/>
  </r>
  <r>
    <n v="209667658"/>
    <s v="221"/>
    <x v="125"/>
    <d v="2026-10-13T17:32:14"/>
    <d v="2026-10-13T11:32:11"/>
    <d v="2026-10-13T00:00:00"/>
    <s v=""/>
    <s v="CAJA"/>
    <n v="8"/>
    <s v="PENDIENTE APROBACION  ENVIO TMS"/>
    <s v="000000000209667658"/>
    <x v="0"/>
    <x v="3"/>
    <m/>
    <n v="1"/>
    <m/>
  </r>
  <r>
    <n v="209667613"/>
    <s v="86"/>
    <x v="126"/>
    <d v="2026-10-13T17:32:15"/>
    <d v="2026-10-13T11:32:13"/>
    <d v="2026-10-13T00:00:00"/>
    <s v=""/>
    <s v="CAJA"/>
    <n v="8"/>
    <s v="PENDIENTE APROBACION  ENVIO TMS"/>
    <s v="000000000209667613"/>
    <x v="0"/>
    <x v="1"/>
    <m/>
    <n v="1"/>
    <m/>
  </r>
  <r>
    <n v="209667567"/>
    <s v="37"/>
    <x v="127"/>
    <d v="2026-10-13T17:32:17"/>
    <d v="2026-10-13T11:32:14"/>
    <d v="2026-10-13T00:00:00"/>
    <s v=""/>
    <s v="CAJA"/>
    <n v="4"/>
    <s v="PENDIENTE APROBACION  ENVIO TMS"/>
    <s v="000000000209667567"/>
    <x v="0"/>
    <x v="1"/>
    <m/>
    <n v="1"/>
    <m/>
  </r>
  <r>
    <n v="209667665"/>
    <s v="260"/>
    <x v="128"/>
    <d v="2026-10-13T17:32:17"/>
    <d v="2026-10-13T11:32:15"/>
    <d v="2026-10-13T00:00:00"/>
    <s v=""/>
    <s v="CAJA"/>
    <n v="8"/>
    <s v="PENDIENTE APROBACION  ENVIO TMS"/>
    <s v="000000000209667665"/>
    <x v="0"/>
    <x v="3"/>
    <m/>
    <n v="1"/>
    <m/>
  </r>
  <r>
    <n v="209667570"/>
    <s v="38"/>
    <x v="129"/>
    <d v="2026-10-13T17:32:19"/>
    <d v="2026-10-13T11:32:16"/>
    <d v="2026-10-13T00:00:00"/>
    <s v=""/>
    <s v="CAJA"/>
    <n v="4"/>
    <s v="PENDIENTE APROBACION  ENVIO TMS"/>
    <s v="000000000209667570"/>
    <x v="0"/>
    <x v="1"/>
    <m/>
    <n v="1"/>
    <m/>
  </r>
  <r>
    <n v="209667571"/>
    <s v="39"/>
    <x v="130"/>
    <d v="2026-10-13T17:32:20"/>
    <d v="2026-10-13T11:32:17"/>
    <d v="2026-10-13T00:00:00"/>
    <s v=""/>
    <s v="CAJA"/>
    <n v="4"/>
    <s v="PENDIENTE APROBACION  ENVIO TMS"/>
    <s v="000000000209667571"/>
    <x v="0"/>
    <x v="1"/>
    <m/>
    <n v="1"/>
    <m/>
  </r>
  <r>
    <n v="209667666"/>
    <s v="258"/>
    <x v="131"/>
    <d v="2026-10-13T17:32:21"/>
    <d v="2026-10-13T11:32:19"/>
    <d v="2026-10-13T00:00:00"/>
    <s v=""/>
    <s v="CAJA"/>
    <n v="4"/>
    <s v="PENDIENTE APROBACION  ENVIO TMS"/>
    <s v="000000000209667666"/>
    <x v="0"/>
    <x v="0"/>
    <m/>
    <n v="1"/>
    <m/>
  </r>
  <r>
    <n v="209667669"/>
    <s v="261"/>
    <x v="132"/>
    <d v="2026-10-13T17:32:23"/>
    <d v="2026-10-13T11:32:20"/>
    <d v="2026-10-13T00:00:00"/>
    <s v=""/>
    <s v="CAJA"/>
    <n v="4"/>
    <s v="PENDIENTE APROBACION  ENVIO TMS"/>
    <s v="000000000209667669"/>
    <x v="0"/>
    <x v="0"/>
    <m/>
    <n v="1"/>
    <m/>
  </r>
  <r>
    <n v="209667576"/>
    <s v="45"/>
    <x v="133"/>
    <d v="2026-10-13T17:32:23"/>
    <d v="2026-10-13T11:32:21"/>
    <d v="2026-10-13T00:00:00"/>
    <s v=""/>
    <s v="CAJA"/>
    <n v="4"/>
    <s v="PENDIENTE APROBACION  ENVIO TMS"/>
    <s v="000000000209667576"/>
    <x v="0"/>
    <x v="3"/>
    <m/>
    <n v="1"/>
    <m/>
  </r>
  <r>
    <n v="209667625"/>
    <s v="109"/>
    <x v="134"/>
    <d v="2026-10-13T17:32:25"/>
    <d v="2026-10-13T11:32:22"/>
    <d v="2026-10-13T00:00:00"/>
    <s v=""/>
    <s v="CAJA"/>
    <n v="4"/>
    <s v="PENDIENTE APROBACION  ENVIO TMS"/>
    <s v="000000000209667625"/>
    <x v="0"/>
    <x v="0"/>
    <m/>
    <n v="1"/>
    <m/>
  </r>
  <r>
    <n v="209667581"/>
    <s v="50"/>
    <x v="135"/>
    <d v="2026-10-13T17:32:26"/>
    <d v="2026-10-13T11:32:23"/>
    <d v="2026-10-13T00:00:00"/>
    <s v=""/>
    <s v="CAJA"/>
    <n v="4"/>
    <s v="PENDIENTE APROBACION  ENVIO TMS"/>
    <s v="000000000209667581"/>
    <x v="0"/>
    <x v="0"/>
    <m/>
    <n v="1"/>
    <m/>
  </r>
  <r>
    <n v="209667584"/>
    <s v="53"/>
    <x v="136"/>
    <d v="2026-10-13T17:32:27"/>
    <d v="2026-10-13T11:32:25"/>
    <d v="2026-10-13T00:00:00"/>
    <s v=""/>
    <s v="CAJA"/>
    <n v="4"/>
    <s v="PENDIENTE APROBACION  ENVIO TMS"/>
    <s v="000000000209667584"/>
    <x v="0"/>
    <x v="2"/>
    <m/>
    <n v="1"/>
    <m/>
  </r>
  <r>
    <n v="209667591"/>
    <s v="60"/>
    <x v="137"/>
    <d v="2026-10-13T17:32:29"/>
    <d v="2026-10-13T11:32:27"/>
    <d v="2026-10-13T00:00:00"/>
    <s v=""/>
    <s v="CAJA"/>
    <n v="4"/>
    <s v="PENDIENTE APROBACION  ENVIO TMS"/>
    <s v="000000000209667591"/>
    <x v="0"/>
    <x v="2"/>
    <m/>
    <n v="1"/>
    <m/>
  </r>
  <r>
    <n v="209667545"/>
    <s v="1"/>
    <x v="138"/>
    <d v="2026-10-13T17:32:29"/>
    <d v="2026-10-13T11:32:26"/>
    <d v="2026-10-13T00:00:00"/>
    <s v=""/>
    <s v="CAJA"/>
    <n v="4"/>
    <s v="PENDIENTE APROBACION  ENVIO TMS"/>
    <s v="000000000209667545"/>
    <x v="0"/>
    <x v="1"/>
    <m/>
    <n v="1"/>
    <m/>
  </r>
  <r>
    <n v="209667856"/>
    <s v="50"/>
    <x v="135"/>
    <d v="2026-10-13T18:14:44"/>
    <d v="2026-10-13T12:14:40"/>
    <d v="2026-10-13T00:00:00"/>
    <s v=""/>
    <s v="CAJA"/>
    <n v="10"/>
    <s v="PENDIENTE APROBACION  ENVIO TMS"/>
    <s v="000000000209667856"/>
    <x v="0"/>
    <x v="0"/>
    <m/>
    <n v="1"/>
    <m/>
  </r>
  <r>
    <n v="209667863"/>
    <s v="141"/>
    <x v="76"/>
    <d v="2026-10-13T18:14:45"/>
    <d v="2026-10-13T12:14:43"/>
    <d v="2026-10-13T00:00:00"/>
    <s v=""/>
    <s v="CAJA"/>
    <n v="10"/>
    <s v="PENDIENTE APROBACION  ENVIO TMS"/>
    <s v="000000000209667863"/>
    <x v="0"/>
    <x v="2"/>
    <m/>
    <n v="1"/>
    <m/>
  </r>
  <r>
    <n v="209667814"/>
    <s v="25"/>
    <x v="39"/>
    <d v="2026-10-13T18:14:47"/>
    <d v="2026-10-13T12:14:44"/>
    <d v="2026-10-13T00:00:00"/>
    <s v=""/>
    <s v="CAJA"/>
    <n v="10"/>
    <s v="PENDIENTE APROBACION  ENVIO TMS"/>
    <s v="000000000209667814"/>
    <x v="0"/>
    <x v="3"/>
    <m/>
    <n v="1"/>
    <m/>
  </r>
  <r>
    <n v="209667868"/>
    <s v="37"/>
    <x v="127"/>
    <d v="2026-10-13T18:14:49"/>
    <d v="2026-10-13T12:14:45"/>
    <d v="2026-10-13T00:00:00"/>
    <s v=""/>
    <s v="CAJA"/>
    <n v="7"/>
    <s v="PENDIENTE APROBACION  ENVIO TMS"/>
    <s v="000000000209667868"/>
    <x v="0"/>
    <x v="1"/>
    <m/>
    <n v="1"/>
    <m/>
  </r>
  <r>
    <n v="209667871"/>
    <s v="12"/>
    <x v="62"/>
    <d v="2026-10-13T18:14:50"/>
    <d v="2026-10-13T12:14:47"/>
    <d v="2026-10-13T00:00:00"/>
    <s v=""/>
    <s v="CAJA"/>
    <n v="9"/>
    <s v="PENDIENTE APROBACION  ENVIO TMS"/>
    <s v="000000000209667871"/>
    <x v="0"/>
    <x v="1"/>
    <m/>
    <n v="1"/>
    <m/>
  </r>
  <r>
    <n v="209667825"/>
    <s v="123"/>
    <x v="3"/>
    <d v="2026-10-13T18:14:52"/>
    <d v="2026-10-13T12:14:49"/>
    <d v="2026-10-13T00:00:00"/>
    <s v=""/>
    <s v="CAJA"/>
    <n v="8"/>
    <s v="PENDIENTE APROBACION  ENVIO TMS"/>
    <s v="000000000209667825"/>
    <x v="0"/>
    <x v="0"/>
    <m/>
    <n v="1"/>
    <m/>
  </r>
  <r>
    <n v="209667881"/>
    <s v="105"/>
    <x v="71"/>
    <d v="2026-10-13T18:14:53"/>
    <d v="2026-10-13T12:14:50"/>
    <d v="2026-10-13T00:00:00"/>
    <s v=""/>
    <s v="CAJA"/>
    <n v="3"/>
    <s v="PENDIENTE APROBACION  ENVIO TMS"/>
    <s v="000000000209667881"/>
    <x v="0"/>
    <x v="2"/>
    <m/>
    <n v="1"/>
    <m/>
  </r>
  <r>
    <n v="209667882"/>
    <s v="118"/>
    <x v="113"/>
    <d v="2026-10-13T18:14:54"/>
    <d v="2026-10-13T12:14:52"/>
    <d v="2026-10-13T00:00:00"/>
    <s v=""/>
    <s v="CAJA"/>
    <n v="5"/>
    <s v="PENDIENTE APROBACION  ENVIO TMS"/>
    <s v="000000000209667882"/>
    <x v="0"/>
    <x v="1"/>
    <m/>
    <n v="1"/>
    <m/>
  </r>
  <r>
    <n v="209667895"/>
    <s v="128"/>
    <x v="14"/>
    <d v="2026-10-13T18:14:56"/>
    <d v="2026-10-13T12:14:53"/>
    <d v="2026-10-13T00:00:00"/>
    <s v=""/>
    <s v="CAJA"/>
    <n v="5"/>
    <s v="PENDIENTE APROBACION  ENVIO TMS"/>
    <s v="000000000209667895"/>
    <x v="0"/>
    <x v="0"/>
    <m/>
    <n v="1"/>
    <m/>
  </r>
  <r>
    <n v="209667899"/>
    <s v="54"/>
    <x v="115"/>
    <d v="2026-10-13T18:14:57"/>
    <d v="2026-10-13T12:14:54"/>
    <d v="2026-10-13T00:00:00"/>
    <s v=""/>
    <s v="CAJA"/>
    <n v="4"/>
    <s v="PENDIENTE APROBACION  ENVIO TMS"/>
    <s v="000000000209667899"/>
    <x v="0"/>
    <x v="0"/>
    <m/>
    <n v="1"/>
    <m/>
  </r>
  <r>
    <n v="209667911"/>
    <s v="116"/>
    <x v="112"/>
    <d v="2026-10-13T18:14:59"/>
    <d v="2026-10-13T12:14:56"/>
    <d v="2026-10-13T00:00:00"/>
    <s v=""/>
    <s v="CAJA"/>
    <n v="4"/>
    <s v="PENDIENTE APROBACION  ENVIO TMS"/>
    <s v="000000000209667911"/>
    <x v="0"/>
    <x v="0"/>
    <m/>
    <n v="1"/>
    <m/>
  </r>
  <r>
    <n v="209667799"/>
    <s v="21"/>
    <x v="124"/>
    <d v="2026-10-13T18:15:00"/>
    <d v="2026-10-13T12:14:57"/>
    <d v="2026-10-13T00:00:00"/>
    <s v=""/>
    <s v="CAJA"/>
    <n v="13"/>
    <s v="PENDIENTE APROBACION  ENVIO TMS"/>
    <s v="000000000209667799"/>
    <x v="0"/>
    <x v="3"/>
    <m/>
    <n v="1"/>
    <m/>
  </r>
  <r>
    <n v="209667801"/>
    <s v="263"/>
    <x v="8"/>
    <d v="2026-10-13T18:15:01"/>
    <d v="2026-10-13T12:14:58"/>
    <d v="2026-10-13T00:00:00"/>
    <s v=""/>
    <s v="CAJA"/>
    <n v="7"/>
    <s v="PENDIENTE APROBACION  ENVIO TMS"/>
    <s v="000000000209667801"/>
    <x v="0"/>
    <x v="0"/>
    <m/>
    <n v="1"/>
    <m/>
  </r>
  <r>
    <n v="209667802"/>
    <s v="280"/>
    <x v="0"/>
    <d v="2026-10-13T18:15:02"/>
    <d v="2026-10-13T12:14:59"/>
    <d v="2026-10-13T00:00:00"/>
    <s v=""/>
    <s v="CAJA"/>
    <n v="14"/>
    <s v="PENDIENTE APROBACION  ENVIO TMS"/>
    <s v="000000000209667802"/>
    <x v="0"/>
    <x v="0"/>
    <m/>
    <n v="1"/>
    <m/>
  </r>
  <r>
    <n v="209667806"/>
    <s v="55"/>
    <x v="28"/>
    <d v="2026-10-13T18:15:03"/>
    <d v="2026-10-13T12:15:00"/>
    <d v="2026-10-13T00:00:00"/>
    <s v=""/>
    <s v="CAJA"/>
    <n v="8"/>
    <s v="PENDIENTE APROBACION  ENVIO TMS"/>
    <s v="000000000209667806"/>
    <x v="0"/>
    <x v="0"/>
    <m/>
    <n v="1"/>
    <m/>
  </r>
  <r>
    <n v="209667860"/>
    <s v="160"/>
    <x v="33"/>
    <d v="2026-10-13T18:15:05"/>
    <d v="2026-10-13T12:15:03"/>
    <d v="2026-10-13T00:00:00"/>
    <s v=""/>
    <s v="CAJA"/>
    <n v="5"/>
    <s v="PENDIENTE APROBACION  ENVIO TMS"/>
    <s v="000000000209667860"/>
    <x v="0"/>
    <x v="2"/>
    <m/>
    <n v="1"/>
    <m/>
  </r>
  <r>
    <n v="209667807"/>
    <s v="6"/>
    <x v="48"/>
    <d v="2026-10-13T18:15:05"/>
    <d v="2026-10-13T12:15:02"/>
    <d v="2026-10-13T00:00:00"/>
    <s v=""/>
    <s v="CAJA"/>
    <n v="2"/>
    <s v="PENDIENTE APROBACION  ENVIO TMS"/>
    <s v="000000000209667807"/>
    <x v="0"/>
    <x v="3"/>
    <m/>
    <n v="1"/>
    <m/>
  </r>
  <r>
    <n v="209667809"/>
    <s v="83"/>
    <x v="67"/>
    <d v="2026-10-13T18:15:07"/>
    <d v="2026-10-13T12:15:04"/>
    <d v="2026-10-13T00:00:00"/>
    <s v=""/>
    <s v="CAJA"/>
    <n v="4"/>
    <s v="PENDIENTE APROBACION  ENVIO TMS"/>
    <s v="000000000209667809"/>
    <x v="0"/>
    <x v="1"/>
    <m/>
    <n v="1"/>
    <m/>
  </r>
  <r>
    <n v="209667810"/>
    <s v="89"/>
    <x v="104"/>
    <d v="2026-10-13T18:15:08"/>
    <d v="2026-10-13T12:15:06"/>
    <d v="2026-10-13T00:00:00"/>
    <s v=""/>
    <s v="CAJA"/>
    <n v="6"/>
    <s v="PENDIENTE APROBACION  ENVIO TMS"/>
    <s v="000000000209667810"/>
    <x v="0"/>
    <x v="0"/>
    <m/>
    <n v="1"/>
    <m/>
  </r>
  <r>
    <n v="209667819"/>
    <s v="43"/>
    <x v="23"/>
    <d v="2026-10-13T18:15:10"/>
    <d v="2026-10-13T12:15:07"/>
    <d v="2026-10-13T00:00:00"/>
    <s v=""/>
    <s v="CAJA"/>
    <n v="4"/>
    <s v="PENDIENTE APROBACION  ENVIO TMS"/>
    <s v="000000000209667819"/>
    <x v="0"/>
    <x v="1"/>
    <m/>
    <n v="1"/>
    <m/>
  </r>
  <r>
    <n v="209667821"/>
    <s v="82"/>
    <x v="20"/>
    <d v="2026-10-13T18:15:10"/>
    <d v="2026-10-13T12:15:08"/>
    <d v="2026-10-13T00:00:00"/>
    <s v=""/>
    <s v="CAJA"/>
    <n v="11"/>
    <s v="PENDIENTE APROBACION  ENVIO TMS"/>
    <s v="000000000209667821"/>
    <x v="0"/>
    <x v="0"/>
    <m/>
    <n v="1"/>
    <m/>
  </r>
  <r>
    <n v="209667875"/>
    <s v="224"/>
    <x v="6"/>
    <d v="2026-10-13T18:15:12"/>
    <d v="2026-10-13T12:15:09"/>
    <d v="2026-10-13T00:00:00"/>
    <s v=""/>
    <s v="CAJA"/>
    <n v="10"/>
    <s v="PENDIENTE APROBACION  ENVIO TMS"/>
    <s v="000000000209667875"/>
    <x v="0"/>
    <x v="0"/>
    <m/>
    <n v="1"/>
    <m/>
  </r>
  <r>
    <n v="209667829"/>
    <s v="161"/>
    <x v="65"/>
    <d v="2026-10-13T18:17:15"/>
    <d v="2026-10-13T12:17:12"/>
    <d v="2026-10-13T00:00:00"/>
    <s v=""/>
    <s v="CAJA"/>
    <n v="12"/>
    <s v="PENDIENTE APROBACION  ENVIO TMS"/>
    <s v="000000000209667829"/>
    <x v="0"/>
    <x v="4"/>
    <m/>
    <n v="1"/>
    <m/>
  </r>
  <r>
    <n v="209667910"/>
    <s v="126"/>
    <x v="29"/>
    <d v="2026-10-13T18:17:16"/>
    <d v="2026-10-13T12:17:13"/>
    <d v="2026-10-13T00:00:00"/>
    <s v=""/>
    <s v="CAJA"/>
    <n v="5"/>
    <s v="PENDIENTE APROBACION  ENVIO TMS"/>
    <s v="000000000209667910"/>
    <x v="0"/>
    <x v="0"/>
    <m/>
    <n v="1"/>
    <m/>
  </r>
  <r>
    <n v="209667912"/>
    <s v="215"/>
    <x v="101"/>
    <d v="2026-10-13T18:17:17"/>
    <d v="2026-10-13T12:17:15"/>
    <d v="2026-10-13T00:00:00"/>
    <s v=""/>
    <s v="CAJA"/>
    <n v="4"/>
    <s v="PENDIENTE APROBACION  ENVIO TMS"/>
    <s v="000000000209667912"/>
    <x v="0"/>
    <x v="0"/>
    <m/>
    <n v="1"/>
    <m/>
  </r>
  <r>
    <n v="209667846"/>
    <s v="17"/>
    <x v="99"/>
    <d v="2026-10-13T18:17:19"/>
    <d v="2026-10-13T12:17:17"/>
    <d v="2026-10-13T00:00:00"/>
    <s v=""/>
    <s v="CAJA"/>
    <n v="9"/>
    <s v="PENDIENTE APROBACION  ENVIO TMS"/>
    <s v="000000000209667846"/>
    <x v="0"/>
    <x v="3"/>
    <m/>
    <n v="1"/>
    <m/>
  </r>
  <r>
    <n v="209667915"/>
    <s v="51"/>
    <x v="44"/>
    <d v="2026-10-13T18:17:19"/>
    <d v="2026-10-13T12:17:16"/>
    <d v="2026-10-13T00:00:00"/>
    <s v=""/>
    <s v="CAJA"/>
    <n v="6"/>
    <s v="PENDIENTE APROBACION  ENVIO TMS"/>
    <s v="000000000209667915"/>
    <x v="0"/>
    <x v="1"/>
    <m/>
    <n v="1"/>
    <m/>
  </r>
  <r>
    <n v="209667798"/>
    <s v="196"/>
    <x v="81"/>
    <d v="2026-10-13T18:17:21"/>
    <d v="2026-10-13T12:17:18"/>
    <d v="2026-10-13T00:00:00"/>
    <s v=""/>
    <s v="CAJA"/>
    <n v="6"/>
    <s v="PENDIENTE APROBACION  ENVIO TMS"/>
    <s v="000000000209667798"/>
    <x v="0"/>
    <x v="2"/>
    <m/>
    <n v="1"/>
    <m/>
  </r>
  <r>
    <n v="209667859"/>
    <s v="125"/>
    <x v="74"/>
    <d v="2026-10-13T18:17:22"/>
    <d v="2026-10-13T12:17:19"/>
    <d v="2026-10-13T00:00:00"/>
    <s v=""/>
    <s v="CAJA"/>
    <n v="7"/>
    <s v="PENDIENTE APROBACION  ENVIO TMS"/>
    <s v="000000000209667859"/>
    <x v="0"/>
    <x v="1"/>
    <m/>
    <n v="1"/>
    <m/>
  </r>
  <r>
    <n v="209667812"/>
    <s v="1"/>
    <x v="138"/>
    <d v="2026-10-13T18:17:24"/>
    <d v="2026-10-13T12:17:21"/>
    <d v="2026-10-13T00:00:00"/>
    <s v=""/>
    <s v="CAJA"/>
    <n v="11"/>
    <s v="PENDIENTE APROBACION  ENVIO TMS"/>
    <s v="000000000209667812"/>
    <x v="0"/>
    <x v="1"/>
    <m/>
    <n v="1"/>
    <m/>
  </r>
  <r>
    <n v="209667865"/>
    <s v="74"/>
    <x v="63"/>
    <d v="2026-10-13T18:17:25"/>
    <d v="2026-10-13T12:17:22"/>
    <d v="2026-10-13T00:00:00"/>
    <s v=""/>
    <s v="CAJA"/>
    <n v="6"/>
    <s v="PENDIENTE APROBACION  ENVIO TMS"/>
    <s v="000000000209667865"/>
    <x v="0"/>
    <x v="0"/>
    <m/>
    <n v="1"/>
    <m/>
  </r>
  <r>
    <n v="209667866"/>
    <s v="220"/>
    <x v="68"/>
    <d v="2026-10-13T18:17:26"/>
    <d v="2026-10-13T12:17:24"/>
    <d v="2026-10-13T00:00:00"/>
    <s v=""/>
    <s v="CAJA"/>
    <n v="6"/>
    <s v="PENDIENTE APROBACION  ENVIO TMS"/>
    <s v="000000000209667866"/>
    <x v="0"/>
    <x v="1"/>
    <m/>
    <n v="1"/>
    <m/>
  </r>
  <r>
    <n v="209667813"/>
    <s v="209"/>
    <x v="2"/>
    <d v="2026-10-13T18:17:28"/>
    <d v="2026-10-13T12:17:26"/>
    <d v="2026-10-13T00:00:00"/>
    <s v=""/>
    <s v="CAJA"/>
    <n v="13"/>
    <s v="PENDIENTE APROBACION  ENVIO TMS"/>
    <s v="000000000209667813"/>
    <x v="0"/>
    <x v="0"/>
    <m/>
    <n v="1"/>
    <m/>
  </r>
  <r>
    <n v="209667877"/>
    <s v="133"/>
    <x v="119"/>
    <d v="2026-10-13T18:17:30"/>
    <d v="2026-10-13T12:17:27"/>
    <d v="2026-10-13T00:00:00"/>
    <s v=""/>
    <s v="CAJA"/>
    <n v="14"/>
    <s v="PENDIENTE APROBACION  ENVIO TMS"/>
    <s v="000000000209667877"/>
    <x v="0"/>
    <x v="0"/>
    <m/>
    <n v="1"/>
    <m/>
  </r>
  <r>
    <n v="209667827"/>
    <s v="144"/>
    <x v="34"/>
    <d v="2026-10-13T18:17:31"/>
    <d v="2026-10-13T12:17:29"/>
    <d v="2026-10-13T00:00:00"/>
    <s v=""/>
    <s v="CAJA"/>
    <n v="12"/>
    <s v="PENDIENTE APROBACION  ENVIO TMS"/>
    <s v="000000000209667827"/>
    <x v="0"/>
    <x v="1"/>
    <m/>
    <n v="1"/>
    <m/>
  </r>
  <r>
    <n v="209667886"/>
    <s v="266"/>
    <x v="109"/>
    <d v="2026-10-13T18:17:33"/>
    <d v="2026-10-13T12:17:31"/>
    <d v="2026-10-13T00:00:00"/>
    <s v=""/>
    <s v="CAJA"/>
    <n v="3"/>
    <s v="PENDIENTE APROBACION  ENVIO TMS"/>
    <s v="000000000209667886"/>
    <x v="0"/>
    <x v="0"/>
    <m/>
    <n v="1"/>
    <m/>
  </r>
  <r>
    <n v="209667893"/>
    <s v="48"/>
    <x v="87"/>
    <d v="2026-10-13T18:17:35"/>
    <d v="2026-10-13T12:17:32"/>
    <d v="2026-10-13T00:00:00"/>
    <s v=""/>
    <s v="CAJA"/>
    <n v="14"/>
    <s v="PENDIENTE APROBACION  ENVIO TMS"/>
    <s v="000000000209667893"/>
    <x v="0"/>
    <x v="3"/>
    <m/>
    <n v="1"/>
    <m/>
  </r>
  <r>
    <n v="209667901"/>
    <s v="14"/>
    <x v="96"/>
    <d v="2026-10-13T18:17:37"/>
    <d v="2026-10-13T12:17:34"/>
    <d v="2026-10-13T00:00:00"/>
    <s v=""/>
    <s v="CAJA"/>
    <n v="6"/>
    <s v="PENDIENTE APROBACION  ENVIO TMS"/>
    <s v="000000000209667901"/>
    <x v="0"/>
    <x v="3"/>
    <m/>
    <n v="1"/>
    <m/>
  </r>
  <r>
    <n v="209667907"/>
    <s v="69"/>
    <x v="80"/>
    <d v="2026-10-13T18:17:38"/>
    <d v="2026-10-13T12:17:36"/>
    <d v="2026-10-13T00:00:00"/>
    <s v=""/>
    <s v="CAJA"/>
    <n v="4"/>
    <s v="PENDIENTE APROBACION  ENVIO TMS"/>
    <s v="000000000209667907"/>
    <x v="0"/>
    <x v="1"/>
    <m/>
    <n v="1"/>
    <m/>
  </r>
  <r>
    <n v="209667840"/>
    <s v="109"/>
    <x v="134"/>
    <d v="2026-10-13T18:17:40"/>
    <d v="2026-10-13T12:17:37"/>
    <d v="2026-10-13T00:00:00"/>
    <s v=""/>
    <s v="CAJA"/>
    <n v="6"/>
    <s v="PENDIENTE APROBACION  ENVIO TMS"/>
    <s v="000000000209667840"/>
    <x v="0"/>
    <x v="0"/>
    <m/>
    <n v="1"/>
    <m/>
  </r>
  <r>
    <n v="209667916"/>
    <s v="249"/>
    <x v="108"/>
    <d v="2026-10-13T18:17:42"/>
    <d v="2026-10-13T12:17:39"/>
    <d v="2026-10-13T00:00:00"/>
    <s v=""/>
    <s v="CAJA"/>
    <n v="4"/>
    <s v="PENDIENTE APROBACION  ENVIO TMS"/>
    <s v="000000000209667916"/>
    <x v="0"/>
    <x v="0"/>
    <m/>
    <n v="1"/>
    <m/>
  </r>
  <r>
    <n v="209667795"/>
    <s v="10"/>
    <x v="121"/>
    <d v="2026-10-13T18:17:43"/>
    <d v="2026-10-13T12:17:41"/>
    <d v="2026-10-13T00:00:00"/>
    <s v=""/>
    <s v="CAJA"/>
    <n v="11"/>
    <s v="PENDIENTE APROBACION  ENVIO TMS"/>
    <s v="000000000209667795"/>
    <x v="0"/>
    <x v="0"/>
    <m/>
    <n v="1"/>
    <m/>
  </r>
  <r>
    <n v="209667796"/>
    <s v="140"/>
    <x v="35"/>
    <d v="2026-10-13T18:17:45"/>
    <d v="2026-10-13T12:17:43"/>
    <d v="2026-10-13T00:00:00"/>
    <s v=""/>
    <s v="CAJA"/>
    <n v="8"/>
    <s v="PENDIENTE APROBACION  ENVIO TMS"/>
    <s v="000000000209667796"/>
    <x v="0"/>
    <x v="2"/>
    <m/>
    <n v="1"/>
    <m/>
  </r>
  <r>
    <n v="209667847"/>
    <s v="60"/>
    <x v="137"/>
    <d v="2026-10-13T18:17:47"/>
    <d v="2026-10-13T12:17:44"/>
    <d v="2026-10-13T00:00:00"/>
    <s v=""/>
    <s v="CAJA"/>
    <n v="8"/>
    <s v="PENDIENTE APROBACION  ENVIO TMS"/>
    <s v="000000000209667847"/>
    <x v="0"/>
    <x v="2"/>
    <m/>
    <n v="1"/>
    <m/>
  </r>
  <r>
    <n v="209667917"/>
    <s v="56"/>
    <x v="83"/>
    <d v="2026-10-13T18:17:48"/>
    <d v="2026-10-13T12:17:46"/>
    <d v="2026-10-13T00:00:00"/>
    <s v=""/>
    <s v="CAJA"/>
    <n v="8"/>
    <s v="PENDIENTE APROBACION  ENVIO TMS"/>
    <s v="000000000209667917"/>
    <x v="0"/>
    <x v="1"/>
    <m/>
    <n v="1"/>
    <m/>
  </r>
  <r>
    <n v="209667797"/>
    <s v="150"/>
    <x v="59"/>
    <d v="2026-10-13T18:17:51"/>
    <d v="2026-10-13T12:17:47"/>
    <d v="2026-10-13T00:00:00"/>
    <s v=""/>
    <s v="CAJA"/>
    <n v="11"/>
    <s v="PENDIENTE APROBACION  ENVIO TMS"/>
    <s v="000000000209667797"/>
    <x v="0"/>
    <x v="1"/>
    <m/>
    <n v="1"/>
    <m/>
  </r>
  <r>
    <n v="209667850"/>
    <s v="282"/>
    <x v="110"/>
    <d v="2026-10-13T18:17:53"/>
    <d v="2026-10-13T12:17:50"/>
    <d v="2026-10-13T00:00:00"/>
    <s v=""/>
    <s v="CAJA"/>
    <n v="7"/>
    <s v="PENDIENTE APROBACION  ENVIO TMS"/>
    <s v="000000000209667850"/>
    <x v="0"/>
    <x v="0"/>
    <m/>
    <n v="1"/>
    <m/>
  </r>
  <r>
    <n v="209667800"/>
    <s v="258"/>
    <x v="131"/>
    <d v="2026-10-13T18:17:54"/>
    <d v="2026-10-13T12:17:52"/>
    <d v="2026-10-13T00:00:00"/>
    <s v=""/>
    <s v="CAJA"/>
    <n v="17"/>
    <s v="PENDIENTE APROBACION  ENVIO TMS"/>
    <s v="000000000209667800"/>
    <x v="0"/>
    <x v="0"/>
    <m/>
    <n v="1"/>
    <m/>
  </r>
  <r>
    <n v="209667804"/>
    <s v="44"/>
    <x v="24"/>
    <d v="2026-10-13T18:17:56"/>
    <d v="2026-10-13T12:17:53"/>
    <d v="2026-10-13T00:00:00"/>
    <s v=""/>
    <s v="CAJA"/>
    <n v="14"/>
    <s v="PENDIENTE APROBACION  ENVIO TMS"/>
    <s v="000000000209667804"/>
    <x v="0"/>
    <x v="0"/>
    <m/>
    <n v="1"/>
    <m/>
  </r>
  <r>
    <n v="209667793"/>
    <s v="237"/>
    <x v="105"/>
    <d v="2026-10-13T18:17:57"/>
    <d v="2026-10-13T12:17:55"/>
    <d v="2026-10-13T00:00:00"/>
    <s v=""/>
    <s v="CAJA"/>
    <n v="11"/>
    <s v="PENDIENTE APROBACION  ENVIO TMS"/>
    <s v="000000000209667793"/>
    <x v="0"/>
    <x v="0"/>
    <m/>
    <n v="1"/>
    <m/>
  </r>
  <r>
    <n v="209667869"/>
    <s v="64"/>
    <x v="15"/>
    <d v="2026-10-13T18:17:59"/>
    <d v="2026-10-13T12:17:56"/>
    <d v="2026-10-13T00:00:00"/>
    <s v=""/>
    <s v="CAJA"/>
    <n v="4"/>
    <s v="PENDIENTE APROBACION  ENVIO TMS"/>
    <s v="000000000209667869"/>
    <x v="0"/>
    <x v="2"/>
    <m/>
    <n v="1"/>
    <m/>
  </r>
  <r>
    <n v="209667874"/>
    <s v="275"/>
    <x v="89"/>
    <d v="2026-10-13T18:18:00"/>
    <d v="2026-10-13T12:17:57"/>
    <d v="2026-10-13T00:00:00"/>
    <s v=""/>
    <s v="CAJA"/>
    <n v="7"/>
    <s v="PENDIENTE APROBACION  ENVIO TMS"/>
    <s v="000000000209667874"/>
    <x v="0"/>
    <x v="0"/>
    <m/>
    <n v="1"/>
    <m/>
  </r>
  <r>
    <n v="209667880"/>
    <s v="296"/>
    <x v="13"/>
    <d v="2026-10-13T18:18:02"/>
    <d v="2026-10-13T12:17:59"/>
    <d v="2026-10-13T00:00:00"/>
    <s v=""/>
    <s v="CAJA"/>
    <n v="6"/>
    <s v="PENDIENTE APROBACION  ENVIO TMS"/>
    <s v="000000000209667880"/>
    <x v="0"/>
    <x v="1"/>
    <m/>
    <n v="1"/>
    <m/>
  </r>
  <r>
    <n v="209667826"/>
    <s v="143"/>
    <x v="78"/>
    <d v="2026-10-13T18:18:03"/>
    <d v="2026-10-13T12:18:00"/>
    <d v="2026-10-13T00:00:00"/>
    <s v=""/>
    <s v="CAJA"/>
    <n v="9"/>
    <s v="PENDIENTE APROBACION  ENVIO TMS"/>
    <s v="000000000209667826"/>
    <x v="0"/>
    <x v="2"/>
    <m/>
    <n v="1"/>
    <m/>
  </r>
  <r>
    <n v="209667891"/>
    <s v="28"/>
    <x v="52"/>
    <d v="2026-10-13T18:18:04"/>
    <d v="2026-10-13T12:18:02"/>
    <d v="2026-10-13T00:00:00"/>
    <s v=""/>
    <s v="CAJA"/>
    <n v="6"/>
    <s v="PENDIENTE APROBACION  ENVIO TMS"/>
    <s v="000000000209667891"/>
    <x v="0"/>
    <x v="1"/>
    <m/>
    <n v="1"/>
    <m/>
  </r>
  <r>
    <n v="209667892"/>
    <s v="225"/>
    <x v="70"/>
    <d v="2026-10-13T18:18:05"/>
    <d v="2026-10-13T12:18:03"/>
    <d v="2026-10-13T00:00:00"/>
    <s v=""/>
    <s v="CAJA"/>
    <n v="4"/>
    <s v="PENDIENTE APROBACION  ENVIO TMS"/>
    <s v="000000000209667892"/>
    <x v="0"/>
    <x v="3"/>
    <m/>
    <n v="1"/>
    <m/>
  </r>
  <r>
    <n v="209667831"/>
    <s v="29"/>
    <x v="38"/>
    <d v="2026-10-13T18:18:07"/>
    <d v="2026-10-13T12:18:04"/>
    <d v="2026-10-13T00:00:00"/>
    <s v=""/>
    <s v="CAJA"/>
    <n v="5"/>
    <s v="PENDIENTE APROBACION  ENVIO TMS"/>
    <s v="000000000209667831"/>
    <x v="0"/>
    <x v="0"/>
    <m/>
    <n v="1"/>
    <m/>
  </r>
  <r>
    <n v="209667832"/>
    <s v="36"/>
    <x v="21"/>
    <d v="2026-10-13T18:18:09"/>
    <d v="2026-10-13T12:18:06"/>
    <d v="2026-10-13T00:00:00"/>
    <s v=""/>
    <s v="CAJA"/>
    <n v="17"/>
    <s v="PENDIENTE APROBACION  ENVIO TMS"/>
    <s v="000000000209667832"/>
    <x v="0"/>
    <x v="1"/>
    <m/>
    <n v="1"/>
    <m/>
  </r>
  <r>
    <n v="209667898"/>
    <s v="49"/>
    <x v="111"/>
    <d v="2026-10-13T18:18:11"/>
    <d v="2026-10-13T12:18:08"/>
    <d v="2026-10-13T00:00:00"/>
    <s v=""/>
    <s v="CAJA"/>
    <n v="1"/>
    <s v="PENDIENTE APROBACION  ENVIO TMS"/>
    <s v="000000000209667898"/>
    <x v="0"/>
    <x v="3"/>
    <m/>
    <n v="1"/>
    <m/>
  </r>
  <r>
    <n v="209667835"/>
    <s v="61"/>
    <x v="77"/>
    <d v="2026-10-13T18:18:12"/>
    <d v="2026-10-13T12:18:09"/>
    <d v="2026-10-13T00:00:00"/>
    <s v=""/>
    <s v="CAJA"/>
    <n v="7"/>
    <s v="PENDIENTE APROBACION  ENVIO TMS"/>
    <s v="000000000209667835"/>
    <x v="0"/>
    <x v="0"/>
    <m/>
    <n v="1"/>
    <m/>
  </r>
  <r>
    <n v="209667841"/>
    <s v="11"/>
    <x v="61"/>
    <d v="2026-10-13T18:18:13"/>
    <d v="2026-10-13T12:18:10"/>
    <d v="2026-10-13T00:00:00"/>
    <s v=""/>
    <s v="CAJA"/>
    <n v="3"/>
    <s v="PENDIENTE APROBACION  ENVIO TMS"/>
    <s v="000000000209667841"/>
    <x v="0"/>
    <x v="1"/>
    <m/>
    <n v="1"/>
    <m/>
  </r>
  <r>
    <n v="209667842"/>
    <s v="115"/>
    <x v="88"/>
    <d v="2026-10-13T18:18:14"/>
    <d v="2026-10-13T12:18:11"/>
    <d v="2026-10-13T00:00:00"/>
    <s v=""/>
    <s v="CAJA"/>
    <n v="9"/>
    <s v="PENDIENTE APROBACION  ENVIO TMS"/>
    <s v="000000000209667842"/>
    <x v="0"/>
    <x v="2"/>
    <m/>
    <n v="1"/>
    <m/>
  </r>
  <r>
    <n v="209667909"/>
    <s v="91"/>
    <x v="7"/>
    <d v="2026-10-13T18:18:16"/>
    <d v="2026-10-13T12:18:13"/>
    <d v="2026-10-13T00:00:00"/>
    <s v=""/>
    <s v="CAJA"/>
    <n v="7"/>
    <s v="PENDIENTE APROBACION  ENVIO TMS"/>
    <s v="000000000209667909"/>
    <x v="0"/>
    <x v="2"/>
    <m/>
    <n v="1"/>
    <m/>
  </r>
  <r>
    <n v="209667918"/>
    <s v="129"/>
    <x v="47"/>
    <d v="2026-10-13T18:18:17"/>
    <d v="2026-10-13T12:18:14"/>
    <d v="2026-10-13T00:00:00"/>
    <s v=""/>
    <s v="CAJA"/>
    <n v="1"/>
    <s v="PENDIENTE APROBACION  ENVIO TMS"/>
    <s v="000000000209667918"/>
    <x v="0"/>
    <x v="2"/>
    <m/>
    <n v="1"/>
    <m/>
  </r>
  <r>
    <n v="209667849"/>
    <s v="130"/>
    <x v="75"/>
    <d v="2026-10-13T18:18:17"/>
    <d v="2026-10-13T12:18:15"/>
    <d v="2026-10-13T00:00:00"/>
    <s v=""/>
    <s v="CAJA"/>
    <n v="7"/>
    <s v="PENDIENTE APROBACION  ENVIO TMS"/>
    <s v="000000000209667849"/>
    <x v="0"/>
    <x v="1"/>
    <m/>
    <n v="1"/>
    <m/>
  </r>
  <r>
    <n v="209667857"/>
    <s v="162"/>
    <x v="94"/>
    <d v="2026-10-13T18:18:19"/>
    <d v="2026-10-13T12:18:16"/>
    <d v="2026-10-13T00:00:00"/>
    <s v=""/>
    <s v="CAJA"/>
    <n v="4"/>
    <s v="PENDIENTE APROBACION  ENVIO TMS"/>
    <s v="000000000209667857"/>
    <x v="0"/>
    <x v="3"/>
    <m/>
    <n v="1"/>
    <m/>
  </r>
  <r>
    <n v="209667864"/>
    <s v="22"/>
    <x v="123"/>
    <d v="2026-10-13T18:18:20"/>
    <d v="2026-10-13T12:18:18"/>
    <d v="2026-10-13T00:00:00"/>
    <s v=""/>
    <s v="CAJA"/>
    <n v="10"/>
    <s v="PENDIENTE APROBACION  ENVIO TMS"/>
    <s v="000000000209667864"/>
    <x v="0"/>
    <x v="3"/>
    <m/>
    <n v="1"/>
    <m/>
  </r>
  <r>
    <n v="209667873"/>
    <s v="264"/>
    <x v="11"/>
    <d v="2026-10-13T18:18:22"/>
    <d v="2026-10-13T12:18:19"/>
    <d v="2026-10-13T00:00:00"/>
    <s v=""/>
    <s v="CAJA"/>
    <n v="10"/>
    <s v="PENDIENTE APROBACION  ENVIO TMS"/>
    <s v="000000000209667873"/>
    <x v="0"/>
    <x v="1"/>
    <m/>
    <n v="1"/>
    <m/>
  </r>
  <r>
    <n v="209667876"/>
    <s v="278"/>
    <x v="46"/>
    <d v="2026-10-13T18:18:23"/>
    <d v="2026-10-13T12:18:20"/>
    <d v="2026-10-13T00:00:00"/>
    <s v=""/>
    <s v="CAJA"/>
    <n v="2"/>
    <s v="PENDIENTE APROBACION  ENVIO TMS"/>
    <s v="000000000209667876"/>
    <x v="0"/>
    <x v="1"/>
    <m/>
    <n v="1"/>
    <m/>
  </r>
  <r>
    <n v="209667824"/>
    <s v="106"/>
    <x v="25"/>
    <d v="2026-10-13T18:18:24"/>
    <d v="2026-10-13T12:18:22"/>
    <d v="2026-10-13T00:00:00"/>
    <s v=""/>
    <s v="CAJA"/>
    <n v="9"/>
    <s v="PENDIENTE APROBACION  ENVIO TMS"/>
    <s v="000000000209667824"/>
    <x v="0"/>
    <x v="0"/>
    <m/>
    <n v="1"/>
    <m/>
  </r>
  <r>
    <n v="209667879"/>
    <s v="114"/>
    <x v="26"/>
    <d v="2026-10-13T18:18:26"/>
    <d v="2026-10-13T12:18:23"/>
    <d v="2026-10-13T00:00:00"/>
    <s v=""/>
    <s v="CAJA"/>
    <n v="4"/>
    <s v="PENDIENTE APROBACION  ENVIO TMS"/>
    <s v="000000000209667879"/>
    <x v="0"/>
    <x v="2"/>
    <m/>
    <n v="1"/>
    <m/>
  </r>
  <r>
    <n v="209667883"/>
    <s v="279"/>
    <x v="114"/>
    <d v="2026-10-13T18:18:27"/>
    <d v="2026-10-13T12:18:24"/>
    <d v="2026-10-13T00:00:00"/>
    <s v=""/>
    <s v="CAJA"/>
    <n v="8"/>
    <s v="PENDIENTE APROBACION  ENVIO TMS"/>
    <s v="000000000209667883"/>
    <x v="0"/>
    <x v="0"/>
    <m/>
    <n v="1"/>
    <m/>
  </r>
  <r>
    <n v="209667888"/>
    <s v="53"/>
    <x v="136"/>
    <d v="2026-10-13T18:18:29"/>
    <d v="2026-10-13T12:18:26"/>
    <d v="2026-10-13T00:00:00"/>
    <s v=""/>
    <s v="CAJA"/>
    <n v="2"/>
    <s v="PENDIENTE APROBACION  ENVIO TMS"/>
    <s v="000000000209667888"/>
    <x v="0"/>
    <x v="2"/>
    <m/>
    <n v="1"/>
    <m/>
  </r>
  <r>
    <n v="209667889"/>
    <s v="80"/>
    <x v="54"/>
    <d v="2026-10-13T18:18:30"/>
    <d v="2026-10-13T12:18:27"/>
    <d v="2026-10-13T00:00:00"/>
    <s v=""/>
    <s v="CAJA"/>
    <n v="5"/>
    <s v="PENDIENTE APROBACION  ENVIO TMS"/>
    <s v="000000000209667889"/>
    <x v="0"/>
    <x v="0"/>
    <m/>
    <n v="1"/>
    <m/>
  </r>
  <r>
    <n v="209667830"/>
    <s v="204"/>
    <x v="98"/>
    <d v="2026-10-13T18:18:32"/>
    <d v="2026-10-13T12:18:29"/>
    <d v="2026-10-13T00:00:00"/>
    <s v=""/>
    <s v="CAJA"/>
    <n v="12"/>
    <s v="PENDIENTE APROBACION  ENVIO TMS"/>
    <s v="000000000209667830"/>
    <x v="0"/>
    <x v="0"/>
    <m/>
    <n v="1"/>
    <m/>
  </r>
  <r>
    <n v="209667834"/>
    <s v="59"/>
    <x v="56"/>
    <d v="2026-10-13T18:18:34"/>
    <d v="2026-10-13T12:18:32"/>
    <d v="2026-10-13T00:00:00"/>
    <s v=""/>
    <s v="CAJA"/>
    <n v="12"/>
    <s v="PENDIENTE APROBACION  ENVIO TMS"/>
    <s v="000000000209667834"/>
    <x v="0"/>
    <x v="0"/>
    <m/>
    <n v="1"/>
    <m/>
  </r>
  <r>
    <n v="209667897"/>
    <s v="3"/>
    <x v="57"/>
    <d v="2026-10-13T18:18:34"/>
    <d v="2026-10-13T12:18:31"/>
    <d v="2026-10-13T00:00:00"/>
    <s v=""/>
    <s v="CAJA"/>
    <n v="7"/>
    <s v="PENDIENTE APROBACION  ENVIO TMS"/>
    <s v="000000000209667897"/>
    <x v="0"/>
    <x v="3"/>
    <m/>
    <n v="1"/>
    <m/>
  </r>
  <r>
    <n v="209667908"/>
    <s v="205"/>
    <x v="19"/>
    <d v="2026-10-13T18:18:36"/>
    <d v="2026-10-13T12:18:34"/>
    <d v="2026-10-13T00:00:00"/>
    <s v=""/>
    <s v="CAJA"/>
    <n v="13"/>
    <s v="PENDIENTE APROBACION  ENVIO TMS"/>
    <s v="000000000209667908"/>
    <x v="0"/>
    <x v="0"/>
    <m/>
    <n v="1"/>
    <m/>
  </r>
  <r>
    <n v="209667844"/>
    <s v="195"/>
    <x v="122"/>
    <d v="2026-10-13T18:18:38"/>
    <d v="2026-10-13T12:18:35"/>
    <d v="2026-10-13T00:00:00"/>
    <s v=""/>
    <s v="CAJA"/>
    <n v="6"/>
    <s v="PENDIENTE APROBACION  ENVIO TMS"/>
    <s v="000000000209667844"/>
    <x v="0"/>
    <x v="2"/>
    <m/>
    <n v="1"/>
    <m/>
  </r>
  <r>
    <n v="209667919"/>
    <s v="260"/>
    <x v="128"/>
    <d v="2026-10-13T18:18:39"/>
    <d v="2026-10-13T12:18:36"/>
    <d v="2026-10-13T00:00:00"/>
    <s v=""/>
    <s v="CAJA"/>
    <n v="3"/>
    <s v="PENDIENTE APROBACION  ENVIO TMS"/>
    <s v="000000000209667919"/>
    <x v="0"/>
    <x v="3"/>
    <m/>
    <n v="1"/>
    <m/>
  </r>
  <r>
    <n v="209667920"/>
    <s v="87"/>
    <x v="41"/>
    <d v="2026-10-13T18:18:40"/>
    <d v="2026-10-13T12:18:38"/>
    <d v="2026-10-13T00:00:00"/>
    <s v=""/>
    <s v="CAJA"/>
    <n v="2"/>
    <s v="PENDIENTE APROBACION  ENVIO TMS"/>
    <s v="000000000209667920"/>
    <x v="0"/>
    <x v="0"/>
    <m/>
    <n v="1"/>
    <m/>
  </r>
  <r>
    <n v="209667851"/>
    <s v="297"/>
    <x v="73"/>
    <d v="2026-10-13T18:18:41"/>
    <d v="2026-10-13T12:18:39"/>
    <d v="2026-10-13T00:00:00"/>
    <s v=""/>
    <s v="CAJA"/>
    <n v="7"/>
    <s v="PENDIENTE APROBACION  ENVIO TMS"/>
    <s v="000000000209667851"/>
    <x v="0"/>
    <x v="0"/>
    <m/>
    <n v="1"/>
    <m/>
  </r>
  <r>
    <n v="209667852"/>
    <s v="110"/>
    <x v="55"/>
    <d v="2026-10-13T18:18:42"/>
    <d v="2026-10-13T12:18:40"/>
    <d v="2026-10-13T00:00:00"/>
    <s v=""/>
    <s v="CAJA"/>
    <n v="9"/>
    <s v="PENDIENTE APROBACION  ENVIO TMS"/>
    <s v="000000000209667852"/>
    <x v="0"/>
    <x v="0"/>
    <m/>
    <n v="1"/>
    <m/>
  </r>
  <r>
    <n v="209667853"/>
    <s v="73"/>
    <x v="93"/>
    <d v="2026-10-13T18:18:44"/>
    <d v="2026-10-13T12:18:41"/>
    <d v="2026-10-13T00:00:00"/>
    <s v=""/>
    <s v="CAJA"/>
    <n v="7"/>
    <s v="PENDIENTE APROBACION  ENVIO TMS"/>
    <s v="000000000209667853"/>
    <x v="0"/>
    <x v="0"/>
    <m/>
    <n v="1"/>
    <m/>
  </r>
  <r>
    <n v="209667808"/>
    <s v="63"/>
    <x v="120"/>
    <d v="2026-10-13T18:18:45"/>
    <d v="2026-10-13T12:18:43"/>
    <d v="2026-10-13T00:00:00"/>
    <s v=""/>
    <s v="CAJA"/>
    <n v="9"/>
    <s v="PENDIENTE APROBACION  ENVIO TMS"/>
    <s v="000000000209667808"/>
    <x v="0"/>
    <x v="0"/>
    <m/>
    <n v="1"/>
    <m/>
  </r>
  <r>
    <n v="209667791"/>
    <s v="102"/>
    <x v="106"/>
    <d v="2026-10-13T18:18:46"/>
    <d v="2026-10-13T12:18:44"/>
    <d v="2026-10-13T00:00:00"/>
    <s v=""/>
    <s v="CAJA"/>
    <n v="14"/>
    <s v="PENDIENTE APROBACION  ENVIO TMS"/>
    <s v="000000000209667791"/>
    <x v="0"/>
    <x v="3"/>
    <m/>
    <n v="1"/>
    <m/>
  </r>
  <r>
    <n v="209667867"/>
    <s v="62"/>
    <x v="58"/>
    <d v="2026-10-13T18:18:48"/>
    <d v="2026-10-13T12:18:45"/>
    <d v="2026-10-13T00:00:00"/>
    <s v=""/>
    <s v="CAJA"/>
    <n v="4"/>
    <s v="PENDIENTE APROBACION  ENVIO TMS"/>
    <s v="000000000209667867"/>
    <x v="0"/>
    <x v="3"/>
    <m/>
    <n v="1"/>
    <m/>
  </r>
  <r>
    <n v="209667820"/>
    <s v="72"/>
    <x v="60"/>
    <d v="2026-10-13T18:18:49"/>
    <d v="2026-10-13T12:18:47"/>
    <d v="2026-10-13T00:00:00"/>
    <s v=""/>
    <s v="CAJA"/>
    <n v="4"/>
    <s v="PENDIENTE APROBACION  ENVIO TMS"/>
    <s v="000000000209667820"/>
    <x v="0"/>
    <x v="3"/>
    <m/>
    <n v="1"/>
    <m/>
  </r>
  <r>
    <n v="209667823"/>
    <s v="104"/>
    <x v="9"/>
    <d v="2026-10-13T18:18:51"/>
    <d v="2026-10-13T12:18:48"/>
    <d v="2026-10-13T00:00:00"/>
    <s v=""/>
    <s v="CAJA"/>
    <n v="3"/>
    <s v="PENDIENTE APROBACION  ENVIO TMS"/>
    <s v="000000000209667823"/>
    <x v="0"/>
    <x v="1"/>
    <m/>
    <n v="1"/>
    <m/>
  </r>
  <r>
    <n v="209667885"/>
    <s v="156"/>
    <x v="17"/>
    <d v="2026-10-13T18:18:52"/>
    <d v="2026-10-13T12:18:50"/>
    <d v="2026-10-13T00:00:00"/>
    <s v=""/>
    <s v="CAJA"/>
    <n v="7"/>
    <s v="PENDIENTE APROBACION  ENVIO TMS"/>
    <s v="000000000209667885"/>
    <x v="0"/>
    <x v="0"/>
    <m/>
    <n v="1"/>
    <m/>
  </r>
  <r>
    <n v="209667887"/>
    <s v="45"/>
    <x v="133"/>
    <d v="2026-10-13T18:18:54"/>
    <d v="2026-10-13T12:18:51"/>
    <d v="2026-10-13T00:00:00"/>
    <s v=""/>
    <s v="CAJA"/>
    <n v="1"/>
    <s v="PENDIENTE APROBACION  ENVIO TMS"/>
    <s v="000000000209667887"/>
    <x v="0"/>
    <x v="3"/>
    <m/>
    <n v="1"/>
    <m/>
  </r>
  <r>
    <n v="209667890"/>
    <s v="221"/>
    <x v="125"/>
    <d v="2026-10-13T18:18:55"/>
    <d v="2026-10-13T12:18:53"/>
    <d v="2026-10-13T00:00:00"/>
    <s v=""/>
    <s v="CAJA"/>
    <n v="6"/>
    <s v="PENDIENTE APROBACION  ENVIO TMS"/>
    <s v="000000000209667890"/>
    <x v="0"/>
    <x v="3"/>
    <m/>
    <n v="1"/>
    <m/>
  </r>
  <r>
    <n v="209667833"/>
    <s v="52"/>
    <x v="12"/>
    <d v="2026-10-13T18:18:57"/>
    <d v="2026-10-13T12:18:54"/>
    <d v="2026-10-13T00:00:00"/>
    <s v=""/>
    <s v="CAJA"/>
    <n v="10"/>
    <s v="PENDIENTE APROBACION  ENVIO TMS"/>
    <s v="000000000209667833"/>
    <x v="0"/>
    <x v="0"/>
    <m/>
    <n v="1"/>
    <m/>
  </r>
  <r>
    <n v="209667900"/>
    <s v="70"/>
    <x v="45"/>
    <d v="2026-10-13T18:18:58"/>
    <d v="2026-10-13T12:18:55"/>
    <d v="2026-10-13T00:00:00"/>
    <s v=""/>
    <s v="CAJA"/>
    <n v="5"/>
    <s v="PENDIENTE APROBACION  ENVIO TMS"/>
    <s v="000000000209667900"/>
    <x v="0"/>
    <x v="2"/>
    <m/>
    <n v="1"/>
    <m/>
  </r>
  <r>
    <n v="209667903"/>
    <s v="5"/>
    <x v="91"/>
    <d v="2026-10-13T18:18:59"/>
    <d v="2026-10-13T12:18:57"/>
    <d v="2026-10-13T00:00:00"/>
    <s v=""/>
    <s v="CAJA"/>
    <n v="4"/>
    <s v="PENDIENTE APROBACION  ENVIO TMS"/>
    <s v="000000000209667903"/>
    <x v="0"/>
    <x v="3"/>
    <m/>
    <n v="1"/>
    <m/>
  </r>
  <r>
    <n v="209667836"/>
    <s v="76"/>
    <x v="49"/>
    <d v="2026-10-13T18:19:01"/>
    <d v="2026-10-13T12:18:59"/>
    <d v="2026-10-13T00:00:00"/>
    <s v=""/>
    <s v="CAJA"/>
    <n v="6"/>
    <s v="PENDIENTE APROBACION  ENVIO TMS"/>
    <s v="000000000209667836"/>
    <x v="0"/>
    <x v="2"/>
    <m/>
    <n v="1"/>
    <m/>
  </r>
  <r>
    <n v="209667904"/>
    <s v="81"/>
    <x v="66"/>
    <d v="2026-10-13T18:19:03"/>
    <d v="2026-10-13T12:19:00"/>
    <d v="2026-10-13T00:00:00"/>
    <s v=""/>
    <s v="CAJA"/>
    <n v="9"/>
    <s v="PENDIENTE APROBACION  ENVIO TMS"/>
    <s v="000000000209667904"/>
    <x v="0"/>
    <x v="2"/>
    <m/>
    <n v="1"/>
    <m/>
  </r>
  <r>
    <n v="209667858"/>
    <s v="228"/>
    <x v="102"/>
    <d v="2026-10-13T18:19:05"/>
    <d v="2026-10-13T12:19:02"/>
    <d v="2026-10-13T00:00:00"/>
    <s v=""/>
    <s v="CAJA"/>
    <n v="10"/>
    <s v="PENDIENTE APROBACION  ENVIO TMS"/>
    <s v="000000000209667858"/>
    <x v="0"/>
    <x v="1"/>
    <m/>
    <n v="1"/>
    <m/>
  </r>
  <r>
    <n v="209667805"/>
    <s v="46"/>
    <x v="86"/>
    <d v="2026-10-13T18:19:07"/>
    <d v="2026-10-13T12:19:04"/>
    <d v="2026-10-13T00:00:00"/>
    <s v=""/>
    <s v="CAJA"/>
    <n v="13"/>
    <s v="PENDIENTE APROBACION  ENVIO TMS"/>
    <s v="000000000209667805"/>
    <x v="0"/>
    <x v="1"/>
    <m/>
    <n v="1"/>
    <m/>
  </r>
  <r>
    <n v="209667811"/>
    <s v="9"/>
    <x v="16"/>
    <d v="2026-10-13T18:19:09"/>
    <d v="2026-10-13T12:19:06"/>
    <d v="2026-10-13T00:00:00"/>
    <s v=""/>
    <s v="CAJA"/>
    <n v="6"/>
    <s v="PENDIENTE APROBACION  ENVIO TMS"/>
    <s v="000000000209667811"/>
    <x v="0"/>
    <x v="0"/>
    <m/>
    <n v="1"/>
    <m/>
  </r>
  <r>
    <n v="209667815"/>
    <s v="281"/>
    <x v="27"/>
    <d v="2026-10-13T18:19:10"/>
    <d v="2026-10-13T12:19:07"/>
    <d v="2026-10-13T00:00:00"/>
    <s v=""/>
    <s v="CAJA"/>
    <n v="11"/>
    <s v="PENDIENTE APROBACION  ENVIO TMS"/>
    <s v="000000000209667815"/>
    <x v="0"/>
    <x v="0"/>
    <m/>
    <n v="1"/>
    <m/>
  </r>
  <r>
    <n v="209667816"/>
    <s v="31"/>
    <x v="40"/>
    <d v="2026-10-13T18:19:11"/>
    <d v="2026-10-13T12:19:09"/>
    <d v="2026-10-13T00:00:00"/>
    <s v=""/>
    <s v="CAJA"/>
    <n v="11"/>
    <s v="PENDIENTE APROBACION  ENVIO TMS"/>
    <s v="000000000209667816"/>
    <x v="0"/>
    <x v="1"/>
    <m/>
    <n v="1"/>
    <m/>
  </r>
  <r>
    <n v="209667884"/>
    <s v="284"/>
    <x v="116"/>
    <d v="2026-10-13T18:19:13"/>
    <d v="2026-10-13T12:19:10"/>
    <d v="2026-10-13T00:00:00"/>
    <s v=""/>
    <s v="CAJA"/>
    <n v="10"/>
    <s v="PENDIENTE APROBACION  ENVIO TMS"/>
    <s v="000000000209667884"/>
    <x v="0"/>
    <x v="0"/>
    <m/>
    <n v="1"/>
    <m/>
  </r>
  <r>
    <n v="209667828"/>
    <s v="16"/>
    <x v="18"/>
    <d v="2026-10-13T18:19:14"/>
    <d v="2026-10-13T12:19:11"/>
    <d v="2026-10-13T00:00:00"/>
    <s v=""/>
    <s v="CAJA"/>
    <n v="15"/>
    <s v="PENDIENTE APROBACION  ENVIO TMS"/>
    <s v="000000000209667828"/>
    <x v="0"/>
    <x v="1"/>
    <m/>
    <n v="1"/>
    <m/>
  </r>
  <r>
    <n v="209667838"/>
    <s v="88"/>
    <x v="103"/>
    <d v="2026-10-13T18:19:16"/>
    <d v="2026-10-13T12:19:14"/>
    <d v="2026-10-13T00:00:00"/>
    <s v=""/>
    <s v="CAJA"/>
    <n v="7"/>
    <s v="PENDIENTE APROBACION  ENVIO TMS"/>
    <s v="000000000209667838"/>
    <x v="0"/>
    <x v="0"/>
    <m/>
    <n v="1"/>
    <m/>
  </r>
  <r>
    <n v="209667902"/>
    <s v="277"/>
    <x v="4"/>
    <d v="2026-10-13T18:19:16"/>
    <d v="2026-10-13T12:19:13"/>
    <d v="2026-10-13T00:00:00"/>
    <s v=""/>
    <s v="CAJA"/>
    <n v="9"/>
    <s v="PENDIENTE APROBACION  ENVIO TMS"/>
    <s v="000000000209667902"/>
    <x v="0"/>
    <x v="1"/>
    <m/>
    <n v="1"/>
    <m/>
  </r>
  <r>
    <n v="209667906"/>
    <s v="58"/>
    <x v="30"/>
    <d v="2026-10-13T18:19:18"/>
    <d v="2026-10-13T12:19:15"/>
    <d v="2026-10-13T00:00:00"/>
    <s v=""/>
    <s v="CAJA"/>
    <n v="1"/>
    <s v="PENDIENTE APROBACION  ENVIO TMS"/>
    <s v="000000000209667906"/>
    <x v="0"/>
    <x v="1"/>
    <m/>
    <n v="1"/>
    <m/>
  </r>
  <r>
    <n v="209667913"/>
    <s v="39"/>
    <x v="130"/>
    <d v="2026-10-13T18:19:20"/>
    <d v="2026-10-13T12:19:17"/>
    <d v="2026-10-13T00:00:00"/>
    <s v=""/>
    <s v="CAJA"/>
    <n v="4"/>
    <s v="PENDIENTE APROBACION  ENVIO TMS"/>
    <s v="000000000209667913"/>
    <x v="0"/>
    <x v="1"/>
    <m/>
    <n v="1"/>
    <m/>
  </r>
  <r>
    <n v="209667914"/>
    <s v="238"/>
    <x v="84"/>
    <d v="2026-10-13T18:19:21"/>
    <d v="2026-10-13T12:19:18"/>
    <d v="2026-10-13T00:00:00"/>
    <s v=""/>
    <s v="CAJA"/>
    <n v="6"/>
    <s v="PENDIENTE APROBACION  ENVIO TMS"/>
    <s v="000000000209667914"/>
    <x v="0"/>
    <x v="1"/>
    <m/>
    <n v="1"/>
    <m/>
  </r>
  <r>
    <n v="209667794"/>
    <s v="47"/>
    <x v="1"/>
    <d v="2026-10-13T18:19:23"/>
    <d v="2026-10-13T12:19:20"/>
    <d v="2026-10-13T00:00:00"/>
    <s v=""/>
    <s v="CAJA"/>
    <n v="10"/>
    <s v="PENDIENTE APROBACION  ENVIO TMS"/>
    <s v="000000000209667794"/>
    <x v="0"/>
    <x v="0"/>
    <m/>
    <n v="1"/>
    <m/>
  </r>
  <r>
    <n v="209667845"/>
    <s v="71"/>
    <x v="31"/>
    <d v="2026-10-13T18:19:25"/>
    <d v="2026-10-13T12:19:22"/>
    <d v="2026-10-13T00:00:00"/>
    <s v=""/>
    <s v="CAJA"/>
    <n v="12"/>
    <s v="PENDIENTE APROBACION  ENVIO TMS"/>
    <s v="000000000209667845"/>
    <x v="0"/>
    <x v="0"/>
    <m/>
    <n v="1"/>
    <m/>
  </r>
  <r>
    <n v="209667854"/>
    <s v="262"/>
    <x v="107"/>
    <d v="2026-10-13T18:19:26"/>
    <d v="2026-10-13T12:19:23"/>
    <d v="2026-10-13T00:00:00"/>
    <s v=""/>
    <s v="CAJA"/>
    <n v="11"/>
    <s v="PENDIENTE APROBACION  ENVIO TMS"/>
    <s v="000000000209667854"/>
    <x v="0"/>
    <x v="4"/>
    <m/>
    <n v="1"/>
    <m/>
  </r>
  <r>
    <n v="209667861"/>
    <s v="65"/>
    <x v="79"/>
    <d v="2026-10-13T18:19:28"/>
    <d v="2026-10-13T12:19:25"/>
    <d v="2026-10-13T00:00:00"/>
    <s v=""/>
    <s v="CAJA"/>
    <n v="9"/>
    <s v="PENDIENTE APROBACION  ENVIO TMS"/>
    <s v="000000000209667861"/>
    <x v="0"/>
    <x v="0"/>
    <m/>
    <n v="1"/>
    <m/>
  </r>
  <r>
    <n v="209667862"/>
    <s v="27"/>
    <x v="53"/>
    <d v="2026-10-13T18:19:30"/>
    <d v="2026-10-13T12:19:27"/>
    <d v="2026-10-13T00:00:00"/>
    <s v=""/>
    <s v="CAJA"/>
    <n v="11"/>
    <s v="PENDIENTE APROBACION  ENVIO TMS"/>
    <s v="000000000209667862"/>
    <x v="0"/>
    <x v="1"/>
    <m/>
    <n v="1"/>
    <m/>
  </r>
  <r>
    <n v="209667792"/>
    <s v="142"/>
    <x v="118"/>
    <d v="2026-10-13T18:19:32"/>
    <d v="2026-10-13T12:19:29"/>
    <d v="2026-10-13T00:00:00"/>
    <s v=""/>
    <s v="CAJA"/>
    <n v="8"/>
    <s v="PENDIENTE APROBACION  ENVIO TMS"/>
    <s v="000000000209667792"/>
    <x v="0"/>
    <x v="3"/>
    <m/>
    <n v="1"/>
    <m/>
  </r>
  <r>
    <n v="209667870"/>
    <s v="13"/>
    <x v="95"/>
    <d v="2026-10-13T18:19:33"/>
    <d v="2026-10-13T12:19:30"/>
    <d v="2026-10-13T00:00:00"/>
    <s v=""/>
    <s v="CAJA"/>
    <n v="10"/>
    <s v="PENDIENTE APROBACION  ENVIO TMS"/>
    <s v="000000000209667870"/>
    <x v="0"/>
    <x v="1"/>
    <m/>
    <n v="1"/>
    <m/>
  </r>
  <r>
    <n v="209667817"/>
    <s v="38"/>
    <x v="129"/>
    <d v="2026-10-13T18:19:34"/>
    <d v="2026-10-13T12:19:31"/>
    <d v="2026-10-13T00:00:00"/>
    <s v=""/>
    <s v="CAJA"/>
    <n v="14"/>
    <s v="PENDIENTE APROBACION  ENVIO TMS"/>
    <s v="000000000209667817"/>
    <x v="0"/>
    <x v="1"/>
    <m/>
    <n v="1"/>
    <m/>
  </r>
  <r>
    <n v="209667872"/>
    <s v="261"/>
    <x v="132"/>
    <d v="2026-10-13T18:19:35"/>
    <d v="2026-10-13T12:19:33"/>
    <d v="2026-10-13T00:00:00"/>
    <s v=""/>
    <s v="CAJA"/>
    <n v="14"/>
    <s v="PENDIENTE APROBACION  ENVIO TMS"/>
    <s v="000000000209667872"/>
    <x v="0"/>
    <x v="0"/>
    <m/>
    <n v="1"/>
    <m/>
  </r>
  <r>
    <n v="209667818"/>
    <s v="4"/>
    <x v="32"/>
    <d v="2026-10-13T18:19:37"/>
    <d v="2026-10-13T12:19:34"/>
    <d v="2026-10-13T00:00:00"/>
    <s v=""/>
    <s v="CAJA"/>
    <n v="15"/>
    <s v="PENDIENTE APROBACION  ENVIO TMS"/>
    <s v="000000000209667818"/>
    <x v="0"/>
    <x v="3"/>
    <m/>
    <n v="1"/>
    <m/>
  </r>
  <r>
    <n v="209667822"/>
    <s v="85"/>
    <x v="69"/>
    <d v="2026-10-13T18:19:38"/>
    <d v="2026-10-13T12:19:35"/>
    <d v="2026-10-13T00:00:00"/>
    <s v=""/>
    <s v="CAJA"/>
    <n v="11"/>
    <s v="PENDIENTE APROBACION  ENVIO TMS"/>
    <s v="000000000209667822"/>
    <x v="0"/>
    <x v="1"/>
    <m/>
    <n v="1"/>
    <m/>
  </r>
  <r>
    <n v="209667894"/>
    <s v="86"/>
    <x v="126"/>
    <d v="2026-10-13T18:19:39"/>
    <d v="2026-10-13T12:19:36"/>
    <d v="2026-10-13T00:00:00"/>
    <s v=""/>
    <s v="CAJA"/>
    <n v="9"/>
    <s v="PENDIENTE APROBACION  ENVIO TMS"/>
    <s v="000000000209667894"/>
    <x v="0"/>
    <x v="1"/>
    <m/>
    <n v="1"/>
    <m/>
  </r>
  <r>
    <n v="209667896"/>
    <s v="26"/>
    <x v="100"/>
    <d v="2026-10-13T18:19:41"/>
    <d v="2026-10-13T12:19:38"/>
    <d v="2026-10-13T00:00:00"/>
    <s v=""/>
    <s v="CAJA"/>
    <n v="5"/>
    <s v="PENDIENTE APROBACION  ENVIO TMS"/>
    <s v="000000000209667896"/>
    <x v="0"/>
    <x v="1"/>
    <m/>
    <n v="1"/>
    <m/>
  </r>
  <r>
    <n v="209667837"/>
    <s v="84"/>
    <x v="82"/>
    <d v="2026-10-13T18:19:43"/>
    <d v="2026-10-13T12:19:40"/>
    <d v="2026-10-13T00:00:00"/>
    <s v=""/>
    <s v="CAJA"/>
    <n v="5"/>
    <s v="PENDIENTE APROBACION  ENVIO TMS"/>
    <s v="000000000209667837"/>
    <x v="0"/>
    <x v="0"/>
    <m/>
    <n v="1"/>
    <m/>
  </r>
  <r>
    <n v="209667839"/>
    <s v="103"/>
    <x v="42"/>
    <d v="2026-10-13T18:19:44"/>
    <d v="2026-10-13T12:19:41"/>
    <d v="2026-10-13T00:00:00"/>
    <s v=""/>
    <s v="CAJA"/>
    <n v="6"/>
    <s v="PENDIENTE APROBACION  ENVIO TMS"/>
    <s v="000000000209667839"/>
    <x v="0"/>
    <x v="2"/>
    <m/>
    <n v="1"/>
    <m/>
  </r>
  <r>
    <n v="209667905"/>
    <s v="124"/>
    <x v="90"/>
    <d v="2026-10-13T18:19:46"/>
    <d v="2026-10-13T12:19:43"/>
    <d v="2026-10-13T00:00:00"/>
    <s v=""/>
    <s v="CAJA"/>
    <n v="1"/>
    <s v="PENDIENTE APROBACION  ENVIO TMS"/>
    <s v="000000000209667905"/>
    <x v="0"/>
    <x v="1"/>
    <m/>
    <n v="1"/>
    <m/>
  </r>
  <r>
    <n v="209667843"/>
    <s v="117"/>
    <x v="72"/>
    <d v="2026-10-13T18:19:47"/>
    <d v="2026-10-13T12:19:45"/>
    <d v="2026-10-13T00:00:00"/>
    <s v=""/>
    <s v="CAJA"/>
    <n v="2"/>
    <s v="PENDIENTE APROBACION  ENVIO TMS"/>
    <s v="000000000209667843"/>
    <x v="0"/>
    <x v="3"/>
    <m/>
    <n v="1"/>
    <m/>
  </r>
  <r>
    <n v="209667848"/>
    <s v="77"/>
    <x v="50"/>
    <d v="2026-10-13T18:19:49"/>
    <d v="2026-10-13T12:19:46"/>
    <d v="2026-10-13T00:00:00"/>
    <s v=""/>
    <s v="CAJA"/>
    <n v="4"/>
    <s v="PENDIENTE APROBACION  ENVIO TMS"/>
    <s v="000000000209667848"/>
    <x v="0"/>
    <x v="0"/>
    <m/>
    <n v="1"/>
    <m/>
  </r>
  <r>
    <n v="209667855"/>
    <s v="107"/>
    <x v="10"/>
    <d v="2026-10-13T18:19:51"/>
    <d v="2026-10-13T12:19:48"/>
    <d v="2026-10-13T00:00:00"/>
    <s v=""/>
    <s v="CAJA"/>
    <n v="11"/>
    <s v="PENDIENTE APROBACION  ENVIO TMS"/>
    <s v="000000000209667855"/>
    <x v="0"/>
    <x v="0"/>
    <m/>
    <n v="1"/>
    <m/>
  </r>
  <r>
    <n v="209667803"/>
    <s v="41"/>
    <x v="43"/>
    <d v="2026-10-13T18:19:52"/>
    <d v="2026-10-13T12:19:50"/>
    <d v="2026-10-13T00:00:00"/>
    <s v=""/>
    <s v="CAJA"/>
    <n v="6"/>
    <s v="PENDIENTE APROBACION  ENVIO TMS"/>
    <s v="000000000209667803"/>
    <x v="0"/>
    <x v="0"/>
    <m/>
    <n v="1"/>
    <m/>
  </r>
  <r>
    <n v="209667878"/>
    <s v="75"/>
    <x v="37"/>
    <d v="2026-10-13T18:39:38"/>
    <d v="2026-10-13T12:39:33"/>
    <d v="2026-10-13T00:00:00"/>
    <s v=""/>
    <s v="CAJA"/>
    <n v="1"/>
    <s v="PENDIENTE APROBACION  ENVIO TMS"/>
    <s v="000000000209667878"/>
    <x v="0"/>
    <x v="3"/>
    <m/>
    <n v="1"/>
    <m/>
  </r>
  <r>
    <n v="209668041"/>
    <s v="128"/>
    <x v="14"/>
    <d v="2026-10-13T18:44:16"/>
    <d v="2026-10-13T12:44:13"/>
    <d v="2026-10-13T00:00:00"/>
    <s v=""/>
    <s v="CAJA"/>
    <n v="2"/>
    <s v="PENDIENTE APROBACION  ENVIO TMS"/>
    <s v="000000000209668041"/>
    <x v="0"/>
    <x v="0"/>
    <m/>
    <n v="1"/>
    <m/>
  </r>
  <r>
    <n v="209668044"/>
    <s v="278"/>
    <x v="46"/>
    <d v="2026-10-13T18:44:17"/>
    <d v="2026-10-13T12:44:14"/>
    <d v="2026-10-13T00:00:00"/>
    <s v=""/>
    <s v="CAJA"/>
    <n v="4"/>
    <s v="PENDIENTE APROBACION  ENVIO TMS"/>
    <s v="000000000209668044"/>
    <x v="0"/>
    <x v="1"/>
    <m/>
    <n v="1"/>
    <m/>
  </r>
  <r>
    <n v="209668048"/>
    <s v="110"/>
    <x v="55"/>
    <d v="2026-10-13T18:44:18"/>
    <d v="2026-10-13T12:44:16"/>
    <d v="2026-10-13T00:00:00"/>
    <s v=""/>
    <s v="CAJA"/>
    <n v="2"/>
    <s v="PENDIENTE APROBACION  ENVIO TMS"/>
    <s v="000000000209668048"/>
    <x v="0"/>
    <x v="0"/>
    <m/>
    <n v="1"/>
    <m/>
  </r>
  <r>
    <n v="209668052"/>
    <s v="115"/>
    <x v="88"/>
    <d v="2026-10-13T18:44:19"/>
    <d v="2026-10-13T12:44:17"/>
    <d v="2026-10-13T00:00:00"/>
    <s v=""/>
    <s v="CAJA"/>
    <n v="5"/>
    <s v="PENDIENTE APROBACION  ENVIO TMS"/>
    <s v="000000000209668052"/>
    <x v="0"/>
    <x v="2"/>
    <m/>
    <n v="1"/>
    <m/>
  </r>
  <r>
    <n v="209668056"/>
    <s v="224"/>
    <x v="6"/>
    <d v="2026-10-13T18:44:21"/>
    <d v="2026-10-13T12:44:18"/>
    <d v="2026-10-13T00:00:00"/>
    <s v=""/>
    <s v="CAJA"/>
    <n v="4"/>
    <s v="PENDIENTE APROBACION  ENVIO TMS"/>
    <s v="000000000209668056"/>
    <x v="0"/>
    <x v="0"/>
    <m/>
    <n v="1"/>
    <m/>
  </r>
  <r>
    <n v="209668062"/>
    <s v="40"/>
    <x v="22"/>
    <d v="2026-10-13T18:44:22"/>
    <d v="2026-10-13T12:44:19"/>
    <d v="2026-10-13T00:00:00"/>
    <s v=""/>
    <s v="CAJA"/>
    <n v="3"/>
    <s v="PENDIENTE APROBACION  ENVIO TMS"/>
    <s v="000000000209668062"/>
    <x v="0"/>
    <x v="3"/>
    <m/>
    <n v="1"/>
    <m/>
  </r>
  <r>
    <n v="209668063"/>
    <s v="84"/>
    <x v="82"/>
    <d v="2026-10-13T18:44:23"/>
    <d v="2026-10-13T12:44:21"/>
    <d v="2026-10-13T00:00:00"/>
    <s v=""/>
    <s v="CAJA"/>
    <n v="3"/>
    <s v="PENDIENTE APROBACION  ENVIO TMS"/>
    <s v="000000000209668063"/>
    <x v="0"/>
    <x v="0"/>
    <m/>
    <n v="1"/>
    <m/>
  </r>
  <r>
    <n v="209668064"/>
    <s v="249"/>
    <x v="108"/>
    <d v="2026-10-13T18:44:25"/>
    <d v="2026-10-13T12:44:22"/>
    <d v="2026-10-13T00:00:00"/>
    <s v=""/>
    <s v="CAJA"/>
    <n v="2"/>
    <s v="PENDIENTE APROBACION  ENVIO TMS"/>
    <s v="000000000209668064"/>
    <x v="0"/>
    <x v="0"/>
    <m/>
    <n v="1"/>
    <m/>
  </r>
  <r>
    <n v="209667995"/>
    <s v="16"/>
    <x v="18"/>
    <d v="2026-10-13T18:44:26"/>
    <d v="2026-10-13T12:44:23"/>
    <d v="2026-10-13T00:00:00"/>
    <s v=""/>
    <s v="CAJA"/>
    <n v="3"/>
    <s v="PENDIENTE APROBACION  ENVIO TMS"/>
    <s v="000000000209667995"/>
    <x v="0"/>
    <x v="1"/>
    <m/>
    <n v="1"/>
    <m/>
  </r>
  <r>
    <n v="209668078"/>
    <s v="83"/>
    <x v="67"/>
    <d v="2026-10-13T18:44:27"/>
    <d v="2026-10-13T12:44:24"/>
    <d v="2026-10-13T00:00:00"/>
    <s v=""/>
    <s v="CAJA"/>
    <n v="2"/>
    <s v="PENDIENTE APROBACION  ENVIO TMS"/>
    <s v="000000000209668078"/>
    <x v="0"/>
    <x v="1"/>
    <m/>
    <n v="1"/>
    <m/>
  </r>
  <r>
    <n v="209668012"/>
    <s v="60"/>
    <x v="137"/>
    <d v="2026-10-13T18:44:28"/>
    <d v="2026-10-13T12:44:26"/>
    <d v="2026-10-13T00:00:00"/>
    <s v=""/>
    <s v="CAJA"/>
    <n v="5"/>
    <s v="PENDIENTE APROBACION  ENVIO TMS"/>
    <s v="000000000209668012"/>
    <x v="0"/>
    <x v="2"/>
    <m/>
    <n v="1"/>
    <m/>
  </r>
  <r>
    <n v="209668031"/>
    <s v="263"/>
    <x v="8"/>
    <d v="2026-10-13T18:44:30"/>
    <d v="2026-10-13T12:44:27"/>
    <d v="2026-10-13T00:00:00"/>
    <s v=""/>
    <s v="CAJA"/>
    <n v="6"/>
    <s v="PENDIENTE APROBACION  ENVIO TMS"/>
    <s v="000000000209668031"/>
    <x v="0"/>
    <x v="0"/>
    <m/>
    <n v="1"/>
    <m/>
  </r>
  <r>
    <n v="209668060"/>
    <s v="109"/>
    <x v="134"/>
    <d v="2026-10-13T18:44:31"/>
    <d v="2026-10-13T12:44:28"/>
    <d v="2026-10-13T00:00:00"/>
    <s v=""/>
    <s v="CAJA"/>
    <n v="3"/>
    <s v="PENDIENTE APROBACION  ENVIO TMS"/>
    <s v="000000000209668060"/>
    <x v="0"/>
    <x v="0"/>
    <m/>
    <n v="1"/>
    <m/>
  </r>
  <r>
    <n v="209668065"/>
    <s v="114"/>
    <x v="26"/>
    <d v="2026-10-13T18:44:33"/>
    <d v="2026-10-13T12:44:29"/>
    <d v="2026-10-13T00:00:00"/>
    <s v=""/>
    <s v="CAJA"/>
    <n v="4"/>
    <s v="PENDIENTE APROBACION  ENVIO TMS"/>
    <s v="000000000209668065"/>
    <x v="0"/>
    <x v="2"/>
    <m/>
    <n v="1"/>
    <m/>
  </r>
  <r>
    <n v="209668067"/>
    <s v="47"/>
    <x v="1"/>
    <d v="2026-10-13T18:44:34"/>
    <d v="2026-10-13T12:44:32"/>
    <d v="2026-10-13T00:00:00"/>
    <s v=""/>
    <s v="CAJA"/>
    <n v="3"/>
    <s v="PENDIENTE APROBACION  ENVIO TMS"/>
    <s v="000000000209668067"/>
    <x v="0"/>
    <x v="0"/>
    <m/>
    <n v="1"/>
    <m/>
  </r>
  <r>
    <n v="209668076"/>
    <s v="57"/>
    <x v="117"/>
    <d v="2026-10-13T18:44:36"/>
    <d v="2026-10-13T12:44:33"/>
    <d v="2026-10-13T00:00:00"/>
    <s v=""/>
    <s v="CAJA"/>
    <n v="2"/>
    <s v="PENDIENTE APROBACION  ENVIO TMS"/>
    <s v="000000000209668076"/>
    <x v="0"/>
    <x v="1"/>
    <m/>
    <n v="1"/>
    <m/>
  </r>
  <r>
    <n v="209668010"/>
    <s v="262"/>
    <x v="107"/>
    <d v="2026-10-13T18:44:37"/>
    <d v="2026-10-13T12:44:34"/>
    <d v="2026-10-13T00:00:00"/>
    <s v=""/>
    <s v="CAJA"/>
    <n v="6"/>
    <s v="PENDIENTE APROBACION  ENVIO TMS"/>
    <s v="000000000209668010"/>
    <x v="0"/>
    <x v="4"/>
    <m/>
    <n v="1"/>
    <m/>
  </r>
  <r>
    <n v="209668033"/>
    <s v="106"/>
    <x v="25"/>
    <d v="2026-10-13T18:44:38"/>
    <d v="2026-10-13T12:44:35"/>
    <d v="2026-10-13T00:00:00"/>
    <s v=""/>
    <s v="CAJA"/>
    <n v="5"/>
    <s v="PENDIENTE APROBACION  ENVIO TMS"/>
    <s v="000000000209668033"/>
    <x v="0"/>
    <x v="0"/>
    <m/>
    <n v="1"/>
    <m/>
  </r>
  <r>
    <n v="209668035"/>
    <s v="282"/>
    <x v="110"/>
    <d v="2026-10-13T18:44:39"/>
    <d v="2026-10-13T12:44:36"/>
    <d v="2026-10-13T00:00:00"/>
    <s v=""/>
    <s v="CAJA"/>
    <n v="3"/>
    <s v="PENDIENTE APROBACION  ENVIO TMS"/>
    <s v="000000000209668035"/>
    <x v="0"/>
    <x v="0"/>
    <m/>
    <n v="1"/>
    <m/>
  </r>
  <r>
    <n v="209668049"/>
    <s v="284"/>
    <x v="116"/>
    <d v="2026-10-13T18:44:40"/>
    <d v="2026-10-13T12:44:38"/>
    <d v="2026-10-13T00:00:00"/>
    <s v=""/>
    <s v="CAJA"/>
    <n v="5"/>
    <s v="PENDIENTE APROBACION  ENVIO TMS"/>
    <s v="000000000209668049"/>
    <x v="0"/>
    <x v="0"/>
    <m/>
    <n v="1"/>
    <m/>
  </r>
  <r>
    <n v="209668050"/>
    <s v="88"/>
    <x v="103"/>
    <d v="2026-10-13T18:44:42"/>
    <d v="2026-10-13T12:44:39"/>
    <d v="2026-10-13T00:00:00"/>
    <s v=""/>
    <s v="CAJA"/>
    <n v="2"/>
    <s v="PENDIENTE APROBACION  ENVIO TMS"/>
    <s v="000000000209668050"/>
    <x v="0"/>
    <x v="0"/>
    <m/>
    <n v="1"/>
    <m/>
  </r>
  <r>
    <n v="209668057"/>
    <s v="50"/>
    <x v="135"/>
    <d v="2026-10-13T18:44:43"/>
    <d v="2026-10-13T12:44:40"/>
    <d v="2026-10-13T00:00:00"/>
    <s v=""/>
    <s v="CAJA"/>
    <n v="5"/>
    <s v="PENDIENTE APROBACION  ENVIO TMS"/>
    <s v="000000000209668057"/>
    <x v="0"/>
    <x v="0"/>
    <m/>
    <n v="1"/>
    <m/>
  </r>
  <r>
    <n v="209668068"/>
    <s v="55"/>
    <x v="28"/>
    <d v="2026-10-13T18:44:44"/>
    <d v="2026-10-13T12:44:41"/>
    <d v="2026-10-13T00:00:00"/>
    <s v=""/>
    <s v="CAJA"/>
    <n v="1"/>
    <s v="PENDIENTE APROBACION  ENVIO TMS"/>
    <s v="000000000209668068"/>
    <x v="0"/>
    <x v="0"/>
    <m/>
    <n v="1"/>
    <m/>
  </r>
  <r>
    <n v="209667997"/>
    <s v="261"/>
    <x v="132"/>
    <d v="2026-10-13T18:44:45"/>
    <d v="2026-10-13T12:44:43"/>
    <d v="2026-10-13T00:00:00"/>
    <s v=""/>
    <s v="CAJA"/>
    <n v="6"/>
    <s v="PENDIENTE APROBACION  ENVIO TMS"/>
    <s v="000000000209667997"/>
    <x v="0"/>
    <x v="0"/>
    <m/>
    <n v="1"/>
    <m/>
  </r>
  <r>
    <n v="209668072"/>
    <s v="41"/>
    <x v="43"/>
    <d v="2026-10-13T18:44:47"/>
    <d v="2026-10-13T12:44:44"/>
    <d v="2026-10-13T00:00:00"/>
    <s v=""/>
    <s v="CAJA"/>
    <n v="2"/>
    <s v="PENDIENTE APROBACION  ENVIO TMS"/>
    <s v="000000000209668072"/>
    <x v="0"/>
    <x v="0"/>
    <m/>
    <n v="1"/>
    <m/>
  </r>
  <r>
    <n v="209668000"/>
    <s v="297"/>
    <x v="73"/>
    <d v="2026-10-13T18:44:49"/>
    <d v="2026-10-13T12:44:46"/>
    <d v="2026-10-13T00:00:00"/>
    <s v=""/>
    <s v="CAJA"/>
    <n v="4"/>
    <s v="PENDIENTE APROBACION  ENVIO TMS"/>
    <s v="000000000209668000"/>
    <x v="0"/>
    <x v="0"/>
    <m/>
    <n v="1"/>
    <m/>
  </r>
  <r>
    <n v="209668002"/>
    <s v="37"/>
    <x v="127"/>
    <d v="2026-10-13T18:44:50"/>
    <d v="2026-10-13T12:44:48"/>
    <d v="2026-10-13T00:00:00"/>
    <s v=""/>
    <s v="CAJA"/>
    <n v="4"/>
    <s v="PENDIENTE APROBACION  ENVIO TMS"/>
    <s v="000000000209668002"/>
    <x v="0"/>
    <x v="1"/>
    <m/>
    <n v="1"/>
    <m/>
  </r>
  <r>
    <n v="209668006"/>
    <s v="85"/>
    <x v="69"/>
    <d v="2026-10-13T18:44:51"/>
    <d v="2026-10-13T12:44:49"/>
    <d v="2026-10-13T00:00:00"/>
    <s v=""/>
    <s v="CAJA"/>
    <n v="5"/>
    <s v="PENDIENTE APROBACION  ENVIO TMS"/>
    <s v="000000000209668006"/>
    <x v="0"/>
    <x v="1"/>
    <m/>
    <n v="1"/>
    <m/>
  </r>
  <r>
    <n v="209668013"/>
    <s v="87"/>
    <x v="41"/>
    <d v="2026-10-13T18:44:53"/>
    <d v="2026-10-13T12:44:50"/>
    <d v="2026-10-13T00:00:00"/>
    <s v=""/>
    <s v="CAJA"/>
    <n v="5"/>
    <s v="PENDIENTE APROBACION  ENVIO TMS"/>
    <s v="000000000209668013"/>
    <x v="0"/>
    <x v="0"/>
    <m/>
    <n v="1"/>
    <m/>
  </r>
  <r>
    <n v="209668016"/>
    <s v="51"/>
    <x v="44"/>
    <d v="2026-10-13T18:44:54"/>
    <d v="2026-10-13T12:44:51"/>
    <d v="2026-10-13T00:00:00"/>
    <s v=""/>
    <s v="CAJA"/>
    <n v="1"/>
    <s v="PENDIENTE APROBACION  ENVIO TMS"/>
    <s v="000000000209668016"/>
    <x v="0"/>
    <x v="1"/>
    <m/>
    <n v="1"/>
    <m/>
  </r>
  <r>
    <n v="209668018"/>
    <s v="280"/>
    <x v="0"/>
    <d v="2026-10-13T18:44:55"/>
    <d v="2026-10-13T12:44:52"/>
    <d v="2026-10-13T00:00:00"/>
    <s v=""/>
    <s v="CAJA"/>
    <n v="6"/>
    <s v="PENDIENTE APROBACION  ENVIO TMS"/>
    <s v="000000000209668018"/>
    <x v="0"/>
    <x v="0"/>
    <m/>
    <n v="1"/>
    <m/>
  </r>
  <r>
    <n v="209668021"/>
    <s v="71"/>
    <x v="31"/>
    <d v="2026-10-13T18:44:56"/>
    <d v="2026-10-13T12:44:54"/>
    <d v="2026-10-13T00:00:00"/>
    <s v=""/>
    <s v="CAJA"/>
    <n v="4"/>
    <s v="PENDIENTE APROBACION  ENVIO TMS"/>
    <s v="000000000209668021"/>
    <x v="0"/>
    <x v="0"/>
    <m/>
    <n v="1"/>
    <m/>
  </r>
  <r>
    <n v="209668022"/>
    <s v="123"/>
    <x v="3"/>
    <d v="2026-10-13T18:44:58"/>
    <d v="2026-10-13T12:44:55"/>
    <d v="2026-10-13T00:00:00"/>
    <s v=""/>
    <s v="CAJA"/>
    <n v="3"/>
    <s v="PENDIENTE APROBACION  ENVIO TMS"/>
    <s v="000000000209668022"/>
    <x v="0"/>
    <x v="0"/>
    <m/>
    <n v="1"/>
    <m/>
  </r>
  <r>
    <n v="209668032"/>
    <s v="45"/>
    <x v="133"/>
    <d v="2026-10-13T18:44:59"/>
    <d v="2026-10-13T12:44:56"/>
    <d v="2026-10-13T00:00:00"/>
    <s v=""/>
    <s v="CAJA"/>
    <n v="3"/>
    <s v="PENDIENTE APROBACION  ENVIO TMS"/>
    <s v="000000000209668032"/>
    <x v="0"/>
    <x v="3"/>
    <m/>
    <n v="1"/>
    <m/>
  </r>
  <r>
    <n v="209668042"/>
    <s v="63"/>
    <x v="120"/>
    <d v="2026-10-13T18:45:00"/>
    <d v="2026-10-13T12:44:57"/>
    <d v="2026-10-13T00:00:00"/>
    <s v=""/>
    <s v="CAJA"/>
    <n v="4"/>
    <s v="PENDIENTE APROBACION  ENVIO TMS"/>
    <s v="000000000209668042"/>
    <x v="0"/>
    <x v="0"/>
    <m/>
    <n v="1"/>
    <m/>
  </r>
  <r>
    <n v="209668043"/>
    <s v="195"/>
    <x v="122"/>
    <d v="2026-10-13T18:45:01"/>
    <d v="2026-10-13T12:44:59"/>
    <d v="2026-10-13T00:00:00"/>
    <s v=""/>
    <s v="CAJA"/>
    <n v="4"/>
    <s v="PENDIENTE APROBACION  ENVIO TMS"/>
    <s v="000000000209668043"/>
    <x v="0"/>
    <x v="2"/>
    <m/>
    <n v="1"/>
    <m/>
  </r>
  <r>
    <n v="209668045"/>
    <s v="59"/>
    <x v="56"/>
    <d v="2026-10-13T18:45:02"/>
    <d v="2026-10-13T12:45:00"/>
    <d v="2026-10-13T00:00:00"/>
    <s v=""/>
    <s v="CAJA"/>
    <n v="5"/>
    <s v="PENDIENTE APROBACION  ENVIO TMS"/>
    <s v="000000000209668045"/>
    <x v="0"/>
    <x v="0"/>
    <m/>
    <n v="1"/>
    <m/>
  </r>
  <r>
    <n v="209668046"/>
    <s v="9"/>
    <x v="16"/>
    <d v="2026-10-13T18:45:04"/>
    <d v="2026-10-13T12:45:01"/>
    <d v="2026-10-13T00:00:00"/>
    <s v=""/>
    <s v="CAJA"/>
    <n v="1"/>
    <s v="PENDIENTE APROBACION  ENVIO TMS"/>
    <s v="000000000209668046"/>
    <x v="0"/>
    <x v="0"/>
    <m/>
    <n v="1"/>
    <m/>
  </r>
  <r>
    <n v="209668053"/>
    <s v="205"/>
    <x v="19"/>
    <d v="2026-10-13T18:45:05"/>
    <d v="2026-10-13T12:45:02"/>
    <d v="2026-10-13T00:00:00"/>
    <s v=""/>
    <s v="CAJA"/>
    <n v="3"/>
    <s v="PENDIENTE APROBACION  ENVIO TMS"/>
    <s v="000000000209668053"/>
    <x v="0"/>
    <x v="0"/>
    <m/>
    <n v="1"/>
    <m/>
  </r>
  <r>
    <n v="209668070"/>
    <s v="204"/>
    <x v="98"/>
    <d v="2026-10-13T18:45:07"/>
    <d v="2026-10-13T12:45:04"/>
    <d v="2026-10-13T00:00:00"/>
    <s v=""/>
    <s v="CAJA"/>
    <n v="5"/>
    <s v="PENDIENTE APROBACION  ENVIO TMS"/>
    <s v="000000000209668070"/>
    <x v="0"/>
    <x v="0"/>
    <m/>
    <n v="1"/>
    <m/>
  </r>
  <r>
    <n v="209668071"/>
    <s v="107"/>
    <x v="10"/>
    <d v="2026-10-13T18:45:07"/>
    <d v="2026-10-13T12:45:05"/>
    <d v="2026-10-13T00:00:00"/>
    <s v=""/>
    <s v="CAJA"/>
    <n v="2"/>
    <s v="PENDIENTE APROBACION  ENVIO TMS"/>
    <s v="000000000209668071"/>
    <x v="0"/>
    <x v="0"/>
    <m/>
    <n v="1"/>
    <m/>
  </r>
  <r>
    <n v="209667998"/>
    <s v="266"/>
    <x v="109"/>
    <d v="2026-10-13T18:45:09"/>
    <d v="2026-10-13T12:45:06"/>
    <d v="2026-10-13T00:00:00"/>
    <s v=""/>
    <s v="CAJA"/>
    <n v="6"/>
    <s v="PENDIENTE APROBACION  ENVIO TMS"/>
    <s v="000000000209667998"/>
    <x v="0"/>
    <x v="0"/>
    <m/>
    <n v="1"/>
    <m/>
  </r>
  <r>
    <n v="209668017"/>
    <s v="70"/>
    <x v="45"/>
    <d v="2026-10-13T18:45:10"/>
    <d v="2026-10-13T12:45:07"/>
    <d v="2026-10-13T00:00:00"/>
    <s v=""/>
    <s v="CAJA"/>
    <n v="3"/>
    <s v="PENDIENTE APROBACION  ENVIO TMS"/>
    <s v="000000000209668017"/>
    <x v="0"/>
    <x v="2"/>
    <m/>
    <n v="1"/>
    <m/>
  </r>
  <r>
    <n v="209668019"/>
    <s v="29"/>
    <x v="38"/>
    <d v="2026-10-13T18:45:12"/>
    <d v="2026-10-13T12:45:09"/>
    <d v="2026-10-13T00:00:00"/>
    <s v=""/>
    <s v="CAJA"/>
    <n v="3"/>
    <s v="PENDIENTE APROBACION  ENVIO TMS"/>
    <s v="000000000209668019"/>
    <x v="0"/>
    <x v="0"/>
    <m/>
    <n v="1"/>
    <m/>
  </r>
  <r>
    <n v="209668023"/>
    <s v="133"/>
    <x v="119"/>
    <d v="2026-10-13T18:45:13"/>
    <d v="2026-10-13T12:45:10"/>
    <d v="2026-10-13T00:00:00"/>
    <s v=""/>
    <s v="CAJA"/>
    <n v="2"/>
    <s v="PENDIENTE APROBACION  ENVIO TMS"/>
    <s v="000000000209668023"/>
    <x v="0"/>
    <x v="0"/>
    <m/>
    <n v="1"/>
    <m/>
  </r>
  <r>
    <n v="209668036"/>
    <s v="89"/>
    <x v="104"/>
    <d v="2026-10-13T18:45:14"/>
    <d v="2026-10-13T12:45:11"/>
    <d v="2026-10-13T00:00:00"/>
    <s v=""/>
    <s v="CAJA"/>
    <n v="5"/>
    <s v="PENDIENTE APROBACION  ENVIO TMS"/>
    <s v="000000000209668036"/>
    <x v="0"/>
    <x v="0"/>
    <m/>
    <n v="1"/>
    <m/>
  </r>
  <r>
    <n v="209668038"/>
    <s v="74"/>
    <x v="63"/>
    <d v="2026-10-13T18:45:15"/>
    <d v="2026-10-13T12:45:13"/>
    <d v="2026-10-13T00:00:00"/>
    <s v=""/>
    <s v="CAJA"/>
    <n v="5"/>
    <s v="PENDIENTE APROBACION  ENVIO TMS"/>
    <s v="000000000209668038"/>
    <x v="0"/>
    <x v="0"/>
    <m/>
    <n v="1"/>
    <m/>
  </r>
  <r>
    <n v="209668039"/>
    <s v="126"/>
    <x v="29"/>
    <d v="2026-10-13T18:45:17"/>
    <d v="2026-10-13T12:45:14"/>
    <d v="2026-10-13T00:00:00"/>
    <s v=""/>
    <s v="CAJA"/>
    <n v="1"/>
    <s v="PENDIENTE APROBACION  ENVIO TMS"/>
    <s v="000000000209668039"/>
    <x v="0"/>
    <x v="0"/>
    <m/>
    <n v="1"/>
    <m/>
  </r>
  <r>
    <n v="209668047"/>
    <s v="103"/>
    <x v="42"/>
    <d v="2026-10-13T18:45:18"/>
    <d v="2026-10-13T12:45:15"/>
    <d v="2026-10-13T00:00:00"/>
    <s v=""/>
    <s v="CAJA"/>
    <n v="2"/>
    <s v="PENDIENTE APROBACION  ENVIO TMS"/>
    <s v="000000000209668047"/>
    <x v="0"/>
    <x v="2"/>
    <m/>
    <n v="1"/>
    <m/>
  </r>
  <r>
    <n v="209668058"/>
    <s v="54"/>
    <x v="115"/>
    <d v="2026-10-13T18:45:19"/>
    <d v="2026-10-13T12:45:16"/>
    <d v="2026-10-13T00:00:00"/>
    <s v=""/>
    <s v="CAJA"/>
    <n v="4"/>
    <s v="PENDIENTE APROBACION  ENVIO TMS"/>
    <s v="000000000209668058"/>
    <x v="0"/>
    <x v="0"/>
    <m/>
    <n v="1"/>
    <m/>
  </r>
  <r>
    <n v="209667996"/>
    <s v="25"/>
    <x v="39"/>
    <d v="2026-10-13T18:45:20"/>
    <d v="2026-10-13T12:45:18"/>
    <d v="2026-10-13T00:00:00"/>
    <s v=""/>
    <s v="CAJA"/>
    <n v="5"/>
    <s v="PENDIENTE APROBACION  ENVIO TMS"/>
    <s v="000000000209667996"/>
    <x v="0"/>
    <x v="3"/>
    <m/>
    <n v="1"/>
    <m/>
  </r>
  <r>
    <n v="209668077"/>
    <s v="238"/>
    <x v="84"/>
    <d v="2026-10-13T18:45:22"/>
    <d v="2026-10-13T12:45:19"/>
    <d v="2026-10-13T00:00:00"/>
    <s v=""/>
    <s v="CAJA"/>
    <n v="2"/>
    <s v="PENDIENTE APROBACION  ENVIO TMS"/>
    <s v="000000000209668077"/>
    <x v="0"/>
    <x v="1"/>
    <m/>
    <n v="1"/>
    <m/>
  </r>
  <r>
    <n v="209668081"/>
    <s v="11"/>
    <x v="61"/>
    <d v="2026-10-13T18:45:23"/>
    <d v="2026-10-13T12:45:20"/>
    <d v="2026-10-13T00:00:00"/>
    <s v=""/>
    <s v="CAJA"/>
    <n v="2"/>
    <s v="PENDIENTE APROBACION  ENVIO TMS"/>
    <s v="000000000209668081"/>
    <x v="0"/>
    <x v="1"/>
    <m/>
    <n v="1"/>
    <m/>
  </r>
  <r>
    <n v="209668005"/>
    <s v="65"/>
    <x v="79"/>
    <d v="2026-10-13T18:45:24"/>
    <d v="2026-10-13T12:45:21"/>
    <d v="2026-10-13T00:00:00"/>
    <s v=""/>
    <s v="CAJA"/>
    <n v="3"/>
    <s v="PENDIENTE APROBACION  ENVIO TMS"/>
    <s v="000000000209668005"/>
    <x v="0"/>
    <x v="0"/>
    <m/>
    <n v="1"/>
    <m/>
  </r>
  <r>
    <n v="209668008"/>
    <s v="13"/>
    <x v="95"/>
    <d v="2026-10-13T18:45:25"/>
    <d v="2026-10-13T12:45:23"/>
    <d v="2026-10-13T00:00:00"/>
    <s v=""/>
    <s v="CAJA"/>
    <n v="4"/>
    <s v="PENDIENTE APROBACION  ENVIO TMS"/>
    <s v="000000000209668008"/>
    <x v="0"/>
    <x v="1"/>
    <m/>
    <n v="1"/>
    <m/>
  </r>
  <r>
    <n v="209668014"/>
    <s v="144"/>
    <x v="34"/>
    <d v="2026-10-13T18:45:26"/>
    <d v="2026-10-13T12:45:24"/>
    <d v="2026-10-13T00:00:00"/>
    <s v=""/>
    <s v="CAJA"/>
    <n v="1"/>
    <s v="PENDIENTE APROBACION  ENVIO TMS"/>
    <s v="000000000209668014"/>
    <x v="0"/>
    <x v="1"/>
    <m/>
    <n v="1"/>
    <m/>
  </r>
  <r>
    <n v="209668024"/>
    <s v="27"/>
    <x v="53"/>
    <d v="2026-10-13T18:45:28"/>
    <d v="2026-10-13T12:45:25"/>
    <d v="2026-10-13T00:00:00"/>
    <s v=""/>
    <s v="CAJA"/>
    <n v="4"/>
    <s v="PENDIENTE APROBACION  ENVIO TMS"/>
    <s v="000000000209668024"/>
    <x v="0"/>
    <x v="1"/>
    <m/>
    <n v="1"/>
    <m/>
  </r>
  <r>
    <n v="209668027"/>
    <s v="82"/>
    <x v="20"/>
    <d v="2026-10-13T18:45:29"/>
    <d v="2026-10-13T12:45:26"/>
    <d v="2026-10-13T00:00:00"/>
    <s v=""/>
    <s v="CAJA"/>
    <n v="5"/>
    <s v="PENDIENTE APROBACION  ENVIO TMS"/>
    <s v="000000000209668027"/>
    <x v="0"/>
    <x v="0"/>
    <m/>
    <n v="1"/>
    <m/>
  </r>
  <r>
    <n v="209668029"/>
    <s v="48"/>
    <x v="87"/>
    <d v="2026-10-13T18:45:30"/>
    <d v="2026-10-13T12:45:28"/>
    <d v="2026-10-13T00:00:00"/>
    <s v=""/>
    <s v="CAJA"/>
    <n v="3"/>
    <s v="PENDIENTE APROBACION  ENVIO TMS"/>
    <s v="000000000209668029"/>
    <x v="0"/>
    <x v="3"/>
    <m/>
    <n v="1"/>
    <m/>
  </r>
  <r>
    <n v="209667993"/>
    <s v="116"/>
    <x v="112"/>
    <d v="2026-10-13T18:45:31"/>
    <d v="2026-10-13T12:45:29"/>
    <d v="2026-10-13T00:00:00"/>
    <s v=""/>
    <s v="CAJA"/>
    <n v="4"/>
    <s v="PENDIENTE APROBACION  ENVIO TMS"/>
    <s v="000000000209667993"/>
    <x v="0"/>
    <x v="0"/>
    <m/>
    <n v="1"/>
    <m/>
  </r>
  <r>
    <n v="209668074"/>
    <s v="14"/>
    <x v="96"/>
    <d v="2026-10-13T18:45:33"/>
    <d v="2026-10-13T12:45:30"/>
    <d v="2026-10-13T00:00:00"/>
    <s v=""/>
    <s v="CAJA"/>
    <n v="2"/>
    <s v="PENDIENTE APROBACION  ENVIO TMS"/>
    <s v="000000000209668074"/>
    <x v="0"/>
    <x v="3"/>
    <m/>
    <n v="1"/>
    <m/>
  </r>
  <r>
    <n v="209668079"/>
    <s v="159"/>
    <x v="36"/>
    <d v="2026-10-13T18:45:34"/>
    <d v="2026-10-13T12:45:31"/>
    <d v="2026-10-13T00:00:00"/>
    <s v=""/>
    <s v="CAJA"/>
    <n v="2"/>
    <s v="PENDIENTE APROBACION  ENVIO TMS"/>
    <s v="000000000209668079"/>
    <x v="0"/>
    <x v="1"/>
    <m/>
    <n v="1"/>
    <m/>
  </r>
  <r>
    <n v="209668082"/>
    <s v="21"/>
    <x v="124"/>
    <d v="2026-10-13T18:45:36"/>
    <d v="2026-10-13T12:45:33"/>
    <d v="2026-10-13T00:00:00"/>
    <s v=""/>
    <s v="CAJA"/>
    <n v="2"/>
    <s v="PENDIENTE APROBACION  ENVIO TMS"/>
    <s v="000000000209668082"/>
    <x v="0"/>
    <x v="3"/>
    <m/>
    <n v="1"/>
    <m/>
  </r>
  <r>
    <n v="209668004"/>
    <s v="52"/>
    <x v="12"/>
    <d v="2026-10-13T18:45:37"/>
    <d v="2026-10-13T12:45:34"/>
    <d v="2026-10-13T00:00:00"/>
    <s v=""/>
    <s v="CAJA"/>
    <n v="5"/>
    <s v="PENDIENTE APROBACION  ENVIO TMS"/>
    <s v="000000000209668004"/>
    <x v="0"/>
    <x v="0"/>
    <m/>
    <n v="1"/>
    <m/>
  </r>
  <r>
    <n v="209668009"/>
    <s v="22"/>
    <x v="123"/>
    <d v="2026-10-13T18:45:38"/>
    <d v="2026-10-13T12:45:36"/>
    <d v="2026-10-13T00:00:00"/>
    <s v=""/>
    <s v="CAJA"/>
    <n v="2"/>
    <s v="PENDIENTE APROBACION  ENVIO TMS"/>
    <s v="000000000209668009"/>
    <x v="0"/>
    <x v="3"/>
    <m/>
    <n v="1"/>
    <m/>
  </r>
  <r>
    <n v="209668011"/>
    <s v="279"/>
    <x v="114"/>
    <d v="2026-10-13T18:45:40"/>
    <d v="2026-10-13T12:45:37"/>
    <d v="2026-10-13T00:00:00"/>
    <s v=""/>
    <s v="CAJA"/>
    <n v="6"/>
    <s v="PENDIENTE APROBACION  ENVIO TMS"/>
    <s v="000000000209668011"/>
    <x v="0"/>
    <x v="0"/>
    <m/>
    <n v="1"/>
    <m/>
  </r>
  <r>
    <n v="209668026"/>
    <s v="46"/>
    <x v="86"/>
    <d v="2026-10-13T18:45:41"/>
    <d v="2026-10-13T12:45:38"/>
    <d v="2026-10-13T00:00:00"/>
    <s v=""/>
    <s v="CAJA"/>
    <n v="4"/>
    <s v="PENDIENTE APROBACION  ENVIO TMS"/>
    <s v="000000000209668026"/>
    <x v="0"/>
    <x v="1"/>
    <m/>
    <n v="1"/>
    <m/>
  </r>
  <r>
    <n v="209667994"/>
    <s v="150"/>
    <x v="59"/>
    <d v="2026-10-13T18:45:42"/>
    <d v="2026-10-13T12:45:39"/>
    <d v="2026-10-13T00:00:00"/>
    <s v=""/>
    <s v="CAJA"/>
    <n v="4"/>
    <s v="PENDIENTE APROBACION  ENVIO TMS"/>
    <s v="000000000209667994"/>
    <x v="0"/>
    <x v="1"/>
    <m/>
    <n v="1"/>
    <m/>
  </r>
  <r>
    <n v="209668054"/>
    <s v="209"/>
    <x v="2"/>
    <d v="2026-10-13T18:45:43"/>
    <d v="2026-10-13T12:45:41"/>
    <d v="2026-10-13T00:00:00"/>
    <s v=""/>
    <s v="CAJA"/>
    <n v="5"/>
    <s v="PENDIENTE APROBACION  ENVIO TMS"/>
    <s v="000000000209668054"/>
    <x v="0"/>
    <x v="0"/>
    <m/>
    <n v="1"/>
    <m/>
  </r>
  <r>
    <n v="209668059"/>
    <s v="66"/>
    <x v="5"/>
    <d v="2026-10-13T18:45:45"/>
    <d v="2026-10-13T12:45:42"/>
    <d v="2026-10-13T00:00:00"/>
    <s v=""/>
    <s v="CAJA"/>
    <n v="4"/>
    <s v="PENDIENTE APROBACION  ENVIO TMS"/>
    <s v="000000000209668059"/>
    <x v="0"/>
    <x v="2"/>
    <m/>
    <n v="1"/>
    <m/>
  </r>
  <r>
    <n v="209668061"/>
    <s v="161"/>
    <x v="65"/>
    <d v="2026-10-13T18:45:46"/>
    <d v="2026-10-13T12:45:43"/>
    <d v="2026-10-13T00:00:00"/>
    <s v=""/>
    <s v="CAJA"/>
    <n v="4"/>
    <s v="PENDIENTE APROBACION  ENVIO TMS"/>
    <s v="000000000209668061"/>
    <x v="0"/>
    <x v="4"/>
    <m/>
    <n v="1"/>
    <m/>
  </r>
  <r>
    <n v="209668069"/>
    <s v="7"/>
    <x v="92"/>
    <d v="2026-10-13T18:45:47"/>
    <d v="2026-10-13T12:45:45"/>
    <d v="2026-10-13T00:00:00"/>
    <s v=""/>
    <s v="CAJA"/>
    <n v="1"/>
    <s v="PENDIENTE APROBACION  ENVIO TMS"/>
    <s v="000000000209668069"/>
    <x v="0"/>
    <x v="1"/>
    <m/>
    <n v="1"/>
    <m/>
  </r>
  <r>
    <n v="209668073"/>
    <s v="56"/>
    <x v="83"/>
    <d v="2026-10-13T18:45:49"/>
    <d v="2026-10-13T12:45:46"/>
    <d v="2026-10-13T00:00:00"/>
    <s v=""/>
    <s v="CAJA"/>
    <n v="2"/>
    <s v="PENDIENTE APROBACION  ENVIO TMS"/>
    <s v="000000000209668073"/>
    <x v="0"/>
    <x v="1"/>
    <m/>
    <n v="1"/>
    <m/>
  </r>
  <r>
    <n v="209668080"/>
    <s v="118"/>
    <x v="113"/>
    <d v="2026-10-13T18:45:50"/>
    <d v="2026-10-13T12:45:47"/>
    <d v="2026-10-13T00:00:00"/>
    <s v=""/>
    <s v="CAJA"/>
    <n v="2"/>
    <s v="PENDIENTE APROBACION  ENVIO TMS"/>
    <s v="000000000209668080"/>
    <x v="0"/>
    <x v="1"/>
    <m/>
    <n v="1"/>
    <m/>
  </r>
  <r>
    <n v="209668007"/>
    <s v="12"/>
    <x v="62"/>
    <d v="2026-10-13T18:45:53"/>
    <d v="2026-10-13T12:45:50"/>
    <d v="2026-10-13T00:00:00"/>
    <s v=""/>
    <s v="CAJA"/>
    <n v="5"/>
    <s v="PENDIENTE APROBACION  ENVIO TMS"/>
    <s v="000000000209668007"/>
    <x v="0"/>
    <x v="1"/>
    <m/>
    <n v="1"/>
    <m/>
  </r>
  <r>
    <n v="209668020"/>
    <s v="26"/>
    <x v="100"/>
    <d v="2026-10-13T18:45:54"/>
    <d v="2026-10-13T12:45:51"/>
    <d v="2026-10-13T00:00:00"/>
    <s v=""/>
    <s v="CAJA"/>
    <n v="3"/>
    <s v="PENDIENTE APROBACION  ENVIO TMS"/>
    <s v="000000000209668020"/>
    <x v="0"/>
    <x v="1"/>
    <m/>
    <n v="1"/>
    <m/>
  </r>
  <r>
    <n v="209668028"/>
    <s v="4"/>
    <x v="32"/>
    <d v="2026-10-13T18:45:55"/>
    <d v="2026-10-13T12:45:52"/>
    <d v="2026-10-13T00:00:00"/>
    <s v=""/>
    <s v="CAJA"/>
    <n v="5"/>
    <s v="PENDIENTE APROBACION  ENVIO TMS"/>
    <s v="000000000209668028"/>
    <x v="0"/>
    <x v="3"/>
    <m/>
    <n v="1"/>
    <m/>
  </r>
  <r>
    <n v="209668030"/>
    <s v="237"/>
    <x v="105"/>
    <d v="2026-10-13T18:45:56"/>
    <d v="2026-10-13T12:45:53"/>
    <d v="2026-10-13T00:00:00"/>
    <s v=""/>
    <s v="CAJA"/>
    <n v="6"/>
    <s v="PENDIENTE APROBACION  ENVIO TMS"/>
    <s v="000000000209668030"/>
    <x v="0"/>
    <x v="0"/>
    <m/>
    <n v="1"/>
    <m/>
  </r>
  <r>
    <n v="209668034"/>
    <s v="275"/>
    <x v="89"/>
    <d v="2026-10-13T18:45:58"/>
    <d v="2026-10-13T12:45:55"/>
    <d v="2026-10-13T00:00:00"/>
    <s v=""/>
    <s v="CAJA"/>
    <n v="6"/>
    <s v="PENDIENTE APROBACION  ENVIO TMS"/>
    <s v="000000000209668034"/>
    <x v="0"/>
    <x v="0"/>
    <m/>
    <n v="1"/>
    <m/>
  </r>
  <r>
    <n v="209668040"/>
    <s v="156"/>
    <x v="17"/>
    <d v="2026-10-13T18:45:59"/>
    <d v="2026-10-13T12:45:57"/>
    <d v="2026-10-13T00:00:00"/>
    <s v=""/>
    <s v="CAJA"/>
    <n v="1"/>
    <s v="PENDIENTE APROBACION  ENVIO TMS"/>
    <s v="000000000209668040"/>
    <x v="0"/>
    <x v="0"/>
    <m/>
    <n v="1"/>
    <m/>
  </r>
  <r>
    <n v="209668037"/>
    <s v="28"/>
    <x v="52"/>
    <d v="2026-10-13T18:45:59"/>
    <d v="2026-10-13T12:45:56"/>
    <d v="2026-10-13T00:00:00"/>
    <s v=""/>
    <s v="CAJA"/>
    <n v="5"/>
    <s v="PENDIENTE APROBACION  ENVIO TMS"/>
    <s v="000000000209668037"/>
    <x v="0"/>
    <x v="1"/>
    <m/>
    <n v="1"/>
    <m/>
  </r>
  <r>
    <n v="209668051"/>
    <s v="10"/>
    <x v="121"/>
    <d v="2026-10-13T18:46:01"/>
    <d v="2026-10-13T12:45:58"/>
    <d v="2026-10-13T00:00:00"/>
    <s v=""/>
    <s v="CAJA"/>
    <n v="5"/>
    <s v="PENDIENTE APROBACION  ENVIO TMS"/>
    <s v="000000000209668051"/>
    <x v="0"/>
    <x v="0"/>
    <m/>
    <n v="1"/>
    <m/>
  </r>
  <r>
    <n v="209668055"/>
    <s v="215"/>
    <x v="101"/>
    <d v="2026-10-13T18:46:02"/>
    <d v="2026-10-13T12:46:00"/>
    <d v="2026-10-13T00:00:00"/>
    <s v=""/>
    <s v="CAJA"/>
    <n v="5"/>
    <s v="PENDIENTE APROBACION  ENVIO TMS"/>
    <s v="000000000209668055"/>
    <x v="0"/>
    <x v="0"/>
    <m/>
    <n v="1"/>
    <m/>
  </r>
  <r>
    <n v="209668066"/>
    <s v="277"/>
    <x v="4"/>
    <d v="2026-10-13T18:46:04"/>
    <d v="2026-10-13T12:46:01"/>
    <d v="2026-10-13T00:00:00"/>
    <s v=""/>
    <s v="CAJA"/>
    <n v="3"/>
    <s v="PENDIENTE APROBACION  ENVIO TMS"/>
    <s v="000000000209668066"/>
    <x v="0"/>
    <x v="1"/>
    <m/>
    <n v="1"/>
    <m/>
  </r>
  <r>
    <n v="209668075"/>
    <s v="53"/>
    <x v="136"/>
    <d v="2026-10-13T18:46:05"/>
    <d v="2026-10-13T12:46:02"/>
    <d v="2026-10-13T00:00:00"/>
    <s v=""/>
    <s v="CAJA"/>
    <n v="2"/>
    <s v="PENDIENTE APROBACION  ENVIO TMS"/>
    <s v="000000000209668075"/>
    <x v="0"/>
    <x v="2"/>
    <m/>
    <n v="1"/>
    <m/>
  </r>
  <r>
    <n v="209668003"/>
    <s v="38"/>
    <x v="129"/>
    <d v="2026-10-13T18:46:06"/>
    <d v="2026-10-13T12:46:03"/>
    <d v="2026-10-13T00:00:00"/>
    <s v=""/>
    <s v="CAJA"/>
    <n v="5"/>
    <s v="PENDIENTE APROBACION  ENVIO TMS"/>
    <s v="000000000209668003"/>
    <x v="0"/>
    <x v="1"/>
    <m/>
    <n v="1"/>
    <m/>
  </r>
  <r>
    <n v="209668015"/>
    <s v="31"/>
    <x v="40"/>
    <d v="2026-10-13T18:46:07"/>
    <d v="2026-10-13T12:46:05"/>
    <d v="2026-10-13T00:00:00"/>
    <s v=""/>
    <s v="CAJA"/>
    <n v="3"/>
    <s v="PENDIENTE APROBACION  ENVIO TMS"/>
    <s v="000000000209668015"/>
    <x v="0"/>
    <x v="1"/>
    <m/>
    <n v="1"/>
    <m/>
  </r>
  <r>
    <n v="209668025"/>
    <s v="44"/>
    <x v="24"/>
    <d v="2026-10-13T18:46:09"/>
    <d v="2026-10-13T12:46:06"/>
    <d v="2026-10-13T00:00:00"/>
    <s v=""/>
    <s v="CAJA"/>
    <n v="4"/>
    <s v="PENDIENTE APROBACION  ENVIO TMS"/>
    <s v="000000000209668025"/>
    <x v="0"/>
    <x v="0"/>
    <m/>
    <n v="1"/>
    <m/>
  </r>
  <r>
    <n v="209668146"/>
    <s v="62"/>
    <x v="58"/>
    <d v="2026-10-13T19:59:40"/>
    <d v="2026-10-13T13:59:36"/>
    <d v="2026-10-13T00:00:00"/>
    <s v=""/>
    <s v="CAJA"/>
    <n v="13"/>
    <s v="PENDIENTE APROBACION  ENVIO TMS"/>
    <s v="000000000209668146"/>
    <x v="0"/>
    <x v="3"/>
    <m/>
    <n v="1"/>
    <m/>
  </r>
  <r>
    <n v="209668178"/>
    <s v="162"/>
    <x v="94"/>
    <d v="2026-10-13T19:59:41"/>
    <d v="2026-10-13T13:59:38"/>
    <d v="2026-10-13T00:00:00"/>
    <s v=""/>
    <s v="CAJA"/>
    <n v="27"/>
    <s v="PENDIENTE APROBACION  ENVIO TMS"/>
    <s v="000000000209668178"/>
    <x v="0"/>
    <x v="3"/>
    <m/>
    <n v="1"/>
    <m/>
  </r>
  <r>
    <n v="209668169"/>
    <s v="75"/>
    <x v="37"/>
    <d v="2026-10-13T19:59:41"/>
    <d v="2026-10-13T13:59:39"/>
    <d v="2026-10-13T00:00:00"/>
    <s v=""/>
    <s v="CAJA"/>
    <n v="16"/>
    <s v="PENDIENTE APROBACION  ENVIO TMS"/>
    <s v="000000000209668169"/>
    <x v="0"/>
    <x v="3"/>
    <m/>
    <n v="1"/>
    <m/>
  </r>
  <r>
    <n v="209668171"/>
    <s v="105"/>
    <x v="71"/>
    <d v="2026-10-13T19:59:43"/>
    <d v="2026-10-13T13:59:40"/>
    <d v="2026-10-13T00:00:00"/>
    <s v=""/>
    <s v="CAJA"/>
    <n v="6"/>
    <s v="PENDIENTE APROBACION  ENVIO TMS"/>
    <s v="000000000209668171"/>
    <x v="0"/>
    <x v="2"/>
    <m/>
    <n v="1"/>
    <m/>
  </r>
  <r>
    <n v="209668120"/>
    <s v="12"/>
    <x v="62"/>
    <d v="2026-10-13T19:59:44"/>
    <d v="2026-10-13T13:59:42"/>
    <d v="2026-10-13T00:00:00"/>
    <s v=""/>
    <s v="CAJA"/>
    <n v="7"/>
    <s v="PENDIENTE APROBACION  ENVIO TMS"/>
    <s v="000000000209668120"/>
    <x v="0"/>
    <x v="1"/>
    <m/>
    <n v="1"/>
    <m/>
  </r>
  <r>
    <n v="209668150"/>
    <s v="69"/>
    <x v="80"/>
    <d v="2026-10-13T19:59:46"/>
    <d v="2026-10-13T13:59:43"/>
    <d v="2026-10-13T00:00:00"/>
    <s v=""/>
    <s v="CAJA"/>
    <n v="13"/>
    <s v="PENDIENTE APROBACION  ENVIO TMS"/>
    <s v="000000000209668150"/>
    <x v="0"/>
    <x v="1"/>
    <m/>
    <n v="1"/>
    <m/>
  </r>
  <r>
    <n v="209668127"/>
    <s v="28"/>
    <x v="52"/>
    <d v="2026-10-13T19:59:47"/>
    <d v="2026-10-13T13:59:44"/>
    <d v="2026-10-13T00:00:00"/>
    <s v=""/>
    <s v="PACK"/>
    <n v="27"/>
    <s v="PENDIENTE APROBACION  ENVIO TMS"/>
    <s v="000000000209668127"/>
    <x v="0"/>
    <x v="1"/>
    <m/>
    <n v="1"/>
    <m/>
  </r>
  <r>
    <n v="209668130"/>
    <s v="39"/>
    <x v="130"/>
    <d v="2026-10-13T19:59:48"/>
    <d v="2026-10-13T13:59:45"/>
    <d v="2026-10-13T00:00:00"/>
    <s v=""/>
    <s v="CAJA"/>
    <n v="31"/>
    <s v="PENDIENTE APROBACION  ENVIO TMS"/>
    <s v="000000000209668130"/>
    <x v="0"/>
    <x v="1"/>
    <m/>
    <n v="1"/>
    <m/>
  </r>
  <r>
    <n v="209668194"/>
    <s v="102"/>
    <x v="106"/>
    <d v="2026-10-13T19:59:49"/>
    <d v="2026-10-13T13:59:47"/>
    <d v="2026-10-13T00:00:00"/>
    <s v=""/>
    <s v="CAJA"/>
    <n v="17"/>
    <s v="PENDIENTE APROBACION  ENVIO TMS"/>
    <s v="000000000209668194"/>
    <x v="0"/>
    <x v="3"/>
    <m/>
    <n v="1"/>
    <m/>
  </r>
  <r>
    <n v="209668236"/>
    <s v="85"/>
    <x v="69"/>
    <d v="2026-10-13T19:59:50"/>
    <d v="2026-10-13T13:59:48"/>
    <d v="2026-10-13T00:00:00"/>
    <s v=""/>
    <s v="CAJA"/>
    <n v="2"/>
    <s v="PENDIENTE APROBACION  ENVIO TMS"/>
    <s v="000000000209668236"/>
    <x v="0"/>
    <x v="1"/>
    <m/>
    <n v="1"/>
    <m/>
  </r>
  <r>
    <n v="209668140"/>
    <s v="48"/>
    <x v="87"/>
    <d v="2026-10-13T19:59:52"/>
    <d v="2026-10-13T13:59:50"/>
    <d v="2026-10-13T00:00:00"/>
    <s v=""/>
    <s v="CAJA"/>
    <n v="6"/>
    <s v="PENDIENTE APROBACION  ENVIO TMS"/>
    <s v="000000000209668140"/>
    <x v="0"/>
    <x v="3"/>
    <m/>
    <n v="1"/>
    <m/>
  </r>
  <r>
    <n v="209668198"/>
    <s v="114"/>
    <x v="26"/>
    <d v="2026-10-13T19:59:52"/>
    <d v="2026-10-13T13:59:49"/>
    <d v="2026-10-13T00:00:00"/>
    <s v=""/>
    <s v="CAJA"/>
    <n v="19"/>
    <s v="PENDIENTE APROBACION  ENVIO TMS"/>
    <s v="000000000209668198"/>
    <x v="0"/>
    <x v="2"/>
    <m/>
    <n v="1"/>
    <m/>
  </r>
  <r>
    <n v="209668174"/>
    <s v="116"/>
    <x v="112"/>
    <d v="2026-10-13T19:59:54"/>
    <d v="2026-10-13T13:59:51"/>
    <d v="2026-10-13T00:00:00"/>
    <s v=""/>
    <s v="CAJA"/>
    <n v="12"/>
    <s v="PENDIENTE APROBACION  ENVIO TMS"/>
    <s v="000000000209668174"/>
    <x v="0"/>
    <x v="0"/>
    <m/>
    <n v="1"/>
    <m/>
  </r>
  <r>
    <n v="209668144"/>
    <s v="59"/>
    <x v="56"/>
    <d v="2026-10-13T19:59:55"/>
    <d v="2026-10-13T13:59:53"/>
    <d v="2026-10-13T00:00:00"/>
    <s v=""/>
    <s v="CAJA"/>
    <n v="19"/>
    <s v="PENDIENTE APROBACION  ENVIO TMS"/>
    <s v="000000000209668144"/>
    <x v="0"/>
    <x v="0"/>
    <m/>
    <n v="1"/>
    <m/>
  </r>
  <r>
    <n v="209668176"/>
    <s v="159"/>
    <x v="36"/>
    <d v="2026-10-13T19:59:57"/>
    <d v="2026-10-13T13:59:54"/>
    <d v="2026-10-13T00:00:00"/>
    <s v=""/>
    <s v="CAJA"/>
    <n v="28"/>
    <s v="PENDIENTE APROBACION  ENVIO TMS"/>
    <s v="000000000209668176"/>
    <x v="0"/>
    <x v="1"/>
    <m/>
    <n v="1"/>
    <m/>
  </r>
  <r>
    <n v="209668158"/>
    <s v="84"/>
    <x v="82"/>
    <d v="2026-10-13T19:59:58"/>
    <d v="2026-10-13T13:59:55"/>
    <d v="2026-10-13T00:00:00"/>
    <s v=""/>
    <s v="CAJA"/>
    <n v="15"/>
    <s v="PENDIENTE APROBACION  ENVIO TMS"/>
    <s v="000000000209668158"/>
    <x v="0"/>
    <x v="0"/>
    <m/>
    <n v="1"/>
    <m/>
  </r>
  <r>
    <n v="209668128"/>
    <s v="29"/>
    <x v="38"/>
    <d v="2026-10-13T19:59:59"/>
    <d v="2026-10-13T13:59:56"/>
    <d v="2026-10-13T00:00:00"/>
    <s v=""/>
    <s v="PACK"/>
    <n v="18"/>
    <s v="PENDIENTE APROBACION  ENVIO TMS"/>
    <s v="000000000209668128"/>
    <x v="0"/>
    <x v="0"/>
    <m/>
    <n v="1"/>
    <m/>
  </r>
  <r>
    <n v="209668162"/>
    <s v="4"/>
    <x v="32"/>
    <d v="2026-10-13T20:00:00"/>
    <d v="2026-10-13T13:59:58"/>
    <d v="2026-10-13T00:00:00"/>
    <s v=""/>
    <s v="CAJA"/>
    <n v="6"/>
    <s v="PENDIENTE APROBACION  ENVIO TMS"/>
    <s v="000000000209668162"/>
    <x v="0"/>
    <x v="3"/>
    <m/>
    <n v="1"/>
    <m/>
  </r>
  <r>
    <n v="209668137"/>
    <s v="22"/>
    <x v="123"/>
    <d v="2026-10-13T20:00:01"/>
    <d v="2026-10-13T13:59:59"/>
    <d v="2026-10-13T00:00:00"/>
    <s v=""/>
    <s v="CAJA"/>
    <n v="5"/>
    <s v="PENDIENTE APROBACION  ENVIO TMS"/>
    <s v="000000000209668137"/>
    <x v="0"/>
    <x v="3"/>
    <m/>
    <n v="1"/>
    <m/>
  </r>
  <r>
    <n v="209668226"/>
    <s v="261"/>
    <x v="132"/>
    <d v="2026-10-13T20:00:03"/>
    <d v="2026-10-13T14:00:00"/>
    <d v="2026-10-13T00:00:00"/>
    <s v=""/>
    <s v="CAJA"/>
    <n v="9"/>
    <s v="PENDIENTE APROBACION  ENVIO TMS"/>
    <s v="000000000209668226"/>
    <x v="0"/>
    <x v="0"/>
    <m/>
    <n v="1"/>
    <m/>
  </r>
  <r>
    <n v="209668189"/>
    <s v="80"/>
    <x v="54"/>
    <d v="2026-10-13T20:00:04"/>
    <d v="2026-10-13T14:00:01"/>
    <d v="2026-10-13T00:00:00"/>
    <s v=""/>
    <s v="CAJA"/>
    <n v="22"/>
    <s v="PENDIENTE APROBACION  ENVIO TMS"/>
    <s v="000000000209668189"/>
    <x v="0"/>
    <x v="0"/>
    <m/>
    <n v="1"/>
    <m/>
  </r>
  <r>
    <n v="209668234"/>
    <s v="50"/>
    <x v="135"/>
    <d v="2026-10-13T20:00:05"/>
    <d v="2026-10-13T14:00:03"/>
    <d v="2026-10-13T00:00:00"/>
    <s v=""/>
    <s v="CAJA"/>
    <n v="17"/>
    <s v="PENDIENTE APROBACION  ENVIO TMS"/>
    <s v="000000000209668234"/>
    <x v="0"/>
    <x v="0"/>
    <m/>
    <n v="1"/>
    <m/>
  </r>
  <r>
    <n v="209668199"/>
    <s v="115"/>
    <x v="88"/>
    <d v="2026-10-13T20:00:07"/>
    <d v="2026-10-13T14:00:04"/>
    <d v="2026-10-13T00:00:00"/>
    <s v=""/>
    <s v="CAJA"/>
    <n v="12"/>
    <s v="PENDIENTE APROBACION  ENVIO TMS"/>
    <s v="000000000209668199"/>
    <x v="0"/>
    <x v="2"/>
    <m/>
    <n v="1"/>
    <m/>
  </r>
  <r>
    <n v="209668208"/>
    <s v="142"/>
    <x v="118"/>
    <d v="2026-10-13T20:00:08"/>
    <d v="2026-10-13T14:00:05"/>
    <d v="2026-10-13T00:00:00"/>
    <s v=""/>
    <s v="CAJA"/>
    <n v="9"/>
    <s v="PENDIENTE APROBACION  ENVIO TMS"/>
    <s v="000000000209668208"/>
    <x v="0"/>
    <x v="3"/>
    <m/>
    <n v="1"/>
    <m/>
  </r>
  <r>
    <n v="209668135"/>
    <s v="49"/>
    <x v="111"/>
    <d v="2026-10-13T20:00:09"/>
    <d v="2026-10-13T14:00:06"/>
    <d v="2026-10-13T00:00:00"/>
    <s v=""/>
    <s v="CAJA"/>
    <n v="15"/>
    <s v="PENDIENTE APROBACION  ENVIO TMS"/>
    <s v="000000000209668135"/>
    <x v="0"/>
    <x v="3"/>
    <m/>
    <n v="1"/>
    <m/>
  </r>
  <r>
    <n v="209668166"/>
    <s v="56"/>
    <x v="83"/>
    <d v="2026-10-13T20:00:10"/>
    <d v="2026-10-13T14:00:08"/>
    <d v="2026-10-13T00:00:00"/>
    <s v=""/>
    <s v="CAJA"/>
    <n v="2"/>
    <s v="PENDIENTE APROBACION  ENVIO TMS"/>
    <s v="000000000209668166"/>
    <x v="0"/>
    <x v="1"/>
    <m/>
    <n v="1"/>
    <m/>
  </r>
  <r>
    <n v="209668116"/>
    <s v="7"/>
    <x v="92"/>
    <d v="2026-10-13T20:00:11"/>
    <d v="2026-10-13T14:00:09"/>
    <d v="2026-10-13T00:00:00"/>
    <s v=""/>
    <s v="CAJA"/>
    <n v="21"/>
    <s v="PENDIENTE APROBACION  ENVIO TMS"/>
    <s v="000000000209668116"/>
    <x v="0"/>
    <x v="1"/>
    <m/>
    <n v="1"/>
    <m/>
  </r>
  <r>
    <n v="209668118"/>
    <s v="10"/>
    <x v="121"/>
    <d v="2026-10-13T20:00:13"/>
    <d v="2026-10-13T14:00:10"/>
    <d v="2026-10-13T00:00:00"/>
    <s v=""/>
    <s v="CAJA"/>
    <n v="11"/>
    <s v="PENDIENTE APROBACION  ENVIO TMS"/>
    <s v="000000000209668118"/>
    <x v="0"/>
    <x v="0"/>
    <m/>
    <n v="1"/>
    <m/>
  </r>
  <r>
    <n v="209668138"/>
    <s v="41"/>
    <x v="43"/>
    <d v="2026-10-13T20:00:14"/>
    <d v="2026-10-13T14:00:11"/>
    <d v="2026-10-13T00:00:00"/>
    <s v=""/>
    <s v="CAJA"/>
    <n v="19"/>
    <s v="PENDIENTE APROBACION  ENVIO TMS"/>
    <s v="000000000209668138"/>
    <x v="0"/>
    <x v="0"/>
    <m/>
    <n v="1"/>
    <m/>
  </r>
  <r>
    <n v="209668142"/>
    <s v="55"/>
    <x v="28"/>
    <d v="2026-10-13T20:00:16"/>
    <d v="2026-10-13T14:00:13"/>
    <d v="2026-10-13T00:00:00"/>
    <s v=""/>
    <s v="CAJA"/>
    <n v="30"/>
    <s v="PENDIENTE APROBACION  ENVIO TMS"/>
    <s v="000000000209668142"/>
    <x v="0"/>
    <x v="0"/>
    <m/>
    <n v="1"/>
    <m/>
  </r>
  <r>
    <n v="209668143"/>
    <s v="57"/>
    <x v="117"/>
    <d v="2026-10-13T20:00:17"/>
    <d v="2026-10-13T14:00:14"/>
    <d v="2026-10-13T00:00:00"/>
    <s v=""/>
    <s v="CAJA"/>
    <n v="22"/>
    <s v="PENDIENTE APROBACION  ENVIO TMS"/>
    <s v="000000000209668143"/>
    <x v="0"/>
    <x v="1"/>
    <m/>
    <n v="1"/>
    <m/>
  </r>
  <r>
    <n v="209668183"/>
    <s v="262"/>
    <x v="107"/>
    <d v="2026-10-13T20:00:19"/>
    <d v="2026-10-13T14:00:16"/>
    <d v="2026-10-13T00:00:00"/>
    <s v=""/>
    <s v="CAJA"/>
    <n v="7"/>
    <s v="PENDIENTE APROBACION  ENVIO TMS"/>
    <s v="000000000209668183"/>
    <x v="0"/>
    <x v="4"/>
    <m/>
    <n v="1"/>
    <m/>
  </r>
  <r>
    <n v="209668225"/>
    <s v="259"/>
    <x v="85"/>
    <d v="2026-10-13T20:00:20"/>
    <d v="2026-10-13T14:00:17"/>
    <d v="2026-10-13T00:00:00"/>
    <s v=""/>
    <s v="CAJA"/>
    <n v="14"/>
    <s v="PENDIENTE APROBACION  ENVIO TMS"/>
    <s v="000000000209668225"/>
    <x v="0"/>
    <x v="1"/>
    <m/>
    <n v="1"/>
    <m/>
  </r>
  <r>
    <n v="209668188"/>
    <s v="77"/>
    <x v="50"/>
    <d v="2026-10-13T20:00:22"/>
    <d v="2026-10-13T14:00:19"/>
    <d v="2026-10-13T00:00:00"/>
    <s v=""/>
    <s v="CAJA"/>
    <n v="22"/>
    <s v="PENDIENTE APROBACION  ENVIO TMS"/>
    <s v="000000000209668188"/>
    <x v="0"/>
    <x v="0"/>
    <m/>
    <n v="1"/>
    <m/>
  </r>
  <r>
    <n v="209668191"/>
    <s v="86"/>
    <x v="126"/>
    <d v="2026-10-13T20:00:23"/>
    <d v="2026-10-13T14:00:20"/>
    <d v="2026-10-13T00:00:00"/>
    <s v=""/>
    <s v="CAJA"/>
    <n v="16"/>
    <s v="PENDIENTE APROBACION  ENVIO TMS"/>
    <s v="000000000209668191"/>
    <x v="0"/>
    <x v="1"/>
    <m/>
    <n v="1"/>
    <m/>
  </r>
  <r>
    <n v="209668200"/>
    <s v="118"/>
    <x v="113"/>
    <d v="2026-10-13T20:00:24"/>
    <d v="2026-10-13T14:00:21"/>
    <d v="2026-10-13T00:00:00"/>
    <s v=""/>
    <s v="CAJA"/>
    <n v="22"/>
    <s v="PENDIENTE APROBACION  ENVIO TMS"/>
    <s v="000000000209668200"/>
    <x v="0"/>
    <x v="1"/>
    <m/>
    <n v="1"/>
    <m/>
  </r>
  <r>
    <n v="209668220"/>
    <s v="225"/>
    <x v="70"/>
    <d v="2026-10-13T20:00:25"/>
    <d v="2026-10-13T14:00:23"/>
    <d v="2026-10-13T00:00:00"/>
    <s v=""/>
    <s v="CAJA"/>
    <n v="14"/>
    <s v="PENDIENTE APROBACION  ENVIO TMS"/>
    <s v="000000000209668220"/>
    <x v="0"/>
    <x v="3"/>
    <m/>
    <n v="1"/>
    <m/>
  </r>
  <r>
    <n v="209668139"/>
    <s v="47"/>
    <x v="1"/>
    <d v="2026-10-13T20:00:27"/>
    <d v="2026-10-13T14:00:25"/>
    <d v="2026-10-13T00:00:00"/>
    <s v=""/>
    <s v="CAJA"/>
    <n v="11"/>
    <s v="PENDIENTE APROBACION  ENVIO TMS"/>
    <s v="000000000209668139"/>
    <x v="0"/>
    <x v="0"/>
    <m/>
    <n v="1"/>
    <m/>
  </r>
  <r>
    <n v="209668148"/>
    <s v="66"/>
    <x v="5"/>
    <d v="2026-10-13T20:00:27"/>
    <d v="2026-10-13T14:00:24"/>
    <d v="2026-10-13T00:00:00"/>
    <s v=""/>
    <s v="CAJA"/>
    <n v="39"/>
    <s v="PENDIENTE APROBACION  ENVIO TMS"/>
    <s v="000000000209668148"/>
    <x v="0"/>
    <x v="2"/>
    <m/>
    <n v="1"/>
    <m/>
  </r>
  <r>
    <n v="209668165"/>
    <s v="53"/>
    <x v="136"/>
    <d v="2026-10-13T20:00:29"/>
    <d v="2026-10-13T14:00:27"/>
    <d v="2026-10-13T00:00:00"/>
    <s v=""/>
    <s v="CAJA"/>
    <n v="13"/>
    <s v="PENDIENTE APROBACION  ENVIO TMS"/>
    <s v="000000000209668165"/>
    <x v="0"/>
    <x v="2"/>
    <m/>
    <n v="1"/>
    <m/>
  </r>
  <r>
    <n v="209668121"/>
    <s v="14"/>
    <x v="96"/>
    <d v="2026-10-13T20:00:30"/>
    <d v="2026-10-13T14:00:28"/>
    <d v="2026-10-13T00:00:00"/>
    <s v=""/>
    <s v="CAJA"/>
    <n v="23"/>
    <s v="PENDIENTE APROBACION  ENVIO TMS"/>
    <s v="000000000209668121"/>
    <x v="0"/>
    <x v="3"/>
    <m/>
    <n v="1"/>
    <m/>
  </r>
  <r>
    <n v="209668122"/>
    <s v="6"/>
    <x v="48"/>
    <d v="2026-10-13T20:00:32"/>
    <d v="2026-10-13T14:00:29"/>
    <d v="2026-10-13T00:00:00"/>
    <s v=""/>
    <s v="CAJA"/>
    <n v="7"/>
    <s v="PENDIENTE APROBACION  ENVIO TMS"/>
    <s v="000000000209668122"/>
    <x v="0"/>
    <x v="3"/>
    <m/>
    <n v="1"/>
    <m/>
  </r>
  <r>
    <n v="209668131"/>
    <s v="40"/>
    <x v="22"/>
    <d v="2026-10-13T20:00:33"/>
    <d v="2026-10-13T14:00:30"/>
    <d v="2026-10-13T00:00:00"/>
    <s v=""/>
    <s v="PACK"/>
    <n v="29"/>
    <s v="PENDIENTE APROBACION  ENVIO TMS"/>
    <s v="000000000209668131"/>
    <x v="0"/>
    <x v="3"/>
    <m/>
    <n v="1"/>
    <m/>
  </r>
  <r>
    <n v="209668184"/>
    <s v="263"/>
    <x v="8"/>
    <d v="2026-10-13T20:00:34"/>
    <d v="2026-10-13T14:00:31"/>
    <d v="2026-10-13T00:00:00"/>
    <s v=""/>
    <s v="CAJA"/>
    <n v="15"/>
    <s v="PENDIENTE APROBACION  ENVIO TMS"/>
    <s v="000000000209668184"/>
    <x v="0"/>
    <x v="0"/>
    <m/>
    <n v="1"/>
    <m/>
  </r>
  <r>
    <n v="209668185"/>
    <s v="279"/>
    <x v="114"/>
    <d v="2026-10-13T20:00:35"/>
    <d v="2026-10-13T14:00:33"/>
    <d v="2026-10-13T00:00:00"/>
    <s v=""/>
    <s v="CAJA"/>
    <n v="9"/>
    <s v="PENDIENTE APROBACION  ENVIO TMS"/>
    <s v="000000000209668185"/>
    <x v="0"/>
    <x v="0"/>
    <m/>
    <n v="1"/>
    <m/>
  </r>
  <r>
    <n v="209668227"/>
    <s v="266"/>
    <x v="109"/>
    <d v="2026-10-13T20:00:37"/>
    <d v="2026-10-13T14:00:34"/>
    <d v="2026-10-13T00:00:00"/>
    <s v=""/>
    <s v="CAJA"/>
    <n v="14"/>
    <s v="PENDIENTE APROBACION  ENVIO TMS"/>
    <s v="000000000209668227"/>
    <x v="0"/>
    <x v="0"/>
    <m/>
    <n v="1"/>
    <m/>
  </r>
  <r>
    <n v="209668190"/>
    <s v="81"/>
    <x v="66"/>
    <d v="2026-10-13T20:00:39"/>
    <d v="2026-10-13T14:00:36"/>
    <d v="2026-10-13T00:00:00"/>
    <s v=""/>
    <s v="CAJA"/>
    <n v="16"/>
    <s v="PENDIENTE APROBACION  ENVIO TMS"/>
    <s v="000000000209668190"/>
    <x v="0"/>
    <x v="2"/>
    <m/>
    <n v="1"/>
    <m/>
  </r>
  <r>
    <n v="209668229"/>
    <s v="280"/>
    <x v="0"/>
    <d v="2026-10-13T20:00:40"/>
    <d v="2026-10-13T14:00:38"/>
    <d v="2026-10-13T00:00:00"/>
    <s v=""/>
    <s v="CAJA"/>
    <n v="8"/>
    <s v="PENDIENTE APROBACION  ENVIO TMS"/>
    <s v="000000000209668229"/>
    <x v="0"/>
    <x v="0"/>
    <m/>
    <n v="1"/>
    <m/>
  </r>
  <r>
    <n v="209668231"/>
    <s v="282"/>
    <x v="110"/>
    <d v="2026-10-13T20:00:42"/>
    <d v="2026-10-13T14:00:39"/>
    <d v="2026-10-13T00:00:00"/>
    <s v=""/>
    <s v="CAJA"/>
    <n v="9"/>
    <s v="PENDIENTE APROBACION  ENVIO TMS"/>
    <s v="000000000209668231"/>
    <x v="0"/>
    <x v="0"/>
    <m/>
    <n v="1"/>
    <m/>
  </r>
  <r>
    <n v="209668195"/>
    <s v="103"/>
    <x v="42"/>
    <d v="2026-10-13T20:00:43"/>
    <d v="2026-10-13T14:00:40"/>
    <d v="2026-10-13T00:00:00"/>
    <s v=""/>
    <s v="CAJA"/>
    <n v="35"/>
    <s v="PENDIENTE APROBACION  ENVIO TMS"/>
    <s v="000000000209668195"/>
    <x v="0"/>
    <x v="2"/>
    <m/>
    <n v="1"/>
    <m/>
  </r>
  <r>
    <n v="209668201"/>
    <s v="124"/>
    <x v="90"/>
    <d v="2026-10-13T20:00:44"/>
    <d v="2026-10-13T14:00:42"/>
    <d v="2026-10-13T00:00:00"/>
    <s v=""/>
    <s v="CAJA"/>
    <n v="21"/>
    <s v="PENDIENTE APROBACION  ENVIO TMS"/>
    <s v="000000000209668201"/>
    <x v="0"/>
    <x v="1"/>
    <m/>
    <n v="1"/>
    <m/>
  </r>
  <r>
    <n v="209668215"/>
    <s v="204"/>
    <x v="98"/>
    <d v="2026-10-13T20:00:45"/>
    <d v="2026-10-13T14:00:43"/>
    <d v="2026-10-13T00:00:00"/>
    <s v=""/>
    <s v="CAJA"/>
    <n v="10"/>
    <s v="PENDIENTE APROBACION  ENVIO TMS"/>
    <s v="000000000209668215"/>
    <x v="0"/>
    <x v="0"/>
    <m/>
    <n v="1"/>
    <m/>
  </r>
  <r>
    <n v="209668221"/>
    <s v="237"/>
    <x v="105"/>
    <d v="2026-10-13T20:00:47"/>
    <d v="2026-10-13T14:00:44"/>
    <d v="2026-10-13T00:00:00"/>
    <s v=""/>
    <s v="CAJA"/>
    <n v="15"/>
    <s v="PENDIENTE APROBACION  ENVIO TMS"/>
    <s v="000000000209668221"/>
    <x v="0"/>
    <x v="0"/>
    <m/>
    <n v="1"/>
    <m/>
  </r>
  <r>
    <n v="209668222"/>
    <s v="238"/>
    <x v="84"/>
    <d v="2026-10-13T20:00:49"/>
    <d v="2026-10-13T14:00:46"/>
    <d v="2026-10-13T00:00:00"/>
    <s v=""/>
    <s v="CAJA"/>
    <n v="12"/>
    <s v="PENDIENTE APROBACION  ENVIO TMS"/>
    <s v="000000000209668222"/>
    <x v="0"/>
    <x v="1"/>
    <m/>
    <n v="1"/>
    <m/>
  </r>
  <r>
    <n v="209668173"/>
    <s v="110"/>
    <x v="55"/>
    <d v="2026-10-13T20:00:50"/>
    <d v="2026-10-13T14:00:48"/>
    <d v="2026-10-13T00:00:00"/>
    <s v=""/>
    <s v="CAJA"/>
    <n v="23"/>
    <s v="PENDIENTE APROBACION  ENVIO TMS"/>
    <s v="000000000209668173"/>
    <x v="0"/>
    <x v="0"/>
    <m/>
    <n v="1"/>
    <m/>
  </r>
  <r>
    <n v="209668145"/>
    <s v="60"/>
    <x v="137"/>
    <d v="2026-10-13T20:00:52"/>
    <d v="2026-10-13T14:00:49"/>
    <d v="2026-10-13T00:00:00"/>
    <s v=""/>
    <s v="CAJA"/>
    <n v="15"/>
    <s v="PENDIENTE APROBACION  ENVIO TMS"/>
    <s v="000000000209668145"/>
    <x v="0"/>
    <x v="2"/>
    <m/>
    <n v="1"/>
    <m/>
  </r>
  <r>
    <n v="209668152"/>
    <s v="71"/>
    <x v="31"/>
    <d v="2026-10-13T20:00:54"/>
    <d v="2026-10-13T14:00:51"/>
    <d v="2026-10-13T00:00:00"/>
    <s v=""/>
    <s v="CAJA"/>
    <n v="29"/>
    <s v="PENDIENTE APROBACION  ENVIO TMS"/>
    <s v="000000000209668152"/>
    <x v="0"/>
    <x v="0"/>
    <m/>
    <n v="1"/>
    <m/>
  </r>
  <r>
    <n v="209668115"/>
    <s v="1"/>
    <x v="138"/>
    <d v="2026-10-13T20:00:56"/>
    <d v="2026-10-13T14:00:53"/>
    <d v="2026-10-13T00:00:00"/>
    <s v=""/>
    <s v="CAJA"/>
    <n v="8"/>
    <s v="PENDIENTE APROBACION  ENVIO TMS"/>
    <s v="000000000209668115"/>
    <x v="0"/>
    <x v="1"/>
    <m/>
    <n v="1"/>
    <m/>
  </r>
  <r>
    <n v="209668167"/>
    <s v="58"/>
    <x v="30"/>
    <d v="2026-10-13T20:00:57"/>
    <d v="2026-10-13T14:00:54"/>
    <d v="2026-10-13T00:00:00"/>
    <s v=""/>
    <s v="CAJA"/>
    <n v="23"/>
    <s v="PENDIENTE APROBACION  ENVIO TMS"/>
    <s v="000000000209668167"/>
    <x v="0"/>
    <x v="1"/>
    <m/>
    <n v="1"/>
    <m/>
  </r>
  <r>
    <n v="209668170"/>
    <s v="82"/>
    <x v="20"/>
    <d v="2026-10-13T20:00:59"/>
    <d v="2026-10-13T14:00:56"/>
    <d v="2026-10-13T00:00:00"/>
    <s v=""/>
    <s v="CAJA"/>
    <n v="12"/>
    <s v="PENDIENTE APROBACION  ENVIO TMS"/>
    <s v="000000000209668170"/>
    <x v="0"/>
    <x v="0"/>
    <m/>
    <n v="1"/>
    <m/>
  </r>
  <r>
    <n v="209668117"/>
    <s v="9"/>
    <x v="16"/>
    <d v="2026-10-13T20:01:01"/>
    <d v="2026-10-13T14:00:58"/>
    <d v="2026-10-13T00:00:00"/>
    <s v=""/>
    <s v="CAJA"/>
    <n v="13"/>
    <s v="PENDIENTE APROBACION  ENVIO TMS"/>
    <s v="000000000209668117"/>
    <x v="0"/>
    <x v="0"/>
    <m/>
    <n v="1"/>
    <m/>
  </r>
  <r>
    <n v="209668132"/>
    <s v="43"/>
    <x v="23"/>
    <d v="2026-10-13T20:01:03"/>
    <d v="2026-10-13T14:01:00"/>
    <d v="2026-10-13T00:00:00"/>
    <s v=""/>
    <s v="PACK"/>
    <n v="30"/>
    <s v="PENDIENTE APROBACION  ENVIO TMS"/>
    <s v="000000000209668132"/>
    <x v="0"/>
    <x v="1"/>
    <m/>
    <n v="1"/>
    <m/>
  </r>
  <r>
    <n v="209668133"/>
    <s v="44"/>
    <x v="24"/>
    <d v="2026-10-13T20:01:04"/>
    <d v="2026-10-13T14:01:01"/>
    <d v="2026-10-13T00:00:00"/>
    <s v=""/>
    <s v="CAJA"/>
    <n v="11"/>
    <s v="PENDIENTE APROBACION  ENVIO TMS"/>
    <s v="000000000209668133"/>
    <x v="0"/>
    <x v="0"/>
    <m/>
    <n v="1"/>
    <m/>
  </r>
  <r>
    <n v="209668182"/>
    <s v="224"/>
    <x v="6"/>
    <d v="2026-10-13T20:01:24"/>
    <d v="2026-10-13T14:01:20"/>
    <d v="2026-10-13T00:00:00"/>
    <s v=""/>
    <s v="CAJA"/>
    <n v="10"/>
    <s v="PENDIENTE APROBACION  ENVIO TMS"/>
    <s v="000000000209668182"/>
    <x v="0"/>
    <x v="0"/>
    <m/>
    <n v="1"/>
    <m/>
  </r>
  <r>
    <n v="209668223"/>
    <s v="249"/>
    <x v="108"/>
    <d v="2026-10-13T20:01:26"/>
    <d v="2026-10-13T14:01:23"/>
    <d v="2026-10-13T00:00:00"/>
    <s v=""/>
    <s v="CAJA"/>
    <n v="13"/>
    <s v="PENDIENTE APROBACION  ENVIO TMS"/>
    <s v="000000000209668223"/>
    <x v="0"/>
    <x v="0"/>
    <m/>
    <n v="1"/>
    <m/>
  </r>
  <r>
    <n v="209668232"/>
    <s v="64"/>
    <x v="15"/>
    <d v="2026-10-13T20:01:27"/>
    <d v="2026-10-13T14:01:24"/>
    <d v="2026-10-13T00:00:00"/>
    <s v=""/>
    <s v="CAJA"/>
    <n v="16"/>
    <s v="PENDIENTE APROBACION  ENVIO TMS"/>
    <s v="000000000209668232"/>
    <x v="0"/>
    <x v="2"/>
    <m/>
    <n v="1"/>
    <m/>
  </r>
  <r>
    <n v="209668233"/>
    <s v="27"/>
    <x v="53"/>
    <d v="2026-10-13T20:01:28"/>
    <d v="2026-10-13T14:01:26"/>
    <d v="2026-10-13T00:00:00"/>
    <s v=""/>
    <s v="CAJA"/>
    <n v="3"/>
    <s v="PENDIENTE APROBACION  ENVIO TMS"/>
    <s v="000000000209668233"/>
    <x v="0"/>
    <x v="1"/>
    <m/>
    <n v="1"/>
    <m/>
  </r>
  <r>
    <n v="209668235"/>
    <s v="51"/>
    <x v="44"/>
    <d v="2026-10-13T20:01:30"/>
    <d v="2026-10-13T14:01:27"/>
    <d v="2026-10-13T00:00:00"/>
    <s v=""/>
    <s v="CAJA"/>
    <n v="15"/>
    <s v="PENDIENTE APROBACION  ENVIO TMS"/>
    <s v="000000000209668235"/>
    <x v="0"/>
    <x v="1"/>
    <m/>
    <n v="1"/>
    <m/>
  </r>
  <r>
    <n v="209668203"/>
    <s v="126"/>
    <x v="29"/>
    <d v="2026-10-13T20:01:31"/>
    <d v="2026-10-13T14:01:28"/>
    <d v="2026-10-13T00:00:00"/>
    <s v=""/>
    <s v="CAJA"/>
    <n v="18"/>
    <s v="PENDIENTE APROBACION  ENVIO TMS"/>
    <s v="000000000209668203"/>
    <x v="0"/>
    <x v="0"/>
    <m/>
    <n v="1"/>
    <m/>
  </r>
  <r>
    <n v="209668206"/>
    <s v="133"/>
    <x v="119"/>
    <d v="2026-10-13T20:01:32"/>
    <d v="2026-10-13T14:01:30"/>
    <d v="2026-10-13T00:00:00"/>
    <s v=""/>
    <s v="CAJA"/>
    <n v="25"/>
    <s v="PENDIENTE APROBACION  ENVIO TMS"/>
    <s v="000000000209668206"/>
    <x v="0"/>
    <x v="0"/>
    <m/>
    <n v="1"/>
    <m/>
  </r>
  <r>
    <n v="209668207"/>
    <s v="141"/>
    <x v="76"/>
    <d v="2026-10-13T20:01:33"/>
    <d v="2026-10-13T14:01:31"/>
    <d v="2026-10-13T00:00:00"/>
    <s v=""/>
    <s v="CAJA"/>
    <n v="16"/>
    <s v="PENDIENTE APROBACION  ENVIO TMS"/>
    <s v="000000000209668207"/>
    <x v="0"/>
    <x v="2"/>
    <m/>
    <n v="1"/>
    <m/>
  </r>
  <r>
    <n v="209668212"/>
    <s v="156"/>
    <x v="17"/>
    <d v="2026-10-13T20:01:35"/>
    <d v="2026-10-13T14:01:32"/>
    <d v="2026-10-13T00:00:00"/>
    <s v=""/>
    <s v="CAJA"/>
    <n v="28"/>
    <s v="PENDIENTE APROBACION  ENVIO TMS"/>
    <s v="000000000209668212"/>
    <x v="0"/>
    <x v="0"/>
    <m/>
    <n v="1"/>
    <m/>
  </r>
  <r>
    <n v="209668214"/>
    <s v="196"/>
    <x v="81"/>
    <d v="2026-10-13T20:01:36"/>
    <d v="2026-10-13T14:01:33"/>
    <d v="2026-10-13T00:00:00"/>
    <s v=""/>
    <s v="CAJA"/>
    <n v="17"/>
    <s v="PENDIENTE APROBACION  ENVIO TMS"/>
    <s v="000000000209668214"/>
    <x v="0"/>
    <x v="2"/>
    <m/>
    <n v="1"/>
    <m/>
  </r>
  <r>
    <n v="209668151"/>
    <s v="70"/>
    <x v="45"/>
    <d v="2026-10-13T20:01:37"/>
    <d v="2026-10-13T14:01:35"/>
    <d v="2026-10-13T00:00:00"/>
    <s v=""/>
    <s v="CAJA"/>
    <n v="29"/>
    <s v="PENDIENTE APROBACION  ENVIO TMS"/>
    <s v="000000000209668151"/>
    <x v="0"/>
    <x v="2"/>
    <m/>
    <n v="1"/>
    <m/>
  </r>
  <r>
    <n v="209668163"/>
    <s v="5"/>
    <x v="91"/>
    <d v="2026-10-13T20:01:39"/>
    <d v="2026-10-13T14:01:36"/>
    <d v="2026-10-13T00:00:00"/>
    <s v=""/>
    <s v="CAJA"/>
    <n v="3"/>
    <s v="PENDIENTE APROBACION  ENVIO TMS"/>
    <s v="000000000209668163"/>
    <x v="0"/>
    <x v="3"/>
    <m/>
    <n v="1"/>
    <m/>
  </r>
  <r>
    <n v="209668168"/>
    <s v="68"/>
    <x v="97"/>
    <d v="2026-10-13T20:01:40"/>
    <d v="2026-10-13T14:01:38"/>
    <d v="2026-10-13T00:00:00"/>
    <s v=""/>
    <s v="CAJA"/>
    <n v="6"/>
    <s v="PENDIENTE APROBACION  ENVIO TMS"/>
    <s v="000000000209668168"/>
    <x v="0"/>
    <x v="3"/>
    <m/>
    <n v="1"/>
    <m/>
  </r>
  <r>
    <n v="209668172"/>
    <s v="106"/>
    <x v="25"/>
    <d v="2026-10-13T20:01:42"/>
    <d v="2026-10-13T14:01:39"/>
    <d v="2026-10-13T00:00:00"/>
    <s v=""/>
    <s v="CAJA"/>
    <n v="29"/>
    <s v="PENDIENTE APROBACION  ENVIO TMS"/>
    <s v="000000000209668172"/>
    <x v="0"/>
    <x v="0"/>
    <m/>
    <n v="1"/>
    <m/>
  </r>
  <r>
    <n v="209668119"/>
    <s v="11"/>
    <x v="61"/>
    <d v="2026-10-13T20:01:43"/>
    <d v="2026-10-13T14:01:40"/>
    <d v="2026-10-13T00:00:00"/>
    <s v=""/>
    <s v="CAJA"/>
    <n v="19"/>
    <s v="PENDIENTE APROBACION  ENVIO TMS"/>
    <s v="000000000209668119"/>
    <x v="0"/>
    <x v="1"/>
    <m/>
    <n v="1"/>
    <m/>
  </r>
  <r>
    <n v="209668179"/>
    <s v="195"/>
    <x v="122"/>
    <d v="2026-10-13T20:01:44"/>
    <d v="2026-10-13T14:01:41"/>
    <d v="2026-10-13T00:00:00"/>
    <s v=""/>
    <s v="CAJA"/>
    <n v="25"/>
    <s v="PENDIENTE APROBACION  ENVIO TMS"/>
    <s v="000000000209668179"/>
    <x v="0"/>
    <x v="2"/>
    <m/>
    <n v="1"/>
    <m/>
  </r>
  <r>
    <n v="209668180"/>
    <s v="209"/>
    <x v="2"/>
    <d v="2026-10-13T20:01:45"/>
    <d v="2026-10-13T14:01:43"/>
    <d v="2026-10-13T00:00:00"/>
    <s v=""/>
    <s v="CAJA"/>
    <n v="13"/>
    <s v="PENDIENTE APROBACION  ENVIO TMS"/>
    <s v="000000000209668180"/>
    <x v="0"/>
    <x v="0"/>
    <m/>
    <n v="1"/>
    <m/>
  </r>
  <r>
    <n v="209668123"/>
    <s v="13"/>
    <x v="95"/>
    <d v="2026-10-13T20:01:46"/>
    <d v="2026-10-13T14:01:44"/>
    <d v="2026-10-13T00:00:00"/>
    <s v=""/>
    <s v="CAJA"/>
    <n v="19"/>
    <s v="PENDIENTE APROBACION  ENVIO TMS"/>
    <s v="000000000209668123"/>
    <x v="0"/>
    <x v="1"/>
    <m/>
    <n v="1"/>
    <m/>
  </r>
  <r>
    <n v="209668156"/>
    <s v="76"/>
    <x v="49"/>
    <d v="2026-10-13T20:01:48"/>
    <d v="2026-10-13T14:01:45"/>
    <d v="2026-10-13T00:00:00"/>
    <s v=""/>
    <s v="CAJA"/>
    <n v="46"/>
    <s v="PENDIENTE APROBACION  ENVIO TMS"/>
    <s v="000000000209668156"/>
    <x v="0"/>
    <x v="2"/>
    <m/>
    <n v="1"/>
    <m/>
  </r>
  <r>
    <n v="209668125"/>
    <s v="25"/>
    <x v="39"/>
    <d v="2026-10-13T20:01:49"/>
    <d v="2026-10-13T14:01:46"/>
    <d v="2026-10-13T00:00:00"/>
    <s v=""/>
    <s v="CAJA"/>
    <n v="2"/>
    <s v="PENDIENTE APROBACION  ENVIO TMS"/>
    <s v="000000000209668125"/>
    <x v="0"/>
    <x v="3"/>
    <m/>
    <n v="1"/>
    <m/>
  </r>
  <r>
    <n v="209668129"/>
    <s v="37"/>
    <x v="127"/>
    <d v="2026-10-13T20:01:50"/>
    <d v="2026-10-13T14:01:48"/>
    <d v="2026-10-13T00:00:00"/>
    <s v=""/>
    <s v="CAJA"/>
    <n v="8"/>
    <s v="PENDIENTE APROBACION  ENVIO TMS"/>
    <s v="000000000209668129"/>
    <x v="0"/>
    <x v="1"/>
    <m/>
    <n v="1"/>
    <m/>
  </r>
  <r>
    <n v="209668224"/>
    <s v="258"/>
    <x v="131"/>
    <d v="2026-10-13T20:01:51"/>
    <d v="2026-10-13T14:01:49"/>
    <d v="2026-10-13T00:00:00"/>
    <s v=""/>
    <s v="CAJA"/>
    <n v="9"/>
    <s v="PENDIENTE APROBACION  ENVIO TMS"/>
    <s v="000000000209668224"/>
    <x v="0"/>
    <x v="0"/>
    <m/>
    <n v="1"/>
    <m/>
  </r>
  <r>
    <n v="209668202"/>
    <s v="125"/>
    <x v="74"/>
    <d v="2026-10-13T20:01:53"/>
    <d v="2026-10-13T14:01:50"/>
    <d v="2026-10-13T00:00:00"/>
    <s v=""/>
    <s v="CAJA"/>
    <n v="22"/>
    <s v="PENDIENTE APROBACION  ENVIO TMS"/>
    <s v="000000000209668202"/>
    <x v="0"/>
    <x v="1"/>
    <m/>
    <n v="1"/>
    <m/>
  </r>
  <r>
    <n v="209668211"/>
    <s v="150"/>
    <x v="59"/>
    <d v="2026-10-13T20:01:54"/>
    <d v="2026-10-13T14:01:51"/>
    <d v="2026-10-13T00:00:00"/>
    <s v=""/>
    <s v="CAJA"/>
    <n v="15"/>
    <s v="PENDIENTE APROBACION  ENVIO TMS"/>
    <s v="000000000209668211"/>
    <x v="0"/>
    <x v="1"/>
    <m/>
    <n v="1"/>
    <m/>
  </r>
  <r>
    <n v="209668213"/>
    <s v="160"/>
    <x v="33"/>
    <d v="2026-10-13T20:01:55"/>
    <d v="2026-10-13T14:01:52"/>
    <d v="2026-10-13T00:00:00"/>
    <s v=""/>
    <s v="CAJA"/>
    <n v="22"/>
    <s v="PENDIENTE APROBACION  ENVIO TMS"/>
    <s v="000000000209668213"/>
    <x v="0"/>
    <x v="2"/>
    <m/>
    <n v="1"/>
    <m/>
  </r>
  <r>
    <n v="209668216"/>
    <s v="205"/>
    <x v="19"/>
    <d v="2026-10-13T20:01:56"/>
    <d v="2026-10-13T14:01:54"/>
    <d v="2026-10-13T00:00:00"/>
    <s v=""/>
    <s v="CAJA"/>
    <n v="8"/>
    <s v="PENDIENTE APROBACION  ENVIO TMS"/>
    <s v="000000000209668216"/>
    <x v="0"/>
    <x v="0"/>
    <m/>
    <n v="1"/>
    <m/>
  </r>
  <r>
    <n v="209668217"/>
    <s v="210"/>
    <x v="51"/>
    <d v="2026-10-13T20:01:57"/>
    <d v="2026-10-13T14:01:55"/>
    <d v="2026-10-13T00:00:00"/>
    <s v=""/>
    <s v="CAJA"/>
    <n v="11"/>
    <s v="PENDIENTE APROBACION  ENVIO TMS"/>
    <s v="000000000209668217"/>
    <x v="0"/>
    <x v="1"/>
    <m/>
    <n v="1"/>
    <m/>
  </r>
  <r>
    <n v="209668218"/>
    <s v="215"/>
    <x v="101"/>
    <d v="2026-10-13T20:01:59"/>
    <d v="2026-10-13T14:01:56"/>
    <d v="2026-10-13T00:00:00"/>
    <s v=""/>
    <s v="CAJA"/>
    <n v="16"/>
    <s v="PENDIENTE APROBACION  ENVIO TMS"/>
    <s v="000000000209668218"/>
    <x v="0"/>
    <x v="0"/>
    <m/>
    <n v="1"/>
    <m/>
  </r>
  <r>
    <n v="209668219"/>
    <s v="221"/>
    <x v="125"/>
    <d v="2026-10-13T20:02:00"/>
    <d v="2026-10-13T14:01:57"/>
    <d v="2026-10-13T00:00:00"/>
    <s v=""/>
    <s v="CAJA"/>
    <n v="9"/>
    <s v="PENDIENTE APROBACION  ENVIO TMS"/>
    <s v="000000000209668219"/>
    <x v="0"/>
    <x v="3"/>
    <m/>
    <n v="1"/>
    <m/>
  </r>
  <r>
    <n v="209668134"/>
    <s v="46"/>
    <x v="86"/>
    <d v="2026-10-13T20:02:01"/>
    <d v="2026-10-13T14:01:59"/>
    <d v="2026-10-13T00:00:00"/>
    <s v=""/>
    <s v="CAJA"/>
    <n v="22"/>
    <s v="PENDIENTE APROBACION  ENVIO TMS"/>
    <s v="000000000209668134"/>
    <x v="0"/>
    <x v="1"/>
    <m/>
    <n v="1"/>
    <m/>
  </r>
  <r>
    <n v="209668147"/>
    <s v="63"/>
    <x v="120"/>
    <d v="2026-10-13T20:02:02"/>
    <d v="2026-10-13T14:02:00"/>
    <d v="2026-10-13T00:00:00"/>
    <s v=""/>
    <s v="CAJA"/>
    <n v="16"/>
    <s v="PENDIENTE APROBACION  ENVIO TMS"/>
    <s v="000000000209668147"/>
    <x v="0"/>
    <x v="0"/>
    <m/>
    <n v="1"/>
    <m/>
  </r>
  <r>
    <n v="209668141"/>
    <s v="54"/>
    <x v="115"/>
    <d v="2026-10-13T20:02:04"/>
    <d v="2026-10-13T14:02:01"/>
    <d v="2026-10-13T00:00:00"/>
    <s v=""/>
    <s v="CAJA"/>
    <n v="20"/>
    <s v="PENDIENTE APROBACION  ENVIO TMS"/>
    <s v="000000000209668141"/>
    <x v="0"/>
    <x v="0"/>
    <m/>
    <n v="1"/>
    <m/>
  </r>
  <r>
    <n v="209668155"/>
    <s v="74"/>
    <x v="63"/>
    <d v="2026-10-13T20:02:06"/>
    <d v="2026-10-13T14:02:03"/>
    <d v="2026-10-13T00:00:00"/>
    <s v=""/>
    <s v="CAJA"/>
    <n v="33"/>
    <s v="PENDIENTE APROBACION  ENVIO TMS"/>
    <s v="000000000209668155"/>
    <x v="0"/>
    <x v="0"/>
    <m/>
    <n v="1"/>
    <m/>
  </r>
  <r>
    <n v="209668153"/>
    <s v="72"/>
    <x v="60"/>
    <d v="2026-10-13T20:02:07"/>
    <d v="2026-10-13T14:02:05"/>
    <d v="2026-10-13T00:00:00"/>
    <s v=""/>
    <s v="CAJA"/>
    <n v="10"/>
    <s v="PENDIENTE APROBACION  ENVIO TMS"/>
    <s v="000000000209668153"/>
    <x v="0"/>
    <x v="3"/>
    <m/>
    <n v="1"/>
    <m/>
  </r>
  <r>
    <n v="209668161"/>
    <s v="104"/>
    <x v="9"/>
    <d v="2026-10-13T20:02:09"/>
    <d v="2026-10-13T14:02:06"/>
    <d v="2026-10-13T00:00:00"/>
    <s v=""/>
    <s v="CAJA"/>
    <n v="34"/>
    <s v="PENDIENTE APROBACION  ENVIO TMS"/>
    <s v="000000000209668161"/>
    <x v="0"/>
    <x v="1"/>
    <m/>
    <n v="1"/>
    <m/>
  </r>
  <r>
    <n v="209668159"/>
    <s v="87"/>
    <x v="41"/>
    <d v="2026-10-13T20:02:10"/>
    <d v="2026-10-13T14:02:08"/>
    <d v="2026-10-13T00:00:00"/>
    <s v=""/>
    <s v="CAJA"/>
    <n v="16"/>
    <s v="PENDIENTE APROBACION  ENVIO TMS"/>
    <s v="000000000209668159"/>
    <x v="0"/>
    <x v="0"/>
    <m/>
    <n v="1"/>
    <m/>
  </r>
  <r>
    <n v="209668124"/>
    <s v="16"/>
    <x v="18"/>
    <d v="2026-10-13T20:02:12"/>
    <d v="2026-10-13T14:02:10"/>
    <d v="2026-10-13T00:00:00"/>
    <s v=""/>
    <s v="PACK"/>
    <n v="29"/>
    <s v="PENDIENTE APROBACION  ENVIO TMS"/>
    <s v="000000000209668124"/>
    <x v="0"/>
    <x v="1"/>
    <m/>
    <n v="1"/>
    <m/>
  </r>
  <r>
    <n v="209668164"/>
    <s v="45"/>
    <x v="133"/>
    <d v="2026-10-13T20:02:12"/>
    <d v="2026-10-13T14:02:09"/>
    <d v="2026-10-13T00:00:00"/>
    <s v=""/>
    <s v="CAJA"/>
    <n v="12"/>
    <s v="PENDIENTE APROBACION  ENVIO TMS"/>
    <s v="000000000209668164"/>
    <x v="0"/>
    <x v="3"/>
    <m/>
    <n v="1"/>
    <m/>
  </r>
  <r>
    <n v="209668126"/>
    <s v="26"/>
    <x v="100"/>
    <d v="2026-10-13T20:02:14"/>
    <d v="2026-10-13T14:02:11"/>
    <d v="2026-10-13T00:00:00"/>
    <s v=""/>
    <s v="CAJA"/>
    <n v="16"/>
    <s v="PENDIENTE APROBACION  ENVIO TMS"/>
    <s v="000000000209668126"/>
    <x v="0"/>
    <x v="1"/>
    <m/>
    <n v="1"/>
    <m/>
  </r>
  <r>
    <n v="209668230"/>
    <s v="281"/>
    <x v="27"/>
    <d v="2026-10-13T20:02:15"/>
    <d v="2026-10-13T14:02:12"/>
    <d v="2026-10-13T00:00:00"/>
    <s v=""/>
    <s v="CAJA"/>
    <n v="11"/>
    <s v="PENDIENTE APROBACION  ENVIO TMS"/>
    <s v="000000000209668230"/>
    <x v="0"/>
    <x v="0"/>
    <m/>
    <n v="1"/>
    <m/>
  </r>
  <r>
    <n v="209668192"/>
    <s v="88"/>
    <x v="103"/>
    <d v="2026-10-13T20:02:16"/>
    <d v="2026-10-13T14:02:14"/>
    <d v="2026-10-13T00:00:00"/>
    <s v=""/>
    <s v="CAJA"/>
    <n v="13"/>
    <s v="PENDIENTE APROBACION  ENVIO TMS"/>
    <s v="000000000209668192"/>
    <x v="0"/>
    <x v="0"/>
    <m/>
    <n v="1"/>
    <m/>
  </r>
  <r>
    <n v="209668193"/>
    <s v="91"/>
    <x v="7"/>
    <d v="2026-10-13T20:02:18"/>
    <d v="2026-10-13T14:02:15"/>
    <d v="2026-10-13T00:00:00"/>
    <s v=""/>
    <s v="CAJA"/>
    <n v="10"/>
    <s v="PENDIENTE APROBACION  ENVIO TMS"/>
    <s v="000000000209668193"/>
    <x v="0"/>
    <x v="2"/>
    <m/>
    <n v="1"/>
    <m/>
  </r>
  <r>
    <n v="209668196"/>
    <s v="107"/>
    <x v="10"/>
    <d v="2026-10-13T20:02:19"/>
    <d v="2026-10-13T14:02:16"/>
    <d v="2026-10-13T00:00:00"/>
    <s v=""/>
    <s v="CAJA"/>
    <n v="12"/>
    <s v="PENDIENTE APROBACION  ENVIO TMS"/>
    <s v="000000000209668196"/>
    <x v="0"/>
    <x v="0"/>
    <m/>
    <n v="1"/>
    <m/>
  </r>
  <r>
    <n v="209668209"/>
    <s v="143"/>
    <x v="78"/>
    <d v="2026-10-13T20:02:20"/>
    <d v="2026-10-13T14:02:17"/>
    <d v="2026-10-13T00:00:00"/>
    <s v=""/>
    <s v="CAJA"/>
    <n v="18"/>
    <s v="PENDIENTE APROBACION  ENVIO TMS"/>
    <s v="000000000209668209"/>
    <x v="0"/>
    <x v="2"/>
    <m/>
    <n v="1"/>
    <m/>
  </r>
  <r>
    <n v="209668210"/>
    <s v="144"/>
    <x v="34"/>
    <d v="2026-10-13T20:02:21"/>
    <d v="2026-10-13T14:02:19"/>
    <d v="2026-10-13T00:00:00"/>
    <s v=""/>
    <s v="CAJA"/>
    <n v="13"/>
    <s v="PENDIENTE APROBACION  ENVIO TMS"/>
    <s v="000000000209668210"/>
    <x v="0"/>
    <x v="1"/>
    <m/>
    <n v="1"/>
    <m/>
  </r>
  <r>
    <n v="209668136"/>
    <s v="52"/>
    <x v="12"/>
    <d v="2026-10-13T20:02:23"/>
    <d v="2026-10-13T14:02:20"/>
    <d v="2026-10-13T00:00:00"/>
    <s v=""/>
    <s v="CAJA"/>
    <n v="19"/>
    <s v="PENDIENTE APROBACION  ENVIO TMS"/>
    <s v="000000000209668136"/>
    <x v="0"/>
    <x v="0"/>
    <m/>
    <n v="1"/>
    <m/>
  </r>
  <r>
    <n v="209668149"/>
    <s v="67"/>
    <x v="64"/>
    <d v="2026-10-13T20:02:24"/>
    <d v="2026-10-13T14:02:21"/>
    <d v="2026-10-13T00:00:00"/>
    <s v=""/>
    <s v="CAJA"/>
    <n v="40"/>
    <s v="PENDIENTE APROBACION  ENVIO TMS"/>
    <s v="000000000209668149"/>
    <x v="0"/>
    <x v="2"/>
    <m/>
    <n v="1"/>
    <m/>
  </r>
  <r>
    <n v="209668175"/>
    <s v="123"/>
    <x v="3"/>
    <d v="2026-10-13T20:02:24"/>
    <d v="2026-10-13T14:02:22"/>
    <d v="2026-10-13T00:00:00"/>
    <s v=""/>
    <s v="CAJA"/>
    <n v="11"/>
    <s v="PENDIENTE APROBACION  ENVIO TMS"/>
    <s v="000000000209668175"/>
    <x v="0"/>
    <x v="0"/>
    <m/>
    <n v="1"/>
    <m/>
  </r>
  <r>
    <n v="209668177"/>
    <s v="161"/>
    <x v="65"/>
    <d v="2026-10-13T20:02:26"/>
    <d v="2026-10-13T14:02:23"/>
    <d v="2026-10-13T00:00:00"/>
    <s v=""/>
    <s v="CAJA"/>
    <n v="19"/>
    <s v="PENDIENTE APROBACION  ENVIO TMS"/>
    <s v="000000000209668177"/>
    <x v="0"/>
    <x v="4"/>
    <m/>
    <n v="1"/>
    <m/>
  </r>
  <r>
    <n v="209668154"/>
    <s v="73"/>
    <x v="93"/>
    <d v="2026-10-13T20:02:27"/>
    <d v="2026-10-13T14:02:25"/>
    <d v="2026-10-13T00:00:00"/>
    <s v=""/>
    <s v="CAJA"/>
    <n v="29"/>
    <s v="PENDIENTE APROBACION  ENVIO TMS"/>
    <s v="000000000209668154"/>
    <x v="0"/>
    <x v="0"/>
    <m/>
    <n v="1"/>
    <m/>
  </r>
  <r>
    <n v="209668160"/>
    <s v="89"/>
    <x v="104"/>
    <d v="2026-10-13T20:02:29"/>
    <d v="2026-10-13T14:02:26"/>
    <d v="2026-10-13T00:00:00"/>
    <s v=""/>
    <s v="CAJA"/>
    <n v="24"/>
    <s v="PENDIENTE APROBACION  ENVIO TMS"/>
    <s v="000000000209668160"/>
    <x v="0"/>
    <x v="0"/>
    <m/>
    <n v="1"/>
    <m/>
  </r>
  <r>
    <n v="209668157"/>
    <s v="83"/>
    <x v="67"/>
    <d v="2026-10-13T20:02:30"/>
    <d v="2026-10-13T14:02:27"/>
    <d v="2026-10-13T00:00:00"/>
    <s v=""/>
    <s v="CAJA"/>
    <n v="24"/>
    <s v="PENDIENTE APROBACION  ENVIO TMS"/>
    <s v="000000000209668157"/>
    <x v="0"/>
    <x v="1"/>
    <m/>
    <n v="1"/>
    <m/>
  </r>
  <r>
    <n v="209668181"/>
    <s v="220"/>
    <x v="68"/>
    <d v="2026-10-13T20:02:31"/>
    <d v="2026-10-13T14:02:28"/>
    <d v="2026-10-13T00:00:00"/>
    <s v=""/>
    <s v="CAJA"/>
    <n v="17"/>
    <s v="PENDIENTE APROBACION  ENVIO TMS"/>
    <s v="000000000209668181"/>
    <x v="0"/>
    <x v="1"/>
    <m/>
    <n v="1"/>
    <m/>
  </r>
  <r>
    <n v="209668228"/>
    <s v="275"/>
    <x v="89"/>
    <d v="2026-10-13T20:02:32"/>
    <d v="2026-10-13T14:02:29"/>
    <d v="2026-10-13T00:00:00"/>
    <s v=""/>
    <s v="CAJA"/>
    <n v="9"/>
    <s v="PENDIENTE APROBACION  ENVIO TMS"/>
    <s v="000000000209668228"/>
    <x v="0"/>
    <x v="0"/>
    <m/>
    <n v="1"/>
    <m/>
  </r>
  <r>
    <n v="209668197"/>
    <s v="109"/>
    <x v="134"/>
    <d v="2026-10-13T20:02:33"/>
    <d v="2026-10-13T14:02:31"/>
    <d v="2026-10-13T00:00:00"/>
    <s v=""/>
    <s v="CAJA"/>
    <n v="29"/>
    <s v="PENDIENTE APROBACION  ENVIO TMS"/>
    <s v="000000000209668197"/>
    <x v="0"/>
    <x v="0"/>
    <m/>
    <n v="1"/>
    <m/>
  </r>
  <r>
    <n v="209668204"/>
    <s v="128"/>
    <x v="14"/>
    <d v="2026-10-13T20:02:35"/>
    <d v="2026-10-13T14:02:32"/>
    <d v="2026-10-13T00:00:00"/>
    <s v=""/>
    <s v="CAJA"/>
    <n v="24"/>
    <s v="PENDIENTE APROBACION  ENVIO TMS"/>
    <s v="000000000209668204"/>
    <x v="0"/>
    <x v="0"/>
    <m/>
    <n v="1"/>
    <m/>
  </r>
  <r>
    <n v="209668205"/>
    <s v="129"/>
    <x v="47"/>
    <d v="2026-10-13T20:02:36"/>
    <d v="2026-10-13T14:02:33"/>
    <d v="2026-10-13T00:00:00"/>
    <s v=""/>
    <s v="CAJA"/>
    <n v="18"/>
    <s v="PENDIENTE APROBACION  ENVIO TMS"/>
    <s v="000000000209668205"/>
    <x v="0"/>
    <x v="2"/>
    <m/>
    <n v="1"/>
    <m/>
  </r>
  <r>
    <n v="209668262"/>
    <s v="81"/>
    <x v="66"/>
    <d v="2026-10-13T21:19:18"/>
    <d v="2026-10-13T15:19:12"/>
    <d v="2026-10-13T00:00:00"/>
    <s v=""/>
    <s v="CAJA"/>
    <n v="5"/>
    <s v="PENDIENTE APROBACION  ENVIO TMS"/>
    <s v="000000000209668262"/>
    <x v="0"/>
    <x v="2"/>
    <m/>
    <n v="1"/>
    <m/>
  </r>
  <r>
    <n v="209668277"/>
    <s v="142"/>
    <x v="118"/>
    <d v="2026-10-13T21:19:20"/>
    <d v="2026-10-13T15:19:17"/>
    <d v="2026-10-13T00:00:00"/>
    <s v=""/>
    <s v="CAJA"/>
    <n v="4"/>
    <s v="PENDIENTE APROBACION  ENVIO TMS"/>
    <s v="000000000209668277"/>
    <x v="0"/>
    <x v="3"/>
    <m/>
    <n v="1"/>
    <m/>
  </r>
  <r>
    <n v="209668264"/>
    <s v="29"/>
    <x v="38"/>
    <d v="2026-10-13T21:19:20"/>
    <d v="2026-10-13T15:19:15"/>
    <d v="2026-10-13T00:00:00"/>
    <s v=""/>
    <s v="CAJA"/>
    <n v="4"/>
    <s v="PENDIENTE APROBACION  ENVIO TMS"/>
    <s v="000000000209668264"/>
    <x v="0"/>
    <x v="0"/>
    <m/>
    <n v="1"/>
    <m/>
  </r>
  <r>
    <n v="209668274"/>
    <s v="3"/>
    <x v="57"/>
    <d v="2026-10-13T21:19:20"/>
    <d v="2026-10-13T15:19:14"/>
    <d v="2026-10-13T00:00:00"/>
    <s v=""/>
    <s v="CAJA"/>
    <n v="5"/>
    <s v="PENDIENTE APROBACION  ENVIO TMS"/>
    <s v="000000000209668274"/>
    <x v="0"/>
    <x v="3"/>
    <m/>
    <n v="1"/>
    <m/>
  </r>
  <r>
    <n v="209668353"/>
    <s v="55"/>
    <x v="28"/>
    <d v="2026-10-13T21:19:21"/>
    <d v="2026-10-13T15:19:18"/>
    <d v="2026-10-13T00:00:00"/>
    <s v=""/>
    <s v="CAJA"/>
    <n v="5"/>
    <s v="PENDIENTE APROBACION  ENVIO TMS"/>
    <s v="000000000209668353"/>
    <x v="0"/>
    <x v="0"/>
    <m/>
    <n v="1"/>
    <m/>
  </r>
  <r>
    <n v="209668275"/>
    <s v="118"/>
    <x v="113"/>
    <d v="2026-10-13T21:19:21"/>
    <d v="2026-10-13T15:19:16"/>
    <d v="2026-10-13T00:00:00"/>
    <s v=""/>
    <s v="CAJA"/>
    <n v="4"/>
    <s v="PENDIENTE APROBACION  ENVIO TMS"/>
    <s v="000000000209668275"/>
    <x v="0"/>
    <x v="1"/>
    <m/>
    <n v="1"/>
    <m/>
  </r>
  <r>
    <n v="209668281"/>
    <s v="141"/>
    <x v="76"/>
    <d v="2026-10-13T21:19:23"/>
    <d v="2026-10-13T15:19:20"/>
    <d v="2026-10-13T00:00:00"/>
    <s v=""/>
    <s v="CAJA"/>
    <n v="2"/>
    <s v="PENDIENTE APROBACION  ENVIO TMS"/>
    <s v="000000000209668281"/>
    <x v="0"/>
    <x v="2"/>
    <m/>
    <n v="1"/>
    <m/>
  </r>
  <r>
    <n v="209668340"/>
    <s v="195"/>
    <x v="122"/>
    <d v="2026-10-13T21:19:23"/>
    <d v="2026-10-13T15:19:21"/>
    <d v="2026-10-13T00:00:00"/>
    <s v=""/>
    <s v="CAJA"/>
    <n v="3"/>
    <s v="PENDIENTE APROBACION  ENVIO TMS"/>
    <s v="000000000209668340"/>
    <x v="0"/>
    <x v="2"/>
    <m/>
    <n v="1"/>
    <m/>
  </r>
  <r>
    <n v="209668341"/>
    <s v="260"/>
    <x v="128"/>
    <d v="2026-10-13T21:19:25"/>
    <d v="2026-10-13T15:19:22"/>
    <d v="2026-10-13T00:00:00"/>
    <s v=""/>
    <s v="CAJA"/>
    <n v="1"/>
    <s v="PENDIENTE APROBACION  ENVIO TMS"/>
    <s v="000000000209668341"/>
    <x v="0"/>
    <x v="3"/>
    <m/>
    <n v="1"/>
    <m/>
  </r>
  <r>
    <n v="209668342"/>
    <s v="75"/>
    <x v="37"/>
    <d v="2026-10-13T21:19:26"/>
    <d v="2026-10-13T15:19:23"/>
    <d v="2026-10-13T00:00:00"/>
    <s v=""/>
    <s v="CAJA"/>
    <n v="1"/>
    <s v="PENDIENTE APROBACION  ENVIO TMS"/>
    <s v="000000000209668342"/>
    <x v="0"/>
    <x v="3"/>
    <m/>
    <n v="1"/>
    <m/>
  </r>
  <r>
    <n v="209668250"/>
    <s v="13"/>
    <x v="95"/>
    <d v="2026-10-13T21:19:27"/>
    <d v="2026-10-13T15:19:25"/>
    <d v="2026-10-13T00:00:00"/>
    <s v=""/>
    <s v="CAJA"/>
    <n v="2"/>
    <s v="PENDIENTE APROBACION  ENVIO TMS"/>
    <s v="000000000209668250"/>
    <x v="0"/>
    <x v="1"/>
    <m/>
    <n v="1"/>
    <m/>
  </r>
  <r>
    <n v="209668301"/>
    <s v="196"/>
    <x v="81"/>
    <d v="2026-10-13T21:19:29"/>
    <d v="2026-10-13T15:19:27"/>
    <d v="2026-10-13T00:00:00"/>
    <s v=""/>
    <s v="CAJA"/>
    <n v="5"/>
    <s v="PENDIENTE APROBACION  ENVIO TMS"/>
    <s v="000000000209668301"/>
    <x v="0"/>
    <x v="2"/>
    <m/>
    <n v="1"/>
    <m/>
  </r>
  <r>
    <n v="209668294"/>
    <s v="58"/>
    <x v="30"/>
    <d v="2026-10-13T21:19:29"/>
    <d v="2026-10-13T15:19:26"/>
    <d v="2026-10-13T00:00:00"/>
    <s v=""/>
    <s v="CAJA"/>
    <n v="4"/>
    <s v="PENDIENTE APROBACION  ENVIO TMS"/>
    <s v="000000000209668294"/>
    <x v="0"/>
    <x v="1"/>
    <m/>
    <n v="1"/>
    <m/>
  </r>
  <r>
    <n v="209668302"/>
    <s v="49"/>
    <x v="111"/>
    <d v="2026-10-13T21:19:31"/>
    <d v="2026-10-13T15:19:28"/>
    <d v="2026-10-13T00:00:00"/>
    <s v=""/>
    <s v="CAJA"/>
    <n v="9"/>
    <s v="PENDIENTE APROBACION  ENVIO TMS"/>
    <s v="000000000209668302"/>
    <x v="0"/>
    <x v="3"/>
    <m/>
    <n v="1"/>
    <m/>
  </r>
  <r>
    <n v="209668303"/>
    <s v="263"/>
    <x v="8"/>
    <d v="2026-10-13T21:19:32"/>
    <d v="2026-10-13T15:19:29"/>
    <d v="2026-10-13T00:00:00"/>
    <s v=""/>
    <s v="CAJA"/>
    <n v="6"/>
    <s v="PENDIENTE APROBACION  ENVIO TMS"/>
    <s v="000000000209668303"/>
    <x v="0"/>
    <x v="0"/>
    <m/>
    <n v="1"/>
    <m/>
  </r>
  <r>
    <n v="209668313"/>
    <s v="5"/>
    <x v="91"/>
    <d v="2026-10-13T21:19:33"/>
    <d v="2026-10-13T15:19:31"/>
    <d v="2026-10-13T00:00:00"/>
    <s v=""/>
    <s v="CAJA"/>
    <n v="4"/>
    <s v="PENDIENTE APROBACION  ENVIO TMS"/>
    <s v="000000000209668313"/>
    <x v="0"/>
    <x v="3"/>
    <m/>
    <n v="1"/>
    <m/>
  </r>
  <r>
    <n v="209668319"/>
    <s v="48"/>
    <x v="87"/>
    <d v="2026-10-13T21:19:35"/>
    <d v="2026-10-13T15:19:32"/>
    <d v="2026-10-13T00:00:00"/>
    <s v=""/>
    <s v="CAJA"/>
    <n v="2"/>
    <s v="PENDIENTE APROBACION  ENVIO TMS"/>
    <s v="000000000209668319"/>
    <x v="0"/>
    <x v="3"/>
    <m/>
    <n v="1"/>
    <m/>
  </r>
  <r>
    <n v="209668366"/>
    <s v="107"/>
    <x v="10"/>
    <d v="2026-10-13T21:19:36"/>
    <d v="2026-10-13T15:19:33"/>
    <d v="2026-10-13T00:00:00"/>
    <s v=""/>
    <s v="CAJA"/>
    <n v="4"/>
    <s v="PENDIENTE APROBACION  ENVIO TMS"/>
    <s v="000000000209668366"/>
    <x v="0"/>
    <x v="0"/>
    <m/>
    <n v="1"/>
    <m/>
  </r>
  <r>
    <n v="209668329"/>
    <s v="36"/>
    <x v="21"/>
    <d v="2026-10-13T21:19:37"/>
    <d v="2026-10-13T15:19:34"/>
    <d v="2026-10-13T00:00:00"/>
    <s v=""/>
    <s v="CAJA"/>
    <n v="2"/>
    <s v="PENDIENTE APROBACION  ENVIO TMS"/>
    <s v="000000000209668329"/>
    <x v="0"/>
    <x v="1"/>
    <m/>
    <n v="1"/>
    <m/>
  </r>
  <r>
    <n v="209668272"/>
    <s v="225"/>
    <x v="70"/>
    <d v="2026-10-13T21:19:39"/>
    <d v="2026-10-13T15:19:36"/>
    <d v="2026-10-13T00:00:00"/>
    <s v=""/>
    <s v="CAJA"/>
    <n v="5"/>
    <s v="PENDIENTE APROBACION  ENVIO TMS"/>
    <s v="000000000209668272"/>
    <x v="0"/>
    <x v="3"/>
    <m/>
    <n v="1"/>
    <m/>
  </r>
  <r>
    <n v="209668330"/>
    <s v="41"/>
    <x v="43"/>
    <d v="2026-10-13T21:19:40"/>
    <d v="2026-10-13T15:19:37"/>
    <d v="2026-10-13T00:00:00"/>
    <s v=""/>
    <s v="CAJA"/>
    <n v="5"/>
    <s v="PENDIENTE APROBACION  ENVIO TMS"/>
    <s v="000000000209668330"/>
    <x v="0"/>
    <x v="0"/>
    <m/>
    <n v="1"/>
    <m/>
  </r>
  <r>
    <n v="209668334"/>
    <s v="109"/>
    <x v="134"/>
    <d v="2026-10-13T21:19:40"/>
    <d v="2026-10-13T15:19:38"/>
    <d v="2026-10-13T00:00:00"/>
    <s v=""/>
    <s v="CAJA"/>
    <n v="6"/>
    <s v="PENDIENTE APROBACION  ENVIO TMS"/>
    <s v="000000000209668334"/>
    <x v="0"/>
    <x v="0"/>
    <m/>
    <n v="1"/>
    <m/>
  </r>
  <r>
    <n v="209668276"/>
    <s v="28"/>
    <x v="52"/>
    <d v="2026-10-13T21:19:42"/>
    <d v="2026-10-13T15:19:39"/>
    <d v="2026-10-13T00:00:00"/>
    <s v=""/>
    <s v="CAJA"/>
    <n v="4"/>
    <s v="PENDIENTE APROBACION  ENVIO TMS"/>
    <s v="000000000209668276"/>
    <x v="0"/>
    <x v="1"/>
    <m/>
    <n v="1"/>
    <m/>
  </r>
  <r>
    <n v="209668285"/>
    <s v="1"/>
    <x v="138"/>
    <d v="2026-10-13T21:19:43"/>
    <d v="2026-10-13T15:19:41"/>
    <d v="2026-10-13T00:00:00"/>
    <s v=""/>
    <s v="CAJA"/>
    <n v="3"/>
    <s v="PENDIENTE APROBACION  ENVIO TMS"/>
    <s v="000000000209668285"/>
    <x v="0"/>
    <x v="1"/>
    <m/>
    <n v="1"/>
    <m/>
  </r>
  <r>
    <n v="209668249"/>
    <s v="103"/>
    <x v="42"/>
    <d v="2026-10-13T21:19:45"/>
    <d v="2026-10-13T15:19:42"/>
    <d v="2026-10-13T00:00:00"/>
    <s v=""/>
    <s v="CAJA"/>
    <n v="4"/>
    <s v="PENDIENTE APROBACION  ENVIO TMS"/>
    <s v="000000000209668249"/>
    <x v="0"/>
    <x v="2"/>
    <m/>
    <n v="1"/>
    <m/>
  </r>
  <r>
    <n v="209668253"/>
    <s v="4"/>
    <x v="32"/>
    <d v="2026-10-13T21:19:45"/>
    <d v="2026-10-13T15:19:43"/>
    <d v="2026-10-13T00:00:00"/>
    <s v=""/>
    <s v="CAJA"/>
    <n v="2"/>
    <s v="PENDIENTE APROBACION  ENVIO TMS"/>
    <s v="000000000209668253"/>
    <x v="0"/>
    <x v="3"/>
    <m/>
    <n v="1"/>
    <m/>
  </r>
  <r>
    <n v="209668296"/>
    <s v="220"/>
    <x v="68"/>
    <d v="2026-10-13T21:19:47"/>
    <d v="2026-10-13T15:19:44"/>
    <d v="2026-10-13T00:00:00"/>
    <s v=""/>
    <s v="CAJA"/>
    <n v="5"/>
    <s v="PENDIENTE APROBACION  ENVIO TMS"/>
    <s v="000000000209668296"/>
    <x v="0"/>
    <x v="1"/>
    <m/>
    <n v="1"/>
    <m/>
  </r>
  <r>
    <n v="209668297"/>
    <s v="65"/>
    <x v="79"/>
    <d v="2026-10-13T21:19:48"/>
    <d v="2026-10-13T15:19:45"/>
    <d v="2026-10-13T00:00:00"/>
    <s v=""/>
    <s v="CAJA"/>
    <n v="3"/>
    <s v="PENDIENTE APROBACION  ENVIO TMS"/>
    <s v="000000000209668297"/>
    <x v="0"/>
    <x v="0"/>
    <m/>
    <n v="1"/>
    <m/>
  </r>
  <r>
    <n v="209668306"/>
    <s v="39"/>
    <x v="130"/>
    <d v="2026-10-13T21:19:49"/>
    <d v="2026-10-13T15:19:47"/>
    <d v="2026-10-13T00:00:00"/>
    <s v=""/>
    <s v="CAJA"/>
    <n v="2"/>
    <s v="PENDIENTE APROBACION  ENVIO TMS"/>
    <s v="000000000209668306"/>
    <x v="0"/>
    <x v="1"/>
    <m/>
    <n v="1"/>
    <m/>
  </r>
  <r>
    <n v="209668317"/>
    <s v="237"/>
    <x v="105"/>
    <d v="2026-10-13T21:19:51"/>
    <d v="2026-10-13T15:19:48"/>
    <d v="2026-10-13T00:00:00"/>
    <s v=""/>
    <s v="CAJA"/>
    <n v="4"/>
    <s v="PENDIENTE APROBACION  ENVIO TMS"/>
    <s v="000000000209668317"/>
    <x v="0"/>
    <x v="0"/>
    <m/>
    <n v="1"/>
    <m/>
  </r>
  <r>
    <n v="209668323"/>
    <s v="114"/>
    <x v="26"/>
    <d v="2026-10-13T21:19:52"/>
    <d v="2026-10-13T15:19:49"/>
    <d v="2026-10-13T00:00:00"/>
    <s v=""/>
    <s v="CAJA"/>
    <n v="1"/>
    <s v="PENDIENTE APROBACION  ENVIO TMS"/>
    <s v="000000000209668323"/>
    <x v="0"/>
    <x v="2"/>
    <m/>
    <n v="1"/>
    <m/>
  </r>
  <r>
    <n v="209668363"/>
    <s v="77"/>
    <x v="50"/>
    <d v="2026-10-13T21:19:53"/>
    <d v="2026-10-13T15:19:50"/>
    <d v="2026-10-13T00:00:00"/>
    <s v=""/>
    <s v="CAJA"/>
    <n v="6"/>
    <s v="PENDIENTE APROBACION  ENVIO TMS"/>
    <s v="000000000209668363"/>
    <x v="0"/>
    <x v="0"/>
    <m/>
    <n v="1"/>
    <m/>
  </r>
  <r>
    <n v="209668273"/>
    <s v="70"/>
    <x v="45"/>
    <d v="2026-10-13T21:19:54"/>
    <d v="2026-10-13T15:19:51"/>
    <d v="2026-10-13T00:00:00"/>
    <s v=""/>
    <s v="CAJA"/>
    <n v="15"/>
    <s v="PENDIENTE APROBACION  ENVIO TMS"/>
    <s v="000000000209668273"/>
    <x v="0"/>
    <x v="2"/>
    <m/>
    <n v="1"/>
    <m/>
  </r>
  <r>
    <n v="209668278"/>
    <s v="266"/>
    <x v="109"/>
    <d v="2026-10-13T21:19:55"/>
    <d v="2026-10-13T15:19:53"/>
    <d v="2026-10-13T00:00:00"/>
    <s v=""/>
    <s v="CAJA"/>
    <n v="4"/>
    <s v="PENDIENTE APROBACION  ENVIO TMS"/>
    <s v="000000000209668278"/>
    <x v="0"/>
    <x v="0"/>
    <m/>
    <n v="1"/>
    <m/>
  </r>
  <r>
    <n v="209668354"/>
    <s v="82"/>
    <x v="20"/>
    <d v="2026-10-13T21:19:57"/>
    <d v="2026-10-13T15:19:54"/>
    <d v="2026-10-13T00:00:00"/>
    <s v=""/>
    <s v="CAJA"/>
    <n v="9"/>
    <s v="PENDIENTE APROBACION  ENVIO TMS"/>
    <s v="000000000209668354"/>
    <x v="0"/>
    <x v="0"/>
    <m/>
    <n v="1"/>
    <m/>
  </r>
  <r>
    <n v="209668339"/>
    <s v="10"/>
    <x v="121"/>
    <d v="2026-10-13T21:19:58"/>
    <d v="2026-10-13T15:19:55"/>
    <d v="2026-10-13T00:00:00"/>
    <s v=""/>
    <s v="CAJA"/>
    <n v="4"/>
    <s v="PENDIENTE APROBACION  ENVIO TMS"/>
    <s v="000000000209668339"/>
    <x v="0"/>
    <x v="0"/>
    <m/>
    <n v="1"/>
    <m/>
  </r>
  <r>
    <n v="209668346"/>
    <s v="53"/>
    <x v="136"/>
    <d v="2026-10-13T21:19:59"/>
    <d v="2026-10-13T15:19:56"/>
    <d v="2026-10-13T00:00:00"/>
    <s v=""/>
    <s v="CAJA"/>
    <n v="1"/>
    <s v="PENDIENTE APROBACION  ENVIO TMS"/>
    <s v="000000000209668346"/>
    <x v="0"/>
    <x v="2"/>
    <m/>
    <n v="1"/>
    <m/>
  </r>
  <r>
    <n v="209668348"/>
    <s v="87"/>
    <x v="41"/>
    <d v="2026-10-13T21:20:00"/>
    <d v="2026-10-13T15:19:58"/>
    <d v="2026-10-13T00:00:00"/>
    <s v=""/>
    <s v="CAJA"/>
    <n v="2"/>
    <s v="PENDIENTE APROBACION  ENVIO TMS"/>
    <s v="000000000209668348"/>
    <x v="0"/>
    <x v="0"/>
    <m/>
    <n v="1"/>
    <m/>
  </r>
  <r>
    <n v="209668288"/>
    <s v="275"/>
    <x v="89"/>
    <d v="2026-10-13T21:20:02"/>
    <d v="2026-10-13T15:19:59"/>
    <d v="2026-10-13T00:00:00"/>
    <s v=""/>
    <s v="CAJA"/>
    <n v="3"/>
    <s v="PENDIENTE APROBACION  ENVIO TMS"/>
    <s v="000000000209668288"/>
    <x v="0"/>
    <x v="0"/>
    <m/>
    <n v="1"/>
    <m/>
  </r>
  <r>
    <n v="209668309"/>
    <s v="102"/>
    <x v="106"/>
    <d v="2026-10-13T21:20:03"/>
    <d v="2026-10-13T15:20:00"/>
    <d v="2026-10-13T00:00:00"/>
    <s v=""/>
    <s v="CAJA"/>
    <n v="4"/>
    <s v="PENDIENTE APROBACION  ENVIO TMS"/>
    <s v="000000000209668309"/>
    <x v="0"/>
    <x v="3"/>
    <m/>
    <n v="1"/>
    <m/>
  </r>
  <r>
    <n v="209668311"/>
    <s v="14"/>
    <x v="96"/>
    <d v="2026-10-13T21:20:04"/>
    <d v="2026-10-13T15:20:01"/>
    <d v="2026-10-13T00:00:00"/>
    <s v=""/>
    <s v="CAJA"/>
    <n v="3"/>
    <s v="PENDIENTE APROBACION  ENVIO TMS"/>
    <s v="000000000209668311"/>
    <x v="0"/>
    <x v="3"/>
    <m/>
    <n v="1"/>
    <m/>
  </r>
  <r>
    <n v="209668318"/>
    <s v="115"/>
    <x v="88"/>
    <d v="2026-10-13T21:20:05"/>
    <d v="2026-10-13T15:20:02"/>
    <d v="2026-10-13T00:00:00"/>
    <s v=""/>
    <s v="CAJA"/>
    <n v="3"/>
    <s v="PENDIENTE APROBACION  ENVIO TMS"/>
    <s v="000000000209668318"/>
    <x v="0"/>
    <x v="2"/>
    <m/>
    <n v="1"/>
    <m/>
  </r>
  <r>
    <n v="209668362"/>
    <s v="238"/>
    <x v="84"/>
    <d v="2026-10-13T21:20:06"/>
    <d v="2026-10-13T15:20:04"/>
    <d v="2026-10-13T00:00:00"/>
    <s v=""/>
    <s v="CAJA"/>
    <n v="1"/>
    <s v="PENDIENTE APROBACION  ENVIO TMS"/>
    <s v="000000000209668362"/>
    <x v="0"/>
    <x v="1"/>
    <m/>
    <n v="1"/>
    <m/>
  </r>
  <r>
    <n v="209668352"/>
    <s v="22"/>
    <x v="123"/>
    <d v="2026-10-13T21:20:08"/>
    <d v="2026-10-13T15:20:05"/>
    <d v="2026-10-13T00:00:00"/>
    <s v=""/>
    <s v="CAJA"/>
    <n v="1"/>
    <s v="PENDIENTE APROBACION  ENVIO TMS"/>
    <s v="000000000209668352"/>
    <x v="0"/>
    <x v="3"/>
    <m/>
    <n v="1"/>
    <m/>
  </r>
  <r>
    <n v="209668355"/>
    <s v="85"/>
    <x v="69"/>
    <d v="2026-10-13T21:20:09"/>
    <d v="2026-10-13T15:20:07"/>
    <d v="2026-10-13T00:00:00"/>
    <s v=""/>
    <s v="CAJA"/>
    <n v="1"/>
    <s v="PENDIENTE APROBACION  ENVIO TMS"/>
    <s v="000000000209668355"/>
    <x v="0"/>
    <x v="1"/>
    <m/>
    <n v="1"/>
    <m/>
  </r>
  <r>
    <n v="209668280"/>
    <s v="45"/>
    <x v="133"/>
    <d v="2026-10-13T21:20:09"/>
    <d v="2026-10-13T15:20:06"/>
    <d v="2026-10-13T00:00:00"/>
    <s v=""/>
    <s v="CAJA"/>
    <n v="7"/>
    <s v="PENDIENTE APROBACION  ENVIO TMS"/>
    <s v="000000000209668280"/>
    <x v="0"/>
    <x v="3"/>
    <m/>
    <n v="1"/>
    <m/>
  </r>
  <r>
    <n v="209668357"/>
    <s v="116"/>
    <x v="112"/>
    <d v="2026-10-13T21:20:11"/>
    <d v="2026-10-13T15:20:08"/>
    <d v="2026-10-13T00:00:00"/>
    <s v=""/>
    <s v="CAJA"/>
    <n v="3"/>
    <s v="PENDIENTE APROBACION  ENVIO TMS"/>
    <s v="000000000209668357"/>
    <x v="0"/>
    <x v="0"/>
    <m/>
    <n v="1"/>
    <m/>
  </r>
  <r>
    <n v="209668245"/>
    <s v="21"/>
    <x v="124"/>
    <d v="2026-10-13T21:20:12"/>
    <d v="2026-10-13T15:20:10"/>
    <d v="2026-10-13T00:00:00"/>
    <s v=""/>
    <s v="CAJA"/>
    <n v="2"/>
    <s v="PENDIENTE APROBACION  ENVIO TMS"/>
    <s v="000000000209668245"/>
    <x v="0"/>
    <x v="3"/>
    <m/>
    <n v="1"/>
    <m/>
  </r>
  <r>
    <n v="209668266"/>
    <s v="105"/>
    <x v="71"/>
    <d v="2026-10-13T21:20:14"/>
    <d v="2026-10-13T15:20:11"/>
    <d v="2026-10-13T00:00:00"/>
    <s v=""/>
    <s v="CAJA"/>
    <n v="11"/>
    <s v="PENDIENTE APROBACION  ENVIO TMS"/>
    <s v="000000000209668266"/>
    <x v="0"/>
    <x v="2"/>
    <m/>
    <n v="1"/>
    <m/>
  </r>
  <r>
    <n v="209668247"/>
    <s v="205"/>
    <x v="19"/>
    <d v="2026-10-13T21:20:15"/>
    <d v="2026-10-13T15:20:12"/>
    <d v="2026-10-13T00:00:00"/>
    <s v=""/>
    <s v="CAJA"/>
    <n v="2"/>
    <s v="PENDIENTE APROBACION  ENVIO TMS"/>
    <s v="000000000209668247"/>
    <x v="0"/>
    <x v="0"/>
    <m/>
    <n v="1"/>
    <m/>
  </r>
  <r>
    <n v="209668251"/>
    <s v="133"/>
    <x v="119"/>
    <d v="2026-10-13T21:20:16"/>
    <d v="2026-10-13T15:20:13"/>
    <d v="2026-10-13T00:00:00"/>
    <s v=""/>
    <s v="CAJA"/>
    <n v="4"/>
    <s v="PENDIENTE APROBACION  ENVIO TMS"/>
    <s v="000000000209668251"/>
    <x v="0"/>
    <x v="0"/>
    <m/>
    <n v="1"/>
    <m/>
  </r>
  <r>
    <n v="209668252"/>
    <s v="209"/>
    <x v="2"/>
    <d v="2026-10-13T21:20:17"/>
    <d v="2026-10-13T15:20:15"/>
    <d v="2026-10-13T00:00:00"/>
    <s v=""/>
    <s v="CAJA"/>
    <n v="6"/>
    <s v="PENDIENTE APROBACION  ENVIO TMS"/>
    <s v="000000000209668252"/>
    <x v="0"/>
    <x v="0"/>
    <m/>
    <n v="1"/>
    <m/>
  </r>
  <r>
    <n v="209668289"/>
    <s v="50"/>
    <x v="135"/>
    <d v="2026-10-13T21:20:19"/>
    <d v="2026-10-13T15:20:16"/>
    <d v="2026-10-13T00:00:00"/>
    <s v=""/>
    <s v="CAJA"/>
    <n v="1"/>
    <s v="PENDIENTE APROBACION  ENVIO TMS"/>
    <s v="000000000209668289"/>
    <x v="0"/>
    <x v="0"/>
    <m/>
    <n v="1"/>
    <m/>
  </r>
  <r>
    <n v="209668290"/>
    <s v="258"/>
    <x v="131"/>
    <d v="2026-10-13T21:20:20"/>
    <d v="2026-10-13T15:20:17"/>
    <d v="2026-10-13T00:00:00"/>
    <s v=""/>
    <s v="CAJA"/>
    <n v="5"/>
    <s v="PENDIENTE APROBACION  ENVIO TMS"/>
    <s v="000000000209668290"/>
    <x v="0"/>
    <x v="0"/>
    <m/>
    <n v="1"/>
    <m/>
  </r>
  <r>
    <n v="209668255"/>
    <s v="38"/>
    <x v="129"/>
    <d v="2026-10-13T21:20:21"/>
    <d v="2026-10-13T15:20:18"/>
    <d v="2026-10-13T00:00:00"/>
    <s v=""/>
    <s v="CAJA"/>
    <n v="2"/>
    <s v="PENDIENTE APROBACION  ENVIO TMS"/>
    <s v="000000000209668255"/>
    <x v="0"/>
    <x v="1"/>
    <m/>
    <n v="1"/>
    <m/>
  </r>
  <r>
    <n v="209668291"/>
    <s v="68"/>
    <x v="97"/>
    <d v="2026-10-13T21:20:22"/>
    <d v="2026-10-13T15:20:20"/>
    <d v="2026-10-13T00:00:00"/>
    <s v=""/>
    <s v="CAJA"/>
    <n v="11"/>
    <s v="PENDIENTE APROBACION  ENVIO TMS"/>
    <s v="000000000209668291"/>
    <x v="0"/>
    <x v="3"/>
    <m/>
    <n v="1"/>
    <m/>
  </r>
  <r>
    <n v="209668259"/>
    <s v="63"/>
    <x v="120"/>
    <d v="2026-10-13T21:20:23"/>
    <d v="2026-10-13T15:20:21"/>
    <d v="2026-10-13T00:00:00"/>
    <s v=""/>
    <s v="CAJA"/>
    <n v="1"/>
    <s v="PENDIENTE APROBACION  ENVIO TMS"/>
    <s v="000000000209668259"/>
    <x v="0"/>
    <x v="0"/>
    <m/>
    <n v="1"/>
    <m/>
  </r>
  <r>
    <n v="209668316"/>
    <s v="224"/>
    <x v="6"/>
    <d v="2026-10-13T21:20:25"/>
    <d v="2026-10-13T15:20:22"/>
    <d v="2026-10-13T00:00:00"/>
    <s v=""/>
    <s v="CAJA"/>
    <n v="6"/>
    <s v="PENDIENTE APROBACION  ENVIO TMS"/>
    <s v="000000000209668316"/>
    <x v="0"/>
    <x v="0"/>
    <m/>
    <n v="1"/>
    <m/>
  </r>
  <r>
    <n v="209668326"/>
    <s v="124"/>
    <x v="90"/>
    <d v="2026-10-13T21:20:26"/>
    <d v="2026-10-13T15:20:23"/>
    <d v="2026-10-13T00:00:00"/>
    <s v=""/>
    <s v="CAJA"/>
    <n v="4"/>
    <s v="PENDIENTE APROBACION  ENVIO TMS"/>
    <s v="000000000209668326"/>
    <x v="0"/>
    <x v="1"/>
    <m/>
    <n v="1"/>
    <m/>
  </r>
  <r>
    <n v="209668335"/>
    <s v="210"/>
    <x v="51"/>
    <d v="2026-10-13T21:20:27"/>
    <d v="2026-10-13T15:20:24"/>
    <d v="2026-10-13T00:00:00"/>
    <s v=""/>
    <s v="CAJA"/>
    <n v="3"/>
    <s v="PENDIENTE APROBACION  ENVIO TMS"/>
    <s v="000000000209668335"/>
    <x v="0"/>
    <x v="1"/>
    <m/>
    <n v="1"/>
    <m/>
  </r>
  <r>
    <n v="209668350"/>
    <s v="43"/>
    <x v="23"/>
    <d v="2026-10-13T21:20:28"/>
    <d v="2026-10-13T15:20:26"/>
    <d v="2026-10-13T00:00:00"/>
    <s v=""/>
    <s v="CAJA"/>
    <n v="4"/>
    <s v="PENDIENTE APROBACION  ENVIO TMS"/>
    <s v="000000000209668350"/>
    <x v="0"/>
    <x v="1"/>
    <m/>
    <n v="1"/>
    <m/>
  </r>
  <r>
    <n v="209668351"/>
    <s v="156"/>
    <x v="17"/>
    <d v="2026-10-13T21:20:30"/>
    <d v="2026-10-13T15:20:27"/>
    <d v="2026-10-13T00:00:00"/>
    <s v=""/>
    <s v="CAJA"/>
    <n v="1"/>
    <s v="PENDIENTE APROBACION  ENVIO TMS"/>
    <s v="000000000209668351"/>
    <x v="0"/>
    <x v="0"/>
    <m/>
    <n v="1"/>
    <m/>
  </r>
  <r>
    <n v="209668267"/>
    <s v="6"/>
    <x v="48"/>
    <d v="2026-10-13T21:20:31"/>
    <d v="2026-10-13T15:20:28"/>
    <d v="2026-10-13T00:00:00"/>
    <s v=""/>
    <s v="CAJA"/>
    <n v="6"/>
    <s v="PENDIENTE APROBACION  ENVIO TMS"/>
    <s v="000000000209668267"/>
    <x v="0"/>
    <x v="3"/>
    <m/>
    <n v="1"/>
    <m/>
  </r>
  <r>
    <n v="209668268"/>
    <s v="228"/>
    <x v="102"/>
    <d v="2026-10-13T21:20:32"/>
    <d v="2026-10-13T15:20:29"/>
    <d v="2026-10-13T00:00:00"/>
    <s v=""/>
    <s v="CAJA"/>
    <n v="5"/>
    <s v="PENDIENTE APROBACION  ENVIO TMS"/>
    <s v="000000000209668268"/>
    <x v="0"/>
    <x v="1"/>
    <m/>
    <n v="1"/>
    <m/>
  </r>
  <r>
    <n v="209668269"/>
    <s v="16"/>
    <x v="18"/>
    <d v="2026-10-13T21:20:33"/>
    <d v="2026-10-13T15:20:31"/>
    <d v="2026-10-13T00:00:00"/>
    <s v=""/>
    <s v="CAJA"/>
    <n v="1"/>
    <s v="PENDIENTE APROBACION  ENVIO TMS"/>
    <s v="000000000209668269"/>
    <x v="0"/>
    <x v="1"/>
    <m/>
    <n v="1"/>
    <m/>
  </r>
  <r>
    <n v="209668284"/>
    <s v="64"/>
    <x v="15"/>
    <d v="2026-10-13T21:20:34"/>
    <d v="2026-10-13T15:20:32"/>
    <d v="2026-10-13T00:00:00"/>
    <s v=""/>
    <s v="CAJA"/>
    <n v="5"/>
    <s v="PENDIENTE APROBACION  ENVIO TMS"/>
    <s v="000000000209668284"/>
    <x v="0"/>
    <x v="2"/>
    <m/>
    <n v="1"/>
    <m/>
  </r>
  <r>
    <n v="209668286"/>
    <s v="162"/>
    <x v="94"/>
    <d v="2026-10-13T21:20:36"/>
    <d v="2026-10-13T15:20:33"/>
    <d v="2026-10-13T00:00:00"/>
    <s v=""/>
    <s v="CAJA"/>
    <n v="5"/>
    <s v="PENDIENTE APROBACION  ENVIO TMS"/>
    <s v="000000000209668286"/>
    <x v="0"/>
    <x v="3"/>
    <m/>
    <n v="1"/>
    <m/>
  </r>
  <r>
    <n v="209668293"/>
    <s v="278"/>
    <x v="46"/>
    <d v="2026-10-13T21:20:37"/>
    <d v="2026-10-13T15:20:34"/>
    <d v="2026-10-13T00:00:00"/>
    <s v=""/>
    <s v="CAJA"/>
    <n v="1"/>
    <s v="PENDIENTE APROBACION  ENVIO TMS"/>
    <s v="000000000209668293"/>
    <x v="0"/>
    <x v="1"/>
    <m/>
    <n v="1"/>
    <m/>
  </r>
  <r>
    <n v="209668299"/>
    <s v="12"/>
    <x v="62"/>
    <d v="2026-10-13T21:20:39"/>
    <d v="2026-10-13T15:20:35"/>
    <d v="2026-10-13T00:00:00"/>
    <s v=""/>
    <s v="CAJA"/>
    <n v="1"/>
    <s v="PENDIENTE APROBACION  ENVIO TMS"/>
    <s v="000000000209668299"/>
    <x v="0"/>
    <x v="1"/>
    <m/>
    <n v="1"/>
    <m/>
  </r>
  <r>
    <n v="209668307"/>
    <s v="51"/>
    <x v="44"/>
    <d v="2026-10-13T21:20:39"/>
    <d v="2026-10-13T15:20:37"/>
    <d v="2026-10-13T00:00:00"/>
    <s v=""/>
    <s v="CAJA"/>
    <n v="2"/>
    <s v="PENDIENTE APROBACION  ENVIO TMS"/>
    <s v="000000000209668307"/>
    <x v="0"/>
    <x v="1"/>
    <m/>
    <n v="1"/>
    <m/>
  </r>
  <r>
    <n v="209668308"/>
    <s v="57"/>
    <x v="117"/>
    <d v="2026-10-13T21:20:40"/>
    <d v="2026-10-13T15:20:38"/>
    <d v="2026-10-13T00:00:00"/>
    <s v=""/>
    <s v="CAJA"/>
    <n v="6"/>
    <s v="PENDIENTE APROBACION  ENVIO TMS"/>
    <s v="000000000209668308"/>
    <x v="0"/>
    <x v="1"/>
    <m/>
    <n v="1"/>
    <m/>
  </r>
  <r>
    <n v="209668359"/>
    <s v="84"/>
    <x v="82"/>
    <d v="2026-10-13T21:20:42"/>
    <d v="2026-10-13T15:20:39"/>
    <d v="2026-10-13T00:00:00"/>
    <s v=""/>
    <s v="CAJA"/>
    <n v="2"/>
    <s v="PENDIENTE APROBACION  ENVIO TMS"/>
    <s v="000000000209668359"/>
    <x v="0"/>
    <x v="0"/>
    <m/>
    <n v="1"/>
    <m/>
  </r>
  <r>
    <n v="209668361"/>
    <s v="161"/>
    <x v="65"/>
    <d v="2026-10-13T21:20:43"/>
    <d v="2026-10-13T15:20:40"/>
    <d v="2026-10-13T00:00:00"/>
    <s v=""/>
    <s v="CAJA"/>
    <n v="1"/>
    <s v="PENDIENTE APROBACION  ENVIO TMS"/>
    <s v="000000000209668361"/>
    <x v="0"/>
    <x v="4"/>
    <m/>
    <n v="1"/>
    <m/>
  </r>
  <r>
    <n v="209668328"/>
    <s v="27"/>
    <x v="53"/>
    <d v="2026-10-13T21:20:45"/>
    <d v="2026-10-13T15:20:41"/>
    <d v="2026-10-13T00:00:00"/>
    <s v=""/>
    <s v="CAJA"/>
    <n v="1"/>
    <s v="PENDIENTE APROBACION  ENVIO TMS"/>
    <s v="000000000209668328"/>
    <x v="0"/>
    <x v="1"/>
    <m/>
    <n v="1"/>
    <m/>
  </r>
  <r>
    <n v="209668261"/>
    <s v="279"/>
    <x v="114"/>
    <d v="2026-10-13T21:20:45"/>
    <d v="2026-10-13T15:20:43"/>
    <d v="2026-10-13T00:00:00"/>
    <s v=""/>
    <s v="CAJA"/>
    <n v="3"/>
    <s v="PENDIENTE APROBACION  ENVIO TMS"/>
    <s v="000000000209668261"/>
    <x v="0"/>
    <x v="0"/>
    <m/>
    <n v="1"/>
    <m/>
  </r>
  <r>
    <n v="209668331"/>
    <s v="46"/>
    <x v="86"/>
    <d v="2026-10-13T21:20:46"/>
    <d v="2026-10-13T15:20:44"/>
    <d v="2026-10-13T00:00:00"/>
    <s v=""/>
    <s v="CAJA"/>
    <n v="2"/>
    <s v="PENDIENTE APROBACION  ENVIO TMS"/>
    <s v="000000000209668331"/>
    <x v="0"/>
    <x v="1"/>
    <m/>
    <n v="1"/>
    <m/>
  </r>
  <r>
    <n v="209668265"/>
    <s v="72"/>
    <x v="60"/>
    <d v="2026-10-13T21:20:48"/>
    <d v="2026-10-13T15:20:45"/>
    <d v="2026-10-13T00:00:00"/>
    <s v=""/>
    <s v="CAJA"/>
    <n v="6"/>
    <s v="PENDIENTE APROBACION  ENVIO TMS"/>
    <s v="000000000209668265"/>
    <x v="0"/>
    <x v="3"/>
    <m/>
    <n v="1"/>
    <m/>
  </r>
  <r>
    <n v="209668349"/>
    <s v="281"/>
    <x v="27"/>
    <d v="2026-10-13T21:20:49"/>
    <d v="2026-10-13T15:20:46"/>
    <d v="2026-10-13T00:00:00"/>
    <s v=""/>
    <s v="CAJA"/>
    <n v="4"/>
    <s v="PENDIENTE APROBACION  ENVIO TMS"/>
    <s v="000000000209668349"/>
    <x v="0"/>
    <x v="0"/>
    <m/>
    <n v="1"/>
    <m/>
  </r>
  <r>
    <n v="209668279"/>
    <s v="280"/>
    <x v="0"/>
    <d v="2026-10-13T21:20:50"/>
    <d v="2026-10-13T15:20:48"/>
    <d v="2026-10-13T00:00:00"/>
    <s v=""/>
    <s v="CAJA"/>
    <n v="5"/>
    <s v="PENDIENTE APROBACION  ENVIO TMS"/>
    <s v="000000000209668279"/>
    <x v="0"/>
    <x v="0"/>
    <m/>
    <n v="1"/>
    <m/>
  </r>
  <r>
    <n v="209668336"/>
    <s v="261"/>
    <x v="132"/>
    <d v="2026-10-13T21:20:51"/>
    <d v="2026-10-13T15:20:49"/>
    <d v="2026-10-13T00:00:00"/>
    <s v=""/>
    <s v="CAJA"/>
    <n v="3"/>
    <s v="PENDIENTE APROBACION  ENVIO TMS"/>
    <s v="000000000209668336"/>
    <x v="0"/>
    <x v="0"/>
    <m/>
    <n v="1"/>
    <m/>
  </r>
  <r>
    <n v="209668246"/>
    <s v="88"/>
    <x v="103"/>
    <d v="2026-10-13T21:20:53"/>
    <d v="2026-10-13T15:20:50"/>
    <d v="2026-10-13T00:00:00"/>
    <s v=""/>
    <s v="CAJA"/>
    <n v="5"/>
    <s v="PENDIENTE APROBACION  ENVIO TMS"/>
    <s v="000000000209668246"/>
    <x v="0"/>
    <x v="0"/>
    <m/>
    <n v="1"/>
    <m/>
  </r>
  <r>
    <n v="209668248"/>
    <s v="89"/>
    <x v="104"/>
    <d v="2026-10-13T21:20:54"/>
    <d v="2026-10-13T15:20:51"/>
    <d v="2026-10-13T00:00:00"/>
    <s v=""/>
    <s v="CAJA"/>
    <n v="6"/>
    <s v="PENDIENTE APROBACION  ENVIO TMS"/>
    <s v="000000000209668248"/>
    <x v="0"/>
    <x v="0"/>
    <m/>
    <n v="1"/>
    <m/>
  </r>
  <r>
    <n v="209668345"/>
    <s v="26"/>
    <x v="100"/>
    <d v="2026-10-13T21:20:56"/>
    <d v="2026-10-13T15:20:54"/>
    <d v="2026-10-13T00:00:00"/>
    <s v=""/>
    <s v="CAJA"/>
    <n v="3"/>
    <s v="PENDIENTE APROBACION  ENVIO TMS"/>
    <s v="000000000209668345"/>
    <x v="0"/>
    <x v="1"/>
    <m/>
    <n v="1"/>
    <m/>
  </r>
  <r>
    <n v="209668283"/>
    <s v="74"/>
    <x v="63"/>
    <d v="2026-10-13T21:20:56"/>
    <d v="2026-10-13T15:20:52"/>
    <d v="2026-10-13T00:00:00"/>
    <s v=""/>
    <s v="CAJA"/>
    <n v="10"/>
    <s v="PENDIENTE APROBACION  ENVIO TMS"/>
    <s v="000000000209668283"/>
    <x v="0"/>
    <x v="0"/>
    <m/>
    <n v="1"/>
    <m/>
  </r>
  <r>
    <n v="209668347"/>
    <s v="60"/>
    <x v="137"/>
    <d v="2026-10-13T21:20:57"/>
    <d v="2026-10-13T15:20:55"/>
    <d v="2026-10-13T00:00:00"/>
    <s v=""/>
    <s v="CAJA"/>
    <n v="2"/>
    <s v="PENDIENTE APROBACION  ENVIO TMS"/>
    <s v="000000000209668347"/>
    <x v="0"/>
    <x v="2"/>
    <m/>
    <n v="1"/>
    <m/>
  </r>
  <r>
    <n v="209668258"/>
    <s v="67"/>
    <x v="64"/>
    <d v="2026-10-13T21:20:59"/>
    <d v="2026-10-13T15:20:56"/>
    <d v="2026-10-13T00:00:00"/>
    <s v=""/>
    <s v="CAJA"/>
    <n v="11"/>
    <s v="PENDIENTE APROBACION  ENVIO TMS"/>
    <s v="000000000209668258"/>
    <x v="0"/>
    <x v="2"/>
    <m/>
    <n v="1"/>
    <m/>
  </r>
  <r>
    <n v="209668298"/>
    <s v="86"/>
    <x v="126"/>
    <d v="2026-10-13T21:21:00"/>
    <d v="2026-10-13T15:20:57"/>
    <d v="2026-10-13T00:00:00"/>
    <s v=""/>
    <s v="CAJA"/>
    <n v="9"/>
    <s v="PENDIENTE APROBACION  ENVIO TMS"/>
    <s v="000000000209668298"/>
    <x v="0"/>
    <x v="1"/>
    <m/>
    <n v="1"/>
    <m/>
  </r>
  <r>
    <n v="209668315"/>
    <s v="9"/>
    <x v="16"/>
    <d v="2026-10-13T21:21:01"/>
    <d v="2026-10-13T15:20:59"/>
    <d v="2026-10-13T00:00:00"/>
    <s v=""/>
    <s v="CAJA"/>
    <n v="4"/>
    <s v="PENDIENTE APROBACION  ENVIO TMS"/>
    <s v="000000000209668315"/>
    <x v="0"/>
    <x v="0"/>
    <m/>
    <n v="1"/>
    <m/>
  </r>
  <r>
    <n v="209668320"/>
    <s v="54"/>
    <x v="115"/>
    <d v="2026-10-13T21:21:03"/>
    <d v="2026-10-13T15:21:00"/>
    <d v="2026-10-13T00:00:00"/>
    <s v=""/>
    <s v="CAJA"/>
    <n v="2"/>
    <s v="PENDIENTE APROBACION  ENVIO TMS"/>
    <s v="000000000209668320"/>
    <x v="0"/>
    <x v="0"/>
    <m/>
    <n v="1"/>
    <m/>
  </r>
  <r>
    <n v="209668321"/>
    <s v="91"/>
    <x v="7"/>
    <d v="2026-10-13T21:21:04"/>
    <d v="2026-10-13T15:21:01"/>
    <d v="2026-10-13T00:00:00"/>
    <s v=""/>
    <s v="CAJA"/>
    <n v="7"/>
    <s v="PENDIENTE APROBACION  ENVIO TMS"/>
    <s v="000000000209668321"/>
    <x v="0"/>
    <x v="2"/>
    <m/>
    <n v="1"/>
    <m/>
  </r>
  <r>
    <n v="209668322"/>
    <s v="282"/>
    <x v="110"/>
    <d v="2026-10-13T21:21:05"/>
    <d v="2026-10-13T15:21:02"/>
    <d v="2026-10-13T00:00:00"/>
    <s v=""/>
    <s v="CAJA"/>
    <n v="2"/>
    <s v="PENDIENTE APROBACION  ENVIO TMS"/>
    <s v="000000000209668322"/>
    <x v="0"/>
    <x v="0"/>
    <m/>
    <n v="1"/>
    <m/>
  </r>
  <r>
    <n v="209668324"/>
    <s v="117"/>
    <x v="72"/>
    <d v="2026-10-13T21:21:06"/>
    <d v="2026-10-13T15:21:04"/>
    <d v="2026-10-13T00:00:00"/>
    <s v=""/>
    <s v="CAJA"/>
    <n v="4"/>
    <s v="PENDIENTE APROBACION  ENVIO TMS"/>
    <s v="000000000209668324"/>
    <x v="0"/>
    <x v="3"/>
    <m/>
    <n v="1"/>
    <m/>
  </r>
  <r>
    <n v="209668327"/>
    <s v="262"/>
    <x v="107"/>
    <d v="2026-10-13T21:21:08"/>
    <d v="2026-10-13T15:21:06"/>
    <d v="2026-10-13T00:00:00"/>
    <s v=""/>
    <s v="CAJA"/>
    <n v="1"/>
    <s v="PENDIENTE APROBACION  ENVIO TMS"/>
    <s v="000000000209668327"/>
    <x v="0"/>
    <x v="4"/>
    <m/>
    <n v="1"/>
    <m/>
  </r>
  <r>
    <n v="209668325"/>
    <s v="123"/>
    <x v="3"/>
    <d v="2026-10-13T21:21:08"/>
    <d v="2026-10-13T15:21:05"/>
    <d v="2026-10-13T00:00:00"/>
    <s v=""/>
    <s v="CAJA"/>
    <n v="2"/>
    <s v="PENDIENTE APROBACION  ENVIO TMS"/>
    <s v="000000000209668325"/>
    <x v="0"/>
    <x v="0"/>
    <m/>
    <n v="1"/>
    <m/>
  </r>
  <r>
    <n v="209668356"/>
    <s v="215"/>
    <x v="101"/>
    <d v="2026-10-13T21:21:10"/>
    <d v="2026-10-13T15:21:07"/>
    <d v="2026-10-13T00:00:00"/>
    <s v=""/>
    <s v="CAJA"/>
    <n v="3"/>
    <s v="PENDIENTE APROBACION  ENVIO TMS"/>
    <s v="000000000209668356"/>
    <x v="0"/>
    <x v="0"/>
    <m/>
    <n v="1"/>
    <m/>
  </r>
  <r>
    <n v="209668282"/>
    <s v="259"/>
    <x v="85"/>
    <d v="2026-10-13T21:21:11"/>
    <d v="2026-10-13T15:21:08"/>
    <d v="2026-10-13T00:00:00"/>
    <s v=""/>
    <s v="CAJA"/>
    <n v="8"/>
    <s v="PENDIENTE APROBACION  ENVIO TMS"/>
    <s v="000000000209668282"/>
    <x v="0"/>
    <x v="1"/>
    <m/>
    <n v="1"/>
    <m/>
  </r>
  <r>
    <n v="209668337"/>
    <s v="17"/>
    <x v="99"/>
    <d v="2026-10-13T21:21:12"/>
    <d v="2026-10-13T15:21:10"/>
    <d v="2026-10-13T00:00:00"/>
    <s v=""/>
    <s v="CAJA"/>
    <n v="1"/>
    <s v="PENDIENTE APROBACION  ENVIO TMS"/>
    <s v="000000000209668337"/>
    <x v="0"/>
    <x v="3"/>
    <m/>
    <n v="1"/>
    <m/>
  </r>
  <r>
    <n v="209668271"/>
    <s v="140"/>
    <x v="35"/>
    <d v="2026-10-13T21:21:13"/>
    <d v="2026-10-13T15:21:11"/>
    <d v="2026-10-13T00:00:00"/>
    <s v=""/>
    <s v="CAJA"/>
    <n v="2"/>
    <s v="PENDIENTE APROBACION  ENVIO TMS"/>
    <s v="000000000209668271"/>
    <x v="0"/>
    <x v="2"/>
    <m/>
    <n v="1"/>
    <m/>
  </r>
  <r>
    <n v="209668254"/>
    <s v="47"/>
    <x v="1"/>
    <d v="2026-10-13T21:21:15"/>
    <d v="2026-10-13T15:21:12"/>
    <d v="2026-10-13T00:00:00"/>
    <s v=""/>
    <s v="CAJA"/>
    <n v="5"/>
    <s v="PENDIENTE APROBACION  ENVIO TMS"/>
    <s v="000000000209668254"/>
    <x v="0"/>
    <x v="0"/>
    <m/>
    <n v="1"/>
    <m/>
  </r>
  <r>
    <n v="209668256"/>
    <s v="44"/>
    <x v="24"/>
    <d v="2026-10-13T21:21:16"/>
    <d v="2026-10-13T15:21:13"/>
    <d v="2026-10-13T00:00:00"/>
    <s v=""/>
    <s v="CAJA"/>
    <n v="9"/>
    <s v="PENDIENTE APROBACION  ENVIO TMS"/>
    <s v="000000000209668256"/>
    <x v="0"/>
    <x v="0"/>
    <m/>
    <n v="1"/>
    <m/>
  </r>
  <r>
    <n v="209668292"/>
    <s v="150"/>
    <x v="59"/>
    <d v="2026-10-13T21:21:17"/>
    <d v="2026-10-13T15:21:15"/>
    <d v="2026-10-13T00:00:00"/>
    <s v=""/>
    <s v="CAJA"/>
    <n v="2"/>
    <s v="PENDIENTE APROBACION  ENVIO TMS"/>
    <s v="000000000209668292"/>
    <x v="0"/>
    <x v="1"/>
    <m/>
    <n v="1"/>
    <m/>
  </r>
  <r>
    <n v="209668295"/>
    <s v="66"/>
    <x v="5"/>
    <d v="2026-10-13T21:21:19"/>
    <d v="2026-10-13T15:21:16"/>
    <d v="2026-10-13T00:00:00"/>
    <s v=""/>
    <s v="CAJA"/>
    <n v="3"/>
    <s v="PENDIENTE APROBACION  ENVIO TMS"/>
    <s v="000000000209668295"/>
    <x v="0"/>
    <x v="2"/>
    <m/>
    <n v="1"/>
    <m/>
  </r>
  <r>
    <n v="209668304"/>
    <s v="11"/>
    <x v="61"/>
    <d v="2026-10-13T21:21:20"/>
    <d v="2026-10-13T15:21:17"/>
    <d v="2026-10-13T00:00:00"/>
    <s v=""/>
    <s v="CAJA"/>
    <n v="3"/>
    <s v="PENDIENTE APROBACION  ENVIO TMS"/>
    <s v="000000000209668304"/>
    <x v="0"/>
    <x v="1"/>
    <m/>
    <n v="1"/>
    <m/>
  </r>
  <r>
    <n v="209668314"/>
    <s v="80"/>
    <x v="54"/>
    <d v="2026-10-13T21:21:21"/>
    <d v="2026-10-13T15:21:18"/>
    <d v="2026-10-13T00:00:00"/>
    <s v=""/>
    <s v="CAJA"/>
    <n v="2"/>
    <s v="PENDIENTE APROBACION  ENVIO TMS"/>
    <s v="000000000209668314"/>
    <x v="0"/>
    <x v="0"/>
    <m/>
    <n v="1"/>
    <m/>
  </r>
  <r>
    <n v="209668360"/>
    <s v="128"/>
    <x v="14"/>
    <d v="2026-10-13T21:21:22"/>
    <d v="2026-10-13T15:21:20"/>
    <d v="2026-10-13T00:00:00"/>
    <s v=""/>
    <s v="CAJA"/>
    <n v="6"/>
    <s v="PENDIENTE APROBACION  ENVIO TMS"/>
    <s v="000000000209668360"/>
    <x v="0"/>
    <x v="0"/>
    <m/>
    <n v="1"/>
    <m/>
  </r>
  <r>
    <n v="209668364"/>
    <s v="104"/>
    <x v="9"/>
    <d v="2026-10-13T21:21:24"/>
    <d v="2026-10-13T15:21:21"/>
    <d v="2026-10-13T00:00:00"/>
    <s v=""/>
    <s v="CAJA"/>
    <n v="6"/>
    <s v="PENDIENTE APROBACION  ENVIO TMS"/>
    <s v="000000000209668364"/>
    <x v="0"/>
    <x v="1"/>
    <m/>
    <n v="1"/>
    <m/>
  </r>
  <r>
    <n v="209668365"/>
    <s v="7"/>
    <x v="92"/>
    <d v="2026-10-13T21:21:24"/>
    <d v="2026-10-13T15:21:22"/>
    <d v="2026-10-13T00:00:00"/>
    <s v=""/>
    <s v="CAJA"/>
    <n v="2"/>
    <s v="PENDIENTE APROBACION  ENVIO TMS"/>
    <s v="000000000209668365"/>
    <x v="0"/>
    <x v="1"/>
    <m/>
    <n v="1"/>
    <m/>
  </r>
  <r>
    <n v="209668368"/>
    <s v="40"/>
    <x v="22"/>
    <d v="2026-10-13T21:21:25"/>
    <d v="2026-10-13T15:21:23"/>
    <d v="2026-10-13T00:00:00"/>
    <s v=""/>
    <s v="CAJA"/>
    <n v="1"/>
    <s v="PENDIENTE APROBACION  ENVIO TMS"/>
    <s v="000000000209668368"/>
    <x v="0"/>
    <x v="3"/>
    <m/>
    <n v="1"/>
    <m/>
  </r>
  <r>
    <n v="209668263"/>
    <s v="71"/>
    <x v="31"/>
    <d v="2026-10-13T21:21:27"/>
    <d v="2026-10-13T15:21:24"/>
    <d v="2026-10-13T00:00:00"/>
    <s v=""/>
    <s v="CAJA"/>
    <n v="7"/>
    <s v="PENDIENTE APROBACION  ENVIO TMS"/>
    <s v="000000000209668263"/>
    <x v="0"/>
    <x v="0"/>
    <m/>
    <n v="1"/>
    <m/>
  </r>
  <r>
    <n v="209668332"/>
    <s v="73"/>
    <x v="93"/>
    <d v="2026-10-13T21:21:28"/>
    <d v="2026-10-13T15:21:26"/>
    <d v="2026-10-13T00:00:00"/>
    <s v=""/>
    <s v="CAJA"/>
    <n v="1"/>
    <s v="PENDIENTE APROBACION  ENVIO TMS"/>
    <s v="000000000209668332"/>
    <x v="0"/>
    <x v="0"/>
    <m/>
    <n v="1"/>
    <m/>
  </r>
  <r>
    <n v="209668333"/>
    <s v="83"/>
    <x v="67"/>
    <d v="2026-10-13T21:21:30"/>
    <d v="2026-10-13T15:21:27"/>
    <d v="2026-10-13T00:00:00"/>
    <s v=""/>
    <s v="CAJA"/>
    <n v="1"/>
    <s v="PENDIENTE APROBACION  ENVIO TMS"/>
    <s v="000000000209668333"/>
    <x v="0"/>
    <x v="1"/>
    <m/>
    <n v="1"/>
    <m/>
  </r>
  <r>
    <n v="209668358"/>
    <s v="69"/>
    <x v="80"/>
    <d v="2026-10-13T21:21:31"/>
    <d v="2026-10-13T15:21:28"/>
    <d v="2026-10-13T00:00:00"/>
    <s v=""/>
    <s v="CAJA"/>
    <n v="2"/>
    <s v="PENDIENTE APROBACION  ENVIO TMS"/>
    <s v="000000000209668358"/>
    <x v="0"/>
    <x v="1"/>
    <m/>
    <n v="1"/>
    <m/>
  </r>
  <r>
    <n v="209668338"/>
    <s v="61"/>
    <x v="77"/>
    <d v="2026-10-13T21:21:32"/>
    <d v="2026-10-13T15:21:29"/>
    <d v="2026-10-13T00:00:00"/>
    <s v=""/>
    <s v="CAJA"/>
    <n v="1"/>
    <s v="PENDIENTE APROBACION  ENVIO TMS"/>
    <s v="000000000209668338"/>
    <x v="0"/>
    <x v="0"/>
    <m/>
    <n v="1"/>
    <m/>
  </r>
  <r>
    <n v="209668270"/>
    <s v="249"/>
    <x v="108"/>
    <d v="2026-10-13T21:21:33"/>
    <d v="2026-10-13T15:21:30"/>
    <d v="2026-10-13T00:00:00"/>
    <s v=""/>
    <s v="CAJA"/>
    <n v="5"/>
    <s v="PENDIENTE APROBACION  ENVIO TMS"/>
    <s v="000000000209668270"/>
    <x v="0"/>
    <x v="0"/>
    <m/>
    <n v="1"/>
    <m/>
  </r>
  <r>
    <n v="209668343"/>
    <s v="106"/>
    <x v="25"/>
    <d v="2026-10-13T21:21:34"/>
    <d v="2026-10-13T15:21:32"/>
    <d v="2026-10-13T00:00:00"/>
    <s v=""/>
    <s v="CAJA"/>
    <n v="4"/>
    <s v="PENDIENTE APROBACION  ENVIO TMS"/>
    <s v="000000000209668343"/>
    <x v="0"/>
    <x v="0"/>
    <m/>
    <n v="1"/>
    <m/>
  </r>
  <r>
    <n v="209668344"/>
    <s v="143"/>
    <x v="78"/>
    <d v="2026-10-13T21:21:36"/>
    <d v="2026-10-13T15:21:33"/>
    <d v="2026-10-13T00:00:00"/>
    <s v=""/>
    <s v="CAJA"/>
    <n v="1"/>
    <s v="PENDIENTE APROBACION  ENVIO TMS"/>
    <s v="000000000209668344"/>
    <x v="0"/>
    <x v="2"/>
    <m/>
    <n v="1"/>
    <m/>
  </r>
  <r>
    <n v="209668287"/>
    <s v="160"/>
    <x v="33"/>
    <d v="2026-10-13T21:21:37"/>
    <d v="2026-10-13T15:21:34"/>
    <d v="2026-10-13T00:00:00"/>
    <s v=""/>
    <s v="CAJA"/>
    <n v="6"/>
    <s v="PENDIENTE APROBACION  ENVIO TMS"/>
    <s v="000000000209668287"/>
    <x v="0"/>
    <x v="2"/>
    <m/>
    <n v="1"/>
    <m/>
  </r>
  <r>
    <n v="209668257"/>
    <s v="125"/>
    <x v="74"/>
    <d v="2026-10-13T21:21:38"/>
    <d v="2026-10-13T15:21:36"/>
    <d v="2026-10-13T00:00:00"/>
    <s v=""/>
    <s v="CAJA"/>
    <n v="10"/>
    <s v="PENDIENTE APROBACION  ENVIO TMS"/>
    <s v="000000000209668257"/>
    <x v="0"/>
    <x v="1"/>
    <m/>
    <n v="1"/>
    <m/>
  </r>
  <r>
    <n v="209668260"/>
    <s v="62"/>
    <x v="58"/>
    <d v="2026-10-13T21:21:40"/>
    <d v="2026-10-13T15:21:37"/>
    <d v="2026-10-13T00:00:00"/>
    <s v=""/>
    <s v="CAJA"/>
    <n v="4"/>
    <s v="PENDIENTE APROBACION  ENVIO TMS"/>
    <s v="000000000209668260"/>
    <x v="0"/>
    <x v="3"/>
    <m/>
    <n v="1"/>
    <m/>
  </r>
  <r>
    <n v="209668300"/>
    <s v="159"/>
    <x v="36"/>
    <d v="2026-10-13T21:21:41"/>
    <d v="2026-10-13T15:21:38"/>
    <d v="2026-10-13T00:00:00"/>
    <s v=""/>
    <s v="CAJA"/>
    <n v="4"/>
    <s v="PENDIENTE APROBACION  ENVIO TMS"/>
    <s v="000000000209668300"/>
    <x v="0"/>
    <x v="1"/>
    <m/>
    <n v="1"/>
    <m/>
  </r>
  <r>
    <n v="209668305"/>
    <s v="130"/>
    <x v="75"/>
    <d v="2026-10-13T21:21:42"/>
    <d v="2026-10-13T15:21:39"/>
    <d v="2026-10-13T00:00:00"/>
    <s v=""/>
    <s v="CAJA"/>
    <n v="2"/>
    <s v="PENDIENTE APROBACION  ENVIO TMS"/>
    <s v="000000000209668305"/>
    <x v="0"/>
    <x v="1"/>
    <m/>
    <n v="1"/>
    <m/>
  </r>
  <r>
    <n v="209668310"/>
    <s v="221"/>
    <x v="125"/>
    <d v="2026-10-13T21:21:43"/>
    <d v="2026-10-13T15:21:41"/>
    <d v="2026-10-13T00:00:00"/>
    <s v=""/>
    <s v="CAJA"/>
    <n v="4"/>
    <s v="PENDIENTE APROBACION  ENVIO TMS"/>
    <s v="000000000209668310"/>
    <x v="0"/>
    <x v="3"/>
    <m/>
    <n v="1"/>
    <m/>
  </r>
  <r>
    <n v="209668312"/>
    <s v="264"/>
    <x v="11"/>
    <d v="2026-10-13T21:21:44"/>
    <d v="2026-10-13T15:21:42"/>
    <d v="2026-10-13T00:00:00"/>
    <s v=""/>
    <s v="CAJA"/>
    <n v="3"/>
    <s v="PENDIENTE APROBACION  ENVIO TMS"/>
    <s v="000000000209668312"/>
    <x v="0"/>
    <x v="1"/>
    <m/>
    <n v="1"/>
    <m/>
  </r>
  <r>
    <n v="209668367"/>
    <s v="76"/>
    <x v="49"/>
    <d v="2026-10-13T21:21:46"/>
    <d v="2026-10-13T15:21:43"/>
    <d v="2026-10-13T00:00:00"/>
    <s v=""/>
    <s v="CAJA"/>
    <n v="5"/>
    <s v="PENDIENTE APROBACION  ENVIO TMS"/>
    <s v="000000000209668367"/>
    <x v="0"/>
    <x v="2"/>
    <m/>
    <n v="1"/>
    <m/>
  </r>
  <r>
    <n v="8209669181"/>
    <s v="1"/>
    <x v="138"/>
    <d v="2026-10-14T09:59:43"/>
    <d v="2026-10-14T03:59:41"/>
    <d v="2026-10-14T00:00:00"/>
    <s v=""/>
    <s v="UNIDAD"/>
    <n v="2"/>
    <s v="PENDIENTE APROBACION  ENVIO TMS"/>
    <s v="000000008209669181"/>
    <x v="2"/>
    <x v="1"/>
    <m/>
    <n v="1"/>
    <m/>
  </r>
  <r>
    <n v="1209669186"/>
    <s v="1"/>
    <x v="138"/>
    <d v="2026-10-14T09:59:45"/>
    <d v="2026-10-14T03:59:42"/>
    <d v="2026-10-14T00:00:00"/>
    <s v=""/>
    <s v="CAJA"/>
    <n v="31"/>
    <s v="PENDIENTE APROBACION  ENVIO TMS"/>
    <s v="000000001209669186"/>
    <x v="1"/>
    <x v="1"/>
    <m/>
    <n v="1"/>
    <m/>
  </r>
  <r>
    <n v="1209669253"/>
    <s v="4"/>
    <x v="32"/>
    <d v="2026-10-14T09:59:47"/>
    <d v="2026-10-14T03:59:44"/>
    <d v="2026-10-14T00:00:00"/>
    <s v=""/>
    <s v="CAJA"/>
    <n v="2"/>
    <s v="PENDIENTE APROBACION  ENVIO TMS"/>
    <s v="000000001209669253"/>
    <x v="1"/>
    <x v="3"/>
    <m/>
    <n v="1"/>
    <m/>
  </r>
  <r>
    <n v="8209669254"/>
    <s v="4"/>
    <x v="32"/>
    <d v="2026-10-14T09:59:48"/>
    <d v="2026-10-14T03:59:45"/>
    <d v="2026-10-14T00:00:00"/>
    <s v=""/>
    <s v="UNIDAD"/>
    <n v="1"/>
    <s v="PENDIENTE APROBACION  ENVIO TMS"/>
    <s v="000000008209669254"/>
    <x v="2"/>
    <x v="3"/>
    <m/>
    <n v="1"/>
    <m/>
  </r>
  <r>
    <n v="8209669237"/>
    <s v="4"/>
    <x v="32"/>
    <d v="2026-10-14T09:59:49"/>
    <d v="2026-10-14T03:59:46"/>
    <d v="2026-10-14T00:00:00"/>
    <s v=""/>
    <s v="UNIDAD"/>
    <n v="4"/>
    <s v="PENDIENTE APROBACION  ENVIO TMS"/>
    <s v="000000008209669237"/>
    <x v="2"/>
    <x v="3"/>
    <m/>
    <n v="1"/>
    <m/>
  </r>
  <r>
    <n v="8209669241"/>
    <s v="4"/>
    <x v="32"/>
    <d v="2026-10-14T09:59:50"/>
    <d v="2026-10-14T03:59:48"/>
    <d v="2026-10-14T00:00:00"/>
    <s v=""/>
    <s v="UNIDAD"/>
    <n v="3"/>
    <s v="PENDIENTE APROBACION  ENVIO TMS"/>
    <s v="000000008209669241"/>
    <x v="2"/>
    <x v="3"/>
    <m/>
    <n v="1"/>
    <m/>
  </r>
  <r>
    <n v="1209669170"/>
    <s v="1"/>
    <x v="138"/>
    <d v="2026-10-14T09:59:52"/>
    <d v="2026-10-14T03:59:49"/>
    <d v="2026-10-14T00:00:00"/>
    <s v=""/>
    <s v="CAJA"/>
    <n v="9"/>
    <s v="PENDIENTE APROBACION  ENVIO TMS"/>
    <s v="000000001209669170"/>
    <x v="1"/>
    <x v="1"/>
    <m/>
    <n v="1"/>
    <m/>
  </r>
  <r>
    <n v="8209669177"/>
    <s v="1"/>
    <x v="138"/>
    <d v="2026-10-14T09:59:53"/>
    <d v="2026-10-14T03:59:50"/>
    <d v="2026-10-14T00:00:00"/>
    <s v=""/>
    <s v="UNIDAD"/>
    <n v="6"/>
    <s v="PENDIENTE APROBACION  ENVIO TMS"/>
    <s v="000000008209669177"/>
    <x v="2"/>
    <x v="1"/>
    <m/>
    <n v="1"/>
    <m/>
  </r>
  <r>
    <n v="8209669255"/>
    <s v="4"/>
    <x v="32"/>
    <d v="2026-10-14T09:59:55"/>
    <d v="2026-10-14T03:59:52"/>
    <d v="2026-10-14T00:00:00"/>
    <s v=""/>
    <s v="UNIDAD"/>
    <n v="1"/>
    <s v="PENDIENTE APROBACION  ENVIO TMS"/>
    <s v="000000008209669255"/>
    <x v="2"/>
    <x v="3"/>
    <m/>
    <n v="1"/>
    <m/>
  </r>
  <r>
    <n v="1209669256"/>
    <s v="4"/>
    <x v="32"/>
    <d v="2026-10-14T09:59:56"/>
    <d v="2026-10-14T03:59:53"/>
    <d v="2026-10-14T00:00:00"/>
    <s v=""/>
    <s v="CAJA"/>
    <n v="5"/>
    <s v="PENDIENTE APROBACION  ENVIO TMS"/>
    <s v="000000001209669256"/>
    <x v="1"/>
    <x v="3"/>
    <m/>
    <n v="1"/>
    <m/>
  </r>
  <r>
    <n v="1209669210"/>
    <s v="3"/>
    <x v="57"/>
    <d v="2026-10-14T09:59:58"/>
    <d v="2026-10-14T03:59:55"/>
    <d v="2026-10-14T00:00:00"/>
    <s v=""/>
    <s v="CAJA"/>
    <n v="19"/>
    <s v="PENDIENTE APROBACION  ENVIO TMS"/>
    <s v="000000001209669210"/>
    <x v="1"/>
    <x v="3"/>
    <m/>
    <n v="1"/>
    <m/>
  </r>
  <r>
    <n v="1209669193"/>
    <s v="1"/>
    <x v="138"/>
    <d v="2026-10-14T10:00:00"/>
    <d v="2026-10-14T03:59:57"/>
    <d v="2026-10-14T00:00:00"/>
    <s v=""/>
    <s v="CAJA"/>
    <n v="40"/>
    <s v="PENDIENTE APROBACION  ENVIO TMS"/>
    <s v="000000001209669193"/>
    <x v="1"/>
    <x v="1"/>
    <m/>
    <n v="1"/>
    <m/>
  </r>
  <r>
    <n v="8209669205"/>
    <s v="3"/>
    <x v="57"/>
    <d v="2026-10-14T10:00:01"/>
    <d v="2026-10-14T03:59:59"/>
    <d v="2026-10-14T00:00:00"/>
    <s v=""/>
    <s v="UNIDAD"/>
    <n v="11"/>
    <s v="PENDIENTE APROBACION  ENVIO TMS"/>
    <s v="000000008209669205"/>
    <x v="2"/>
    <x v="3"/>
    <m/>
    <n v="1"/>
    <m/>
  </r>
  <r>
    <n v="1209669222"/>
    <s v="3"/>
    <x v="57"/>
    <d v="2026-10-14T10:00:03"/>
    <d v="2026-10-14T04:00:01"/>
    <d v="2026-10-14T00:00:00"/>
    <s v=""/>
    <s v="PACK"/>
    <n v="1"/>
    <s v="PENDIENTE APROBACION  ENVIO TMS"/>
    <s v="000000001209669222"/>
    <x v="1"/>
    <x v="3"/>
    <m/>
    <n v="1"/>
    <m/>
  </r>
  <r>
    <n v="1209669246"/>
    <s v="4"/>
    <x v="32"/>
    <d v="2026-10-14T10:00:05"/>
    <d v="2026-10-14T04:00:02"/>
    <d v="2026-10-14T00:00:00"/>
    <s v=""/>
    <s v="CAJA"/>
    <n v="13"/>
    <s v="PENDIENTE APROBACION  ENVIO TMS"/>
    <s v="000000001209669246"/>
    <x v="1"/>
    <x v="3"/>
    <m/>
    <n v="1"/>
    <m/>
  </r>
  <r>
    <n v="1209669226"/>
    <s v="3"/>
    <x v="57"/>
    <d v="2026-10-14T10:00:06"/>
    <d v="2026-10-14T04:00:03"/>
    <d v="2026-10-14T00:00:00"/>
    <s v=""/>
    <s v="CAJA"/>
    <n v="28"/>
    <s v="PENDIENTE APROBACION  ENVIO TMS"/>
    <s v="000000001209669226"/>
    <x v="1"/>
    <x v="3"/>
    <m/>
    <n v="1"/>
    <m/>
  </r>
  <r>
    <n v="8209669238"/>
    <s v="4"/>
    <x v="32"/>
    <d v="2026-10-14T10:00:07"/>
    <d v="2026-10-14T04:00:05"/>
    <d v="2026-10-14T00:00:00"/>
    <s v=""/>
    <s v="UNIDAD"/>
    <n v="17"/>
    <s v="PENDIENTE APROBACION  ENVIO TMS"/>
    <s v="000000008209669238"/>
    <x v="2"/>
    <x v="3"/>
    <m/>
    <n v="1"/>
    <m/>
  </r>
  <r>
    <n v="1209669172"/>
    <s v="1"/>
    <x v="138"/>
    <d v="2026-10-14T10:00:09"/>
    <d v="2026-10-14T04:00:07"/>
    <d v="2026-10-14T00:00:00"/>
    <s v=""/>
    <s v="CAJA"/>
    <n v="6"/>
    <s v="PENDIENTE APROBACION  ENVIO TMS"/>
    <s v="000000001209669172"/>
    <x v="1"/>
    <x v="1"/>
    <m/>
    <n v="1"/>
    <m/>
  </r>
  <r>
    <n v="1209669213"/>
    <s v="3"/>
    <x v="57"/>
    <d v="2026-10-14T10:00:11"/>
    <d v="2026-10-14T04:00:08"/>
    <d v="2026-10-14T00:00:00"/>
    <s v=""/>
    <s v="CAJA"/>
    <n v="24"/>
    <s v="PENDIENTE APROBACION  ENVIO TMS"/>
    <s v="000000001209669213"/>
    <x v="1"/>
    <x v="3"/>
    <m/>
    <n v="1"/>
    <m/>
  </r>
  <r>
    <n v="1209669189"/>
    <s v="1"/>
    <x v="138"/>
    <d v="2026-10-14T10:00:13"/>
    <d v="2026-10-14T04:00:10"/>
    <d v="2026-10-14T00:00:00"/>
    <s v=""/>
    <s v="PACK"/>
    <n v="45"/>
    <s v="PENDIENTE APROBACION  ENVIO TMS"/>
    <s v="000000001209669189"/>
    <x v="1"/>
    <x v="1"/>
    <m/>
    <n v="1"/>
    <m/>
  </r>
  <r>
    <n v="8209669202"/>
    <s v="3"/>
    <x v="57"/>
    <d v="2026-10-14T10:00:15"/>
    <d v="2026-10-14T04:00:12"/>
    <d v="2026-10-14T00:00:00"/>
    <s v=""/>
    <s v="UNIDAD"/>
    <n v="10"/>
    <s v="PENDIENTE APROBACION  ENVIO TMS"/>
    <s v="000000008209669202"/>
    <x v="2"/>
    <x v="3"/>
    <m/>
    <n v="1"/>
    <m/>
  </r>
  <r>
    <n v="1209669252"/>
    <s v="4"/>
    <x v="32"/>
    <d v="2026-10-14T10:00:17"/>
    <d v="2026-10-14T04:00:14"/>
    <d v="2026-10-14T00:00:00"/>
    <s v=""/>
    <s v="PACK"/>
    <n v="30"/>
    <s v="PENDIENTE APROBACION  ENVIO TMS"/>
    <s v="000000001209669252"/>
    <x v="1"/>
    <x v="3"/>
    <m/>
    <n v="1"/>
    <m/>
  </r>
  <r>
    <n v="1209669228"/>
    <s v="3"/>
    <x v="57"/>
    <d v="2026-10-14T10:00:18"/>
    <d v="2026-10-14T04:00:15"/>
    <d v="2026-10-14T00:00:00"/>
    <s v=""/>
    <s v="PACK"/>
    <n v="37"/>
    <s v="PENDIENTE APROBACION  ENVIO TMS"/>
    <s v="000000001209669228"/>
    <x v="1"/>
    <x v="3"/>
    <m/>
    <n v="1"/>
    <m/>
  </r>
  <r>
    <n v="8209669240"/>
    <s v="4"/>
    <x v="32"/>
    <d v="2026-10-14T10:00:19"/>
    <d v="2026-10-14T04:00:17"/>
    <d v="2026-10-14T00:00:00"/>
    <s v=""/>
    <s v="UNIDAD"/>
    <n v="4"/>
    <s v="PENDIENTE APROBACION  ENVIO TMS"/>
    <s v="000000008209669240"/>
    <x v="2"/>
    <x v="3"/>
    <m/>
    <n v="1"/>
    <m/>
  </r>
  <r>
    <n v="1209669211"/>
    <s v="3"/>
    <x v="57"/>
    <d v="2026-10-14T10:00:20"/>
    <d v="2026-10-14T04:00:18"/>
    <d v="2026-10-14T00:00:00"/>
    <s v=""/>
    <s v="CAJA"/>
    <n v="21"/>
    <s v="PENDIENTE APROBACION  ENVIO TMS"/>
    <s v="000000001209669211"/>
    <x v="1"/>
    <x v="3"/>
    <m/>
    <n v="1"/>
    <m/>
  </r>
  <r>
    <n v="1209669174"/>
    <s v="1"/>
    <x v="138"/>
    <d v="2026-10-14T10:00:22"/>
    <d v="2026-10-14T04:00:19"/>
    <d v="2026-10-14T00:00:00"/>
    <s v=""/>
    <s v="CAJA"/>
    <n v="11"/>
    <s v="PENDIENTE APROBACION  ENVIO TMS"/>
    <s v="000000001209669174"/>
    <x v="1"/>
    <x v="1"/>
    <m/>
    <n v="1"/>
    <m/>
  </r>
  <r>
    <n v="8209669203"/>
    <s v="3"/>
    <x v="57"/>
    <d v="2026-10-14T10:00:23"/>
    <d v="2026-10-14T04:00:20"/>
    <d v="2026-10-14T00:00:00"/>
    <s v=""/>
    <s v="UNIDAD"/>
    <n v="2"/>
    <s v="PENDIENTE APROBACION  ENVIO TMS"/>
    <s v="000000008209669203"/>
    <x v="2"/>
    <x v="3"/>
    <m/>
    <n v="1"/>
    <m/>
  </r>
  <r>
    <n v="8209669206"/>
    <s v="3"/>
    <x v="57"/>
    <d v="2026-10-14T10:00:24"/>
    <d v="2026-10-14T04:00:22"/>
    <d v="2026-10-14T00:00:00"/>
    <s v=""/>
    <s v="UNIDAD"/>
    <n v="1"/>
    <s v="PENDIENTE APROBACION  ENVIO TMS"/>
    <s v="000000008209669206"/>
    <x v="2"/>
    <x v="3"/>
    <m/>
    <n v="1"/>
    <m/>
  </r>
  <r>
    <n v="1209669260"/>
    <s v="4"/>
    <x v="32"/>
    <d v="2026-10-14T10:00:26"/>
    <d v="2026-10-14T04:00:23"/>
    <d v="2026-10-14T00:00:00"/>
    <s v=""/>
    <s v="CAJA"/>
    <n v="23"/>
    <s v="PENDIENTE APROBACION  ENVIO TMS"/>
    <s v="000000001209669260"/>
    <x v="1"/>
    <x v="3"/>
    <m/>
    <n v="1"/>
    <m/>
  </r>
  <r>
    <n v="1209669247"/>
    <s v="4"/>
    <x v="32"/>
    <d v="2026-10-14T10:00:27"/>
    <d v="2026-10-14T04:00:24"/>
    <d v="2026-10-14T00:00:00"/>
    <s v=""/>
    <s v="PACK"/>
    <n v="15"/>
    <s v="PENDIENTE APROBACION  ENVIO TMS"/>
    <s v="000000001209669247"/>
    <x v="1"/>
    <x v="3"/>
    <m/>
    <n v="1"/>
    <m/>
  </r>
  <r>
    <n v="8209669221"/>
    <s v="3"/>
    <x v="57"/>
    <d v="2026-10-14T10:00:29"/>
    <d v="2026-10-14T04:00:26"/>
    <d v="2026-10-14T00:00:00"/>
    <s v=""/>
    <s v="UNIDAD"/>
    <n v="6"/>
    <s v="PENDIENTE APROBACION  ENVIO TMS"/>
    <s v="000000008209669221"/>
    <x v="2"/>
    <x v="3"/>
    <m/>
    <n v="1"/>
    <m/>
  </r>
  <r>
    <n v="1209669245"/>
    <s v="4"/>
    <x v="32"/>
    <d v="2026-10-14T10:00:31"/>
    <d v="2026-10-14T04:00:28"/>
    <d v="2026-10-14T00:00:00"/>
    <s v=""/>
    <s v="CAJA"/>
    <n v="12"/>
    <s v="PENDIENTE APROBACION  ENVIO TMS"/>
    <s v="000000001209669245"/>
    <x v="1"/>
    <x v="3"/>
    <m/>
    <n v="1"/>
    <m/>
  </r>
  <r>
    <n v="1209669224"/>
    <s v="3"/>
    <x v="57"/>
    <d v="2026-10-14T10:00:33"/>
    <d v="2026-10-14T04:00:30"/>
    <d v="2026-10-14T00:00:00"/>
    <s v=""/>
    <s v="PACK"/>
    <n v="10"/>
    <s v="PENDIENTE APROBACION  ENVIO TMS"/>
    <s v="000000001209669224"/>
    <x v="1"/>
    <x v="3"/>
    <m/>
    <n v="1"/>
    <m/>
  </r>
  <r>
    <n v="8209669165"/>
    <s v="1"/>
    <x v="138"/>
    <d v="2026-10-14T10:00:34"/>
    <d v="2026-10-14T04:00:32"/>
    <d v="2026-10-14T00:00:00"/>
    <s v=""/>
    <s v="UNIDAD"/>
    <n v="5"/>
    <s v="PENDIENTE APROBACION  ENVIO TMS"/>
    <s v="000000008209669165"/>
    <x v="2"/>
    <x v="1"/>
    <m/>
    <n v="1"/>
    <m/>
  </r>
  <r>
    <n v="1209669171"/>
    <s v="1"/>
    <x v="138"/>
    <d v="2026-10-14T10:00:36"/>
    <d v="2026-10-14T04:00:33"/>
    <d v="2026-10-14T00:00:00"/>
    <s v=""/>
    <s v="CAJA"/>
    <n v="11"/>
    <s v="PENDIENTE APROBACION  ENVIO TMS"/>
    <s v="000000001209669171"/>
    <x v="1"/>
    <x v="1"/>
    <m/>
    <n v="1"/>
    <m/>
  </r>
  <r>
    <n v="8209669190"/>
    <s v="1"/>
    <x v="138"/>
    <d v="2026-10-14T10:00:37"/>
    <d v="2026-10-14T04:00:35"/>
    <d v="2026-10-14T00:00:00"/>
    <s v=""/>
    <s v="UNIDAD"/>
    <n v="1"/>
    <s v="PENDIENTE APROBACION  ENVIO TMS"/>
    <s v="000000008209669190"/>
    <x v="2"/>
    <x v="1"/>
    <m/>
    <n v="1"/>
    <m/>
  </r>
  <r>
    <n v="1209669192"/>
    <s v="1"/>
    <x v="138"/>
    <d v="2026-10-14T10:00:39"/>
    <d v="2026-10-14T04:00:36"/>
    <d v="2026-10-14T00:00:00"/>
    <s v=""/>
    <s v="PACK"/>
    <n v="5"/>
    <s v="PENDIENTE APROBACION  ENVIO TMS"/>
    <s v="000000001209669192"/>
    <x v="1"/>
    <x v="1"/>
    <m/>
    <n v="1"/>
    <m/>
  </r>
  <r>
    <n v="1209669209"/>
    <s v="3"/>
    <x v="57"/>
    <d v="2026-10-14T10:00:41"/>
    <d v="2026-10-14T04:00:39"/>
    <d v="2026-10-14T00:00:00"/>
    <s v=""/>
    <s v="PACK"/>
    <n v="10"/>
    <s v="PENDIENTE APROBACION  ENVIO TMS"/>
    <s v="000000001209669209"/>
    <x v="1"/>
    <x v="3"/>
    <m/>
    <n v="1"/>
    <m/>
  </r>
  <r>
    <n v="1209669182"/>
    <s v="1"/>
    <x v="138"/>
    <d v="2026-10-14T10:00:41"/>
    <d v="2026-10-14T04:00:37"/>
    <d v="2026-10-14T00:00:00"/>
    <s v=""/>
    <s v="CAJA"/>
    <n v="3"/>
    <s v="PENDIENTE APROBACION  ENVIO TMS"/>
    <s v="000000001209669182"/>
    <x v="1"/>
    <x v="1"/>
    <m/>
    <n v="1"/>
    <m/>
  </r>
  <r>
    <n v="1209669249"/>
    <s v="4"/>
    <x v="32"/>
    <d v="2026-10-14T10:00:43"/>
    <d v="2026-10-14T04:00:40"/>
    <d v="2026-10-14T00:00:00"/>
    <s v=""/>
    <s v="PACK"/>
    <n v="33"/>
    <s v="PENDIENTE APROBACION  ENVIO TMS"/>
    <s v="000000001209669249"/>
    <x v="1"/>
    <x v="3"/>
    <m/>
    <n v="1"/>
    <m/>
  </r>
  <r>
    <n v="8209669166"/>
    <s v="1"/>
    <x v="138"/>
    <d v="2026-10-14T10:00:44"/>
    <d v="2026-10-14T04:00:42"/>
    <d v="2026-10-14T00:00:00"/>
    <s v=""/>
    <s v="UNIDAD"/>
    <n v="9"/>
    <s v="PENDIENTE APROBACION  ENVIO TMS"/>
    <s v="000000008209669166"/>
    <x v="2"/>
    <x v="1"/>
    <m/>
    <n v="1"/>
    <m/>
  </r>
  <r>
    <n v="1209669212"/>
    <s v="3"/>
    <x v="57"/>
    <d v="2026-10-14T10:00:46"/>
    <d v="2026-10-14T04:00:44"/>
    <d v="2026-10-14T00:00:00"/>
    <s v=""/>
    <s v="PACK"/>
    <n v="26"/>
    <s v="PENDIENTE APROBACION  ENVIO TMS"/>
    <s v="000000001209669212"/>
    <x v="1"/>
    <x v="3"/>
    <m/>
    <n v="1"/>
    <m/>
  </r>
  <r>
    <n v="8209669167"/>
    <s v="1"/>
    <x v="138"/>
    <d v="2026-10-14T10:00:46"/>
    <d v="2026-10-14T04:00:43"/>
    <d v="2026-10-14T00:00:00"/>
    <s v=""/>
    <s v="UNIDAD"/>
    <n v="7"/>
    <s v="PENDIENTE APROBACION  ENVIO TMS"/>
    <s v="000000008209669167"/>
    <x v="2"/>
    <x v="1"/>
    <m/>
    <n v="1"/>
    <m/>
  </r>
  <r>
    <n v="1209669184"/>
    <s v="1"/>
    <x v="138"/>
    <d v="2026-10-14T10:00:48"/>
    <d v="2026-10-14T04:00:46"/>
    <d v="2026-10-14T00:00:00"/>
    <s v=""/>
    <s v="CAJA"/>
    <n v="18"/>
    <s v="PENDIENTE APROBACION  ENVIO TMS"/>
    <s v="000000001209669184"/>
    <x v="1"/>
    <x v="1"/>
    <m/>
    <n v="1"/>
    <m/>
  </r>
  <r>
    <n v="8209669204"/>
    <s v="3"/>
    <x v="57"/>
    <d v="2026-10-14T10:00:50"/>
    <d v="2026-10-14T04:00:47"/>
    <d v="2026-10-14T00:00:00"/>
    <s v=""/>
    <s v="UNIDAD"/>
    <n v="22"/>
    <s v="PENDIENTE APROBACION  ENVIO TMS"/>
    <s v="000000008209669204"/>
    <x v="2"/>
    <x v="3"/>
    <m/>
    <n v="1"/>
    <m/>
  </r>
  <r>
    <n v="1209669215"/>
    <s v="3"/>
    <x v="57"/>
    <d v="2026-10-14T10:00:51"/>
    <d v="2026-10-14T04:00:49"/>
    <d v="2026-10-14T00:00:00"/>
    <s v=""/>
    <s v="CAJA"/>
    <n v="2"/>
    <s v="PENDIENTE APROBACION  ENVIO TMS"/>
    <s v="000000001209669215"/>
    <x v="1"/>
    <x v="3"/>
    <m/>
    <n v="1"/>
    <m/>
  </r>
  <r>
    <n v="8209669220"/>
    <s v="3"/>
    <x v="57"/>
    <d v="2026-10-14T10:00:53"/>
    <d v="2026-10-14T04:00:51"/>
    <d v="2026-10-14T00:00:00"/>
    <s v=""/>
    <s v="UNIDAD"/>
    <n v="12"/>
    <s v="PENDIENTE APROBACION  ENVIO TMS"/>
    <s v="000000008209669220"/>
    <x v="2"/>
    <x v="3"/>
    <m/>
    <n v="1"/>
    <m/>
  </r>
  <r>
    <n v="1209669227"/>
    <s v="3"/>
    <x v="57"/>
    <d v="2026-10-14T10:00:55"/>
    <d v="2026-10-14T04:00:53"/>
    <d v="2026-10-14T00:00:00"/>
    <s v=""/>
    <s v="CAJA"/>
    <n v="44"/>
    <s v="PENDIENTE APROBACION  ENVIO TMS"/>
    <s v="000000001209669227"/>
    <x v="1"/>
    <x v="3"/>
    <m/>
    <n v="1"/>
    <m/>
  </r>
  <r>
    <n v="8209669239"/>
    <s v="4"/>
    <x v="32"/>
    <d v="2026-10-14T10:00:57"/>
    <d v="2026-10-14T04:00:54"/>
    <d v="2026-10-14T00:00:00"/>
    <s v=""/>
    <s v="UNIDAD"/>
    <n v="4"/>
    <s v="PENDIENTE APROBACION  ENVIO TMS"/>
    <s v="000000008209669239"/>
    <x v="2"/>
    <x v="3"/>
    <m/>
    <n v="1"/>
    <m/>
  </r>
  <r>
    <n v="1209669243"/>
    <s v="4"/>
    <x v="32"/>
    <d v="2026-10-14T10:00:59"/>
    <d v="2026-10-14T04:00:56"/>
    <d v="2026-10-14T00:00:00"/>
    <s v=""/>
    <s v="CAJA"/>
    <n v="6"/>
    <s v="PENDIENTE APROBACION  ENVIO TMS"/>
    <s v="000000001209669243"/>
    <x v="1"/>
    <x v="3"/>
    <m/>
    <n v="1"/>
    <m/>
  </r>
  <r>
    <n v="1209669244"/>
    <s v="4"/>
    <x v="32"/>
    <d v="2026-10-14T10:01:01"/>
    <d v="2026-10-14T04:00:58"/>
    <d v="2026-10-14T00:00:00"/>
    <s v=""/>
    <s v="PACK"/>
    <n v="14"/>
    <s v="PENDIENTE APROBACION  ENVIO TMS"/>
    <s v="000000001209669244"/>
    <x v="1"/>
    <x v="3"/>
    <m/>
    <n v="1"/>
    <m/>
  </r>
  <r>
    <n v="8209669332"/>
    <s v="9"/>
    <x v="16"/>
    <d v="2026-10-14T10:04:12"/>
    <d v="2026-10-14T04:04:10"/>
    <d v="2026-10-14T00:00:00"/>
    <s v=""/>
    <s v="UNIDAD"/>
    <n v="9"/>
    <s v="PENDIENTE APROBACION  ENVIO TMS"/>
    <s v="000000008209669332"/>
    <x v="2"/>
    <x v="0"/>
    <m/>
    <n v="1"/>
    <m/>
  </r>
  <r>
    <n v="1209669384"/>
    <s v="10"/>
    <x v="121"/>
    <d v="2026-10-14T10:04:14"/>
    <d v="2026-10-14T04:04:11"/>
    <d v="2026-10-14T00:00:00"/>
    <s v=""/>
    <s v="CAJA"/>
    <n v="23"/>
    <s v="PENDIENTE APROBACION  ENVIO TMS"/>
    <s v="000000001209669384"/>
    <x v="1"/>
    <x v="0"/>
    <m/>
    <n v="1"/>
    <m/>
  </r>
  <r>
    <n v="1209669340"/>
    <s v="9"/>
    <x v="16"/>
    <d v="2026-10-14T10:04:15"/>
    <d v="2026-10-14T04:04:13"/>
    <d v="2026-10-14T00:00:00"/>
    <s v=""/>
    <s v="CAJA"/>
    <n v="11"/>
    <s v="PENDIENTE APROBACION  ENVIO TMS"/>
    <s v="000000001209669340"/>
    <x v="1"/>
    <x v="0"/>
    <m/>
    <n v="1"/>
    <m/>
  </r>
  <r>
    <n v="8209669361"/>
    <s v="10"/>
    <x v="121"/>
    <d v="2026-10-14T10:04:17"/>
    <d v="2026-10-14T04:04:14"/>
    <d v="2026-10-14T00:00:00"/>
    <s v=""/>
    <s v="UNIDAD"/>
    <n v="2"/>
    <s v="PENDIENTE APROBACION  ENVIO TMS"/>
    <s v="000000008209669361"/>
    <x v="2"/>
    <x v="0"/>
    <m/>
    <n v="1"/>
    <m/>
  </r>
  <r>
    <n v="1209669381"/>
    <s v="10"/>
    <x v="121"/>
    <d v="2026-10-14T10:04:18"/>
    <d v="2026-10-14T04:04:15"/>
    <d v="2026-10-14T00:00:00"/>
    <s v=""/>
    <s v="CAJA"/>
    <n v="14"/>
    <s v="PENDIENTE APROBACION  ENVIO TMS"/>
    <s v="000000001209669381"/>
    <x v="1"/>
    <x v="0"/>
    <m/>
    <n v="1"/>
    <m/>
  </r>
  <r>
    <n v="8209669407"/>
    <s v="11"/>
    <x v="61"/>
    <d v="2026-10-14T10:04:19"/>
    <d v="2026-10-14T04:04:16"/>
    <d v="2026-10-14T00:00:00"/>
    <s v=""/>
    <s v="UNIDAD"/>
    <n v="13"/>
    <s v="PENDIENTE APROBACION  ENVIO TMS"/>
    <s v="000000008209669407"/>
    <x v="2"/>
    <x v="1"/>
    <m/>
    <n v="1"/>
    <m/>
  </r>
  <r>
    <n v="1209669409"/>
    <s v="11"/>
    <x v="61"/>
    <d v="2026-10-14T10:04:20"/>
    <d v="2026-10-14T04:04:17"/>
    <d v="2026-10-14T00:00:00"/>
    <s v=""/>
    <s v="CAJA"/>
    <n v="7"/>
    <s v="PENDIENTE APROBACION  ENVIO TMS"/>
    <s v="000000001209669409"/>
    <x v="1"/>
    <x v="1"/>
    <m/>
    <n v="1"/>
    <m/>
  </r>
  <r>
    <n v="1209669324"/>
    <s v="6"/>
    <x v="48"/>
    <d v="2026-10-14T10:04:21"/>
    <d v="2026-10-14T04:04:19"/>
    <d v="2026-10-14T00:00:00"/>
    <s v=""/>
    <s v="CAJA"/>
    <n v="34"/>
    <s v="PENDIENTE APROBACION  ENVIO TMS"/>
    <s v="000000001209669324"/>
    <x v="1"/>
    <x v="3"/>
    <m/>
    <n v="1"/>
    <m/>
  </r>
  <r>
    <n v="1209669335"/>
    <s v="9"/>
    <x v="16"/>
    <d v="2026-10-14T10:04:23"/>
    <d v="2026-10-14T04:04:20"/>
    <d v="2026-10-14T00:00:00"/>
    <s v=""/>
    <s v="CAJA"/>
    <n v="3"/>
    <s v="PENDIENTE APROBACION  ENVIO TMS"/>
    <s v="000000001209669335"/>
    <x v="1"/>
    <x v="0"/>
    <m/>
    <n v="1"/>
    <m/>
  </r>
  <r>
    <n v="1209669339"/>
    <s v="9"/>
    <x v="16"/>
    <d v="2026-10-14T10:04:23"/>
    <d v="2026-10-14T04:04:21"/>
    <d v="2026-10-14T00:00:00"/>
    <s v=""/>
    <s v="CAJA"/>
    <n v="13"/>
    <s v="PENDIENTE APROBACION  ENVIO TMS"/>
    <s v="000000001209669339"/>
    <x v="1"/>
    <x v="0"/>
    <m/>
    <n v="1"/>
    <m/>
  </r>
  <r>
    <n v="8209669366"/>
    <s v="10"/>
    <x v="121"/>
    <d v="2026-10-14T10:04:25"/>
    <d v="2026-10-14T04:04:22"/>
    <d v="2026-10-14T00:00:00"/>
    <s v=""/>
    <s v="UNIDAD"/>
    <n v="1"/>
    <s v="PENDIENTE APROBACION  ENVIO TMS"/>
    <s v="000000008209669366"/>
    <x v="2"/>
    <x v="0"/>
    <m/>
    <n v="1"/>
    <m/>
  </r>
  <r>
    <n v="8209669376"/>
    <s v="10"/>
    <x v="121"/>
    <d v="2026-10-14T10:04:26"/>
    <d v="2026-10-14T04:04:24"/>
    <d v="2026-10-14T00:00:00"/>
    <s v=""/>
    <s v="UNIDAD"/>
    <n v="1"/>
    <s v="PENDIENTE APROBACION  ENVIO TMS"/>
    <s v="000000008209669376"/>
    <x v="2"/>
    <x v="0"/>
    <m/>
    <n v="1"/>
    <m/>
  </r>
  <r>
    <n v="1209669408"/>
    <s v="11"/>
    <x v="61"/>
    <d v="2026-10-14T10:04:28"/>
    <d v="2026-10-14T04:04:25"/>
    <d v="2026-10-14T00:00:00"/>
    <s v=""/>
    <s v="CAJA"/>
    <n v="1"/>
    <s v="PENDIENTE APROBACION  ENVIO TMS"/>
    <s v="000000001209669408"/>
    <x v="1"/>
    <x v="1"/>
    <m/>
    <n v="1"/>
    <m/>
  </r>
  <r>
    <n v="1209669276"/>
    <s v="5"/>
    <x v="91"/>
    <d v="2026-10-14T10:04:29"/>
    <d v="2026-10-14T04:04:26"/>
    <d v="2026-10-14T00:00:00"/>
    <s v=""/>
    <s v="PACK"/>
    <n v="14"/>
    <s v="PENDIENTE APROBACION  ENVIO TMS"/>
    <s v="000000001209669276"/>
    <x v="1"/>
    <x v="3"/>
    <m/>
    <n v="1"/>
    <m/>
  </r>
  <r>
    <n v="1209669278"/>
    <s v="5"/>
    <x v="91"/>
    <d v="2026-10-14T10:04:29"/>
    <d v="2026-10-14T04:04:27"/>
    <d v="2026-10-14T00:00:00"/>
    <s v=""/>
    <s v="CAJA"/>
    <n v="13"/>
    <s v="PENDIENTE APROBACION  ENVIO TMS"/>
    <s v="000000001209669278"/>
    <x v="1"/>
    <x v="3"/>
    <m/>
    <n v="1"/>
    <m/>
  </r>
  <r>
    <n v="1209669282"/>
    <s v="5"/>
    <x v="91"/>
    <d v="2026-10-14T10:04:31"/>
    <d v="2026-10-14T04:04:28"/>
    <d v="2026-10-14T00:00:00"/>
    <s v=""/>
    <s v="CAJA"/>
    <n v="31"/>
    <s v="PENDIENTE APROBACION  ENVIO TMS"/>
    <s v="000000001209669282"/>
    <x v="1"/>
    <x v="3"/>
    <m/>
    <n v="1"/>
    <m/>
  </r>
  <r>
    <n v="1209669322"/>
    <s v="6"/>
    <x v="48"/>
    <d v="2026-10-14T10:04:32"/>
    <d v="2026-10-14T04:04:30"/>
    <d v="2026-10-14T00:00:00"/>
    <s v=""/>
    <s v="PACK"/>
    <n v="26"/>
    <s v="PENDIENTE APROBACION  ENVIO TMS"/>
    <s v="000000001209669322"/>
    <x v="1"/>
    <x v="3"/>
    <m/>
    <n v="1"/>
    <m/>
  </r>
  <r>
    <n v="1209669323"/>
    <s v="6"/>
    <x v="48"/>
    <d v="2026-10-14T10:04:34"/>
    <d v="2026-10-14T04:04:31"/>
    <d v="2026-10-14T00:00:00"/>
    <s v=""/>
    <s v="PACK"/>
    <n v="33"/>
    <s v="PENDIENTE APROBACION  ENVIO TMS"/>
    <s v="000000001209669323"/>
    <x v="1"/>
    <x v="3"/>
    <m/>
    <n v="1"/>
    <m/>
  </r>
  <r>
    <n v="8209669272"/>
    <s v="5"/>
    <x v="91"/>
    <d v="2026-10-14T10:04:35"/>
    <d v="2026-10-14T04:04:32"/>
    <d v="2026-10-14T00:00:00"/>
    <s v=""/>
    <s v="UNIDAD"/>
    <n v="1"/>
    <s v="PENDIENTE APROBACION  ENVIO TMS"/>
    <s v="000000008209669272"/>
    <x v="2"/>
    <x v="3"/>
    <m/>
    <n v="1"/>
    <m/>
  </r>
  <r>
    <n v="8209669333"/>
    <s v="9"/>
    <x v="16"/>
    <d v="2026-10-14T10:04:36"/>
    <d v="2026-10-14T04:04:34"/>
    <d v="2026-10-14T00:00:00"/>
    <s v=""/>
    <s v="UNIDAD"/>
    <n v="23"/>
    <s v="PENDIENTE APROBACION  ENVIO TMS"/>
    <s v="000000008209669333"/>
    <x v="2"/>
    <x v="0"/>
    <m/>
    <n v="1"/>
    <m/>
  </r>
  <r>
    <n v="8209669378"/>
    <s v="10"/>
    <x v="121"/>
    <d v="2026-10-14T10:04:38"/>
    <d v="2026-10-14T04:04:35"/>
    <d v="2026-10-14T00:00:00"/>
    <s v=""/>
    <s v="UNIDAD"/>
    <n v="9"/>
    <s v="PENDIENTE APROBACION  ENVIO TMS"/>
    <s v="000000008209669378"/>
    <x v="2"/>
    <x v="0"/>
    <m/>
    <n v="1"/>
    <m/>
  </r>
  <r>
    <n v="1209669411"/>
    <s v="11"/>
    <x v="61"/>
    <d v="2026-10-14T10:04:40"/>
    <d v="2026-10-14T04:04:37"/>
    <d v="2026-10-14T00:00:00"/>
    <s v=""/>
    <s v="PACK"/>
    <n v="13"/>
    <s v="PENDIENTE APROBACION  ENVIO TMS"/>
    <s v="000000001209669411"/>
    <x v="1"/>
    <x v="1"/>
    <m/>
    <n v="1"/>
    <m/>
  </r>
  <r>
    <n v="1209669415"/>
    <s v="11"/>
    <x v="61"/>
    <d v="2026-10-14T10:04:41"/>
    <d v="2026-10-14T04:04:38"/>
    <d v="2026-10-14T00:00:00"/>
    <s v=""/>
    <s v="CAJA"/>
    <n v="25"/>
    <s v="PENDIENTE APROBACION  ENVIO TMS"/>
    <s v="000000001209669415"/>
    <x v="1"/>
    <x v="1"/>
    <m/>
    <n v="1"/>
    <m/>
  </r>
  <r>
    <n v="1209669277"/>
    <s v="5"/>
    <x v="91"/>
    <d v="2026-10-14T10:04:42"/>
    <d v="2026-10-14T04:04:40"/>
    <d v="2026-10-14T00:00:00"/>
    <s v=""/>
    <s v="CAJA"/>
    <n v="15"/>
    <s v="PENDIENTE APROBACION  ENVIO TMS"/>
    <s v="000000001209669277"/>
    <x v="1"/>
    <x v="3"/>
    <m/>
    <n v="1"/>
    <m/>
  </r>
  <r>
    <n v="8209669271"/>
    <s v="5"/>
    <x v="91"/>
    <d v="2026-10-14T10:04:44"/>
    <d v="2026-10-14T04:04:41"/>
    <d v="2026-10-14T00:00:00"/>
    <s v=""/>
    <s v="UNIDAD"/>
    <n v="6"/>
    <s v="PENDIENTE APROBACION  ENVIO TMS"/>
    <s v="000000008209669271"/>
    <x v="2"/>
    <x v="3"/>
    <m/>
    <n v="1"/>
    <m/>
  </r>
  <r>
    <n v="8209669331"/>
    <s v="9"/>
    <x v="16"/>
    <d v="2026-10-14T10:04:45"/>
    <d v="2026-10-14T04:04:42"/>
    <d v="2026-10-14T00:00:00"/>
    <s v=""/>
    <s v="UNIDAD"/>
    <n v="1"/>
    <s v="PENDIENTE APROBACION  ENVIO TMS"/>
    <s v="000000008209669331"/>
    <x v="2"/>
    <x v="0"/>
    <m/>
    <n v="1"/>
    <m/>
  </r>
  <r>
    <n v="1209669338"/>
    <s v="9"/>
    <x v="16"/>
    <d v="2026-10-14T10:04:46"/>
    <d v="2026-10-14T04:04:43"/>
    <d v="2026-10-14T00:00:00"/>
    <s v=""/>
    <s v="PACK"/>
    <n v="9"/>
    <s v="PENDIENTE APROBACION  ENVIO TMS"/>
    <s v="000000001209669338"/>
    <x v="1"/>
    <x v="0"/>
    <m/>
    <n v="1"/>
    <m/>
  </r>
  <r>
    <n v="1209669343"/>
    <s v="9"/>
    <x v="16"/>
    <d v="2026-10-14T10:04:47"/>
    <d v="2026-10-14T04:04:45"/>
    <d v="2026-10-14T00:00:00"/>
    <s v=""/>
    <s v="PACK"/>
    <n v="28"/>
    <s v="PENDIENTE APROBACION  ENVIO TMS"/>
    <s v="000000001209669343"/>
    <x v="1"/>
    <x v="0"/>
    <m/>
    <n v="1"/>
    <m/>
  </r>
  <r>
    <n v="1209669327"/>
    <s v="6"/>
    <x v="48"/>
    <d v="2026-10-14T10:04:49"/>
    <d v="2026-10-14T04:04:46"/>
    <d v="2026-10-14T00:00:00"/>
    <s v=""/>
    <s v="CAJA"/>
    <n v="71"/>
    <s v="PENDIENTE APROBACION  ENVIO TMS"/>
    <s v="000000001209669327"/>
    <x v="1"/>
    <x v="3"/>
    <m/>
    <n v="1"/>
    <m/>
  </r>
  <r>
    <n v="1209669307"/>
    <s v="6"/>
    <x v="48"/>
    <d v="2026-10-14T10:04:51"/>
    <d v="2026-10-14T04:04:48"/>
    <d v="2026-10-14T00:00:00"/>
    <s v=""/>
    <s v="UNIDAD"/>
    <n v="28"/>
    <s v="PENDIENTE APROBACION  ENVIO TMS"/>
    <s v="000000001209669307"/>
    <x v="1"/>
    <x v="3"/>
    <m/>
    <n v="1"/>
    <m/>
  </r>
  <r>
    <n v="1209669314"/>
    <s v="6"/>
    <x v="48"/>
    <d v="2026-10-14T10:04:52"/>
    <d v="2026-10-14T04:04:49"/>
    <d v="2026-10-14T00:00:00"/>
    <s v=""/>
    <s v="CAJA"/>
    <n v="12"/>
    <s v="PENDIENTE APROBACION  ENVIO TMS"/>
    <s v="000000001209669314"/>
    <x v="1"/>
    <x v="3"/>
    <m/>
    <n v="1"/>
    <m/>
  </r>
  <r>
    <n v="8209669303"/>
    <s v="6"/>
    <x v="48"/>
    <d v="2026-10-14T10:04:52"/>
    <d v="2026-10-14T04:04:50"/>
    <d v="2026-10-14T00:00:00"/>
    <s v=""/>
    <s v="UNIDAD"/>
    <n v="36"/>
    <s v="PENDIENTE APROBACION  ENVIO TMS"/>
    <s v="000000008209669303"/>
    <x v="2"/>
    <x v="3"/>
    <m/>
    <n v="1"/>
    <m/>
  </r>
  <r>
    <n v="8209669318"/>
    <s v="6"/>
    <x v="48"/>
    <d v="2026-10-14T10:04:54"/>
    <d v="2026-10-14T04:04:51"/>
    <d v="2026-10-14T00:00:00"/>
    <s v=""/>
    <s v="PACK"/>
    <n v="28"/>
    <s v="PENDIENTE APROBACION  ENVIO TMS"/>
    <s v="000000008209669318"/>
    <x v="2"/>
    <x v="3"/>
    <m/>
    <n v="1"/>
    <m/>
  </r>
  <r>
    <n v="1209669285"/>
    <s v="5"/>
    <x v="91"/>
    <d v="2026-10-14T10:04:55"/>
    <d v="2026-10-14T04:04:53"/>
    <d v="2026-10-14T00:00:00"/>
    <s v=""/>
    <s v="PACK"/>
    <n v="41"/>
    <s v="PENDIENTE APROBACION  ENVIO TMS"/>
    <s v="000000001209669285"/>
    <x v="1"/>
    <x v="3"/>
    <m/>
    <n v="1"/>
    <m/>
  </r>
  <r>
    <n v="1209669289"/>
    <s v="5"/>
    <x v="91"/>
    <d v="2026-10-14T10:04:57"/>
    <d v="2026-10-14T04:04:54"/>
    <d v="2026-10-14T00:00:00"/>
    <s v=""/>
    <s v="UNIDAD"/>
    <n v="32"/>
    <s v="PENDIENTE APROBACION  ENVIO TMS"/>
    <s v="000000001209669289"/>
    <x v="1"/>
    <x v="3"/>
    <m/>
    <n v="1"/>
    <m/>
  </r>
  <r>
    <n v="8209669404"/>
    <s v="11"/>
    <x v="61"/>
    <d v="2026-10-14T10:04:58"/>
    <d v="2026-10-14T04:04:55"/>
    <d v="2026-10-14T00:00:00"/>
    <s v=""/>
    <s v="UNIDAD"/>
    <n v="1"/>
    <s v="PENDIENTE APROBACION  ENVIO TMS"/>
    <s v="000000008209669404"/>
    <x v="2"/>
    <x v="1"/>
    <m/>
    <n v="1"/>
    <m/>
  </r>
  <r>
    <n v="1209669385"/>
    <s v="10"/>
    <x v="121"/>
    <d v="2026-10-14T10:05:00"/>
    <d v="2026-10-14T04:04:57"/>
    <d v="2026-10-14T00:00:00"/>
    <s v=""/>
    <s v="CAJA"/>
    <n v="81"/>
    <s v="PENDIENTE APROBACION  ENVIO TMS"/>
    <s v="000000001209669385"/>
    <x v="1"/>
    <x v="0"/>
    <m/>
    <n v="1"/>
    <m/>
  </r>
  <r>
    <n v="1209669341"/>
    <s v="9"/>
    <x v="16"/>
    <d v="2026-10-14T10:05:02"/>
    <d v="2026-10-14T04:04:59"/>
    <d v="2026-10-14T00:00:00"/>
    <s v=""/>
    <s v="CAJA"/>
    <n v="29"/>
    <s v="PENDIENTE APROBACION  ENVIO TMS"/>
    <s v="000000001209669341"/>
    <x v="1"/>
    <x v="0"/>
    <m/>
    <n v="1"/>
    <m/>
  </r>
  <r>
    <n v="1209669383"/>
    <s v="10"/>
    <x v="121"/>
    <d v="2026-10-14T10:05:03"/>
    <d v="2026-10-14T04:05:00"/>
    <d v="2026-10-14T00:00:00"/>
    <s v=""/>
    <s v="CAJA"/>
    <n v="17"/>
    <s v="PENDIENTE APROBACION  ENVIO TMS"/>
    <s v="000000001209669383"/>
    <x v="1"/>
    <x v="0"/>
    <m/>
    <n v="1"/>
    <m/>
  </r>
  <r>
    <n v="1209669326"/>
    <s v="6"/>
    <x v="48"/>
    <d v="2026-10-14T10:05:04"/>
    <d v="2026-10-14T04:05:02"/>
    <d v="2026-10-14T00:00:00"/>
    <s v=""/>
    <s v="CAJA"/>
    <n v="67"/>
    <s v="PENDIENTE APROBACION  ENVIO TMS"/>
    <s v="000000001209669326"/>
    <x v="1"/>
    <x v="3"/>
    <m/>
    <n v="1"/>
    <m/>
  </r>
  <r>
    <n v="1209669412"/>
    <s v="11"/>
    <x v="61"/>
    <d v="2026-10-14T10:05:05"/>
    <d v="2026-10-14T04:05:03"/>
    <d v="2026-10-14T00:00:00"/>
    <s v=""/>
    <s v="CAJA"/>
    <n v="11"/>
    <s v="PENDIENTE APROBACION  ENVIO TMS"/>
    <s v="000000001209669412"/>
    <x v="1"/>
    <x v="1"/>
    <m/>
    <n v="1"/>
    <m/>
  </r>
  <r>
    <n v="1209669280"/>
    <s v="5"/>
    <x v="91"/>
    <d v="2026-10-14T10:05:07"/>
    <d v="2026-10-14T04:05:04"/>
    <d v="2026-10-14T00:00:00"/>
    <s v=""/>
    <s v="CAJA"/>
    <n v="19"/>
    <s v="PENDIENTE APROBACION  ENVIO TMS"/>
    <s v="000000001209669280"/>
    <x v="1"/>
    <x v="3"/>
    <m/>
    <n v="1"/>
    <m/>
  </r>
  <r>
    <n v="8209669319"/>
    <s v="6"/>
    <x v="48"/>
    <d v="2026-10-14T10:05:08"/>
    <d v="2026-10-14T04:05:05"/>
    <d v="2026-10-14T00:00:00"/>
    <s v=""/>
    <s v="UNIDAD"/>
    <n v="13"/>
    <s v="PENDIENTE APROBACION  ENVIO TMS"/>
    <s v="000000008209669319"/>
    <x v="2"/>
    <x v="3"/>
    <m/>
    <n v="1"/>
    <m/>
  </r>
  <r>
    <n v="1209669328"/>
    <s v="6"/>
    <x v="48"/>
    <d v="2026-10-14T10:05:09"/>
    <d v="2026-10-14T04:05:07"/>
    <d v="2026-10-14T00:00:00"/>
    <s v=""/>
    <s v="PACK"/>
    <n v="58"/>
    <s v="PENDIENTE APROBACION  ENVIO TMS"/>
    <s v="000000001209669328"/>
    <x v="1"/>
    <x v="3"/>
    <m/>
    <n v="1"/>
    <m/>
  </r>
  <r>
    <n v="1209669382"/>
    <s v="10"/>
    <x v="121"/>
    <d v="2026-10-14T10:05:10"/>
    <d v="2026-10-14T04:05:08"/>
    <d v="2026-10-14T00:00:00"/>
    <s v=""/>
    <s v="CAJA"/>
    <n v="28"/>
    <s v="PENDIENTE APROBACION  ENVIO TMS"/>
    <s v="000000001209669382"/>
    <x v="1"/>
    <x v="0"/>
    <m/>
    <n v="1"/>
    <m/>
  </r>
  <r>
    <n v="1209669374"/>
    <s v="10"/>
    <x v="121"/>
    <d v="2026-10-14T10:05:12"/>
    <d v="2026-10-14T04:05:09"/>
    <d v="2026-10-14T00:00:00"/>
    <s v=""/>
    <s v="PACK"/>
    <n v="30"/>
    <s v="PENDIENTE APROBACION  ENVIO TMS"/>
    <s v="000000001209669374"/>
    <x v="1"/>
    <x v="0"/>
    <m/>
    <n v="1"/>
    <m/>
  </r>
  <r>
    <n v="8209669406"/>
    <s v="11"/>
    <x v="61"/>
    <d v="2026-10-14T10:05:13"/>
    <d v="2026-10-14T04:05:11"/>
    <d v="2026-10-14T00:00:00"/>
    <s v=""/>
    <s v="UNIDAD"/>
    <n v="24"/>
    <s v="PENDIENTE APROBACION  ENVIO TMS"/>
    <s v="000000008209669406"/>
    <x v="2"/>
    <x v="1"/>
    <m/>
    <n v="1"/>
    <m/>
  </r>
  <r>
    <n v="1209669416"/>
    <s v="11"/>
    <x v="61"/>
    <d v="2026-10-14T10:05:15"/>
    <d v="2026-10-14T04:05:12"/>
    <d v="2026-10-14T00:00:00"/>
    <s v=""/>
    <s v="CAJA"/>
    <n v="27"/>
    <s v="PENDIENTE APROBACION  ENVIO TMS"/>
    <s v="000000001209669416"/>
    <x v="1"/>
    <x v="1"/>
    <m/>
    <n v="1"/>
    <m/>
  </r>
  <r>
    <n v="1209669279"/>
    <s v="5"/>
    <x v="91"/>
    <d v="2026-10-14T10:05:16"/>
    <d v="2026-10-14T04:05:13"/>
    <d v="2026-10-14T00:00:00"/>
    <s v=""/>
    <s v="PACK"/>
    <n v="15"/>
    <s v="PENDIENTE APROBACION  ENVIO TMS"/>
    <s v="000000001209669279"/>
    <x v="1"/>
    <x v="3"/>
    <m/>
    <n v="1"/>
    <m/>
  </r>
  <r>
    <n v="8209669316"/>
    <s v="6"/>
    <x v="48"/>
    <d v="2026-10-14T10:05:17"/>
    <d v="2026-10-14T04:05:15"/>
    <d v="2026-10-14T00:00:00"/>
    <s v=""/>
    <s v="UNIDAD"/>
    <n v="2"/>
    <s v="PENDIENTE APROBACION  ENVIO TMS"/>
    <s v="000000008209669316"/>
    <x v="2"/>
    <x v="3"/>
    <m/>
    <n v="1"/>
    <m/>
  </r>
  <r>
    <n v="8209669317"/>
    <s v="6"/>
    <x v="48"/>
    <d v="2026-10-14T10:05:18"/>
    <d v="2026-10-14T04:05:16"/>
    <d v="2026-10-14T00:00:00"/>
    <s v=""/>
    <s v="UNIDAD"/>
    <n v="1"/>
    <s v="PENDIENTE APROBACION  ENVIO TMS"/>
    <s v="000000008209669317"/>
    <x v="2"/>
    <x v="3"/>
    <m/>
    <n v="1"/>
    <m/>
  </r>
  <r>
    <n v="1209669336"/>
    <s v="9"/>
    <x v="16"/>
    <d v="2026-10-14T10:05:20"/>
    <d v="2026-10-14T04:05:17"/>
    <d v="2026-10-14T00:00:00"/>
    <s v=""/>
    <s v="CAJA"/>
    <n v="7"/>
    <s v="PENDIENTE APROBACION  ENVIO TMS"/>
    <s v="000000001209669336"/>
    <x v="1"/>
    <x v="0"/>
    <m/>
    <n v="1"/>
    <m/>
  </r>
  <r>
    <n v="1209669399"/>
    <s v="11"/>
    <x v="61"/>
    <d v="2026-10-14T10:05:21"/>
    <d v="2026-10-14T04:05:18"/>
    <d v="2026-10-14T00:00:00"/>
    <s v=""/>
    <s v="CAJA"/>
    <n v="11"/>
    <s v="PENDIENTE APROBACION  ENVIO TMS"/>
    <s v="000000001209669399"/>
    <x v="1"/>
    <x v="1"/>
    <m/>
    <n v="1"/>
    <m/>
  </r>
  <r>
    <n v="8209669375"/>
    <s v="10"/>
    <x v="121"/>
    <d v="2026-10-14T10:05:22"/>
    <d v="2026-10-14T04:05:20"/>
    <d v="2026-10-14T00:00:00"/>
    <s v=""/>
    <s v="UNIDAD"/>
    <n v="3"/>
    <s v="PENDIENTE APROBACION  ENVIO TMS"/>
    <s v="000000008209669375"/>
    <x v="2"/>
    <x v="0"/>
    <m/>
    <n v="1"/>
    <m/>
  </r>
  <r>
    <n v="8209669377"/>
    <s v="10"/>
    <x v="121"/>
    <d v="2026-10-14T10:05:23"/>
    <d v="2026-10-14T04:05:21"/>
    <d v="2026-10-14T00:00:00"/>
    <s v=""/>
    <s v="UNIDAD"/>
    <n v="10"/>
    <s v="PENDIENTE APROBACION  ENVIO TMS"/>
    <s v="000000008209669377"/>
    <x v="2"/>
    <x v="0"/>
    <m/>
    <n v="1"/>
    <m/>
  </r>
  <r>
    <n v="1209669379"/>
    <s v="10"/>
    <x v="121"/>
    <d v="2026-10-14T10:05:25"/>
    <d v="2026-10-14T04:05:22"/>
    <d v="2026-10-14T00:00:00"/>
    <s v=""/>
    <s v="CAJA"/>
    <n v="5"/>
    <s v="PENDIENTE APROBACION  ENVIO TMS"/>
    <s v="000000001209669379"/>
    <x v="1"/>
    <x v="0"/>
    <m/>
    <n v="1"/>
    <m/>
  </r>
  <r>
    <n v="1209669417"/>
    <s v="11"/>
    <x v="61"/>
    <d v="2026-10-14T10:05:26"/>
    <d v="2026-10-14T04:05:23"/>
    <d v="2026-10-14T00:00:00"/>
    <s v=""/>
    <s v="PACK"/>
    <n v="54"/>
    <s v="PENDIENTE APROBACION  ENVIO TMS"/>
    <s v="000000001209669417"/>
    <x v="1"/>
    <x v="1"/>
    <m/>
    <n v="1"/>
    <m/>
  </r>
  <r>
    <n v="1209669413"/>
    <s v="11"/>
    <x v="61"/>
    <d v="2026-10-14T10:05:27"/>
    <d v="2026-10-14T04:05:24"/>
    <d v="2026-10-14T00:00:00"/>
    <s v=""/>
    <s v="PACK"/>
    <n v="25"/>
    <s v="PENDIENTE APROBACION  ENVIO TMS"/>
    <s v="000000001209669413"/>
    <x v="1"/>
    <x v="1"/>
    <m/>
    <n v="1"/>
    <m/>
  </r>
  <r>
    <n v="1209669414"/>
    <s v="11"/>
    <x v="61"/>
    <d v="2026-10-14T10:05:28"/>
    <d v="2026-10-14T04:05:26"/>
    <d v="2026-10-14T00:00:00"/>
    <s v=""/>
    <s v="CAJA"/>
    <n v="20"/>
    <s v="PENDIENTE APROBACION  ENVIO TMS"/>
    <s v="000000001209669414"/>
    <x v="1"/>
    <x v="1"/>
    <m/>
    <n v="1"/>
    <m/>
  </r>
  <r>
    <n v="8209669275"/>
    <s v="5"/>
    <x v="91"/>
    <d v="2026-10-14T10:05:30"/>
    <d v="2026-10-14T04:05:27"/>
    <d v="2026-10-14T00:00:00"/>
    <s v=""/>
    <s v="UNIDAD"/>
    <n v="26"/>
    <s v="PENDIENTE APROBACION  ENVIO TMS"/>
    <s v="000000008209669275"/>
    <x v="2"/>
    <x v="3"/>
    <m/>
    <n v="1"/>
    <m/>
  </r>
  <r>
    <n v="8209669301"/>
    <s v="6"/>
    <x v="48"/>
    <d v="2026-10-14T10:05:32"/>
    <d v="2026-10-14T04:05:29"/>
    <d v="2026-10-14T00:00:00"/>
    <s v=""/>
    <s v="UNIDAD"/>
    <n v="25"/>
    <s v="PENDIENTE APROBACION  ENVIO TMS"/>
    <s v="000000008209669301"/>
    <x v="2"/>
    <x v="3"/>
    <m/>
    <n v="1"/>
    <m/>
  </r>
  <r>
    <n v="1209669320"/>
    <s v="6"/>
    <x v="48"/>
    <d v="2026-10-14T10:05:33"/>
    <d v="2026-10-14T04:05:30"/>
    <d v="2026-10-14T00:00:00"/>
    <s v=""/>
    <s v="CAJA"/>
    <n v="1"/>
    <s v="PENDIENTE APROBACION  ENVIO TMS"/>
    <s v="000000001209669320"/>
    <x v="1"/>
    <x v="3"/>
    <m/>
    <n v="1"/>
    <m/>
  </r>
  <r>
    <n v="1209669284"/>
    <s v="5"/>
    <x v="91"/>
    <d v="2026-10-14T10:05:34"/>
    <d v="2026-10-14T04:05:32"/>
    <d v="2026-10-14T00:00:00"/>
    <s v=""/>
    <s v="PACK"/>
    <n v="54"/>
    <s v="PENDIENTE APROBACION  ENVIO TMS"/>
    <s v="000000001209669284"/>
    <x v="1"/>
    <x v="3"/>
    <m/>
    <n v="1"/>
    <m/>
  </r>
  <r>
    <n v="1209669286"/>
    <s v="5"/>
    <x v="91"/>
    <d v="2026-10-14T10:05:36"/>
    <d v="2026-10-14T04:05:33"/>
    <d v="2026-10-14T00:00:00"/>
    <s v=""/>
    <s v="CAJA"/>
    <n v="4"/>
    <s v="PENDIENTE APROBACION  ENVIO TMS"/>
    <s v="000000001209669286"/>
    <x v="1"/>
    <x v="3"/>
    <m/>
    <n v="1"/>
    <m/>
  </r>
  <r>
    <n v="8209669273"/>
    <s v="5"/>
    <x v="91"/>
    <d v="2026-10-14T10:05:37"/>
    <d v="2026-10-14T04:05:34"/>
    <d v="2026-10-14T00:00:00"/>
    <s v=""/>
    <s v="UNIDAD"/>
    <n v="11"/>
    <s v="PENDIENTE APROBACION  ENVIO TMS"/>
    <s v="000000008209669273"/>
    <x v="2"/>
    <x v="3"/>
    <m/>
    <n v="1"/>
    <m/>
  </r>
  <r>
    <n v="1209669334"/>
    <s v="9"/>
    <x v="16"/>
    <d v="2026-10-14T10:05:39"/>
    <d v="2026-10-14T04:05:37"/>
    <d v="2026-10-14T00:00:00"/>
    <s v=""/>
    <s v="CAJA"/>
    <n v="2"/>
    <s v="PENDIENTE APROBACION  ENVIO TMS"/>
    <s v="000000001209669334"/>
    <x v="1"/>
    <x v="0"/>
    <m/>
    <n v="1"/>
    <m/>
  </r>
  <r>
    <n v="8209669274"/>
    <s v="5"/>
    <x v="91"/>
    <d v="2026-10-14T10:05:39"/>
    <d v="2026-10-14T04:05:36"/>
    <d v="2026-10-14T00:00:00"/>
    <s v=""/>
    <s v="UNIDAD"/>
    <n v="8"/>
    <s v="PENDIENTE APROBACION  ENVIO TMS"/>
    <s v="000000008209669274"/>
    <x v="2"/>
    <x v="3"/>
    <m/>
    <n v="1"/>
    <m/>
  </r>
  <r>
    <n v="1209669337"/>
    <s v="9"/>
    <x v="16"/>
    <d v="2026-10-14T10:05:41"/>
    <d v="2026-10-14T04:05:38"/>
    <d v="2026-10-14T00:00:00"/>
    <s v=""/>
    <s v="CAJA"/>
    <n v="24"/>
    <s v="PENDIENTE APROBACION  ENVIO TMS"/>
    <s v="000000001209669337"/>
    <x v="1"/>
    <x v="0"/>
    <m/>
    <n v="1"/>
    <m/>
  </r>
  <r>
    <n v="8209669403"/>
    <s v="11"/>
    <x v="61"/>
    <d v="2026-10-14T10:05:43"/>
    <d v="2026-10-14T04:05:40"/>
    <d v="2026-10-14T00:00:00"/>
    <s v=""/>
    <s v="UNIDAD"/>
    <n v="6"/>
    <s v="PENDIENTE APROBACION  ENVIO TMS"/>
    <s v="000000008209669403"/>
    <x v="2"/>
    <x v="1"/>
    <m/>
    <n v="1"/>
    <m/>
  </r>
  <r>
    <n v="1209669342"/>
    <s v="9"/>
    <x v="16"/>
    <d v="2026-10-14T10:05:44"/>
    <d v="2026-10-14T04:05:41"/>
    <d v="2026-10-14T00:00:00"/>
    <s v=""/>
    <s v="PACK"/>
    <n v="15"/>
    <s v="PENDIENTE APROBACION  ENVIO TMS"/>
    <s v="000000001209669342"/>
    <x v="1"/>
    <x v="0"/>
    <m/>
    <n v="1"/>
    <m/>
  </r>
  <r>
    <n v="1209669367"/>
    <s v="10"/>
    <x v="121"/>
    <d v="2026-10-14T10:05:46"/>
    <d v="2026-10-14T04:05:43"/>
    <d v="2026-10-14T00:00:00"/>
    <s v=""/>
    <s v="CAJA"/>
    <n v="9"/>
    <s v="PENDIENTE APROBACION  ENVIO TMS"/>
    <s v="000000001209669367"/>
    <x v="1"/>
    <x v="0"/>
    <m/>
    <n v="1"/>
    <m/>
  </r>
  <r>
    <n v="1209669346"/>
    <s v="9"/>
    <x v="16"/>
    <d v="2026-10-14T10:05:48"/>
    <d v="2026-10-14T04:05:45"/>
    <d v="2026-10-14T00:00:00"/>
    <s v=""/>
    <s v="CAJA"/>
    <n v="1"/>
    <s v="PENDIENTE APROBACION  ENVIO TMS"/>
    <s v="000000001209669346"/>
    <x v="1"/>
    <x v="0"/>
    <m/>
    <n v="1"/>
    <m/>
  </r>
  <r>
    <n v="1209669386"/>
    <s v="10"/>
    <x v="121"/>
    <d v="2026-10-14T10:05:49"/>
    <d v="2026-10-14T04:05:46"/>
    <d v="2026-10-14T00:00:00"/>
    <s v=""/>
    <s v="PACK"/>
    <n v="43"/>
    <s v="PENDIENTE APROBACION  ENVIO TMS"/>
    <s v="000000001209669386"/>
    <x v="1"/>
    <x v="0"/>
    <m/>
    <n v="1"/>
    <m/>
  </r>
  <r>
    <n v="8209669405"/>
    <s v="11"/>
    <x v="61"/>
    <d v="2026-10-14T10:05:50"/>
    <d v="2026-10-14T04:05:48"/>
    <d v="2026-10-14T00:00:00"/>
    <s v=""/>
    <s v="UNIDAD"/>
    <n v="7"/>
    <s v="PENDIENTE APROBACION  ENVIO TMS"/>
    <s v="000000008209669405"/>
    <x v="2"/>
    <x v="1"/>
    <m/>
    <n v="1"/>
    <m/>
  </r>
  <r>
    <n v="1209669310"/>
    <s v="6"/>
    <x v="48"/>
    <d v="2026-10-14T10:05:51"/>
    <d v="2026-10-14T04:05:49"/>
    <d v="2026-10-14T00:00:00"/>
    <s v=""/>
    <s v="PACK"/>
    <n v="43"/>
    <s v="PENDIENTE APROBACION  ENVIO TMS"/>
    <s v="000000001209669310"/>
    <x v="1"/>
    <x v="3"/>
    <m/>
    <n v="1"/>
    <m/>
  </r>
  <r>
    <n v="8209669315"/>
    <s v="6"/>
    <x v="48"/>
    <d v="2026-10-14T10:05:53"/>
    <d v="2026-10-14T04:05:50"/>
    <d v="2026-10-14T00:00:00"/>
    <s v=""/>
    <s v="UNIDAD"/>
    <n v="2"/>
    <s v="PENDIENTE APROBACION  ENVIO TMS"/>
    <s v="000000008209669315"/>
    <x v="2"/>
    <x v="3"/>
    <m/>
    <n v="1"/>
    <m/>
  </r>
  <r>
    <n v="1209669321"/>
    <s v="6"/>
    <x v="48"/>
    <d v="2026-10-14T10:05:55"/>
    <d v="2026-10-14T04:05:52"/>
    <d v="2026-10-14T00:00:00"/>
    <s v=""/>
    <s v="CAJA"/>
    <n v="28"/>
    <s v="PENDIENTE APROBACION  ENVIO TMS"/>
    <s v="000000001209669321"/>
    <x v="1"/>
    <x v="3"/>
    <m/>
    <n v="1"/>
    <m/>
  </r>
  <r>
    <n v="1209669535"/>
    <s v="16"/>
    <x v="18"/>
    <d v="2026-10-14T10:09:11"/>
    <d v="2026-10-14T04:09:09"/>
    <d v="2026-10-14T00:00:00"/>
    <s v=""/>
    <s v="CAJA"/>
    <n v="5"/>
    <s v="PENDIENTE APROBACION  ENVIO TMS"/>
    <s v="000000001209669535"/>
    <x v="1"/>
    <x v="1"/>
    <m/>
    <n v="1"/>
    <m/>
  </r>
  <r>
    <n v="8209669479"/>
    <s v="13"/>
    <x v="95"/>
    <d v="2026-10-14T10:09:13"/>
    <d v="2026-10-14T04:09:10"/>
    <d v="2026-10-14T00:00:00"/>
    <s v=""/>
    <s v="UNIDAD"/>
    <n v="1"/>
    <s v="PENDIENTE APROBACION  ENVIO TMS"/>
    <s v="000000008209669479"/>
    <x v="2"/>
    <x v="1"/>
    <m/>
    <n v="1"/>
    <m/>
  </r>
  <r>
    <n v="1209669486"/>
    <s v="13"/>
    <x v="95"/>
    <d v="2026-10-14T10:09:14"/>
    <d v="2026-10-14T04:09:11"/>
    <d v="2026-10-14T00:00:00"/>
    <s v=""/>
    <s v="CAJA"/>
    <n v="23"/>
    <s v="PENDIENTE APROBACION  ENVIO TMS"/>
    <s v="000000001209669486"/>
    <x v="1"/>
    <x v="1"/>
    <m/>
    <n v="1"/>
    <m/>
  </r>
  <r>
    <n v="1209669547"/>
    <s v="16"/>
    <x v="18"/>
    <d v="2026-10-14T10:09:15"/>
    <d v="2026-10-14T04:09:13"/>
    <d v="2026-10-14T00:00:00"/>
    <s v=""/>
    <s v="CAJA"/>
    <n v="12"/>
    <s v="PENDIENTE APROBACION  ENVIO TMS"/>
    <s v="000000001209669547"/>
    <x v="1"/>
    <x v="1"/>
    <m/>
    <n v="1"/>
    <m/>
  </r>
  <r>
    <n v="8209669490"/>
    <s v="14"/>
    <x v="96"/>
    <d v="2026-10-14T10:09:16"/>
    <d v="2026-10-14T04:09:14"/>
    <d v="2026-10-14T00:00:00"/>
    <s v=""/>
    <s v="UNIDAD"/>
    <n v="4"/>
    <s v="PENDIENTE APROBACION  ENVIO TMS"/>
    <s v="000000008209669490"/>
    <x v="2"/>
    <x v="3"/>
    <m/>
    <n v="1"/>
    <m/>
  </r>
  <r>
    <n v="8209669481"/>
    <s v="13"/>
    <x v="95"/>
    <d v="2026-10-14T10:09:18"/>
    <d v="2026-10-14T04:09:15"/>
    <d v="2026-10-14T00:00:00"/>
    <s v=""/>
    <s v="UNIDAD"/>
    <n v="36"/>
    <s v="PENDIENTE APROBACION  ENVIO TMS"/>
    <s v="000000008209669481"/>
    <x v="2"/>
    <x v="1"/>
    <m/>
    <n v="1"/>
    <m/>
  </r>
  <r>
    <n v="1209669499"/>
    <s v="14"/>
    <x v="96"/>
    <d v="2026-10-14T10:09:19"/>
    <d v="2026-10-14T04:09:16"/>
    <d v="2026-10-14T00:00:00"/>
    <s v=""/>
    <s v="CAJA"/>
    <n v="10"/>
    <s v="PENDIENTE APROBACION  ENVIO TMS"/>
    <s v="000000001209669499"/>
    <x v="1"/>
    <x v="3"/>
    <m/>
    <n v="1"/>
    <m/>
  </r>
  <r>
    <n v="1209669429"/>
    <s v="12"/>
    <x v="62"/>
    <d v="2026-10-14T10:09:20"/>
    <d v="2026-10-14T04:09:18"/>
    <d v="2026-10-14T00:00:00"/>
    <s v=""/>
    <s v="PACK"/>
    <n v="8"/>
    <s v="PENDIENTE APROBACION  ENVIO TMS"/>
    <s v="000000001209669429"/>
    <x v="1"/>
    <x v="1"/>
    <m/>
    <n v="1"/>
    <m/>
  </r>
  <r>
    <n v="1209669485"/>
    <s v="13"/>
    <x v="95"/>
    <d v="2026-10-14T10:09:21"/>
    <d v="2026-10-14T04:09:19"/>
    <d v="2026-10-14T00:00:00"/>
    <s v=""/>
    <s v="CAJA"/>
    <n v="21"/>
    <s v="PENDIENTE APROBACION  ENVIO TMS"/>
    <s v="000000001209669485"/>
    <x v="1"/>
    <x v="1"/>
    <m/>
    <n v="1"/>
    <m/>
  </r>
  <r>
    <n v="1209669501"/>
    <s v="14"/>
    <x v="96"/>
    <d v="2026-10-14T10:09:23"/>
    <d v="2026-10-14T04:09:20"/>
    <d v="2026-10-14T00:00:00"/>
    <s v=""/>
    <s v="CAJA"/>
    <n v="19"/>
    <s v="PENDIENTE APROBACION  ENVIO TMS"/>
    <s v="000000001209669501"/>
    <x v="1"/>
    <x v="3"/>
    <m/>
    <n v="1"/>
    <m/>
  </r>
  <r>
    <n v="1209669487"/>
    <s v="13"/>
    <x v="95"/>
    <d v="2026-10-14T10:09:24"/>
    <d v="2026-10-14T04:09:22"/>
    <d v="2026-10-14T00:00:00"/>
    <s v=""/>
    <s v="UNIDAD"/>
    <n v="34"/>
    <s v="PENDIENTE APROBACION  ENVIO TMS"/>
    <s v="000000001209669487"/>
    <x v="1"/>
    <x v="1"/>
    <m/>
    <n v="1"/>
    <m/>
  </r>
  <r>
    <n v="1209669503"/>
    <s v="14"/>
    <x v="96"/>
    <d v="2026-10-14T10:09:26"/>
    <d v="2026-10-14T04:09:23"/>
    <d v="2026-10-14T00:00:00"/>
    <s v=""/>
    <s v="CAJA"/>
    <n v="28"/>
    <s v="PENDIENTE APROBACION  ENVIO TMS"/>
    <s v="000000001209669503"/>
    <x v="1"/>
    <x v="3"/>
    <m/>
    <n v="1"/>
    <m/>
  </r>
  <r>
    <n v="1209669432"/>
    <s v="12"/>
    <x v="62"/>
    <d v="2026-10-14T10:09:27"/>
    <d v="2026-10-14T04:09:24"/>
    <d v="2026-10-14T00:00:00"/>
    <s v=""/>
    <s v="PACK"/>
    <n v="12"/>
    <s v="PENDIENTE APROBACION  ENVIO TMS"/>
    <s v="000000001209669432"/>
    <x v="1"/>
    <x v="1"/>
    <m/>
    <n v="1"/>
    <m/>
  </r>
  <r>
    <n v="8209669544"/>
    <s v="16"/>
    <x v="18"/>
    <d v="2026-10-14T10:09:28"/>
    <d v="2026-10-14T04:09:26"/>
    <d v="2026-10-14T00:00:00"/>
    <s v=""/>
    <s v="UNIDAD"/>
    <n v="2"/>
    <s v="PENDIENTE APROBACION  ENVIO TMS"/>
    <s v="000000008209669544"/>
    <x v="2"/>
    <x v="1"/>
    <m/>
    <n v="1"/>
    <m/>
  </r>
  <r>
    <n v="1209669505"/>
    <s v="14"/>
    <x v="96"/>
    <d v="2026-10-14T10:09:30"/>
    <d v="2026-10-14T04:09:28"/>
    <d v="2026-10-14T00:00:00"/>
    <s v=""/>
    <s v="PACK"/>
    <n v="27"/>
    <s v="PENDIENTE APROBACION  ENVIO TMS"/>
    <s v="000000001209669505"/>
    <x v="1"/>
    <x v="3"/>
    <m/>
    <n v="1"/>
    <m/>
  </r>
  <r>
    <n v="1209669551"/>
    <s v="16"/>
    <x v="18"/>
    <d v="2026-10-14T10:09:32"/>
    <d v="2026-10-14T04:09:29"/>
    <d v="2026-10-14T00:00:00"/>
    <s v=""/>
    <s v="CAJA"/>
    <n v="34"/>
    <s v="PENDIENTE APROBACION  ENVIO TMS"/>
    <s v="000000001209669551"/>
    <x v="1"/>
    <x v="1"/>
    <m/>
    <n v="1"/>
    <m/>
  </r>
  <r>
    <n v="1209669507"/>
    <s v="14"/>
    <x v="96"/>
    <d v="2026-10-14T10:09:33"/>
    <d v="2026-10-14T04:09:31"/>
    <d v="2026-10-14T00:00:00"/>
    <s v=""/>
    <s v="PACK"/>
    <n v="46"/>
    <s v="PENDIENTE APROBACION  ENVIO TMS"/>
    <s v="000000001209669507"/>
    <x v="1"/>
    <x v="3"/>
    <m/>
    <n v="1"/>
    <m/>
  </r>
  <r>
    <n v="8209669493"/>
    <s v="14"/>
    <x v="96"/>
    <d v="2026-10-14T10:09:35"/>
    <d v="2026-10-14T04:09:33"/>
    <d v="2026-10-14T00:00:00"/>
    <s v=""/>
    <s v="UNIDAD"/>
    <n v="1"/>
    <s v="PENDIENTE APROBACION  ENVIO TMS"/>
    <s v="000000008209669493"/>
    <x v="2"/>
    <x v="3"/>
    <m/>
    <n v="1"/>
    <m/>
  </r>
  <r>
    <n v="8209669530"/>
    <s v="16"/>
    <x v="18"/>
    <d v="2026-10-14T10:09:38"/>
    <d v="2026-10-14T04:09:35"/>
    <d v="2026-10-14T00:00:00"/>
    <s v=""/>
    <s v="UNIDAD"/>
    <n v="2"/>
    <s v="PENDIENTE APROBACION  ENVIO TMS"/>
    <s v="000000008209669530"/>
    <x v="2"/>
    <x v="1"/>
    <m/>
    <n v="1"/>
    <m/>
  </r>
  <r>
    <n v="8209669418"/>
    <s v="12"/>
    <x v="62"/>
    <d v="2026-10-14T10:09:39"/>
    <d v="2026-10-14T04:09:36"/>
    <d v="2026-10-14T00:00:00"/>
    <s v=""/>
    <s v="UNIDAD"/>
    <n v="2"/>
    <s v="PENDIENTE APROBACION  ENVIO TMS"/>
    <s v="000000008209669418"/>
    <x v="2"/>
    <x v="1"/>
    <m/>
    <n v="1"/>
    <m/>
  </r>
  <r>
    <n v="1209669502"/>
    <s v="14"/>
    <x v="96"/>
    <d v="2026-10-14T10:09:40"/>
    <d v="2026-10-14T04:09:38"/>
    <d v="2026-10-14T00:00:00"/>
    <s v=""/>
    <s v="CAJA"/>
    <n v="17"/>
    <s v="PENDIENTE APROBACION  ENVIO TMS"/>
    <s v="000000001209669502"/>
    <x v="1"/>
    <x v="3"/>
    <m/>
    <n v="1"/>
    <m/>
  </r>
  <r>
    <n v="1209669431"/>
    <s v="12"/>
    <x v="62"/>
    <d v="2026-10-14T10:09:42"/>
    <d v="2026-10-14T04:09:39"/>
    <d v="2026-10-14T00:00:00"/>
    <s v=""/>
    <s v="CAJA"/>
    <n v="27"/>
    <s v="PENDIENTE APROBACION  ENVIO TMS"/>
    <s v="000000001209669431"/>
    <x v="1"/>
    <x v="1"/>
    <m/>
    <n v="1"/>
    <m/>
  </r>
  <r>
    <n v="1209669488"/>
    <s v="13"/>
    <x v="95"/>
    <d v="2026-10-14T10:09:43"/>
    <d v="2026-10-14T04:09:40"/>
    <d v="2026-10-14T00:00:00"/>
    <s v=""/>
    <s v="CAJA"/>
    <n v="39"/>
    <s v="PENDIENTE APROBACION  ENVIO TMS"/>
    <s v="000000001209669488"/>
    <x v="1"/>
    <x v="1"/>
    <m/>
    <n v="1"/>
    <m/>
  </r>
  <r>
    <n v="8209669421"/>
    <s v="12"/>
    <x v="62"/>
    <d v="2026-10-14T10:09:45"/>
    <d v="2026-10-14T04:09:43"/>
    <d v="2026-10-14T00:00:00"/>
    <s v=""/>
    <s v="UNIDAD"/>
    <n v="11"/>
    <s v="PENDIENTE APROBACION  ENVIO TMS"/>
    <s v="000000008209669421"/>
    <x v="2"/>
    <x v="1"/>
    <m/>
    <n v="1"/>
    <m/>
  </r>
  <r>
    <n v="1209669534"/>
    <s v="16"/>
    <x v="18"/>
    <d v="2026-10-14T10:09:45"/>
    <d v="2026-10-14T04:09:42"/>
    <d v="2026-10-14T00:00:00"/>
    <s v=""/>
    <s v="CAJA"/>
    <n v="3"/>
    <s v="PENDIENTE APROBACION  ENVIO TMS"/>
    <s v="000000001209669534"/>
    <x v="1"/>
    <x v="1"/>
    <m/>
    <n v="1"/>
    <m/>
  </r>
  <r>
    <n v="1209669428"/>
    <s v="12"/>
    <x v="62"/>
    <d v="2026-10-14T10:09:46"/>
    <d v="2026-10-14T04:09:44"/>
    <d v="2026-10-14T00:00:00"/>
    <s v=""/>
    <s v="CAJA"/>
    <n v="8"/>
    <s v="PENDIENTE APROBACION  ENVIO TMS"/>
    <s v="000000001209669428"/>
    <x v="1"/>
    <x v="1"/>
    <m/>
    <n v="1"/>
    <m/>
  </r>
  <r>
    <n v="1209669500"/>
    <s v="14"/>
    <x v="96"/>
    <d v="2026-10-14T10:09:48"/>
    <d v="2026-10-14T04:09:45"/>
    <d v="2026-10-14T00:00:00"/>
    <s v=""/>
    <s v="CAJA"/>
    <n v="12"/>
    <s v="PENDIENTE APROBACION  ENVIO TMS"/>
    <s v="000000001209669500"/>
    <x v="1"/>
    <x v="3"/>
    <m/>
    <n v="1"/>
    <m/>
  </r>
  <r>
    <n v="8209669491"/>
    <s v="14"/>
    <x v="96"/>
    <d v="2026-10-14T10:09:49"/>
    <d v="2026-10-14T04:09:46"/>
    <d v="2026-10-14T00:00:00"/>
    <s v=""/>
    <s v="UNIDAD"/>
    <n v="1"/>
    <s v="PENDIENTE APROBACION  ENVIO TMS"/>
    <s v="000000008209669491"/>
    <x v="2"/>
    <x v="3"/>
    <m/>
    <n v="1"/>
    <m/>
  </r>
  <r>
    <n v="8209669492"/>
    <s v="14"/>
    <x v="96"/>
    <d v="2026-10-14T10:09:50"/>
    <d v="2026-10-14T04:09:48"/>
    <d v="2026-10-14T00:00:00"/>
    <s v=""/>
    <s v="UNIDAD"/>
    <n v="24"/>
    <s v="PENDIENTE APROBACION  ENVIO TMS"/>
    <s v="000000008209669492"/>
    <x v="2"/>
    <x v="3"/>
    <m/>
    <n v="1"/>
    <m/>
  </r>
  <r>
    <n v="8209669494"/>
    <s v="14"/>
    <x v="96"/>
    <d v="2026-10-14T10:09:51"/>
    <d v="2026-10-14T04:09:49"/>
    <d v="2026-10-14T00:00:00"/>
    <s v=""/>
    <s v="UNIDAD"/>
    <n v="2"/>
    <s v="PENDIENTE APROBACION  ENVIO TMS"/>
    <s v="000000008209669494"/>
    <x v="2"/>
    <x v="3"/>
    <m/>
    <n v="1"/>
    <m/>
  </r>
  <r>
    <n v="8209669495"/>
    <s v="14"/>
    <x v="96"/>
    <d v="2026-10-14T10:09:53"/>
    <d v="2026-10-14T04:09:50"/>
    <d v="2026-10-14T00:00:00"/>
    <s v=""/>
    <s v="UNIDAD"/>
    <n v="5"/>
    <s v="PENDIENTE APROBACION  ENVIO TMS"/>
    <s v="000000008209669495"/>
    <x v="2"/>
    <x v="3"/>
    <m/>
    <n v="1"/>
    <m/>
  </r>
  <r>
    <n v="1209669496"/>
    <s v="14"/>
    <x v="96"/>
    <d v="2026-10-14T10:09:54"/>
    <d v="2026-10-14T04:09:51"/>
    <d v="2026-10-14T00:00:00"/>
    <s v=""/>
    <s v="CAJA"/>
    <n v="1"/>
    <s v="PENDIENTE APROBACION  ENVIO TMS"/>
    <s v="000000001209669496"/>
    <x v="1"/>
    <x v="3"/>
    <m/>
    <n v="1"/>
    <m/>
  </r>
  <r>
    <n v="8209669532"/>
    <s v="16"/>
    <x v="18"/>
    <d v="2026-10-14T10:09:55"/>
    <d v="2026-10-14T04:09:53"/>
    <d v="2026-10-14T00:00:00"/>
    <s v=""/>
    <s v="UNIDAD"/>
    <n v="12"/>
    <s v="PENDIENTE APROBACION  ENVIO TMS"/>
    <s v="000000008209669532"/>
    <x v="2"/>
    <x v="1"/>
    <m/>
    <n v="1"/>
    <m/>
  </r>
  <r>
    <n v="8209669423"/>
    <s v="12"/>
    <x v="62"/>
    <d v="2026-10-14T10:09:56"/>
    <d v="2026-10-14T04:09:54"/>
    <d v="2026-10-14T00:00:00"/>
    <s v=""/>
    <s v="UNIDAD"/>
    <n v="1"/>
    <s v="PENDIENTE APROBACION  ENVIO TMS"/>
    <s v="000000008209669423"/>
    <x v="2"/>
    <x v="1"/>
    <m/>
    <n v="1"/>
    <m/>
  </r>
  <r>
    <n v="1209669424"/>
    <s v="12"/>
    <x v="62"/>
    <d v="2026-10-14T10:09:57"/>
    <d v="2026-10-14T04:09:55"/>
    <d v="2026-10-14T00:00:00"/>
    <s v=""/>
    <s v="CAJA"/>
    <n v="1"/>
    <s v="PENDIENTE APROBACION  ENVIO TMS"/>
    <s v="000000001209669424"/>
    <x v="1"/>
    <x v="1"/>
    <m/>
    <n v="1"/>
    <m/>
  </r>
  <r>
    <n v="1209669536"/>
    <s v="16"/>
    <x v="18"/>
    <d v="2026-10-14T10:09:59"/>
    <d v="2026-10-14T04:09:56"/>
    <d v="2026-10-14T00:00:00"/>
    <s v=""/>
    <s v="CAJA"/>
    <n v="12"/>
    <s v="PENDIENTE APROBACION  ENVIO TMS"/>
    <s v="000000001209669536"/>
    <x v="1"/>
    <x v="1"/>
    <m/>
    <n v="1"/>
    <m/>
  </r>
  <r>
    <n v="1209669482"/>
    <s v="13"/>
    <x v="95"/>
    <d v="2026-10-14T10:10:00"/>
    <d v="2026-10-14T04:09:57"/>
    <d v="2026-10-14T00:00:00"/>
    <s v=""/>
    <s v="PACK"/>
    <n v="1"/>
    <s v="PENDIENTE APROBACION  ENVIO TMS"/>
    <s v="000000001209669482"/>
    <x v="1"/>
    <x v="1"/>
    <m/>
    <n v="1"/>
    <m/>
  </r>
  <r>
    <n v="1209669473"/>
    <s v="13"/>
    <x v="95"/>
    <d v="2026-10-14T10:10:02"/>
    <d v="2026-10-14T04:10:00"/>
    <d v="2026-10-14T00:00:00"/>
    <s v=""/>
    <s v="CAJA"/>
    <n v="2"/>
    <s v="PENDIENTE APROBACION  ENVIO TMS"/>
    <s v="000000001209669473"/>
    <x v="1"/>
    <x v="1"/>
    <m/>
    <n v="1"/>
    <m/>
  </r>
  <r>
    <n v="1209669430"/>
    <s v="12"/>
    <x v="62"/>
    <d v="2026-10-14T10:10:02"/>
    <d v="2026-10-14T04:09:59"/>
    <d v="2026-10-14T00:00:00"/>
    <s v=""/>
    <s v="CAJA"/>
    <n v="8"/>
    <s v="PENDIENTE APROBACION  ENVIO TMS"/>
    <s v="000000001209669430"/>
    <x v="1"/>
    <x v="1"/>
    <m/>
    <n v="1"/>
    <m/>
  </r>
  <r>
    <n v="1209669484"/>
    <s v="13"/>
    <x v="95"/>
    <d v="2026-10-14T10:10:03"/>
    <d v="2026-10-14T04:10:01"/>
    <d v="2026-10-14T00:00:00"/>
    <s v=""/>
    <s v="CAJA"/>
    <n v="12"/>
    <s v="PENDIENTE APROBACION  ENVIO TMS"/>
    <s v="000000001209669484"/>
    <x v="1"/>
    <x v="1"/>
    <m/>
    <n v="1"/>
    <m/>
  </r>
  <r>
    <n v="1209669546"/>
    <s v="16"/>
    <x v="18"/>
    <d v="2026-10-14T10:10:05"/>
    <d v="2026-10-14T04:10:02"/>
    <d v="2026-10-14T00:00:00"/>
    <s v=""/>
    <s v="CAJA"/>
    <n v="2"/>
    <s v="PENDIENTE APROBACION  ENVIO TMS"/>
    <s v="000000001209669546"/>
    <x v="1"/>
    <x v="1"/>
    <m/>
    <n v="1"/>
    <m/>
  </r>
  <r>
    <n v="8209669497"/>
    <s v="14"/>
    <x v="96"/>
    <d v="2026-10-14T10:10:06"/>
    <d v="2026-10-14T04:10:03"/>
    <d v="2026-10-14T00:00:00"/>
    <s v=""/>
    <s v="UNIDAD"/>
    <n v="7"/>
    <s v="PENDIENTE APROBACION  ENVIO TMS"/>
    <s v="000000008209669497"/>
    <x v="2"/>
    <x v="3"/>
    <m/>
    <n v="1"/>
    <m/>
  </r>
  <r>
    <n v="1209669472"/>
    <s v="13"/>
    <x v="95"/>
    <d v="2026-10-14T10:10:08"/>
    <d v="2026-10-14T04:10:05"/>
    <d v="2026-10-14T00:00:00"/>
    <s v=""/>
    <s v="PACK"/>
    <n v="17"/>
    <s v="PENDIENTE APROBACION  ENVIO TMS"/>
    <s v="000000001209669472"/>
    <x v="1"/>
    <x v="1"/>
    <m/>
    <n v="1"/>
    <m/>
  </r>
  <r>
    <n v="1209669498"/>
    <s v="14"/>
    <x v="96"/>
    <d v="2026-10-14T10:10:08"/>
    <d v="2026-10-14T04:10:06"/>
    <d v="2026-10-14T00:00:00"/>
    <s v=""/>
    <s v="CAJA"/>
    <n v="6"/>
    <s v="PENDIENTE APROBACION  ENVIO TMS"/>
    <s v="000000001209669498"/>
    <x v="1"/>
    <x v="3"/>
    <m/>
    <n v="1"/>
    <m/>
  </r>
  <r>
    <n v="1209669433"/>
    <s v="12"/>
    <x v="62"/>
    <d v="2026-10-14T10:10:10"/>
    <d v="2026-10-14T04:10:07"/>
    <d v="2026-10-14T00:00:00"/>
    <s v=""/>
    <s v="CAJA"/>
    <n v="11"/>
    <s v="PENDIENTE APROBACION  ENVIO TMS"/>
    <s v="000000001209669433"/>
    <x v="1"/>
    <x v="1"/>
    <m/>
    <n v="1"/>
    <m/>
  </r>
  <r>
    <n v="8209669533"/>
    <s v="16"/>
    <x v="18"/>
    <d v="2026-10-14T10:10:11"/>
    <d v="2026-10-14T04:10:08"/>
    <d v="2026-10-14T00:00:00"/>
    <s v=""/>
    <s v="UNIDAD"/>
    <n v="3"/>
    <s v="PENDIENTE APROBACION  ENVIO TMS"/>
    <s v="000000008209669533"/>
    <x v="2"/>
    <x v="1"/>
    <m/>
    <n v="1"/>
    <m/>
  </r>
  <r>
    <n v="1209669425"/>
    <s v="12"/>
    <x v="62"/>
    <d v="2026-10-14T10:10:12"/>
    <d v="2026-10-14T04:10:10"/>
    <d v="2026-10-14T00:00:00"/>
    <s v=""/>
    <s v="CAJA"/>
    <n v="2"/>
    <s v="PENDIENTE APROBACION  ENVIO TMS"/>
    <s v="000000001209669425"/>
    <x v="1"/>
    <x v="1"/>
    <m/>
    <n v="1"/>
    <m/>
  </r>
  <r>
    <n v="1209669427"/>
    <s v="12"/>
    <x v="62"/>
    <d v="2026-10-14T10:10:13"/>
    <d v="2026-10-14T04:10:11"/>
    <d v="2026-10-14T00:00:00"/>
    <s v=""/>
    <s v="CAJA"/>
    <n v="8"/>
    <s v="PENDIENTE APROBACION  ENVIO TMS"/>
    <s v="000000001209669427"/>
    <x v="1"/>
    <x v="1"/>
    <m/>
    <n v="1"/>
    <m/>
  </r>
  <r>
    <n v="8209669480"/>
    <s v="13"/>
    <x v="95"/>
    <d v="2026-10-14T10:10:14"/>
    <d v="2026-10-14T04:10:12"/>
    <d v="2026-10-14T00:00:00"/>
    <s v=""/>
    <s v="UNIDAD"/>
    <n v="10"/>
    <s v="PENDIENTE APROBACION  ENVIO TMS"/>
    <s v="000000008209669480"/>
    <x v="2"/>
    <x v="1"/>
    <m/>
    <n v="1"/>
    <m/>
  </r>
  <r>
    <n v="1209669483"/>
    <s v="13"/>
    <x v="95"/>
    <d v="2026-10-14T10:10:16"/>
    <d v="2026-10-14T04:10:13"/>
    <d v="2026-10-14T00:00:00"/>
    <s v=""/>
    <s v="CAJA"/>
    <n v="3"/>
    <s v="PENDIENTE APROBACION  ENVIO TMS"/>
    <s v="000000001209669483"/>
    <x v="1"/>
    <x v="1"/>
    <m/>
    <n v="1"/>
    <m/>
  </r>
  <r>
    <n v="1209669543"/>
    <s v="16"/>
    <x v="18"/>
    <d v="2026-10-14T10:10:17"/>
    <d v="2026-10-14T04:10:14"/>
    <d v="2026-10-14T00:00:00"/>
    <s v=""/>
    <s v="CAJA"/>
    <n v="14"/>
    <s v="PENDIENTE APROBACION  ENVIO TMS"/>
    <s v="000000001209669543"/>
    <x v="1"/>
    <x v="1"/>
    <m/>
    <n v="1"/>
    <m/>
  </r>
  <r>
    <n v="1209669504"/>
    <s v="14"/>
    <x v="96"/>
    <d v="2026-10-14T10:10:19"/>
    <d v="2026-10-14T04:10:17"/>
    <d v="2026-10-14T00:00:00"/>
    <s v=""/>
    <s v="PACK"/>
    <n v="18"/>
    <s v="PENDIENTE APROBACION  ENVIO TMS"/>
    <s v="000000001209669504"/>
    <x v="1"/>
    <x v="3"/>
    <m/>
    <n v="1"/>
    <m/>
  </r>
  <r>
    <n v="8209669545"/>
    <s v="16"/>
    <x v="18"/>
    <d v="2026-10-14T10:10:19"/>
    <d v="2026-10-14T04:10:16"/>
    <d v="2026-10-14T00:00:00"/>
    <s v=""/>
    <s v="UNIDAD"/>
    <n v="2"/>
    <s v="PENDIENTE APROBACION  ENVIO TMS"/>
    <s v="000000008209669545"/>
    <x v="2"/>
    <x v="1"/>
    <m/>
    <n v="1"/>
    <m/>
  </r>
  <r>
    <n v="1209669489"/>
    <s v="13"/>
    <x v="95"/>
    <d v="2026-10-14T10:10:21"/>
    <d v="2026-10-14T04:10:18"/>
    <d v="2026-10-14T00:00:00"/>
    <s v=""/>
    <s v="PACK"/>
    <n v="43"/>
    <s v="PENDIENTE APROBACION  ENVIO TMS"/>
    <s v="000000001209669489"/>
    <x v="1"/>
    <x v="1"/>
    <m/>
    <n v="1"/>
    <m/>
  </r>
  <r>
    <n v="8209669467"/>
    <s v="13"/>
    <x v="95"/>
    <d v="2026-10-14T10:10:22"/>
    <d v="2026-10-14T04:10:19"/>
    <d v="2026-10-14T00:00:00"/>
    <s v=""/>
    <s v="UNIDAD"/>
    <n v="21"/>
    <s v="PENDIENTE APROBACION  ENVIO TMS"/>
    <s v="000000008209669467"/>
    <x v="2"/>
    <x v="1"/>
    <m/>
    <n v="1"/>
    <m/>
  </r>
  <r>
    <n v="1209669508"/>
    <s v="14"/>
    <x v="96"/>
    <d v="2026-10-14T10:10:24"/>
    <d v="2026-10-14T04:10:21"/>
    <d v="2026-10-14T00:00:00"/>
    <s v=""/>
    <s v="CAJA"/>
    <n v="1"/>
    <s v="PENDIENTE APROBACION  ENVIO TMS"/>
    <s v="000000001209669508"/>
    <x v="1"/>
    <x v="3"/>
    <m/>
    <n v="1"/>
    <m/>
  </r>
  <r>
    <n v="8209669531"/>
    <s v="16"/>
    <x v="18"/>
    <d v="2026-10-14T10:10:24"/>
    <d v="2026-10-14T04:10:22"/>
    <d v="2026-10-14T00:00:00"/>
    <s v=""/>
    <s v="UNIDAD"/>
    <n v="2"/>
    <s v="PENDIENTE APROBACION  ENVIO TMS"/>
    <s v="000000008209669531"/>
    <x v="2"/>
    <x v="1"/>
    <m/>
    <n v="1"/>
    <m/>
  </r>
  <r>
    <n v="8209669419"/>
    <s v="12"/>
    <x v="62"/>
    <d v="2026-10-14T10:10:25"/>
    <d v="2026-10-14T04:10:23"/>
    <d v="2026-10-14T00:00:00"/>
    <s v=""/>
    <s v="UNIDAD"/>
    <n v="1"/>
    <s v="PENDIENTE APROBACION  ENVIO TMS"/>
    <s v="000000008209669419"/>
    <x v="2"/>
    <x v="1"/>
    <m/>
    <n v="1"/>
    <m/>
  </r>
  <r>
    <n v="1209669426"/>
    <s v="12"/>
    <x v="62"/>
    <d v="2026-10-14T10:10:27"/>
    <d v="2026-10-14T04:10:24"/>
    <d v="2026-10-14T00:00:00"/>
    <s v=""/>
    <s v="PACK"/>
    <n v="1"/>
    <s v="PENDIENTE APROBACION  ENVIO TMS"/>
    <s v="000000001209669426"/>
    <x v="1"/>
    <x v="1"/>
    <m/>
    <n v="1"/>
    <m/>
  </r>
  <r>
    <n v="1209669471"/>
    <s v="13"/>
    <x v="95"/>
    <d v="2026-10-14T10:10:28"/>
    <d v="2026-10-14T04:10:26"/>
    <d v="2026-10-14T00:00:00"/>
    <s v=""/>
    <s v="CAJA"/>
    <n v="10"/>
    <s v="PENDIENTE APROBACION  ENVIO TMS"/>
    <s v="000000001209669471"/>
    <x v="1"/>
    <x v="1"/>
    <m/>
    <n v="1"/>
    <m/>
  </r>
  <r>
    <n v="8209669478"/>
    <s v="13"/>
    <x v="95"/>
    <d v="2026-10-14T10:10:30"/>
    <d v="2026-10-14T04:10:27"/>
    <d v="2026-10-14T00:00:00"/>
    <s v=""/>
    <s v="UNIDAD"/>
    <n v="6"/>
    <s v="PENDIENTE APROBACION  ENVIO TMS"/>
    <s v="000000008209669478"/>
    <x v="2"/>
    <x v="1"/>
    <m/>
    <n v="1"/>
    <m/>
  </r>
  <r>
    <n v="1209669537"/>
    <s v="16"/>
    <x v="18"/>
    <d v="2026-10-14T10:10:30"/>
    <d v="2026-10-14T04:10:28"/>
    <d v="2026-10-14T00:00:00"/>
    <s v=""/>
    <s v="CAJA"/>
    <n v="8"/>
    <s v="PENDIENTE APROBACION  ENVIO TMS"/>
    <s v="000000001209669537"/>
    <x v="1"/>
    <x v="1"/>
    <m/>
    <n v="1"/>
    <m/>
  </r>
  <r>
    <n v="1209669548"/>
    <s v="16"/>
    <x v="18"/>
    <d v="2026-10-14T10:10:31"/>
    <d v="2026-10-14T04:10:29"/>
    <d v="2026-10-14T00:00:00"/>
    <s v=""/>
    <s v="CAJA"/>
    <n v="14"/>
    <s v="PENDIENTE APROBACION  ENVIO TMS"/>
    <s v="000000001209669548"/>
    <x v="1"/>
    <x v="1"/>
    <m/>
    <n v="1"/>
    <m/>
  </r>
  <r>
    <n v="8209669466"/>
    <s v="13"/>
    <x v="95"/>
    <d v="2026-10-14T10:10:33"/>
    <d v="2026-10-14T04:10:30"/>
    <d v="2026-10-14T00:00:00"/>
    <s v=""/>
    <s v="UNIDAD"/>
    <n v="9"/>
    <s v="PENDIENTE APROBACION  ENVIO TMS"/>
    <s v="000000008209669466"/>
    <x v="2"/>
    <x v="1"/>
    <m/>
    <n v="1"/>
    <m/>
  </r>
  <r>
    <n v="8209669420"/>
    <s v="12"/>
    <x v="62"/>
    <d v="2026-10-14T10:10:34"/>
    <d v="2026-10-14T04:10:32"/>
    <d v="2026-10-14T00:00:00"/>
    <s v=""/>
    <s v="UNIDAD"/>
    <n v="4"/>
    <s v="PENDIENTE APROBACION  ENVIO TMS"/>
    <s v="000000008209669420"/>
    <x v="2"/>
    <x v="1"/>
    <m/>
    <n v="1"/>
    <m/>
  </r>
  <r>
    <n v="8209669422"/>
    <s v="12"/>
    <x v="62"/>
    <d v="2026-10-14T10:10:36"/>
    <d v="2026-10-14T04:10:33"/>
    <d v="2026-10-14T00:00:00"/>
    <s v=""/>
    <s v="UNIDAD"/>
    <n v="5"/>
    <s v="PENDIENTE APROBACION  ENVIO TMS"/>
    <s v="000000008209669422"/>
    <x v="2"/>
    <x v="1"/>
    <m/>
    <n v="1"/>
    <m/>
  </r>
  <r>
    <n v="1209669632"/>
    <s v="22"/>
    <x v="123"/>
    <d v="2026-10-14T10:14:12"/>
    <d v="2026-10-14T04:14:09"/>
    <d v="2026-10-14T00:00:00"/>
    <s v=""/>
    <s v="UNIDAD"/>
    <n v="28"/>
    <s v="PENDIENTE APROBACION  ENVIO TMS"/>
    <s v="000000001209669632"/>
    <x v="1"/>
    <x v="3"/>
    <m/>
    <n v="1"/>
    <m/>
  </r>
  <r>
    <n v="1209669566"/>
    <s v="17"/>
    <x v="99"/>
    <d v="2026-10-14T10:14:13"/>
    <d v="2026-10-14T04:14:10"/>
    <d v="2026-10-14T00:00:00"/>
    <s v=""/>
    <s v="CAJA"/>
    <n v="10"/>
    <s v="PENDIENTE APROBACION  ENVIO TMS"/>
    <s v="000000001209669566"/>
    <x v="1"/>
    <x v="3"/>
    <m/>
    <n v="1"/>
    <m/>
  </r>
  <r>
    <n v="1209669568"/>
    <s v="17"/>
    <x v="99"/>
    <d v="2026-10-14T10:14:14"/>
    <d v="2026-10-14T04:14:11"/>
    <d v="2026-10-14T00:00:00"/>
    <s v=""/>
    <s v="CAJA"/>
    <n v="14"/>
    <s v="PENDIENTE APROBACION  ENVIO TMS"/>
    <s v="000000001209669568"/>
    <x v="1"/>
    <x v="3"/>
    <m/>
    <n v="1"/>
    <m/>
  </r>
  <r>
    <n v="1209669569"/>
    <s v="17"/>
    <x v="99"/>
    <d v="2026-10-14T10:14:15"/>
    <d v="2026-10-14T04:14:13"/>
    <d v="2026-10-14T00:00:00"/>
    <s v=""/>
    <s v="PACK"/>
    <n v="18"/>
    <s v="PENDIENTE APROBACION  ENVIO TMS"/>
    <s v="000000001209669569"/>
    <x v="1"/>
    <x v="3"/>
    <m/>
    <n v="1"/>
    <m/>
  </r>
  <r>
    <n v="1209669571"/>
    <s v="17"/>
    <x v="99"/>
    <d v="2026-10-14T10:14:17"/>
    <d v="2026-10-14T04:14:14"/>
    <d v="2026-10-14T00:00:00"/>
    <s v=""/>
    <s v="CAJA"/>
    <n v="1"/>
    <s v="PENDIENTE APROBACION  ENVIO TMS"/>
    <s v="000000001209669571"/>
    <x v="1"/>
    <x v="3"/>
    <m/>
    <n v="1"/>
    <m/>
  </r>
  <r>
    <n v="1209669574"/>
    <s v="17"/>
    <x v="99"/>
    <d v="2026-10-14T10:14:18"/>
    <d v="2026-10-14T04:14:15"/>
    <d v="2026-10-14T00:00:00"/>
    <s v=""/>
    <s v="CAJA"/>
    <n v="6"/>
    <s v="PENDIENTE APROBACION  ENVIO TMS"/>
    <s v="000000001209669574"/>
    <x v="1"/>
    <x v="3"/>
    <m/>
    <n v="1"/>
    <m/>
  </r>
  <r>
    <n v="1209669621"/>
    <s v="22"/>
    <x v="123"/>
    <d v="2026-10-14T10:14:20"/>
    <d v="2026-10-14T04:14:17"/>
    <d v="2026-10-14T00:00:00"/>
    <s v=""/>
    <s v="CAJA"/>
    <n v="26"/>
    <s v="PENDIENTE APROBACION  ENVIO TMS"/>
    <s v="000000001209669621"/>
    <x v="1"/>
    <x v="3"/>
    <m/>
    <n v="1"/>
    <m/>
  </r>
  <r>
    <n v="8209669558"/>
    <s v="17"/>
    <x v="99"/>
    <d v="2026-10-14T10:14:20"/>
    <d v="2026-10-14T04:14:18"/>
    <d v="2026-10-14T00:00:00"/>
    <s v=""/>
    <s v="UNIDAD"/>
    <n v="1"/>
    <s v="PENDIENTE APROBACION  ENVIO TMS"/>
    <s v="000000008209669558"/>
    <x v="2"/>
    <x v="3"/>
    <m/>
    <n v="1"/>
    <m/>
  </r>
  <r>
    <n v="8209669583"/>
    <s v="21"/>
    <x v="124"/>
    <d v="2026-10-14T10:14:22"/>
    <d v="2026-10-14T04:14:19"/>
    <d v="2026-10-14T00:00:00"/>
    <s v=""/>
    <s v="UNIDAD"/>
    <n v="3"/>
    <s v="PENDIENTE APROBACION  ENVIO TMS"/>
    <s v="000000008209669583"/>
    <x v="2"/>
    <x v="3"/>
    <m/>
    <n v="1"/>
    <m/>
  </r>
  <r>
    <n v="8209669585"/>
    <s v="21"/>
    <x v="124"/>
    <d v="2026-10-14T10:14:23"/>
    <d v="2026-10-14T04:14:20"/>
    <d v="2026-10-14T00:00:00"/>
    <s v=""/>
    <s v="UNIDAD"/>
    <n v="7"/>
    <s v="PENDIENTE APROBACION  ENVIO TMS"/>
    <s v="000000008209669585"/>
    <x v="2"/>
    <x v="3"/>
    <m/>
    <n v="1"/>
    <m/>
  </r>
  <r>
    <n v="8209669586"/>
    <s v="21"/>
    <x v="124"/>
    <d v="2026-10-14T10:14:24"/>
    <d v="2026-10-14T04:14:21"/>
    <d v="2026-10-14T00:00:00"/>
    <s v=""/>
    <s v="UNIDAD"/>
    <n v="4"/>
    <s v="PENDIENTE APROBACION  ENVIO TMS"/>
    <s v="000000008209669586"/>
    <x v="2"/>
    <x v="3"/>
    <m/>
    <n v="1"/>
    <m/>
  </r>
  <r>
    <n v="1209669597"/>
    <s v="21"/>
    <x v="124"/>
    <d v="2026-10-14T10:14:25"/>
    <d v="2026-10-14T04:14:23"/>
    <d v="2026-10-14T00:00:00"/>
    <s v=""/>
    <s v="CAJA"/>
    <n v="17"/>
    <s v="PENDIENTE APROBACION  ENVIO TMS"/>
    <s v="000000001209669597"/>
    <x v="1"/>
    <x v="3"/>
    <m/>
    <n v="1"/>
    <m/>
  </r>
  <r>
    <n v="1209669591"/>
    <s v="21"/>
    <x v="124"/>
    <d v="2026-10-14T10:14:26"/>
    <d v="2026-10-14T04:14:24"/>
    <d v="2026-10-14T00:00:00"/>
    <s v=""/>
    <s v="CAJA"/>
    <n v="14"/>
    <s v="PENDIENTE APROBACION  ENVIO TMS"/>
    <s v="000000001209669591"/>
    <x v="1"/>
    <x v="3"/>
    <m/>
    <n v="1"/>
    <m/>
  </r>
  <r>
    <n v="1209669622"/>
    <s v="22"/>
    <x v="123"/>
    <d v="2026-10-14T10:14:28"/>
    <d v="2026-10-14T04:14:25"/>
    <d v="2026-10-14T00:00:00"/>
    <s v=""/>
    <s v="CAJA"/>
    <n v="12"/>
    <s v="PENDIENTE APROBACION  ENVIO TMS"/>
    <s v="000000001209669622"/>
    <x v="1"/>
    <x v="3"/>
    <m/>
    <n v="1"/>
    <m/>
  </r>
  <r>
    <n v="1209669598"/>
    <s v="21"/>
    <x v="124"/>
    <d v="2026-10-14T10:14:30"/>
    <d v="2026-10-14T04:14:27"/>
    <d v="2026-10-14T00:00:00"/>
    <s v=""/>
    <s v="PACK"/>
    <n v="29"/>
    <s v="PENDIENTE APROBACION  ENVIO TMS"/>
    <s v="000000001209669598"/>
    <x v="1"/>
    <x v="3"/>
    <m/>
    <n v="1"/>
    <m/>
  </r>
  <r>
    <n v="8209669618"/>
    <s v="22"/>
    <x v="123"/>
    <d v="2026-10-14T10:14:31"/>
    <d v="2026-10-14T04:14:28"/>
    <d v="2026-10-14T00:00:00"/>
    <s v=""/>
    <s v="UNIDAD"/>
    <n v="7"/>
    <s v="PENDIENTE APROBACION  ENVIO TMS"/>
    <s v="000000008209669618"/>
    <x v="2"/>
    <x v="3"/>
    <m/>
    <n v="1"/>
    <m/>
  </r>
  <r>
    <n v="8209669562"/>
    <s v="17"/>
    <x v="99"/>
    <d v="2026-10-14T10:14:31"/>
    <d v="2026-10-14T04:14:29"/>
    <d v="2026-10-14T00:00:00"/>
    <s v=""/>
    <s v="UNIDAD"/>
    <n v="2"/>
    <s v="PENDIENTE APROBACION  ENVIO TMS"/>
    <s v="000000008209669562"/>
    <x v="2"/>
    <x v="3"/>
    <m/>
    <n v="1"/>
    <m/>
  </r>
  <r>
    <n v="1209669589"/>
    <s v="21"/>
    <x v="124"/>
    <d v="2026-10-14T10:14:33"/>
    <d v="2026-10-14T04:14:30"/>
    <d v="2026-10-14T00:00:00"/>
    <s v=""/>
    <s v="CAJA"/>
    <n v="1"/>
    <s v="PENDIENTE APROBACION  ENVIO TMS"/>
    <s v="000000001209669589"/>
    <x v="1"/>
    <x v="3"/>
    <m/>
    <n v="1"/>
    <m/>
  </r>
  <r>
    <n v="8209669616"/>
    <s v="22"/>
    <x v="123"/>
    <d v="2026-10-14T10:14:34"/>
    <d v="2026-10-14T04:14:32"/>
    <d v="2026-10-14T00:00:00"/>
    <s v=""/>
    <s v="UNIDAD"/>
    <n v="2"/>
    <s v="PENDIENTE APROBACION  ENVIO TMS"/>
    <s v="000000008209669616"/>
    <x v="2"/>
    <x v="3"/>
    <m/>
    <n v="1"/>
    <m/>
  </r>
  <r>
    <n v="1209669578"/>
    <s v="17"/>
    <x v="99"/>
    <d v="2026-10-14T10:14:36"/>
    <d v="2026-10-14T04:14:33"/>
    <d v="2026-10-14T00:00:00"/>
    <s v=""/>
    <s v="CAJA"/>
    <n v="15"/>
    <s v="PENDIENTE APROBACION  ENVIO TMS"/>
    <s v="000000001209669578"/>
    <x v="1"/>
    <x v="3"/>
    <m/>
    <n v="1"/>
    <m/>
  </r>
  <r>
    <n v="1209669579"/>
    <s v="17"/>
    <x v="99"/>
    <d v="2026-10-14T10:14:36"/>
    <d v="2026-10-14T04:14:34"/>
    <d v="2026-10-14T00:00:00"/>
    <s v=""/>
    <s v="PACK"/>
    <n v="20"/>
    <s v="PENDIENTE APROBACION  ENVIO TMS"/>
    <s v="000000001209669579"/>
    <x v="1"/>
    <x v="3"/>
    <m/>
    <n v="1"/>
    <m/>
  </r>
  <r>
    <n v="1209669596"/>
    <s v="21"/>
    <x v="124"/>
    <d v="2026-10-14T10:14:37"/>
    <d v="2026-10-14T04:14:35"/>
    <d v="2026-10-14T00:00:00"/>
    <s v=""/>
    <s v="CAJA"/>
    <n v="18"/>
    <s v="PENDIENTE APROBACION  ENVIO TMS"/>
    <s v="000000001209669596"/>
    <x v="1"/>
    <x v="3"/>
    <m/>
    <n v="1"/>
    <m/>
  </r>
  <r>
    <n v="8209669584"/>
    <s v="21"/>
    <x v="124"/>
    <d v="2026-10-14T10:14:39"/>
    <d v="2026-10-14T04:14:36"/>
    <d v="2026-10-14T00:00:00"/>
    <s v=""/>
    <s v="UNIDAD"/>
    <n v="1"/>
    <s v="PENDIENTE APROBACION  ENVIO TMS"/>
    <s v="000000008209669584"/>
    <x v="2"/>
    <x v="3"/>
    <m/>
    <n v="1"/>
    <m/>
  </r>
  <r>
    <n v="8209669587"/>
    <s v="21"/>
    <x v="124"/>
    <d v="2026-10-14T10:14:40"/>
    <d v="2026-10-14T04:14:38"/>
    <d v="2026-10-14T00:00:00"/>
    <s v=""/>
    <s v="UNIDAD"/>
    <n v="6"/>
    <s v="PENDIENTE APROBACION  ENVIO TMS"/>
    <s v="000000008209669587"/>
    <x v="2"/>
    <x v="3"/>
    <m/>
    <n v="1"/>
    <m/>
  </r>
  <r>
    <n v="8209669588"/>
    <s v="21"/>
    <x v="124"/>
    <d v="2026-10-14T10:14:42"/>
    <d v="2026-10-14T04:14:39"/>
    <d v="2026-10-14T00:00:00"/>
    <s v=""/>
    <s v="UNIDAD"/>
    <n v="1"/>
    <s v="PENDIENTE APROBACION  ENVIO TMS"/>
    <s v="000000008209669588"/>
    <x v="2"/>
    <x v="3"/>
    <m/>
    <n v="1"/>
    <m/>
  </r>
  <r>
    <n v="8209669628"/>
    <s v="22"/>
    <x v="123"/>
    <d v="2026-10-14T10:14:43"/>
    <d v="2026-10-14T04:14:40"/>
    <d v="2026-10-14T00:00:00"/>
    <s v=""/>
    <s v="UNIDAD"/>
    <n v="7"/>
    <s v="PENDIENTE APROBACION  ENVIO TMS"/>
    <s v="000000008209669628"/>
    <x v="2"/>
    <x v="3"/>
    <m/>
    <n v="1"/>
    <m/>
  </r>
  <r>
    <n v="8209669629"/>
    <s v="22"/>
    <x v="123"/>
    <d v="2026-10-14T10:14:44"/>
    <d v="2026-10-14T04:14:41"/>
    <d v="2026-10-14T00:00:00"/>
    <s v=""/>
    <s v="UNIDAD"/>
    <n v="1"/>
    <s v="PENDIENTE APROBACION  ENVIO TMS"/>
    <s v="000000008209669629"/>
    <x v="2"/>
    <x v="3"/>
    <m/>
    <n v="1"/>
    <m/>
  </r>
  <r>
    <n v="1209669580"/>
    <s v="17"/>
    <x v="99"/>
    <d v="2026-10-14T10:14:45"/>
    <d v="2026-10-14T04:14:42"/>
    <d v="2026-10-14T00:00:00"/>
    <s v=""/>
    <s v="PACK"/>
    <n v="21"/>
    <s v="PENDIENTE APROBACION  ENVIO TMS"/>
    <s v="000000001209669580"/>
    <x v="1"/>
    <x v="3"/>
    <m/>
    <n v="1"/>
    <m/>
  </r>
  <r>
    <n v="1209669563"/>
    <s v="17"/>
    <x v="99"/>
    <d v="2026-10-14T10:14:46"/>
    <d v="2026-10-14T04:14:44"/>
    <d v="2026-10-14T00:00:00"/>
    <s v=""/>
    <s v="CAJA"/>
    <n v="3"/>
    <s v="PENDIENTE APROBACION  ENVIO TMS"/>
    <s v="000000001209669563"/>
    <x v="1"/>
    <x v="3"/>
    <m/>
    <n v="1"/>
    <m/>
  </r>
  <r>
    <n v="1209669592"/>
    <s v="21"/>
    <x v="124"/>
    <d v="2026-10-14T10:14:47"/>
    <d v="2026-10-14T04:14:45"/>
    <d v="2026-10-14T00:00:00"/>
    <s v=""/>
    <s v="CAJA"/>
    <n v="10"/>
    <s v="PENDIENTE APROBACION  ENVIO TMS"/>
    <s v="000000001209669592"/>
    <x v="1"/>
    <x v="3"/>
    <m/>
    <n v="1"/>
    <m/>
  </r>
  <r>
    <n v="1209669626"/>
    <s v="22"/>
    <x v="123"/>
    <d v="2026-10-14T10:14:48"/>
    <d v="2026-10-14T04:14:46"/>
    <d v="2026-10-14T00:00:00"/>
    <s v=""/>
    <s v="CAJA"/>
    <n v="35"/>
    <s v="PENDIENTE APROBACION  ENVIO TMS"/>
    <s v="000000001209669626"/>
    <x v="1"/>
    <x v="3"/>
    <m/>
    <n v="1"/>
    <m/>
  </r>
  <r>
    <n v="1209669633"/>
    <s v="22"/>
    <x v="123"/>
    <d v="2026-10-14T10:14:50"/>
    <d v="2026-10-14T04:14:47"/>
    <d v="2026-10-14T00:00:00"/>
    <s v=""/>
    <s v="CAJA"/>
    <n v="24"/>
    <s v="PENDIENTE APROBACION  ENVIO TMS"/>
    <s v="000000001209669633"/>
    <x v="1"/>
    <x v="3"/>
    <m/>
    <n v="1"/>
    <m/>
  </r>
  <r>
    <n v="1209669595"/>
    <s v="21"/>
    <x v="124"/>
    <d v="2026-10-14T10:14:51"/>
    <d v="2026-10-14T04:14:49"/>
    <d v="2026-10-14T00:00:00"/>
    <s v=""/>
    <s v="CAJA"/>
    <n v="11"/>
    <s v="PENDIENTE APROBACION  ENVIO TMS"/>
    <s v="000000001209669595"/>
    <x v="1"/>
    <x v="3"/>
    <m/>
    <n v="1"/>
    <m/>
  </r>
  <r>
    <n v="8209669573"/>
    <s v="17"/>
    <x v="99"/>
    <d v="2026-10-14T10:14:53"/>
    <d v="2026-10-14T04:14:50"/>
    <d v="2026-10-14T00:00:00"/>
    <s v=""/>
    <s v="UNIDAD"/>
    <n v="2"/>
    <s v="PENDIENTE APROBACION  ENVIO TMS"/>
    <s v="000000008209669573"/>
    <x v="2"/>
    <x v="3"/>
    <m/>
    <n v="1"/>
    <m/>
  </r>
  <r>
    <n v="1209669620"/>
    <s v="22"/>
    <x v="123"/>
    <d v="2026-10-14T10:14:54"/>
    <d v="2026-10-14T04:14:52"/>
    <d v="2026-10-14T00:00:00"/>
    <s v=""/>
    <s v="CAJA"/>
    <n v="8"/>
    <s v="PENDIENTE APROBACION  ENVIO TMS"/>
    <s v="000000001209669620"/>
    <x v="1"/>
    <x v="3"/>
    <m/>
    <n v="1"/>
    <m/>
  </r>
  <r>
    <n v="1209669590"/>
    <s v="21"/>
    <x v="124"/>
    <d v="2026-10-14T10:14:56"/>
    <d v="2026-10-14T04:14:53"/>
    <d v="2026-10-14T00:00:00"/>
    <s v=""/>
    <s v="CAJA"/>
    <n v="6"/>
    <s v="PENDIENTE APROBACION  ENVIO TMS"/>
    <s v="000000001209669590"/>
    <x v="1"/>
    <x v="3"/>
    <m/>
    <n v="1"/>
    <m/>
  </r>
  <r>
    <n v="1209669594"/>
    <s v="21"/>
    <x v="124"/>
    <d v="2026-10-14T10:14:57"/>
    <d v="2026-10-14T04:14:55"/>
    <d v="2026-10-14T00:00:00"/>
    <s v=""/>
    <s v="CAJA"/>
    <n v="12"/>
    <s v="PENDIENTE APROBACION  ENVIO TMS"/>
    <s v="000000001209669594"/>
    <x v="1"/>
    <x v="3"/>
    <m/>
    <n v="1"/>
    <m/>
  </r>
  <r>
    <n v="8209669560"/>
    <s v="17"/>
    <x v="99"/>
    <d v="2026-10-14T10:14:58"/>
    <d v="2026-10-14T04:14:56"/>
    <d v="2026-10-14T00:00:00"/>
    <s v=""/>
    <s v="UNIDAD"/>
    <n v="4"/>
    <s v="PENDIENTE APROBACION  ENVIO TMS"/>
    <s v="000000008209669560"/>
    <x v="2"/>
    <x v="3"/>
    <m/>
    <n v="1"/>
    <m/>
  </r>
  <r>
    <n v="8209669561"/>
    <s v="17"/>
    <x v="99"/>
    <d v="2026-10-14T10:15:00"/>
    <d v="2026-10-14T04:14:58"/>
    <d v="2026-10-14T00:00:00"/>
    <s v=""/>
    <s v="UNIDAD"/>
    <n v="4"/>
    <s v="PENDIENTE APROBACION  ENVIO TMS"/>
    <s v="000000008209669561"/>
    <x v="2"/>
    <x v="3"/>
    <m/>
    <n v="1"/>
    <m/>
  </r>
  <r>
    <n v="1209669593"/>
    <s v="21"/>
    <x v="124"/>
    <d v="2026-10-14T10:15:01"/>
    <d v="2026-10-14T04:14:59"/>
    <d v="2026-10-14T00:00:00"/>
    <s v=""/>
    <s v="CAJA"/>
    <n v="12"/>
    <s v="PENDIENTE APROBACION  ENVIO TMS"/>
    <s v="000000001209669593"/>
    <x v="1"/>
    <x v="3"/>
    <m/>
    <n v="1"/>
    <m/>
  </r>
  <r>
    <n v="1209669631"/>
    <s v="22"/>
    <x v="123"/>
    <d v="2026-10-14T10:15:03"/>
    <d v="2026-10-14T04:15:00"/>
    <d v="2026-10-14T00:00:00"/>
    <s v=""/>
    <s v="CAJA"/>
    <n v="10"/>
    <s v="PENDIENTE APROBACION  ENVIO TMS"/>
    <s v="000000001209669631"/>
    <x v="1"/>
    <x v="3"/>
    <m/>
    <n v="1"/>
    <m/>
  </r>
  <r>
    <n v="1209669567"/>
    <s v="17"/>
    <x v="99"/>
    <d v="2026-10-14T10:15:04"/>
    <d v="2026-10-14T04:15:01"/>
    <d v="2026-10-14T00:00:00"/>
    <s v=""/>
    <s v="CAJA"/>
    <n v="10"/>
    <s v="PENDIENTE APROBACION  ENVIO TMS"/>
    <s v="000000001209669567"/>
    <x v="1"/>
    <x v="3"/>
    <m/>
    <n v="1"/>
    <m/>
  </r>
  <r>
    <n v="1209669624"/>
    <s v="22"/>
    <x v="123"/>
    <d v="2026-10-14T10:15:05"/>
    <d v="2026-10-14T04:15:02"/>
    <d v="2026-10-14T00:00:00"/>
    <s v=""/>
    <s v="PACK"/>
    <n v="8"/>
    <s v="PENDIENTE APROBACION  ENVIO TMS"/>
    <s v="000000001209669624"/>
    <x v="1"/>
    <x v="3"/>
    <m/>
    <n v="1"/>
    <m/>
  </r>
  <r>
    <n v="8209669572"/>
    <s v="17"/>
    <x v="99"/>
    <d v="2026-10-14T10:15:06"/>
    <d v="2026-10-14T04:15:04"/>
    <d v="2026-10-14T00:00:00"/>
    <s v=""/>
    <s v="UNIDAD"/>
    <n v="1"/>
    <s v="PENDIENTE APROBACION  ENVIO TMS"/>
    <s v="000000008209669572"/>
    <x v="2"/>
    <x v="3"/>
    <m/>
    <n v="1"/>
    <m/>
  </r>
  <r>
    <n v="1209669623"/>
    <s v="22"/>
    <x v="123"/>
    <d v="2026-10-14T10:15:07"/>
    <d v="2026-10-14T04:15:05"/>
    <d v="2026-10-14T00:00:00"/>
    <s v=""/>
    <s v="CAJA"/>
    <n v="21"/>
    <s v="PENDIENTE APROBACION  ENVIO TMS"/>
    <s v="000000001209669623"/>
    <x v="1"/>
    <x v="3"/>
    <m/>
    <n v="1"/>
    <m/>
  </r>
  <r>
    <n v="1209669649"/>
    <s v="25"/>
    <x v="39"/>
    <d v="2026-10-14T10:29:12"/>
    <d v="2026-10-14T04:29:09"/>
    <d v="2026-10-14T00:00:00"/>
    <s v=""/>
    <s v="PACK"/>
    <n v="5"/>
    <s v="PENDIENTE APROBACION  ENVIO TMS"/>
    <s v="000000001209669649"/>
    <x v="1"/>
    <x v="3"/>
    <m/>
    <n v="1"/>
    <m/>
  </r>
  <r>
    <n v="8209669738"/>
    <s v="28"/>
    <x v="52"/>
    <d v="2026-10-14T10:29:13"/>
    <d v="2026-10-14T04:29:10"/>
    <d v="2026-10-14T00:00:00"/>
    <s v=""/>
    <s v="UNIDAD"/>
    <n v="1"/>
    <s v="PENDIENTE APROBACION  ENVIO TMS"/>
    <s v="000000008209669738"/>
    <x v="2"/>
    <x v="1"/>
    <m/>
    <n v="1"/>
    <m/>
  </r>
  <r>
    <n v="1209669745"/>
    <s v="28"/>
    <x v="52"/>
    <d v="2026-10-14T10:29:14"/>
    <d v="2026-10-14T04:29:12"/>
    <d v="2026-10-14T00:00:00"/>
    <s v=""/>
    <s v="CAJA"/>
    <n v="1"/>
    <s v="PENDIENTE APROBACION  ENVIO TMS"/>
    <s v="000000001209669745"/>
    <x v="1"/>
    <x v="1"/>
    <m/>
    <n v="1"/>
    <m/>
  </r>
  <r>
    <n v="1209669746"/>
    <s v="28"/>
    <x v="52"/>
    <d v="2026-10-14T10:29:15"/>
    <d v="2026-10-14T04:29:13"/>
    <d v="2026-10-14T00:00:00"/>
    <s v=""/>
    <s v="CAJA"/>
    <n v="5"/>
    <s v="PENDIENTE APROBACION  ENVIO TMS"/>
    <s v="000000001209669746"/>
    <x v="1"/>
    <x v="1"/>
    <m/>
    <n v="1"/>
    <m/>
  </r>
  <r>
    <n v="1209669701"/>
    <s v="26"/>
    <x v="100"/>
    <d v="2026-10-14T10:29:16"/>
    <d v="2026-10-14T04:29:14"/>
    <d v="2026-10-14T00:00:00"/>
    <s v=""/>
    <s v="PACK"/>
    <n v="33"/>
    <s v="PENDIENTE APROBACION  ENVIO TMS"/>
    <s v="000000001209669701"/>
    <x v="1"/>
    <x v="1"/>
    <m/>
    <n v="1"/>
    <m/>
  </r>
  <r>
    <n v="1209669661"/>
    <s v="25"/>
    <x v="39"/>
    <d v="2026-10-14T10:29:18"/>
    <d v="2026-10-14T04:29:15"/>
    <d v="2026-10-14T00:00:00"/>
    <s v=""/>
    <s v="CAJA"/>
    <n v="10"/>
    <s v="PENDIENTE APROBACION  ENVIO TMS"/>
    <s v="000000001209669661"/>
    <x v="1"/>
    <x v="3"/>
    <m/>
    <n v="1"/>
    <m/>
  </r>
  <r>
    <n v="8209669680"/>
    <s v="26"/>
    <x v="100"/>
    <d v="2026-10-14T10:29:19"/>
    <d v="2026-10-14T04:29:17"/>
    <d v="2026-10-14T00:00:00"/>
    <s v=""/>
    <s v="UNIDAD"/>
    <n v="15"/>
    <s v="PENDIENTE APROBACION  ENVIO TMS"/>
    <s v="000000008209669680"/>
    <x v="2"/>
    <x v="1"/>
    <m/>
    <n v="1"/>
    <m/>
  </r>
  <r>
    <n v="1209669752"/>
    <s v="28"/>
    <x v="52"/>
    <d v="2026-10-14T10:29:20"/>
    <d v="2026-10-14T04:29:18"/>
    <d v="2026-10-14T00:00:00"/>
    <s v=""/>
    <s v="CAJA"/>
    <n v="30"/>
    <s v="PENDIENTE APROBACION  ENVIO TMS"/>
    <s v="000000001209669752"/>
    <x v="1"/>
    <x v="1"/>
    <m/>
    <n v="1"/>
    <m/>
  </r>
  <r>
    <n v="8209669643"/>
    <s v="25"/>
    <x v="39"/>
    <d v="2026-10-14T10:29:21"/>
    <d v="2026-10-14T04:29:19"/>
    <d v="2026-10-14T00:00:00"/>
    <s v=""/>
    <s v="UNIDAD"/>
    <n v="2"/>
    <s v="PENDIENTE APROBACION  ENVIO TMS"/>
    <s v="000000008209669643"/>
    <x v="2"/>
    <x v="3"/>
    <m/>
    <n v="1"/>
    <m/>
  </r>
  <r>
    <n v="8209669741"/>
    <s v="28"/>
    <x v="52"/>
    <d v="2026-10-14T10:29:23"/>
    <d v="2026-10-14T04:29:20"/>
    <d v="2026-10-14T00:00:00"/>
    <s v=""/>
    <s v="UNIDAD"/>
    <n v="18"/>
    <s v="PENDIENTE APROBACION  ENVIO TMS"/>
    <s v="000000008209669741"/>
    <x v="2"/>
    <x v="1"/>
    <m/>
    <n v="1"/>
    <m/>
  </r>
  <r>
    <n v="1209669653"/>
    <s v="25"/>
    <x v="39"/>
    <d v="2026-10-14T10:29:24"/>
    <d v="2026-10-14T04:29:21"/>
    <d v="2026-10-14T00:00:00"/>
    <s v=""/>
    <s v="CAJA"/>
    <n v="10"/>
    <s v="PENDIENTE APROBACION  ENVIO TMS"/>
    <s v="000000001209669653"/>
    <x v="1"/>
    <x v="3"/>
    <m/>
    <n v="1"/>
    <m/>
  </r>
  <r>
    <n v="8209669713"/>
    <s v="27"/>
    <x v="53"/>
    <d v="2026-10-14T10:29:26"/>
    <d v="2026-10-14T04:29:24"/>
    <d v="2026-10-14T00:00:00"/>
    <s v=""/>
    <s v="UNIDAD"/>
    <n v="1"/>
    <s v="PENDIENTE APROBACION  ENVIO TMS"/>
    <s v="000000008209669713"/>
    <x v="2"/>
    <x v="1"/>
    <m/>
    <n v="1"/>
    <m/>
  </r>
  <r>
    <n v="1209669748"/>
    <s v="28"/>
    <x v="52"/>
    <d v="2026-10-14T10:29:26"/>
    <d v="2026-10-14T04:29:23"/>
    <d v="2026-10-14T00:00:00"/>
    <s v=""/>
    <s v="CAJA"/>
    <n v="12"/>
    <s v="PENDIENTE APROBACION  ENVIO TMS"/>
    <s v="000000001209669748"/>
    <x v="1"/>
    <x v="1"/>
    <m/>
    <n v="1"/>
    <m/>
  </r>
  <r>
    <n v="1209669695"/>
    <s v="26"/>
    <x v="100"/>
    <d v="2026-10-14T10:29:27"/>
    <d v="2026-10-14T04:29:25"/>
    <d v="2026-10-14T00:00:00"/>
    <s v=""/>
    <s v="CAJA"/>
    <n v="13"/>
    <s v="PENDIENTE APROBACION  ENVIO TMS"/>
    <s v="000000001209669695"/>
    <x v="1"/>
    <x v="1"/>
    <m/>
    <n v="1"/>
    <m/>
  </r>
  <r>
    <n v="8209669739"/>
    <s v="28"/>
    <x v="52"/>
    <d v="2026-10-14T10:29:29"/>
    <d v="2026-10-14T04:29:26"/>
    <d v="2026-10-14T00:00:00"/>
    <s v=""/>
    <s v="UNIDAD"/>
    <n v="14"/>
    <s v="PENDIENTE APROBACION  ENVIO TMS"/>
    <s v="000000008209669739"/>
    <x v="2"/>
    <x v="1"/>
    <m/>
    <n v="1"/>
    <m/>
  </r>
  <r>
    <n v="8209669743"/>
    <s v="28"/>
    <x v="52"/>
    <d v="2026-10-14T10:29:30"/>
    <d v="2026-10-14T04:29:27"/>
    <d v="2026-10-14T00:00:00"/>
    <s v=""/>
    <s v="UNIDAD"/>
    <n v="3"/>
    <s v="PENDIENTE APROBACION  ENVIO TMS"/>
    <s v="000000008209669743"/>
    <x v="2"/>
    <x v="1"/>
    <m/>
    <n v="1"/>
    <m/>
  </r>
  <r>
    <n v="8209669656"/>
    <s v="25"/>
    <x v="39"/>
    <d v="2026-10-14T10:29:31"/>
    <d v="2026-10-14T04:29:29"/>
    <d v="2026-10-14T00:00:00"/>
    <s v=""/>
    <s v="UNIDAD"/>
    <n v="2"/>
    <s v="PENDIENTE APROBACION  ENVIO TMS"/>
    <s v="000000008209669656"/>
    <x v="2"/>
    <x v="3"/>
    <m/>
    <n v="1"/>
    <m/>
  </r>
  <r>
    <n v="1209669669"/>
    <s v="25"/>
    <x v="39"/>
    <d v="2026-10-14T10:29:32"/>
    <d v="2026-10-14T04:29:30"/>
    <d v="2026-10-14T00:00:00"/>
    <s v=""/>
    <s v="CAJA"/>
    <n v="9"/>
    <s v="PENDIENTE APROBACION  ENVIO TMS"/>
    <s v="000000001209669669"/>
    <x v="1"/>
    <x v="3"/>
    <m/>
    <n v="1"/>
    <m/>
  </r>
  <r>
    <n v="1209669694"/>
    <s v="26"/>
    <x v="100"/>
    <d v="2026-10-14T10:29:33"/>
    <d v="2026-10-14T04:29:31"/>
    <d v="2026-10-14T00:00:00"/>
    <s v=""/>
    <s v="CAJA"/>
    <n v="3"/>
    <s v="PENDIENTE APROBACION  ENVIO TMS"/>
    <s v="000000001209669694"/>
    <x v="1"/>
    <x v="1"/>
    <m/>
    <n v="1"/>
    <m/>
  </r>
  <r>
    <n v="8209669714"/>
    <s v="27"/>
    <x v="53"/>
    <d v="2026-10-14T10:29:35"/>
    <d v="2026-10-14T04:29:32"/>
    <d v="2026-10-14T00:00:00"/>
    <s v=""/>
    <s v="UNIDAD"/>
    <n v="1"/>
    <s v="PENDIENTE APROBACION  ENVIO TMS"/>
    <s v="000000008209669714"/>
    <x v="2"/>
    <x v="1"/>
    <m/>
    <n v="1"/>
    <m/>
  </r>
  <r>
    <n v="1209669716"/>
    <s v="27"/>
    <x v="53"/>
    <d v="2026-10-14T10:29:36"/>
    <d v="2026-10-14T04:29:33"/>
    <d v="2026-10-14T00:00:00"/>
    <s v=""/>
    <s v="PACK"/>
    <n v="4"/>
    <s v="PENDIENTE APROBACION  ENVIO TMS"/>
    <s v="000000001209669716"/>
    <x v="1"/>
    <x v="1"/>
    <m/>
    <n v="1"/>
    <m/>
  </r>
  <r>
    <n v="1209669717"/>
    <s v="27"/>
    <x v="53"/>
    <d v="2026-10-14T10:29:37"/>
    <d v="2026-10-14T04:29:35"/>
    <d v="2026-10-14T00:00:00"/>
    <s v=""/>
    <s v="CAJA"/>
    <n v="5"/>
    <s v="PENDIENTE APROBACION  ENVIO TMS"/>
    <s v="000000001209669717"/>
    <x v="1"/>
    <x v="1"/>
    <m/>
    <n v="1"/>
    <m/>
  </r>
  <r>
    <n v="8209669742"/>
    <s v="28"/>
    <x v="52"/>
    <d v="2026-10-14T10:29:38"/>
    <d v="2026-10-14T04:29:36"/>
    <d v="2026-10-14T00:00:00"/>
    <s v=""/>
    <s v="UNIDAD"/>
    <n v="1"/>
    <s v="PENDIENTE APROBACION  ENVIO TMS"/>
    <s v="000000008209669742"/>
    <x v="2"/>
    <x v="1"/>
    <m/>
    <n v="1"/>
    <m/>
  </r>
  <r>
    <n v="8209669677"/>
    <s v="26"/>
    <x v="100"/>
    <d v="2026-10-14T10:29:40"/>
    <d v="2026-10-14T04:29:37"/>
    <d v="2026-10-14T00:00:00"/>
    <s v=""/>
    <s v="UNIDAD"/>
    <n v="3"/>
    <s v="PENDIENTE APROBACION  ENVIO TMS"/>
    <s v="000000008209669677"/>
    <x v="2"/>
    <x v="1"/>
    <m/>
    <n v="1"/>
    <m/>
  </r>
  <r>
    <n v="8209669678"/>
    <s v="26"/>
    <x v="100"/>
    <d v="2026-10-14T10:29:41"/>
    <d v="2026-10-14T04:29:38"/>
    <d v="2026-10-14T00:00:00"/>
    <s v=""/>
    <s v="UNIDAD"/>
    <n v="15"/>
    <s v="PENDIENTE APROBACION  ENVIO TMS"/>
    <s v="000000008209669678"/>
    <x v="2"/>
    <x v="1"/>
    <m/>
    <n v="1"/>
    <m/>
  </r>
  <r>
    <n v="8209669744"/>
    <s v="28"/>
    <x v="52"/>
    <d v="2026-10-14T10:29:42"/>
    <d v="2026-10-14T04:29:39"/>
    <d v="2026-10-14T00:00:00"/>
    <s v=""/>
    <s v="UNIDAD"/>
    <n v="23"/>
    <s v="PENDIENTE APROBACION  ENVIO TMS"/>
    <s v="000000008209669744"/>
    <x v="2"/>
    <x v="1"/>
    <m/>
    <n v="1"/>
    <m/>
  </r>
  <r>
    <n v="1209669747"/>
    <s v="28"/>
    <x v="52"/>
    <d v="2026-10-14T10:29:43"/>
    <d v="2026-10-14T04:29:41"/>
    <d v="2026-10-14T00:00:00"/>
    <s v=""/>
    <s v="CAJA"/>
    <n v="10"/>
    <s v="PENDIENTE APROBACION  ENVIO TMS"/>
    <s v="000000001209669747"/>
    <x v="1"/>
    <x v="1"/>
    <m/>
    <n v="1"/>
    <m/>
  </r>
  <r>
    <n v="1209669662"/>
    <s v="25"/>
    <x v="39"/>
    <d v="2026-10-14T10:29:44"/>
    <d v="2026-10-14T04:29:42"/>
    <d v="2026-10-14T00:00:00"/>
    <s v=""/>
    <s v="CAJA"/>
    <n v="24"/>
    <s v="PENDIENTE APROBACION  ENVIO TMS"/>
    <s v="000000001209669662"/>
    <x v="1"/>
    <x v="3"/>
    <m/>
    <n v="1"/>
    <m/>
  </r>
  <r>
    <n v="1209669751"/>
    <s v="28"/>
    <x v="52"/>
    <d v="2026-10-14T10:29:46"/>
    <d v="2026-10-14T04:29:43"/>
    <d v="2026-10-14T00:00:00"/>
    <s v=""/>
    <s v="CAJA"/>
    <n v="27"/>
    <s v="PENDIENTE APROBACION  ENVIO TMS"/>
    <s v="000000001209669751"/>
    <x v="1"/>
    <x v="1"/>
    <m/>
    <n v="1"/>
    <m/>
  </r>
  <r>
    <n v="1209669687"/>
    <s v="26"/>
    <x v="100"/>
    <d v="2026-10-14T10:29:47"/>
    <d v="2026-10-14T04:29:44"/>
    <d v="2026-10-14T00:00:00"/>
    <s v=""/>
    <s v="CAJA"/>
    <n v="15"/>
    <s v="PENDIENTE APROBACION  ENVIO TMS"/>
    <s v="000000001209669687"/>
    <x v="1"/>
    <x v="1"/>
    <m/>
    <n v="1"/>
    <m/>
  </r>
  <r>
    <n v="1209669753"/>
    <s v="28"/>
    <x v="52"/>
    <d v="2026-10-14T10:29:48"/>
    <d v="2026-10-14T04:29:46"/>
    <d v="2026-10-14T00:00:00"/>
    <s v=""/>
    <s v="CAJA"/>
    <n v="68"/>
    <s v="PENDIENTE APROBACION  ENVIO TMS"/>
    <s v="000000001209669753"/>
    <x v="1"/>
    <x v="1"/>
    <m/>
    <n v="1"/>
    <m/>
  </r>
  <r>
    <n v="8209669693"/>
    <s v="26"/>
    <x v="100"/>
    <d v="2026-10-14T10:29:49"/>
    <d v="2026-10-14T04:29:47"/>
    <d v="2026-10-14T00:00:00"/>
    <s v=""/>
    <s v="UNIDAD"/>
    <n v="2"/>
    <s v="PENDIENTE APROBACION  ENVIO TMS"/>
    <s v="000000008209669693"/>
    <x v="2"/>
    <x v="1"/>
    <m/>
    <n v="1"/>
    <m/>
  </r>
  <r>
    <n v="8209669711"/>
    <s v="27"/>
    <x v="53"/>
    <d v="2026-10-14T10:29:50"/>
    <d v="2026-10-14T04:29:48"/>
    <d v="2026-10-14T00:00:00"/>
    <s v=""/>
    <s v="UNIDAD"/>
    <n v="4"/>
    <s v="PENDIENTE APROBACION  ENVIO TMS"/>
    <s v="000000008209669711"/>
    <x v="2"/>
    <x v="1"/>
    <m/>
    <n v="1"/>
    <m/>
  </r>
  <r>
    <n v="1209669720"/>
    <s v="27"/>
    <x v="53"/>
    <d v="2026-10-14T10:29:52"/>
    <d v="2026-10-14T04:29:49"/>
    <d v="2026-10-14T00:00:00"/>
    <s v=""/>
    <s v="CAJA"/>
    <n v="9"/>
    <s v="PENDIENTE APROBACION  ENVIO TMS"/>
    <s v="000000001209669720"/>
    <x v="1"/>
    <x v="1"/>
    <m/>
    <n v="1"/>
    <m/>
  </r>
  <r>
    <n v="1209669721"/>
    <s v="27"/>
    <x v="53"/>
    <d v="2026-10-14T10:29:53"/>
    <d v="2026-10-14T04:29:50"/>
    <d v="2026-10-14T00:00:00"/>
    <s v=""/>
    <s v="CAJA"/>
    <n v="9"/>
    <s v="PENDIENTE APROBACION  ENVIO TMS"/>
    <s v="000000001209669721"/>
    <x v="1"/>
    <x v="1"/>
    <m/>
    <n v="1"/>
    <m/>
  </r>
  <r>
    <n v="1209669685"/>
    <s v="26"/>
    <x v="100"/>
    <d v="2026-10-14T10:29:54"/>
    <d v="2026-10-14T04:29:51"/>
    <d v="2026-10-14T00:00:00"/>
    <s v=""/>
    <s v="CAJA"/>
    <n v="8"/>
    <s v="PENDIENTE APROBACION  ENVIO TMS"/>
    <s v="000000001209669685"/>
    <x v="1"/>
    <x v="1"/>
    <m/>
    <n v="1"/>
    <m/>
  </r>
  <r>
    <n v="1209669691"/>
    <s v="26"/>
    <x v="100"/>
    <d v="2026-10-14T10:29:55"/>
    <d v="2026-10-14T04:29:53"/>
    <d v="2026-10-14T00:00:00"/>
    <s v=""/>
    <s v="CAJA"/>
    <n v="22"/>
    <s v="PENDIENTE APROBACION  ENVIO TMS"/>
    <s v="000000001209669691"/>
    <x v="1"/>
    <x v="1"/>
    <m/>
    <n v="1"/>
    <m/>
  </r>
  <r>
    <n v="1209669692"/>
    <s v="26"/>
    <x v="100"/>
    <d v="2026-10-14T10:29:56"/>
    <d v="2026-10-14T04:29:54"/>
    <d v="2026-10-14T00:00:00"/>
    <s v=""/>
    <s v="CAJA"/>
    <n v="2"/>
    <s v="PENDIENTE APROBACION  ENVIO TMS"/>
    <s v="000000001209669692"/>
    <x v="1"/>
    <x v="1"/>
    <m/>
    <n v="1"/>
    <m/>
  </r>
  <r>
    <n v="8209669710"/>
    <s v="27"/>
    <x v="53"/>
    <d v="2026-10-14T10:29:58"/>
    <d v="2026-10-14T04:29:55"/>
    <d v="2026-10-14T00:00:00"/>
    <s v=""/>
    <s v="UNIDAD"/>
    <n v="2"/>
    <s v="PENDIENTE APROBACION  ENVIO TMS"/>
    <s v="000000008209669710"/>
    <x v="2"/>
    <x v="1"/>
    <m/>
    <n v="1"/>
    <m/>
  </r>
  <r>
    <n v="1209669650"/>
    <s v="25"/>
    <x v="39"/>
    <d v="2026-10-14T10:29:59"/>
    <d v="2026-10-14T04:29:56"/>
    <d v="2026-10-14T00:00:00"/>
    <s v=""/>
    <s v="CAJA"/>
    <n v="6"/>
    <s v="PENDIENTE APROBACION  ENVIO TMS"/>
    <s v="000000001209669650"/>
    <x v="1"/>
    <x v="3"/>
    <m/>
    <n v="1"/>
    <m/>
  </r>
  <r>
    <n v="1209669697"/>
    <s v="26"/>
    <x v="100"/>
    <d v="2026-10-14T10:30:00"/>
    <d v="2026-10-14T04:29:58"/>
    <d v="2026-10-14T00:00:00"/>
    <s v=""/>
    <s v="CAJA"/>
    <n v="18"/>
    <s v="PENDIENTE APROBACION  ENVIO TMS"/>
    <s v="000000001209669697"/>
    <x v="1"/>
    <x v="1"/>
    <m/>
    <n v="1"/>
    <m/>
  </r>
  <r>
    <n v="1209669665"/>
    <s v="25"/>
    <x v="39"/>
    <d v="2026-10-14T10:30:01"/>
    <d v="2026-10-14T04:29:59"/>
    <d v="2026-10-14T00:00:00"/>
    <s v=""/>
    <s v="PACK"/>
    <n v="32"/>
    <s v="PENDIENTE APROBACION  ENVIO TMS"/>
    <s v="000000001209669665"/>
    <x v="1"/>
    <x v="3"/>
    <m/>
    <n v="1"/>
    <m/>
  </r>
  <r>
    <n v="1209669718"/>
    <s v="27"/>
    <x v="53"/>
    <d v="2026-10-14T10:30:02"/>
    <d v="2026-10-14T04:30:00"/>
    <d v="2026-10-14T00:00:00"/>
    <s v=""/>
    <s v="PACK"/>
    <n v="5"/>
    <s v="PENDIENTE APROBACION  ENVIO TMS"/>
    <s v="000000001209669718"/>
    <x v="1"/>
    <x v="1"/>
    <m/>
    <n v="1"/>
    <m/>
  </r>
  <r>
    <n v="1209669719"/>
    <s v="27"/>
    <x v="53"/>
    <d v="2026-10-14T10:30:04"/>
    <d v="2026-10-14T04:30:01"/>
    <d v="2026-10-14T00:00:00"/>
    <s v=""/>
    <s v="CAJA"/>
    <n v="5"/>
    <s v="PENDIENTE APROBACION  ENVIO TMS"/>
    <s v="000000001209669719"/>
    <x v="1"/>
    <x v="1"/>
    <m/>
    <n v="1"/>
    <m/>
  </r>
  <r>
    <n v="1209669755"/>
    <s v="28"/>
    <x v="52"/>
    <d v="2026-10-14T10:30:05"/>
    <d v="2026-10-14T04:30:03"/>
    <d v="2026-10-14T00:00:00"/>
    <s v=""/>
    <s v="PACK"/>
    <n v="50"/>
    <s v="PENDIENTE APROBACION  ENVIO TMS"/>
    <s v="000000001209669755"/>
    <x v="1"/>
    <x v="1"/>
    <m/>
    <n v="1"/>
    <m/>
  </r>
  <r>
    <n v="8209669681"/>
    <s v="26"/>
    <x v="100"/>
    <d v="2026-10-14T10:30:06"/>
    <d v="2026-10-14T04:30:04"/>
    <d v="2026-10-14T00:00:00"/>
    <s v=""/>
    <s v="UNIDAD"/>
    <n v="2"/>
    <s v="PENDIENTE APROBACION  ENVIO TMS"/>
    <s v="000000008209669681"/>
    <x v="2"/>
    <x v="1"/>
    <m/>
    <n v="1"/>
    <m/>
  </r>
  <r>
    <n v="1209669749"/>
    <s v="28"/>
    <x v="52"/>
    <d v="2026-10-14T10:30:07"/>
    <d v="2026-10-14T04:30:05"/>
    <d v="2026-10-14T00:00:00"/>
    <s v=""/>
    <s v="CAJA"/>
    <n v="21"/>
    <s v="PENDIENTE APROBACION  ENVIO TMS"/>
    <s v="000000001209669749"/>
    <x v="1"/>
    <x v="1"/>
    <m/>
    <n v="1"/>
    <m/>
  </r>
  <r>
    <n v="1209669750"/>
    <s v="28"/>
    <x v="52"/>
    <d v="2026-10-14T10:30:09"/>
    <d v="2026-10-14T04:30:06"/>
    <d v="2026-10-14T00:00:00"/>
    <s v=""/>
    <s v="PACK"/>
    <n v="20"/>
    <s v="PENDIENTE APROBACION  ENVIO TMS"/>
    <s v="000000001209669750"/>
    <x v="1"/>
    <x v="1"/>
    <m/>
    <n v="1"/>
    <m/>
  </r>
  <r>
    <n v="1209669683"/>
    <s v="26"/>
    <x v="100"/>
    <d v="2026-10-14T10:30:10"/>
    <d v="2026-10-14T04:30:07"/>
    <d v="2026-10-14T00:00:00"/>
    <s v=""/>
    <s v="CAJA"/>
    <n v="6"/>
    <s v="PENDIENTE APROBACION  ENVIO TMS"/>
    <s v="000000001209669683"/>
    <x v="1"/>
    <x v="1"/>
    <m/>
    <n v="1"/>
    <m/>
  </r>
  <r>
    <n v="1209669686"/>
    <s v="26"/>
    <x v="100"/>
    <d v="2026-10-14T10:30:11"/>
    <d v="2026-10-14T04:30:09"/>
    <d v="2026-10-14T00:00:00"/>
    <s v=""/>
    <s v="CAJA"/>
    <n v="10"/>
    <s v="PENDIENTE APROBACION  ENVIO TMS"/>
    <s v="000000001209669686"/>
    <x v="1"/>
    <x v="1"/>
    <m/>
    <n v="1"/>
    <m/>
  </r>
  <r>
    <n v="8209669712"/>
    <s v="27"/>
    <x v="53"/>
    <d v="2026-10-14T10:30:12"/>
    <d v="2026-10-14T04:30:10"/>
    <d v="2026-10-14T00:00:00"/>
    <s v=""/>
    <s v="UNIDAD"/>
    <n v="4"/>
    <s v="PENDIENTE APROBACION  ENVIO TMS"/>
    <s v="000000008209669712"/>
    <x v="2"/>
    <x v="1"/>
    <m/>
    <n v="1"/>
    <m/>
  </r>
  <r>
    <n v="1209669715"/>
    <s v="27"/>
    <x v="53"/>
    <d v="2026-10-14T10:30:14"/>
    <d v="2026-10-14T04:30:11"/>
    <d v="2026-10-14T00:00:00"/>
    <s v=""/>
    <s v="CAJA"/>
    <n v="3"/>
    <s v="PENDIENTE APROBACION  ENVIO TMS"/>
    <s v="000000001209669715"/>
    <x v="1"/>
    <x v="1"/>
    <m/>
    <n v="1"/>
    <m/>
  </r>
  <r>
    <n v="8209669740"/>
    <s v="28"/>
    <x v="52"/>
    <d v="2026-10-14T10:30:15"/>
    <d v="2026-10-14T04:30:12"/>
    <d v="2026-10-14T00:00:00"/>
    <s v=""/>
    <s v="UNIDAD"/>
    <n v="10"/>
    <s v="PENDIENTE APROBACION  ENVIO TMS"/>
    <s v="000000008209669740"/>
    <x v="2"/>
    <x v="1"/>
    <m/>
    <n v="1"/>
    <m/>
  </r>
  <r>
    <n v="1209669652"/>
    <s v="25"/>
    <x v="39"/>
    <d v="2026-10-14T10:30:16"/>
    <d v="2026-10-14T04:30:14"/>
    <d v="2026-10-14T00:00:00"/>
    <s v=""/>
    <s v="CAJA"/>
    <n v="7"/>
    <s v="PENDIENTE APROBACION  ENVIO TMS"/>
    <s v="000000001209669652"/>
    <x v="1"/>
    <x v="3"/>
    <m/>
    <n v="1"/>
    <m/>
  </r>
  <r>
    <n v="1209669722"/>
    <s v="27"/>
    <x v="53"/>
    <d v="2026-10-14T10:30:17"/>
    <d v="2026-10-14T04:30:15"/>
    <d v="2026-10-14T00:00:00"/>
    <s v=""/>
    <s v="CAJA"/>
    <n v="16"/>
    <s v="PENDIENTE APROBACION  ENVIO TMS"/>
    <s v="000000001209669722"/>
    <x v="1"/>
    <x v="1"/>
    <m/>
    <n v="1"/>
    <m/>
  </r>
  <r>
    <n v="8209669655"/>
    <s v="25"/>
    <x v="39"/>
    <d v="2026-10-14T10:30:18"/>
    <d v="2026-10-14T04:30:16"/>
    <d v="2026-10-14T00:00:00"/>
    <s v=""/>
    <s v="UNIDAD"/>
    <n v="1"/>
    <s v="PENDIENTE APROBACION  ENVIO TMS"/>
    <s v="000000008209669655"/>
    <x v="2"/>
    <x v="3"/>
    <m/>
    <n v="1"/>
    <m/>
  </r>
  <r>
    <n v="1209669725"/>
    <s v="27"/>
    <x v="53"/>
    <d v="2026-10-14T10:30:20"/>
    <d v="2026-10-14T04:30:17"/>
    <d v="2026-10-14T00:00:00"/>
    <s v=""/>
    <s v="PACK"/>
    <n v="20"/>
    <s v="PENDIENTE APROBACION  ENVIO TMS"/>
    <s v="000000001209669725"/>
    <x v="1"/>
    <x v="1"/>
    <m/>
    <n v="1"/>
    <m/>
  </r>
  <r>
    <n v="1209669934"/>
    <s v="40"/>
    <x v="22"/>
    <d v="2026-10-14T10:34:12"/>
    <d v="2026-10-14T04:34:09"/>
    <d v="2026-10-14T00:00:00"/>
    <s v=""/>
    <s v="PACK"/>
    <n v="27"/>
    <s v="PENDIENTE APROBACION  ENVIO TMS"/>
    <s v="000000001209669934"/>
    <x v="1"/>
    <x v="3"/>
    <m/>
    <n v="1"/>
    <m/>
  </r>
  <r>
    <n v="1209669813"/>
    <s v="31"/>
    <x v="40"/>
    <d v="2026-10-14T10:34:13"/>
    <d v="2026-10-14T04:34:10"/>
    <d v="2026-10-14T00:00:00"/>
    <s v=""/>
    <s v="CAJA"/>
    <n v="14"/>
    <s v="PENDIENTE APROBACION  ENVIO TMS"/>
    <s v="000000001209669813"/>
    <x v="1"/>
    <x v="1"/>
    <m/>
    <n v="1"/>
    <m/>
  </r>
  <r>
    <n v="1209669816"/>
    <s v="31"/>
    <x v="40"/>
    <d v="2026-10-14T10:34:14"/>
    <d v="2026-10-14T04:34:12"/>
    <d v="2026-10-14T00:00:00"/>
    <s v=""/>
    <s v="CAJA"/>
    <n v="18"/>
    <s v="PENDIENTE APROBACION  ENVIO TMS"/>
    <s v="000000001209669816"/>
    <x v="1"/>
    <x v="1"/>
    <m/>
    <n v="1"/>
    <m/>
  </r>
  <r>
    <n v="1209669823"/>
    <s v="36"/>
    <x v="21"/>
    <d v="2026-10-14T10:34:15"/>
    <d v="2026-10-14T04:34:13"/>
    <d v="2026-10-14T00:00:00"/>
    <s v=""/>
    <s v="CAJA"/>
    <n v="4"/>
    <s v="PENDIENTE APROBACION  ENVIO TMS"/>
    <s v="000000001209669823"/>
    <x v="1"/>
    <x v="1"/>
    <m/>
    <n v="1"/>
    <m/>
  </r>
  <r>
    <n v="8209669795"/>
    <s v="29"/>
    <x v="38"/>
    <d v="2026-10-14T10:34:17"/>
    <d v="2026-10-14T04:34:14"/>
    <d v="2026-10-14T00:00:00"/>
    <s v=""/>
    <s v="UNIDAD"/>
    <n v="17"/>
    <s v="PENDIENTE APROBACION  ENVIO TMS"/>
    <s v="000000008209669795"/>
    <x v="2"/>
    <x v="0"/>
    <m/>
    <n v="1"/>
    <m/>
  </r>
  <r>
    <n v="8209669928"/>
    <s v="40"/>
    <x v="22"/>
    <d v="2026-10-14T10:34:18"/>
    <d v="2026-10-14T04:34:15"/>
    <d v="2026-10-14T00:00:00"/>
    <s v=""/>
    <s v="UNIDAD"/>
    <n v="20"/>
    <s v="PENDIENTE APROBACION  ENVIO TMS"/>
    <s v="000000008209669928"/>
    <x v="2"/>
    <x v="3"/>
    <m/>
    <n v="1"/>
    <m/>
  </r>
  <r>
    <n v="8209669929"/>
    <s v="40"/>
    <x v="22"/>
    <d v="2026-10-14T10:34:19"/>
    <d v="2026-10-14T04:34:16"/>
    <d v="2026-10-14T00:00:00"/>
    <s v=""/>
    <s v="UNIDAD"/>
    <n v="35"/>
    <s v="PENDIENTE APROBACION  ENVIO TMS"/>
    <s v="000000008209669929"/>
    <x v="2"/>
    <x v="3"/>
    <m/>
    <n v="1"/>
    <m/>
  </r>
  <r>
    <n v="1209669855"/>
    <s v="37"/>
    <x v="127"/>
    <d v="2026-10-14T10:34:20"/>
    <d v="2026-10-14T04:34:18"/>
    <d v="2026-10-14T00:00:00"/>
    <s v=""/>
    <s v="PACK"/>
    <n v="33"/>
    <s v="PENDIENTE APROBACION  ENVIO TMS"/>
    <s v="000000001209669855"/>
    <x v="1"/>
    <x v="1"/>
    <m/>
    <n v="1"/>
    <m/>
  </r>
  <r>
    <n v="1209669910"/>
    <s v="39"/>
    <x v="130"/>
    <d v="2026-10-14T10:34:22"/>
    <d v="2026-10-14T04:34:19"/>
    <d v="2026-10-14T00:00:00"/>
    <s v=""/>
    <s v="PACK"/>
    <n v="52"/>
    <s v="PENDIENTE APROBACION  ENVIO TMS"/>
    <s v="000000001209669910"/>
    <x v="1"/>
    <x v="1"/>
    <m/>
    <n v="1"/>
    <m/>
  </r>
  <r>
    <n v="1209669913"/>
    <s v="39"/>
    <x v="130"/>
    <d v="2026-10-14T10:34:23"/>
    <d v="2026-10-14T04:34:20"/>
    <d v="2026-10-14T00:00:00"/>
    <s v=""/>
    <s v="CAJA"/>
    <n v="3"/>
    <s v="PENDIENTE APROBACION  ENVIO TMS"/>
    <s v="000000001209669913"/>
    <x v="1"/>
    <x v="1"/>
    <m/>
    <n v="1"/>
    <m/>
  </r>
  <r>
    <n v="8209669926"/>
    <s v="40"/>
    <x v="22"/>
    <d v="2026-10-14T10:34:24"/>
    <d v="2026-10-14T04:34:21"/>
    <d v="2026-10-14T00:00:00"/>
    <s v=""/>
    <s v="UNIDAD"/>
    <n v="18"/>
    <s v="PENDIENTE APROBACION  ENVIO TMS"/>
    <s v="000000008209669926"/>
    <x v="2"/>
    <x v="3"/>
    <m/>
    <n v="1"/>
    <m/>
  </r>
  <r>
    <n v="1209669879"/>
    <s v="38"/>
    <x v="129"/>
    <d v="2026-10-14T10:34:25"/>
    <d v="2026-10-14T04:34:23"/>
    <d v="2026-10-14T00:00:00"/>
    <s v=""/>
    <s v="CAJA"/>
    <n v="10"/>
    <s v="PENDIENTE APROBACION  ENVIO TMS"/>
    <s v="000000001209669879"/>
    <x v="1"/>
    <x v="1"/>
    <m/>
    <n v="1"/>
    <m/>
  </r>
  <r>
    <n v="8209669845"/>
    <s v="37"/>
    <x v="127"/>
    <d v="2026-10-14T10:34:26"/>
    <d v="2026-10-14T04:34:24"/>
    <d v="2026-10-14T00:00:00"/>
    <s v=""/>
    <s v="UNIDAD"/>
    <n v="2"/>
    <s v="PENDIENTE APROBACION  ENVIO TMS"/>
    <s v="000000008209669845"/>
    <x v="2"/>
    <x v="1"/>
    <m/>
    <n v="1"/>
    <m/>
  </r>
  <r>
    <n v="1209669791"/>
    <s v="29"/>
    <x v="38"/>
    <d v="2026-10-14T10:34:28"/>
    <d v="2026-10-14T04:34:25"/>
    <d v="2026-10-14T00:00:00"/>
    <s v=""/>
    <s v="PACK"/>
    <n v="60"/>
    <s v="PENDIENTE APROBACION  ENVIO TMS"/>
    <s v="000000001209669791"/>
    <x v="1"/>
    <x v="0"/>
    <m/>
    <n v="1"/>
    <m/>
  </r>
  <r>
    <n v="8209669786"/>
    <s v="29"/>
    <x v="38"/>
    <d v="2026-10-14T10:34:28"/>
    <d v="2026-10-14T04:34:26"/>
    <d v="2026-10-14T00:00:00"/>
    <s v=""/>
    <s v="UNIDAD"/>
    <n v="19"/>
    <s v="PENDIENTE APROBACION  ENVIO TMS"/>
    <s v="000000008209669786"/>
    <x v="2"/>
    <x v="0"/>
    <m/>
    <n v="1"/>
    <m/>
  </r>
  <r>
    <n v="1209669799"/>
    <s v="29"/>
    <x v="38"/>
    <d v="2026-10-14T10:34:30"/>
    <d v="2026-10-14T04:34:27"/>
    <d v="2026-10-14T00:00:00"/>
    <s v=""/>
    <s v="CAJA"/>
    <n v="5"/>
    <s v="PENDIENTE APROBACION  ENVIO TMS"/>
    <s v="000000001209669799"/>
    <x v="1"/>
    <x v="0"/>
    <m/>
    <n v="1"/>
    <m/>
  </r>
  <r>
    <n v="1209669854"/>
    <s v="37"/>
    <x v="127"/>
    <d v="2026-10-14T10:34:31"/>
    <d v="2026-10-14T04:34:29"/>
    <d v="2026-10-14T00:00:00"/>
    <s v=""/>
    <s v="CAJA"/>
    <n v="27"/>
    <s v="PENDIENTE APROBACION  ENVIO TMS"/>
    <s v="000000001209669854"/>
    <x v="1"/>
    <x v="1"/>
    <m/>
    <n v="1"/>
    <m/>
  </r>
  <r>
    <n v="8209669899"/>
    <s v="39"/>
    <x v="130"/>
    <d v="2026-10-14T10:34:33"/>
    <d v="2026-10-14T04:34:30"/>
    <d v="2026-10-14T00:00:00"/>
    <s v=""/>
    <s v="UNIDAD"/>
    <n v="24"/>
    <s v="PENDIENTE APROBACION  ENVIO TMS"/>
    <s v="000000008209669899"/>
    <x v="2"/>
    <x v="1"/>
    <m/>
    <n v="1"/>
    <m/>
  </r>
  <r>
    <n v="8209669872"/>
    <s v="38"/>
    <x v="129"/>
    <d v="2026-10-14T10:34:34"/>
    <d v="2026-10-14T04:34:31"/>
    <d v="2026-10-14T00:00:00"/>
    <s v=""/>
    <s v="UNIDAD"/>
    <n v="6"/>
    <s v="PENDIENTE APROBACION  ENVIO TMS"/>
    <s v="000000008209669872"/>
    <x v="2"/>
    <x v="1"/>
    <m/>
    <n v="1"/>
    <m/>
  </r>
  <r>
    <n v="8209669874"/>
    <s v="38"/>
    <x v="129"/>
    <d v="2026-10-14T10:34:35"/>
    <d v="2026-10-14T04:34:33"/>
    <d v="2026-10-14T00:00:00"/>
    <s v=""/>
    <s v="UNIDAD"/>
    <n v="4"/>
    <s v="PENDIENTE APROBACION  ENVIO TMS"/>
    <s v="000000008209669874"/>
    <x v="2"/>
    <x v="1"/>
    <m/>
    <n v="1"/>
    <m/>
  </r>
  <r>
    <n v="1209669877"/>
    <s v="38"/>
    <x v="129"/>
    <d v="2026-10-14T10:34:36"/>
    <d v="2026-10-14T04:34:34"/>
    <d v="2026-10-14T00:00:00"/>
    <s v=""/>
    <s v="CAJA"/>
    <n v="4"/>
    <s v="PENDIENTE APROBACION  ENVIO TMS"/>
    <s v="000000001209669877"/>
    <x v="1"/>
    <x v="1"/>
    <m/>
    <n v="1"/>
    <m/>
  </r>
  <r>
    <n v="1209669889"/>
    <s v="38"/>
    <x v="129"/>
    <d v="2026-10-14T10:34:37"/>
    <d v="2026-10-14T04:34:35"/>
    <d v="2026-10-14T00:00:00"/>
    <s v=""/>
    <s v="CAJA"/>
    <n v="12"/>
    <s v="PENDIENTE APROBACION  ENVIO TMS"/>
    <s v="000000001209669889"/>
    <x v="1"/>
    <x v="1"/>
    <m/>
    <n v="1"/>
    <m/>
  </r>
  <r>
    <n v="1209669938"/>
    <s v="40"/>
    <x v="22"/>
    <d v="2026-10-14T10:34:39"/>
    <d v="2026-10-14T04:34:36"/>
    <d v="2026-10-14T00:00:00"/>
    <s v=""/>
    <s v="CAJA"/>
    <n v="58"/>
    <s v="PENDIENTE APROBACION  ENVIO TMS"/>
    <s v="000000001209669938"/>
    <x v="1"/>
    <x v="3"/>
    <m/>
    <n v="1"/>
    <m/>
  </r>
  <r>
    <n v="8209669941"/>
    <s v="40"/>
    <x v="22"/>
    <d v="2026-10-14T10:34:40"/>
    <d v="2026-10-14T04:34:37"/>
    <d v="2026-10-14T00:00:00"/>
    <s v=""/>
    <s v="UNIDAD"/>
    <n v="24"/>
    <s v="PENDIENTE APROBACION  ENVIO TMS"/>
    <s v="000000008209669941"/>
    <x v="2"/>
    <x v="3"/>
    <m/>
    <n v="1"/>
    <m/>
  </r>
  <r>
    <n v="1209669812"/>
    <s v="31"/>
    <x v="40"/>
    <d v="2026-10-14T10:34:41"/>
    <d v="2026-10-14T04:34:39"/>
    <d v="2026-10-14T00:00:00"/>
    <s v=""/>
    <s v="CAJA"/>
    <n v="13"/>
    <s v="PENDIENTE APROBACION  ENVIO TMS"/>
    <s v="000000001209669812"/>
    <x v="1"/>
    <x v="1"/>
    <m/>
    <n v="1"/>
    <m/>
  </r>
  <r>
    <n v="8209669844"/>
    <s v="37"/>
    <x v="127"/>
    <d v="2026-10-14T10:34:43"/>
    <d v="2026-10-14T04:34:40"/>
    <d v="2026-10-14T00:00:00"/>
    <s v=""/>
    <s v="UNIDAD"/>
    <n v="1"/>
    <s v="PENDIENTE APROBACION  ENVIO TMS"/>
    <s v="000000008209669844"/>
    <x v="2"/>
    <x v="1"/>
    <m/>
    <n v="1"/>
    <m/>
  </r>
  <r>
    <n v="1209669804"/>
    <s v="29"/>
    <x v="38"/>
    <d v="2026-10-14T10:34:44"/>
    <d v="2026-10-14T04:34:41"/>
    <d v="2026-10-14T00:00:00"/>
    <s v=""/>
    <s v="PACK"/>
    <n v="131"/>
    <s v="PENDIENTE APROBACION  ENVIO TMS"/>
    <s v="000000001209669804"/>
    <x v="1"/>
    <x v="0"/>
    <m/>
    <n v="1"/>
    <m/>
  </r>
  <r>
    <n v="1209669815"/>
    <s v="31"/>
    <x v="40"/>
    <d v="2026-10-14T10:34:45"/>
    <d v="2026-10-14T04:34:42"/>
    <d v="2026-10-14T00:00:00"/>
    <s v=""/>
    <s v="CAJA"/>
    <n v="24"/>
    <s v="PENDIENTE APROBACION  ENVIO TMS"/>
    <s v="000000001209669815"/>
    <x v="1"/>
    <x v="1"/>
    <m/>
    <n v="1"/>
    <m/>
  </r>
  <r>
    <n v="8209669784"/>
    <s v="29"/>
    <x v="38"/>
    <d v="2026-10-14T10:34:46"/>
    <d v="2026-10-14T04:34:43"/>
    <d v="2026-10-14T00:00:00"/>
    <s v=""/>
    <s v="UNIDAD"/>
    <n v="8"/>
    <s v="PENDIENTE APROBACION  ENVIO TMS"/>
    <s v="000000008209669784"/>
    <x v="2"/>
    <x v="0"/>
    <m/>
    <n v="1"/>
    <m/>
  </r>
  <r>
    <n v="1209669792"/>
    <s v="29"/>
    <x v="38"/>
    <d v="2026-10-14T10:34:47"/>
    <d v="2026-10-14T04:34:45"/>
    <d v="2026-10-14T00:00:00"/>
    <s v=""/>
    <s v="CAJA"/>
    <n v="46"/>
    <s v="PENDIENTE APROBACION  ENVIO TMS"/>
    <s v="000000001209669792"/>
    <x v="1"/>
    <x v="0"/>
    <m/>
    <n v="1"/>
    <m/>
  </r>
  <r>
    <n v="8209669794"/>
    <s v="29"/>
    <x v="38"/>
    <d v="2026-10-14T10:34:48"/>
    <d v="2026-10-14T04:34:46"/>
    <d v="2026-10-14T00:00:00"/>
    <s v=""/>
    <s v="UNIDAD"/>
    <n v="2"/>
    <s v="PENDIENTE APROBACION  ENVIO TMS"/>
    <s v="000000008209669794"/>
    <x v="2"/>
    <x v="0"/>
    <m/>
    <n v="1"/>
    <m/>
  </r>
  <r>
    <n v="1209669802"/>
    <s v="29"/>
    <x v="38"/>
    <d v="2026-10-14T10:34:50"/>
    <d v="2026-10-14T04:34:47"/>
    <d v="2026-10-14T00:00:00"/>
    <s v=""/>
    <s v="CAJA"/>
    <n v="46"/>
    <s v="PENDIENTE APROBACION  ENVIO TMS"/>
    <s v="000000001209669802"/>
    <x v="1"/>
    <x v="0"/>
    <m/>
    <n v="1"/>
    <m/>
  </r>
  <r>
    <n v="1209669850"/>
    <s v="37"/>
    <x v="127"/>
    <d v="2026-10-14T10:34:51"/>
    <d v="2026-10-14T04:34:48"/>
    <d v="2026-10-14T00:00:00"/>
    <s v=""/>
    <s v="PACK"/>
    <n v="7"/>
    <s v="PENDIENTE APROBACION  ENVIO TMS"/>
    <s v="000000001209669850"/>
    <x v="1"/>
    <x v="1"/>
    <m/>
    <n v="1"/>
    <m/>
  </r>
  <r>
    <n v="1209669852"/>
    <s v="37"/>
    <x v="127"/>
    <d v="2026-10-14T10:34:52"/>
    <d v="2026-10-14T04:34:50"/>
    <d v="2026-10-14T00:00:00"/>
    <s v=""/>
    <s v="CAJA"/>
    <n v="11"/>
    <s v="PENDIENTE APROBACION  ENVIO TMS"/>
    <s v="000000001209669852"/>
    <x v="1"/>
    <x v="1"/>
    <m/>
    <n v="1"/>
    <m/>
  </r>
  <r>
    <n v="1209669853"/>
    <s v="37"/>
    <x v="127"/>
    <d v="2026-10-14T10:34:53"/>
    <d v="2026-10-14T04:34:51"/>
    <d v="2026-10-14T00:00:00"/>
    <s v=""/>
    <s v="CAJA"/>
    <n v="16"/>
    <s v="PENDIENTE APROBACION  ENVIO TMS"/>
    <s v="000000001209669853"/>
    <x v="1"/>
    <x v="1"/>
    <m/>
    <n v="1"/>
    <m/>
  </r>
  <r>
    <n v="1209669880"/>
    <s v="38"/>
    <x v="129"/>
    <d v="2026-10-14T10:34:55"/>
    <d v="2026-10-14T04:34:52"/>
    <d v="2026-10-14T00:00:00"/>
    <s v=""/>
    <s v="CAJA"/>
    <n v="12"/>
    <s v="PENDIENTE APROBACION  ENVIO TMS"/>
    <s v="000000001209669880"/>
    <x v="1"/>
    <x v="1"/>
    <m/>
    <n v="1"/>
    <m/>
  </r>
  <r>
    <n v="1209669936"/>
    <s v="40"/>
    <x v="22"/>
    <d v="2026-10-14T10:34:56"/>
    <d v="2026-10-14T04:34:53"/>
    <d v="2026-10-14T00:00:00"/>
    <s v=""/>
    <s v="CAJA"/>
    <n v="37"/>
    <s v="PENDIENTE APROBACION  ENVIO TMS"/>
    <s v="000000001209669936"/>
    <x v="1"/>
    <x v="3"/>
    <m/>
    <n v="1"/>
    <m/>
  </r>
  <r>
    <n v="1209669935"/>
    <s v="40"/>
    <x v="22"/>
    <d v="2026-10-14T10:34:57"/>
    <d v="2026-10-14T04:34:55"/>
    <d v="2026-10-14T00:00:00"/>
    <s v=""/>
    <s v="CAJA"/>
    <n v="33"/>
    <s v="PENDIENTE APROBACION  ENVIO TMS"/>
    <s v="000000001209669935"/>
    <x v="1"/>
    <x v="3"/>
    <m/>
    <n v="1"/>
    <m/>
  </r>
  <r>
    <n v="8209669942"/>
    <s v="40"/>
    <x v="22"/>
    <d v="2026-10-14T10:34:58"/>
    <d v="2026-10-14T04:34:56"/>
    <d v="2026-10-14T00:00:00"/>
    <s v=""/>
    <s v="UNIDAD"/>
    <n v="5"/>
    <s v="PENDIENTE APROBACION  ENVIO TMS"/>
    <s v="000000008209669942"/>
    <x v="2"/>
    <x v="3"/>
    <m/>
    <n v="1"/>
    <m/>
  </r>
  <r>
    <n v="1209669811"/>
    <s v="31"/>
    <x v="40"/>
    <d v="2026-10-14T10:34:59"/>
    <d v="2026-10-14T04:34:57"/>
    <d v="2026-10-14T00:00:00"/>
    <s v=""/>
    <s v="CAJA"/>
    <n v="9"/>
    <s v="PENDIENTE APROBACION  ENVIO TMS"/>
    <s v="000000001209669811"/>
    <x v="1"/>
    <x v="1"/>
    <m/>
    <n v="1"/>
    <m/>
  </r>
  <r>
    <n v="8209669819"/>
    <s v="36"/>
    <x v="21"/>
    <d v="2026-10-14T10:35:01"/>
    <d v="2026-10-14T04:34:58"/>
    <d v="2026-10-14T00:00:00"/>
    <s v=""/>
    <s v="UNIDAD"/>
    <n v="1"/>
    <s v="PENDIENTE APROBACION  ENVIO TMS"/>
    <s v="000000008209669819"/>
    <x v="2"/>
    <x v="1"/>
    <m/>
    <n v="1"/>
    <m/>
  </r>
  <r>
    <n v="8209669820"/>
    <s v="36"/>
    <x v="21"/>
    <d v="2026-10-14T10:35:02"/>
    <d v="2026-10-14T04:34:59"/>
    <d v="2026-10-14T00:00:00"/>
    <s v=""/>
    <s v="UNIDAD"/>
    <n v="1"/>
    <s v="PENDIENTE APROBACION  ENVIO TMS"/>
    <s v="000000008209669820"/>
    <x v="2"/>
    <x v="1"/>
    <m/>
    <n v="1"/>
    <m/>
  </r>
  <r>
    <n v="1209669824"/>
    <s v="36"/>
    <x v="21"/>
    <d v="2026-10-14T10:35:03"/>
    <d v="2026-10-14T04:35:01"/>
    <d v="2026-10-14T00:00:00"/>
    <s v=""/>
    <s v="CAJA"/>
    <n v="3"/>
    <s v="PENDIENTE APROBACION  ENVIO TMS"/>
    <s v="000000001209669824"/>
    <x v="1"/>
    <x v="1"/>
    <m/>
    <n v="1"/>
    <m/>
  </r>
  <r>
    <n v="1209669826"/>
    <s v="36"/>
    <x v="21"/>
    <d v="2026-10-14T10:35:04"/>
    <d v="2026-10-14T04:35:02"/>
    <d v="2026-10-14T00:00:00"/>
    <s v=""/>
    <s v="CAJA"/>
    <n v="10"/>
    <s v="PENDIENTE APROBACION  ENVIO TMS"/>
    <s v="000000001209669826"/>
    <x v="1"/>
    <x v="1"/>
    <m/>
    <n v="1"/>
    <m/>
  </r>
  <r>
    <n v="8209669796"/>
    <s v="29"/>
    <x v="38"/>
    <d v="2026-10-14T10:35:06"/>
    <d v="2026-10-14T04:35:03"/>
    <d v="2026-10-14T00:00:00"/>
    <s v=""/>
    <s v="UNIDAD"/>
    <n v="12"/>
    <s v="PENDIENTE APROBACION  ENVIO TMS"/>
    <s v="000000008209669796"/>
    <x v="2"/>
    <x v="0"/>
    <m/>
    <n v="1"/>
    <m/>
  </r>
  <r>
    <n v="1209669809"/>
    <s v="31"/>
    <x v="40"/>
    <d v="2026-10-14T10:35:07"/>
    <d v="2026-10-14T04:35:04"/>
    <d v="2026-10-14T00:00:00"/>
    <s v=""/>
    <s v="CAJA"/>
    <n v="4"/>
    <s v="PENDIENTE APROBACION  ENVIO TMS"/>
    <s v="000000001209669809"/>
    <x v="1"/>
    <x v="1"/>
    <m/>
    <n v="1"/>
    <m/>
  </r>
  <r>
    <n v="1209669848"/>
    <s v="37"/>
    <x v="127"/>
    <d v="2026-10-14T10:35:08"/>
    <d v="2026-10-14T04:35:06"/>
    <d v="2026-10-14T00:00:00"/>
    <s v=""/>
    <s v="CAJA"/>
    <n v="3"/>
    <s v="PENDIENTE APROBACION  ENVIO TMS"/>
    <s v="000000001209669848"/>
    <x v="1"/>
    <x v="1"/>
    <m/>
    <n v="1"/>
    <m/>
  </r>
  <r>
    <n v="8209669897"/>
    <s v="39"/>
    <x v="130"/>
    <d v="2026-10-14T10:35:09"/>
    <d v="2026-10-14T04:35:07"/>
    <d v="2026-10-14T00:00:00"/>
    <s v=""/>
    <s v="UNIDAD"/>
    <n v="10"/>
    <s v="PENDIENTE APROBACION  ENVIO TMS"/>
    <s v="000000008209669897"/>
    <x v="2"/>
    <x v="1"/>
    <m/>
    <n v="1"/>
    <m/>
  </r>
  <r>
    <n v="1209669904"/>
    <s v="39"/>
    <x v="130"/>
    <d v="2026-10-14T10:35:10"/>
    <d v="2026-10-14T04:35:08"/>
    <d v="2026-10-14T00:00:00"/>
    <s v=""/>
    <s v="CAJA"/>
    <n v="19"/>
    <s v="PENDIENTE APROBACION  ENVIO TMS"/>
    <s v="000000001209669904"/>
    <x v="1"/>
    <x v="1"/>
    <m/>
    <n v="1"/>
    <m/>
  </r>
  <r>
    <n v="1209669949"/>
    <s v="40"/>
    <x v="22"/>
    <d v="2026-10-14T10:35:12"/>
    <d v="2026-10-14T04:35:09"/>
    <d v="2026-10-14T00:00:00"/>
    <s v=""/>
    <s v="CAJA"/>
    <n v="45"/>
    <s v="PENDIENTE APROBACION  ENVIO TMS"/>
    <s v="000000001209669949"/>
    <x v="1"/>
    <x v="3"/>
    <m/>
    <n v="1"/>
    <m/>
  </r>
  <r>
    <n v="8209669846"/>
    <s v="37"/>
    <x v="127"/>
    <d v="2026-10-14T10:35:13"/>
    <d v="2026-10-14T04:35:11"/>
    <d v="2026-10-14T00:00:00"/>
    <s v=""/>
    <s v="UNIDAD"/>
    <n v="1"/>
    <s v="PENDIENTE APROBACION  ENVIO TMS"/>
    <s v="000000008209669846"/>
    <x v="2"/>
    <x v="1"/>
    <m/>
    <n v="1"/>
    <m/>
  </r>
  <r>
    <n v="1209669822"/>
    <s v="36"/>
    <x v="21"/>
    <d v="2026-10-14T10:35:15"/>
    <d v="2026-10-14T04:35:12"/>
    <d v="2026-10-14T00:00:00"/>
    <s v=""/>
    <s v="CAJA"/>
    <n v="4"/>
    <s v="PENDIENTE APROBACION  ENVIO TMS"/>
    <s v="000000001209669822"/>
    <x v="1"/>
    <x v="1"/>
    <m/>
    <n v="1"/>
    <m/>
  </r>
  <r>
    <n v="1209669825"/>
    <s v="36"/>
    <x v="21"/>
    <d v="2026-10-14T10:35:15"/>
    <d v="2026-10-14T04:35:13"/>
    <d v="2026-10-14T00:00:00"/>
    <s v=""/>
    <s v="CAJA"/>
    <n v="5"/>
    <s v="PENDIENTE APROBACION  ENVIO TMS"/>
    <s v="000000001209669825"/>
    <x v="1"/>
    <x v="1"/>
    <m/>
    <n v="1"/>
    <m/>
  </r>
  <r>
    <n v="1209669801"/>
    <s v="29"/>
    <x v="38"/>
    <d v="2026-10-14T10:35:17"/>
    <d v="2026-10-14T04:35:14"/>
    <d v="2026-10-14T00:00:00"/>
    <s v=""/>
    <s v="PACK"/>
    <n v="36"/>
    <s v="PENDIENTE APROBACION  ENVIO TMS"/>
    <s v="000000001209669801"/>
    <x v="1"/>
    <x v="0"/>
    <m/>
    <n v="1"/>
    <m/>
  </r>
  <r>
    <n v="1209669858"/>
    <s v="37"/>
    <x v="127"/>
    <d v="2026-10-14T10:35:18"/>
    <d v="2026-10-14T04:35:15"/>
    <d v="2026-10-14T00:00:00"/>
    <s v=""/>
    <s v="CAJA"/>
    <n v="13"/>
    <s v="PENDIENTE APROBACION  ENVIO TMS"/>
    <s v="000000001209669858"/>
    <x v="1"/>
    <x v="1"/>
    <m/>
    <n v="1"/>
    <m/>
  </r>
  <r>
    <n v="8209669912"/>
    <s v="39"/>
    <x v="130"/>
    <d v="2026-10-14T10:35:20"/>
    <d v="2026-10-14T04:35:17"/>
    <d v="2026-10-14T00:00:00"/>
    <s v=""/>
    <s v="UNIDAD"/>
    <n v="10"/>
    <s v="PENDIENTE APROBACION  ENVIO TMS"/>
    <s v="000000008209669912"/>
    <x v="2"/>
    <x v="1"/>
    <m/>
    <n v="1"/>
    <m/>
  </r>
  <r>
    <n v="1209669878"/>
    <s v="38"/>
    <x v="129"/>
    <d v="2026-10-14T10:35:21"/>
    <d v="2026-10-14T04:35:18"/>
    <d v="2026-10-14T00:00:00"/>
    <s v=""/>
    <s v="PACK"/>
    <n v="7"/>
    <s v="PENDIENTE APROBACION  ENVIO TMS"/>
    <s v="000000001209669878"/>
    <x v="1"/>
    <x v="1"/>
    <m/>
    <n v="1"/>
    <m/>
  </r>
  <r>
    <n v="1209669939"/>
    <s v="40"/>
    <x v="22"/>
    <d v="2026-10-14T10:35:21"/>
    <d v="2026-10-14T04:35:19"/>
    <d v="2026-10-14T00:00:00"/>
    <s v=""/>
    <s v="CAJA"/>
    <n v="4"/>
    <s v="PENDIENTE APROBACION  ENVIO TMS"/>
    <s v="000000001209669939"/>
    <x v="1"/>
    <x v="3"/>
    <m/>
    <n v="1"/>
    <m/>
  </r>
  <r>
    <n v="1209669803"/>
    <s v="29"/>
    <x v="38"/>
    <d v="2026-10-14T10:35:23"/>
    <d v="2026-10-14T04:35:21"/>
    <d v="2026-10-14T00:00:00"/>
    <s v=""/>
    <s v="PACK"/>
    <n v="28"/>
    <s v="PENDIENTE APROBACION  ENVIO TMS"/>
    <s v="000000001209669803"/>
    <x v="1"/>
    <x v="0"/>
    <m/>
    <n v="1"/>
    <m/>
  </r>
  <r>
    <n v="1209669814"/>
    <s v="31"/>
    <x v="40"/>
    <d v="2026-10-14T10:35:24"/>
    <d v="2026-10-14T04:35:22"/>
    <d v="2026-10-14T00:00:00"/>
    <s v=""/>
    <s v="CAJA"/>
    <n v="12"/>
    <s v="PENDIENTE APROBACION  ENVIO TMS"/>
    <s v="000000001209669814"/>
    <x v="1"/>
    <x v="1"/>
    <m/>
    <n v="1"/>
    <m/>
  </r>
  <r>
    <n v="8209669806"/>
    <s v="31"/>
    <x v="40"/>
    <d v="2026-10-14T10:35:26"/>
    <d v="2026-10-14T04:35:23"/>
    <d v="2026-10-14T00:00:00"/>
    <s v=""/>
    <s v="UNIDAD"/>
    <n v="1"/>
    <s v="PENDIENTE APROBACION  ENVIO TMS"/>
    <s v="000000008209669806"/>
    <x v="2"/>
    <x v="1"/>
    <m/>
    <n v="1"/>
    <m/>
  </r>
  <r>
    <n v="1209669821"/>
    <s v="36"/>
    <x v="21"/>
    <d v="2026-10-14T10:35:27"/>
    <d v="2026-10-14T04:35:24"/>
    <d v="2026-10-14T00:00:00"/>
    <s v=""/>
    <s v="CAJA"/>
    <n v="1"/>
    <s v="PENDIENTE APROBACION  ENVIO TMS"/>
    <s v="000000001209669821"/>
    <x v="1"/>
    <x v="1"/>
    <m/>
    <n v="1"/>
    <m/>
  </r>
  <r>
    <n v="8209669797"/>
    <s v="29"/>
    <x v="38"/>
    <d v="2026-10-14T10:35:28"/>
    <d v="2026-10-14T04:35:25"/>
    <d v="2026-10-14T00:00:00"/>
    <s v=""/>
    <s v="UNIDAD"/>
    <n v="13"/>
    <s v="PENDIENTE APROBACION  ENVIO TMS"/>
    <s v="000000008209669797"/>
    <x v="2"/>
    <x v="0"/>
    <m/>
    <n v="1"/>
    <m/>
  </r>
  <r>
    <n v="1209669788"/>
    <s v="29"/>
    <x v="38"/>
    <d v="2026-10-14T10:35:29"/>
    <d v="2026-10-14T04:35:27"/>
    <d v="2026-10-14T00:00:00"/>
    <s v=""/>
    <s v="PACK"/>
    <n v="37"/>
    <s v="PENDIENTE APROBACION  ENVIO TMS"/>
    <s v="000000001209669788"/>
    <x v="1"/>
    <x v="0"/>
    <m/>
    <n v="1"/>
    <m/>
  </r>
  <r>
    <n v="1209669800"/>
    <s v="29"/>
    <x v="38"/>
    <d v="2026-10-14T10:35:31"/>
    <d v="2026-10-14T04:35:28"/>
    <d v="2026-10-14T00:00:00"/>
    <s v=""/>
    <s v="PACK"/>
    <n v="6"/>
    <s v="PENDIENTE APROBACION  ENVIO TMS"/>
    <s v="000000001209669800"/>
    <x v="1"/>
    <x v="0"/>
    <m/>
    <n v="1"/>
    <m/>
  </r>
  <r>
    <n v="1209669831"/>
    <s v="36"/>
    <x v="21"/>
    <d v="2026-10-14T10:35:32"/>
    <d v="2026-10-14T04:35:29"/>
    <d v="2026-10-14T00:00:00"/>
    <s v=""/>
    <s v="CAJA"/>
    <n v="1"/>
    <s v="PENDIENTE APROBACION  ENVIO TMS"/>
    <s v="000000001209669831"/>
    <x v="1"/>
    <x v="1"/>
    <m/>
    <n v="1"/>
    <m/>
  </r>
  <r>
    <n v="8209669808"/>
    <s v="31"/>
    <x v="40"/>
    <d v="2026-10-14T10:35:33"/>
    <d v="2026-10-14T04:35:30"/>
    <d v="2026-10-14T00:00:00"/>
    <s v=""/>
    <s v="UNIDAD"/>
    <n v="1"/>
    <s v="PENDIENTE APROBACION  ENVIO TMS"/>
    <s v="000000008209669808"/>
    <x v="2"/>
    <x v="1"/>
    <m/>
    <n v="1"/>
    <m/>
  </r>
  <r>
    <n v="1209669810"/>
    <s v="31"/>
    <x v="40"/>
    <d v="2026-10-14T10:35:34"/>
    <d v="2026-10-14T04:35:32"/>
    <d v="2026-10-14T00:00:00"/>
    <s v=""/>
    <s v="CAJA"/>
    <n v="6"/>
    <s v="PENDIENTE APROBACION  ENVIO TMS"/>
    <s v="000000001209669810"/>
    <x v="1"/>
    <x v="1"/>
    <m/>
    <n v="1"/>
    <m/>
  </r>
  <r>
    <n v="1209669882"/>
    <s v="38"/>
    <x v="129"/>
    <d v="2026-10-14T10:35:36"/>
    <d v="2026-10-14T04:35:33"/>
    <d v="2026-10-14T00:00:00"/>
    <s v=""/>
    <s v="CAJA"/>
    <n v="20"/>
    <s v="PENDIENTE APROBACION  ENVIO TMS"/>
    <s v="000000001209669882"/>
    <x v="1"/>
    <x v="1"/>
    <m/>
    <n v="1"/>
    <m/>
  </r>
  <r>
    <n v="1209669907"/>
    <s v="39"/>
    <x v="130"/>
    <d v="2026-10-14T10:35:37"/>
    <d v="2026-10-14T04:35:34"/>
    <d v="2026-10-14T00:00:00"/>
    <s v=""/>
    <s v="CAJA"/>
    <n v="52"/>
    <s v="PENDIENTE APROBACION  ENVIO TMS"/>
    <s v="000000001209669907"/>
    <x v="1"/>
    <x v="1"/>
    <m/>
    <n v="1"/>
    <m/>
  </r>
  <r>
    <n v="1209669909"/>
    <s v="39"/>
    <x v="130"/>
    <d v="2026-10-14T10:35:38"/>
    <d v="2026-10-14T04:35:35"/>
    <d v="2026-10-14T00:00:00"/>
    <s v=""/>
    <s v="CAJA"/>
    <n v="1"/>
    <s v="PENDIENTE APROBACION  ENVIO TMS"/>
    <s v="000000001209669909"/>
    <x v="1"/>
    <x v="1"/>
    <m/>
    <n v="1"/>
    <m/>
  </r>
  <r>
    <n v="1209669884"/>
    <s v="38"/>
    <x v="129"/>
    <d v="2026-10-14T10:35:39"/>
    <d v="2026-10-14T04:35:37"/>
    <d v="2026-10-14T00:00:00"/>
    <s v=""/>
    <s v="PACK"/>
    <n v="28"/>
    <s v="PENDIENTE APROBACION  ENVIO TMS"/>
    <s v="000000001209669884"/>
    <x v="1"/>
    <x v="1"/>
    <m/>
    <n v="1"/>
    <m/>
  </r>
  <r>
    <n v="1209669915"/>
    <s v="39"/>
    <x v="130"/>
    <d v="2026-10-14T10:35:40"/>
    <d v="2026-10-14T04:35:38"/>
    <d v="2026-10-14T00:00:00"/>
    <s v=""/>
    <s v="CAJA"/>
    <n v="29"/>
    <s v="PENDIENTE APROBACION  ENVIO TMS"/>
    <s v="000000001209669915"/>
    <x v="1"/>
    <x v="1"/>
    <m/>
    <n v="1"/>
    <m/>
  </r>
  <r>
    <n v="1209669914"/>
    <s v="39"/>
    <x v="130"/>
    <d v="2026-10-14T10:35:42"/>
    <d v="2026-10-14T04:35:39"/>
    <d v="2026-10-14T00:00:00"/>
    <s v=""/>
    <s v="PACK"/>
    <n v="3"/>
    <s v="PENDIENTE APROBACION  ENVIO TMS"/>
    <s v="000000001209669914"/>
    <x v="1"/>
    <x v="1"/>
    <m/>
    <n v="1"/>
    <m/>
  </r>
  <r>
    <n v="8209669900"/>
    <s v="39"/>
    <x v="130"/>
    <d v="2026-10-14T10:35:43"/>
    <d v="2026-10-14T04:35:40"/>
    <d v="2026-10-14T00:00:00"/>
    <s v=""/>
    <s v="UNIDAD"/>
    <n v="10"/>
    <s v="PENDIENTE APROBACION  ENVIO TMS"/>
    <s v="000000008209669900"/>
    <x v="2"/>
    <x v="1"/>
    <m/>
    <n v="1"/>
    <m/>
  </r>
  <r>
    <n v="1209669943"/>
    <s v="40"/>
    <x v="22"/>
    <d v="2026-10-14T10:35:44"/>
    <d v="2026-10-14T04:35:41"/>
    <d v="2026-10-14T00:00:00"/>
    <s v=""/>
    <s v="PACK"/>
    <n v="4"/>
    <s v="PENDIENTE APROBACION  ENVIO TMS"/>
    <s v="000000001209669943"/>
    <x v="1"/>
    <x v="3"/>
    <m/>
    <n v="1"/>
    <m/>
  </r>
  <r>
    <n v="8209669843"/>
    <s v="37"/>
    <x v="127"/>
    <d v="2026-10-14T10:35:45"/>
    <d v="2026-10-14T04:35:43"/>
    <d v="2026-10-14T00:00:00"/>
    <s v=""/>
    <s v="UNIDAD"/>
    <n v="1"/>
    <s v="PENDIENTE APROBACION  ENVIO TMS"/>
    <s v="000000008209669843"/>
    <x v="2"/>
    <x v="1"/>
    <m/>
    <n v="1"/>
    <m/>
  </r>
  <r>
    <n v="8209669817"/>
    <s v="36"/>
    <x v="21"/>
    <d v="2026-10-14T10:35:46"/>
    <d v="2026-10-14T04:35:44"/>
    <d v="2026-10-14T00:00:00"/>
    <s v=""/>
    <s v="UNIDAD"/>
    <n v="1"/>
    <s v="PENDIENTE APROBACION  ENVIO TMS"/>
    <s v="000000008209669817"/>
    <x v="2"/>
    <x v="1"/>
    <m/>
    <n v="1"/>
    <m/>
  </r>
  <r>
    <n v="1209669798"/>
    <s v="29"/>
    <x v="38"/>
    <d v="2026-10-14T10:35:48"/>
    <d v="2026-10-14T04:35:45"/>
    <d v="2026-10-14T00:00:00"/>
    <s v=""/>
    <s v="PACK"/>
    <n v="4"/>
    <s v="PENDIENTE APROBACION  ENVIO TMS"/>
    <s v="000000001209669798"/>
    <x v="1"/>
    <x v="0"/>
    <m/>
    <n v="1"/>
    <m/>
  </r>
  <r>
    <n v="1209669883"/>
    <s v="38"/>
    <x v="129"/>
    <d v="2026-10-14T10:35:49"/>
    <d v="2026-10-14T04:35:46"/>
    <d v="2026-10-14T00:00:00"/>
    <s v=""/>
    <s v="PACK"/>
    <n v="17"/>
    <s v="PENDIENTE APROBACION  ENVIO TMS"/>
    <s v="000000001209669883"/>
    <x v="1"/>
    <x v="1"/>
    <m/>
    <n v="1"/>
    <m/>
  </r>
  <r>
    <n v="1209669849"/>
    <s v="37"/>
    <x v="127"/>
    <d v="2026-10-14T10:35:50"/>
    <d v="2026-10-14T04:35:48"/>
    <d v="2026-10-14T00:00:00"/>
    <s v=""/>
    <s v="CAJA"/>
    <n v="6"/>
    <s v="PENDIENTE APROBACION  ENVIO TMS"/>
    <s v="000000001209669849"/>
    <x v="1"/>
    <x v="1"/>
    <m/>
    <n v="1"/>
    <m/>
  </r>
  <r>
    <n v="1209669851"/>
    <s v="37"/>
    <x v="127"/>
    <d v="2026-10-14T10:35:51"/>
    <d v="2026-10-14T04:35:49"/>
    <d v="2026-10-14T00:00:00"/>
    <s v=""/>
    <s v="CAJA"/>
    <n v="10"/>
    <s v="PENDIENTE APROBACION  ENVIO TMS"/>
    <s v="000000001209669851"/>
    <x v="1"/>
    <x v="1"/>
    <m/>
    <n v="1"/>
    <m/>
  </r>
  <r>
    <n v="1209669885"/>
    <s v="38"/>
    <x v="129"/>
    <d v="2026-10-14T10:35:53"/>
    <d v="2026-10-14T04:35:50"/>
    <d v="2026-10-14T00:00:00"/>
    <s v=""/>
    <s v="CAJA"/>
    <n v="3"/>
    <s v="PENDIENTE APROBACION  ENVIO TMS"/>
    <s v="000000001209669885"/>
    <x v="1"/>
    <x v="1"/>
    <m/>
    <n v="1"/>
    <m/>
  </r>
  <r>
    <n v="8209669911"/>
    <s v="39"/>
    <x v="130"/>
    <d v="2026-10-14T10:35:54"/>
    <d v="2026-10-14T04:35:51"/>
    <d v="2026-10-14T00:00:00"/>
    <s v=""/>
    <s v="UNIDAD"/>
    <n v="2"/>
    <s v="PENDIENTE APROBACION  ENVIO TMS"/>
    <s v="000000008209669911"/>
    <x v="2"/>
    <x v="1"/>
    <m/>
    <n v="1"/>
    <m/>
  </r>
  <r>
    <n v="8209669875"/>
    <s v="38"/>
    <x v="129"/>
    <d v="2026-10-14T10:35:55"/>
    <d v="2026-10-14T04:35:52"/>
    <d v="2026-10-14T00:00:00"/>
    <s v=""/>
    <s v="UNIDAD"/>
    <n v="2"/>
    <s v="PENDIENTE APROBACION  ENVIO TMS"/>
    <s v="000000008209669875"/>
    <x v="2"/>
    <x v="1"/>
    <m/>
    <n v="1"/>
    <m/>
  </r>
  <r>
    <n v="1209669937"/>
    <s v="40"/>
    <x v="22"/>
    <d v="2026-10-14T10:35:56"/>
    <d v="2026-10-14T04:35:54"/>
    <d v="2026-10-14T00:00:00"/>
    <s v=""/>
    <s v="PACK"/>
    <n v="48"/>
    <s v="PENDIENTE APROBACION  ENVIO TMS"/>
    <s v="000000001209669937"/>
    <x v="1"/>
    <x v="3"/>
    <m/>
    <n v="1"/>
    <m/>
  </r>
  <r>
    <n v="1209669940"/>
    <s v="40"/>
    <x v="22"/>
    <d v="2026-10-14T10:35:57"/>
    <d v="2026-10-14T04:35:55"/>
    <d v="2026-10-14T00:00:00"/>
    <s v=""/>
    <s v="PACK"/>
    <n v="78"/>
    <s v="PENDIENTE APROBACION  ENVIO TMS"/>
    <s v="000000001209669940"/>
    <x v="1"/>
    <x v="3"/>
    <m/>
    <n v="1"/>
    <m/>
  </r>
  <r>
    <n v="1209669947"/>
    <s v="40"/>
    <x v="22"/>
    <d v="2026-10-14T10:35:59"/>
    <d v="2026-10-14T04:35:56"/>
    <d v="2026-10-14T00:00:00"/>
    <s v=""/>
    <s v="PACK"/>
    <n v="20"/>
    <s v="PENDIENTE APROBACION  ENVIO TMS"/>
    <s v="000000001209669947"/>
    <x v="1"/>
    <x v="3"/>
    <m/>
    <n v="1"/>
    <m/>
  </r>
  <r>
    <n v="8209669805"/>
    <s v="31"/>
    <x v="40"/>
    <d v="2026-10-14T10:36:00"/>
    <d v="2026-10-14T04:35:57"/>
    <d v="2026-10-14T00:00:00"/>
    <s v=""/>
    <s v="UNIDAD"/>
    <n v="3"/>
    <s v="PENDIENTE APROBACION  ENVIO TMS"/>
    <s v="000000008209669805"/>
    <x v="2"/>
    <x v="1"/>
    <m/>
    <n v="1"/>
    <m/>
  </r>
  <r>
    <n v="1209669827"/>
    <s v="36"/>
    <x v="21"/>
    <d v="2026-10-14T10:36:02"/>
    <d v="2026-10-14T04:36:00"/>
    <d v="2026-10-14T00:00:00"/>
    <s v=""/>
    <s v="PACK"/>
    <n v="3"/>
    <s v="PENDIENTE APROBACION  ENVIO TMS"/>
    <s v="000000001209669827"/>
    <x v="1"/>
    <x v="1"/>
    <m/>
    <n v="1"/>
    <m/>
  </r>
  <r>
    <n v="8209669818"/>
    <s v="36"/>
    <x v="21"/>
    <d v="2026-10-14T10:36:02"/>
    <d v="2026-10-14T04:35:59"/>
    <d v="2026-10-14T00:00:00"/>
    <s v=""/>
    <s v="UNIDAD"/>
    <n v="2"/>
    <s v="PENDIENTE APROBACION  ENVIO TMS"/>
    <s v="000000008209669818"/>
    <x v="2"/>
    <x v="1"/>
    <m/>
    <n v="1"/>
    <m/>
  </r>
  <r>
    <n v="1209669829"/>
    <s v="36"/>
    <x v="21"/>
    <d v="2026-10-14T10:36:04"/>
    <d v="2026-10-14T04:36:01"/>
    <d v="2026-10-14T00:00:00"/>
    <s v=""/>
    <s v="PACK"/>
    <n v="14"/>
    <s v="PENDIENTE APROBACION  ENVIO TMS"/>
    <s v="000000001209669829"/>
    <x v="1"/>
    <x v="1"/>
    <m/>
    <n v="1"/>
    <m/>
  </r>
  <r>
    <n v="1209669807"/>
    <s v="31"/>
    <x v="40"/>
    <d v="2026-10-14T10:36:05"/>
    <d v="2026-10-14T04:36:02"/>
    <d v="2026-10-14T00:00:00"/>
    <s v=""/>
    <s v="PACK"/>
    <n v="2"/>
    <s v="PENDIENTE APROBACION  ENVIO TMS"/>
    <s v="000000001209669807"/>
    <x v="1"/>
    <x v="1"/>
    <m/>
    <n v="1"/>
    <m/>
  </r>
  <r>
    <n v="1209669906"/>
    <s v="39"/>
    <x v="130"/>
    <d v="2026-10-14T10:36:06"/>
    <d v="2026-10-14T04:36:04"/>
    <d v="2026-10-14T00:00:00"/>
    <s v=""/>
    <s v="PACK"/>
    <n v="23"/>
    <s v="PENDIENTE APROBACION  ENVIO TMS"/>
    <s v="000000001209669906"/>
    <x v="1"/>
    <x v="1"/>
    <m/>
    <n v="1"/>
    <m/>
  </r>
  <r>
    <n v="1209669881"/>
    <s v="38"/>
    <x v="129"/>
    <d v="2026-10-14T10:36:07"/>
    <d v="2026-10-14T04:36:05"/>
    <d v="2026-10-14T00:00:00"/>
    <s v=""/>
    <s v="CAJA"/>
    <n v="10"/>
    <s v="PENDIENTE APROBACION  ENVIO TMS"/>
    <s v="000000001209669881"/>
    <x v="1"/>
    <x v="1"/>
    <m/>
    <n v="1"/>
    <m/>
  </r>
  <r>
    <n v="1209669916"/>
    <s v="39"/>
    <x v="130"/>
    <d v="2026-10-14T10:36:09"/>
    <d v="2026-10-14T04:36:06"/>
    <d v="2026-10-14T00:00:00"/>
    <s v=""/>
    <s v="CAJA"/>
    <n v="29"/>
    <s v="PENDIENTE APROBACION  ENVIO TMS"/>
    <s v="000000001209669916"/>
    <x v="1"/>
    <x v="1"/>
    <m/>
    <n v="1"/>
    <m/>
  </r>
  <r>
    <n v="1209669902"/>
    <s v="39"/>
    <x v="130"/>
    <d v="2026-10-14T10:36:10"/>
    <d v="2026-10-14T04:36:08"/>
    <d v="2026-10-14T00:00:00"/>
    <s v=""/>
    <s v="CAJA"/>
    <n v="15"/>
    <s v="PENDIENTE APROBACION  ENVIO TMS"/>
    <s v="000000001209669902"/>
    <x v="1"/>
    <x v="1"/>
    <m/>
    <n v="1"/>
    <m/>
  </r>
  <r>
    <n v="8209669898"/>
    <s v="39"/>
    <x v="130"/>
    <d v="2026-10-14T10:36:11"/>
    <d v="2026-10-14T04:36:09"/>
    <d v="2026-10-14T00:00:00"/>
    <s v=""/>
    <s v="UNIDAD"/>
    <n v="4"/>
    <s v="PENDIENTE APROBACION  ENVIO TMS"/>
    <s v="000000008209669898"/>
    <x v="2"/>
    <x v="1"/>
    <m/>
    <n v="1"/>
    <m/>
  </r>
  <r>
    <n v="8209669925"/>
    <s v="40"/>
    <x v="22"/>
    <d v="2026-10-14T10:36:13"/>
    <d v="2026-10-14T04:36:10"/>
    <d v="2026-10-14T00:00:00"/>
    <s v=""/>
    <s v="UNIDAD"/>
    <n v="6"/>
    <s v="PENDIENTE APROBACION  ENVIO TMS"/>
    <s v="000000008209669925"/>
    <x v="2"/>
    <x v="3"/>
    <m/>
    <n v="1"/>
    <m/>
  </r>
  <r>
    <n v="8209669873"/>
    <s v="38"/>
    <x v="129"/>
    <d v="2026-10-14T10:36:14"/>
    <d v="2026-10-14T04:36:11"/>
    <d v="2026-10-14T00:00:00"/>
    <s v=""/>
    <s v="UNIDAD"/>
    <n v="4"/>
    <s v="PENDIENTE APROBACION  ENVIO TMS"/>
    <s v="000000008209669873"/>
    <x v="2"/>
    <x v="1"/>
    <m/>
    <n v="1"/>
    <m/>
  </r>
  <r>
    <n v="8209669876"/>
    <s v="38"/>
    <x v="129"/>
    <d v="2026-10-14T10:36:15"/>
    <d v="2026-10-14T04:36:13"/>
    <d v="2026-10-14T00:00:00"/>
    <s v=""/>
    <s v="UNIDAD"/>
    <n v="7"/>
    <s v="PENDIENTE APROBACION  ENVIO TMS"/>
    <s v="000000008209669876"/>
    <x v="2"/>
    <x v="1"/>
    <m/>
    <n v="1"/>
    <m/>
  </r>
  <r>
    <n v="1209669905"/>
    <s v="39"/>
    <x v="130"/>
    <d v="2026-10-14T10:36:17"/>
    <d v="2026-10-14T04:36:14"/>
    <d v="2026-10-14T00:00:00"/>
    <s v=""/>
    <s v="CAJA"/>
    <n v="14"/>
    <s v="PENDIENTE APROBACION  ENVIO TMS"/>
    <s v="000000001209669905"/>
    <x v="1"/>
    <x v="1"/>
    <m/>
    <n v="1"/>
    <m/>
  </r>
  <r>
    <n v="1209669933"/>
    <s v="40"/>
    <x v="22"/>
    <d v="2026-10-14T10:36:18"/>
    <d v="2026-10-14T04:36:15"/>
    <d v="2026-10-14T00:00:00"/>
    <s v=""/>
    <s v="PACK"/>
    <n v="27"/>
    <s v="PENDIENTE APROBACION  ENVIO TMS"/>
    <s v="000000001209669933"/>
    <x v="1"/>
    <x v="3"/>
    <m/>
    <n v="1"/>
    <m/>
  </r>
  <r>
    <n v="1209670039"/>
    <s v="45"/>
    <x v="133"/>
    <d v="2026-10-14T10:39:11"/>
    <d v="2026-10-14T04:39:09"/>
    <d v="2026-10-14T00:00:00"/>
    <s v=""/>
    <s v="PACK"/>
    <n v="64"/>
    <s v="PENDIENTE APROBACION  ENVIO TMS"/>
    <s v="000000001209670039"/>
    <x v="1"/>
    <x v="3"/>
    <m/>
    <n v="1"/>
    <m/>
  </r>
  <r>
    <n v="8209669989"/>
    <s v="44"/>
    <x v="24"/>
    <d v="2026-10-14T10:39:13"/>
    <d v="2026-10-14T04:39:10"/>
    <d v="2026-10-14T00:00:00"/>
    <s v=""/>
    <s v="UNIDAD"/>
    <n v="20"/>
    <s v="PENDIENTE APROBACION  ENVIO TMS"/>
    <s v="000000008209669989"/>
    <x v="2"/>
    <x v="0"/>
    <m/>
    <n v="1"/>
    <m/>
  </r>
  <r>
    <n v="8209670063"/>
    <s v="46"/>
    <x v="86"/>
    <d v="2026-10-14T10:39:15"/>
    <d v="2026-10-14T04:39:12"/>
    <d v="2026-10-14T00:00:00"/>
    <s v=""/>
    <s v="UNIDAD"/>
    <n v="26"/>
    <s v="PENDIENTE APROBACION  ENVIO TMS"/>
    <s v="000000008209670063"/>
    <x v="2"/>
    <x v="1"/>
    <m/>
    <n v="1"/>
    <m/>
  </r>
  <r>
    <n v="1209670001"/>
    <s v="44"/>
    <x v="24"/>
    <d v="2026-10-14T10:39:15"/>
    <d v="2026-10-14T04:39:13"/>
    <d v="2026-10-14T00:00:00"/>
    <s v=""/>
    <s v="PACK"/>
    <n v="81"/>
    <s v="PENDIENTE APROBACION  ENVIO TMS"/>
    <s v="000000001209670001"/>
    <x v="1"/>
    <x v="0"/>
    <m/>
    <n v="1"/>
    <m/>
  </r>
  <r>
    <n v="1209670066"/>
    <s v="46"/>
    <x v="86"/>
    <d v="2026-10-14T10:39:17"/>
    <d v="2026-10-14T04:39:14"/>
    <d v="2026-10-14T00:00:00"/>
    <s v=""/>
    <s v="PACK"/>
    <n v="7"/>
    <s v="PENDIENTE APROBACION  ENVIO TMS"/>
    <s v="000000001209670066"/>
    <x v="1"/>
    <x v="1"/>
    <m/>
    <n v="1"/>
    <m/>
  </r>
  <r>
    <n v="1209670080"/>
    <s v="46"/>
    <x v="86"/>
    <d v="2026-10-14T10:39:18"/>
    <d v="2026-10-14T04:39:16"/>
    <d v="2026-10-14T00:00:00"/>
    <s v=""/>
    <s v="CAJA"/>
    <n v="19"/>
    <s v="PENDIENTE APROBACION  ENVIO TMS"/>
    <s v="000000001209670080"/>
    <x v="1"/>
    <x v="1"/>
    <m/>
    <n v="1"/>
    <m/>
  </r>
  <r>
    <n v="1209669972"/>
    <s v="43"/>
    <x v="23"/>
    <d v="2026-10-14T10:39:20"/>
    <d v="2026-10-14T04:39:17"/>
    <d v="2026-10-14T00:00:00"/>
    <s v=""/>
    <s v="CAJA"/>
    <n v="4"/>
    <s v="PENDIENTE APROBACION  ENVIO TMS"/>
    <s v="000000001209669972"/>
    <x v="1"/>
    <x v="1"/>
    <m/>
    <n v="1"/>
    <m/>
  </r>
  <r>
    <n v="1209669976"/>
    <s v="43"/>
    <x v="23"/>
    <d v="2026-10-14T10:39:21"/>
    <d v="2026-10-14T04:39:18"/>
    <d v="2026-10-14T00:00:00"/>
    <s v=""/>
    <s v="PACK"/>
    <n v="3"/>
    <s v="PENDIENTE APROBACION  ENVIO TMS"/>
    <s v="000000001209669976"/>
    <x v="1"/>
    <x v="1"/>
    <m/>
    <n v="1"/>
    <m/>
  </r>
  <r>
    <n v="1209670070"/>
    <s v="46"/>
    <x v="86"/>
    <d v="2026-10-14T10:39:22"/>
    <d v="2026-10-14T04:39:19"/>
    <d v="2026-10-14T00:00:00"/>
    <s v=""/>
    <s v="CAJA"/>
    <n v="8"/>
    <s v="PENDIENTE APROBACION  ENVIO TMS"/>
    <s v="000000001209670070"/>
    <x v="1"/>
    <x v="1"/>
    <m/>
    <n v="1"/>
    <m/>
  </r>
  <r>
    <n v="8209670090"/>
    <s v="47"/>
    <x v="1"/>
    <d v="2026-10-14T10:39:23"/>
    <d v="2026-10-14T04:39:21"/>
    <d v="2026-10-14T00:00:00"/>
    <s v=""/>
    <s v="UNIDAD"/>
    <n v="7"/>
    <s v="PENDIENTE APROBACION  ENVIO TMS"/>
    <s v="000000008209670090"/>
    <x v="2"/>
    <x v="0"/>
    <m/>
    <n v="1"/>
    <m/>
  </r>
  <r>
    <n v="8209670092"/>
    <s v="47"/>
    <x v="1"/>
    <d v="2026-10-14T10:39:25"/>
    <d v="2026-10-14T04:39:22"/>
    <d v="2026-10-14T00:00:00"/>
    <s v=""/>
    <s v="UNIDAD"/>
    <n v="1"/>
    <s v="PENDIENTE APROBACION  ENVIO TMS"/>
    <s v="000000008209670092"/>
    <x v="2"/>
    <x v="0"/>
    <m/>
    <n v="1"/>
    <m/>
  </r>
  <r>
    <n v="8209670060"/>
    <s v="46"/>
    <x v="86"/>
    <d v="2026-10-14T10:39:26"/>
    <d v="2026-10-14T04:39:23"/>
    <d v="2026-10-14T00:00:00"/>
    <s v=""/>
    <s v="UNIDAD"/>
    <n v="2"/>
    <s v="PENDIENTE APROBACION  ENVIO TMS"/>
    <s v="000000008209670060"/>
    <x v="2"/>
    <x v="1"/>
    <m/>
    <n v="1"/>
    <m/>
  </r>
  <r>
    <n v="8209670062"/>
    <s v="46"/>
    <x v="86"/>
    <d v="2026-10-14T10:39:27"/>
    <d v="2026-10-14T04:39:24"/>
    <d v="2026-10-14T00:00:00"/>
    <s v=""/>
    <s v="UNIDAD"/>
    <n v="1"/>
    <s v="PENDIENTE APROBACION  ENVIO TMS"/>
    <s v="000000008209670062"/>
    <x v="2"/>
    <x v="1"/>
    <m/>
    <n v="1"/>
    <m/>
  </r>
  <r>
    <n v="8209670017"/>
    <s v="45"/>
    <x v="133"/>
    <d v="2026-10-14T10:39:28"/>
    <d v="2026-10-14T04:39:26"/>
    <d v="2026-10-14T00:00:00"/>
    <s v=""/>
    <s v="UNIDAD"/>
    <n v="1"/>
    <s v="PENDIENTE APROBACION  ENVIO TMS"/>
    <s v="000000008209670017"/>
    <x v="2"/>
    <x v="3"/>
    <m/>
    <n v="1"/>
    <m/>
  </r>
  <r>
    <n v="1209669990"/>
    <s v="44"/>
    <x v="24"/>
    <d v="2026-10-14T10:39:30"/>
    <d v="2026-10-14T04:39:27"/>
    <d v="2026-10-14T00:00:00"/>
    <s v=""/>
    <s v="CAJA"/>
    <n v="10"/>
    <s v="PENDIENTE APROBACION  ENVIO TMS"/>
    <s v="000000001209669990"/>
    <x v="1"/>
    <x v="0"/>
    <m/>
    <n v="1"/>
    <m/>
  </r>
  <r>
    <n v="1209670109"/>
    <s v="47"/>
    <x v="1"/>
    <d v="2026-10-14T10:39:32"/>
    <d v="2026-10-14T04:39:29"/>
    <d v="2026-10-14T00:00:00"/>
    <s v=""/>
    <s v="PACK"/>
    <n v="6"/>
    <s v="PENDIENTE APROBACION  ENVIO TMS"/>
    <s v="000000001209670109"/>
    <x v="1"/>
    <x v="0"/>
    <m/>
    <n v="1"/>
    <m/>
  </r>
  <r>
    <n v="1209670078"/>
    <s v="46"/>
    <x v="86"/>
    <d v="2026-10-14T10:39:32"/>
    <d v="2026-10-14T04:39:30"/>
    <d v="2026-10-14T00:00:00"/>
    <s v=""/>
    <s v="CAJA"/>
    <n v="4"/>
    <s v="PENDIENTE APROBACION  ENVIO TMS"/>
    <s v="000000001209670078"/>
    <x v="1"/>
    <x v="1"/>
    <m/>
    <n v="1"/>
    <m/>
  </r>
  <r>
    <n v="1209670031"/>
    <s v="45"/>
    <x v="133"/>
    <d v="2026-10-14T10:39:33"/>
    <d v="2026-10-14T04:39:31"/>
    <d v="2026-10-14T00:00:00"/>
    <s v=""/>
    <s v="CAJA"/>
    <n v="25"/>
    <s v="PENDIENTE APROBACION  ENVIO TMS"/>
    <s v="000000001209670031"/>
    <x v="1"/>
    <x v="3"/>
    <m/>
    <n v="1"/>
    <m/>
  </r>
  <r>
    <n v="1209669967"/>
    <s v="43"/>
    <x v="23"/>
    <d v="2026-10-14T10:39:35"/>
    <d v="2026-10-14T04:39:32"/>
    <d v="2026-10-14T00:00:00"/>
    <s v=""/>
    <s v="CAJA"/>
    <n v="21"/>
    <s v="PENDIENTE APROBACION  ENVIO TMS"/>
    <s v="000000001209669967"/>
    <x v="1"/>
    <x v="1"/>
    <m/>
    <n v="1"/>
    <m/>
  </r>
  <r>
    <n v="1209669998"/>
    <s v="44"/>
    <x v="24"/>
    <d v="2026-10-14T10:39:36"/>
    <d v="2026-10-14T04:39:34"/>
    <d v="2026-10-14T00:00:00"/>
    <s v=""/>
    <s v="CAJA"/>
    <n v="34"/>
    <s v="PENDIENTE APROBACION  ENVIO TMS"/>
    <s v="000000001209669998"/>
    <x v="1"/>
    <x v="0"/>
    <m/>
    <n v="1"/>
    <m/>
  </r>
  <r>
    <n v="1209669968"/>
    <s v="43"/>
    <x v="23"/>
    <d v="2026-10-14T10:39:38"/>
    <d v="2026-10-14T04:39:35"/>
    <d v="2026-10-14T00:00:00"/>
    <s v=""/>
    <s v="PACK"/>
    <n v="37"/>
    <s v="PENDIENTE APROBACION  ENVIO TMS"/>
    <s v="000000001209669968"/>
    <x v="1"/>
    <x v="1"/>
    <m/>
    <n v="1"/>
    <m/>
  </r>
  <r>
    <n v="1209669999"/>
    <s v="44"/>
    <x v="24"/>
    <d v="2026-10-14T10:39:38"/>
    <d v="2026-10-14T04:39:36"/>
    <d v="2026-10-14T00:00:00"/>
    <s v=""/>
    <s v="PACK"/>
    <n v="41"/>
    <s v="PENDIENTE APROBACION  ENVIO TMS"/>
    <s v="000000001209669999"/>
    <x v="1"/>
    <x v="0"/>
    <m/>
    <n v="1"/>
    <m/>
  </r>
  <r>
    <n v="1209670103"/>
    <s v="47"/>
    <x v="1"/>
    <d v="2026-10-14T10:39:40"/>
    <d v="2026-10-14T04:39:37"/>
    <d v="2026-10-14T00:00:00"/>
    <s v=""/>
    <s v="PACK"/>
    <n v="42"/>
    <s v="PENDIENTE APROBACION  ENVIO TMS"/>
    <s v="000000001209670103"/>
    <x v="1"/>
    <x v="0"/>
    <m/>
    <n v="1"/>
    <m/>
  </r>
  <r>
    <n v="1209669970"/>
    <s v="43"/>
    <x v="23"/>
    <d v="2026-10-14T10:39:41"/>
    <d v="2026-10-14T04:39:39"/>
    <d v="2026-10-14T00:00:00"/>
    <s v=""/>
    <s v="PACK"/>
    <n v="47"/>
    <s v="PENDIENTE APROBACION  ENVIO TMS"/>
    <s v="000000001209669970"/>
    <x v="1"/>
    <x v="1"/>
    <m/>
    <n v="1"/>
    <m/>
  </r>
  <r>
    <n v="1209669988"/>
    <s v="44"/>
    <x v="24"/>
    <d v="2026-10-14T10:39:43"/>
    <d v="2026-10-14T04:39:40"/>
    <d v="2026-10-14T00:00:00"/>
    <s v=""/>
    <s v="CAJA"/>
    <n v="4"/>
    <s v="PENDIENTE APROBACION  ENVIO TMS"/>
    <s v="000000001209669988"/>
    <x v="1"/>
    <x v="0"/>
    <m/>
    <n v="1"/>
    <m/>
  </r>
  <r>
    <n v="8209670019"/>
    <s v="45"/>
    <x v="133"/>
    <d v="2026-10-14T10:39:44"/>
    <d v="2026-10-14T04:39:41"/>
    <d v="2026-10-14T00:00:00"/>
    <s v=""/>
    <s v="UNIDAD"/>
    <n v="15"/>
    <s v="PENDIENTE APROBACION  ENVIO TMS"/>
    <s v="000000008209670019"/>
    <x v="2"/>
    <x v="3"/>
    <m/>
    <n v="1"/>
    <m/>
  </r>
  <r>
    <n v="8209670020"/>
    <s v="45"/>
    <x v="133"/>
    <d v="2026-10-14T10:39:45"/>
    <d v="2026-10-14T04:39:42"/>
    <d v="2026-10-14T00:00:00"/>
    <s v=""/>
    <s v="UNIDAD"/>
    <n v="1"/>
    <s v="PENDIENTE APROBACION  ENVIO TMS"/>
    <s v="000000008209670020"/>
    <x v="2"/>
    <x v="3"/>
    <m/>
    <n v="1"/>
    <m/>
  </r>
  <r>
    <n v="1209669991"/>
    <s v="44"/>
    <x v="24"/>
    <d v="2026-10-14T10:39:47"/>
    <d v="2026-10-14T04:39:44"/>
    <d v="2026-10-14T00:00:00"/>
    <s v=""/>
    <s v="CAJA"/>
    <n v="17"/>
    <s v="PENDIENTE APROBACION  ENVIO TMS"/>
    <s v="000000001209669991"/>
    <x v="1"/>
    <x v="0"/>
    <m/>
    <n v="1"/>
    <m/>
  </r>
  <r>
    <n v="1209670097"/>
    <s v="47"/>
    <x v="1"/>
    <d v="2026-10-14T10:39:48"/>
    <d v="2026-10-14T04:39:45"/>
    <d v="2026-10-14T00:00:00"/>
    <s v=""/>
    <s v="PACK"/>
    <n v="8"/>
    <s v="PENDIENTE APROBACION  ENVIO TMS"/>
    <s v="000000001209670097"/>
    <x v="1"/>
    <x v="0"/>
    <m/>
    <n v="1"/>
    <m/>
  </r>
  <r>
    <n v="1209669975"/>
    <s v="43"/>
    <x v="23"/>
    <d v="2026-10-14T10:39:49"/>
    <d v="2026-10-14T04:39:46"/>
    <d v="2026-10-14T00:00:00"/>
    <s v=""/>
    <s v="CAJA"/>
    <n v="1"/>
    <s v="PENDIENTE APROBACION  ENVIO TMS"/>
    <s v="000000001209669975"/>
    <x v="1"/>
    <x v="1"/>
    <m/>
    <n v="1"/>
    <m/>
  </r>
  <r>
    <n v="1209670030"/>
    <s v="45"/>
    <x v="133"/>
    <d v="2026-10-14T10:39:50"/>
    <d v="2026-10-14T04:39:48"/>
    <d v="2026-10-14T00:00:00"/>
    <s v=""/>
    <s v="CAJA"/>
    <n v="28"/>
    <s v="PENDIENTE APROBACION  ENVIO TMS"/>
    <s v="000000001209670030"/>
    <x v="1"/>
    <x v="3"/>
    <m/>
    <n v="1"/>
    <m/>
  </r>
  <r>
    <n v="1209670100"/>
    <s v="47"/>
    <x v="1"/>
    <d v="2026-10-14T10:39:51"/>
    <d v="2026-10-14T04:39:49"/>
    <d v="2026-10-14T00:00:00"/>
    <s v=""/>
    <s v="CAJA"/>
    <n v="15"/>
    <s v="PENDIENTE APROBACION  ENVIO TMS"/>
    <s v="000000001209670100"/>
    <x v="1"/>
    <x v="0"/>
    <m/>
    <n v="1"/>
    <m/>
  </r>
  <r>
    <n v="8209670018"/>
    <s v="45"/>
    <x v="133"/>
    <d v="2026-10-14T10:39:53"/>
    <d v="2026-10-14T04:39:50"/>
    <d v="2026-10-14T00:00:00"/>
    <s v=""/>
    <s v="UNIDAD"/>
    <n v="13"/>
    <s v="PENDIENTE APROBACION  ENVIO TMS"/>
    <s v="000000008209670018"/>
    <x v="2"/>
    <x v="3"/>
    <m/>
    <n v="1"/>
    <m/>
  </r>
  <r>
    <n v="8209669983"/>
    <s v="44"/>
    <x v="24"/>
    <d v="2026-10-14T10:39:54"/>
    <d v="2026-10-14T04:39:52"/>
    <d v="2026-10-14T00:00:00"/>
    <s v=""/>
    <s v="UNIDAD"/>
    <n v="2"/>
    <s v="PENDIENTE APROBACION  ENVIO TMS"/>
    <s v="000000008209669983"/>
    <x v="2"/>
    <x v="0"/>
    <m/>
    <n v="1"/>
    <m/>
  </r>
  <r>
    <n v="8209670064"/>
    <s v="46"/>
    <x v="86"/>
    <d v="2026-10-14T10:39:56"/>
    <d v="2026-10-14T04:39:54"/>
    <d v="2026-10-14T00:00:00"/>
    <s v=""/>
    <s v="UNIDAD"/>
    <n v="14"/>
    <s v="PENDIENTE APROBACION  ENVIO TMS"/>
    <s v="000000008209670064"/>
    <x v="2"/>
    <x v="1"/>
    <m/>
    <n v="1"/>
    <m/>
  </r>
  <r>
    <n v="8209670021"/>
    <s v="45"/>
    <x v="133"/>
    <d v="2026-10-14T10:39:56"/>
    <d v="2026-10-14T04:39:53"/>
    <d v="2026-10-14T00:00:00"/>
    <s v=""/>
    <s v="UNIDAD"/>
    <n v="12"/>
    <s v="PENDIENTE APROBACION  ENVIO TMS"/>
    <s v="000000008209670021"/>
    <x v="2"/>
    <x v="3"/>
    <m/>
    <n v="1"/>
    <m/>
  </r>
  <r>
    <n v="1209670110"/>
    <s v="47"/>
    <x v="1"/>
    <d v="2026-10-14T10:39:58"/>
    <d v="2026-10-14T04:39:55"/>
    <d v="2026-10-14T00:00:00"/>
    <s v=""/>
    <s v="CAJA"/>
    <n v="27"/>
    <s v="PENDIENTE APROBACION  ENVIO TMS"/>
    <s v="000000001209670110"/>
    <x v="1"/>
    <x v="0"/>
    <m/>
    <n v="1"/>
    <m/>
  </r>
  <r>
    <n v="1209669992"/>
    <s v="44"/>
    <x v="24"/>
    <d v="2026-10-14T10:39:59"/>
    <d v="2026-10-14T04:39:57"/>
    <d v="2026-10-14T00:00:00"/>
    <s v=""/>
    <s v="PACK"/>
    <n v="18"/>
    <s v="PENDIENTE APROBACION  ENVIO TMS"/>
    <s v="000000001209669992"/>
    <x v="1"/>
    <x v="0"/>
    <m/>
    <n v="1"/>
    <m/>
  </r>
  <r>
    <n v="1209670025"/>
    <s v="45"/>
    <x v="133"/>
    <d v="2026-10-14T10:40:01"/>
    <d v="2026-10-14T04:39:58"/>
    <d v="2026-10-14T00:00:00"/>
    <s v=""/>
    <s v="PACK"/>
    <n v="14"/>
    <s v="PENDIENTE APROBACION  ENVIO TMS"/>
    <s v="000000001209670025"/>
    <x v="1"/>
    <x v="3"/>
    <m/>
    <n v="1"/>
    <m/>
  </r>
  <r>
    <n v="8209670096"/>
    <s v="47"/>
    <x v="1"/>
    <d v="2026-10-14T10:40:02"/>
    <d v="2026-10-14T04:39:59"/>
    <d v="2026-10-14T00:00:00"/>
    <s v=""/>
    <s v="UNIDAD"/>
    <n v="25"/>
    <s v="PENDIENTE APROBACION  ENVIO TMS"/>
    <s v="000000008209670096"/>
    <x v="2"/>
    <x v="0"/>
    <m/>
    <n v="1"/>
    <m/>
  </r>
  <r>
    <n v="1209670026"/>
    <s v="45"/>
    <x v="133"/>
    <d v="2026-10-14T10:40:03"/>
    <d v="2026-10-14T04:40:00"/>
    <d v="2026-10-14T00:00:00"/>
    <s v=""/>
    <s v="PACK"/>
    <n v="19"/>
    <s v="PENDIENTE APROBACION  ENVIO TMS"/>
    <s v="000000001209670026"/>
    <x v="1"/>
    <x v="3"/>
    <m/>
    <n v="1"/>
    <m/>
  </r>
  <r>
    <n v="1209670027"/>
    <s v="45"/>
    <x v="133"/>
    <d v="2026-10-14T10:40:04"/>
    <d v="2026-10-14T04:40:02"/>
    <d v="2026-10-14T00:00:00"/>
    <s v=""/>
    <s v="CAJA"/>
    <n v="20"/>
    <s v="PENDIENTE APROBACION  ENVIO TMS"/>
    <s v="000000001209670027"/>
    <x v="1"/>
    <x v="3"/>
    <m/>
    <n v="1"/>
    <m/>
  </r>
  <r>
    <n v="8209669960"/>
    <s v="43"/>
    <x v="23"/>
    <d v="2026-10-14T10:40:05"/>
    <d v="2026-10-14T04:40:03"/>
    <d v="2026-10-14T00:00:00"/>
    <s v=""/>
    <s v="UNIDAD"/>
    <n v="2"/>
    <s v="PENDIENTE APROBACION  ENVIO TMS"/>
    <s v="000000008209669960"/>
    <x v="2"/>
    <x v="1"/>
    <m/>
    <n v="1"/>
    <m/>
  </r>
  <r>
    <n v="8209669961"/>
    <s v="43"/>
    <x v="23"/>
    <d v="2026-10-14T10:40:06"/>
    <d v="2026-10-14T04:40:04"/>
    <d v="2026-10-14T00:00:00"/>
    <s v=""/>
    <s v="UNIDAD"/>
    <n v="1"/>
    <s v="PENDIENTE APROBACION  ENVIO TMS"/>
    <s v="000000008209669961"/>
    <x v="2"/>
    <x v="1"/>
    <m/>
    <n v="1"/>
    <m/>
  </r>
  <r>
    <n v="1209670028"/>
    <s v="45"/>
    <x v="133"/>
    <d v="2026-10-14T10:40:08"/>
    <d v="2026-10-14T04:40:05"/>
    <d v="2026-10-14T00:00:00"/>
    <s v=""/>
    <s v="UNIDAD"/>
    <n v="34"/>
    <s v="PENDIENTE APROBACION  ENVIO TMS"/>
    <s v="000000001209670028"/>
    <x v="1"/>
    <x v="3"/>
    <m/>
    <n v="1"/>
    <m/>
  </r>
  <r>
    <n v="8209669962"/>
    <s v="43"/>
    <x v="23"/>
    <d v="2026-10-14T10:40:09"/>
    <d v="2026-10-14T04:40:06"/>
    <d v="2026-10-14T00:00:00"/>
    <s v=""/>
    <s v="UNIDAD"/>
    <n v="51"/>
    <s v="PENDIENTE APROBACION  ENVIO TMS"/>
    <s v="000000008209669962"/>
    <x v="2"/>
    <x v="1"/>
    <m/>
    <n v="1"/>
    <m/>
  </r>
  <r>
    <n v="8209669974"/>
    <s v="43"/>
    <x v="23"/>
    <d v="2026-10-14T10:40:10"/>
    <d v="2026-10-14T04:40:08"/>
    <d v="2026-10-14T00:00:00"/>
    <s v=""/>
    <s v="UNIDAD"/>
    <n v="5"/>
    <s v="PENDIENTE APROBACION  ENVIO TMS"/>
    <s v="000000008209669974"/>
    <x v="2"/>
    <x v="1"/>
    <m/>
    <n v="1"/>
    <m/>
  </r>
  <r>
    <n v="1209669965"/>
    <s v="43"/>
    <x v="23"/>
    <d v="2026-10-14T10:40:12"/>
    <d v="2026-10-14T04:40:09"/>
    <d v="2026-10-14T00:00:00"/>
    <s v=""/>
    <s v="CAJA"/>
    <n v="10"/>
    <s v="PENDIENTE APROBACION  ENVIO TMS"/>
    <s v="000000001209669965"/>
    <x v="1"/>
    <x v="1"/>
    <m/>
    <n v="1"/>
    <m/>
  </r>
  <r>
    <n v="1209669997"/>
    <s v="44"/>
    <x v="24"/>
    <d v="2026-10-14T10:40:13"/>
    <d v="2026-10-14T04:40:11"/>
    <d v="2026-10-14T00:00:00"/>
    <s v=""/>
    <s v="CAJA"/>
    <n v="34"/>
    <s v="PENDIENTE APROBACION  ENVIO TMS"/>
    <s v="000000001209669997"/>
    <x v="1"/>
    <x v="0"/>
    <m/>
    <n v="1"/>
    <m/>
  </r>
  <r>
    <n v="1209669969"/>
    <s v="43"/>
    <x v="23"/>
    <d v="2026-10-14T10:40:15"/>
    <d v="2026-10-14T04:40:13"/>
    <d v="2026-10-14T00:00:00"/>
    <s v=""/>
    <s v="CAJA"/>
    <n v="34"/>
    <s v="PENDIENTE APROBACION  ENVIO TMS"/>
    <s v="000000001209669969"/>
    <x v="1"/>
    <x v="1"/>
    <m/>
    <n v="1"/>
    <m/>
  </r>
  <r>
    <n v="8209669987"/>
    <s v="44"/>
    <x v="24"/>
    <d v="2026-10-14T10:40:17"/>
    <d v="2026-10-14T04:40:14"/>
    <d v="2026-10-14T00:00:00"/>
    <s v=""/>
    <s v="UNIDAD"/>
    <n v="11"/>
    <s v="PENDIENTE APROBACION  ENVIO TMS"/>
    <s v="000000008209669987"/>
    <x v="2"/>
    <x v="0"/>
    <m/>
    <n v="1"/>
    <m/>
  </r>
  <r>
    <n v="8209670022"/>
    <s v="45"/>
    <x v="133"/>
    <d v="2026-10-14T10:40:18"/>
    <d v="2026-10-14T04:40:15"/>
    <d v="2026-10-14T00:00:00"/>
    <s v=""/>
    <s v="UNIDAD"/>
    <n v="4"/>
    <s v="PENDIENTE APROBACION  ENVIO TMS"/>
    <s v="000000008209670022"/>
    <x v="2"/>
    <x v="3"/>
    <m/>
    <n v="1"/>
    <m/>
  </r>
  <r>
    <n v="1209670108"/>
    <s v="47"/>
    <x v="1"/>
    <d v="2026-10-14T10:40:19"/>
    <d v="2026-10-14T04:40:17"/>
    <d v="2026-10-14T00:00:00"/>
    <s v=""/>
    <s v="CAJA"/>
    <n v="4"/>
    <s v="PENDIENTE APROBACION  ENVIO TMS"/>
    <s v="000000001209670108"/>
    <x v="1"/>
    <x v="0"/>
    <m/>
    <n v="1"/>
    <m/>
  </r>
  <r>
    <n v="1209670112"/>
    <s v="47"/>
    <x v="1"/>
    <d v="2026-10-14T10:40:20"/>
    <d v="2026-10-14T04:40:18"/>
    <d v="2026-10-14T00:00:00"/>
    <s v=""/>
    <s v="PACK"/>
    <n v="49"/>
    <s v="PENDIENTE APROBACION  ENVIO TMS"/>
    <s v="000000001209670112"/>
    <x v="1"/>
    <x v="0"/>
    <m/>
    <n v="1"/>
    <m/>
  </r>
  <r>
    <n v="8209669963"/>
    <s v="43"/>
    <x v="23"/>
    <d v="2026-10-14T10:40:22"/>
    <d v="2026-10-14T04:40:19"/>
    <d v="2026-10-14T00:00:00"/>
    <s v=""/>
    <s v="UNIDAD"/>
    <n v="35"/>
    <s v="PENDIENTE APROBACION  ENVIO TMS"/>
    <s v="000000008209669963"/>
    <x v="2"/>
    <x v="1"/>
    <m/>
    <n v="1"/>
    <m/>
  </r>
  <r>
    <n v="1209669993"/>
    <s v="44"/>
    <x v="24"/>
    <d v="2026-10-14T10:40:23"/>
    <d v="2026-10-14T04:40:20"/>
    <d v="2026-10-14T00:00:00"/>
    <s v=""/>
    <s v="PACK"/>
    <n v="21"/>
    <s v="PENDIENTE APROBACION  ENVIO TMS"/>
    <s v="000000001209669993"/>
    <x v="1"/>
    <x v="0"/>
    <m/>
    <n v="1"/>
    <m/>
  </r>
  <r>
    <n v="1209669979"/>
    <s v="43"/>
    <x v="23"/>
    <d v="2026-10-14T10:40:24"/>
    <d v="2026-10-14T04:40:22"/>
    <d v="2026-10-14T00:00:00"/>
    <s v=""/>
    <s v="UNIDAD"/>
    <n v="25"/>
    <s v="PENDIENTE APROBACION  ENVIO TMS"/>
    <s v="000000001209669979"/>
    <x v="1"/>
    <x v="1"/>
    <m/>
    <n v="1"/>
    <m/>
  </r>
  <r>
    <n v="8209669982"/>
    <s v="44"/>
    <x v="24"/>
    <d v="2026-10-14T10:40:25"/>
    <d v="2026-10-14T04:40:23"/>
    <d v="2026-10-14T00:00:00"/>
    <s v=""/>
    <s v="UNIDAD"/>
    <n v="6"/>
    <s v="PENDIENTE APROBACION  ENVIO TMS"/>
    <s v="000000008209669982"/>
    <x v="2"/>
    <x v="0"/>
    <m/>
    <n v="1"/>
    <m/>
  </r>
  <r>
    <n v="8209669984"/>
    <s v="44"/>
    <x v="24"/>
    <d v="2026-10-14T10:40:27"/>
    <d v="2026-10-14T04:40:24"/>
    <d v="2026-10-14T00:00:00"/>
    <s v=""/>
    <s v="UNIDAD"/>
    <n v="2"/>
    <s v="PENDIENTE APROBACION  ENVIO TMS"/>
    <s v="000000008209669984"/>
    <x v="2"/>
    <x v="0"/>
    <m/>
    <n v="1"/>
    <m/>
  </r>
  <r>
    <n v="8209669985"/>
    <s v="44"/>
    <x v="24"/>
    <d v="2026-10-14T10:40:28"/>
    <d v="2026-10-14T04:40:25"/>
    <d v="2026-10-14T00:00:00"/>
    <s v=""/>
    <s v="UNIDAD"/>
    <n v="2"/>
    <s v="PENDIENTE APROBACION  ENVIO TMS"/>
    <s v="000000008209669985"/>
    <x v="2"/>
    <x v="0"/>
    <m/>
    <n v="1"/>
    <m/>
  </r>
  <r>
    <n v="8209669986"/>
    <s v="44"/>
    <x v="24"/>
    <d v="2026-10-14T10:40:29"/>
    <d v="2026-10-14T04:40:27"/>
    <d v="2026-10-14T00:00:00"/>
    <s v=""/>
    <s v="UNIDAD"/>
    <n v="1"/>
    <s v="PENDIENTE APROBACION  ENVIO TMS"/>
    <s v="000000008209669986"/>
    <x v="2"/>
    <x v="0"/>
    <m/>
    <n v="1"/>
    <m/>
  </r>
  <r>
    <n v="8209670095"/>
    <s v="47"/>
    <x v="1"/>
    <d v="2026-10-14T10:40:30"/>
    <d v="2026-10-14T04:40:28"/>
    <d v="2026-10-14T00:00:00"/>
    <s v=""/>
    <s v="UNIDAD"/>
    <n v="9"/>
    <s v="PENDIENTE APROBACION  ENVIO TMS"/>
    <s v="000000008209670095"/>
    <x v="2"/>
    <x v="0"/>
    <m/>
    <n v="1"/>
    <m/>
  </r>
  <r>
    <n v="1209670077"/>
    <s v="46"/>
    <x v="86"/>
    <d v="2026-10-14T10:40:31"/>
    <d v="2026-10-14T04:40:29"/>
    <d v="2026-10-14T00:00:00"/>
    <s v=""/>
    <s v="PACK"/>
    <n v="3"/>
    <s v="PENDIENTE APROBACION  ENVIO TMS"/>
    <s v="000000001209670077"/>
    <x v="1"/>
    <x v="1"/>
    <m/>
    <n v="1"/>
    <m/>
  </r>
  <r>
    <n v="1209669964"/>
    <s v="43"/>
    <x v="23"/>
    <d v="2026-10-14T10:40:33"/>
    <d v="2026-10-14T04:40:30"/>
    <d v="2026-10-14T00:00:00"/>
    <s v=""/>
    <s v="PACK"/>
    <n v="14"/>
    <s v="PENDIENTE APROBACION  ENVIO TMS"/>
    <s v="000000001209669964"/>
    <x v="1"/>
    <x v="1"/>
    <m/>
    <n v="1"/>
    <m/>
  </r>
  <r>
    <n v="1209669996"/>
    <s v="44"/>
    <x v="24"/>
    <d v="2026-10-14T10:40:34"/>
    <d v="2026-10-14T04:40:32"/>
    <d v="2026-10-14T00:00:00"/>
    <s v=""/>
    <s v="CAJA"/>
    <n v="2"/>
    <s v="PENDIENTE APROBACION  ENVIO TMS"/>
    <s v="000000001209669996"/>
    <x v="1"/>
    <x v="0"/>
    <m/>
    <n v="1"/>
    <m/>
  </r>
  <r>
    <n v="1209669966"/>
    <s v="43"/>
    <x v="23"/>
    <d v="2026-10-14T10:40:36"/>
    <d v="2026-10-14T04:40:34"/>
    <d v="2026-10-14T00:00:00"/>
    <s v=""/>
    <s v="CAJA"/>
    <n v="22"/>
    <s v="PENDIENTE APROBACION  ENVIO TMS"/>
    <s v="000000001209669966"/>
    <x v="1"/>
    <x v="1"/>
    <m/>
    <n v="1"/>
    <m/>
  </r>
  <r>
    <n v="1209670071"/>
    <s v="46"/>
    <x v="86"/>
    <d v="2026-10-14T10:40:36"/>
    <d v="2026-10-14T04:40:33"/>
    <d v="2026-10-14T00:00:00"/>
    <s v=""/>
    <s v="CAJA"/>
    <n v="13"/>
    <s v="PENDIENTE APROBACION  ENVIO TMS"/>
    <s v="000000001209670071"/>
    <x v="1"/>
    <x v="1"/>
    <m/>
    <n v="1"/>
    <m/>
  </r>
  <r>
    <n v="1209670072"/>
    <s v="46"/>
    <x v="86"/>
    <d v="2026-10-14T10:40:38"/>
    <d v="2026-10-14T04:40:35"/>
    <d v="2026-10-14T00:00:00"/>
    <s v=""/>
    <s v="CAJA"/>
    <n v="11"/>
    <s v="PENDIENTE APROBACION  ENVIO TMS"/>
    <s v="000000001209670072"/>
    <x v="1"/>
    <x v="1"/>
    <m/>
    <n v="1"/>
    <m/>
  </r>
  <r>
    <n v="8209670091"/>
    <s v="47"/>
    <x v="1"/>
    <d v="2026-10-14T10:40:39"/>
    <d v="2026-10-14T04:40:37"/>
    <d v="2026-10-14T00:00:00"/>
    <s v=""/>
    <s v="UNIDAD"/>
    <n v="25"/>
    <s v="PENDIENTE APROBACION  ENVIO TMS"/>
    <s v="000000008209670091"/>
    <x v="2"/>
    <x v="0"/>
    <m/>
    <n v="1"/>
    <m/>
  </r>
  <r>
    <n v="1209670102"/>
    <s v="47"/>
    <x v="1"/>
    <d v="2026-10-14T10:40:41"/>
    <d v="2026-10-14T04:40:38"/>
    <d v="2026-10-14T00:00:00"/>
    <s v=""/>
    <s v="CAJA"/>
    <n v="37"/>
    <s v="PENDIENTE APROBACION  ENVIO TMS"/>
    <s v="000000001209670102"/>
    <x v="1"/>
    <x v="0"/>
    <m/>
    <n v="1"/>
    <m/>
  </r>
  <r>
    <n v="8209670016"/>
    <s v="45"/>
    <x v="133"/>
    <d v="2026-10-14T10:40:41"/>
    <d v="2026-10-14T04:40:39"/>
    <d v="2026-10-14T00:00:00"/>
    <s v=""/>
    <s v="UNIDAD"/>
    <n v="3"/>
    <s v="PENDIENTE APROBACION  ENVIO TMS"/>
    <s v="000000008209670016"/>
    <x v="2"/>
    <x v="3"/>
    <m/>
    <n v="1"/>
    <m/>
  </r>
  <r>
    <n v="8209670107"/>
    <s v="47"/>
    <x v="1"/>
    <d v="2026-10-14T10:40:42"/>
    <d v="2026-10-14T04:40:40"/>
    <d v="2026-10-14T00:00:00"/>
    <s v=""/>
    <s v="UNIDAD"/>
    <n v="9"/>
    <s v="PENDIENTE APROBACION  ENVIO TMS"/>
    <s v="000000008209670107"/>
    <x v="2"/>
    <x v="0"/>
    <m/>
    <n v="1"/>
    <m/>
  </r>
  <r>
    <n v="1209670024"/>
    <s v="45"/>
    <x v="133"/>
    <d v="2026-10-14T10:40:44"/>
    <d v="2026-10-14T04:40:41"/>
    <d v="2026-10-14T00:00:00"/>
    <s v=""/>
    <s v="CAJA"/>
    <n v="7"/>
    <s v="PENDIENTE APROBACION  ENVIO TMS"/>
    <s v="000000001209670024"/>
    <x v="1"/>
    <x v="3"/>
    <m/>
    <n v="1"/>
    <m/>
  </r>
  <r>
    <n v="8209670075"/>
    <s v="46"/>
    <x v="86"/>
    <d v="2026-10-14T10:40:45"/>
    <d v="2026-10-14T04:40:43"/>
    <d v="2026-10-14T00:00:00"/>
    <s v=""/>
    <s v="UNIDAD"/>
    <n v="1"/>
    <s v="PENDIENTE APROBACION  ENVIO TMS"/>
    <s v="000000008209670075"/>
    <x v="2"/>
    <x v="1"/>
    <m/>
    <n v="1"/>
    <m/>
  </r>
  <r>
    <n v="1209670098"/>
    <s v="47"/>
    <x v="1"/>
    <d v="2026-10-14T10:40:47"/>
    <d v="2026-10-14T04:40:44"/>
    <d v="2026-10-14T00:00:00"/>
    <s v=""/>
    <s v="CAJA"/>
    <n v="14"/>
    <s v="PENDIENTE APROBACION  ENVIO TMS"/>
    <s v="000000001209670098"/>
    <x v="1"/>
    <x v="0"/>
    <m/>
    <n v="1"/>
    <m/>
  </r>
  <r>
    <n v="8209669973"/>
    <s v="43"/>
    <x v="23"/>
    <d v="2026-10-14T10:40:47"/>
    <d v="2026-10-14T04:40:45"/>
    <d v="2026-10-14T00:00:00"/>
    <s v=""/>
    <s v="UNIDAD"/>
    <n v="2"/>
    <s v="PENDIENTE APROBACION  ENVIO TMS"/>
    <s v="000000008209669973"/>
    <x v="2"/>
    <x v="1"/>
    <m/>
    <n v="1"/>
    <m/>
  </r>
  <r>
    <n v="1209670083"/>
    <s v="46"/>
    <x v="86"/>
    <d v="2026-10-14T10:40:48"/>
    <d v="2026-10-14T04:40:46"/>
    <d v="2026-10-14T00:00:00"/>
    <s v=""/>
    <s v="PACK"/>
    <n v="35"/>
    <s v="PENDIENTE APROBACION  ENVIO TMS"/>
    <s v="000000001209670083"/>
    <x v="1"/>
    <x v="1"/>
    <m/>
    <n v="1"/>
    <m/>
  </r>
  <r>
    <n v="1209670023"/>
    <s v="45"/>
    <x v="133"/>
    <d v="2026-10-14T10:40:50"/>
    <d v="2026-10-14T04:40:47"/>
    <d v="2026-10-14T00:00:00"/>
    <s v=""/>
    <s v="CAJA"/>
    <n v="3"/>
    <s v="PENDIENTE APROBACION  ENVIO TMS"/>
    <s v="000000001209670023"/>
    <x v="1"/>
    <x v="3"/>
    <m/>
    <n v="1"/>
    <m/>
  </r>
  <r>
    <n v="1209670065"/>
    <s v="46"/>
    <x v="86"/>
    <d v="2026-10-14T10:40:51"/>
    <d v="2026-10-14T04:40:49"/>
    <d v="2026-10-14T00:00:00"/>
    <s v=""/>
    <s v="CAJA"/>
    <n v="10"/>
    <s v="PENDIENTE APROBACION  ENVIO TMS"/>
    <s v="000000001209670065"/>
    <x v="1"/>
    <x v="1"/>
    <m/>
    <n v="1"/>
    <m/>
  </r>
  <r>
    <n v="1209670111"/>
    <s v="47"/>
    <x v="1"/>
    <d v="2026-10-14T10:40:53"/>
    <d v="2026-10-14T04:40:51"/>
    <d v="2026-10-14T00:00:00"/>
    <s v=""/>
    <s v="CAJA"/>
    <n v="30"/>
    <s v="PENDIENTE APROBACION  ENVIO TMS"/>
    <s v="000000001209670111"/>
    <x v="1"/>
    <x v="0"/>
    <m/>
    <n v="1"/>
    <m/>
  </r>
  <r>
    <n v="8209670076"/>
    <s v="46"/>
    <x v="86"/>
    <d v="2026-10-14T10:40:53"/>
    <d v="2026-10-14T04:40:50"/>
    <d v="2026-10-14T00:00:00"/>
    <s v=""/>
    <s v="UNIDAD"/>
    <n v="3"/>
    <s v="PENDIENTE APROBACION  ENVIO TMS"/>
    <s v="000000008209670076"/>
    <x v="2"/>
    <x v="1"/>
    <m/>
    <n v="1"/>
    <m/>
  </r>
  <r>
    <n v="1209670082"/>
    <s v="46"/>
    <x v="86"/>
    <d v="2026-10-14T10:40:55"/>
    <d v="2026-10-14T04:40:52"/>
    <d v="2026-10-14T00:00:00"/>
    <s v=""/>
    <s v="CAJA"/>
    <n v="23"/>
    <s v="PENDIENTE APROBACION  ENVIO TMS"/>
    <s v="000000001209670082"/>
    <x v="1"/>
    <x v="1"/>
    <m/>
    <n v="1"/>
    <m/>
  </r>
  <r>
    <n v="1209669995"/>
    <s v="44"/>
    <x v="24"/>
    <d v="2026-10-14T10:40:56"/>
    <d v="2026-10-14T04:40:54"/>
    <d v="2026-10-14T00:00:00"/>
    <s v=""/>
    <s v="CAJA"/>
    <n v="23"/>
    <s v="PENDIENTE APROBACION  ENVIO TMS"/>
    <s v="000000001209669995"/>
    <x v="1"/>
    <x v="0"/>
    <m/>
    <n v="1"/>
    <m/>
  </r>
  <r>
    <n v="1209670032"/>
    <s v="45"/>
    <x v="133"/>
    <d v="2026-10-14T10:40:58"/>
    <d v="2026-10-14T04:40:55"/>
    <d v="2026-10-14T00:00:00"/>
    <s v=""/>
    <s v="CAJA"/>
    <n v="32"/>
    <s v="PENDIENTE APROBACION  ENVIO TMS"/>
    <s v="000000001209670032"/>
    <x v="1"/>
    <x v="3"/>
    <m/>
    <n v="1"/>
    <m/>
  </r>
  <r>
    <n v="8209670061"/>
    <s v="46"/>
    <x v="86"/>
    <d v="2026-10-14T10:40:59"/>
    <d v="2026-10-14T04:40:56"/>
    <d v="2026-10-14T00:00:00"/>
    <s v=""/>
    <s v="UNIDAD"/>
    <n v="5"/>
    <s v="PENDIENTE APROBACION  ENVIO TMS"/>
    <s v="000000008209670061"/>
    <x v="2"/>
    <x v="1"/>
    <m/>
    <n v="1"/>
    <m/>
  </r>
  <r>
    <n v="8209670184"/>
    <s v="50"/>
    <x v="135"/>
    <d v="2026-10-14T10:44:12"/>
    <d v="2026-10-14T04:44:09"/>
    <d v="2026-10-14T00:00:00"/>
    <s v=""/>
    <s v="UNIDAD"/>
    <n v="5"/>
    <s v="PENDIENTE APROBACION  ENVIO TMS"/>
    <s v="000000008209670184"/>
    <x v="2"/>
    <x v="0"/>
    <m/>
    <n v="1"/>
    <m/>
  </r>
  <r>
    <n v="8209670115"/>
    <s v="48"/>
    <x v="87"/>
    <d v="2026-10-14T10:44:13"/>
    <d v="2026-10-14T04:44:10"/>
    <d v="2026-10-14T00:00:00"/>
    <s v=""/>
    <s v="UNIDAD"/>
    <n v="1"/>
    <s v="PENDIENTE APROBACION  ENVIO TMS"/>
    <s v="000000008209670115"/>
    <x v="2"/>
    <x v="3"/>
    <m/>
    <n v="1"/>
    <m/>
  </r>
  <r>
    <n v="1209670122"/>
    <s v="48"/>
    <x v="87"/>
    <d v="2026-10-14T10:44:14"/>
    <d v="2026-10-14T04:44:11"/>
    <d v="2026-10-14T00:00:00"/>
    <s v=""/>
    <s v="CAJA"/>
    <n v="16"/>
    <s v="PENDIENTE APROBACION  ENVIO TMS"/>
    <s v="000000001209670122"/>
    <x v="1"/>
    <x v="3"/>
    <m/>
    <n v="1"/>
    <m/>
  </r>
  <r>
    <n v="1209670171"/>
    <s v="49"/>
    <x v="111"/>
    <d v="2026-10-14T10:44:15"/>
    <d v="2026-10-14T04:44:13"/>
    <d v="2026-10-14T00:00:00"/>
    <s v=""/>
    <s v="CAJA"/>
    <n v="1"/>
    <s v="PENDIENTE APROBACION  ENVIO TMS"/>
    <s v="000000001209670171"/>
    <x v="1"/>
    <x v="3"/>
    <m/>
    <n v="1"/>
    <m/>
  </r>
  <r>
    <n v="8209670152"/>
    <s v="49"/>
    <x v="111"/>
    <d v="2026-10-14T10:44:16"/>
    <d v="2026-10-14T04:44:14"/>
    <d v="2026-10-14T00:00:00"/>
    <s v=""/>
    <s v="UNIDAD"/>
    <n v="1"/>
    <s v="PENDIENTE APROBACION  ENVIO TMS"/>
    <s v="000000008209670152"/>
    <x v="2"/>
    <x v="3"/>
    <m/>
    <n v="1"/>
    <m/>
  </r>
  <r>
    <n v="1209670164"/>
    <s v="49"/>
    <x v="111"/>
    <d v="2026-10-14T10:44:18"/>
    <d v="2026-10-14T04:44:15"/>
    <d v="2026-10-14T00:00:00"/>
    <s v=""/>
    <s v="PACK"/>
    <n v="28"/>
    <s v="PENDIENTE APROBACION  ENVIO TMS"/>
    <s v="000000001209670164"/>
    <x v="1"/>
    <x v="3"/>
    <m/>
    <n v="1"/>
    <m/>
  </r>
  <r>
    <n v="8209670156"/>
    <s v="49"/>
    <x v="111"/>
    <d v="2026-10-14T10:44:19"/>
    <d v="2026-10-14T04:44:16"/>
    <d v="2026-10-14T00:00:00"/>
    <s v=""/>
    <s v="UNIDAD"/>
    <n v="37"/>
    <s v="PENDIENTE APROBACION  ENVIO TMS"/>
    <s v="000000008209670156"/>
    <x v="2"/>
    <x v="3"/>
    <m/>
    <n v="1"/>
    <m/>
  </r>
  <r>
    <n v="1209670179"/>
    <s v="49"/>
    <x v="111"/>
    <d v="2026-10-14T10:44:20"/>
    <d v="2026-10-14T04:44:18"/>
    <d v="2026-10-14T00:00:00"/>
    <s v=""/>
    <s v="CAJA"/>
    <n v="57"/>
    <s v="PENDIENTE APROBACION  ENVIO TMS"/>
    <s v="000000001209670179"/>
    <x v="1"/>
    <x v="3"/>
    <m/>
    <n v="1"/>
    <m/>
  </r>
  <r>
    <n v="1209670127"/>
    <s v="48"/>
    <x v="87"/>
    <d v="2026-10-14T10:44:21"/>
    <d v="2026-10-14T04:44:19"/>
    <d v="2026-10-14T00:00:00"/>
    <s v=""/>
    <s v="PACK"/>
    <n v="34"/>
    <s v="PENDIENTE APROBACION  ENVIO TMS"/>
    <s v="000000001209670127"/>
    <x v="1"/>
    <x v="3"/>
    <m/>
    <n v="1"/>
    <m/>
  </r>
  <r>
    <n v="1209670273"/>
    <s v="54"/>
    <x v="115"/>
    <d v="2026-10-14T10:44:23"/>
    <d v="2026-10-14T04:44:20"/>
    <d v="2026-10-14T00:00:00"/>
    <s v=""/>
    <s v="CAJA"/>
    <n v="8"/>
    <s v="PENDIENTE APROBACION  ENVIO TMS"/>
    <s v="000000001209670273"/>
    <x v="1"/>
    <x v="0"/>
    <m/>
    <n v="1"/>
    <m/>
  </r>
  <r>
    <n v="1209670225"/>
    <s v="51"/>
    <x v="44"/>
    <d v="2026-10-14T10:44:24"/>
    <d v="2026-10-14T04:44:21"/>
    <d v="2026-10-14T00:00:00"/>
    <s v=""/>
    <s v="CAJA"/>
    <n v="18"/>
    <s v="PENDIENTE APROBACION  ENVIO TMS"/>
    <s v="000000001209670225"/>
    <x v="1"/>
    <x v="1"/>
    <m/>
    <n v="1"/>
    <m/>
  </r>
  <r>
    <n v="8209670241"/>
    <s v="53"/>
    <x v="136"/>
    <d v="2026-10-14T10:44:25"/>
    <d v="2026-10-14T04:44:23"/>
    <d v="2026-10-14T00:00:00"/>
    <s v=""/>
    <s v="UNIDAD"/>
    <n v="3"/>
    <s v="PENDIENTE APROBACION  ENVIO TMS"/>
    <s v="000000008209670241"/>
    <x v="2"/>
    <x v="2"/>
    <m/>
    <n v="1"/>
    <m/>
  </r>
  <r>
    <n v="8209670244"/>
    <s v="53"/>
    <x v="136"/>
    <d v="2026-10-14T10:44:26"/>
    <d v="2026-10-14T04:44:24"/>
    <d v="2026-10-14T00:00:00"/>
    <s v=""/>
    <s v="UNIDAD"/>
    <n v="17"/>
    <s v="PENDIENTE APROBACION  ENVIO TMS"/>
    <s v="000000008209670244"/>
    <x v="2"/>
    <x v="2"/>
    <m/>
    <n v="1"/>
    <m/>
  </r>
  <r>
    <n v="8209670113"/>
    <s v="48"/>
    <x v="87"/>
    <d v="2026-10-14T10:44:27"/>
    <d v="2026-10-14T04:44:25"/>
    <d v="2026-10-14T00:00:00"/>
    <s v=""/>
    <s v="UNIDAD"/>
    <n v="8"/>
    <s v="PENDIENTE APROBACION  ENVIO TMS"/>
    <s v="000000008209670113"/>
    <x v="2"/>
    <x v="3"/>
    <m/>
    <n v="1"/>
    <m/>
  </r>
  <r>
    <n v="8209670116"/>
    <s v="48"/>
    <x v="87"/>
    <d v="2026-10-14T10:44:29"/>
    <d v="2026-10-14T04:44:26"/>
    <d v="2026-10-14T00:00:00"/>
    <s v=""/>
    <s v="UNIDAD"/>
    <n v="3"/>
    <s v="PENDIENTE APROBACION  ENVIO TMS"/>
    <s v="000000008209670116"/>
    <x v="2"/>
    <x v="3"/>
    <m/>
    <n v="1"/>
    <m/>
  </r>
  <r>
    <n v="8209670118"/>
    <s v="48"/>
    <x v="87"/>
    <d v="2026-10-14T10:44:30"/>
    <d v="2026-10-14T04:44:27"/>
    <d v="2026-10-14T00:00:00"/>
    <s v=""/>
    <s v="UNIDAD"/>
    <n v="14"/>
    <s v="PENDIENTE APROBACION  ENVIO TMS"/>
    <s v="000000008209670118"/>
    <x v="2"/>
    <x v="3"/>
    <m/>
    <n v="1"/>
    <m/>
  </r>
  <r>
    <n v="1209670168"/>
    <s v="49"/>
    <x v="111"/>
    <d v="2026-10-14T10:44:31"/>
    <d v="2026-10-14T04:44:29"/>
    <d v="2026-10-14T00:00:00"/>
    <s v=""/>
    <s v="CAJA"/>
    <n v="3"/>
    <s v="PENDIENTE APROBACION  ENVIO TMS"/>
    <s v="000000001209670168"/>
    <x v="1"/>
    <x v="3"/>
    <m/>
    <n v="1"/>
    <m/>
  </r>
  <r>
    <n v="8209670271"/>
    <s v="54"/>
    <x v="115"/>
    <d v="2026-10-14T10:44:32"/>
    <d v="2026-10-14T04:44:30"/>
    <d v="2026-10-14T00:00:00"/>
    <s v=""/>
    <s v="UNIDAD"/>
    <n v="22"/>
    <s v="PENDIENTE APROBACION  ENVIO TMS"/>
    <s v="000000008209670271"/>
    <x v="2"/>
    <x v="0"/>
    <m/>
    <n v="1"/>
    <m/>
  </r>
  <r>
    <n v="1209670232"/>
    <s v="51"/>
    <x v="44"/>
    <d v="2026-10-14T10:44:34"/>
    <d v="2026-10-14T04:44:31"/>
    <d v="2026-10-14T00:00:00"/>
    <s v=""/>
    <s v="CAJA"/>
    <n v="9"/>
    <s v="PENDIENTE APROBACION  ENVIO TMS"/>
    <s v="000000001209670232"/>
    <x v="1"/>
    <x v="1"/>
    <m/>
    <n v="1"/>
    <m/>
  </r>
  <r>
    <n v="1209670250"/>
    <s v="53"/>
    <x v="136"/>
    <d v="2026-10-14T10:44:35"/>
    <d v="2026-10-14T04:44:32"/>
    <d v="2026-10-14T00:00:00"/>
    <s v=""/>
    <s v="CAJA"/>
    <n v="9"/>
    <s v="PENDIENTE APROBACION  ENVIO TMS"/>
    <s v="000000001209670250"/>
    <x v="1"/>
    <x v="2"/>
    <m/>
    <n v="1"/>
    <m/>
  </r>
  <r>
    <n v="8209670221"/>
    <s v="51"/>
    <x v="44"/>
    <d v="2026-10-14T10:44:36"/>
    <d v="2026-10-14T04:44:34"/>
    <d v="2026-10-14T00:00:00"/>
    <s v=""/>
    <s v="UNIDAD"/>
    <n v="12"/>
    <s v="PENDIENTE APROBACION  ENVIO TMS"/>
    <s v="000000008209670221"/>
    <x v="2"/>
    <x v="1"/>
    <m/>
    <n v="1"/>
    <m/>
  </r>
  <r>
    <n v="1209670252"/>
    <s v="53"/>
    <x v="136"/>
    <d v="2026-10-14T10:44:37"/>
    <d v="2026-10-14T04:44:35"/>
    <d v="2026-10-14T00:00:00"/>
    <s v=""/>
    <s v="UNIDAD"/>
    <n v="38"/>
    <s v="PENDIENTE APROBACION  ENVIO TMS"/>
    <s v="000000001209670252"/>
    <x v="1"/>
    <x v="2"/>
    <m/>
    <n v="1"/>
    <m/>
  </r>
  <r>
    <n v="1209670228"/>
    <s v="51"/>
    <x v="44"/>
    <d v="2026-10-14T10:44:39"/>
    <d v="2026-10-14T04:44:36"/>
    <d v="2026-10-14T00:00:00"/>
    <s v=""/>
    <s v="CAJA"/>
    <n v="15"/>
    <s v="PENDIENTE APROBACION  ENVIO TMS"/>
    <s v="000000001209670228"/>
    <x v="1"/>
    <x v="1"/>
    <m/>
    <n v="1"/>
    <m/>
  </r>
  <r>
    <n v="8209670170"/>
    <s v="49"/>
    <x v="111"/>
    <d v="2026-10-14T10:44:40"/>
    <d v="2026-10-14T04:44:37"/>
    <d v="2026-10-14T00:00:00"/>
    <s v=""/>
    <s v="UNIDAD"/>
    <n v="6"/>
    <s v="PENDIENTE APROBACION  ENVIO TMS"/>
    <s v="000000008209670170"/>
    <x v="2"/>
    <x v="3"/>
    <m/>
    <n v="1"/>
    <m/>
  </r>
  <r>
    <n v="1209670125"/>
    <s v="48"/>
    <x v="87"/>
    <d v="2026-10-14T10:44:41"/>
    <d v="2026-10-14T04:44:39"/>
    <d v="2026-10-14T00:00:00"/>
    <s v=""/>
    <s v="CAJA"/>
    <n v="34"/>
    <s v="PENDIENTE APROBACION  ENVIO TMS"/>
    <s v="000000001209670125"/>
    <x v="1"/>
    <x v="3"/>
    <m/>
    <n v="1"/>
    <m/>
  </r>
  <r>
    <n v="8209670180"/>
    <s v="50"/>
    <x v="135"/>
    <d v="2026-10-14T10:44:42"/>
    <d v="2026-10-14T04:44:40"/>
    <d v="2026-10-14T00:00:00"/>
    <s v=""/>
    <s v="UNIDAD"/>
    <n v="1"/>
    <s v="PENDIENTE APROBACION  ENVIO TMS"/>
    <s v="000000008209670180"/>
    <x v="2"/>
    <x v="0"/>
    <m/>
    <n v="1"/>
    <m/>
  </r>
  <r>
    <n v="1209670277"/>
    <s v="54"/>
    <x v="115"/>
    <d v="2026-10-14T10:44:43"/>
    <d v="2026-10-14T04:44:41"/>
    <d v="2026-10-14T00:00:00"/>
    <s v=""/>
    <s v="PACK"/>
    <n v="19"/>
    <s v="PENDIENTE APROBACION  ENVIO TMS"/>
    <s v="000000001209670277"/>
    <x v="1"/>
    <x v="0"/>
    <m/>
    <n v="1"/>
    <m/>
  </r>
  <r>
    <n v="1209670227"/>
    <s v="51"/>
    <x v="44"/>
    <d v="2026-10-14T10:44:45"/>
    <d v="2026-10-14T04:44:42"/>
    <d v="2026-10-14T00:00:00"/>
    <s v=""/>
    <s v="CAJA"/>
    <n v="16"/>
    <s v="PENDIENTE APROBACION  ENVIO TMS"/>
    <s v="000000001209670227"/>
    <x v="1"/>
    <x v="1"/>
    <m/>
    <n v="1"/>
    <m/>
  </r>
  <r>
    <n v="8209670183"/>
    <s v="50"/>
    <x v="135"/>
    <d v="2026-10-14T10:44:46"/>
    <d v="2026-10-14T04:44:44"/>
    <d v="2026-10-14T00:00:00"/>
    <s v=""/>
    <s v="UNIDAD"/>
    <n v="46"/>
    <s v="PENDIENTE APROBACION  ENVIO TMS"/>
    <s v="000000008209670183"/>
    <x v="2"/>
    <x v="0"/>
    <m/>
    <n v="1"/>
    <m/>
  </r>
  <r>
    <n v="1209670187"/>
    <s v="50"/>
    <x v="135"/>
    <d v="2026-10-14T10:44:47"/>
    <d v="2026-10-14T04:44:45"/>
    <d v="2026-10-14T00:00:00"/>
    <s v=""/>
    <s v="CAJA"/>
    <n v="15"/>
    <s v="PENDIENTE APROBACION  ENVIO TMS"/>
    <s v="000000001209670187"/>
    <x v="1"/>
    <x v="0"/>
    <m/>
    <n v="1"/>
    <m/>
  </r>
  <r>
    <n v="1209670172"/>
    <s v="49"/>
    <x v="111"/>
    <d v="2026-10-14T10:44:48"/>
    <d v="2026-10-14T04:44:46"/>
    <d v="2026-10-14T00:00:00"/>
    <s v=""/>
    <s v="PACK"/>
    <n v="8"/>
    <s v="PENDIENTE APROBACION  ENVIO TMS"/>
    <s v="000000001209670172"/>
    <x v="1"/>
    <x v="3"/>
    <m/>
    <n v="1"/>
    <m/>
  </r>
  <r>
    <n v="8209670157"/>
    <s v="49"/>
    <x v="111"/>
    <d v="2026-10-14T10:44:50"/>
    <d v="2026-10-14T04:44:47"/>
    <d v="2026-10-14T00:00:00"/>
    <s v=""/>
    <s v="UNIDAD"/>
    <n v="28"/>
    <s v="PENDIENTE APROBACION  ENVIO TMS"/>
    <s v="000000008209670157"/>
    <x v="2"/>
    <x v="3"/>
    <m/>
    <n v="1"/>
    <m/>
  </r>
  <r>
    <n v="1209670159"/>
    <s v="49"/>
    <x v="111"/>
    <d v="2026-10-14T10:44:51"/>
    <d v="2026-10-14T04:44:49"/>
    <d v="2026-10-14T00:00:00"/>
    <s v=""/>
    <s v="PACK"/>
    <n v="66"/>
    <s v="PENDIENTE APROBACION  ENVIO TMS"/>
    <s v="000000001209670159"/>
    <x v="1"/>
    <x v="3"/>
    <m/>
    <n v="1"/>
    <m/>
  </r>
  <r>
    <n v="8209670269"/>
    <s v="54"/>
    <x v="115"/>
    <d v="2026-10-14T10:44:53"/>
    <d v="2026-10-14T04:44:51"/>
    <d v="2026-10-14T00:00:00"/>
    <s v=""/>
    <s v="UNIDAD"/>
    <n v="10"/>
    <s v="PENDIENTE APROBACION  ENVIO TMS"/>
    <s v="000000008209670269"/>
    <x v="2"/>
    <x v="0"/>
    <m/>
    <n v="1"/>
    <m/>
  </r>
  <r>
    <n v="8209670181"/>
    <s v="50"/>
    <x v="135"/>
    <d v="2026-10-14T10:44:53"/>
    <d v="2026-10-14T04:44:50"/>
    <d v="2026-10-14T00:00:00"/>
    <s v=""/>
    <s v="UNIDAD"/>
    <n v="5"/>
    <s v="PENDIENTE APROBACION  ENVIO TMS"/>
    <s v="000000008209670181"/>
    <x v="2"/>
    <x v="0"/>
    <m/>
    <n v="1"/>
    <m/>
  </r>
  <r>
    <n v="1209670283"/>
    <s v="54"/>
    <x v="115"/>
    <d v="2026-10-14T10:44:55"/>
    <d v="2026-10-14T04:44:52"/>
    <d v="2026-10-14T00:00:00"/>
    <s v=""/>
    <s v="UNIDAD"/>
    <n v="17"/>
    <s v="PENDIENTE APROBACION  ENVIO TMS"/>
    <s v="000000001209670283"/>
    <x v="1"/>
    <x v="0"/>
    <m/>
    <n v="1"/>
    <m/>
  </r>
  <r>
    <n v="1209670274"/>
    <s v="54"/>
    <x v="115"/>
    <d v="2026-10-14T10:44:56"/>
    <d v="2026-10-14T04:44:54"/>
    <d v="2026-10-14T00:00:00"/>
    <s v=""/>
    <s v="CAJA"/>
    <n v="8"/>
    <s v="PENDIENTE APROBACION  ENVIO TMS"/>
    <s v="000000001209670274"/>
    <x v="1"/>
    <x v="0"/>
    <m/>
    <n v="1"/>
    <m/>
  </r>
  <r>
    <n v="8209670231"/>
    <s v="51"/>
    <x v="44"/>
    <d v="2026-10-14T10:44:58"/>
    <d v="2026-10-14T04:44:55"/>
    <d v="2026-10-14T00:00:00"/>
    <s v=""/>
    <s v="UNIDAD"/>
    <n v="3"/>
    <s v="PENDIENTE APROBACION  ENVIO TMS"/>
    <s v="000000008209670231"/>
    <x v="2"/>
    <x v="1"/>
    <m/>
    <n v="1"/>
    <m/>
  </r>
  <r>
    <n v="1209670190"/>
    <s v="50"/>
    <x v="135"/>
    <d v="2026-10-14T10:44:59"/>
    <d v="2026-10-14T04:44:56"/>
    <d v="2026-10-14T00:00:00"/>
    <s v=""/>
    <s v="CAJA"/>
    <n v="27"/>
    <s v="PENDIENTE APROBACION  ENVIO TMS"/>
    <s v="000000001209670190"/>
    <x v="1"/>
    <x v="0"/>
    <m/>
    <n v="1"/>
    <m/>
  </r>
  <r>
    <n v="1209670192"/>
    <s v="50"/>
    <x v="135"/>
    <d v="2026-10-14T10:45:00"/>
    <d v="2026-10-14T04:44:57"/>
    <d v="2026-10-14T00:00:00"/>
    <s v=""/>
    <s v="CAJA"/>
    <n v="29"/>
    <s v="PENDIENTE APROBACION  ENVIO TMS"/>
    <s v="000000001209670192"/>
    <x v="1"/>
    <x v="0"/>
    <m/>
    <n v="1"/>
    <m/>
  </r>
  <r>
    <n v="8209670240"/>
    <s v="53"/>
    <x v="136"/>
    <d v="2026-10-14T10:45:01"/>
    <d v="2026-10-14T04:44:59"/>
    <d v="2026-10-14T00:00:00"/>
    <s v=""/>
    <s v="UNIDAD"/>
    <n v="4"/>
    <s v="PENDIENTE APROBACION  ENVIO TMS"/>
    <s v="000000008209670240"/>
    <x v="2"/>
    <x v="2"/>
    <m/>
    <n v="1"/>
    <m/>
  </r>
  <r>
    <n v="1209670193"/>
    <s v="50"/>
    <x v="135"/>
    <d v="2026-10-14T10:45:02"/>
    <d v="2026-10-14T04:45:00"/>
    <d v="2026-10-14T00:00:00"/>
    <s v=""/>
    <s v="UNIDAD"/>
    <n v="40"/>
    <s v="PENDIENTE APROBACION  ENVIO TMS"/>
    <s v="000000001209670193"/>
    <x v="1"/>
    <x v="0"/>
    <m/>
    <n v="1"/>
    <m/>
  </r>
  <r>
    <n v="8209670268"/>
    <s v="54"/>
    <x v="115"/>
    <d v="2026-10-14T10:45:04"/>
    <d v="2026-10-14T04:45:01"/>
    <d v="2026-10-14T00:00:00"/>
    <s v=""/>
    <s v="UNIDAD"/>
    <n v="3"/>
    <s v="PENDIENTE APROBACION  ENVIO TMS"/>
    <s v="000000008209670268"/>
    <x v="2"/>
    <x v="0"/>
    <m/>
    <n v="1"/>
    <m/>
  </r>
  <r>
    <n v="1209670185"/>
    <s v="50"/>
    <x v="135"/>
    <d v="2026-10-14T10:45:05"/>
    <d v="2026-10-14T04:45:02"/>
    <d v="2026-10-14T00:00:00"/>
    <s v=""/>
    <s v="PACK"/>
    <n v="10"/>
    <s v="PENDIENTE APROBACION  ENVIO TMS"/>
    <s v="000000001209670185"/>
    <x v="1"/>
    <x v="0"/>
    <m/>
    <n v="1"/>
    <m/>
  </r>
  <r>
    <n v="8209670114"/>
    <s v="48"/>
    <x v="87"/>
    <d v="2026-10-14T10:45:06"/>
    <d v="2026-10-14T04:45:04"/>
    <d v="2026-10-14T00:00:00"/>
    <s v=""/>
    <s v="UNIDAD"/>
    <n v="9"/>
    <s v="PENDIENTE APROBACION  ENVIO TMS"/>
    <s v="000000008209670114"/>
    <x v="2"/>
    <x v="3"/>
    <m/>
    <n v="1"/>
    <m/>
  </r>
  <r>
    <n v="8209670117"/>
    <s v="48"/>
    <x v="87"/>
    <d v="2026-10-14T10:45:07"/>
    <d v="2026-10-14T04:45:05"/>
    <d v="2026-10-14T00:00:00"/>
    <s v=""/>
    <s v="UNIDAD"/>
    <n v="6"/>
    <s v="PENDIENTE APROBACION  ENVIO TMS"/>
    <s v="000000008209670117"/>
    <x v="2"/>
    <x v="3"/>
    <m/>
    <n v="1"/>
    <m/>
  </r>
  <r>
    <n v="1209670188"/>
    <s v="50"/>
    <x v="135"/>
    <d v="2026-10-14T10:45:09"/>
    <d v="2026-10-14T04:45:06"/>
    <d v="2026-10-14T00:00:00"/>
    <s v=""/>
    <s v="CAJA"/>
    <n v="10"/>
    <s v="PENDIENTE APROBACION  ENVIO TMS"/>
    <s v="000000001209670188"/>
    <x v="1"/>
    <x v="0"/>
    <m/>
    <n v="1"/>
    <m/>
  </r>
  <r>
    <n v="1209670121"/>
    <s v="48"/>
    <x v="87"/>
    <d v="2026-10-14T10:45:10"/>
    <d v="2026-10-14T04:45:07"/>
    <d v="2026-10-14T00:00:00"/>
    <s v=""/>
    <s v="PACK"/>
    <n v="12"/>
    <s v="PENDIENTE APROBACION  ENVIO TMS"/>
    <s v="000000001209670121"/>
    <x v="1"/>
    <x v="3"/>
    <m/>
    <n v="1"/>
    <m/>
  </r>
  <r>
    <n v="1209670123"/>
    <s v="48"/>
    <x v="87"/>
    <d v="2026-10-14T10:45:12"/>
    <d v="2026-10-14T04:45:09"/>
    <d v="2026-10-14T00:00:00"/>
    <s v=""/>
    <s v="PACK"/>
    <n v="13"/>
    <s v="PENDIENTE APROBACION  ENVIO TMS"/>
    <s v="000000001209670123"/>
    <x v="1"/>
    <x v="3"/>
    <m/>
    <n v="1"/>
    <m/>
  </r>
  <r>
    <n v="8209670153"/>
    <s v="49"/>
    <x v="111"/>
    <d v="2026-10-14T10:45:12"/>
    <d v="2026-10-14T04:45:10"/>
    <d v="2026-10-14T00:00:00"/>
    <s v=""/>
    <s v="UNIDAD"/>
    <n v="1"/>
    <s v="PENDIENTE APROBACION  ENVIO TMS"/>
    <s v="000000008209670153"/>
    <x v="2"/>
    <x v="3"/>
    <m/>
    <n v="1"/>
    <m/>
  </r>
  <r>
    <n v="1209670196"/>
    <s v="50"/>
    <x v="135"/>
    <d v="2026-10-14T10:45:14"/>
    <d v="2026-10-14T04:45:11"/>
    <d v="2026-10-14T00:00:00"/>
    <s v=""/>
    <s v="PACK"/>
    <n v="52"/>
    <s v="PENDIENTE APROBACION  ENVIO TMS"/>
    <s v="000000001209670196"/>
    <x v="1"/>
    <x v="0"/>
    <m/>
    <n v="1"/>
    <m/>
  </r>
  <r>
    <n v="1209670275"/>
    <s v="54"/>
    <x v="115"/>
    <d v="2026-10-14T10:45:15"/>
    <d v="2026-10-14T04:45:13"/>
    <d v="2026-10-14T00:00:00"/>
    <s v=""/>
    <s v="CAJA"/>
    <n v="8"/>
    <s v="PENDIENTE APROBACION  ENVIO TMS"/>
    <s v="000000001209670275"/>
    <x v="1"/>
    <x v="0"/>
    <m/>
    <n v="1"/>
    <m/>
  </r>
  <r>
    <n v="1209670224"/>
    <s v="51"/>
    <x v="44"/>
    <d v="2026-10-14T10:45:16"/>
    <d v="2026-10-14T04:45:14"/>
    <d v="2026-10-14T00:00:00"/>
    <s v=""/>
    <s v="CAJA"/>
    <n v="3"/>
    <s v="PENDIENTE APROBACION  ENVIO TMS"/>
    <s v="000000001209670224"/>
    <x v="1"/>
    <x v="1"/>
    <m/>
    <n v="1"/>
    <m/>
  </r>
  <r>
    <n v="1209670278"/>
    <s v="54"/>
    <x v="115"/>
    <d v="2026-10-14T10:45:17"/>
    <d v="2026-10-14T04:45:15"/>
    <d v="2026-10-14T00:00:00"/>
    <s v=""/>
    <s v="PACK"/>
    <n v="26"/>
    <s v="PENDIENTE APROBACION  ENVIO TMS"/>
    <s v="000000001209670278"/>
    <x v="1"/>
    <x v="0"/>
    <m/>
    <n v="1"/>
    <m/>
  </r>
  <r>
    <n v="1209670162"/>
    <s v="49"/>
    <x v="111"/>
    <d v="2026-10-14T10:45:19"/>
    <d v="2026-10-14T04:45:16"/>
    <d v="2026-10-14T00:00:00"/>
    <s v=""/>
    <s v="PACK"/>
    <n v="77"/>
    <s v="PENDIENTE APROBACION  ENVIO TMS"/>
    <s v="000000001209670162"/>
    <x v="1"/>
    <x v="3"/>
    <m/>
    <n v="1"/>
    <m/>
  </r>
  <r>
    <n v="1209670119"/>
    <s v="48"/>
    <x v="87"/>
    <d v="2026-10-14T10:45:20"/>
    <d v="2026-10-14T04:45:17"/>
    <d v="2026-10-14T00:00:00"/>
    <s v=""/>
    <s v="CAJA"/>
    <n v="8"/>
    <s v="PENDIENTE APROBACION  ENVIO TMS"/>
    <s v="000000001209670119"/>
    <x v="1"/>
    <x v="3"/>
    <m/>
    <n v="1"/>
    <m/>
  </r>
  <r>
    <n v="1209670120"/>
    <s v="48"/>
    <x v="87"/>
    <d v="2026-10-14T10:45:22"/>
    <d v="2026-10-14T04:45:19"/>
    <d v="2026-10-14T00:00:00"/>
    <s v=""/>
    <s v="CAJA"/>
    <n v="11"/>
    <s v="PENDIENTE APROBACION  ENVIO TMS"/>
    <s v="000000001209670120"/>
    <x v="1"/>
    <x v="3"/>
    <m/>
    <n v="1"/>
    <m/>
  </r>
  <r>
    <n v="8209670154"/>
    <s v="49"/>
    <x v="111"/>
    <d v="2026-10-14T10:45:22"/>
    <d v="2026-10-14T04:45:20"/>
    <d v="2026-10-14T00:00:00"/>
    <s v=""/>
    <s v="UNIDAD"/>
    <n v="14"/>
    <s v="PENDIENTE APROBACION  ENVIO TMS"/>
    <s v="000000008209670154"/>
    <x v="2"/>
    <x v="3"/>
    <m/>
    <n v="1"/>
    <m/>
  </r>
  <r>
    <n v="1209670177"/>
    <s v="49"/>
    <x v="111"/>
    <d v="2026-10-14T10:45:23"/>
    <d v="2026-10-14T04:45:21"/>
    <d v="2026-10-14T00:00:00"/>
    <s v=""/>
    <s v="UNIDAD"/>
    <n v="47"/>
    <s v="PENDIENTE APROBACION  ENVIO TMS"/>
    <s v="000000001209670177"/>
    <x v="1"/>
    <x v="3"/>
    <m/>
    <n v="1"/>
    <m/>
  </r>
  <r>
    <n v="1209670126"/>
    <s v="48"/>
    <x v="87"/>
    <d v="2026-10-14T10:45:25"/>
    <d v="2026-10-14T04:45:22"/>
    <d v="2026-10-14T00:00:00"/>
    <s v=""/>
    <s v="PACK"/>
    <n v="37"/>
    <s v="PENDIENTE APROBACION  ENVIO TMS"/>
    <s v="000000001209670126"/>
    <x v="1"/>
    <x v="3"/>
    <m/>
    <n v="1"/>
    <m/>
  </r>
  <r>
    <n v="1209670165"/>
    <s v="49"/>
    <x v="111"/>
    <d v="2026-10-14T10:45:26"/>
    <d v="2026-10-14T04:45:24"/>
    <d v="2026-10-14T00:00:00"/>
    <s v=""/>
    <s v="UNIDAD"/>
    <n v="41"/>
    <s v="PENDIENTE APROBACION  ENVIO TMS"/>
    <s v="000000001209670165"/>
    <x v="1"/>
    <x v="3"/>
    <m/>
    <n v="1"/>
    <m/>
  </r>
  <r>
    <n v="1209670254"/>
    <s v="53"/>
    <x v="136"/>
    <d v="2026-10-14T10:45:28"/>
    <d v="2026-10-14T04:45:26"/>
    <d v="2026-10-14T00:00:00"/>
    <s v=""/>
    <s v="PACK"/>
    <n v="37"/>
    <s v="PENDIENTE APROBACION  ENVIO TMS"/>
    <s v="000000001209670254"/>
    <x v="1"/>
    <x v="2"/>
    <m/>
    <n v="1"/>
    <m/>
  </r>
  <r>
    <n v="1209670282"/>
    <s v="54"/>
    <x v="115"/>
    <d v="2026-10-14T10:45:28"/>
    <d v="2026-10-14T04:45:25"/>
    <d v="2026-10-14T00:00:00"/>
    <s v=""/>
    <s v="CAJA"/>
    <n v="4"/>
    <s v="PENDIENTE APROBACION  ENVIO TMS"/>
    <s v="000000001209670282"/>
    <x v="1"/>
    <x v="0"/>
    <m/>
    <n v="1"/>
    <m/>
  </r>
  <r>
    <n v="8209670245"/>
    <s v="53"/>
    <x v="136"/>
    <d v="2026-10-14T10:45:30"/>
    <d v="2026-10-14T04:45:27"/>
    <d v="2026-10-14T00:00:00"/>
    <s v=""/>
    <s v="UNIDAD"/>
    <n v="9"/>
    <s v="PENDIENTE APROBACION  ENVIO TMS"/>
    <s v="000000008209670245"/>
    <x v="2"/>
    <x v="2"/>
    <m/>
    <n v="1"/>
    <m/>
  </r>
  <r>
    <n v="1209670255"/>
    <s v="53"/>
    <x v="136"/>
    <d v="2026-10-14T10:45:31"/>
    <d v="2026-10-14T04:45:29"/>
    <d v="2026-10-14T00:00:00"/>
    <s v=""/>
    <s v="CAJA"/>
    <n v="14"/>
    <s v="PENDIENTE APROBACION  ENVIO TMS"/>
    <s v="000000001209670255"/>
    <x v="1"/>
    <x v="2"/>
    <m/>
    <n v="1"/>
    <m/>
  </r>
  <r>
    <n v="1209670130"/>
    <s v="48"/>
    <x v="87"/>
    <d v="2026-10-14T10:45:33"/>
    <d v="2026-10-14T04:45:31"/>
    <d v="2026-10-14T00:00:00"/>
    <s v=""/>
    <s v="CAJA"/>
    <n v="84"/>
    <s v="PENDIENTE APROBACION  ENVIO TMS"/>
    <s v="000000001209670130"/>
    <x v="1"/>
    <x v="3"/>
    <m/>
    <n v="1"/>
    <m/>
  </r>
  <r>
    <n v="1209670186"/>
    <s v="50"/>
    <x v="135"/>
    <d v="2026-10-14T10:45:33"/>
    <d v="2026-10-14T04:45:30"/>
    <d v="2026-10-14T00:00:00"/>
    <s v=""/>
    <s v="PACK"/>
    <n v="11"/>
    <s v="PENDIENTE APROBACION  ENVIO TMS"/>
    <s v="000000001209670186"/>
    <x v="1"/>
    <x v="0"/>
    <m/>
    <n v="1"/>
    <m/>
  </r>
  <r>
    <n v="1209670167"/>
    <s v="49"/>
    <x v="111"/>
    <d v="2026-10-14T10:45:35"/>
    <d v="2026-10-14T04:45:32"/>
    <d v="2026-10-14T00:00:00"/>
    <s v=""/>
    <s v="PACK"/>
    <n v="45"/>
    <s v="PENDIENTE APROBACION  ENVIO TMS"/>
    <s v="000000001209670167"/>
    <x v="1"/>
    <x v="3"/>
    <m/>
    <n v="1"/>
    <m/>
  </r>
  <r>
    <n v="1209670189"/>
    <s v="50"/>
    <x v="135"/>
    <d v="2026-10-14T10:45:36"/>
    <d v="2026-10-14T04:45:34"/>
    <d v="2026-10-14T00:00:00"/>
    <s v=""/>
    <s v="CAJA"/>
    <n v="27"/>
    <s v="PENDIENTE APROBACION  ENVIO TMS"/>
    <s v="000000001209670189"/>
    <x v="1"/>
    <x v="0"/>
    <m/>
    <n v="1"/>
    <m/>
  </r>
  <r>
    <n v="8209670169"/>
    <s v="49"/>
    <x v="111"/>
    <d v="2026-10-14T10:45:38"/>
    <d v="2026-10-14T04:45:35"/>
    <d v="2026-10-14T00:00:00"/>
    <s v=""/>
    <s v="UNIDAD"/>
    <n v="7"/>
    <s v="PENDIENTE APROBACION  ENVIO TMS"/>
    <s v="000000008209670169"/>
    <x v="2"/>
    <x v="3"/>
    <m/>
    <n v="1"/>
    <m/>
  </r>
  <r>
    <n v="8209670182"/>
    <s v="50"/>
    <x v="135"/>
    <d v="2026-10-14T10:45:39"/>
    <d v="2026-10-14T04:45:36"/>
    <d v="2026-10-14T00:00:00"/>
    <s v=""/>
    <s v="UNIDAD"/>
    <n v="23"/>
    <s v="PENDIENTE APROBACION  ENVIO TMS"/>
    <s v="000000008209670182"/>
    <x v="2"/>
    <x v="0"/>
    <m/>
    <n v="1"/>
    <m/>
  </r>
  <r>
    <n v="1209670160"/>
    <s v="49"/>
    <x v="111"/>
    <d v="2026-10-14T10:45:40"/>
    <d v="2026-10-14T04:45:37"/>
    <d v="2026-10-14T00:00:00"/>
    <s v=""/>
    <s v="CAJA"/>
    <n v="21"/>
    <s v="PENDIENTE APROBACION  ENVIO TMS"/>
    <s v="000000001209670160"/>
    <x v="1"/>
    <x v="3"/>
    <m/>
    <n v="1"/>
    <m/>
  </r>
  <r>
    <n v="1209670281"/>
    <s v="54"/>
    <x v="115"/>
    <d v="2026-10-14T10:45:41"/>
    <d v="2026-10-14T04:45:39"/>
    <d v="2026-10-14T00:00:00"/>
    <s v=""/>
    <s v="PACK"/>
    <n v="24"/>
    <s v="PENDIENTE APROBACION  ENVIO TMS"/>
    <s v="000000001209670281"/>
    <x v="1"/>
    <x v="0"/>
    <m/>
    <n v="1"/>
    <m/>
  </r>
  <r>
    <n v="1209670249"/>
    <s v="53"/>
    <x v="136"/>
    <d v="2026-10-14T10:45:42"/>
    <d v="2026-10-14T04:45:40"/>
    <d v="2026-10-14T00:00:00"/>
    <s v=""/>
    <s v="CAJA"/>
    <n v="14"/>
    <s v="PENDIENTE APROBACION  ENVIO TMS"/>
    <s v="000000001209670249"/>
    <x v="1"/>
    <x v="2"/>
    <m/>
    <n v="1"/>
    <m/>
  </r>
  <r>
    <n v="8209670219"/>
    <s v="51"/>
    <x v="44"/>
    <d v="2026-10-14T10:45:44"/>
    <d v="2026-10-14T04:45:41"/>
    <d v="2026-10-14T00:00:00"/>
    <s v=""/>
    <s v="UNIDAD"/>
    <n v="1"/>
    <s v="PENDIENTE APROBACION  ENVIO TMS"/>
    <s v="000000008209670219"/>
    <x v="2"/>
    <x v="1"/>
    <m/>
    <n v="1"/>
    <m/>
  </r>
  <r>
    <n v="1209670251"/>
    <s v="53"/>
    <x v="136"/>
    <d v="2026-10-14T10:45:45"/>
    <d v="2026-10-14T04:45:42"/>
    <d v="2026-10-14T00:00:00"/>
    <s v=""/>
    <s v="PACK"/>
    <n v="20"/>
    <s v="PENDIENTE APROBACION  ENVIO TMS"/>
    <s v="000000001209670251"/>
    <x v="1"/>
    <x v="2"/>
    <m/>
    <n v="1"/>
    <m/>
  </r>
  <r>
    <n v="8209670220"/>
    <s v="51"/>
    <x v="44"/>
    <d v="2026-10-14T10:45:46"/>
    <d v="2026-10-14T04:45:44"/>
    <d v="2026-10-14T00:00:00"/>
    <s v=""/>
    <s v="UNIDAD"/>
    <n v="3"/>
    <s v="PENDIENTE APROBACION  ENVIO TMS"/>
    <s v="000000008209670220"/>
    <x v="2"/>
    <x v="1"/>
    <m/>
    <n v="1"/>
    <m/>
  </r>
  <r>
    <n v="8209670242"/>
    <s v="53"/>
    <x v="136"/>
    <d v="2026-10-14T10:45:47"/>
    <d v="2026-10-14T04:45:45"/>
    <d v="2026-10-14T00:00:00"/>
    <s v=""/>
    <s v="UNIDAD"/>
    <n v="1"/>
    <s v="PENDIENTE APROBACION  ENVIO TMS"/>
    <s v="000000008209670242"/>
    <x v="2"/>
    <x v="2"/>
    <m/>
    <n v="1"/>
    <m/>
  </r>
  <r>
    <n v="1209670280"/>
    <s v="54"/>
    <x v="115"/>
    <d v="2026-10-14T10:45:49"/>
    <d v="2026-10-14T04:45:46"/>
    <d v="2026-10-14T00:00:00"/>
    <s v=""/>
    <s v="CAJA"/>
    <n v="25"/>
    <s v="PENDIENTE APROBACION  ENVIO TMS"/>
    <s v="000000001209670280"/>
    <x v="1"/>
    <x v="0"/>
    <m/>
    <n v="1"/>
    <m/>
  </r>
  <r>
    <n v="1209670128"/>
    <s v="48"/>
    <x v="87"/>
    <d v="2026-10-14T10:45:50"/>
    <d v="2026-10-14T04:45:47"/>
    <d v="2026-10-14T00:00:00"/>
    <s v=""/>
    <s v="CAJA"/>
    <n v="1"/>
    <s v="PENDIENTE APROBACION  ENVIO TMS"/>
    <s v="000000001209670128"/>
    <x v="1"/>
    <x v="3"/>
    <m/>
    <n v="1"/>
    <m/>
  </r>
  <r>
    <n v="1209670247"/>
    <s v="53"/>
    <x v="136"/>
    <d v="2026-10-14T10:45:51"/>
    <d v="2026-10-14T04:45:49"/>
    <d v="2026-10-14T00:00:00"/>
    <s v=""/>
    <s v="PACK"/>
    <n v="6"/>
    <s v="PENDIENTE APROBACION  ENVIO TMS"/>
    <s v="000000001209670247"/>
    <x v="1"/>
    <x v="2"/>
    <m/>
    <n v="1"/>
    <m/>
  </r>
  <r>
    <n v="1209670248"/>
    <s v="53"/>
    <x v="136"/>
    <d v="2026-10-14T10:45:52"/>
    <d v="2026-10-14T04:45:50"/>
    <d v="2026-10-14T00:00:00"/>
    <s v=""/>
    <s v="CAJA"/>
    <n v="6"/>
    <s v="PENDIENTE APROBACION  ENVIO TMS"/>
    <s v="000000001209670248"/>
    <x v="1"/>
    <x v="2"/>
    <m/>
    <n v="1"/>
    <m/>
  </r>
  <r>
    <n v="8209670270"/>
    <s v="54"/>
    <x v="115"/>
    <d v="2026-10-14T10:45:54"/>
    <d v="2026-10-14T04:45:51"/>
    <d v="2026-10-14T00:00:00"/>
    <s v=""/>
    <s v="UNIDAD"/>
    <n v="20"/>
    <s v="PENDIENTE APROBACION  ENVIO TMS"/>
    <s v="000000008209670270"/>
    <x v="2"/>
    <x v="0"/>
    <m/>
    <n v="1"/>
    <m/>
  </r>
  <r>
    <n v="1209670272"/>
    <s v="54"/>
    <x v="115"/>
    <d v="2026-10-14T10:45:55"/>
    <d v="2026-10-14T04:45:52"/>
    <d v="2026-10-14T00:00:00"/>
    <s v=""/>
    <s v="CAJA"/>
    <n v="2"/>
    <s v="PENDIENTE APROBACION  ENVIO TMS"/>
    <s v="000000001209670272"/>
    <x v="1"/>
    <x v="0"/>
    <m/>
    <n v="1"/>
    <m/>
  </r>
  <r>
    <n v="1209670230"/>
    <s v="51"/>
    <x v="44"/>
    <d v="2026-10-14T10:45:56"/>
    <d v="2026-10-14T04:45:53"/>
    <d v="2026-10-14T00:00:00"/>
    <s v=""/>
    <s v="PACK"/>
    <n v="44"/>
    <s v="PENDIENTE APROBACION  ENVIO TMS"/>
    <s v="000000001209670230"/>
    <x v="1"/>
    <x v="1"/>
    <m/>
    <n v="1"/>
    <m/>
  </r>
  <r>
    <n v="1209670191"/>
    <s v="50"/>
    <x v="135"/>
    <d v="2026-10-14T10:45:57"/>
    <d v="2026-10-14T04:45:55"/>
    <d v="2026-10-14T00:00:00"/>
    <s v=""/>
    <s v="CAJA"/>
    <n v="38"/>
    <s v="PENDIENTE APROBACION  ENVIO TMS"/>
    <s v="000000001209670191"/>
    <x v="1"/>
    <x v="0"/>
    <m/>
    <n v="1"/>
    <m/>
  </r>
  <r>
    <n v="8209670222"/>
    <s v="51"/>
    <x v="44"/>
    <d v="2026-10-14T10:45:59"/>
    <d v="2026-10-14T04:45:56"/>
    <d v="2026-10-14T00:00:00"/>
    <s v=""/>
    <s v="UNIDAD"/>
    <n v="6"/>
    <s v="PENDIENTE APROBACION  ENVIO TMS"/>
    <s v="000000008209670222"/>
    <x v="2"/>
    <x v="1"/>
    <m/>
    <n v="1"/>
    <m/>
  </r>
  <r>
    <n v="1209670223"/>
    <s v="51"/>
    <x v="44"/>
    <d v="2026-10-14T10:46:00"/>
    <d v="2026-10-14T04:45:57"/>
    <d v="2026-10-14T00:00:00"/>
    <s v=""/>
    <s v="PACK"/>
    <n v="4"/>
    <s v="PENDIENTE APROBACION  ENVIO TMS"/>
    <s v="000000001209670223"/>
    <x v="1"/>
    <x v="1"/>
    <m/>
    <n v="1"/>
    <m/>
  </r>
  <r>
    <n v="1209670226"/>
    <s v="51"/>
    <x v="44"/>
    <d v="2026-10-14T10:46:01"/>
    <d v="2026-10-14T04:45:59"/>
    <d v="2026-10-14T00:00:00"/>
    <s v=""/>
    <s v="CAJA"/>
    <n v="11"/>
    <s v="PENDIENTE APROBACION  ENVIO TMS"/>
    <s v="000000001209670226"/>
    <x v="1"/>
    <x v="1"/>
    <m/>
    <n v="1"/>
    <m/>
  </r>
  <r>
    <n v="1209670253"/>
    <s v="53"/>
    <x v="136"/>
    <d v="2026-10-14T10:46:02"/>
    <d v="2026-10-14T04:46:00"/>
    <d v="2026-10-14T00:00:00"/>
    <s v=""/>
    <s v="CAJA"/>
    <n v="21"/>
    <s v="PENDIENTE APROBACION  ENVIO TMS"/>
    <s v="000000001209670253"/>
    <x v="1"/>
    <x v="2"/>
    <m/>
    <n v="1"/>
    <m/>
  </r>
  <r>
    <n v="1209670279"/>
    <s v="54"/>
    <x v="115"/>
    <d v="2026-10-14T10:46:03"/>
    <d v="2026-10-14T04:46:01"/>
    <d v="2026-10-14T00:00:00"/>
    <s v=""/>
    <s v="CAJA"/>
    <n v="12"/>
    <s v="PENDIENTE APROBACION  ENVIO TMS"/>
    <s v="000000001209670279"/>
    <x v="1"/>
    <x v="0"/>
    <m/>
    <n v="1"/>
    <m/>
  </r>
  <r>
    <n v="1209670246"/>
    <s v="53"/>
    <x v="136"/>
    <d v="2026-10-14T10:46:05"/>
    <d v="2026-10-14T04:46:02"/>
    <d v="2026-10-14T00:00:00"/>
    <s v=""/>
    <s v="CAJA"/>
    <n v="1"/>
    <s v="PENDIENTE APROBACION  ENVIO TMS"/>
    <s v="000000001209670246"/>
    <x v="1"/>
    <x v="2"/>
    <m/>
    <n v="1"/>
    <m/>
  </r>
  <r>
    <n v="8209670267"/>
    <s v="54"/>
    <x v="115"/>
    <d v="2026-10-14T10:46:06"/>
    <d v="2026-10-14T04:46:04"/>
    <d v="2026-10-14T00:00:00"/>
    <s v=""/>
    <s v="UNIDAD"/>
    <n v="2"/>
    <s v="PENDIENTE APROBACION  ENVIO TMS"/>
    <s v="000000008209670267"/>
    <x v="2"/>
    <x v="0"/>
    <m/>
    <n v="1"/>
    <m/>
  </r>
  <r>
    <n v="8209670303"/>
    <s v="56"/>
    <x v="83"/>
    <d v="2026-10-14T10:49:12"/>
    <d v="2026-10-14T04:49:09"/>
    <d v="2026-10-14T00:00:00"/>
    <s v=""/>
    <s v="UNIDAD"/>
    <n v="1"/>
    <s v="PENDIENTE APROBACION  ENVIO TMS"/>
    <s v="000000008209670303"/>
    <x v="2"/>
    <x v="1"/>
    <m/>
    <n v="1"/>
    <m/>
  </r>
  <r>
    <n v="1209670405"/>
    <s v="60"/>
    <x v="137"/>
    <d v="2026-10-14T10:49:13"/>
    <d v="2026-10-14T04:49:10"/>
    <d v="2026-10-14T00:00:00"/>
    <s v=""/>
    <s v="PACK"/>
    <n v="18"/>
    <s v="PENDIENTE APROBACION  ENVIO TMS"/>
    <s v="000000001209670405"/>
    <x v="1"/>
    <x v="2"/>
    <m/>
    <n v="1"/>
    <m/>
  </r>
  <r>
    <n v="8209670395"/>
    <s v="60"/>
    <x v="137"/>
    <d v="2026-10-14T10:49:14"/>
    <d v="2026-10-14T04:49:12"/>
    <d v="2026-10-14T00:00:00"/>
    <s v=""/>
    <s v="UNIDAD"/>
    <n v="6"/>
    <s v="PENDIENTE APROBACION  ENVIO TMS"/>
    <s v="000000008209670395"/>
    <x v="2"/>
    <x v="2"/>
    <m/>
    <n v="1"/>
    <m/>
  </r>
  <r>
    <n v="1209670306"/>
    <s v="56"/>
    <x v="83"/>
    <d v="2026-10-14T10:49:16"/>
    <d v="2026-10-14T04:49:13"/>
    <d v="2026-10-14T00:00:00"/>
    <s v=""/>
    <s v="CAJA"/>
    <n v="4"/>
    <s v="PENDIENTE APROBACION  ENVIO TMS"/>
    <s v="000000001209670306"/>
    <x v="1"/>
    <x v="1"/>
    <m/>
    <n v="1"/>
    <m/>
  </r>
  <r>
    <n v="1209670340"/>
    <s v="58"/>
    <x v="30"/>
    <d v="2026-10-14T10:49:17"/>
    <d v="2026-10-14T04:49:15"/>
    <d v="2026-10-14T00:00:00"/>
    <s v=""/>
    <s v="CAJA"/>
    <n v="17"/>
    <s v="PENDIENTE APROBACION  ENVIO TMS"/>
    <s v="000000001209670340"/>
    <x v="1"/>
    <x v="1"/>
    <m/>
    <n v="1"/>
    <m/>
  </r>
  <r>
    <n v="1209670437"/>
    <s v="61"/>
    <x v="77"/>
    <d v="2026-10-14T10:49:19"/>
    <d v="2026-10-14T04:49:17"/>
    <d v="2026-10-14T00:00:00"/>
    <s v=""/>
    <s v="PACK"/>
    <n v="13"/>
    <s v="PENDIENTE APROBACION  ENVIO TMS"/>
    <s v="000000001209670437"/>
    <x v="1"/>
    <x v="0"/>
    <m/>
    <n v="1"/>
    <m/>
  </r>
  <r>
    <n v="1209670394"/>
    <s v="59"/>
    <x v="56"/>
    <d v="2026-10-14T10:49:21"/>
    <d v="2026-10-14T04:49:18"/>
    <d v="2026-10-14T00:00:00"/>
    <s v=""/>
    <s v="PACK"/>
    <n v="68"/>
    <s v="PENDIENTE APROBACION  ENVIO TMS"/>
    <s v="000000001209670394"/>
    <x v="1"/>
    <x v="0"/>
    <m/>
    <n v="1"/>
    <m/>
  </r>
  <r>
    <n v="8209670396"/>
    <s v="60"/>
    <x v="137"/>
    <d v="2026-10-14T10:49:22"/>
    <d v="2026-10-14T04:49:20"/>
    <d v="2026-10-14T00:00:00"/>
    <s v=""/>
    <s v="UNIDAD"/>
    <n v="3"/>
    <s v="PENDIENTE APROBACION  ENVIO TMS"/>
    <s v="000000008209670396"/>
    <x v="2"/>
    <x v="2"/>
    <m/>
    <n v="1"/>
    <m/>
  </r>
  <r>
    <n v="8209670302"/>
    <s v="56"/>
    <x v="83"/>
    <d v="2026-10-14T10:49:24"/>
    <d v="2026-10-14T04:49:22"/>
    <d v="2026-10-14T00:00:00"/>
    <s v=""/>
    <s v="UNIDAD"/>
    <n v="2"/>
    <s v="PENDIENTE APROBACION  ENVIO TMS"/>
    <s v="000000008209670302"/>
    <x v="2"/>
    <x v="1"/>
    <m/>
    <n v="1"/>
    <m/>
  </r>
  <r>
    <n v="1209670312"/>
    <s v="56"/>
    <x v="83"/>
    <d v="2026-10-14T10:49:26"/>
    <d v="2026-10-14T04:49:23"/>
    <d v="2026-10-14T00:00:00"/>
    <s v=""/>
    <s v="CAJA"/>
    <n v="19"/>
    <s v="PENDIENTE APROBACION  ENVIO TMS"/>
    <s v="000000001209670312"/>
    <x v="1"/>
    <x v="1"/>
    <m/>
    <n v="1"/>
    <m/>
  </r>
  <r>
    <n v="8209670317"/>
    <s v="56"/>
    <x v="83"/>
    <d v="2026-10-14T10:49:28"/>
    <d v="2026-10-14T04:49:25"/>
    <d v="2026-10-14T00:00:00"/>
    <s v=""/>
    <s v="UNIDAD"/>
    <n v="1"/>
    <s v="PENDIENTE APROBACION  ENVIO TMS"/>
    <s v="000000008209670317"/>
    <x v="2"/>
    <x v="1"/>
    <m/>
    <n v="1"/>
    <m/>
  </r>
  <r>
    <n v="1209670390"/>
    <s v="59"/>
    <x v="56"/>
    <d v="2026-10-14T10:49:28"/>
    <d v="2026-10-14T04:49:26"/>
    <d v="2026-10-14T00:00:00"/>
    <s v=""/>
    <s v="CAJA"/>
    <n v="40"/>
    <s v="PENDIENTE APROBACION  ENVIO TMS"/>
    <s v="000000001209670390"/>
    <x v="1"/>
    <x v="0"/>
    <m/>
    <n v="1"/>
    <m/>
  </r>
  <r>
    <n v="1209670404"/>
    <s v="60"/>
    <x v="137"/>
    <d v="2026-10-14T10:49:30"/>
    <d v="2026-10-14T04:49:27"/>
    <d v="2026-10-14T00:00:00"/>
    <s v=""/>
    <s v="CAJA"/>
    <n v="7"/>
    <s v="PENDIENTE APROBACION  ENVIO TMS"/>
    <s v="000000001209670404"/>
    <x v="1"/>
    <x v="2"/>
    <m/>
    <n v="1"/>
    <m/>
  </r>
  <r>
    <n v="8209670369"/>
    <s v="59"/>
    <x v="56"/>
    <d v="2026-10-14T10:49:31"/>
    <d v="2026-10-14T04:49:29"/>
    <d v="2026-10-14T00:00:00"/>
    <s v=""/>
    <s v="UNIDAD"/>
    <n v="10"/>
    <s v="PENDIENTE APROBACION  ENVIO TMS"/>
    <s v="000000008209670369"/>
    <x v="2"/>
    <x v="0"/>
    <m/>
    <n v="1"/>
    <m/>
  </r>
  <r>
    <n v="1209670408"/>
    <s v="60"/>
    <x v="137"/>
    <d v="2026-10-14T10:49:33"/>
    <d v="2026-10-14T04:49:30"/>
    <d v="2026-10-14T00:00:00"/>
    <s v=""/>
    <s v="PACK"/>
    <n v="28"/>
    <s v="PENDIENTE APROBACION  ENVIO TMS"/>
    <s v="000000001209670408"/>
    <x v="1"/>
    <x v="2"/>
    <m/>
    <n v="1"/>
    <m/>
  </r>
  <r>
    <n v="8209670397"/>
    <s v="60"/>
    <x v="137"/>
    <d v="2026-10-14T10:49:34"/>
    <d v="2026-10-14T04:49:31"/>
    <d v="2026-10-14T00:00:00"/>
    <s v=""/>
    <s v="UNIDAD"/>
    <n v="1"/>
    <s v="PENDIENTE APROBACION  ENVIO TMS"/>
    <s v="000000008209670397"/>
    <x v="2"/>
    <x v="2"/>
    <m/>
    <n v="1"/>
    <m/>
  </r>
  <r>
    <n v="1209670310"/>
    <s v="56"/>
    <x v="83"/>
    <d v="2026-10-14T10:49:35"/>
    <d v="2026-10-14T04:49:32"/>
    <d v="2026-10-14T00:00:00"/>
    <s v=""/>
    <s v="CAJA"/>
    <n v="15"/>
    <s v="PENDIENTE APROBACION  ENVIO TMS"/>
    <s v="000000001209670310"/>
    <x v="1"/>
    <x v="1"/>
    <m/>
    <n v="1"/>
    <m/>
  </r>
  <r>
    <n v="8209670333"/>
    <s v="58"/>
    <x v="30"/>
    <d v="2026-10-14T10:49:36"/>
    <d v="2026-10-14T04:49:34"/>
    <d v="2026-10-14T00:00:00"/>
    <s v=""/>
    <s v="UNIDAD"/>
    <n v="1"/>
    <s v="PENDIENTE APROBACION  ENVIO TMS"/>
    <s v="000000008209670333"/>
    <x v="2"/>
    <x v="1"/>
    <m/>
    <n v="1"/>
    <m/>
  </r>
  <r>
    <n v="1209670337"/>
    <s v="58"/>
    <x v="30"/>
    <d v="2026-10-14T10:49:38"/>
    <d v="2026-10-14T04:49:35"/>
    <d v="2026-10-14T00:00:00"/>
    <s v=""/>
    <s v="CAJA"/>
    <n v="1"/>
    <s v="PENDIENTE APROBACION  ENVIO TMS"/>
    <s v="000000001209670337"/>
    <x v="1"/>
    <x v="1"/>
    <m/>
    <n v="1"/>
    <m/>
  </r>
  <r>
    <n v="1209670339"/>
    <s v="58"/>
    <x v="30"/>
    <d v="2026-10-14T10:49:39"/>
    <d v="2026-10-14T04:49:36"/>
    <d v="2026-10-14T00:00:00"/>
    <s v=""/>
    <s v="CAJA"/>
    <n v="13"/>
    <s v="PENDIENTE APROBACION  ENVIO TMS"/>
    <s v="000000001209670339"/>
    <x v="1"/>
    <x v="1"/>
    <m/>
    <n v="1"/>
    <m/>
  </r>
  <r>
    <n v="1209670318"/>
    <s v="56"/>
    <x v="83"/>
    <d v="2026-10-14T10:49:41"/>
    <d v="2026-10-14T04:49:39"/>
    <d v="2026-10-14T00:00:00"/>
    <s v=""/>
    <s v="CAJA"/>
    <n v="2"/>
    <s v="PENDIENTE APROBACION  ENVIO TMS"/>
    <s v="000000001209670318"/>
    <x v="1"/>
    <x v="1"/>
    <m/>
    <n v="1"/>
    <m/>
  </r>
  <r>
    <n v="8209670316"/>
    <s v="56"/>
    <x v="83"/>
    <d v="2026-10-14T10:49:41"/>
    <d v="2026-10-14T04:49:37"/>
    <d v="2026-10-14T00:00:00"/>
    <s v=""/>
    <s v="UNIDAD"/>
    <n v="1"/>
    <s v="PENDIENTE APROBACION  ENVIO TMS"/>
    <s v="000000008209670316"/>
    <x v="2"/>
    <x v="1"/>
    <m/>
    <n v="1"/>
    <m/>
  </r>
  <r>
    <n v="1209670320"/>
    <s v="56"/>
    <x v="83"/>
    <d v="2026-10-14T10:49:42"/>
    <d v="2026-10-14T04:49:40"/>
    <d v="2026-10-14T00:00:00"/>
    <s v=""/>
    <s v="CAJA"/>
    <n v="14"/>
    <s v="PENDIENTE APROBACION  ENVIO TMS"/>
    <s v="000000001209670320"/>
    <x v="1"/>
    <x v="1"/>
    <m/>
    <n v="1"/>
    <m/>
  </r>
  <r>
    <n v="1209670401"/>
    <s v="60"/>
    <x v="137"/>
    <d v="2026-10-14T10:49:44"/>
    <d v="2026-10-14T04:49:41"/>
    <d v="2026-10-14T00:00:00"/>
    <s v=""/>
    <s v="CAJA"/>
    <n v="3"/>
    <s v="PENDIENTE APROBACION  ENVIO TMS"/>
    <s v="000000001209670401"/>
    <x v="1"/>
    <x v="2"/>
    <m/>
    <n v="1"/>
    <m/>
  </r>
  <r>
    <n v="1209670446"/>
    <s v="61"/>
    <x v="77"/>
    <d v="2026-10-14T10:49:45"/>
    <d v="2026-10-14T04:49:42"/>
    <d v="2026-10-14T00:00:00"/>
    <s v=""/>
    <s v="CAJA"/>
    <n v="3"/>
    <s v="PENDIENTE APROBACION  ENVIO TMS"/>
    <s v="000000001209670446"/>
    <x v="1"/>
    <x v="0"/>
    <m/>
    <n v="1"/>
    <m/>
  </r>
  <r>
    <n v="1209670391"/>
    <s v="59"/>
    <x v="56"/>
    <d v="2026-10-14T10:49:46"/>
    <d v="2026-10-14T04:49:44"/>
    <d v="2026-10-14T00:00:00"/>
    <s v=""/>
    <s v="CAJA"/>
    <n v="40"/>
    <s v="PENDIENTE APROBACION  ENVIO TMS"/>
    <s v="000000001209670391"/>
    <x v="1"/>
    <x v="0"/>
    <m/>
    <n v="1"/>
    <m/>
  </r>
  <r>
    <n v="1209670407"/>
    <s v="60"/>
    <x v="137"/>
    <d v="2026-10-14T10:49:47"/>
    <d v="2026-10-14T04:49:45"/>
    <d v="2026-10-14T00:00:00"/>
    <s v=""/>
    <s v="CAJA"/>
    <n v="27"/>
    <s v="PENDIENTE APROBACION  ENVIO TMS"/>
    <s v="000000001209670407"/>
    <x v="1"/>
    <x v="2"/>
    <m/>
    <n v="1"/>
    <m/>
  </r>
  <r>
    <n v="8209670371"/>
    <s v="59"/>
    <x v="56"/>
    <d v="2026-10-14T10:49:49"/>
    <d v="2026-10-14T04:49:46"/>
    <d v="2026-10-14T00:00:00"/>
    <s v=""/>
    <s v="UNIDAD"/>
    <n v="27"/>
    <s v="PENDIENTE APROBACION  ENVIO TMS"/>
    <s v="000000008209670371"/>
    <x v="2"/>
    <x v="0"/>
    <m/>
    <n v="1"/>
    <m/>
  </r>
  <r>
    <n v="8209670445"/>
    <s v="61"/>
    <x v="77"/>
    <d v="2026-10-14T10:49:50"/>
    <d v="2026-10-14T04:49:47"/>
    <d v="2026-10-14T00:00:00"/>
    <s v=""/>
    <s v="UNIDAD"/>
    <n v="3"/>
    <s v="PENDIENTE APROBACION  ENVIO TMS"/>
    <s v="000000008209670445"/>
    <x v="2"/>
    <x v="0"/>
    <m/>
    <n v="1"/>
    <m/>
  </r>
  <r>
    <n v="1209670309"/>
    <s v="56"/>
    <x v="83"/>
    <d v="2026-10-14T10:49:51"/>
    <d v="2026-10-14T04:49:49"/>
    <d v="2026-10-14T00:00:00"/>
    <s v=""/>
    <s v="CAJA"/>
    <n v="6"/>
    <s v="PENDIENTE APROBACION  ENVIO TMS"/>
    <s v="000000001209670309"/>
    <x v="1"/>
    <x v="1"/>
    <m/>
    <n v="1"/>
    <m/>
  </r>
  <r>
    <n v="8209670332"/>
    <s v="58"/>
    <x v="30"/>
    <d v="2026-10-14T10:49:52"/>
    <d v="2026-10-14T04:49:50"/>
    <d v="2026-10-14T00:00:00"/>
    <s v=""/>
    <s v="UNIDAD"/>
    <n v="6"/>
    <s v="PENDIENTE APROBACION  ENVIO TMS"/>
    <s v="000000008209670332"/>
    <x v="2"/>
    <x v="1"/>
    <m/>
    <n v="1"/>
    <m/>
  </r>
  <r>
    <n v="8209670334"/>
    <s v="58"/>
    <x v="30"/>
    <d v="2026-10-14T10:49:53"/>
    <d v="2026-10-14T04:49:51"/>
    <d v="2026-10-14T00:00:00"/>
    <s v=""/>
    <s v="UNIDAD"/>
    <n v="22"/>
    <s v="PENDIENTE APROBACION  ENVIO TMS"/>
    <s v="000000008209670334"/>
    <x v="2"/>
    <x v="1"/>
    <m/>
    <n v="1"/>
    <m/>
  </r>
  <r>
    <n v="1209670347"/>
    <s v="58"/>
    <x v="30"/>
    <d v="2026-10-14T10:49:55"/>
    <d v="2026-10-14T04:49:52"/>
    <d v="2026-10-14T00:00:00"/>
    <s v=""/>
    <s v="PACK"/>
    <n v="35"/>
    <s v="PENDIENTE APROBACION  ENVIO TMS"/>
    <s v="000000001209670347"/>
    <x v="1"/>
    <x v="1"/>
    <m/>
    <n v="1"/>
    <m/>
  </r>
  <r>
    <n v="8209670335"/>
    <s v="58"/>
    <x v="30"/>
    <d v="2026-10-14T10:49:56"/>
    <d v="2026-10-14T04:49:53"/>
    <d v="2026-10-14T00:00:00"/>
    <s v=""/>
    <s v="UNIDAD"/>
    <n v="10"/>
    <s v="PENDIENTE APROBACION  ENVIO TMS"/>
    <s v="000000008209670335"/>
    <x v="2"/>
    <x v="1"/>
    <m/>
    <n v="1"/>
    <m/>
  </r>
  <r>
    <n v="1209670338"/>
    <s v="58"/>
    <x v="30"/>
    <d v="2026-10-14T10:49:57"/>
    <d v="2026-10-14T04:49:55"/>
    <d v="2026-10-14T00:00:00"/>
    <s v=""/>
    <s v="CAJA"/>
    <n v="8"/>
    <s v="PENDIENTE APROBACION  ENVIO TMS"/>
    <s v="000000001209670338"/>
    <x v="1"/>
    <x v="1"/>
    <m/>
    <n v="1"/>
    <m/>
  </r>
  <r>
    <n v="1209670436"/>
    <s v="61"/>
    <x v="77"/>
    <d v="2026-10-14T10:49:58"/>
    <d v="2026-10-14T04:49:56"/>
    <d v="2026-10-14T00:00:00"/>
    <s v=""/>
    <s v="CAJA"/>
    <n v="6"/>
    <s v="PENDIENTE APROBACION  ENVIO TMS"/>
    <s v="000000001209670436"/>
    <x v="1"/>
    <x v="0"/>
    <m/>
    <n v="1"/>
    <m/>
  </r>
  <r>
    <n v="1209670448"/>
    <s v="61"/>
    <x v="77"/>
    <d v="2026-10-14T10:49:59"/>
    <d v="2026-10-14T04:49:57"/>
    <d v="2026-10-14T00:00:00"/>
    <s v=""/>
    <s v="CAJA"/>
    <n v="14"/>
    <s v="PENDIENTE APROBACION  ENVIO TMS"/>
    <s v="000000001209670448"/>
    <x v="1"/>
    <x v="0"/>
    <m/>
    <n v="1"/>
    <m/>
  </r>
  <r>
    <n v="8209670430"/>
    <s v="61"/>
    <x v="77"/>
    <d v="2026-10-14T10:50:01"/>
    <d v="2026-10-14T04:49:58"/>
    <d v="2026-10-14T00:00:00"/>
    <s v=""/>
    <s v="UNIDAD"/>
    <n v="4"/>
    <s v="PENDIENTE APROBACION  ENVIO TMS"/>
    <s v="000000008209670430"/>
    <x v="2"/>
    <x v="0"/>
    <m/>
    <n v="1"/>
    <m/>
  </r>
  <r>
    <n v="8209670398"/>
    <s v="60"/>
    <x v="137"/>
    <d v="2026-10-14T10:50:02"/>
    <d v="2026-10-14T04:49:59"/>
    <d v="2026-10-14T00:00:00"/>
    <s v=""/>
    <s v="UNIDAD"/>
    <n v="15"/>
    <s v="PENDIENTE APROBACION  ENVIO TMS"/>
    <s v="000000008209670398"/>
    <x v="2"/>
    <x v="2"/>
    <m/>
    <n v="1"/>
    <m/>
  </r>
  <r>
    <n v="1209670452"/>
    <s v="61"/>
    <x v="77"/>
    <d v="2026-10-14T10:50:03"/>
    <d v="2026-10-14T04:50:01"/>
    <d v="2026-10-14T00:00:00"/>
    <s v=""/>
    <s v="PACK"/>
    <n v="29"/>
    <s v="PENDIENTE APROBACION  ENVIO TMS"/>
    <s v="000000001209670452"/>
    <x v="1"/>
    <x v="0"/>
    <m/>
    <n v="1"/>
    <m/>
  </r>
  <r>
    <n v="1209670311"/>
    <s v="56"/>
    <x v="83"/>
    <d v="2026-10-14T10:50:04"/>
    <d v="2026-10-14T04:50:02"/>
    <d v="2026-10-14T00:00:00"/>
    <s v=""/>
    <s v="CAJA"/>
    <n v="17"/>
    <s v="PENDIENTE APROBACION  ENVIO TMS"/>
    <s v="000000001209670311"/>
    <x v="1"/>
    <x v="1"/>
    <m/>
    <n v="1"/>
    <m/>
  </r>
  <r>
    <n v="1209670342"/>
    <s v="58"/>
    <x v="30"/>
    <d v="2026-10-14T10:50:06"/>
    <d v="2026-10-14T04:50:03"/>
    <d v="2026-10-14T00:00:00"/>
    <s v=""/>
    <s v="PACK"/>
    <n v="28"/>
    <s v="PENDIENTE APROBACION  ENVIO TMS"/>
    <s v="000000001209670342"/>
    <x v="1"/>
    <x v="1"/>
    <m/>
    <n v="1"/>
    <m/>
  </r>
  <r>
    <n v="1209670343"/>
    <s v="58"/>
    <x v="30"/>
    <d v="2026-10-14T10:50:07"/>
    <d v="2026-10-14T04:50:04"/>
    <d v="2026-10-14T00:00:00"/>
    <s v=""/>
    <s v="CAJA"/>
    <n v="20"/>
    <s v="PENDIENTE APROBACION  ENVIO TMS"/>
    <s v="000000001209670343"/>
    <x v="1"/>
    <x v="1"/>
    <m/>
    <n v="1"/>
    <m/>
  </r>
  <r>
    <n v="1209670345"/>
    <s v="58"/>
    <x v="30"/>
    <d v="2026-10-14T10:50:08"/>
    <d v="2026-10-14T04:50:06"/>
    <d v="2026-10-14T00:00:00"/>
    <s v=""/>
    <s v="CAJA"/>
    <n v="33"/>
    <s v="PENDIENTE APROBACION  ENVIO TMS"/>
    <s v="000000001209670345"/>
    <x v="1"/>
    <x v="1"/>
    <m/>
    <n v="1"/>
    <m/>
  </r>
  <r>
    <n v="1209670346"/>
    <s v="58"/>
    <x v="30"/>
    <d v="2026-10-14T10:50:09"/>
    <d v="2026-10-14T04:50:07"/>
    <d v="2026-10-14T00:00:00"/>
    <s v=""/>
    <s v="CAJA"/>
    <n v="39"/>
    <s v="PENDIENTE APROBACION  ENVIO TMS"/>
    <s v="000000001209670346"/>
    <x v="1"/>
    <x v="1"/>
    <m/>
    <n v="1"/>
    <m/>
  </r>
  <r>
    <n v="1209670447"/>
    <s v="61"/>
    <x v="77"/>
    <d v="2026-10-14T10:50:11"/>
    <d v="2026-10-14T04:50:08"/>
    <d v="2026-10-14T00:00:00"/>
    <s v=""/>
    <s v="CAJA"/>
    <n v="14"/>
    <s v="PENDIENTE APROBACION  ENVIO TMS"/>
    <s v="000000001209670447"/>
    <x v="1"/>
    <x v="0"/>
    <m/>
    <n v="1"/>
    <m/>
  </r>
  <r>
    <n v="1209670381"/>
    <s v="59"/>
    <x v="56"/>
    <d v="2026-10-14T10:50:12"/>
    <d v="2026-10-14T04:50:09"/>
    <d v="2026-10-14T00:00:00"/>
    <s v=""/>
    <s v="PACK"/>
    <n v="33"/>
    <s v="PENDIENTE APROBACION  ENVIO TMS"/>
    <s v="000000001209670381"/>
    <x v="1"/>
    <x v="0"/>
    <m/>
    <n v="1"/>
    <m/>
  </r>
  <r>
    <n v="8209670368"/>
    <s v="59"/>
    <x v="56"/>
    <d v="2026-10-14T10:50:13"/>
    <d v="2026-10-14T04:50:11"/>
    <d v="2026-10-14T00:00:00"/>
    <s v=""/>
    <s v="UNIDAD"/>
    <n v="22"/>
    <s v="PENDIENTE APROBACION  ENVIO TMS"/>
    <s v="000000008209670368"/>
    <x v="2"/>
    <x v="0"/>
    <m/>
    <n v="1"/>
    <m/>
  </r>
  <r>
    <n v="8209670370"/>
    <s v="59"/>
    <x v="56"/>
    <d v="2026-10-14T10:50:15"/>
    <d v="2026-10-14T04:50:12"/>
    <d v="2026-10-14T00:00:00"/>
    <s v=""/>
    <s v="UNIDAD"/>
    <n v="6"/>
    <s v="PENDIENTE APROBACION  ENVIO TMS"/>
    <s v="000000008209670370"/>
    <x v="2"/>
    <x v="0"/>
    <m/>
    <n v="1"/>
    <m/>
  </r>
  <r>
    <n v="8209670428"/>
    <s v="61"/>
    <x v="77"/>
    <d v="2026-10-14T10:50:15"/>
    <d v="2026-10-14T04:50:13"/>
    <d v="2026-10-14T00:00:00"/>
    <s v=""/>
    <s v="UNIDAD"/>
    <n v="1"/>
    <s v="PENDIENTE APROBACION  ENVIO TMS"/>
    <s v="000000008209670428"/>
    <x v="2"/>
    <x v="0"/>
    <m/>
    <n v="1"/>
    <m/>
  </r>
  <r>
    <n v="1209670372"/>
    <s v="59"/>
    <x v="56"/>
    <d v="2026-10-14T10:50:17"/>
    <d v="2026-10-14T04:50:14"/>
    <d v="2026-10-14T00:00:00"/>
    <s v=""/>
    <s v="CAJA"/>
    <n v="13"/>
    <s v="PENDIENTE APROBACION  ENVIO TMS"/>
    <s v="000000001209670372"/>
    <x v="1"/>
    <x v="0"/>
    <m/>
    <n v="1"/>
    <m/>
  </r>
  <r>
    <n v="1209670410"/>
    <s v="60"/>
    <x v="137"/>
    <d v="2026-10-14T10:50:18"/>
    <d v="2026-10-14T04:50:15"/>
    <d v="2026-10-14T00:00:00"/>
    <s v=""/>
    <s v="PACK"/>
    <n v="33"/>
    <s v="PENDIENTE APROBACION  ENVIO TMS"/>
    <s v="000000001209670410"/>
    <x v="1"/>
    <x v="2"/>
    <m/>
    <n v="1"/>
    <m/>
  </r>
  <r>
    <n v="8209670431"/>
    <s v="61"/>
    <x v="77"/>
    <d v="2026-10-14T10:50:20"/>
    <d v="2026-10-14T04:50:18"/>
    <d v="2026-10-14T00:00:00"/>
    <s v=""/>
    <s v="UNIDAD"/>
    <n v="12"/>
    <s v="PENDIENTE APROBACION  ENVIO TMS"/>
    <s v="000000008209670431"/>
    <x v="2"/>
    <x v="0"/>
    <m/>
    <n v="1"/>
    <m/>
  </r>
  <r>
    <n v="8209670443"/>
    <s v="61"/>
    <x v="77"/>
    <d v="2026-10-14T10:50:20"/>
    <d v="2026-10-14T04:50:17"/>
    <d v="2026-10-14T00:00:00"/>
    <s v=""/>
    <s v="UNIDAD"/>
    <n v="1"/>
    <s v="PENDIENTE APROBACION  ENVIO TMS"/>
    <s v="000000008209670443"/>
    <x v="2"/>
    <x v="0"/>
    <m/>
    <n v="1"/>
    <m/>
  </r>
  <r>
    <n v="1209670400"/>
    <s v="60"/>
    <x v="137"/>
    <d v="2026-10-14T10:50:22"/>
    <d v="2026-10-14T04:50:19"/>
    <d v="2026-10-14T00:00:00"/>
    <s v=""/>
    <s v="CAJA"/>
    <n v="1"/>
    <s v="PENDIENTE APROBACION  ENVIO TMS"/>
    <s v="000000001209670400"/>
    <x v="1"/>
    <x v="2"/>
    <m/>
    <n v="1"/>
    <m/>
  </r>
  <r>
    <n v="1209670435"/>
    <s v="61"/>
    <x v="77"/>
    <d v="2026-10-14T10:50:23"/>
    <d v="2026-10-14T04:50:21"/>
    <d v="2026-10-14T00:00:00"/>
    <s v=""/>
    <s v="CAJA"/>
    <n v="9"/>
    <s v="PENDIENTE APROBACION  ENVIO TMS"/>
    <s v="000000001209670435"/>
    <x v="1"/>
    <x v="0"/>
    <m/>
    <n v="1"/>
    <m/>
  </r>
  <r>
    <n v="8209670305"/>
    <s v="56"/>
    <x v="83"/>
    <d v="2026-10-14T10:50:25"/>
    <d v="2026-10-14T04:50:22"/>
    <d v="2026-10-14T00:00:00"/>
    <s v=""/>
    <s v="UNIDAD"/>
    <n v="4"/>
    <s v="PENDIENTE APROBACION  ENVIO TMS"/>
    <s v="000000008209670305"/>
    <x v="2"/>
    <x v="1"/>
    <m/>
    <n v="1"/>
    <m/>
  </r>
  <r>
    <n v="1209670307"/>
    <s v="56"/>
    <x v="83"/>
    <d v="2026-10-14T10:50:26"/>
    <d v="2026-10-14T04:50:23"/>
    <d v="2026-10-14T00:00:00"/>
    <s v=""/>
    <s v="PACK"/>
    <n v="6"/>
    <s v="PENDIENTE APROBACION  ENVIO TMS"/>
    <s v="000000001209670307"/>
    <x v="1"/>
    <x v="1"/>
    <m/>
    <n v="1"/>
    <m/>
  </r>
  <r>
    <n v="8209670336"/>
    <s v="58"/>
    <x v="30"/>
    <d v="2026-10-14T10:50:26"/>
    <d v="2026-10-14T04:50:24"/>
    <d v="2026-10-14T00:00:00"/>
    <s v=""/>
    <s v="UNIDAD"/>
    <n v="2"/>
    <s v="PENDIENTE APROBACION  ENVIO TMS"/>
    <s v="000000008209670336"/>
    <x v="2"/>
    <x v="1"/>
    <m/>
    <n v="1"/>
    <m/>
  </r>
  <r>
    <n v="1209670353"/>
    <s v="58"/>
    <x v="30"/>
    <d v="2026-10-14T10:50:28"/>
    <d v="2026-10-14T04:50:25"/>
    <d v="2026-10-14T00:00:00"/>
    <s v=""/>
    <s v="CAJA"/>
    <n v="4"/>
    <s v="PENDIENTE APROBACION  ENVIO TMS"/>
    <s v="000000001209670353"/>
    <x v="1"/>
    <x v="1"/>
    <m/>
    <n v="1"/>
    <m/>
  </r>
  <r>
    <n v="1209670321"/>
    <s v="56"/>
    <x v="83"/>
    <d v="2026-10-14T10:50:30"/>
    <d v="2026-10-14T04:50:27"/>
    <d v="2026-10-14T00:00:00"/>
    <s v=""/>
    <s v="CAJA"/>
    <n v="17"/>
    <s v="PENDIENTE APROBACION  ENVIO TMS"/>
    <s v="000000001209670321"/>
    <x v="1"/>
    <x v="1"/>
    <m/>
    <n v="1"/>
    <m/>
  </r>
  <r>
    <n v="8209670331"/>
    <s v="58"/>
    <x v="30"/>
    <d v="2026-10-14T10:50:31"/>
    <d v="2026-10-14T04:50:29"/>
    <d v="2026-10-14T00:00:00"/>
    <s v=""/>
    <s v="UNIDAD"/>
    <n v="6"/>
    <s v="PENDIENTE APROBACION  ENVIO TMS"/>
    <s v="000000008209670331"/>
    <x v="2"/>
    <x v="1"/>
    <m/>
    <n v="1"/>
    <m/>
  </r>
  <r>
    <n v="1209670402"/>
    <s v="60"/>
    <x v="137"/>
    <d v="2026-10-14T10:50:33"/>
    <d v="2026-10-14T04:50:30"/>
    <d v="2026-10-14T00:00:00"/>
    <s v=""/>
    <s v="CAJA"/>
    <n v="8"/>
    <s v="PENDIENTE APROBACION  ENVIO TMS"/>
    <s v="000000001209670402"/>
    <x v="1"/>
    <x v="2"/>
    <m/>
    <n v="1"/>
    <m/>
  </r>
  <r>
    <n v="1209670380"/>
    <s v="59"/>
    <x v="56"/>
    <d v="2026-10-14T10:50:35"/>
    <d v="2026-10-14T04:50:32"/>
    <d v="2026-10-14T00:00:00"/>
    <s v=""/>
    <s v="CAJA"/>
    <n v="3"/>
    <s v="PENDIENTE APROBACION  ENVIO TMS"/>
    <s v="000000001209670380"/>
    <x v="1"/>
    <x v="0"/>
    <m/>
    <n v="1"/>
    <m/>
  </r>
  <r>
    <n v="8209670383"/>
    <s v="59"/>
    <x v="56"/>
    <d v="2026-10-14T10:50:37"/>
    <d v="2026-10-14T04:50:34"/>
    <d v="2026-10-14T00:00:00"/>
    <s v=""/>
    <s v="UNIDAD"/>
    <n v="30"/>
    <s v="PENDIENTE APROBACION  ENVIO TMS"/>
    <s v="000000008209670383"/>
    <x v="2"/>
    <x v="0"/>
    <m/>
    <n v="1"/>
    <m/>
  </r>
  <r>
    <n v="8209670444"/>
    <s v="61"/>
    <x v="77"/>
    <d v="2026-10-14T10:50:37"/>
    <d v="2026-10-14T04:50:35"/>
    <d v="2026-10-14T00:00:00"/>
    <s v=""/>
    <s v="UNIDAD"/>
    <n v="7"/>
    <s v="PENDIENTE APROBACION  ENVIO TMS"/>
    <s v="000000008209670444"/>
    <x v="2"/>
    <x v="0"/>
    <m/>
    <n v="1"/>
    <m/>
  </r>
  <r>
    <n v="1209670411"/>
    <s v="60"/>
    <x v="137"/>
    <d v="2026-10-14T10:50:39"/>
    <d v="2026-10-14T04:50:36"/>
    <d v="2026-10-14T00:00:00"/>
    <s v=""/>
    <s v="CAJA"/>
    <n v="2"/>
    <s v="PENDIENTE APROBACION  ENVIO TMS"/>
    <s v="000000001209670411"/>
    <x v="1"/>
    <x v="2"/>
    <m/>
    <n v="1"/>
    <m/>
  </r>
  <r>
    <n v="1209670376"/>
    <s v="59"/>
    <x v="56"/>
    <d v="2026-10-14T10:50:40"/>
    <d v="2026-10-14T04:50:38"/>
    <d v="2026-10-14T00:00:00"/>
    <s v=""/>
    <s v="PACK"/>
    <n v="21"/>
    <s v="PENDIENTE APROBACION  ENVIO TMS"/>
    <s v="000000001209670376"/>
    <x v="1"/>
    <x v="0"/>
    <m/>
    <n v="1"/>
    <m/>
  </r>
  <r>
    <n v="8209670399"/>
    <s v="60"/>
    <x v="137"/>
    <d v="2026-10-14T10:50:42"/>
    <d v="2026-10-14T04:50:40"/>
    <d v="2026-10-14T00:00:00"/>
    <s v=""/>
    <s v="UNIDAD"/>
    <n v="4"/>
    <s v="PENDIENTE APROBACION  ENVIO TMS"/>
    <s v="000000008209670399"/>
    <x v="2"/>
    <x v="2"/>
    <m/>
    <n v="1"/>
    <m/>
  </r>
  <r>
    <n v="1209670385"/>
    <s v="59"/>
    <x v="56"/>
    <d v="2026-10-14T10:50:42"/>
    <d v="2026-10-14T04:50:39"/>
    <d v="2026-10-14T00:00:00"/>
    <s v=""/>
    <s v="CAJA"/>
    <n v="8"/>
    <s v="PENDIENTE APROBACION  ENVIO TMS"/>
    <s v="000000001209670385"/>
    <x v="1"/>
    <x v="0"/>
    <m/>
    <n v="1"/>
    <m/>
  </r>
  <r>
    <n v="1209670341"/>
    <s v="58"/>
    <x v="30"/>
    <d v="2026-10-14T10:50:43"/>
    <d v="2026-10-14T04:50:41"/>
    <d v="2026-10-14T00:00:00"/>
    <s v=""/>
    <s v="CAJA"/>
    <n v="10"/>
    <s v="PENDIENTE APROBACION  ENVIO TMS"/>
    <s v="000000001209670341"/>
    <x v="1"/>
    <x v="1"/>
    <m/>
    <n v="1"/>
    <m/>
  </r>
  <r>
    <n v="1209670377"/>
    <s v="59"/>
    <x v="56"/>
    <d v="2026-10-14T10:50:45"/>
    <d v="2026-10-14T04:50:42"/>
    <d v="2026-10-14T00:00:00"/>
    <s v=""/>
    <s v="PACK"/>
    <n v="38"/>
    <s v="PENDIENTE APROBACION  ENVIO TMS"/>
    <s v="000000001209670377"/>
    <x v="1"/>
    <x v="0"/>
    <m/>
    <n v="1"/>
    <m/>
  </r>
  <r>
    <n v="1209670403"/>
    <s v="60"/>
    <x v="137"/>
    <d v="2026-10-14T10:50:46"/>
    <d v="2026-10-14T04:50:44"/>
    <d v="2026-10-14T00:00:00"/>
    <s v=""/>
    <s v="CAJA"/>
    <n v="16"/>
    <s v="PENDIENTE APROBACION  ENVIO TMS"/>
    <s v="000000001209670403"/>
    <x v="1"/>
    <x v="2"/>
    <m/>
    <n v="1"/>
    <m/>
  </r>
  <r>
    <n v="1209670406"/>
    <s v="60"/>
    <x v="137"/>
    <d v="2026-10-14T10:50:48"/>
    <d v="2026-10-14T04:50:46"/>
    <d v="2026-10-14T00:00:00"/>
    <s v=""/>
    <s v="PACK"/>
    <n v="35"/>
    <s v="PENDIENTE APROBACION  ENVIO TMS"/>
    <s v="000000001209670406"/>
    <x v="1"/>
    <x v="2"/>
    <m/>
    <n v="1"/>
    <m/>
  </r>
  <r>
    <n v="1209670449"/>
    <s v="61"/>
    <x v="77"/>
    <d v="2026-10-14T10:50:48"/>
    <d v="2026-10-14T04:50:45"/>
    <d v="2026-10-14T00:00:00"/>
    <s v=""/>
    <s v="CAJA"/>
    <n v="13"/>
    <s v="PENDIENTE APROBACION  ENVIO TMS"/>
    <s v="000000001209670449"/>
    <x v="1"/>
    <x v="0"/>
    <m/>
    <n v="1"/>
    <m/>
  </r>
  <r>
    <n v="8209670382"/>
    <s v="59"/>
    <x v="56"/>
    <d v="2026-10-14T10:50:50"/>
    <d v="2026-10-14T04:50:47"/>
    <d v="2026-10-14T00:00:00"/>
    <s v=""/>
    <s v="UNIDAD"/>
    <n v="4"/>
    <s v="PENDIENTE APROBACION  ENVIO TMS"/>
    <s v="000000008209670382"/>
    <x v="2"/>
    <x v="0"/>
    <m/>
    <n v="1"/>
    <m/>
  </r>
  <r>
    <n v="1209670375"/>
    <s v="59"/>
    <x v="56"/>
    <d v="2026-10-14T10:50:51"/>
    <d v="2026-10-14T04:50:49"/>
    <d v="2026-10-14T00:00:00"/>
    <s v=""/>
    <s v="CAJA"/>
    <n v="15"/>
    <s v="PENDIENTE APROBACION  ENVIO TMS"/>
    <s v="000000001209670375"/>
    <x v="1"/>
    <x v="0"/>
    <m/>
    <n v="1"/>
    <m/>
  </r>
  <r>
    <n v="1209670433"/>
    <s v="61"/>
    <x v="77"/>
    <d v="2026-10-14T10:50:53"/>
    <d v="2026-10-14T04:50:50"/>
    <d v="2026-10-14T00:00:00"/>
    <s v=""/>
    <s v="CAJA"/>
    <n v="2"/>
    <s v="PENDIENTE APROBACION  ENVIO TMS"/>
    <s v="000000001209670433"/>
    <x v="1"/>
    <x v="0"/>
    <m/>
    <n v="1"/>
    <m/>
  </r>
  <r>
    <n v="1209670386"/>
    <s v="59"/>
    <x v="56"/>
    <d v="2026-10-14T10:50:54"/>
    <d v="2026-10-14T04:50:51"/>
    <d v="2026-10-14T00:00:00"/>
    <s v=""/>
    <s v="PACK"/>
    <n v="8"/>
    <s v="PENDIENTE APROBACION  ENVIO TMS"/>
    <s v="000000001209670386"/>
    <x v="1"/>
    <x v="0"/>
    <m/>
    <n v="1"/>
    <m/>
  </r>
  <r>
    <n v="8209670464"/>
    <s v="62"/>
    <x v="58"/>
    <d v="2026-10-14T10:54:12"/>
    <d v="2026-10-14T04:54:09"/>
    <d v="2026-10-14T00:00:00"/>
    <s v=""/>
    <s v="UNIDAD"/>
    <n v="3"/>
    <s v="PENDIENTE APROBACION  ENVIO TMS"/>
    <s v="000000008209670464"/>
    <x v="2"/>
    <x v="3"/>
    <m/>
    <n v="1"/>
    <m/>
  </r>
  <r>
    <n v="8209670465"/>
    <s v="62"/>
    <x v="58"/>
    <d v="2026-10-14T10:54:13"/>
    <d v="2026-10-14T04:54:10"/>
    <d v="2026-10-14T00:00:00"/>
    <s v=""/>
    <s v="UNIDAD"/>
    <n v="8"/>
    <s v="PENDIENTE APROBACION  ENVIO TMS"/>
    <s v="000000008209670465"/>
    <x v="2"/>
    <x v="3"/>
    <m/>
    <n v="1"/>
    <m/>
  </r>
  <r>
    <n v="1209670545"/>
    <s v="64"/>
    <x v="15"/>
    <d v="2026-10-14T10:54:15"/>
    <d v="2026-10-14T04:54:12"/>
    <d v="2026-10-14T00:00:00"/>
    <s v=""/>
    <s v="CAJA"/>
    <n v="29"/>
    <s v="PENDIENTE APROBACION  ENVIO TMS"/>
    <s v="000000001209670545"/>
    <x v="1"/>
    <x v="2"/>
    <m/>
    <n v="1"/>
    <m/>
  </r>
  <r>
    <n v="1209670501"/>
    <s v="63"/>
    <x v="120"/>
    <d v="2026-10-14T10:54:15"/>
    <d v="2026-10-14T04:54:13"/>
    <d v="2026-10-14T00:00:00"/>
    <s v=""/>
    <s v="PACK"/>
    <n v="11"/>
    <s v="PENDIENTE APROBACION  ENVIO TMS"/>
    <s v="000000001209670501"/>
    <x v="1"/>
    <x v="0"/>
    <m/>
    <n v="1"/>
    <m/>
  </r>
  <r>
    <n v="1209670503"/>
    <s v="63"/>
    <x v="120"/>
    <d v="2026-10-14T10:54:18"/>
    <d v="2026-10-14T04:54:15"/>
    <d v="2026-10-14T00:00:00"/>
    <s v=""/>
    <s v="UNIDAD"/>
    <n v="29"/>
    <s v="PENDIENTE APROBACION  ENVIO TMS"/>
    <s v="000000001209670503"/>
    <x v="1"/>
    <x v="0"/>
    <m/>
    <n v="1"/>
    <m/>
  </r>
  <r>
    <n v="8209670579"/>
    <s v="66"/>
    <x v="5"/>
    <d v="2026-10-14T10:54:19"/>
    <d v="2026-10-14T04:54:16"/>
    <d v="2026-10-14T00:00:00"/>
    <s v=""/>
    <s v="UNIDAD"/>
    <n v="1"/>
    <s v="PENDIENTE APROBACION  ENVIO TMS"/>
    <s v="000000008209670579"/>
    <x v="2"/>
    <x v="2"/>
    <m/>
    <n v="1"/>
    <m/>
  </r>
  <r>
    <n v="1209670547"/>
    <s v="64"/>
    <x v="15"/>
    <d v="2026-10-14T10:54:21"/>
    <d v="2026-10-14T04:54:18"/>
    <d v="2026-10-14T00:00:00"/>
    <s v=""/>
    <s v="PACK"/>
    <n v="50"/>
    <s v="PENDIENTE APROBACION  ENVIO TMS"/>
    <s v="000000001209670547"/>
    <x v="1"/>
    <x v="2"/>
    <m/>
    <n v="1"/>
    <m/>
  </r>
  <r>
    <n v="1209670560"/>
    <s v="65"/>
    <x v="79"/>
    <d v="2026-10-14T10:54:21"/>
    <d v="2026-10-14T04:54:19"/>
    <d v="2026-10-14T00:00:00"/>
    <s v=""/>
    <s v="CAJA"/>
    <n v="1"/>
    <s v="PENDIENTE APROBACION  ENVIO TMS"/>
    <s v="000000001209670560"/>
    <x v="1"/>
    <x v="0"/>
    <m/>
    <n v="1"/>
    <m/>
  </r>
  <r>
    <n v="1209670498"/>
    <s v="63"/>
    <x v="120"/>
    <d v="2026-10-14T10:54:22"/>
    <d v="2026-10-14T04:54:20"/>
    <d v="2026-10-14T00:00:00"/>
    <s v=""/>
    <s v="PACK"/>
    <n v="8"/>
    <s v="PENDIENTE APROBACION  ENVIO TMS"/>
    <s v="000000001209670498"/>
    <x v="1"/>
    <x v="0"/>
    <m/>
    <n v="1"/>
    <m/>
  </r>
  <r>
    <n v="1209670534"/>
    <s v="64"/>
    <x v="15"/>
    <d v="2026-10-14T10:54:24"/>
    <d v="2026-10-14T04:54:21"/>
    <d v="2026-10-14T00:00:00"/>
    <s v=""/>
    <s v="CAJA"/>
    <n v="17"/>
    <s v="PENDIENTE APROBACION  ENVIO TMS"/>
    <s v="000000001209670534"/>
    <x v="1"/>
    <x v="2"/>
    <m/>
    <n v="1"/>
    <m/>
  </r>
  <r>
    <n v="1209670562"/>
    <s v="65"/>
    <x v="79"/>
    <d v="2026-10-14T10:54:25"/>
    <d v="2026-10-14T04:54:23"/>
    <d v="2026-10-14T00:00:00"/>
    <s v=""/>
    <s v="CAJA"/>
    <n v="9"/>
    <s v="PENDIENTE APROBACION  ENVIO TMS"/>
    <s v="000000001209670562"/>
    <x v="1"/>
    <x v="0"/>
    <m/>
    <n v="1"/>
    <m/>
  </r>
  <r>
    <n v="1209670509"/>
    <s v="63"/>
    <x v="120"/>
    <d v="2026-10-14T10:54:26"/>
    <d v="2026-10-14T04:54:24"/>
    <d v="2026-10-14T00:00:00"/>
    <s v=""/>
    <s v="CAJA"/>
    <n v="1"/>
    <s v="PENDIENTE APROBACION  ENVIO TMS"/>
    <s v="000000001209670509"/>
    <x v="1"/>
    <x v="0"/>
    <m/>
    <n v="1"/>
    <m/>
  </r>
  <r>
    <n v="8209670463"/>
    <s v="62"/>
    <x v="58"/>
    <d v="2026-10-14T10:54:27"/>
    <d v="2026-10-14T04:54:25"/>
    <d v="2026-10-14T00:00:00"/>
    <s v=""/>
    <s v="UNIDAD"/>
    <n v="6"/>
    <s v="PENDIENTE APROBACION  ENVIO TMS"/>
    <s v="000000008209670463"/>
    <x v="2"/>
    <x v="3"/>
    <m/>
    <n v="1"/>
    <m/>
  </r>
  <r>
    <n v="1209670597"/>
    <s v="66"/>
    <x v="5"/>
    <d v="2026-10-14T10:54:29"/>
    <d v="2026-10-14T04:54:26"/>
    <d v="2026-10-14T00:00:00"/>
    <s v=""/>
    <s v="PACK"/>
    <n v="52"/>
    <s v="PENDIENTE APROBACION  ENVIO TMS"/>
    <s v="000000001209670597"/>
    <x v="1"/>
    <x v="2"/>
    <m/>
    <n v="1"/>
    <m/>
  </r>
  <r>
    <n v="8209670524"/>
    <s v="64"/>
    <x v="15"/>
    <d v="2026-10-14T10:54:30"/>
    <d v="2026-10-14T04:54:28"/>
    <d v="2026-10-14T00:00:00"/>
    <s v=""/>
    <s v="UNIDAD"/>
    <n v="2"/>
    <s v="PENDIENTE APROBACION  ENVIO TMS"/>
    <s v="000000008209670524"/>
    <x v="2"/>
    <x v="2"/>
    <m/>
    <n v="1"/>
    <m/>
  </r>
  <r>
    <n v="1209670585"/>
    <s v="66"/>
    <x v="5"/>
    <d v="2026-10-14T10:54:32"/>
    <d v="2026-10-14T04:54:30"/>
    <d v="2026-10-14T00:00:00"/>
    <s v=""/>
    <s v="CAJA"/>
    <n v="2"/>
    <s v="PENDIENTE APROBACION  ENVIO TMS"/>
    <s v="000000001209670585"/>
    <x v="1"/>
    <x v="2"/>
    <m/>
    <n v="1"/>
    <m/>
  </r>
  <r>
    <n v="8209670582"/>
    <s v="66"/>
    <x v="5"/>
    <d v="2026-10-14T10:54:32"/>
    <d v="2026-10-14T04:54:29"/>
    <d v="2026-10-14T00:00:00"/>
    <s v=""/>
    <s v="UNIDAD"/>
    <n v="18"/>
    <s v="PENDIENTE APROBACION  ENVIO TMS"/>
    <s v="000000008209670582"/>
    <x v="2"/>
    <x v="2"/>
    <m/>
    <n v="1"/>
    <m/>
  </r>
  <r>
    <n v="1209670473"/>
    <s v="62"/>
    <x v="58"/>
    <d v="2026-10-14T10:54:34"/>
    <d v="2026-10-14T04:54:32"/>
    <d v="2026-10-14T00:00:00"/>
    <s v=""/>
    <s v="PACK"/>
    <n v="31"/>
    <s v="PENDIENTE APROBACION  ENVIO TMS"/>
    <s v="000000001209670473"/>
    <x v="1"/>
    <x v="3"/>
    <m/>
    <n v="1"/>
    <m/>
  </r>
  <r>
    <n v="1209670569"/>
    <s v="65"/>
    <x v="79"/>
    <d v="2026-10-14T10:54:36"/>
    <d v="2026-10-14T04:54:33"/>
    <d v="2026-10-14T00:00:00"/>
    <s v=""/>
    <s v="PACK"/>
    <n v="44"/>
    <s v="PENDIENTE APROBACION  ENVIO TMS"/>
    <s v="000000001209670569"/>
    <x v="1"/>
    <x v="0"/>
    <m/>
    <n v="1"/>
    <m/>
  </r>
  <r>
    <n v="8209670555"/>
    <s v="65"/>
    <x v="79"/>
    <d v="2026-10-14T10:54:37"/>
    <d v="2026-10-14T04:54:35"/>
    <d v="2026-10-14T00:00:00"/>
    <s v=""/>
    <s v="UNIDAD"/>
    <n v="1"/>
    <s v="PENDIENTE APROBACION  ENVIO TMS"/>
    <s v="000000008209670555"/>
    <x v="2"/>
    <x v="0"/>
    <m/>
    <n v="1"/>
    <m/>
  </r>
  <r>
    <n v="8209670557"/>
    <s v="65"/>
    <x v="79"/>
    <d v="2026-10-14T10:54:39"/>
    <d v="2026-10-14T04:54:37"/>
    <d v="2026-10-14T00:00:00"/>
    <s v=""/>
    <s v="UNIDAD"/>
    <n v="6"/>
    <s v="PENDIENTE APROBACION  ENVIO TMS"/>
    <s v="000000008209670557"/>
    <x v="2"/>
    <x v="0"/>
    <m/>
    <n v="1"/>
    <m/>
  </r>
  <r>
    <n v="1209670595"/>
    <s v="66"/>
    <x v="5"/>
    <d v="2026-10-14T10:54:40"/>
    <d v="2026-10-14T04:54:38"/>
    <d v="2026-10-14T00:00:00"/>
    <s v=""/>
    <s v="UNIDAD"/>
    <n v="38"/>
    <s v="PENDIENTE APROBACION  ENVIO TMS"/>
    <s v="000000001209670595"/>
    <x v="1"/>
    <x v="2"/>
    <m/>
    <n v="1"/>
    <m/>
  </r>
  <r>
    <n v="8209670462"/>
    <s v="62"/>
    <x v="58"/>
    <d v="2026-10-14T10:54:42"/>
    <d v="2026-10-14T04:54:39"/>
    <d v="2026-10-14T00:00:00"/>
    <s v=""/>
    <s v="UNIDAD"/>
    <n v="10"/>
    <s v="PENDIENTE APROBACION  ENVIO TMS"/>
    <s v="000000008209670462"/>
    <x v="2"/>
    <x v="3"/>
    <m/>
    <n v="1"/>
    <m/>
  </r>
  <r>
    <n v="1209670471"/>
    <s v="62"/>
    <x v="58"/>
    <d v="2026-10-14T10:54:43"/>
    <d v="2026-10-14T04:54:40"/>
    <d v="2026-10-14T00:00:00"/>
    <s v=""/>
    <s v="PACK"/>
    <n v="14"/>
    <s v="PENDIENTE APROBACION  ENVIO TMS"/>
    <s v="000000001209670471"/>
    <x v="1"/>
    <x v="3"/>
    <m/>
    <n v="1"/>
    <m/>
  </r>
  <r>
    <n v="8209670580"/>
    <s v="66"/>
    <x v="5"/>
    <d v="2026-10-14T10:54:44"/>
    <d v="2026-10-14T04:54:42"/>
    <d v="2026-10-14T00:00:00"/>
    <s v=""/>
    <s v="UNIDAD"/>
    <n v="3"/>
    <s v="PENDIENTE APROBACION  ENVIO TMS"/>
    <s v="000000008209670580"/>
    <x v="2"/>
    <x v="2"/>
    <m/>
    <n v="1"/>
    <m/>
  </r>
  <r>
    <n v="8209670530"/>
    <s v="64"/>
    <x v="15"/>
    <d v="2026-10-14T10:54:45"/>
    <d v="2026-10-14T04:54:43"/>
    <d v="2026-10-14T00:00:00"/>
    <s v=""/>
    <s v="UNIDAD"/>
    <n v="37"/>
    <s v="PENDIENTE APROBACION  ENVIO TMS"/>
    <s v="000000008209670530"/>
    <x v="2"/>
    <x v="2"/>
    <m/>
    <n v="1"/>
    <m/>
  </r>
  <r>
    <n v="1209670505"/>
    <s v="63"/>
    <x v="120"/>
    <d v="2026-10-14T10:54:47"/>
    <d v="2026-10-14T04:54:44"/>
    <d v="2026-10-14T00:00:00"/>
    <s v=""/>
    <s v="CAJA"/>
    <n v="22"/>
    <s v="PENDIENTE APROBACION  ENVIO TMS"/>
    <s v="000000001209670505"/>
    <x v="1"/>
    <x v="0"/>
    <m/>
    <n v="1"/>
    <m/>
  </r>
  <r>
    <n v="1209670563"/>
    <s v="65"/>
    <x v="79"/>
    <d v="2026-10-14T10:54:48"/>
    <d v="2026-10-14T04:54:45"/>
    <d v="2026-10-14T00:00:00"/>
    <s v=""/>
    <s v="CAJA"/>
    <n v="11"/>
    <s v="PENDIENTE APROBACION  ENVIO TMS"/>
    <s v="000000001209670563"/>
    <x v="1"/>
    <x v="0"/>
    <m/>
    <n v="1"/>
    <m/>
  </r>
  <r>
    <n v="1209670564"/>
    <s v="65"/>
    <x v="79"/>
    <d v="2026-10-14T10:54:49"/>
    <d v="2026-10-14T04:54:47"/>
    <d v="2026-10-14T00:00:00"/>
    <s v=""/>
    <s v="CAJA"/>
    <n v="18"/>
    <s v="PENDIENTE APROBACION  ENVIO TMS"/>
    <s v="000000001209670564"/>
    <x v="1"/>
    <x v="0"/>
    <m/>
    <n v="1"/>
    <m/>
  </r>
  <r>
    <n v="1209670510"/>
    <s v="63"/>
    <x v="120"/>
    <d v="2026-10-14T10:54:50"/>
    <d v="2026-10-14T04:54:48"/>
    <d v="2026-10-14T00:00:00"/>
    <s v=""/>
    <s v="CAJA"/>
    <n v="2"/>
    <s v="PENDIENTE APROBACION  ENVIO TMS"/>
    <s v="000000001209670510"/>
    <x v="1"/>
    <x v="0"/>
    <m/>
    <n v="1"/>
    <m/>
  </r>
  <r>
    <n v="1209670517"/>
    <s v="63"/>
    <x v="120"/>
    <d v="2026-10-14T10:54:52"/>
    <d v="2026-10-14T04:54:49"/>
    <d v="2026-10-14T00:00:00"/>
    <s v=""/>
    <s v="CAJA"/>
    <n v="21"/>
    <s v="PENDIENTE APROBACION  ENVIO TMS"/>
    <s v="000000001209670517"/>
    <x v="1"/>
    <x v="0"/>
    <m/>
    <n v="1"/>
    <m/>
  </r>
  <r>
    <n v="1209670542"/>
    <s v="64"/>
    <x v="15"/>
    <d v="2026-10-14T10:54:53"/>
    <d v="2026-10-14T04:54:50"/>
    <d v="2026-10-14T00:00:00"/>
    <s v=""/>
    <s v="PACK"/>
    <n v="16"/>
    <s v="PENDIENTE APROBACION  ENVIO TMS"/>
    <s v="000000001209670542"/>
    <x v="1"/>
    <x v="2"/>
    <m/>
    <n v="1"/>
    <m/>
  </r>
  <r>
    <n v="1209670477"/>
    <s v="62"/>
    <x v="58"/>
    <d v="2026-10-14T10:54:54"/>
    <d v="2026-10-14T04:54:52"/>
    <d v="2026-10-14T00:00:00"/>
    <s v=""/>
    <s v="CAJA"/>
    <n v="49"/>
    <s v="PENDIENTE APROBACION  ENVIO TMS"/>
    <s v="000000001209670477"/>
    <x v="1"/>
    <x v="3"/>
    <m/>
    <n v="1"/>
    <m/>
  </r>
  <r>
    <n v="8209670525"/>
    <s v="64"/>
    <x v="15"/>
    <d v="2026-10-14T10:54:55"/>
    <d v="2026-10-14T04:54:53"/>
    <d v="2026-10-14T00:00:00"/>
    <s v=""/>
    <s v="UNIDAD"/>
    <n v="19"/>
    <s v="PENDIENTE APROBACION  ENVIO TMS"/>
    <s v="000000008209670525"/>
    <x v="2"/>
    <x v="2"/>
    <m/>
    <n v="1"/>
    <m/>
  </r>
  <r>
    <n v="8209670526"/>
    <s v="64"/>
    <x v="15"/>
    <d v="2026-10-14T10:54:56"/>
    <d v="2026-10-14T04:54:54"/>
    <d v="2026-10-14T00:00:00"/>
    <s v=""/>
    <s v="UNIDAD"/>
    <n v="10"/>
    <s v="PENDIENTE APROBACION  ENVIO TMS"/>
    <s v="000000008209670526"/>
    <x v="2"/>
    <x v="2"/>
    <m/>
    <n v="1"/>
    <m/>
  </r>
  <r>
    <n v="1209670589"/>
    <s v="66"/>
    <x v="5"/>
    <d v="2026-10-14T10:54:58"/>
    <d v="2026-10-14T04:54:55"/>
    <d v="2026-10-14T00:00:00"/>
    <s v=""/>
    <s v="PACK"/>
    <n v="15"/>
    <s v="PENDIENTE APROBACION  ENVIO TMS"/>
    <s v="000000001209670589"/>
    <x v="1"/>
    <x v="2"/>
    <m/>
    <n v="1"/>
    <m/>
  </r>
  <r>
    <n v="1209670502"/>
    <s v="63"/>
    <x v="120"/>
    <d v="2026-10-14T10:54:59"/>
    <d v="2026-10-14T04:54:56"/>
    <d v="2026-10-14T00:00:00"/>
    <s v=""/>
    <s v="PACK"/>
    <n v="18"/>
    <s v="PENDIENTE APROBACION  ENVIO TMS"/>
    <s v="000000001209670502"/>
    <x v="1"/>
    <x v="0"/>
    <m/>
    <n v="1"/>
    <m/>
  </r>
  <r>
    <n v="1209670586"/>
    <s v="66"/>
    <x v="5"/>
    <d v="2026-10-14T10:55:00"/>
    <d v="2026-10-14T04:54:58"/>
    <d v="2026-10-14T00:00:00"/>
    <s v=""/>
    <s v="PACK"/>
    <n v="6"/>
    <s v="PENDIENTE APROBACION  ENVIO TMS"/>
    <s v="000000001209670586"/>
    <x v="1"/>
    <x v="2"/>
    <m/>
    <n v="1"/>
    <m/>
  </r>
  <r>
    <n v="1209670474"/>
    <s v="62"/>
    <x v="58"/>
    <d v="2026-10-14T10:55:01"/>
    <d v="2026-10-14T04:54:59"/>
    <d v="2026-10-14T00:00:00"/>
    <s v=""/>
    <s v="PACK"/>
    <n v="37"/>
    <s v="PENDIENTE APROBACION  ENVIO TMS"/>
    <s v="000000001209670474"/>
    <x v="1"/>
    <x v="3"/>
    <m/>
    <n v="1"/>
    <m/>
  </r>
  <r>
    <n v="1209670538"/>
    <s v="64"/>
    <x v="15"/>
    <d v="2026-10-14T10:55:03"/>
    <d v="2026-10-14T04:55:00"/>
    <d v="2026-10-14T00:00:00"/>
    <s v=""/>
    <s v="PACK"/>
    <n v="31"/>
    <s v="PENDIENTE APROBACION  ENVIO TMS"/>
    <s v="000000001209670538"/>
    <x v="1"/>
    <x v="2"/>
    <m/>
    <n v="1"/>
    <m/>
  </r>
  <r>
    <n v="8209670581"/>
    <s v="66"/>
    <x v="5"/>
    <d v="2026-10-14T10:55:04"/>
    <d v="2026-10-14T04:55:02"/>
    <d v="2026-10-14T00:00:00"/>
    <s v=""/>
    <s v="UNIDAD"/>
    <n v="29"/>
    <s v="PENDIENTE APROBACION  ENVIO TMS"/>
    <s v="000000008209670581"/>
    <x v="2"/>
    <x v="2"/>
    <m/>
    <n v="1"/>
    <m/>
  </r>
  <r>
    <n v="8209670583"/>
    <s v="66"/>
    <x v="5"/>
    <d v="2026-10-14T10:55:06"/>
    <d v="2026-10-14T04:55:03"/>
    <d v="2026-10-14T00:00:00"/>
    <s v=""/>
    <s v="UNIDAD"/>
    <n v="15"/>
    <s v="PENDIENTE APROBACION  ENVIO TMS"/>
    <s v="000000008209670583"/>
    <x v="2"/>
    <x v="2"/>
    <m/>
    <n v="1"/>
    <m/>
  </r>
  <r>
    <n v="1209670591"/>
    <s v="66"/>
    <x v="5"/>
    <d v="2026-10-14T10:55:07"/>
    <d v="2026-10-14T04:55:04"/>
    <d v="2026-10-14T00:00:00"/>
    <s v=""/>
    <s v="CAJA"/>
    <n v="3"/>
    <s v="PENDIENTE APROBACION  ENVIO TMS"/>
    <s v="000000001209670591"/>
    <x v="1"/>
    <x v="2"/>
    <m/>
    <n v="1"/>
    <m/>
  </r>
  <r>
    <n v="1209670587"/>
    <s v="66"/>
    <x v="5"/>
    <d v="2026-10-14T10:55:08"/>
    <d v="2026-10-14T04:55:06"/>
    <d v="2026-10-14T00:00:00"/>
    <s v=""/>
    <s v="CAJA"/>
    <n v="16"/>
    <s v="PENDIENTE APROBACION  ENVIO TMS"/>
    <s v="000000001209670587"/>
    <x v="1"/>
    <x v="2"/>
    <m/>
    <n v="1"/>
    <m/>
  </r>
  <r>
    <n v="1209670593"/>
    <s v="66"/>
    <x v="5"/>
    <d v="2026-10-14T10:55:10"/>
    <d v="2026-10-14T04:55:07"/>
    <d v="2026-10-14T00:00:00"/>
    <s v=""/>
    <s v="PACK"/>
    <n v="46"/>
    <s v="PENDIENTE APROBACION  ENVIO TMS"/>
    <s v="000000001209670593"/>
    <x v="1"/>
    <x v="2"/>
    <m/>
    <n v="1"/>
    <m/>
  </r>
  <r>
    <n v="8209670496"/>
    <s v="63"/>
    <x v="120"/>
    <d v="2026-10-14T10:55:11"/>
    <d v="2026-10-14T04:55:08"/>
    <d v="2026-10-14T00:00:00"/>
    <s v=""/>
    <s v="UNIDAD"/>
    <n v="3"/>
    <s v="PENDIENTE APROBACION  ENVIO TMS"/>
    <s v="000000008209670496"/>
    <x v="2"/>
    <x v="0"/>
    <m/>
    <n v="1"/>
    <m/>
  </r>
  <r>
    <n v="8209670554"/>
    <s v="65"/>
    <x v="79"/>
    <d v="2026-10-14T10:55:12"/>
    <d v="2026-10-14T04:55:10"/>
    <d v="2026-10-14T00:00:00"/>
    <s v=""/>
    <s v="UNIDAD"/>
    <n v="1"/>
    <s v="PENDIENTE APROBACION  ENVIO TMS"/>
    <s v="000000008209670554"/>
    <x v="2"/>
    <x v="0"/>
    <m/>
    <n v="1"/>
    <m/>
  </r>
  <r>
    <n v="8209670558"/>
    <s v="65"/>
    <x v="79"/>
    <d v="2026-10-14T10:55:13"/>
    <d v="2026-10-14T04:55:11"/>
    <d v="2026-10-14T00:00:00"/>
    <s v=""/>
    <s v="UNIDAD"/>
    <n v="4"/>
    <s v="PENDIENTE APROBACION  ENVIO TMS"/>
    <s v="000000008209670558"/>
    <x v="2"/>
    <x v="0"/>
    <m/>
    <n v="1"/>
    <m/>
  </r>
  <r>
    <n v="8209670529"/>
    <s v="64"/>
    <x v="15"/>
    <d v="2026-10-14T10:55:14"/>
    <d v="2026-10-14T04:55:12"/>
    <d v="2026-10-14T00:00:00"/>
    <s v=""/>
    <s v="UNIDAD"/>
    <n v="2"/>
    <s v="PENDIENTE APROBACION  ENVIO TMS"/>
    <s v="000000008209670529"/>
    <x v="2"/>
    <x v="2"/>
    <m/>
    <n v="1"/>
    <m/>
  </r>
  <r>
    <n v="8209670494"/>
    <s v="63"/>
    <x v="120"/>
    <d v="2026-10-14T10:55:16"/>
    <d v="2026-10-14T04:55:13"/>
    <d v="2026-10-14T00:00:00"/>
    <s v=""/>
    <s v="UNIDAD"/>
    <n v="2"/>
    <s v="PENDIENTE APROBACION  ENVIO TMS"/>
    <s v="000000008209670494"/>
    <x v="2"/>
    <x v="0"/>
    <m/>
    <n v="1"/>
    <m/>
  </r>
  <r>
    <n v="1209670561"/>
    <s v="65"/>
    <x v="79"/>
    <d v="2026-10-14T10:55:17"/>
    <d v="2026-10-14T04:55:14"/>
    <d v="2026-10-14T00:00:00"/>
    <s v=""/>
    <s v="PACK"/>
    <n v="2"/>
    <s v="PENDIENTE APROBACION  ENVIO TMS"/>
    <s v="000000001209670561"/>
    <x v="1"/>
    <x v="0"/>
    <m/>
    <n v="1"/>
    <m/>
  </r>
  <r>
    <n v="1209670565"/>
    <s v="65"/>
    <x v="79"/>
    <d v="2026-10-14T10:55:18"/>
    <d v="2026-10-14T04:55:16"/>
    <d v="2026-10-14T00:00:00"/>
    <s v=""/>
    <s v="CAJA"/>
    <n v="24"/>
    <s v="PENDIENTE APROBACION  ENVIO TMS"/>
    <s v="000000001209670565"/>
    <x v="1"/>
    <x v="0"/>
    <m/>
    <n v="1"/>
    <m/>
  </r>
  <r>
    <n v="8209670466"/>
    <s v="62"/>
    <x v="58"/>
    <d v="2026-10-14T10:55:19"/>
    <d v="2026-10-14T04:55:17"/>
    <d v="2026-10-14T00:00:00"/>
    <s v=""/>
    <s v="UNIDAD"/>
    <n v="2"/>
    <s v="PENDIENTE APROBACION  ENVIO TMS"/>
    <s v="000000008209670466"/>
    <x v="2"/>
    <x v="3"/>
    <m/>
    <n v="1"/>
    <m/>
  </r>
  <r>
    <n v="8209670468"/>
    <s v="62"/>
    <x v="58"/>
    <d v="2026-10-14T10:55:21"/>
    <d v="2026-10-14T04:55:18"/>
    <d v="2026-10-14T00:00:00"/>
    <s v=""/>
    <s v="UNIDAD"/>
    <n v="16"/>
    <s v="PENDIENTE APROBACION  ENVIO TMS"/>
    <s v="000000008209670468"/>
    <x v="2"/>
    <x v="3"/>
    <m/>
    <n v="1"/>
    <m/>
  </r>
  <r>
    <n v="1209670476"/>
    <s v="62"/>
    <x v="58"/>
    <d v="2026-10-14T10:55:22"/>
    <d v="2026-10-14T04:55:19"/>
    <d v="2026-10-14T00:00:00"/>
    <s v=""/>
    <s v="UNIDAD"/>
    <n v="40"/>
    <s v="PENDIENTE APROBACION  ENVIO TMS"/>
    <s v="000000001209670476"/>
    <x v="1"/>
    <x v="3"/>
    <m/>
    <n v="1"/>
    <m/>
  </r>
  <r>
    <n v="1209670566"/>
    <s v="65"/>
    <x v="79"/>
    <d v="2026-10-14T10:55:23"/>
    <d v="2026-10-14T04:55:21"/>
    <d v="2026-10-14T00:00:00"/>
    <s v=""/>
    <s v="CAJA"/>
    <n v="48"/>
    <s v="PENDIENTE APROBACION  ENVIO TMS"/>
    <s v="000000001209670566"/>
    <x v="1"/>
    <x v="0"/>
    <m/>
    <n v="1"/>
    <m/>
  </r>
  <r>
    <n v="1209670469"/>
    <s v="62"/>
    <x v="58"/>
    <d v="2026-10-14T10:55:24"/>
    <d v="2026-10-14T04:55:22"/>
    <d v="2026-10-14T00:00:00"/>
    <s v=""/>
    <s v="CAJA"/>
    <n v="18"/>
    <s v="PENDIENTE APROBACION  ENVIO TMS"/>
    <s v="000000001209670469"/>
    <x v="1"/>
    <x v="3"/>
    <m/>
    <n v="1"/>
    <m/>
  </r>
  <r>
    <n v="1209670478"/>
    <s v="62"/>
    <x v="58"/>
    <d v="2026-10-14T10:55:26"/>
    <d v="2026-10-14T04:55:23"/>
    <d v="2026-10-14T00:00:00"/>
    <s v=""/>
    <s v="CAJA"/>
    <n v="3"/>
    <s v="PENDIENTE APROBACION  ENVIO TMS"/>
    <s v="000000001209670478"/>
    <x v="1"/>
    <x v="3"/>
    <m/>
    <n v="1"/>
    <m/>
  </r>
  <r>
    <n v="1209670567"/>
    <s v="65"/>
    <x v="79"/>
    <d v="2026-10-14T10:55:27"/>
    <d v="2026-10-14T04:55:24"/>
    <d v="2026-10-14T00:00:00"/>
    <s v=""/>
    <s v="PACK"/>
    <n v="25"/>
    <s v="PENDIENTE APROBACION  ENVIO TMS"/>
    <s v="000000001209670567"/>
    <x v="1"/>
    <x v="0"/>
    <m/>
    <n v="1"/>
    <m/>
  </r>
  <r>
    <n v="1209670588"/>
    <s v="66"/>
    <x v="5"/>
    <d v="2026-10-14T10:55:28"/>
    <d v="2026-10-14T04:55:26"/>
    <d v="2026-10-14T00:00:00"/>
    <s v=""/>
    <s v="CAJA"/>
    <n v="22"/>
    <s v="PENDIENTE APROBACION  ENVIO TMS"/>
    <s v="000000001209670588"/>
    <x v="1"/>
    <x v="2"/>
    <m/>
    <n v="1"/>
    <m/>
  </r>
  <r>
    <n v="1209670472"/>
    <s v="62"/>
    <x v="58"/>
    <d v="2026-10-14T10:55:29"/>
    <d v="2026-10-14T04:55:27"/>
    <d v="2026-10-14T00:00:00"/>
    <s v=""/>
    <s v="CAJA"/>
    <n v="23"/>
    <s v="PENDIENTE APROBACION  ENVIO TMS"/>
    <s v="000000001209670472"/>
    <x v="1"/>
    <x v="3"/>
    <m/>
    <n v="1"/>
    <m/>
  </r>
  <r>
    <n v="1209670546"/>
    <s v="64"/>
    <x v="15"/>
    <d v="2026-10-14T10:55:31"/>
    <d v="2026-10-14T04:55:28"/>
    <d v="2026-10-14T00:00:00"/>
    <s v=""/>
    <s v="CAJA"/>
    <n v="39"/>
    <s v="PENDIENTE APROBACION  ENVIO TMS"/>
    <s v="000000001209670546"/>
    <x v="1"/>
    <x v="2"/>
    <m/>
    <n v="1"/>
    <m/>
  </r>
  <r>
    <n v="8209670584"/>
    <s v="66"/>
    <x v="5"/>
    <d v="2026-10-14T10:55:32"/>
    <d v="2026-10-14T04:55:29"/>
    <d v="2026-10-14T00:00:00"/>
    <s v=""/>
    <s v="UNIDAD"/>
    <n v="9"/>
    <s v="PENDIENTE APROBACION  ENVIO TMS"/>
    <s v="000000008209670584"/>
    <x v="2"/>
    <x v="2"/>
    <m/>
    <n v="1"/>
    <m/>
  </r>
  <r>
    <n v="1209670592"/>
    <s v="66"/>
    <x v="5"/>
    <d v="2026-10-14T10:55:33"/>
    <d v="2026-10-14T04:55:31"/>
    <d v="2026-10-14T00:00:00"/>
    <s v=""/>
    <s v="CAJA"/>
    <n v="43"/>
    <s v="PENDIENTE APROBACION  ENVIO TMS"/>
    <s v="000000001209670592"/>
    <x v="1"/>
    <x v="2"/>
    <m/>
    <n v="1"/>
    <m/>
  </r>
  <r>
    <n v="8209670493"/>
    <s v="63"/>
    <x v="120"/>
    <d v="2026-10-14T10:55:35"/>
    <d v="2026-10-14T04:55:32"/>
    <d v="2026-10-14T00:00:00"/>
    <s v=""/>
    <s v="UNIDAD"/>
    <n v="10"/>
    <s v="PENDIENTE APROBACION  ENVIO TMS"/>
    <s v="000000008209670493"/>
    <x v="2"/>
    <x v="0"/>
    <m/>
    <n v="1"/>
    <m/>
  </r>
  <r>
    <n v="8209670495"/>
    <s v="63"/>
    <x v="120"/>
    <d v="2026-10-14T10:55:35"/>
    <d v="2026-10-14T04:55:33"/>
    <d v="2026-10-14T00:00:00"/>
    <s v=""/>
    <s v="UNIDAD"/>
    <n v="9"/>
    <s v="PENDIENTE APROBACION  ENVIO TMS"/>
    <s v="000000008209670495"/>
    <x v="2"/>
    <x v="0"/>
    <m/>
    <n v="1"/>
    <m/>
  </r>
  <r>
    <n v="1209670594"/>
    <s v="66"/>
    <x v="5"/>
    <d v="2026-10-14T10:55:37"/>
    <d v="2026-10-14T04:55:34"/>
    <d v="2026-10-14T00:00:00"/>
    <s v=""/>
    <s v="PACK"/>
    <n v="52"/>
    <s v="PENDIENTE APROBACION  ENVIO TMS"/>
    <s v="000000001209670594"/>
    <x v="1"/>
    <x v="2"/>
    <m/>
    <n v="1"/>
    <m/>
  </r>
  <r>
    <n v="1209670507"/>
    <s v="63"/>
    <x v="120"/>
    <d v="2026-10-14T10:55:38"/>
    <d v="2026-10-14T04:55:36"/>
    <d v="2026-10-14T00:00:00"/>
    <s v=""/>
    <s v="PACK"/>
    <n v="42"/>
    <s v="PENDIENTE APROBACION  ENVIO TMS"/>
    <s v="000000001209670507"/>
    <x v="1"/>
    <x v="0"/>
    <m/>
    <n v="1"/>
    <m/>
  </r>
  <r>
    <n v="1209670535"/>
    <s v="64"/>
    <x v="15"/>
    <d v="2026-10-14T10:55:40"/>
    <d v="2026-10-14T04:55:37"/>
    <d v="2026-10-14T00:00:00"/>
    <s v=""/>
    <s v="CAJA"/>
    <n v="22"/>
    <s v="PENDIENTE APROBACION  ENVIO TMS"/>
    <s v="000000001209670535"/>
    <x v="1"/>
    <x v="2"/>
    <m/>
    <n v="1"/>
    <m/>
  </r>
  <r>
    <n v="1209670537"/>
    <s v="64"/>
    <x v="15"/>
    <d v="2026-10-14T10:55:40"/>
    <d v="2026-10-14T04:55:38"/>
    <d v="2026-10-14T00:00:00"/>
    <s v=""/>
    <s v="CAJA"/>
    <n v="29"/>
    <s v="PENDIENTE APROBACION  ENVIO TMS"/>
    <s v="000000001209670537"/>
    <x v="1"/>
    <x v="2"/>
    <m/>
    <n v="1"/>
    <m/>
  </r>
  <r>
    <n v="8209670467"/>
    <s v="62"/>
    <x v="58"/>
    <d v="2026-10-14T10:55:42"/>
    <d v="2026-10-14T04:55:39"/>
    <d v="2026-10-14T00:00:00"/>
    <s v=""/>
    <s v="UNIDAD"/>
    <n v="5"/>
    <s v="PENDIENTE APROBACION  ENVIO TMS"/>
    <s v="000000008209670467"/>
    <x v="2"/>
    <x v="3"/>
    <m/>
    <n v="1"/>
    <m/>
  </r>
  <r>
    <n v="1209670470"/>
    <s v="62"/>
    <x v="58"/>
    <d v="2026-10-14T10:55:43"/>
    <d v="2026-10-14T04:55:41"/>
    <d v="2026-10-14T00:00:00"/>
    <s v=""/>
    <s v="CAJA"/>
    <n v="16"/>
    <s v="PENDIENTE APROBACION  ENVIO TMS"/>
    <s v="000000001209670470"/>
    <x v="1"/>
    <x v="3"/>
    <m/>
    <n v="1"/>
    <m/>
  </r>
  <r>
    <n v="1209670500"/>
    <s v="63"/>
    <x v="120"/>
    <d v="2026-10-14T10:55:44"/>
    <d v="2026-10-14T04:55:42"/>
    <d v="2026-10-14T00:00:00"/>
    <s v=""/>
    <s v="CAJA"/>
    <n v="11"/>
    <s v="PENDIENTE APROBACION  ENVIO TMS"/>
    <s v="000000001209670500"/>
    <x v="1"/>
    <x v="0"/>
    <m/>
    <n v="1"/>
    <m/>
  </r>
  <r>
    <n v="1209670568"/>
    <s v="65"/>
    <x v="79"/>
    <d v="2026-10-14T10:55:46"/>
    <d v="2026-10-14T04:55:43"/>
    <d v="2026-10-14T00:00:00"/>
    <s v=""/>
    <s v="PACK"/>
    <n v="31"/>
    <s v="PENDIENTE APROBACION  ENVIO TMS"/>
    <s v="000000001209670568"/>
    <x v="1"/>
    <x v="0"/>
    <m/>
    <n v="1"/>
    <m/>
  </r>
  <r>
    <n v="1209670540"/>
    <s v="64"/>
    <x v="15"/>
    <d v="2026-10-14T10:55:47"/>
    <d v="2026-10-14T04:55:44"/>
    <d v="2026-10-14T00:00:00"/>
    <s v=""/>
    <s v="CAJA"/>
    <n v="3"/>
    <s v="PENDIENTE APROBACION  ENVIO TMS"/>
    <s v="000000001209670540"/>
    <x v="1"/>
    <x v="2"/>
    <m/>
    <n v="1"/>
    <m/>
  </r>
  <r>
    <n v="8209670556"/>
    <s v="65"/>
    <x v="79"/>
    <d v="2026-10-14T10:55:48"/>
    <d v="2026-10-14T04:55:45"/>
    <d v="2026-10-14T00:00:00"/>
    <s v=""/>
    <s v="UNIDAD"/>
    <n v="5"/>
    <s v="PENDIENTE APROBACION  ENVIO TMS"/>
    <s v="000000008209670556"/>
    <x v="2"/>
    <x v="0"/>
    <m/>
    <n v="1"/>
    <m/>
  </r>
  <r>
    <n v="1209670506"/>
    <s v="63"/>
    <x v="120"/>
    <d v="2026-10-14T10:55:49"/>
    <d v="2026-10-14T04:55:47"/>
    <d v="2026-10-14T00:00:00"/>
    <s v=""/>
    <s v="CAJA"/>
    <n v="1"/>
    <s v="PENDIENTE APROBACION  ENVIO TMS"/>
    <s v="000000001209670506"/>
    <x v="1"/>
    <x v="0"/>
    <m/>
    <n v="1"/>
    <m/>
  </r>
  <r>
    <n v="8209670559"/>
    <s v="65"/>
    <x v="79"/>
    <d v="2026-10-14T10:55:51"/>
    <d v="2026-10-14T04:55:48"/>
    <d v="2026-10-14T00:00:00"/>
    <s v=""/>
    <s v="UNIDAD"/>
    <n v="9"/>
    <s v="PENDIENTE APROBACION  ENVIO TMS"/>
    <s v="000000008209670559"/>
    <x v="2"/>
    <x v="0"/>
    <m/>
    <n v="1"/>
    <m/>
  </r>
  <r>
    <n v="1209670475"/>
    <s v="62"/>
    <x v="58"/>
    <d v="2026-10-14T10:55:52"/>
    <d v="2026-10-14T04:55:49"/>
    <d v="2026-10-14T00:00:00"/>
    <s v=""/>
    <s v="CAJA"/>
    <n v="29"/>
    <s v="PENDIENTE APROBACION  ENVIO TMS"/>
    <s v="000000001209670475"/>
    <x v="1"/>
    <x v="3"/>
    <m/>
    <n v="1"/>
    <m/>
  </r>
  <r>
    <n v="8209670508"/>
    <s v="63"/>
    <x v="120"/>
    <d v="2026-10-14T10:55:53"/>
    <d v="2026-10-14T04:55:51"/>
    <d v="2026-10-14T00:00:00"/>
    <s v=""/>
    <s v="UNIDAD"/>
    <n v="5"/>
    <s v="PENDIENTE APROBACION  ENVIO TMS"/>
    <s v="000000008209670508"/>
    <x v="2"/>
    <x v="0"/>
    <m/>
    <n v="1"/>
    <m/>
  </r>
  <r>
    <n v="1209670541"/>
    <s v="64"/>
    <x v="15"/>
    <d v="2026-10-14T10:55:55"/>
    <d v="2026-10-14T04:55:52"/>
    <d v="2026-10-14T00:00:00"/>
    <s v=""/>
    <s v="PACK"/>
    <n v="82"/>
    <s v="PENDIENTE APROBACION  ENVIO TMS"/>
    <s v="000000001209670541"/>
    <x v="1"/>
    <x v="2"/>
    <m/>
    <n v="1"/>
    <m/>
  </r>
  <r>
    <n v="1209670622"/>
    <s v="67"/>
    <x v="64"/>
    <d v="2026-10-14T10:59:12"/>
    <d v="2026-10-14T04:59:09"/>
    <d v="2026-10-14T00:00:00"/>
    <s v=""/>
    <s v="CAJA"/>
    <n v="36"/>
    <s v="PENDIENTE APROBACION  ENVIO TMS"/>
    <s v="000000001209670622"/>
    <x v="1"/>
    <x v="2"/>
    <m/>
    <n v="1"/>
    <m/>
  </r>
  <r>
    <n v="8209670642"/>
    <s v="68"/>
    <x v="97"/>
    <d v="2026-10-14T10:59:13"/>
    <d v="2026-10-14T04:59:11"/>
    <d v="2026-10-14T00:00:00"/>
    <s v=""/>
    <s v="UNIDAD"/>
    <n v="30"/>
    <s v="PENDIENTE APROBACION  ENVIO TMS"/>
    <s v="000000008209670642"/>
    <x v="2"/>
    <x v="3"/>
    <m/>
    <n v="1"/>
    <m/>
  </r>
  <r>
    <n v="8209670644"/>
    <s v="68"/>
    <x v="97"/>
    <d v="2026-10-14T10:59:14"/>
    <d v="2026-10-14T04:59:12"/>
    <d v="2026-10-14T00:00:00"/>
    <s v=""/>
    <s v="UNIDAD"/>
    <n v="12"/>
    <s v="PENDIENTE APROBACION  ENVIO TMS"/>
    <s v="000000008209670644"/>
    <x v="2"/>
    <x v="3"/>
    <m/>
    <n v="1"/>
    <m/>
  </r>
  <r>
    <n v="8209670691"/>
    <s v="69"/>
    <x v="80"/>
    <d v="2026-10-14T10:59:16"/>
    <d v="2026-10-14T04:59:13"/>
    <d v="2026-10-14T00:00:00"/>
    <s v=""/>
    <s v="UNIDAD"/>
    <n v="4"/>
    <s v="PENDIENTE APROBACION  ENVIO TMS"/>
    <s v="000000008209670691"/>
    <x v="2"/>
    <x v="1"/>
    <m/>
    <n v="1"/>
    <m/>
  </r>
  <r>
    <n v="8209670693"/>
    <s v="69"/>
    <x v="80"/>
    <d v="2026-10-14T10:59:18"/>
    <d v="2026-10-14T04:59:15"/>
    <d v="2026-10-14T00:00:00"/>
    <s v=""/>
    <s v="UNIDAD"/>
    <n v="1"/>
    <s v="PENDIENTE APROBACION  ENVIO TMS"/>
    <s v="000000008209670693"/>
    <x v="2"/>
    <x v="1"/>
    <m/>
    <n v="1"/>
    <m/>
  </r>
  <r>
    <n v="1209670649"/>
    <s v="68"/>
    <x v="97"/>
    <d v="2026-10-14T10:59:19"/>
    <d v="2026-10-14T04:59:17"/>
    <d v="2026-10-14T00:00:00"/>
    <s v=""/>
    <s v="PACK"/>
    <n v="41"/>
    <s v="PENDIENTE APROBACION  ENVIO TMS"/>
    <s v="000000001209670649"/>
    <x v="1"/>
    <x v="3"/>
    <m/>
    <n v="1"/>
    <m/>
  </r>
  <r>
    <n v="8209670611"/>
    <s v="67"/>
    <x v="64"/>
    <d v="2026-10-14T10:59:21"/>
    <d v="2026-10-14T04:59:18"/>
    <d v="2026-10-14T00:00:00"/>
    <s v=""/>
    <s v="UNIDAD"/>
    <n v="8"/>
    <s v="PENDIENTE APROBACION  ENVIO TMS"/>
    <s v="000000008209670611"/>
    <x v="2"/>
    <x v="2"/>
    <m/>
    <n v="1"/>
    <m/>
  </r>
  <r>
    <n v="1209670650"/>
    <s v="68"/>
    <x v="97"/>
    <d v="2026-10-14T10:59:22"/>
    <d v="2026-10-14T04:59:20"/>
    <d v="2026-10-14T00:00:00"/>
    <s v=""/>
    <s v="CAJA"/>
    <n v="42"/>
    <s v="PENDIENTE APROBACION  ENVIO TMS"/>
    <s v="000000001209670650"/>
    <x v="1"/>
    <x v="3"/>
    <m/>
    <n v="1"/>
    <m/>
  </r>
  <r>
    <n v="8209670614"/>
    <s v="67"/>
    <x v="64"/>
    <d v="2026-10-14T10:59:23"/>
    <d v="2026-10-14T04:59:21"/>
    <d v="2026-10-14T00:00:00"/>
    <s v=""/>
    <s v="UNIDAD"/>
    <n v="19"/>
    <s v="PENDIENTE APROBACION  ENVIO TMS"/>
    <s v="000000008209670614"/>
    <x v="2"/>
    <x v="2"/>
    <m/>
    <n v="1"/>
    <m/>
  </r>
  <r>
    <n v="8209670626"/>
    <s v="67"/>
    <x v="64"/>
    <d v="2026-10-14T10:59:24"/>
    <d v="2026-10-14T04:59:22"/>
    <d v="2026-10-14T00:00:00"/>
    <s v=""/>
    <s v="UNIDAD"/>
    <n v="4"/>
    <s v="PENDIENTE APROBACION  ENVIO TMS"/>
    <s v="000000008209670626"/>
    <x v="2"/>
    <x v="2"/>
    <m/>
    <n v="1"/>
    <m/>
  </r>
  <r>
    <n v="1209670646"/>
    <s v="68"/>
    <x v="97"/>
    <d v="2026-10-14T10:59:26"/>
    <d v="2026-10-14T04:59:23"/>
    <d v="2026-10-14T00:00:00"/>
    <s v=""/>
    <s v="UNIDAD"/>
    <n v="32"/>
    <s v="PENDIENTE APROBACION  ENVIO TMS"/>
    <s v="000000001209670646"/>
    <x v="1"/>
    <x v="3"/>
    <m/>
    <n v="1"/>
    <m/>
  </r>
  <r>
    <n v="1209670764"/>
    <s v="70"/>
    <x v="45"/>
    <d v="2026-10-14T10:59:27"/>
    <d v="2026-10-14T04:59:25"/>
    <d v="2026-10-14T00:00:00"/>
    <s v=""/>
    <s v="PACK"/>
    <n v="57"/>
    <s v="PENDIENTE APROBACION  ENVIO TMS"/>
    <s v="000000001209670764"/>
    <x v="1"/>
    <x v="2"/>
    <m/>
    <n v="1"/>
    <m/>
  </r>
  <r>
    <n v="1209670698"/>
    <s v="69"/>
    <x v="80"/>
    <d v="2026-10-14T10:59:29"/>
    <d v="2026-10-14T04:59:26"/>
    <d v="2026-10-14T00:00:00"/>
    <s v=""/>
    <s v="CAJA"/>
    <n v="15"/>
    <s v="PENDIENTE APROBACION  ENVIO TMS"/>
    <s v="000000001209670698"/>
    <x v="1"/>
    <x v="1"/>
    <m/>
    <n v="1"/>
    <m/>
  </r>
  <r>
    <n v="1209670701"/>
    <s v="69"/>
    <x v="80"/>
    <d v="2026-10-14T10:59:30"/>
    <d v="2026-10-14T04:59:27"/>
    <d v="2026-10-14T00:00:00"/>
    <s v=""/>
    <s v="CAJA"/>
    <n v="15"/>
    <s v="PENDIENTE APROBACION  ENVIO TMS"/>
    <s v="000000001209670701"/>
    <x v="1"/>
    <x v="1"/>
    <m/>
    <n v="1"/>
    <m/>
  </r>
  <r>
    <n v="8209670610"/>
    <s v="67"/>
    <x v="64"/>
    <d v="2026-10-14T10:59:31"/>
    <d v="2026-10-14T04:59:29"/>
    <d v="2026-10-14T00:00:00"/>
    <s v=""/>
    <s v="UNIDAD"/>
    <n v="4"/>
    <s v="PENDIENTE APROBACION  ENVIO TMS"/>
    <s v="000000008209670610"/>
    <x v="2"/>
    <x v="2"/>
    <m/>
    <n v="1"/>
    <m/>
  </r>
  <r>
    <n v="8209670637"/>
    <s v="68"/>
    <x v="97"/>
    <d v="2026-10-14T10:59:33"/>
    <d v="2026-10-14T04:59:30"/>
    <d v="2026-10-14T00:00:00"/>
    <s v=""/>
    <s v="UNIDAD"/>
    <n v="6"/>
    <s v="PENDIENTE APROBACION  ENVIO TMS"/>
    <s v="000000008209670637"/>
    <x v="2"/>
    <x v="3"/>
    <m/>
    <n v="1"/>
    <m/>
  </r>
  <r>
    <n v="1209670618"/>
    <s v="67"/>
    <x v="64"/>
    <d v="2026-10-14T10:59:34"/>
    <d v="2026-10-14T04:59:31"/>
    <d v="2026-10-14T00:00:00"/>
    <s v=""/>
    <s v="PACK"/>
    <n v="18"/>
    <s v="PENDIENTE APROBACION  ENVIO TMS"/>
    <s v="000000001209670618"/>
    <x v="1"/>
    <x v="2"/>
    <m/>
    <n v="1"/>
    <m/>
  </r>
  <r>
    <n v="8209670640"/>
    <s v="68"/>
    <x v="97"/>
    <d v="2026-10-14T10:59:35"/>
    <d v="2026-10-14T04:59:33"/>
    <d v="2026-10-14T00:00:00"/>
    <s v=""/>
    <s v="UNIDAD"/>
    <n v="4"/>
    <s v="PENDIENTE APROBACION  ENVIO TMS"/>
    <s v="000000008209670640"/>
    <x v="2"/>
    <x v="3"/>
    <m/>
    <n v="1"/>
    <m/>
  </r>
  <r>
    <n v="1209670620"/>
    <s v="67"/>
    <x v="64"/>
    <d v="2026-10-14T10:59:36"/>
    <d v="2026-10-14T04:59:34"/>
    <d v="2026-10-14T00:00:00"/>
    <s v=""/>
    <s v="CAJA"/>
    <n v="35"/>
    <s v="PENDIENTE APROBACION  ENVIO TMS"/>
    <s v="000000001209670620"/>
    <x v="1"/>
    <x v="2"/>
    <m/>
    <n v="1"/>
    <m/>
  </r>
  <r>
    <n v="1209670645"/>
    <s v="68"/>
    <x v="97"/>
    <d v="2026-10-14T10:59:38"/>
    <d v="2026-10-14T04:59:35"/>
    <d v="2026-10-14T00:00:00"/>
    <s v=""/>
    <s v="PACK"/>
    <n v="21"/>
    <s v="PENDIENTE APROBACION  ENVIO TMS"/>
    <s v="000000001209670645"/>
    <x v="1"/>
    <x v="3"/>
    <m/>
    <n v="1"/>
    <m/>
  </r>
  <r>
    <n v="8209670729"/>
    <s v="70"/>
    <x v="45"/>
    <d v="2026-10-14T10:59:39"/>
    <d v="2026-10-14T04:59:36"/>
    <d v="2026-10-14T00:00:00"/>
    <s v=""/>
    <s v="UNIDAD"/>
    <n v="7"/>
    <s v="PENDIENTE APROBACION  ENVIO TMS"/>
    <s v="000000008209670729"/>
    <x v="2"/>
    <x v="2"/>
    <m/>
    <n v="1"/>
    <m/>
  </r>
  <r>
    <n v="8209670743"/>
    <s v="70"/>
    <x v="45"/>
    <d v="2026-10-14T10:59:40"/>
    <d v="2026-10-14T04:59:38"/>
    <d v="2026-10-14T00:00:00"/>
    <s v=""/>
    <s v="UNIDAD"/>
    <n v="12"/>
    <s v="PENDIENTE APROBACION  ENVIO TMS"/>
    <s v="000000008209670743"/>
    <x v="2"/>
    <x v="2"/>
    <m/>
    <n v="1"/>
    <m/>
  </r>
  <r>
    <n v="8209670733"/>
    <s v="70"/>
    <x v="45"/>
    <d v="2026-10-14T10:59:41"/>
    <d v="2026-10-14T04:59:39"/>
    <d v="2026-10-14T00:00:00"/>
    <s v=""/>
    <s v="UNIDAD"/>
    <n v="18"/>
    <s v="PENDIENTE APROBACION  ENVIO TMS"/>
    <s v="000000008209670733"/>
    <x v="2"/>
    <x v="2"/>
    <m/>
    <n v="1"/>
    <m/>
  </r>
  <r>
    <n v="1209670695"/>
    <s v="69"/>
    <x v="80"/>
    <d v="2026-10-14T10:59:42"/>
    <d v="2026-10-14T04:59:40"/>
    <d v="2026-10-14T00:00:00"/>
    <s v=""/>
    <s v="CAJA"/>
    <n v="1"/>
    <s v="PENDIENTE APROBACION  ENVIO TMS"/>
    <s v="000000001209670695"/>
    <x v="1"/>
    <x v="1"/>
    <m/>
    <n v="1"/>
    <m/>
  </r>
  <r>
    <n v="1209670697"/>
    <s v="69"/>
    <x v="80"/>
    <d v="2026-10-14T10:59:44"/>
    <d v="2026-10-14T04:59:41"/>
    <d v="2026-10-14T00:00:00"/>
    <s v=""/>
    <s v="PACK"/>
    <n v="13"/>
    <s v="PENDIENTE APROBACION  ENVIO TMS"/>
    <s v="000000001209670697"/>
    <x v="1"/>
    <x v="1"/>
    <m/>
    <n v="1"/>
    <m/>
  </r>
  <r>
    <n v="1209670702"/>
    <s v="69"/>
    <x v="80"/>
    <d v="2026-10-14T10:59:45"/>
    <d v="2026-10-14T04:59:43"/>
    <d v="2026-10-14T00:00:00"/>
    <s v=""/>
    <s v="CAJA"/>
    <n v="17"/>
    <s v="PENDIENTE APROBACION  ENVIO TMS"/>
    <s v="000000001209670702"/>
    <x v="1"/>
    <x v="1"/>
    <m/>
    <n v="1"/>
    <m/>
  </r>
  <r>
    <n v="1209670653"/>
    <s v="68"/>
    <x v="97"/>
    <d v="2026-10-14T10:59:46"/>
    <d v="2026-10-14T04:59:44"/>
    <d v="2026-10-14T00:00:00"/>
    <s v=""/>
    <s v="CAJA"/>
    <n v="6"/>
    <s v="PENDIENTE APROBACION  ENVIO TMS"/>
    <s v="000000001209670653"/>
    <x v="1"/>
    <x v="3"/>
    <m/>
    <n v="1"/>
    <m/>
  </r>
  <r>
    <n v="1209670624"/>
    <s v="67"/>
    <x v="64"/>
    <d v="2026-10-14T10:59:47"/>
    <d v="2026-10-14T04:59:45"/>
    <d v="2026-10-14T00:00:00"/>
    <s v=""/>
    <s v="PACK"/>
    <n v="65"/>
    <s v="PENDIENTE APROBACION  ENVIO TMS"/>
    <s v="000000001209670624"/>
    <x v="1"/>
    <x v="2"/>
    <m/>
    <n v="1"/>
    <m/>
  </r>
  <r>
    <n v="1209670643"/>
    <s v="68"/>
    <x v="97"/>
    <d v="2026-10-14T10:59:49"/>
    <d v="2026-10-14T04:59:47"/>
    <d v="2026-10-14T00:00:00"/>
    <s v=""/>
    <s v="CAJA"/>
    <n v="1"/>
    <s v="PENDIENTE APROBACION  ENVIO TMS"/>
    <s v="000000001209670643"/>
    <x v="1"/>
    <x v="3"/>
    <m/>
    <n v="1"/>
    <m/>
  </r>
  <r>
    <n v="1209670711"/>
    <s v="69"/>
    <x v="80"/>
    <d v="2026-10-14T10:59:51"/>
    <d v="2026-10-14T04:59:48"/>
    <d v="2026-10-14T00:00:00"/>
    <s v=""/>
    <s v="PACK"/>
    <n v="46"/>
    <s v="PENDIENTE APROBACION  ENVIO TMS"/>
    <s v="000000001209670711"/>
    <x v="1"/>
    <x v="1"/>
    <m/>
    <n v="1"/>
    <m/>
  </r>
  <r>
    <n v="8209670759"/>
    <s v="70"/>
    <x v="45"/>
    <d v="2026-10-14T10:59:52"/>
    <d v="2026-10-14T04:59:49"/>
    <d v="2026-10-14T00:00:00"/>
    <s v=""/>
    <s v="UNIDAD"/>
    <n v="1"/>
    <s v="PENDIENTE APROBACION  ENVIO TMS"/>
    <s v="000000008209670759"/>
    <x v="2"/>
    <x v="2"/>
    <m/>
    <n v="1"/>
    <m/>
  </r>
  <r>
    <n v="1209670737"/>
    <s v="70"/>
    <x v="45"/>
    <d v="2026-10-14T10:59:53"/>
    <d v="2026-10-14T04:59:50"/>
    <d v="2026-10-14T00:00:00"/>
    <s v=""/>
    <s v="CAJA"/>
    <n v="19"/>
    <s v="PENDIENTE APROBACION  ENVIO TMS"/>
    <s v="000000001209670737"/>
    <x v="1"/>
    <x v="2"/>
    <m/>
    <n v="1"/>
    <m/>
  </r>
  <r>
    <n v="1209670619"/>
    <s v="67"/>
    <x v="64"/>
    <d v="2026-10-14T10:59:54"/>
    <d v="2026-10-14T04:59:52"/>
    <d v="2026-10-14T00:00:00"/>
    <s v=""/>
    <s v="CAJA"/>
    <n v="22"/>
    <s v="PENDIENTE APROBACION  ENVIO TMS"/>
    <s v="000000001209670619"/>
    <x v="1"/>
    <x v="2"/>
    <m/>
    <n v="1"/>
    <m/>
  </r>
  <r>
    <n v="1209670621"/>
    <s v="67"/>
    <x v="64"/>
    <d v="2026-10-14T10:59:55"/>
    <d v="2026-10-14T04:59:53"/>
    <d v="2026-10-14T00:00:00"/>
    <s v=""/>
    <s v="PACK"/>
    <n v="32"/>
    <s v="PENDIENTE APROBACION  ENVIO TMS"/>
    <s v="000000001209670621"/>
    <x v="1"/>
    <x v="2"/>
    <m/>
    <n v="1"/>
    <m/>
  </r>
  <r>
    <n v="8209670728"/>
    <s v="70"/>
    <x v="45"/>
    <d v="2026-10-14T10:59:57"/>
    <d v="2026-10-14T04:59:54"/>
    <d v="2026-10-14T00:00:00"/>
    <s v=""/>
    <s v="UNIDAD"/>
    <n v="1"/>
    <s v="PENDIENTE APROBACION  ENVIO TMS"/>
    <s v="000000008209670728"/>
    <x v="2"/>
    <x v="2"/>
    <m/>
    <n v="1"/>
    <m/>
  </r>
  <r>
    <n v="1209670755"/>
    <s v="70"/>
    <x v="45"/>
    <d v="2026-10-14T10:59:58"/>
    <d v="2026-10-14T04:59:55"/>
    <d v="2026-10-14T00:00:00"/>
    <s v=""/>
    <s v="PACK"/>
    <n v="47"/>
    <s v="PENDIENTE APROBACION  ENVIO TMS"/>
    <s v="000000001209670755"/>
    <x v="1"/>
    <x v="2"/>
    <m/>
    <n v="1"/>
    <m/>
  </r>
  <r>
    <n v="1209670748"/>
    <s v="70"/>
    <x v="45"/>
    <d v="2026-10-14T10:59:59"/>
    <d v="2026-10-14T04:59:57"/>
    <d v="2026-10-14T00:00:00"/>
    <s v=""/>
    <s v="PACK"/>
    <n v="5"/>
    <s v="PENDIENTE APROBACION  ENVIO TMS"/>
    <s v="000000001209670748"/>
    <x v="1"/>
    <x v="2"/>
    <m/>
    <n v="1"/>
    <m/>
  </r>
  <r>
    <n v="8209670694"/>
    <s v="69"/>
    <x v="80"/>
    <d v="2026-10-14T11:00:01"/>
    <d v="2026-10-14T04:59:59"/>
    <d v="2026-10-14T00:00:00"/>
    <s v=""/>
    <s v="UNIDAD"/>
    <n v="14"/>
    <s v="PENDIENTE APROBACION  ENVIO TMS"/>
    <s v="000000008209670694"/>
    <x v="2"/>
    <x v="1"/>
    <m/>
    <n v="1"/>
    <m/>
  </r>
  <r>
    <n v="1209670696"/>
    <s v="69"/>
    <x v="80"/>
    <d v="2026-10-14T11:00:03"/>
    <d v="2026-10-14T05:00:00"/>
    <d v="2026-10-14T00:00:00"/>
    <s v=""/>
    <s v="CAJA"/>
    <n v="3"/>
    <s v="PENDIENTE APROBACION  ENVIO TMS"/>
    <s v="000000001209670696"/>
    <x v="1"/>
    <x v="1"/>
    <m/>
    <n v="1"/>
    <m/>
  </r>
  <r>
    <n v="1209670750"/>
    <s v="70"/>
    <x v="45"/>
    <d v="2026-10-14T11:00:04"/>
    <d v="2026-10-14T05:00:02"/>
    <d v="2026-10-14T00:00:00"/>
    <s v=""/>
    <s v="CAJA"/>
    <n v="33"/>
    <s v="PENDIENTE APROBACION  ENVIO TMS"/>
    <s v="000000001209670750"/>
    <x v="1"/>
    <x v="2"/>
    <m/>
    <n v="1"/>
    <m/>
  </r>
  <r>
    <n v="1209670736"/>
    <s v="70"/>
    <x v="45"/>
    <d v="2026-10-14T11:00:06"/>
    <d v="2026-10-14T05:00:04"/>
    <d v="2026-10-14T00:00:00"/>
    <s v=""/>
    <s v="PACK"/>
    <n v="21"/>
    <s v="PENDIENTE APROBACION  ENVIO TMS"/>
    <s v="000000001209670736"/>
    <x v="1"/>
    <x v="2"/>
    <m/>
    <n v="1"/>
    <m/>
  </r>
  <r>
    <n v="1209670753"/>
    <s v="70"/>
    <x v="45"/>
    <d v="2026-10-14T11:00:08"/>
    <d v="2026-10-14T05:00:05"/>
    <d v="2026-10-14T00:00:00"/>
    <s v=""/>
    <s v="CAJA"/>
    <n v="44"/>
    <s v="PENDIENTE APROBACION  ENVIO TMS"/>
    <s v="000000001209670753"/>
    <x v="1"/>
    <x v="2"/>
    <m/>
    <n v="1"/>
    <m/>
  </r>
  <r>
    <n v="1209670761"/>
    <s v="70"/>
    <x v="45"/>
    <d v="2026-10-14T11:00:09"/>
    <d v="2026-10-14T05:00:06"/>
    <d v="2026-10-14T00:00:00"/>
    <s v=""/>
    <s v="PACK"/>
    <n v="12"/>
    <s v="PENDIENTE APROBACION  ENVIO TMS"/>
    <s v="000000001209670761"/>
    <x v="1"/>
    <x v="2"/>
    <m/>
    <n v="1"/>
    <m/>
  </r>
  <r>
    <n v="1209670648"/>
    <s v="68"/>
    <x v="97"/>
    <d v="2026-10-14T11:00:11"/>
    <d v="2026-10-14T05:00:09"/>
    <d v="2026-10-14T00:00:00"/>
    <s v=""/>
    <s v="PACK"/>
    <n v="36"/>
    <s v="PENDIENTE APROBACION  ENVIO TMS"/>
    <s v="000000001209670648"/>
    <x v="1"/>
    <x v="3"/>
    <m/>
    <n v="1"/>
    <m/>
  </r>
  <r>
    <n v="1209670652"/>
    <s v="68"/>
    <x v="97"/>
    <d v="2026-10-14T11:00:11"/>
    <d v="2026-10-14T05:00:08"/>
    <d v="2026-10-14T00:00:00"/>
    <s v=""/>
    <s v="UNIDAD"/>
    <n v="71"/>
    <s v="PENDIENTE APROBACION  ENVIO TMS"/>
    <s v="000000001209670652"/>
    <x v="1"/>
    <x v="3"/>
    <m/>
    <n v="1"/>
    <m/>
  </r>
  <r>
    <n v="8209670638"/>
    <s v="68"/>
    <x v="97"/>
    <d v="2026-10-14T11:00:13"/>
    <d v="2026-10-14T05:00:10"/>
    <d v="2026-10-14T00:00:00"/>
    <s v=""/>
    <s v="UNIDAD"/>
    <n v="1"/>
    <s v="PENDIENTE APROBACION  ENVIO TMS"/>
    <s v="000000008209670638"/>
    <x v="2"/>
    <x v="3"/>
    <m/>
    <n v="1"/>
    <m/>
  </r>
  <r>
    <n v="8209670641"/>
    <s v="68"/>
    <x v="97"/>
    <d v="2026-10-14T11:00:14"/>
    <d v="2026-10-14T05:00:12"/>
    <d v="2026-10-14T00:00:00"/>
    <s v=""/>
    <s v="UNIDAD"/>
    <n v="59"/>
    <s v="PENDIENTE APROBACION  ENVIO TMS"/>
    <s v="000000008209670641"/>
    <x v="2"/>
    <x v="3"/>
    <m/>
    <n v="1"/>
    <m/>
  </r>
  <r>
    <n v="8209670625"/>
    <s v="67"/>
    <x v="64"/>
    <d v="2026-10-14T11:00:15"/>
    <d v="2026-10-14T05:00:13"/>
    <d v="2026-10-14T00:00:00"/>
    <s v=""/>
    <s v="UNIDAD"/>
    <n v="3"/>
    <s v="PENDIENTE APROBACION  ENVIO TMS"/>
    <s v="000000008209670625"/>
    <x v="2"/>
    <x v="2"/>
    <m/>
    <n v="1"/>
    <m/>
  </r>
  <r>
    <n v="1209670617"/>
    <s v="67"/>
    <x v="64"/>
    <d v="2026-10-14T11:00:17"/>
    <d v="2026-10-14T05:00:14"/>
    <d v="2026-10-14T00:00:00"/>
    <s v=""/>
    <s v="PACK"/>
    <n v="12"/>
    <s v="PENDIENTE APROBACION  ENVIO TMS"/>
    <s v="000000001209670617"/>
    <x v="1"/>
    <x v="2"/>
    <m/>
    <n v="1"/>
    <m/>
  </r>
  <r>
    <n v="1209670700"/>
    <s v="69"/>
    <x v="80"/>
    <d v="2026-10-14T11:00:19"/>
    <d v="2026-10-14T05:00:16"/>
    <d v="2026-10-14T00:00:00"/>
    <s v=""/>
    <s v="CAJA"/>
    <n v="20"/>
    <s v="PENDIENTE APROBACION  ENVIO TMS"/>
    <s v="000000001209670700"/>
    <x v="1"/>
    <x v="1"/>
    <m/>
    <n v="1"/>
    <m/>
  </r>
  <r>
    <n v="1209670623"/>
    <s v="67"/>
    <x v="64"/>
    <d v="2026-10-14T11:00:21"/>
    <d v="2026-10-14T05:00:18"/>
    <d v="2026-10-14T00:00:00"/>
    <s v=""/>
    <s v="CAJA"/>
    <n v="2"/>
    <s v="PENDIENTE APROBACION  ENVIO TMS"/>
    <s v="000000001209670623"/>
    <x v="1"/>
    <x v="2"/>
    <m/>
    <n v="1"/>
    <m/>
  </r>
  <r>
    <n v="1209670647"/>
    <s v="68"/>
    <x v="97"/>
    <d v="2026-10-14T11:00:22"/>
    <d v="2026-10-14T05:00:19"/>
    <d v="2026-10-14T00:00:00"/>
    <s v=""/>
    <s v="CAJA"/>
    <n v="28"/>
    <s v="PENDIENTE APROBACION  ENVIO TMS"/>
    <s v="000000001209670647"/>
    <x v="1"/>
    <x v="3"/>
    <m/>
    <n v="1"/>
    <m/>
  </r>
  <r>
    <n v="8209670639"/>
    <s v="68"/>
    <x v="97"/>
    <d v="2026-10-14T11:00:24"/>
    <d v="2026-10-14T05:00:21"/>
    <d v="2026-10-14T00:00:00"/>
    <s v=""/>
    <s v="UNIDAD"/>
    <n v="5"/>
    <s v="PENDIENTE APROBACION  ENVIO TMS"/>
    <s v="000000008209670639"/>
    <x v="2"/>
    <x v="3"/>
    <m/>
    <n v="1"/>
    <m/>
  </r>
  <r>
    <n v="1209670651"/>
    <s v="68"/>
    <x v="97"/>
    <d v="2026-10-14T11:00:25"/>
    <d v="2026-10-14T05:00:23"/>
    <d v="2026-10-14T00:00:00"/>
    <s v=""/>
    <s v="CAJA"/>
    <n v="53"/>
    <s v="PENDIENTE APROBACION  ENVIO TMS"/>
    <s v="000000001209670651"/>
    <x v="1"/>
    <x v="3"/>
    <m/>
    <n v="1"/>
    <m/>
  </r>
  <r>
    <n v="1209670654"/>
    <s v="68"/>
    <x v="97"/>
    <d v="2026-10-14T11:00:27"/>
    <d v="2026-10-14T05:00:24"/>
    <d v="2026-10-14T00:00:00"/>
    <s v=""/>
    <s v="PACK"/>
    <n v="77"/>
    <s v="PENDIENTE APROBACION  ENVIO TMS"/>
    <s v="000000001209670654"/>
    <x v="1"/>
    <x v="3"/>
    <m/>
    <n v="1"/>
    <m/>
  </r>
  <r>
    <n v="1209670739"/>
    <s v="70"/>
    <x v="45"/>
    <d v="2026-10-14T11:00:28"/>
    <d v="2026-10-14T05:00:25"/>
    <d v="2026-10-14T00:00:00"/>
    <s v=""/>
    <s v="PACK"/>
    <n v="46"/>
    <s v="PENDIENTE APROBACION  ENVIO TMS"/>
    <s v="000000001209670739"/>
    <x v="1"/>
    <x v="2"/>
    <m/>
    <n v="1"/>
    <m/>
  </r>
  <r>
    <n v="1209670735"/>
    <s v="70"/>
    <x v="45"/>
    <d v="2026-10-14T11:00:29"/>
    <d v="2026-10-14T05:00:27"/>
    <d v="2026-10-14T00:00:00"/>
    <s v=""/>
    <s v="CAJA"/>
    <n v="19"/>
    <s v="PENDIENTE APROBACION  ENVIO TMS"/>
    <s v="000000001209670735"/>
    <x v="1"/>
    <x v="2"/>
    <m/>
    <n v="1"/>
    <m/>
  </r>
  <r>
    <n v="1209670628"/>
    <s v="67"/>
    <x v="64"/>
    <d v="2026-10-14T11:00:31"/>
    <d v="2026-10-14T05:00:28"/>
    <d v="2026-10-14T00:00:00"/>
    <s v=""/>
    <s v="CAJA"/>
    <n v="1"/>
    <s v="PENDIENTE APROBACION  ENVIO TMS"/>
    <s v="000000001209670628"/>
    <x v="1"/>
    <x v="2"/>
    <m/>
    <n v="1"/>
    <m/>
  </r>
  <r>
    <n v="1209670629"/>
    <s v="67"/>
    <x v="64"/>
    <d v="2026-10-14T11:00:33"/>
    <d v="2026-10-14T05:00:30"/>
    <d v="2026-10-14T00:00:00"/>
    <s v=""/>
    <s v="PACK"/>
    <n v="16"/>
    <s v="PENDIENTE APROBACION  ENVIO TMS"/>
    <s v="000000001209670629"/>
    <x v="1"/>
    <x v="2"/>
    <m/>
    <n v="1"/>
    <m/>
  </r>
  <r>
    <n v="1209670635"/>
    <s v="67"/>
    <x v="64"/>
    <d v="2026-10-14T11:00:34"/>
    <d v="2026-10-14T05:00:32"/>
    <d v="2026-10-14T00:00:00"/>
    <s v=""/>
    <s v="CAJA"/>
    <n v="35"/>
    <s v="PENDIENTE APROBACION  ENVIO TMS"/>
    <s v="000000001209670635"/>
    <x v="1"/>
    <x v="2"/>
    <m/>
    <n v="1"/>
    <m/>
  </r>
  <r>
    <n v="8209670613"/>
    <s v="67"/>
    <x v="64"/>
    <d v="2026-10-14T11:00:37"/>
    <d v="2026-10-14T05:00:34"/>
    <d v="2026-10-14T00:00:00"/>
    <s v=""/>
    <s v="UNIDAD"/>
    <n v="4"/>
    <s v="PENDIENTE APROBACION  ENVIO TMS"/>
    <s v="000000008209670613"/>
    <x v="2"/>
    <x v="2"/>
    <m/>
    <n v="1"/>
    <m/>
  </r>
  <r>
    <n v="8209670615"/>
    <s v="67"/>
    <x v="64"/>
    <d v="2026-10-14T11:00:38"/>
    <d v="2026-10-14T05:00:36"/>
    <d v="2026-10-14T00:00:00"/>
    <s v=""/>
    <s v="UNIDAD"/>
    <n v="26"/>
    <s v="PENDIENTE APROBACION  ENVIO TMS"/>
    <s v="000000008209670615"/>
    <x v="2"/>
    <x v="2"/>
    <m/>
    <n v="1"/>
    <m/>
  </r>
  <r>
    <n v="1209670707"/>
    <s v="69"/>
    <x v="80"/>
    <d v="2026-10-14T11:00:40"/>
    <d v="2026-10-14T05:00:37"/>
    <d v="2026-10-14T00:00:00"/>
    <s v=""/>
    <s v="CAJA"/>
    <n v="52"/>
    <s v="PENDIENTE APROBACION  ENVIO TMS"/>
    <s v="000000001209670707"/>
    <x v="1"/>
    <x v="1"/>
    <m/>
    <n v="1"/>
    <m/>
  </r>
  <r>
    <n v="8209670730"/>
    <s v="70"/>
    <x v="45"/>
    <d v="2026-10-14T11:00:42"/>
    <d v="2026-10-14T05:00:39"/>
    <d v="2026-10-14T00:00:00"/>
    <s v=""/>
    <s v="UNIDAD"/>
    <n v="1"/>
    <s v="PENDIENTE APROBACION  ENVIO TMS"/>
    <s v="000000008209670730"/>
    <x v="2"/>
    <x v="2"/>
    <m/>
    <n v="1"/>
    <m/>
  </r>
  <r>
    <n v="8209670744"/>
    <s v="70"/>
    <x v="45"/>
    <d v="2026-10-14T11:00:44"/>
    <d v="2026-10-14T05:00:41"/>
    <d v="2026-10-14T00:00:00"/>
    <s v=""/>
    <s v="UNIDAD"/>
    <n v="34"/>
    <s v="PENDIENTE APROBACION  ENVIO TMS"/>
    <s v="000000008209670744"/>
    <x v="2"/>
    <x v="2"/>
    <m/>
    <n v="1"/>
    <m/>
  </r>
  <r>
    <n v="8209670690"/>
    <s v="69"/>
    <x v="80"/>
    <d v="2026-10-14T11:00:45"/>
    <d v="2026-10-14T05:00:42"/>
    <d v="2026-10-14T00:00:00"/>
    <s v=""/>
    <s v="UNIDAD"/>
    <n v="1"/>
    <s v="PENDIENTE APROBACION  ENVIO TMS"/>
    <s v="000000008209670690"/>
    <x v="2"/>
    <x v="1"/>
    <m/>
    <n v="1"/>
    <m/>
  </r>
  <r>
    <n v="8209670692"/>
    <s v="69"/>
    <x v="80"/>
    <d v="2026-10-14T11:00:46"/>
    <d v="2026-10-14T05:00:44"/>
    <d v="2026-10-14T00:00:00"/>
    <s v=""/>
    <s v="UNIDAD"/>
    <n v="2"/>
    <s v="PENDIENTE APROBACION  ENVIO TMS"/>
    <s v="000000008209670692"/>
    <x v="2"/>
    <x v="1"/>
    <m/>
    <n v="1"/>
    <m/>
  </r>
  <r>
    <n v="1209670699"/>
    <s v="69"/>
    <x v="80"/>
    <d v="2026-10-14T11:00:48"/>
    <d v="2026-10-14T05:00:45"/>
    <d v="2026-10-14T00:00:00"/>
    <s v=""/>
    <s v="CAJA"/>
    <n v="13"/>
    <s v="PENDIENTE APROBACION  ENVIO TMS"/>
    <s v="000000001209670699"/>
    <x v="1"/>
    <x v="1"/>
    <m/>
    <n v="1"/>
    <m/>
  </r>
  <r>
    <n v="8209670874"/>
    <s v="75"/>
    <x v="37"/>
    <d v="2026-10-14T11:04:13"/>
    <d v="2026-10-14T05:04:10"/>
    <d v="2026-10-14T00:00:00"/>
    <s v=""/>
    <s v="UNIDAD"/>
    <n v="1"/>
    <s v="PENDIENTE APROBACION  ENVIO TMS"/>
    <s v="000000008209670874"/>
    <x v="2"/>
    <x v="3"/>
    <m/>
    <n v="1"/>
    <m/>
  </r>
  <r>
    <n v="1209670782"/>
    <s v="72"/>
    <x v="60"/>
    <d v="2026-10-14T11:04:15"/>
    <d v="2026-10-14T05:04:12"/>
    <d v="2026-10-14T00:00:00"/>
    <s v=""/>
    <s v="PACK"/>
    <n v="33"/>
    <s v="PENDIENTE APROBACION  ENVIO TMS"/>
    <s v="000000001209670782"/>
    <x v="1"/>
    <x v="3"/>
    <m/>
    <n v="1"/>
    <m/>
  </r>
  <r>
    <n v="1209670854"/>
    <s v="74"/>
    <x v="63"/>
    <d v="2026-10-14T11:04:16"/>
    <d v="2026-10-14T05:04:13"/>
    <d v="2026-10-14T00:00:00"/>
    <s v=""/>
    <s v="CAJA"/>
    <n v="35"/>
    <s v="PENDIENTE APROBACION  ENVIO TMS"/>
    <s v="000000001209670854"/>
    <x v="1"/>
    <x v="0"/>
    <m/>
    <n v="1"/>
    <m/>
  </r>
  <r>
    <n v="8209670803"/>
    <s v="73"/>
    <x v="93"/>
    <d v="2026-10-14T11:04:17"/>
    <d v="2026-10-14T05:04:15"/>
    <d v="2026-10-14T00:00:00"/>
    <s v=""/>
    <s v="UNIDAD"/>
    <n v="4"/>
    <s v="PENDIENTE APROBACION  ENVIO TMS"/>
    <s v="000000008209670803"/>
    <x v="2"/>
    <x v="0"/>
    <m/>
    <n v="1"/>
    <m/>
  </r>
  <r>
    <n v="1209670808"/>
    <s v="73"/>
    <x v="93"/>
    <d v="2026-10-14T11:04:19"/>
    <d v="2026-10-14T05:04:16"/>
    <d v="2026-10-14T00:00:00"/>
    <s v=""/>
    <s v="CAJA"/>
    <n v="3"/>
    <s v="PENDIENTE APROBACION  ENVIO TMS"/>
    <s v="000000001209670808"/>
    <x v="1"/>
    <x v="0"/>
    <m/>
    <n v="1"/>
    <m/>
  </r>
  <r>
    <n v="1209670882"/>
    <s v="75"/>
    <x v="37"/>
    <d v="2026-10-14T11:04:20"/>
    <d v="2026-10-14T05:04:17"/>
    <d v="2026-10-14T00:00:00"/>
    <s v=""/>
    <s v="CAJA"/>
    <n v="16"/>
    <s v="PENDIENTE APROBACION  ENVIO TMS"/>
    <s v="000000001209670882"/>
    <x v="1"/>
    <x v="3"/>
    <m/>
    <n v="1"/>
    <m/>
  </r>
  <r>
    <n v="1209670897"/>
    <s v="75"/>
    <x v="37"/>
    <d v="2026-10-14T11:04:22"/>
    <d v="2026-10-14T05:04:20"/>
    <d v="2026-10-14T00:00:00"/>
    <s v=""/>
    <s v="CAJA"/>
    <n v="10"/>
    <s v="PENDIENTE APROBACION  ENVIO TMS"/>
    <s v="000000001209670897"/>
    <x v="1"/>
    <x v="3"/>
    <m/>
    <n v="1"/>
    <m/>
  </r>
  <r>
    <n v="8209670895"/>
    <s v="75"/>
    <x v="37"/>
    <d v="2026-10-14T11:04:22"/>
    <d v="2026-10-14T05:04:19"/>
    <d v="2026-10-14T00:00:00"/>
    <s v=""/>
    <s v="UNIDAD"/>
    <n v="8"/>
    <s v="PENDIENTE APROBACION  ENVIO TMS"/>
    <s v="000000008209670895"/>
    <x v="2"/>
    <x v="3"/>
    <m/>
    <n v="1"/>
    <m/>
  </r>
  <r>
    <n v="8209670772"/>
    <s v="72"/>
    <x v="60"/>
    <d v="2026-10-14T11:04:24"/>
    <d v="2026-10-14T05:04:22"/>
    <d v="2026-10-14T00:00:00"/>
    <s v=""/>
    <s v="UNIDAD"/>
    <n v="2"/>
    <s v="PENDIENTE APROBACION  ENVIO TMS"/>
    <s v="000000008209670772"/>
    <x v="2"/>
    <x v="3"/>
    <m/>
    <n v="1"/>
    <m/>
  </r>
  <r>
    <n v="1209670811"/>
    <s v="73"/>
    <x v="93"/>
    <d v="2026-10-14T11:04:25"/>
    <d v="2026-10-14T05:04:23"/>
    <d v="2026-10-14T00:00:00"/>
    <s v=""/>
    <s v="CAJA"/>
    <n v="15"/>
    <s v="PENDIENTE APROBACION  ENVIO TMS"/>
    <s v="000000001209670811"/>
    <x v="1"/>
    <x v="0"/>
    <m/>
    <n v="1"/>
    <m/>
  </r>
  <r>
    <n v="1209670853"/>
    <s v="74"/>
    <x v="63"/>
    <d v="2026-10-14T11:04:27"/>
    <d v="2026-10-14T05:04:25"/>
    <d v="2026-10-14T00:00:00"/>
    <s v=""/>
    <s v="CAJA"/>
    <n v="3"/>
    <s v="PENDIENTE APROBACION  ENVIO TMS"/>
    <s v="000000001209670853"/>
    <x v="1"/>
    <x v="0"/>
    <m/>
    <n v="1"/>
    <m/>
  </r>
  <r>
    <n v="8209670861"/>
    <s v="74"/>
    <x v="63"/>
    <d v="2026-10-14T11:04:27"/>
    <d v="2026-10-14T05:04:24"/>
    <d v="2026-10-14T00:00:00"/>
    <s v=""/>
    <s v="UNIDAD"/>
    <n v="1"/>
    <s v="PENDIENTE APROBACION  ENVIO TMS"/>
    <s v="000000008209670861"/>
    <x v="2"/>
    <x v="0"/>
    <m/>
    <n v="1"/>
    <m/>
  </r>
  <r>
    <n v="8209670846"/>
    <s v="74"/>
    <x v="63"/>
    <d v="2026-10-14T11:04:29"/>
    <d v="2026-10-14T05:04:27"/>
    <d v="2026-10-14T00:00:00"/>
    <s v=""/>
    <s v="UNIDAD"/>
    <n v="13"/>
    <s v="PENDIENTE APROBACION  ENVIO TMS"/>
    <s v="000000008209670846"/>
    <x v="2"/>
    <x v="0"/>
    <m/>
    <n v="1"/>
    <m/>
  </r>
  <r>
    <n v="1209670855"/>
    <s v="74"/>
    <x v="63"/>
    <d v="2026-10-14T11:04:30"/>
    <d v="2026-10-14T05:04:28"/>
    <d v="2026-10-14T00:00:00"/>
    <s v=""/>
    <s v="PACK"/>
    <n v="45"/>
    <s v="PENDIENTE APROBACION  ENVIO TMS"/>
    <s v="000000001209670855"/>
    <x v="1"/>
    <x v="0"/>
    <m/>
    <n v="1"/>
    <m/>
  </r>
  <r>
    <n v="8209670789"/>
    <s v="72"/>
    <x v="60"/>
    <d v="2026-10-14T11:04:32"/>
    <d v="2026-10-14T05:04:29"/>
    <d v="2026-10-14T00:00:00"/>
    <s v=""/>
    <s v="UNIDAD"/>
    <n v="28"/>
    <s v="PENDIENTE APROBACION  ENVIO TMS"/>
    <s v="000000008209670789"/>
    <x v="2"/>
    <x v="3"/>
    <m/>
    <n v="1"/>
    <m/>
  </r>
  <r>
    <n v="8209670804"/>
    <s v="73"/>
    <x v="93"/>
    <d v="2026-10-14T11:04:33"/>
    <d v="2026-10-14T05:04:30"/>
    <d v="2026-10-14T00:00:00"/>
    <s v=""/>
    <s v="UNIDAD"/>
    <n v="12"/>
    <s v="PENDIENTE APROBACION  ENVIO TMS"/>
    <s v="000000008209670804"/>
    <x v="2"/>
    <x v="0"/>
    <m/>
    <n v="1"/>
    <m/>
  </r>
  <r>
    <n v="1209670805"/>
    <s v="73"/>
    <x v="93"/>
    <d v="2026-10-14T11:04:34"/>
    <d v="2026-10-14T05:04:32"/>
    <d v="2026-10-14T00:00:00"/>
    <s v=""/>
    <s v="CAJA"/>
    <n v="1"/>
    <s v="PENDIENTE APROBACION  ENVIO TMS"/>
    <s v="000000001209670805"/>
    <x v="1"/>
    <x v="0"/>
    <m/>
    <n v="1"/>
    <m/>
  </r>
  <r>
    <n v="1209670885"/>
    <s v="75"/>
    <x v="37"/>
    <d v="2026-10-14T11:04:36"/>
    <d v="2026-10-14T05:04:33"/>
    <d v="2026-10-14T00:00:00"/>
    <s v=""/>
    <s v="CAJA"/>
    <n v="31"/>
    <s v="PENDIENTE APROBACION  ENVIO TMS"/>
    <s v="000000001209670885"/>
    <x v="1"/>
    <x v="3"/>
    <m/>
    <n v="1"/>
    <m/>
  </r>
  <r>
    <n v="1209670898"/>
    <s v="75"/>
    <x v="37"/>
    <d v="2026-10-14T11:04:37"/>
    <d v="2026-10-14T05:04:35"/>
    <d v="2026-10-14T00:00:00"/>
    <s v=""/>
    <s v="PACK"/>
    <n v="39"/>
    <s v="PENDIENTE APROBACION  ENVIO TMS"/>
    <s v="000000001209670898"/>
    <x v="1"/>
    <x v="3"/>
    <m/>
    <n v="1"/>
    <m/>
  </r>
  <r>
    <n v="8209670776"/>
    <s v="72"/>
    <x v="60"/>
    <d v="2026-10-14T11:04:38"/>
    <d v="2026-10-14T05:04:36"/>
    <d v="2026-10-14T00:00:00"/>
    <s v=""/>
    <s v="UNIDAD"/>
    <n v="27"/>
    <s v="PENDIENTE APROBACION  ENVIO TMS"/>
    <s v="000000008209670776"/>
    <x v="2"/>
    <x v="3"/>
    <m/>
    <n v="1"/>
    <m/>
  </r>
  <r>
    <n v="1209670813"/>
    <s v="73"/>
    <x v="93"/>
    <d v="2026-10-14T11:04:39"/>
    <d v="2026-10-14T05:04:37"/>
    <d v="2026-10-14T00:00:00"/>
    <s v=""/>
    <s v="PACK"/>
    <n v="13"/>
    <s v="PENDIENTE APROBACION  ENVIO TMS"/>
    <s v="000000001209670813"/>
    <x v="1"/>
    <x v="0"/>
    <m/>
    <n v="1"/>
    <m/>
  </r>
  <r>
    <n v="1209670817"/>
    <s v="73"/>
    <x v="93"/>
    <d v="2026-10-14T11:04:41"/>
    <d v="2026-10-14T05:04:38"/>
    <d v="2026-10-14T00:00:00"/>
    <s v=""/>
    <s v="CAJA"/>
    <n v="2"/>
    <s v="PENDIENTE APROBACION  ENVIO TMS"/>
    <s v="000000001209670817"/>
    <x v="1"/>
    <x v="0"/>
    <m/>
    <n v="1"/>
    <m/>
  </r>
  <r>
    <n v="1209670799"/>
    <s v="72"/>
    <x v="60"/>
    <d v="2026-10-14T11:04:42"/>
    <d v="2026-10-14T05:04:40"/>
    <d v="2026-10-14T00:00:00"/>
    <s v=""/>
    <s v="PACK"/>
    <n v="56"/>
    <s v="PENDIENTE APROBACION  ENVIO TMS"/>
    <s v="000000001209670799"/>
    <x v="1"/>
    <x v="3"/>
    <m/>
    <n v="1"/>
    <m/>
  </r>
  <r>
    <n v="8209670800"/>
    <s v="73"/>
    <x v="93"/>
    <d v="2026-10-14T11:04:44"/>
    <d v="2026-10-14T05:04:41"/>
    <d v="2026-10-14T00:00:00"/>
    <s v=""/>
    <s v="UNIDAD"/>
    <n v="4"/>
    <s v="PENDIENTE APROBACION  ENVIO TMS"/>
    <s v="000000008209670800"/>
    <x v="2"/>
    <x v="0"/>
    <m/>
    <n v="1"/>
    <m/>
  </r>
  <r>
    <n v="8209670802"/>
    <s v="73"/>
    <x v="93"/>
    <d v="2026-10-14T11:04:45"/>
    <d v="2026-10-14T05:04:42"/>
    <d v="2026-10-14T00:00:00"/>
    <s v=""/>
    <s v="UNIDAD"/>
    <n v="5"/>
    <s v="PENDIENTE APROBACION  ENVIO TMS"/>
    <s v="000000008209670802"/>
    <x v="2"/>
    <x v="0"/>
    <m/>
    <n v="1"/>
    <m/>
  </r>
  <r>
    <n v="8209670788"/>
    <s v="72"/>
    <x v="60"/>
    <d v="2026-10-14T11:04:46"/>
    <d v="2026-10-14T05:04:43"/>
    <d v="2026-10-14T00:00:00"/>
    <s v=""/>
    <s v="UNIDAD"/>
    <n v="5"/>
    <s v="PENDIENTE APROBACION  ENVIO TMS"/>
    <s v="000000008209670788"/>
    <x v="2"/>
    <x v="3"/>
    <m/>
    <n v="1"/>
    <m/>
  </r>
  <r>
    <n v="1209670809"/>
    <s v="73"/>
    <x v="93"/>
    <d v="2026-10-14T11:04:48"/>
    <d v="2026-10-14T05:04:45"/>
    <d v="2026-10-14T00:00:00"/>
    <s v=""/>
    <s v="CAJA"/>
    <n v="9"/>
    <s v="PENDIENTE APROBACION  ENVIO TMS"/>
    <s v="000000001209670809"/>
    <x v="1"/>
    <x v="0"/>
    <m/>
    <n v="1"/>
    <m/>
  </r>
  <r>
    <n v="8209670903"/>
    <s v="76"/>
    <x v="49"/>
    <d v="2026-10-14T11:04:49"/>
    <d v="2026-10-14T05:04:46"/>
    <d v="2026-10-14T00:00:00"/>
    <s v=""/>
    <s v="UNIDAD"/>
    <n v="31"/>
    <s v="PENDIENTE APROBACION  ENVIO TMS"/>
    <s v="000000008209670903"/>
    <x v="2"/>
    <x v="2"/>
    <m/>
    <n v="1"/>
    <m/>
  </r>
  <r>
    <n v="1209670905"/>
    <s v="76"/>
    <x v="49"/>
    <d v="2026-10-14T11:04:50"/>
    <d v="2026-10-14T05:04:48"/>
    <d v="2026-10-14T00:00:00"/>
    <s v=""/>
    <s v="PACK"/>
    <n v="6"/>
    <s v="PENDIENTE APROBACION  ENVIO TMS"/>
    <s v="000000001209670905"/>
    <x v="1"/>
    <x v="2"/>
    <m/>
    <n v="1"/>
    <m/>
  </r>
  <r>
    <n v="8209670774"/>
    <s v="72"/>
    <x v="60"/>
    <d v="2026-10-14T11:04:51"/>
    <d v="2026-10-14T05:04:49"/>
    <d v="2026-10-14T00:00:00"/>
    <s v=""/>
    <s v="UNIDAD"/>
    <n v="29"/>
    <s v="PENDIENTE APROBACION  ENVIO TMS"/>
    <s v="000000008209670774"/>
    <x v="2"/>
    <x v="3"/>
    <m/>
    <n v="1"/>
    <m/>
  </r>
  <r>
    <n v="1209670851"/>
    <s v="74"/>
    <x v="63"/>
    <d v="2026-10-14T11:04:53"/>
    <d v="2026-10-14T05:04:51"/>
    <d v="2026-10-14T00:00:00"/>
    <s v=""/>
    <s v="PACK"/>
    <n v="20"/>
    <s v="PENDIENTE APROBACION  ENVIO TMS"/>
    <s v="000000001209670851"/>
    <x v="1"/>
    <x v="0"/>
    <m/>
    <n v="1"/>
    <m/>
  </r>
  <r>
    <n v="1209670862"/>
    <s v="74"/>
    <x v="63"/>
    <d v="2026-10-14T11:04:55"/>
    <d v="2026-10-14T05:04:52"/>
    <d v="2026-10-14T00:00:00"/>
    <s v=""/>
    <s v="CAJA"/>
    <n v="8"/>
    <s v="PENDIENTE APROBACION  ENVIO TMS"/>
    <s v="000000001209670862"/>
    <x v="1"/>
    <x v="0"/>
    <m/>
    <n v="1"/>
    <m/>
  </r>
  <r>
    <n v="1209670848"/>
    <s v="74"/>
    <x v="63"/>
    <d v="2026-10-14T11:04:56"/>
    <d v="2026-10-14T05:04:54"/>
    <d v="2026-10-14T00:00:00"/>
    <s v=""/>
    <s v="CAJA"/>
    <n v="15"/>
    <s v="PENDIENTE APROBACION  ENVIO TMS"/>
    <s v="000000001209670848"/>
    <x v="1"/>
    <x v="0"/>
    <m/>
    <n v="1"/>
    <m/>
  </r>
  <r>
    <n v="8209670787"/>
    <s v="72"/>
    <x v="60"/>
    <d v="2026-10-14T11:04:57"/>
    <d v="2026-10-14T05:04:55"/>
    <d v="2026-10-14T00:00:00"/>
    <s v=""/>
    <s v="UNIDAD"/>
    <n v="11"/>
    <s v="PENDIENTE APROBACION  ENVIO TMS"/>
    <s v="000000008209670787"/>
    <x v="2"/>
    <x v="3"/>
    <m/>
    <n v="1"/>
    <m/>
  </r>
  <r>
    <n v="1209670849"/>
    <s v="74"/>
    <x v="63"/>
    <d v="2026-10-14T11:04:59"/>
    <d v="2026-10-14T05:04:56"/>
    <d v="2026-10-14T00:00:00"/>
    <s v=""/>
    <s v="PACK"/>
    <n v="21"/>
    <s v="PENDIENTE APROBACION  ENVIO TMS"/>
    <s v="000000001209670849"/>
    <x v="1"/>
    <x v="0"/>
    <m/>
    <n v="1"/>
    <m/>
  </r>
  <r>
    <n v="1209670807"/>
    <s v="73"/>
    <x v="93"/>
    <d v="2026-10-14T11:05:00"/>
    <d v="2026-10-14T05:04:58"/>
    <d v="2026-10-14T00:00:00"/>
    <s v=""/>
    <s v="CAJA"/>
    <n v="8"/>
    <s v="PENDIENTE APROBACION  ENVIO TMS"/>
    <s v="000000001209670807"/>
    <x v="1"/>
    <x v="0"/>
    <m/>
    <n v="1"/>
    <m/>
  </r>
  <r>
    <n v="1209670906"/>
    <s v="76"/>
    <x v="49"/>
    <d v="2026-10-14T11:05:02"/>
    <d v="2026-10-14T05:04:59"/>
    <d v="2026-10-14T00:00:00"/>
    <s v=""/>
    <s v="CAJA"/>
    <n v="18"/>
    <s v="PENDIENTE APROBACION  ENVIO TMS"/>
    <s v="000000001209670906"/>
    <x v="1"/>
    <x v="2"/>
    <m/>
    <n v="1"/>
    <m/>
  </r>
  <r>
    <n v="1209670880"/>
    <s v="75"/>
    <x v="37"/>
    <d v="2026-10-14T11:05:03"/>
    <d v="2026-10-14T05:05:01"/>
    <d v="2026-10-14T00:00:00"/>
    <s v=""/>
    <s v="CAJA"/>
    <n v="13"/>
    <s v="PENDIENTE APROBACION  ENVIO TMS"/>
    <s v="000000001209670880"/>
    <x v="1"/>
    <x v="3"/>
    <m/>
    <n v="1"/>
    <m/>
  </r>
  <r>
    <n v="1209670887"/>
    <s v="75"/>
    <x v="37"/>
    <d v="2026-10-14T11:05:05"/>
    <d v="2026-10-14T05:05:02"/>
    <d v="2026-10-14T00:00:00"/>
    <s v=""/>
    <s v="CAJA"/>
    <n v="3"/>
    <s v="PENDIENTE APROBACION  ENVIO TMS"/>
    <s v="000000001209670887"/>
    <x v="1"/>
    <x v="3"/>
    <m/>
    <n v="1"/>
    <m/>
  </r>
  <r>
    <n v="8209670894"/>
    <s v="75"/>
    <x v="37"/>
    <d v="2026-10-14T11:05:06"/>
    <d v="2026-10-14T05:05:03"/>
    <d v="2026-10-14T00:00:00"/>
    <s v=""/>
    <s v="UNIDAD"/>
    <n v="1"/>
    <s v="PENDIENTE APROBACION  ENVIO TMS"/>
    <s v="000000008209670894"/>
    <x v="2"/>
    <x v="3"/>
    <m/>
    <n v="1"/>
    <m/>
  </r>
  <r>
    <n v="1209670913"/>
    <s v="76"/>
    <x v="49"/>
    <d v="2026-10-14T11:05:08"/>
    <d v="2026-10-14T05:05:06"/>
    <d v="2026-10-14T00:00:00"/>
    <s v=""/>
    <s v="CAJA"/>
    <n v="2"/>
    <s v="PENDIENTE APROBACION  ENVIO TMS"/>
    <s v="000000001209670913"/>
    <x v="1"/>
    <x v="2"/>
    <m/>
    <n v="1"/>
    <m/>
  </r>
  <r>
    <n v="8209670902"/>
    <s v="76"/>
    <x v="49"/>
    <d v="2026-10-14T11:05:08"/>
    <d v="2026-10-14T05:05:05"/>
    <d v="2026-10-14T00:00:00"/>
    <s v=""/>
    <s v="UNIDAD"/>
    <n v="5"/>
    <s v="PENDIENTE APROBACION  ENVIO TMS"/>
    <s v="000000008209670902"/>
    <x v="2"/>
    <x v="2"/>
    <m/>
    <n v="1"/>
    <m/>
  </r>
  <r>
    <n v="1209670815"/>
    <s v="73"/>
    <x v="93"/>
    <d v="2026-10-14T11:05:10"/>
    <d v="2026-10-14T05:05:07"/>
    <d v="2026-10-14T00:00:00"/>
    <s v=""/>
    <s v="PACK"/>
    <n v="27"/>
    <s v="PENDIENTE APROBACION  ENVIO TMS"/>
    <s v="000000001209670815"/>
    <x v="1"/>
    <x v="0"/>
    <m/>
    <n v="1"/>
    <m/>
  </r>
  <r>
    <n v="1209670863"/>
    <s v="74"/>
    <x v="63"/>
    <d v="2026-10-14T11:05:11"/>
    <d v="2026-10-14T05:05:08"/>
    <d v="2026-10-14T00:00:00"/>
    <s v=""/>
    <s v="CAJA"/>
    <n v="43"/>
    <s v="PENDIENTE APROBACION  ENVIO TMS"/>
    <s v="000000001209670863"/>
    <x v="1"/>
    <x v="0"/>
    <m/>
    <n v="1"/>
    <m/>
  </r>
  <r>
    <n v="8209670842"/>
    <s v="74"/>
    <x v="63"/>
    <d v="2026-10-14T11:05:12"/>
    <d v="2026-10-14T05:05:10"/>
    <d v="2026-10-14T00:00:00"/>
    <s v=""/>
    <s v="UNIDAD"/>
    <n v="8"/>
    <s v="PENDIENTE APROBACION  ENVIO TMS"/>
    <s v="000000008209670842"/>
    <x v="2"/>
    <x v="0"/>
    <m/>
    <n v="1"/>
    <m/>
  </r>
  <r>
    <n v="1209670914"/>
    <s v="76"/>
    <x v="49"/>
    <d v="2026-10-14T11:05:14"/>
    <d v="2026-10-14T05:05:12"/>
    <d v="2026-10-14T00:00:00"/>
    <s v=""/>
    <s v="PACK"/>
    <n v="68"/>
    <s v="PENDIENTE APROBACION  ENVIO TMS"/>
    <s v="000000001209670914"/>
    <x v="1"/>
    <x v="2"/>
    <m/>
    <n v="1"/>
    <m/>
  </r>
  <r>
    <n v="8209670843"/>
    <s v="74"/>
    <x v="63"/>
    <d v="2026-10-14T11:05:14"/>
    <d v="2026-10-14T05:05:11"/>
    <d v="2026-10-14T00:00:00"/>
    <s v=""/>
    <s v="UNIDAD"/>
    <n v="7"/>
    <s v="PENDIENTE APROBACION  ENVIO TMS"/>
    <s v="000000008209670843"/>
    <x v="2"/>
    <x v="0"/>
    <m/>
    <n v="1"/>
    <m/>
  </r>
  <r>
    <n v="8209670878"/>
    <s v="75"/>
    <x v="37"/>
    <d v="2026-10-14T11:05:16"/>
    <d v="2026-10-14T05:05:14"/>
    <d v="2026-10-14T00:00:00"/>
    <s v=""/>
    <s v="UNIDAD"/>
    <n v="13"/>
    <s v="PENDIENTE APROBACION  ENVIO TMS"/>
    <s v="000000008209670878"/>
    <x v="2"/>
    <x v="3"/>
    <m/>
    <n v="1"/>
    <m/>
  </r>
  <r>
    <n v="1209670911"/>
    <s v="76"/>
    <x v="49"/>
    <d v="2026-10-14T11:05:18"/>
    <d v="2026-10-14T05:05:16"/>
    <d v="2026-10-14T00:00:00"/>
    <s v=""/>
    <s v="CAJA"/>
    <n v="37"/>
    <s v="PENDIENTE APROBACION  ENVIO TMS"/>
    <s v="000000001209670911"/>
    <x v="1"/>
    <x v="2"/>
    <m/>
    <n v="1"/>
    <m/>
  </r>
  <r>
    <n v="1209670879"/>
    <s v="75"/>
    <x v="37"/>
    <d v="2026-10-14T11:05:18"/>
    <d v="2026-10-14T05:05:15"/>
    <d v="2026-10-14T00:00:00"/>
    <s v=""/>
    <s v="CAJA"/>
    <n v="13"/>
    <s v="PENDIENTE APROBACION  ENVIO TMS"/>
    <s v="000000001209670879"/>
    <x v="1"/>
    <x v="3"/>
    <m/>
    <n v="1"/>
    <m/>
  </r>
  <r>
    <n v="1209670883"/>
    <s v="75"/>
    <x v="37"/>
    <d v="2026-10-14T11:05:20"/>
    <d v="2026-10-14T05:05:17"/>
    <d v="2026-10-14T00:00:00"/>
    <s v=""/>
    <s v="UNIDAD"/>
    <n v="44"/>
    <s v="PENDIENTE APROBACION  ENVIO TMS"/>
    <s v="000000001209670883"/>
    <x v="1"/>
    <x v="3"/>
    <m/>
    <n v="1"/>
    <m/>
  </r>
  <r>
    <n v="1209670912"/>
    <s v="76"/>
    <x v="49"/>
    <d v="2026-10-14T11:05:21"/>
    <d v="2026-10-14T05:05:19"/>
    <d v="2026-10-14T00:00:00"/>
    <s v=""/>
    <s v="PACK"/>
    <n v="71"/>
    <s v="PENDIENTE APROBACION  ENVIO TMS"/>
    <s v="000000001209670912"/>
    <x v="1"/>
    <x v="2"/>
    <m/>
    <n v="1"/>
    <m/>
  </r>
  <r>
    <n v="8209670873"/>
    <s v="75"/>
    <x v="37"/>
    <d v="2026-10-14T11:05:23"/>
    <d v="2026-10-14T05:05:20"/>
    <d v="2026-10-14T00:00:00"/>
    <s v=""/>
    <s v="UNIDAD"/>
    <n v="2"/>
    <s v="PENDIENTE APROBACION  ENVIO TMS"/>
    <s v="000000008209670873"/>
    <x v="2"/>
    <x v="3"/>
    <m/>
    <n v="1"/>
    <m/>
  </r>
  <r>
    <n v="1209670812"/>
    <s v="73"/>
    <x v="93"/>
    <d v="2026-10-14T11:05:24"/>
    <d v="2026-10-14T05:05:21"/>
    <d v="2026-10-14T00:00:00"/>
    <s v=""/>
    <s v="CAJA"/>
    <n v="13"/>
    <s v="PENDIENTE APROBACION  ENVIO TMS"/>
    <s v="000000001209670812"/>
    <x v="1"/>
    <x v="0"/>
    <m/>
    <n v="1"/>
    <m/>
  </r>
  <r>
    <n v="1209670860"/>
    <s v="74"/>
    <x v="63"/>
    <d v="2026-10-14T11:05:25"/>
    <d v="2026-10-14T05:05:23"/>
    <d v="2026-10-14T00:00:00"/>
    <s v=""/>
    <s v="PACK"/>
    <n v="84"/>
    <s v="PENDIENTE APROBACION  ENVIO TMS"/>
    <s v="000000001209670860"/>
    <x v="1"/>
    <x v="0"/>
    <m/>
    <n v="1"/>
    <m/>
  </r>
  <r>
    <n v="8209670844"/>
    <s v="74"/>
    <x v="63"/>
    <d v="2026-10-14T11:05:27"/>
    <d v="2026-10-14T05:05:24"/>
    <d v="2026-10-14T00:00:00"/>
    <s v=""/>
    <s v="UNIDAD"/>
    <n v="15"/>
    <s v="PENDIENTE APROBACION  ENVIO TMS"/>
    <s v="000000008209670844"/>
    <x v="2"/>
    <x v="0"/>
    <m/>
    <n v="1"/>
    <m/>
  </r>
  <r>
    <n v="1209670847"/>
    <s v="74"/>
    <x v="63"/>
    <d v="2026-10-14T11:05:29"/>
    <d v="2026-10-14T05:05:26"/>
    <d v="2026-10-14T00:00:00"/>
    <s v=""/>
    <s v="PACK"/>
    <n v="7"/>
    <s v="PENDIENTE APROBACION  ENVIO TMS"/>
    <s v="000000001209670847"/>
    <x v="1"/>
    <x v="0"/>
    <m/>
    <n v="1"/>
    <m/>
  </r>
  <r>
    <n v="1209670785"/>
    <s v="72"/>
    <x v="60"/>
    <d v="2026-10-14T11:05:31"/>
    <d v="2026-10-14T05:05:28"/>
    <d v="2026-10-14T00:00:00"/>
    <s v=""/>
    <s v="UNIDAD"/>
    <n v="48"/>
    <s v="PENDIENTE APROBACION  ENVIO TMS"/>
    <s v="000000001209670785"/>
    <x v="1"/>
    <x v="3"/>
    <m/>
    <n v="1"/>
    <m/>
  </r>
  <r>
    <n v="1209670786"/>
    <s v="72"/>
    <x v="60"/>
    <d v="2026-10-14T11:05:32"/>
    <d v="2026-10-14T05:05:30"/>
    <d v="2026-10-14T00:00:00"/>
    <s v=""/>
    <s v="CAJA"/>
    <n v="6"/>
    <s v="PENDIENTE APROBACION  ENVIO TMS"/>
    <s v="000000001209670786"/>
    <x v="1"/>
    <x v="3"/>
    <m/>
    <n v="1"/>
    <m/>
  </r>
  <r>
    <n v="8209670801"/>
    <s v="73"/>
    <x v="93"/>
    <d v="2026-10-14T11:05:34"/>
    <d v="2026-10-14T05:05:31"/>
    <d v="2026-10-14T00:00:00"/>
    <s v=""/>
    <s v="UNIDAD"/>
    <n v="2"/>
    <s v="PENDIENTE APROBACION  ENVIO TMS"/>
    <s v="000000008209670801"/>
    <x v="2"/>
    <x v="0"/>
    <m/>
    <n v="1"/>
    <m/>
  </r>
  <r>
    <n v="1209670806"/>
    <s v="73"/>
    <x v="93"/>
    <d v="2026-10-14T11:05:36"/>
    <d v="2026-10-14T05:05:34"/>
    <d v="2026-10-14T00:00:00"/>
    <s v=""/>
    <s v="CAJA"/>
    <n v="2"/>
    <s v="PENDIENTE APROBACION  ENVIO TMS"/>
    <s v="000000001209670806"/>
    <x v="1"/>
    <x v="0"/>
    <m/>
    <n v="1"/>
    <m/>
  </r>
  <r>
    <n v="1209670790"/>
    <s v="72"/>
    <x v="60"/>
    <d v="2026-10-14T11:05:36"/>
    <d v="2026-10-14T05:05:33"/>
    <d v="2026-10-14T00:00:00"/>
    <s v=""/>
    <s v="PACK"/>
    <n v="4"/>
    <s v="PENDIENTE APROBACION  ENVIO TMS"/>
    <s v="000000001209670790"/>
    <x v="1"/>
    <x v="3"/>
    <m/>
    <n v="1"/>
    <m/>
  </r>
  <r>
    <n v="8209670876"/>
    <s v="75"/>
    <x v="37"/>
    <d v="2026-10-14T11:05:38"/>
    <d v="2026-10-14T05:05:36"/>
    <d v="2026-10-14T00:00:00"/>
    <s v=""/>
    <s v="UNIDAD"/>
    <n v="14"/>
    <s v="PENDIENTE APROBACION  ENVIO TMS"/>
    <s v="000000008209670876"/>
    <x v="2"/>
    <x v="3"/>
    <m/>
    <n v="1"/>
    <m/>
  </r>
  <r>
    <n v="8209670877"/>
    <s v="75"/>
    <x v="37"/>
    <d v="2026-10-14T11:05:40"/>
    <d v="2026-10-14T05:05:37"/>
    <d v="2026-10-14T00:00:00"/>
    <s v=""/>
    <s v="UNIDAD"/>
    <n v="24"/>
    <s v="PENDIENTE APROBACION  ENVIO TMS"/>
    <s v="000000008209670877"/>
    <x v="2"/>
    <x v="3"/>
    <m/>
    <n v="1"/>
    <m/>
  </r>
  <r>
    <n v="1209670896"/>
    <s v="75"/>
    <x v="37"/>
    <d v="2026-10-14T11:05:41"/>
    <d v="2026-10-14T05:05:38"/>
    <d v="2026-10-14T00:00:00"/>
    <s v=""/>
    <s v="CAJA"/>
    <n v="2"/>
    <s v="PENDIENTE APROBACION  ENVIO TMS"/>
    <s v="000000001209670896"/>
    <x v="1"/>
    <x v="3"/>
    <m/>
    <n v="1"/>
    <m/>
  </r>
  <r>
    <n v="8209670899"/>
    <s v="76"/>
    <x v="49"/>
    <d v="2026-10-14T11:05:42"/>
    <d v="2026-10-14T05:05:40"/>
    <d v="2026-10-14T00:00:00"/>
    <s v=""/>
    <s v="UNIDAD"/>
    <n v="6"/>
    <s v="PENDIENTE APROBACION  ENVIO TMS"/>
    <s v="000000008209670899"/>
    <x v="2"/>
    <x v="2"/>
    <m/>
    <n v="1"/>
    <m/>
  </r>
  <r>
    <n v="8209670900"/>
    <s v="76"/>
    <x v="49"/>
    <d v="2026-10-14T11:05:43"/>
    <d v="2026-10-14T05:05:41"/>
    <d v="2026-10-14T00:00:00"/>
    <s v=""/>
    <s v="UNIDAD"/>
    <n v="6"/>
    <s v="PENDIENTE APROBACION  ENVIO TMS"/>
    <s v="000000008209670900"/>
    <x v="2"/>
    <x v="2"/>
    <m/>
    <n v="1"/>
    <m/>
  </r>
  <r>
    <n v="1209670796"/>
    <s v="72"/>
    <x v="60"/>
    <d v="2026-10-14T11:05:45"/>
    <d v="2026-10-14T05:05:42"/>
    <d v="2026-10-14T00:00:00"/>
    <s v=""/>
    <s v="CAJA"/>
    <n v="35"/>
    <s v="PENDIENTE APROBACION  ENVIO TMS"/>
    <s v="000000001209670796"/>
    <x v="1"/>
    <x v="3"/>
    <m/>
    <n v="1"/>
    <m/>
  </r>
  <r>
    <n v="1209670781"/>
    <s v="72"/>
    <x v="60"/>
    <d v="2026-10-14T11:05:46"/>
    <d v="2026-10-14T05:05:44"/>
    <d v="2026-10-14T00:00:00"/>
    <s v=""/>
    <s v="PACK"/>
    <n v="27"/>
    <s v="PENDIENTE APROBACION  ENVIO TMS"/>
    <s v="000000001209670781"/>
    <x v="1"/>
    <x v="3"/>
    <m/>
    <n v="1"/>
    <m/>
  </r>
  <r>
    <n v="1209670798"/>
    <s v="72"/>
    <x v="60"/>
    <d v="2026-10-14T11:05:48"/>
    <d v="2026-10-14T05:05:45"/>
    <d v="2026-10-14T00:00:00"/>
    <s v=""/>
    <s v="CAJA"/>
    <n v="49"/>
    <s v="PENDIENTE APROBACION  ENVIO TMS"/>
    <s v="000000001209670798"/>
    <x v="1"/>
    <x v="3"/>
    <m/>
    <n v="1"/>
    <m/>
  </r>
  <r>
    <n v="8209670845"/>
    <s v="74"/>
    <x v="63"/>
    <d v="2026-10-14T11:05:49"/>
    <d v="2026-10-14T05:05:46"/>
    <d v="2026-10-14T00:00:00"/>
    <s v=""/>
    <s v="UNIDAD"/>
    <n v="3"/>
    <s v="PENDIENTE APROBACION  ENVIO TMS"/>
    <s v="000000008209670845"/>
    <x v="2"/>
    <x v="0"/>
    <m/>
    <n v="1"/>
    <m/>
  </r>
  <r>
    <n v="1209670793"/>
    <s v="72"/>
    <x v="60"/>
    <d v="2026-10-14T11:05:50"/>
    <d v="2026-10-14T05:05:48"/>
    <d v="2026-10-14T00:00:00"/>
    <s v=""/>
    <s v="PACK"/>
    <n v="15"/>
    <s v="PENDIENTE APROBACION  ENVIO TMS"/>
    <s v="000000001209670793"/>
    <x v="1"/>
    <x v="3"/>
    <m/>
    <n v="1"/>
    <m/>
  </r>
  <r>
    <n v="1209670907"/>
    <s v="76"/>
    <x v="49"/>
    <d v="2026-10-14T11:05:52"/>
    <d v="2026-10-14T05:05:49"/>
    <d v="2026-10-14T00:00:00"/>
    <s v=""/>
    <s v="PACK"/>
    <n v="16"/>
    <s v="PENDIENTE APROBACION  ENVIO TMS"/>
    <s v="000000001209670907"/>
    <x v="1"/>
    <x v="2"/>
    <m/>
    <n v="1"/>
    <m/>
  </r>
  <r>
    <n v="1209670886"/>
    <s v="75"/>
    <x v="37"/>
    <d v="2026-10-14T11:05:53"/>
    <d v="2026-10-14T05:05:50"/>
    <d v="2026-10-14T00:00:00"/>
    <s v=""/>
    <s v="PACK"/>
    <n v="43"/>
    <s v="PENDIENTE APROBACION  ENVIO TMS"/>
    <s v="000000001209670886"/>
    <x v="1"/>
    <x v="3"/>
    <m/>
    <n v="1"/>
    <m/>
  </r>
  <r>
    <n v="1209670910"/>
    <s v="76"/>
    <x v="49"/>
    <d v="2026-10-14T11:05:54"/>
    <d v="2026-10-14T05:05:52"/>
    <d v="2026-10-14T00:00:00"/>
    <s v=""/>
    <s v="PACK"/>
    <n v="42"/>
    <s v="PENDIENTE APROBACION  ENVIO TMS"/>
    <s v="000000001209670910"/>
    <x v="1"/>
    <x v="2"/>
    <m/>
    <n v="1"/>
    <m/>
  </r>
  <r>
    <n v="1209670881"/>
    <s v="75"/>
    <x v="37"/>
    <d v="2026-10-14T11:05:55"/>
    <d v="2026-10-14T05:05:53"/>
    <d v="2026-10-14T00:00:00"/>
    <s v=""/>
    <s v="CAJA"/>
    <n v="17"/>
    <s v="PENDIENTE APROBACION  ENVIO TMS"/>
    <s v="000000001209670881"/>
    <x v="1"/>
    <x v="3"/>
    <m/>
    <n v="1"/>
    <m/>
  </r>
  <r>
    <n v="8209670901"/>
    <s v="76"/>
    <x v="49"/>
    <d v="2026-10-14T11:05:57"/>
    <d v="2026-10-14T05:05:54"/>
    <d v="2026-10-14T00:00:00"/>
    <s v=""/>
    <s v="UNIDAD"/>
    <n v="13"/>
    <s v="PENDIENTE APROBACION  ENVIO TMS"/>
    <s v="000000008209670901"/>
    <x v="2"/>
    <x v="2"/>
    <m/>
    <n v="1"/>
    <m/>
  </r>
  <r>
    <n v="8209670773"/>
    <s v="72"/>
    <x v="60"/>
    <d v="2026-10-14T11:05:58"/>
    <d v="2026-10-14T05:05:55"/>
    <d v="2026-10-14T00:00:00"/>
    <s v=""/>
    <s v="UNIDAD"/>
    <n v="3"/>
    <s v="PENDIENTE APROBACION  ENVIO TMS"/>
    <s v="000000008209670773"/>
    <x v="2"/>
    <x v="3"/>
    <m/>
    <n v="1"/>
    <m/>
  </r>
  <r>
    <n v="1209670795"/>
    <s v="72"/>
    <x v="60"/>
    <d v="2026-10-14T11:05:59"/>
    <d v="2026-10-14T05:05:57"/>
    <d v="2026-10-14T00:00:00"/>
    <s v=""/>
    <s v="PACK"/>
    <n v="26"/>
    <s v="PENDIENTE APROBACION  ENVIO TMS"/>
    <s v="000000001209670795"/>
    <x v="1"/>
    <x v="3"/>
    <m/>
    <n v="1"/>
    <m/>
  </r>
  <r>
    <n v="1209670810"/>
    <s v="73"/>
    <x v="93"/>
    <d v="2026-10-14T11:06:00"/>
    <d v="2026-10-14T05:05:58"/>
    <d v="2026-10-14T00:00:00"/>
    <s v=""/>
    <s v="CAJA"/>
    <n v="12"/>
    <s v="PENDIENTE APROBACION  ENVIO TMS"/>
    <s v="000000001209670810"/>
    <x v="1"/>
    <x v="0"/>
    <m/>
    <n v="1"/>
    <m/>
  </r>
  <r>
    <n v="1209670783"/>
    <s v="72"/>
    <x v="60"/>
    <d v="2026-10-14T11:06:02"/>
    <d v="2026-10-14T05:05:59"/>
    <d v="2026-10-14T00:00:00"/>
    <s v=""/>
    <s v="CAJA"/>
    <n v="27"/>
    <s v="PENDIENTE APROBACION  ENVIO TMS"/>
    <s v="000000001209670783"/>
    <x v="1"/>
    <x v="3"/>
    <m/>
    <n v="1"/>
    <m/>
  </r>
  <r>
    <n v="8209670841"/>
    <s v="74"/>
    <x v="63"/>
    <d v="2026-10-14T11:06:03"/>
    <d v="2026-10-14T05:06:01"/>
    <d v="2026-10-14T00:00:00"/>
    <s v=""/>
    <s v="UNIDAD"/>
    <n v="12"/>
    <s v="PENDIENTE APROBACION  ENVIO TMS"/>
    <s v="000000008209670841"/>
    <x v="2"/>
    <x v="0"/>
    <m/>
    <n v="1"/>
    <m/>
  </r>
  <r>
    <n v="1209670850"/>
    <s v="74"/>
    <x v="63"/>
    <d v="2026-10-14T11:06:04"/>
    <d v="2026-10-14T05:06:02"/>
    <d v="2026-10-14T00:00:00"/>
    <s v=""/>
    <s v="PACK"/>
    <n v="26"/>
    <s v="PENDIENTE APROBACION  ENVIO TMS"/>
    <s v="000000001209670850"/>
    <x v="1"/>
    <x v="0"/>
    <m/>
    <n v="1"/>
    <m/>
  </r>
  <r>
    <n v="1209670908"/>
    <s v="76"/>
    <x v="49"/>
    <d v="2026-10-14T11:06:06"/>
    <d v="2026-10-14T05:06:03"/>
    <d v="2026-10-14T00:00:00"/>
    <s v=""/>
    <s v="CAJA"/>
    <n v="16"/>
    <s v="PENDIENTE APROBACION  ENVIO TMS"/>
    <s v="000000001209670908"/>
    <x v="1"/>
    <x v="2"/>
    <m/>
    <n v="1"/>
    <m/>
  </r>
  <r>
    <n v="1209670909"/>
    <s v="76"/>
    <x v="49"/>
    <d v="2026-10-14T11:06:07"/>
    <d v="2026-10-14T05:06:04"/>
    <d v="2026-10-14T00:00:00"/>
    <s v=""/>
    <s v="CAJA"/>
    <n v="28"/>
    <s v="PENDIENTE APROBACION  ENVIO TMS"/>
    <s v="000000001209670909"/>
    <x v="1"/>
    <x v="2"/>
    <m/>
    <n v="1"/>
    <m/>
  </r>
  <r>
    <n v="1209670904"/>
    <s v="76"/>
    <x v="49"/>
    <d v="2026-10-14T11:06:08"/>
    <d v="2026-10-14T05:06:06"/>
    <d v="2026-10-14T00:00:00"/>
    <s v=""/>
    <s v="PACK"/>
    <n v="4"/>
    <s v="PENDIENTE APROBACION  ENVIO TMS"/>
    <s v="000000001209670904"/>
    <x v="1"/>
    <x v="2"/>
    <m/>
    <n v="1"/>
    <m/>
  </r>
  <r>
    <n v="1209670956"/>
    <s v="77"/>
    <x v="50"/>
    <d v="2026-10-14T11:09:11"/>
    <d v="2026-10-14T05:09:09"/>
    <d v="2026-10-14T00:00:00"/>
    <s v=""/>
    <s v="PACK"/>
    <n v="34"/>
    <s v="PENDIENTE APROBACION  ENVIO TMS"/>
    <s v="000000001209670956"/>
    <x v="1"/>
    <x v="0"/>
    <m/>
    <n v="1"/>
    <m/>
  </r>
  <r>
    <n v="1209671074"/>
    <s v="81"/>
    <x v="66"/>
    <d v="2026-10-14T11:09:13"/>
    <d v="2026-10-14T05:09:10"/>
    <d v="2026-10-14T00:00:00"/>
    <s v=""/>
    <s v="PACK"/>
    <n v="41"/>
    <s v="PENDIENTE APROBACION  ENVIO TMS"/>
    <s v="000000001209671074"/>
    <x v="1"/>
    <x v="2"/>
    <m/>
    <n v="1"/>
    <m/>
  </r>
  <r>
    <n v="1209670996"/>
    <s v="80"/>
    <x v="54"/>
    <d v="2026-10-14T11:09:14"/>
    <d v="2026-10-14T05:09:11"/>
    <d v="2026-10-14T00:00:00"/>
    <s v=""/>
    <s v="PACK"/>
    <n v="2"/>
    <s v="PENDIENTE APROBACION  ENVIO TMS"/>
    <s v="000000001209670996"/>
    <x v="1"/>
    <x v="0"/>
    <m/>
    <n v="1"/>
    <m/>
  </r>
  <r>
    <n v="8209670943"/>
    <s v="77"/>
    <x v="50"/>
    <d v="2026-10-14T11:09:15"/>
    <d v="2026-10-14T05:09:13"/>
    <d v="2026-10-14T00:00:00"/>
    <s v=""/>
    <s v="UNIDAD"/>
    <n v="11"/>
    <s v="PENDIENTE APROBACION  ENVIO TMS"/>
    <s v="000000008209670943"/>
    <x v="2"/>
    <x v="0"/>
    <m/>
    <n v="1"/>
    <m/>
  </r>
  <r>
    <n v="8209670991"/>
    <s v="80"/>
    <x v="54"/>
    <d v="2026-10-14T11:09:16"/>
    <d v="2026-10-14T05:09:14"/>
    <d v="2026-10-14T00:00:00"/>
    <s v=""/>
    <s v="UNIDAD"/>
    <n v="3"/>
    <s v="PENDIENTE APROBACION  ENVIO TMS"/>
    <s v="000000008209670991"/>
    <x v="2"/>
    <x v="0"/>
    <m/>
    <n v="1"/>
    <m/>
  </r>
  <r>
    <n v="1209671005"/>
    <s v="80"/>
    <x v="54"/>
    <d v="2026-10-14T11:09:18"/>
    <d v="2026-10-14T05:09:15"/>
    <d v="2026-10-14T00:00:00"/>
    <s v=""/>
    <s v="CAJA"/>
    <n v="1"/>
    <s v="PENDIENTE APROBACION  ENVIO TMS"/>
    <s v="000000001209671005"/>
    <x v="1"/>
    <x v="0"/>
    <m/>
    <n v="1"/>
    <m/>
  </r>
  <r>
    <n v="1209671147"/>
    <s v="82"/>
    <x v="20"/>
    <d v="2026-10-14T11:09:19"/>
    <d v="2026-10-14T05:09:16"/>
    <d v="2026-10-14T00:00:00"/>
    <s v=""/>
    <s v="PACK"/>
    <n v="44"/>
    <s v="PENDIENTE APROBACION  ENVIO TMS"/>
    <s v="000000001209671147"/>
    <x v="1"/>
    <x v="0"/>
    <m/>
    <n v="1"/>
    <m/>
  </r>
  <r>
    <n v="1209671138"/>
    <s v="82"/>
    <x v="20"/>
    <d v="2026-10-14T11:09:20"/>
    <d v="2026-10-14T05:09:18"/>
    <d v="2026-10-14T00:00:00"/>
    <s v=""/>
    <s v="PACK"/>
    <n v="3"/>
    <s v="PENDIENTE APROBACION  ENVIO TMS"/>
    <s v="000000001209671138"/>
    <x v="1"/>
    <x v="0"/>
    <m/>
    <n v="1"/>
    <m/>
  </r>
  <r>
    <n v="8209671130"/>
    <s v="82"/>
    <x v="20"/>
    <d v="2026-10-14T11:09:21"/>
    <d v="2026-10-14T05:09:19"/>
    <d v="2026-10-14T00:00:00"/>
    <s v=""/>
    <s v="UNIDAD"/>
    <n v="6"/>
    <s v="PENDIENTE APROBACION  ENVIO TMS"/>
    <s v="000000008209671130"/>
    <x v="2"/>
    <x v="0"/>
    <m/>
    <n v="1"/>
    <m/>
  </r>
  <r>
    <n v="1209670955"/>
    <s v="77"/>
    <x v="50"/>
    <d v="2026-10-14T11:09:23"/>
    <d v="2026-10-14T05:09:20"/>
    <d v="2026-10-14T00:00:00"/>
    <s v=""/>
    <s v="UNIDAD"/>
    <n v="30"/>
    <s v="PENDIENTE APROBACION  ENVIO TMS"/>
    <s v="000000001209670955"/>
    <x v="1"/>
    <x v="0"/>
    <m/>
    <n v="1"/>
    <m/>
  </r>
  <r>
    <n v="8209671057"/>
    <s v="81"/>
    <x v="66"/>
    <d v="2026-10-14T11:09:25"/>
    <d v="2026-10-14T05:09:22"/>
    <d v="2026-10-14T00:00:00"/>
    <s v=""/>
    <s v="UNIDAD"/>
    <n v="7"/>
    <s v="PENDIENTE APROBACION  ENVIO TMS"/>
    <s v="000000008209671057"/>
    <x v="2"/>
    <x v="2"/>
    <m/>
    <n v="1"/>
    <m/>
  </r>
  <r>
    <n v="1209670999"/>
    <s v="80"/>
    <x v="54"/>
    <d v="2026-10-14T11:09:26"/>
    <d v="2026-10-14T05:09:23"/>
    <d v="2026-10-14T00:00:00"/>
    <s v=""/>
    <s v="CAJA"/>
    <n v="10"/>
    <s v="PENDIENTE APROBACION  ENVIO TMS"/>
    <s v="000000001209670999"/>
    <x v="1"/>
    <x v="0"/>
    <m/>
    <n v="1"/>
    <m/>
  </r>
  <r>
    <n v="1209671086"/>
    <s v="81"/>
    <x v="66"/>
    <d v="2026-10-14T11:09:27"/>
    <d v="2026-10-14T05:09:24"/>
    <d v="2026-10-14T00:00:00"/>
    <s v=""/>
    <s v="CAJA"/>
    <n v="23"/>
    <s v="PENDIENTE APROBACION  ENVIO TMS"/>
    <s v="000000001209671086"/>
    <x v="1"/>
    <x v="2"/>
    <m/>
    <n v="1"/>
    <m/>
  </r>
  <r>
    <n v="1209671067"/>
    <s v="81"/>
    <x v="66"/>
    <d v="2026-10-14T11:09:28"/>
    <d v="2026-10-14T05:09:26"/>
    <d v="2026-10-14T00:00:00"/>
    <s v=""/>
    <s v="CAJA"/>
    <n v="12"/>
    <s v="PENDIENTE APROBACION  ENVIO TMS"/>
    <s v="000000001209671067"/>
    <x v="1"/>
    <x v="2"/>
    <m/>
    <n v="1"/>
    <m/>
  </r>
  <r>
    <n v="1209671000"/>
    <s v="80"/>
    <x v="54"/>
    <d v="2026-10-14T11:09:30"/>
    <d v="2026-10-14T05:09:27"/>
    <d v="2026-10-14T00:00:00"/>
    <s v=""/>
    <s v="CAJA"/>
    <n v="10"/>
    <s v="PENDIENTE APROBACION  ENVIO TMS"/>
    <s v="000000001209671000"/>
    <x v="1"/>
    <x v="0"/>
    <m/>
    <n v="1"/>
    <m/>
  </r>
  <r>
    <n v="8209670942"/>
    <s v="77"/>
    <x v="50"/>
    <d v="2026-10-14T11:09:31"/>
    <d v="2026-10-14T05:09:28"/>
    <d v="2026-10-14T00:00:00"/>
    <s v=""/>
    <s v="UNIDAD"/>
    <n v="29"/>
    <s v="PENDIENTE APROBACION  ENVIO TMS"/>
    <s v="000000008209670942"/>
    <x v="2"/>
    <x v="0"/>
    <m/>
    <n v="1"/>
    <m/>
  </r>
  <r>
    <n v="1209671141"/>
    <s v="82"/>
    <x v="20"/>
    <d v="2026-10-14T11:09:32"/>
    <d v="2026-10-14T05:09:29"/>
    <d v="2026-10-14T00:00:00"/>
    <s v=""/>
    <s v="CAJA"/>
    <n v="9"/>
    <s v="PENDIENTE APROBACION  ENVIO TMS"/>
    <s v="000000001209671141"/>
    <x v="1"/>
    <x v="0"/>
    <m/>
    <n v="1"/>
    <m/>
  </r>
  <r>
    <n v="8209671131"/>
    <s v="82"/>
    <x v="20"/>
    <d v="2026-10-14T11:09:33"/>
    <d v="2026-10-14T05:09:31"/>
    <d v="2026-10-14T00:00:00"/>
    <s v=""/>
    <s v="UNIDAD"/>
    <n v="15"/>
    <s v="PENDIENTE APROBACION  ENVIO TMS"/>
    <s v="000000008209671131"/>
    <x v="2"/>
    <x v="0"/>
    <m/>
    <n v="1"/>
    <m/>
  </r>
  <r>
    <n v="1209671071"/>
    <s v="81"/>
    <x v="66"/>
    <d v="2026-10-14T11:09:34"/>
    <d v="2026-10-14T05:09:32"/>
    <d v="2026-10-14T00:00:00"/>
    <s v=""/>
    <s v="CAJA"/>
    <n v="25"/>
    <s v="PENDIENTE APROBACION  ENVIO TMS"/>
    <s v="000000001209671071"/>
    <x v="1"/>
    <x v="2"/>
    <m/>
    <n v="1"/>
    <m/>
  </r>
  <r>
    <n v="1209670952"/>
    <s v="77"/>
    <x v="50"/>
    <d v="2026-10-14T11:09:36"/>
    <d v="2026-10-14T05:09:33"/>
    <d v="2026-10-14T00:00:00"/>
    <s v=""/>
    <s v="PACK"/>
    <n v="36"/>
    <s v="PENDIENTE APROBACION  ENVIO TMS"/>
    <s v="000000001209670952"/>
    <x v="1"/>
    <x v="0"/>
    <m/>
    <n v="1"/>
    <m/>
  </r>
  <r>
    <n v="8209671058"/>
    <s v="81"/>
    <x v="66"/>
    <d v="2026-10-14T11:09:37"/>
    <d v="2026-10-14T05:09:34"/>
    <d v="2026-10-14T00:00:00"/>
    <s v=""/>
    <s v="UNIDAD"/>
    <n v="5"/>
    <s v="PENDIENTE APROBACION  ENVIO TMS"/>
    <s v="000000008209671058"/>
    <x v="2"/>
    <x v="2"/>
    <m/>
    <n v="1"/>
    <m/>
  </r>
  <r>
    <n v="1209670995"/>
    <s v="80"/>
    <x v="54"/>
    <d v="2026-10-14T11:09:38"/>
    <d v="2026-10-14T05:09:35"/>
    <d v="2026-10-14T00:00:00"/>
    <s v=""/>
    <s v="CAJA"/>
    <n v="2"/>
    <s v="PENDIENTE APROBACION  ENVIO TMS"/>
    <s v="000000001209670995"/>
    <x v="1"/>
    <x v="0"/>
    <m/>
    <n v="1"/>
    <m/>
  </r>
  <r>
    <n v="1209670997"/>
    <s v="80"/>
    <x v="54"/>
    <d v="2026-10-14T11:09:39"/>
    <d v="2026-10-14T05:09:37"/>
    <d v="2026-10-14T00:00:00"/>
    <s v=""/>
    <s v="CAJA"/>
    <n v="5"/>
    <s v="PENDIENTE APROBACION  ENVIO TMS"/>
    <s v="000000001209670997"/>
    <x v="1"/>
    <x v="0"/>
    <m/>
    <n v="1"/>
    <m/>
  </r>
  <r>
    <n v="1209671062"/>
    <s v="81"/>
    <x v="66"/>
    <d v="2026-10-14T11:09:41"/>
    <d v="2026-10-14T05:09:38"/>
    <d v="2026-10-14T00:00:00"/>
    <s v=""/>
    <s v="PACK"/>
    <n v="2"/>
    <s v="PENDIENTE APROBACION  ENVIO TMS"/>
    <s v="000000001209671062"/>
    <x v="1"/>
    <x v="2"/>
    <m/>
    <n v="1"/>
    <m/>
  </r>
  <r>
    <n v="1209671064"/>
    <s v="81"/>
    <x v="66"/>
    <d v="2026-10-14T11:09:42"/>
    <d v="2026-10-14T05:09:40"/>
    <d v="2026-10-14T00:00:00"/>
    <s v=""/>
    <s v="CAJA"/>
    <n v="9"/>
    <s v="PENDIENTE APROBACION  ENVIO TMS"/>
    <s v="000000001209671064"/>
    <x v="1"/>
    <x v="2"/>
    <m/>
    <n v="1"/>
    <m/>
  </r>
  <r>
    <n v="1209670946"/>
    <s v="77"/>
    <x v="50"/>
    <d v="2026-10-14T11:09:43"/>
    <d v="2026-10-14T05:09:41"/>
    <d v="2026-10-14T00:00:00"/>
    <s v=""/>
    <s v="CAJA"/>
    <n v="4"/>
    <s v="PENDIENTE APROBACION  ENVIO TMS"/>
    <s v="000000001209670946"/>
    <x v="1"/>
    <x v="0"/>
    <m/>
    <n v="1"/>
    <m/>
  </r>
  <r>
    <n v="1209671136"/>
    <s v="82"/>
    <x v="20"/>
    <d v="2026-10-14T11:09:45"/>
    <d v="2026-10-14T05:09:42"/>
    <d v="2026-10-14T00:00:00"/>
    <s v=""/>
    <s v="CAJA"/>
    <n v="2"/>
    <s v="PENDIENTE APROBACION  ENVIO TMS"/>
    <s v="000000001209671136"/>
    <x v="1"/>
    <x v="0"/>
    <m/>
    <n v="1"/>
    <m/>
  </r>
  <r>
    <n v="1209670954"/>
    <s v="77"/>
    <x v="50"/>
    <d v="2026-10-14T11:09:46"/>
    <d v="2026-10-14T05:09:44"/>
    <d v="2026-10-14T00:00:00"/>
    <s v=""/>
    <s v="CAJA"/>
    <n v="33"/>
    <s v="PENDIENTE APROBACION  ENVIO TMS"/>
    <s v="000000001209670954"/>
    <x v="1"/>
    <x v="0"/>
    <m/>
    <n v="1"/>
    <m/>
  </r>
  <r>
    <n v="1209671063"/>
    <s v="81"/>
    <x v="66"/>
    <d v="2026-10-14T11:09:48"/>
    <d v="2026-10-14T05:09:46"/>
    <d v="2026-10-14T00:00:00"/>
    <s v=""/>
    <s v="CAJA"/>
    <n v="6"/>
    <s v="PENDIENTE APROBACION  ENVIO TMS"/>
    <s v="000000001209671063"/>
    <x v="1"/>
    <x v="2"/>
    <m/>
    <n v="1"/>
    <m/>
  </r>
  <r>
    <n v="8209671059"/>
    <s v="81"/>
    <x v="66"/>
    <d v="2026-10-14T11:09:48"/>
    <d v="2026-10-14T05:09:45"/>
    <d v="2026-10-14T00:00:00"/>
    <s v=""/>
    <s v="UNIDAD"/>
    <n v="8"/>
    <s v="PENDIENTE APROBACION  ENVIO TMS"/>
    <s v="000000008209671059"/>
    <x v="2"/>
    <x v="2"/>
    <m/>
    <n v="1"/>
    <m/>
  </r>
  <r>
    <n v="1209671003"/>
    <s v="80"/>
    <x v="54"/>
    <d v="2026-10-14T11:09:50"/>
    <d v="2026-10-14T05:09:48"/>
    <d v="2026-10-14T00:00:00"/>
    <s v=""/>
    <s v="PACK"/>
    <n v="26"/>
    <s v="PENDIENTE APROBACION  ENVIO TMS"/>
    <s v="000000001209671003"/>
    <x v="1"/>
    <x v="0"/>
    <m/>
    <n v="1"/>
    <m/>
  </r>
  <r>
    <n v="8209670941"/>
    <s v="77"/>
    <x v="50"/>
    <d v="2026-10-14T11:09:52"/>
    <d v="2026-10-14T05:09:49"/>
    <d v="2026-10-14T00:00:00"/>
    <s v=""/>
    <s v="UNIDAD"/>
    <n v="5"/>
    <s v="PENDIENTE APROBACION  ENVIO TMS"/>
    <s v="000000008209670941"/>
    <x v="2"/>
    <x v="0"/>
    <m/>
    <n v="1"/>
    <m/>
  </r>
  <r>
    <n v="8209670993"/>
    <s v="80"/>
    <x v="54"/>
    <d v="2026-10-14T11:09:53"/>
    <d v="2026-10-14T05:09:50"/>
    <d v="2026-10-14T00:00:00"/>
    <s v=""/>
    <s v="UNIDAD"/>
    <n v="5"/>
    <s v="PENDIENTE APROBACION  ENVIO TMS"/>
    <s v="000000008209670993"/>
    <x v="2"/>
    <x v="0"/>
    <m/>
    <n v="1"/>
    <m/>
  </r>
  <r>
    <n v="8209671055"/>
    <s v="81"/>
    <x v="66"/>
    <d v="2026-10-14T11:09:54"/>
    <d v="2026-10-14T05:09:51"/>
    <d v="2026-10-14T00:00:00"/>
    <s v=""/>
    <s v="UNIDAD"/>
    <n v="1"/>
    <s v="PENDIENTE APROBACION  ENVIO TMS"/>
    <s v="000000008209671055"/>
    <x v="2"/>
    <x v="2"/>
    <m/>
    <n v="1"/>
    <m/>
  </r>
  <r>
    <n v="8209671056"/>
    <s v="81"/>
    <x v="66"/>
    <d v="2026-10-14T11:09:55"/>
    <d v="2026-10-14T05:09:53"/>
    <d v="2026-10-14T00:00:00"/>
    <s v=""/>
    <s v="UNIDAD"/>
    <n v="3"/>
    <s v="PENDIENTE APROBACION  ENVIO TMS"/>
    <s v="000000008209671056"/>
    <x v="2"/>
    <x v="2"/>
    <m/>
    <n v="1"/>
    <m/>
  </r>
  <r>
    <n v="1209671002"/>
    <s v="80"/>
    <x v="54"/>
    <d v="2026-10-14T11:09:56"/>
    <d v="2026-10-14T05:09:54"/>
    <d v="2026-10-14T00:00:00"/>
    <s v=""/>
    <s v="CAJA"/>
    <n v="19"/>
    <s v="PENDIENTE APROBACION  ENVIO TMS"/>
    <s v="000000001209671002"/>
    <x v="1"/>
    <x v="0"/>
    <m/>
    <n v="1"/>
    <m/>
  </r>
  <r>
    <n v="8209670945"/>
    <s v="77"/>
    <x v="50"/>
    <d v="2026-10-14T11:09:58"/>
    <d v="2026-10-14T05:09:55"/>
    <d v="2026-10-14T00:00:00"/>
    <s v=""/>
    <s v="UNIDAD"/>
    <n v="4"/>
    <s v="PENDIENTE APROBACION  ENVIO TMS"/>
    <s v="000000008209670945"/>
    <x v="2"/>
    <x v="0"/>
    <m/>
    <n v="1"/>
    <m/>
  </r>
  <r>
    <n v="1209671009"/>
    <s v="80"/>
    <x v="54"/>
    <d v="2026-10-14T11:09:59"/>
    <d v="2026-10-14T05:09:56"/>
    <d v="2026-10-14T00:00:00"/>
    <s v=""/>
    <s v="CAJA"/>
    <n v="9"/>
    <s v="PENDIENTE APROBACION  ENVIO TMS"/>
    <s v="000000001209671009"/>
    <x v="1"/>
    <x v="0"/>
    <m/>
    <n v="1"/>
    <m/>
  </r>
  <r>
    <n v="1209670949"/>
    <s v="77"/>
    <x v="50"/>
    <d v="2026-10-14T11:10:00"/>
    <d v="2026-10-14T05:09:58"/>
    <d v="2026-10-14T00:00:00"/>
    <s v=""/>
    <s v="PACK"/>
    <n v="18"/>
    <s v="PENDIENTE APROBACION  ENVIO TMS"/>
    <s v="000000001209670949"/>
    <x v="1"/>
    <x v="0"/>
    <m/>
    <n v="1"/>
    <m/>
  </r>
  <r>
    <n v="8209670992"/>
    <s v="80"/>
    <x v="54"/>
    <d v="2026-10-14T11:10:01"/>
    <d v="2026-10-14T05:09:59"/>
    <d v="2026-10-14T00:00:00"/>
    <s v=""/>
    <s v="UNIDAD"/>
    <n v="3"/>
    <s v="PENDIENTE APROBACION  ENVIO TMS"/>
    <s v="000000008209670992"/>
    <x v="2"/>
    <x v="0"/>
    <m/>
    <n v="1"/>
    <m/>
  </r>
  <r>
    <n v="8209671135"/>
    <s v="82"/>
    <x v="20"/>
    <d v="2026-10-14T11:10:03"/>
    <d v="2026-10-14T05:10:00"/>
    <d v="2026-10-14T00:00:00"/>
    <s v=""/>
    <s v="UNIDAD"/>
    <n v="12"/>
    <s v="PENDIENTE APROBACION  ENVIO TMS"/>
    <s v="000000008209671135"/>
    <x v="2"/>
    <x v="0"/>
    <m/>
    <n v="1"/>
    <m/>
  </r>
  <r>
    <n v="1209671073"/>
    <s v="81"/>
    <x v="66"/>
    <d v="2026-10-14T11:10:04"/>
    <d v="2026-10-14T05:10:01"/>
    <d v="2026-10-14T00:00:00"/>
    <s v=""/>
    <s v="PACK"/>
    <n v="38"/>
    <s v="PENDIENTE APROBACION  ENVIO TMS"/>
    <s v="000000001209671073"/>
    <x v="1"/>
    <x v="2"/>
    <m/>
    <n v="1"/>
    <m/>
  </r>
  <r>
    <n v="1209670951"/>
    <s v="77"/>
    <x v="50"/>
    <d v="2026-10-14T11:10:05"/>
    <d v="2026-10-14T05:10:03"/>
    <d v="2026-10-14T00:00:00"/>
    <s v=""/>
    <s v="PACK"/>
    <n v="26"/>
    <s v="PENDIENTE APROBACION  ENVIO TMS"/>
    <s v="000000001209670951"/>
    <x v="1"/>
    <x v="0"/>
    <m/>
    <n v="1"/>
    <m/>
  </r>
  <r>
    <n v="8209671060"/>
    <s v="81"/>
    <x v="66"/>
    <d v="2026-10-14T11:10:07"/>
    <d v="2026-10-14T05:10:05"/>
    <d v="2026-10-14T00:00:00"/>
    <s v=""/>
    <s v="UNIDAD"/>
    <n v="6"/>
    <s v="PENDIENTE APROBACION  ENVIO TMS"/>
    <s v="000000008209671060"/>
    <x v="2"/>
    <x v="2"/>
    <m/>
    <n v="1"/>
    <m/>
  </r>
  <r>
    <n v="1209671070"/>
    <s v="81"/>
    <x v="66"/>
    <d v="2026-10-14T11:10:09"/>
    <d v="2026-10-14T05:10:06"/>
    <d v="2026-10-14T00:00:00"/>
    <s v=""/>
    <s v="PACK"/>
    <n v="14"/>
    <s v="PENDIENTE APROBACION  ENVIO TMS"/>
    <s v="000000001209671070"/>
    <x v="1"/>
    <x v="2"/>
    <m/>
    <n v="1"/>
    <m/>
  </r>
  <r>
    <n v="1209670998"/>
    <s v="80"/>
    <x v="54"/>
    <d v="2026-10-14T11:10:11"/>
    <d v="2026-10-14T05:10:08"/>
    <d v="2026-10-14T00:00:00"/>
    <s v=""/>
    <s v="CAJA"/>
    <n v="5"/>
    <s v="PENDIENTE APROBACION  ENVIO TMS"/>
    <s v="000000001209670998"/>
    <x v="1"/>
    <x v="0"/>
    <m/>
    <n v="1"/>
    <m/>
  </r>
  <r>
    <n v="1209671001"/>
    <s v="80"/>
    <x v="54"/>
    <d v="2026-10-14T11:10:11"/>
    <d v="2026-10-14T05:10:09"/>
    <d v="2026-10-14T00:00:00"/>
    <s v=""/>
    <s v="CAJA"/>
    <n v="13"/>
    <s v="PENDIENTE APROBACION  ENVIO TMS"/>
    <s v="000000001209671001"/>
    <x v="1"/>
    <x v="0"/>
    <m/>
    <n v="1"/>
    <m/>
  </r>
  <r>
    <n v="1209670948"/>
    <s v="77"/>
    <x v="50"/>
    <d v="2026-10-14T11:10:13"/>
    <d v="2026-10-14T05:10:10"/>
    <d v="2026-10-14T00:00:00"/>
    <s v=""/>
    <s v="PACK"/>
    <n v="15"/>
    <s v="PENDIENTE APROBACION  ENVIO TMS"/>
    <s v="000000001209670948"/>
    <x v="1"/>
    <x v="0"/>
    <m/>
    <n v="1"/>
    <m/>
  </r>
  <r>
    <n v="8209670990"/>
    <s v="80"/>
    <x v="54"/>
    <d v="2026-10-14T11:10:14"/>
    <d v="2026-10-14T05:10:12"/>
    <d v="2026-10-14T00:00:00"/>
    <s v=""/>
    <s v="UNIDAD"/>
    <n v="1"/>
    <s v="PENDIENTE APROBACION  ENVIO TMS"/>
    <s v="000000008209670990"/>
    <x v="2"/>
    <x v="0"/>
    <m/>
    <n v="1"/>
    <m/>
  </r>
  <r>
    <n v="1209670950"/>
    <s v="77"/>
    <x v="50"/>
    <d v="2026-10-14T11:10:16"/>
    <d v="2026-10-14T05:10:13"/>
    <d v="2026-10-14T00:00:00"/>
    <s v=""/>
    <s v="CAJA"/>
    <n v="15"/>
    <s v="PENDIENTE APROBACION  ENVIO TMS"/>
    <s v="000000001209670950"/>
    <x v="1"/>
    <x v="0"/>
    <m/>
    <n v="1"/>
    <m/>
  </r>
  <r>
    <n v="1209671065"/>
    <s v="81"/>
    <x v="66"/>
    <d v="2026-10-14T11:10:18"/>
    <d v="2026-10-14T05:10:14"/>
    <d v="2026-10-14T00:00:00"/>
    <s v=""/>
    <s v="CAJA"/>
    <n v="10"/>
    <s v="PENDIENTE APROBACION  ENVIO TMS"/>
    <s v="000000001209671065"/>
    <x v="1"/>
    <x v="2"/>
    <m/>
    <n v="1"/>
    <m/>
  </r>
  <r>
    <n v="8209670944"/>
    <s v="77"/>
    <x v="50"/>
    <d v="2026-10-14T11:10:19"/>
    <d v="2026-10-14T05:10:16"/>
    <d v="2026-10-14T00:00:00"/>
    <s v=""/>
    <s v="UNIDAD"/>
    <n v="7"/>
    <s v="PENDIENTE APROBACION  ENVIO TMS"/>
    <s v="000000008209670944"/>
    <x v="2"/>
    <x v="0"/>
    <m/>
    <n v="1"/>
    <m/>
  </r>
  <r>
    <n v="1209670947"/>
    <s v="77"/>
    <x v="50"/>
    <d v="2026-10-14T11:10:21"/>
    <d v="2026-10-14T05:10:18"/>
    <d v="2026-10-14T00:00:00"/>
    <s v=""/>
    <s v="CAJA"/>
    <n v="9"/>
    <s v="PENDIENTE APROBACION  ENVIO TMS"/>
    <s v="000000001209670947"/>
    <x v="1"/>
    <x v="0"/>
    <m/>
    <n v="1"/>
    <m/>
  </r>
  <r>
    <n v="8209670989"/>
    <s v="80"/>
    <x v="54"/>
    <d v="2026-10-14T11:10:22"/>
    <d v="2026-10-14T05:10:20"/>
    <d v="2026-10-14T00:00:00"/>
    <s v=""/>
    <s v="UNIDAD"/>
    <n v="1"/>
    <s v="PENDIENTE APROBACION  ENVIO TMS"/>
    <s v="000000008209670989"/>
    <x v="2"/>
    <x v="0"/>
    <m/>
    <n v="1"/>
    <m/>
  </r>
  <r>
    <n v="1209671148"/>
    <s v="82"/>
    <x v="20"/>
    <d v="2026-10-14T11:10:24"/>
    <d v="2026-10-14T05:10:22"/>
    <d v="2026-10-14T00:00:00"/>
    <s v=""/>
    <s v="PACK"/>
    <n v="45"/>
    <s v="PENDIENTE APROBACION  ENVIO TMS"/>
    <s v="000000001209671148"/>
    <x v="1"/>
    <x v="0"/>
    <m/>
    <n v="1"/>
    <m/>
  </r>
  <r>
    <n v="1209671289"/>
    <s v="86"/>
    <x v="126"/>
    <d v="2026-10-14T11:14:12"/>
    <d v="2026-10-14T05:14:09"/>
    <d v="2026-10-14T00:00:00"/>
    <s v=""/>
    <s v="CAJA"/>
    <n v="16"/>
    <s v="PENDIENTE APROBACION  ENVIO TMS"/>
    <s v="000000001209671289"/>
    <x v="1"/>
    <x v="1"/>
    <m/>
    <n v="1"/>
    <m/>
  </r>
  <r>
    <n v="1209671298"/>
    <s v="86"/>
    <x v="126"/>
    <d v="2026-10-14T11:14:13"/>
    <d v="2026-10-14T05:14:11"/>
    <d v="2026-10-14T00:00:00"/>
    <s v=""/>
    <s v="CAJA"/>
    <n v="2"/>
    <s v="PENDIENTE APROBACION  ENVIO TMS"/>
    <s v="000000001209671298"/>
    <x v="1"/>
    <x v="1"/>
    <m/>
    <n v="1"/>
    <m/>
  </r>
  <r>
    <n v="1209671277"/>
    <s v="85"/>
    <x v="69"/>
    <d v="2026-10-14T11:14:14"/>
    <d v="2026-10-14T05:14:12"/>
    <d v="2026-10-14T00:00:00"/>
    <s v=""/>
    <s v="CAJA"/>
    <n v="10"/>
    <s v="PENDIENTE APROBACION  ENVIO TMS"/>
    <s v="000000001209671277"/>
    <x v="1"/>
    <x v="1"/>
    <m/>
    <n v="1"/>
    <m/>
  </r>
  <r>
    <n v="8209671282"/>
    <s v="86"/>
    <x v="126"/>
    <d v="2026-10-14T11:14:16"/>
    <d v="2026-10-14T05:14:13"/>
    <d v="2026-10-14T00:00:00"/>
    <s v=""/>
    <s v="UNIDAD"/>
    <n v="21"/>
    <s v="PENDIENTE APROBACION  ENVIO TMS"/>
    <s v="000000008209671282"/>
    <x v="2"/>
    <x v="1"/>
    <m/>
    <n v="1"/>
    <m/>
  </r>
  <r>
    <n v="8209671191"/>
    <s v="83"/>
    <x v="67"/>
    <d v="2026-10-14T11:14:17"/>
    <d v="2026-10-14T05:14:14"/>
    <d v="2026-10-14T00:00:00"/>
    <s v=""/>
    <s v="UNIDAD"/>
    <n v="2"/>
    <s v="PENDIENTE APROBACION  ENVIO TMS"/>
    <s v="000000008209671191"/>
    <x v="2"/>
    <x v="1"/>
    <m/>
    <n v="1"/>
    <m/>
  </r>
  <r>
    <n v="1209671230"/>
    <s v="84"/>
    <x v="82"/>
    <d v="2026-10-14T11:14:18"/>
    <d v="2026-10-14T05:14:16"/>
    <d v="2026-10-14T00:00:00"/>
    <s v=""/>
    <s v="CAJA"/>
    <n v="17"/>
    <s v="PENDIENTE APROBACION  ENVIO TMS"/>
    <s v="000000001209671230"/>
    <x v="1"/>
    <x v="0"/>
    <m/>
    <n v="1"/>
    <m/>
  </r>
  <r>
    <n v="1209671284"/>
    <s v="86"/>
    <x v="126"/>
    <d v="2026-10-14T11:14:19"/>
    <d v="2026-10-14T05:14:17"/>
    <d v="2026-10-14T00:00:00"/>
    <s v=""/>
    <s v="CAJA"/>
    <n v="2"/>
    <s v="PENDIENTE APROBACION  ENVIO TMS"/>
    <s v="000000001209671284"/>
    <x v="1"/>
    <x v="1"/>
    <m/>
    <n v="1"/>
    <m/>
  </r>
  <r>
    <n v="1209671286"/>
    <s v="86"/>
    <x v="126"/>
    <d v="2026-10-14T11:14:21"/>
    <d v="2026-10-14T05:14:18"/>
    <d v="2026-10-14T00:00:00"/>
    <s v=""/>
    <s v="CAJA"/>
    <n v="6"/>
    <s v="PENDIENTE APROBACION  ENVIO TMS"/>
    <s v="000000001209671286"/>
    <x v="1"/>
    <x v="1"/>
    <m/>
    <n v="1"/>
    <m/>
  </r>
  <r>
    <n v="1209671140"/>
    <s v="82"/>
    <x v="20"/>
    <d v="2026-10-14T11:14:22"/>
    <d v="2026-10-14T05:14:20"/>
    <d v="2026-10-14T00:00:00"/>
    <s v=""/>
    <s v="PACK"/>
    <n v="14"/>
    <s v="PENDIENTE APROBACION  ENVIO TMS"/>
    <s v="000000001209671140"/>
    <x v="1"/>
    <x v="0"/>
    <m/>
    <n v="1"/>
    <m/>
  </r>
  <r>
    <n v="1209671203"/>
    <s v="83"/>
    <x v="67"/>
    <d v="2026-10-14T11:14:24"/>
    <d v="2026-10-14T05:14:21"/>
    <d v="2026-10-14T00:00:00"/>
    <s v=""/>
    <s v="CAJA"/>
    <n v="34"/>
    <s v="PENDIENTE APROBACION  ENVIO TMS"/>
    <s v="000000001209671203"/>
    <x v="1"/>
    <x v="1"/>
    <m/>
    <n v="1"/>
    <m/>
  </r>
  <r>
    <n v="8209671221"/>
    <s v="84"/>
    <x v="82"/>
    <d v="2026-10-14T11:14:24"/>
    <d v="2026-10-14T05:14:22"/>
    <d v="2026-10-14T00:00:00"/>
    <s v=""/>
    <s v="UNIDAD"/>
    <n v="7"/>
    <s v="PENDIENTE APROBACION  ENVIO TMS"/>
    <s v="000000008209671221"/>
    <x v="2"/>
    <x v="0"/>
    <m/>
    <n v="1"/>
    <m/>
  </r>
  <r>
    <n v="1209671263"/>
    <s v="85"/>
    <x v="69"/>
    <d v="2026-10-14T11:14:26"/>
    <d v="2026-10-14T05:14:23"/>
    <d v="2026-10-14T00:00:00"/>
    <s v=""/>
    <s v="CAJA"/>
    <n v="9"/>
    <s v="PENDIENTE APROBACION  ENVIO TMS"/>
    <s v="000000001209671263"/>
    <x v="1"/>
    <x v="1"/>
    <m/>
    <n v="1"/>
    <m/>
  </r>
  <r>
    <n v="1209671228"/>
    <s v="84"/>
    <x v="82"/>
    <d v="2026-10-14T11:14:27"/>
    <d v="2026-10-14T05:14:25"/>
    <d v="2026-10-14T00:00:00"/>
    <s v=""/>
    <s v="CAJA"/>
    <n v="13"/>
    <s v="PENDIENTE APROBACION  ENVIO TMS"/>
    <s v="000000001209671228"/>
    <x v="1"/>
    <x v="0"/>
    <m/>
    <n v="1"/>
    <m/>
  </r>
  <r>
    <n v="1209671267"/>
    <s v="85"/>
    <x v="69"/>
    <d v="2026-10-14T11:14:29"/>
    <d v="2026-10-14T05:14:26"/>
    <d v="2026-10-14T00:00:00"/>
    <s v=""/>
    <s v="CAJA"/>
    <n v="14"/>
    <s v="PENDIENTE APROBACION  ENVIO TMS"/>
    <s v="000000001209671267"/>
    <x v="1"/>
    <x v="1"/>
    <m/>
    <n v="1"/>
    <m/>
  </r>
  <r>
    <n v="1209671205"/>
    <s v="83"/>
    <x v="67"/>
    <d v="2026-10-14T11:14:29"/>
    <d v="2026-10-14T05:14:27"/>
    <d v="2026-10-14T00:00:00"/>
    <s v=""/>
    <s v="PACK"/>
    <n v="54"/>
    <s v="PENDIENTE APROBACION  ENVIO TMS"/>
    <s v="000000001209671205"/>
    <x v="1"/>
    <x v="1"/>
    <m/>
    <n v="1"/>
    <m/>
  </r>
  <r>
    <n v="1209671232"/>
    <s v="84"/>
    <x v="82"/>
    <d v="2026-10-14T11:14:31"/>
    <d v="2026-10-14T05:14:28"/>
    <d v="2026-10-14T00:00:00"/>
    <s v=""/>
    <s v="PACK"/>
    <n v="20"/>
    <s v="PENDIENTE APROBACION  ENVIO TMS"/>
    <s v="000000001209671232"/>
    <x v="1"/>
    <x v="0"/>
    <m/>
    <n v="1"/>
    <m/>
  </r>
  <r>
    <n v="1209671196"/>
    <s v="83"/>
    <x v="67"/>
    <d v="2026-10-14T11:14:32"/>
    <d v="2026-10-14T05:14:29"/>
    <d v="2026-10-14T00:00:00"/>
    <s v=""/>
    <s v="CAJA"/>
    <n v="1"/>
    <s v="PENDIENTE APROBACION  ENVIO TMS"/>
    <s v="000000001209671196"/>
    <x v="1"/>
    <x v="1"/>
    <m/>
    <n v="1"/>
    <m/>
  </r>
  <r>
    <n v="1209671226"/>
    <s v="84"/>
    <x v="82"/>
    <d v="2026-10-14T11:14:33"/>
    <d v="2026-10-14T05:14:31"/>
    <d v="2026-10-14T00:00:00"/>
    <s v=""/>
    <s v="CAJA"/>
    <n v="9"/>
    <s v="PENDIENTE APROBACION  ENVIO TMS"/>
    <s v="000000001209671226"/>
    <x v="1"/>
    <x v="0"/>
    <m/>
    <n v="1"/>
    <m/>
  </r>
  <r>
    <n v="1209671266"/>
    <s v="85"/>
    <x v="69"/>
    <d v="2026-10-14T11:14:34"/>
    <d v="2026-10-14T05:14:32"/>
    <d v="2026-10-14T00:00:00"/>
    <s v=""/>
    <s v="PACK"/>
    <n v="9"/>
    <s v="PENDIENTE APROBACION  ENVIO TMS"/>
    <s v="000000001209671266"/>
    <x v="1"/>
    <x v="1"/>
    <m/>
    <n v="1"/>
    <m/>
  </r>
  <r>
    <n v="8209671194"/>
    <s v="83"/>
    <x v="67"/>
    <d v="2026-10-14T11:14:35"/>
    <d v="2026-10-14T05:14:33"/>
    <d v="2026-10-14T00:00:00"/>
    <s v=""/>
    <s v="UNIDAD"/>
    <n v="10"/>
    <s v="PENDIENTE APROBACION  ENVIO TMS"/>
    <s v="000000008209671194"/>
    <x v="2"/>
    <x v="1"/>
    <m/>
    <n v="1"/>
    <m/>
  </r>
  <r>
    <n v="8209671274"/>
    <s v="85"/>
    <x v="69"/>
    <d v="2026-10-14T11:14:37"/>
    <d v="2026-10-14T05:14:34"/>
    <d v="2026-10-14T00:00:00"/>
    <s v=""/>
    <s v="UNIDAD"/>
    <n v="1"/>
    <s v="PENDIENTE APROBACION  ENVIO TMS"/>
    <s v="000000008209671274"/>
    <x v="2"/>
    <x v="1"/>
    <m/>
    <n v="1"/>
    <m/>
  </r>
  <r>
    <n v="8209671280"/>
    <s v="86"/>
    <x v="126"/>
    <d v="2026-10-14T11:14:38"/>
    <d v="2026-10-14T05:14:36"/>
    <d v="2026-10-14T00:00:00"/>
    <s v=""/>
    <s v="UNIDAD"/>
    <n v="4"/>
    <s v="PENDIENTE APROBACION  ENVIO TMS"/>
    <s v="000000008209671280"/>
    <x v="2"/>
    <x v="1"/>
    <m/>
    <n v="1"/>
    <m/>
  </r>
  <r>
    <n v="8209671259"/>
    <s v="85"/>
    <x v="69"/>
    <d v="2026-10-14T11:14:40"/>
    <d v="2026-10-14T05:14:37"/>
    <d v="2026-10-14T00:00:00"/>
    <s v=""/>
    <s v="UNIDAD"/>
    <n v="3"/>
    <s v="PENDIENTE APROBACION  ENVIO TMS"/>
    <s v="000000008209671259"/>
    <x v="2"/>
    <x v="1"/>
    <m/>
    <n v="1"/>
    <m/>
  </r>
  <r>
    <n v="1209671287"/>
    <s v="86"/>
    <x v="126"/>
    <d v="2026-10-14T11:14:41"/>
    <d v="2026-10-14T05:14:38"/>
    <d v="2026-10-14T00:00:00"/>
    <s v=""/>
    <s v="CAJA"/>
    <n v="10"/>
    <s v="PENDIENTE APROBACION  ENVIO TMS"/>
    <s v="000000001209671287"/>
    <x v="1"/>
    <x v="1"/>
    <m/>
    <n v="1"/>
    <m/>
  </r>
  <r>
    <n v="1209671290"/>
    <s v="86"/>
    <x v="126"/>
    <d v="2026-10-14T11:14:42"/>
    <d v="2026-10-14T05:14:40"/>
    <d v="2026-10-14T00:00:00"/>
    <s v=""/>
    <s v="CAJA"/>
    <n v="15"/>
    <s v="PENDIENTE APROBACION  ENVIO TMS"/>
    <s v="000000001209671290"/>
    <x v="1"/>
    <x v="1"/>
    <m/>
    <n v="1"/>
    <m/>
  </r>
  <r>
    <n v="8209671279"/>
    <s v="86"/>
    <x v="126"/>
    <d v="2026-10-14T11:14:44"/>
    <d v="2026-10-14T05:14:41"/>
    <d v="2026-10-14T00:00:00"/>
    <s v=""/>
    <s v="UNIDAD"/>
    <n v="1"/>
    <s v="PENDIENTE APROBACION  ENVIO TMS"/>
    <s v="000000008209671279"/>
    <x v="2"/>
    <x v="1"/>
    <m/>
    <n v="1"/>
    <m/>
  </r>
  <r>
    <n v="8209671281"/>
    <s v="86"/>
    <x v="126"/>
    <d v="2026-10-14T11:14:45"/>
    <d v="2026-10-14T05:14:42"/>
    <d v="2026-10-14T00:00:00"/>
    <s v=""/>
    <s v="UNIDAD"/>
    <n v="5"/>
    <s v="PENDIENTE APROBACION  ENVIO TMS"/>
    <s v="000000008209671281"/>
    <x v="2"/>
    <x v="1"/>
    <m/>
    <n v="1"/>
    <m/>
  </r>
  <r>
    <n v="8209671193"/>
    <s v="83"/>
    <x v="67"/>
    <d v="2026-10-14T11:14:46"/>
    <d v="2026-10-14T05:14:44"/>
    <d v="2026-10-14T00:00:00"/>
    <s v=""/>
    <s v="UNIDAD"/>
    <n v="1"/>
    <s v="PENDIENTE APROBACION  ENVIO TMS"/>
    <s v="000000008209671193"/>
    <x v="2"/>
    <x v="1"/>
    <m/>
    <n v="1"/>
    <m/>
  </r>
  <r>
    <n v="1209671231"/>
    <s v="84"/>
    <x v="82"/>
    <d v="2026-10-14T11:14:47"/>
    <d v="2026-10-14T05:14:45"/>
    <d v="2026-10-14T00:00:00"/>
    <s v=""/>
    <s v="CAJA"/>
    <n v="23"/>
    <s v="PENDIENTE APROBACION  ENVIO TMS"/>
    <s v="000000001209671231"/>
    <x v="1"/>
    <x v="0"/>
    <m/>
    <n v="1"/>
    <m/>
  </r>
  <r>
    <n v="1209671202"/>
    <s v="83"/>
    <x v="67"/>
    <d v="2026-10-14T11:14:49"/>
    <d v="2026-10-14T05:14:46"/>
    <d v="2026-10-14T00:00:00"/>
    <s v=""/>
    <s v="CAJA"/>
    <n v="21"/>
    <s v="PENDIENTE APROBACION  ENVIO TMS"/>
    <s v="000000001209671202"/>
    <x v="1"/>
    <x v="1"/>
    <m/>
    <n v="1"/>
    <m/>
  </r>
  <r>
    <n v="8209671129"/>
    <s v="82"/>
    <x v="20"/>
    <d v="2026-10-14T11:14:50"/>
    <d v="2026-10-14T05:14:47"/>
    <d v="2026-10-14T00:00:00"/>
    <s v=""/>
    <s v="UNIDAD"/>
    <n v="2"/>
    <s v="PENDIENTE APROBACION  ENVIO TMS"/>
    <s v="000000008209671129"/>
    <x v="2"/>
    <x v="0"/>
    <m/>
    <n v="1"/>
    <m/>
  </r>
  <r>
    <n v="1209671199"/>
    <s v="83"/>
    <x v="67"/>
    <d v="2026-10-14T11:14:51"/>
    <d v="2026-10-14T05:14:49"/>
    <d v="2026-10-14T00:00:00"/>
    <s v=""/>
    <s v="CAJA"/>
    <n v="18"/>
    <s v="PENDIENTE APROBACION  ENVIO TMS"/>
    <s v="000000001209671199"/>
    <x v="1"/>
    <x v="1"/>
    <m/>
    <n v="1"/>
    <m/>
  </r>
  <r>
    <n v="1209671144"/>
    <s v="82"/>
    <x v="20"/>
    <d v="2026-10-14T11:14:52"/>
    <d v="2026-10-14T05:14:50"/>
    <d v="2026-10-14T00:00:00"/>
    <s v=""/>
    <s v="PACK"/>
    <n v="27"/>
    <s v="PENDIENTE APROBACION  ENVIO TMS"/>
    <s v="000000001209671144"/>
    <x v="1"/>
    <x v="0"/>
    <m/>
    <n v="1"/>
    <m/>
  </r>
  <r>
    <n v="1209671200"/>
    <s v="83"/>
    <x v="67"/>
    <d v="2026-10-14T11:14:53"/>
    <d v="2026-10-14T05:14:51"/>
    <d v="2026-10-14T00:00:00"/>
    <s v=""/>
    <s v="CAJA"/>
    <n v="19"/>
    <s v="PENDIENTE APROBACION  ENVIO TMS"/>
    <s v="000000001209671200"/>
    <x v="1"/>
    <x v="1"/>
    <m/>
    <n v="1"/>
    <m/>
  </r>
  <r>
    <n v="1209671288"/>
    <s v="86"/>
    <x v="126"/>
    <d v="2026-10-14T11:14:55"/>
    <d v="2026-10-14T05:14:52"/>
    <d v="2026-10-14T00:00:00"/>
    <s v=""/>
    <s v="CAJA"/>
    <n v="16"/>
    <s v="PENDIENTE APROBACION  ENVIO TMS"/>
    <s v="000000001209671288"/>
    <x v="1"/>
    <x v="1"/>
    <m/>
    <n v="1"/>
    <m/>
  </r>
  <r>
    <n v="1209671293"/>
    <s v="86"/>
    <x v="126"/>
    <d v="2026-10-14T11:14:56"/>
    <d v="2026-10-14T05:14:53"/>
    <d v="2026-10-14T00:00:00"/>
    <s v=""/>
    <s v="PACK"/>
    <n v="30"/>
    <s v="PENDIENTE APROBACION  ENVIO TMS"/>
    <s v="000000001209671293"/>
    <x v="1"/>
    <x v="1"/>
    <m/>
    <n v="1"/>
    <m/>
  </r>
  <r>
    <n v="8209671190"/>
    <s v="83"/>
    <x v="67"/>
    <d v="2026-10-14T11:14:57"/>
    <d v="2026-10-14T05:14:55"/>
    <d v="2026-10-14T00:00:00"/>
    <s v=""/>
    <s v="UNIDAD"/>
    <n v="6"/>
    <s v="PENDIENTE APROBACION  ENVIO TMS"/>
    <s v="000000008209671190"/>
    <x v="2"/>
    <x v="1"/>
    <m/>
    <n v="1"/>
    <m/>
  </r>
  <r>
    <n v="8209671260"/>
    <s v="85"/>
    <x v="69"/>
    <d v="2026-10-14T11:14:58"/>
    <d v="2026-10-14T05:14:56"/>
    <d v="2026-10-14T00:00:00"/>
    <s v=""/>
    <s v="UNIDAD"/>
    <n v="7"/>
    <s v="PENDIENTE APROBACION  ENVIO TMS"/>
    <s v="000000008209671260"/>
    <x v="2"/>
    <x v="1"/>
    <m/>
    <n v="1"/>
    <m/>
  </r>
  <r>
    <n v="8209671134"/>
    <s v="82"/>
    <x v="20"/>
    <d v="2026-10-14T11:15:00"/>
    <d v="2026-10-14T05:14:57"/>
    <d v="2026-10-14T00:00:00"/>
    <s v=""/>
    <s v="UNIDAD"/>
    <n v="14"/>
    <s v="PENDIENTE APROBACION  ENVIO TMS"/>
    <s v="000000008209671134"/>
    <x v="2"/>
    <x v="0"/>
    <m/>
    <n v="1"/>
    <m/>
  </r>
  <r>
    <n v="1209671262"/>
    <s v="85"/>
    <x v="69"/>
    <d v="2026-10-14T11:15:01"/>
    <d v="2026-10-14T05:14:59"/>
    <d v="2026-10-14T00:00:00"/>
    <s v=""/>
    <s v="CAJA"/>
    <n v="3"/>
    <s v="PENDIENTE APROBACION  ENVIO TMS"/>
    <s v="000000001209671262"/>
    <x v="1"/>
    <x v="1"/>
    <m/>
    <n v="1"/>
    <m/>
  </r>
  <r>
    <n v="8209671222"/>
    <s v="84"/>
    <x v="82"/>
    <d v="2026-10-14T11:15:03"/>
    <d v="2026-10-14T05:15:00"/>
    <d v="2026-10-14T00:00:00"/>
    <s v=""/>
    <s v="UNIDAD"/>
    <n v="12"/>
    <s v="PENDIENTE APROBACION  ENVIO TMS"/>
    <s v="000000008209671222"/>
    <x v="2"/>
    <x v="0"/>
    <m/>
    <n v="1"/>
    <m/>
  </r>
  <r>
    <n v="8209671223"/>
    <s v="84"/>
    <x v="82"/>
    <d v="2026-10-14T11:15:03"/>
    <d v="2026-10-14T05:15:01"/>
    <d v="2026-10-14T00:00:00"/>
    <s v=""/>
    <s v="UNIDAD"/>
    <n v="9"/>
    <s v="PENDIENTE APROBACION  ENVIO TMS"/>
    <s v="000000008209671223"/>
    <x v="2"/>
    <x v="0"/>
    <m/>
    <n v="1"/>
    <m/>
  </r>
  <r>
    <n v="1209671225"/>
    <s v="84"/>
    <x v="82"/>
    <d v="2026-10-14T11:15:05"/>
    <d v="2026-10-14T05:15:03"/>
    <d v="2026-10-14T00:00:00"/>
    <s v=""/>
    <s v="CAJA"/>
    <n v="2"/>
    <s v="PENDIENTE APROBACION  ENVIO TMS"/>
    <s v="000000001209671225"/>
    <x v="1"/>
    <x v="0"/>
    <m/>
    <n v="1"/>
    <m/>
  </r>
  <r>
    <n v="1209671268"/>
    <s v="85"/>
    <x v="69"/>
    <d v="2026-10-14T11:15:07"/>
    <d v="2026-10-14T05:15:04"/>
    <d v="2026-10-14T00:00:00"/>
    <s v=""/>
    <s v="PACK"/>
    <n v="32"/>
    <s v="PENDIENTE APROBACION  ENVIO TMS"/>
    <s v="000000001209671268"/>
    <x v="1"/>
    <x v="1"/>
    <m/>
    <n v="1"/>
    <m/>
  </r>
  <r>
    <n v="1209671160"/>
    <s v="82"/>
    <x v="20"/>
    <d v="2026-10-14T11:15:08"/>
    <d v="2026-10-14T05:15:06"/>
    <d v="2026-10-14T00:00:00"/>
    <s v=""/>
    <s v="CAJA"/>
    <n v="31"/>
    <s v="PENDIENTE APROBACION  ENVIO TMS"/>
    <s v="000000001209671160"/>
    <x v="1"/>
    <x v="0"/>
    <m/>
    <n v="1"/>
    <m/>
  </r>
  <r>
    <n v="8209671283"/>
    <s v="86"/>
    <x v="126"/>
    <d v="2026-10-14T11:15:10"/>
    <d v="2026-10-14T05:15:08"/>
    <d v="2026-10-14T00:00:00"/>
    <s v=""/>
    <s v="UNIDAD"/>
    <n v="4"/>
    <s v="PENDIENTE APROBACION  ENVIO TMS"/>
    <s v="000000008209671283"/>
    <x v="2"/>
    <x v="1"/>
    <m/>
    <n v="1"/>
    <m/>
  </r>
  <r>
    <n v="8209671188"/>
    <s v="83"/>
    <x v="67"/>
    <d v="2026-10-14T11:15:10"/>
    <d v="2026-10-14T05:15:07"/>
    <d v="2026-10-14T00:00:00"/>
    <s v=""/>
    <s v="UNIDAD"/>
    <n v="4"/>
    <s v="PENDIENTE APROBACION  ENVIO TMS"/>
    <s v="000000008209671188"/>
    <x v="2"/>
    <x v="1"/>
    <m/>
    <n v="1"/>
    <m/>
  </r>
  <r>
    <n v="1209671210"/>
    <s v="83"/>
    <x v="67"/>
    <d v="2026-10-14T11:15:12"/>
    <d v="2026-10-14T05:15:09"/>
    <d v="2026-10-14T00:00:00"/>
    <s v=""/>
    <s v="CAJA"/>
    <n v="36"/>
    <s v="PENDIENTE APROBACION  ENVIO TMS"/>
    <s v="000000001209671210"/>
    <x v="1"/>
    <x v="1"/>
    <m/>
    <n v="1"/>
    <m/>
  </r>
  <r>
    <n v="1209671233"/>
    <s v="84"/>
    <x v="82"/>
    <d v="2026-10-14T11:15:13"/>
    <d v="2026-10-14T05:15:11"/>
    <d v="2026-10-14T00:00:00"/>
    <s v=""/>
    <s v="PACK"/>
    <n v="32"/>
    <s v="PENDIENTE APROBACION  ENVIO TMS"/>
    <s v="000000001209671233"/>
    <x v="1"/>
    <x v="0"/>
    <m/>
    <n v="1"/>
    <m/>
  </r>
  <r>
    <n v="1209671143"/>
    <s v="82"/>
    <x v="20"/>
    <d v="2026-10-14T11:15:14"/>
    <d v="2026-10-14T05:15:12"/>
    <d v="2026-10-14T00:00:00"/>
    <s v=""/>
    <s v="PACK"/>
    <n v="18"/>
    <s v="PENDIENTE APROBACION  ENVIO TMS"/>
    <s v="000000001209671143"/>
    <x v="1"/>
    <x v="0"/>
    <m/>
    <n v="1"/>
    <m/>
  </r>
  <r>
    <n v="1209671264"/>
    <s v="85"/>
    <x v="69"/>
    <d v="2026-10-14T11:15:15"/>
    <d v="2026-10-14T05:15:13"/>
    <d v="2026-10-14T00:00:00"/>
    <s v=""/>
    <s v="CAJA"/>
    <n v="8"/>
    <s v="PENDIENTE APROBACION  ENVIO TMS"/>
    <s v="000000001209671264"/>
    <x v="1"/>
    <x v="1"/>
    <m/>
    <n v="1"/>
    <m/>
  </r>
  <r>
    <n v="1209671204"/>
    <s v="83"/>
    <x v="67"/>
    <d v="2026-10-14T11:15:17"/>
    <d v="2026-10-14T05:15:14"/>
    <d v="2026-10-14T00:00:00"/>
    <s v=""/>
    <s v="CAJA"/>
    <n v="1"/>
    <s v="PENDIENTE APROBACION  ENVIO TMS"/>
    <s v="000000001209671204"/>
    <x v="1"/>
    <x v="1"/>
    <m/>
    <n v="1"/>
    <m/>
  </r>
  <r>
    <n v="1209671227"/>
    <s v="84"/>
    <x v="82"/>
    <d v="2026-10-14T11:15:18"/>
    <d v="2026-10-14T05:15:16"/>
    <d v="2026-10-14T00:00:00"/>
    <s v=""/>
    <s v="CAJA"/>
    <n v="6"/>
    <s v="PENDIENTE APROBACION  ENVIO TMS"/>
    <s v="000000001209671227"/>
    <x v="1"/>
    <x v="0"/>
    <m/>
    <n v="1"/>
    <m/>
  </r>
  <r>
    <n v="1209671276"/>
    <s v="85"/>
    <x v="69"/>
    <d v="2026-10-14T11:15:20"/>
    <d v="2026-10-14T05:15:18"/>
    <d v="2026-10-14T00:00:00"/>
    <s v=""/>
    <s v="CAJA"/>
    <n v="1"/>
    <s v="PENDIENTE APROBACION  ENVIO TMS"/>
    <s v="000000001209671276"/>
    <x v="1"/>
    <x v="1"/>
    <m/>
    <n v="1"/>
    <m/>
  </r>
  <r>
    <n v="1209671145"/>
    <s v="82"/>
    <x v="20"/>
    <d v="2026-10-14T11:15:20"/>
    <d v="2026-10-14T05:15:17"/>
    <d v="2026-10-14T00:00:00"/>
    <s v=""/>
    <s v="CAJA"/>
    <n v="29"/>
    <s v="PENDIENTE APROBACION  ENVIO TMS"/>
    <s v="000000001209671145"/>
    <x v="1"/>
    <x v="0"/>
    <m/>
    <n v="1"/>
    <m/>
  </r>
  <r>
    <n v="1209671291"/>
    <s v="86"/>
    <x v="126"/>
    <d v="2026-10-14T11:15:22"/>
    <d v="2026-10-14T05:15:20"/>
    <d v="2026-10-14T00:00:00"/>
    <s v=""/>
    <s v="CAJA"/>
    <n v="15"/>
    <s v="PENDIENTE APROBACION  ENVIO TMS"/>
    <s v="000000001209671291"/>
    <x v="1"/>
    <x v="1"/>
    <m/>
    <n v="1"/>
    <m/>
  </r>
  <r>
    <n v="8209671278"/>
    <s v="86"/>
    <x v="126"/>
    <d v="2026-10-14T11:15:23"/>
    <d v="2026-10-14T05:15:21"/>
    <d v="2026-10-14T00:00:00"/>
    <s v=""/>
    <s v="UNIDAD"/>
    <n v="1"/>
    <s v="PENDIENTE APROBACION  ENVIO TMS"/>
    <s v="000000008209671278"/>
    <x v="2"/>
    <x v="1"/>
    <m/>
    <n v="1"/>
    <m/>
  </r>
  <r>
    <n v="8209671189"/>
    <s v="83"/>
    <x v="67"/>
    <d v="2026-10-14T11:15:25"/>
    <d v="2026-10-14T05:15:22"/>
    <d v="2026-10-14T00:00:00"/>
    <s v=""/>
    <s v="UNIDAD"/>
    <n v="1"/>
    <s v="PENDIENTE APROBACION  ENVIO TMS"/>
    <s v="000000008209671189"/>
    <x v="2"/>
    <x v="1"/>
    <m/>
    <n v="1"/>
    <m/>
  </r>
  <r>
    <n v="8209671192"/>
    <s v="83"/>
    <x v="67"/>
    <d v="2026-10-14T11:15:25"/>
    <d v="2026-10-14T05:15:23"/>
    <d v="2026-10-14T00:00:00"/>
    <s v=""/>
    <s v="UNIDAD"/>
    <n v="12"/>
    <s v="PENDIENTE APROBACION  ENVIO TMS"/>
    <s v="000000008209671192"/>
    <x v="2"/>
    <x v="1"/>
    <m/>
    <n v="1"/>
    <m/>
  </r>
  <r>
    <n v="1209671197"/>
    <s v="83"/>
    <x v="67"/>
    <d v="2026-10-14T11:15:27"/>
    <d v="2026-10-14T05:15:25"/>
    <d v="2026-10-14T00:00:00"/>
    <s v=""/>
    <s v="CAJA"/>
    <n v="5"/>
    <s v="PENDIENTE APROBACION  ENVIO TMS"/>
    <s v="000000001209671197"/>
    <x v="1"/>
    <x v="1"/>
    <m/>
    <n v="1"/>
    <m/>
  </r>
  <r>
    <n v="8209671220"/>
    <s v="84"/>
    <x v="82"/>
    <d v="2026-10-14T11:15:28"/>
    <d v="2026-10-14T05:15:26"/>
    <d v="2026-10-14T00:00:00"/>
    <s v=""/>
    <s v="UNIDAD"/>
    <n v="2"/>
    <s v="PENDIENTE APROBACION  ENVIO TMS"/>
    <s v="000000008209671220"/>
    <x v="2"/>
    <x v="0"/>
    <m/>
    <n v="1"/>
    <m/>
  </r>
  <r>
    <n v="8209671224"/>
    <s v="84"/>
    <x v="82"/>
    <d v="2026-10-14T11:15:30"/>
    <d v="2026-10-14T05:15:27"/>
    <d v="2026-10-14T00:00:00"/>
    <s v=""/>
    <s v="UNIDAD"/>
    <n v="8"/>
    <s v="PENDIENTE APROBACION  ENVIO TMS"/>
    <s v="000000008209671224"/>
    <x v="2"/>
    <x v="0"/>
    <m/>
    <n v="1"/>
    <m/>
  </r>
  <r>
    <n v="1209671292"/>
    <s v="86"/>
    <x v="126"/>
    <d v="2026-10-14T11:15:32"/>
    <d v="2026-10-14T05:15:30"/>
    <d v="2026-10-14T00:00:00"/>
    <s v=""/>
    <s v="PACK"/>
    <n v="20"/>
    <s v="PENDIENTE APROBACION  ENVIO TMS"/>
    <s v="000000001209671292"/>
    <x v="1"/>
    <x v="1"/>
    <m/>
    <n v="1"/>
    <m/>
  </r>
  <r>
    <n v="1209671201"/>
    <s v="83"/>
    <x v="67"/>
    <d v="2026-10-14T11:15:32"/>
    <d v="2026-10-14T05:15:29"/>
    <d v="2026-10-14T00:00:00"/>
    <s v=""/>
    <s v="CAJA"/>
    <n v="15"/>
    <s v="PENDIENTE APROBACION  ENVIO TMS"/>
    <s v="000000001209671201"/>
    <x v="1"/>
    <x v="1"/>
    <m/>
    <n v="1"/>
    <m/>
  </r>
  <r>
    <n v="1209671285"/>
    <s v="86"/>
    <x v="126"/>
    <d v="2026-10-14T11:15:34"/>
    <d v="2026-10-14T05:15:31"/>
    <d v="2026-10-14T00:00:00"/>
    <s v=""/>
    <s v="CAJA"/>
    <n v="2"/>
    <s v="PENDIENTE APROBACION  ENVIO TMS"/>
    <s v="000000001209671285"/>
    <x v="1"/>
    <x v="1"/>
    <m/>
    <n v="1"/>
    <m/>
  </r>
  <r>
    <n v="8209671133"/>
    <s v="82"/>
    <x v="20"/>
    <d v="2026-10-14T11:15:35"/>
    <d v="2026-10-14T05:15:33"/>
    <d v="2026-10-14T00:00:00"/>
    <s v=""/>
    <s v="UNIDAD"/>
    <n v="1"/>
    <s v="PENDIENTE APROBACION  ENVIO TMS"/>
    <s v="000000008209671133"/>
    <x v="2"/>
    <x v="0"/>
    <m/>
    <n v="1"/>
    <m/>
  </r>
  <r>
    <n v="1209671198"/>
    <s v="83"/>
    <x v="67"/>
    <d v="2026-10-14T11:15:37"/>
    <d v="2026-10-14T05:15:34"/>
    <d v="2026-10-14T00:00:00"/>
    <s v=""/>
    <s v="PACK"/>
    <n v="6"/>
    <s v="PENDIENTE APROBACION  ENVIO TMS"/>
    <s v="000000001209671198"/>
    <x v="1"/>
    <x v="1"/>
    <m/>
    <n v="1"/>
    <m/>
  </r>
  <r>
    <n v="1209671237"/>
    <s v="84"/>
    <x v="82"/>
    <d v="2026-10-14T11:15:38"/>
    <d v="2026-10-14T05:15:35"/>
    <d v="2026-10-14T00:00:00"/>
    <s v=""/>
    <s v="PACK"/>
    <n v="31"/>
    <s v="PENDIENTE APROBACION  ENVIO TMS"/>
    <s v="000000001209671237"/>
    <x v="1"/>
    <x v="0"/>
    <m/>
    <n v="1"/>
    <m/>
  </r>
  <r>
    <n v="1209671265"/>
    <s v="85"/>
    <x v="69"/>
    <d v="2026-10-14T11:15:39"/>
    <d v="2026-10-14T05:15:36"/>
    <d v="2026-10-14T00:00:00"/>
    <s v=""/>
    <s v="CAJA"/>
    <n v="13"/>
    <s v="PENDIENTE APROBACION  ENVIO TMS"/>
    <s v="000000001209671265"/>
    <x v="1"/>
    <x v="1"/>
    <m/>
    <n v="1"/>
    <m/>
  </r>
  <r>
    <n v="1209671229"/>
    <s v="84"/>
    <x v="82"/>
    <d v="2026-10-14T11:15:40"/>
    <d v="2026-10-14T05:15:38"/>
    <d v="2026-10-14T00:00:00"/>
    <s v=""/>
    <s v="PACK"/>
    <n v="10"/>
    <s v="PENDIENTE APROBACION  ENVIO TMS"/>
    <s v="000000001209671229"/>
    <x v="1"/>
    <x v="0"/>
    <m/>
    <n v="1"/>
    <m/>
  </r>
  <r>
    <n v="1209671328"/>
    <s v="87"/>
    <x v="41"/>
    <d v="2026-10-14T11:19:12"/>
    <d v="2026-10-14T05:19:09"/>
    <d v="2026-10-14T00:00:00"/>
    <s v=""/>
    <s v="PACK"/>
    <n v="27"/>
    <s v="PENDIENTE APROBACION  ENVIO TMS"/>
    <s v="000000001209671328"/>
    <x v="1"/>
    <x v="0"/>
    <m/>
    <n v="1"/>
    <m/>
  </r>
  <r>
    <n v="1209671336"/>
    <s v="87"/>
    <x v="41"/>
    <d v="2026-10-14T11:19:13"/>
    <d v="2026-10-14T05:19:11"/>
    <d v="2026-10-14T00:00:00"/>
    <s v=""/>
    <s v="CAJA"/>
    <n v="1"/>
    <s v="PENDIENTE APROBACION  ENVIO TMS"/>
    <s v="000000001209671336"/>
    <x v="1"/>
    <x v="0"/>
    <m/>
    <n v="1"/>
    <m/>
  </r>
  <r>
    <n v="1209671324"/>
    <s v="87"/>
    <x v="41"/>
    <d v="2026-10-14T11:19:15"/>
    <d v="2026-10-14T05:19:12"/>
    <d v="2026-10-14T00:00:00"/>
    <s v=""/>
    <s v="CAJA"/>
    <n v="16"/>
    <s v="PENDIENTE APROBACION  ENVIO TMS"/>
    <s v="000000001209671324"/>
    <x v="1"/>
    <x v="0"/>
    <m/>
    <n v="1"/>
    <m/>
  </r>
  <r>
    <n v="1209671414"/>
    <s v="89"/>
    <x v="104"/>
    <d v="2026-10-14T11:19:15"/>
    <d v="2026-10-14T05:19:13"/>
    <d v="2026-10-14T00:00:00"/>
    <s v=""/>
    <s v="CAJA"/>
    <n v="40"/>
    <s v="PENDIENTE APROBACION  ENVIO TMS"/>
    <s v="000000001209671414"/>
    <x v="1"/>
    <x v="0"/>
    <m/>
    <n v="1"/>
    <m/>
  </r>
  <r>
    <n v="8209671365"/>
    <s v="88"/>
    <x v="103"/>
    <d v="2026-10-14T11:19:17"/>
    <d v="2026-10-14T05:19:14"/>
    <d v="2026-10-14T00:00:00"/>
    <s v=""/>
    <s v="UNIDAD"/>
    <n v="10"/>
    <s v="PENDIENTE APROBACION  ENVIO TMS"/>
    <s v="000000008209671365"/>
    <x v="2"/>
    <x v="0"/>
    <m/>
    <n v="1"/>
    <m/>
  </r>
  <r>
    <n v="1209671442"/>
    <s v="91"/>
    <x v="7"/>
    <d v="2026-10-14T11:19:18"/>
    <d v="2026-10-14T05:19:16"/>
    <d v="2026-10-14T00:00:00"/>
    <s v=""/>
    <s v="CAJA"/>
    <n v="7"/>
    <s v="PENDIENTE APROBACION  ENVIO TMS"/>
    <s v="000000001209671442"/>
    <x v="1"/>
    <x v="2"/>
    <m/>
    <n v="1"/>
    <m/>
  </r>
  <r>
    <n v="1209671370"/>
    <s v="88"/>
    <x v="103"/>
    <d v="2026-10-14T11:19:20"/>
    <d v="2026-10-14T05:19:17"/>
    <d v="2026-10-14T00:00:00"/>
    <s v=""/>
    <s v="PACK"/>
    <n v="32"/>
    <s v="PENDIENTE APROBACION  ENVIO TMS"/>
    <s v="000000001209671370"/>
    <x v="1"/>
    <x v="0"/>
    <m/>
    <n v="1"/>
    <m/>
  </r>
  <r>
    <n v="8209671334"/>
    <s v="87"/>
    <x v="41"/>
    <d v="2026-10-14T11:19:20"/>
    <d v="2026-10-14T05:19:18"/>
    <d v="2026-10-14T00:00:00"/>
    <s v=""/>
    <s v="UNIDAD"/>
    <n v="1"/>
    <s v="PENDIENTE APROBACION  ENVIO TMS"/>
    <s v="000000008209671334"/>
    <x v="2"/>
    <x v="0"/>
    <m/>
    <n v="1"/>
    <m/>
  </r>
  <r>
    <n v="1209671373"/>
    <s v="88"/>
    <x v="103"/>
    <d v="2026-10-14T11:19:22"/>
    <d v="2026-10-14T05:19:20"/>
    <d v="2026-10-14T00:00:00"/>
    <s v=""/>
    <s v="PACK"/>
    <n v="30"/>
    <s v="PENDIENTE APROBACION  ENVIO TMS"/>
    <s v="000000001209671373"/>
    <x v="1"/>
    <x v="0"/>
    <m/>
    <n v="1"/>
    <m/>
  </r>
  <r>
    <n v="1209671449"/>
    <s v="91"/>
    <x v="7"/>
    <d v="2026-10-14T11:19:23"/>
    <d v="2026-10-14T05:19:21"/>
    <d v="2026-10-14T00:00:00"/>
    <s v=""/>
    <s v="PACK"/>
    <n v="41"/>
    <s v="PENDIENTE APROBACION  ENVIO TMS"/>
    <s v="000000001209671449"/>
    <x v="1"/>
    <x v="2"/>
    <m/>
    <n v="1"/>
    <m/>
  </r>
  <r>
    <n v="1209671375"/>
    <s v="88"/>
    <x v="103"/>
    <d v="2026-10-14T11:19:25"/>
    <d v="2026-10-14T05:19:22"/>
    <d v="2026-10-14T00:00:00"/>
    <s v=""/>
    <s v="CAJA"/>
    <n v="59"/>
    <s v="PENDIENTE APROBACION  ENVIO TMS"/>
    <s v="000000001209671375"/>
    <x v="1"/>
    <x v="0"/>
    <m/>
    <n v="1"/>
    <m/>
  </r>
  <r>
    <n v="1209671341"/>
    <s v="87"/>
    <x v="41"/>
    <d v="2026-10-14T11:19:26"/>
    <d v="2026-10-14T05:19:23"/>
    <d v="2026-10-14T00:00:00"/>
    <s v=""/>
    <s v="CAJA"/>
    <n v="26"/>
    <s v="PENDIENTE APROBACION  ENVIO TMS"/>
    <s v="000000001209671341"/>
    <x v="1"/>
    <x v="0"/>
    <m/>
    <n v="1"/>
    <m/>
  </r>
  <r>
    <n v="8209671404"/>
    <s v="89"/>
    <x v="104"/>
    <d v="2026-10-14T11:19:27"/>
    <d v="2026-10-14T05:19:25"/>
    <d v="2026-10-14T00:00:00"/>
    <s v=""/>
    <s v="UNIDAD"/>
    <n v="8"/>
    <s v="PENDIENTE APROBACION  ENVIO TMS"/>
    <s v="000000008209671404"/>
    <x v="2"/>
    <x v="0"/>
    <m/>
    <n v="1"/>
    <m/>
  </r>
  <r>
    <n v="8209671378"/>
    <s v="88"/>
    <x v="103"/>
    <d v="2026-10-14T11:19:28"/>
    <d v="2026-10-14T05:19:26"/>
    <d v="2026-10-14T00:00:00"/>
    <s v=""/>
    <s v="UNIDAD"/>
    <n v="7"/>
    <s v="PENDIENTE APROBACION  ENVIO TMS"/>
    <s v="000000008209671378"/>
    <x v="2"/>
    <x v="0"/>
    <m/>
    <n v="1"/>
    <m/>
  </r>
  <r>
    <n v="1209671379"/>
    <s v="88"/>
    <x v="103"/>
    <d v="2026-10-14T11:19:30"/>
    <d v="2026-10-14T05:19:27"/>
    <d v="2026-10-14T00:00:00"/>
    <s v=""/>
    <s v="CAJA"/>
    <n v="5"/>
    <s v="PENDIENTE APROBACION  ENVIO TMS"/>
    <s v="000000001209671379"/>
    <x v="1"/>
    <x v="0"/>
    <m/>
    <n v="1"/>
    <m/>
  </r>
  <r>
    <n v="1209671327"/>
    <s v="87"/>
    <x v="41"/>
    <d v="2026-10-14T11:19:31"/>
    <d v="2026-10-14T05:19:28"/>
    <d v="2026-10-14T00:00:00"/>
    <s v=""/>
    <s v="CAJA"/>
    <n v="18"/>
    <s v="PENDIENTE APROBACION  ENVIO TMS"/>
    <s v="000000001209671327"/>
    <x v="1"/>
    <x v="0"/>
    <m/>
    <n v="1"/>
    <m/>
  </r>
  <r>
    <n v="8209671316"/>
    <s v="87"/>
    <x v="41"/>
    <d v="2026-10-14T11:19:33"/>
    <d v="2026-10-14T05:19:30"/>
    <d v="2026-10-14T00:00:00"/>
    <s v=""/>
    <s v="UNIDAD"/>
    <n v="2"/>
    <s v="PENDIENTE APROBACION  ENVIO TMS"/>
    <s v="000000008209671316"/>
    <x v="2"/>
    <x v="0"/>
    <m/>
    <n v="1"/>
    <m/>
  </r>
  <r>
    <n v="8209671318"/>
    <s v="87"/>
    <x v="41"/>
    <d v="2026-10-14T11:19:33"/>
    <d v="2026-10-14T05:19:31"/>
    <d v="2026-10-14T00:00:00"/>
    <s v=""/>
    <s v="UNIDAD"/>
    <n v="4"/>
    <s v="PENDIENTE APROBACION  ENVIO TMS"/>
    <s v="000000008209671318"/>
    <x v="2"/>
    <x v="0"/>
    <m/>
    <n v="1"/>
    <m/>
  </r>
  <r>
    <n v="8209671319"/>
    <s v="87"/>
    <x v="41"/>
    <d v="2026-10-14T11:19:35"/>
    <d v="2026-10-14T05:19:32"/>
    <d v="2026-10-14T00:00:00"/>
    <s v=""/>
    <s v="UNIDAD"/>
    <n v="12"/>
    <s v="PENDIENTE APROBACION  ENVIO TMS"/>
    <s v="000000008209671319"/>
    <x v="2"/>
    <x v="0"/>
    <m/>
    <n v="1"/>
    <m/>
  </r>
  <r>
    <n v="1209671415"/>
    <s v="89"/>
    <x v="104"/>
    <d v="2026-10-14T11:19:36"/>
    <d v="2026-10-14T05:19:33"/>
    <d v="2026-10-14T00:00:00"/>
    <s v=""/>
    <s v="CAJA"/>
    <n v="1"/>
    <s v="PENDIENTE APROBACION  ENVIO TMS"/>
    <s v="000000001209671415"/>
    <x v="1"/>
    <x v="0"/>
    <m/>
    <n v="1"/>
    <m/>
  </r>
  <r>
    <n v="8209671402"/>
    <s v="89"/>
    <x v="104"/>
    <d v="2026-10-14T11:19:37"/>
    <d v="2026-10-14T05:19:35"/>
    <d v="2026-10-14T00:00:00"/>
    <s v=""/>
    <s v="UNIDAD"/>
    <n v="1"/>
    <s v="PENDIENTE APROBACION  ENVIO TMS"/>
    <s v="000000008209671402"/>
    <x v="2"/>
    <x v="0"/>
    <m/>
    <n v="1"/>
    <m/>
  </r>
  <r>
    <n v="1209671408"/>
    <s v="89"/>
    <x v="104"/>
    <d v="2026-10-14T11:19:38"/>
    <d v="2026-10-14T05:19:36"/>
    <d v="2026-10-14T00:00:00"/>
    <s v=""/>
    <s v="PACK"/>
    <n v="14"/>
    <s v="PENDIENTE APROBACION  ENVIO TMS"/>
    <s v="000000001209671408"/>
    <x v="1"/>
    <x v="0"/>
    <m/>
    <n v="1"/>
    <m/>
  </r>
  <r>
    <n v="1209671444"/>
    <s v="91"/>
    <x v="7"/>
    <d v="2026-10-14T11:19:40"/>
    <d v="2026-10-14T05:19:38"/>
    <d v="2026-10-14T00:00:00"/>
    <s v=""/>
    <s v="CAJA"/>
    <n v="12"/>
    <s v="PENDIENTE APROBACION  ENVIO TMS"/>
    <s v="000000001209671444"/>
    <x v="1"/>
    <x v="2"/>
    <m/>
    <n v="1"/>
    <m/>
  </r>
  <r>
    <n v="1209671380"/>
    <s v="88"/>
    <x v="103"/>
    <d v="2026-10-14T11:19:42"/>
    <d v="2026-10-14T05:19:39"/>
    <d v="2026-10-14T00:00:00"/>
    <s v=""/>
    <s v="PACK"/>
    <n v="2"/>
    <s v="PENDIENTE APROBACION  ENVIO TMS"/>
    <s v="000000001209671380"/>
    <x v="1"/>
    <x v="0"/>
    <m/>
    <n v="1"/>
    <m/>
  </r>
  <r>
    <n v="1209671445"/>
    <s v="91"/>
    <x v="7"/>
    <d v="2026-10-14T11:19:43"/>
    <d v="2026-10-14T05:19:40"/>
    <d v="2026-10-14T00:00:00"/>
    <s v=""/>
    <s v="UNIDAD"/>
    <n v="22"/>
    <s v="PENDIENTE APROBACION  ENVIO TMS"/>
    <s v="000000001209671445"/>
    <x v="1"/>
    <x v="2"/>
    <m/>
    <n v="1"/>
    <m/>
  </r>
  <r>
    <n v="1209671374"/>
    <s v="88"/>
    <x v="103"/>
    <d v="2026-10-14T11:19:45"/>
    <d v="2026-10-14T05:19:43"/>
    <d v="2026-10-14T00:00:00"/>
    <s v=""/>
    <s v="PACK"/>
    <n v="29"/>
    <s v="PENDIENTE APROBACION  ENVIO TMS"/>
    <s v="000000001209671374"/>
    <x v="1"/>
    <x v="0"/>
    <m/>
    <n v="1"/>
    <m/>
  </r>
  <r>
    <n v="1209671446"/>
    <s v="91"/>
    <x v="7"/>
    <d v="2026-10-14T11:19:45"/>
    <d v="2026-10-14T05:19:42"/>
    <d v="2026-10-14T00:00:00"/>
    <s v=""/>
    <s v="CAJA"/>
    <n v="15"/>
    <s v="PENDIENTE APROBACION  ENVIO TMS"/>
    <s v="000000001209671446"/>
    <x v="1"/>
    <x v="2"/>
    <m/>
    <n v="1"/>
    <m/>
  </r>
  <r>
    <n v="8209671361"/>
    <s v="88"/>
    <x v="103"/>
    <d v="2026-10-14T11:19:47"/>
    <d v="2026-10-14T05:19:44"/>
    <d v="2026-10-14T00:00:00"/>
    <s v=""/>
    <s v="UNIDAD"/>
    <n v="10"/>
    <s v="PENDIENTE APROBACION  ENVIO TMS"/>
    <s v="000000008209671361"/>
    <x v="2"/>
    <x v="0"/>
    <m/>
    <n v="1"/>
    <m/>
  </r>
  <r>
    <n v="1209671419"/>
    <s v="89"/>
    <x v="104"/>
    <d v="2026-10-14T11:19:48"/>
    <d v="2026-10-14T05:19:45"/>
    <d v="2026-10-14T00:00:00"/>
    <s v=""/>
    <s v="PACK"/>
    <n v="54"/>
    <s v="PENDIENTE APROBACION  ENVIO TMS"/>
    <s v="000000001209671419"/>
    <x v="1"/>
    <x v="0"/>
    <m/>
    <n v="1"/>
    <m/>
  </r>
  <r>
    <n v="8209671436"/>
    <s v="91"/>
    <x v="7"/>
    <d v="2026-10-14T11:19:49"/>
    <d v="2026-10-14T05:19:47"/>
    <d v="2026-10-14T00:00:00"/>
    <s v=""/>
    <s v="UNIDAD"/>
    <n v="4"/>
    <s v="PENDIENTE APROBACION  ENVIO TMS"/>
    <s v="000000008209671436"/>
    <x v="2"/>
    <x v="2"/>
    <m/>
    <n v="1"/>
    <m/>
  </r>
  <r>
    <n v="8209671400"/>
    <s v="89"/>
    <x v="104"/>
    <d v="2026-10-14T11:19:50"/>
    <d v="2026-10-14T05:19:48"/>
    <d v="2026-10-14T00:00:00"/>
    <s v=""/>
    <s v="UNIDAD"/>
    <n v="12"/>
    <s v="PENDIENTE APROBACION  ENVIO TMS"/>
    <s v="000000008209671400"/>
    <x v="2"/>
    <x v="0"/>
    <m/>
    <n v="1"/>
    <m/>
  </r>
  <r>
    <n v="1209671376"/>
    <s v="88"/>
    <x v="103"/>
    <d v="2026-10-14T11:19:52"/>
    <d v="2026-10-14T05:19:50"/>
    <d v="2026-10-14T00:00:00"/>
    <s v=""/>
    <s v="PACK"/>
    <n v="76"/>
    <s v="PENDIENTE APROBACION  ENVIO TMS"/>
    <s v="000000001209671376"/>
    <x v="1"/>
    <x v="0"/>
    <m/>
    <n v="1"/>
    <m/>
  </r>
  <r>
    <n v="8209671403"/>
    <s v="89"/>
    <x v="104"/>
    <d v="2026-10-14T11:19:54"/>
    <d v="2026-10-14T05:19:51"/>
    <d v="2026-10-14T00:00:00"/>
    <s v=""/>
    <s v="UNIDAD"/>
    <n v="35"/>
    <s v="PENDIENTE APROBACION  ENVIO TMS"/>
    <s v="000000008209671403"/>
    <x v="2"/>
    <x v="0"/>
    <m/>
    <n v="1"/>
    <m/>
  </r>
  <r>
    <n v="1209671441"/>
    <s v="91"/>
    <x v="7"/>
    <d v="2026-10-14T11:19:55"/>
    <d v="2026-10-14T05:19:53"/>
    <d v="2026-10-14T00:00:00"/>
    <s v=""/>
    <s v="CAJA"/>
    <n v="2"/>
    <s v="PENDIENTE APROBACION  ENVIO TMS"/>
    <s v="000000001209671441"/>
    <x v="1"/>
    <x v="2"/>
    <m/>
    <n v="1"/>
    <m/>
  </r>
  <r>
    <n v="8209671377"/>
    <s v="88"/>
    <x v="103"/>
    <d v="2026-10-14T11:19:56"/>
    <d v="2026-10-14T05:19:54"/>
    <d v="2026-10-14T00:00:00"/>
    <s v=""/>
    <s v="UNIDAD"/>
    <n v="5"/>
    <s v="PENDIENTE APROBACION  ENVIO TMS"/>
    <s v="000000008209671377"/>
    <x v="2"/>
    <x v="0"/>
    <m/>
    <n v="1"/>
    <m/>
  </r>
  <r>
    <n v="1209671371"/>
    <s v="88"/>
    <x v="103"/>
    <d v="2026-10-14T11:19:58"/>
    <d v="2026-10-14T05:19:55"/>
    <d v="2026-10-14T00:00:00"/>
    <s v=""/>
    <s v="CAJA"/>
    <n v="4"/>
    <s v="PENDIENTE APROBACION  ENVIO TMS"/>
    <s v="000000001209671371"/>
    <x v="1"/>
    <x v="0"/>
    <m/>
    <n v="1"/>
    <m/>
  </r>
  <r>
    <n v="1209671321"/>
    <s v="87"/>
    <x v="41"/>
    <d v="2026-10-14T11:19:59"/>
    <d v="2026-10-14T05:19:57"/>
    <d v="2026-10-14T00:00:00"/>
    <s v=""/>
    <s v="CAJA"/>
    <n v="4"/>
    <s v="PENDIENTE APROBACION  ENVIO TMS"/>
    <s v="000000001209671321"/>
    <x v="1"/>
    <x v="0"/>
    <m/>
    <n v="1"/>
    <m/>
  </r>
  <r>
    <n v="1209671450"/>
    <s v="91"/>
    <x v="7"/>
    <d v="2026-10-14T11:20:01"/>
    <d v="2026-10-14T05:19:58"/>
    <d v="2026-10-14T00:00:00"/>
    <s v=""/>
    <s v="CAJA"/>
    <n v="1"/>
    <s v="PENDIENTE APROBACION  ENVIO TMS"/>
    <s v="000000001209671450"/>
    <x v="1"/>
    <x v="2"/>
    <m/>
    <n v="1"/>
    <m/>
  </r>
  <r>
    <n v="1209671366"/>
    <s v="88"/>
    <x v="103"/>
    <d v="2026-10-14T11:20:02"/>
    <d v="2026-10-14T05:19:59"/>
    <d v="2026-10-14T00:00:00"/>
    <s v=""/>
    <s v="CAJA"/>
    <n v="11"/>
    <s v="PENDIENTE APROBACION  ENVIO TMS"/>
    <s v="000000001209671366"/>
    <x v="1"/>
    <x v="0"/>
    <m/>
    <n v="1"/>
    <m/>
  </r>
  <r>
    <n v="1209671439"/>
    <s v="91"/>
    <x v="7"/>
    <d v="2026-10-14T11:20:03"/>
    <d v="2026-10-14T05:20:00"/>
    <d v="2026-10-14T00:00:00"/>
    <s v=""/>
    <s v="CAJA"/>
    <n v="1"/>
    <s v="PENDIENTE APROBACION  ENVIO TMS"/>
    <s v="000000001209671439"/>
    <x v="1"/>
    <x v="2"/>
    <m/>
    <n v="1"/>
    <m/>
  </r>
  <r>
    <n v="1209671367"/>
    <s v="88"/>
    <x v="103"/>
    <d v="2026-10-14T11:20:04"/>
    <d v="2026-10-14T05:20:02"/>
    <d v="2026-10-14T00:00:00"/>
    <s v=""/>
    <s v="CAJA"/>
    <n v="26"/>
    <s v="PENDIENTE APROBACION  ENVIO TMS"/>
    <s v="000000001209671367"/>
    <x v="1"/>
    <x v="0"/>
    <m/>
    <n v="1"/>
    <m/>
  </r>
  <r>
    <n v="1209671385"/>
    <s v="88"/>
    <x v="103"/>
    <d v="2026-10-14T11:20:06"/>
    <d v="2026-10-14T05:20:03"/>
    <d v="2026-10-14T00:00:00"/>
    <s v=""/>
    <s v="PACK"/>
    <n v="32"/>
    <s v="PENDIENTE APROBACION  ENVIO TMS"/>
    <s v="000000001209671385"/>
    <x v="1"/>
    <x v="0"/>
    <m/>
    <n v="1"/>
    <m/>
  </r>
  <r>
    <n v="1209671329"/>
    <s v="87"/>
    <x v="41"/>
    <d v="2026-10-14T11:20:08"/>
    <d v="2026-10-14T05:20:04"/>
    <d v="2026-10-14T00:00:00"/>
    <s v=""/>
    <s v="CAJA"/>
    <n v="4"/>
    <s v="PENDIENTE APROBACION  ENVIO TMS"/>
    <s v="000000001209671329"/>
    <x v="1"/>
    <x v="0"/>
    <m/>
    <n v="1"/>
    <m/>
  </r>
  <r>
    <n v="1209671337"/>
    <s v="87"/>
    <x v="41"/>
    <d v="2026-10-14T11:20:09"/>
    <d v="2026-10-14T05:20:06"/>
    <d v="2026-10-14T00:00:00"/>
    <s v=""/>
    <s v="CAJA"/>
    <n v="1"/>
    <s v="PENDIENTE APROBACION  ENVIO TMS"/>
    <s v="000000001209671337"/>
    <x v="1"/>
    <x v="0"/>
    <m/>
    <n v="1"/>
    <m/>
  </r>
  <r>
    <n v="8209671317"/>
    <s v="87"/>
    <x v="41"/>
    <d v="2026-10-14T11:20:11"/>
    <d v="2026-10-14T05:20:08"/>
    <d v="2026-10-14T00:00:00"/>
    <s v=""/>
    <s v="UNIDAD"/>
    <n v="5"/>
    <s v="PENDIENTE APROBACION  ENVIO TMS"/>
    <s v="000000008209671317"/>
    <x v="2"/>
    <x v="0"/>
    <m/>
    <n v="1"/>
    <m/>
  </r>
  <r>
    <n v="1209671326"/>
    <s v="87"/>
    <x v="41"/>
    <d v="2026-10-14T11:20:12"/>
    <d v="2026-10-14T05:20:09"/>
    <d v="2026-10-14T00:00:00"/>
    <s v=""/>
    <s v="CAJA"/>
    <n v="9"/>
    <s v="PENDIENTE APROBACION  ENVIO TMS"/>
    <s v="000000001209671326"/>
    <x v="1"/>
    <x v="0"/>
    <m/>
    <n v="1"/>
    <m/>
  </r>
  <r>
    <n v="1209671413"/>
    <s v="89"/>
    <x v="104"/>
    <d v="2026-10-14T11:20:13"/>
    <d v="2026-10-14T05:20:11"/>
    <d v="2026-10-14T00:00:00"/>
    <s v=""/>
    <s v="PACK"/>
    <n v="44"/>
    <s v="PENDIENTE APROBACION  ENVIO TMS"/>
    <s v="000000001209671413"/>
    <x v="1"/>
    <x v="0"/>
    <m/>
    <n v="1"/>
    <m/>
  </r>
  <r>
    <n v="1209671448"/>
    <s v="91"/>
    <x v="7"/>
    <d v="2026-10-14T11:20:14"/>
    <d v="2026-10-14T05:20:12"/>
    <d v="2026-10-14T00:00:00"/>
    <s v=""/>
    <s v="PACK"/>
    <n v="33"/>
    <s v="PENDIENTE APROBACION  ENVIO TMS"/>
    <s v="000000001209671448"/>
    <x v="1"/>
    <x v="2"/>
    <m/>
    <n v="1"/>
    <m/>
  </r>
  <r>
    <n v="8209671398"/>
    <s v="89"/>
    <x v="104"/>
    <d v="2026-10-14T11:20:16"/>
    <d v="2026-10-14T05:20:14"/>
    <d v="2026-10-14T00:00:00"/>
    <s v=""/>
    <s v="UNIDAD"/>
    <n v="2"/>
    <s v="PENDIENTE APROBACION  ENVIO TMS"/>
    <s v="000000008209671398"/>
    <x v="2"/>
    <x v="0"/>
    <m/>
    <n v="1"/>
    <m/>
  </r>
  <r>
    <n v="8209671440"/>
    <s v="91"/>
    <x v="7"/>
    <d v="2026-10-14T11:20:18"/>
    <d v="2026-10-14T05:20:15"/>
    <d v="2026-10-14T00:00:00"/>
    <s v=""/>
    <s v="UNIDAD"/>
    <n v="20"/>
    <s v="PENDIENTE APROBACION  ENVIO TMS"/>
    <s v="000000008209671440"/>
    <x v="2"/>
    <x v="2"/>
    <m/>
    <n v="1"/>
    <m/>
  </r>
  <r>
    <n v="1209671443"/>
    <s v="91"/>
    <x v="7"/>
    <d v="2026-10-14T11:20:19"/>
    <d v="2026-10-14T05:20:16"/>
    <d v="2026-10-14T00:00:00"/>
    <s v=""/>
    <s v="CAJA"/>
    <n v="10"/>
    <s v="PENDIENTE APROBACION  ENVIO TMS"/>
    <s v="000000001209671443"/>
    <x v="1"/>
    <x v="2"/>
    <m/>
    <n v="1"/>
    <m/>
  </r>
  <r>
    <n v="1209671409"/>
    <s v="89"/>
    <x v="104"/>
    <d v="2026-10-14T11:20:20"/>
    <d v="2026-10-14T05:20:17"/>
    <d v="2026-10-14T00:00:00"/>
    <s v=""/>
    <s v="PACK"/>
    <n v="21"/>
    <s v="PENDIENTE APROBACION  ENVIO TMS"/>
    <s v="000000001209671409"/>
    <x v="1"/>
    <x v="0"/>
    <m/>
    <n v="1"/>
    <m/>
  </r>
  <r>
    <n v="8209671335"/>
    <s v="87"/>
    <x v="41"/>
    <d v="2026-10-14T11:20:22"/>
    <d v="2026-10-14T05:20:19"/>
    <d v="2026-10-14T00:00:00"/>
    <s v=""/>
    <s v="UNIDAD"/>
    <n v="3"/>
    <s v="PENDIENTE APROBACION  ENVIO TMS"/>
    <s v="000000008209671335"/>
    <x v="2"/>
    <x v="0"/>
    <m/>
    <n v="1"/>
    <m/>
  </r>
  <r>
    <n v="1209671325"/>
    <s v="87"/>
    <x v="41"/>
    <d v="2026-10-14T11:20:24"/>
    <d v="2026-10-14T05:20:21"/>
    <d v="2026-10-14T00:00:00"/>
    <s v=""/>
    <s v="PACK"/>
    <n v="13"/>
    <s v="PENDIENTE APROBACION  ENVIO TMS"/>
    <s v="000000001209671325"/>
    <x v="1"/>
    <x v="0"/>
    <m/>
    <n v="1"/>
    <m/>
  </r>
  <r>
    <n v="8209671362"/>
    <s v="88"/>
    <x v="103"/>
    <d v="2026-10-14T11:20:25"/>
    <d v="2026-10-14T05:20:22"/>
    <d v="2026-10-14T00:00:00"/>
    <s v=""/>
    <s v="UNIDAD"/>
    <n v="6"/>
    <s v="PENDIENTE APROBACION  ENVIO TMS"/>
    <s v="000000008209671362"/>
    <x v="2"/>
    <x v="0"/>
    <m/>
    <n v="1"/>
    <m/>
  </r>
  <r>
    <n v="8209671363"/>
    <s v="88"/>
    <x v="103"/>
    <d v="2026-10-14T11:20:26"/>
    <d v="2026-10-14T05:20:23"/>
    <d v="2026-10-14T00:00:00"/>
    <s v=""/>
    <s v="UNIDAD"/>
    <n v="17"/>
    <s v="PENDIENTE APROBACION  ENVIO TMS"/>
    <s v="000000008209671363"/>
    <x v="2"/>
    <x v="0"/>
    <m/>
    <n v="1"/>
    <m/>
  </r>
  <r>
    <n v="8209671364"/>
    <s v="88"/>
    <x v="103"/>
    <d v="2026-10-14T11:20:27"/>
    <d v="2026-10-14T05:20:25"/>
    <d v="2026-10-14T00:00:00"/>
    <s v=""/>
    <s v="UNIDAD"/>
    <n v="6"/>
    <s v="PENDIENTE APROBACION  ENVIO TMS"/>
    <s v="000000008209671364"/>
    <x v="2"/>
    <x v="0"/>
    <m/>
    <n v="1"/>
    <m/>
  </r>
  <r>
    <n v="8209671437"/>
    <s v="91"/>
    <x v="7"/>
    <d v="2026-10-14T11:20:29"/>
    <d v="2026-10-14T05:20:26"/>
    <d v="2026-10-14T00:00:00"/>
    <s v=""/>
    <s v="UNIDAD"/>
    <n v="13"/>
    <s v="PENDIENTE APROBACION  ENVIO TMS"/>
    <s v="000000008209671437"/>
    <x v="2"/>
    <x v="2"/>
    <m/>
    <n v="1"/>
    <m/>
  </r>
  <r>
    <n v="8209671399"/>
    <s v="89"/>
    <x v="104"/>
    <d v="2026-10-14T11:20:30"/>
    <d v="2026-10-14T05:20:28"/>
    <d v="2026-10-14T00:00:00"/>
    <s v=""/>
    <s v="UNIDAD"/>
    <n v="2"/>
    <s v="PENDIENTE APROBACION  ENVIO TMS"/>
    <s v="000000008209671399"/>
    <x v="2"/>
    <x v="0"/>
    <m/>
    <n v="1"/>
    <m/>
  </r>
  <r>
    <n v="8209671438"/>
    <s v="91"/>
    <x v="7"/>
    <d v="2026-10-14T11:20:31"/>
    <d v="2026-10-14T05:20:29"/>
    <d v="2026-10-14T00:00:00"/>
    <s v=""/>
    <s v="UNIDAD"/>
    <n v="21"/>
    <s v="PENDIENTE APROBACION  ENVIO TMS"/>
    <s v="000000008209671438"/>
    <x v="2"/>
    <x v="2"/>
    <m/>
    <n v="1"/>
    <m/>
  </r>
  <r>
    <n v="1209671410"/>
    <s v="89"/>
    <x v="104"/>
    <d v="2026-10-14T11:20:32"/>
    <d v="2026-10-14T05:20:30"/>
    <d v="2026-10-14T00:00:00"/>
    <s v=""/>
    <s v="PACK"/>
    <n v="23"/>
    <s v="PENDIENTE APROBACION  ENVIO TMS"/>
    <s v="000000001209671410"/>
    <x v="1"/>
    <x v="0"/>
    <m/>
    <n v="1"/>
    <m/>
  </r>
  <r>
    <n v="1209671338"/>
    <s v="87"/>
    <x v="41"/>
    <d v="2026-10-14T11:20:34"/>
    <d v="2026-10-14T05:20:31"/>
    <d v="2026-10-14T00:00:00"/>
    <s v=""/>
    <s v="PACK"/>
    <n v="10"/>
    <s v="PENDIENTE APROBACION  ENVIO TMS"/>
    <s v="000000001209671338"/>
    <x v="1"/>
    <x v="0"/>
    <m/>
    <n v="1"/>
    <m/>
  </r>
  <r>
    <n v="8209671435"/>
    <s v="91"/>
    <x v="7"/>
    <d v="2026-10-14T11:20:35"/>
    <d v="2026-10-14T05:20:32"/>
    <d v="2026-10-14T00:00:00"/>
    <s v=""/>
    <s v="UNIDAD"/>
    <n v="1"/>
    <s v="PENDIENTE APROBACION  ENVIO TMS"/>
    <s v="000000008209671435"/>
    <x v="2"/>
    <x v="2"/>
    <m/>
    <n v="1"/>
    <m/>
  </r>
  <r>
    <n v="8209671401"/>
    <s v="89"/>
    <x v="104"/>
    <d v="2026-10-14T11:20:36"/>
    <d v="2026-10-14T05:20:34"/>
    <d v="2026-10-14T00:00:00"/>
    <s v=""/>
    <s v="UNIDAD"/>
    <n v="5"/>
    <s v="PENDIENTE APROBACION  ENVIO TMS"/>
    <s v="000000008209671401"/>
    <x v="2"/>
    <x v="0"/>
    <m/>
    <n v="1"/>
    <m/>
  </r>
  <r>
    <n v="1209671405"/>
    <s v="89"/>
    <x v="104"/>
    <d v="2026-10-14T11:20:37"/>
    <d v="2026-10-14T05:20:35"/>
    <d v="2026-10-14T00:00:00"/>
    <s v=""/>
    <s v="CAJA"/>
    <n v="1"/>
    <s v="PENDIENTE APROBACION  ENVIO TMS"/>
    <s v="000000001209671405"/>
    <x v="1"/>
    <x v="0"/>
    <m/>
    <n v="1"/>
    <m/>
  </r>
  <r>
    <n v="1209671406"/>
    <s v="89"/>
    <x v="104"/>
    <d v="2026-10-14T11:20:39"/>
    <d v="2026-10-14T05:20:36"/>
    <d v="2026-10-14T00:00:00"/>
    <s v=""/>
    <s v="CAJA"/>
    <n v="5"/>
    <s v="PENDIENTE APROBACION  ENVIO TMS"/>
    <s v="000000001209671406"/>
    <x v="1"/>
    <x v="0"/>
    <m/>
    <n v="1"/>
    <m/>
  </r>
  <r>
    <n v="1209671407"/>
    <s v="89"/>
    <x v="104"/>
    <d v="2026-10-14T11:20:40"/>
    <d v="2026-10-14T05:20:37"/>
    <d v="2026-10-14T00:00:00"/>
    <s v=""/>
    <s v="CAJA"/>
    <n v="20"/>
    <s v="PENDIENTE APROBACION  ENVIO TMS"/>
    <s v="000000001209671407"/>
    <x v="1"/>
    <x v="0"/>
    <m/>
    <n v="1"/>
    <m/>
  </r>
  <r>
    <n v="1209671447"/>
    <s v="91"/>
    <x v="7"/>
    <d v="2026-10-14T11:20:41"/>
    <d v="2026-10-14T05:20:39"/>
    <d v="2026-10-14T00:00:00"/>
    <s v=""/>
    <s v="PACK"/>
    <n v="24"/>
    <s v="PENDIENTE APROBACION  ENVIO TMS"/>
    <s v="000000001209671447"/>
    <x v="1"/>
    <x v="2"/>
    <m/>
    <n v="1"/>
    <m/>
  </r>
  <r>
    <n v="1209671411"/>
    <s v="89"/>
    <x v="104"/>
    <d v="2026-10-14T11:20:43"/>
    <d v="2026-10-14T05:20:40"/>
    <d v="2026-10-14T00:00:00"/>
    <s v=""/>
    <s v="PACK"/>
    <n v="23"/>
    <s v="PENDIENTE APROBACION  ENVIO TMS"/>
    <s v="000000001209671411"/>
    <x v="1"/>
    <x v="0"/>
    <m/>
    <n v="1"/>
    <m/>
  </r>
  <r>
    <n v="1209671619"/>
    <s v="110"/>
    <x v="55"/>
    <d v="2026-10-14T11:24:13"/>
    <d v="2026-10-14T05:24:11"/>
    <d v="2026-10-14T00:00:00"/>
    <s v=""/>
    <s v="CAJA"/>
    <n v="25"/>
    <s v="PENDIENTE APROBACION  ENVIO TMS"/>
    <s v="000000001209671619"/>
    <x v="1"/>
    <x v="0"/>
    <m/>
    <n v="1"/>
    <m/>
  </r>
  <r>
    <n v="8209671583"/>
    <s v="109"/>
    <x v="134"/>
    <d v="2026-10-14T11:24:13"/>
    <d v="2026-10-14T05:24:10"/>
    <d v="2026-10-14T00:00:00"/>
    <s v=""/>
    <s v="UNIDAD"/>
    <n v="3"/>
    <s v="PENDIENTE APROBACION  ENVIO TMS"/>
    <s v="000000008209671583"/>
    <x v="2"/>
    <x v="0"/>
    <m/>
    <n v="1"/>
    <m/>
  </r>
  <r>
    <n v="1209671614"/>
    <s v="110"/>
    <x v="55"/>
    <d v="2026-10-14T11:24:15"/>
    <d v="2026-10-14T05:24:13"/>
    <d v="2026-10-14T00:00:00"/>
    <s v=""/>
    <s v="CAJA"/>
    <n v="21"/>
    <s v="PENDIENTE APROBACION  ENVIO TMS"/>
    <s v="000000001209671614"/>
    <x v="1"/>
    <x v="0"/>
    <m/>
    <n v="1"/>
    <m/>
  </r>
  <r>
    <n v="8209671469"/>
    <s v="102"/>
    <x v="106"/>
    <d v="2026-10-14T11:24:17"/>
    <d v="2026-10-14T05:24:14"/>
    <d v="2026-10-14T00:00:00"/>
    <s v=""/>
    <s v="UNIDAD"/>
    <n v="11"/>
    <s v="PENDIENTE APROBACION  ENVIO TMS"/>
    <s v="000000008209671469"/>
    <x v="2"/>
    <x v="3"/>
    <m/>
    <n v="1"/>
    <m/>
  </r>
  <r>
    <n v="8209671566"/>
    <s v="109"/>
    <x v="134"/>
    <d v="2026-10-14T11:24:19"/>
    <d v="2026-10-14T05:24:16"/>
    <d v="2026-10-14T00:00:00"/>
    <s v=""/>
    <s v="UNIDAD"/>
    <n v="8"/>
    <s v="PENDIENTE APROBACION  ENVIO TMS"/>
    <s v="000000008209671566"/>
    <x v="2"/>
    <x v="0"/>
    <m/>
    <n v="1"/>
    <m/>
  </r>
  <r>
    <n v="1209671475"/>
    <s v="102"/>
    <x v="106"/>
    <d v="2026-10-14T11:24:20"/>
    <d v="2026-10-14T05:24:18"/>
    <d v="2026-10-14T00:00:00"/>
    <s v=""/>
    <s v="CAJA"/>
    <n v="10"/>
    <s v="PENDIENTE APROBACION  ENVIO TMS"/>
    <s v="000000001209671475"/>
    <x v="1"/>
    <x v="3"/>
    <m/>
    <n v="1"/>
    <m/>
  </r>
  <r>
    <n v="8209671537"/>
    <s v="105"/>
    <x v="71"/>
    <d v="2026-10-14T11:24:22"/>
    <d v="2026-10-14T05:24:19"/>
    <d v="2026-10-14T00:00:00"/>
    <s v=""/>
    <s v="UNIDAD"/>
    <n v="15"/>
    <s v="PENDIENTE APROBACION  ENVIO TMS"/>
    <s v="000000008209671537"/>
    <x v="2"/>
    <x v="2"/>
    <m/>
    <n v="1"/>
    <m/>
  </r>
  <r>
    <n v="8209671538"/>
    <s v="105"/>
    <x v="71"/>
    <d v="2026-10-14T11:24:24"/>
    <d v="2026-10-14T05:24:21"/>
    <d v="2026-10-14T00:00:00"/>
    <s v=""/>
    <s v="UNIDAD"/>
    <n v="1"/>
    <s v="PENDIENTE APROBACION  ENVIO TMS"/>
    <s v="000000008209671538"/>
    <x v="2"/>
    <x v="2"/>
    <m/>
    <n v="1"/>
    <m/>
  </r>
  <r>
    <n v="1209671481"/>
    <s v="102"/>
    <x v="106"/>
    <d v="2026-10-14T11:24:26"/>
    <d v="2026-10-14T05:24:23"/>
    <d v="2026-10-14T00:00:00"/>
    <s v=""/>
    <s v="PACK"/>
    <n v="39"/>
    <s v="PENDIENTE APROBACION  ENVIO TMS"/>
    <s v="000000001209671481"/>
    <x v="1"/>
    <x v="3"/>
    <m/>
    <n v="1"/>
    <m/>
  </r>
  <r>
    <n v="8209671496"/>
    <s v="103"/>
    <x v="42"/>
    <d v="2026-10-14T11:24:27"/>
    <d v="2026-10-14T05:24:24"/>
    <d v="2026-10-14T00:00:00"/>
    <s v=""/>
    <s v="UNIDAD"/>
    <n v="1"/>
    <s v="PENDIENTE APROBACION  ENVIO TMS"/>
    <s v="000000008209671496"/>
    <x v="2"/>
    <x v="2"/>
    <m/>
    <n v="1"/>
    <m/>
  </r>
  <r>
    <n v="1209671504"/>
    <s v="103"/>
    <x v="42"/>
    <d v="2026-10-14T11:24:28"/>
    <d v="2026-10-14T05:24:26"/>
    <d v="2026-10-14T00:00:00"/>
    <s v=""/>
    <s v="CAJA"/>
    <n v="17"/>
    <s v="PENDIENTE APROBACION  ENVIO TMS"/>
    <s v="000000001209671504"/>
    <x v="1"/>
    <x v="2"/>
    <m/>
    <n v="1"/>
    <m/>
  </r>
  <r>
    <n v="8209671569"/>
    <s v="109"/>
    <x v="134"/>
    <d v="2026-10-14T11:24:30"/>
    <d v="2026-10-14T05:24:27"/>
    <d v="2026-10-14T00:00:00"/>
    <s v=""/>
    <s v="UNIDAD"/>
    <n v="3"/>
    <s v="PENDIENTE APROBACION  ENVIO TMS"/>
    <s v="000000008209671569"/>
    <x v="2"/>
    <x v="0"/>
    <m/>
    <n v="1"/>
    <m/>
  </r>
  <r>
    <n v="1209671586"/>
    <s v="109"/>
    <x v="134"/>
    <d v="2026-10-14T11:24:31"/>
    <d v="2026-10-14T05:24:29"/>
    <d v="2026-10-14T00:00:00"/>
    <s v=""/>
    <s v="PACK"/>
    <n v="20"/>
    <s v="PENDIENTE APROBACION  ENVIO TMS"/>
    <s v="000000001209671586"/>
    <x v="1"/>
    <x v="0"/>
    <m/>
    <n v="1"/>
    <m/>
  </r>
  <r>
    <n v="1209671580"/>
    <s v="109"/>
    <x v="134"/>
    <d v="2026-10-14T11:24:33"/>
    <d v="2026-10-14T05:24:30"/>
    <d v="2026-10-14T00:00:00"/>
    <s v=""/>
    <s v="CAJA"/>
    <n v="5"/>
    <s v="PENDIENTE APROBACION  ENVIO TMS"/>
    <s v="000000001209671580"/>
    <x v="1"/>
    <x v="0"/>
    <m/>
    <n v="1"/>
    <m/>
  </r>
  <r>
    <n v="1209671620"/>
    <s v="110"/>
    <x v="55"/>
    <d v="2026-10-14T11:24:35"/>
    <d v="2026-10-14T05:24:32"/>
    <d v="2026-10-14T00:00:00"/>
    <s v=""/>
    <s v="PACK"/>
    <n v="36"/>
    <s v="PENDIENTE APROBACION  ENVIO TMS"/>
    <s v="000000001209671620"/>
    <x v="1"/>
    <x v="0"/>
    <m/>
    <n v="1"/>
    <m/>
  </r>
  <r>
    <n v="8209671611"/>
    <s v="110"/>
    <x v="55"/>
    <d v="2026-10-14T11:24:37"/>
    <d v="2026-10-14T05:24:34"/>
    <d v="2026-10-14T00:00:00"/>
    <s v=""/>
    <s v="UNIDAD"/>
    <n v="13"/>
    <s v="PENDIENTE APROBACION  ENVIO TMS"/>
    <s v="000000008209671611"/>
    <x v="2"/>
    <x v="0"/>
    <m/>
    <n v="1"/>
    <m/>
  </r>
  <r>
    <n v="1209671615"/>
    <s v="110"/>
    <x v="55"/>
    <d v="2026-10-14T11:24:38"/>
    <d v="2026-10-14T05:24:35"/>
    <d v="2026-10-14T00:00:00"/>
    <s v=""/>
    <s v="CAJA"/>
    <n v="21"/>
    <s v="PENDIENTE APROBACION  ENVIO TMS"/>
    <s v="000000001209671615"/>
    <x v="1"/>
    <x v="0"/>
    <m/>
    <n v="1"/>
    <m/>
  </r>
  <r>
    <n v="1209671548"/>
    <s v="105"/>
    <x v="71"/>
    <d v="2026-10-14T11:24:39"/>
    <d v="2026-10-14T05:24:36"/>
    <d v="2026-10-14T00:00:00"/>
    <s v=""/>
    <s v="CAJA"/>
    <n v="8"/>
    <s v="PENDIENTE APROBACION  ENVIO TMS"/>
    <s v="000000001209671548"/>
    <x v="1"/>
    <x v="2"/>
    <m/>
    <n v="1"/>
    <m/>
  </r>
  <r>
    <n v="1209671474"/>
    <s v="102"/>
    <x v="106"/>
    <d v="2026-10-14T11:24:40"/>
    <d v="2026-10-14T05:24:38"/>
    <d v="2026-10-14T00:00:00"/>
    <s v=""/>
    <s v="CAJA"/>
    <n v="10"/>
    <s v="PENDIENTE APROBACION  ENVIO TMS"/>
    <s v="000000001209671474"/>
    <x v="1"/>
    <x v="3"/>
    <m/>
    <n v="1"/>
    <m/>
  </r>
  <r>
    <n v="1209671540"/>
    <s v="105"/>
    <x v="71"/>
    <d v="2026-10-14T11:24:42"/>
    <d v="2026-10-14T05:24:39"/>
    <d v="2026-10-14T00:00:00"/>
    <s v=""/>
    <s v="PACK"/>
    <n v="3"/>
    <s v="PENDIENTE APROBACION  ENVIO TMS"/>
    <s v="000000001209671540"/>
    <x v="1"/>
    <x v="2"/>
    <m/>
    <n v="1"/>
    <m/>
  </r>
  <r>
    <n v="1209671545"/>
    <s v="105"/>
    <x v="71"/>
    <d v="2026-10-14T11:24:42"/>
    <d v="2026-10-14T05:24:40"/>
    <d v="2026-10-14T00:00:00"/>
    <s v=""/>
    <s v="PACK"/>
    <n v="28"/>
    <s v="PENDIENTE APROBACION  ENVIO TMS"/>
    <s v="000000001209671545"/>
    <x v="1"/>
    <x v="2"/>
    <m/>
    <n v="1"/>
    <m/>
  </r>
  <r>
    <n v="1209671574"/>
    <s v="109"/>
    <x v="134"/>
    <d v="2026-10-14T11:24:44"/>
    <d v="2026-10-14T05:24:42"/>
    <d v="2026-10-14T00:00:00"/>
    <s v=""/>
    <s v="PACK"/>
    <n v="29"/>
    <s v="PENDIENTE APROBACION  ENVIO TMS"/>
    <s v="000000001209671574"/>
    <x v="1"/>
    <x v="0"/>
    <m/>
    <n v="1"/>
    <m/>
  </r>
  <r>
    <n v="1209671576"/>
    <s v="109"/>
    <x v="134"/>
    <d v="2026-10-14T11:24:46"/>
    <d v="2026-10-14T05:24:43"/>
    <d v="2026-10-14T00:00:00"/>
    <s v=""/>
    <s v="CAJA"/>
    <n v="36"/>
    <s v="PENDIENTE APROBACION  ENVIO TMS"/>
    <s v="000000001209671576"/>
    <x v="1"/>
    <x v="0"/>
    <m/>
    <n v="1"/>
    <m/>
  </r>
  <r>
    <n v="1209671570"/>
    <s v="109"/>
    <x v="134"/>
    <d v="2026-10-14T11:24:48"/>
    <d v="2026-10-14T05:24:45"/>
    <d v="2026-10-14T00:00:00"/>
    <s v=""/>
    <s v="CAJA"/>
    <n v="7"/>
    <s v="PENDIENTE APROBACION  ENVIO TMS"/>
    <s v="000000001209671570"/>
    <x v="1"/>
    <x v="0"/>
    <m/>
    <n v="1"/>
    <m/>
  </r>
  <r>
    <n v="8209671571"/>
    <s v="109"/>
    <x v="134"/>
    <d v="2026-10-14T11:24:49"/>
    <d v="2026-10-14T05:24:47"/>
    <d v="2026-10-14T00:00:00"/>
    <s v=""/>
    <s v="UNIDAD"/>
    <n v="8"/>
    <s v="PENDIENTE APROBACION  ENVIO TMS"/>
    <s v="000000008209671571"/>
    <x v="2"/>
    <x v="0"/>
    <m/>
    <n v="1"/>
    <m/>
  </r>
  <r>
    <n v="1209671577"/>
    <s v="109"/>
    <x v="134"/>
    <d v="2026-10-14T11:24:51"/>
    <d v="2026-10-14T05:24:48"/>
    <d v="2026-10-14T00:00:00"/>
    <s v=""/>
    <s v="PACK"/>
    <n v="41"/>
    <s v="PENDIENTE APROBACION  ENVIO TMS"/>
    <s v="000000001209671577"/>
    <x v="1"/>
    <x v="0"/>
    <m/>
    <n v="1"/>
    <m/>
  </r>
  <r>
    <n v="1209671573"/>
    <s v="109"/>
    <x v="134"/>
    <d v="2026-10-14T11:24:52"/>
    <d v="2026-10-14T05:24:50"/>
    <d v="2026-10-14T00:00:00"/>
    <s v=""/>
    <s v="PACK"/>
    <n v="24"/>
    <s v="PENDIENTE APROBACION  ENVIO TMS"/>
    <s v="000000001209671573"/>
    <x v="1"/>
    <x v="0"/>
    <m/>
    <n v="1"/>
    <m/>
  </r>
  <r>
    <n v="1209671506"/>
    <s v="103"/>
    <x v="42"/>
    <d v="2026-10-14T11:24:54"/>
    <d v="2026-10-14T05:24:51"/>
    <d v="2026-10-14T00:00:00"/>
    <s v=""/>
    <s v="UNIDAD"/>
    <n v="26"/>
    <s v="PENDIENTE APROBACION  ENVIO TMS"/>
    <s v="000000001209671506"/>
    <x v="1"/>
    <x v="2"/>
    <m/>
    <n v="1"/>
    <m/>
  </r>
  <r>
    <n v="1209671510"/>
    <s v="103"/>
    <x v="42"/>
    <d v="2026-10-14T11:24:55"/>
    <d v="2026-10-14T05:24:52"/>
    <d v="2026-10-14T00:00:00"/>
    <s v=""/>
    <s v="CAJA"/>
    <n v="1"/>
    <s v="PENDIENTE APROBACION  ENVIO TMS"/>
    <s v="000000001209671510"/>
    <x v="1"/>
    <x v="2"/>
    <m/>
    <n v="1"/>
    <m/>
  </r>
  <r>
    <n v="8209671536"/>
    <s v="105"/>
    <x v="71"/>
    <d v="2026-10-14T11:24:56"/>
    <d v="2026-10-14T05:24:53"/>
    <d v="2026-10-14T00:00:00"/>
    <s v=""/>
    <s v="UNIDAD"/>
    <n v="5"/>
    <s v="PENDIENTE APROBACION  ENVIO TMS"/>
    <s v="000000008209671536"/>
    <x v="2"/>
    <x v="2"/>
    <m/>
    <n v="1"/>
    <m/>
  </r>
  <r>
    <n v="1209671480"/>
    <s v="102"/>
    <x v="106"/>
    <d v="2026-10-14T11:24:57"/>
    <d v="2026-10-14T05:24:55"/>
    <d v="2026-10-14T00:00:00"/>
    <s v=""/>
    <s v="PACK"/>
    <n v="29"/>
    <s v="PENDIENTE APROBACION  ENVIO TMS"/>
    <s v="000000001209671480"/>
    <x v="1"/>
    <x v="3"/>
    <m/>
    <n v="1"/>
    <m/>
  </r>
  <r>
    <n v="8209671498"/>
    <s v="103"/>
    <x v="42"/>
    <d v="2026-10-14T11:24:59"/>
    <d v="2026-10-14T05:24:56"/>
    <d v="2026-10-14T00:00:00"/>
    <s v=""/>
    <s v="UNIDAD"/>
    <n v="2"/>
    <s v="PENDIENTE APROBACION  ENVIO TMS"/>
    <s v="000000008209671498"/>
    <x v="2"/>
    <x v="2"/>
    <m/>
    <n v="1"/>
    <m/>
  </r>
  <r>
    <n v="1209671483"/>
    <s v="102"/>
    <x v="106"/>
    <d v="2026-10-14T11:25:00"/>
    <d v="2026-10-14T05:24:58"/>
    <d v="2026-10-14T00:00:00"/>
    <s v=""/>
    <s v="PACK"/>
    <n v="1"/>
    <s v="PENDIENTE APROBACION  ENVIO TMS"/>
    <s v="000000001209671483"/>
    <x v="1"/>
    <x v="3"/>
    <m/>
    <n v="1"/>
    <m/>
  </r>
  <r>
    <n v="1209671505"/>
    <s v="103"/>
    <x v="42"/>
    <d v="2026-10-14T11:25:02"/>
    <d v="2026-10-14T05:24:59"/>
    <d v="2026-10-14T00:00:00"/>
    <s v=""/>
    <s v="CAJA"/>
    <n v="13"/>
    <s v="PENDIENTE APROBACION  ENVIO TMS"/>
    <s v="000000001209671505"/>
    <x v="1"/>
    <x v="2"/>
    <m/>
    <n v="1"/>
    <m/>
  </r>
  <r>
    <n v="8209671568"/>
    <s v="109"/>
    <x v="134"/>
    <d v="2026-10-14T11:25:04"/>
    <d v="2026-10-14T05:25:01"/>
    <d v="2026-10-14T00:00:00"/>
    <s v=""/>
    <s v="UNIDAD"/>
    <n v="1"/>
    <s v="PENDIENTE APROBACION  ENVIO TMS"/>
    <s v="000000008209671568"/>
    <x v="2"/>
    <x v="0"/>
    <m/>
    <n v="1"/>
    <m/>
  </r>
  <r>
    <n v="1209671517"/>
    <s v="103"/>
    <x v="42"/>
    <d v="2026-10-14T11:25:05"/>
    <d v="2026-10-14T05:25:03"/>
    <d v="2026-10-14T00:00:00"/>
    <s v=""/>
    <s v="PACK"/>
    <n v="58"/>
    <s v="PENDIENTE APROBACION  ENVIO TMS"/>
    <s v="000000001209671517"/>
    <x v="1"/>
    <x v="2"/>
    <m/>
    <n v="1"/>
    <m/>
  </r>
  <r>
    <n v="1209671507"/>
    <s v="103"/>
    <x v="42"/>
    <d v="2026-10-14T11:25:07"/>
    <d v="2026-10-14T05:25:04"/>
    <d v="2026-10-14T00:00:00"/>
    <s v=""/>
    <s v="CAJA"/>
    <n v="35"/>
    <s v="PENDIENTE APROBACION  ENVIO TMS"/>
    <s v="000000001209671507"/>
    <x v="1"/>
    <x v="2"/>
    <m/>
    <n v="1"/>
    <m/>
  </r>
  <r>
    <n v="1209671473"/>
    <s v="102"/>
    <x v="106"/>
    <d v="2026-10-14T11:25:08"/>
    <d v="2026-10-14T05:25:06"/>
    <d v="2026-10-14T00:00:00"/>
    <s v=""/>
    <s v="CAJA"/>
    <n v="13"/>
    <s v="PENDIENTE APROBACION  ENVIO TMS"/>
    <s v="000000001209671473"/>
    <x v="1"/>
    <x v="3"/>
    <m/>
    <n v="1"/>
    <m/>
  </r>
  <r>
    <n v="8209671534"/>
    <s v="105"/>
    <x v="71"/>
    <d v="2026-10-14T11:25:10"/>
    <d v="2026-10-14T05:25:07"/>
    <d v="2026-10-14T00:00:00"/>
    <s v=""/>
    <s v="UNIDAD"/>
    <n v="6"/>
    <s v="PENDIENTE APROBACION  ENVIO TMS"/>
    <s v="000000008209671534"/>
    <x v="2"/>
    <x v="2"/>
    <m/>
    <n v="1"/>
    <m/>
  </r>
  <r>
    <n v="8209671495"/>
    <s v="103"/>
    <x v="42"/>
    <d v="2026-10-14T11:25:11"/>
    <d v="2026-10-14T05:25:08"/>
    <d v="2026-10-14T00:00:00"/>
    <s v=""/>
    <s v="UNIDAD"/>
    <n v="1"/>
    <s v="PENDIENTE APROBACION  ENVIO TMS"/>
    <s v="000000008209671495"/>
    <x v="2"/>
    <x v="2"/>
    <m/>
    <n v="1"/>
    <m/>
  </r>
  <r>
    <n v="8209671551"/>
    <s v="105"/>
    <x v="71"/>
    <d v="2026-10-14T11:25:12"/>
    <d v="2026-10-14T05:25:10"/>
    <d v="2026-10-14T00:00:00"/>
    <s v=""/>
    <s v="UNIDAD"/>
    <n v="23"/>
    <s v="PENDIENTE APROBACION  ENVIO TMS"/>
    <s v="000000008209671551"/>
    <x v="2"/>
    <x v="2"/>
    <m/>
    <n v="1"/>
    <m/>
  </r>
  <r>
    <n v="1209671488"/>
    <s v="102"/>
    <x v="106"/>
    <d v="2026-10-14T11:25:14"/>
    <d v="2026-10-14T05:25:11"/>
    <d v="2026-10-14T00:00:00"/>
    <s v=""/>
    <s v="CAJA"/>
    <n v="30"/>
    <s v="PENDIENTE APROBACION  ENVIO TMS"/>
    <s v="000000001209671488"/>
    <x v="1"/>
    <x v="3"/>
    <m/>
    <n v="1"/>
    <m/>
  </r>
  <r>
    <n v="1209671617"/>
    <s v="110"/>
    <x v="55"/>
    <d v="2026-10-14T11:25:16"/>
    <d v="2026-10-14T05:25:13"/>
    <d v="2026-10-14T00:00:00"/>
    <s v=""/>
    <s v="PACK"/>
    <n v="14"/>
    <s v="PENDIENTE APROBACION  ENVIO TMS"/>
    <s v="000000001209671617"/>
    <x v="1"/>
    <x v="0"/>
    <m/>
    <n v="1"/>
    <m/>
  </r>
  <r>
    <n v="1209671618"/>
    <s v="110"/>
    <x v="55"/>
    <d v="2026-10-14T11:25:17"/>
    <d v="2026-10-14T05:25:14"/>
    <d v="2026-10-14T00:00:00"/>
    <s v=""/>
    <s v="PACK"/>
    <n v="23"/>
    <s v="PENDIENTE APROBACION  ENVIO TMS"/>
    <s v="000000001209671618"/>
    <x v="1"/>
    <x v="0"/>
    <m/>
    <n v="1"/>
    <m/>
  </r>
  <r>
    <n v="1209671558"/>
    <s v="105"/>
    <x v="71"/>
    <d v="2026-10-14T11:25:18"/>
    <d v="2026-10-14T05:25:15"/>
    <d v="2026-10-14T00:00:00"/>
    <s v=""/>
    <s v="CAJA"/>
    <n v="25"/>
    <s v="PENDIENTE APROBACION  ENVIO TMS"/>
    <s v="000000001209671558"/>
    <x v="1"/>
    <x v="2"/>
    <m/>
    <n v="1"/>
    <m/>
  </r>
  <r>
    <n v="8209671467"/>
    <s v="102"/>
    <x v="106"/>
    <d v="2026-10-14T11:25:19"/>
    <d v="2026-10-14T05:25:17"/>
    <d v="2026-10-14T00:00:00"/>
    <s v=""/>
    <s v="UNIDAD"/>
    <n v="1"/>
    <s v="PENDIENTE APROBACION  ENVIO TMS"/>
    <s v="000000008209671467"/>
    <x v="2"/>
    <x v="3"/>
    <m/>
    <n v="1"/>
    <m/>
  </r>
  <r>
    <n v="8209671468"/>
    <s v="102"/>
    <x v="106"/>
    <d v="2026-10-14T11:25:21"/>
    <d v="2026-10-14T05:25:18"/>
    <d v="2026-10-14T00:00:00"/>
    <s v=""/>
    <s v="UNIDAD"/>
    <n v="1"/>
    <s v="PENDIENTE APROBACION  ENVIO TMS"/>
    <s v="000000008209671468"/>
    <x v="2"/>
    <x v="3"/>
    <m/>
    <n v="1"/>
    <m/>
  </r>
  <r>
    <n v="1209671512"/>
    <s v="103"/>
    <x v="42"/>
    <d v="2026-10-14T11:25:22"/>
    <d v="2026-10-14T05:25:20"/>
    <d v="2026-10-14T00:00:00"/>
    <s v=""/>
    <s v="PACK"/>
    <n v="39"/>
    <s v="PENDIENTE APROBACION  ENVIO TMS"/>
    <s v="000000001209671512"/>
    <x v="1"/>
    <x v="2"/>
    <m/>
    <n v="1"/>
    <m/>
  </r>
  <r>
    <n v="1209671479"/>
    <s v="102"/>
    <x v="106"/>
    <d v="2026-10-14T11:25:24"/>
    <d v="2026-10-14T05:25:21"/>
    <d v="2026-10-14T00:00:00"/>
    <s v=""/>
    <s v="PACK"/>
    <n v="23"/>
    <s v="PENDIENTE APROBACION  ENVIO TMS"/>
    <s v="000000001209671479"/>
    <x v="1"/>
    <x v="3"/>
    <m/>
    <n v="1"/>
    <m/>
  </r>
  <r>
    <n v="1209671544"/>
    <s v="105"/>
    <x v="71"/>
    <d v="2026-10-14T11:25:25"/>
    <d v="2026-10-14T05:25:23"/>
    <d v="2026-10-14T00:00:00"/>
    <s v=""/>
    <s v="PACK"/>
    <n v="48"/>
    <s v="PENDIENTE APROBACION  ENVIO TMS"/>
    <s v="000000001209671544"/>
    <x v="1"/>
    <x v="2"/>
    <m/>
    <n v="1"/>
    <m/>
  </r>
  <r>
    <n v="1209671501"/>
    <s v="103"/>
    <x v="42"/>
    <d v="2026-10-14T11:25:27"/>
    <d v="2026-10-14T05:25:24"/>
    <d v="2026-10-14T00:00:00"/>
    <s v=""/>
    <s v="CAJA"/>
    <n v="2"/>
    <s v="PENDIENTE APROBACION  ENVIO TMS"/>
    <s v="000000001209671501"/>
    <x v="1"/>
    <x v="2"/>
    <m/>
    <n v="1"/>
    <m/>
  </r>
  <r>
    <n v="1209671613"/>
    <s v="110"/>
    <x v="55"/>
    <d v="2026-10-14T11:25:29"/>
    <d v="2026-10-14T05:25:26"/>
    <d v="2026-10-14T00:00:00"/>
    <s v=""/>
    <s v="CAJA"/>
    <n v="3"/>
    <s v="PENDIENTE APROBACION  ENVIO TMS"/>
    <s v="000000001209671613"/>
    <x v="1"/>
    <x v="0"/>
    <m/>
    <n v="1"/>
    <m/>
  </r>
  <r>
    <n v="1209671508"/>
    <s v="103"/>
    <x v="42"/>
    <d v="2026-10-14T11:25:30"/>
    <d v="2026-10-14T05:25:27"/>
    <d v="2026-10-14T00:00:00"/>
    <s v=""/>
    <s v="PACK"/>
    <n v="32"/>
    <s v="PENDIENTE APROBACION  ENVIO TMS"/>
    <s v="000000001209671508"/>
    <x v="1"/>
    <x v="2"/>
    <m/>
    <n v="1"/>
    <m/>
  </r>
  <r>
    <n v="1209671549"/>
    <s v="105"/>
    <x v="71"/>
    <d v="2026-10-14T11:25:31"/>
    <d v="2026-10-14T05:25:29"/>
    <d v="2026-10-14T00:00:00"/>
    <s v=""/>
    <s v="CAJA"/>
    <n v="64"/>
    <s v="PENDIENTE APROBACION  ENVIO TMS"/>
    <s v="000000001209671549"/>
    <x v="1"/>
    <x v="2"/>
    <m/>
    <n v="1"/>
    <m/>
  </r>
  <r>
    <n v="8209671539"/>
    <s v="105"/>
    <x v="71"/>
    <d v="2026-10-14T11:25:33"/>
    <d v="2026-10-14T05:25:30"/>
    <d v="2026-10-14T00:00:00"/>
    <s v=""/>
    <s v="UNIDAD"/>
    <n v="14"/>
    <s v="PENDIENTE APROBACION  ENVIO TMS"/>
    <s v="000000008209671539"/>
    <x v="2"/>
    <x v="2"/>
    <m/>
    <n v="1"/>
    <m/>
  </r>
  <r>
    <n v="1209671543"/>
    <s v="105"/>
    <x v="71"/>
    <d v="2026-10-14T11:25:34"/>
    <d v="2026-10-14T05:25:32"/>
    <d v="2026-10-14T00:00:00"/>
    <s v=""/>
    <s v="PACK"/>
    <n v="28"/>
    <s v="PENDIENTE APROBACION  ENVIO TMS"/>
    <s v="000000001209671543"/>
    <x v="1"/>
    <x v="2"/>
    <m/>
    <n v="1"/>
    <m/>
  </r>
  <r>
    <n v="8209671500"/>
    <s v="103"/>
    <x v="42"/>
    <d v="2026-10-14T11:25:35"/>
    <d v="2026-10-14T05:25:33"/>
    <d v="2026-10-14T00:00:00"/>
    <s v=""/>
    <s v="UNIDAD"/>
    <n v="24"/>
    <s v="PENDIENTE APROBACION  ENVIO TMS"/>
    <s v="000000008209671500"/>
    <x v="2"/>
    <x v="2"/>
    <m/>
    <n v="1"/>
    <m/>
  </r>
  <r>
    <n v="1209671575"/>
    <s v="109"/>
    <x v="134"/>
    <d v="2026-10-14T11:25:37"/>
    <d v="2026-10-14T05:25:34"/>
    <d v="2026-10-14T00:00:00"/>
    <s v=""/>
    <s v="PACK"/>
    <n v="31"/>
    <s v="PENDIENTE APROBACION  ENVIO TMS"/>
    <s v="000000001209671575"/>
    <x v="1"/>
    <x v="0"/>
    <m/>
    <n v="1"/>
    <m/>
  </r>
  <r>
    <n v="1209671579"/>
    <s v="109"/>
    <x v="134"/>
    <d v="2026-10-14T11:25:39"/>
    <d v="2026-10-14T05:25:36"/>
    <d v="2026-10-14T00:00:00"/>
    <s v=""/>
    <s v="PACK"/>
    <n v="51"/>
    <s v="PENDIENTE APROBACION  ENVIO TMS"/>
    <s v="000000001209671579"/>
    <x v="1"/>
    <x v="0"/>
    <m/>
    <n v="1"/>
    <m/>
  </r>
  <r>
    <n v="1209671616"/>
    <s v="110"/>
    <x v="55"/>
    <d v="2026-10-14T11:25:40"/>
    <d v="2026-10-14T05:25:37"/>
    <d v="2026-10-14T00:00:00"/>
    <s v=""/>
    <s v="PACK"/>
    <n v="15"/>
    <s v="PENDIENTE APROBACION  ENVIO TMS"/>
    <s v="000000001209671616"/>
    <x v="1"/>
    <x v="0"/>
    <m/>
    <n v="1"/>
    <m/>
  </r>
  <r>
    <n v="8209671609"/>
    <s v="110"/>
    <x v="55"/>
    <d v="2026-10-14T11:25:41"/>
    <d v="2026-10-14T05:25:38"/>
    <d v="2026-10-14T00:00:00"/>
    <s v=""/>
    <s v="UNIDAD"/>
    <n v="5"/>
    <s v="PENDIENTE APROBACION  ENVIO TMS"/>
    <s v="000000008209671609"/>
    <x v="2"/>
    <x v="0"/>
    <m/>
    <n v="1"/>
    <m/>
  </r>
  <r>
    <n v="8209671610"/>
    <s v="110"/>
    <x v="55"/>
    <d v="2026-10-14T11:25:42"/>
    <d v="2026-10-14T05:25:40"/>
    <d v="2026-10-14T00:00:00"/>
    <s v=""/>
    <s v="UNIDAD"/>
    <n v="14"/>
    <s v="PENDIENTE APROBACION  ENVIO TMS"/>
    <s v="000000008209671610"/>
    <x v="2"/>
    <x v="0"/>
    <m/>
    <n v="1"/>
    <m/>
  </r>
  <r>
    <n v="1209671612"/>
    <s v="110"/>
    <x v="55"/>
    <d v="2026-10-14T11:25:44"/>
    <d v="2026-10-14T05:25:41"/>
    <d v="2026-10-14T00:00:00"/>
    <s v=""/>
    <s v="CAJA"/>
    <n v="1"/>
    <s v="PENDIENTE APROBACION  ENVIO TMS"/>
    <s v="000000001209671612"/>
    <x v="1"/>
    <x v="0"/>
    <m/>
    <n v="1"/>
    <m/>
  </r>
  <r>
    <n v="1209671546"/>
    <s v="105"/>
    <x v="71"/>
    <d v="2026-10-14T11:25:45"/>
    <d v="2026-10-14T05:25:42"/>
    <d v="2026-10-14T00:00:00"/>
    <s v=""/>
    <s v="UNIDAD"/>
    <n v="61"/>
    <s v="PENDIENTE APROBACION  ENVIO TMS"/>
    <s v="000000001209671546"/>
    <x v="1"/>
    <x v="2"/>
    <m/>
    <n v="1"/>
    <m/>
  </r>
  <r>
    <n v="8209671470"/>
    <s v="102"/>
    <x v="106"/>
    <d v="2026-10-14T11:25:46"/>
    <d v="2026-10-14T05:25:44"/>
    <d v="2026-10-14T00:00:00"/>
    <s v=""/>
    <s v="UNIDAD"/>
    <n v="4"/>
    <s v="PENDIENTE APROBACION  ENVIO TMS"/>
    <s v="000000008209671470"/>
    <x v="2"/>
    <x v="3"/>
    <m/>
    <n v="1"/>
    <m/>
  </r>
  <r>
    <n v="8209671565"/>
    <s v="109"/>
    <x v="134"/>
    <d v="2026-10-14T11:25:48"/>
    <d v="2026-10-14T05:25:46"/>
    <d v="2026-10-14T00:00:00"/>
    <s v=""/>
    <s v="UNIDAD"/>
    <n v="3"/>
    <s v="PENDIENTE APROBACION  ENVIO TMS"/>
    <s v="000000008209671565"/>
    <x v="2"/>
    <x v="0"/>
    <m/>
    <n v="1"/>
    <m/>
  </r>
  <r>
    <n v="1209671541"/>
    <s v="105"/>
    <x v="71"/>
    <d v="2026-10-14T11:25:50"/>
    <d v="2026-10-14T05:25:47"/>
    <d v="2026-10-14T00:00:00"/>
    <s v=""/>
    <s v="PACK"/>
    <n v="18"/>
    <s v="PENDIENTE APROBACION  ENVIO TMS"/>
    <s v="000000001209671541"/>
    <x v="1"/>
    <x v="2"/>
    <m/>
    <n v="1"/>
    <m/>
  </r>
  <r>
    <n v="1209671542"/>
    <s v="105"/>
    <x v="71"/>
    <d v="2026-10-14T11:25:51"/>
    <d v="2026-10-14T05:25:48"/>
    <d v="2026-10-14T00:00:00"/>
    <s v=""/>
    <s v="CAJA"/>
    <n v="26"/>
    <s v="PENDIENTE APROBACION  ENVIO TMS"/>
    <s v="000000001209671542"/>
    <x v="1"/>
    <x v="2"/>
    <m/>
    <n v="1"/>
    <m/>
  </r>
  <r>
    <n v="8209671497"/>
    <s v="103"/>
    <x v="42"/>
    <d v="2026-10-14T11:25:52"/>
    <d v="2026-10-14T05:25:49"/>
    <d v="2026-10-14T00:00:00"/>
    <s v=""/>
    <s v="UNIDAD"/>
    <n v="6"/>
    <s v="PENDIENTE APROBACION  ENVIO TMS"/>
    <s v="000000008209671497"/>
    <x v="2"/>
    <x v="2"/>
    <m/>
    <n v="1"/>
    <m/>
  </r>
  <r>
    <n v="8209671499"/>
    <s v="103"/>
    <x v="42"/>
    <d v="2026-10-14T11:25:53"/>
    <d v="2026-10-14T05:25:51"/>
    <d v="2026-10-14T00:00:00"/>
    <s v=""/>
    <s v="UNIDAD"/>
    <n v="29"/>
    <s v="PENDIENTE APROBACION  ENVIO TMS"/>
    <s v="000000008209671499"/>
    <x v="2"/>
    <x v="2"/>
    <m/>
    <n v="1"/>
    <m/>
  </r>
  <r>
    <n v="8209671482"/>
    <s v="102"/>
    <x v="106"/>
    <d v="2026-10-14T11:25:55"/>
    <d v="2026-10-14T05:25:52"/>
    <d v="2026-10-14T00:00:00"/>
    <s v=""/>
    <s v="UNIDAD"/>
    <n v="4"/>
    <s v="PENDIENTE APROBACION  ENVIO TMS"/>
    <s v="000000008209671482"/>
    <x v="2"/>
    <x v="3"/>
    <m/>
    <n v="1"/>
    <m/>
  </r>
  <r>
    <n v="1209671502"/>
    <s v="103"/>
    <x v="42"/>
    <d v="2026-10-14T11:25:56"/>
    <d v="2026-10-14T05:25:53"/>
    <d v="2026-10-14T00:00:00"/>
    <s v=""/>
    <s v="CAJA"/>
    <n v="9"/>
    <s v="PENDIENTE APROBACION  ENVIO TMS"/>
    <s v="000000001209671502"/>
    <x v="1"/>
    <x v="2"/>
    <m/>
    <n v="1"/>
    <m/>
  </r>
  <r>
    <n v="1209671572"/>
    <s v="109"/>
    <x v="134"/>
    <d v="2026-10-14T11:25:57"/>
    <d v="2026-10-14T05:25:55"/>
    <d v="2026-10-14T00:00:00"/>
    <s v=""/>
    <s v="PACK"/>
    <n v="8"/>
    <s v="PENDIENTE APROBACION  ENVIO TMS"/>
    <s v="000000001209671572"/>
    <x v="1"/>
    <x v="0"/>
    <m/>
    <n v="1"/>
    <m/>
  </r>
  <r>
    <n v="1209671627"/>
    <s v="110"/>
    <x v="55"/>
    <d v="2026-10-14T11:25:58"/>
    <d v="2026-10-14T05:25:56"/>
    <d v="2026-10-14T00:00:00"/>
    <s v=""/>
    <s v="CAJA"/>
    <n v="9"/>
    <s v="PENDIENTE APROBACION  ENVIO TMS"/>
    <s v="000000001209671627"/>
    <x v="1"/>
    <x v="0"/>
    <m/>
    <n v="1"/>
    <m/>
  </r>
  <r>
    <n v="8209671471"/>
    <s v="102"/>
    <x v="106"/>
    <d v="2026-10-14T11:26:00"/>
    <d v="2026-10-14T05:25:57"/>
    <d v="2026-10-14T00:00:00"/>
    <s v=""/>
    <s v="UNIDAD"/>
    <n v="8"/>
    <s v="PENDIENTE APROBACION  ENVIO TMS"/>
    <s v="000000008209671471"/>
    <x v="2"/>
    <x v="3"/>
    <m/>
    <n v="1"/>
    <m/>
  </r>
  <r>
    <n v="8209671472"/>
    <s v="102"/>
    <x v="106"/>
    <d v="2026-10-14T11:26:02"/>
    <d v="2026-10-14T05:25:59"/>
    <d v="2026-10-14T00:00:00"/>
    <s v=""/>
    <s v="UNIDAD"/>
    <n v="19"/>
    <s v="PENDIENTE APROBACION  ENVIO TMS"/>
    <s v="000000008209671472"/>
    <x v="2"/>
    <x v="3"/>
    <m/>
    <n v="1"/>
    <m/>
  </r>
  <r>
    <n v="8209671535"/>
    <s v="105"/>
    <x v="71"/>
    <d v="2026-10-14T11:26:03"/>
    <d v="2026-10-14T05:26:01"/>
    <d v="2026-10-14T00:00:00"/>
    <s v=""/>
    <s v="UNIDAD"/>
    <n v="4"/>
    <s v="PENDIENTE APROBACION  ENVIO TMS"/>
    <s v="000000008209671535"/>
    <x v="2"/>
    <x v="2"/>
    <m/>
    <n v="1"/>
    <m/>
  </r>
  <r>
    <n v="1209671477"/>
    <s v="102"/>
    <x v="106"/>
    <d v="2026-10-14T11:26:04"/>
    <d v="2026-10-14T05:26:02"/>
    <d v="2026-10-14T00:00:00"/>
    <s v=""/>
    <s v="PACK"/>
    <n v="25"/>
    <s v="PENDIENTE APROBACION  ENVIO TMS"/>
    <s v="000000001209671477"/>
    <x v="1"/>
    <x v="3"/>
    <m/>
    <n v="1"/>
    <m/>
  </r>
  <r>
    <n v="1209671478"/>
    <s v="102"/>
    <x v="106"/>
    <d v="2026-10-14T11:26:06"/>
    <d v="2026-10-14T05:26:03"/>
    <d v="2026-10-14T00:00:00"/>
    <s v=""/>
    <s v="UNIDAD"/>
    <n v="30"/>
    <s v="PENDIENTE APROBACION  ENVIO TMS"/>
    <s v="000000001209671478"/>
    <x v="1"/>
    <x v="3"/>
    <m/>
    <n v="1"/>
    <m/>
  </r>
  <r>
    <n v="1209671550"/>
    <s v="105"/>
    <x v="71"/>
    <d v="2026-10-14T11:26:07"/>
    <d v="2026-10-14T05:26:04"/>
    <d v="2026-10-14T00:00:00"/>
    <s v=""/>
    <s v="PACK"/>
    <n v="66"/>
    <s v="PENDIENTE APROBACION  ENVIO TMS"/>
    <s v="000000001209671550"/>
    <x v="1"/>
    <x v="2"/>
    <m/>
    <n v="1"/>
    <m/>
  </r>
  <r>
    <n v="1209671503"/>
    <s v="103"/>
    <x v="42"/>
    <d v="2026-10-14T11:26:09"/>
    <d v="2026-10-14T05:26:07"/>
    <d v="2026-10-14T00:00:00"/>
    <s v=""/>
    <s v="CAJA"/>
    <n v="6"/>
    <s v="PENDIENTE APROBACION  ENVIO TMS"/>
    <s v="000000001209671503"/>
    <x v="1"/>
    <x v="2"/>
    <m/>
    <n v="1"/>
    <m/>
  </r>
  <r>
    <n v="8209671494"/>
    <s v="103"/>
    <x v="42"/>
    <d v="2026-10-14T11:26:09"/>
    <d v="2026-10-14T05:26:06"/>
    <d v="2026-10-14T00:00:00"/>
    <s v=""/>
    <s v="UNIDAD"/>
    <n v="2"/>
    <s v="PENDIENTE APROBACION  ENVIO TMS"/>
    <s v="000000008209671494"/>
    <x v="2"/>
    <x v="2"/>
    <m/>
    <n v="1"/>
    <m/>
  </r>
  <r>
    <n v="1209671581"/>
    <s v="109"/>
    <x v="134"/>
    <d v="2026-10-14T11:26:11"/>
    <d v="2026-10-14T05:26:08"/>
    <d v="2026-10-14T00:00:00"/>
    <s v=""/>
    <s v="PACK"/>
    <n v="59"/>
    <s v="PENDIENTE APROBACION  ENVIO TMS"/>
    <s v="000000001209671581"/>
    <x v="1"/>
    <x v="0"/>
    <m/>
    <n v="1"/>
    <m/>
  </r>
  <r>
    <n v="8209671567"/>
    <s v="109"/>
    <x v="134"/>
    <d v="2026-10-14T11:26:12"/>
    <d v="2026-10-14T05:26:10"/>
    <d v="2026-10-14T00:00:00"/>
    <s v=""/>
    <s v="UNIDAD"/>
    <n v="34"/>
    <s v="PENDIENTE APROBACION  ENVIO TMS"/>
    <s v="000000008209671567"/>
    <x v="2"/>
    <x v="0"/>
    <m/>
    <n v="1"/>
    <m/>
  </r>
  <r>
    <n v="8209671658"/>
    <s v="114"/>
    <x v="26"/>
    <d v="2026-10-14T11:29:13"/>
    <d v="2026-10-14T05:29:10"/>
    <d v="2026-10-14T00:00:00"/>
    <s v=""/>
    <s v="UNIDAD"/>
    <n v="9"/>
    <s v="PENDIENTE APROBACION  ENVIO TMS"/>
    <s v="000000008209671658"/>
    <x v="2"/>
    <x v="2"/>
    <m/>
    <n v="1"/>
    <m/>
  </r>
  <r>
    <n v="8209671739"/>
    <s v="117"/>
    <x v="72"/>
    <d v="2026-10-14T11:29:13"/>
    <d v="2026-10-14T05:29:11"/>
    <d v="2026-10-14T00:00:00"/>
    <s v=""/>
    <s v="UNIDAD"/>
    <n v="7"/>
    <s v="PENDIENTE APROBACION  ENVIO TMS"/>
    <s v="000000008209671739"/>
    <x v="2"/>
    <x v="3"/>
    <m/>
    <n v="1"/>
    <m/>
  </r>
  <r>
    <n v="8209671740"/>
    <s v="117"/>
    <x v="72"/>
    <d v="2026-10-14T11:29:15"/>
    <d v="2026-10-14T05:29:12"/>
    <d v="2026-10-14T00:00:00"/>
    <s v=""/>
    <s v="UNIDAD"/>
    <n v="2"/>
    <s v="PENDIENTE APROBACION  ENVIO TMS"/>
    <s v="000000008209671740"/>
    <x v="2"/>
    <x v="3"/>
    <m/>
    <n v="1"/>
    <m/>
  </r>
  <r>
    <n v="1209671689"/>
    <s v="115"/>
    <x v="88"/>
    <d v="2026-10-14T11:29:17"/>
    <d v="2026-10-14T05:29:14"/>
    <d v="2026-10-14T00:00:00"/>
    <s v=""/>
    <s v="PACK"/>
    <n v="8"/>
    <s v="PENDIENTE APROBACION  ENVIO TMS"/>
    <s v="000000001209671689"/>
    <x v="1"/>
    <x v="2"/>
    <m/>
    <n v="1"/>
    <m/>
  </r>
  <r>
    <n v="1209671715"/>
    <s v="116"/>
    <x v="112"/>
    <d v="2026-10-14T11:29:18"/>
    <d v="2026-10-14T05:29:15"/>
    <d v="2026-10-14T00:00:00"/>
    <s v=""/>
    <s v="CAJA"/>
    <n v="20"/>
    <s v="PENDIENTE APROBACION  ENVIO TMS"/>
    <s v="000000001209671715"/>
    <x v="1"/>
    <x v="0"/>
    <m/>
    <n v="1"/>
    <m/>
  </r>
  <r>
    <n v="1209671749"/>
    <s v="117"/>
    <x v="72"/>
    <d v="2026-10-14T11:29:19"/>
    <d v="2026-10-14T05:29:17"/>
    <d v="2026-10-14T00:00:00"/>
    <s v=""/>
    <s v="PACK"/>
    <n v="25"/>
    <s v="PENDIENTE APROBACION  ENVIO TMS"/>
    <s v="000000001209671749"/>
    <x v="1"/>
    <x v="3"/>
    <m/>
    <n v="1"/>
    <m/>
  </r>
  <r>
    <n v="1209671649"/>
    <s v="114"/>
    <x v="26"/>
    <d v="2026-10-14T11:29:20"/>
    <d v="2026-10-14T05:29:18"/>
    <d v="2026-10-14T00:00:00"/>
    <s v=""/>
    <s v="CAJA"/>
    <n v="5"/>
    <s v="PENDIENTE APROBACION  ENVIO TMS"/>
    <s v="000000001209671649"/>
    <x v="1"/>
    <x v="2"/>
    <m/>
    <n v="1"/>
    <m/>
  </r>
  <r>
    <n v="1209671709"/>
    <s v="116"/>
    <x v="112"/>
    <d v="2026-10-14T11:29:22"/>
    <d v="2026-10-14T05:29:20"/>
    <d v="2026-10-14T00:00:00"/>
    <s v=""/>
    <s v="CAJA"/>
    <n v="3"/>
    <s v="PENDIENTE APROBACION  ENVIO TMS"/>
    <s v="000000001209671709"/>
    <x v="1"/>
    <x v="0"/>
    <m/>
    <n v="1"/>
    <m/>
  </r>
  <r>
    <n v="1209671752"/>
    <s v="117"/>
    <x v="72"/>
    <d v="2026-10-14T11:29:22"/>
    <d v="2026-10-14T05:29:19"/>
    <d v="2026-10-14T00:00:00"/>
    <s v=""/>
    <s v="CAJA"/>
    <n v="5"/>
    <s v="PENDIENTE APROBACION  ENVIO TMS"/>
    <s v="000000001209671752"/>
    <x v="1"/>
    <x v="3"/>
    <m/>
    <n v="1"/>
    <m/>
  </r>
  <r>
    <n v="8209671657"/>
    <s v="114"/>
    <x v="26"/>
    <d v="2026-10-14T11:29:24"/>
    <d v="2026-10-14T05:29:22"/>
    <d v="2026-10-14T00:00:00"/>
    <s v=""/>
    <s v="UNIDAD"/>
    <n v="13"/>
    <s v="PENDIENTE APROBACION  ENVIO TMS"/>
    <s v="000000008209671657"/>
    <x v="2"/>
    <x v="2"/>
    <m/>
    <n v="1"/>
    <m/>
  </r>
  <r>
    <n v="1209671660"/>
    <s v="114"/>
    <x v="26"/>
    <d v="2026-10-14T11:29:25"/>
    <d v="2026-10-14T05:29:23"/>
    <d v="2026-10-14T00:00:00"/>
    <s v=""/>
    <s v="PACK"/>
    <n v="8"/>
    <s v="PENDIENTE APROBACION  ENVIO TMS"/>
    <s v="000000001209671660"/>
    <x v="1"/>
    <x v="2"/>
    <m/>
    <n v="1"/>
    <m/>
  </r>
  <r>
    <n v="1209671688"/>
    <s v="115"/>
    <x v="88"/>
    <d v="2026-10-14T11:29:27"/>
    <d v="2026-10-14T05:29:24"/>
    <d v="2026-10-14T00:00:00"/>
    <s v=""/>
    <s v="PACK"/>
    <n v="6"/>
    <s v="PENDIENTE APROBACION  ENVIO TMS"/>
    <s v="000000001209671688"/>
    <x v="1"/>
    <x v="2"/>
    <m/>
    <n v="1"/>
    <m/>
  </r>
  <r>
    <n v="8209671744"/>
    <s v="117"/>
    <x v="72"/>
    <d v="2026-10-14T11:29:28"/>
    <d v="2026-10-14T05:29:25"/>
    <d v="2026-10-14T00:00:00"/>
    <s v=""/>
    <s v="UNIDAD"/>
    <n v="28"/>
    <s v="PENDIENTE APROBACION  ENVIO TMS"/>
    <s v="000000008209671744"/>
    <x v="2"/>
    <x v="3"/>
    <m/>
    <n v="1"/>
    <m/>
  </r>
  <r>
    <n v="1209671666"/>
    <s v="114"/>
    <x v="26"/>
    <d v="2026-10-14T11:29:30"/>
    <d v="2026-10-14T05:29:27"/>
    <d v="2026-10-14T00:00:00"/>
    <s v=""/>
    <s v="CAJA"/>
    <n v="34"/>
    <s v="PENDIENTE APROBACION  ENVIO TMS"/>
    <s v="000000001209671666"/>
    <x v="1"/>
    <x v="2"/>
    <m/>
    <n v="1"/>
    <m/>
  </r>
  <r>
    <n v="1209671748"/>
    <s v="117"/>
    <x v="72"/>
    <d v="2026-10-14T11:29:30"/>
    <d v="2026-10-14T05:29:28"/>
    <d v="2026-10-14T00:00:00"/>
    <s v=""/>
    <s v="CAJA"/>
    <n v="20"/>
    <s v="PENDIENTE APROBACION  ENVIO TMS"/>
    <s v="000000001209671748"/>
    <x v="1"/>
    <x v="3"/>
    <m/>
    <n v="1"/>
    <m/>
  </r>
  <r>
    <n v="8209671656"/>
    <s v="114"/>
    <x v="26"/>
    <d v="2026-10-14T11:29:31"/>
    <d v="2026-10-14T05:29:29"/>
    <d v="2026-10-14T00:00:00"/>
    <s v=""/>
    <s v="UNIDAD"/>
    <n v="7"/>
    <s v="PENDIENTE APROBACION  ENVIO TMS"/>
    <s v="000000008209671656"/>
    <x v="2"/>
    <x v="2"/>
    <m/>
    <n v="1"/>
    <m/>
  </r>
  <r>
    <n v="1209671713"/>
    <s v="116"/>
    <x v="112"/>
    <d v="2026-10-14T11:29:33"/>
    <d v="2026-10-14T05:29:30"/>
    <d v="2026-10-14T00:00:00"/>
    <s v=""/>
    <s v="PACK"/>
    <n v="15"/>
    <s v="PENDIENTE APROBACION  ENVIO TMS"/>
    <s v="000000001209671713"/>
    <x v="1"/>
    <x v="0"/>
    <m/>
    <n v="1"/>
    <m/>
  </r>
  <r>
    <n v="1209671662"/>
    <s v="114"/>
    <x v="26"/>
    <d v="2026-10-14T11:29:34"/>
    <d v="2026-10-14T05:29:31"/>
    <d v="2026-10-14T00:00:00"/>
    <s v=""/>
    <s v="PACK"/>
    <n v="10"/>
    <s v="PENDIENTE APROBACION  ENVIO TMS"/>
    <s v="000000001209671662"/>
    <x v="1"/>
    <x v="2"/>
    <m/>
    <n v="1"/>
    <m/>
  </r>
  <r>
    <n v="1209671714"/>
    <s v="116"/>
    <x v="112"/>
    <d v="2026-10-14T11:29:35"/>
    <d v="2026-10-14T05:29:33"/>
    <d v="2026-10-14T00:00:00"/>
    <s v=""/>
    <s v="CAJA"/>
    <n v="17"/>
    <s v="PENDIENTE APROBACION  ENVIO TMS"/>
    <s v="000000001209671714"/>
    <x v="1"/>
    <x v="0"/>
    <m/>
    <n v="1"/>
    <m/>
  </r>
  <r>
    <n v="1209671663"/>
    <s v="114"/>
    <x v="26"/>
    <d v="2026-10-14T11:29:36"/>
    <d v="2026-10-14T05:29:34"/>
    <d v="2026-10-14T00:00:00"/>
    <s v=""/>
    <s v="PACK"/>
    <n v="13"/>
    <s v="PENDIENTE APROBACION  ENVIO TMS"/>
    <s v="000000001209671663"/>
    <x v="1"/>
    <x v="2"/>
    <m/>
    <n v="1"/>
    <m/>
  </r>
  <r>
    <n v="1209671691"/>
    <s v="115"/>
    <x v="88"/>
    <d v="2026-10-14T11:29:38"/>
    <d v="2026-10-14T05:29:36"/>
    <d v="2026-10-14T00:00:00"/>
    <s v=""/>
    <s v="CAJA"/>
    <n v="7"/>
    <s v="PENDIENTE APROBACION  ENVIO TMS"/>
    <s v="000000001209671691"/>
    <x v="1"/>
    <x v="2"/>
    <m/>
    <n v="1"/>
    <m/>
  </r>
  <r>
    <n v="1209671716"/>
    <s v="116"/>
    <x v="112"/>
    <d v="2026-10-14T11:29:40"/>
    <d v="2026-10-14T05:29:37"/>
    <d v="2026-10-14T00:00:00"/>
    <s v=""/>
    <s v="CAJA"/>
    <n v="19"/>
    <s v="PENDIENTE APROBACION  ENVIO TMS"/>
    <s v="000000001209671716"/>
    <x v="1"/>
    <x v="0"/>
    <m/>
    <n v="1"/>
    <m/>
  </r>
  <r>
    <n v="8209671695"/>
    <s v="115"/>
    <x v="88"/>
    <d v="2026-10-14T11:29:42"/>
    <d v="2026-10-14T05:29:40"/>
    <d v="2026-10-14T00:00:00"/>
    <s v=""/>
    <s v="UNIDAD"/>
    <n v="3"/>
    <s v="PENDIENTE APROBACION  ENVIO TMS"/>
    <s v="000000008209671695"/>
    <x v="2"/>
    <x v="2"/>
    <m/>
    <n v="1"/>
    <m/>
  </r>
  <r>
    <n v="8209671644"/>
    <s v="114"/>
    <x v="26"/>
    <d v="2026-10-14T11:29:42"/>
    <d v="2026-10-14T05:29:39"/>
    <d v="2026-10-14T00:00:00"/>
    <s v=""/>
    <s v="UNIDAD"/>
    <n v="3"/>
    <s v="PENDIENTE APROBACION  ENVIO TMS"/>
    <s v="000000008209671644"/>
    <x v="2"/>
    <x v="2"/>
    <m/>
    <n v="1"/>
    <m/>
  </r>
  <r>
    <n v="1209671699"/>
    <s v="115"/>
    <x v="88"/>
    <d v="2026-10-14T11:29:44"/>
    <d v="2026-10-14T05:29:41"/>
    <d v="2026-10-14T00:00:00"/>
    <s v=""/>
    <s v="CAJA"/>
    <n v="4"/>
    <s v="PENDIENTE APROBACION  ENVIO TMS"/>
    <s v="000000001209671699"/>
    <x v="1"/>
    <x v="2"/>
    <m/>
    <n v="1"/>
    <m/>
  </r>
  <r>
    <n v="1209671750"/>
    <s v="117"/>
    <x v="72"/>
    <d v="2026-10-14T11:29:46"/>
    <d v="2026-10-14T05:29:43"/>
    <d v="2026-10-14T00:00:00"/>
    <s v=""/>
    <s v="CAJA"/>
    <n v="25"/>
    <s v="PENDIENTE APROBACION  ENVIO TMS"/>
    <s v="000000001209671750"/>
    <x v="1"/>
    <x v="3"/>
    <m/>
    <n v="1"/>
    <m/>
  </r>
  <r>
    <n v="1209671651"/>
    <s v="114"/>
    <x v="26"/>
    <d v="2026-10-14T11:29:47"/>
    <d v="2026-10-14T05:29:44"/>
    <d v="2026-10-14T00:00:00"/>
    <s v=""/>
    <s v="UNIDAD"/>
    <n v="22"/>
    <s v="PENDIENTE APROBACION  ENVIO TMS"/>
    <s v="000000001209671651"/>
    <x v="1"/>
    <x v="2"/>
    <m/>
    <n v="1"/>
    <m/>
  </r>
  <r>
    <n v="1209671708"/>
    <s v="116"/>
    <x v="112"/>
    <d v="2026-10-14T11:29:48"/>
    <d v="2026-10-14T05:29:46"/>
    <d v="2026-10-14T00:00:00"/>
    <s v=""/>
    <s v="CAJA"/>
    <n v="2"/>
    <s v="PENDIENTE APROBACION  ENVIO TMS"/>
    <s v="000000001209671708"/>
    <x v="1"/>
    <x v="0"/>
    <m/>
    <n v="1"/>
    <m/>
  </r>
  <r>
    <n v="1209671710"/>
    <s v="116"/>
    <x v="112"/>
    <d v="2026-10-14T11:29:50"/>
    <d v="2026-10-14T05:29:47"/>
    <d v="2026-10-14T00:00:00"/>
    <s v=""/>
    <s v="CAJA"/>
    <n v="4"/>
    <s v="PENDIENTE APROBACION  ENVIO TMS"/>
    <s v="000000001209671710"/>
    <x v="1"/>
    <x v="0"/>
    <m/>
    <n v="1"/>
    <m/>
  </r>
  <r>
    <n v="1209671712"/>
    <s v="116"/>
    <x v="112"/>
    <d v="2026-10-14T11:29:51"/>
    <d v="2026-10-14T05:29:48"/>
    <d v="2026-10-14T00:00:00"/>
    <s v=""/>
    <s v="CAJA"/>
    <n v="8"/>
    <s v="PENDIENTE APROBACION  ENVIO TMS"/>
    <s v="000000001209671712"/>
    <x v="1"/>
    <x v="0"/>
    <m/>
    <n v="1"/>
    <m/>
  </r>
  <r>
    <n v="1209671661"/>
    <s v="114"/>
    <x v="26"/>
    <d v="2026-10-14T11:29:52"/>
    <d v="2026-10-14T05:29:50"/>
    <d v="2026-10-14T00:00:00"/>
    <s v=""/>
    <s v="CAJA"/>
    <n v="7"/>
    <s v="PENDIENTE APROBACION  ENVIO TMS"/>
    <s v="000000001209671661"/>
    <x v="1"/>
    <x v="2"/>
    <m/>
    <n v="1"/>
    <m/>
  </r>
  <r>
    <n v="1209671647"/>
    <s v="114"/>
    <x v="26"/>
    <d v="2026-10-14T11:29:53"/>
    <d v="2026-10-14T05:29:51"/>
    <d v="2026-10-14T00:00:00"/>
    <s v=""/>
    <s v="CAJA"/>
    <n v="2"/>
    <s v="PENDIENTE APROBACION  ENVIO TMS"/>
    <s v="000000001209671647"/>
    <x v="1"/>
    <x v="2"/>
    <m/>
    <n v="1"/>
    <m/>
  </r>
  <r>
    <n v="1209671648"/>
    <s v="114"/>
    <x v="26"/>
    <d v="2026-10-14T11:29:54"/>
    <d v="2026-10-14T05:29:52"/>
    <d v="2026-10-14T00:00:00"/>
    <s v=""/>
    <s v="PACK"/>
    <n v="9"/>
    <s v="PENDIENTE APROBACION  ENVIO TMS"/>
    <s v="000000001209671648"/>
    <x v="1"/>
    <x v="2"/>
    <m/>
    <n v="1"/>
    <m/>
  </r>
  <r>
    <n v="1209671701"/>
    <s v="115"/>
    <x v="88"/>
    <d v="2026-10-14T11:29:56"/>
    <d v="2026-10-14T05:29:53"/>
    <d v="2026-10-14T00:00:00"/>
    <s v=""/>
    <s v="PACK"/>
    <n v="35"/>
    <s v="PENDIENTE APROBACION  ENVIO TMS"/>
    <s v="000000001209671701"/>
    <x v="1"/>
    <x v="2"/>
    <m/>
    <n v="1"/>
    <m/>
  </r>
  <r>
    <n v="8209671684"/>
    <s v="115"/>
    <x v="88"/>
    <d v="2026-10-14T11:29:57"/>
    <d v="2026-10-14T05:29:55"/>
    <d v="2026-10-14T00:00:00"/>
    <s v=""/>
    <s v="UNIDAD"/>
    <n v="12"/>
    <s v="PENDIENTE APROBACION  ENVIO TMS"/>
    <s v="000000008209671684"/>
    <x v="2"/>
    <x v="2"/>
    <m/>
    <n v="1"/>
    <m/>
  </r>
  <r>
    <n v="1209671753"/>
    <s v="117"/>
    <x v="72"/>
    <d v="2026-10-14T11:29:59"/>
    <d v="2026-10-14T05:29:56"/>
    <d v="2026-10-14T00:00:00"/>
    <s v=""/>
    <s v="CAJA"/>
    <n v="55"/>
    <s v="PENDIENTE APROBACION  ENVIO TMS"/>
    <s v="000000001209671753"/>
    <x v="1"/>
    <x v="3"/>
    <m/>
    <n v="1"/>
    <m/>
  </r>
  <r>
    <n v="8209671741"/>
    <s v="117"/>
    <x v="72"/>
    <d v="2026-10-14T11:30:00"/>
    <d v="2026-10-14T05:29:58"/>
    <d v="2026-10-14T00:00:00"/>
    <s v=""/>
    <s v="UNIDAD"/>
    <n v="7"/>
    <s v="PENDIENTE APROBACION  ENVIO TMS"/>
    <s v="000000008209671741"/>
    <x v="2"/>
    <x v="3"/>
    <m/>
    <n v="1"/>
    <m/>
  </r>
  <r>
    <n v="8209671743"/>
    <s v="117"/>
    <x v="72"/>
    <d v="2026-10-14T11:30:02"/>
    <d v="2026-10-14T05:29:59"/>
    <d v="2026-10-14T00:00:00"/>
    <s v=""/>
    <s v="UNIDAD"/>
    <n v="7"/>
    <s v="PENDIENTE APROBACION  ENVIO TMS"/>
    <s v="000000008209671743"/>
    <x v="2"/>
    <x v="3"/>
    <m/>
    <n v="1"/>
    <m/>
  </r>
  <r>
    <n v="1209671690"/>
    <s v="115"/>
    <x v="88"/>
    <d v="2026-10-14T11:30:03"/>
    <d v="2026-10-14T05:30:00"/>
    <d v="2026-10-14T00:00:00"/>
    <s v=""/>
    <s v="PACK"/>
    <n v="7"/>
    <s v="PENDIENTE APROBACION  ENVIO TMS"/>
    <s v="000000001209671690"/>
    <x v="1"/>
    <x v="2"/>
    <m/>
    <n v="1"/>
    <m/>
  </r>
  <r>
    <n v="1209671692"/>
    <s v="115"/>
    <x v="88"/>
    <d v="2026-10-14T11:30:05"/>
    <d v="2026-10-14T05:30:02"/>
    <d v="2026-10-14T00:00:00"/>
    <s v=""/>
    <s v="CAJA"/>
    <n v="13"/>
    <s v="PENDIENTE APROBACION  ENVIO TMS"/>
    <s v="000000001209671692"/>
    <x v="1"/>
    <x v="2"/>
    <m/>
    <n v="1"/>
    <m/>
  </r>
  <r>
    <n v="1209671747"/>
    <s v="117"/>
    <x v="72"/>
    <d v="2026-10-14T11:30:05"/>
    <d v="2026-10-14T05:30:03"/>
    <d v="2026-10-14T00:00:00"/>
    <s v=""/>
    <s v="CAJA"/>
    <n v="22"/>
    <s v="PENDIENTE APROBACION  ENVIO TMS"/>
    <s v="000000001209671747"/>
    <x v="1"/>
    <x v="3"/>
    <m/>
    <n v="1"/>
    <m/>
  </r>
  <r>
    <n v="1209671751"/>
    <s v="117"/>
    <x v="72"/>
    <d v="2026-10-14T11:30:07"/>
    <d v="2026-10-14T05:30:04"/>
    <d v="2026-10-14T00:00:00"/>
    <s v=""/>
    <s v="CAJA"/>
    <n v="49"/>
    <s v="PENDIENTE APROBACION  ENVIO TMS"/>
    <s v="000000001209671751"/>
    <x v="1"/>
    <x v="3"/>
    <m/>
    <n v="1"/>
    <m/>
  </r>
  <r>
    <n v="8209671703"/>
    <s v="116"/>
    <x v="112"/>
    <d v="2026-10-14T11:30:08"/>
    <d v="2026-10-14T05:30:05"/>
    <d v="2026-10-14T00:00:00"/>
    <s v=""/>
    <s v="UNIDAD"/>
    <n v="2"/>
    <s v="PENDIENTE APROBACION  ENVIO TMS"/>
    <s v="000000008209671703"/>
    <x v="2"/>
    <x v="0"/>
    <m/>
    <n v="1"/>
    <m/>
  </r>
  <r>
    <n v="8209671704"/>
    <s v="116"/>
    <x v="112"/>
    <d v="2026-10-14T11:30:10"/>
    <d v="2026-10-14T05:30:07"/>
    <d v="2026-10-14T00:00:00"/>
    <s v=""/>
    <s v="UNIDAD"/>
    <n v="5"/>
    <s v="PENDIENTE APROBACION  ENVIO TMS"/>
    <s v="000000008209671704"/>
    <x v="2"/>
    <x v="0"/>
    <m/>
    <n v="1"/>
    <m/>
  </r>
  <r>
    <n v="8209671705"/>
    <s v="116"/>
    <x v="112"/>
    <d v="2026-10-14T11:30:10"/>
    <d v="2026-10-14T05:30:08"/>
    <d v="2026-10-14T00:00:00"/>
    <s v=""/>
    <s v="UNIDAD"/>
    <n v="3"/>
    <s v="PENDIENTE APROBACION  ENVIO TMS"/>
    <s v="000000008209671705"/>
    <x v="2"/>
    <x v="0"/>
    <m/>
    <n v="1"/>
    <m/>
  </r>
  <r>
    <n v="8209671707"/>
    <s v="116"/>
    <x v="112"/>
    <d v="2026-10-14T11:30:12"/>
    <d v="2026-10-14T05:30:09"/>
    <d v="2026-10-14T00:00:00"/>
    <s v=""/>
    <s v="UNIDAD"/>
    <n v="14"/>
    <s v="PENDIENTE APROBACION  ENVIO TMS"/>
    <s v="000000008209671707"/>
    <x v="2"/>
    <x v="0"/>
    <m/>
    <n v="1"/>
    <m/>
  </r>
  <r>
    <n v="1209671755"/>
    <s v="117"/>
    <x v="72"/>
    <d v="2026-10-14T11:30:13"/>
    <d v="2026-10-14T05:30:11"/>
    <d v="2026-10-14T00:00:00"/>
    <s v=""/>
    <s v="PACK"/>
    <n v="68"/>
    <s v="PENDIENTE APROBACION  ENVIO TMS"/>
    <s v="000000001209671755"/>
    <x v="1"/>
    <x v="3"/>
    <m/>
    <n v="1"/>
    <m/>
  </r>
  <r>
    <n v="1209671686"/>
    <s v="115"/>
    <x v="88"/>
    <d v="2026-10-14T11:30:15"/>
    <d v="2026-10-14T05:30:12"/>
    <d v="2026-10-14T00:00:00"/>
    <s v=""/>
    <s v="CAJA"/>
    <n v="4"/>
    <s v="PENDIENTE APROBACION  ENVIO TMS"/>
    <s v="000000001209671686"/>
    <x v="1"/>
    <x v="2"/>
    <m/>
    <n v="1"/>
    <m/>
  </r>
  <r>
    <n v="8209671742"/>
    <s v="117"/>
    <x v="72"/>
    <d v="2026-10-14T11:30:16"/>
    <d v="2026-10-14T05:30:13"/>
    <d v="2026-10-14T00:00:00"/>
    <s v=""/>
    <s v="UNIDAD"/>
    <n v="2"/>
    <s v="PENDIENTE APROBACION  ENVIO TMS"/>
    <s v="000000008209671742"/>
    <x v="2"/>
    <x v="3"/>
    <m/>
    <n v="1"/>
    <m/>
  </r>
  <r>
    <n v="1209671746"/>
    <s v="117"/>
    <x v="72"/>
    <d v="2026-10-14T11:30:17"/>
    <d v="2026-10-14T05:30:14"/>
    <d v="2026-10-14T00:00:00"/>
    <s v=""/>
    <s v="CAJA"/>
    <n v="13"/>
    <s v="PENDIENTE APROBACION  ENVIO TMS"/>
    <s v="000000001209671746"/>
    <x v="1"/>
    <x v="3"/>
    <m/>
    <n v="1"/>
    <m/>
  </r>
  <r>
    <n v="1209671700"/>
    <s v="115"/>
    <x v="88"/>
    <d v="2026-10-14T11:30:18"/>
    <d v="2026-10-14T05:30:16"/>
    <d v="2026-10-14T00:00:00"/>
    <s v=""/>
    <s v="CAJA"/>
    <n v="12"/>
    <s v="PENDIENTE APROBACION  ENVIO TMS"/>
    <s v="000000001209671700"/>
    <x v="1"/>
    <x v="2"/>
    <m/>
    <n v="1"/>
    <m/>
  </r>
  <r>
    <n v="1209671762"/>
    <s v="117"/>
    <x v="72"/>
    <d v="2026-10-14T11:30:20"/>
    <d v="2026-10-14T05:30:17"/>
    <d v="2026-10-14T00:00:00"/>
    <s v=""/>
    <s v="UNIDAD"/>
    <n v="27"/>
    <s v="PENDIENTE APROBACION  ENVIO TMS"/>
    <s v="000000001209671762"/>
    <x v="1"/>
    <x v="3"/>
    <m/>
    <n v="1"/>
    <m/>
  </r>
  <r>
    <n v="1209671665"/>
    <s v="114"/>
    <x v="26"/>
    <d v="2026-10-14T11:30:22"/>
    <d v="2026-10-14T05:30:20"/>
    <d v="2026-10-14T00:00:00"/>
    <s v=""/>
    <s v="CAJA"/>
    <n v="2"/>
    <s v="PENDIENTE APROBACION  ENVIO TMS"/>
    <s v="000000001209671665"/>
    <x v="1"/>
    <x v="2"/>
    <m/>
    <n v="1"/>
    <m/>
  </r>
  <r>
    <n v="1209671745"/>
    <s v="117"/>
    <x v="72"/>
    <d v="2026-10-14T11:30:22"/>
    <d v="2026-10-14T05:30:19"/>
    <d v="2026-10-14T00:00:00"/>
    <s v=""/>
    <s v="CAJA"/>
    <n v="1"/>
    <s v="PENDIENTE APROBACION  ENVIO TMS"/>
    <s v="000000001209671745"/>
    <x v="1"/>
    <x v="3"/>
    <m/>
    <n v="1"/>
    <m/>
  </r>
  <r>
    <n v="1209671650"/>
    <s v="114"/>
    <x v="26"/>
    <d v="2026-10-14T11:30:24"/>
    <d v="2026-10-14T05:30:21"/>
    <d v="2026-10-14T00:00:00"/>
    <s v=""/>
    <s v="CAJA"/>
    <n v="20"/>
    <s v="PENDIENTE APROBACION  ENVIO TMS"/>
    <s v="000000001209671650"/>
    <x v="1"/>
    <x v="2"/>
    <m/>
    <n v="1"/>
    <m/>
  </r>
  <r>
    <n v="8209671681"/>
    <s v="115"/>
    <x v="88"/>
    <d v="2026-10-14T11:30:25"/>
    <d v="2026-10-14T05:30:23"/>
    <d v="2026-10-14T00:00:00"/>
    <s v=""/>
    <s v="UNIDAD"/>
    <n v="4"/>
    <s v="PENDIENTE APROBACION  ENVIO TMS"/>
    <s v="000000008209671681"/>
    <x v="2"/>
    <x v="2"/>
    <m/>
    <n v="1"/>
    <m/>
  </r>
  <r>
    <n v="8209671683"/>
    <s v="115"/>
    <x v="88"/>
    <d v="2026-10-14T11:30:27"/>
    <d v="2026-10-14T05:30:24"/>
    <d v="2026-10-14T00:00:00"/>
    <s v=""/>
    <s v="UNIDAD"/>
    <n v="9"/>
    <s v="PENDIENTE APROBACION  ENVIO TMS"/>
    <s v="000000008209671683"/>
    <x v="2"/>
    <x v="2"/>
    <m/>
    <n v="1"/>
    <m/>
  </r>
  <r>
    <n v="8209671706"/>
    <s v="116"/>
    <x v="112"/>
    <d v="2026-10-14T11:30:28"/>
    <d v="2026-10-14T05:30:25"/>
    <d v="2026-10-14T00:00:00"/>
    <s v=""/>
    <s v="UNIDAD"/>
    <n v="4"/>
    <s v="PENDIENTE APROBACION  ENVIO TMS"/>
    <s v="000000008209671706"/>
    <x v="2"/>
    <x v="0"/>
    <m/>
    <n v="1"/>
    <m/>
  </r>
  <r>
    <n v="8209671756"/>
    <s v="117"/>
    <x v="72"/>
    <d v="2026-10-14T11:30:29"/>
    <d v="2026-10-14T05:30:26"/>
    <d v="2026-10-14T00:00:00"/>
    <s v=""/>
    <s v="UNIDAD"/>
    <n v="1"/>
    <s v="PENDIENTE APROBACION  ENVIO TMS"/>
    <s v="000000008209671756"/>
    <x v="2"/>
    <x v="3"/>
    <m/>
    <n v="1"/>
    <m/>
  </r>
  <r>
    <n v="1209671711"/>
    <s v="116"/>
    <x v="112"/>
    <d v="2026-10-14T11:30:30"/>
    <d v="2026-10-14T05:30:27"/>
    <d v="2026-10-14T00:00:00"/>
    <s v=""/>
    <s v="CAJA"/>
    <n v="14"/>
    <s v="PENDIENTE APROBACION  ENVIO TMS"/>
    <s v="000000001209671711"/>
    <x v="1"/>
    <x v="0"/>
    <m/>
    <n v="1"/>
    <m/>
  </r>
  <r>
    <n v="1209671698"/>
    <s v="115"/>
    <x v="88"/>
    <d v="2026-10-14T11:30:32"/>
    <d v="2026-10-14T05:30:30"/>
    <d v="2026-10-14T00:00:00"/>
    <s v=""/>
    <s v="CAJA"/>
    <n v="1"/>
    <s v="PENDIENTE APROBACION  ENVIO TMS"/>
    <s v="000000001209671698"/>
    <x v="1"/>
    <x v="2"/>
    <m/>
    <n v="1"/>
    <m/>
  </r>
  <r>
    <n v="8209671645"/>
    <s v="114"/>
    <x v="26"/>
    <d v="2026-10-14T11:30:32"/>
    <d v="2026-10-14T05:30:29"/>
    <d v="2026-10-14T00:00:00"/>
    <s v=""/>
    <s v="UNIDAD"/>
    <n v="4"/>
    <s v="PENDIENTE APROBACION  ENVIO TMS"/>
    <s v="000000008209671645"/>
    <x v="2"/>
    <x v="2"/>
    <m/>
    <n v="1"/>
    <m/>
  </r>
  <r>
    <n v="1209671721"/>
    <s v="116"/>
    <x v="112"/>
    <d v="2026-10-14T11:30:33"/>
    <d v="2026-10-14T05:30:31"/>
    <d v="2026-10-14T00:00:00"/>
    <s v=""/>
    <s v="PACK"/>
    <n v="40"/>
    <s v="PENDIENTE APROBACION  ENVIO TMS"/>
    <s v="000000001209671721"/>
    <x v="1"/>
    <x v="0"/>
    <m/>
    <n v="1"/>
    <m/>
  </r>
  <r>
    <n v="1209671734"/>
    <s v="116"/>
    <x v="112"/>
    <d v="2026-10-14T11:30:35"/>
    <d v="2026-10-14T05:30:33"/>
    <d v="2026-10-14T00:00:00"/>
    <s v=""/>
    <s v="CAJA"/>
    <n v="3"/>
    <s v="PENDIENTE APROBACION  ENVIO TMS"/>
    <s v="000000001209671734"/>
    <x v="1"/>
    <x v="0"/>
    <m/>
    <n v="1"/>
    <m/>
  </r>
  <r>
    <n v="8209671682"/>
    <s v="115"/>
    <x v="88"/>
    <d v="2026-10-14T11:30:37"/>
    <d v="2026-10-14T05:30:34"/>
    <d v="2026-10-14T00:00:00"/>
    <s v=""/>
    <s v="UNIDAD"/>
    <n v="1"/>
    <s v="PENDIENTE APROBACION  ENVIO TMS"/>
    <s v="000000008209671682"/>
    <x v="2"/>
    <x v="2"/>
    <m/>
    <n v="1"/>
    <m/>
  </r>
  <r>
    <n v="1209671840"/>
    <s v="124"/>
    <x v="90"/>
    <d v="2026-10-14T11:34:11"/>
    <d v="2026-10-14T05:34:09"/>
    <d v="2026-10-14T00:00:00"/>
    <s v=""/>
    <s v="CAJA"/>
    <n v="8"/>
    <s v="PENDIENTE APROBACION  ENVIO TMS"/>
    <s v="000000001209671840"/>
    <x v="1"/>
    <x v="1"/>
    <m/>
    <n v="1"/>
    <m/>
  </r>
  <r>
    <n v="1209671841"/>
    <s v="124"/>
    <x v="90"/>
    <d v="2026-10-14T11:34:13"/>
    <d v="2026-10-14T05:34:10"/>
    <d v="2026-10-14T00:00:00"/>
    <s v=""/>
    <s v="CAJA"/>
    <n v="14"/>
    <s v="PENDIENTE APROBACION  ENVIO TMS"/>
    <s v="000000001209671841"/>
    <x v="1"/>
    <x v="1"/>
    <m/>
    <n v="1"/>
    <m/>
  </r>
  <r>
    <n v="8209671873"/>
    <s v="125"/>
    <x v="74"/>
    <d v="2026-10-14T11:34:14"/>
    <d v="2026-10-14T05:34:11"/>
    <d v="2026-10-14T00:00:00"/>
    <s v=""/>
    <s v="UNIDAD"/>
    <n v="13"/>
    <s v="PENDIENTE APROBACION  ENVIO TMS"/>
    <s v="000000008209671873"/>
    <x v="2"/>
    <x v="1"/>
    <m/>
    <n v="1"/>
    <m/>
  </r>
  <r>
    <n v="1209671783"/>
    <s v="118"/>
    <x v="113"/>
    <d v="2026-10-14T11:34:15"/>
    <d v="2026-10-14T05:34:13"/>
    <d v="2026-10-14T00:00:00"/>
    <s v=""/>
    <s v="CAJA"/>
    <n v="17"/>
    <s v="PENDIENTE APROBACION  ENVIO TMS"/>
    <s v="000000001209671783"/>
    <x v="1"/>
    <x v="1"/>
    <m/>
    <n v="1"/>
    <m/>
  </r>
  <r>
    <n v="1209671819"/>
    <s v="123"/>
    <x v="3"/>
    <d v="2026-10-14T11:34:16"/>
    <d v="2026-10-14T05:34:14"/>
    <d v="2026-10-14T00:00:00"/>
    <s v=""/>
    <s v="CAJA"/>
    <n v="1"/>
    <s v="PENDIENTE APROBACION  ENVIO TMS"/>
    <s v="000000001209671819"/>
    <x v="1"/>
    <x v="0"/>
    <m/>
    <n v="1"/>
    <m/>
  </r>
  <r>
    <n v="1209671858"/>
    <s v="124"/>
    <x v="90"/>
    <d v="2026-10-14T11:34:17"/>
    <d v="2026-10-14T05:34:15"/>
    <d v="2026-10-14T00:00:00"/>
    <s v=""/>
    <s v="CAJA"/>
    <n v="3"/>
    <s v="PENDIENTE APROBACION  ENVIO TMS"/>
    <s v="000000001209671858"/>
    <x v="1"/>
    <x v="1"/>
    <m/>
    <n v="1"/>
    <m/>
  </r>
  <r>
    <n v="1209671880"/>
    <s v="125"/>
    <x v="74"/>
    <d v="2026-10-14T11:34:19"/>
    <d v="2026-10-14T05:34:16"/>
    <d v="2026-10-14T00:00:00"/>
    <s v=""/>
    <s v="CAJA"/>
    <n v="26"/>
    <s v="PENDIENTE APROBACION  ENVIO TMS"/>
    <s v="000000001209671880"/>
    <x v="1"/>
    <x v="1"/>
    <m/>
    <n v="1"/>
    <m/>
  </r>
  <r>
    <n v="8209671821"/>
    <s v="123"/>
    <x v="3"/>
    <d v="2026-10-14T11:34:20"/>
    <d v="2026-10-14T05:34:18"/>
    <d v="2026-10-14T00:00:00"/>
    <s v=""/>
    <s v="UNIDAD"/>
    <n v="5"/>
    <s v="PENDIENTE APROBACION  ENVIO TMS"/>
    <s v="000000008209671821"/>
    <x v="2"/>
    <x v="0"/>
    <m/>
    <n v="1"/>
    <m/>
  </r>
  <r>
    <n v="1209671794"/>
    <s v="118"/>
    <x v="113"/>
    <d v="2026-10-14T11:34:22"/>
    <d v="2026-10-14T05:34:20"/>
    <d v="2026-10-14T00:00:00"/>
    <s v=""/>
    <s v="PACK"/>
    <n v="18"/>
    <s v="PENDIENTE APROBACION  ENVIO TMS"/>
    <s v="000000001209671794"/>
    <x v="1"/>
    <x v="1"/>
    <m/>
    <n v="1"/>
    <m/>
  </r>
  <r>
    <n v="8209671823"/>
    <s v="123"/>
    <x v="3"/>
    <d v="2026-10-14T11:34:22"/>
    <d v="2026-10-14T05:34:19"/>
    <d v="2026-10-14T00:00:00"/>
    <s v=""/>
    <s v="UNIDAD"/>
    <n v="12"/>
    <s v="PENDIENTE APROBACION  ENVIO TMS"/>
    <s v="000000008209671823"/>
    <x v="2"/>
    <x v="0"/>
    <m/>
    <n v="1"/>
    <m/>
  </r>
  <r>
    <n v="8209671902"/>
    <s v="126"/>
    <x v="29"/>
    <d v="2026-10-14T11:34:24"/>
    <d v="2026-10-14T05:34:21"/>
    <d v="2026-10-14T00:00:00"/>
    <s v=""/>
    <s v="UNIDAD"/>
    <n v="10"/>
    <s v="PENDIENTE APROBACION  ENVIO TMS"/>
    <s v="000000008209671902"/>
    <x v="2"/>
    <x v="0"/>
    <m/>
    <n v="1"/>
    <m/>
  </r>
  <r>
    <n v="1209671812"/>
    <s v="123"/>
    <x v="3"/>
    <d v="2026-10-14T11:34:25"/>
    <d v="2026-10-14T05:34:22"/>
    <d v="2026-10-14T00:00:00"/>
    <s v=""/>
    <s v="CAJA"/>
    <n v="1"/>
    <s v="PENDIENTE APROBACION  ENVIO TMS"/>
    <s v="000000001209671812"/>
    <x v="1"/>
    <x v="0"/>
    <m/>
    <n v="1"/>
    <m/>
  </r>
  <r>
    <n v="8209671885"/>
    <s v="125"/>
    <x v="74"/>
    <d v="2026-10-14T11:34:26"/>
    <d v="2026-10-14T05:34:24"/>
    <d v="2026-10-14T00:00:00"/>
    <s v=""/>
    <s v="UNIDAD"/>
    <n v="7"/>
    <s v="PENDIENTE APROBACION  ENVIO TMS"/>
    <s v="000000008209671885"/>
    <x v="2"/>
    <x v="1"/>
    <m/>
    <n v="1"/>
    <m/>
  </r>
  <r>
    <n v="1209671838"/>
    <s v="124"/>
    <x v="90"/>
    <d v="2026-10-14T11:34:28"/>
    <d v="2026-10-14T05:34:26"/>
    <d v="2026-10-14T00:00:00"/>
    <s v=""/>
    <s v="CAJA"/>
    <n v="1"/>
    <s v="PENDIENTE APROBACION  ENVIO TMS"/>
    <s v="000000001209671838"/>
    <x v="1"/>
    <x v="1"/>
    <m/>
    <n v="1"/>
    <m/>
  </r>
  <r>
    <n v="1209671909"/>
    <s v="126"/>
    <x v="29"/>
    <d v="2026-10-14T11:34:28"/>
    <d v="2026-10-14T05:34:25"/>
    <d v="2026-10-14T00:00:00"/>
    <s v=""/>
    <s v="CAJA"/>
    <n v="22"/>
    <s v="PENDIENTE APROBACION  ENVIO TMS"/>
    <s v="000000001209671909"/>
    <x v="1"/>
    <x v="0"/>
    <m/>
    <n v="1"/>
    <m/>
  </r>
  <r>
    <n v="1209671910"/>
    <s v="126"/>
    <x v="29"/>
    <d v="2026-10-14T11:34:30"/>
    <d v="2026-10-14T05:34:27"/>
    <d v="2026-10-14T00:00:00"/>
    <s v=""/>
    <s v="PACK"/>
    <n v="22"/>
    <s v="PENDIENTE APROBACION  ENVIO TMS"/>
    <s v="000000001209671910"/>
    <x v="1"/>
    <x v="0"/>
    <m/>
    <n v="1"/>
    <m/>
  </r>
  <r>
    <n v="1209671912"/>
    <s v="126"/>
    <x v="29"/>
    <d v="2026-10-14T11:34:31"/>
    <d v="2026-10-14T05:34:29"/>
    <d v="2026-10-14T00:00:00"/>
    <s v=""/>
    <s v="CAJA"/>
    <n v="36"/>
    <s v="PENDIENTE APROBACION  ENVIO TMS"/>
    <s v="000000001209671912"/>
    <x v="1"/>
    <x v="0"/>
    <m/>
    <n v="1"/>
    <m/>
  </r>
  <r>
    <n v="1209671782"/>
    <s v="118"/>
    <x v="113"/>
    <d v="2026-10-14T11:34:33"/>
    <d v="2026-10-14T05:34:31"/>
    <d v="2026-10-14T00:00:00"/>
    <s v=""/>
    <s v="CAJA"/>
    <n v="5"/>
    <s v="PENDIENTE APROBACION  ENVIO TMS"/>
    <s v="000000001209671782"/>
    <x v="1"/>
    <x v="1"/>
    <m/>
    <n v="1"/>
    <m/>
  </r>
  <r>
    <n v="8209671780"/>
    <s v="118"/>
    <x v="113"/>
    <d v="2026-10-14T11:34:33"/>
    <d v="2026-10-14T05:34:30"/>
    <d v="2026-10-14T00:00:00"/>
    <s v=""/>
    <s v="UNIDAD"/>
    <n v="2"/>
    <s v="PENDIENTE APROBACION  ENVIO TMS"/>
    <s v="000000008209671780"/>
    <x v="2"/>
    <x v="1"/>
    <m/>
    <n v="1"/>
    <m/>
  </r>
  <r>
    <n v="1209671896"/>
    <s v="125"/>
    <x v="74"/>
    <d v="2026-10-14T11:34:34"/>
    <d v="2026-10-14T05:34:32"/>
    <d v="2026-10-14T00:00:00"/>
    <s v=""/>
    <s v="PACK"/>
    <n v="35"/>
    <s v="PENDIENTE APROBACION  ENVIO TMS"/>
    <s v="000000001209671896"/>
    <x v="1"/>
    <x v="1"/>
    <m/>
    <n v="1"/>
    <m/>
  </r>
  <r>
    <n v="8209671790"/>
    <s v="118"/>
    <x v="113"/>
    <d v="2026-10-14T11:34:36"/>
    <d v="2026-10-14T05:34:33"/>
    <d v="2026-10-14T00:00:00"/>
    <s v=""/>
    <s v="UNIDAD"/>
    <n v="1"/>
    <s v="PENDIENTE APROBACION  ENVIO TMS"/>
    <s v="000000008209671790"/>
    <x v="2"/>
    <x v="1"/>
    <m/>
    <n v="1"/>
    <m/>
  </r>
  <r>
    <n v="1209671907"/>
    <s v="126"/>
    <x v="29"/>
    <d v="2026-10-14T11:34:37"/>
    <d v="2026-10-14T05:34:35"/>
    <d v="2026-10-14T00:00:00"/>
    <s v=""/>
    <s v="CAJA"/>
    <n v="8"/>
    <s v="PENDIENTE APROBACION  ENVIO TMS"/>
    <s v="000000001209671907"/>
    <x v="1"/>
    <x v="0"/>
    <m/>
    <n v="1"/>
    <m/>
  </r>
  <r>
    <n v="8209671887"/>
    <s v="125"/>
    <x v="74"/>
    <d v="2026-10-14T11:34:39"/>
    <d v="2026-10-14T05:34:36"/>
    <d v="2026-10-14T00:00:00"/>
    <s v=""/>
    <s v="UNIDAD"/>
    <n v="1"/>
    <s v="PENDIENTE APROBACION  ENVIO TMS"/>
    <s v="000000008209671887"/>
    <x v="2"/>
    <x v="1"/>
    <m/>
    <n v="1"/>
    <m/>
  </r>
  <r>
    <n v="1209671816"/>
    <s v="123"/>
    <x v="3"/>
    <d v="2026-10-14T11:34:39"/>
    <d v="2026-10-14T05:34:37"/>
    <d v="2026-10-14T00:00:00"/>
    <s v=""/>
    <s v="CAJA"/>
    <n v="15"/>
    <s v="PENDIENTE APROBACION  ENVIO TMS"/>
    <s v="000000001209671816"/>
    <x v="1"/>
    <x v="0"/>
    <m/>
    <n v="1"/>
    <m/>
  </r>
  <r>
    <n v="8209671875"/>
    <s v="125"/>
    <x v="74"/>
    <d v="2026-10-14T11:34:41"/>
    <d v="2026-10-14T05:34:38"/>
    <d v="2026-10-14T00:00:00"/>
    <s v=""/>
    <s v="UNIDAD"/>
    <n v="27"/>
    <s v="PENDIENTE APROBACION  ENVIO TMS"/>
    <s v="000000008209671875"/>
    <x v="2"/>
    <x v="1"/>
    <m/>
    <n v="1"/>
    <m/>
  </r>
  <r>
    <n v="8209671778"/>
    <s v="118"/>
    <x v="113"/>
    <d v="2026-10-14T11:34:42"/>
    <d v="2026-10-14T05:34:39"/>
    <d v="2026-10-14T00:00:00"/>
    <s v=""/>
    <s v="UNIDAD"/>
    <n v="6"/>
    <s v="PENDIENTE APROBACION  ENVIO TMS"/>
    <s v="000000008209671778"/>
    <x v="2"/>
    <x v="1"/>
    <m/>
    <n v="1"/>
    <m/>
  </r>
  <r>
    <n v="1209671893"/>
    <s v="125"/>
    <x v="74"/>
    <d v="2026-10-14T11:34:43"/>
    <d v="2026-10-14T05:34:41"/>
    <d v="2026-10-14T00:00:00"/>
    <s v=""/>
    <s v="UNIDAD"/>
    <n v="14"/>
    <s v="PENDIENTE APROBACION  ENVIO TMS"/>
    <s v="000000001209671893"/>
    <x v="1"/>
    <x v="1"/>
    <m/>
    <n v="1"/>
    <m/>
  </r>
  <r>
    <n v="8209671779"/>
    <s v="118"/>
    <x v="113"/>
    <d v="2026-10-14T11:34:44"/>
    <d v="2026-10-14T05:34:42"/>
    <d v="2026-10-14T00:00:00"/>
    <s v=""/>
    <s v="UNIDAD"/>
    <n v="4"/>
    <s v="PENDIENTE APROBACION  ENVIO TMS"/>
    <s v="000000008209671779"/>
    <x v="2"/>
    <x v="1"/>
    <m/>
    <n v="1"/>
    <m/>
  </r>
  <r>
    <n v="1209671894"/>
    <s v="125"/>
    <x v="74"/>
    <d v="2026-10-14T11:34:45"/>
    <d v="2026-10-14T05:34:43"/>
    <d v="2026-10-14T00:00:00"/>
    <s v=""/>
    <s v="CAJA"/>
    <n v="25"/>
    <s v="PENDIENTE APROBACION  ENVIO TMS"/>
    <s v="000000001209671894"/>
    <x v="1"/>
    <x v="1"/>
    <m/>
    <n v="1"/>
    <m/>
  </r>
  <r>
    <n v="1209671895"/>
    <s v="125"/>
    <x v="74"/>
    <d v="2026-10-14T11:34:47"/>
    <d v="2026-10-14T05:34:44"/>
    <d v="2026-10-14T00:00:00"/>
    <s v=""/>
    <s v="CAJA"/>
    <n v="20"/>
    <s v="PENDIENTE APROBACION  ENVIO TMS"/>
    <s v="000000001209671895"/>
    <x v="1"/>
    <x v="1"/>
    <m/>
    <n v="1"/>
    <m/>
  </r>
  <r>
    <n v="1209671785"/>
    <s v="118"/>
    <x v="113"/>
    <d v="2026-10-14T11:34:48"/>
    <d v="2026-10-14T05:34:46"/>
    <d v="2026-10-14T00:00:00"/>
    <s v=""/>
    <s v="CAJA"/>
    <n v="17"/>
    <s v="PENDIENTE APROBACION  ENVIO TMS"/>
    <s v="000000001209671785"/>
    <x v="1"/>
    <x v="1"/>
    <m/>
    <n v="1"/>
    <m/>
  </r>
  <r>
    <n v="1209671787"/>
    <s v="118"/>
    <x v="113"/>
    <d v="2026-10-14T11:34:50"/>
    <d v="2026-10-14T05:34:47"/>
    <d v="2026-10-14T00:00:00"/>
    <s v=""/>
    <s v="CAJA"/>
    <n v="22"/>
    <s v="PENDIENTE APROBACION  ENVIO TMS"/>
    <s v="000000001209671787"/>
    <x v="1"/>
    <x v="1"/>
    <m/>
    <n v="1"/>
    <m/>
  </r>
  <r>
    <n v="1209671917"/>
    <s v="126"/>
    <x v="29"/>
    <d v="2026-10-14T11:34:51"/>
    <d v="2026-10-14T05:34:49"/>
    <d v="2026-10-14T00:00:00"/>
    <s v=""/>
    <s v="CAJA"/>
    <n v="50"/>
    <s v="PENDIENTE APROBACION  ENVIO TMS"/>
    <s v="000000001209671917"/>
    <x v="1"/>
    <x v="0"/>
    <m/>
    <n v="1"/>
    <m/>
  </r>
  <r>
    <n v="1209671791"/>
    <s v="118"/>
    <x v="113"/>
    <d v="2026-10-14T11:34:53"/>
    <d v="2026-10-14T05:34:50"/>
    <d v="2026-10-14T00:00:00"/>
    <s v=""/>
    <s v="CAJA"/>
    <n v="11"/>
    <s v="PENDIENTE APROBACION  ENVIO TMS"/>
    <s v="000000001209671791"/>
    <x v="1"/>
    <x v="1"/>
    <m/>
    <n v="1"/>
    <m/>
  </r>
  <r>
    <n v="8209671900"/>
    <s v="126"/>
    <x v="29"/>
    <d v="2026-10-14T11:34:55"/>
    <d v="2026-10-14T05:34:52"/>
    <d v="2026-10-14T00:00:00"/>
    <s v=""/>
    <s v="UNIDAD"/>
    <n v="8"/>
    <s v="PENDIENTE APROBACION  ENVIO TMS"/>
    <s v="000000008209671900"/>
    <x v="2"/>
    <x v="0"/>
    <m/>
    <n v="1"/>
    <m/>
  </r>
  <r>
    <n v="8209671905"/>
    <s v="126"/>
    <x v="29"/>
    <d v="2026-10-14T11:34:56"/>
    <d v="2026-10-14T05:34:54"/>
    <d v="2026-10-14T00:00:00"/>
    <s v=""/>
    <s v="UNIDAD"/>
    <n v="10"/>
    <s v="PENDIENTE APROBACION  ENVIO TMS"/>
    <s v="000000008209671905"/>
    <x v="2"/>
    <x v="0"/>
    <m/>
    <n v="1"/>
    <m/>
  </r>
  <r>
    <n v="8209671835"/>
    <s v="124"/>
    <x v="90"/>
    <d v="2026-10-14T11:34:57"/>
    <d v="2026-10-14T05:34:55"/>
    <d v="2026-10-14T00:00:00"/>
    <s v=""/>
    <s v="UNIDAD"/>
    <n v="1"/>
    <s v="PENDIENTE APROBACION  ENVIO TMS"/>
    <s v="000000008209671835"/>
    <x v="2"/>
    <x v="1"/>
    <m/>
    <n v="1"/>
    <m/>
  </r>
  <r>
    <n v="8209671886"/>
    <s v="125"/>
    <x v="74"/>
    <d v="2026-10-14T11:34:59"/>
    <d v="2026-10-14T05:34:56"/>
    <d v="2026-10-14T00:00:00"/>
    <s v=""/>
    <s v="UNIDAD"/>
    <n v="1"/>
    <s v="PENDIENTE APROBACION  ENVIO TMS"/>
    <s v="000000008209671886"/>
    <x v="2"/>
    <x v="1"/>
    <m/>
    <n v="1"/>
    <m/>
  </r>
  <r>
    <n v="1209671913"/>
    <s v="126"/>
    <x v="29"/>
    <d v="2026-10-14T11:35:00"/>
    <d v="2026-10-14T05:34:58"/>
    <d v="2026-10-14T00:00:00"/>
    <s v=""/>
    <s v="PACK"/>
    <n v="51"/>
    <s v="PENDIENTE APROBACION  ENVIO TMS"/>
    <s v="000000001209671913"/>
    <x v="1"/>
    <x v="0"/>
    <m/>
    <n v="1"/>
    <m/>
  </r>
  <r>
    <n v="1209671784"/>
    <s v="118"/>
    <x v="113"/>
    <d v="2026-10-14T11:35:01"/>
    <d v="2026-10-14T05:34:59"/>
    <d v="2026-10-14T00:00:00"/>
    <s v=""/>
    <s v="PACK"/>
    <n v="15"/>
    <s v="PENDIENTE APROBACION  ENVIO TMS"/>
    <s v="000000001209671784"/>
    <x v="1"/>
    <x v="1"/>
    <m/>
    <n v="1"/>
    <m/>
  </r>
  <r>
    <n v="1209671915"/>
    <s v="126"/>
    <x v="29"/>
    <d v="2026-10-14T11:35:03"/>
    <d v="2026-10-14T05:35:01"/>
    <d v="2026-10-14T00:00:00"/>
    <s v=""/>
    <s v="CAJA"/>
    <n v="44"/>
    <s v="PENDIENTE APROBACION  ENVIO TMS"/>
    <s v="000000001209671915"/>
    <x v="1"/>
    <x v="0"/>
    <m/>
    <n v="1"/>
    <m/>
  </r>
  <r>
    <n v="1209671786"/>
    <s v="118"/>
    <x v="113"/>
    <d v="2026-10-14T11:35:05"/>
    <d v="2026-10-14T05:35:02"/>
    <d v="2026-10-14T00:00:00"/>
    <s v=""/>
    <s v="PACK"/>
    <n v="11"/>
    <s v="PENDIENTE APROBACION  ENVIO TMS"/>
    <s v="000000001209671786"/>
    <x v="1"/>
    <x v="1"/>
    <m/>
    <n v="1"/>
    <m/>
  </r>
  <r>
    <n v="1209671842"/>
    <s v="124"/>
    <x v="90"/>
    <d v="2026-10-14T11:35:07"/>
    <d v="2026-10-14T05:35:04"/>
    <d v="2026-10-14T00:00:00"/>
    <s v=""/>
    <s v="CAJA"/>
    <n v="12"/>
    <s v="PENDIENTE APROBACION  ENVIO TMS"/>
    <s v="000000001209671842"/>
    <x v="1"/>
    <x v="1"/>
    <m/>
    <n v="1"/>
    <m/>
  </r>
  <r>
    <n v="1209671788"/>
    <s v="118"/>
    <x v="113"/>
    <d v="2026-10-14T11:35:07"/>
    <d v="2026-10-14T05:35:05"/>
    <d v="2026-10-14T00:00:00"/>
    <s v=""/>
    <s v="CAJA"/>
    <n v="30"/>
    <s v="PENDIENTE APROBACION  ENVIO TMS"/>
    <s v="000000001209671788"/>
    <x v="1"/>
    <x v="1"/>
    <m/>
    <n v="1"/>
    <m/>
  </r>
  <r>
    <n v="8209671822"/>
    <s v="123"/>
    <x v="3"/>
    <d v="2026-10-14T11:35:09"/>
    <d v="2026-10-14T05:35:06"/>
    <d v="2026-10-14T00:00:00"/>
    <s v=""/>
    <s v="UNIDAD"/>
    <n v="26"/>
    <s v="PENDIENTE APROBACION  ENVIO TMS"/>
    <s v="000000008209671822"/>
    <x v="2"/>
    <x v="0"/>
    <m/>
    <n v="1"/>
    <m/>
  </r>
  <r>
    <n v="8209671811"/>
    <s v="123"/>
    <x v="3"/>
    <d v="2026-10-14T11:35:10"/>
    <d v="2026-10-14T05:35:08"/>
    <d v="2026-10-14T00:00:00"/>
    <s v=""/>
    <s v="UNIDAD"/>
    <n v="4"/>
    <s v="PENDIENTE APROBACION  ENVIO TMS"/>
    <s v="000000008209671811"/>
    <x v="2"/>
    <x v="0"/>
    <m/>
    <n v="1"/>
    <m/>
  </r>
  <r>
    <n v="8209671904"/>
    <s v="126"/>
    <x v="29"/>
    <d v="2026-10-14T11:35:12"/>
    <d v="2026-10-14T05:35:09"/>
    <d v="2026-10-14T00:00:00"/>
    <s v=""/>
    <s v="UNIDAD"/>
    <n v="36"/>
    <s v="PENDIENTE APROBACION  ENVIO TMS"/>
    <s v="000000008209671904"/>
    <x v="2"/>
    <x v="0"/>
    <m/>
    <n v="1"/>
    <m/>
  </r>
  <r>
    <n v="1209671906"/>
    <s v="126"/>
    <x v="29"/>
    <d v="2026-10-14T11:35:13"/>
    <d v="2026-10-14T05:35:10"/>
    <d v="2026-10-14T00:00:00"/>
    <s v=""/>
    <s v="CAJA"/>
    <n v="4"/>
    <s v="PENDIENTE APROBACION  ENVIO TMS"/>
    <s v="000000001209671906"/>
    <x v="1"/>
    <x v="0"/>
    <m/>
    <n v="1"/>
    <m/>
  </r>
  <r>
    <n v="1209671848"/>
    <s v="124"/>
    <x v="90"/>
    <d v="2026-10-14T11:35:14"/>
    <d v="2026-10-14T05:35:11"/>
    <d v="2026-10-14T00:00:00"/>
    <s v=""/>
    <s v="CAJA"/>
    <n v="33"/>
    <s v="PENDIENTE APROBACION  ENVIO TMS"/>
    <s v="000000001209671848"/>
    <x v="1"/>
    <x v="1"/>
    <m/>
    <n v="1"/>
    <m/>
  </r>
  <r>
    <n v="8209671888"/>
    <s v="125"/>
    <x v="74"/>
    <d v="2026-10-14T11:35:15"/>
    <d v="2026-10-14T05:35:13"/>
    <d v="2026-10-14T00:00:00"/>
    <s v=""/>
    <s v="UNIDAD"/>
    <n v="22"/>
    <s v="PENDIENTE APROBACION  ENVIO TMS"/>
    <s v="000000008209671888"/>
    <x v="2"/>
    <x v="1"/>
    <m/>
    <n v="1"/>
    <m/>
  </r>
  <r>
    <n v="1209671911"/>
    <s v="126"/>
    <x v="29"/>
    <d v="2026-10-14T11:35:16"/>
    <d v="2026-10-14T05:35:14"/>
    <d v="2026-10-14T00:00:00"/>
    <s v=""/>
    <s v="CAJA"/>
    <n v="28"/>
    <s v="PENDIENTE APROBACION  ENVIO TMS"/>
    <s v="000000001209671911"/>
    <x v="1"/>
    <x v="0"/>
    <m/>
    <n v="1"/>
    <m/>
  </r>
  <r>
    <n v="1209671897"/>
    <s v="125"/>
    <x v="74"/>
    <d v="2026-10-14T11:35:18"/>
    <d v="2026-10-14T05:35:15"/>
    <d v="2026-10-14T00:00:00"/>
    <s v=""/>
    <s v="CAJA"/>
    <n v="4"/>
    <s v="PENDIENTE APROBACION  ENVIO TMS"/>
    <s v="000000001209671897"/>
    <x v="1"/>
    <x v="1"/>
    <m/>
    <n v="1"/>
    <m/>
  </r>
  <r>
    <n v="8209671789"/>
    <s v="118"/>
    <x v="113"/>
    <d v="2026-10-14T11:35:19"/>
    <d v="2026-10-14T05:35:16"/>
    <d v="2026-10-14T00:00:00"/>
    <s v=""/>
    <s v="UNIDAD"/>
    <n v="7"/>
    <s v="PENDIENTE APROBACION  ENVIO TMS"/>
    <s v="000000008209671789"/>
    <x v="2"/>
    <x v="1"/>
    <m/>
    <n v="1"/>
    <m/>
  </r>
  <r>
    <n v="1209671847"/>
    <s v="124"/>
    <x v="90"/>
    <d v="2026-10-14T11:35:21"/>
    <d v="2026-10-14T05:35:18"/>
    <d v="2026-10-14T00:00:00"/>
    <s v=""/>
    <s v="CAJA"/>
    <n v="34"/>
    <s v="PENDIENTE APROBACION  ENVIO TMS"/>
    <s v="000000001209671847"/>
    <x v="1"/>
    <x v="1"/>
    <m/>
    <n v="1"/>
    <m/>
  </r>
  <r>
    <n v="8209671832"/>
    <s v="124"/>
    <x v="90"/>
    <d v="2026-10-14T11:35:21"/>
    <d v="2026-10-14T05:35:19"/>
    <d v="2026-10-14T00:00:00"/>
    <s v=""/>
    <s v="UNIDAD"/>
    <n v="4"/>
    <s v="PENDIENTE APROBACION  ENVIO TMS"/>
    <s v="000000008209671832"/>
    <x v="2"/>
    <x v="1"/>
    <m/>
    <n v="1"/>
    <m/>
  </r>
  <r>
    <n v="8209671833"/>
    <s v="124"/>
    <x v="90"/>
    <d v="2026-10-14T11:35:23"/>
    <d v="2026-10-14T05:35:20"/>
    <d v="2026-10-14T00:00:00"/>
    <s v=""/>
    <s v="UNIDAD"/>
    <n v="5"/>
    <s v="PENDIENTE APROBACION  ENVIO TMS"/>
    <s v="000000008209671833"/>
    <x v="2"/>
    <x v="1"/>
    <m/>
    <n v="1"/>
    <m/>
  </r>
  <r>
    <n v="1209671876"/>
    <s v="125"/>
    <x v="74"/>
    <d v="2026-10-14T11:35:24"/>
    <d v="2026-10-14T05:35:21"/>
    <d v="2026-10-14T00:00:00"/>
    <s v=""/>
    <s v="CAJA"/>
    <n v="2"/>
    <s v="PENDIENTE APROBACION  ENVIO TMS"/>
    <s v="000000001209671876"/>
    <x v="1"/>
    <x v="1"/>
    <m/>
    <n v="1"/>
    <m/>
  </r>
  <r>
    <n v="8209671810"/>
    <s v="123"/>
    <x v="3"/>
    <d v="2026-10-14T11:35:25"/>
    <d v="2026-10-14T05:35:23"/>
    <d v="2026-10-14T00:00:00"/>
    <s v=""/>
    <s v="UNIDAD"/>
    <n v="4"/>
    <s v="PENDIENTE APROBACION  ENVIO TMS"/>
    <s v="000000008209671810"/>
    <x v="2"/>
    <x v="0"/>
    <m/>
    <n v="1"/>
    <m/>
  </r>
  <r>
    <n v="1209671814"/>
    <s v="123"/>
    <x v="3"/>
    <d v="2026-10-14T11:35:26"/>
    <d v="2026-10-14T05:35:24"/>
    <d v="2026-10-14T00:00:00"/>
    <s v=""/>
    <s v="CAJA"/>
    <n v="4"/>
    <s v="PENDIENTE APROBACION  ENVIO TMS"/>
    <s v="000000001209671814"/>
    <x v="1"/>
    <x v="0"/>
    <m/>
    <n v="1"/>
    <m/>
  </r>
  <r>
    <n v="8209671831"/>
    <s v="124"/>
    <x v="90"/>
    <d v="2026-10-14T11:35:28"/>
    <d v="2026-10-14T05:35:25"/>
    <d v="2026-10-14T00:00:00"/>
    <s v=""/>
    <s v="UNIDAD"/>
    <n v="3"/>
    <s v="PENDIENTE APROBACION  ENVIO TMS"/>
    <s v="000000008209671831"/>
    <x v="2"/>
    <x v="1"/>
    <m/>
    <n v="1"/>
    <m/>
  </r>
  <r>
    <n v="1209671908"/>
    <s v="126"/>
    <x v="29"/>
    <d v="2026-10-14T11:35:29"/>
    <d v="2026-10-14T05:35:26"/>
    <d v="2026-10-14T00:00:00"/>
    <s v=""/>
    <s v="CAJA"/>
    <n v="17"/>
    <s v="PENDIENTE APROBACION  ENVIO TMS"/>
    <s v="000000001209671908"/>
    <x v="1"/>
    <x v="0"/>
    <m/>
    <n v="1"/>
    <m/>
  </r>
  <r>
    <n v="8209671837"/>
    <s v="124"/>
    <x v="90"/>
    <d v="2026-10-14T11:35:30"/>
    <d v="2026-10-14T05:35:27"/>
    <d v="2026-10-14T00:00:00"/>
    <s v=""/>
    <s v="UNIDAD"/>
    <n v="17"/>
    <s v="PENDIENTE APROBACION  ENVIO TMS"/>
    <s v="000000008209671837"/>
    <x v="2"/>
    <x v="1"/>
    <m/>
    <n v="1"/>
    <m/>
  </r>
  <r>
    <n v="1209671849"/>
    <s v="124"/>
    <x v="90"/>
    <d v="2026-10-14T11:35:31"/>
    <d v="2026-10-14T05:35:29"/>
    <d v="2026-10-14T00:00:00"/>
    <s v=""/>
    <s v="PACK"/>
    <n v="45"/>
    <s v="PENDIENTE APROBACION  ENVIO TMS"/>
    <s v="000000001209671849"/>
    <x v="1"/>
    <x v="1"/>
    <m/>
    <n v="1"/>
    <m/>
  </r>
  <r>
    <n v="1209671817"/>
    <s v="123"/>
    <x v="3"/>
    <d v="2026-10-14T11:35:32"/>
    <d v="2026-10-14T05:35:30"/>
    <d v="2026-10-14T00:00:00"/>
    <s v=""/>
    <s v="PACK"/>
    <n v="18"/>
    <s v="PENDIENTE APROBACION  ENVIO TMS"/>
    <s v="000000001209671817"/>
    <x v="1"/>
    <x v="0"/>
    <m/>
    <n v="1"/>
    <m/>
  </r>
  <r>
    <n v="1209671879"/>
    <s v="125"/>
    <x v="74"/>
    <d v="2026-10-14T11:35:34"/>
    <d v="2026-10-14T05:35:31"/>
    <d v="2026-10-14T00:00:00"/>
    <s v=""/>
    <s v="PACK"/>
    <n v="25"/>
    <s v="PENDIENTE APROBACION  ENVIO TMS"/>
    <s v="000000001209671879"/>
    <x v="1"/>
    <x v="1"/>
    <m/>
    <n v="1"/>
    <m/>
  </r>
  <r>
    <n v="1209671881"/>
    <s v="125"/>
    <x v="74"/>
    <d v="2026-10-14T11:35:35"/>
    <d v="2026-10-14T05:35:33"/>
    <d v="2026-10-14T00:00:00"/>
    <s v=""/>
    <s v="CAJA"/>
    <n v="34"/>
    <s v="PENDIENTE APROBACION  ENVIO TMS"/>
    <s v="000000001209671881"/>
    <x v="1"/>
    <x v="1"/>
    <m/>
    <n v="1"/>
    <m/>
  </r>
  <r>
    <n v="1209671898"/>
    <s v="125"/>
    <x v="74"/>
    <d v="2026-10-14T11:35:36"/>
    <d v="2026-10-14T05:35:34"/>
    <d v="2026-10-14T00:00:00"/>
    <s v=""/>
    <s v="PACK"/>
    <n v="61"/>
    <s v="PENDIENTE APROBACION  ENVIO TMS"/>
    <s v="000000001209671898"/>
    <x v="1"/>
    <x v="1"/>
    <m/>
    <n v="1"/>
    <m/>
  </r>
  <r>
    <n v="8209671901"/>
    <s v="126"/>
    <x v="29"/>
    <d v="2026-10-14T11:35:37"/>
    <d v="2026-10-14T05:35:35"/>
    <d v="2026-10-14T00:00:00"/>
    <s v=""/>
    <s v="UNIDAD"/>
    <n v="2"/>
    <s v="PENDIENTE APROBACION  ENVIO TMS"/>
    <s v="000000008209671901"/>
    <x v="2"/>
    <x v="0"/>
    <m/>
    <n v="1"/>
    <m/>
  </r>
  <r>
    <n v="1209671830"/>
    <s v="123"/>
    <x v="3"/>
    <d v="2026-10-14T11:35:39"/>
    <d v="2026-10-14T05:35:36"/>
    <d v="2026-10-14T00:00:00"/>
    <s v=""/>
    <s v="CAJA"/>
    <n v="20"/>
    <s v="PENDIENTE APROBACION  ENVIO TMS"/>
    <s v="000000001209671830"/>
    <x v="1"/>
    <x v="0"/>
    <m/>
    <n v="1"/>
    <m/>
  </r>
  <r>
    <n v="8209671834"/>
    <s v="124"/>
    <x v="90"/>
    <d v="2026-10-14T11:35:40"/>
    <d v="2026-10-14T05:35:37"/>
    <d v="2026-10-14T00:00:00"/>
    <s v=""/>
    <s v="UNIDAD"/>
    <n v="2"/>
    <s v="PENDIENTE APROBACION  ENVIO TMS"/>
    <s v="000000008209671834"/>
    <x v="2"/>
    <x v="1"/>
    <m/>
    <n v="1"/>
    <m/>
  </r>
  <r>
    <n v="8209671836"/>
    <s v="124"/>
    <x v="90"/>
    <d v="2026-10-14T11:35:42"/>
    <d v="2026-10-14T05:35:39"/>
    <d v="2026-10-14T00:00:00"/>
    <s v=""/>
    <s v="UNIDAD"/>
    <n v="26"/>
    <s v="PENDIENTE APROBACION  ENVIO TMS"/>
    <s v="000000008209671836"/>
    <x v="2"/>
    <x v="1"/>
    <m/>
    <n v="1"/>
    <m/>
  </r>
  <r>
    <n v="1209671839"/>
    <s v="124"/>
    <x v="90"/>
    <d v="2026-10-14T11:35:43"/>
    <d v="2026-10-14T05:35:40"/>
    <d v="2026-10-14T00:00:00"/>
    <s v=""/>
    <s v="CAJA"/>
    <n v="5"/>
    <s v="PENDIENTE APROBACION  ENVIO TMS"/>
    <s v="000000001209671839"/>
    <x v="1"/>
    <x v="1"/>
    <m/>
    <n v="1"/>
    <m/>
  </r>
  <r>
    <n v="8209671874"/>
    <s v="125"/>
    <x v="74"/>
    <d v="2026-10-14T11:35:43"/>
    <d v="2026-10-14T05:35:41"/>
    <d v="2026-10-14T00:00:00"/>
    <s v=""/>
    <s v="UNIDAD"/>
    <n v="8"/>
    <s v="PENDIENTE APROBACION  ENVIO TMS"/>
    <s v="000000008209671874"/>
    <x v="2"/>
    <x v="1"/>
    <m/>
    <n v="1"/>
    <m/>
  </r>
  <r>
    <n v="8209671776"/>
    <s v="118"/>
    <x v="113"/>
    <d v="2026-10-14T11:35:45"/>
    <d v="2026-10-14T05:35:42"/>
    <d v="2026-10-14T00:00:00"/>
    <s v=""/>
    <s v="UNIDAD"/>
    <n v="4"/>
    <s v="PENDIENTE APROBACION  ENVIO TMS"/>
    <s v="000000008209671776"/>
    <x v="2"/>
    <x v="1"/>
    <m/>
    <n v="1"/>
    <m/>
  </r>
  <r>
    <n v="1209671781"/>
    <s v="118"/>
    <x v="113"/>
    <d v="2026-10-14T11:35:46"/>
    <d v="2026-10-14T05:35:44"/>
    <d v="2026-10-14T00:00:00"/>
    <s v=""/>
    <s v="CAJA"/>
    <n v="2"/>
    <s v="PENDIENTE APROBACION  ENVIO TMS"/>
    <s v="000000001209671781"/>
    <x v="1"/>
    <x v="1"/>
    <m/>
    <n v="1"/>
    <m/>
  </r>
  <r>
    <n v="1209671843"/>
    <s v="124"/>
    <x v="90"/>
    <d v="2026-10-14T11:35:48"/>
    <d v="2026-10-14T05:35:46"/>
    <d v="2026-10-14T00:00:00"/>
    <s v=""/>
    <s v="PACK"/>
    <n v="33"/>
    <s v="PENDIENTE APROBACION  ENVIO TMS"/>
    <s v="000000001209671843"/>
    <x v="1"/>
    <x v="1"/>
    <m/>
    <n v="1"/>
    <m/>
  </r>
  <r>
    <n v="1209671818"/>
    <s v="123"/>
    <x v="3"/>
    <d v="2026-10-14T11:35:48"/>
    <d v="2026-10-14T05:35:45"/>
    <d v="2026-10-14T00:00:00"/>
    <s v=""/>
    <s v="CAJA"/>
    <n v="22"/>
    <s v="PENDIENTE APROBACION  ENVIO TMS"/>
    <s v="000000001209671818"/>
    <x v="1"/>
    <x v="0"/>
    <m/>
    <n v="1"/>
    <m/>
  </r>
  <r>
    <n v="1209671826"/>
    <s v="123"/>
    <x v="3"/>
    <d v="2026-10-14T11:35:50"/>
    <d v="2026-10-14T05:35:47"/>
    <d v="2026-10-14T00:00:00"/>
    <s v=""/>
    <s v="PACK"/>
    <n v="6"/>
    <s v="PENDIENTE APROBACION  ENVIO TMS"/>
    <s v="000000001209671826"/>
    <x v="1"/>
    <x v="0"/>
    <m/>
    <n v="1"/>
    <m/>
  </r>
  <r>
    <n v="1209671827"/>
    <s v="123"/>
    <x v="3"/>
    <d v="2026-10-14T11:35:51"/>
    <d v="2026-10-14T05:35:49"/>
    <d v="2026-10-14T00:00:00"/>
    <s v=""/>
    <s v="CAJA"/>
    <n v="14"/>
    <s v="PENDIENTE APROBACION  ENVIO TMS"/>
    <s v="000000001209671827"/>
    <x v="1"/>
    <x v="0"/>
    <m/>
    <n v="1"/>
    <m/>
  </r>
  <r>
    <n v="1209671844"/>
    <s v="124"/>
    <x v="90"/>
    <d v="2026-10-14T11:35:53"/>
    <d v="2026-10-14T05:35:51"/>
    <d v="2026-10-14T00:00:00"/>
    <s v=""/>
    <s v="CAJA"/>
    <n v="23"/>
    <s v="PENDIENTE APROBACION  ENVIO TMS"/>
    <s v="000000001209671844"/>
    <x v="1"/>
    <x v="1"/>
    <m/>
    <n v="1"/>
    <m/>
  </r>
  <r>
    <n v="1209671828"/>
    <s v="123"/>
    <x v="3"/>
    <d v="2026-10-14T11:35:53"/>
    <d v="2026-10-14T05:35:50"/>
    <d v="2026-10-14T00:00:00"/>
    <s v=""/>
    <s v="CAJA"/>
    <n v="7"/>
    <s v="PENDIENTE APROBACION  ENVIO TMS"/>
    <s v="000000001209671828"/>
    <x v="1"/>
    <x v="0"/>
    <m/>
    <n v="1"/>
    <m/>
  </r>
  <r>
    <n v="1209671829"/>
    <s v="123"/>
    <x v="3"/>
    <d v="2026-10-14T11:35:54"/>
    <d v="2026-10-14T05:35:52"/>
    <d v="2026-10-14T00:00:00"/>
    <s v=""/>
    <s v="CAJA"/>
    <n v="19"/>
    <s v="PENDIENTE APROBACION  ENVIO TMS"/>
    <s v="000000001209671829"/>
    <x v="1"/>
    <x v="0"/>
    <m/>
    <n v="1"/>
    <m/>
  </r>
  <r>
    <n v="8209671903"/>
    <s v="126"/>
    <x v="29"/>
    <d v="2026-10-14T11:35:56"/>
    <d v="2026-10-14T05:35:53"/>
    <d v="2026-10-14T00:00:00"/>
    <s v=""/>
    <s v="UNIDAD"/>
    <n v="12"/>
    <s v="PENDIENTE APROBACION  ENVIO TMS"/>
    <s v="000000008209671903"/>
    <x v="2"/>
    <x v="0"/>
    <m/>
    <n v="1"/>
    <m/>
  </r>
  <r>
    <n v="1209671926"/>
    <s v="126"/>
    <x v="29"/>
    <d v="2026-10-14T11:35:57"/>
    <d v="2026-10-14T05:35:55"/>
    <d v="2026-10-14T00:00:00"/>
    <s v=""/>
    <s v="CAJA"/>
    <n v="2"/>
    <s v="PENDIENTE APROBACION  ENVIO TMS"/>
    <s v="000000001209671926"/>
    <x v="1"/>
    <x v="0"/>
    <m/>
    <n v="1"/>
    <m/>
  </r>
  <r>
    <n v="1209671884"/>
    <s v="125"/>
    <x v="74"/>
    <d v="2026-10-14T11:35:58"/>
    <d v="2026-10-14T05:35:56"/>
    <d v="2026-10-14T00:00:00"/>
    <s v=""/>
    <s v="UNIDAD"/>
    <n v="51"/>
    <s v="PENDIENTE APROBACION  ENVIO TMS"/>
    <s v="000000001209671884"/>
    <x v="1"/>
    <x v="1"/>
    <m/>
    <n v="1"/>
    <m/>
  </r>
  <r>
    <n v="1209671989"/>
    <s v="129"/>
    <x v="47"/>
    <d v="2026-10-14T11:39:13"/>
    <d v="2026-10-14T05:39:10"/>
    <d v="2026-10-14T00:00:00"/>
    <s v=""/>
    <s v="PACK"/>
    <n v="32"/>
    <s v="PENDIENTE APROBACION  ENVIO TMS"/>
    <s v="000000001209671989"/>
    <x v="1"/>
    <x v="2"/>
    <m/>
    <n v="1"/>
    <m/>
  </r>
  <r>
    <n v="8209671996"/>
    <s v="129"/>
    <x v="47"/>
    <d v="2026-10-14T11:39:14"/>
    <d v="2026-10-14T05:39:12"/>
    <d v="2026-10-14T00:00:00"/>
    <s v=""/>
    <s v="UNIDAD"/>
    <n v="22"/>
    <s v="PENDIENTE APROBACION  ENVIO TMS"/>
    <s v="000000008209671996"/>
    <x v="2"/>
    <x v="2"/>
    <m/>
    <n v="1"/>
    <m/>
  </r>
  <r>
    <n v="1209671992"/>
    <s v="129"/>
    <x v="47"/>
    <d v="2026-10-14T11:39:16"/>
    <d v="2026-10-14T05:39:13"/>
    <d v="2026-10-14T00:00:00"/>
    <s v=""/>
    <s v="CAJA"/>
    <n v="52"/>
    <s v="PENDIENTE APROBACION  ENVIO TMS"/>
    <s v="000000001209671992"/>
    <x v="1"/>
    <x v="2"/>
    <m/>
    <n v="1"/>
    <m/>
  </r>
  <r>
    <n v="8209672010"/>
    <s v="130"/>
    <x v="75"/>
    <d v="2026-10-14T11:39:17"/>
    <d v="2026-10-14T05:39:15"/>
    <d v="2026-10-14T00:00:00"/>
    <s v=""/>
    <s v="UNIDAD"/>
    <n v="12"/>
    <s v="PENDIENTE APROBACION  ENVIO TMS"/>
    <s v="000000008209672010"/>
    <x v="2"/>
    <x v="1"/>
    <m/>
    <n v="1"/>
    <m/>
  </r>
  <r>
    <n v="1209672029"/>
    <s v="130"/>
    <x v="75"/>
    <d v="2026-10-14T11:39:19"/>
    <d v="2026-10-14T05:39:16"/>
    <d v="2026-10-14T00:00:00"/>
    <s v=""/>
    <s v="PACK"/>
    <n v="38"/>
    <s v="PENDIENTE APROBACION  ENVIO TMS"/>
    <s v="000000001209672029"/>
    <x v="1"/>
    <x v="1"/>
    <m/>
    <n v="1"/>
    <m/>
  </r>
  <r>
    <n v="1209672011"/>
    <s v="130"/>
    <x v="75"/>
    <d v="2026-10-14T11:39:20"/>
    <d v="2026-10-14T05:39:18"/>
    <d v="2026-10-14T00:00:00"/>
    <s v=""/>
    <s v="CAJA"/>
    <n v="5"/>
    <s v="PENDIENTE APROBACION  ENVIO TMS"/>
    <s v="000000001209672011"/>
    <x v="1"/>
    <x v="1"/>
    <m/>
    <n v="1"/>
    <m/>
  </r>
  <r>
    <n v="1209671949"/>
    <s v="128"/>
    <x v="14"/>
    <d v="2026-10-14T11:39:22"/>
    <d v="2026-10-14T05:39:19"/>
    <d v="2026-10-14T00:00:00"/>
    <s v=""/>
    <s v="CAJA"/>
    <n v="30"/>
    <s v="PENDIENTE APROBACION  ENVIO TMS"/>
    <s v="000000001209671949"/>
    <x v="1"/>
    <x v="0"/>
    <m/>
    <n v="1"/>
    <m/>
  </r>
  <r>
    <n v="1209672014"/>
    <s v="130"/>
    <x v="75"/>
    <d v="2026-10-14T11:39:24"/>
    <d v="2026-10-14T05:39:21"/>
    <d v="2026-10-14T00:00:00"/>
    <s v=""/>
    <s v="CAJA"/>
    <n v="10"/>
    <s v="PENDIENTE APROBACION  ENVIO TMS"/>
    <s v="000000001209672014"/>
    <x v="1"/>
    <x v="1"/>
    <m/>
    <n v="1"/>
    <m/>
  </r>
  <r>
    <n v="8209671979"/>
    <s v="129"/>
    <x v="47"/>
    <d v="2026-10-14T11:39:25"/>
    <d v="2026-10-14T05:39:23"/>
    <d v="2026-10-14T00:00:00"/>
    <s v=""/>
    <s v="UNIDAD"/>
    <n v="4"/>
    <s v="PENDIENTE APROBACION  ENVIO TMS"/>
    <s v="000000008209671979"/>
    <x v="2"/>
    <x v="2"/>
    <m/>
    <n v="1"/>
    <m/>
  </r>
  <r>
    <n v="8209672006"/>
    <s v="130"/>
    <x v="75"/>
    <d v="2026-10-14T11:39:27"/>
    <d v="2026-10-14T05:39:25"/>
    <d v="2026-10-14T00:00:00"/>
    <s v=""/>
    <s v="UNIDAD"/>
    <n v="2"/>
    <s v="PENDIENTE APROBACION  ENVIO TMS"/>
    <s v="000000008209672006"/>
    <x v="2"/>
    <x v="1"/>
    <m/>
    <n v="1"/>
    <m/>
  </r>
  <r>
    <n v="1209671985"/>
    <s v="129"/>
    <x v="47"/>
    <d v="2026-10-14T11:39:28"/>
    <d v="2026-10-14T05:39:26"/>
    <d v="2026-10-14T00:00:00"/>
    <s v=""/>
    <s v="PACK"/>
    <n v="15"/>
    <s v="PENDIENTE APROBACION  ENVIO TMS"/>
    <s v="000000001209671985"/>
    <x v="1"/>
    <x v="2"/>
    <m/>
    <n v="1"/>
    <m/>
  </r>
  <r>
    <n v="8209671943"/>
    <s v="128"/>
    <x v="14"/>
    <d v="2026-10-14T11:39:30"/>
    <d v="2026-10-14T05:39:27"/>
    <d v="2026-10-14T00:00:00"/>
    <s v=""/>
    <s v="UNIDAD"/>
    <n v="9"/>
    <s v="PENDIENTE APROBACION  ENVIO TMS"/>
    <s v="000000008209671943"/>
    <x v="2"/>
    <x v="0"/>
    <m/>
    <n v="1"/>
    <m/>
  </r>
  <r>
    <n v="1209671945"/>
    <s v="128"/>
    <x v="14"/>
    <d v="2026-10-14T11:39:31"/>
    <d v="2026-10-14T05:39:28"/>
    <d v="2026-10-14T00:00:00"/>
    <s v=""/>
    <s v="CAJA"/>
    <n v="1"/>
    <s v="PENDIENTE APROBACION  ENVIO TMS"/>
    <s v="000000001209671945"/>
    <x v="1"/>
    <x v="0"/>
    <m/>
    <n v="1"/>
    <m/>
  </r>
  <r>
    <n v="1209672013"/>
    <s v="130"/>
    <x v="75"/>
    <d v="2026-10-14T11:39:32"/>
    <d v="2026-10-14T05:39:30"/>
    <d v="2026-10-14T00:00:00"/>
    <s v=""/>
    <s v="PACK"/>
    <n v="13"/>
    <s v="PENDIENTE APROBACION  ENVIO TMS"/>
    <s v="000000001209672013"/>
    <x v="1"/>
    <x v="1"/>
    <m/>
    <n v="1"/>
    <m/>
  </r>
  <r>
    <n v="1209672002"/>
    <s v="129"/>
    <x v="47"/>
    <d v="2026-10-14T11:39:33"/>
    <d v="2026-10-14T05:39:31"/>
    <d v="2026-10-14T00:00:00"/>
    <s v=""/>
    <s v="CAJA"/>
    <n v="7"/>
    <s v="PENDIENTE APROBACION  ENVIO TMS"/>
    <s v="000000001209672002"/>
    <x v="1"/>
    <x v="2"/>
    <m/>
    <n v="1"/>
    <m/>
  </r>
  <r>
    <n v="8209672007"/>
    <s v="130"/>
    <x v="75"/>
    <d v="2026-10-14T11:39:35"/>
    <d v="2026-10-14T05:39:32"/>
    <d v="2026-10-14T00:00:00"/>
    <s v=""/>
    <s v="UNIDAD"/>
    <n v="9"/>
    <s v="PENDIENTE APROBACION  ENVIO TMS"/>
    <s v="000000008209672007"/>
    <x v="2"/>
    <x v="1"/>
    <m/>
    <n v="1"/>
    <m/>
  </r>
  <r>
    <n v="8209672008"/>
    <s v="130"/>
    <x v="75"/>
    <d v="2026-10-14T11:39:36"/>
    <d v="2026-10-14T05:39:33"/>
    <d v="2026-10-14T00:00:00"/>
    <s v=""/>
    <s v="UNIDAD"/>
    <n v="9"/>
    <s v="PENDIENTE APROBACION  ENVIO TMS"/>
    <s v="000000008209672008"/>
    <x v="2"/>
    <x v="1"/>
    <m/>
    <n v="1"/>
    <m/>
  </r>
  <r>
    <n v="1209671951"/>
    <s v="128"/>
    <x v="14"/>
    <d v="2026-10-14T11:39:37"/>
    <d v="2026-10-14T05:39:35"/>
    <d v="2026-10-14T00:00:00"/>
    <s v=""/>
    <s v="CAJA"/>
    <n v="20"/>
    <s v="PENDIENTE APROBACION  ENVIO TMS"/>
    <s v="000000001209671951"/>
    <x v="1"/>
    <x v="0"/>
    <m/>
    <n v="1"/>
    <m/>
  </r>
  <r>
    <n v="8209671955"/>
    <s v="128"/>
    <x v="14"/>
    <d v="2026-10-14T11:39:39"/>
    <d v="2026-10-14T05:39:36"/>
    <d v="2026-10-14T00:00:00"/>
    <s v=""/>
    <s v="UNIDAD"/>
    <n v="11"/>
    <s v="PENDIENTE APROBACION  ENVIO TMS"/>
    <s v="000000008209671955"/>
    <x v="2"/>
    <x v="0"/>
    <m/>
    <n v="1"/>
    <m/>
  </r>
  <r>
    <n v="1209672015"/>
    <s v="130"/>
    <x v="75"/>
    <d v="2026-10-14T11:39:40"/>
    <d v="2026-10-14T05:39:37"/>
    <d v="2026-10-14T00:00:00"/>
    <s v=""/>
    <s v="PACK"/>
    <n v="16"/>
    <s v="PENDIENTE APROBACION  ENVIO TMS"/>
    <s v="000000001209672015"/>
    <x v="1"/>
    <x v="1"/>
    <m/>
    <n v="1"/>
    <m/>
  </r>
  <r>
    <n v="8209671982"/>
    <s v="129"/>
    <x v="47"/>
    <d v="2026-10-14T11:39:41"/>
    <d v="2026-10-14T05:39:39"/>
    <d v="2026-10-14T00:00:00"/>
    <s v=""/>
    <s v="UNIDAD"/>
    <n v="5"/>
    <s v="PENDIENTE APROBACION  ENVIO TMS"/>
    <s v="000000008209671982"/>
    <x v="2"/>
    <x v="2"/>
    <m/>
    <n v="1"/>
    <m/>
  </r>
  <r>
    <n v="1209672012"/>
    <s v="130"/>
    <x v="75"/>
    <d v="2026-10-14T11:39:42"/>
    <d v="2026-10-14T05:39:40"/>
    <d v="2026-10-14T00:00:00"/>
    <s v=""/>
    <s v="CAJA"/>
    <n v="12"/>
    <s v="PENDIENTE APROBACION  ENVIO TMS"/>
    <s v="000000001209672012"/>
    <x v="1"/>
    <x v="1"/>
    <m/>
    <n v="1"/>
    <m/>
  </r>
  <r>
    <n v="8209671942"/>
    <s v="128"/>
    <x v="14"/>
    <d v="2026-10-14T11:39:44"/>
    <d v="2026-10-14T05:39:41"/>
    <d v="2026-10-14T00:00:00"/>
    <s v=""/>
    <s v="UNIDAD"/>
    <n v="15"/>
    <s v="PENDIENTE APROBACION  ENVIO TMS"/>
    <s v="000000008209671942"/>
    <x v="2"/>
    <x v="0"/>
    <m/>
    <n v="1"/>
    <m/>
  </r>
  <r>
    <n v="1209671958"/>
    <s v="128"/>
    <x v="14"/>
    <d v="2026-10-14T11:39:45"/>
    <d v="2026-10-14T05:39:43"/>
    <d v="2026-10-14T00:00:00"/>
    <s v=""/>
    <s v="CAJA"/>
    <n v="16"/>
    <s v="PENDIENTE APROBACION  ENVIO TMS"/>
    <s v="000000001209671958"/>
    <x v="1"/>
    <x v="0"/>
    <m/>
    <n v="1"/>
    <m/>
  </r>
  <r>
    <n v="1209671961"/>
    <s v="128"/>
    <x v="14"/>
    <d v="2026-10-14T11:39:47"/>
    <d v="2026-10-14T05:39:44"/>
    <d v="2026-10-14T00:00:00"/>
    <s v=""/>
    <s v="CAJA"/>
    <n v="27"/>
    <s v="PENDIENTE APROBACION  ENVIO TMS"/>
    <s v="000000001209671961"/>
    <x v="1"/>
    <x v="0"/>
    <m/>
    <n v="1"/>
    <m/>
  </r>
  <r>
    <n v="1209671995"/>
    <s v="129"/>
    <x v="47"/>
    <d v="2026-10-14T11:39:48"/>
    <d v="2026-10-14T05:39:46"/>
    <d v="2026-10-14T00:00:00"/>
    <s v=""/>
    <s v="PACK"/>
    <n v="74"/>
    <s v="PENDIENTE APROBACION  ENVIO TMS"/>
    <s v="000000001209671995"/>
    <x v="1"/>
    <x v="2"/>
    <m/>
    <n v="1"/>
    <m/>
  </r>
  <r>
    <n v="1209671988"/>
    <s v="129"/>
    <x v="47"/>
    <d v="2026-10-14T11:39:50"/>
    <d v="2026-10-14T05:39:48"/>
    <d v="2026-10-14T00:00:00"/>
    <s v=""/>
    <s v="CAJA"/>
    <n v="21"/>
    <s v="PENDIENTE APROBACION  ENVIO TMS"/>
    <s v="000000001209671988"/>
    <x v="1"/>
    <x v="2"/>
    <m/>
    <n v="1"/>
    <m/>
  </r>
  <r>
    <n v="1209672016"/>
    <s v="130"/>
    <x v="75"/>
    <d v="2026-10-14T11:39:52"/>
    <d v="2026-10-14T05:39:49"/>
    <d v="2026-10-14T00:00:00"/>
    <s v=""/>
    <s v="CAJA"/>
    <n v="23"/>
    <s v="PENDIENTE APROBACION  ENVIO TMS"/>
    <s v="000000001209672016"/>
    <x v="1"/>
    <x v="1"/>
    <m/>
    <n v="1"/>
    <m/>
  </r>
  <r>
    <n v="1209672000"/>
    <s v="129"/>
    <x v="47"/>
    <d v="2026-10-14T11:39:54"/>
    <d v="2026-10-14T05:39:51"/>
    <d v="2026-10-14T00:00:00"/>
    <s v=""/>
    <s v="PACK"/>
    <n v="37"/>
    <s v="PENDIENTE APROBACION  ENVIO TMS"/>
    <s v="000000001209672000"/>
    <x v="1"/>
    <x v="2"/>
    <m/>
    <n v="1"/>
    <m/>
  </r>
  <r>
    <n v="8209672009"/>
    <s v="130"/>
    <x v="75"/>
    <d v="2026-10-14T11:39:55"/>
    <d v="2026-10-14T05:39:53"/>
    <d v="2026-10-14T00:00:00"/>
    <s v=""/>
    <s v="UNIDAD"/>
    <n v="7"/>
    <s v="PENDIENTE APROBACION  ENVIO TMS"/>
    <s v="000000008209672009"/>
    <x v="2"/>
    <x v="1"/>
    <m/>
    <n v="1"/>
    <m/>
  </r>
  <r>
    <n v="1209671950"/>
    <s v="128"/>
    <x v="14"/>
    <d v="2026-10-14T11:39:57"/>
    <d v="2026-10-14T05:39:55"/>
    <d v="2026-10-14T00:00:00"/>
    <s v=""/>
    <s v="CAJA"/>
    <n v="32"/>
    <s v="PENDIENTE APROBACION  ENVIO TMS"/>
    <s v="000000001209671950"/>
    <x v="1"/>
    <x v="0"/>
    <m/>
    <n v="1"/>
    <m/>
  </r>
  <r>
    <n v="8209671941"/>
    <s v="128"/>
    <x v="14"/>
    <d v="2026-10-14T11:39:59"/>
    <d v="2026-10-14T05:39:56"/>
    <d v="2026-10-14T00:00:00"/>
    <s v=""/>
    <s v="UNIDAD"/>
    <n v="1"/>
    <s v="PENDIENTE APROBACION  ENVIO TMS"/>
    <s v="000000008209671941"/>
    <x v="2"/>
    <x v="0"/>
    <m/>
    <n v="1"/>
    <m/>
  </r>
  <r>
    <n v="1209671959"/>
    <s v="128"/>
    <x v="14"/>
    <d v="2026-10-14T11:40:00"/>
    <d v="2026-10-14T05:39:57"/>
    <d v="2026-10-14T00:00:00"/>
    <s v=""/>
    <s v="CAJA"/>
    <n v="12"/>
    <s v="PENDIENTE APROBACION  ENVIO TMS"/>
    <s v="000000001209671959"/>
    <x v="1"/>
    <x v="0"/>
    <m/>
    <n v="1"/>
    <m/>
  </r>
  <r>
    <n v="1209671987"/>
    <s v="129"/>
    <x v="47"/>
    <d v="2026-10-14T11:40:01"/>
    <d v="2026-10-14T05:39:59"/>
    <d v="2026-10-14T00:00:00"/>
    <s v=""/>
    <s v="PACK"/>
    <n v="29"/>
    <s v="PENDIENTE APROBACION  ENVIO TMS"/>
    <s v="000000001209671987"/>
    <x v="1"/>
    <x v="2"/>
    <m/>
    <n v="1"/>
    <m/>
  </r>
  <r>
    <n v="1209672017"/>
    <s v="130"/>
    <x v="75"/>
    <d v="2026-10-14T11:40:02"/>
    <d v="2026-10-14T05:40:00"/>
    <d v="2026-10-14T00:00:00"/>
    <s v=""/>
    <s v="PACK"/>
    <n v="33"/>
    <s v="PENDIENTE APROBACION  ENVIO TMS"/>
    <s v="000000001209672017"/>
    <x v="1"/>
    <x v="1"/>
    <m/>
    <n v="1"/>
    <m/>
  </r>
  <r>
    <n v="1209672019"/>
    <s v="130"/>
    <x v="75"/>
    <d v="2026-10-14T11:40:04"/>
    <d v="2026-10-14T05:40:01"/>
    <d v="2026-10-14T00:00:00"/>
    <s v=""/>
    <s v="CAJA"/>
    <n v="2"/>
    <s v="PENDIENTE APROBACION  ENVIO TMS"/>
    <s v="000000001209672019"/>
    <x v="1"/>
    <x v="1"/>
    <m/>
    <n v="1"/>
    <m/>
  </r>
  <r>
    <n v="8209671983"/>
    <s v="129"/>
    <x v="47"/>
    <d v="2026-10-14T11:40:05"/>
    <d v="2026-10-14T05:40:03"/>
    <d v="2026-10-14T00:00:00"/>
    <s v=""/>
    <s v="UNIDAD"/>
    <n v="12"/>
    <s v="PENDIENTE APROBACION  ENVIO TMS"/>
    <s v="000000008209671983"/>
    <x v="2"/>
    <x v="2"/>
    <m/>
    <n v="1"/>
    <m/>
  </r>
  <r>
    <n v="8209671984"/>
    <s v="129"/>
    <x v="47"/>
    <d v="2026-10-14T11:40:07"/>
    <d v="2026-10-14T05:40:04"/>
    <d v="2026-10-14T00:00:00"/>
    <s v=""/>
    <s v="UNIDAD"/>
    <n v="2"/>
    <s v="PENDIENTE APROBACION  ENVIO TMS"/>
    <s v="000000008209671984"/>
    <x v="2"/>
    <x v="2"/>
    <m/>
    <n v="1"/>
    <m/>
  </r>
  <r>
    <n v="8209672005"/>
    <s v="130"/>
    <x v="75"/>
    <d v="2026-10-14T11:40:09"/>
    <d v="2026-10-14T05:40:06"/>
    <d v="2026-10-14T00:00:00"/>
    <s v=""/>
    <s v="UNIDAD"/>
    <n v="1"/>
    <s v="PENDIENTE APROBACION  ENVIO TMS"/>
    <s v="000000008209672005"/>
    <x v="2"/>
    <x v="1"/>
    <m/>
    <n v="1"/>
    <m/>
  </r>
  <r>
    <n v="1209671952"/>
    <s v="128"/>
    <x v="14"/>
    <d v="2026-10-14T11:40:10"/>
    <d v="2026-10-14T05:40:08"/>
    <d v="2026-10-14T00:00:00"/>
    <s v=""/>
    <s v="CAJA"/>
    <n v="49"/>
    <s v="PENDIENTE APROBACION  ENVIO TMS"/>
    <s v="000000001209671952"/>
    <x v="1"/>
    <x v="0"/>
    <m/>
    <n v="1"/>
    <m/>
  </r>
  <r>
    <n v="1209671944"/>
    <s v="128"/>
    <x v="14"/>
    <d v="2026-10-14T11:40:12"/>
    <d v="2026-10-14T05:40:09"/>
    <d v="2026-10-14T00:00:00"/>
    <s v=""/>
    <s v="CAJA"/>
    <n v="3"/>
    <s v="PENDIENTE APROBACION  ENVIO TMS"/>
    <s v="000000001209671944"/>
    <x v="1"/>
    <x v="0"/>
    <m/>
    <n v="1"/>
    <m/>
  </r>
  <r>
    <n v="8209671956"/>
    <s v="128"/>
    <x v="14"/>
    <d v="2026-10-14T11:40:13"/>
    <d v="2026-10-14T05:40:11"/>
    <d v="2026-10-14T00:00:00"/>
    <s v=""/>
    <s v="UNIDAD"/>
    <n v="17"/>
    <s v="PENDIENTE APROBACION  ENVIO TMS"/>
    <s v="000000008209671956"/>
    <x v="2"/>
    <x v="0"/>
    <m/>
    <n v="1"/>
    <m/>
  </r>
  <r>
    <n v="1209671965"/>
    <s v="128"/>
    <x v="14"/>
    <d v="2026-10-14T11:40:15"/>
    <d v="2026-10-14T05:40:12"/>
    <d v="2026-10-14T00:00:00"/>
    <s v=""/>
    <s v="CAJA"/>
    <n v="3"/>
    <s v="PENDIENTE APROBACION  ENVIO TMS"/>
    <s v="000000001209671965"/>
    <x v="1"/>
    <x v="0"/>
    <m/>
    <n v="1"/>
    <m/>
  </r>
  <r>
    <n v="1209671947"/>
    <s v="128"/>
    <x v="14"/>
    <d v="2026-10-14T11:40:16"/>
    <d v="2026-10-14T05:40:14"/>
    <d v="2026-10-14T00:00:00"/>
    <s v=""/>
    <s v="CAJA"/>
    <n v="20"/>
    <s v="PENDIENTE APROBACION  ENVIO TMS"/>
    <s v="000000001209671947"/>
    <x v="1"/>
    <x v="0"/>
    <m/>
    <n v="1"/>
    <m/>
  </r>
  <r>
    <n v="1209671986"/>
    <s v="129"/>
    <x v="47"/>
    <d v="2026-10-14T11:40:16"/>
    <d v="2026-10-14T05:40:13"/>
    <d v="2026-10-14T00:00:00"/>
    <s v=""/>
    <s v="PACK"/>
    <n v="19"/>
    <s v="PENDIENTE APROBACION  ENVIO TMS"/>
    <s v="000000001209671986"/>
    <x v="1"/>
    <x v="2"/>
    <m/>
    <n v="1"/>
    <m/>
  </r>
  <r>
    <n v="8209671954"/>
    <s v="128"/>
    <x v="14"/>
    <d v="2026-10-14T11:40:18"/>
    <d v="2026-10-14T05:40:16"/>
    <d v="2026-10-14T00:00:00"/>
    <s v=""/>
    <s v="UNIDAD"/>
    <n v="4"/>
    <s v="PENDIENTE APROBACION  ENVIO TMS"/>
    <s v="000000008209671954"/>
    <x v="2"/>
    <x v="0"/>
    <m/>
    <n v="1"/>
    <m/>
  </r>
  <r>
    <n v="1209671990"/>
    <s v="129"/>
    <x v="47"/>
    <d v="2026-10-14T11:40:19"/>
    <d v="2026-10-14T05:40:17"/>
    <d v="2026-10-14T00:00:00"/>
    <s v=""/>
    <s v="CAJA"/>
    <n v="59"/>
    <s v="PENDIENTE APROBACION  ENVIO TMS"/>
    <s v="000000001209671990"/>
    <x v="1"/>
    <x v="2"/>
    <m/>
    <n v="1"/>
    <m/>
  </r>
  <r>
    <n v="1209672018"/>
    <s v="130"/>
    <x v="75"/>
    <d v="2026-10-14T11:40:21"/>
    <d v="2026-10-14T05:40:18"/>
    <d v="2026-10-14T00:00:00"/>
    <s v=""/>
    <s v="PACK"/>
    <n v="24"/>
    <s v="PENDIENTE APROBACION  ENVIO TMS"/>
    <s v="000000001209672018"/>
    <x v="1"/>
    <x v="1"/>
    <m/>
    <n v="1"/>
    <m/>
  </r>
  <r>
    <n v="8209671980"/>
    <s v="129"/>
    <x v="47"/>
    <d v="2026-10-14T11:40:23"/>
    <d v="2026-10-14T05:40:20"/>
    <d v="2026-10-14T00:00:00"/>
    <s v=""/>
    <s v="UNIDAD"/>
    <n v="25"/>
    <s v="PENDIENTE APROBACION  ENVIO TMS"/>
    <s v="000000008209671980"/>
    <x v="2"/>
    <x v="2"/>
    <m/>
    <n v="1"/>
    <m/>
  </r>
  <r>
    <n v="8209671981"/>
    <s v="129"/>
    <x v="47"/>
    <d v="2026-10-14T11:40:24"/>
    <d v="2026-10-14T05:40:22"/>
    <d v="2026-10-14T00:00:00"/>
    <s v=""/>
    <s v="UNIDAD"/>
    <n v="8"/>
    <s v="PENDIENTE APROBACION  ENVIO TMS"/>
    <s v="000000008209671981"/>
    <x v="2"/>
    <x v="2"/>
    <m/>
    <n v="1"/>
    <m/>
  </r>
  <r>
    <n v="1209672104"/>
    <s v="140"/>
    <x v="35"/>
    <d v="2026-10-14T11:44:12"/>
    <d v="2026-10-14T05:44:09"/>
    <d v="2026-10-14T00:00:00"/>
    <s v=""/>
    <s v="CAJA"/>
    <n v="30"/>
    <s v="PENDIENTE APROBACION  ENVIO TMS"/>
    <s v="000000001209672104"/>
    <x v="1"/>
    <x v="2"/>
    <m/>
    <n v="1"/>
    <m/>
  </r>
  <r>
    <n v="1209672134"/>
    <s v="141"/>
    <x v="76"/>
    <d v="2026-10-14T11:44:13"/>
    <d v="2026-10-14T05:44:10"/>
    <d v="2026-10-14T00:00:00"/>
    <s v=""/>
    <s v="CAJA"/>
    <n v="22"/>
    <s v="PENDIENTE APROBACION  ENVIO TMS"/>
    <s v="000000001209672134"/>
    <x v="1"/>
    <x v="2"/>
    <m/>
    <n v="1"/>
    <m/>
  </r>
  <r>
    <n v="1209672072"/>
    <s v="133"/>
    <x v="119"/>
    <d v="2026-10-14T11:44:15"/>
    <d v="2026-10-14T05:44:12"/>
    <d v="2026-10-14T00:00:00"/>
    <s v=""/>
    <s v="PACK"/>
    <n v="24"/>
    <s v="PENDIENTE APROBACION  ENVIO TMS"/>
    <s v="000000001209672072"/>
    <x v="1"/>
    <x v="0"/>
    <m/>
    <n v="1"/>
    <m/>
  </r>
  <r>
    <n v="1209672073"/>
    <s v="133"/>
    <x v="119"/>
    <d v="2026-10-14T11:44:17"/>
    <d v="2026-10-14T05:44:14"/>
    <d v="2026-10-14T00:00:00"/>
    <s v=""/>
    <s v="CAJA"/>
    <n v="2"/>
    <s v="PENDIENTE APROBACION  ENVIO TMS"/>
    <s v="000000001209672073"/>
    <x v="1"/>
    <x v="0"/>
    <m/>
    <n v="1"/>
    <m/>
  </r>
  <r>
    <n v="8209672190"/>
    <s v="143"/>
    <x v="78"/>
    <d v="2026-10-14T11:44:18"/>
    <d v="2026-10-14T05:44:15"/>
    <d v="2026-10-14T00:00:00"/>
    <s v=""/>
    <s v="UNIDAD"/>
    <n v="1"/>
    <s v="PENDIENTE APROBACION  ENVIO TMS"/>
    <s v="000000008209672190"/>
    <x v="2"/>
    <x v="2"/>
    <m/>
    <n v="1"/>
    <m/>
  </r>
  <r>
    <n v="8209672192"/>
    <s v="143"/>
    <x v="78"/>
    <d v="2026-10-14T11:44:20"/>
    <d v="2026-10-14T05:44:17"/>
    <d v="2026-10-14T00:00:00"/>
    <s v=""/>
    <s v="UNIDAD"/>
    <n v="7"/>
    <s v="PENDIENTE APROBACION  ENVIO TMS"/>
    <s v="000000008209672192"/>
    <x v="2"/>
    <x v="2"/>
    <m/>
    <n v="1"/>
    <m/>
  </r>
  <r>
    <n v="1209672194"/>
    <s v="143"/>
    <x v="78"/>
    <d v="2026-10-14T11:44:21"/>
    <d v="2026-10-14T05:44:19"/>
    <d v="2026-10-14T00:00:00"/>
    <s v=""/>
    <s v="CAJA"/>
    <n v="6"/>
    <s v="PENDIENTE APROBACION  ENVIO TMS"/>
    <s v="000000001209672194"/>
    <x v="1"/>
    <x v="2"/>
    <m/>
    <n v="1"/>
    <m/>
  </r>
  <r>
    <n v="1209672115"/>
    <s v="140"/>
    <x v="35"/>
    <d v="2026-10-14T11:44:23"/>
    <d v="2026-10-14T05:44:20"/>
    <d v="2026-10-14T00:00:00"/>
    <s v=""/>
    <s v="CAJA"/>
    <n v="20"/>
    <s v="PENDIENTE APROBACION  ENVIO TMS"/>
    <s v="000000001209672115"/>
    <x v="1"/>
    <x v="2"/>
    <m/>
    <n v="1"/>
    <m/>
  </r>
  <r>
    <n v="1209672116"/>
    <s v="140"/>
    <x v="35"/>
    <d v="2026-10-14T11:44:23"/>
    <d v="2026-10-14T05:44:21"/>
    <d v="2026-10-14T00:00:00"/>
    <s v=""/>
    <s v="CAJA"/>
    <n v="1"/>
    <s v="PENDIENTE APROBACION  ENVIO TMS"/>
    <s v="000000001209672116"/>
    <x v="1"/>
    <x v="2"/>
    <m/>
    <n v="1"/>
    <m/>
  </r>
  <r>
    <n v="1209672143"/>
    <s v="141"/>
    <x v="76"/>
    <d v="2026-10-14T11:44:25"/>
    <d v="2026-10-14T05:44:22"/>
    <d v="2026-10-14T00:00:00"/>
    <s v=""/>
    <s v="CAJA"/>
    <n v="16"/>
    <s v="PENDIENTE APROBACION  ENVIO TMS"/>
    <s v="000000001209672143"/>
    <x v="1"/>
    <x v="2"/>
    <m/>
    <n v="1"/>
    <m/>
  </r>
  <r>
    <n v="8209672061"/>
    <s v="133"/>
    <x v="119"/>
    <d v="2026-10-14T11:44:26"/>
    <d v="2026-10-14T05:44:24"/>
    <d v="2026-10-14T00:00:00"/>
    <s v=""/>
    <s v="UNIDAD"/>
    <n v="12"/>
    <s v="PENDIENTE APROBACION  ENVIO TMS"/>
    <s v="000000008209672061"/>
    <x v="2"/>
    <x v="0"/>
    <m/>
    <n v="1"/>
    <m/>
  </r>
  <r>
    <n v="1209672136"/>
    <s v="141"/>
    <x v="76"/>
    <d v="2026-10-14T11:44:28"/>
    <d v="2026-10-14T05:44:25"/>
    <d v="2026-10-14T00:00:00"/>
    <s v=""/>
    <s v="CAJA"/>
    <n v="41"/>
    <s v="PENDIENTE APROBACION  ENVIO TMS"/>
    <s v="000000001209672136"/>
    <x v="1"/>
    <x v="2"/>
    <m/>
    <n v="1"/>
    <m/>
  </r>
  <r>
    <n v="8209672109"/>
    <s v="140"/>
    <x v="35"/>
    <d v="2026-10-14T11:44:28"/>
    <d v="2026-10-14T05:44:26"/>
    <d v="2026-10-14T00:00:00"/>
    <s v=""/>
    <s v="UNIDAD"/>
    <n v="3"/>
    <s v="PENDIENTE APROBACION  ENVIO TMS"/>
    <s v="000000008209672109"/>
    <x v="2"/>
    <x v="2"/>
    <m/>
    <n v="1"/>
    <m/>
  </r>
  <r>
    <n v="8209672180"/>
    <s v="142"/>
    <x v="118"/>
    <d v="2026-10-14T11:44:30"/>
    <d v="2026-10-14T05:44:27"/>
    <d v="2026-10-14T00:00:00"/>
    <s v=""/>
    <s v="UNIDAD"/>
    <n v="13"/>
    <s v="PENDIENTE APROBACION  ENVIO TMS"/>
    <s v="000000008209672180"/>
    <x v="2"/>
    <x v="3"/>
    <m/>
    <n v="1"/>
    <m/>
  </r>
  <r>
    <n v="1209672181"/>
    <s v="142"/>
    <x v="118"/>
    <d v="2026-10-14T11:44:31"/>
    <d v="2026-10-14T05:44:29"/>
    <d v="2026-10-14T00:00:00"/>
    <s v=""/>
    <s v="CAJA"/>
    <n v="9"/>
    <s v="PENDIENTE APROBACION  ENVIO TMS"/>
    <s v="000000001209672181"/>
    <x v="1"/>
    <x v="3"/>
    <m/>
    <n v="1"/>
    <m/>
  </r>
  <r>
    <n v="1209672174"/>
    <s v="142"/>
    <x v="118"/>
    <d v="2026-10-14T11:44:32"/>
    <d v="2026-10-14T05:44:30"/>
    <d v="2026-10-14T00:00:00"/>
    <s v=""/>
    <s v="CAJA"/>
    <n v="27"/>
    <s v="PENDIENTE APROBACION  ENVIO TMS"/>
    <s v="000000001209672174"/>
    <x v="1"/>
    <x v="3"/>
    <m/>
    <n v="1"/>
    <m/>
  </r>
  <r>
    <n v="8209672110"/>
    <s v="140"/>
    <x v="35"/>
    <d v="2026-10-14T11:44:34"/>
    <d v="2026-10-14T05:44:31"/>
    <d v="2026-10-14T00:00:00"/>
    <s v=""/>
    <s v="UNIDAD"/>
    <n v="13"/>
    <s v="PENDIENTE APROBACION  ENVIO TMS"/>
    <s v="000000008209672110"/>
    <x v="2"/>
    <x v="2"/>
    <m/>
    <n v="1"/>
    <m/>
  </r>
  <r>
    <n v="8209672164"/>
    <s v="142"/>
    <x v="118"/>
    <d v="2026-10-14T11:44:35"/>
    <d v="2026-10-14T05:44:32"/>
    <d v="2026-10-14T00:00:00"/>
    <s v=""/>
    <s v="UNIDAD"/>
    <n v="4"/>
    <s v="PENDIENTE APROBACION  ENVIO TMS"/>
    <s v="000000008209672164"/>
    <x v="2"/>
    <x v="3"/>
    <m/>
    <n v="1"/>
    <m/>
  </r>
  <r>
    <n v="8209672097"/>
    <s v="140"/>
    <x v="35"/>
    <d v="2026-10-14T11:44:36"/>
    <d v="2026-10-14T05:44:33"/>
    <d v="2026-10-14T00:00:00"/>
    <s v=""/>
    <s v="UNIDAD"/>
    <n v="1"/>
    <s v="PENDIENTE APROBACION  ENVIO TMS"/>
    <s v="000000008209672097"/>
    <x v="2"/>
    <x v="2"/>
    <m/>
    <n v="1"/>
    <m/>
  </r>
  <r>
    <n v="1209672131"/>
    <s v="141"/>
    <x v="76"/>
    <d v="2026-10-14T11:44:37"/>
    <d v="2026-10-14T05:44:35"/>
    <d v="2026-10-14T00:00:00"/>
    <s v=""/>
    <s v="CAJA"/>
    <n v="15"/>
    <s v="PENDIENTE APROBACION  ENVIO TMS"/>
    <s v="000000001209672131"/>
    <x v="1"/>
    <x v="2"/>
    <m/>
    <n v="1"/>
    <m/>
  </r>
  <r>
    <n v="1209672063"/>
    <s v="133"/>
    <x v="119"/>
    <d v="2026-10-14T11:44:39"/>
    <d v="2026-10-14T05:44:36"/>
    <d v="2026-10-14T00:00:00"/>
    <s v=""/>
    <s v="CAJA"/>
    <n v="5"/>
    <s v="PENDIENTE APROBACION  ENVIO TMS"/>
    <s v="000000001209672063"/>
    <x v="1"/>
    <x v="0"/>
    <m/>
    <n v="1"/>
    <m/>
  </r>
  <r>
    <n v="1209672178"/>
    <s v="142"/>
    <x v="118"/>
    <d v="2026-10-14T11:44:40"/>
    <d v="2026-10-14T05:44:37"/>
    <d v="2026-10-14T00:00:00"/>
    <s v=""/>
    <s v="PACK"/>
    <n v="60"/>
    <s v="PENDIENTE APROBACION  ENVIO TMS"/>
    <s v="000000001209672178"/>
    <x v="1"/>
    <x v="3"/>
    <m/>
    <n v="1"/>
    <m/>
  </r>
  <r>
    <n v="1209672199"/>
    <s v="143"/>
    <x v="78"/>
    <d v="2026-10-14T11:44:41"/>
    <d v="2026-10-14T05:44:38"/>
    <d v="2026-10-14T00:00:00"/>
    <s v=""/>
    <s v="CAJA"/>
    <n v="17"/>
    <s v="PENDIENTE APROBACION  ENVIO TMS"/>
    <s v="000000001209672199"/>
    <x v="1"/>
    <x v="2"/>
    <m/>
    <n v="1"/>
    <m/>
  </r>
  <r>
    <n v="1209672207"/>
    <s v="143"/>
    <x v="78"/>
    <d v="2026-10-14T11:44:42"/>
    <d v="2026-10-14T05:44:40"/>
    <d v="2026-10-14T00:00:00"/>
    <s v=""/>
    <s v="PACK"/>
    <n v="54"/>
    <s v="PENDIENTE APROBACION  ENVIO TMS"/>
    <s v="000000001209672207"/>
    <x v="1"/>
    <x v="2"/>
    <m/>
    <n v="1"/>
    <m/>
  </r>
  <r>
    <n v="1209672176"/>
    <s v="142"/>
    <x v="118"/>
    <d v="2026-10-14T11:44:44"/>
    <d v="2026-10-14T05:44:41"/>
    <d v="2026-10-14T00:00:00"/>
    <s v=""/>
    <s v="CAJA"/>
    <n v="2"/>
    <s v="PENDIENTE APROBACION  ENVIO TMS"/>
    <s v="000000001209672176"/>
    <x v="1"/>
    <x v="3"/>
    <m/>
    <n v="1"/>
    <m/>
  </r>
  <r>
    <n v="1209672171"/>
    <s v="142"/>
    <x v="118"/>
    <d v="2026-10-14T11:44:45"/>
    <d v="2026-10-14T05:44:42"/>
    <d v="2026-10-14T00:00:00"/>
    <s v=""/>
    <s v="CAJA"/>
    <n v="12"/>
    <s v="PENDIENTE APROBACION  ENVIO TMS"/>
    <s v="000000001209672171"/>
    <x v="1"/>
    <x v="3"/>
    <m/>
    <n v="1"/>
    <m/>
  </r>
  <r>
    <n v="1209672050"/>
    <s v="133"/>
    <x v="119"/>
    <d v="2026-10-14T11:44:46"/>
    <d v="2026-10-14T05:44:43"/>
    <d v="2026-10-14T00:00:00"/>
    <s v=""/>
    <s v="PACK"/>
    <n v="4"/>
    <s v="PENDIENTE APROBACION  ENVIO TMS"/>
    <s v="000000001209672050"/>
    <x v="1"/>
    <x v="0"/>
    <m/>
    <n v="1"/>
    <m/>
  </r>
  <r>
    <n v="1209672170"/>
    <s v="142"/>
    <x v="118"/>
    <d v="2026-10-14T11:44:47"/>
    <d v="2026-10-14T05:44:44"/>
    <d v="2026-10-14T00:00:00"/>
    <s v=""/>
    <s v="CAJA"/>
    <n v="15"/>
    <s v="PENDIENTE APROBACION  ENVIO TMS"/>
    <s v="000000001209672170"/>
    <x v="1"/>
    <x v="3"/>
    <m/>
    <n v="1"/>
    <m/>
  </r>
  <r>
    <n v="1209672051"/>
    <s v="133"/>
    <x v="119"/>
    <d v="2026-10-14T11:44:48"/>
    <d v="2026-10-14T05:44:46"/>
    <d v="2026-10-14T00:00:00"/>
    <s v=""/>
    <s v="CAJA"/>
    <n v="4"/>
    <s v="PENDIENTE APROBACION  ENVIO TMS"/>
    <s v="000000001209672051"/>
    <x v="1"/>
    <x v="0"/>
    <m/>
    <n v="1"/>
    <m/>
  </r>
  <r>
    <n v="8209672166"/>
    <s v="142"/>
    <x v="118"/>
    <d v="2026-10-14T11:44:50"/>
    <d v="2026-10-14T05:44:47"/>
    <d v="2026-10-14T00:00:00"/>
    <s v=""/>
    <s v="UNIDAD"/>
    <n v="18"/>
    <s v="PENDIENTE APROBACION  ENVIO TMS"/>
    <s v="000000008209672166"/>
    <x v="2"/>
    <x v="3"/>
    <m/>
    <n v="1"/>
    <m/>
  </r>
  <r>
    <n v="8209672167"/>
    <s v="142"/>
    <x v="118"/>
    <d v="2026-10-14T11:44:50"/>
    <d v="2026-10-14T05:44:48"/>
    <d v="2026-10-14T00:00:00"/>
    <s v=""/>
    <s v="UNIDAD"/>
    <n v="51"/>
    <s v="PENDIENTE APROBACION  ENVIO TMS"/>
    <s v="000000008209672167"/>
    <x v="2"/>
    <x v="3"/>
    <m/>
    <n v="1"/>
    <m/>
  </r>
  <r>
    <n v="8209672129"/>
    <s v="141"/>
    <x v="76"/>
    <d v="2026-10-14T11:44:52"/>
    <d v="2026-10-14T05:44:49"/>
    <d v="2026-10-14T00:00:00"/>
    <s v=""/>
    <s v="UNIDAD"/>
    <n v="14"/>
    <s v="PENDIENTE APROBACION  ENVIO TMS"/>
    <s v="000000008209672129"/>
    <x v="2"/>
    <x v="2"/>
    <m/>
    <n v="1"/>
    <m/>
  </r>
  <r>
    <n v="8209672062"/>
    <s v="133"/>
    <x v="119"/>
    <d v="2026-10-14T11:44:53"/>
    <d v="2026-10-14T05:44:51"/>
    <d v="2026-10-14T00:00:00"/>
    <s v=""/>
    <s v="UNIDAD"/>
    <n v="13"/>
    <s v="PENDIENTE APROBACION  ENVIO TMS"/>
    <s v="000000008209672062"/>
    <x v="2"/>
    <x v="0"/>
    <m/>
    <n v="1"/>
    <m/>
  </r>
  <r>
    <n v="1209672103"/>
    <s v="140"/>
    <x v="35"/>
    <d v="2026-10-14T11:44:54"/>
    <d v="2026-10-14T05:44:52"/>
    <d v="2026-10-14T00:00:00"/>
    <s v=""/>
    <s v="CAJA"/>
    <n v="8"/>
    <s v="PENDIENTE APROBACION  ENVIO TMS"/>
    <s v="000000001209672103"/>
    <x v="1"/>
    <x v="2"/>
    <m/>
    <n v="1"/>
    <m/>
  </r>
  <r>
    <n v="1209672173"/>
    <s v="142"/>
    <x v="118"/>
    <d v="2026-10-14T11:44:56"/>
    <d v="2026-10-14T05:44:53"/>
    <d v="2026-10-14T00:00:00"/>
    <s v=""/>
    <s v="CAJA"/>
    <n v="25"/>
    <s v="PENDIENTE APROBACION  ENVIO TMS"/>
    <s v="000000001209672173"/>
    <x v="1"/>
    <x v="3"/>
    <m/>
    <n v="1"/>
    <m/>
  </r>
  <r>
    <n v="1209672112"/>
    <s v="140"/>
    <x v="35"/>
    <d v="2026-10-14T11:44:57"/>
    <d v="2026-10-14T05:44:54"/>
    <d v="2026-10-14T00:00:00"/>
    <s v=""/>
    <s v="CAJA"/>
    <n v="6"/>
    <s v="PENDIENTE APROBACION  ENVIO TMS"/>
    <s v="000000001209672112"/>
    <x v="1"/>
    <x v="2"/>
    <m/>
    <n v="1"/>
    <m/>
  </r>
  <r>
    <n v="8209672096"/>
    <s v="140"/>
    <x v="35"/>
    <d v="2026-10-14T11:44:57"/>
    <d v="2026-10-14T05:44:55"/>
    <d v="2026-10-14T00:00:00"/>
    <s v=""/>
    <s v="UNIDAD"/>
    <n v="2"/>
    <s v="PENDIENTE APROBACION  ENVIO TMS"/>
    <s v="000000008209672096"/>
    <x v="2"/>
    <x v="2"/>
    <m/>
    <n v="1"/>
    <m/>
  </r>
  <r>
    <n v="1209672168"/>
    <s v="142"/>
    <x v="118"/>
    <d v="2026-10-14T11:44:59"/>
    <d v="2026-10-14T05:44:56"/>
    <d v="2026-10-14T00:00:00"/>
    <s v=""/>
    <s v="CAJA"/>
    <n v="2"/>
    <s v="PENDIENTE APROBACION  ENVIO TMS"/>
    <s v="000000001209672168"/>
    <x v="1"/>
    <x v="3"/>
    <m/>
    <n v="1"/>
    <m/>
  </r>
  <r>
    <n v="1209672057"/>
    <s v="133"/>
    <x v="119"/>
    <d v="2026-10-14T11:45:00"/>
    <d v="2026-10-14T05:44:58"/>
    <d v="2026-10-14T00:00:00"/>
    <s v=""/>
    <s v="PACK"/>
    <n v="33"/>
    <s v="PENDIENTE APROBACION  ENVIO TMS"/>
    <s v="000000001209672057"/>
    <x v="1"/>
    <x v="0"/>
    <m/>
    <n v="1"/>
    <m/>
  </r>
  <r>
    <n v="8209672059"/>
    <s v="133"/>
    <x v="119"/>
    <d v="2026-10-14T11:45:02"/>
    <d v="2026-10-14T05:44:59"/>
    <d v="2026-10-14T00:00:00"/>
    <s v=""/>
    <s v="UNIDAD"/>
    <n v="4"/>
    <s v="PENDIENTE APROBACION  ENVIO TMS"/>
    <s v="000000008209672059"/>
    <x v="2"/>
    <x v="0"/>
    <m/>
    <n v="1"/>
    <m/>
  </r>
  <r>
    <n v="1209672196"/>
    <s v="143"/>
    <x v="78"/>
    <d v="2026-10-14T11:45:03"/>
    <d v="2026-10-14T05:45:00"/>
    <d v="2026-10-14T00:00:00"/>
    <s v=""/>
    <s v="CAJA"/>
    <n v="11"/>
    <s v="PENDIENTE APROBACION  ENVIO TMS"/>
    <s v="000000001209672196"/>
    <x v="1"/>
    <x v="2"/>
    <m/>
    <n v="1"/>
    <m/>
  </r>
  <r>
    <n v="1209672197"/>
    <s v="143"/>
    <x v="78"/>
    <d v="2026-10-14T11:45:04"/>
    <d v="2026-10-14T05:45:02"/>
    <d v="2026-10-14T00:00:00"/>
    <s v=""/>
    <s v="CAJA"/>
    <n v="11"/>
    <s v="PENDIENTE APROBACION  ENVIO TMS"/>
    <s v="000000001209672197"/>
    <x v="1"/>
    <x v="2"/>
    <m/>
    <n v="1"/>
    <m/>
  </r>
  <r>
    <n v="1209672200"/>
    <s v="143"/>
    <x v="78"/>
    <d v="2026-10-14T11:45:06"/>
    <d v="2026-10-14T05:45:03"/>
    <d v="2026-10-14T00:00:00"/>
    <s v=""/>
    <s v="CAJA"/>
    <n v="29"/>
    <s v="PENDIENTE APROBACION  ENVIO TMS"/>
    <s v="000000001209672200"/>
    <x v="1"/>
    <x v="2"/>
    <m/>
    <n v="1"/>
    <m/>
  </r>
  <r>
    <n v="1209672201"/>
    <s v="143"/>
    <x v="78"/>
    <d v="2026-10-14T11:45:08"/>
    <d v="2026-10-14T05:45:05"/>
    <d v="2026-10-14T00:00:00"/>
    <s v=""/>
    <s v="PACK"/>
    <n v="32"/>
    <s v="PENDIENTE APROBACION  ENVIO TMS"/>
    <s v="000000001209672201"/>
    <x v="1"/>
    <x v="2"/>
    <m/>
    <n v="1"/>
    <m/>
  </r>
  <r>
    <n v="8209672188"/>
    <s v="143"/>
    <x v="78"/>
    <d v="2026-10-14T11:45:09"/>
    <d v="2026-10-14T05:45:07"/>
    <d v="2026-10-14T00:00:00"/>
    <s v=""/>
    <s v="UNIDAD"/>
    <n v="1"/>
    <s v="PENDIENTE APROBACION  ENVIO TMS"/>
    <s v="000000008209672188"/>
    <x v="2"/>
    <x v="2"/>
    <m/>
    <n v="1"/>
    <m/>
  </r>
  <r>
    <n v="8209672189"/>
    <s v="143"/>
    <x v="78"/>
    <d v="2026-10-14T11:45:11"/>
    <d v="2026-10-14T05:45:08"/>
    <d v="2026-10-14T00:00:00"/>
    <s v=""/>
    <s v="UNIDAD"/>
    <n v="3"/>
    <s v="PENDIENTE APROBACION  ENVIO TMS"/>
    <s v="000000008209672189"/>
    <x v="2"/>
    <x v="2"/>
    <m/>
    <n v="1"/>
    <m/>
  </r>
  <r>
    <n v="8209672047"/>
    <s v="133"/>
    <x v="119"/>
    <d v="2026-10-14T11:45:13"/>
    <d v="2026-10-14T05:45:10"/>
    <d v="2026-10-14T00:00:00"/>
    <s v=""/>
    <s v="UNIDAD"/>
    <n v="3"/>
    <s v="PENDIENTE APROBACION  ENVIO TMS"/>
    <s v="000000008209672047"/>
    <x v="2"/>
    <x v="0"/>
    <m/>
    <n v="1"/>
    <m/>
  </r>
  <r>
    <n v="1209672113"/>
    <s v="140"/>
    <x v="35"/>
    <d v="2026-10-14T11:45:15"/>
    <d v="2026-10-14T05:45:12"/>
    <d v="2026-10-14T00:00:00"/>
    <s v=""/>
    <s v="CAJA"/>
    <n v="11"/>
    <s v="PENDIENTE APROBACION  ENVIO TMS"/>
    <s v="000000001209672113"/>
    <x v="1"/>
    <x v="2"/>
    <m/>
    <n v="1"/>
    <m/>
  </r>
  <r>
    <n v="8209672165"/>
    <s v="142"/>
    <x v="118"/>
    <d v="2026-10-14T11:45:16"/>
    <d v="2026-10-14T05:45:14"/>
    <d v="2026-10-14T00:00:00"/>
    <s v=""/>
    <s v="UNIDAD"/>
    <n v="2"/>
    <s v="PENDIENTE APROBACION  ENVIO TMS"/>
    <s v="000000008209672165"/>
    <x v="2"/>
    <x v="3"/>
    <m/>
    <n v="1"/>
    <m/>
  </r>
  <r>
    <n v="1209672146"/>
    <s v="141"/>
    <x v="76"/>
    <d v="2026-10-14T11:45:18"/>
    <d v="2026-10-14T05:45:15"/>
    <d v="2026-10-14T00:00:00"/>
    <s v=""/>
    <s v="PACK"/>
    <n v="25"/>
    <s v="PENDIENTE APROBACION  ENVIO TMS"/>
    <s v="000000001209672146"/>
    <x v="1"/>
    <x v="2"/>
    <m/>
    <n v="1"/>
    <m/>
  </r>
  <r>
    <n v="1209672102"/>
    <s v="140"/>
    <x v="35"/>
    <d v="2026-10-14T11:45:19"/>
    <d v="2026-10-14T05:45:16"/>
    <d v="2026-10-14T00:00:00"/>
    <s v=""/>
    <s v="CAJA"/>
    <n v="8"/>
    <s v="PENDIENTE APROBACION  ENVIO TMS"/>
    <s v="000000001209672102"/>
    <x v="1"/>
    <x v="2"/>
    <m/>
    <n v="1"/>
    <m/>
  </r>
  <r>
    <n v="8209672108"/>
    <s v="140"/>
    <x v="35"/>
    <d v="2026-10-14T11:45:20"/>
    <d v="2026-10-14T05:45:18"/>
    <d v="2026-10-14T00:00:00"/>
    <s v=""/>
    <s v="UNIDAD"/>
    <n v="2"/>
    <s v="PENDIENTE APROBACION  ENVIO TMS"/>
    <s v="000000008209672108"/>
    <x v="2"/>
    <x v="2"/>
    <m/>
    <n v="1"/>
    <m/>
  </r>
  <r>
    <n v="1209672219"/>
    <s v="143"/>
    <x v="78"/>
    <d v="2026-10-14T11:45:21"/>
    <d v="2026-10-14T05:45:19"/>
    <d v="2026-10-14T00:00:00"/>
    <s v=""/>
    <s v="CAJA"/>
    <n v="1"/>
    <s v="PENDIENTE APROBACION  ENVIO TMS"/>
    <s v="000000001209672219"/>
    <x v="1"/>
    <x v="2"/>
    <m/>
    <n v="1"/>
    <m/>
  </r>
  <r>
    <n v="1209672185"/>
    <s v="142"/>
    <x v="118"/>
    <d v="2026-10-14T11:45:23"/>
    <d v="2026-10-14T05:45:21"/>
    <d v="2026-10-14T00:00:00"/>
    <s v=""/>
    <s v="CAJA"/>
    <n v="29"/>
    <s v="PENDIENTE APROBACION  ENVIO TMS"/>
    <s v="000000001209672185"/>
    <x v="1"/>
    <x v="3"/>
    <m/>
    <n v="1"/>
    <m/>
  </r>
  <r>
    <n v="1209672175"/>
    <s v="142"/>
    <x v="118"/>
    <d v="2026-10-14T11:45:25"/>
    <d v="2026-10-14T05:45:22"/>
    <d v="2026-10-14T00:00:00"/>
    <s v=""/>
    <s v="UNIDAD"/>
    <n v="45"/>
    <s v="PENDIENTE APROBACION  ENVIO TMS"/>
    <s v="000000001209672175"/>
    <x v="1"/>
    <x v="3"/>
    <m/>
    <n v="1"/>
    <m/>
  </r>
  <r>
    <n v="8209672187"/>
    <s v="143"/>
    <x v="78"/>
    <d v="2026-10-14T11:45:26"/>
    <d v="2026-10-14T05:45:24"/>
    <d v="2026-10-14T00:00:00"/>
    <s v=""/>
    <s v="UNIDAD"/>
    <n v="7"/>
    <s v="PENDIENTE APROBACION  ENVIO TMS"/>
    <s v="000000008209672187"/>
    <x v="2"/>
    <x v="2"/>
    <m/>
    <n v="1"/>
    <m/>
  </r>
  <r>
    <n v="8209672048"/>
    <s v="133"/>
    <x v="119"/>
    <d v="2026-10-14T11:45:28"/>
    <d v="2026-10-14T05:45:26"/>
    <d v="2026-10-14T00:00:00"/>
    <s v=""/>
    <s v="UNIDAD"/>
    <n v="3"/>
    <s v="PENDIENTE APROBACION  ENVIO TMS"/>
    <s v="000000008209672048"/>
    <x v="2"/>
    <x v="0"/>
    <m/>
    <n v="1"/>
    <m/>
  </r>
  <r>
    <n v="1209672111"/>
    <s v="140"/>
    <x v="35"/>
    <d v="2026-10-14T11:45:30"/>
    <d v="2026-10-14T05:45:27"/>
    <d v="2026-10-14T00:00:00"/>
    <s v=""/>
    <s v="CAJA"/>
    <n v="6"/>
    <s v="PENDIENTE APROBACION  ENVIO TMS"/>
    <s v="000000001209672111"/>
    <x v="1"/>
    <x v="2"/>
    <m/>
    <n v="1"/>
    <m/>
  </r>
  <r>
    <n v="1209672138"/>
    <s v="141"/>
    <x v="76"/>
    <d v="2026-10-14T11:45:32"/>
    <d v="2026-10-14T05:45:29"/>
    <d v="2026-10-14T00:00:00"/>
    <s v=""/>
    <s v="CAJA"/>
    <n v="84"/>
    <s v="PENDIENTE APROBACION  ENVIO TMS"/>
    <s v="000000001209672138"/>
    <x v="1"/>
    <x v="2"/>
    <m/>
    <n v="1"/>
    <m/>
  </r>
  <r>
    <n v="1209672114"/>
    <s v="140"/>
    <x v="35"/>
    <d v="2026-10-14T11:45:33"/>
    <d v="2026-10-14T05:45:31"/>
    <d v="2026-10-14T00:00:00"/>
    <s v=""/>
    <s v="PACK"/>
    <n v="15"/>
    <s v="PENDIENTE APROBACION  ENVIO TMS"/>
    <s v="000000001209672114"/>
    <x v="1"/>
    <x v="2"/>
    <m/>
    <n v="1"/>
    <m/>
  </r>
  <r>
    <n v="1209672139"/>
    <s v="141"/>
    <x v="76"/>
    <d v="2026-10-14T11:45:35"/>
    <d v="2026-10-14T05:45:32"/>
    <d v="2026-10-14T00:00:00"/>
    <s v=""/>
    <s v="PACK"/>
    <n v="52"/>
    <s v="PENDIENTE APROBACION  ENVIO TMS"/>
    <s v="000000001209672139"/>
    <x v="1"/>
    <x v="2"/>
    <m/>
    <n v="1"/>
    <m/>
  </r>
  <r>
    <n v="8209672163"/>
    <s v="142"/>
    <x v="118"/>
    <d v="2026-10-14T11:45:37"/>
    <d v="2026-10-14T05:45:34"/>
    <d v="2026-10-14T00:00:00"/>
    <s v=""/>
    <s v="UNIDAD"/>
    <n v="15"/>
    <s v="PENDIENTE APROBACION  ENVIO TMS"/>
    <s v="000000008209672163"/>
    <x v="2"/>
    <x v="3"/>
    <m/>
    <n v="1"/>
    <m/>
  </r>
  <r>
    <n v="8209672141"/>
    <s v="141"/>
    <x v="76"/>
    <d v="2026-10-14T11:45:38"/>
    <d v="2026-10-14T05:45:36"/>
    <d v="2026-10-14T00:00:00"/>
    <s v=""/>
    <s v="UNIDAD"/>
    <n v="11"/>
    <s v="PENDIENTE APROBACION  ENVIO TMS"/>
    <s v="000000008209672141"/>
    <x v="2"/>
    <x v="2"/>
    <m/>
    <n v="1"/>
    <m/>
  </r>
  <r>
    <n v="8209672142"/>
    <s v="141"/>
    <x v="76"/>
    <d v="2026-10-14T11:45:40"/>
    <d v="2026-10-14T05:45:38"/>
    <d v="2026-10-14T00:00:00"/>
    <s v=""/>
    <s v="UNIDAD"/>
    <n v="31"/>
    <s v="PENDIENTE APROBACION  ENVIO TMS"/>
    <s v="000000008209672142"/>
    <x v="2"/>
    <x v="2"/>
    <m/>
    <n v="1"/>
    <m/>
  </r>
  <r>
    <n v="1209672101"/>
    <s v="140"/>
    <x v="35"/>
    <d v="2026-10-14T11:45:42"/>
    <d v="2026-10-14T05:45:39"/>
    <d v="2026-10-14T00:00:00"/>
    <s v=""/>
    <s v="CAJA"/>
    <n v="1"/>
    <s v="PENDIENTE APROBACION  ENVIO TMS"/>
    <s v="000000001209672101"/>
    <x v="1"/>
    <x v="2"/>
    <m/>
    <n v="1"/>
    <m/>
  </r>
  <r>
    <n v="1209672064"/>
    <s v="133"/>
    <x v="119"/>
    <d v="2026-10-14T11:45:43"/>
    <d v="2026-10-14T05:45:41"/>
    <d v="2026-10-14T00:00:00"/>
    <s v=""/>
    <s v="CAJA"/>
    <n v="14"/>
    <s v="PENDIENTE APROBACION  ENVIO TMS"/>
    <s v="000000001209672064"/>
    <x v="1"/>
    <x v="0"/>
    <m/>
    <n v="1"/>
    <m/>
  </r>
  <r>
    <n v="1209672198"/>
    <s v="143"/>
    <x v="78"/>
    <d v="2026-10-14T11:45:45"/>
    <d v="2026-10-14T05:45:43"/>
    <d v="2026-10-14T00:00:00"/>
    <s v=""/>
    <s v="CAJA"/>
    <n v="18"/>
    <s v="PENDIENTE APROBACION  ENVIO TMS"/>
    <s v="000000001209672198"/>
    <x v="1"/>
    <x v="2"/>
    <m/>
    <n v="1"/>
    <m/>
  </r>
  <r>
    <n v="8209672191"/>
    <s v="143"/>
    <x v="78"/>
    <d v="2026-10-14T11:45:47"/>
    <d v="2026-10-14T05:45:44"/>
    <d v="2026-10-14T00:00:00"/>
    <s v=""/>
    <s v="UNIDAD"/>
    <n v="15"/>
    <s v="PENDIENTE APROBACION  ENVIO TMS"/>
    <s v="000000008209672191"/>
    <x v="2"/>
    <x v="2"/>
    <m/>
    <n v="1"/>
    <m/>
  </r>
  <r>
    <n v="1209672055"/>
    <s v="133"/>
    <x v="119"/>
    <d v="2026-10-14T11:45:49"/>
    <d v="2026-10-14T05:45:46"/>
    <d v="2026-10-14T00:00:00"/>
    <s v=""/>
    <s v="CAJA"/>
    <n v="20"/>
    <s v="PENDIENTE APROBACION  ENVIO TMS"/>
    <s v="000000001209672055"/>
    <x v="1"/>
    <x v="0"/>
    <m/>
    <n v="1"/>
    <m/>
  </r>
  <r>
    <n v="1209672140"/>
    <s v="141"/>
    <x v="76"/>
    <d v="2026-10-14T11:45:49"/>
    <d v="2026-10-14T05:45:47"/>
    <d v="2026-10-14T00:00:00"/>
    <s v=""/>
    <s v="CAJA"/>
    <n v="5"/>
    <s v="PENDIENTE APROBACION  ENVIO TMS"/>
    <s v="000000001209672140"/>
    <x v="1"/>
    <x v="2"/>
    <m/>
    <n v="1"/>
    <m/>
  </r>
  <r>
    <n v="8209672127"/>
    <s v="141"/>
    <x v="76"/>
    <d v="2026-10-14T11:45:51"/>
    <d v="2026-10-14T05:45:48"/>
    <d v="2026-10-14T00:00:00"/>
    <s v=""/>
    <s v="UNIDAD"/>
    <n v="8"/>
    <s v="PENDIENTE APROBACION  ENVIO TMS"/>
    <s v="000000008209672127"/>
    <x v="2"/>
    <x v="2"/>
    <m/>
    <n v="1"/>
    <m/>
  </r>
  <r>
    <n v="8209672128"/>
    <s v="141"/>
    <x v="76"/>
    <d v="2026-10-14T11:45:52"/>
    <d v="2026-10-14T05:45:49"/>
    <d v="2026-10-14T00:00:00"/>
    <s v=""/>
    <s v="UNIDAD"/>
    <n v="1"/>
    <s v="PENDIENTE APROBACION  ENVIO TMS"/>
    <s v="000000008209672128"/>
    <x v="2"/>
    <x v="2"/>
    <m/>
    <n v="1"/>
    <m/>
  </r>
  <r>
    <n v="1209672130"/>
    <s v="141"/>
    <x v="76"/>
    <d v="2026-10-14T11:45:53"/>
    <d v="2026-10-14T05:45:51"/>
    <d v="2026-10-14T00:00:00"/>
    <s v=""/>
    <s v="PACK"/>
    <n v="1"/>
    <s v="PENDIENTE APROBACION  ENVIO TMS"/>
    <s v="000000001209672130"/>
    <x v="1"/>
    <x v="2"/>
    <m/>
    <n v="1"/>
    <m/>
  </r>
  <r>
    <n v="1209672132"/>
    <s v="141"/>
    <x v="76"/>
    <d v="2026-10-14T11:45:55"/>
    <d v="2026-10-14T05:45:53"/>
    <d v="2026-10-14T00:00:00"/>
    <s v=""/>
    <s v="CAJA"/>
    <n v="23"/>
    <s v="PENDIENTE APROBACION  ENVIO TMS"/>
    <s v="000000001209672132"/>
    <x v="1"/>
    <x v="2"/>
    <m/>
    <n v="1"/>
    <m/>
  </r>
  <r>
    <n v="1209672100"/>
    <s v="140"/>
    <x v="35"/>
    <d v="2026-10-14T11:45:55"/>
    <d v="2026-10-14T05:45:52"/>
    <d v="2026-10-14T00:00:00"/>
    <s v=""/>
    <s v="CAJA"/>
    <n v="1"/>
    <s v="PENDIENTE APROBACION  ENVIO TMS"/>
    <s v="000000001209672100"/>
    <x v="1"/>
    <x v="2"/>
    <m/>
    <n v="1"/>
    <m/>
  </r>
  <r>
    <n v="1209672133"/>
    <s v="141"/>
    <x v="76"/>
    <d v="2026-10-14T11:45:57"/>
    <d v="2026-10-14T05:45:54"/>
    <d v="2026-10-14T00:00:00"/>
    <s v=""/>
    <s v="CAJA"/>
    <n v="18"/>
    <s v="PENDIENTE APROBACION  ENVIO TMS"/>
    <s v="000000001209672133"/>
    <x v="1"/>
    <x v="2"/>
    <m/>
    <n v="1"/>
    <m/>
  </r>
  <r>
    <n v="1209672070"/>
    <s v="133"/>
    <x v="119"/>
    <d v="2026-10-14T11:45:58"/>
    <d v="2026-10-14T05:45:56"/>
    <d v="2026-10-14T00:00:00"/>
    <s v=""/>
    <s v="PACK"/>
    <n v="24"/>
    <s v="PENDIENTE APROBACION  ENVIO TMS"/>
    <s v="000000001209672070"/>
    <x v="1"/>
    <x v="0"/>
    <m/>
    <n v="1"/>
    <m/>
  </r>
  <r>
    <n v="1209672182"/>
    <s v="142"/>
    <x v="118"/>
    <d v="2026-10-14T11:46:00"/>
    <d v="2026-10-14T05:45:57"/>
    <d v="2026-10-14T00:00:00"/>
    <s v=""/>
    <s v="PACK"/>
    <n v="7"/>
    <s v="PENDIENTE APROBACION  ENVIO TMS"/>
    <s v="000000001209672182"/>
    <x v="1"/>
    <x v="3"/>
    <m/>
    <n v="1"/>
    <m/>
  </r>
  <r>
    <n v="1209672193"/>
    <s v="143"/>
    <x v="78"/>
    <d v="2026-10-14T11:46:01"/>
    <d v="2026-10-14T05:45:59"/>
    <d v="2026-10-14T00:00:00"/>
    <s v=""/>
    <s v="CAJA"/>
    <n v="1"/>
    <s v="PENDIENTE APROBACION  ENVIO TMS"/>
    <s v="000000001209672193"/>
    <x v="1"/>
    <x v="2"/>
    <m/>
    <n v="1"/>
    <m/>
  </r>
  <r>
    <n v="1209672195"/>
    <s v="143"/>
    <x v="78"/>
    <d v="2026-10-14T11:46:03"/>
    <d v="2026-10-14T05:46:00"/>
    <d v="2026-10-14T00:00:00"/>
    <s v=""/>
    <s v="CAJA"/>
    <n v="6"/>
    <s v="PENDIENTE APROBACION  ENVIO TMS"/>
    <s v="000000001209672195"/>
    <x v="1"/>
    <x v="2"/>
    <m/>
    <n v="1"/>
    <m/>
  </r>
  <r>
    <n v="1209672054"/>
    <s v="133"/>
    <x v="119"/>
    <d v="2026-10-14T11:46:05"/>
    <d v="2026-10-14T05:46:02"/>
    <d v="2026-10-14T00:00:00"/>
    <s v=""/>
    <s v="PACK"/>
    <n v="12"/>
    <s v="PENDIENTE APROBACION  ENVIO TMS"/>
    <s v="000000001209672054"/>
    <x v="1"/>
    <x v="0"/>
    <m/>
    <n v="1"/>
    <m/>
  </r>
  <r>
    <n v="1209672056"/>
    <s v="133"/>
    <x v="119"/>
    <d v="2026-10-14T11:46:07"/>
    <d v="2026-10-14T05:46:04"/>
    <d v="2026-10-14T00:00:00"/>
    <s v=""/>
    <s v="UNIDAD"/>
    <n v="83"/>
    <s v="PENDIENTE APROBACION  ENVIO TMS"/>
    <s v="000000001209672056"/>
    <x v="1"/>
    <x v="0"/>
    <m/>
    <n v="1"/>
    <m/>
  </r>
  <r>
    <n v="8209672060"/>
    <s v="133"/>
    <x v="119"/>
    <d v="2026-10-14T11:46:08"/>
    <d v="2026-10-14T05:46:05"/>
    <d v="2026-10-14T00:00:00"/>
    <s v=""/>
    <s v="UNIDAD"/>
    <n v="5"/>
    <s v="PENDIENTE APROBACION  ENVIO TMS"/>
    <s v="000000008209672060"/>
    <x v="2"/>
    <x v="0"/>
    <m/>
    <n v="1"/>
    <m/>
  </r>
  <r>
    <n v="1209672307"/>
    <s v="156"/>
    <x v="17"/>
    <d v="2026-10-14T11:49:13"/>
    <d v="2026-10-14T05:49:10"/>
    <d v="2026-10-14T00:00:00"/>
    <s v=""/>
    <s v="CAJA"/>
    <n v="1"/>
    <s v="PENDIENTE APROBACION  ENVIO TMS"/>
    <s v="000000001209672307"/>
    <x v="1"/>
    <x v="0"/>
    <m/>
    <n v="1"/>
    <m/>
  </r>
  <r>
    <n v="8209672263"/>
    <s v="150"/>
    <x v="59"/>
    <d v="2026-10-14T11:49:14"/>
    <d v="2026-10-14T05:49:12"/>
    <d v="2026-10-14T00:00:00"/>
    <s v=""/>
    <s v="UNIDAD"/>
    <n v="28"/>
    <s v="PENDIENTE APROBACION  ENVIO TMS"/>
    <s v="000000008209672263"/>
    <x v="2"/>
    <x v="1"/>
    <m/>
    <n v="1"/>
    <m/>
  </r>
  <r>
    <n v="1209672264"/>
    <s v="150"/>
    <x v="59"/>
    <d v="2026-10-14T11:49:16"/>
    <d v="2026-10-14T05:49:14"/>
    <d v="2026-10-14T00:00:00"/>
    <s v=""/>
    <s v="CAJA"/>
    <n v="1"/>
    <s v="PENDIENTE APROBACION  ENVIO TMS"/>
    <s v="000000001209672264"/>
    <x v="1"/>
    <x v="1"/>
    <m/>
    <n v="1"/>
    <m/>
  </r>
  <r>
    <n v="1209672236"/>
    <s v="144"/>
    <x v="34"/>
    <d v="2026-10-14T11:49:18"/>
    <d v="2026-10-14T05:49:15"/>
    <d v="2026-10-14T00:00:00"/>
    <s v=""/>
    <s v="CAJA"/>
    <n v="14"/>
    <s v="PENDIENTE APROBACION  ENVIO TMS"/>
    <s v="000000001209672236"/>
    <x v="1"/>
    <x v="1"/>
    <m/>
    <n v="1"/>
    <m/>
  </r>
  <r>
    <n v="1209672249"/>
    <s v="144"/>
    <x v="34"/>
    <d v="2026-10-14T11:49:20"/>
    <d v="2026-10-14T05:49:17"/>
    <d v="2026-10-14T00:00:00"/>
    <s v=""/>
    <s v="CAJA"/>
    <n v="12"/>
    <s v="PENDIENTE APROBACION  ENVIO TMS"/>
    <s v="000000001209672249"/>
    <x v="1"/>
    <x v="1"/>
    <m/>
    <n v="1"/>
    <m/>
  </r>
  <r>
    <n v="1209672269"/>
    <s v="150"/>
    <x v="59"/>
    <d v="2026-10-14T11:49:21"/>
    <d v="2026-10-14T05:49:19"/>
    <d v="2026-10-14T00:00:00"/>
    <s v=""/>
    <s v="CAJA"/>
    <n v="8"/>
    <s v="PENDIENTE APROBACION  ENVIO TMS"/>
    <s v="000000001209672269"/>
    <x v="1"/>
    <x v="1"/>
    <m/>
    <n v="1"/>
    <m/>
  </r>
  <r>
    <n v="1209672300"/>
    <s v="156"/>
    <x v="17"/>
    <d v="2026-10-14T11:49:23"/>
    <d v="2026-10-14T05:49:21"/>
    <d v="2026-10-14T00:00:00"/>
    <s v=""/>
    <s v="CAJA"/>
    <n v="8"/>
    <s v="PENDIENTE APROBACION  ENVIO TMS"/>
    <s v="000000001209672300"/>
    <x v="1"/>
    <x v="0"/>
    <m/>
    <n v="1"/>
    <m/>
  </r>
  <r>
    <n v="1209672312"/>
    <s v="156"/>
    <x v="17"/>
    <d v="2026-10-14T11:49:25"/>
    <d v="2026-10-14T05:49:22"/>
    <d v="2026-10-14T00:00:00"/>
    <s v=""/>
    <s v="CAJA"/>
    <n v="12"/>
    <s v="PENDIENTE APROBACION  ENVIO TMS"/>
    <s v="000000001209672312"/>
    <x v="1"/>
    <x v="0"/>
    <m/>
    <n v="1"/>
    <m/>
  </r>
  <r>
    <n v="209672468"/>
    <s v="126"/>
    <x v="29"/>
    <d v="2026-10-14T11:49:27"/>
    <d v="2026-10-14T05:49:24"/>
    <d v="2026-10-14T00:00:00"/>
    <s v=""/>
    <s v="CAJA"/>
    <n v="6"/>
    <s v="PENDIENTE APROBACION  ENVIO TMS"/>
    <s v="000000000209672468"/>
    <x v="0"/>
    <x v="0"/>
    <m/>
    <n v="1"/>
    <m/>
  </r>
  <r>
    <n v="8209672359"/>
    <s v="160"/>
    <x v="33"/>
    <d v="2026-10-14T11:49:28"/>
    <d v="2026-10-14T05:49:26"/>
    <d v="2026-10-14T00:00:00"/>
    <s v=""/>
    <s v="UNIDAD"/>
    <n v="15"/>
    <s v="PENDIENTE APROBACION  ENVIO TMS"/>
    <s v="000000008209672359"/>
    <x v="2"/>
    <x v="2"/>
    <m/>
    <n v="1"/>
    <m/>
  </r>
  <r>
    <n v="209672483"/>
    <s v="159"/>
    <x v="36"/>
    <d v="2026-10-14T11:49:30"/>
    <d v="2026-10-14T05:49:28"/>
    <d v="2026-10-14T00:00:00"/>
    <s v=""/>
    <s v="CAJA"/>
    <n v="6"/>
    <s v="PENDIENTE APROBACION  ENVIO TMS"/>
    <s v="000000000209672483"/>
    <x v="0"/>
    <x v="1"/>
    <m/>
    <n v="1"/>
    <m/>
  </r>
  <r>
    <n v="1209672363"/>
    <s v="160"/>
    <x v="33"/>
    <d v="2026-10-14T11:49:32"/>
    <d v="2026-10-14T05:49:29"/>
    <d v="2026-10-14T00:00:00"/>
    <s v=""/>
    <s v="CAJA"/>
    <n v="12"/>
    <s v="PENDIENTE APROBACION  ENVIO TMS"/>
    <s v="000000001209672363"/>
    <x v="1"/>
    <x v="2"/>
    <m/>
    <n v="1"/>
    <m/>
  </r>
  <r>
    <n v="209672504"/>
    <s v="249"/>
    <x v="108"/>
    <d v="2026-10-14T11:49:33"/>
    <d v="2026-10-14T05:49:31"/>
    <d v="2026-10-14T00:00:00"/>
    <s v=""/>
    <s v="CAJA"/>
    <n v="6"/>
    <s v="PENDIENTE APROBACION  ENVIO TMS"/>
    <s v="000000000209672504"/>
    <x v="0"/>
    <x v="0"/>
    <m/>
    <n v="1"/>
    <m/>
  </r>
  <r>
    <n v="209672509"/>
    <s v="280"/>
    <x v="0"/>
    <d v="2026-10-14T11:49:35"/>
    <d v="2026-10-14T05:49:33"/>
    <d v="2026-10-14T00:00:00"/>
    <s v=""/>
    <s v="CAJA"/>
    <n v="6"/>
    <s v="PENDIENTE APROBACION  ENVIO TMS"/>
    <s v="000000000209672509"/>
    <x v="0"/>
    <x v="0"/>
    <m/>
    <n v="1"/>
    <m/>
  </r>
  <r>
    <n v="8209672373"/>
    <s v="160"/>
    <x v="33"/>
    <d v="2026-10-14T11:49:37"/>
    <d v="2026-10-14T05:49:34"/>
    <d v="2026-10-14T00:00:00"/>
    <s v=""/>
    <s v="UNIDAD"/>
    <n v="9"/>
    <s v="PENDIENTE APROBACION  ENVIO TMS"/>
    <s v="000000008209672373"/>
    <x v="2"/>
    <x v="2"/>
    <m/>
    <n v="1"/>
    <m/>
  </r>
  <r>
    <n v="209672426"/>
    <s v="71"/>
    <x v="31"/>
    <d v="2026-10-14T11:49:39"/>
    <d v="2026-10-14T05:49:36"/>
    <d v="2026-10-14T00:00:00"/>
    <s v=""/>
    <s v="CAJA"/>
    <n v="6"/>
    <s v="PENDIENTE APROBACION  ENVIO TMS"/>
    <s v="000000000209672426"/>
    <x v="0"/>
    <x v="0"/>
    <m/>
    <n v="1"/>
    <m/>
  </r>
  <r>
    <n v="209672430"/>
    <s v="63"/>
    <x v="120"/>
    <d v="2026-10-14T11:49:41"/>
    <d v="2026-10-14T05:49:38"/>
    <d v="2026-10-14T00:00:00"/>
    <s v=""/>
    <s v="CAJA"/>
    <n v="6"/>
    <s v="PENDIENTE APROBACION  ENVIO TMS"/>
    <s v="000000000209672430"/>
    <x v="0"/>
    <x v="0"/>
    <m/>
    <n v="1"/>
    <m/>
  </r>
  <r>
    <n v="209672431"/>
    <s v="73"/>
    <x v="93"/>
    <d v="2026-10-14T11:49:43"/>
    <d v="2026-10-14T05:49:40"/>
    <d v="2026-10-14T00:00:00"/>
    <s v=""/>
    <s v="CAJA"/>
    <n v="6"/>
    <s v="PENDIENTE APROBACION  ENVIO TMS"/>
    <s v="000000000209672431"/>
    <x v="0"/>
    <x v="0"/>
    <m/>
    <n v="1"/>
    <m/>
  </r>
  <r>
    <n v="209672385"/>
    <s v="1"/>
    <x v="138"/>
    <d v="2026-10-14T11:49:44"/>
    <d v="2026-10-14T05:49:41"/>
    <d v="2026-10-14T00:00:00"/>
    <s v=""/>
    <s v="CAJA"/>
    <n v="8"/>
    <s v="PENDIENTE APROBACION  ENVIO TMS"/>
    <s v="000000000209672385"/>
    <x v="0"/>
    <x v="1"/>
    <m/>
    <n v="1"/>
    <m/>
  </r>
  <r>
    <n v="209672386"/>
    <s v="3"/>
    <x v="57"/>
    <d v="2026-10-14T11:49:45"/>
    <d v="2026-10-14T05:49:43"/>
    <d v="2026-10-14T00:00:00"/>
    <s v=""/>
    <s v="CAJA"/>
    <n v="8"/>
    <s v="PENDIENTE APROBACION  ENVIO TMS"/>
    <s v="000000000209672386"/>
    <x v="0"/>
    <x v="3"/>
    <m/>
    <n v="1"/>
    <m/>
  </r>
  <r>
    <n v="209672388"/>
    <s v="5"/>
    <x v="91"/>
    <d v="2026-10-14T11:49:47"/>
    <d v="2026-10-14T05:49:44"/>
    <d v="2026-10-14T00:00:00"/>
    <s v=""/>
    <s v="CAJA"/>
    <n v="6"/>
    <s v="PENDIENTE APROBACION  ENVIO TMS"/>
    <s v="000000000209672388"/>
    <x v="0"/>
    <x v="3"/>
    <m/>
    <n v="1"/>
    <m/>
  </r>
  <r>
    <n v="209672445"/>
    <s v="84"/>
    <x v="82"/>
    <d v="2026-10-14T11:49:48"/>
    <d v="2026-10-14T05:49:45"/>
    <d v="2026-10-14T00:00:00"/>
    <s v=""/>
    <s v="CAJA"/>
    <n v="6"/>
    <s v="PENDIENTE APROBACION  ENVIO TMS"/>
    <s v="000000000209672445"/>
    <x v="0"/>
    <x v="0"/>
    <m/>
    <n v="1"/>
    <m/>
  </r>
  <r>
    <n v="209672400"/>
    <s v="26"/>
    <x v="100"/>
    <d v="2026-10-14T11:49:49"/>
    <d v="2026-10-14T05:49:47"/>
    <d v="2026-10-14T00:00:00"/>
    <s v=""/>
    <s v="CAJA"/>
    <n v="6"/>
    <s v="PENDIENTE APROBACION  ENVIO TMS"/>
    <s v="000000000209672400"/>
    <x v="0"/>
    <x v="1"/>
    <m/>
    <n v="1"/>
    <m/>
  </r>
  <r>
    <n v="209672448"/>
    <s v="88"/>
    <x v="103"/>
    <d v="2026-10-14T11:49:50"/>
    <d v="2026-10-14T05:49:48"/>
    <d v="2026-10-14T00:00:00"/>
    <s v=""/>
    <s v="CAJA"/>
    <n v="6"/>
    <s v="PENDIENTE APROBACION  ENVIO TMS"/>
    <s v="000000000209672448"/>
    <x v="0"/>
    <x v="0"/>
    <m/>
    <n v="1"/>
    <m/>
  </r>
  <r>
    <n v="209672405"/>
    <s v="39"/>
    <x v="130"/>
    <d v="2026-10-14T11:49:52"/>
    <d v="2026-10-14T05:49:49"/>
    <d v="2026-10-14T00:00:00"/>
    <s v=""/>
    <s v="CAJA"/>
    <n v="6"/>
    <s v="PENDIENTE APROBACION  ENVIO TMS"/>
    <s v="000000000209672405"/>
    <x v="0"/>
    <x v="1"/>
    <m/>
    <n v="1"/>
    <m/>
  </r>
  <r>
    <n v="209672456"/>
    <s v="106"/>
    <x v="25"/>
    <d v="2026-10-14T11:49:54"/>
    <d v="2026-10-14T05:49:51"/>
    <d v="2026-10-14T00:00:00"/>
    <s v=""/>
    <s v="CAJA"/>
    <n v="6"/>
    <s v="PENDIENTE APROBACION  ENVIO TMS"/>
    <s v="000000000209672456"/>
    <x v="0"/>
    <x v="0"/>
    <m/>
    <n v="1"/>
    <m/>
  </r>
  <r>
    <n v="209672457"/>
    <s v="107"/>
    <x v="10"/>
    <d v="2026-10-14T11:49:55"/>
    <d v="2026-10-14T05:49:53"/>
    <d v="2026-10-14T00:00:00"/>
    <s v=""/>
    <s v="CAJA"/>
    <n v="6"/>
    <s v="PENDIENTE APROBACION  ENVIO TMS"/>
    <s v="000000000209672457"/>
    <x v="0"/>
    <x v="0"/>
    <m/>
    <n v="1"/>
    <m/>
  </r>
  <r>
    <n v="209672461"/>
    <s v="115"/>
    <x v="88"/>
    <d v="2026-10-14T11:49:57"/>
    <d v="2026-10-14T05:49:54"/>
    <d v="2026-10-14T00:00:00"/>
    <s v=""/>
    <s v="CAJA"/>
    <n v="6"/>
    <s v="PENDIENTE APROBACION  ENVIO TMS"/>
    <s v="000000000209672461"/>
    <x v="0"/>
    <x v="2"/>
    <m/>
    <n v="1"/>
    <m/>
  </r>
  <r>
    <n v="8209672260"/>
    <s v="150"/>
    <x v="59"/>
    <d v="2026-10-14T11:49:59"/>
    <d v="2026-10-14T05:49:56"/>
    <d v="2026-10-14T00:00:00"/>
    <s v=""/>
    <s v="UNIDAD"/>
    <n v="4"/>
    <s v="PENDIENTE APROBACION  ENVIO TMS"/>
    <s v="000000008209672260"/>
    <x v="2"/>
    <x v="1"/>
    <m/>
    <n v="1"/>
    <m/>
  </r>
  <r>
    <n v="1209672266"/>
    <s v="150"/>
    <x v="59"/>
    <d v="2026-10-14T11:50:00"/>
    <d v="2026-10-14T05:49:58"/>
    <d v="2026-10-14T00:00:00"/>
    <s v=""/>
    <s v="CAJA"/>
    <n v="7"/>
    <s v="PENDIENTE APROBACION  ENVIO TMS"/>
    <s v="000000001209672266"/>
    <x v="1"/>
    <x v="1"/>
    <m/>
    <n v="1"/>
    <m/>
  </r>
  <r>
    <n v="1209672267"/>
    <s v="150"/>
    <x v="59"/>
    <d v="2026-10-14T11:50:01"/>
    <d v="2026-10-14T05:49:59"/>
    <d v="2026-10-14T00:00:00"/>
    <s v=""/>
    <s v="PACK"/>
    <n v="21"/>
    <s v="PENDIENTE APROBACION  ENVIO TMS"/>
    <s v="000000001209672267"/>
    <x v="1"/>
    <x v="1"/>
    <m/>
    <n v="1"/>
    <m/>
  </r>
  <r>
    <n v="1209672308"/>
    <s v="156"/>
    <x v="17"/>
    <d v="2026-10-14T11:50:03"/>
    <d v="2026-10-14T05:50:00"/>
    <d v="2026-10-14T00:00:00"/>
    <s v=""/>
    <s v="PACK"/>
    <n v="45"/>
    <s v="PENDIENTE APROBACION  ENVIO TMS"/>
    <s v="000000001209672308"/>
    <x v="1"/>
    <x v="0"/>
    <m/>
    <n v="1"/>
    <m/>
  </r>
  <r>
    <n v="1209672335"/>
    <s v="159"/>
    <x v="36"/>
    <d v="2026-10-14T11:50:04"/>
    <d v="2026-10-14T05:50:02"/>
    <d v="2026-10-14T00:00:00"/>
    <s v=""/>
    <s v="CAJA"/>
    <n v="35"/>
    <s v="PENDIENTE APROBACION  ENVIO TMS"/>
    <s v="000000001209672335"/>
    <x v="1"/>
    <x v="1"/>
    <m/>
    <n v="1"/>
    <m/>
  </r>
  <r>
    <n v="8209672324"/>
    <s v="159"/>
    <x v="36"/>
    <d v="2026-10-14T11:50:06"/>
    <d v="2026-10-14T05:50:03"/>
    <d v="2026-10-14T00:00:00"/>
    <s v=""/>
    <s v="UNIDAD"/>
    <n v="5"/>
    <s v="PENDIENTE APROBACION  ENVIO TMS"/>
    <s v="000000008209672324"/>
    <x v="2"/>
    <x v="1"/>
    <m/>
    <n v="1"/>
    <m/>
  </r>
  <r>
    <n v="8209672325"/>
    <s v="159"/>
    <x v="36"/>
    <d v="2026-10-14T11:50:06"/>
    <d v="2026-10-14T05:50:04"/>
    <d v="2026-10-14T00:00:00"/>
    <s v=""/>
    <s v="UNIDAD"/>
    <n v="1"/>
    <s v="PENDIENTE APROBACION  ENVIO TMS"/>
    <s v="000000008209672325"/>
    <x v="2"/>
    <x v="1"/>
    <m/>
    <n v="1"/>
    <m/>
  </r>
  <r>
    <n v="1209672247"/>
    <s v="144"/>
    <x v="34"/>
    <d v="2026-10-14T11:50:08"/>
    <d v="2026-10-14T05:50:05"/>
    <d v="2026-10-14T00:00:00"/>
    <s v=""/>
    <s v="CAJA"/>
    <n v="10"/>
    <s v="PENDIENTE APROBACION  ENVIO TMS"/>
    <s v="000000001209672247"/>
    <x v="1"/>
    <x v="1"/>
    <m/>
    <n v="1"/>
    <m/>
  </r>
  <r>
    <n v="209672469"/>
    <s v="128"/>
    <x v="14"/>
    <d v="2026-10-14T11:50:09"/>
    <d v="2026-10-14T05:50:07"/>
    <d v="2026-10-14T00:00:00"/>
    <s v=""/>
    <s v="CAJA"/>
    <n v="6"/>
    <s v="PENDIENTE APROBACION  ENVIO TMS"/>
    <s v="000000000209672469"/>
    <x v="0"/>
    <x v="0"/>
    <m/>
    <n v="1"/>
    <m/>
  </r>
  <r>
    <n v="209672478"/>
    <s v="160"/>
    <x v="33"/>
    <d v="2026-10-14T11:50:11"/>
    <d v="2026-10-14T05:50:08"/>
    <d v="2026-10-14T00:00:00"/>
    <s v=""/>
    <s v="CAJA"/>
    <n v="6"/>
    <s v="PENDIENTE APROBACION  ENVIO TMS"/>
    <s v="000000000209672478"/>
    <x v="0"/>
    <x v="2"/>
    <m/>
    <n v="1"/>
    <m/>
  </r>
  <r>
    <n v="209672489"/>
    <s v="215"/>
    <x v="101"/>
    <d v="2026-10-14T11:50:11"/>
    <d v="2026-10-14T05:50:09"/>
    <d v="2026-10-14T00:00:00"/>
    <s v=""/>
    <s v="CAJA"/>
    <n v="6"/>
    <s v="PENDIENTE APROBACION  ENVIO TMS"/>
    <s v="000000000209672489"/>
    <x v="0"/>
    <x v="0"/>
    <m/>
    <n v="1"/>
    <m/>
  </r>
  <r>
    <n v="209672495"/>
    <s v="228"/>
    <x v="102"/>
    <d v="2026-10-14T11:50:13"/>
    <d v="2026-10-14T05:50:10"/>
    <d v="2026-10-14T00:00:00"/>
    <s v=""/>
    <s v="CAJA"/>
    <n v="6"/>
    <s v="PENDIENTE APROBACION  ENVIO TMS"/>
    <s v="000000000209672495"/>
    <x v="0"/>
    <x v="1"/>
    <m/>
    <n v="1"/>
    <m/>
  </r>
  <r>
    <n v="209672498"/>
    <s v="260"/>
    <x v="128"/>
    <d v="2026-10-14T11:50:14"/>
    <d v="2026-10-14T05:50:12"/>
    <d v="2026-10-14T00:00:00"/>
    <s v=""/>
    <s v="CAJA"/>
    <n v="6"/>
    <s v="PENDIENTE APROBACION  ENVIO TMS"/>
    <s v="000000000209672498"/>
    <x v="0"/>
    <x v="3"/>
    <m/>
    <n v="1"/>
    <m/>
  </r>
  <r>
    <n v="209672502"/>
    <s v="261"/>
    <x v="132"/>
    <d v="2026-10-14T11:50:16"/>
    <d v="2026-10-14T05:50:13"/>
    <d v="2026-10-14T00:00:00"/>
    <s v=""/>
    <s v="CAJA"/>
    <n v="6"/>
    <s v="PENDIENTE APROBACION  ENVIO TMS"/>
    <s v="000000000209672502"/>
    <x v="0"/>
    <x v="0"/>
    <m/>
    <n v="1"/>
    <m/>
  </r>
  <r>
    <n v="209672505"/>
    <s v="264"/>
    <x v="11"/>
    <d v="2026-10-14T11:50:17"/>
    <d v="2026-10-14T05:50:14"/>
    <d v="2026-10-14T00:00:00"/>
    <s v=""/>
    <s v="CAJA"/>
    <n v="6"/>
    <s v="PENDIENTE APROBACION  ENVIO TMS"/>
    <s v="000000000209672505"/>
    <x v="0"/>
    <x v="1"/>
    <m/>
    <n v="1"/>
    <m/>
  </r>
  <r>
    <n v="209672512"/>
    <s v="278"/>
    <x v="46"/>
    <d v="2026-10-14T11:50:18"/>
    <d v="2026-10-14T05:50:15"/>
    <d v="2026-10-14T00:00:00"/>
    <s v=""/>
    <s v="CAJA"/>
    <n v="6"/>
    <s v="PENDIENTE APROBACION  ENVIO TMS"/>
    <s v="000000000209672512"/>
    <x v="0"/>
    <x v="1"/>
    <m/>
    <n v="1"/>
    <m/>
  </r>
  <r>
    <n v="209672513"/>
    <s v="284"/>
    <x v="116"/>
    <d v="2026-10-14T11:50:19"/>
    <d v="2026-10-14T05:50:17"/>
    <d v="2026-10-14T00:00:00"/>
    <s v=""/>
    <s v="CAJA"/>
    <n v="6"/>
    <s v="PENDIENTE APROBACION  ENVIO TMS"/>
    <s v="000000000209672513"/>
    <x v="0"/>
    <x v="0"/>
    <m/>
    <n v="1"/>
    <m/>
  </r>
  <r>
    <n v="209672437"/>
    <s v="68"/>
    <x v="97"/>
    <d v="2026-10-14T11:50:20"/>
    <d v="2026-10-14T05:50:18"/>
    <d v="2026-10-14T00:00:00"/>
    <s v=""/>
    <s v="CAJA"/>
    <n v="6"/>
    <s v="PENDIENTE APROBACION  ENVIO TMS"/>
    <s v="000000000209672437"/>
    <x v="0"/>
    <x v="3"/>
    <m/>
    <n v="1"/>
    <m/>
  </r>
  <r>
    <n v="209672439"/>
    <s v="75"/>
    <x v="37"/>
    <d v="2026-10-14T11:50:22"/>
    <d v="2026-10-14T05:50:19"/>
    <d v="2026-10-14T00:00:00"/>
    <s v=""/>
    <s v="CAJA"/>
    <n v="6"/>
    <s v="PENDIENTE APROBACION  ENVIO TMS"/>
    <s v="000000000209672439"/>
    <x v="0"/>
    <x v="3"/>
    <m/>
    <n v="1"/>
    <m/>
  </r>
  <r>
    <n v="209672442"/>
    <s v="77"/>
    <x v="50"/>
    <d v="2026-10-14T11:50:23"/>
    <d v="2026-10-14T05:50:20"/>
    <d v="2026-10-14T00:00:00"/>
    <s v=""/>
    <s v="CAJA"/>
    <n v="6"/>
    <s v="PENDIENTE APROBACION  ENVIO TMS"/>
    <s v="000000000209672442"/>
    <x v="0"/>
    <x v="0"/>
    <m/>
    <n v="1"/>
    <m/>
  </r>
  <r>
    <n v="209672446"/>
    <s v="86"/>
    <x v="126"/>
    <d v="2026-10-14T11:50:24"/>
    <d v="2026-10-14T05:50:22"/>
    <d v="2026-10-14T00:00:00"/>
    <s v=""/>
    <s v="CAJA"/>
    <n v="6"/>
    <s v="PENDIENTE APROBACION  ENVIO TMS"/>
    <s v="000000000209672446"/>
    <x v="0"/>
    <x v="1"/>
    <m/>
    <n v="1"/>
    <m/>
  </r>
  <r>
    <n v="209672402"/>
    <s v="29"/>
    <x v="38"/>
    <d v="2026-10-14T11:50:25"/>
    <d v="2026-10-14T05:50:23"/>
    <d v="2026-10-14T00:00:00"/>
    <s v=""/>
    <s v="CAJA"/>
    <n v="6"/>
    <s v="PENDIENTE APROBACION  ENVIO TMS"/>
    <s v="000000000209672402"/>
    <x v="0"/>
    <x v="0"/>
    <m/>
    <n v="1"/>
    <m/>
  </r>
  <r>
    <n v="8209672261"/>
    <s v="150"/>
    <x v="59"/>
    <d v="2026-10-14T11:50:27"/>
    <d v="2026-10-14T05:50:24"/>
    <d v="2026-10-14T00:00:00"/>
    <s v=""/>
    <s v="UNIDAD"/>
    <n v="5"/>
    <s v="PENDIENTE APROBACION  ENVIO TMS"/>
    <s v="000000008209672261"/>
    <x v="2"/>
    <x v="1"/>
    <m/>
    <n v="1"/>
    <m/>
  </r>
  <r>
    <n v="8209672230"/>
    <s v="144"/>
    <x v="34"/>
    <d v="2026-10-14T11:50:28"/>
    <d v="2026-10-14T05:50:25"/>
    <d v="2026-10-14T00:00:00"/>
    <s v=""/>
    <s v="UNIDAD"/>
    <n v="3"/>
    <s v="PENDIENTE APROBACION  ENVIO TMS"/>
    <s v="000000008209672230"/>
    <x v="2"/>
    <x v="1"/>
    <m/>
    <n v="1"/>
    <m/>
  </r>
  <r>
    <n v="1209672232"/>
    <s v="144"/>
    <x v="34"/>
    <d v="2026-10-14T11:50:29"/>
    <d v="2026-10-14T05:50:27"/>
    <d v="2026-10-14T00:00:00"/>
    <s v=""/>
    <s v="CAJA"/>
    <n v="4"/>
    <s v="PENDIENTE APROBACION  ENVIO TMS"/>
    <s v="000000001209672232"/>
    <x v="1"/>
    <x v="1"/>
    <m/>
    <n v="1"/>
    <m/>
  </r>
  <r>
    <n v="1209672301"/>
    <s v="156"/>
    <x v="17"/>
    <d v="2026-10-14T11:50:30"/>
    <d v="2026-10-14T05:50:28"/>
    <d v="2026-10-14T00:00:00"/>
    <s v=""/>
    <s v="PACK"/>
    <n v="10"/>
    <s v="PENDIENTE APROBACION  ENVIO TMS"/>
    <s v="000000001209672301"/>
    <x v="1"/>
    <x v="0"/>
    <m/>
    <n v="1"/>
    <m/>
  </r>
  <r>
    <n v="1209672313"/>
    <s v="156"/>
    <x v="17"/>
    <d v="2026-10-14T11:50:31"/>
    <d v="2026-10-14T05:50:29"/>
    <d v="2026-10-14T00:00:00"/>
    <s v=""/>
    <s v="PACK"/>
    <n v="32"/>
    <s v="PENDIENTE APROBACION  ENVIO TMS"/>
    <s v="000000001209672313"/>
    <x v="1"/>
    <x v="0"/>
    <m/>
    <n v="1"/>
    <m/>
  </r>
  <r>
    <n v="1209672329"/>
    <s v="159"/>
    <x v="36"/>
    <d v="2026-10-14T11:50:33"/>
    <d v="2026-10-14T05:50:30"/>
    <d v="2026-10-14T00:00:00"/>
    <s v=""/>
    <s v="PACK"/>
    <n v="10"/>
    <s v="PENDIENTE APROBACION  ENVIO TMS"/>
    <s v="000000001209672329"/>
    <x v="1"/>
    <x v="1"/>
    <m/>
    <n v="1"/>
    <m/>
  </r>
  <r>
    <n v="1209672304"/>
    <s v="156"/>
    <x v="17"/>
    <d v="2026-10-14T11:50:34"/>
    <d v="2026-10-14T05:50:31"/>
    <d v="2026-10-14T00:00:00"/>
    <s v=""/>
    <s v="CAJA"/>
    <n v="26"/>
    <s v="PENDIENTE APROBACION  ENVIO TMS"/>
    <s v="000000001209672304"/>
    <x v="1"/>
    <x v="0"/>
    <m/>
    <n v="1"/>
    <m/>
  </r>
  <r>
    <n v="1209672333"/>
    <s v="159"/>
    <x v="36"/>
    <d v="2026-10-14T11:50:35"/>
    <d v="2026-10-14T05:50:33"/>
    <d v="2026-10-14T00:00:00"/>
    <s v=""/>
    <s v="CAJA"/>
    <n v="3"/>
    <s v="PENDIENTE APROBACION  ENVIO TMS"/>
    <s v="000000001209672333"/>
    <x v="1"/>
    <x v="1"/>
    <m/>
    <n v="1"/>
    <m/>
  </r>
  <r>
    <n v="209672467"/>
    <s v="125"/>
    <x v="74"/>
    <d v="2026-10-14T11:50:36"/>
    <d v="2026-10-14T05:50:34"/>
    <d v="2026-10-14T00:00:00"/>
    <s v=""/>
    <s v="CAJA"/>
    <n v="6"/>
    <s v="PENDIENTE APROBACION  ENVIO TMS"/>
    <s v="000000000209672467"/>
    <x v="0"/>
    <x v="1"/>
    <m/>
    <n v="1"/>
    <m/>
  </r>
  <r>
    <n v="8209672358"/>
    <s v="160"/>
    <x v="33"/>
    <d v="2026-10-14T11:50:38"/>
    <d v="2026-10-14T05:50:35"/>
    <d v="2026-10-14T00:00:00"/>
    <s v=""/>
    <s v="UNIDAD"/>
    <n v="8"/>
    <s v="PENDIENTE APROBACION  ENVIO TMS"/>
    <s v="000000008209672358"/>
    <x v="2"/>
    <x v="2"/>
    <m/>
    <n v="1"/>
    <m/>
  </r>
  <r>
    <n v="1209672361"/>
    <s v="160"/>
    <x v="33"/>
    <d v="2026-10-14T11:50:39"/>
    <d v="2026-10-14T05:50:36"/>
    <d v="2026-10-14T00:00:00"/>
    <s v=""/>
    <s v="UNIDAD"/>
    <n v="9"/>
    <s v="PENDIENTE APROBACION  ENVIO TMS"/>
    <s v="000000001209672361"/>
    <x v="1"/>
    <x v="2"/>
    <m/>
    <n v="1"/>
    <m/>
  </r>
  <r>
    <n v="209672487"/>
    <s v="205"/>
    <x v="19"/>
    <d v="2026-10-14T11:50:40"/>
    <d v="2026-10-14T05:50:38"/>
    <d v="2026-10-14T00:00:00"/>
    <s v=""/>
    <s v="CAJA"/>
    <n v="6"/>
    <s v="PENDIENTE APROBACION  ENVIO TMS"/>
    <s v="000000000209672487"/>
    <x v="0"/>
    <x v="0"/>
    <m/>
    <n v="1"/>
    <m/>
  </r>
  <r>
    <n v="209672491"/>
    <s v="221"/>
    <x v="125"/>
    <d v="2026-10-14T11:50:41"/>
    <d v="2026-10-14T05:50:39"/>
    <d v="2026-10-14T00:00:00"/>
    <s v=""/>
    <s v="CAJA"/>
    <n v="6"/>
    <s v="PENDIENTE APROBACION  ENVIO TMS"/>
    <s v="000000000209672491"/>
    <x v="0"/>
    <x v="3"/>
    <m/>
    <n v="1"/>
    <m/>
  </r>
  <r>
    <n v="209672510"/>
    <s v="275"/>
    <x v="89"/>
    <d v="2026-10-14T11:50:42"/>
    <d v="2026-10-14T05:50:40"/>
    <d v="2026-10-14T00:00:00"/>
    <s v=""/>
    <s v="CAJA"/>
    <n v="6"/>
    <s v="PENDIENTE APROBACION  ENVIO TMS"/>
    <s v="000000000209672510"/>
    <x v="0"/>
    <x v="0"/>
    <m/>
    <n v="1"/>
    <m/>
  </r>
  <r>
    <n v="1209672375"/>
    <s v="160"/>
    <x v="33"/>
    <d v="2026-10-14T11:50:44"/>
    <d v="2026-10-14T05:50:41"/>
    <d v="2026-10-14T00:00:00"/>
    <s v=""/>
    <s v="PACK"/>
    <n v="5"/>
    <s v="PENDIENTE APROBACION  ENVIO TMS"/>
    <s v="000000001209672375"/>
    <x v="1"/>
    <x v="2"/>
    <m/>
    <n v="1"/>
    <m/>
  </r>
  <r>
    <n v="209672432"/>
    <s v="64"/>
    <x v="15"/>
    <d v="2026-10-14T11:50:45"/>
    <d v="2026-10-14T05:50:43"/>
    <d v="2026-10-14T00:00:00"/>
    <s v=""/>
    <s v="CAJA"/>
    <n v="6"/>
    <s v="PENDIENTE APROBACION  ENVIO TMS"/>
    <s v="000000000209672432"/>
    <x v="0"/>
    <x v="2"/>
    <m/>
    <n v="1"/>
    <m/>
  </r>
  <r>
    <n v="209672440"/>
    <s v="81"/>
    <x v="66"/>
    <d v="2026-10-14T11:50:46"/>
    <d v="2026-10-14T05:50:44"/>
    <d v="2026-10-14T00:00:00"/>
    <s v=""/>
    <s v="CAJA"/>
    <n v="6"/>
    <s v="PENDIENTE APROBACION  ENVIO TMS"/>
    <s v="000000000209672440"/>
    <x v="0"/>
    <x v="2"/>
    <m/>
    <n v="1"/>
    <m/>
  </r>
  <r>
    <n v="209672443"/>
    <s v="82"/>
    <x v="20"/>
    <d v="2026-10-14T11:50:47"/>
    <d v="2026-10-14T05:50:45"/>
    <d v="2026-10-14T00:00:00"/>
    <s v=""/>
    <s v="CAJA"/>
    <n v="6"/>
    <s v="PENDIENTE APROBACION  ENVIO TMS"/>
    <s v="000000000209672443"/>
    <x v="0"/>
    <x v="0"/>
    <m/>
    <n v="1"/>
    <m/>
  </r>
  <r>
    <n v="209672453"/>
    <s v="103"/>
    <x v="42"/>
    <d v="2026-10-14T11:50:49"/>
    <d v="2026-10-14T05:50:46"/>
    <d v="2026-10-14T00:00:00"/>
    <s v=""/>
    <s v="CAJA"/>
    <n v="6"/>
    <s v="PENDIENTE APROBACION  ENVIO TMS"/>
    <s v="000000000209672453"/>
    <x v="0"/>
    <x v="2"/>
    <m/>
    <n v="1"/>
    <m/>
  </r>
  <r>
    <n v="209672459"/>
    <s v="110"/>
    <x v="55"/>
    <d v="2026-10-14T11:50:50"/>
    <d v="2026-10-14T05:50:47"/>
    <d v="2026-10-14T00:00:00"/>
    <s v=""/>
    <s v="CAJA"/>
    <n v="6"/>
    <s v="PENDIENTE APROBACION  ENVIO TMS"/>
    <s v="000000000209672459"/>
    <x v="0"/>
    <x v="0"/>
    <m/>
    <n v="1"/>
    <m/>
  </r>
  <r>
    <n v="1209672305"/>
    <s v="156"/>
    <x v="17"/>
    <d v="2026-10-14T11:50:51"/>
    <d v="2026-10-14T05:50:49"/>
    <d v="2026-10-14T00:00:00"/>
    <s v=""/>
    <s v="CAJA"/>
    <n v="21"/>
    <s v="PENDIENTE APROBACION  ENVIO TMS"/>
    <s v="000000001209672305"/>
    <x v="1"/>
    <x v="0"/>
    <m/>
    <n v="1"/>
    <m/>
  </r>
  <r>
    <n v="8209672262"/>
    <s v="150"/>
    <x v="59"/>
    <d v="2026-10-14T11:50:52"/>
    <d v="2026-10-14T05:50:50"/>
    <d v="2026-10-14T00:00:00"/>
    <s v=""/>
    <s v="UNIDAD"/>
    <n v="8"/>
    <s v="PENDIENTE APROBACION  ENVIO TMS"/>
    <s v="000000008209672262"/>
    <x v="2"/>
    <x v="1"/>
    <m/>
    <n v="1"/>
    <m/>
  </r>
  <r>
    <n v="1209672306"/>
    <s v="156"/>
    <x v="17"/>
    <d v="2026-10-14T11:50:53"/>
    <d v="2026-10-14T05:50:51"/>
    <d v="2026-10-14T00:00:00"/>
    <s v=""/>
    <s v="CAJA"/>
    <n v="32"/>
    <s v="PENDIENTE APROBACION  ENVIO TMS"/>
    <s v="000000001209672306"/>
    <x v="1"/>
    <x v="0"/>
    <m/>
    <n v="1"/>
    <m/>
  </r>
  <r>
    <n v="8209672229"/>
    <s v="144"/>
    <x v="34"/>
    <d v="2026-10-14T11:50:55"/>
    <d v="2026-10-14T05:50:52"/>
    <d v="2026-10-14T00:00:00"/>
    <s v=""/>
    <s v="UNIDAD"/>
    <n v="3"/>
    <s v="PENDIENTE APROBACION  ENVIO TMS"/>
    <s v="000000008209672229"/>
    <x v="2"/>
    <x v="1"/>
    <m/>
    <n v="1"/>
    <m/>
  </r>
  <r>
    <n v="8209672298"/>
    <s v="156"/>
    <x v="17"/>
    <d v="2026-10-14T11:50:56"/>
    <d v="2026-10-14T05:50:54"/>
    <d v="2026-10-14T00:00:00"/>
    <s v=""/>
    <s v="UNIDAD"/>
    <n v="1"/>
    <s v="PENDIENTE APROBACION  ENVIO TMS"/>
    <s v="000000008209672298"/>
    <x v="2"/>
    <x v="0"/>
    <m/>
    <n v="1"/>
    <m/>
  </r>
  <r>
    <n v="1209672270"/>
    <s v="150"/>
    <x v="59"/>
    <d v="2026-10-14T11:50:58"/>
    <d v="2026-10-14T05:50:56"/>
    <d v="2026-10-14T00:00:00"/>
    <s v=""/>
    <s v="CAJA"/>
    <n v="21"/>
    <s v="PENDIENTE APROBACION  ENVIO TMS"/>
    <s v="000000001209672270"/>
    <x v="1"/>
    <x v="1"/>
    <m/>
    <n v="1"/>
    <m/>
  </r>
  <r>
    <n v="8209672310"/>
    <s v="156"/>
    <x v="17"/>
    <d v="2026-10-14T11:50:58"/>
    <d v="2026-10-14T05:50:55"/>
    <d v="2026-10-14T00:00:00"/>
    <s v=""/>
    <s v="UNIDAD"/>
    <n v="3"/>
    <s v="PENDIENTE APROBACION  ENVIO TMS"/>
    <s v="000000008209672310"/>
    <x v="2"/>
    <x v="0"/>
    <m/>
    <n v="1"/>
    <m/>
  </r>
  <r>
    <n v="1209672331"/>
    <s v="159"/>
    <x v="36"/>
    <d v="2026-10-14T11:51:00"/>
    <d v="2026-10-14T05:50:57"/>
    <d v="2026-10-14T00:00:00"/>
    <s v=""/>
    <s v="PACK"/>
    <n v="16"/>
    <s v="PENDIENTE APROBACION  ENVIO TMS"/>
    <s v="000000001209672331"/>
    <x v="1"/>
    <x v="1"/>
    <m/>
    <n v="1"/>
    <m/>
  </r>
  <r>
    <n v="1209672332"/>
    <s v="159"/>
    <x v="36"/>
    <d v="2026-10-14T11:51:01"/>
    <d v="2026-10-14T05:50:58"/>
    <d v="2026-10-14T00:00:00"/>
    <s v=""/>
    <s v="CAJA"/>
    <n v="12"/>
    <s v="PENDIENTE APROBACION  ENVIO TMS"/>
    <s v="000000001209672332"/>
    <x v="1"/>
    <x v="1"/>
    <m/>
    <n v="1"/>
    <m/>
  </r>
  <r>
    <n v="209672417"/>
    <s v="52"/>
    <x v="12"/>
    <d v="2026-10-14T11:51:02"/>
    <d v="2026-10-14T05:51:00"/>
    <d v="2026-10-14T00:00:00"/>
    <s v=""/>
    <s v="CAJA"/>
    <n v="6"/>
    <s v="PENDIENTE APROBACION  ENVIO TMS"/>
    <s v="000000000209672417"/>
    <x v="0"/>
    <x v="0"/>
    <m/>
    <n v="1"/>
    <m/>
  </r>
  <r>
    <n v="209672476"/>
    <s v="144"/>
    <x v="34"/>
    <d v="2026-10-14T11:51:04"/>
    <d v="2026-10-14T05:51:02"/>
    <d v="2026-10-14T00:00:00"/>
    <s v=""/>
    <s v="CAJA"/>
    <n v="6"/>
    <s v="PENDIENTE APROBACION  ENVIO TMS"/>
    <s v="000000000209672476"/>
    <x v="0"/>
    <x v="1"/>
    <m/>
    <n v="1"/>
    <m/>
  </r>
  <r>
    <n v="209672471"/>
    <s v="129"/>
    <x v="47"/>
    <d v="2026-10-14T11:51:04"/>
    <d v="2026-10-14T05:51:01"/>
    <d v="2026-10-14T00:00:00"/>
    <s v=""/>
    <s v="CAJA"/>
    <n v="6"/>
    <s v="PENDIENTE APROBACION  ENVIO TMS"/>
    <s v="000000000209672471"/>
    <x v="0"/>
    <x v="2"/>
    <m/>
    <n v="1"/>
    <m/>
  </r>
  <r>
    <n v="8209672360"/>
    <s v="160"/>
    <x v="33"/>
    <d v="2026-10-14T11:51:06"/>
    <d v="2026-10-14T05:51:03"/>
    <d v="2026-10-14T00:00:00"/>
    <s v=""/>
    <s v="UNIDAD"/>
    <n v="37"/>
    <s v="PENDIENTE APROBACION  ENVIO TMS"/>
    <s v="000000008209672360"/>
    <x v="2"/>
    <x v="2"/>
    <m/>
    <n v="1"/>
    <m/>
  </r>
  <r>
    <n v="209672496"/>
    <s v="237"/>
    <x v="105"/>
    <d v="2026-10-14T11:51:07"/>
    <d v="2026-10-14T05:51:05"/>
    <d v="2026-10-14T00:00:00"/>
    <s v=""/>
    <s v="CAJA"/>
    <n v="6"/>
    <s v="PENDIENTE APROBACION  ENVIO TMS"/>
    <s v="000000000209672496"/>
    <x v="0"/>
    <x v="0"/>
    <m/>
    <n v="1"/>
    <m/>
  </r>
  <r>
    <n v="209672500"/>
    <s v="259"/>
    <x v="85"/>
    <d v="2026-10-14T11:51:09"/>
    <d v="2026-10-14T05:51:07"/>
    <d v="2026-10-14T00:00:00"/>
    <s v=""/>
    <s v="CAJA"/>
    <n v="6"/>
    <s v="PENDIENTE APROBACION  ENVIO TMS"/>
    <s v="000000000209672500"/>
    <x v="0"/>
    <x v="1"/>
    <m/>
    <n v="1"/>
    <m/>
  </r>
  <r>
    <n v="209672497"/>
    <s v="238"/>
    <x v="84"/>
    <d v="2026-10-14T11:51:09"/>
    <d v="2026-10-14T05:51:06"/>
    <d v="2026-10-14T00:00:00"/>
    <s v=""/>
    <s v="CAJA"/>
    <n v="6"/>
    <s v="PENDIENTE APROBACION  ENVIO TMS"/>
    <s v="000000000209672497"/>
    <x v="0"/>
    <x v="1"/>
    <m/>
    <n v="1"/>
    <m/>
  </r>
  <r>
    <n v="209672506"/>
    <s v="266"/>
    <x v="109"/>
    <d v="2026-10-14T11:51:11"/>
    <d v="2026-10-14T05:51:08"/>
    <d v="2026-10-14T00:00:00"/>
    <s v=""/>
    <s v="CAJA"/>
    <n v="6"/>
    <s v="PENDIENTE APROBACION  ENVIO TMS"/>
    <s v="000000000209672506"/>
    <x v="0"/>
    <x v="0"/>
    <m/>
    <n v="1"/>
    <m/>
  </r>
  <r>
    <n v="209672511"/>
    <s v="279"/>
    <x v="114"/>
    <d v="2026-10-14T11:51:12"/>
    <d v="2026-10-14T05:51:09"/>
    <d v="2026-10-14T00:00:00"/>
    <s v=""/>
    <s v="CAJA"/>
    <n v="6"/>
    <s v="PENDIENTE APROBACION  ENVIO TMS"/>
    <s v="000000000209672511"/>
    <x v="0"/>
    <x v="0"/>
    <m/>
    <n v="1"/>
    <m/>
  </r>
  <r>
    <n v="209672418"/>
    <s v="53"/>
    <x v="136"/>
    <d v="2026-10-14T11:51:13"/>
    <d v="2026-10-14T05:51:11"/>
    <d v="2026-10-14T00:00:00"/>
    <s v=""/>
    <s v="CAJA"/>
    <n v="6"/>
    <s v="PENDIENTE APROBACION  ENVIO TMS"/>
    <s v="000000000209672418"/>
    <x v="0"/>
    <x v="2"/>
    <m/>
    <n v="1"/>
    <m/>
  </r>
  <r>
    <n v="209672427"/>
    <s v="61"/>
    <x v="77"/>
    <d v="2026-10-14T11:51:15"/>
    <d v="2026-10-14T05:51:12"/>
    <d v="2026-10-14T00:00:00"/>
    <s v=""/>
    <s v="CAJA"/>
    <n v="6"/>
    <s v="PENDIENTE APROBACION  ENVIO TMS"/>
    <s v="000000000209672427"/>
    <x v="0"/>
    <x v="0"/>
    <m/>
    <n v="1"/>
    <m/>
  </r>
  <r>
    <n v="209672434"/>
    <s v="66"/>
    <x v="5"/>
    <d v="2026-10-14T11:51:15"/>
    <d v="2026-10-14T05:51:13"/>
    <d v="2026-10-14T00:00:00"/>
    <s v=""/>
    <s v="CAJA"/>
    <n v="6"/>
    <s v="PENDIENTE APROBACION  ENVIO TMS"/>
    <s v="000000000209672434"/>
    <x v="0"/>
    <x v="2"/>
    <m/>
    <n v="1"/>
    <m/>
  </r>
  <r>
    <n v="1209672370"/>
    <s v="160"/>
    <x v="33"/>
    <d v="2026-10-14T11:51:17"/>
    <d v="2026-10-14T05:51:14"/>
    <d v="2026-10-14T00:00:00"/>
    <s v=""/>
    <s v="CAJA"/>
    <n v="3"/>
    <s v="PENDIENTE APROBACION  ENVIO TMS"/>
    <s v="000000001209672370"/>
    <x v="1"/>
    <x v="2"/>
    <m/>
    <n v="1"/>
    <m/>
  </r>
  <r>
    <n v="209672479"/>
    <s v="140"/>
    <x v="35"/>
    <d v="2026-10-14T11:51:18"/>
    <d v="2026-10-14T05:51:16"/>
    <d v="2026-10-14T00:00:00"/>
    <s v=""/>
    <s v="CAJA"/>
    <n v="6"/>
    <s v="PENDIENTE APROBACION  ENVIO TMS"/>
    <s v="000000000209672479"/>
    <x v="0"/>
    <x v="2"/>
    <m/>
    <n v="1"/>
    <m/>
  </r>
  <r>
    <n v="209672490"/>
    <s v="209"/>
    <x v="2"/>
    <d v="2026-10-14T11:51:20"/>
    <d v="2026-10-14T05:51:17"/>
    <d v="2026-10-14T00:00:00"/>
    <s v=""/>
    <s v="CAJA"/>
    <n v="6"/>
    <s v="PENDIENTE APROBACION  ENVIO TMS"/>
    <s v="000000000209672490"/>
    <x v="0"/>
    <x v="0"/>
    <m/>
    <n v="1"/>
    <m/>
  </r>
  <r>
    <n v="209672494"/>
    <s v="224"/>
    <x v="6"/>
    <d v="2026-10-14T11:51:20"/>
    <d v="2026-10-14T05:51:18"/>
    <d v="2026-10-14T00:00:00"/>
    <s v=""/>
    <s v="CAJA"/>
    <n v="6"/>
    <s v="PENDIENTE APROBACION  ENVIO TMS"/>
    <s v="000000000209672494"/>
    <x v="0"/>
    <x v="0"/>
    <m/>
    <n v="1"/>
    <m/>
  </r>
  <r>
    <n v="209672503"/>
    <s v="262"/>
    <x v="107"/>
    <d v="2026-10-14T11:51:22"/>
    <d v="2026-10-14T05:51:19"/>
    <d v="2026-10-14T00:00:00"/>
    <s v=""/>
    <s v="CAJA"/>
    <n v="6"/>
    <s v="PENDIENTE APROBACION  ENVIO TMS"/>
    <s v="000000000209672503"/>
    <x v="0"/>
    <x v="4"/>
    <m/>
    <n v="1"/>
    <m/>
  </r>
  <r>
    <n v="209672508"/>
    <s v="281"/>
    <x v="27"/>
    <d v="2026-10-14T11:51:23"/>
    <d v="2026-10-14T05:51:21"/>
    <d v="2026-10-14T00:00:00"/>
    <s v=""/>
    <s v="CAJA"/>
    <n v="6"/>
    <s v="PENDIENTE APROBACION  ENVIO TMS"/>
    <s v="000000000209672508"/>
    <x v="0"/>
    <x v="0"/>
    <m/>
    <n v="1"/>
    <m/>
  </r>
  <r>
    <n v="209672514"/>
    <s v="277"/>
    <x v="4"/>
    <d v="2026-10-14T11:51:24"/>
    <d v="2026-10-14T05:51:22"/>
    <d v="2026-10-14T00:00:00"/>
    <s v=""/>
    <s v="CAJA"/>
    <n v="6"/>
    <s v="PENDIENTE APROBACION  ENVIO TMS"/>
    <s v="000000000209672514"/>
    <x v="0"/>
    <x v="1"/>
    <m/>
    <n v="1"/>
    <m/>
  </r>
  <r>
    <n v="209672419"/>
    <s v="54"/>
    <x v="115"/>
    <d v="2026-10-14T11:51:26"/>
    <d v="2026-10-14T05:51:23"/>
    <d v="2026-10-14T00:00:00"/>
    <s v=""/>
    <s v="CAJA"/>
    <n v="6"/>
    <s v="PENDIENTE APROBACION  ENVIO TMS"/>
    <s v="000000000209672419"/>
    <x v="0"/>
    <x v="0"/>
    <m/>
    <n v="1"/>
    <m/>
  </r>
  <r>
    <n v="209672420"/>
    <s v="55"/>
    <x v="28"/>
    <d v="2026-10-14T11:51:27"/>
    <d v="2026-10-14T05:51:24"/>
    <d v="2026-10-14T00:00:00"/>
    <s v=""/>
    <s v="CAJA"/>
    <n v="6"/>
    <s v="PENDIENTE APROBACION  ENVIO TMS"/>
    <s v="000000000209672420"/>
    <x v="0"/>
    <x v="0"/>
    <m/>
    <n v="1"/>
    <m/>
  </r>
  <r>
    <n v="209672428"/>
    <s v="62"/>
    <x v="58"/>
    <d v="2026-10-14T11:51:28"/>
    <d v="2026-10-14T05:51:25"/>
    <d v="2026-10-14T00:00:00"/>
    <s v=""/>
    <s v="CAJA"/>
    <n v="6"/>
    <s v="PENDIENTE APROBACION  ENVIO TMS"/>
    <s v="000000000209672428"/>
    <x v="0"/>
    <x v="3"/>
    <m/>
    <n v="1"/>
    <m/>
  </r>
  <r>
    <n v="209672435"/>
    <s v="74"/>
    <x v="63"/>
    <d v="2026-10-14T11:51:29"/>
    <d v="2026-10-14T05:51:27"/>
    <d v="2026-10-14T00:00:00"/>
    <s v=""/>
    <s v="CAJA"/>
    <n v="6"/>
    <s v="PENDIENTE APROBACION  ENVIO TMS"/>
    <s v="000000000209672435"/>
    <x v="0"/>
    <x v="0"/>
    <m/>
    <n v="1"/>
    <m/>
  </r>
  <r>
    <n v="209672438"/>
    <s v="69"/>
    <x v="80"/>
    <d v="2026-10-14T11:51:31"/>
    <d v="2026-10-14T05:51:28"/>
    <d v="2026-10-14T00:00:00"/>
    <s v=""/>
    <s v="CAJA"/>
    <n v="6"/>
    <s v="PENDIENTE APROBACION  ENVIO TMS"/>
    <s v="000000000209672438"/>
    <x v="0"/>
    <x v="1"/>
    <m/>
    <n v="1"/>
    <m/>
  </r>
  <r>
    <n v="209672398"/>
    <s v="17"/>
    <x v="99"/>
    <d v="2026-10-14T11:51:32"/>
    <d v="2026-10-14T05:51:29"/>
    <d v="2026-10-14T00:00:00"/>
    <s v=""/>
    <s v="CAJA"/>
    <n v="6"/>
    <s v="PENDIENTE APROBACION  ENVIO TMS"/>
    <s v="000000000209672398"/>
    <x v="0"/>
    <x v="3"/>
    <m/>
    <n v="1"/>
    <m/>
  </r>
  <r>
    <n v="209672399"/>
    <s v="21"/>
    <x v="124"/>
    <d v="2026-10-14T11:51:33"/>
    <d v="2026-10-14T05:51:30"/>
    <d v="2026-10-14T00:00:00"/>
    <s v=""/>
    <s v="CAJA"/>
    <n v="6"/>
    <s v="PENDIENTE APROBACION  ENVIO TMS"/>
    <s v="000000000209672399"/>
    <x v="0"/>
    <x v="3"/>
    <m/>
    <n v="1"/>
    <m/>
  </r>
  <r>
    <n v="209672452"/>
    <s v="102"/>
    <x v="106"/>
    <d v="2026-10-14T11:51:34"/>
    <d v="2026-10-14T05:51:32"/>
    <d v="2026-10-14T00:00:00"/>
    <s v=""/>
    <s v="CAJA"/>
    <n v="6"/>
    <s v="PENDIENTE APROBACION  ENVIO TMS"/>
    <s v="000000000209672452"/>
    <x v="0"/>
    <x v="3"/>
    <m/>
    <n v="1"/>
    <m/>
  </r>
  <r>
    <n v="209672454"/>
    <s v="104"/>
    <x v="9"/>
    <d v="2026-10-14T11:51:35"/>
    <d v="2026-10-14T05:51:33"/>
    <d v="2026-10-14T00:00:00"/>
    <s v=""/>
    <s v="CAJA"/>
    <n v="6"/>
    <s v="PENDIENTE APROBACION  ENVIO TMS"/>
    <s v="000000000209672454"/>
    <x v="0"/>
    <x v="1"/>
    <m/>
    <n v="1"/>
    <m/>
  </r>
  <r>
    <n v="209672407"/>
    <s v="41"/>
    <x v="43"/>
    <d v="2026-10-14T11:51:37"/>
    <d v="2026-10-14T05:51:34"/>
    <d v="2026-10-14T00:00:00"/>
    <s v=""/>
    <s v="CAJA"/>
    <n v="6"/>
    <s v="PENDIENTE APROBACION  ENVIO TMS"/>
    <s v="000000000209672407"/>
    <x v="0"/>
    <x v="0"/>
    <m/>
    <n v="1"/>
    <m/>
  </r>
  <r>
    <n v="1209672337"/>
    <s v="159"/>
    <x v="36"/>
    <d v="2026-10-14T11:51:38"/>
    <d v="2026-10-14T05:51:35"/>
    <d v="2026-10-14T00:00:00"/>
    <s v=""/>
    <s v="PACK"/>
    <n v="54"/>
    <s v="PENDIENTE APROBACION  ENVIO TMS"/>
    <s v="000000001209672337"/>
    <x v="1"/>
    <x v="1"/>
    <m/>
    <n v="1"/>
    <m/>
  </r>
  <r>
    <n v="8209672228"/>
    <s v="144"/>
    <x v="34"/>
    <d v="2026-10-14T11:51:39"/>
    <d v="2026-10-14T05:51:36"/>
    <d v="2026-10-14T00:00:00"/>
    <s v=""/>
    <s v="UNIDAD"/>
    <n v="1"/>
    <s v="PENDIENTE APROBACION  ENVIO TMS"/>
    <s v="000000008209672228"/>
    <x v="2"/>
    <x v="1"/>
    <m/>
    <n v="1"/>
    <m/>
  </r>
  <r>
    <n v="8209672242"/>
    <s v="144"/>
    <x v="34"/>
    <d v="2026-10-14T11:51:40"/>
    <d v="2026-10-14T05:51:38"/>
    <d v="2026-10-14T00:00:00"/>
    <s v=""/>
    <s v="UNIDAD"/>
    <n v="6"/>
    <s v="PENDIENTE APROBACION  ENVIO TMS"/>
    <s v="000000008209672242"/>
    <x v="2"/>
    <x v="1"/>
    <m/>
    <n v="1"/>
    <m/>
  </r>
  <r>
    <n v="8209672296"/>
    <s v="156"/>
    <x v="17"/>
    <d v="2026-10-14T11:51:42"/>
    <d v="2026-10-14T05:51:39"/>
    <d v="2026-10-14T00:00:00"/>
    <s v=""/>
    <s v="UNIDAD"/>
    <n v="1"/>
    <s v="PENDIENTE APROBACION  ENVIO TMS"/>
    <s v="000000008209672296"/>
    <x v="2"/>
    <x v="0"/>
    <m/>
    <n v="1"/>
    <m/>
  </r>
  <r>
    <n v="1209672268"/>
    <s v="150"/>
    <x v="59"/>
    <d v="2026-10-14T11:51:43"/>
    <d v="2026-10-14T05:51:40"/>
    <d v="2026-10-14T00:00:00"/>
    <s v=""/>
    <s v="CAJA"/>
    <n v="18"/>
    <s v="PENDIENTE APROBACION  ENVIO TMS"/>
    <s v="000000001209672268"/>
    <x v="1"/>
    <x v="1"/>
    <m/>
    <n v="1"/>
    <m/>
  </r>
  <r>
    <n v="1209672237"/>
    <s v="144"/>
    <x v="34"/>
    <d v="2026-10-14T11:51:43"/>
    <d v="2026-10-14T05:51:41"/>
    <d v="2026-10-14T00:00:00"/>
    <s v=""/>
    <s v="CAJA"/>
    <n v="18"/>
    <s v="PENDIENTE APROBACION  ENVIO TMS"/>
    <s v="000000001209672237"/>
    <x v="1"/>
    <x v="1"/>
    <m/>
    <n v="1"/>
    <m/>
  </r>
  <r>
    <n v="1209672330"/>
    <s v="159"/>
    <x v="36"/>
    <d v="2026-10-14T11:51:45"/>
    <d v="2026-10-14T05:51:43"/>
    <d v="2026-10-14T00:00:00"/>
    <s v=""/>
    <s v="CAJA"/>
    <n v="12"/>
    <s v="PENDIENTE APROBACION  ENVIO TMS"/>
    <s v="000000001209672330"/>
    <x v="1"/>
    <x v="1"/>
    <m/>
    <n v="1"/>
    <m/>
  </r>
  <r>
    <n v="1209672274"/>
    <s v="150"/>
    <x v="59"/>
    <d v="2026-10-14T11:51:46"/>
    <d v="2026-10-14T05:51:44"/>
    <d v="2026-10-14T00:00:00"/>
    <s v=""/>
    <s v="PACK"/>
    <n v="51"/>
    <s v="PENDIENTE APROBACION  ENVIO TMS"/>
    <s v="000000001209672274"/>
    <x v="1"/>
    <x v="1"/>
    <m/>
    <n v="1"/>
    <m/>
  </r>
  <r>
    <n v="1209672303"/>
    <s v="156"/>
    <x v="17"/>
    <d v="2026-10-14T11:51:48"/>
    <d v="2026-10-14T05:51:45"/>
    <d v="2026-10-14T00:00:00"/>
    <s v=""/>
    <s v="CAJA"/>
    <n v="17"/>
    <s v="PENDIENTE APROBACION  ENVIO TMS"/>
    <s v="000000001209672303"/>
    <x v="1"/>
    <x v="0"/>
    <m/>
    <n v="1"/>
    <m/>
  </r>
  <r>
    <n v="209672463"/>
    <s v="117"/>
    <x v="72"/>
    <d v="2026-10-14T11:51:49"/>
    <d v="2026-10-14T05:51:46"/>
    <d v="2026-10-14T00:00:00"/>
    <s v=""/>
    <s v="CAJA"/>
    <n v="6"/>
    <s v="PENDIENTE APROBACION  ENVIO TMS"/>
    <s v="000000000209672463"/>
    <x v="0"/>
    <x v="3"/>
    <m/>
    <n v="1"/>
    <m/>
  </r>
  <r>
    <n v="209672480"/>
    <s v="156"/>
    <x v="17"/>
    <d v="2026-10-14T11:51:50"/>
    <d v="2026-10-14T05:51:48"/>
    <d v="2026-10-14T00:00:00"/>
    <s v=""/>
    <s v="CAJA"/>
    <n v="6"/>
    <s v="PENDIENTE APROBACION  ENVIO TMS"/>
    <s v="000000000209672480"/>
    <x v="0"/>
    <x v="0"/>
    <m/>
    <n v="1"/>
    <m/>
  </r>
  <r>
    <n v="209672486"/>
    <s v="204"/>
    <x v="98"/>
    <d v="2026-10-14T11:51:51"/>
    <d v="2026-10-14T05:51:49"/>
    <d v="2026-10-14T00:00:00"/>
    <s v=""/>
    <s v="CAJA"/>
    <n v="6"/>
    <s v="PENDIENTE APROBACION  ENVIO TMS"/>
    <s v="000000000209672486"/>
    <x v="0"/>
    <x v="0"/>
    <m/>
    <n v="1"/>
    <m/>
  </r>
  <r>
    <n v="209672493"/>
    <s v="225"/>
    <x v="70"/>
    <d v="2026-10-14T11:51:53"/>
    <d v="2026-10-14T05:51:50"/>
    <d v="2026-10-14T00:00:00"/>
    <s v=""/>
    <s v="CAJA"/>
    <n v="6"/>
    <s v="PENDIENTE APROBACION  ENVIO TMS"/>
    <s v="000000000209672493"/>
    <x v="0"/>
    <x v="3"/>
    <m/>
    <n v="1"/>
    <m/>
  </r>
  <r>
    <n v="209672499"/>
    <s v="258"/>
    <x v="131"/>
    <d v="2026-10-14T11:51:54"/>
    <d v="2026-10-14T05:51:51"/>
    <d v="2026-10-14T00:00:00"/>
    <s v=""/>
    <s v="CAJA"/>
    <n v="6"/>
    <s v="PENDIENTE APROBACION  ENVIO TMS"/>
    <s v="000000000209672499"/>
    <x v="0"/>
    <x v="0"/>
    <m/>
    <n v="1"/>
    <m/>
  </r>
  <r>
    <n v="209672501"/>
    <s v="263"/>
    <x v="8"/>
    <d v="2026-10-14T11:51:55"/>
    <d v="2026-10-14T05:51:52"/>
    <d v="2026-10-14T00:00:00"/>
    <s v=""/>
    <s v="CAJA"/>
    <n v="6"/>
    <s v="PENDIENTE APROBACION  ENVIO TMS"/>
    <s v="000000000209672501"/>
    <x v="0"/>
    <x v="0"/>
    <m/>
    <n v="1"/>
    <m/>
  </r>
  <r>
    <n v="1209672367"/>
    <s v="160"/>
    <x v="33"/>
    <d v="2026-10-14T11:51:56"/>
    <d v="2026-10-14T05:51:54"/>
    <d v="2026-10-14T00:00:00"/>
    <s v=""/>
    <s v="PACK"/>
    <n v="36"/>
    <s v="PENDIENTE APROBACION  ENVIO TMS"/>
    <s v="000000001209672367"/>
    <x v="1"/>
    <x v="2"/>
    <m/>
    <n v="1"/>
    <m/>
  </r>
  <r>
    <n v="209672421"/>
    <s v="70"/>
    <x v="45"/>
    <d v="2026-10-14T11:51:57"/>
    <d v="2026-10-14T05:51:55"/>
    <d v="2026-10-14T00:00:00"/>
    <s v=""/>
    <s v="CAJA"/>
    <n v="6"/>
    <s v="PENDIENTE APROBACION  ENVIO TMS"/>
    <s v="000000000209672421"/>
    <x v="0"/>
    <x v="2"/>
    <m/>
    <n v="1"/>
    <m/>
  </r>
  <r>
    <n v="209672424"/>
    <s v="59"/>
    <x v="56"/>
    <d v="2026-10-14T11:51:59"/>
    <d v="2026-10-14T05:51:56"/>
    <d v="2026-10-14T00:00:00"/>
    <s v=""/>
    <s v="CAJA"/>
    <n v="6"/>
    <s v="PENDIENTE APROBACION  ENVIO TMS"/>
    <s v="000000000209672424"/>
    <x v="0"/>
    <x v="0"/>
    <m/>
    <n v="1"/>
    <m/>
  </r>
  <r>
    <n v="1209672376"/>
    <s v="160"/>
    <x v="33"/>
    <d v="2026-10-14T11:52:00"/>
    <d v="2026-10-14T05:51:57"/>
    <d v="2026-10-14T00:00:00"/>
    <s v=""/>
    <s v="PACK"/>
    <n v="17"/>
    <s v="PENDIENTE APROBACION  ENVIO TMS"/>
    <s v="000000001209672376"/>
    <x v="1"/>
    <x v="2"/>
    <m/>
    <n v="1"/>
    <m/>
  </r>
  <r>
    <n v="209672429"/>
    <s v="72"/>
    <x v="60"/>
    <d v="2026-10-14T11:52:01"/>
    <d v="2026-10-14T05:51:59"/>
    <d v="2026-10-14T00:00:00"/>
    <s v=""/>
    <s v="CAJA"/>
    <n v="6"/>
    <s v="PENDIENTE APROBACION  ENVIO TMS"/>
    <s v="000000000209672429"/>
    <x v="0"/>
    <x v="3"/>
    <m/>
    <n v="1"/>
    <m/>
  </r>
  <r>
    <n v="209672394"/>
    <s v="12"/>
    <x v="62"/>
    <d v="2026-10-14T11:52:02"/>
    <d v="2026-10-14T05:52:00"/>
    <d v="2026-10-14T00:00:00"/>
    <s v=""/>
    <s v="CAJA"/>
    <n v="6"/>
    <s v="PENDIENTE APROBACION  ENVIO TMS"/>
    <s v="000000000209672394"/>
    <x v="0"/>
    <x v="1"/>
    <m/>
    <n v="1"/>
    <m/>
  </r>
  <r>
    <n v="209672444"/>
    <s v="83"/>
    <x v="67"/>
    <d v="2026-10-14T11:52:04"/>
    <d v="2026-10-14T05:52:01"/>
    <d v="2026-10-14T00:00:00"/>
    <s v=""/>
    <s v="CAJA"/>
    <n v="6"/>
    <s v="PENDIENTE APROBACION  ENVIO TMS"/>
    <s v="000000000209672444"/>
    <x v="0"/>
    <x v="1"/>
    <m/>
    <n v="1"/>
    <m/>
  </r>
  <r>
    <n v="209672447"/>
    <s v="80"/>
    <x v="54"/>
    <d v="2026-10-14T11:52:05"/>
    <d v="2026-10-14T05:52:02"/>
    <d v="2026-10-14T00:00:00"/>
    <s v=""/>
    <s v="CAJA"/>
    <n v="6"/>
    <s v="PENDIENTE APROBACION  ENVIO TMS"/>
    <s v="000000000209672447"/>
    <x v="0"/>
    <x v="0"/>
    <m/>
    <n v="1"/>
    <m/>
  </r>
  <r>
    <n v="209672397"/>
    <s v="16"/>
    <x v="18"/>
    <d v="2026-10-14T11:52:06"/>
    <d v="2026-10-14T05:52:03"/>
    <d v="2026-10-14T00:00:00"/>
    <s v=""/>
    <s v="CAJA"/>
    <n v="6"/>
    <s v="PENDIENTE APROBACION  ENVIO TMS"/>
    <s v="000000000209672397"/>
    <x v="0"/>
    <x v="1"/>
    <m/>
    <n v="1"/>
    <m/>
  </r>
  <r>
    <n v="209672450"/>
    <s v="89"/>
    <x v="104"/>
    <d v="2026-10-14T11:52:07"/>
    <d v="2026-10-14T05:52:05"/>
    <d v="2026-10-14T00:00:00"/>
    <s v=""/>
    <s v="CAJA"/>
    <n v="6"/>
    <s v="PENDIENTE APROBACION  ENVIO TMS"/>
    <s v="000000000209672450"/>
    <x v="0"/>
    <x v="0"/>
    <m/>
    <n v="1"/>
    <m/>
  </r>
  <r>
    <n v="209672451"/>
    <s v="91"/>
    <x v="7"/>
    <d v="2026-10-14T11:52:08"/>
    <d v="2026-10-14T05:52:06"/>
    <d v="2026-10-14T00:00:00"/>
    <s v=""/>
    <s v="CAJA"/>
    <n v="6"/>
    <s v="PENDIENTE APROBACION  ENVIO TMS"/>
    <s v="000000000209672451"/>
    <x v="0"/>
    <x v="2"/>
    <m/>
    <n v="1"/>
    <m/>
  </r>
  <r>
    <n v="209672403"/>
    <s v="36"/>
    <x v="21"/>
    <d v="2026-10-14T11:52:10"/>
    <d v="2026-10-14T05:52:07"/>
    <d v="2026-10-14T00:00:00"/>
    <s v=""/>
    <s v="CAJA"/>
    <n v="6"/>
    <s v="PENDIENTE APROBACION  ENVIO TMS"/>
    <s v="000000000209672403"/>
    <x v="0"/>
    <x v="1"/>
    <m/>
    <n v="1"/>
    <m/>
  </r>
  <r>
    <n v="209672408"/>
    <s v="43"/>
    <x v="23"/>
    <d v="2026-10-14T11:52:11"/>
    <d v="2026-10-14T05:52:08"/>
    <d v="2026-10-14T00:00:00"/>
    <s v=""/>
    <s v="CAJA"/>
    <n v="6"/>
    <s v="PENDIENTE APROBACION  ENVIO TMS"/>
    <s v="000000000209672408"/>
    <x v="0"/>
    <x v="1"/>
    <m/>
    <n v="1"/>
    <m/>
  </r>
  <r>
    <n v="209672409"/>
    <s v="44"/>
    <x v="24"/>
    <d v="2026-10-14T11:52:12"/>
    <d v="2026-10-14T05:52:10"/>
    <d v="2026-10-14T00:00:00"/>
    <s v=""/>
    <s v="CAJA"/>
    <n v="6"/>
    <s v="PENDIENTE APROBACION  ENVIO TMS"/>
    <s v="000000000209672409"/>
    <x v="0"/>
    <x v="0"/>
    <m/>
    <n v="1"/>
    <m/>
  </r>
  <r>
    <n v="8209672357"/>
    <s v="160"/>
    <x v="33"/>
    <d v="2026-10-14T11:52:15"/>
    <d v="2026-10-14T05:52:11"/>
    <d v="2026-10-14T00:00:00"/>
    <s v=""/>
    <s v="UNIDAD"/>
    <n v="2"/>
    <s v="PENDIENTE APROBACION  ENVIO TMS"/>
    <s v="000000008209672357"/>
    <x v="2"/>
    <x v="2"/>
    <m/>
    <n v="1"/>
    <m/>
  </r>
  <r>
    <n v="1209672336"/>
    <s v="159"/>
    <x v="36"/>
    <d v="2026-10-14T11:52:16"/>
    <d v="2026-10-14T05:52:13"/>
    <d v="2026-10-14T00:00:00"/>
    <s v=""/>
    <s v="PACK"/>
    <n v="52"/>
    <s v="PENDIENTE APROBACION  ENVIO TMS"/>
    <s v="000000001209672336"/>
    <x v="1"/>
    <x v="1"/>
    <m/>
    <n v="1"/>
    <m/>
  </r>
  <r>
    <n v="1209672265"/>
    <s v="150"/>
    <x v="59"/>
    <d v="2026-10-14T11:52:18"/>
    <d v="2026-10-14T05:52:15"/>
    <d v="2026-10-14T00:00:00"/>
    <s v=""/>
    <s v="PACK"/>
    <n v="5"/>
    <s v="PENDIENTE APROBACION  ENVIO TMS"/>
    <s v="000000001209672265"/>
    <x v="1"/>
    <x v="1"/>
    <m/>
    <n v="1"/>
    <m/>
  </r>
  <r>
    <n v="1209672340"/>
    <s v="159"/>
    <x v="36"/>
    <d v="2026-10-14T11:52:18"/>
    <d v="2026-10-14T05:52:16"/>
    <d v="2026-10-14T00:00:00"/>
    <s v=""/>
    <s v="CAJA"/>
    <n v="23"/>
    <s v="PENDIENTE APROBACION  ENVIO TMS"/>
    <s v="000000001209672340"/>
    <x v="1"/>
    <x v="1"/>
    <m/>
    <n v="1"/>
    <m/>
  </r>
  <r>
    <n v="8209672231"/>
    <s v="144"/>
    <x v="34"/>
    <d v="2026-10-14T11:52:19"/>
    <d v="2026-10-14T05:52:17"/>
    <d v="2026-10-14T00:00:00"/>
    <s v=""/>
    <s v="UNIDAD"/>
    <n v="12"/>
    <s v="PENDIENTE APROBACION  ENVIO TMS"/>
    <s v="000000008209672231"/>
    <x v="2"/>
    <x v="1"/>
    <m/>
    <n v="1"/>
    <m/>
  </r>
  <r>
    <n v="1209672234"/>
    <s v="144"/>
    <x v="34"/>
    <d v="2026-10-14T11:52:21"/>
    <d v="2026-10-14T05:52:18"/>
    <d v="2026-10-14T00:00:00"/>
    <s v=""/>
    <s v="PACK"/>
    <n v="12"/>
    <s v="PENDIENTE APROBACION  ENVIO TMS"/>
    <s v="000000001209672234"/>
    <x v="1"/>
    <x v="1"/>
    <m/>
    <n v="1"/>
    <m/>
  </r>
  <r>
    <n v="8209672323"/>
    <s v="159"/>
    <x v="36"/>
    <d v="2026-10-14T11:52:22"/>
    <d v="2026-10-14T05:52:19"/>
    <d v="2026-10-14T00:00:00"/>
    <s v=""/>
    <s v="UNIDAD"/>
    <n v="1"/>
    <s v="PENDIENTE APROBACION  ENVIO TMS"/>
    <s v="000000008209672323"/>
    <x v="2"/>
    <x v="1"/>
    <m/>
    <n v="1"/>
    <m/>
  </r>
  <r>
    <n v="8209672297"/>
    <s v="156"/>
    <x v="17"/>
    <d v="2026-10-14T11:52:23"/>
    <d v="2026-10-14T05:52:21"/>
    <d v="2026-10-14T00:00:00"/>
    <s v=""/>
    <s v="UNIDAD"/>
    <n v="13"/>
    <s v="PENDIENTE APROBACION  ENVIO TMS"/>
    <s v="000000008209672297"/>
    <x v="2"/>
    <x v="0"/>
    <m/>
    <n v="1"/>
    <m/>
  </r>
  <r>
    <n v="8209672338"/>
    <s v="159"/>
    <x v="36"/>
    <d v="2026-10-14T11:52:24"/>
    <d v="2026-10-14T05:52:22"/>
    <d v="2026-10-14T00:00:00"/>
    <s v=""/>
    <s v="UNIDAD"/>
    <n v="21"/>
    <s v="PENDIENTE APROBACION  ENVIO TMS"/>
    <s v="000000008209672338"/>
    <x v="2"/>
    <x v="1"/>
    <m/>
    <n v="1"/>
    <m/>
  </r>
  <r>
    <n v="8209672328"/>
    <s v="159"/>
    <x v="36"/>
    <d v="2026-10-14T11:52:25"/>
    <d v="2026-10-14T05:52:23"/>
    <d v="2026-10-14T00:00:00"/>
    <s v=""/>
    <s v="UNIDAD"/>
    <n v="12"/>
    <s v="PENDIENTE APROBACION  ENVIO TMS"/>
    <s v="000000008209672328"/>
    <x v="2"/>
    <x v="1"/>
    <m/>
    <n v="1"/>
    <m/>
  </r>
  <r>
    <n v="1209672273"/>
    <s v="150"/>
    <x v="59"/>
    <d v="2026-10-14T11:52:27"/>
    <d v="2026-10-14T05:52:24"/>
    <d v="2026-10-14T00:00:00"/>
    <s v=""/>
    <s v="CAJA"/>
    <n v="2"/>
    <s v="PENDIENTE APROBACION  ENVIO TMS"/>
    <s v="000000001209672273"/>
    <x v="1"/>
    <x v="1"/>
    <m/>
    <n v="1"/>
    <m/>
  </r>
  <r>
    <n v="209672412"/>
    <s v="47"/>
    <x v="1"/>
    <d v="2026-10-14T11:52:28"/>
    <d v="2026-10-14T05:52:26"/>
    <d v="2026-10-14T00:00:00"/>
    <s v=""/>
    <s v="CAJA"/>
    <n v="6"/>
    <s v="PENDIENTE APROBACION  ENVIO TMS"/>
    <s v="000000000209672412"/>
    <x v="0"/>
    <x v="0"/>
    <m/>
    <n v="1"/>
    <m/>
  </r>
  <r>
    <n v="209672414"/>
    <s v="49"/>
    <x v="111"/>
    <d v="2026-10-14T11:52:29"/>
    <d v="2026-10-14T05:52:27"/>
    <d v="2026-10-14T00:00:00"/>
    <s v=""/>
    <s v="CAJA"/>
    <n v="6"/>
    <s v="PENDIENTE APROBACION  ENVIO TMS"/>
    <s v="000000000209672414"/>
    <x v="0"/>
    <x v="3"/>
    <m/>
    <n v="1"/>
    <m/>
  </r>
  <r>
    <n v="209672416"/>
    <s v="51"/>
    <x v="44"/>
    <d v="2026-10-14T11:52:30"/>
    <d v="2026-10-14T05:52:28"/>
    <d v="2026-10-14T00:00:00"/>
    <s v=""/>
    <s v="CAJA"/>
    <n v="6"/>
    <s v="PENDIENTE APROBACION  ENVIO TMS"/>
    <s v="000000000209672416"/>
    <x v="0"/>
    <x v="1"/>
    <m/>
    <n v="1"/>
    <m/>
  </r>
  <r>
    <n v="209672464"/>
    <s v="118"/>
    <x v="113"/>
    <d v="2026-10-14T11:52:32"/>
    <d v="2026-10-14T05:52:29"/>
    <d v="2026-10-14T00:00:00"/>
    <s v=""/>
    <s v="CAJA"/>
    <n v="6"/>
    <s v="PENDIENTE APROBACION  ENVIO TMS"/>
    <s v="000000000209672464"/>
    <x v="0"/>
    <x v="1"/>
    <m/>
    <n v="1"/>
    <m/>
  </r>
  <r>
    <n v="209672466"/>
    <s v="124"/>
    <x v="90"/>
    <d v="2026-10-14T11:52:33"/>
    <d v="2026-10-14T05:52:30"/>
    <d v="2026-10-14T00:00:00"/>
    <s v=""/>
    <s v="CAJA"/>
    <n v="6"/>
    <s v="PENDIENTE APROBACION  ENVIO TMS"/>
    <s v="000000000209672466"/>
    <x v="0"/>
    <x v="1"/>
    <m/>
    <n v="1"/>
    <m/>
  </r>
  <r>
    <n v="209672470"/>
    <s v="130"/>
    <x v="75"/>
    <d v="2026-10-14T11:52:34"/>
    <d v="2026-10-14T05:52:32"/>
    <d v="2026-10-14T00:00:00"/>
    <s v=""/>
    <s v="CAJA"/>
    <n v="6"/>
    <s v="PENDIENTE APROBACION  ENVIO TMS"/>
    <s v="000000000209672470"/>
    <x v="0"/>
    <x v="1"/>
    <m/>
    <n v="1"/>
    <m/>
  </r>
  <r>
    <n v="209672472"/>
    <s v="133"/>
    <x v="119"/>
    <d v="2026-10-14T11:52:35"/>
    <d v="2026-10-14T05:52:33"/>
    <d v="2026-10-14T00:00:00"/>
    <s v=""/>
    <s v="CAJA"/>
    <n v="6"/>
    <s v="PENDIENTE APROBACION  ENVIO TMS"/>
    <s v="000000000209672472"/>
    <x v="0"/>
    <x v="0"/>
    <m/>
    <n v="1"/>
    <m/>
  </r>
  <r>
    <n v="209672477"/>
    <s v="150"/>
    <x v="59"/>
    <d v="2026-10-14T11:52:36"/>
    <d v="2026-10-14T05:52:34"/>
    <d v="2026-10-14T00:00:00"/>
    <s v=""/>
    <s v="CAJA"/>
    <n v="6"/>
    <s v="PENDIENTE APROBACION  ENVIO TMS"/>
    <s v="000000000209672477"/>
    <x v="0"/>
    <x v="1"/>
    <m/>
    <n v="1"/>
    <m/>
  </r>
  <r>
    <n v="209672481"/>
    <s v="161"/>
    <x v="65"/>
    <d v="2026-10-14T11:52:38"/>
    <d v="2026-10-14T05:52:35"/>
    <d v="2026-10-14T00:00:00"/>
    <s v=""/>
    <s v="CAJA"/>
    <n v="6"/>
    <s v="PENDIENTE APROBACION  ENVIO TMS"/>
    <s v="000000000209672481"/>
    <x v="0"/>
    <x v="4"/>
    <m/>
    <n v="1"/>
    <m/>
  </r>
  <r>
    <n v="209672484"/>
    <s v="196"/>
    <x v="81"/>
    <d v="2026-10-14T11:52:39"/>
    <d v="2026-10-14T05:52:37"/>
    <d v="2026-10-14T00:00:00"/>
    <s v=""/>
    <s v="CAJA"/>
    <n v="6"/>
    <s v="PENDIENTE APROBACION  ENVIO TMS"/>
    <s v="000000000209672484"/>
    <x v="0"/>
    <x v="2"/>
    <m/>
    <n v="1"/>
    <m/>
  </r>
  <r>
    <n v="1209672362"/>
    <s v="160"/>
    <x v="33"/>
    <d v="2026-10-14T11:52:41"/>
    <d v="2026-10-14T05:52:39"/>
    <d v="2026-10-14T00:00:00"/>
    <s v=""/>
    <s v="PACK"/>
    <n v="8"/>
    <s v="PENDIENTE APROBACION  ENVIO TMS"/>
    <s v="000000001209672362"/>
    <x v="1"/>
    <x v="2"/>
    <m/>
    <n v="1"/>
    <m/>
  </r>
  <r>
    <n v="209672485"/>
    <s v="195"/>
    <x v="122"/>
    <d v="2026-10-14T11:52:41"/>
    <d v="2026-10-14T05:52:38"/>
    <d v="2026-10-14T00:00:00"/>
    <s v=""/>
    <s v="CAJA"/>
    <n v="6"/>
    <s v="PENDIENTE APROBACION  ENVIO TMS"/>
    <s v="000000000209672485"/>
    <x v="0"/>
    <x v="2"/>
    <m/>
    <n v="1"/>
    <m/>
  </r>
  <r>
    <n v="209672488"/>
    <s v="210"/>
    <x v="51"/>
    <d v="2026-10-14T11:52:43"/>
    <d v="2026-10-14T05:52:40"/>
    <d v="2026-10-14T00:00:00"/>
    <s v=""/>
    <s v="CAJA"/>
    <n v="6"/>
    <s v="PENDIENTE APROBACION  ENVIO TMS"/>
    <s v="000000000209672488"/>
    <x v="0"/>
    <x v="1"/>
    <m/>
    <n v="1"/>
    <m/>
  </r>
  <r>
    <n v="1209672365"/>
    <s v="160"/>
    <x v="33"/>
    <d v="2026-10-14T11:52:44"/>
    <d v="2026-10-14T05:52:42"/>
    <d v="2026-10-14T00:00:00"/>
    <s v=""/>
    <s v="PACK"/>
    <n v="41"/>
    <s v="PENDIENTE APROBACION  ENVIO TMS"/>
    <s v="000000001209672365"/>
    <x v="1"/>
    <x v="2"/>
    <m/>
    <n v="1"/>
    <m/>
  </r>
  <r>
    <n v="209672422"/>
    <s v="57"/>
    <x v="117"/>
    <d v="2026-10-14T11:52:46"/>
    <d v="2026-10-14T05:52:44"/>
    <d v="2026-10-14T00:00:00"/>
    <s v=""/>
    <s v="CAJA"/>
    <n v="6"/>
    <s v="PENDIENTE APROBACION  ENVIO TMS"/>
    <s v="000000000209672422"/>
    <x v="0"/>
    <x v="1"/>
    <m/>
    <n v="1"/>
    <m/>
  </r>
  <r>
    <n v="8209672374"/>
    <s v="160"/>
    <x v="33"/>
    <d v="2026-10-14T11:52:46"/>
    <d v="2026-10-14T05:52:43"/>
    <d v="2026-10-14T00:00:00"/>
    <s v=""/>
    <s v="UNIDAD"/>
    <n v="5"/>
    <s v="PENDIENTE APROBACION  ENVIO TMS"/>
    <s v="000000008209672374"/>
    <x v="2"/>
    <x v="2"/>
    <m/>
    <n v="1"/>
    <m/>
  </r>
  <r>
    <n v="209672425"/>
    <s v="60"/>
    <x v="137"/>
    <d v="2026-10-14T11:52:47"/>
    <d v="2026-10-14T05:52:45"/>
    <d v="2026-10-14T00:00:00"/>
    <s v=""/>
    <s v="CAJA"/>
    <n v="6"/>
    <s v="PENDIENTE APROBACION  ENVIO TMS"/>
    <s v="000000000209672425"/>
    <x v="0"/>
    <x v="2"/>
    <m/>
    <n v="1"/>
    <m/>
  </r>
  <r>
    <n v="1209672368"/>
    <s v="160"/>
    <x v="33"/>
    <d v="2026-10-14T11:52:49"/>
    <d v="2026-10-14T05:52:46"/>
    <d v="2026-10-14T00:00:00"/>
    <s v=""/>
    <s v="CAJA"/>
    <n v="43"/>
    <s v="PENDIENTE APROBACION  ENVIO TMS"/>
    <s v="000000001209672368"/>
    <x v="1"/>
    <x v="2"/>
    <m/>
    <n v="1"/>
    <m/>
  </r>
  <r>
    <n v="209672387"/>
    <s v="4"/>
    <x v="32"/>
    <d v="2026-10-14T11:52:50"/>
    <d v="2026-10-14T05:52:48"/>
    <d v="2026-10-14T00:00:00"/>
    <s v=""/>
    <s v="CAJA"/>
    <n v="8"/>
    <s v="PENDIENTE APROBACION  ENVIO TMS"/>
    <s v="000000000209672387"/>
    <x v="0"/>
    <x v="3"/>
    <m/>
    <n v="1"/>
    <m/>
  </r>
  <r>
    <n v="209672433"/>
    <s v="65"/>
    <x v="79"/>
    <d v="2026-10-14T11:52:52"/>
    <d v="2026-10-14T05:52:49"/>
    <d v="2026-10-14T00:00:00"/>
    <s v=""/>
    <s v="CAJA"/>
    <n v="6"/>
    <s v="PENDIENTE APROBACION  ENVIO TMS"/>
    <s v="000000000209672433"/>
    <x v="0"/>
    <x v="0"/>
    <m/>
    <n v="1"/>
    <m/>
  </r>
  <r>
    <n v="209672460"/>
    <s v="114"/>
    <x v="26"/>
    <d v="2026-10-14T11:52:52"/>
    <d v="2026-10-14T05:52:50"/>
    <d v="2026-10-14T00:00:00"/>
    <s v=""/>
    <s v="CAJA"/>
    <n v="6"/>
    <s v="PENDIENTE APROBACION  ENVIO TMS"/>
    <s v="000000000209672460"/>
    <x v="0"/>
    <x v="2"/>
    <m/>
    <n v="1"/>
    <m/>
  </r>
  <r>
    <n v="209672462"/>
    <s v="116"/>
    <x v="112"/>
    <d v="2026-10-14T11:52:54"/>
    <d v="2026-10-14T05:52:51"/>
    <d v="2026-10-14T00:00:00"/>
    <s v=""/>
    <s v="CAJA"/>
    <n v="6"/>
    <s v="PENDIENTE APROBACION  ENVIO TMS"/>
    <s v="000000000209672462"/>
    <x v="0"/>
    <x v="0"/>
    <m/>
    <n v="1"/>
    <m/>
  </r>
  <r>
    <n v="209672389"/>
    <s v="6"/>
    <x v="48"/>
    <d v="2026-10-14T11:52:55"/>
    <d v="2026-10-14T05:52:53"/>
    <d v="2026-10-14T00:00:00"/>
    <s v=""/>
    <s v="CAJA"/>
    <n v="6"/>
    <s v="PENDIENTE APROBACION  ENVIO TMS"/>
    <s v="000000000209672389"/>
    <x v="0"/>
    <x v="3"/>
    <m/>
    <n v="1"/>
    <m/>
  </r>
  <r>
    <n v="209672390"/>
    <s v="7"/>
    <x v="92"/>
    <d v="2026-10-14T11:52:57"/>
    <d v="2026-10-14T05:52:54"/>
    <d v="2026-10-14T00:00:00"/>
    <s v=""/>
    <s v="CAJA"/>
    <n v="6"/>
    <s v="PENDIENTE APROBACION  ENVIO TMS"/>
    <s v="000000000209672390"/>
    <x v="0"/>
    <x v="1"/>
    <m/>
    <n v="1"/>
    <m/>
  </r>
  <r>
    <n v="209672393"/>
    <s v="11"/>
    <x v="61"/>
    <d v="2026-10-14T11:52:58"/>
    <d v="2026-10-14T05:52:56"/>
    <d v="2026-10-14T00:00:00"/>
    <s v=""/>
    <s v="CAJA"/>
    <n v="6"/>
    <s v="PENDIENTE APROBACION  ENVIO TMS"/>
    <s v="000000000209672393"/>
    <x v="0"/>
    <x v="1"/>
    <m/>
    <n v="1"/>
    <m/>
  </r>
  <r>
    <n v="209672391"/>
    <s v="9"/>
    <x v="16"/>
    <d v="2026-10-14T11:52:58"/>
    <d v="2026-10-14T05:52:55"/>
    <d v="2026-10-14T00:00:00"/>
    <s v=""/>
    <s v="CAJA"/>
    <n v="6"/>
    <s v="PENDIENTE APROBACION  ENVIO TMS"/>
    <s v="000000000209672391"/>
    <x v="0"/>
    <x v="0"/>
    <m/>
    <n v="1"/>
    <m/>
  </r>
  <r>
    <n v="209672396"/>
    <s v="14"/>
    <x v="96"/>
    <d v="2026-10-14T11:53:00"/>
    <d v="2026-10-14T05:52:57"/>
    <d v="2026-10-14T00:00:00"/>
    <s v=""/>
    <s v="CAJA"/>
    <n v="6"/>
    <s v="PENDIENTE APROBACION  ENVIO TMS"/>
    <s v="000000000209672396"/>
    <x v="0"/>
    <x v="3"/>
    <m/>
    <n v="1"/>
    <m/>
  </r>
  <r>
    <n v="209672449"/>
    <s v="87"/>
    <x v="41"/>
    <d v="2026-10-14T11:53:01"/>
    <d v="2026-10-14T05:52:59"/>
    <d v="2026-10-14T00:00:00"/>
    <s v=""/>
    <s v="CAJA"/>
    <n v="6"/>
    <s v="PENDIENTE APROBACION  ENVIO TMS"/>
    <s v="000000000209672449"/>
    <x v="0"/>
    <x v="0"/>
    <m/>
    <n v="1"/>
    <m/>
  </r>
  <r>
    <n v="209672404"/>
    <s v="38"/>
    <x v="129"/>
    <d v="2026-10-14T11:53:03"/>
    <d v="2026-10-14T05:53:00"/>
    <d v="2026-10-14T00:00:00"/>
    <s v=""/>
    <s v="CAJA"/>
    <n v="6"/>
    <s v="PENDIENTE APROBACION  ENVIO TMS"/>
    <s v="000000000209672404"/>
    <x v="0"/>
    <x v="1"/>
    <m/>
    <n v="1"/>
    <m/>
  </r>
  <r>
    <n v="209672406"/>
    <s v="40"/>
    <x v="22"/>
    <d v="2026-10-14T11:53:03"/>
    <d v="2026-10-14T05:53:01"/>
    <d v="2026-10-14T00:00:00"/>
    <s v=""/>
    <s v="CAJA"/>
    <n v="6"/>
    <s v="PENDIENTE APROBACION  ENVIO TMS"/>
    <s v="000000000209672406"/>
    <x v="0"/>
    <x v="3"/>
    <m/>
    <n v="1"/>
    <m/>
  </r>
  <r>
    <n v="209672410"/>
    <s v="45"/>
    <x v="133"/>
    <d v="2026-10-14T11:53:05"/>
    <d v="2026-10-14T05:53:02"/>
    <d v="2026-10-14T00:00:00"/>
    <s v=""/>
    <s v="CAJA"/>
    <n v="6"/>
    <s v="PENDIENTE APROBACION  ENVIO TMS"/>
    <s v="000000000209672410"/>
    <x v="0"/>
    <x v="3"/>
    <m/>
    <n v="1"/>
    <m/>
  </r>
  <r>
    <n v="209672458"/>
    <s v="109"/>
    <x v="134"/>
    <d v="2026-10-14T11:53:06"/>
    <d v="2026-10-14T05:53:04"/>
    <d v="2026-10-14T00:00:00"/>
    <s v=""/>
    <s v="CAJA"/>
    <n v="6"/>
    <s v="PENDIENTE APROBACION  ENVIO TMS"/>
    <s v="000000000209672458"/>
    <x v="0"/>
    <x v="0"/>
    <m/>
    <n v="1"/>
    <m/>
  </r>
  <r>
    <n v="1209672334"/>
    <s v="159"/>
    <x v="36"/>
    <d v="2026-10-14T11:53:07"/>
    <d v="2026-10-14T05:53:05"/>
    <d v="2026-10-14T00:00:00"/>
    <s v=""/>
    <s v="PACK"/>
    <n v="49"/>
    <s v="PENDIENTE APROBACION  ENVIO TMS"/>
    <s v="000000001209672334"/>
    <x v="1"/>
    <x v="1"/>
    <m/>
    <n v="1"/>
    <m/>
  </r>
  <r>
    <n v="8209672259"/>
    <s v="150"/>
    <x v="59"/>
    <d v="2026-10-14T11:53:09"/>
    <d v="2026-10-14T05:53:06"/>
    <d v="2026-10-14T00:00:00"/>
    <s v=""/>
    <s v="UNIDAD"/>
    <n v="3"/>
    <s v="PENDIENTE APROBACION  ENVIO TMS"/>
    <s v="000000008209672259"/>
    <x v="2"/>
    <x v="1"/>
    <m/>
    <n v="1"/>
    <m/>
  </r>
  <r>
    <n v="8209672276"/>
    <s v="150"/>
    <x v="59"/>
    <d v="2026-10-14T11:53:09"/>
    <d v="2026-10-14T05:53:07"/>
    <d v="2026-10-14T00:00:00"/>
    <s v=""/>
    <s v="UNIDAD"/>
    <n v="7"/>
    <s v="PENDIENTE APROBACION  ENVIO TMS"/>
    <s v="000000008209672276"/>
    <x v="2"/>
    <x v="1"/>
    <m/>
    <n v="1"/>
    <m/>
  </r>
  <r>
    <n v="1209672238"/>
    <s v="144"/>
    <x v="34"/>
    <d v="2026-10-14T11:53:11"/>
    <d v="2026-10-14T05:53:08"/>
    <d v="2026-10-14T00:00:00"/>
    <s v=""/>
    <s v="PACK"/>
    <n v="20"/>
    <s v="PENDIENTE APROBACION  ENVIO TMS"/>
    <s v="000000001209672238"/>
    <x v="1"/>
    <x v="1"/>
    <m/>
    <n v="1"/>
    <m/>
  </r>
  <r>
    <n v="1209672277"/>
    <s v="150"/>
    <x v="59"/>
    <d v="2026-10-14T11:53:12"/>
    <d v="2026-10-14T05:53:10"/>
    <d v="2026-10-14T00:00:00"/>
    <s v=""/>
    <s v="CAJA"/>
    <n v="7"/>
    <s v="PENDIENTE APROBACION  ENVIO TMS"/>
    <s v="000000001209672277"/>
    <x v="1"/>
    <x v="1"/>
    <m/>
    <n v="1"/>
    <m/>
  </r>
  <r>
    <n v="1209672240"/>
    <s v="144"/>
    <x v="34"/>
    <d v="2026-10-14T11:53:14"/>
    <d v="2026-10-14T05:53:11"/>
    <d v="2026-10-14T00:00:00"/>
    <s v=""/>
    <s v="PACK"/>
    <n v="43"/>
    <s v="PENDIENTE APROBACION  ENVIO TMS"/>
    <s v="000000001209672240"/>
    <x v="1"/>
    <x v="1"/>
    <m/>
    <n v="1"/>
    <m/>
  </r>
  <r>
    <n v="1209672309"/>
    <s v="156"/>
    <x v="17"/>
    <d v="2026-10-14T11:53:15"/>
    <d v="2026-10-14T05:53:12"/>
    <d v="2026-10-14T00:00:00"/>
    <s v=""/>
    <s v="PACK"/>
    <n v="50"/>
    <s v="PENDIENTE APROBACION  ENVIO TMS"/>
    <s v="000000001209672309"/>
    <x v="1"/>
    <x v="0"/>
    <m/>
    <n v="1"/>
    <m/>
  </r>
  <r>
    <n v="8209672299"/>
    <s v="156"/>
    <x v="17"/>
    <d v="2026-10-14T11:53:16"/>
    <d v="2026-10-14T05:53:13"/>
    <d v="2026-10-14T00:00:00"/>
    <s v=""/>
    <s v="UNIDAD"/>
    <n v="19"/>
    <s v="PENDIENTE APROBACION  ENVIO TMS"/>
    <s v="000000008209672299"/>
    <x v="2"/>
    <x v="0"/>
    <m/>
    <n v="1"/>
    <m/>
  </r>
  <r>
    <n v="1209672371"/>
    <s v="160"/>
    <x v="33"/>
    <d v="2026-10-14T11:53:17"/>
    <d v="2026-10-14T05:53:15"/>
    <d v="2026-10-14T00:00:00"/>
    <s v=""/>
    <s v="PACK"/>
    <n v="54"/>
    <s v="PENDIENTE APROBACION  ENVIO TMS"/>
    <s v="000000001209672371"/>
    <x v="1"/>
    <x v="2"/>
    <m/>
    <n v="1"/>
    <m/>
  </r>
  <r>
    <n v="209672411"/>
    <s v="46"/>
    <x v="86"/>
    <d v="2026-10-14T11:53:19"/>
    <d v="2026-10-14T05:53:16"/>
    <d v="2026-10-14T00:00:00"/>
    <s v=""/>
    <s v="CAJA"/>
    <n v="6"/>
    <s v="PENDIENTE APROBACION  ENVIO TMS"/>
    <s v="000000000209672411"/>
    <x v="0"/>
    <x v="1"/>
    <m/>
    <n v="1"/>
    <m/>
  </r>
  <r>
    <n v="209672413"/>
    <s v="48"/>
    <x v="87"/>
    <d v="2026-10-14T11:53:20"/>
    <d v="2026-10-14T05:53:17"/>
    <d v="2026-10-14T00:00:00"/>
    <s v=""/>
    <s v="CAJA"/>
    <n v="6"/>
    <s v="PENDIENTE APROBACION  ENVIO TMS"/>
    <s v="000000000209672413"/>
    <x v="0"/>
    <x v="3"/>
    <m/>
    <n v="1"/>
    <m/>
  </r>
  <r>
    <n v="209672474"/>
    <s v="142"/>
    <x v="118"/>
    <d v="2026-10-14T11:53:21"/>
    <d v="2026-10-14T05:53:18"/>
    <d v="2026-10-14T00:00:00"/>
    <s v=""/>
    <s v="CAJA"/>
    <n v="6"/>
    <s v="PENDIENTE APROBACION  ENVIO TMS"/>
    <s v="000000000209672474"/>
    <x v="0"/>
    <x v="3"/>
    <m/>
    <n v="1"/>
    <m/>
  </r>
  <r>
    <n v="209672482"/>
    <s v="162"/>
    <x v="94"/>
    <d v="2026-10-14T11:53:22"/>
    <d v="2026-10-14T05:53:20"/>
    <d v="2026-10-14T00:00:00"/>
    <s v=""/>
    <s v="CAJA"/>
    <n v="6"/>
    <s v="PENDIENTE APROBACION  ENVIO TMS"/>
    <s v="000000000209672482"/>
    <x v="0"/>
    <x v="3"/>
    <m/>
    <n v="1"/>
    <m/>
  </r>
  <r>
    <n v="209672492"/>
    <s v="220"/>
    <x v="68"/>
    <d v="2026-10-14T11:53:23"/>
    <d v="2026-10-14T05:53:21"/>
    <d v="2026-10-14T00:00:00"/>
    <s v=""/>
    <s v="CAJA"/>
    <n v="6"/>
    <s v="PENDIENTE APROBACION  ENVIO TMS"/>
    <s v="000000000209672492"/>
    <x v="0"/>
    <x v="1"/>
    <m/>
    <n v="1"/>
    <m/>
  </r>
  <r>
    <n v="1209672364"/>
    <s v="160"/>
    <x v="33"/>
    <d v="2026-10-14T11:53:25"/>
    <d v="2026-10-14T05:53:22"/>
    <d v="2026-10-14T00:00:00"/>
    <s v=""/>
    <s v="CAJA"/>
    <n v="37"/>
    <s v="PENDIENTE APROBACION  ENVIO TMS"/>
    <s v="000000001209672364"/>
    <x v="1"/>
    <x v="2"/>
    <m/>
    <n v="1"/>
    <m/>
  </r>
  <r>
    <n v="209672507"/>
    <s v="282"/>
    <x v="110"/>
    <d v="2026-10-14T11:53:26"/>
    <d v="2026-10-14T05:53:23"/>
    <d v="2026-10-14T00:00:00"/>
    <s v=""/>
    <s v="CAJA"/>
    <n v="6"/>
    <s v="PENDIENTE APROBACION  ENVIO TMS"/>
    <s v="000000000209672507"/>
    <x v="0"/>
    <x v="0"/>
    <m/>
    <n v="1"/>
    <m/>
  </r>
  <r>
    <n v="209672423"/>
    <s v="58"/>
    <x v="30"/>
    <d v="2026-10-14T11:53:27"/>
    <d v="2026-10-14T05:53:25"/>
    <d v="2026-10-14T00:00:00"/>
    <s v=""/>
    <s v="CAJA"/>
    <n v="6"/>
    <s v="PENDIENTE APROBACION  ENVIO TMS"/>
    <s v="000000000209672423"/>
    <x v="0"/>
    <x v="1"/>
    <m/>
    <n v="1"/>
    <m/>
  </r>
  <r>
    <n v="209672436"/>
    <s v="67"/>
    <x v="64"/>
    <d v="2026-10-14T11:53:28"/>
    <d v="2026-10-14T05:53:26"/>
    <d v="2026-10-14T00:00:00"/>
    <s v=""/>
    <s v="CAJA"/>
    <n v="6"/>
    <s v="PENDIENTE APROBACION  ENVIO TMS"/>
    <s v="000000000209672436"/>
    <x v="0"/>
    <x v="2"/>
    <m/>
    <n v="1"/>
    <m/>
  </r>
  <r>
    <n v="209672392"/>
    <s v="10"/>
    <x v="121"/>
    <d v="2026-10-14T11:53:30"/>
    <d v="2026-10-14T05:53:27"/>
    <d v="2026-10-14T00:00:00"/>
    <s v=""/>
    <s v="CAJA"/>
    <n v="6"/>
    <s v="PENDIENTE APROBACION  ENVIO TMS"/>
    <s v="000000000209672392"/>
    <x v="0"/>
    <x v="0"/>
    <m/>
    <n v="1"/>
    <m/>
  </r>
  <r>
    <n v="209672395"/>
    <s v="13"/>
    <x v="95"/>
    <d v="2026-10-14T11:53:31"/>
    <d v="2026-10-14T05:53:28"/>
    <d v="2026-10-14T00:00:00"/>
    <s v=""/>
    <s v="CAJA"/>
    <n v="6"/>
    <s v="PENDIENTE APROBACION  ENVIO TMS"/>
    <s v="000000000209672395"/>
    <x v="0"/>
    <x v="1"/>
    <m/>
    <n v="1"/>
    <m/>
  </r>
  <r>
    <n v="209672441"/>
    <s v="76"/>
    <x v="49"/>
    <d v="2026-10-14T11:53:33"/>
    <d v="2026-10-14T05:53:30"/>
    <d v="2026-10-14T00:00:00"/>
    <s v=""/>
    <s v="CAJA"/>
    <n v="6"/>
    <s v="PENDIENTE APROBACION  ENVIO TMS"/>
    <s v="000000000209672441"/>
    <x v="0"/>
    <x v="2"/>
    <m/>
    <n v="1"/>
    <m/>
  </r>
  <r>
    <n v="209672401"/>
    <s v="28"/>
    <x v="52"/>
    <d v="2026-10-14T11:53:33"/>
    <d v="2026-10-14T05:53:31"/>
    <d v="2026-10-14T00:00:00"/>
    <s v=""/>
    <s v="CAJA"/>
    <n v="6"/>
    <s v="PENDIENTE APROBACION  ENVIO TMS"/>
    <s v="000000000209672401"/>
    <x v="0"/>
    <x v="1"/>
    <m/>
    <n v="1"/>
    <m/>
  </r>
  <r>
    <n v="209672455"/>
    <s v="105"/>
    <x v="71"/>
    <d v="2026-10-14T11:53:35"/>
    <d v="2026-10-14T05:53:32"/>
    <d v="2026-10-14T00:00:00"/>
    <s v=""/>
    <s v="CAJA"/>
    <n v="6"/>
    <s v="PENDIENTE APROBACION  ENVIO TMS"/>
    <s v="000000000209672455"/>
    <x v="0"/>
    <x v="2"/>
    <m/>
    <n v="1"/>
    <m/>
  </r>
  <r>
    <n v="8209672241"/>
    <s v="144"/>
    <x v="34"/>
    <d v="2026-10-14T11:53:36"/>
    <d v="2026-10-14T05:53:33"/>
    <d v="2026-10-14T00:00:00"/>
    <s v=""/>
    <s v="UNIDAD"/>
    <n v="5"/>
    <s v="PENDIENTE APROBACION  ENVIO TMS"/>
    <s v="000000008209672241"/>
    <x v="2"/>
    <x v="1"/>
    <m/>
    <n v="1"/>
    <m/>
  </r>
  <r>
    <n v="1209672243"/>
    <s v="144"/>
    <x v="34"/>
    <d v="2026-10-14T11:53:37"/>
    <d v="2026-10-14T05:53:35"/>
    <d v="2026-10-14T00:00:00"/>
    <s v=""/>
    <s v="CAJA"/>
    <n v="3"/>
    <s v="PENDIENTE APROBACION  ENVIO TMS"/>
    <s v="000000001209672243"/>
    <x v="1"/>
    <x v="1"/>
    <m/>
    <n v="1"/>
    <m/>
  </r>
  <r>
    <n v="8209672311"/>
    <s v="156"/>
    <x v="17"/>
    <d v="2026-10-14T11:53:39"/>
    <d v="2026-10-14T05:53:37"/>
    <d v="2026-10-14T00:00:00"/>
    <s v=""/>
    <s v="UNIDAD"/>
    <n v="12"/>
    <s v="PENDIENTE APROBACION  ENVIO TMS"/>
    <s v="000000008209672311"/>
    <x v="2"/>
    <x v="0"/>
    <m/>
    <n v="1"/>
    <m/>
  </r>
  <r>
    <n v="8209672326"/>
    <s v="159"/>
    <x v="36"/>
    <d v="2026-10-14T11:53:39"/>
    <d v="2026-10-14T05:53:36"/>
    <d v="2026-10-14T00:00:00"/>
    <s v=""/>
    <s v="UNIDAD"/>
    <n v="20"/>
    <s v="PENDIENTE APROBACION  ENVIO TMS"/>
    <s v="000000008209672326"/>
    <x v="2"/>
    <x v="1"/>
    <m/>
    <n v="1"/>
    <m/>
  </r>
  <r>
    <n v="1209672339"/>
    <s v="159"/>
    <x v="36"/>
    <d v="2026-10-14T11:53:41"/>
    <d v="2026-10-14T05:53:38"/>
    <d v="2026-10-14T00:00:00"/>
    <s v=""/>
    <s v="CAJA"/>
    <n v="1"/>
    <s v="PENDIENTE APROBACION  ENVIO TMS"/>
    <s v="000000001209672339"/>
    <x v="1"/>
    <x v="1"/>
    <m/>
    <n v="1"/>
    <m/>
  </r>
  <r>
    <n v="1209672272"/>
    <s v="150"/>
    <x v="59"/>
    <d v="2026-10-14T11:53:42"/>
    <d v="2026-10-14T05:53:39"/>
    <d v="2026-10-14T00:00:00"/>
    <s v=""/>
    <s v="CAJA"/>
    <n v="38"/>
    <s v="PENDIENTE APROBACION  ENVIO TMS"/>
    <s v="000000001209672272"/>
    <x v="1"/>
    <x v="1"/>
    <m/>
    <n v="1"/>
    <m/>
  </r>
  <r>
    <n v="209672415"/>
    <s v="50"/>
    <x v="135"/>
    <d v="2026-10-14T11:53:44"/>
    <d v="2026-10-14T05:53:41"/>
    <d v="2026-10-14T00:00:00"/>
    <s v=""/>
    <s v="CAJA"/>
    <n v="6"/>
    <s v="PENDIENTE APROBACION  ENVIO TMS"/>
    <s v="000000000209672415"/>
    <x v="0"/>
    <x v="0"/>
    <m/>
    <n v="1"/>
    <m/>
  </r>
  <r>
    <n v="209672465"/>
    <s v="123"/>
    <x v="3"/>
    <d v="2026-10-14T11:53:45"/>
    <d v="2026-10-14T05:53:42"/>
    <d v="2026-10-14T00:00:00"/>
    <s v=""/>
    <s v="CAJA"/>
    <n v="6"/>
    <s v="PENDIENTE APROBACION  ENVIO TMS"/>
    <s v="000000000209672465"/>
    <x v="0"/>
    <x v="0"/>
    <m/>
    <n v="1"/>
    <m/>
  </r>
  <r>
    <n v="209672473"/>
    <s v="141"/>
    <x v="76"/>
    <d v="2026-10-14T11:53:46"/>
    <d v="2026-10-14T05:53:43"/>
    <d v="2026-10-14T00:00:00"/>
    <s v=""/>
    <s v="CAJA"/>
    <n v="6"/>
    <s v="PENDIENTE APROBACION  ENVIO TMS"/>
    <s v="000000000209672473"/>
    <x v="0"/>
    <x v="2"/>
    <m/>
    <n v="1"/>
    <m/>
  </r>
  <r>
    <n v="209672475"/>
    <s v="143"/>
    <x v="78"/>
    <d v="2026-10-14T11:53:47"/>
    <d v="2026-10-14T05:53:45"/>
    <d v="2026-10-14T00:00:00"/>
    <s v=""/>
    <s v="CAJA"/>
    <n v="6"/>
    <s v="PENDIENTE APROBACION  ENVIO TMS"/>
    <s v="000000000209672475"/>
    <x v="0"/>
    <x v="2"/>
    <m/>
    <n v="1"/>
    <m/>
  </r>
  <r>
    <n v="1209672716"/>
    <s v="162"/>
    <x v="94"/>
    <d v="2026-10-14T11:54:11"/>
    <d v="2026-10-14T05:54:08"/>
    <d v="2026-10-14T00:00:00"/>
    <s v=""/>
    <s v="CAJA"/>
    <n v="58"/>
    <s v="PENDIENTE APROBACION  ENVIO TMS"/>
    <s v="000000001209672716"/>
    <x v="1"/>
    <x v="3"/>
    <m/>
    <n v="1"/>
    <m/>
  </r>
  <r>
    <n v="209672630"/>
    <s v="67"/>
    <x v="64"/>
    <d v="2026-10-14T11:54:12"/>
    <d v="2026-10-14T05:54:10"/>
    <d v="2026-10-14T00:00:00"/>
    <s v=""/>
    <s v="CAJA"/>
    <n v="1"/>
    <s v="PENDIENTE APROBACION  ENVIO TMS"/>
    <s v="000000000209672630"/>
    <x v="0"/>
    <x v="2"/>
    <m/>
    <n v="1"/>
    <m/>
  </r>
  <r>
    <n v="209672632"/>
    <s v="69"/>
    <x v="80"/>
    <d v="2026-10-14T11:54:13"/>
    <d v="2026-10-14T05:54:11"/>
    <d v="2026-10-14T00:00:00"/>
    <s v=""/>
    <s v="CAJA"/>
    <n v="1"/>
    <s v="PENDIENTE APROBACION  ENVIO TMS"/>
    <s v="000000000209672632"/>
    <x v="0"/>
    <x v="1"/>
    <m/>
    <n v="1"/>
    <m/>
  </r>
  <r>
    <n v="209672636"/>
    <s v="77"/>
    <x v="50"/>
    <d v="2026-10-14T11:54:15"/>
    <d v="2026-10-14T05:54:12"/>
    <d v="2026-10-14T00:00:00"/>
    <s v=""/>
    <s v="CAJA"/>
    <n v="1"/>
    <s v="PENDIENTE APROBACION  ENVIO TMS"/>
    <s v="000000000209672636"/>
    <x v="0"/>
    <x v="0"/>
    <m/>
    <n v="1"/>
    <m/>
  </r>
  <r>
    <n v="209672642"/>
    <s v="88"/>
    <x v="103"/>
    <d v="2026-10-14T11:54:16"/>
    <d v="2026-10-14T05:54:14"/>
    <d v="2026-10-14T00:00:00"/>
    <s v=""/>
    <s v="CAJA"/>
    <n v="1"/>
    <s v="PENDIENTE APROBACION  ENVIO TMS"/>
    <s v="000000000209672642"/>
    <x v="0"/>
    <x v="0"/>
    <m/>
    <n v="1"/>
    <m/>
  </r>
  <r>
    <n v="209672653"/>
    <s v="110"/>
    <x v="55"/>
    <d v="2026-10-14T11:54:18"/>
    <d v="2026-10-14T05:54:15"/>
    <d v="2026-10-14T00:00:00"/>
    <s v=""/>
    <s v="CAJA"/>
    <n v="1"/>
    <s v="PENDIENTE APROBACION  ENVIO TMS"/>
    <s v="000000000209672653"/>
    <x v="0"/>
    <x v="0"/>
    <m/>
    <n v="1"/>
    <m/>
  </r>
  <r>
    <n v="1209672762"/>
    <s v="196"/>
    <x v="81"/>
    <d v="2026-10-14T11:54:18"/>
    <d v="2026-10-14T05:54:16"/>
    <d v="2026-10-14T00:00:00"/>
    <s v=""/>
    <s v="PACK"/>
    <n v="8"/>
    <s v="PENDIENTE APROBACION  ENVIO TMS"/>
    <s v="000000001209672762"/>
    <x v="1"/>
    <x v="2"/>
    <m/>
    <n v="1"/>
    <m/>
  </r>
  <r>
    <n v="1209672772"/>
    <s v="196"/>
    <x v="81"/>
    <d v="2026-10-14T11:54:20"/>
    <d v="2026-10-14T05:54:17"/>
    <d v="2026-10-14T00:00:00"/>
    <s v=""/>
    <s v="CAJA"/>
    <n v="2"/>
    <s v="PENDIENTE APROBACION  ENVIO TMS"/>
    <s v="000000001209672772"/>
    <x v="1"/>
    <x v="2"/>
    <m/>
    <n v="1"/>
    <m/>
  </r>
  <r>
    <n v="8209672792"/>
    <s v="204"/>
    <x v="98"/>
    <d v="2026-10-14T11:54:21"/>
    <d v="2026-10-14T05:54:19"/>
    <d v="2026-10-14T00:00:00"/>
    <s v=""/>
    <s v="UNIDAD"/>
    <n v="24"/>
    <s v="PENDIENTE APROBACION  ENVIO TMS"/>
    <s v="000000008209672792"/>
    <x v="2"/>
    <x v="0"/>
    <m/>
    <n v="1"/>
    <m/>
  </r>
  <r>
    <n v="8209672794"/>
    <s v="204"/>
    <x v="98"/>
    <d v="2026-10-14T11:54:23"/>
    <d v="2026-10-14T05:54:20"/>
    <d v="2026-10-14T00:00:00"/>
    <s v=""/>
    <s v="UNIDAD"/>
    <n v="6"/>
    <s v="PENDIENTE APROBACION  ENVIO TMS"/>
    <s v="000000008209672794"/>
    <x v="2"/>
    <x v="0"/>
    <m/>
    <n v="1"/>
    <m/>
  </r>
  <r>
    <n v="1209672527"/>
    <s v="161"/>
    <x v="65"/>
    <d v="2026-10-14T11:54:24"/>
    <d v="2026-10-14T05:54:21"/>
    <d v="2026-10-14T00:00:00"/>
    <s v=""/>
    <s v="CAJA"/>
    <n v="6"/>
    <s v="PENDIENTE APROBACION  ENVIO TMS"/>
    <s v="000000001209672527"/>
    <x v="1"/>
    <x v="4"/>
    <m/>
    <n v="1"/>
    <m/>
  </r>
  <r>
    <n v="1209672536"/>
    <s v="161"/>
    <x v="65"/>
    <d v="2026-10-14T11:54:25"/>
    <d v="2026-10-14T05:54:22"/>
    <d v="2026-10-14T00:00:00"/>
    <s v=""/>
    <s v="UNIDAD"/>
    <n v="17"/>
    <s v="PENDIENTE APROBACION  ENVIO TMS"/>
    <s v="000000001209672536"/>
    <x v="1"/>
    <x v="4"/>
    <m/>
    <n v="1"/>
    <m/>
  </r>
  <r>
    <n v="209672660"/>
    <s v="124"/>
    <x v="90"/>
    <d v="2026-10-14T11:54:26"/>
    <d v="2026-10-14T05:54:24"/>
    <d v="2026-10-14T00:00:00"/>
    <s v=""/>
    <s v="CAJA"/>
    <n v="1"/>
    <s v="PENDIENTE APROBACION  ENVIO TMS"/>
    <s v="000000000209672660"/>
    <x v="0"/>
    <x v="1"/>
    <m/>
    <n v="1"/>
    <m/>
  </r>
  <r>
    <n v="209672664"/>
    <s v="130"/>
    <x v="75"/>
    <d v="2026-10-14T11:54:27"/>
    <d v="2026-10-14T05:54:25"/>
    <d v="2026-10-14T00:00:00"/>
    <s v=""/>
    <s v="CAJA"/>
    <n v="1"/>
    <s v="PENDIENTE APROBACION  ENVIO TMS"/>
    <s v="000000000209672664"/>
    <x v="0"/>
    <x v="1"/>
    <m/>
    <n v="1"/>
    <m/>
  </r>
  <r>
    <n v="1209672715"/>
    <s v="162"/>
    <x v="94"/>
    <d v="2026-10-14T11:54:29"/>
    <d v="2026-10-14T05:54:26"/>
    <d v="2026-10-14T00:00:00"/>
    <s v=""/>
    <s v="CAJA"/>
    <n v="3"/>
    <s v="PENDIENTE APROBACION  ENVIO TMS"/>
    <s v="000000001209672715"/>
    <x v="1"/>
    <x v="3"/>
    <m/>
    <n v="1"/>
    <m/>
  </r>
  <r>
    <n v="209672687"/>
    <s v="225"/>
    <x v="70"/>
    <d v="2026-10-14T11:54:30"/>
    <d v="2026-10-14T05:54:27"/>
    <d v="2026-10-14T00:00:00"/>
    <s v=""/>
    <s v="CAJA"/>
    <n v="1"/>
    <s v="PENDIENTE APROBACION  ENVIO TMS"/>
    <s v="000000000209672687"/>
    <x v="0"/>
    <x v="3"/>
    <m/>
    <n v="1"/>
    <m/>
  </r>
  <r>
    <n v="209672688"/>
    <s v="224"/>
    <x v="6"/>
    <d v="2026-10-14T11:54:31"/>
    <d v="2026-10-14T05:54:28"/>
    <d v="2026-10-14T00:00:00"/>
    <s v=""/>
    <s v="CAJA"/>
    <n v="1"/>
    <s v="PENDIENTE APROBACION  ENVIO TMS"/>
    <s v="000000000209672688"/>
    <x v="0"/>
    <x v="0"/>
    <m/>
    <n v="1"/>
    <m/>
  </r>
  <r>
    <n v="209672690"/>
    <s v="237"/>
    <x v="105"/>
    <d v="2026-10-14T11:54:32"/>
    <d v="2026-10-14T05:54:30"/>
    <d v="2026-10-14T00:00:00"/>
    <s v=""/>
    <s v="CAJA"/>
    <n v="1"/>
    <s v="PENDIENTE APROBACION  ENVIO TMS"/>
    <s v="000000000209672690"/>
    <x v="0"/>
    <x v="0"/>
    <m/>
    <n v="1"/>
    <m/>
  </r>
  <r>
    <n v="209672697"/>
    <s v="262"/>
    <x v="107"/>
    <d v="2026-10-14T11:54:34"/>
    <d v="2026-10-14T05:54:31"/>
    <d v="2026-10-14T00:00:00"/>
    <s v=""/>
    <s v="CAJA"/>
    <n v="1"/>
    <s v="PENDIENTE APROBACION  ENVIO TMS"/>
    <s v="000000000209672697"/>
    <x v="0"/>
    <x v="4"/>
    <m/>
    <n v="1"/>
    <m/>
  </r>
  <r>
    <n v="209672703"/>
    <s v="280"/>
    <x v="0"/>
    <d v="2026-10-14T11:54:35"/>
    <d v="2026-10-14T05:54:32"/>
    <d v="2026-10-14T00:00:00"/>
    <s v=""/>
    <s v="CAJA"/>
    <n v="1"/>
    <s v="PENDIENTE APROBACION  ENVIO TMS"/>
    <s v="000000000209672703"/>
    <x v="0"/>
    <x v="0"/>
    <m/>
    <n v="1"/>
    <m/>
  </r>
  <r>
    <n v="209672707"/>
    <s v="284"/>
    <x v="116"/>
    <d v="2026-10-14T11:54:36"/>
    <d v="2026-10-14T05:54:33"/>
    <d v="2026-10-14T00:00:00"/>
    <s v=""/>
    <s v="CAJA"/>
    <n v="1"/>
    <s v="PENDIENTE APROBACION  ENVIO TMS"/>
    <s v="000000000209672707"/>
    <x v="0"/>
    <x v="0"/>
    <m/>
    <n v="1"/>
    <m/>
  </r>
  <r>
    <n v="8209672576"/>
    <s v="162"/>
    <x v="94"/>
    <d v="2026-10-14T11:54:37"/>
    <d v="2026-10-14T05:54:35"/>
    <d v="2026-10-14T00:00:00"/>
    <s v=""/>
    <s v="UNIDAD"/>
    <n v="19"/>
    <s v="PENDIENTE APROBACION  ENVIO TMS"/>
    <s v="000000008209672576"/>
    <x v="2"/>
    <x v="3"/>
    <m/>
    <n v="1"/>
    <m/>
  </r>
  <r>
    <n v="209672593"/>
    <s v="21"/>
    <x v="124"/>
    <d v="2026-10-14T11:54:39"/>
    <d v="2026-10-14T05:54:36"/>
    <d v="2026-10-14T00:00:00"/>
    <s v=""/>
    <s v="CAJA"/>
    <n v="1"/>
    <s v="PENDIENTE APROBACION  ENVIO TMS"/>
    <s v="000000000209672593"/>
    <x v="0"/>
    <x v="3"/>
    <m/>
    <n v="1"/>
    <m/>
  </r>
  <r>
    <n v="1209672712"/>
    <s v="162"/>
    <x v="94"/>
    <d v="2026-10-14T11:54:40"/>
    <d v="2026-10-14T05:54:37"/>
    <d v="2026-10-14T00:00:00"/>
    <s v=""/>
    <s v="PACK"/>
    <n v="24"/>
    <s v="PENDIENTE APROBACION  ENVIO TMS"/>
    <s v="000000001209672712"/>
    <x v="1"/>
    <x v="3"/>
    <m/>
    <n v="1"/>
    <m/>
  </r>
  <r>
    <n v="209672595"/>
    <s v="28"/>
    <x v="52"/>
    <d v="2026-10-14T11:54:41"/>
    <d v="2026-10-14T05:54:38"/>
    <d v="2026-10-14T00:00:00"/>
    <s v=""/>
    <s v="CAJA"/>
    <n v="1"/>
    <s v="PENDIENTE APROBACION  ENVIO TMS"/>
    <s v="000000000209672595"/>
    <x v="0"/>
    <x v="1"/>
    <m/>
    <n v="1"/>
    <m/>
  </r>
  <r>
    <n v="209672598"/>
    <s v="38"/>
    <x v="129"/>
    <d v="2026-10-14T11:54:42"/>
    <d v="2026-10-14T05:54:40"/>
    <d v="2026-10-14T00:00:00"/>
    <s v=""/>
    <s v="CAJA"/>
    <n v="1"/>
    <s v="PENDIENTE APROBACION  ENVIO TMS"/>
    <s v="000000000209672598"/>
    <x v="0"/>
    <x v="1"/>
    <m/>
    <n v="1"/>
    <m/>
  </r>
  <r>
    <n v="209672610"/>
    <s v="51"/>
    <x v="44"/>
    <d v="2026-10-14T11:54:43"/>
    <d v="2026-10-14T05:54:41"/>
    <d v="2026-10-14T00:00:00"/>
    <s v=""/>
    <s v="CAJA"/>
    <n v="1"/>
    <s v="PENDIENTE APROBACION  ENVIO TMS"/>
    <s v="000000000209672610"/>
    <x v="0"/>
    <x v="1"/>
    <m/>
    <n v="1"/>
    <m/>
  </r>
  <r>
    <n v="209672616"/>
    <s v="57"/>
    <x v="117"/>
    <d v="2026-10-14T11:54:45"/>
    <d v="2026-10-14T05:54:42"/>
    <d v="2026-10-14T00:00:00"/>
    <s v=""/>
    <s v="CAJA"/>
    <n v="1"/>
    <s v="PENDIENTE APROBACION  ENVIO TMS"/>
    <s v="000000000209672616"/>
    <x v="0"/>
    <x v="1"/>
    <m/>
    <n v="1"/>
    <m/>
  </r>
  <r>
    <n v="209672619"/>
    <s v="60"/>
    <x v="137"/>
    <d v="2026-10-14T11:54:46"/>
    <d v="2026-10-14T05:54:43"/>
    <d v="2026-10-14T00:00:00"/>
    <s v=""/>
    <s v="CAJA"/>
    <n v="1"/>
    <s v="PENDIENTE APROBACION  ENVIO TMS"/>
    <s v="000000000209672619"/>
    <x v="0"/>
    <x v="2"/>
    <m/>
    <n v="1"/>
    <m/>
  </r>
  <r>
    <n v="209672641"/>
    <s v="80"/>
    <x v="54"/>
    <d v="2026-10-14T11:54:47"/>
    <d v="2026-10-14T05:54:45"/>
    <d v="2026-10-14T00:00:00"/>
    <s v=""/>
    <s v="CAJA"/>
    <n v="1"/>
    <s v="PENDIENTE APROBACION  ENVIO TMS"/>
    <s v="000000000209672641"/>
    <x v="0"/>
    <x v="0"/>
    <m/>
    <n v="1"/>
    <m/>
  </r>
  <r>
    <n v="1209672778"/>
    <s v="196"/>
    <x v="81"/>
    <d v="2026-10-14T11:54:48"/>
    <d v="2026-10-14T05:54:46"/>
    <d v="2026-10-14T00:00:00"/>
    <s v=""/>
    <s v="CAJA"/>
    <n v="18"/>
    <s v="PENDIENTE APROBACION  ENVIO TMS"/>
    <s v="000000001209672778"/>
    <x v="1"/>
    <x v="2"/>
    <m/>
    <n v="1"/>
    <m/>
  </r>
  <r>
    <n v="1209672763"/>
    <s v="196"/>
    <x v="81"/>
    <d v="2026-10-14T11:54:50"/>
    <d v="2026-10-14T05:54:47"/>
    <d v="2026-10-14T00:00:00"/>
    <s v=""/>
    <s v="CAJA"/>
    <n v="10"/>
    <s v="PENDIENTE APROBACION  ENVIO TMS"/>
    <s v="000000001209672763"/>
    <x v="1"/>
    <x v="2"/>
    <m/>
    <n v="1"/>
    <m/>
  </r>
  <r>
    <n v="1209672767"/>
    <s v="196"/>
    <x v="81"/>
    <d v="2026-10-14T11:54:51"/>
    <d v="2026-10-14T05:54:48"/>
    <d v="2026-10-14T00:00:00"/>
    <s v=""/>
    <s v="CAJA"/>
    <n v="24"/>
    <s v="PENDIENTE APROBACION  ENVIO TMS"/>
    <s v="000000001209672767"/>
    <x v="1"/>
    <x v="2"/>
    <m/>
    <n v="1"/>
    <m/>
  </r>
  <r>
    <n v="1209672768"/>
    <s v="196"/>
    <x v="81"/>
    <d v="2026-10-14T11:54:52"/>
    <d v="2026-10-14T05:54:49"/>
    <d v="2026-10-14T00:00:00"/>
    <s v=""/>
    <s v="PACK"/>
    <n v="33"/>
    <s v="PENDIENTE APROBACION  ENVIO TMS"/>
    <s v="000000001209672768"/>
    <x v="1"/>
    <x v="2"/>
    <m/>
    <n v="1"/>
    <m/>
  </r>
  <r>
    <n v="8209672728"/>
    <s v="195"/>
    <x v="122"/>
    <d v="2026-10-14T11:54:53"/>
    <d v="2026-10-14T05:54:51"/>
    <d v="2026-10-14T00:00:00"/>
    <s v=""/>
    <s v="UNIDAD"/>
    <n v="10"/>
    <s v="PENDIENTE APROBACION  ENVIO TMS"/>
    <s v="000000008209672728"/>
    <x v="2"/>
    <x v="2"/>
    <m/>
    <n v="1"/>
    <m/>
  </r>
  <r>
    <n v="8209672729"/>
    <s v="195"/>
    <x v="122"/>
    <d v="2026-10-14T11:54:54"/>
    <d v="2026-10-14T05:54:52"/>
    <d v="2026-10-14T00:00:00"/>
    <s v=""/>
    <s v="UNIDAD"/>
    <n v="3"/>
    <s v="PENDIENTE APROBACION  ENVIO TMS"/>
    <s v="000000008209672729"/>
    <x v="2"/>
    <x v="2"/>
    <m/>
    <n v="1"/>
    <m/>
  </r>
  <r>
    <n v="8209672731"/>
    <s v="195"/>
    <x v="122"/>
    <d v="2026-10-14T11:54:56"/>
    <d v="2026-10-14T05:54:53"/>
    <d v="2026-10-14T00:00:00"/>
    <s v=""/>
    <s v="UNIDAD"/>
    <n v="8"/>
    <s v="PENDIENTE APROBACION  ENVIO TMS"/>
    <s v="000000008209672731"/>
    <x v="2"/>
    <x v="2"/>
    <m/>
    <n v="1"/>
    <m/>
  </r>
  <r>
    <n v="1209672744"/>
    <s v="195"/>
    <x v="122"/>
    <d v="2026-10-14T11:54:57"/>
    <d v="2026-10-14T05:54:54"/>
    <d v="2026-10-14T00:00:00"/>
    <s v=""/>
    <s v="PACK"/>
    <n v="49"/>
    <s v="PENDIENTE APROBACION  ENVIO TMS"/>
    <s v="000000001209672744"/>
    <x v="1"/>
    <x v="2"/>
    <m/>
    <n v="1"/>
    <m/>
  </r>
  <r>
    <n v="8209672793"/>
    <s v="204"/>
    <x v="98"/>
    <d v="2026-10-14T11:54:59"/>
    <d v="2026-10-14T05:54:57"/>
    <d v="2026-10-14T00:00:00"/>
    <s v=""/>
    <s v="UNIDAD"/>
    <n v="1"/>
    <s v="PENDIENTE APROBACION  ENVIO TMS"/>
    <s v="000000008209672793"/>
    <x v="2"/>
    <x v="0"/>
    <m/>
    <n v="1"/>
    <m/>
  </r>
  <r>
    <n v="1209672735"/>
    <s v="195"/>
    <x v="122"/>
    <d v="2026-10-14T11:54:59"/>
    <d v="2026-10-14T05:54:56"/>
    <d v="2026-10-14T00:00:00"/>
    <s v=""/>
    <s v="CAJA"/>
    <n v="17"/>
    <s v="PENDIENTE APROBACION  ENVIO TMS"/>
    <s v="000000001209672735"/>
    <x v="1"/>
    <x v="2"/>
    <m/>
    <n v="1"/>
    <m/>
  </r>
  <r>
    <n v="1209672796"/>
    <s v="204"/>
    <x v="98"/>
    <d v="2026-10-14T11:55:01"/>
    <d v="2026-10-14T05:54:58"/>
    <d v="2026-10-14T00:00:00"/>
    <s v=""/>
    <s v="CAJA"/>
    <n v="7"/>
    <s v="PENDIENTE APROBACION  ENVIO TMS"/>
    <s v="000000001209672796"/>
    <x v="1"/>
    <x v="0"/>
    <m/>
    <n v="1"/>
    <m/>
  </r>
  <r>
    <n v="1209672806"/>
    <s v="204"/>
    <x v="98"/>
    <d v="2026-10-14T11:55:02"/>
    <d v="2026-10-14T05:54:59"/>
    <d v="2026-10-14T00:00:00"/>
    <s v=""/>
    <s v="UNIDAD"/>
    <n v="4"/>
    <s v="PENDIENTE APROBACION  ENVIO TMS"/>
    <s v="000000001209672806"/>
    <x v="1"/>
    <x v="0"/>
    <m/>
    <n v="1"/>
    <m/>
  </r>
  <r>
    <n v="1209672800"/>
    <s v="204"/>
    <x v="98"/>
    <d v="2026-10-14T11:55:03"/>
    <d v="2026-10-14T05:55:01"/>
    <d v="2026-10-14T00:00:00"/>
    <s v=""/>
    <s v="CAJA"/>
    <n v="14"/>
    <s v="PENDIENTE APROBACION  ENVIO TMS"/>
    <s v="000000001209672800"/>
    <x v="1"/>
    <x v="0"/>
    <m/>
    <n v="1"/>
    <m/>
  </r>
  <r>
    <n v="1209672525"/>
    <s v="161"/>
    <x v="65"/>
    <d v="2026-10-14T11:55:04"/>
    <d v="2026-10-14T05:55:02"/>
    <d v="2026-10-14T00:00:00"/>
    <s v=""/>
    <s v="CAJA"/>
    <n v="4"/>
    <s v="PENDIENTE APROBACION  ENVIO TMS"/>
    <s v="000000001209672525"/>
    <x v="1"/>
    <x v="4"/>
    <m/>
    <n v="1"/>
    <m/>
  </r>
  <r>
    <n v="1209672528"/>
    <s v="161"/>
    <x v="65"/>
    <d v="2026-10-14T11:55:05"/>
    <d v="2026-10-14T05:55:03"/>
    <d v="2026-10-14T00:00:00"/>
    <s v=""/>
    <s v="CAJA"/>
    <n v="10"/>
    <s v="PENDIENTE APROBACION  ENVIO TMS"/>
    <s v="000000001209672528"/>
    <x v="1"/>
    <x v="4"/>
    <m/>
    <n v="1"/>
    <m/>
  </r>
  <r>
    <n v="1209672529"/>
    <s v="161"/>
    <x v="65"/>
    <d v="2026-10-14T11:55:07"/>
    <d v="2026-10-14T05:55:04"/>
    <d v="2026-10-14T00:00:00"/>
    <s v=""/>
    <s v="PACK"/>
    <n v="9"/>
    <s v="PENDIENTE APROBACION  ENVIO TMS"/>
    <s v="000000001209672529"/>
    <x v="1"/>
    <x v="4"/>
    <m/>
    <n v="1"/>
    <m/>
  </r>
  <r>
    <n v="8209672523"/>
    <s v="161"/>
    <x v="65"/>
    <d v="2026-10-14T11:55:08"/>
    <d v="2026-10-14T05:55:06"/>
    <d v="2026-10-14T00:00:00"/>
    <s v=""/>
    <s v="UNIDAD"/>
    <n v="7"/>
    <s v="PENDIENTE APROBACION  ENVIO TMS"/>
    <s v="000000008209672523"/>
    <x v="2"/>
    <x v="4"/>
    <m/>
    <n v="1"/>
    <m/>
  </r>
  <r>
    <n v="209672661"/>
    <s v="125"/>
    <x v="74"/>
    <d v="2026-10-14T11:55:10"/>
    <d v="2026-10-14T05:55:08"/>
    <d v="2026-10-14T00:00:00"/>
    <s v=""/>
    <s v="CAJA"/>
    <n v="1"/>
    <s v="PENDIENTE APROBACION  ENVIO TMS"/>
    <s v="000000000209672661"/>
    <x v="0"/>
    <x v="1"/>
    <m/>
    <n v="1"/>
    <m/>
  </r>
  <r>
    <n v="209672658"/>
    <s v="118"/>
    <x v="113"/>
    <d v="2026-10-14T11:55:10"/>
    <d v="2026-10-14T05:55:07"/>
    <d v="2026-10-14T00:00:00"/>
    <s v=""/>
    <s v="CAJA"/>
    <n v="1"/>
    <s v="PENDIENTE APROBACION  ENVIO TMS"/>
    <s v="000000000209672658"/>
    <x v="0"/>
    <x v="1"/>
    <m/>
    <n v="1"/>
    <m/>
  </r>
  <r>
    <n v="209672670"/>
    <s v="144"/>
    <x v="34"/>
    <d v="2026-10-14T11:55:12"/>
    <d v="2026-10-14T05:55:09"/>
    <d v="2026-10-14T00:00:00"/>
    <s v=""/>
    <s v="CAJA"/>
    <n v="1"/>
    <s v="PENDIENTE APROBACION  ENVIO TMS"/>
    <s v="000000000209672670"/>
    <x v="0"/>
    <x v="1"/>
    <m/>
    <n v="1"/>
    <m/>
  </r>
  <r>
    <n v="209672671"/>
    <s v="150"/>
    <x v="59"/>
    <d v="2026-10-14T11:55:13"/>
    <d v="2026-10-14T05:55:11"/>
    <d v="2026-10-14T00:00:00"/>
    <s v=""/>
    <s v="CAJA"/>
    <n v="1"/>
    <s v="PENDIENTE APROBACION  ENVIO TMS"/>
    <s v="000000000209672671"/>
    <x v="0"/>
    <x v="1"/>
    <m/>
    <n v="1"/>
    <m/>
  </r>
  <r>
    <n v="209672691"/>
    <s v="238"/>
    <x v="84"/>
    <d v="2026-10-14T11:55:15"/>
    <d v="2026-10-14T05:55:12"/>
    <d v="2026-10-14T00:00:00"/>
    <s v=""/>
    <s v="CAJA"/>
    <n v="1"/>
    <s v="PENDIENTE APROBACION  ENVIO TMS"/>
    <s v="000000000209672691"/>
    <x v="0"/>
    <x v="1"/>
    <m/>
    <n v="1"/>
    <m/>
  </r>
  <r>
    <n v="209672696"/>
    <s v="261"/>
    <x v="132"/>
    <d v="2026-10-14T11:55:16"/>
    <d v="2026-10-14T05:55:13"/>
    <d v="2026-10-14T00:00:00"/>
    <s v=""/>
    <s v="CAJA"/>
    <n v="1"/>
    <s v="PENDIENTE APROBACION  ENVIO TMS"/>
    <s v="000000000209672696"/>
    <x v="0"/>
    <x v="0"/>
    <m/>
    <n v="1"/>
    <m/>
  </r>
  <r>
    <n v="209672701"/>
    <s v="282"/>
    <x v="110"/>
    <d v="2026-10-14T11:55:17"/>
    <d v="2026-10-14T05:55:14"/>
    <d v="2026-10-14T00:00:00"/>
    <s v=""/>
    <s v="CAJA"/>
    <n v="1"/>
    <s v="PENDIENTE APROBACION  ENVIO TMS"/>
    <s v="000000000209672701"/>
    <x v="0"/>
    <x v="0"/>
    <m/>
    <n v="1"/>
    <m/>
  </r>
  <r>
    <n v="209672706"/>
    <s v="278"/>
    <x v="46"/>
    <d v="2026-10-14T11:55:18"/>
    <d v="2026-10-14T05:55:16"/>
    <d v="2026-10-14T00:00:00"/>
    <s v=""/>
    <s v="CAJA"/>
    <n v="1"/>
    <s v="PENDIENTE APROBACION  ENVIO TMS"/>
    <s v="000000000209672706"/>
    <x v="0"/>
    <x v="1"/>
    <m/>
    <n v="1"/>
    <m/>
  </r>
  <r>
    <n v="8209672574"/>
    <s v="162"/>
    <x v="94"/>
    <d v="2026-10-14T11:55:20"/>
    <d v="2026-10-14T05:55:17"/>
    <d v="2026-10-14T00:00:00"/>
    <s v=""/>
    <s v="UNIDAD"/>
    <n v="2"/>
    <s v="PENDIENTE APROBACION  ENVIO TMS"/>
    <s v="000000008209672574"/>
    <x v="2"/>
    <x v="3"/>
    <m/>
    <n v="1"/>
    <m/>
  </r>
  <r>
    <n v="209672585"/>
    <s v="9"/>
    <x v="16"/>
    <d v="2026-10-14T11:55:21"/>
    <d v="2026-10-14T05:55:19"/>
    <d v="2026-10-14T00:00:00"/>
    <s v=""/>
    <s v="CAJA"/>
    <n v="1"/>
    <s v="PENDIENTE APROBACION  ENVIO TMS"/>
    <s v="000000000209672585"/>
    <x v="0"/>
    <x v="0"/>
    <m/>
    <n v="1"/>
    <m/>
  </r>
  <r>
    <n v="209672584"/>
    <s v="7"/>
    <x v="92"/>
    <d v="2026-10-14T11:55:21"/>
    <d v="2026-10-14T05:55:18"/>
    <d v="2026-10-14T00:00:00"/>
    <s v=""/>
    <s v="CAJA"/>
    <n v="1"/>
    <s v="PENDIENTE APROBACION  ENVIO TMS"/>
    <s v="000000000209672584"/>
    <x v="0"/>
    <x v="1"/>
    <m/>
    <n v="1"/>
    <m/>
  </r>
  <r>
    <n v="209672589"/>
    <s v="13"/>
    <x v="95"/>
    <d v="2026-10-14T11:55:23"/>
    <d v="2026-10-14T05:55:21"/>
    <d v="2026-10-14T00:00:00"/>
    <s v=""/>
    <s v="CAJA"/>
    <n v="1"/>
    <s v="PENDIENTE APROBACION  ENVIO TMS"/>
    <s v="000000000209672589"/>
    <x v="0"/>
    <x v="1"/>
    <m/>
    <n v="1"/>
    <m/>
  </r>
  <r>
    <n v="209672594"/>
    <s v="26"/>
    <x v="100"/>
    <d v="2026-10-14T11:55:24"/>
    <d v="2026-10-14T05:55:22"/>
    <d v="2026-10-14T00:00:00"/>
    <s v=""/>
    <s v="CAJA"/>
    <n v="1"/>
    <s v="PENDIENTE APROBACION  ENVIO TMS"/>
    <s v="000000000209672594"/>
    <x v="0"/>
    <x v="1"/>
    <m/>
    <n v="1"/>
    <m/>
  </r>
  <r>
    <n v="1209672713"/>
    <s v="162"/>
    <x v="94"/>
    <d v="2026-10-14T11:55:26"/>
    <d v="2026-10-14T05:55:24"/>
    <d v="2026-10-14T00:00:00"/>
    <s v=""/>
    <s v="PACK"/>
    <n v="26"/>
    <s v="PENDIENTE APROBACION  ENVIO TMS"/>
    <s v="000000001209672713"/>
    <x v="1"/>
    <x v="3"/>
    <m/>
    <n v="1"/>
    <m/>
  </r>
  <r>
    <n v="209672604"/>
    <s v="45"/>
    <x v="133"/>
    <d v="2026-10-14T11:55:26"/>
    <d v="2026-10-14T05:55:23"/>
    <d v="2026-10-14T00:00:00"/>
    <s v=""/>
    <s v="CAJA"/>
    <n v="1"/>
    <s v="PENDIENTE APROBACION  ENVIO TMS"/>
    <s v="000000000209672604"/>
    <x v="0"/>
    <x v="3"/>
    <m/>
    <n v="1"/>
    <m/>
  </r>
  <r>
    <n v="209672624"/>
    <s v="63"/>
    <x v="120"/>
    <d v="2026-10-14T11:55:28"/>
    <d v="2026-10-14T05:55:25"/>
    <d v="2026-10-14T00:00:00"/>
    <s v=""/>
    <s v="CAJA"/>
    <n v="1"/>
    <s v="PENDIENTE APROBACION  ENVIO TMS"/>
    <s v="000000000209672624"/>
    <x v="0"/>
    <x v="0"/>
    <m/>
    <n v="1"/>
    <m/>
  </r>
  <r>
    <n v="209672625"/>
    <s v="73"/>
    <x v="93"/>
    <d v="2026-10-14T11:55:29"/>
    <d v="2026-10-14T05:55:27"/>
    <d v="2026-10-14T00:00:00"/>
    <s v=""/>
    <s v="CAJA"/>
    <n v="1"/>
    <s v="PENDIENTE APROBACION  ENVIO TMS"/>
    <s v="000000000209672625"/>
    <x v="0"/>
    <x v="0"/>
    <m/>
    <n v="1"/>
    <m/>
  </r>
  <r>
    <n v="209672627"/>
    <s v="65"/>
    <x v="79"/>
    <d v="2026-10-14T11:55:31"/>
    <d v="2026-10-14T05:55:28"/>
    <d v="2026-10-14T00:00:00"/>
    <s v=""/>
    <s v="CAJA"/>
    <n v="1"/>
    <s v="PENDIENTE APROBACION  ENVIO TMS"/>
    <s v="000000000209672627"/>
    <x v="0"/>
    <x v="0"/>
    <m/>
    <n v="1"/>
    <m/>
  </r>
  <r>
    <n v="209672629"/>
    <s v="74"/>
    <x v="63"/>
    <d v="2026-10-14T11:55:32"/>
    <d v="2026-10-14T05:55:29"/>
    <d v="2026-10-14T00:00:00"/>
    <s v=""/>
    <s v="CAJA"/>
    <n v="1"/>
    <s v="PENDIENTE APROBACION  ENVIO TMS"/>
    <s v="000000000209672629"/>
    <x v="0"/>
    <x v="0"/>
    <m/>
    <n v="1"/>
    <m/>
  </r>
  <r>
    <n v="209672633"/>
    <s v="75"/>
    <x v="37"/>
    <d v="2026-10-14T11:55:33"/>
    <d v="2026-10-14T05:55:30"/>
    <d v="2026-10-14T00:00:00"/>
    <s v=""/>
    <s v="CAJA"/>
    <n v="1"/>
    <s v="PENDIENTE APROBACION  ENVIO TMS"/>
    <s v="000000000209672633"/>
    <x v="0"/>
    <x v="3"/>
    <m/>
    <n v="1"/>
    <m/>
  </r>
  <r>
    <n v="209672646"/>
    <s v="102"/>
    <x v="106"/>
    <d v="2026-10-14T11:55:34"/>
    <d v="2026-10-14T05:55:32"/>
    <d v="2026-10-14T00:00:00"/>
    <s v=""/>
    <s v="CAJA"/>
    <n v="1"/>
    <s v="PENDIENTE APROBACION  ENVIO TMS"/>
    <s v="000000000209672646"/>
    <x v="0"/>
    <x v="3"/>
    <m/>
    <n v="1"/>
    <m/>
  </r>
  <r>
    <n v="8209672757"/>
    <s v="196"/>
    <x v="81"/>
    <d v="2026-10-14T11:55:35"/>
    <d v="2026-10-14T05:55:33"/>
    <d v="2026-10-14T00:00:00"/>
    <s v=""/>
    <s v="UNIDAD"/>
    <n v="1"/>
    <s v="PENDIENTE APROBACION  ENVIO TMS"/>
    <s v="000000008209672757"/>
    <x v="2"/>
    <x v="2"/>
    <m/>
    <n v="1"/>
    <m/>
  </r>
  <r>
    <n v="1209672739"/>
    <s v="195"/>
    <x v="122"/>
    <d v="2026-10-14T11:55:37"/>
    <d v="2026-10-14T05:55:34"/>
    <d v="2026-10-14T00:00:00"/>
    <s v=""/>
    <s v="PACK"/>
    <n v="29"/>
    <s v="PENDIENTE APROBACION  ENVIO TMS"/>
    <s v="000000001209672739"/>
    <x v="1"/>
    <x v="2"/>
    <m/>
    <n v="1"/>
    <m/>
  </r>
  <r>
    <n v="1209672779"/>
    <s v="196"/>
    <x v="81"/>
    <d v="2026-10-14T11:55:38"/>
    <d v="2026-10-14T05:55:35"/>
    <d v="2026-10-14T00:00:00"/>
    <s v=""/>
    <s v="PACK"/>
    <n v="20"/>
    <s v="PENDIENTE APROBACION  ENVIO TMS"/>
    <s v="000000001209672779"/>
    <x v="1"/>
    <x v="2"/>
    <m/>
    <n v="1"/>
    <m/>
  </r>
  <r>
    <n v="8209672732"/>
    <s v="195"/>
    <x v="122"/>
    <d v="2026-10-14T11:55:39"/>
    <d v="2026-10-14T05:55:37"/>
    <d v="2026-10-14T00:00:00"/>
    <s v=""/>
    <s v="UNIDAD"/>
    <n v="6"/>
    <s v="PENDIENTE APROBACION  ENVIO TMS"/>
    <s v="000000008209672732"/>
    <x v="2"/>
    <x v="2"/>
    <m/>
    <n v="1"/>
    <m/>
  </r>
  <r>
    <n v="1209672801"/>
    <s v="204"/>
    <x v="98"/>
    <d v="2026-10-14T11:55:40"/>
    <d v="2026-10-14T05:55:38"/>
    <d v="2026-10-14T00:00:00"/>
    <s v=""/>
    <s v="PACK"/>
    <n v="18"/>
    <s v="PENDIENTE APROBACION  ENVIO TMS"/>
    <s v="000000001209672801"/>
    <x v="1"/>
    <x v="0"/>
    <m/>
    <n v="1"/>
    <m/>
  </r>
  <r>
    <n v="8209672791"/>
    <s v="204"/>
    <x v="98"/>
    <d v="2026-10-14T11:55:42"/>
    <d v="2026-10-14T05:55:39"/>
    <d v="2026-10-14T00:00:00"/>
    <s v=""/>
    <s v="UNIDAD"/>
    <n v="2"/>
    <s v="PENDIENTE APROBACION  ENVIO TMS"/>
    <s v="000000008209672791"/>
    <x v="2"/>
    <x v="0"/>
    <m/>
    <n v="1"/>
    <m/>
  </r>
  <r>
    <n v="1209672531"/>
    <s v="161"/>
    <x v="65"/>
    <d v="2026-10-14T11:55:43"/>
    <d v="2026-10-14T05:55:40"/>
    <d v="2026-10-14T00:00:00"/>
    <s v=""/>
    <s v="CAJA"/>
    <n v="12"/>
    <s v="PENDIENTE APROBACION  ENVIO TMS"/>
    <s v="000000001209672531"/>
    <x v="1"/>
    <x v="4"/>
    <m/>
    <n v="1"/>
    <m/>
  </r>
  <r>
    <n v="1209672530"/>
    <s v="161"/>
    <x v="65"/>
    <d v="2026-10-14T11:55:44"/>
    <d v="2026-10-14T05:55:42"/>
    <d v="2026-10-14T00:00:00"/>
    <s v=""/>
    <s v="CAJA"/>
    <n v="7"/>
    <s v="PENDIENTE APROBACION  ENVIO TMS"/>
    <s v="000000001209672530"/>
    <x v="1"/>
    <x v="4"/>
    <m/>
    <n v="1"/>
    <m/>
  </r>
  <r>
    <n v="8209672522"/>
    <s v="161"/>
    <x v="65"/>
    <d v="2026-10-14T11:55:45"/>
    <d v="2026-10-14T05:55:43"/>
    <d v="2026-10-14T00:00:00"/>
    <s v=""/>
    <s v="UNIDAD"/>
    <n v="20"/>
    <s v="PENDIENTE APROBACION  ENVIO TMS"/>
    <s v="000000008209672522"/>
    <x v="2"/>
    <x v="4"/>
    <m/>
    <n v="1"/>
    <m/>
  </r>
  <r>
    <n v="209672657"/>
    <s v="117"/>
    <x v="72"/>
    <d v="2026-10-14T11:55:47"/>
    <d v="2026-10-14T05:55:44"/>
    <d v="2026-10-14T00:00:00"/>
    <s v=""/>
    <s v="CAJA"/>
    <n v="1"/>
    <s v="PENDIENTE APROBACION  ENVIO TMS"/>
    <s v="000000000209672657"/>
    <x v="0"/>
    <x v="3"/>
    <m/>
    <n v="1"/>
    <m/>
  </r>
  <r>
    <n v="209672669"/>
    <s v="143"/>
    <x v="78"/>
    <d v="2026-10-14T11:55:48"/>
    <d v="2026-10-14T05:55:45"/>
    <d v="2026-10-14T00:00:00"/>
    <s v=""/>
    <s v="CAJA"/>
    <n v="1"/>
    <s v="PENDIENTE APROBACION  ENVIO TMS"/>
    <s v="000000000209672669"/>
    <x v="0"/>
    <x v="2"/>
    <m/>
    <n v="1"/>
    <m/>
  </r>
  <r>
    <n v="209672673"/>
    <s v="140"/>
    <x v="35"/>
    <d v="2026-10-14T11:55:49"/>
    <d v="2026-10-14T05:55:46"/>
    <d v="2026-10-14T00:00:00"/>
    <s v=""/>
    <s v="CAJA"/>
    <n v="1"/>
    <s v="PENDIENTE APROBACION  ENVIO TMS"/>
    <s v="000000000209672673"/>
    <x v="0"/>
    <x v="2"/>
    <m/>
    <n v="1"/>
    <m/>
  </r>
  <r>
    <n v="209672679"/>
    <s v="195"/>
    <x v="122"/>
    <d v="2026-10-14T11:55:50"/>
    <d v="2026-10-14T05:55:48"/>
    <d v="2026-10-14T00:00:00"/>
    <s v=""/>
    <s v="CAJA"/>
    <n v="1"/>
    <s v="PENDIENTE APROBACION  ENVIO TMS"/>
    <s v="000000000209672679"/>
    <x v="0"/>
    <x v="2"/>
    <m/>
    <n v="1"/>
    <m/>
  </r>
  <r>
    <n v="209672683"/>
    <s v="215"/>
    <x v="101"/>
    <d v="2026-10-14T11:55:51"/>
    <d v="2026-10-14T05:55:49"/>
    <d v="2026-10-14T00:00:00"/>
    <s v=""/>
    <s v="CAJA"/>
    <n v="1"/>
    <s v="PENDIENTE APROBACION  ENVIO TMS"/>
    <s v="000000000209672683"/>
    <x v="0"/>
    <x v="0"/>
    <m/>
    <n v="1"/>
    <m/>
  </r>
  <r>
    <n v="1209672717"/>
    <s v="162"/>
    <x v="94"/>
    <d v="2026-10-14T11:55:53"/>
    <d v="2026-10-14T05:55:50"/>
    <d v="2026-10-14T00:00:00"/>
    <s v=""/>
    <s v="PACK"/>
    <n v="69"/>
    <s v="PENDIENTE APROBACION  ENVIO TMS"/>
    <s v="000000001209672717"/>
    <x v="1"/>
    <x v="3"/>
    <m/>
    <n v="1"/>
    <m/>
  </r>
  <r>
    <n v="209672693"/>
    <s v="258"/>
    <x v="131"/>
    <d v="2026-10-14T11:55:54"/>
    <d v="2026-10-14T05:55:51"/>
    <d v="2026-10-14T00:00:00"/>
    <s v=""/>
    <s v="CAJA"/>
    <n v="1"/>
    <s v="PENDIENTE APROBACION  ENVIO TMS"/>
    <s v="000000000209672693"/>
    <x v="0"/>
    <x v="0"/>
    <m/>
    <n v="1"/>
    <m/>
  </r>
  <r>
    <n v="209672694"/>
    <s v="259"/>
    <x v="85"/>
    <d v="2026-10-14T11:55:55"/>
    <d v="2026-10-14T05:55:53"/>
    <d v="2026-10-14T00:00:00"/>
    <s v=""/>
    <s v="CAJA"/>
    <n v="1"/>
    <s v="PENDIENTE APROBACION  ENVIO TMS"/>
    <s v="000000000209672694"/>
    <x v="0"/>
    <x v="1"/>
    <m/>
    <n v="1"/>
    <m/>
  </r>
  <r>
    <n v="209672700"/>
    <s v="266"/>
    <x v="109"/>
    <d v="2026-10-14T11:55:57"/>
    <d v="2026-10-14T05:55:54"/>
    <d v="2026-10-14T00:00:00"/>
    <s v=""/>
    <s v="CAJA"/>
    <n v="1"/>
    <s v="PENDIENTE APROBACION  ENVIO TMS"/>
    <s v="000000000209672700"/>
    <x v="0"/>
    <x v="0"/>
    <m/>
    <n v="1"/>
    <m/>
  </r>
  <r>
    <n v="209672702"/>
    <s v="281"/>
    <x v="27"/>
    <d v="2026-10-14T11:55:58"/>
    <d v="2026-10-14T05:55:55"/>
    <d v="2026-10-14T00:00:00"/>
    <s v=""/>
    <s v="CAJA"/>
    <n v="1"/>
    <s v="PENDIENTE APROBACION  ENVIO TMS"/>
    <s v="000000000209672702"/>
    <x v="0"/>
    <x v="0"/>
    <m/>
    <n v="1"/>
    <m/>
  </r>
  <r>
    <n v="209672708"/>
    <s v="277"/>
    <x v="4"/>
    <d v="2026-10-14T11:55:59"/>
    <d v="2026-10-14T05:55:57"/>
    <d v="2026-10-14T00:00:00"/>
    <s v=""/>
    <s v="CAJA"/>
    <n v="1"/>
    <s v="PENDIENTE APROBACION  ENVIO TMS"/>
    <s v="000000000209672708"/>
    <x v="0"/>
    <x v="1"/>
    <m/>
    <n v="1"/>
    <m/>
  </r>
  <r>
    <n v="209672582"/>
    <s v="5"/>
    <x v="91"/>
    <d v="2026-10-14T11:56:01"/>
    <d v="2026-10-14T05:55:59"/>
    <d v="2026-10-14T00:00:00"/>
    <s v=""/>
    <s v="CAJA"/>
    <n v="1"/>
    <s v="PENDIENTE APROBACION  ENVIO TMS"/>
    <s v="000000000209672582"/>
    <x v="0"/>
    <x v="3"/>
    <m/>
    <n v="1"/>
    <m/>
  </r>
  <r>
    <n v="209672579"/>
    <s v="1"/>
    <x v="138"/>
    <d v="2026-10-14T11:56:01"/>
    <d v="2026-10-14T05:55:58"/>
    <d v="2026-10-14T00:00:00"/>
    <s v=""/>
    <s v="CAJA"/>
    <n v="2"/>
    <s v="PENDIENTE APROBACION  ENVIO TMS"/>
    <s v="000000000209672579"/>
    <x v="0"/>
    <x v="1"/>
    <m/>
    <n v="1"/>
    <m/>
  </r>
  <r>
    <n v="1209672567"/>
    <s v="162"/>
    <x v="94"/>
    <d v="2026-10-14T11:56:03"/>
    <d v="2026-10-14T05:56:00"/>
    <d v="2026-10-14T00:00:00"/>
    <s v=""/>
    <s v="UNIDAD"/>
    <n v="59"/>
    <s v="PENDIENTE APROBACION  ENVIO TMS"/>
    <s v="000000001209672567"/>
    <x v="1"/>
    <x v="3"/>
    <m/>
    <n v="1"/>
    <m/>
  </r>
  <r>
    <n v="209672597"/>
    <s v="36"/>
    <x v="21"/>
    <d v="2026-10-14T11:56:04"/>
    <d v="2026-10-14T05:56:02"/>
    <d v="2026-10-14T00:00:00"/>
    <s v=""/>
    <s v="CAJA"/>
    <n v="1"/>
    <s v="PENDIENTE APROBACION  ENVIO TMS"/>
    <s v="000000000209672597"/>
    <x v="0"/>
    <x v="1"/>
    <m/>
    <n v="1"/>
    <m/>
  </r>
  <r>
    <n v="209672609"/>
    <s v="50"/>
    <x v="135"/>
    <d v="2026-10-14T11:56:05"/>
    <d v="2026-10-14T05:56:03"/>
    <d v="2026-10-14T00:00:00"/>
    <s v=""/>
    <s v="CAJA"/>
    <n v="1"/>
    <s v="PENDIENTE APROBACION  ENVIO TMS"/>
    <s v="000000000209672609"/>
    <x v="0"/>
    <x v="0"/>
    <m/>
    <n v="1"/>
    <m/>
  </r>
  <r>
    <n v="209672621"/>
    <s v="61"/>
    <x v="77"/>
    <d v="2026-10-14T11:56:07"/>
    <d v="2026-10-14T05:56:05"/>
    <d v="2026-10-14T00:00:00"/>
    <s v=""/>
    <s v="CAJA"/>
    <n v="1"/>
    <s v="PENDIENTE APROBACION  ENVIO TMS"/>
    <s v="000000000209672621"/>
    <x v="0"/>
    <x v="0"/>
    <m/>
    <n v="1"/>
    <m/>
  </r>
  <r>
    <n v="209672613"/>
    <s v="54"/>
    <x v="115"/>
    <d v="2026-10-14T11:56:07"/>
    <d v="2026-10-14T05:56:04"/>
    <d v="2026-10-14T00:00:00"/>
    <s v=""/>
    <s v="CAJA"/>
    <n v="1"/>
    <s v="PENDIENTE APROBACION  ENVIO TMS"/>
    <s v="000000000209672613"/>
    <x v="0"/>
    <x v="0"/>
    <m/>
    <n v="1"/>
    <m/>
  </r>
  <r>
    <n v="209672637"/>
    <s v="82"/>
    <x v="20"/>
    <d v="2026-10-14T11:56:09"/>
    <d v="2026-10-14T05:56:06"/>
    <d v="2026-10-14T00:00:00"/>
    <s v=""/>
    <s v="CAJA"/>
    <n v="1"/>
    <s v="PENDIENTE APROBACION  ENVIO TMS"/>
    <s v="000000000209672637"/>
    <x v="0"/>
    <x v="0"/>
    <m/>
    <n v="1"/>
    <m/>
  </r>
  <r>
    <n v="209672643"/>
    <s v="87"/>
    <x v="41"/>
    <d v="2026-10-14T11:56:10"/>
    <d v="2026-10-14T05:56:08"/>
    <d v="2026-10-14T00:00:00"/>
    <s v=""/>
    <s v="CAJA"/>
    <n v="1"/>
    <s v="PENDIENTE APROBACION  ENVIO TMS"/>
    <s v="000000000209672643"/>
    <x v="0"/>
    <x v="0"/>
    <m/>
    <n v="1"/>
    <m/>
  </r>
  <r>
    <n v="209672644"/>
    <s v="89"/>
    <x v="104"/>
    <d v="2026-10-14T11:56:12"/>
    <d v="2026-10-14T05:56:09"/>
    <d v="2026-10-14T00:00:00"/>
    <s v=""/>
    <s v="CAJA"/>
    <n v="1"/>
    <s v="PENDIENTE APROBACION  ENVIO TMS"/>
    <s v="000000000209672644"/>
    <x v="0"/>
    <x v="0"/>
    <m/>
    <n v="1"/>
    <m/>
  </r>
  <r>
    <n v="1209672761"/>
    <s v="196"/>
    <x v="81"/>
    <d v="2026-10-14T11:56:13"/>
    <d v="2026-10-14T05:56:10"/>
    <d v="2026-10-14T00:00:00"/>
    <s v=""/>
    <s v="CAJA"/>
    <n v="4"/>
    <s v="PENDIENTE APROBACION  ENVIO TMS"/>
    <s v="000000001209672761"/>
    <x v="1"/>
    <x v="2"/>
    <m/>
    <n v="1"/>
    <m/>
  </r>
  <r>
    <n v="1209672740"/>
    <s v="195"/>
    <x v="122"/>
    <d v="2026-10-14T11:56:14"/>
    <d v="2026-10-14T05:56:11"/>
    <d v="2026-10-14T00:00:00"/>
    <s v=""/>
    <s v="CAJA"/>
    <n v="1"/>
    <s v="PENDIENTE APROBACION  ENVIO TMS"/>
    <s v="000000001209672740"/>
    <x v="1"/>
    <x v="2"/>
    <m/>
    <n v="1"/>
    <m/>
  </r>
  <r>
    <n v="1209672743"/>
    <s v="195"/>
    <x v="122"/>
    <d v="2026-10-14T11:56:15"/>
    <d v="2026-10-14T05:56:13"/>
    <d v="2026-10-14T00:00:00"/>
    <s v=""/>
    <s v="CAJA"/>
    <n v="51"/>
    <s v="PENDIENTE APROBACION  ENVIO TMS"/>
    <s v="000000001209672743"/>
    <x v="1"/>
    <x v="2"/>
    <m/>
    <n v="1"/>
    <m/>
  </r>
  <r>
    <n v="1209672782"/>
    <s v="196"/>
    <x v="81"/>
    <d v="2026-10-14T11:56:17"/>
    <d v="2026-10-14T05:56:15"/>
    <d v="2026-10-14T00:00:00"/>
    <s v=""/>
    <s v="PACK"/>
    <n v="34"/>
    <s v="PENDIENTE APROBACION  ENVIO TMS"/>
    <s v="000000001209672782"/>
    <x v="1"/>
    <x v="2"/>
    <m/>
    <n v="1"/>
    <m/>
  </r>
  <r>
    <n v="1209672733"/>
    <s v="195"/>
    <x v="122"/>
    <d v="2026-10-14T11:56:17"/>
    <d v="2026-10-14T05:56:14"/>
    <d v="2026-10-14T00:00:00"/>
    <s v=""/>
    <s v="CAJA"/>
    <n v="5"/>
    <s v="PENDIENTE APROBACION  ENVIO TMS"/>
    <s v="000000001209672733"/>
    <x v="1"/>
    <x v="2"/>
    <m/>
    <n v="1"/>
    <m/>
  </r>
  <r>
    <n v="209672663"/>
    <s v="128"/>
    <x v="14"/>
    <d v="2026-10-14T11:56:19"/>
    <d v="2026-10-14T05:56:16"/>
    <d v="2026-10-14T00:00:00"/>
    <s v=""/>
    <s v="CAJA"/>
    <n v="1"/>
    <s v="PENDIENTE APROBACION  ENVIO TMS"/>
    <s v="000000000209672663"/>
    <x v="0"/>
    <x v="0"/>
    <m/>
    <n v="1"/>
    <m/>
  </r>
  <r>
    <n v="209672668"/>
    <s v="142"/>
    <x v="118"/>
    <d v="2026-10-14T11:56:20"/>
    <d v="2026-10-14T05:56:18"/>
    <d v="2026-10-14T00:00:00"/>
    <s v=""/>
    <s v="CAJA"/>
    <n v="1"/>
    <s v="PENDIENTE APROBACION  ENVIO TMS"/>
    <s v="000000000209672668"/>
    <x v="0"/>
    <x v="3"/>
    <m/>
    <n v="1"/>
    <m/>
  </r>
  <r>
    <n v="209672672"/>
    <s v="160"/>
    <x v="33"/>
    <d v="2026-10-14T11:56:22"/>
    <d v="2026-10-14T05:56:19"/>
    <d v="2026-10-14T00:00:00"/>
    <s v=""/>
    <s v="CAJA"/>
    <n v="1"/>
    <s v="PENDIENTE APROBACION  ENVIO TMS"/>
    <s v="000000000209672672"/>
    <x v="0"/>
    <x v="2"/>
    <m/>
    <n v="1"/>
    <m/>
  </r>
  <r>
    <n v="209672677"/>
    <s v="159"/>
    <x v="36"/>
    <d v="2026-10-14T11:56:23"/>
    <d v="2026-10-14T05:56:20"/>
    <d v="2026-10-14T00:00:00"/>
    <s v=""/>
    <s v="CAJA"/>
    <n v="1"/>
    <s v="PENDIENTE APROBACION  ENVIO TMS"/>
    <s v="000000000209672677"/>
    <x v="0"/>
    <x v="1"/>
    <m/>
    <n v="1"/>
    <m/>
  </r>
  <r>
    <n v="209672678"/>
    <s v="196"/>
    <x v="81"/>
    <d v="2026-10-14T11:56:24"/>
    <d v="2026-10-14T05:56:21"/>
    <d v="2026-10-14T00:00:00"/>
    <s v=""/>
    <s v="CAJA"/>
    <n v="1"/>
    <s v="PENDIENTE APROBACION  ENVIO TMS"/>
    <s v="000000000209672678"/>
    <x v="0"/>
    <x v="2"/>
    <m/>
    <n v="1"/>
    <m/>
  </r>
  <r>
    <n v="209672686"/>
    <s v="220"/>
    <x v="68"/>
    <d v="2026-10-14T11:56:25"/>
    <d v="2026-10-14T05:56:23"/>
    <d v="2026-10-14T00:00:00"/>
    <s v=""/>
    <s v="CAJA"/>
    <n v="1"/>
    <s v="PENDIENTE APROBACION  ENVIO TMS"/>
    <s v="000000000209672686"/>
    <x v="0"/>
    <x v="1"/>
    <m/>
    <n v="1"/>
    <m/>
  </r>
  <r>
    <n v="1209672742"/>
    <s v="195"/>
    <x v="122"/>
    <d v="2026-10-14T11:56:26"/>
    <d v="2026-10-14T05:56:24"/>
    <d v="2026-10-14T00:00:00"/>
    <s v=""/>
    <s v="PACK"/>
    <n v="40"/>
    <s v="PENDIENTE APROBACION  ENVIO TMS"/>
    <s v="000000001209672742"/>
    <x v="1"/>
    <x v="2"/>
    <m/>
    <n v="1"/>
    <m/>
  </r>
  <r>
    <n v="8209672770"/>
    <s v="196"/>
    <x v="81"/>
    <d v="2026-10-14T11:56:28"/>
    <d v="2026-10-14T05:56:25"/>
    <d v="2026-10-14T00:00:00"/>
    <s v=""/>
    <s v="UNIDAD"/>
    <n v="34"/>
    <s v="PENDIENTE APROBACION  ENVIO TMS"/>
    <s v="000000008209672770"/>
    <x v="2"/>
    <x v="2"/>
    <m/>
    <n v="1"/>
    <m/>
  </r>
  <r>
    <n v="1209672775"/>
    <s v="196"/>
    <x v="81"/>
    <d v="2026-10-14T11:56:29"/>
    <d v="2026-10-14T05:56:26"/>
    <d v="2026-10-14T00:00:00"/>
    <s v=""/>
    <s v="CAJA"/>
    <n v="12"/>
    <s v="PENDIENTE APROBACION  ENVIO TMS"/>
    <s v="000000001209672775"/>
    <x v="1"/>
    <x v="2"/>
    <m/>
    <n v="1"/>
    <m/>
  </r>
  <r>
    <n v="1209672737"/>
    <s v="195"/>
    <x v="122"/>
    <d v="2026-10-14T11:56:30"/>
    <d v="2026-10-14T05:56:28"/>
    <d v="2026-10-14T00:00:00"/>
    <s v=""/>
    <s v="CAJA"/>
    <n v="20"/>
    <s v="PENDIENTE APROBACION  ENVIO TMS"/>
    <s v="000000001209672737"/>
    <x v="1"/>
    <x v="2"/>
    <m/>
    <n v="1"/>
    <m/>
  </r>
  <r>
    <n v="1209672526"/>
    <s v="161"/>
    <x v="65"/>
    <d v="2026-10-14T11:56:31"/>
    <d v="2026-10-14T05:56:29"/>
    <d v="2026-10-14T00:00:00"/>
    <s v=""/>
    <s v="CAJA"/>
    <n v="3"/>
    <s v="PENDIENTE APROBACION  ENVIO TMS"/>
    <s v="000000001209672526"/>
    <x v="1"/>
    <x v="4"/>
    <m/>
    <n v="1"/>
    <m/>
  </r>
  <r>
    <n v="209672667"/>
    <s v="141"/>
    <x v="76"/>
    <d v="2026-10-14T11:56:33"/>
    <d v="2026-10-14T05:56:30"/>
    <d v="2026-10-14T00:00:00"/>
    <s v=""/>
    <s v="CAJA"/>
    <n v="1"/>
    <s v="PENDIENTE APROBACION  ENVIO TMS"/>
    <s v="000000000209672667"/>
    <x v="0"/>
    <x v="2"/>
    <m/>
    <n v="1"/>
    <m/>
  </r>
  <r>
    <n v="209672684"/>
    <s v="209"/>
    <x v="2"/>
    <d v="2026-10-14T11:56:34"/>
    <d v="2026-10-14T05:56:31"/>
    <d v="2026-10-14T00:00:00"/>
    <s v=""/>
    <s v="CAJA"/>
    <n v="1"/>
    <s v="PENDIENTE APROBACION  ENVIO TMS"/>
    <s v="000000000209672684"/>
    <x v="0"/>
    <x v="0"/>
    <m/>
    <n v="1"/>
    <m/>
  </r>
  <r>
    <n v="1209672719"/>
    <s v="162"/>
    <x v="94"/>
    <d v="2026-10-14T11:56:36"/>
    <d v="2026-10-14T05:56:34"/>
    <d v="2026-10-14T00:00:00"/>
    <s v=""/>
    <s v="PACK"/>
    <n v="14"/>
    <s v="PENDIENTE APROBACION  ENVIO TMS"/>
    <s v="000000001209672719"/>
    <x v="1"/>
    <x v="3"/>
    <m/>
    <n v="1"/>
    <m/>
  </r>
  <r>
    <n v="209672685"/>
    <s v="221"/>
    <x v="125"/>
    <d v="2026-10-14T11:56:36"/>
    <d v="2026-10-14T05:56:33"/>
    <d v="2026-10-14T00:00:00"/>
    <s v=""/>
    <s v="CAJA"/>
    <n v="1"/>
    <s v="PENDIENTE APROBACION  ENVIO TMS"/>
    <s v="000000000209672685"/>
    <x v="0"/>
    <x v="3"/>
    <m/>
    <n v="1"/>
    <m/>
  </r>
  <r>
    <n v="8209672572"/>
    <s v="162"/>
    <x v="94"/>
    <d v="2026-10-14T11:56:38"/>
    <d v="2026-10-14T05:56:35"/>
    <d v="2026-10-14T00:00:00"/>
    <s v=""/>
    <s v="UNIDAD"/>
    <n v="13"/>
    <s v="PENDIENTE APROBACION  ENVIO TMS"/>
    <s v="000000008209672572"/>
    <x v="2"/>
    <x v="3"/>
    <m/>
    <n v="1"/>
    <m/>
  </r>
  <r>
    <n v="209672583"/>
    <s v="6"/>
    <x v="48"/>
    <d v="2026-10-14T11:56:39"/>
    <d v="2026-10-14T05:56:36"/>
    <d v="2026-10-14T00:00:00"/>
    <s v=""/>
    <s v="CAJA"/>
    <n v="1"/>
    <s v="PENDIENTE APROBACION  ENVIO TMS"/>
    <s v="000000000209672583"/>
    <x v="0"/>
    <x v="3"/>
    <m/>
    <n v="1"/>
    <m/>
  </r>
  <r>
    <n v="209672591"/>
    <s v="16"/>
    <x v="18"/>
    <d v="2026-10-14T11:56:40"/>
    <d v="2026-10-14T05:56:38"/>
    <d v="2026-10-14T00:00:00"/>
    <s v=""/>
    <s v="CAJA"/>
    <n v="1"/>
    <s v="PENDIENTE APROBACION  ENVIO TMS"/>
    <s v="000000000209672591"/>
    <x v="0"/>
    <x v="1"/>
    <m/>
    <n v="1"/>
    <m/>
  </r>
  <r>
    <n v="209672600"/>
    <s v="40"/>
    <x v="22"/>
    <d v="2026-10-14T11:56:42"/>
    <d v="2026-10-14T05:56:40"/>
    <d v="2026-10-14T00:00:00"/>
    <s v=""/>
    <s v="CAJA"/>
    <n v="1"/>
    <s v="PENDIENTE APROBACION  ENVIO TMS"/>
    <s v="000000000209672600"/>
    <x v="0"/>
    <x v="3"/>
    <m/>
    <n v="1"/>
    <m/>
  </r>
  <r>
    <n v="209672596"/>
    <s v="29"/>
    <x v="38"/>
    <d v="2026-10-14T11:56:42"/>
    <d v="2026-10-14T05:56:39"/>
    <d v="2026-10-14T00:00:00"/>
    <s v=""/>
    <s v="CAJA"/>
    <n v="1"/>
    <s v="PENDIENTE APROBACION  ENVIO TMS"/>
    <s v="000000000209672596"/>
    <x v="0"/>
    <x v="0"/>
    <m/>
    <n v="1"/>
    <m/>
  </r>
  <r>
    <n v="209672607"/>
    <s v="48"/>
    <x v="87"/>
    <d v="2026-10-14T11:56:44"/>
    <d v="2026-10-14T05:56:41"/>
    <d v="2026-10-14T00:00:00"/>
    <s v=""/>
    <s v="CAJA"/>
    <n v="1"/>
    <s v="PENDIENTE APROBACION  ENVIO TMS"/>
    <s v="000000000209672607"/>
    <x v="0"/>
    <x v="3"/>
    <m/>
    <n v="1"/>
    <m/>
  </r>
  <r>
    <n v="209672615"/>
    <s v="70"/>
    <x v="45"/>
    <d v="2026-10-14T11:56:45"/>
    <d v="2026-10-14T05:56:43"/>
    <d v="2026-10-14T00:00:00"/>
    <s v=""/>
    <s v="CAJA"/>
    <n v="1"/>
    <s v="PENDIENTE APROBACION  ENVIO TMS"/>
    <s v="000000000209672615"/>
    <x v="0"/>
    <x v="2"/>
    <m/>
    <n v="1"/>
    <m/>
  </r>
  <r>
    <n v="209672620"/>
    <s v="71"/>
    <x v="31"/>
    <d v="2026-10-14T11:56:47"/>
    <d v="2026-10-14T05:56:44"/>
    <d v="2026-10-14T00:00:00"/>
    <s v=""/>
    <s v="CAJA"/>
    <n v="1"/>
    <s v="PENDIENTE APROBACION  ENVIO TMS"/>
    <s v="000000000209672620"/>
    <x v="0"/>
    <x v="0"/>
    <m/>
    <n v="1"/>
    <m/>
  </r>
  <r>
    <n v="209672647"/>
    <s v="103"/>
    <x v="42"/>
    <d v="2026-10-14T11:56:47"/>
    <d v="2026-10-14T05:56:45"/>
    <d v="2026-10-14T00:00:00"/>
    <s v=""/>
    <s v="CAJA"/>
    <n v="1"/>
    <s v="PENDIENTE APROBACION  ENVIO TMS"/>
    <s v="000000000209672647"/>
    <x v="0"/>
    <x v="2"/>
    <m/>
    <n v="1"/>
    <m/>
  </r>
  <r>
    <n v="209672649"/>
    <s v="105"/>
    <x v="71"/>
    <d v="2026-10-14T11:56:49"/>
    <d v="2026-10-14T05:56:46"/>
    <d v="2026-10-14T00:00:00"/>
    <s v=""/>
    <s v="CAJA"/>
    <n v="1"/>
    <s v="PENDIENTE APROBACION  ENVIO TMS"/>
    <s v="000000000209672649"/>
    <x v="0"/>
    <x v="2"/>
    <m/>
    <n v="1"/>
    <m/>
  </r>
  <r>
    <n v="209672654"/>
    <s v="114"/>
    <x v="26"/>
    <d v="2026-10-14T11:56:50"/>
    <d v="2026-10-14T05:56:48"/>
    <d v="2026-10-14T00:00:00"/>
    <s v=""/>
    <s v="CAJA"/>
    <n v="1"/>
    <s v="PENDIENTE APROBACION  ENVIO TMS"/>
    <s v="000000000209672654"/>
    <x v="0"/>
    <x v="2"/>
    <m/>
    <n v="1"/>
    <m/>
  </r>
  <r>
    <n v="8209672759"/>
    <s v="196"/>
    <x v="81"/>
    <d v="2026-10-14T11:56:52"/>
    <d v="2026-10-14T05:56:50"/>
    <d v="2026-10-14T00:00:00"/>
    <s v=""/>
    <s v="UNIDAD"/>
    <n v="5"/>
    <s v="PENDIENTE APROBACION  ENVIO TMS"/>
    <s v="000000008209672759"/>
    <x v="2"/>
    <x v="2"/>
    <m/>
    <n v="1"/>
    <m/>
  </r>
  <r>
    <n v="1209672748"/>
    <s v="195"/>
    <x v="122"/>
    <d v="2026-10-14T11:56:52"/>
    <d v="2026-10-14T05:56:49"/>
    <d v="2026-10-14T00:00:00"/>
    <s v=""/>
    <s v="CAJA"/>
    <n v="33"/>
    <s v="PENDIENTE APROBACION  ENVIO TMS"/>
    <s v="000000001209672748"/>
    <x v="1"/>
    <x v="2"/>
    <m/>
    <n v="1"/>
    <m/>
  </r>
  <r>
    <n v="1209672734"/>
    <s v="195"/>
    <x v="122"/>
    <d v="2026-10-14T11:56:54"/>
    <d v="2026-10-14T05:56:51"/>
    <d v="2026-10-14T00:00:00"/>
    <s v=""/>
    <s v="PACK"/>
    <n v="4"/>
    <s v="PENDIENTE APROBACION  ENVIO TMS"/>
    <s v="000000001209672734"/>
    <x v="1"/>
    <x v="2"/>
    <m/>
    <n v="1"/>
    <m/>
  </r>
  <r>
    <n v="8209672790"/>
    <s v="204"/>
    <x v="98"/>
    <d v="2026-10-14T11:56:55"/>
    <d v="2026-10-14T05:56:53"/>
    <d v="2026-10-14T00:00:00"/>
    <s v=""/>
    <s v="UNIDAD"/>
    <n v="2"/>
    <s v="PENDIENTE APROBACION  ENVIO TMS"/>
    <s v="000000008209672790"/>
    <x v="2"/>
    <x v="0"/>
    <m/>
    <n v="1"/>
    <m/>
  </r>
  <r>
    <n v="1209672795"/>
    <s v="204"/>
    <x v="98"/>
    <d v="2026-10-14T11:56:57"/>
    <d v="2026-10-14T05:56:54"/>
    <d v="2026-10-14T00:00:00"/>
    <s v=""/>
    <s v="CAJA"/>
    <n v="2"/>
    <s v="PENDIENTE APROBACION  ENVIO TMS"/>
    <s v="000000001209672795"/>
    <x v="1"/>
    <x v="0"/>
    <m/>
    <n v="1"/>
    <m/>
  </r>
  <r>
    <n v="1209672803"/>
    <s v="204"/>
    <x v="98"/>
    <d v="2026-10-14T11:56:57"/>
    <d v="2026-10-14T05:56:55"/>
    <d v="2026-10-14T00:00:00"/>
    <s v=""/>
    <s v="PACK"/>
    <n v="47"/>
    <s v="PENDIENTE APROBACION  ENVIO TMS"/>
    <s v="000000001209672803"/>
    <x v="1"/>
    <x v="0"/>
    <m/>
    <n v="1"/>
    <m/>
  </r>
  <r>
    <n v="1209672797"/>
    <s v="204"/>
    <x v="98"/>
    <d v="2026-10-14T11:56:59"/>
    <d v="2026-10-14T05:56:56"/>
    <d v="2026-10-14T00:00:00"/>
    <s v=""/>
    <s v="PACK"/>
    <n v="14"/>
    <s v="PENDIENTE APROBACION  ENVIO TMS"/>
    <s v="000000001209672797"/>
    <x v="1"/>
    <x v="0"/>
    <m/>
    <n v="1"/>
    <m/>
  </r>
  <r>
    <n v="209672662"/>
    <s v="126"/>
    <x v="29"/>
    <d v="2026-10-14T11:57:00"/>
    <d v="2026-10-14T05:56:58"/>
    <d v="2026-10-14T00:00:00"/>
    <s v=""/>
    <s v="CAJA"/>
    <n v="1"/>
    <s v="PENDIENTE APROBACION  ENVIO TMS"/>
    <s v="000000000209672662"/>
    <x v="0"/>
    <x v="0"/>
    <m/>
    <n v="1"/>
    <m/>
  </r>
  <r>
    <n v="209672665"/>
    <s v="129"/>
    <x v="47"/>
    <d v="2026-10-14T11:57:01"/>
    <d v="2026-10-14T05:56:59"/>
    <d v="2026-10-14T00:00:00"/>
    <s v=""/>
    <s v="CAJA"/>
    <n v="1"/>
    <s v="PENDIENTE APROBACION  ENVIO TMS"/>
    <s v="000000000209672665"/>
    <x v="0"/>
    <x v="2"/>
    <m/>
    <n v="1"/>
    <m/>
  </r>
  <r>
    <n v="209672680"/>
    <s v="204"/>
    <x v="98"/>
    <d v="2026-10-14T11:57:03"/>
    <d v="2026-10-14T05:57:00"/>
    <d v="2026-10-14T00:00:00"/>
    <s v=""/>
    <s v="CAJA"/>
    <n v="1"/>
    <s v="PENDIENTE APROBACION  ENVIO TMS"/>
    <s v="000000000209672680"/>
    <x v="0"/>
    <x v="0"/>
    <m/>
    <n v="1"/>
    <m/>
  </r>
  <r>
    <n v="209672699"/>
    <s v="264"/>
    <x v="11"/>
    <d v="2026-10-14T11:57:04"/>
    <d v="2026-10-14T05:57:01"/>
    <d v="2026-10-14T00:00:00"/>
    <s v=""/>
    <s v="CAJA"/>
    <n v="1"/>
    <s v="PENDIENTE APROBACION  ENVIO TMS"/>
    <s v="000000000209672699"/>
    <x v="0"/>
    <x v="1"/>
    <m/>
    <n v="1"/>
    <m/>
  </r>
  <r>
    <n v="209672705"/>
    <s v="279"/>
    <x v="114"/>
    <d v="2026-10-14T11:57:05"/>
    <d v="2026-10-14T05:57:02"/>
    <d v="2026-10-14T00:00:00"/>
    <s v=""/>
    <s v="CAJA"/>
    <n v="1"/>
    <s v="PENDIENTE APROBACION  ENVIO TMS"/>
    <s v="000000000209672705"/>
    <x v="0"/>
    <x v="0"/>
    <m/>
    <n v="1"/>
    <m/>
  </r>
  <r>
    <n v="1209672711"/>
    <s v="162"/>
    <x v="94"/>
    <d v="2026-10-14T11:57:06"/>
    <d v="2026-10-14T05:57:04"/>
    <d v="2026-10-14T00:00:00"/>
    <s v=""/>
    <s v="CAJA"/>
    <n v="29"/>
    <s v="PENDIENTE APROBACION  ENVIO TMS"/>
    <s v="000000001209672711"/>
    <x v="1"/>
    <x v="3"/>
    <m/>
    <n v="1"/>
    <m/>
  </r>
  <r>
    <n v="8209672575"/>
    <s v="162"/>
    <x v="94"/>
    <d v="2026-10-14T11:57:08"/>
    <d v="2026-10-14T05:57:05"/>
    <d v="2026-10-14T00:00:00"/>
    <s v=""/>
    <s v="UNIDAD"/>
    <n v="15"/>
    <s v="PENDIENTE APROBACION  ENVIO TMS"/>
    <s v="000000008209672575"/>
    <x v="2"/>
    <x v="3"/>
    <m/>
    <n v="1"/>
    <m/>
  </r>
  <r>
    <n v="209672581"/>
    <s v="4"/>
    <x v="32"/>
    <d v="2026-10-14T11:57:09"/>
    <d v="2026-10-14T05:57:06"/>
    <d v="2026-10-14T00:00:00"/>
    <s v=""/>
    <s v="CAJA"/>
    <n v="1"/>
    <s v="PENDIENTE APROBACION  ENVIO TMS"/>
    <s v="000000000209672581"/>
    <x v="0"/>
    <x v="3"/>
    <m/>
    <n v="1"/>
    <m/>
  </r>
  <r>
    <n v="209672588"/>
    <s v="12"/>
    <x v="62"/>
    <d v="2026-10-14T11:57:10"/>
    <d v="2026-10-14T05:57:07"/>
    <d v="2026-10-14T00:00:00"/>
    <s v=""/>
    <s v="CAJA"/>
    <n v="1"/>
    <s v="PENDIENTE APROBACION  ENVIO TMS"/>
    <s v="000000000209672588"/>
    <x v="0"/>
    <x v="1"/>
    <m/>
    <n v="1"/>
    <m/>
  </r>
  <r>
    <n v="209672606"/>
    <s v="47"/>
    <x v="1"/>
    <d v="2026-10-14T11:57:11"/>
    <d v="2026-10-14T05:57:09"/>
    <d v="2026-10-14T00:00:00"/>
    <s v=""/>
    <s v="CAJA"/>
    <n v="1"/>
    <s v="PENDIENTE APROBACION  ENVIO TMS"/>
    <s v="000000000209672606"/>
    <x v="0"/>
    <x v="0"/>
    <m/>
    <n v="1"/>
    <m/>
  </r>
  <r>
    <n v="209672611"/>
    <s v="52"/>
    <x v="12"/>
    <d v="2026-10-14T11:57:12"/>
    <d v="2026-10-14T05:57:10"/>
    <d v="2026-10-14T00:00:00"/>
    <s v=""/>
    <s v="CAJA"/>
    <n v="1"/>
    <s v="PENDIENTE APROBACION  ENVIO TMS"/>
    <s v="000000000209672611"/>
    <x v="0"/>
    <x v="0"/>
    <m/>
    <n v="1"/>
    <m/>
  </r>
  <r>
    <n v="209672614"/>
    <s v="55"/>
    <x v="28"/>
    <d v="2026-10-14T11:57:14"/>
    <d v="2026-10-14T05:57:11"/>
    <d v="2026-10-14T00:00:00"/>
    <s v=""/>
    <s v="CAJA"/>
    <n v="1"/>
    <s v="PENDIENTE APROBACION  ENVIO TMS"/>
    <s v="000000000209672614"/>
    <x v="0"/>
    <x v="0"/>
    <m/>
    <n v="1"/>
    <m/>
  </r>
  <r>
    <n v="209672623"/>
    <s v="72"/>
    <x v="60"/>
    <d v="2026-10-14T11:57:15"/>
    <d v="2026-10-14T05:57:12"/>
    <d v="2026-10-14T00:00:00"/>
    <s v=""/>
    <s v="CAJA"/>
    <n v="1"/>
    <s v="PENDIENTE APROBACION  ENVIO TMS"/>
    <s v="000000000209672623"/>
    <x v="0"/>
    <x v="3"/>
    <m/>
    <n v="1"/>
    <m/>
  </r>
  <r>
    <n v="209672626"/>
    <s v="64"/>
    <x v="15"/>
    <d v="2026-10-14T11:57:16"/>
    <d v="2026-10-14T05:57:13"/>
    <d v="2026-10-14T00:00:00"/>
    <s v=""/>
    <s v="CAJA"/>
    <n v="1"/>
    <s v="PENDIENTE APROBACION  ENVIO TMS"/>
    <s v="000000000209672626"/>
    <x v="0"/>
    <x v="2"/>
    <m/>
    <n v="1"/>
    <m/>
  </r>
  <r>
    <n v="209672634"/>
    <s v="81"/>
    <x v="66"/>
    <d v="2026-10-14T11:57:17"/>
    <d v="2026-10-14T05:57:15"/>
    <d v="2026-10-14T00:00:00"/>
    <s v=""/>
    <s v="CAJA"/>
    <n v="1"/>
    <s v="PENDIENTE APROBACION  ENVIO TMS"/>
    <s v="000000000209672634"/>
    <x v="0"/>
    <x v="2"/>
    <m/>
    <n v="1"/>
    <m/>
  </r>
  <r>
    <n v="209672652"/>
    <s v="109"/>
    <x v="134"/>
    <d v="2026-10-14T11:57:18"/>
    <d v="2026-10-14T05:57:16"/>
    <d v="2026-10-14T00:00:00"/>
    <s v=""/>
    <s v="CAJA"/>
    <n v="1"/>
    <s v="PENDIENTE APROBACION  ENVIO TMS"/>
    <s v="000000000209672652"/>
    <x v="0"/>
    <x v="0"/>
    <m/>
    <n v="1"/>
    <m/>
  </r>
  <r>
    <n v="8209672730"/>
    <s v="195"/>
    <x v="122"/>
    <d v="2026-10-14T11:57:20"/>
    <d v="2026-10-14T05:57:17"/>
    <d v="2026-10-14T00:00:00"/>
    <s v=""/>
    <s v="UNIDAD"/>
    <n v="25"/>
    <s v="PENDIENTE APROBACION  ENVIO TMS"/>
    <s v="000000008209672730"/>
    <x v="2"/>
    <x v="2"/>
    <m/>
    <n v="1"/>
    <m/>
  </r>
  <r>
    <n v="1209672736"/>
    <s v="195"/>
    <x v="122"/>
    <d v="2026-10-14T11:57:21"/>
    <d v="2026-10-14T05:57:18"/>
    <d v="2026-10-14T00:00:00"/>
    <s v=""/>
    <s v="PACK"/>
    <n v="26"/>
    <s v="PENDIENTE APROBACION  ENVIO TMS"/>
    <s v="000000001209672736"/>
    <x v="1"/>
    <x v="2"/>
    <m/>
    <n v="1"/>
    <m/>
  </r>
  <r>
    <n v="1209672802"/>
    <s v="204"/>
    <x v="98"/>
    <d v="2026-10-14T11:57:22"/>
    <d v="2026-10-14T05:57:20"/>
    <d v="2026-10-14T00:00:00"/>
    <s v=""/>
    <s v="CAJA"/>
    <n v="23"/>
    <s v="PENDIENTE APROBACION  ENVIO TMS"/>
    <s v="000000001209672802"/>
    <x v="1"/>
    <x v="0"/>
    <m/>
    <n v="1"/>
    <m/>
  </r>
  <r>
    <n v="8209672805"/>
    <s v="204"/>
    <x v="98"/>
    <d v="2026-10-14T11:57:23"/>
    <d v="2026-10-14T05:57:21"/>
    <d v="2026-10-14T00:00:00"/>
    <s v=""/>
    <s v="UNIDAD"/>
    <n v="39"/>
    <s v="PENDIENTE APROBACION  ENVIO TMS"/>
    <s v="000000008209672805"/>
    <x v="2"/>
    <x v="0"/>
    <m/>
    <n v="1"/>
    <m/>
  </r>
  <r>
    <n v="1209672809"/>
    <s v="204"/>
    <x v="98"/>
    <d v="2026-10-14T11:57:25"/>
    <d v="2026-10-14T05:57:22"/>
    <d v="2026-10-14T00:00:00"/>
    <s v=""/>
    <s v="CAJA"/>
    <n v="24"/>
    <s v="PENDIENTE APROBACION  ENVIO TMS"/>
    <s v="000000001209672809"/>
    <x v="1"/>
    <x v="0"/>
    <m/>
    <n v="1"/>
    <m/>
  </r>
  <r>
    <n v="1209672535"/>
    <s v="161"/>
    <x v="65"/>
    <d v="2026-10-14T11:57:26"/>
    <d v="2026-10-14T05:57:23"/>
    <d v="2026-10-14T00:00:00"/>
    <s v=""/>
    <s v="CAJA"/>
    <n v="7"/>
    <s v="PENDIENTE APROBACION  ENVIO TMS"/>
    <s v="000000001209672535"/>
    <x v="1"/>
    <x v="4"/>
    <m/>
    <n v="1"/>
    <m/>
  </r>
  <r>
    <n v="8209672520"/>
    <s v="161"/>
    <x v="65"/>
    <d v="2026-10-14T11:57:27"/>
    <d v="2026-10-14T05:57:25"/>
    <d v="2026-10-14T00:00:00"/>
    <s v=""/>
    <s v="UNIDAD"/>
    <n v="1"/>
    <s v="PENDIENTE APROBACION  ENVIO TMS"/>
    <s v="000000008209672520"/>
    <x v="2"/>
    <x v="4"/>
    <m/>
    <n v="1"/>
    <m/>
  </r>
  <r>
    <n v="209672656"/>
    <s v="116"/>
    <x v="112"/>
    <d v="2026-10-14T11:57:28"/>
    <d v="2026-10-14T05:57:26"/>
    <d v="2026-10-14T00:00:00"/>
    <s v=""/>
    <s v="CAJA"/>
    <n v="1"/>
    <s v="PENDIENTE APROBACION  ENVIO TMS"/>
    <s v="000000000209672656"/>
    <x v="0"/>
    <x v="0"/>
    <m/>
    <n v="1"/>
    <m/>
  </r>
  <r>
    <n v="209672659"/>
    <s v="123"/>
    <x v="3"/>
    <d v="2026-10-14T11:57:29"/>
    <d v="2026-10-14T05:57:27"/>
    <d v="2026-10-14T00:00:00"/>
    <s v=""/>
    <s v="CAJA"/>
    <n v="1"/>
    <s v="PENDIENTE APROBACION  ENVIO TMS"/>
    <s v="000000000209672659"/>
    <x v="0"/>
    <x v="0"/>
    <m/>
    <n v="1"/>
    <m/>
  </r>
  <r>
    <n v="209672666"/>
    <s v="133"/>
    <x v="119"/>
    <d v="2026-10-14T11:57:31"/>
    <d v="2026-10-14T05:57:28"/>
    <d v="2026-10-14T00:00:00"/>
    <s v=""/>
    <s v="CAJA"/>
    <n v="1"/>
    <s v="PENDIENTE APROBACION  ENVIO TMS"/>
    <s v="000000000209672666"/>
    <x v="0"/>
    <x v="0"/>
    <m/>
    <n v="1"/>
    <m/>
  </r>
  <r>
    <n v="1209672714"/>
    <s v="162"/>
    <x v="94"/>
    <d v="2026-10-14T11:57:32"/>
    <d v="2026-10-14T05:57:29"/>
    <d v="2026-10-14T00:00:00"/>
    <s v=""/>
    <s v="PACK"/>
    <n v="35"/>
    <s v="PENDIENTE APROBACION  ENVIO TMS"/>
    <s v="000000001209672714"/>
    <x v="1"/>
    <x v="3"/>
    <m/>
    <n v="1"/>
    <m/>
  </r>
  <r>
    <n v="209672676"/>
    <s v="162"/>
    <x v="94"/>
    <d v="2026-10-14T11:57:34"/>
    <d v="2026-10-14T05:57:31"/>
    <d v="2026-10-14T00:00:00"/>
    <s v=""/>
    <s v="CAJA"/>
    <n v="1"/>
    <s v="PENDIENTE APROBACION  ENVIO TMS"/>
    <s v="000000000209672676"/>
    <x v="0"/>
    <x v="3"/>
    <m/>
    <n v="1"/>
    <m/>
  </r>
  <r>
    <n v="209672681"/>
    <s v="205"/>
    <x v="19"/>
    <d v="2026-10-14T11:57:34"/>
    <d v="2026-10-14T05:57:32"/>
    <d v="2026-10-14T00:00:00"/>
    <s v=""/>
    <s v="CAJA"/>
    <n v="1"/>
    <s v="PENDIENTE APROBACION  ENVIO TMS"/>
    <s v="000000000209672681"/>
    <x v="0"/>
    <x v="0"/>
    <m/>
    <n v="1"/>
    <m/>
  </r>
  <r>
    <n v="209672704"/>
    <s v="275"/>
    <x v="89"/>
    <d v="2026-10-14T11:57:36"/>
    <d v="2026-10-14T05:57:33"/>
    <d v="2026-10-14T00:00:00"/>
    <s v=""/>
    <s v="CAJA"/>
    <n v="1"/>
    <s v="PENDIENTE APROBACION  ENVIO TMS"/>
    <s v="000000000209672704"/>
    <x v="0"/>
    <x v="0"/>
    <m/>
    <n v="1"/>
    <m/>
  </r>
  <r>
    <n v="8209672577"/>
    <s v="162"/>
    <x v="94"/>
    <d v="2026-10-14T11:57:37"/>
    <d v="2026-10-14T05:57:34"/>
    <d v="2026-10-14T00:00:00"/>
    <s v=""/>
    <s v="UNIDAD"/>
    <n v="30"/>
    <s v="PENDIENTE APROBACION  ENVIO TMS"/>
    <s v="000000008209672577"/>
    <x v="2"/>
    <x v="3"/>
    <m/>
    <n v="1"/>
    <m/>
  </r>
  <r>
    <n v="209672586"/>
    <s v="10"/>
    <x v="121"/>
    <d v="2026-10-14T11:57:38"/>
    <d v="2026-10-14T05:57:35"/>
    <d v="2026-10-14T00:00:00"/>
    <s v=""/>
    <s v="CAJA"/>
    <n v="1"/>
    <s v="PENDIENTE APROBACION  ENVIO TMS"/>
    <s v="000000000209672586"/>
    <x v="0"/>
    <x v="0"/>
    <m/>
    <n v="1"/>
    <m/>
  </r>
  <r>
    <n v="209672590"/>
    <s v="14"/>
    <x v="96"/>
    <d v="2026-10-14T11:57:39"/>
    <d v="2026-10-14T05:57:37"/>
    <d v="2026-10-14T00:00:00"/>
    <s v=""/>
    <s v="CAJA"/>
    <n v="1"/>
    <s v="PENDIENTE APROBACION  ENVIO TMS"/>
    <s v="000000000209672590"/>
    <x v="0"/>
    <x v="3"/>
    <m/>
    <n v="1"/>
    <m/>
  </r>
  <r>
    <n v="209672592"/>
    <s v="17"/>
    <x v="99"/>
    <d v="2026-10-14T11:57:40"/>
    <d v="2026-10-14T05:57:38"/>
    <d v="2026-10-14T00:00:00"/>
    <s v=""/>
    <s v="CAJA"/>
    <n v="1"/>
    <s v="PENDIENTE APROBACION  ENVIO TMS"/>
    <s v="000000000209672592"/>
    <x v="0"/>
    <x v="3"/>
    <m/>
    <n v="1"/>
    <m/>
  </r>
  <r>
    <n v="209672601"/>
    <s v="41"/>
    <x v="43"/>
    <d v="2026-10-14T11:57:42"/>
    <d v="2026-10-14T05:57:39"/>
    <d v="2026-10-14T00:00:00"/>
    <s v=""/>
    <s v="CAJA"/>
    <n v="1"/>
    <s v="PENDIENTE APROBACION  ENVIO TMS"/>
    <s v="000000000209672601"/>
    <x v="0"/>
    <x v="0"/>
    <m/>
    <n v="1"/>
    <m/>
  </r>
  <r>
    <n v="209672603"/>
    <s v="44"/>
    <x v="24"/>
    <d v="2026-10-14T11:57:43"/>
    <d v="2026-10-14T05:57:40"/>
    <d v="2026-10-14T00:00:00"/>
    <s v=""/>
    <s v="CAJA"/>
    <n v="1"/>
    <s v="PENDIENTE APROBACION  ENVIO TMS"/>
    <s v="000000000209672603"/>
    <x v="0"/>
    <x v="0"/>
    <m/>
    <n v="1"/>
    <m/>
  </r>
  <r>
    <n v="209672617"/>
    <s v="58"/>
    <x v="30"/>
    <d v="2026-10-14T11:57:44"/>
    <d v="2026-10-14T05:57:42"/>
    <d v="2026-10-14T00:00:00"/>
    <s v=""/>
    <s v="CAJA"/>
    <n v="1"/>
    <s v="PENDIENTE APROBACION  ENVIO TMS"/>
    <s v="000000000209672617"/>
    <x v="0"/>
    <x v="1"/>
    <m/>
    <n v="1"/>
    <m/>
  </r>
  <r>
    <n v="209672618"/>
    <s v="59"/>
    <x v="56"/>
    <d v="2026-10-14T11:57:45"/>
    <d v="2026-10-14T05:57:43"/>
    <d v="2026-10-14T00:00:00"/>
    <s v=""/>
    <s v="CAJA"/>
    <n v="1"/>
    <s v="PENDIENTE APROBACION  ENVIO TMS"/>
    <s v="000000000209672618"/>
    <x v="0"/>
    <x v="0"/>
    <m/>
    <n v="1"/>
    <m/>
  </r>
  <r>
    <n v="209672622"/>
    <s v="62"/>
    <x v="58"/>
    <d v="2026-10-14T11:57:47"/>
    <d v="2026-10-14T05:57:44"/>
    <d v="2026-10-14T00:00:00"/>
    <s v=""/>
    <s v="CAJA"/>
    <n v="1"/>
    <s v="PENDIENTE APROBACION  ENVIO TMS"/>
    <s v="000000000209672622"/>
    <x v="0"/>
    <x v="3"/>
    <m/>
    <n v="1"/>
    <m/>
  </r>
  <r>
    <n v="209672631"/>
    <s v="68"/>
    <x v="97"/>
    <d v="2026-10-14T11:57:48"/>
    <d v="2026-10-14T05:57:45"/>
    <d v="2026-10-14T00:00:00"/>
    <s v=""/>
    <s v="CAJA"/>
    <n v="1"/>
    <s v="PENDIENTE APROBACION  ENVIO TMS"/>
    <s v="000000000209672631"/>
    <x v="0"/>
    <x v="3"/>
    <m/>
    <n v="1"/>
    <m/>
  </r>
  <r>
    <n v="209672638"/>
    <s v="83"/>
    <x v="67"/>
    <d v="2026-10-14T11:57:49"/>
    <d v="2026-10-14T05:57:47"/>
    <d v="2026-10-14T00:00:00"/>
    <s v=""/>
    <s v="CAJA"/>
    <n v="1"/>
    <s v="PENDIENTE APROBACION  ENVIO TMS"/>
    <s v="000000000209672638"/>
    <x v="0"/>
    <x v="1"/>
    <m/>
    <n v="1"/>
    <m/>
  </r>
  <r>
    <n v="209672639"/>
    <s v="84"/>
    <x v="82"/>
    <d v="2026-10-14T11:57:50"/>
    <d v="2026-10-14T05:57:48"/>
    <d v="2026-10-14T00:00:00"/>
    <s v=""/>
    <s v="CAJA"/>
    <n v="1"/>
    <s v="PENDIENTE APROBACION  ENVIO TMS"/>
    <s v="000000000209672639"/>
    <x v="0"/>
    <x v="0"/>
    <m/>
    <n v="1"/>
    <m/>
  </r>
  <r>
    <n v="209672640"/>
    <s v="86"/>
    <x v="126"/>
    <d v="2026-10-14T11:57:51"/>
    <d v="2026-10-14T05:57:49"/>
    <d v="2026-10-14T00:00:00"/>
    <s v=""/>
    <s v="CAJA"/>
    <n v="1"/>
    <s v="PENDIENTE APROBACION  ENVIO TMS"/>
    <s v="000000000209672640"/>
    <x v="0"/>
    <x v="1"/>
    <m/>
    <n v="1"/>
    <m/>
  </r>
  <r>
    <n v="209672648"/>
    <s v="104"/>
    <x v="9"/>
    <d v="2026-10-14T11:57:53"/>
    <d v="2026-10-14T05:57:50"/>
    <d v="2026-10-14T00:00:00"/>
    <s v=""/>
    <s v="CAJA"/>
    <n v="1"/>
    <s v="PENDIENTE APROBACION  ENVIO TMS"/>
    <s v="000000000209672648"/>
    <x v="0"/>
    <x v="1"/>
    <m/>
    <n v="1"/>
    <m/>
  </r>
  <r>
    <n v="209672650"/>
    <s v="106"/>
    <x v="25"/>
    <d v="2026-10-14T11:57:54"/>
    <d v="2026-10-14T05:57:51"/>
    <d v="2026-10-14T00:00:00"/>
    <s v=""/>
    <s v="CAJA"/>
    <n v="1"/>
    <s v="PENDIENTE APROBACION  ENVIO TMS"/>
    <s v="000000000209672650"/>
    <x v="0"/>
    <x v="0"/>
    <m/>
    <n v="1"/>
    <m/>
  </r>
  <r>
    <n v="8209672771"/>
    <s v="196"/>
    <x v="81"/>
    <d v="2026-10-14T11:57:55"/>
    <d v="2026-10-14T05:57:53"/>
    <d v="2026-10-14T00:00:00"/>
    <s v=""/>
    <s v="UNIDAD"/>
    <n v="14"/>
    <s v="PENDIENTE APROBACION  ENVIO TMS"/>
    <s v="000000008209672771"/>
    <x v="2"/>
    <x v="2"/>
    <m/>
    <n v="1"/>
    <m/>
  </r>
  <r>
    <n v="1209672804"/>
    <s v="204"/>
    <x v="98"/>
    <d v="2026-10-14T11:57:56"/>
    <d v="2026-10-14T05:57:54"/>
    <d v="2026-10-14T00:00:00"/>
    <s v=""/>
    <s v="CAJA"/>
    <n v="2"/>
    <s v="PENDIENTE APROBACION  ENVIO TMS"/>
    <s v="000000001209672804"/>
    <x v="1"/>
    <x v="0"/>
    <m/>
    <n v="1"/>
    <m/>
  </r>
  <r>
    <n v="1209672799"/>
    <s v="204"/>
    <x v="98"/>
    <d v="2026-10-14T11:57:57"/>
    <d v="2026-10-14T05:57:55"/>
    <d v="2026-10-14T00:00:00"/>
    <s v=""/>
    <s v="UNIDAD"/>
    <n v="24"/>
    <s v="PENDIENTE APROBACION  ENVIO TMS"/>
    <s v="000000001209672799"/>
    <x v="1"/>
    <x v="0"/>
    <m/>
    <n v="1"/>
    <m/>
  </r>
  <r>
    <n v="1209672532"/>
    <s v="161"/>
    <x v="65"/>
    <d v="2026-10-14T11:57:59"/>
    <d v="2026-10-14T05:57:56"/>
    <d v="2026-10-14T00:00:00"/>
    <s v=""/>
    <s v="PACK"/>
    <n v="28"/>
    <s v="PENDIENTE APROBACION  ENVIO TMS"/>
    <s v="000000001209672532"/>
    <x v="1"/>
    <x v="4"/>
    <m/>
    <n v="1"/>
    <m/>
  </r>
  <r>
    <n v="8209672521"/>
    <s v="161"/>
    <x v="65"/>
    <d v="2026-10-14T11:58:00"/>
    <d v="2026-10-14T05:57:58"/>
    <d v="2026-10-14T00:00:00"/>
    <s v=""/>
    <s v="UNIDAD"/>
    <n v="3"/>
    <s v="PENDIENTE APROBACION  ENVIO TMS"/>
    <s v="000000008209672521"/>
    <x v="2"/>
    <x v="4"/>
    <m/>
    <n v="1"/>
    <m/>
  </r>
  <r>
    <n v="209672655"/>
    <s v="115"/>
    <x v="88"/>
    <d v="2026-10-14T11:58:01"/>
    <d v="2026-10-14T05:57:59"/>
    <d v="2026-10-14T00:00:00"/>
    <s v=""/>
    <s v="CAJA"/>
    <n v="1"/>
    <s v="PENDIENTE APROBACION  ENVIO TMS"/>
    <s v="000000000209672655"/>
    <x v="0"/>
    <x v="2"/>
    <m/>
    <n v="1"/>
    <m/>
  </r>
  <r>
    <n v="209672674"/>
    <s v="156"/>
    <x v="17"/>
    <d v="2026-10-14T11:58:02"/>
    <d v="2026-10-14T05:58:00"/>
    <d v="2026-10-14T00:00:00"/>
    <s v=""/>
    <s v="CAJA"/>
    <n v="1"/>
    <s v="PENDIENTE APROBACION  ENVIO TMS"/>
    <s v="000000000209672674"/>
    <x v="0"/>
    <x v="0"/>
    <m/>
    <n v="1"/>
    <m/>
  </r>
  <r>
    <n v="209672675"/>
    <s v="161"/>
    <x v="65"/>
    <d v="2026-10-14T11:58:04"/>
    <d v="2026-10-14T05:58:01"/>
    <d v="2026-10-14T00:00:00"/>
    <s v=""/>
    <s v="CAJA"/>
    <n v="1"/>
    <s v="PENDIENTE APROBACION  ENVIO TMS"/>
    <s v="000000000209672675"/>
    <x v="0"/>
    <x v="4"/>
    <m/>
    <n v="1"/>
    <m/>
  </r>
  <r>
    <n v="209672682"/>
    <s v="210"/>
    <x v="51"/>
    <d v="2026-10-14T11:58:05"/>
    <d v="2026-10-14T05:58:02"/>
    <d v="2026-10-14T00:00:00"/>
    <s v=""/>
    <s v="CAJA"/>
    <n v="1"/>
    <s v="PENDIENTE APROBACION  ENVIO TMS"/>
    <s v="000000000209672682"/>
    <x v="0"/>
    <x v="1"/>
    <m/>
    <n v="1"/>
    <m/>
  </r>
  <r>
    <n v="209672689"/>
    <s v="228"/>
    <x v="102"/>
    <d v="2026-10-14T11:58:06"/>
    <d v="2026-10-14T05:58:04"/>
    <d v="2026-10-14T00:00:00"/>
    <s v=""/>
    <s v="CAJA"/>
    <n v="1"/>
    <s v="PENDIENTE APROBACION  ENVIO TMS"/>
    <s v="000000000209672689"/>
    <x v="0"/>
    <x v="1"/>
    <m/>
    <n v="1"/>
    <m/>
  </r>
  <r>
    <n v="209672695"/>
    <s v="263"/>
    <x v="8"/>
    <d v="2026-10-14T11:58:07"/>
    <d v="2026-10-14T05:58:05"/>
    <d v="2026-10-14T00:00:00"/>
    <s v=""/>
    <s v="CAJA"/>
    <n v="1"/>
    <s v="PENDIENTE APROBACION  ENVIO TMS"/>
    <s v="000000000209672695"/>
    <x v="0"/>
    <x v="0"/>
    <m/>
    <n v="1"/>
    <m/>
  </r>
  <r>
    <n v="1209672578"/>
    <s v="162"/>
    <x v="94"/>
    <d v="2026-10-14T11:58:08"/>
    <d v="2026-10-14T05:58:06"/>
    <d v="2026-10-14T00:00:00"/>
    <s v=""/>
    <s v="PACK"/>
    <n v="3"/>
    <s v="PENDIENTE APROBACION  ENVIO TMS"/>
    <s v="000000001209672578"/>
    <x v="1"/>
    <x v="3"/>
    <m/>
    <n v="1"/>
    <m/>
  </r>
  <r>
    <n v="209672580"/>
    <s v="3"/>
    <x v="57"/>
    <d v="2026-10-14T11:58:10"/>
    <d v="2026-10-14T05:58:07"/>
    <d v="2026-10-14T00:00:00"/>
    <s v=""/>
    <s v="CAJA"/>
    <n v="2"/>
    <s v="PENDIENTE APROBACION  ENVIO TMS"/>
    <s v="000000000209672580"/>
    <x v="0"/>
    <x v="3"/>
    <m/>
    <n v="1"/>
    <m/>
  </r>
  <r>
    <n v="209672608"/>
    <s v="49"/>
    <x v="111"/>
    <d v="2026-10-14T11:58:11"/>
    <d v="2026-10-14T05:58:09"/>
    <d v="2026-10-14T00:00:00"/>
    <s v=""/>
    <s v="CAJA"/>
    <n v="1"/>
    <s v="PENDIENTE APROBACION  ENVIO TMS"/>
    <s v="000000000209672608"/>
    <x v="0"/>
    <x v="3"/>
    <m/>
    <n v="1"/>
    <m/>
  </r>
  <r>
    <n v="8209672718"/>
    <s v="162"/>
    <x v="94"/>
    <d v="2026-10-14T11:58:12"/>
    <d v="2026-10-14T05:58:10"/>
    <d v="2026-10-14T00:00:00"/>
    <s v=""/>
    <s v="UNIDAD"/>
    <n v="1"/>
    <s v="PENDIENTE APROBACION  ENVIO TMS"/>
    <s v="000000008209672718"/>
    <x v="2"/>
    <x v="3"/>
    <m/>
    <n v="1"/>
    <m/>
  </r>
  <r>
    <n v="209672698"/>
    <s v="249"/>
    <x v="108"/>
    <d v="2026-10-14T11:58:13"/>
    <d v="2026-10-14T05:58:11"/>
    <d v="2026-10-14T00:00:00"/>
    <s v=""/>
    <s v="CAJA"/>
    <n v="1"/>
    <s v="PENDIENTE APROBACION  ENVIO TMS"/>
    <s v="000000000209672698"/>
    <x v="0"/>
    <x v="0"/>
    <m/>
    <n v="1"/>
    <m/>
  </r>
  <r>
    <n v="1209672710"/>
    <s v="162"/>
    <x v="94"/>
    <d v="2026-10-14T11:58:15"/>
    <d v="2026-10-14T05:58:12"/>
    <d v="2026-10-14T00:00:00"/>
    <s v=""/>
    <s v="CAJA"/>
    <n v="17"/>
    <s v="PENDIENTE APROBACION  ENVIO TMS"/>
    <s v="000000001209672710"/>
    <x v="1"/>
    <x v="3"/>
    <m/>
    <n v="1"/>
    <m/>
  </r>
  <r>
    <n v="209672587"/>
    <s v="11"/>
    <x v="61"/>
    <d v="2026-10-14T11:58:16"/>
    <d v="2026-10-14T05:58:13"/>
    <d v="2026-10-14T00:00:00"/>
    <s v=""/>
    <s v="CAJA"/>
    <n v="1"/>
    <s v="PENDIENTE APROBACION  ENVIO TMS"/>
    <s v="000000000209672587"/>
    <x v="0"/>
    <x v="1"/>
    <m/>
    <n v="1"/>
    <m/>
  </r>
  <r>
    <n v="209672602"/>
    <s v="43"/>
    <x v="23"/>
    <d v="2026-10-14T11:58:18"/>
    <d v="2026-10-14T05:58:16"/>
    <d v="2026-10-14T00:00:00"/>
    <s v=""/>
    <s v="CAJA"/>
    <n v="1"/>
    <s v="PENDIENTE APROBACION  ENVIO TMS"/>
    <s v="000000000209672602"/>
    <x v="0"/>
    <x v="1"/>
    <m/>
    <n v="1"/>
    <m/>
  </r>
  <r>
    <n v="209672599"/>
    <s v="39"/>
    <x v="130"/>
    <d v="2026-10-14T11:58:18"/>
    <d v="2026-10-14T05:58:15"/>
    <d v="2026-10-14T00:00:00"/>
    <s v=""/>
    <s v="CAJA"/>
    <n v="1"/>
    <s v="PENDIENTE APROBACION  ENVIO TMS"/>
    <s v="000000000209672599"/>
    <x v="0"/>
    <x v="1"/>
    <m/>
    <n v="1"/>
    <m/>
  </r>
  <r>
    <n v="209672605"/>
    <s v="46"/>
    <x v="86"/>
    <d v="2026-10-14T11:58:19"/>
    <d v="2026-10-14T05:58:17"/>
    <d v="2026-10-14T00:00:00"/>
    <s v=""/>
    <s v="CAJA"/>
    <n v="1"/>
    <s v="PENDIENTE APROBACION  ENVIO TMS"/>
    <s v="000000000209672605"/>
    <x v="0"/>
    <x v="1"/>
    <m/>
    <n v="1"/>
    <m/>
  </r>
  <r>
    <n v="209672612"/>
    <s v="53"/>
    <x v="136"/>
    <d v="2026-10-14T11:58:21"/>
    <d v="2026-10-14T05:58:18"/>
    <d v="2026-10-14T00:00:00"/>
    <s v=""/>
    <s v="CAJA"/>
    <n v="1"/>
    <s v="PENDIENTE APROBACION  ENVIO TMS"/>
    <s v="000000000209672612"/>
    <x v="0"/>
    <x v="2"/>
    <m/>
    <n v="1"/>
    <m/>
  </r>
  <r>
    <n v="209672628"/>
    <s v="66"/>
    <x v="5"/>
    <d v="2026-10-14T11:58:22"/>
    <d v="2026-10-14T05:58:20"/>
    <d v="2026-10-14T00:00:00"/>
    <s v=""/>
    <s v="CAJA"/>
    <n v="1"/>
    <s v="PENDIENTE APROBACION  ENVIO TMS"/>
    <s v="000000000209672628"/>
    <x v="0"/>
    <x v="2"/>
    <m/>
    <n v="1"/>
    <m/>
  </r>
  <r>
    <n v="209672635"/>
    <s v="76"/>
    <x v="49"/>
    <d v="2026-10-14T11:58:23"/>
    <d v="2026-10-14T05:58:21"/>
    <d v="2026-10-14T00:00:00"/>
    <s v=""/>
    <s v="CAJA"/>
    <n v="1"/>
    <s v="PENDIENTE APROBACION  ENVIO TMS"/>
    <s v="000000000209672635"/>
    <x v="0"/>
    <x v="2"/>
    <m/>
    <n v="1"/>
    <m/>
  </r>
  <r>
    <n v="209672645"/>
    <s v="91"/>
    <x v="7"/>
    <d v="2026-10-14T11:58:24"/>
    <d v="2026-10-14T05:58:22"/>
    <d v="2026-10-14T00:00:00"/>
    <s v=""/>
    <s v="CAJA"/>
    <n v="1"/>
    <s v="PENDIENTE APROBACION  ENVIO TMS"/>
    <s v="000000000209672645"/>
    <x v="0"/>
    <x v="2"/>
    <m/>
    <n v="1"/>
    <m/>
  </r>
  <r>
    <n v="209672651"/>
    <s v="107"/>
    <x v="10"/>
    <d v="2026-10-14T11:58:26"/>
    <d v="2026-10-14T05:58:23"/>
    <d v="2026-10-14T00:00:00"/>
    <s v=""/>
    <s v="CAJA"/>
    <n v="1"/>
    <s v="PENDIENTE APROBACION  ENVIO TMS"/>
    <s v="000000000209672651"/>
    <x v="0"/>
    <x v="0"/>
    <m/>
    <n v="1"/>
    <m/>
  </r>
  <r>
    <n v="1209672947"/>
    <s v="224"/>
    <x v="6"/>
    <d v="2026-10-14T11:59:12"/>
    <d v="2026-10-14T05:59:09"/>
    <d v="2026-10-14T00:00:00"/>
    <s v=""/>
    <s v="CAJA"/>
    <n v="29"/>
    <s v="PENDIENTE APROBACION  ENVIO TMS"/>
    <s v="000000001209672947"/>
    <x v="1"/>
    <x v="0"/>
    <m/>
    <n v="1"/>
    <m/>
  </r>
  <r>
    <n v="1209672944"/>
    <s v="224"/>
    <x v="6"/>
    <d v="2026-10-14T11:59:13"/>
    <d v="2026-10-14T05:59:10"/>
    <d v="2026-10-14T00:00:00"/>
    <s v=""/>
    <s v="CAJA"/>
    <n v="7"/>
    <s v="PENDIENTE APROBACION  ENVIO TMS"/>
    <s v="000000001209672944"/>
    <x v="1"/>
    <x v="0"/>
    <m/>
    <n v="1"/>
    <m/>
  </r>
  <r>
    <n v="1209672882"/>
    <s v="215"/>
    <x v="101"/>
    <d v="2026-10-14T11:59:14"/>
    <d v="2026-10-14T05:59:11"/>
    <d v="2026-10-14T00:00:00"/>
    <s v=""/>
    <s v="PACK"/>
    <n v="47"/>
    <s v="PENDIENTE APROBACION  ENVIO TMS"/>
    <s v="000000001209672882"/>
    <x v="1"/>
    <x v="0"/>
    <m/>
    <n v="1"/>
    <m/>
  </r>
  <r>
    <n v="1209672876"/>
    <s v="215"/>
    <x v="101"/>
    <d v="2026-10-14T11:59:15"/>
    <d v="2026-10-14T05:59:13"/>
    <d v="2026-10-14T00:00:00"/>
    <s v=""/>
    <s v="CAJA"/>
    <n v="13"/>
    <s v="PENDIENTE APROBACION  ENVIO TMS"/>
    <s v="000000001209672876"/>
    <x v="1"/>
    <x v="0"/>
    <m/>
    <n v="1"/>
    <m/>
  </r>
  <r>
    <n v="1209672860"/>
    <s v="209"/>
    <x v="2"/>
    <d v="2026-10-14T11:59:16"/>
    <d v="2026-10-14T05:59:14"/>
    <d v="2026-10-14T00:00:00"/>
    <s v=""/>
    <s v="PACK"/>
    <n v="68"/>
    <s v="PENDIENTE APROBACION  ENVIO TMS"/>
    <s v="000000001209672860"/>
    <x v="1"/>
    <x v="0"/>
    <m/>
    <n v="1"/>
    <m/>
  </r>
  <r>
    <n v="8209672867"/>
    <s v="215"/>
    <x v="101"/>
    <d v="2026-10-14T11:59:17"/>
    <d v="2026-10-14T05:59:15"/>
    <d v="2026-10-14T00:00:00"/>
    <s v=""/>
    <s v="UNIDAD"/>
    <n v="5"/>
    <s v="PENDIENTE APROBACION  ENVIO TMS"/>
    <s v="000000008209672867"/>
    <x v="2"/>
    <x v="0"/>
    <m/>
    <n v="1"/>
    <m/>
  </r>
  <r>
    <n v="8209672845"/>
    <s v="209"/>
    <x v="2"/>
    <d v="2026-10-14T11:59:19"/>
    <d v="2026-10-14T05:59:16"/>
    <d v="2026-10-14T00:00:00"/>
    <s v=""/>
    <s v="UNIDAD"/>
    <n v="6"/>
    <s v="PENDIENTE APROBACION  ENVIO TMS"/>
    <s v="000000008209672845"/>
    <x v="2"/>
    <x v="0"/>
    <m/>
    <n v="1"/>
    <m/>
  </r>
  <r>
    <n v="1209672875"/>
    <s v="215"/>
    <x v="101"/>
    <d v="2026-10-14T11:59:20"/>
    <d v="2026-10-14T05:59:18"/>
    <d v="2026-10-14T00:00:00"/>
    <s v=""/>
    <s v="CAJA"/>
    <n v="8"/>
    <s v="PENDIENTE APROBACION  ENVIO TMS"/>
    <s v="000000001209672875"/>
    <x v="1"/>
    <x v="0"/>
    <m/>
    <n v="1"/>
    <m/>
  </r>
  <r>
    <n v="1209672889"/>
    <s v="215"/>
    <x v="101"/>
    <d v="2026-10-14T11:59:21"/>
    <d v="2026-10-14T05:59:19"/>
    <d v="2026-10-14T00:00:00"/>
    <s v=""/>
    <s v="PACK"/>
    <n v="24"/>
    <s v="PENDIENTE APROBACION  ENVIO TMS"/>
    <s v="000000001209672889"/>
    <x v="1"/>
    <x v="0"/>
    <m/>
    <n v="1"/>
    <m/>
  </r>
  <r>
    <n v="8209672910"/>
    <s v="221"/>
    <x v="125"/>
    <d v="2026-10-14T11:59:22"/>
    <d v="2026-10-14T05:59:20"/>
    <d v="2026-10-14T00:00:00"/>
    <s v=""/>
    <s v="UNIDAD"/>
    <n v="31"/>
    <s v="PENDIENTE APROBACION  ENVIO TMS"/>
    <s v="000000008209672910"/>
    <x v="2"/>
    <x v="3"/>
    <m/>
    <n v="1"/>
    <m/>
  </r>
  <r>
    <n v="1209672919"/>
    <s v="221"/>
    <x v="125"/>
    <d v="2026-10-14T11:59:24"/>
    <d v="2026-10-14T05:59:21"/>
    <d v="2026-10-14T00:00:00"/>
    <s v=""/>
    <s v="CAJA"/>
    <n v="2"/>
    <s v="PENDIENTE APROBACION  ENVIO TMS"/>
    <s v="000000001209672919"/>
    <x v="1"/>
    <x v="3"/>
    <m/>
    <n v="1"/>
    <m/>
  </r>
  <r>
    <n v="1209672915"/>
    <s v="221"/>
    <x v="125"/>
    <d v="2026-10-14T11:59:25"/>
    <d v="2026-10-14T05:59:23"/>
    <d v="2026-10-14T00:00:00"/>
    <s v=""/>
    <s v="CAJA"/>
    <n v="34"/>
    <s v="PENDIENTE APROBACION  ENVIO TMS"/>
    <s v="000000001209672915"/>
    <x v="1"/>
    <x v="3"/>
    <m/>
    <n v="1"/>
    <m/>
  </r>
  <r>
    <n v="1209672877"/>
    <s v="215"/>
    <x v="101"/>
    <d v="2026-10-14T11:59:27"/>
    <d v="2026-10-14T05:59:24"/>
    <d v="2026-10-14T00:00:00"/>
    <s v=""/>
    <s v="CAJA"/>
    <n v="20"/>
    <s v="PENDIENTE APROBACION  ENVIO TMS"/>
    <s v="000000001209672877"/>
    <x v="1"/>
    <x v="0"/>
    <m/>
    <n v="1"/>
    <m/>
  </r>
  <r>
    <n v="8209672817"/>
    <s v="205"/>
    <x v="19"/>
    <d v="2026-10-14T11:59:27"/>
    <d v="2026-10-14T05:59:25"/>
    <d v="2026-10-14T00:00:00"/>
    <s v=""/>
    <s v="UNIDAD"/>
    <n v="3"/>
    <s v="PENDIENTE APROBACION  ENVIO TMS"/>
    <s v="000000008209672817"/>
    <x v="2"/>
    <x v="0"/>
    <m/>
    <n v="1"/>
    <m/>
  </r>
  <r>
    <n v="1209672878"/>
    <s v="215"/>
    <x v="101"/>
    <d v="2026-10-14T11:59:29"/>
    <d v="2026-10-14T05:59:26"/>
    <d v="2026-10-14T00:00:00"/>
    <s v=""/>
    <s v="PACK"/>
    <n v="22"/>
    <s v="PENDIENTE APROBACION  ENVIO TMS"/>
    <s v="000000001209672878"/>
    <x v="1"/>
    <x v="0"/>
    <m/>
    <n v="1"/>
    <m/>
  </r>
  <r>
    <n v="1209672822"/>
    <s v="205"/>
    <x v="19"/>
    <d v="2026-10-14T11:59:30"/>
    <d v="2026-10-14T05:59:27"/>
    <d v="2026-10-14T00:00:00"/>
    <s v=""/>
    <s v="PACK"/>
    <n v="12"/>
    <s v="PENDIENTE APROBACION  ENVIO TMS"/>
    <s v="000000001209672822"/>
    <x v="1"/>
    <x v="0"/>
    <m/>
    <n v="1"/>
    <m/>
  </r>
  <r>
    <n v="8209672869"/>
    <s v="215"/>
    <x v="101"/>
    <d v="2026-10-14T11:59:31"/>
    <d v="2026-10-14T05:59:29"/>
    <d v="2026-10-14T00:00:00"/>
    <s v=""/>
    <s v="UNIDAD"/>
    <n v="12"/>
    <s v="PENDIENTE APROBACION  ENVIO TMS"/>
    <s v="000000008209672869"/>
    <x v="2"/>
    <x v="0"/>
    <m/>
    <n v="1"/>
    <m/>
  </r>
  <r>
    <n v="1209672849"/>
    <s v="209"/>
    <x v="2"/>
    <d v="2026-10-14T11:59:32"/>
    <d v="2026-10-14T05:59:30"/>
    <d v="2026-10-14T00:00:00"/>
    <s v=""/>
    <s v="CAJA"/>
    <n v="12"/>
    <s v="PENDIENTE APROBACION  ENVIO TMS"/>
    <s v="000000001209672849"/>
    <x v="1"/>
    <x v="0"/>
    <m/>
    <n v="1"/>
    <m/>
  </r>
  <r>
    <n v="1209672883"/>
    <s v="215"/>
    <x v="101"/>
    <d v="2026-10-14T11:59:34"/>
    <d v="2026-10-14T05:59:31"/>
    <d v="2026-10-14T00:00:00"/>
    <s v=""/>
    <s v="PACK"/>
    <n v="41"/>
    <s v="PENDIENTE APROBACION  ENVIO TMS"/>
    <s v="000000001209672883"/>
    <x v="1"/>
    <x v="0"/>
    <m/>
    <n v="1"/>
    <m/>
  </r>
  <r>
    <n v="1209672916"/>
    <s v="221"/>
    <x v="125"/>
    <d v="2026-10-14T11:59:35"/>
    <d v="2026-10-14T05:59:32"/>
    <d v="2026-10-14T00:00:00"/>
    <s v=""/>
    <s v="CAJA"/>
    <n v="19"/>
    <s v="PENDIENTE APROBACION  ENVIO TMS"/>
    <s v="000000001209672916"/>
    <x v="1"/>
    <x v="3"/>
    <m/>
    <n v="1"/>
    <m/>
  </r>
  <r>
    <n v="8209672939"/>
    <s v="224"/>
    <x v="6"/>
    <d v="2026-10-14T11:59:36"/>
    <d v="2026-10-14T05:59:34"/>
    <d v="2026-10-14T00:00:00"/>
    <s v=""/>
    <s v="UNIDAD"/>
    <n v="9"/>
    <s v="PENDIENTE APROBACION  ENVIO TMS"/>
    <s v="000000008209672939"/>
    <x v="2"/>
    <x v="0"/>
    <m/>
    <n v="1"/>
    <m/>
  </r>
  <r>
    <n v="8209672905"/>
    <s v="221"/>
    <x v="125"/>
    <d v="2026-10-14T11:59:38"/>
    <d v="2026-10-14T05:59:36"/>
    <d v="2026-10-14T00:00:00"/>
    <s v=""/>
    <s v="UNIDAD"/>
    <n v="5"/>
    <s v="PENDIENTE APROBACION  ENVIO TMS"/>
    <s v="000000008209672905"/>
    <x v="2"/>
    <x v="3"/>
    <m/>
    <n v="1"/>
    <m/>
  </r>
  <r>
    <n v="8209672941"/>
    <s v="224"/>
    <x v="6"/>
    <d v="2026-10-14T11:59:38"/>
    <d v="2026-10-14T05:59:35"/>
    <d v="2026-10-14T00:00:00"/>
    <s v=""/>
    <s v="UNIDAD"/>
    <n v="12"/>
    <s v="PENDIENTE APROBACION  ENVIO TMS"/>
    <s v="000000008209672941"/>
    <x v="2"/>
    <x v="0"/>
    <m/>
    <n v="1"/>
    <m/>
  </r>
  <r>
    <n v="8209672813"/>
    <s v="205"/>
    <x v="19"/>
    <d v="2026-10-14T11:59:39"/>
    <d v="2026-10-14T05:59:37"/>
    <d v="2026-10-14T00:00:00"/>
    <s v=""/>
    <s v="UNIDAD"/>
    <n v="1"/>
    <s v="PENDIENTE APROBACION  ENVIO TMS"/>
    <s v="000000008209672813"/>
    <x v="2"/>
    <x v="0"/>
    <m/>
    <n v="1"/>
    <m/>
  </r>
  <r>
    <n v="8209672815"/>
    <s v="205"/>
    <x v="19"/>
    <d v="2026-10-14T11:59:41"/>
    <d v="2026-10-14T05:59:38"/>
    <d v="2026-10-14T00:00:00"/>
    <s v=""/>
    <s v="UNIDAD"/>
    <n v="4"/>
    <s v="PENDIENTE APROBACION  ENVIO TMS"/>
    <s v="000000008209672815"/>
    <x v="2"/>
    <x v="0"/>
    <m/>
    <n v="1"/>
    <m/>
  </r>
  <r>
    <n v="1209672825"/>
    <s v="205"/>
    <x v="19"/>
    <d v="2026-10-14T11:59:42"/>
    <d v="2026-10-14T05:59:40"/>
    <d v="2026-10-14T00:00:00"/>
    <s v=""/>
    <s v="PACK"/>
    <n v="31"/>
    <s v="PENDIENTE APROBACION  ENVIO TMS"/>
    <s v="000000001209672825"/>
    <x v="1"/>
    <x v="0"/>
    <m/>
    <n v="1"/>
    <m/>
  </r>
  <r>
    <n v="8209672868"/>
    <s v="215"/>
    <x v="101"/>
    <d v="2026-10-14T11:59:44"/>
    <d v="2026-10-14T05:59:41"/>
    <d v="2026-10-14T00:00:00"/>
    <s v=""/>
    <s v="UNIDAD"/>
    <n v="4"/>
    <s v="PENDIENTE APROBACION  ENVIO TMS"/>
    <s v="000000008209672868"/>
    <x v="2"/>
    <x v="0"/>
    <m/>
    <n v="1"/>
    <m/>
  </r>
  <r>
    <n v="1209672851"/>
    <s v="209"/>
    <x v="2"/>
    <d v="2026-10-14T11:59:45"/>
    <d v="2026-10-14T05:59:42"/>
    <d v="2026-10-14T00:00:00"/>
    <s v=""/>
    <s v="CAJA"/>
    <n v="9"/>
    <s v="PENDIENTE APROBACION  ENVIO TMS"/>
    <s v="000000001209672851"/>
    <x v="1"/>
    <x v="0"/>
    <m/>
    <n v="1"/>
    <m/>
  </r>
  <r>
    <n v="1209672946"/>
    <s v="224"/>
    <x v="6"/>
    <d v="2026-10-14T11:59:46"/>
    <d v="2026-10-14T05:59:43"/>
    <d v="2026-10-14T00:00:00"/>
    <s v=""/>
    <s v="PACK"/>
    <n v="25"/>
    <s v="PENDIENTE APROBACION  ENVIO TMS"/>
    <s v="000000001209672946"/>
    <x v="1"/>
    <x v="0"/>
    <m/>
    <n v="1"/>
    <m/>
  </r>
  <r>
    <n v="1209672918"/>
    <s v="221"/>
    <x v="125"/>
    <d v="2026-10-14T11:59:47"/>
    <d v="2026-10-14T05:59:45"/>
    <d v="2026-10-14T00:00:00"/>
    <s v=""/>
    <s v="PACK"/>
    <n v="44"/>
    <s v="PENDIENTE APROBACION  ENVIO TMS"/>
    <s v="000000001209672918"/>
    <x v="1"/>
    <x v="3"/>
    <m/>
    <n v="1"/>
    <m/>
  </r>
  <r>
    <n v="1209672853"/>
    <s v="209"/>
    <x v="2"/>
    <d v="2026-10-14T11:59:48"/>
    <d v="2026-10-14T05:59:46"/>
    <d v="2026-10-14T00:00:00"/>
    <s v=""/>
    <s v="PACK"/>
    <n v="24"/>
    <s v="PENDIENTE APROBACION  ENVIO TMS"/>
    <s v="000000001209672853"/>
    <x v="1"/>
    <x v="0"/>
    <m/>
    <n v="1"/>
    <m/>
  </r>
  <r>
    <n v="1209672854"/>
    <s v="209"/>
    <x v="2"/>
    <d v="2026-10-14T11:59:50"/>
    <d v="2026-10-14T05:59:47"/>
    <d v="2026-10-14T00:00:00"/>
    <s v=""/>
    <s v="PACK"/>
    <n v="22"/>
    <s v="PENDIENTE APROBACION  ENVIO TMS"/>
    <s v="000000001209672854"/>
    <x v="1"/>
    <x v="0"/>
    <m/>
    <n v="1"/>
    <m/>
  </r>
  <r>
    <n v="1209672819"/>
    <s v="205"/>
    <x v="19"/>
    <d v="2026-10-14T11:59:50"/>
    <d v="2026-10-14T05:59:48"/>
    <d v="2026-10-14T00:00:00"/>
    <s v=""/>
    <s v="CAJA"/>
    <n v="2"/>
    <s v="PENDIENTE APROBACION  ENVIO TMS"/>
    <s v="000000001209672819"/>
    <x v="1"/>
    <x v="0"/>
    <m/>
    <n v="1"/>
    <m/>
  </r>
  <r>
    <n v="1209672821"/>
    <s v="205"/>
    <x v="19"/>
    <d v="2026-10-14T11:59:52"/>
    <d v="2026-10-14T05:59:50"/>
    <d v="2026-10-14T00:00:00"/>
    <s v=""/>
    <s v="PACK"/>
    <n v="5"/>
    <s v="PENDIENTE APROBACION  ENVIO TMS"/>
    <s v="000000001209672821"/>
    <x v="1"/>
    <x v="0"/>
    <m/>
    <n v="1"/>
    <m/>
  </r>
  <r>
    <n v="8209672841"/>
    <s v="209"/>
    <x v="2"/>
    <d v="2026-10-14T11:59:53"/>
    <d v="2026-10-14T05:59:51"/>
    <d v="2026-10-14T00:00:00"/>
    <s v=""/>
    <s v="UNIDAD"/>
    <n v="2"/>
    <s v="PENDIENTE APROBACION  ENVIO TMS"/>
    <s v="000000008209672841"/>
    <x v="2"/>
    <x v="0"/>
    <m/>
    <n v="1"/>
    <m/>
  </r>
  <r>
    <n v="1209672847"/>
    <s v="209"/>
    <x v="2"/>
    <d v="2026-10-14T11:59:55"/>
    <d v="2026-10-14T05:59:53"/>
    <d v="2026-10-14T00:00:00"/>
    <s v=""/>
    <s v="CAJA"/>
    <n v="5"/>
    <s v="PENDIENTE APROBACION  ENVIO TMS"/>
    <s v="000000001209672847"/>
    <x v="1"/>
    <x v="0"/>
    <m/>
    <n v="1"/>
    <m/>
  </r>
  <r>
    <n v="8209672846"/>
    <s v="209"/>
    <x v="2"/>
    <d v="2026-10-14T11:59:55"/>
    <d v="2026-10-14T05:59:52"/>
    <d v="2026-10-14T00:00:00"/>
    <s v=""/>
    <s v="UNIDAD"/>
    <n v="9"/>
    <s v="PENDIENTE APROBACION  ENVIO TMS"/>
    <s v="000000008209672846"/>
    <x v="2"/>
    <x v="0"/>
    <m/>
    <n v="1"/>
    <m/>
  </r>
  <r>
    <n v="8209672871"/>
    <s v="215"/>
    <x v="101"/>
    <d v="2026-10-14T11:59:57"/>
    <d v="2026-10-14T05:59:54"/>
    <d v="2026-10-14T00:00:00"/>
    <s v=""/>
    <s v="UNIDAD"/>
    <n v="1"/>
    <s v="PENDIENTE APROBACION  ENVIO TMS"/>
    <s v="000000008209672871"/>
    <x v="2"/>
    <x v="0"/>
    <m/>
    <n v="1"/>
    <m/>
  </r>
  <r>
    <n v="1209672826"/>
    <s v="205"/>
    <x v="19"/>
    <d v="2026-10-14T11:59:58"/>
    <d v="2026-10-14T05:59:56"/>
    <d v="2026-10-14T00:00:00"/>
    <s v=""/>
    <s v="PACK"/>
    <n v="18"/>
    <s v="PENDIENTE APROBACION  ENVIO TMS"/>
    <s v="000000001209672826"/>
    <x v="1"/>
    <x v="0"/>
    <m/>
    <n v="1"/>
    <m/>
  </r>
  <r>
    <n v="1209672945"/>
    <s v="224"/>
    <x v="6"/>
    <d v="2026-10-14T12:00:00"/>
    <d v="2026-10-14T05:59:57"/>
    <d v="2026-10-14T00:00:00"/>
    <s v=""/>
    <s v="CAJA"/>
    <n v="11"/>
    <s v="PENDIENTE APROBACION  ENVIO TMS"/>
    <s v="000000001209672945"/>
    <x v="1"/>
    <x v="0"/>
    <m/>
    <n v="1"/>
    <m/>
  </r>
  <r>
    <n v="1209672949"/>
    <s v="224"/>
    <x v="6"/>
    <d v="2026-10-14T12:00:01"/>
    <d v="2026-10-14T05:59:58"/>
    <d v="2026-10-14T00:00:00"/>
    <s v=""/>
    <s v="PACK"/>
    <n v="36"/>
    <s v="PENDIENTE APROBACION  ENVIO TMS"/>
    <s v="000000001209672949"/>
    <x v="1"/>
    <x v="0"/>
    <m/>
    <n v="1"/>
    <m/>
  </r>
  <r>
    <n v="8209672924"/>
    <s v="221"/>
    <x v="125"/>
    <d v="2026-10-14T12:00:02"/>
    <d v="2026-10-14T05:59:59"/>
    <d v="2026-10-14T00:00:00"/>
    <s v=""/>
    <s v="UNIDAD"/>
    <n v="18"/>
    <s v="PENDIENTE APROBACION  ENVIO TMS"/>
    <s v="000000008209672924"/>
    <x v="2"/>
    <x v="3"/>
    <m/>
    <n v="1"/>
    <m/>
  </r>
  <r>
    <n v="1209672911"/>
    <s v="221"/>
    <x v="125"/>
    <d v="2026-10-14T12:00:03"/>
    <d v="2026-10-14T06:00:01"/>
    <d v="2026-10-14T00:00:00"/>
    <s v=""/>
    <s v="CAJA"/>
    <n v="1"/>
    <s v="PENDIENTE APROBACION  ENVIO TMS"/>
    <s v="000000001209672911"/>
    <x v="1"/>
    <x v="3"/>
    <m/>
    <n v="1"/>
    <m/>
  </r>
  <r>
    <n v="8209672937"/>
    <s v="224"/>
    <x v="6"/>
    <d v="2026-10-14T12:00:04"/>
    <d v="2026-10-14T06:00:02"/>
    <d v="2026-10-14T00:00:00"/>
    <s v=""/>
    <s v="UNIDAD"/>
    <n v="1"/>
    <s v="PENDIENTE APROBACION  ENVIO TMS"/>
    <s v="000000008209672937"/>
    <x v="2"/>
    <x v="0"/>
    <m/>
    <n v="1"/>
    <m/>
  </r>
  <r>
    <n v="1209672856"/>
    <s v="209"/>
    <x v="2"/>
    <d v="2026-10-14T12:00:06"/>
    <d v="2026-10-14T06:00:03"/>
    <d v="2026-10-14T00:00:00"/>
    <s v=""/>
    <s v="CAJA"/>
    <n v="3"/>
    <s v="PENDIENTE APROBACION  ENVIO TMS"/>
    <s v="000000001209672856"/>
    <x v="1"/>
    <x v="0"/>
    <m/>
    <n v="1"/>
    <m/>
  </r>
  <r>
    <n v="8209672842"/>
    <s v="209"/>
    <x v="2"/>
    <d v="2026-10-14T12:00:07"/>
    <d v="2026-10-14T06:00:04"/>
    <d v="2026-10-14T00:00:00"/>
    <s v=""/>
    <s v="UNIDAD"/>
    <n v="2"/>
    <s v="PENDIENTE APROBACION  ENVIO TMS"/>
    <s v="000000008209672842"/>
    <x v="2"/>
    <x v="0"/>
    <m/>
    <n v="1"/>
    <m/>
  </r>
  <r>
    <n v="8209672870"/>
    <s v="215"/>
    <x v="101"/>
    <d v="2026-10-14T12:00:08"/>
    <d v="2026-10-14T06:00:06"/>
    <d v="2026-10-14T00:00:00"/>
    <s v=""/>
    <s v="UNIDAD"/>
    <n v="18"/>
    <s v="PENDIENTE APROBACION  ENVIO TMS"/>
    <s v="000000008209672870"/>
    <x v="2"/>
    <x v="0"/>
    <m/>
    <n v="1"/>
    <m/>
  </r>
  <r>
    <n v="8209672872"/>
    <s v="215"/>
    <x v="101"/>
    <d v="2026-10-14T12:00:09"/>
    <d v="2026-10-14T06:00:07"/>
    <d v="2026-10-14T00:00:00"/>
    <s v=""/>
    <s v="UNIDAD"/>
    <n v="18"/>
    <s v="PENDIENTE APROBACION  ENVIO TMS"/>
    <s v="000000008209672872"/>
    <x v="2"/>
    <x v="0"/>
    <m/>
    <n v="1"/>
    <m/>
  </r>
  <r>
    <n v="1209672950"/>
    <s v="224"/>
    <x v="6"/>
    <d v="2026-10-14T12:00:11"/>
    <d v="2026-10-14T06:00:08"/>
    <d v="2026-10-14T00:00:00"/>
    <s v=""/>
    <s v="PACK"/>
    <n v="40"/>
    <s v="PENDIENTE APROBACION  ENVIO TMS"/>
    <s v="000000001209672950"/>
    <x v="1"/>
    <x v="0"/>
    <m/>
    <n v="1"/>
    <m/>
  </r>
  <r>
    <n v="1209672917"/>
    <s v="221"/>
    <x v="125"/>
    <d v="2026-10-14T12:00:12"/>
    <d v="2026-10-14T06:00:10"/>
    <d v="2026-10-14T00:00:00"/>
    <s v=""/>
    <s v="CAJA"/>
    <n v="26"/>
    <s v="PENDIENTE APROBACION  ENVIO TMS"/>
    <s v="000000001209672917"/>
    <x v="1"/>
    <x v="3"/>
    <m/>
    <n v="1"/>
    <m/>
  </r>
  <r>
    <n v="1209672926"/>
    <s v="221"/>
    <x v="125"/>
    <d v="2026-10-14T12:00:13"/>
    <d v="2026-10-14T06:00:11"/>
    <d v="2026-10-14T00:00:00"/>
    <s v=""/>
    <s v="CAJA"/>
    <n v="27"/>
    <s v="PENDIENTE APROBACION  ENVIO TMS"/>
    <s v="000000001209672926"/>
    <x v="1"/>
    <x v="3"/>
    <m/>
    <n v="1"/>
    <m/>
  </r>
  <r>
    <n v="8209672906"/>
    <s v="221"/>
    <x v="125"/>
    <d v="2026-10-14T12:00:15"/>
    <d v="2026-10-14T06:00:12"/>
    <d v="2026-10-14T00:00:00"/>
    <s v=""/>
    <s v="UNIDAD"/>
    <n v="8"/>
    <s v="PENDIENTE APROBACION  ENVIO TMS"/>
    <s v="000000008209672906"/>
    <x v="2"/>
    <x v="3"/>
    <m/>
    <n v="1"/>
    <m/>
  </r>
  <r>
    <n v="1209672912"/>
    <s v="221"/>
    <x v="125"/>
    <d v="2026-10-14T12:00:16"/>
    <d v="2026-10-14T06:00:13"/>
    <d v="2026-10-14T00:00:00"/>
    <s v=""/>
    <s v="CAJA"/>
    <n v="8"/>
    <s v="PENDIENTE APROBACION  ENVIO TMS"/>
    <s v="000000001209672912"/>
    <x v="1"/>
    <x v="3"/>
    <m/>
    <n v="1"/>
    <m/>
  </r>
  <r>
    <n v="1209672940"/>
    <s v="224"/>
    <x v="6"/>
    <d v="2026-10-14T12:00:18"/>
    <d v="2026-10-14T06:00:16"/>
    <d v="2026-10-14T00:00:00"/>
    <s v=""/>
    <s v="CAJA"/>
    <n v="3"/>
    <s v="PENDIENTE APROBACION  ENVIO TMS"/>
    <s v="000000001209672940"/>
    <x v="1"/>
    <x v="0"/>
    <m/>
    <n v="1"/>
    <m/>
  </r>
  <r>
    <n v="8209672934"/>
    <s v="224"/>
    <x v="6"/>
    <d v="2026-10-14T12:00:18"/>
    <d v="2026-10-14T06:00:15"/>
    <d v="2026-10-14T00:00:00"/>
    <s v=""/>
    <s v="UNIDAD"/>
    <n v="1"/>
    <s v="PENDIENTE APROBACION  ENVIO TMS"/>
    <s v="000000008209672934"/>
    <x v="2"/>
    <x v="0"/>
    <m/>
    <n v="1"/>
    <m/>
  </r>
  <r>
    <n v="1209672852"/>
    <s v="209"/>
    <x v="2"/>
    <d v="2026-10-14T12:00:20"/>
    <d v="2026-10-14T06:00:17"/>
    <d v="2026-10-14T00:00:00"/>
    <s v=""/>
    <s v="UNIDAD"/>
    <n v="25"/>
    <s v="PENDIENTE APROBACION  ENVIO TMS"/>
    <s v="000000001209672852"/>
    <x v="1"/>
    <x v="0"/>
    <m/>
    <n v="1"/>
    <m/>
  </r>
  <r>
    <n v="8209672814"/>
    <s v="205"/>
    <x v="19"/>
    <d v="2026-10-14T12:00:21"/>
    <d v="2026-10-14T06:00:19"/>
    <d v="2026-10-14T00:00:00"/>
    <s v=""/>
    <s v="UNIDAD"/>
    <n v="1"/>
    <s v="PENDIENTE APROBACION  ENVIO TMS"/>
    <s v="000000008209672814"/>
    <x v="2"/>
    <x v="0"/>
    <m/>
    <n v="1"/>
    <m/>
  </r>
  <r>
    <n v="8209672816"/>
    <s v="205"/>
    <x v="19"/>
    <d v="2026-10-14T12:00:23"/>
    <d v="2026-10-14T06:00:20"/>
    <d v="2026-10-14T00:00:00"/>
    <s v=""/>
    <s v="UNIDAD"/>
    <n v="16"/>
    <s v="PENDIENTE APROBACION  ENVIO TMS"/>
    <s v="000000008209672816"/>
    <x v="2"/>
    <x v="0"/>
    <m/>
    <n v="1"/>
    <m/>
  </r>
  <r>
    <n v="1209672818"/>
    <s v="205"/>
    <x v="19"/>
    <d v="2026-10-14T12:00:24"/>
    <d v="2026-10-14T06:00:21"/>
    <d v="2026-10-14T00:00:00"/>
    <s v=""/>
    <s v="CAJA"/>
    <n v="3"/>
    <s v="PENDIENTE APROBACION  ENVIO TMS"/>
    <s v="000000001209672818"/>
    <x v="1"/>
    <x v="0"/>
    <m/>
    <n v="1"/>
    <m/>
  </r>
  <r>
    <n v="1209672824"/>
    <s v="205"/>
    <x v="19"/>
    <d v="2026-10-14T12:00:25"/>
    <d v="2026-10-14T06:00:23"/>
    <d v="2026-10-14T00:00:00"/>
    <s v=""/>
    <s v="CAJA"/>
    <n v="14"/>
    <s v="PENDIENTE APROBACION  ENVIO TMS"/>
    <s v="000000001209672824"/>
    <x v="1"/>
    <x v="0"/>
    <m/>
    <n v="1"/>
    <m/>
  </r>
  <r>
    <n v="8209672843"/>
    <s v="209"/>
    <x v="2"/>
    <d v="2026-10-14T12:00:26"/>
    <d v="2026-10-14T06:00:24"/>
    <d v="2026-10-14T00:00:00"/>
    <s v=""/>
    <s v="UNIDAD"/>
    <n v="6"/>
    <s v="PENDIENTE APROBACION  ENVIO TMS"/>
    <s v="000000008209672843"/>
    <x v="2"/>
    <x v="0"/>
    <m/>
    <n v="1"/>
    <m/>
  </r>
  <r>
    <n v="1209672925"/>
    <s v="221"/>
    <x v="125"/>
    <d v="2026-10-14T12:00:28"/>
    <d v="2026-10-14T06:00:25"/>
    <d v="2026-10-14T00:00:00"/>
    <s v=""/>
    <s v="PACK"/>
    <n v="21"/>
    <s v="PENDIENTE APROBACION  ENVIO TMS"/>
    <s v="000000001209672925"/>
    <x v="1"/>
    <x v="3"/>
    <m/>
    <n v="1"/>
    <m/>
  </r>
  <r>
    <n v="1209672927"/>
    <s v="221"/>
    <x v="125"/>
    <d v="2026-10-14T12:00:30"/>
    <d v="2026-10-14T06:00:27"/>
    <d v="2026-10-14T00:00:00"/>
    <s v=""/>
    <s v="PACK"/>
    <n v="52"/>
    <s v="PENDIENTE APROBACION  ENVIO TMS"/>
    <s v="000000001209672927"/>
    <x v="1"/>
    <x v="3"/>
    <m/>
    <n v="1"/>
    <m/>
  </r>
  <r>
    <n v="8209672935"/>
    <s v="224"/>
    <x v="6"/>
    <d v="2026-10-14T12:00:31"/>
    <d v="2026-10-14T06:00:28"/>
    <d v="2026-10-14T00:00:00"/>
    <s v=""/>
    <s v="UNIDAD"/>
    <n v="16"/>
    <s v="PENDIENTE APROBACION  ENVIO TMS"/>
    <s v="000000008209672935"/>
    <x v="2"/>
    <x v="0"/>
    <m/>
    <n v="1"/>
    <m/>
  </r>
  <r>
    <n v="8209672908"/>
    <s v="221"/>
    <x v="125"/>
    <d v="2026-10-14T12:00:32"/>
    <d v="2026-10-14T06:00:29"/>
    <d v="2026-10-14T00:00:00"/>
    <s v=""/>
    <s v="UNIDAD"/>
    <n v="2"/>
    <s v="PENDIENTE APROBACION  ENVIO TMS"/>
    <s v="000000008209672908"/>
    <x v="2"/>
    <x v="3"/>
    <m/>
    <n v="1"/>
    <m/>
  </r>
  <r>
    <n v="1209672820"/>
    <s v="205"/>
    <x v="19"/>
    <d v="2026-10-14T12:00:33"/>
    <d v="2026-10-14T06:00:31"/>
    <d v="2026-10-14T00:00:00"/>
    <s v=""/>
    <s v="CAJA"/>
    <n v="12"/>
    <s v="PENDIENTE APROBACION  ENVIO TMS"/>
    <s v="000000001209672820"/>
    <x v="1"/>
    <x v="0"/>
    <m/>
    <n v="1"/>
    <m/>
  </r>
  <r>
    <n v="1209672837"/>
    <s v="205"/>
    <x v="19"/>
    <d v="2026-10-14T12:00:35"/>
    <d v="2026-10-14T06:00:32"/>
    <d v="2026-10-14T00:00:00"/>
    <s v=""/>
    <s v="CAJA"/>
    <n v="32"/>
    <s v="PENDIENTE APROBACION  ENVIO TMS"/>
    <s v="000000001209672837"/>
    <x v="1"/>
    <x v="0"/>
    <m/>
    <n v="1"/>
    <m/>
  </r>
  <r>
    <n v="1209672848"/>
    <s v="209"/>
    <x v="2"/>
    <d v="2026-10-14T12:00:36"/>
    <d v="2026-10-14T06:00:33"/>
    <d v="2026-10-14T00:00:00"/>
    <s v=""/>
    <s v="CAJA"/>
    <n v="1"/>
    <s v="PENDIENTE APROBACION  ENVIO TMS"/>
    <s v="000000001209672848"/>
    <x v="1"/>
    <x v="0"/>
    <m/>
    <n v="1"/>
    <m/>
  </r>
  <r>
    <n v="1209672873"/>
    <s v="215"/>
    <x v="101"/>
    <d v="2026-10-14T12:00:37"/>
    <d v="2026-10-14T06:00:35"/>
    <d v="2026-10-14T00:00:00"/>
    <s v=""/>
    <s v="CAJA"/>
    <n v="2"/>
    <s v="PENDIENTE APROBACION  ENVIO TMS"/>
    <s v="000000001209672873"/>
    <x v="1"/>
    <x v="0"/>
    <m/>
    <n v="1"/>
    <m/>
  </r>
  <r>
    <n v="1209672874"/>
    <s v="215"/>
    <x v="101"/>
    <d v="2026-10-14T12:00:39"/>
    <d v="2026-10-14T06:00:36"/>
    <d v="2026-10-14T00:00:00"/>
    <s v=""/>
    <s v="CAJA"/>
    <n v="5"/>
    <s v="PENDIENTE APROBACION  ENVIO TMS"/>
    <s v="000000001209672874"/>
    <x v="1"/>
    <x v="0"/>
    <m/>
    <n v="1"/>
    <m/>
  </r>
  <r>
    <n v="1209672948"/>
    <s v="224"/>
    <x v="6"/>
    <d v="2026-10-14T12:00:40"/>
    <d v="2026-10-14T06:00:37"/>
    <d v="2026-10-14T00:00:00"/>
    <s v=""/>
    <s v="PACK"/>
    <n v="31"/>
    <s v="PENDIENTE APROBACION  ENVIO TMS"/>
    <s v="000000001209672948"/>
    <x v="1"/>
    <x v="0"/>
    <m/>
    <n v="1"/>
    <m/>
  </r>
  <r>
    <n v="8209672909"/>
    <s v="221"/>
    <x v="125"/>
    <d v="2026-10-14T12:00:42"/>
    <d v="2026-10-14T06:00:40"/>
    <d v="2026-10-14T00:00:00"/>
    <s v=""/>
    <s v="UNIDAD"/>
    <n v="18"/>
    <s v="PENDIENTE APROBACION  ENVIO TMS"/>
    <s v="000000008209672909"/>
    <x v="2"/>
    <x v="3"/>
    <m/>
    <n v="1"/>
    <m/>
  </r>
  <r>
    <n v="1209672943"/>
    <s v="224"/>
    <x v="6"/>
    <d v="2026-10-14T12:00:42"/>
    <d v="2026-10-14T06:00:39"/>
    <d v="2026-10-14T00:00:00"/>
    <s v=""/>
    <s v="CAJA"/>
    <n v="10"/>
    <s v="PENDIENTE APROBACION  ENVIO TMS"/>
    <s v="000000001209672943"/>
    <x v="1"/>
    <x v="0"/>
    <m/>
    <n v="1"/>
    <m/>
  </r>
  <r>
    <n v="1209672914"/>
    <s v="221"/>
    <x v="125"/>
    <d v="2026-10-14T12:00:44"/>
    <d v="2026-10-14T06:00:42"/>
    <d v="2026-10-14T00:00:00"/>
    <s v=""/>
    <s v="CAJA"/>
    <n v="14"/>
    <s v="PENDIENTE APROBACION  ENVIO TMS"/>
    <s v="000000001209672914"/>
    <x v="1"/>
    <x v="3"/>
    <m/>
    <n v="1"/>
    <m/>
  </r>
  <r>
    <n v="1209672885"/>
    <s v="215"/>
    <x v="101"/>
    <d v="2026-10-14T12:00:46"/>
    <d v="2026-10-14T06:00:43"/>
    <d v="2026-10-14T00:00:00"/>
    <s v=""/>
    <s v="CAJA"/>
    <n v="1"/>
    <s v="PENDIENTE APROBACION  ENVIO TMS"/>
    <s v="000000001209672885"/>
    <x v="1"/>
    <x v="0"/>
    <m/>
    <n v="1"/>
    <m/>
  </r>
  <r>
    <n v="8209672936"/>
    <s v="224"/>
    <x v="6"/>
    <d v="2026-10-14T12:00:47"/>
    <d v="2026-10-14T06:00:45"/>
    <d v="2026-10-14T00:00:00"/>
    <s v=""/>
    <s v="UNIDAD"/>
    <n v="5"/>
    <s v="PENDIENTE APROBACION  ENVIO TMS"/>
    <s v="000000008209672936"/>
    <x v="2"/>
    <x v="0"/>
    <m/>
    <n v="1"/>
    <m/>
  </r>
  <r>
    <n v="8209672938"/>
    <s v="224"/>
    <x v="6"/>
    <d v="2026-10-14T12:00:48"/>
    <d v="2026-10-14T06:00:46"/>
    <d v="2026-10-14T00:00:00"/>
    <s v=""/>
    <s v="UNIDAD"/>
    <n v="2"/>
    <s v="PENDIENTE APROBACION  ENVIO TMS"/>
    <s v="000000008209672938"/>
    <x v="2"/>
    <x v="0"/>
    <m/>
    <n v="1"/>
    <m/>
  </r>
  <r>
    <n v="1209672942"/>
    <s v="224"/>
    <x v="6"/>
    <d v="2026-10-14T12:00:50"/>
    <d v="2026-10-14T06:00:47"/>
    <d v="2026-10-14T00:00:00"/>
    <s v=""/>
    <s v="CAJA"/>
    <n v="5"/>
    <s v="PENDIENTE APROBACION  ENVIO TMS"/>
    <s v="000000001209672942"/>
    <x v="1"/>
    <x v="0"/>
    <m/>
    <n v="1"/>
    <m/>
  </r>
  <r>
    <n v="1209672879"/>
    <s v="215"/>
    <x v="101"/>
    <d v="2026-10-14T12:00:51"/>
    <d v="2026-10-14T06:00:49"/>
    <d v="2026-10-14T00:00:00"/>
    <s v=""/>
    <s v="CAJA"/>
    <n v="24"/>
    <s v="PENDIENTE APROBACION  ENVIO TMS"/>
    <s v="000000001209672879"/>
    <x v="1"/>
    <x v="0"/>
    <m/>
    <n v="1"/>
    <m/>
  </r>
  <r>
    <n v="1209672855"/>
    <s v="209"/>
    <x v="2"/>
    <d v="2026-10-14T12:00:53"/>
    <d v="2026-10-14T06:00:50"/>
    <d v="2026-10-14T00:00:00"/>
    <s v=""/>
    <s v="CAJA"/>
    <n v="124"/>
    <s v="PENDIENTE APROBACION  ENVIO TMS"/>
    <s v="000000001209672855"/>
    <x v="1"/>
    <x v="0"/>
    <m/>
    <n v="1"/>
    <m/>
  </r>
  <r>
    <n v="1209672823"/>
    <s v="205"/>
    <x v="19"/>
    <d v="2026-10-14T12:00:54"/>
    <d v="2026-10-14T06:00:51"/>
    <d v="2026-10-14T00:00:00"/>
    <s v=""/>
    <s v="CAJA"/>
    <n v="13"/>
    <s v="PENDIENTE APROBACION  ENVIO TMS"/>
    <s v="000000001209672823"/>
    <x v="1"/>
    <x v="0"/>
    <m/>
    <n v="1"/>
    <m/>
  </r>
  <r>
    <n v="8209672844"/>
    <s v="209"/>
    <x v="2"/>
    <d v="2026-10-14T12:00:55"/>
    <d v="2026-10-14T06:00:53"/>
    <d v="2026-10-14T00:00:00"/>
    <s v=""/>
    <s v="UNIDAD"/>
    <n v="10"/>
    <s v="PENDIENTE APROBACION  ENVIO TMS"/>
    <s v="000000008209672844"/>
    <x v="2"/>
    <x v="0"/>
    <m/>
    <n v="1"/>
    <m/>
  </r>
  <r>
    <n v="1209672850"/>
    <s v="209"/>
    <x v="2"/>
    <d v="2026-10-14T12:00:57"/>
    <d v="2026-10-14T06:00:54"/>
    <d v="2026-10-14T00:00:00"/>
    <s v=""/>
    <s v="CAJA"/>
    <n v="10"/>
    <s v="PENDIENTE APROBACION  ENVIO TMS"/>
    <s v="000000001209672850"/>
    <x v="1"/>
    <x v="0"/>
    <m/>
    <n v="1"/>
    <m/>
  </r>
  <r>
    <n v="1209673013"/>
    <s v="228"/>
    <x v="102"/>
    <d v="2026-10-14T12:04:13"/>
    <d v="2026-10-14T06:04:10"/>
    <d v="2026-10-14T00:00:00"/>
    <s v=""/>
    <s v="PACK"/>
    <n v="35"/>
    <s v="PENDIENTE APROBACION  ENVIO TMS"/>
    <s v="000000001209673013"/>
    <x v="1"/>
    <x v="1"/>
    <m/>
    <n v="1"/>
    <m/>
  </r>
  <r>
    <n v="8209672971"/>
    <s v="225"/>
    <x v="70"/>
    <d v="2026-10-14T12:04:15"/>
    <d v="2026-10-14T06:04:13"/>
    <d v="2026-10-14T00:00:00"/>
    <s v=""/>
    <s v="UNIDAD"/>
    <n v="41"/>
    <s v="PENDIENTE APROBACION  ENVIO TMS"/>
    <s v="000000008209672971"/>
    <x v="2"/>
    <x v="3"/>
    <m/>
    <n v="1"/>
    <m/>
  </r>
  <r>
    <n v="1209673006"/>
    <s v="228"/>
    <x v="102"/>
    <d v="2026-10-14T12:04:17"/>
    <d v="2026-10-14T06:04:14"/>
    <d v="2026-10-14T00:00:00"/>
    <s v=""/>
    <s v="CAJA"/>
    <n v="12"/>
    <s v="PENDIENTE APROBACION  ENVIO TMS"/>
    <s v="000000001209673006"/>
    <x v="1"/>
    <x v="1"/>
    <m/>
    <n v="1"/>
    <m/>
  </r>
  <r>
    <n v="8209672982"/>
    <s v="225"/>
    <x v="70"/>
    <d v="2026-10-14T12:04:18"/>
    <d v="2026-10-14T06:04:15"/>
    <d v="2026-10-14T00:00:00"/>
    <s v=""/>
    <s v="UNIDAD"/>
    <n v="5"/>
    <s v="PENDIENTE APROBACION  ENVIO TMS"/>
    <s v="000000008209672982"/>
    <x v="2"/>
    <x v="3"/>
    <m/>
    <n v="1"/>
    <m/>
  </r>
  <r>
    <n v="1209672975"/>
    <s v="225"/>
    <x v="70"/>
    <d v="2026-10-14T12:04:19"/>
    <d v="2026-10-14T06:04:17"/>
    <d v="2026-10-14T00:00:00"/>
    <s v=""/>
    <s v="PACK"/>
    <n v="10"/>
    <s v="PENDIENTE APROBACION  ENVIO TMS"/>
    <s v="000000001209672975"/>
    <x v="1"/>
    <x v="3"/>
    <m/>
    <n v="1"/>
    <m/>
  </r>
  <r>
    <n v="8209673078"/>
    <s v="249"/>
    <x v="108"/>
    <d v="2026-10-14T12:04:20"/>
    <d v="2026-10-14T06:04:18"/>
    <d v="2026-10-14T00:00:00"/>
    <s v=""/>
    <s v="UNIDAD"/>
    <n v="7"/>
    <s v="PENDIENTE APROBACION  ENVIO TMS"/>
    <s v="000000008209673078"/>
    <x v="2"/>
    <x v="0"/>
    <m/>
    <n v="1"/>
    <m/>
  </r>
  <r>
    <n v="1209673131"/>
    <s v="258"/>
    <x v="131"/>
    <d v="2026-10-14T12:04:22"/>
    <d v="2026-10-14T06:04:19"/>
    <d v="2026-10-14T00:00:00"/>
    <s v=""/>
    <s v="PACK"/>
    <n v="37"/>
    <s v="PENDIENTE APROBACION  ENVIO TMS"/>
    <s v="000000001209673131"/>
    <x v="1"/>
    <x v="0"/>
    <m/>
    <n v="1"/>
    <m/>
  </r>
  <r>
    <n v="1209673155"/>
    <s v="259"/>
    <x v="85"/>
    <d v="2026-10-14T12:04:23"/>
    <d v="2026-10-14T06:04:20"/>
    <d v="2026-10-14T00:00:00"/>
    <s v=""/>
    <s v="CAJA"/>
    <n v="4"/>
    <s v="PENDIENTE APROBACION  ENVIO TMS"/>
    <s v="000000001209673155"/>
    <x v="1"/>
    <x v="1"/>
    <m/>
    <n v="1"/>
    <m/>
  </r>
  <r>
    <n v="1209673089"/>
    <s v="249"/>
    <x v="108"/>
    <d v="2026-10-14T12:04:24"/>
    <d v="2026-10-14T06:04:22"/>
    <d v="2026-10-14T00:00:00"/>
    <s v=""/>
    <s v="PACK"/>
    <n v="25"/>
    <s v="PENDIENTE APROBACION  ENVIO TMS"/>
    <s v="000000001209673089"/>
    <x v="1"/>
    <x v="0"/>
    <m/>
    <n v="1"/>
    <m/>
  </r>
  <r>
    <n v="8209673110"/>
    <s v="258"/>
    <x v="131"/>
    <d v="2026-10-14T12:04:25"/>
    <d v="2026-10-14T06:04:23"/>
    <d v="2026-10-14T00:00:00"/>
    <s v=""/>
    <s v="UNIDAD"/>
    <n v="41"/>
    <s v="PENDIENTE APROBACION  ENVIO TMS"/>
    <s v="000000008209673110"/>
    <x v="2"/>
    <x v="0"/>
    <m/>
    <n v="1"/>
    <m/>
  </r>
  <r>
    <n v="1209673145"/>
    <s v="259"/>
    <x v="85"/>
    <d v="2026-10-14T12:04:26"/>
    <d v="2026-10-14T06:04:24"/>
    <d v="2026-10-14T00:00:00"/>
    <s v=""/>
    <s v="PACK"/>
    <n v="9"/>
    <s v="PENDIENTE APROBACION  ENVIO TMS"/>
    <s v="000000001209673145"/>
    <x v="1"/>
    <x v="1"/>
    <m/>
    <n v="1"/>
    <m/>
  </r>
  <r>
    <n v="1209673049"/>
    <s v="238"/>
    <x v="84"/>
    <d v="2026-10-14T12:04:28"/>
    <d v="2026-10-14T06:04:25"/>
    <d v="2026-10-14T00:00:00"/>
    <s v=""/>
    <s v="CAJA"/>
    <n v="20"/>
    <s v="PENDIENTE APROBACION  ENVIO TMS"/>
    <s v="000000001209673049"/>
    <x v="1"/>
    <x v="1"/>
    <m/>
    <n v="1"/>
    <m/>
  </r>
  <r>
    <n v="1209672990"/>
    <s v="225"/>
    <x v="70"/>
    <d v="2026-10-14T12:04:30"/>
    <d v="2026-10-14T06:04:27"/>
    <d v="2026-10-14T00:00:00"/>
    <s v=""/>
    <s v="CAJA"/>
    <n v="22"/>
    <s v="PENDIENTE APROBACION  ENVIO TMS"/>
    <s v="000000001209672990"/>
    <x v="1"/>
    <x v="3"/>
    <m/>
    <n v="1"/>
    <m/>
  </r>
  <r>
    <n v="1209672979"/>
    <s v="225"/>
    <x v="70"/>
    <d v="2026-10-14T12:04:31"/>
    <d v="2026-10-14T06:04:29"/>
    <d v="2026-10-14T00:00:00"/>
    <s v=""/>
    <s v="CAJA"/>
    <n v="1"/>
    <s v="PENDIENTE APROBACION  ENVIO TMS"/>
    <s v="000000001209672979"/>
    <x v="1"/>
    <x v="3"/>
    <m/>
    <n v="1"/>
    <m/>
  </r>
  <r>
    <n v="8209672966"/>
    <s v="225"/>
    <x v="70"/>
    <d v="2026-10-14T12:04:33"/>
    <d v="2026-10-14T06:04:30"/>
    <d v="2026-10-14T00:00:00"/>
    <s v=""/>
    <s v="UNIDAD"/>
    <n v="4"/>
    <s v="PENDIENTE APROBACION  ENVIO TMS"/>
    <s v="000000008209672966"/>
    <x v="2"/>
    <x v="3"/>
    <m/>
    <n v="1"/>
    <m/>
  </r>
  <r>
    <n v="8209672999"/>
    <s v="228"/>
    <x v="102"/>
    <d v="2026-10-14T12:04:34"/>
    <d v="2026-10-14T06:04:31"/>
    <d v="2026-10-14T00:00:00"/>
    <s v=""/>
    <s v="PACK"/>
    <n v="5"/>
    <s v="PENDIENTE APROBACION  ENVIO TMS"/>
    <s v="000000008209672999"/>
    <x v="2"/>
    <x v="1"/>
    <m/>
    <n v="1"/>
    <m/>
  </r>
  <r>
    <n v="8209673002"/>
    <s v="228"/>
    <x v="102"/>
    <d v="2026-10-14T12:04:35"/>
    <d v="2026-10-14T06:04:32"/>
    <d v="2026-10-14T00:00:00"/>
    <s v=""/>
    <s v="UNIDAD"/>
    <n v="3"/>
    <s v="PENDIENTE APROBACION  ENVIO TMS"/>
    <s v="000000008209673002"/>
    <x v="2"/>
    <x v="1"/>
    <m/>
    <n v="1"/>
    <m/>
  </r>
  <r>
    <n v="1209672974"/>
    <s v="225"/>
    <x v="70"/>
    <d v="2026-10-14T12:04:36"/>
    <d v="2026-10-14T06:04:34"/>
    <d v="2026-10-14T00:00:00"/>
    <s v=""/>
    <s v="CAJA"/>
    <n v="18"/>
    <s v="PENDIENTE APROBACION  ENVIO TMS"/>
    <s v="000000001209672974"/>
    <x v="1"/>
    <x v="3"/>
    <m/>
    <n v="1"/>
    <m/>
  </r>
  <r>
    <n v="8209673079"/>
    <s v="249"/>
    <x v="108"/>
    <d v="2026-10-14T12:04:37"/>
    <d v="2026-10-14T06:04:35"/>
    <d v="2026-10-14T00:00:00"/>
    <s v=""/>
    <s v="UNIDAD"/>
    <n v="4"/>
    <s v="PENDIENTE APROBACION  ENVIO TMS"/>
    <s v="000000008209673079"/>
    <x v="2"/>
    <x v="0"/>
    <m/>
    <n v="1"/>
    <m/>
  </r>
  <r>
    <n v="8209673083"/>
    <s v="249"/>
    <x v="108"/>
    <d v="2026-10-14T12:04:39"/>
    <d v="2026-10-14T06:04:36"/>
    <d v="2026-10-14T00:00:00"/>
    <s v=""/>
    <s v="UNIDAD"/>
    <n v="31"/>
    <s v="PENDIENTE APROBACION  ENVIO TMS"/>
    <s v="000000008209673083"/>
    <x v="2"/>
    <x v="0"/>
    <m/>
    <n v="1"/>
    <m/>
  </r>
  <r>
    <n v="1209673151"/>
    <s v="259"/>
    <x v="85"/>
    <d v="2026-10-14T12:04:40"/>
    <d v="2026-10-14T06:04:37"/>
    <d v="2026-10-14T00:00:00"/>
    <s v=""/>
    <s v="PACK"/>
    <n v="21"/>
    <s v="PENDIENTE APROBACION  ENVIO TMS"/>
    <s v="000000001209673151"/>
    <x v="1"/>
    <x v="1"/>
    <m/>
    <n v="1"/>
    <m/>
  </r>
  <r>
    <n v="1209673087"/>
    <s v="249"/>
    <x v="108"/>
    <d v="2026-10-14T12:04:42"/>
    <d v="2026-10-14T06:04:39"/>
    <d v="2026-10-14T00:00:00"/>
    <s v=""/>
    <s v="CAJA"/>
    <n v="17"/>
    <s v="PENDIENTE APROBACION  ENVIO TMS"/>
    <s v="000000001209673087"/>
    <x v="1"/>
    <x v="0"/>
    <m/>
    <n v="1"/>
    <m/>
  </r>
  <r>
    <n v="1209673043"/>
    <s v="238"/>
    <x v="84"/>
    <d v="2026-10-14T12:04:42"/>
    <d v="2026-10-14T06:04:40"/>
    <d v="2026-10-14T00:00:00"/>
    <s v=""/>
    <s v="CAJA"/>
    <n v="5"/>
    <s v="PENDIENTE APROBACION  ENVIO TMS"/>
    <s v="000000001209673043"/>
    <x v="1"/>
    <x v="1"/>
    <m/>
    <n v="1"/>
    <m/>
  </r>
  <r>
    <n v="1209673114"/>
    <s v="258"/>
    <x v="131"/>
    <d v="2026-10-14T12:04:43"/>
    <d v="2026-10-14T06:04:41"/>
    <d v="2026-10-14T00:00:00"/>
    <s v=""/>
    <s v="CAJA"/>
    <n v="8"/>
    <s v="PENDIENTE APROBACION  ENVIO TMS"/>
    <s v="000000001209673114"/>
    <x v="1"/>
    <x v="0"/>
    <m/>
    <n v="1"/>
    <m/>
  </r>
  <r>
    <n v="1209673098"/>
    <s v="249"/>
    <x v="108"/>
    <d v="2026-10-14T12:04:45"/>
    <d v="2026-10-14T06:04:42"/>
    <d v="2026-10-14T00:00:00"/>
    <s v=""/>
    <s v="CAJA"/>
    <n v="14"/>
    <s v="PENDIENTE APROBACION  ENVIO TMS"/>
    <s v="000000001209673098"/>
    <x v="1"/>
    <x v="0"/>
    <m/>
    <n v="1"/>
    <m/>
  </r>
  <r>
    <n v="8209673038"/>
    <s v="238"/>
    <x v="84"/>
    <d v="2026-10-14T12:04:46"/>
    <d v="2026-10-14T06:04:44"/>
    <d v="2026-10-14T00:00:00"/>
    <s v=""/>
    <s v="UNIDAD"/>
    <n v="1"/>
    <s v="PENDIENTE APROBACION  ENVIO TMS"/>
    <s v="000000008209673038"/>
    <x v="2"/>
    <x v="1"/>
    <m/>
    <n v="1"/>
    <m/>
  </r>
  <r>
    <n v="8209673041"/>
    <s v="238"/>
    <x v="84"/>
    <d v="2026-10-14T12:04:47"/>
    <d v="2026-10-14T06:04:45"/>
    <d v="2026-10-14T00:00:00"/>
    <s v=""/>
    <s v="UNIDAD"/>
    <n v="8"/>
    <s v="PENDIENTE APROBACION  ENVIO TMS"/>
    <s v="000000008209673041"/>
    <x v="2"/>
    <x v="1"/>
    <m/>
    <n v="1"/>
    <m/>
  </r>
  <r>
    <n v="8209672969"/>
    <s v="225"/>
    <x v="70"/>
    <d v="2026-10-14T12:04:48"/>
    <d v="2026-10-14T06:04:46"/>
    <d v="2026-10-14T00:00:00"/>
    <s v=""/>
    <s v="UNIDAD"/>
    <n v="25"/>
    <s v="PENDIENTE APROBACION  ENVIO TMS"/>
    <s v="000000008209672969"/>
    <x v="2"/>
    <x v="3"/>
    <m/>
    <n v="1"/>
    <m/>
  </r>
  <r>
    <n v="1209673055"/>
    <s v="238"/>
    <x v="84"/>
    <d v="2026-10-14T12:04:50"/>
    <d v="2026-10-14T06:04:47"/>
    <d v="2026-10-14T00:00:00"/>
    <s v=""/>
    <s v="CAJA"/>
    <n v="2"/>
    <s v="PENDIENTE APROBACION  ENVIO TMS"/>
    <s v="000000001209673055"/>
    <x v="1"/>
    <x v="1"/>
    <m/>
    <n v="1"/>
    <m/>
  </r>
  <r>
    <n v="1209673085"/>
    <s v="249"/>
    <x v="108"/>
    <d v="2026-10-14T12:04:51"/>
    <d v="2026-10-14T06:04:48"/>
    <d v="2026-10-14T00:00:00"/>
    <s v=""/>
    <s v="CAJA"/>
    <n v="11"/>
    <s v="PENDIENTE APROBACION  ENVIO TMS"/>
    <s v="000000001209673085"/>
    <x v="1"/>
    <x v="0"/>
    <m/>
    <n v="1"/>
    <m/>
  </r>
  <r>
    <n v="8209673108"/>
    <s v="258"/>
    <x v="131"/>
    <d v="2026-10-14T12:04:52"/>
    <d v="2026-10-14T06:04:50"/>
    <d v="2026-10-14T00:00:00"/>
    <s v=""/>
    <s v="UNIDAD"/>
    <n v="6"/>
    <s v="PENDIENTE APROBACION  ENVIO TMS"/>
    <s v="000000008209673108"/>
    <x v="2"/>
    <x v="0"/>
    <m/>
    <n v="1"/>
    <m/>
  </r>
  <r>
    <n v="1209673093"/>
    <s v="249"/>
    <x v="108"/>
    <d v="2026-10-14T12:04:54"/>
    <d v="2026-10-14T06:04:51"/>
    <d v="2026-10-14T00:00:00"/>
    <s v=""/>
    <s v="CAJA"/>
    <n v="5"/>
    <s v="PENDIENTE APROBACION  ENVIO TMS"/>
    <s v="000000001209673093"/>
    <x v="1"/>
    <x v="0"/>
    <m/>
    <n v="1"/>
    <m/>
  </r>
  <r>
    <n v="8209673141"/>
    <s v="259"/>
    <x v="85"/>
    <d v="2026-10-14T12:04:54"/>
    <d v="2026-10-14T06:04:52"/>
    <d v="2026-10-14T00:00:00"/>
    <s v=""/>
    <s v="UNIDAD"/>
    <n v="15"/>
    <s v="PENDIENTE APROBACION  ENVIO TMS"/>
    <s v="000000008209673141"/>
    <x v="2"/>
    <x v="1"/>
    <m/>
    <n v="1"/>
    <m/>
  </r>
  <r>
    <n v="8209673143"/>
    <s v="259"/>
    <x v="85"/>
    <d v="2026-10-14T12:04:56"/>
    <d v="2026-10-14T06:04:53"/>
    <d v="2026-10-14T00:00:00"/>
    <s v=""/>
    <s v="UNIDAD"/>
    <n v="15"/>
    <s v="PENDIENTE APROBACION  ENVIO TMS"/>
    <s v="000000008209673143"/>
    <x v="2"/>
    <x v="1"/>
    <m/>
    <n v="1"/>
    <m/>
  </r>
  <r>
    <n v="1209673146"/>
    <s v="259"/>
    <x v="85"/>
    <d v="2026-10-14T12:04:57"/>
    <d v="2026-10-14T06:04:55"/>
    <d v="2026-10-14T00:00:00"/>
    <s v=""/>
    <s v="CAJA"/>
    <n v="13"/>
    <s v="PENDIENTE APROBACION  ENVIO TMS"/>
    <s v="000000001209673146"/>
    <x v="1"/>
    <x v="1"/>
    <m/>
    <n v="1"/>
    <m/>
  </r>
  <r>
    <n v="1209673149"/>
    <s v="259"/>
    <x v="85"/>
    <d v="2026-10-14T12:04:59"/>
    <d v="2026-10-14T06:04:57"/>
    <d v="2026-10-14T00:00:00"/>
    <s v=""/>
    <s v="CAJA"/>
    <n v="21"/>
    <s v="PENDIENTE APROBACION  ENVIO TMS"/>
    <s v="000000001209673149"/>
    <x v="1"/>
    <x v="1"/>
    <m/>
    <n v="1"/>
    <m/>
  </r>
  <r>
    <n v="1209673048"/>
    <s v="238"/>
    <x v="84"/>
    <d v="2026-10-14T12:04:59"/>
    <d v="2026-10-14T06:04:56"/>
    <d v="2026-10-14T00:00:00"/>
    <s v=""/>
    <s v="CAJA"/>
    <n v="22"/>
    <s v="PENDIENTE APROBACION  ENVIO TMS"/>
    <s v="000000001209673048"/>
    <x v="1"/>
    <x v="1"/>
    <m/>
    <n v="1"/>
    <m/>
  </r>
  <r>
    <n v="1209672976"/>
    <s v="225"/>
    <x v="70"/>
    <d v="2026-10-14T12:05:01"/>
    <d v="2026-10-14T06:04:58"/>
    <d v="2026-10-14T00:00:00"/>
    <s v=""/>
    <s v="PACK"/>
    <n v="32"/>
    <s v="PENDIENTE APROBACION  ENVIO TMS"/>
    <s v="000000001209672976"/>
    <x v="1"/>
    <x v="3"/>
    <m/>
    <n v="1"/>
    <m/>
  </r>
  <r>
    <n v="8209672968"/>
    <s v="225"/>
    <x v="70"/>
    <d v="2026-10-14T12:05:02"/>
    <d v="2026-10-14T06:04:59"/>
    <d v="2026-10-14T00:00:00"/>
    <s v=""/>
    <s v="UNIDAD"/>
    <n v="15"/>
    <s v="PENDIENTE APROBACION  ENVIO TMS"/>
    <s v="000000008209672968"/>
    <x v="2"/>
    <x v="3"/>
    <m/>
    <n v="1"/>
    <m/>
  </r>
  <r>
    <n v="1209672981"/>
    <s v="225"/>
    <x v="70"/>
    <d v="2026-10-14T12:05:03"/>
    <d v="2026-10-14T06:05:01"/>
    <d v="2026-10-14T00:00:00"/>
    <s v=""/>
    <s v="PACK"/>
    <n v="66"/>
    <s v="PENDIENTE APROBACION  ENVIO TMS"/>
    <s v="000000001209672981"/>
    <x v="1"/>
    <x v="3"/>
    <m/>
    <n v="1"/>
    <m/>
  </r>
  <r>
    <n v="1209673014"/>
    <s v="228"/>
    <x v="102"/>
    <d v="2026-10-14T12:05:04"/>
    <d v="2026-10-14T06:05:02"/>
    <d v="2026-10-14T00:00:00"/>
    <s v=""/>
    <s v="CAJA"/>
    <n v="1"/>
    <s v="PENDIENTE APROBACION  ENVIO TMS"/>
    <s v="000000001209673014"/>
    <x v="1"/>
    <x v="1"/>
    <m/>
    <n v="1"/>
    <m/>
  </r>
  <r>
    <n v="1209672973"/>
    <s v="225"/>
    <x v="70"/>
    <d v="2026-10-14T12:05:06"/>
    <d v="2026-10-14T06:05:03"/>
    <d v="2026-10-14T00:00:00"/>
    <s v=""/>
    <s v="CAJA"/>
    <n v="16"/>
    <s v="PENDIENTE APROBACION  ENVIO TMS"/>
    <s v="000000001209672973"/>
    <x v="1"/>
    <x v="3"/>
    <m/>
    <n v="1"/>
    <m/>
  </r>
  <r>
    <n v="1209673050"/>
    <s v="238"/>
    <x v="84"/>
    <d v="2026-10-14T12:05:07"/>
    <d v="2026-10-14T06:05:04"/>
    <d v="2026-10-14T00:00:00"/>
    <s v=""/>
    <s v="PACK"/>
    <n v="37"/>
    <s v="PENDIENTE APROBACION  ENVIO TMS"/>
    <s v="000000001209673050"/>
    <x v="1"/>
    <x v="1"/>
    <m/>
    <n v="1"/>
    <m/>
  </r>
  <r>
    <n v="1209673150"/>
    <s v="259"/>
    <x v="85"/>
    <d v="2026-10-14T12:05:08"/>
    <d v="2026-10-14T06:05:06"/>
    <d v="2026-10-14T00:00:00"/>
    <s v=""/>
    <s v="CAJA"/>
    <n v="16"/>
    <s v="PENDIENTE APROBACION  ENVIO TMS"/>
    <s v="000000001209673150"/>
    <x v="1"/>
    <x v="1"/>
    <m/>
    <n v="1"/>
    <m/>
  </r>
  <r>
    <n v="1209673082"/>
    <s v="249"/>
    <x v="108"/>
    <d v="2026-10-14T12:05:10"/>
    <d v="2026-10-14T06:05:07"/>
    <d v="2026-10-14T00:00:00"/>
    <s v=""/>
    <s v="CAJA"/>
    <n v="1"/>
    <s v="PENDIENTE APROBACION  ENVIO TMS"/>
    <s v="000000001209673082"/>
    <x v="1"/>
    <x v="0"/>
    <m/>
    <n v="1"/>
    <m/>
  </r>
  <r>
    <n v="1209673042"/>
    <s v="238"/>
    <x v="84"/>
    <d v="2026-10-14T12:05:10"/>
    <d v="2026-10-14T06:05:08"/>
    <d v="2026-10-14T00:00:00"/>
    <s v=""/>
    <s v="CAJA"/>
    <n v="2"/>
    <s v="PENDIENTE APROBACION  ENVIO TMS"/>
    <s v="000000001209673042"/>
    <x v="1"/>
    <x v="1"/>
    <m/>
    <n v="1"/>
    <m/>
  </r>
  <r>
    <n v="8209673111"/>
    <s v="258"/>
    <x v="131"/>
    <d v="2026-10-14T12:05:12"/>
    <d v="2026-10-14T06:05:09"/>
    <d v="2026-10-14T00:00:00"/>
    <s v=""/>
    <s v="UNIDAD"/>
    <n v="8"/>
    <s v="PENDIENTE APROBACION  ENVIO TMS"/>
    <s v="000000008209673111"/>
    <x v="2"/>
    <x v="0"/>
    <m/>
    <n v="1"/>
    <m/>
  </r>
  <r>
    <n v="1209673115"/>
    <s v="258"/>
    <x v="131"/>
    <d v="2026-10-14T12:05:13"/>
    <d v="2026-10-14T06:05:11"/>
    <d v="2026-10-14T00:00:00"/>
    <s v=""/>
    <s v="CAJA"/>
    <n v="10"/>
    <s v="PENDIENTE APROBACION  ENVIO TMS"/>
    <s v="000000001209673115"/>
    <x v="1"/>
    <x v="0"/>
    <m/>
    <n v="1"/>
    <m/>
  </r>
  <r>
    <n v="8209673035"/>
    <s v="238"/>
    <x v="84"/>
    <d v="2026-10-14T12:05:14"/>
    <d v="2026-10-14T06:05:12"/>
    <d v="2026-10-14T00:00:00"/>
    <s v=""/>
    <s v="UNIDAD"/>
    <n v="6"/>
    <s v="PENDIENTE APROBACION  ENVIO TMS"/>
    <s v="000000008209673035"/>
    <x v="2"/>
    <x v="1"/>
    <m/>
    <n v="1"/>
    <m/>
  </r>
  <r>
    <n v="1209673011"/>
    <s v="228"/>
    <x v="102"/>
    <d v="2026-10-14T12:05:16"/>
    <d v="2026-10-14T06:05:13"/>
    <d v="2026-10-14T00:00:00"/>
    <s v=""/>
    <s v="CAJA"/>
    <n v="31"/>
    <s v="PENDIENTE APROBACION  ENVIO TMS"/>
    <s v="000000001209673011"/>
    <x v="1"/>
    <x v="1"/>
    <m/>
    <n v="1"/>
    <m/>
  </r>
  <r>
    <n v="1209672980"/>
    <s v="225"/>
    <x v="70"/>
    <d v="2026-10-14T12:05:17"/>
    <d v="2026-10-14T06:05:14"/>
    <d v="2026-10-14T00:00:00"/>
    <s v=""/>
    <s v="PACK"/>
    <n v="66"/>
    <s v="PENDIENTE APROBACION  ENVIO TMS"/>
    <s v="000000001209672980"/>
    <x v="1"/>
    <x v="3"/>
    <m/>
    <n v="1"/>
    <m/>
  </r>
  <r>
    <n v="8209672998"/>
    <s v="228"/>
    <x v="102"/>
    <d v="2026-10-14T12:05:18"/>
    <d v="2026-10-14T06:05:16"/>
    <d v="2026-10-14T00:00:00"/>
    <s v=""/>
    <s v="UNIDAD"/>
    <n v="2"/>
    <s v="PENDIENTE APROBACION  ENVIO TMS"/>
    <s v="000000008209672998"/>
    <x v="2"/>
    <x v="1"/>
    <m/>
    <n v="1"/>
    <m/>
  </r>
  <r>
    <n v="1209672972"/>
    <s v="225"/>
    <x v="70"/>
    <d v="2026-10-14T12:05:19"/>
    <d v="2026-10-14T06:05:17"/>
    <d v="2026-10-14T00:00:00"/>
    <s v=""/>
    <s v="CAJA"/>
    <n v="10"/>
    <s v="PENDIENTE APROBACION  ENVIO TMS"/>
    <s v="000000001209672972"/>
    <x v="1"/>
    <x v="3"/>
    <m/>
    <n v="1"/>
    <m/>
  </r>
  <r>
    <n v="8209673076"/>
    <s v="249"/>
    <x v="108"/>
    <d v="2026-10-14T12:05:21"/>
    <d v="2026-10-14T06:05:19"/>
    <d v="2026-10-14T00:00:00"/>
    <s v=""/>
    <s v="UNIDAD"/>
    <n v="2"/>
    <s v="PENDIENTE APROBACION  ENVIO TMS"/>
    <s v="000000008209673076"/>
    <x v="2"/>
    <x v="0"/>
    <m/>
    <n v="1"/>
    <m/>
  </r>
  <r>
    <n v="8209673003"/>
    <s v="228"/>
    <x v="102"/>
    <d v="2026-10-14T12:05:21"/>
    <d v="2026-10-14T06:05:18"/>
    <d v="2026-10-14T00:00:00"/>
    <s v=""/>
    <s v="UNIDAD"/>
    <n v="8"/>
    <s v="PENDIENTE APROBACION  ENVIO TMS"/>
    <s v="000000008209673003"/>
    <x v="2"/>
    <x v="1"/>
    <m/>
    <n v="1"/>
    <m/>
  </r>
  <r>
    <n v="1209673088"/>
    <s v="249"/>
    <x v="108"/>
    <d v="2026-10-14T12:05:23"/>
    <d v="2026-10-14T06:05:20"/>
    <d v="2026-10-14T00:00:00"/>
    <s v=""/>
    <s v="PACK"/>
    <n v="31"/>
    <s v="PENDIENTE APROBACION  ENVIO TMS"/>
    <s v="000000001209673088"/>
    <x v="1"/>
    <x v="0"/>
    <m/>
    <n v="1"/>
    <m/>
  </r>
  <r>
    <n v="1209673047"/>
    <s v="238"/>
    <x v="84"/>
    <d v="2026-10-14T12:05:24"/>
    <d v="2026-10-14T06:05:22"/>
    <d v="2026-10-14T00:00:00"/>
    <s v=""/>
    <s v="CAJA"/>
    <n v="24"/>
    <s v="PENDIENTE APROBACION  ENVIO TMS"/>
    <s v="000000001209673047"/>
    <x v="1"/>
    <x v="1"/>
    <m/>
    <n v="1"/>
    <m/>
  </r>
  <r>
    <n v="1209673119"/>
    <s v="258"/>
    <x v="131"/>
    <d v="2026-10-14T12:05:25"/>
    <d v="2026-10-14T06:05:23"/>
    <d v="2026-10-14T00:00:00"/>
    <s v=""/>
    <s v="CAJA"/>
    <n v="12"/>
    <s v="PENDIENTE APROBACION  ENVIO TMS"/>
    <s v="000000001209673119"/>
    <x v="1"/>
    <x v="0"/>
    <m/>
    <n v="1"/>
    <m/>
  </r>
  <r>
    <n v="1209673148"/>
    <s v="259"/>
    <x v="85"/>
    <d v="2026-10-14T12:05:27"/>
    <d v="2026-10-14T06:05:24"/>
    <d v="2026-10-14T00:00:00"/>
    <s v=""/>
    <s v="PACK"/>
    <n v="14"/>
    <s v="PENDIENTE APROBACION  ENVIO TMS"/>
    <s v="000000001209673148"/>
    <x v="1"/>
    <x v="1"/>
    <m/>
    <n v="1"/>
    <m/>
  </r>
  <r>
    <n v="1209673120"/>
    <s v="258"/>
    <x v="131"/>
    <d v="2026-10-14T12:05:28"/>
    <d v="2026-10-14T06:05:25"/>
    <d v="2026-10-14T00:00:00"/>
    <s v=""/>
    <s v="CAJA"/>
    <n v="23"/>
    <s v="PENDIENTE APROBACION  ENVIO TMS"/>
    <s v="000000001209673120"/>
    <x v="1"/>
    <x v="0"/>
    <m/>
    <n v="1"/>
    <m/>
  </r>
  <r>
    <n v="8209673037"/>
    <s v="238"/>
    <x v="84"/>
    <d v="2026-10-14T12:05:29"/>
    <d v="2026-10-14T06:05:26"/>
    <d v="2026-10-14T00:00:00"/>
    <s v=""/>
    <s v="UNIDAD"/>
    <n v="2"/>
    <s v="PENDIENTE APROBACION  ENVIO TMS"/>
    <s v="000000008209673037"/>
    <x v="2"/>
    <x v="1"/>
    <m/>
    <n v="1"/>
    <m/>
  </r>
  <r>
    <n v="8209673039"/>
    <s v="238"/>
    <x v="84"/>
    <d v="2026-10-14T12:05:30"/>
    <d v="2026-10-14T06:05:28"/>
    <d v="2026-10-14T00:00:00"/>
    <s v=""/>
    <s v="UNIDAD"/>
    <n v="6"/>
    <s v="PENDIENTE APROBACION  ENVIO TMS"/>
    <s v="000000008209673039"/>
    <x v="2"/>
    <x v="1"/>
    <m/>
    <n v="1"/>
    <m/>
  </r>
  <r>
    <n v="1209673012"/>
    <s v="228"/>
    <x v="102"/>
    <d v="2026-10-14T12:05:32"/>
    <d v="2026-10-14T06:05:29"/>
    <d v="2026-10-14T00:00:00"/>
    <s v=""/>
    <s v="CAJA"/>
    <n v="66"/>
    <s v="PENDIENTE APROBACION  ENVIO TMS"/>
    <s v="000000001209673012"/>
    <x v="1"/>
    <x v="1"/>
    <m/>
    <n v="1"/>
    <m/>
  </r>
  <r>
    <n v="1209672970"/>
    <s v="225"/>
    <x v="70"/>
    <d v="2026-10-14T12:05:34"/>
    <d v="2026-10-14T06:05:31"/>
    <d v="2026-10-14T00:00:00"/>
    <s v=""/>
    <s v="CAJA"/>
    <n v="4"/>
    <s v="PENDIENTE APROBACION  ENVIO TMS"/>
    <s v="000000001209672970"/>
    <x v="1"/>
    <x v="3"/>
    <m/>
    <n v="1"/>
    <m/>
  </r>
  <r>
    <n v="8209673001"/>
    <s v="228"/>
    <x v="102"/>
    <d v="2026-10-14T12:05:35"/>
    <d v="2026-10-14T06:05:32"/>
    <d v="2026-10-14T00:00:00"/>
    <s v=""/>
    <s v="UNIDAD"/>
    <n v="10"/>
    <s v="PENDIENTE APROBACION  ENVIO TMS"/>
    <s v="000000008209673001"/>
    <x v="2"/>
    <x v="1"/>
    <m/>
    <n v="1"/>
    <m/>
  </r>
  <r>
    <n v="8209673077"/>
    <s v="249"/>
    <x v="108"/>
    <d v="2026-10-14T12:05:36"/>
    <d v="2026-10-14T06:05:33"/>
    <d v="2026-10-14T00:00:00"/>
    <s v=""/>
    <s v="UNIDAD"/>
    <n v="7"/>
    <s v="PENDIENTE APROBACION  ENVIO TMS"/>
    <s v="000000008209673077"/>
    <x v="2"/>
    <x v="0"/>
    <m/>
    <n v="1"/>
    <m/>
  </r>
  <r>
    <n v="8209673081"/>
    <s v="249"/>
    <x v="108"/>
    <d v="2026-10-14T12:05:37"/>
    <d v="2026-10-14T06:05:35"/>
    <d v="2026-10-14T00:00:00"/>
    <s v=""/>
    <s v="UNIDAD"/>
    <n v="11"/>
    <s v="PENDIENTE APROBACION  ENVIO TMS"/>
    <s v="000000008209673081"/>
    <x v="2"/>
    <x v="0"/>
    <m/>
    <n v="1"/>
    <m/>
  </r>
  <r>
    <n v="1209673154"/>
    <s v="259"/>
    <x v="85"/>
    <d v="2026-10-14T12:05:39"/>
    <d v="2026-10-14T06:05:36"/>
    <d v="2026-10-14T00:00:00"/>
    <s v=""/>
    <s v="PACK"/>
    <n v="41"/>
    <s v="PENDIENTE APROBACION  ENVIO TMS"/>
    <s v="000000001209673154"/>
    <x v="1"/>
    <x v="1"/>
    <m/>
    <n v="1"/>
    <m/>
  </r>
  <r>
    <n v="1209673045"/>
    <s v="238"/>
    <x v="84"/>
    <d v="2026-10-14T12:05:39"/>
    <d v="2026-10-14T06:05:37"/>
    <d v="2026-10-14T00:00:00"/>
    <s v=""/>
    <s v="CAJA"/>
    <n v="8"/>
    <s v="PENDIENTE APROBACION  ENVIO TMS"/>
    <s v="000000001209673045"/>
    <x v="1"/>
    <x v="1"/>
    <m/>
    <n v="1"/>
    <m/>
  </r>
  <r>
    <n v="8209673112"/>
    <s v="258"/>
    <x v="131"/>
    <d v="2026-10-14T12:05:40"/>
    <d v="2026-10-14T06:05:38"/>
    <d v="2026-10-14T00:00:00"/>
    <s v=""/>
    <s v="UNIDAD"/>
    <n v="8"/>
    <s v="PENDIENTE APROBACION  ENVIO TMS"/>
    <s v="000000008209673112"/>
    <x v="2"/>
    <x v="0"/>
    <m/>
    <n v="1"/>
    <m/>
  </r>
  <r>
    <n v="8209673140"/>
    <s v="259"/>
    <x v="85"/>
    <d v="2026-10-14T12:05:42"/>
    <d v="2026-10-14T06:05:39"/>
    <d v="2026-10-14T00:00:00"/>
    <s v=""/>
    <s v="UNIDAD"/>
    <n v="1"/>
    <s v="PENDIENTE APROBACION  ENVIO TMS"/>
    <s v="000000008209673140"/>
    <x v="2"/>
    <x v="1"/>
    <m/>
    <n v="1"/>
    <m/>
  </r>
  <r>
    <n v="1209673113"/>
    <s v="258"/>
    <x v="131"/>
    <d v="2026-10-14T12:05:43"/>
    <d v="2026-10-14T06:05:41"/>
    <d v="2026-10-14T00:00:00"/>
    <s v=""/>
    <s v="UNIDAD"/>
    <n v="3"/>
    <s v="PENDIENTE APROBACION  ENVIO TMS"/>
    <s v="000000001209673113"/>
    <x v="1"/>
    <x v="0"/>
    <m/>
    <n v="1"/>
    <m/>
  </r>
  <r>
    <n v="1209673142"/>
    <s v="259"/>
    <x v="85"/>
    <d v="2026-10-14T12:05:45"/>
    <d v="2026-10-14T06:05:42"/>
    <d v="2026-10-14T00:00:00"/>
    <s v=""/>
    <s v="PACK"/>
    <n v="2"/>
    <s v="PENDIENTE APROBACION  ENVIO TMS"/>
    <s v="000000001209673142"/>
    <x v="1"/>
    <x v="1"/>
    <m/>
    <n v="1"/>
    <m/>
  </r>
  <r>
    <n v="1209673008"/>
    <s v="228"/>
    <x v="102"/>
    <d v="2026-10-14T12:05:45"/>
    <d v="2026-10-14T06:05:43"/>
    <d v="2026-10-14T00:00:00"/>
    <s v=""/>
    <s v="CAJA"/>
    <n v="12"/>
    <s v="PENDIENTE APROBACION  ENVIO TMS"/>
    <s v="000000001209673008"/>
    <x v="1"/>
    <x v="1"/>
    <m/>
    <n v="1"/>
    <m/>
  </r>
  <r>
    <n v="1209673009"/>
    <s v="228"/>
    <x v="102"/>
    <d v="2026-10-14T12:05:47"/>
    <d v="2026-10-14T06:05:44"/>
    <d v="2026-10-14T00:00:00"/>
    <s v=""/>
    <s v="CAJA"/>
    <n v="10"/>
    <s v="PENDIENTE APROBACION  ENVIO TMS"/>
    <s v="000000001209673009"/>
    <x v="1"/>
    <x v="1"/>
    <m/>
    <n v="1"/>
    <m/>
  </r>
  <r>
    <n v="1209672977"/>
    <s v="225"/>
    <x v="70"/>
    <d v="2026-10-14T12:05:48"/>
    <d v="2026-10-14T06:05:46"/>
    <d v="2026-10-14T00:00:00"/>
    <s v=""/>
    <s v="PACK"/>
    <n v="38"/>
    <s v="PENDIENTE APROBACION  ENVIO TMS"/>
    <s v="000000001209672977"/>
    <x v="1"/>
    <x v="3"/>
    <m/>
    <n v="1"/>
    <m/>
  </r>
  <r>
    <n v="1209673010"/>
    <s v="228"/>
    <x v="102"/>
    <d v="2026-10-14T12:05:50"/>
    <d v="2026-10-14T06:05:47"/>
    <d v="2026-10-14T00:00:00"/>
    <s v=""/>
    <s v="CAJA"/>
    <n v="23"/>
    <s v="PENDIENTE APROBACION  ENVIO TMS"/>
    <s v="000000001209673010"/>
    <x v="1"/>
    <x v="1"/>
    <m/>
    <n v="1"/>
    <m/>
  </r>
  <r>
    <n v="8209672967"/>
    <s v="225"/>
    <x v="70"/>
    <d v="2026-10-14T12:05:51"/>
    <d v="2026-10-14T06:05:48"/>
    <d v="2026-10-14T00:00:00"/>
    <s v=""/>
    <s v="UNIDAD"/>
    <n v="2"/>
    <s v="PENDIENTE APROBACION  ENVIO TMS"/>
    <s v="000000008209672967"/>
    <x v="2"/>
    <x v="3"/>
    <m/>
    <n v="1"/>
    <m/>
  </r>
  <r>
    <n v="8209673000"/>
    <s v="228"/>
    <x v="102"/>
    <d v="2026-10-14T12:05:52"/>
    <d v="2026-10-14T06:05:49"/>
    <d v="2026-10-14T00:00:00"/>
    <s v=""/>
    <s v="UNIDAD"/>
    <n v="18"/>
    <s v="PENDIENTE APROBACION  ENVIO TMS"/>
    <s v="000000008209673000"/>
    <x v="2"/>
    <x v="1"/>
    <m/>
    <n v="1"/>
    <m/>
  </r>
  <r>
    <n v="1209673005"/>
    <s v="228"/>
    <x v="102"/>
    <d v="2026-10-14T12:05:53"/>
    <d v="2026-10-14T06:05:51"/>
    <d v="2026-10-14T00:00:00"/>
    <s v=""/>
    <s v="CAJA"/>
    <n v="11"/>
    <s v="PENDIENTE APROBACION  ENVIO TMS"/>
    <s v="000000001209673005"/>
    <x v="1"/>
    <x v="1"/>
    <m/>
    <n v="1"/>
    <m/>
  </r>
  <r>
    <n v="1209673103"/>
    <s v="249"/>
    <x v="108"/>
    <d v="2026-10-14T12:05:54"/>
    <d v="2026-10-14T06:05:52"/>
    <d v="2026-10-14T00:00:00"/>
    <s v=""/>
    <s v="CAJA"/>
    <n v="35"/>
    <s v="PENDIENTE APROBACION  ENVIO TMS"/>
    <s v="000000001209673103"/>
    <x v="1"/>
    <x v="0"/>
    <m/>
    <n v="1"/>
    <m/>
  </r>
  <r>
    <n v="1209673122"/>
    <s v="258"/>
    <x v="131"/>
    <d v="2026-10-14T12:05:56"/>
    <d v="2026-10-14T06:05:53"/>
    <d v="2026-10-14T00:00:00"/>
    <s v=""/>
    <s v="CAJA"/>
    <n v="1"/>
    <s v="PENDIENTE APROBACION  ENVIO TMS"/>
    <s v="000000001209673122"/>
    <x v="1"/>
    <x v="0"/>
    <m/>
    <n v="1"/>
    <m/>
  </r>
  <r>
    <n v="1209673044"/>
    <s v="238"/>
    <x v="84"/>
    <d v="2026-10-14T12:05:57"/>
    <d v="2026-10-14T06:05:54"/>
    <d v="2026-10-14T00:00:00"/>
    <s v=""/>
    <s v="PACK"/>
    <n v="6"/>
    <s v="PENDIENTE APROBACION  ENVIO TMS"/>
    <s v="000000001209673044"/>
    <x v="1"/>
    <x v="1"/>
    <m/>
    <n v="1"/>
    <m/>
  </r>
  <r>
    <n v="1209673046"/>
    <s v="238"/>
    <x v="84"/>
    <d v="2026-10-14T12:05:58"/>
    <d v="2026-10-14T06:05:56"/>
    <d v="2026-10-14T00:00:00"/>
    <s v=""/>
    <s v="CAJA"/>
    <n v="28"/>
    <s v="PENDIENTE APROBACION  ENVIO TMS"/>
    <s v="000000001209673046"/>
    <x v="1"/>
    <x v="1"/>
    <m/>
    <n v="1"/>
    <m/>
  </r>
  <r>
    <n v="1209673117"/>
    <s v="258"/>
    <x v="131"/>
    <d v="2026-10-14T12:05:59"/>
    <d v="2026-10-14T06:05:57"/>
    <d v="2026-10-14T00:00:00"/>
    <s v=""/>
    <s v="CAJA"/>
    <n v="13"/>
    <s v="PENDIENTE APROBACION  ENVIO TMS"/>
    <s v="000000001209673117"/>
    <x v="1"/>
    <x v="0"/>
    <m/>
    <n v="1"/>
    <m/>
  </r>
  <r>
    <n v="1209673147"/>
    <s v="259"/>
    <x v="85"/>
    <d v="2026-10-14T12:06:01"/>
    <d v="2026-10-14T06:05:58"/>
    <d v="2026-10-14T00:00:00"/>
    <s v=""/>
    <s v="CAJA"/>
    <n v="9"/>
    <s v="PENDIENTE APROBACION  ENVIO TMS"/>
    <s v="000000001209673147"/>
    <x v="1"/>
    <x v="1"/>
    <m/>
    <n v="1"/>
    <m/>
  </r>
  <r>
    <n v="1209673007"/>
    <s v="228"/>
    <x v="102"/>
    <d v="2026-10-14T12:06:02"/>
    <d v="2026-10-14T06:05:59"/>
    <d v="2026-10-14T00:00:00"/>
    <s v=""/>
    <s v="CAJA"/>
    <n v="14"/>
    <s v="PENDIENTE APROBACION  ENVIO TMS"/>
    <s v="000000001209673007"/>
    <x v="1"/>
    <x v="1"/>
    <m/>
    <n v="1"/>
    <m/>
  </r>
  <r>
    <n v="8209673036"/>
    <s v="238"/>
    <x v="84"/>
    <d v="2026-10-14T12:06:03"/>
    <d v="2026-10-14T06:06:01"/>
    <d v="2026-10-14T00:00:00"/>
    <s v=""/>
    <s v="UNIDAD"/>
    <n v="1"/>
    <s v="PENDIENTE APROBACION  ENVIO TMS"/>
    <s v="000000008209673036"/>
    <x v="2"/>
    <x v="1"/>
    <m/>
    <n v="1"/>
    <m/>
  </r>
  <r>
    <n v="8209673040"/>
    <s v="238"/>
    <x v="84"/>
    <d v="2026-10-14T12:06:04"/>
    <d v="2026-10-14T06:06:02"/>
    <d v="2026-10-14T00:00:00"/>
    <s v=""/>
    <s v="UNIDAD"/>
    <n v="14"/>
    <s v="PENDIENTE APROBACION  ENVIO TMS"/>
    <s v="000000008209673040"/>
    <x v="2"/>
    <x v="1"/>
    <m/>
    <n v="1"/>
    <m/>
  </r>
  <r>
    <n v="8209672997"/>
    <s v="228"/>
    <x v="102"/>
    <d v="2026-10-14T12:06:06"/>
    <d v="2026-10-14T06:06:03"/>
    <d v="2026-10-14T00:00:00"/>
    <s v=""/>
    <s v="UNIDAD"/>
    <n v="3"/>
    <s v="PENDIENTE APROBACION  ENVIO TMS"/>
    <s v="000000008209672997"/>
    <x v="2"/>
    <x v="1"/>
    <m/>
    <n v="1"/>
    <m/>
  </r>
  <r>
    <n v="1209673121"/>
    <s v="258"/>
    <x v="131"/>
    <d v="2026-10-14T12:06:07"/>
    <d v="2026-10-14T06:06:05"/>
    <d v="2026-10-14T00:00:00"/>
    <s v=""/>
    <s v="PACK"/>
    <n v="27"/>
    <s v="PENDIENTE APROBACION  ENVIO TMS"/>
    <s v="000000001209673121"/>
    <x v="1"/>
    <x v="0"/>
    <m/>
    <n v="1"/>
    <m/>
  </r>
  <r>
    <n v="1209673004"/>
    <s v="228"/>
    <x v="102"/>
    <d v="2026-10-14T12:06:07"/>
    <d v="2026-10-14T06:06:04"/>
    <d v="2026-10-14T00:00:00"/>
    <s v=""/>
    <s v="CAJA"/>
    <n v="1"/>
    <s v="PENDIENTE APROBACION  ENVIO TMS"/>
    <s v="000000001209673004"/>
    <x v="1"/>
    <x v="1"/>
    <m/>
    <n v="1"/>
    <m/>
  </r>
  <r>
    <n v="1209673084"/>
    <s v="249"/>
    <x v="108"/>
    <d v="2026-10-14T12:06:09"/>
    <d v="2026-10-14T06:06:07"/>
    <d v="2026-10-14T00:00:00"/>
    <s v=""/>
    <s v="CAJA"/>
    <n v="3"/>
    <s v="PENDIENTE APROBACION  ENVIO TMS"/>
    <s v="000000001209673084"/>
    <x v="1"/>
    <x v="0"/>
    <m/>
    <n v="1"/>
    <m/>
  </r>
  <r>
    <n v="1209673086"/>
    <s v="249"/>
    <x v="108"/>
    <d v="2026-10-14T12:06:10"/>
    <d v="2026-10-14T06:06:08"/>
    <d v="2026-10-14T00:00:00"/>
    <s v=""/>
    <s v="CAJA"/>
    <n v="11"/>
    <s v="PENDIENTE APROBACION  ENVIO TMS"/>
    <s v="000000001209673086"/>
    <x v="1"/>
    <x v="0"/>
    <m/>
    <n v="1"/>
    <m/>
  </r>
  <r>
    <n v="8209673109"/>
    <s v="258"/>
    <x v="131"/>
    <d v="2026-10-14T12:06:12"/>
    <d v="2026-10-14T06:06:09"/>
    <d v="2026-10-14T00:00:00"/>
    <s v=""/>
    <s v="UNIDAD"/>
    <n v="10"/>
    <s v="PENDIENTE APROBACION  ENVIO TMS"/>
    <s v="000000008209673109"/>
    <x v="2"/>
    <x v="0"/>
    <m/>
    <n v="1"/>
    <m/>
  </r>
  <r>
    <n v="1209673094"/>
    <s v="249"/>
    <x v="108"/>
    <d v="2026-10-14T12:06:13"/>
    <d v="2026-10-14T06:06:10"/>
    <d v="2026-10-14T00:00:00"/>
    <s v=""/>
    <s v="PACK"/>
    <n v="28"/>
    <s v="PENDIENTE APROBACION  ENVIO TMS"/>
    <s v="000000001209673094"/>
    <x v="1"/>
    <x v="0"/>
    <m/>
    <n v="1"/>
    <m/>
  </r>
  <r>
    <n v="1209673144"/>
    <s v="259"/>
    <x v="85"/>
    <d v="2026-10-14T12:06:14"/>
    <d v="2026-10-14T06:06:12"/>
    <d v="2026-10-14T00:00:00"/>
    <s v=""/>
    <s v="CAJA"/>
    <n v="8"/>
    <s v="PENDIENTE APROBACION  ENVIO TMS"/>
    <s v="000000001209673144"/>
    <x v="1"/>
    <x v="1"/>
    <m/>
    <n v="1"/>
    <m/>
  </r>
  <r>
    <n v="1209673116"/>
    <s v="258"/>
    <x v="131"/>
    <d v="2026-10-14T12:06:15"/>
    <d v="2026-10-14T06:06:13"/>
    <d v="2026-10-14T00:00:00"/>
    <s v=""/>
    <s v="CAJA"/>
    <n v="5"/>
    <s v="PENDIENTE APROBACION  ENVIO TMS"/>
    <s v="000000001209673116"/>
    <x v="1"/>
    <x v="0"/>
    <m/>
    <n v="1"/>
    <m/>
  </r>
  <r>
    <n v="1209673118"/>
    <s v="258"/>
    <x v="131"/>
    <d v="2026-10-14T12:06:16"/>
    <d v="2026-10-14T06:06:14"/>
    <d v="2026-10-14T00:00:00"/>
    <s v=""/>
    <s v="CAJA"/>
    <n v="7"/>
    <s v="PENDIENTE APROBACION  ENVIO TMS"/>
    <s v="000000001209673118"/>
    <x v="1"/>
    <x v="0"/>
    <m/>
    <n v="1"/>
    <m/>
  </r>
  <r>
    <n v="1209673247"/>
    <s v="263"/>
    <x v="8"/>
    <d v="2026-10-14T12:09:12"/>
    <d v="2026-10-14T06:09:09"/>
    <d v="2026-10-14T00:00:00"/>
    <s v=""/>
    <s v="CAJA"/>
    <n v="11"/>
    <s v="PENDIENTE APROBACION  ENVIO TMS"/>
    <s v="000000001209673247"/>
    <x v="1"/>
    <x v="0"/>
    <m/>
    <n v="1"/>
    <m/>
  </r>
  <r>
    <n v="1209673265"/>
    <s v="264"/>
    <x v="11"/>
    <d v="2026-10-14T12:09:13"/>
    <d v="2026-10-14T06:09:10"/>
    <d v="2026-10-14T00:00:00"/>
    <s v=""/>
    <s v="CAJA"/>
    <n v="15"/>
    <s v="PENDIENTE APROBACION  ENVIO TMS"/>
    <s v="000000001209673265"/>
    <x v="1"/>
    <x v="1"/>
    <m/>
    <n v="1"/>
    <m/>
  </r>
  <r>
    <n v="1209673219"/>
    <s v="262"/>
    <x v="107"/>
    <d v="2026-10-14T12:09:14"/>
    <d v="2026-10-14T06:09:12"/>
    <d v="2026-10-14T00:00:00"/>
    <s v=""/>
    <s v="CAJA"/>
    <n v="12"/>
    <s v="PENDIENTE APROBACION  ENVIO TMS"/>
    <s v="000000001209673219"/>
    <x v="1"/>
    <x v="4"/>
    <m/>
    <n v="1"/>
    <m/>
  </r>
  <r>
    <n v="1209673171"/>
    <s v="260"/>
    <x v="128"/>
    <d v="2026-10-14T12:09:16"/>
    <d v="2026-10-14T06:09:14"/>
    <d v="2026-10-14T00:00:00"/>
    <s v=""/>
    <s v="CAJA"/>
    <n v="7"/>
    <s v="PENDIENTE APROBACION  ENVIO TMS"/>
    <s v="000000001209673171"/>
    <x v="1"/>
    <x v="3"/>
    <m/>
    <n v="1"/>
    <m/>
  </r>
  <r>
    <n v="8209673169"/>
    <s v="260"/>
    <x v="128"/>
    <d v="2026-10-14T12:09:16"/>
    <d v="2026-10-14T06:09:13"/>
    <d v="2026-10-14T00:00:00"/>
    <s v=""/>
    <s v="UNIDAD"/>
    <n v="4"/>
    <s v="PENDIENTE APROBACION  ENVIO TMS"/>
    <s v="000000008209673169"/>
    <x v="2"/>
    <x v="3"/>
    <m/>
    <n v="1"/>
    <m/>
  </r>
  <r>
    <n v="1209673284"/>
    <s v="266"/>
    <x v="109"/>
    <d v="2026-10-14T12:09:18"/>
    <d v="2026-10-14T06:09:16"/>
    <d v="2026-10-14T00:00:00"/>
    <s v=""/>
    <s v="CAJA"/>
    <n v="2"/>
    <s v="PENDIENTE APROBACION  ENVIO TMS"/>
    <s v="000000001209673284"/>
    <x v="1"/>
    <x v="0"/>
    <m/>
    <n v="1"/>
    <m/>
  </r>
  <r>
    <n v="1209673195"/>
    <s v="261"/>
    <x v="132"/>
    <d v="2026-10-14T12:09:19"/>
    <d v="2026-10-14T06:09:17"/>
    <d v="2026-10-14T00:00:00"/>
    <s v=""/>
    <s v="CAJA"/>
    <n v="35"/>
    <s v="PENDIENTE APROBACION  ENVIO TMS"/>
    <s v="000000001209673195"/>
    <x v="1"/>
    <x v="0"/>
    <m/>
    <n v="1"/>
    <m/>
  </r>
  <r>
    <n v="8209673208"/>
    <s v="262"/>
    <x v="107"/>
    <d v="2026-10-14T12:09:21"/>
    <d v="2026-10-14T06:09:18"/>
    <d v="2026-10-14T00:00:00"/>
    <s v=""/>
    <s v="UNIDAD"/>
    <n v="1"/>
    <s v="PENDIENTE APROBACION  ENVIO TMS"/>
    <s v="000000008209673208"/>
    <x v="2"/>
    <x v="4"/>
    <m/>
    <n v="1"/>
    <m/>
  </r>
  <r>
    <n v="8209673211"/>
    <s v="262"/>
    <x v="107"/>
    <d v="2026-10-14T12:09:22"/>
    <d v="2026-10-14T06:09:19"/>
    <d v="2026-10-14T00:00:00"/>
    <s v=""/>
    <s v="UNIDAD"/>
    <n v="1"/>
    <s v="PENDIENTE APROBACION  ENVIO TMS"/>
    <s v="000000008209673211"/>
    <x v="2"/>
    <x v="4"/>
    <m/>
    <n v="1"/>
    <m/>
  </r>
  <r>
    <n v="1209673179"/>
    <s v="260"/>
    <x v="128"/>
    <d v="2026-10-14T12:09:23"/>
    <d v="2026-10-14T06:09:21"/>
    <d v="2026-10-14T00:00:00"/>
    <s v=""/>
    <s v="PACK"/>
    <n v="26"/>
    <s v="PENDIENTE APROBACION  ENVIO TMS"/>
    <s v="000000001209673179"/>
    <x v="1"/>
    <x v="3"/>
    <m/>
    <n v="1"/>
    <m/>
  </r>
  <r>
    <n v="8209673239"/>
    <s v="263"/>
    <x v="8"/>
    <d v="2026-10-14T12:09:24"/>
    <d v="2026-10-14T06:09:22"/>
    <d v="2026-10-14T00:00:00"/>
    <s v=""/>
    <s v="UNIDAD"/>
    <n v="3"/>
    <s v="PENDIENTE APROBACION  ENVIO TMS"/>
    <s v="000000008209673239"/>
    <x v="2"/>
    <x v="0"/>
    <m/>
    <n v="1"/>
    <m/>
  </r>
  <r>
    <n v="8209673242"/>
    <s v="263"/>
    <x v="8"/>
    <d v="2026-10-14T12:09:26"/>
    <d v="2026-10-14T06:09:23"/>
    <d v="2026-10-14T00:00:00"/>
    <s v=""/>
    <s v="UNIDAD"/>
    <n v="8"/>
    <s v="PENDIENTE APROBACION  ENVIO TMS"/>
    <s v="000000008209673242"/>
    <x v="2"/>
    <x v="0"/>
    <m/>
    <n v="1"/>
    <m/>
  </r>
  <r>
    <n v="1209673289"/>
    <s v="266"/>
    <x v="109"/>
    <d v="2026-10-14T12:09:27"/>
    <d v="2026-10-14T06:09:24"/>
    <d v="2026-10-14T00:00:00"/>
    <s v=""/>
    <s v="CAJA"/>
    <n v="19"/>
    <s v="PENDIENTE APROBACION  ENVIO TMS"/>
    <s v="000000001209673289"/>
    <x v="1"/>
    <x v="0"/>
    <m/>
    <n v="1"/>
    <m/>
  </r>
  <r>
    <n v="1209673245"/>
    <s v="263"/>
    <x v="8"/>
    <d v="2026-10-14T12:09:28"/>
    <d v="2026-10-14T06:09:26"/>
    <d v="2026-10-14T00:00:00"/>
    <s v=""/>
    <s v="PACK"/>
    <n v="4"/>
    <s v="PENDIENTE APROBACION  ENVIO TMS"/>
    <s v="000000001209673245"/>
    <x v="1"/>
    <x v="0"/>
    <m/>
    <n v="1"/>
    <m/>
  </r>
  <r>
    <n v="8209673257"/>
    <s v="264"/>
    <x v="11"/>
    <d v="2026-10-14T12:09:29"/>
    <d v="2026-10-14T06:09:27"/>
    <d v="2026-10-14T00:00:00"/>
    <s v=""/>
    <s v="UNIDAD"/>
    <n v="1"/>
    <s v="PENDIENTE APROBACION  ENVIO TMS"/>
    <s v="000000008209673257"/>
    <x v="2"/>
    <x v="1"/>
    <m/>
    <n v="1"/>
    <m/>
  </r>
  <r>
    <n v="1209673248"/>
    <s v="263"/>
    <x v="8"/>
    <d v="2026-10-14T12:09:30"/>
    <d v="2026-10-14T06:09:28"/>
    <d v="2026-10-14T00:00:00"/>
    <s v=""/>
    <s v="PACK"/>
    <n v="32"/>
    <s v="PENDIENTE APROBACION  ENVIO TMS"/>
    <s v="000000001209673248"/>
    <x v="1"/>
    <x v="0"/>
    <m/>
    <n v="1"/>
    <m/>
  </r>
  <r>
    <n v="8209673183"/>
    <s v="261"/>
    <x v="132"/>
    <d v="2026-10-14T12:09:32"/>
    <d v="2026-10-14T06:09:29"/>
    <d v="2026-10-14T00:00:00"/>
    <s v=""/>
    <s v="UNIDAD"/>
    <n v="2"/>
    <s v="PENDIENTE APROBACION  ENVIO TMS"/>
    <s v="000000008209673183"/>
    <x v="2"/>
    <x v="0"/>
    <m/>
    <n v="1"/>
    <m/>
  </r>
  <r>
    <n v="1209673216"/>
    <s v="262"/>
    <x v="107"/>
    <d v="2026-10-14T12:09:33"/>
    <d v="2026-10-14T06:09:30"/>
    <d v="2026-10-14T00:00:00"/>
    <s v=""/>
    <s v="CAJA"/>
    <n v="5"/>
    <s v="PENDIENTE APROBACION  ENVIO TMS"/>
    <s v="000000001209673216"/>
    <x v="1"/>
    <x v="4"/>
    <m/>
    <n v="1"/>
    <m/>
  </r>
  <r>
    <n v="1209673217"/>
    <s v="262"/>
    <x v="107"/>
    <d v="2026-10-14T12:09:34"/>
    <d v="2026-10-14T06:09:32"/>
    <d v="2026-10-14T00:00:00"/>
    <s v=""/>
    <s v="CAJA"/>
    <n v="11"/>
    <s v="PENDIENTE APROBACION  ENVIO TMS"/>
    <s v="000000001209673217"/>
    <x v="1"/>
    <x v="4"/>
    <m/>
    <n v="1"/>
    <m/>
  </r>
  <r>
    <n v="8209673187"/>
    <s v="261"/>
    <x v="132"/>
    <d v="2026-10-14T12:09:35"/>
    <d v="2026-10-14T06:09:33"/>
    <d v="2026-10-14T00:00:00"/>
    <s v=""/>
    <s v="UNIDAD"/>
    <n v="14"/>
    <s v="PENDIENTE APROBACION  ENVIO TMS"/>
    <s v="000000008209673187"/>
    <x v="2"/>
    <x v="0"/>
    <m/>
    <n v="1"/>
    <m/>
  </r>
  <r>
    <n v="8209673188"/>
    <s v="261"/>
    <x v="132"/>
    <d v="2026-10-14T12:09:37"/>
    <d v="2026-10-14T06:09:34"/>
    <d v="2026-10-14T00:00:00"/>
    <s v=""/>
    <s v="UNIDAD"/>
    <n v="20"/>
    <s v="PENDIENTE APROBACION  ENVIO TMS"/>
    <s v="000000008209673188"/>
    <x v="2"/>
    <x v="0"/>
    <m/>
    <n v="1"/>
    <m/>
  </r>
  <r>
    <n v="8209673190"/>
    <s v="261"/>
    <x v="132"/>
    <d v="2026-10-14T12:09:38"/>
    <d v="2026-10-14T06:09:35"/>
    <d v="2026-10-14T00:00:00"/>
    <s v=""/>
    <s v="UNIDAD"/>
    <n v="23"/>
    <s v="PENDIENTE APROBACION  ENVIO TMS"/>
    <s v="000000008209673190"/>
    <x v="2"/>
    <x v="0"/>
    <m/>
    <n v="1"/>
    <m/>
  </r>
  <r>
    <n v="1209673176"/>
    <s v="260"/>
    <x v="128"/>
    <d v="2026-10-14T12:09:39"/>
    <d v="2026-10-14T06:09:37"/>
    <d v="2026-10-14T00:00:00"/>
    <s v=""/>
    <s v="CAJA"/>
    <n v="12"/>
    <s v="PENDIENTE APROBACION  ENVIO TMS"/>
    <s v="000000001209673176"/>
    <x v="1"/>
    <x v="3"/>
    <m/>
    <n v="1"/>
    <m/>
  </r>
  <r>
    <n v="1209673254"/>
    <s v="263"/>
    <x v="8"/>
    <d v="2026-10-14T12:09:40"/>
    <d v="2026-10-14T06:09:38"/>
    <d v="2026-10-14T00:00:00"/>
    <s v=""/>
    <s v="PACK"/>
    <n v="35"/>
    <s v="PENDIENTE APROBACION  ENVIO TMS"/>
    <s v="000000001209673254"/>
    <x v="1"/>
    <x v="0"/>
    <m/>
    <n v="1"/>
    <m/>
  </r>
  <r>
    <n v="1209673246"/>
    <s v="263"/>
    <x v="8"/>
    <d v="2026-10-14T12:09:41"/>
    <d v="2026-10-14T06:09:39"/>
    <d v="2026-10-14T00:00:00"/>
    <s v=""/>
    <s v="CAJA"/>
    <n v="5"/>
    <s v="PENDIENTE APROBACION  ENVIO TMS"/>
    <s v="000000001209673246"/>
    <x v="1"/>
    <x v="0"/>
    <m/>
    <n v="1"/>
    <m/>
  </r>
  <r>
    <n v="8209673255"/>
    <s v="264"/>
    <x v="11"/>
    <d v="2026-10-14T12:09:43"/>
    <d v="2026-10-14T06:09:40"/>
    <d v="2026-10-14T00:00:00"/>
    <s v=""/>
    <s v="UNIDAD"/>
    <n v="1"/>
    <s v="PENDIENTE APROBACION  ENVIO TMS"/>
    <s v="000000008209673255"/>
    <x v="2"/>
    <x v="1"/>
    <m/>
    <n v="1"/>
    <m/>
  </r>
  <r>
    <n v="8209673260"/>
    <s v="264"/>
    <x v="11"/>
    <d v="2026-10-14T12:09:44"/>
    <d v="2026-10-14T06:09:42"/>
    <d v="2026-10-14T00:00:00"/>
    <s v=""/>
    <s v="UNIDAD"/>
    <n v="9"/>
    <s v="PENDIENTE APROBACION  ENVIO TMS"/>
    <s v="000000008209673260"/>
    <x v="2"/>
    <x v="1"/>
    <m/>
    <n v="1"/>
    <m/>
  </r>
  <r>
    <n v="1209673249"/>
    <s v="263"/>
    <x v="8"/>
    <d v="2026-10-14T12:09:45"/>
    <d v="2026-10-14T06:09:43"/>
    <d v="2026-10-14T00:00:00"/>
    <s v=""/>
    <s v="CAJA"/>
    <n v="30"/>
    <s v="PENDIENTE APROBACION  ENVIO TMS"/>
    <s v="000000001209673249"/>
    <x v="1"/>
    <x v="0"/>
    <m/>
    <n v="1"/>
    <m/>
  </r>
  <r>
    <n v="1209673266"/>
    <s v="264"/>
    <x v="11"/>
    <d v="2026-10-14T12:09:46"/>
    <d v="2026-10-14T06:09:44"/>
    <d v="2026-10-14T00:00:00"/>
    <s v=""/>
    <s v="PACK"/>
    <n v="12"/>
    <s v="PENDIENTE APROBACION  ENVIO TMS"/>
    <s v="000000001209673266"/>
    <x v="1"/>
    <x v="1"/>
    <m/>
    <n v="1"/>
    <m/>
  </r>
  <r>
    <n v="1209673293"/>
    <s v="266"/>
    <x v="109"/>
    <d v="2026-10-14T12:09:48"/>
    <d v="2026-10-14T06:09:45"/>
    <d v="2026-10-14T00:00:00"/>
    <s v=""/>
    <s v="CAJA"/>
    <n v="1"/>
    <s v="PENDIENTE APROBACION  ENVIO TMS"/>
    <s v="000000001209673293"/>
    <x v="1"/>
    <x v="0"/>
    <m/>
    <n v="1"/>
    <m/>
  </r>
  <r>
    <n v="8209673185"/>
    <s v="261"/>
    <x v="132"/>
    <d v="2026-10-14T12:09:49"/>
    <d v="2026-10-14T06:09:47"/>
    <d v="2026-10-14T00:00:00"/>
    <s v=""/>
    <s v="UNIDAD"/>
    <n v="11"/>
    <s v="PENDIENTE APROBACION  ENVIO TMS"/>
    <s v="000000008209673185"/>
    <x v="2"/>
    <x v="0"/>
    <m/>
    <n v="1"/>
    <m/>
  </r>
  <r>
    <n v="1209673250"/>
    <s v="263"/>
    <x v="8"/>
    <d v="2026-10-14T12:09:51"/>
    <d v="2026-10-14T06:09:48"/>
    <d v="2026-10-14T00:00:00"/>
    <s v=""/>
    <s v="CAJA"/>
    <n v="20"/>
    <s v="PENDIENTE APROBACION  ENVIO TMS"/>
    <s v="000000001209673250"/>
    <x v="1"/>
    <x v="0"/>
    <m/>
    <n v="1"/>
    <m/>
  </r>
  <r>
    <n v="1209673251"/>
    <s v="263"/>
    <x v="8"/>
    <d v="2026-10-14T12:09:51"/>
    <d v="2026-10-14T06:09:49"/>
    <d v="2026-10-14T00:00:00"/>
    <s v=""/>
    <s v="CAJA"/>
    <n v="1"/>
    <s v="PENDIENTE APROBACION  ENVIO TMS"/>
    <s v="000000001209673251"/>
    <x v="1"/>
    <x v="0"/>
    <m/>
    <n v="1"/>
    <m/>
  </r>
  <r>
    <n v="1209673204"/>
    <s v="261"/>
    <x v="132"/>
    <d v="2026-10-14T12:09:53"/>
    <d v="2026-10-14T06:09:50"/>
    <d v="2026-10-14T00:00:00"/>
    <s v=""/>
    <s v="PACK"/>
    <n v="22"/>
    <s v="PENDIENTE APROBACION  ENVIO TMS"/>
    <s v="000000001209673204"/>
    <x v="1"/>
    <x v="0"/>
    <m/>
    <n v="1"/>
    <m/>
  </r>
  <r>
    <n v="8209673282"/>
    <s v="266"/>
    <x v="109"/>
    <d v="2026-10-14T12:09:54"/>
    <d v="2026-10-14T06:09:52"/>
    <d v="2026-10-14T00:00:00"/>
    <s v=""/>
    <s v="UNIDAD"/>
    <n v="11"/>
    <s v="PENDIENTE APROBACION  ENVIO TMS"/>
    <s v="000000008209673282"/>
    <x v="2"/>
    <x v="0"/>
    <m/>
    <n v="1"/>
    <m/>
  </r>
  <r>
    <n v="1209673286"/>
    <s v="266"/>
    <x v="109"/>
    <d v="2026-10-14T12:09:56"/>
    <d v="2026-10-14T06:09:53"/>
    <d v="2026-10-14T00:00:00"/>
    <s v=""/>
    <s v="CAJA"/>
    <n v="9"/>
    <s v="PENDIENTE APROBACION  ENVIO TMS"/>
    <s v="000000001209673286"/>
    <x v="1"/>
    <x v="0"/>
    <m/>
    <n v="1"/>
    <m/>
  </r>
  <r>
    <n v="8209673209"/>
    <s v="262"/>
    <x v="107"/>
    <d v="2026-10-14T12:09:57"/>
    <d v="2026-10-14T06:09:55"/>
    <d v="2026-10-14T00:00:00"/>
    <s v=""/>
    <s v="UNIDAD"/>
    <n v="2"/>
    <s v="PENDIENTE APROBACION  ENVIO TMS"/>
    <s v="000000008209673209"/>
    <x v="2"/>
    <x v="4"/>
    <m/>
    <n v="1"/>
    <m/>
  </r>
  <r>
    <n v="1209673177"/>
    <s v="260"/>
    <x v="128"/>
    <d v="2026-10-14T12:09:57"/>
    <d v="2026-10-14T06:09:54"/>
    <d v="2026-10-14T00:00:00"/>
    <s v=""/>
    <s v="PACK"/>
    <n v="12"/>
    <s v="PENDIENTE APROBACION  ENVIO TMS"/>
    <s v="000000001209673177"/>
    <x v="1"/>
    <x v="3"/>
    <m/>
    <n v="1"/>
    <m/>
  </r>
  <r>
    <n v="1209673212"/>
    <s v="262"/>
    <x v="107"/>
    <d v="2026-10-14T12:09:59"/>
    <d v="2026-10-14T06:09:57"/>
    <d v="2026-10-14T00:00:00"/>
    <s v=""/>
    <s v="CAJA"/>
    <n v="3"/>
    <s v="PENDIENTE APROBACION  ENVIO TMS"/>
    <s v="000000001209673212"/>
    <x v="1"/>
    <x v="4"/>
    <m/>
    <n v="1"/>
    <m/>
  </r>
  <r>
    <n v="8209673241"/>
    <s v="263"/>
    <x v="8"/>
    <d v="2026-10-14T12:10:00"/>
    <d v="2026-10-14T06:09:58"/>
    <d v="2026-10-14T00:00:00"/>
    <s v=""/>
    <s v="UNIDAD"/>
    <n v="5"/>
    <s v="PENDIENTE APROBACION  ENVIO TMS"/>
    <s v="000000008209673241"/>
    <x v="2"/>
    <x v="0"/>
    <m/>
    <n v="1"/>
    <m/>
  </r>
  <r>
    <n v="1209673259"/>
    <s v="264"/>
    <x v="11"/>
    <d v="2026-10-14T12:10:02"/>
    <d v="2026-10-14T06:09:59"/>
    <d v="2026-10-14T00:00:00"/>
    <s v=""/>
    <s v="CAJA"/>
    <n v="1"/>
    <s v="PENDIENTE APROBACION  ENVIO TMS"/>
    <s v="000000001209673259"/>
    <x v="1"/>
    <x v="1"/>
    <m/>
    <n v="1"/>
    <m/>
  </r>
  <r>
    <n v="1209673218"/>
    <s v="262"/>
    <x v="107"/>
    <d v="2026-10-14T12:10:03"/>
    <d v="2026-10-14T06:10:00"/>
    <d v="2026-10-14T00:00:00"/>
    <s v=""/>
    <s v="PACK"/>
    <n v="15"/>
    <s v="PENDIENTE APROBACION  ENVIO TMS"/>
    <s v="000000001209673218"/>
    <x v="1"/>
    <x v="4"/>
    <m/>
    <n v="1"/>
    <m/>
  </r>
  <r>
    <n v="8209673170"/>
    <s v="260"/>
    <x v="128"/>
    <d v="2026-10-14T12:10:04"/>
    <d v="2026-10-14T06:10:01"/>
    <d v="2026-10-14T00:00:00"/>
    <s v=""/>
    <s v="UNIDAD"/>
    <n v="5"/>
    <s v="PENDIENTE APROBACION  ENVIO TMS"/>
    <s v="000000008209673170"/>
    <x v="2"/>
    <x v="3"/>
    <m/>
    <n v="1"/>
    <m/>
  </r>
  <r>
    <n v="1209673192"/>
    <s v="261"/>
    <x v="132"/>
    <d v="2026-10-14T12:10:05"/>
    <d v="2026-10-14T06:10:03"/>
    <d v="2026-10-14T00:00:00"/>
    <s v=""/>
    <s v="CAJA"/>
    <n v="14"/>
    <s v="PENDIENTE APROBACION  ENVIO TMS"/>
    <s v="000000001209673192"/>
    <x v="1"/>
    <x v="0"/>
    <m/>
    <n v="1"/>
    <m/>
  </r>
  <r>
    <n v="1209673172"/>
    <s v="260"/>
    <x v="128"/>
    <d v="2026-10-14T12:10:07"/>
    <d v="2026-10-14T06:10:04"/>
    <d v="2026-10-14T00:00:00"/>
    <s v=""/>
    <s v="CAJA"/>
    <n v="7"/>
    <s v="PENDIENTE APROBACION  ENVIO TMS"/>
    <s v="000000001209673172"/>
    <x v="1"/>
    <x v="3"/>
    <m/>
    <n v="1"/>
    <m/>
  </r>
  <r>
    <n v="8209673283"/>
    <s v="266"/>
    <x v="109"/>
    <d v="2026-10-14T12:10:08"/>
    <d v="2026-10-14T06:10:05"/>
    <d v="2026-10-14T00:00:00"/>
    <s v=""/>
    <s v="UNIDAD"/>
    <n v="6"/>
    <s v="PENDIENTE APROBACION  ENVIO TMS"/>
    <s v="000000008209673283"/>
    <x v="2"/>
    <x v="0"/>
    <m/>
    <n v="1"/>
    <m/>
  </r>
  <r>
    <n v="8209673207"/>
    <s v="262"/>
    <x v="107"/>
    <d v="2026-10-14T12:10:09"/>
    <d v="2026-10-14T06:10:07"/>
    <d v="2026-10-14T00:00:00"/>
    <s v=""/>
    <s v="UNIDAD"/>
    <n v="2"/>
    <s v="PENDIENTE APROBACION  ENVIO TMS"/>
    <s v="000000008209673207"/>
    <x v="2"/>
    <x v="4"/>
    <m/>
    <n v="1"/>
    <m/>
  </r>
  <r>
    <n v="1209673287"/>
    <s v="266"/>
    <x v="109"/>
    <d v="2026-10-14T12:10:10"/>
    <d v="2026-10-14T06:10:08"/>
    <d v="2026-10-14T00:00:00"/>
    <s v=""/>
    <s v="PACK"/>
    <n v="9"/>
    <s v="PENDIENTE APROBACION  ENVIO TMS"/>
    <s v="000000001209673287"/>
    <x v="1"/>
    <x v="0"/>
    <m/>
    <n v="1"/>
    <m/>
  </r>
  <r>
    <n v="8209673238"/>
    <s v="263"/>
    <x v="8"/>
    <d v="2026-10-14T12:10:12"/>
    <d v="2026-10-14T06:10:09"/>
    <d v="2026-10-14T00:00:00"/>
    <s v=""/>
    <s v="UNIDAD"/>
    <n v="1"/>
    <s v="PENDIENTE APROBACION  ENVIO TMS"/>
    <s v="000000008209673238"/>
    <x v="2"/>
    <x v="0"/>
    <m/>
    <n v="1"/>
    <m/>
  </r>
  <r>
    <n v="1209673290"/>
    <s v="266"/>
    <x v="109"/>
    <d v="2026-10-14T12:10:14"/>
    <d v="2026-10-14T06:10:11"/>
    <d v="2026-10-14T00:00:00"/>
    <s v=""/>
    <s v="PACK"/>
    <n v="23"/>
    <s v="PENDIENTE APROBACION  ENVIO TMS"/>
    <s v="000000001209673290"/>
    <x v="1"/>
    <x v="0"/>
    <m/>
    <n v="1"/>
    <m/>
  </r>
  <r>
    <n v="1209673291"/>
    <s v="266"/>
    <x v="109"/>
    <d v="2026-10-14T12:10:14"/>
    <d v="2026-10-14T06:10:12"/>
    <d v="2026-10-14T00:00:00"/>
    <s v=""/>
    <s v="CAJA"/>
    <n v="14"/>
    <s v="PENDIENTE APROBACION  ENVIO TMS"/>
    <s v="000000001209673291"/>
    <x v="1"/>
    <x v="0"/>
    <m/>
    <n v="1"/>
    <m/>
  </r>
  <r>
    <n v="8209673186"/>
    <s v="261"/>
    <x v="132"/>
    <d v="2026-10-14T12:10:16"/>
    <d v="2026-10-14T06:10:13"/>
    <d v="2026-10-14T00:00:00"/>
    <s v=""/>
    <s v="UNIDAD"/>
    <n v="1"/>
    <s v="PENDIENTE APROBACION  ENVIO TMS"/>
    <s v="000000008209673186"/>
    <x v="2"/>
    <x v="0"/>
    <m/>
    <n v="1"/>
    <m/>
  </r>
  <r>
    <n v="1209673173"/>
    <s v="260"/>
    <x v="128"/>
    <d v="2026-10-14T12:10:17"/>
    <d v="2026-10-14T06:10:14"/>
    <d v="2026-10-14T00:00:00"/>
    <s v=""/>
    <s v="CAJA"/>
    <n v="2"/>
    <s v="PENDIENTE APROBACION  ENVIO TMS"/>
    <s v="000000001209673173"/>
    <x v="1"/>
    <x v="3"/>
    <m/>
    <n v="1"/>
    <m/>
  </r>
  <r>
    <n v="8209673280"/>
    <s v="266"/>
    <x v="109"/>
    <d v="2026-10-14T12:10:19"/>
    <d v="2026-10-14T06:10:16"/>
    <d v="2026-10-14T00:00:00"/>
    <s v=""/>
    <s v="UNIDAD"/>
    <n v="2"/>
    <s v="PENDIENTE APROBACION  ENVIO TMS"/>
    <s v="000000008209673280"/>
    <x v="2"/>
    <x v="0"/>
    <m/>
    <n v="1"/>
    <m/>
  </r>
  <r>
    <n v="8209673206"/>
    <s v="262"/>
    <x v="107"/>
    <d v="2026-10-14T12:10:20"/>
    <d v="2026-10-14T06:10:17"/>
    <d v="2026-10-14T00:00:00"/>
    <s v=""/>
    <s v="UNIDAD"/>
    <n v="5"/>
    <s v="PENDIENTE APROBACION  ENVIO TMS"/>
    <s v="000000008209673206"/>
    <x v="2"/>
    <x v="4"/>
    <m/>
    <n v="1"/>
    <m/>
  </r>
  <r>
    <n v="1209673213"/>
    <s v="262"/>
    <x v="107"/>
    <d v="2026-10-14T12:10:21"/>
    <d v="2026-10-14T06:10:19"/>
    <d v="2026-10-14T00:00:00"/>
    <s v=""/>
    <s v="CAJA"/>
    <n v="4"/>
    <s v="PENDIENTE APROBACION  ENVIO TMS"/>
    <s v="000000001209673213"/>
    <x v="1"/>
    <x v="4"/>
    <m/>
    <n v="1"/>
    <m/>
  </r>
  <r>
    <n v="8209673243"/>
    <s v="263"/>
    <x v="8"/>
    <d v="2026-10-14T12:10:22"/>
    <d v="2026-10-14T06:10:20"/>
    <d v="2026-10-14T00:00:00"/>
    <s v=""/>
    <s v="UNIDAD"/>
    <n v="12"/>
    <s v="PENDIENTE APROBACION  ENVIO TMS"/>
    <s v="000000008209673243"/>
    <x v="2"/>
    <x v="0"/>
    <m/>
    <n v="1"/>
    <m/>
  </r>
  <r>
    <n v="8209673258"/>
    <s v="264"/>
    <x v="11"/>
    <d v="2026-10-14T12:10:24"/>
    <d v="2026-10-14T06:10:21"/>
    <d v="2026-10-14T00:00:00"/>
    <s v=""/>
    <s v="UNIDAD"/>
    <n v="7"/>
    <s v="PENDIENTE APROBACION  ENVIO TMS"/>
    <s v="000000008209673258"/>
    <x v="2"/>
    <x v="1"/>
    <m/>
    <n v="1"/>
    <m/>
  </r>
  <r>
    <n v="1209673261"/>
    <s v="264"/>
    <x v="11"/>
    <d v="2026-10-14T12:10:25"/>
    <d v="2026-10-14T06:10:22"/>
    <d v="2026-10-14T00:00:00"/>
    <s v=""/>
    <s v="CAJA"/>
    <n v="4"/>
    <s v="PENDIENTE APROBACION  ENVIO TMS"/>
    <s v="000000001209673261"/>
    <x v="1"/>
    <x v="1"/>
    <m/>
    <n v="1"/>
    <m/>
  </r>
  <r>
    <n v="1209673262"/>
    <s v="264"/>
    <x v="11"/>
    <d v="2026-10-14T12:10:26"/>
    <d v="2026-10-14T06:10:24"/>
    <d v="2026-10-14T00:00:00"/>
    <s v=""/>
    <s v="CAJA"/>
    <n v="3"/>
    <s v="PENDIENTE APROBACION  ENVIO TMS"/>
    <s v="000000001209673262"/>
    <x v="1"/>
    <x v="1"/>
    <m/>
    <n v="1"/>
    <m/>
  </r>
  <r>
    <n v="1209673263"/>
    <s v="264"/>
    <x v="11"/>
    <d v="2026-10-14T12:10:27"/>
    <d v="2026-10-14T06:10:25"/>
    <d v="2026-10-14T00:00:00"/>
    <s v=""/>
    <s v="CAJA"/>
    <n v="3"/>
    <s v="PENDIENTE APROBACION  ENVIO TMS"/>
    <s v="000000001209673263"/>
    <x v="1"/>
    <x v="1"/>
    <m/>
    <n v="1"/>
    <m/>
  </r>
  <r>
    <n v="1209673264"/>
    <s v="264"/>
    <x v="11"/>
    <d v="2026-10-14T12:10:29"/>
    <d v="2026-10-14T06:10:26"/>
    <d v="2026-10-14T00:00:00"/>
    <s v=""/>
    <s v="CAJA"/>
    <n v="8"/>
    <s v="PENDIENTE APROBACION  ENVIO TMS"/>
    <s v="000000001209673264"/>
    <x v="1"/>
    <x v="1"/>
    <m/>
    <n v="1"/>
    <m/>
  </r>
  <r>
    <n v="1209673294"/>
    <s v="266"/>
    <x v="109"/>
    <d v="2026-10-14T12:10:30"/>
    <d v="2026-10-14T06:10:27"/>
    <d v="2026-10-14T00:00:00"/>
    <s v=""/>
    <s v="PACK"/>
    <n v="43"/>
    <s v="PENDIENTE APROBACION  ENVIO TMS"/>
    <s v="000000001209673294"/>
    <x v="1"/>
    <x v="0"/>
    <m/>
    <n v="1"/>
    <m/>
  </r>
  <r>
    <n v="1209673175"/>
    <s v="260"/>
    <x v="128"/>
    <d v="2026-10-14T12:10:31"/>
    <d v="2026-10-14T06:10:29"/>
    <d v="2026-10-14T00:00:00"/>
    <s v=""/>
    <s v="CAJA"/>
    <n v="10"/>
    <s v="PENDIENTE APROBACION  ENVIO TMS"/>
    <s v="000000001209673175"/>
    <x v="1"/>
    <x v="3"/>
    <m/>
    <n v="1"/>
    <m/>
  </r>
  <r>
    <n v="1209673194"/>
    <s v="261"/>
    <x v="132"/>
    <d v="2026-10-14T12:10:32"/>
    <d v="2026-10-14T06:10:30"/>
    <d v="2026-10-14T00:00:00"/>
    <s v=""/>
    <s v="PACK"/>
    <n v="13"/>
    <s v="PENDIENTE APROBACION  ENVIO TMS"/>
    <s v="000000001209673194"/>
    <x v="1"/>
    <x v="0"/>
    <m/>
    <n v="1"/>
    <m/>
  </r>
  <r>
    <n v="8209673281"/>
    <s v="266"/>
    <x v="109"/>
    <d v="2026-10-14T12:10:33"/>
    <d v="2026-10-14T06:10:31"/>
    <d v="2026-10-14T00:00:00"/>
    <s v=""/>
    <s v="UNIDAD"/>
    <n v="1"/>
    <s v="PENDIENTE APROBACION  ENVIO TMS"/>
    <s v="000000008209673281"/>
    <x v="2"/>
    <x v="0"/>
    <m/>
    <n v="1"/>
    <m/>
  </r>
  <r>
    <n v="1209673253"/>
    <s v="263"/>
    <x v="8"/>
    <d v="2026-10-14T12:10:35"/>
    <d v="2026-10-14T06:10:32"/>
    <d v="2026-10-14T00:00:00"/>
    <s v=""/>
    <s v="PACK"/>
    <n v="52"/>
    <s v="PENDIENTE APROBACION  ENVIO TMS"/>
    <s v="000000001209673253"/>
    <x v="1"/>
    <x v="0"/>
    <m/>
    <n v="1"/>
    <m/>
  </r>
  <r>
    <n v="1209673285"/>
    <s v="266"/>
    <x v="109"/>
    <d v="2026-10-14T12:10:36"/>
    <d v="2026-10-14T06:10:33"/>
    <d v="2026-10-14T00:00:00"/>
    <s v=""/>
    <s v="PACK"/>
    <n v="2"/>
    <s v="PENDIENTE APROBACION  ENVIO TMS"/>
    <s v="000000001209673285"/>
    <x v="1"/>
    <x v="0"/>
    <m/>
    <n v="1"/>
    <m/>
  </r>
  <r>
    <n v="1209673196"/>
    <s v="261"/>
    <x v="132"/>
    <d v="2026-10-14T12:10:38"/>
    <d v="2026-10-14T06:10:36"/>
    <d v="2026-10-14T00:00:00"/>
    <s v=""/>
    <s v="PACK"/>
    <n v="27"/>
    <s v="PENDIENTE APROBACION  ENVIO TMS"/>
    <s v="000000001209673196"/>
    <x v="1"/>
    <x v="0"/>
    <m/>
    <n v="1"/>
    <m/>
  </r>
  <r>
    <n v="1209673178"/>
    <s v="260"/>
    <x v="128"/>
    <d v="2026-10-14T12:10:38"/>
    <d v="2026-10-14T06:10:35"/>
    <d v="2026-10-14T00:00:00"/>
    <s v=""/>
    <s v="CAJA"/>
    <n v="1"/>
    <s v="PENDIENTE APROBACION  ENVIO TMS"/>
    <s v="000000001209673178"/>
    <x v="1"/>
    <x v="3"/>
    <m/>
    <n v="1"/>
    <m/>
  </r>
  <r>
    <n v="1209673215"/>
    <s v="262"/>
    <x v="107"/>
    <d v="2026-10-14T12:10:40"/>
    <d v="2026-10-14T06:10:37"/>
    <d v="2026-10-14T00:00:00"/>
    <s v=""/>
    <s v="CAJA"/>
    <n v="7"/>
    <s v="PENDIENTE APROBACION  ENVIO TMS"/>
    <s v="000000001209673215"/>
    <x v="1"/>
    <x v="4"/>
    <m/>
    <n v="1"/>
    <m/>
  </r>
  <r>
    <n v="8209673256"/>
    <s v="264"/>
    <x v="11"/>
    <d v="2026-10-14T12:10:41"/>
    <d v="2026-10-14T06:10:39"/>
    <d v="2026-10-14T00:00:00"/>
    <s v=""/>
    <s v="UNIDAD"/>
    <n v="1"/>
    <s v="PENDIENTE APROBACION  ENVIO TMS"/>
    <s v="000000008209673256"/>
    <x v="2"/>
    <x v="1"/>
    <m/>
    <n v="1"/>
    <m/>
  </r>
  <r>
    <n v="8209673184"/>
    <s v="261"/>
    <x v="132"/>
    <d v="2026-10-14T12:10:43"/>
    <d v="2026-10-14T06:10:40"/>
    <d v="2026-10-14T00:00:00"/>
    <s v=""/>
    <s v="UNIDAD"/>
    <n v="1"/>
    <s v="PENDIENTE APROBACION  ENVIO TMS"/>
    <s v="000000008209673184"/>
    <x v="2"/>
    <x v="0"/>
    <m/>
    <n v="1"/>
    <m/>
  </r>
  <r>
    <n v="1209673267"/>
    <s v="264"/>
    <x v="11"/>
    <d v="2026-10-14T12:10:44"/>
    <d v="2026-10-14T06:10:41"/>
    <d v="2026-10-14T00:00:00"/>
    <s v=""/>
    <s v="CAJA"/>
    <n v="15"/>
    <s v="PENDIENTE APROBACION  ENVIO TMS"/>
    <s v="000000001209673267"/>
    <x v="1"/>
    <x v="1"/>
    <m/>
    <n v="1"/>
    <m/>
  </r>
  <r>
    <n v="1209673191"/>
    <s v="261"/>
    <x v="132"/>
    <d v="2026-10-14T12:10:44"/>
    <d v="2026-10-14T06:10:42"/>
    <d v="2026-10-14T00:00:00"/>
    <s v=""/>
    <s v="PACK"/>
    <n v="4"/>
    <s v="PENDIENTE APROBACION  ENVIO TMS"/>
    <s v="000000001209673191"/>
    <x v="1"/>
    <x v="0"/>
    <m/>
    <n v="1"/>
    <m/>
  </r>
  <r>
    <n v="1209673220"/>
    <s v="262"/>
    <x v="107"/>
    <d v="2026-10-14T12:10:46"/>
    <d v="2026-10-14T06:10:43"/>
    <d v="2026-10-14T00:00:00"/>
    <s v=""/>
    <s v="CAJA"/>
    <n v="19"/>
    <s v="PENDIENTE APROBACION  ENVIO TMS"/>
    <s v="000000001209673220"/>
    <x v="1"/>
    <x v="4"/>
    <m/>
    <n v="1"/>
    <m/>
  </r>
  <r>
    <n v="1209673252"/>
    <s v="263"/>
    <x v="8"/>
    <d v="2026-10-14T12:10:47"/>
    <d v="2026-10-14T06:10:45"/>
    <d v="2026-10-14T00:00:00"/>
    <s v=""/>
    <s v="PACK"/>
    <n v="32"/>
    <s v="PENDIENTE APROBACION  ENVIO TMS"/>
    <s v="000000001209673252"/>
    <x v="1"/>
    <x v="0"/>
    <m/>
    <n v="1"/>
    <m/>
  </r>
  <r>
    <n v="1209673193"/>
    <s v="261"/>
    <x v="132"/>
    <d v="2026-10-14T12:10:48"/>
    <d v="2026-10-14T06:10:46"/>
    <d v="2026-10-14T00:00:00"/>
    <s v=""/>
    <s v="CAJA"/>
    <n v="14"/>
    <s v="PENDIENTE APROBACION  ENVIO TMS"/>
    <s v="000000001209673193"/>
    <x v="1"/>
    <x v="0"/>
    <m/>
    <n v="1"/>
    <m/>
  </r>
  <r>
    <n v="8209673279"/>
    <s v="266"/>
    <x v="109"/>
    <d v="2026-10-14T12:10:49"/>
    <d v="2026-10-14T06:10:47"/>
    <d v="2026-10-14T00:00:00"/>
    <s v=""/>
    <s v="UNIDAD"/>
    <n v="2"/>
    <s v="PENDIENTE APROBACION  ENVIO TMS"/>
    <s v="000000008209673279"/>
    <x v="2"/>
    <x v="0"/>
    <m/>
    <n v="1"/>
    <m/>
  </r>
  <r>
    <n v="1209673222"/>
    <s v="262"/>
    <x v="107"/>
    <d v="2026-10-14T12:10:51"/>
    <d v="2026-10-14T06:10:48"/>
    <d v="2026-10-14T00:00:00"/>
    <s v=""/>
    <s v="CAJA"/>
    <n v="2"/>
    <s v="PENDIENTE APROBACION  ENVIO TMS"/>
    <s v="000000001209673222"/>
    <x v="1"/>
    <x v="4"/>
    <m/>
    <n v="1"/>
    <m/>
  </r>
  <r>
    <n v="8209673210"/>
    <s v="262"/>
    <x v="107"/>
    <d v="2026-10-14T12:10:52"/>
    <d v="2026-10-14T06:10:49"/>
    <d v="2026-10-14T00:00:00"/>
    <s v=""/>
    <s v="UNIDAD"/>
    <n v="6"/>
    <s v="PENDIENTE APROBACION  ENVIO TMS"/>
    <s v="000000008209673210"/>
    <x v="2"/>
    <x v="4"/>
    <m/>
    <n v="1"/>
    <m/>
  </r>
  <r>
    <n v="1209673181"/>
    <s v="260"/>
    <x v="128"/>
    <d v="2026-10-14T12:10:54"/>
    <d v="2026-10-14T06:10:51"/>
    <d v="2026-10-14T00:00:00"/>
    <s v=""/>
    <s v="CAJA"/>
    <n v="6"/>
    <s v="PENDIENTE APROBACION  ENVIO TMS"/>
    <s v="000000001209673181"/>
    <x v="1"/>
    <x v="3"/>
    <m/>
    <n v="1"/>
    <m/>
  </r>
  <r>
    <n v="8209673240"/>
    <s v="263"/>
    <x v="8"/>
    <d v="2026-10-14T12:10:54"/>
    <d v="2026-10-14T06:10:52"/>
    <d v="2026-10-14T00:00:00"/>
    <s v=""/>
    <s v="UNIDAD"/>
    <n v="3"/>
    <s v="PENDIENTE APROBACION  ENVIO TMS"/>
    <s v="000000008209673240"/>
    <x v="2"/>
    <x v="0"/>
    <m/>
    <n v="1"/>
    <m/>
  </r>
  <r>
    <n v="1209673197"/>
    <s v="261"/>
    <x v="132"/>
    <d v="2026-10-14T12:10:56"/>
    <d v="2026-10-14T06:10:53"/>
    <d v="2026-10-14T00:00:00"/>
    <s v=""/>
    <s v="PACK"/>
    <n v="34"/>
    <s v="PENDIENTE APROBACION  ENVIO TMS"/>
    <s v="000000001209673197"/>
    <x v="1"/>
    <x v="0"/>
    <m/>
    <n v="1"/>
    <m/>
  </r>
  <r>
    <n v="1209673292"/>
    <s v="266"/>
    <x v="109"/>
    <d v="2026-10-14T12:10:57"/>
    <d v="2026-10-14T06:10:54"/>
    <d v="2026-10-14T00:00:00"/>
    <s v=""/>
    <s v="PACK"/>
    <n v="21"/>
    <s v="PENDIENTE APROBACION  ENVIO TMS"/>
    <s v="000000001209673292"/>
    <x v="1"/>
    <x v="0"/>
    <m/>
    <n v="1"/>
    <m/>
  </r>
  <r>
    <n v="1209673198"/>
    <s v="261"/>
    <x v="132"/>
    <d v="2026-10-14T12:10:58"/>
    <d v="2026-10-14T06:10:56"/>
    <d v="2026-10-14T00:00:00"/>
    <s v=""/>
    <s v="PACK"/>
    <n v="59"/>
    <s v="PENDIENTE APROBACION  ENVIO TMS"/>
    <s v="000000001209673198"/>
    <x v="1"/>
    <x v="0"/>
    <m/>
    <n v="1"/>
    <m/>
  </r>
  <r>
    <n v="1209673268"/>
    <s v="264"/>
    <x v="11"/>
    <d v="2026-10-14T12:11:00"/>
    <d v="2026-10-14T06:10:58"/>
    <d v="2026-10-14T00:00:00"/>
    <s v=""/>
    <s v="PACK"/>
    <n v="19"/>
    <s v="PENDIENTE APROBACION  ENVIO TMS"/>
    <s v="000000001209673268"/>
    <x v="1"/>
    <x v="1"/>
    <m/>
    <n v="1"/>
    <m/>
  </r>
  <r>
    <n v="1209673189"/>
    <s v="261"/>
    <x v="132"/>
    <d v="2026-10-14T12:11:00"/>
    <d v="2026-10-14T06:10:57"/>
    <d v="2026-10-14T00:00:00"/>
    <s v=""/>
    <s v="CAJA"/>
    <n v="3"/>
    <s v="PENDIENTE APROBACION  ENVIO TMS"/>
    <s v="000000001209673189"/>
    <x v="1"/>
    <x v="0"/>
    <m/>
    <n v="1"/>
    <m/>
  </r>
  <r>
    <n v="1209673221"/>
    <s v="262"/>
    <x v="107"/>
    <d v="2026-10-14T12:11:02"/>
    <d v="2026-10-14T06:10:59"/>
    <d v="2026-10-14T00:00:00"/>
    <s v=""/>
    <s v="CAJA"/>
    <n v="22"/>
    <s v="PENDIENTE APROBACION  ENVIO TMS"/>
    <s v="000000001209673221"/>
    <x v="1"/>
    <x v="4"/>
    <m/>
    <n v="1"/>
    <m/>
  </r>
  <r>
    <n v="1209673174"/>
    <s v="260"/>
    <x v="128"/>
    <d v="2026-10-14T12:11:03"/>
    <d v="2026-10-14T06:11:01"/>
    <d v="2026-10-14T00:00:00"/>
    <s v=""/>
    <s v="CAJA"/>
    <n v="11"/>
    <s v="PENDIENTE APROBACION  ENVIO TMS"/>
    <s v="000000001209673174"/>
    <x v="1"/>
    <x v="3"/>
    <m/>
    <n v="1"/>
    <m/>
  </r>
  <r>
    <n v="1209673214"/>
    <s v="262"/>
    <x v="107"/>
    <d v="2026-10-14T12:11:05"/>
    <d v="2026-10-14T06:11:02"/>
    <d v="2026-10-14T00:00:00"/>
    <s v=""/>
    <s v="CAJA"/>
    <n v="8"/>
    <s v="PENDIENTE APROBACION  ENVIO TMS"/>
    <s v="000000001209673214"/>
    <x v="1"/>
    <x v="4"/>
    <m/>
    <n v="1"/>
    <m/>
  </r>
  <r>
    <n v="1209673288"/>
    <s v="266"/>
    <x v="109"/>
    <d v="2026-10-14T12:11:06"/>
    <d v="2026-10-14T06:11:03"/>
    <d v="2026-10-14T00:00:00"/>
    <s v=""/>
    <s v="UNIDAD"/>
    <n v="19"/>
    <s v="PENDIENTE APROBACION  ENVIO TMS"/>
    <s v="000000001209673288"/>
    <x v="1"/>
    <x v="0"/>
    <m/>
    <n v="1"/>
    <m/>
  </r>
  <r>
    <n v="8209673180"/>
    <s v="260"/>
    <x v="128"/>
    <d v="2026-10-14T12:11:07"/>
    <d v="2026-10-14T06:11:04"/>
    <d v="2026-10-14T00:00:00"/>
    <s v=""/>
    <s v="UNIDAD"/>
    <n v="2"/>
    <s v="PENDIENTE APROBACION  ENVIO TMS"/>
    <s v="000000008209673180"/>
    <x v="2"/>
    <x v="3"/>
    <m/>
    <n v="1"/>
    <m/>
  </r>
  <r>
    <n v="1209673244"/>
    <s v="263"/>
    <x v="8"/>
    <d v="2026-10-14T12:11:08"/>
    <d v="2026-10-14T06:11:06"/>
    <d v="2026-10-14T00:00:00"/>
    <s v=""/>
    <s v="CAJA"/>
    <n v="3"/>
    <s v="PENDIENTE APROBACION  ENVIO TMS"/>
    <s v="000000001209673244"/>
    <x v="1"/>
    <x v="0"/>
    <m/>
    <n v="1"/>
    <m/>
  </r>
  <r>
    <n v="1209673360"/>
    <s v="277"/>
    <x v="4"/>
    <d v="2026-10-14T12:14:12"/>
    <d v="2026-10-14T06:14:09"/>
    <d v="2026-10-14T00:00:00"/>
    <s v=""/>
    <s v="CAJA"/>
    <n v="70"/>
    <s v="PENDIENTE APROBACION  ENVIO TMS"/>
    <s v="000000001209673360"/>
    <x v="1"/>
    <x v="1"/>
    <m/>
    <n v="1"/>
    <m/>
  </r>
  <r>
    <n v="1209673410"/>
    <s v="280"/>
    <x v="0"/>
    <d v="2026-10-14T12:14:13"/>
    <d v="2026-10-14T06:14:10"/>
    <d v="2026-10-14T00:00:00"/>
    <s v=""/>
    <s v="CAJA"/>
    <n v="13"/>
    <s v="PENDIENTE APROBACION  ENVIO TMS"/>
    <s v="000000001209673410"/>
    <x v="1"/>
    <x v="0"/>
    <m/>
    <n v="1"/>
    <m/>
  </r>
  <r>
    <n v="1209673370"/>
    <s v="278"/>
    <x v="46"/>
    <d v="2026-10-14T12:14:15"/>
    <d v="2026-10-14T06:14:13"/>
    <d v="2026-10-14T00:00:00"/>
    <s v=""/>
    <s v="CAJA"/>
    <n v="11"/>
    <s v="PENDIENTE APROBACION  ENVIO TMS"/>
    <s v="000000001209673370"/>
    <x v="1"/>
    <x v="1"/>
    <m/>
    <n v="1"/>
    <m/>
  </r>
  <r>
    <n v="8209673347"/>
    <s v="277"/>
    <x v="4"/>
    <d v="2026-10-14T12:14:18"/>
    <d v="2026-10-14T06:14:16"/>
    <d v="2026-10-14T00:00:00"/>
    <s v=""/>
    <s v="UNIDAD"/>
    <n v="2"/>
    <s v="PENDIENTE APROBACION  ENVIO TMS"/>
    <s v="000000008209673347"/>
    <x v="2"/>
    <x v="1"/>
    <m/>
    <n v="1"/>
    <m/>
  </r>
  <r>
    <n v="1209673390"/>
    <s v="279"/>
    <x v="114"/>
    <d v="2026-10-14T12:14:20"/>
    <d v="2026-10-14T06:14:18"/>
    <d v="2026-10-14T00:00:00"/>
    <s v=""/>
    <s v="CAJA"/>
    <n v="25"/>
    <s v="PENDIENTE APROBACION  ENVIO TMS"/>
    <s v="000000001209673390"/>
    <x v="1"/>
    <x v="0"/>
    <m/>
    <n v="1"/>
    <m/>
  </r>
  <r>
    <n v="8209673350"/>
    <s v="277"/>
    <x v="4"/>
    <d v="2026-10-14T12:14:20"/>
    <d v="2026-10-14T06:14:17"/>
    <d v="2026-10-14T00:00:00"/>
    <s v=""/>
    <s v="UNIDAD"/>
    <n v="30"/>
    <s v="PENDIENTE APROBACION  ENVIO TMS"/>
    <s v="000000008209673350"/>
    <x v="2"/>
    <x v="1"/>
    <m/>
    <n v="1"/>
    <m/>
  </r>
  <r>
    <n v="8209673397"/>
    <s v="280"/>
    <x v="0"/>
    <d v="2026-10-14T12:14:22"/>
    <d v="2026-10-14T06:14:19"/>
    <d v="2026-10-14T00:00:00"/>
    <s v=""/>
    <s v="UNIDAD"/>
    <n v="5"/>
    <s v="PENDIENTE APROBACION  ENVIO TMS"/>
    <s v="000000008209673397"/>
    <x v="2"/>
    <x v="0"/>
    <m/>
    <n v="1"/>
    <m/>
  </r>
  <r>
    <n v="8209673398"/>
    <s v="280"/>
    <x v="0"/>
    <d v="2026-10-14T12:14:23"/>
    <d v="2026-10-14T06:14:21"/>
    <d v="2026-10-14T00:00:00"/>
    <s v=""/>
    <s v="UNIDAD"/>
    <n v="3"/>
    <s v="PENDIENTE APROBACION  ENVIO TMS"/>
    <s v="000000008209673398"/>
    <x v="2"/>
    <x v="0"/>
    <m/>
    <n v="1"/>
    <m/>
  </r>
  <r>
    <n v="8209673399"/>
    <s v="280"/>
    <x v="0"/>
    <d v="2026-10-14T12:14:25"/>
    <d v="2026-10-14T06:14:22"/>
    <d v="2026-10-14T00:00:00"/>
    <s v=""/>
    <s v="UNIDAD"/>
    <n v="1"/>
    <s v="PENDIENTE APROBACION  ENVIO TMS"/>
    <s v="000000008209673399"/>
    <x v="2"/>
    <x v="0"/>
    <m/>
    <n v="1"/>
    <m/>
  </r>
  <r>
    <n v="1209673330"/>
    <s v="275"/>
    <x v="89"/>
    <d v="2026-10-14T12:14:26"/>
    <d v="2026-10-14T06:14:23"/>
    <d v="2026-10-14T00:00:00"/>
    <s v=""/>
    <s v="CAJA"/>
    <n v="5"/>
    <s v="PENDIENTE APROBACION  ENVIO TMS"/>
    <s v="000000001209673330"/>
    <x v="1"/>
    <x v="0"/>
    <m/>
    <n v="1"/>
    <m/>
  </r>
  <r>
    <n v="1209673377"/>
    <s v="278"/>
    <x v="46"/>
    <d v="2026-10-14T12:14:27"/>
    <d v="2026-10-14T06:14:25"/>
    <d v="2026-10-14T00:00:00"/>
    <s v=""/>
    <s v="CAJA"/>
    <n v="35"/>
    <s v="PENDIENTE APROBACION  ENVIO TMS"/>
    <s v="000000001209673377"/>
    <x v="1"/>
    <x v="1"/>
    <m/>
    <n v="1"/>
    <m/>
  </r>
  <r>
    <n v="1209673407"/>
    <s v="280"/>
    <x v="0"/>
    <d v="2026-10-14T12:14:28"/>
    <d v="2026-10-14T06:14:26"/>
    <d v="2026-10-14T00:00:00"/>
    <s v=""/>
    <s v="UNIDAD"/>
    <n v="16"/>
    <s v="PENDIENTE APROBACION  ENVIO TMS"/>
    <s v="000000001209673407"/>
    <x v="1"/>
    <x v="0"/>
    <m/>
    <n v="1"/>
    <m/>
  </r>
  <r>
    <n v="1209673408"/>
    <s v="280"/>
    <x v="0"/>
    <d v="2026-10-14T12:14:30"/>
    <d v="2026-10-14T06:14:27"/>
    <d v="2026-10-14T00:00:00"/>
    <s v=""/>
    <s v="CAJA"/>
    <n v="8"/>
    <s v="PENDIENTE APROBACION  ENVIO TMS"/>
    <s v="000000001209673408"/>
    <x v="1"/>
    <x v="0"/>
    <m/>
    <n v="1"/>
    <m/>
  </r>
  <r>
    <n v="1209673337"/>
    <s v="275"/>
    <x v="89"/>
    <d v="2026-10-14T12:14:31"/>
    <d v="2026-10-14T06:14:28"/>
    <d v="2026-10-14T00:00:00"/>
    <s v=""/>
    <s v="PACK"/>
    <n v="15"/>
    <s v="PENDIENTE APROBACION  ENVIO TMS"/>
    <s v="000000001209673337"/>
    <x v="1"/>
    <x v="0"/>
    <m/>
    <n v="1"/>
    <m/>
  </r>
  <r>
    <n v="1209673361"/>
    <s v="277"/>
    <x v="4"/>
    <d v="2026-10-14T12:14:33"/>
    <d v="2026-10-14T06:14:30"/>
    <d v="2026-10-14T00:00:00"/>
    <s v=""/>
    <s v="PACK"/>
    <n v="57"/>
    <s v="PENDIENTE APROBACION  ENVIO TMS"/>
    <s v="000000001209673361"/>
    <x v="1"/>
    <x v="1"/>
    <m/>
    <n v="1"/>
    <m/>
  </r>
  <r>
    <n v="1209673338"/>
    <s v="275"/>
    <x v="89"/>
    <d v="2026-10-14T12:14:35"/>
    <d v="2026-10-14T06:14:32"/>
    <d v="2026-10-14T00:00:00"/>
    <s v=""/>
    <s v="PACK"/>
    <n v="27"/>
    <s v="PENDIENTE APROBACION  ENVIO TMS"/>
    <s v="000000001209673338"/>
    <x v="1"/>
    <x v="0"/>
    <m/>
    <n v="1"/>
    <m/>
  </r>
  <r>
    <n v="1209673383"/>
    <s v="279"/>
    <x v="114"/>
    <d v="2026-10-14T12:14:36"/>
    <d v="2026-10-14T06:14:34"/>
    <d v="2026-10-14T00:00:00"/>
    <s v=""/>
    <s v="CAJA"/>
    <n v="9"/>
    <s v="PENDIENTE APROBACION  ENVIO TMS"/>
    <s v="000000001209673383"/>
    <x v="1"/>
    <x v="0"/>
    <m/>
    <n v="1"/>
    <m/>
  </r>
  <r>
    <n v="1209673388"/>
    <s v="279"/>
    <x v="114"/>
    <d v="2026-10-14T12:14:38"/>
    <d v="2026-10-14T06:14:36"/>
    <d v="2026-10-14T00:00:00"/>
    <s v=""/>
    <s v="CAJA"/>
    <n v="16"/>
    <s v="PENDIENTE APROBACION  ENVIO TMS"/>
    <s v="000000001209673388"/>
    <x v="1"/>
    <x v="0"/>
    <m/>
    <n v="1"/>
    <m/>
  </r>
  <r>
    <n v="8209673365"/>
    <s v="278"/>
    <x v="46"/>
    <d v="2026-10-14T12:14:38"/>
    <d v="2026-10-14T06:14:35"/>
    <d v="2026-10-14T00:00:00"/>
    <s v=""/>
    <s v="UNIDAD"/>
    <n v="3"/>
    <s v="PENDIENTE APROBACION  ENVIO TMS"/>
    <s v="000000008209673365"/>
    <x v="2"/>
    <x v="1"/>
    <m/>
    <n v="1"/>
    <m/>
  </r>
  <r>
    <n v="1209673411"/>
    <s v="280"/>
    <x v="0"/>
    <d v="2026-10-14T12:14:40"/>
    <d v="2026-10-14T06:14:37"/>
    <d v="2026-10-14T00:00:00"/>
    <s v=""/>
    <s v="PACK"/>
    <n v="42"/>
    <s v="PENDIENTE APROBACION  ENVIO TMS"/>
    <s v="000000001209673411"/>
    <x v="1"/>
    <x v="0"/>
    <m/>
    <n v="1"/>
    <m/>
  </r>
  <r>
    <n v="1209673378"/>
    <s v="278"/>
    <x v="46"/>
    <d v="2026-10-14T12:14:41"/>
    <d v="2026-10-14T06:14:39"/>
    <d v="2026-10-14T00:00:00"/>
    <s v=""/>
    <s v="PACK"/>
    <n v="66"/>
    <s v="PENDIENTE APROBACION  ENVIO TMS"/>
    <s v="000000001209673378"/>
    <x v="1"/>
    <x v="1"/>
    <m/>
    <n v="1"/>
    <m/>
  </r>
  <r>
    <n v="8209673364"/>
    <s v="278"/>
    <x v="46"/>
    <d v="2026-10-14T12:14:44"/>
    <d v="2026-10-14T06:14:41"/>
    <d v="2026-10-14T00:00:00"/>
    <s v=""/>
    <s v="UNIDAD"/>
    <n v="5"/>
    <s v="PENDIENTE APROBACION  ENVIO TMS"/>
    <s v="000000008209673364"/>
    <x v="2"/>
    <x v="1"/>
    <m/>
    <n v="1"/>
    <m/>
  </r>
  <r>
    <n v="1209673387"/>
    <s v="279"/>
    <x v="114"/>
    <d v="2026-10-14T12:14:45"/>
    <d v="2026-10-14T06:14:43"/>
    <d v="2026-10-14T00:00:00"/>
    <s v=""/>
    <s v="CAJA"/>
    <n v="12"/>
    <s v="PENDIENTE APROBACION  ENVIO TMS"/>
    <s v="000000001209673387"/>
    <x v="1"/>
    <x v="0"/>
    <m/>
    <n v="1"/>
    <m/>
  </r>
  <r>
    <n v="1209673340"/>
    <s v="275"/>
    <x v="89"/>
    <d v="2026-10-14T12:14:47"/>
    <d v="2026-10-14T06:14:44"/>
    <d v="2026-10-14T00:00:00"/>
    <s v=""/>
    <s v="PACK"/>
    <n v="32"/>
    <s v="PENDIENTE APROBACION  ENVIO TMS"/>
    <s v="000000001209673340"/>
    <x v="1"/>
    <x v="0"/>
    <m/>
    <n v="1"/>
    <m/>
  </r>
  <r>
    <n v="1209673371"/>
    <s v="278"/>
    <x v="46"/>
    <d v="2026-10-14T12:14:48"/>
    <d v="2026-10-14T06:14:45"/>
    <d v="2026-10-14T00:00:00"/>
    <s v=""/>
    <s v="CAJA"/>
    <n v="11"/>
    <s v="PENDIENTE APROBACION  ENVIO TMS"/>
    <s v="000000001209673371"/>
    <x v="1"/>
    <x v="1"/>
    <m/>
    <n v="1"/>
    <m/>
  </r>
  <r>
    <n v="1209673372"/>
    <s v="278"/>
    <x v="46"/>
    <d v="2026-10-14T12:14:49"/>
    <d v="2026-10-14T06:14:46"/>
    <d v="2026-10-14T00:00:00"/>
    <s v=""/>
    <s v="CAJA"/>
    <n v="13"/>
    <s v="PENDIENTE APROBACION  ENVIO TMS"/>
    <s v="000000001209673372"/>
    <x v="1"/>
    <x v="1"/>
    <m/>
    <n v="1"/>
    <m/>
  </r>
  <r>
    <n v="1209673375"/>
    <s v="278"/>
    <x v="46"/>
    <d v="2026-10-14T12:14:50"/>
    <d v="2026-10-14T06:14:48"/>
    <d v="2026-10-14T00:00:00"/>
    <s v=""/>
    <s v="PACK"/>
    <n v="23"/>
    <s v="PENDIENTE APROBACION  ENVIO TMS"/>
    <s v="000000001209673375"/>
    <x v="1"/>
    <x v="1"/>
    <m/>
    <n v="1"/>
    <m/>
  </r>
  <r>
    <n v="8209673324"/>
    <s v="275"/>
    <x v="89"/>
    <d v="2026-10-14T12:14:51"/>
    <d v="2026-10-14T06:14:49"/>
    <d v="2026-10-14T00:00:00"/>
    <s v=""/>
    <s v="UNIDAD"/>
    <n v="5"/>
    <s v="PENDIENTE APROBACION  ENVIO TMS"/>
    <s v="000000008209673324"/>
    <x v="2"/>
    <x v="0"/>
    <m/>
    <n v="1"/>
    <m/>
  </r>
  <r>
    <n v="8209673326"/>
    <s v="275"/>
    <x v="89"/>
    <d v="2026-10-14T12:14:53"/>
    <d v="2026-10-14T06:14:50"/>
    <d v="2026-10-14T00:00:00"/>
    <s v=""/>
    <s v="UNIDAD"/>
    <n v="23"/>
    <s v="PENDIENTE APROBACION  ENVIO TMS"/>
    <s v="000000008209673326"/>
    <x v="2"/>
    <x v="0"/>
    <m/>
    <n v="1"/>
    <m/>
  </r>
  <r>
    <n v="8209673328"/>
    <s v="275"/>
    <x v="89"/>
    <d v="2026-10-14T12:14:54"/>
    <d v="2026-10-14T06:14:51"/>
    <d v="2026-10-14T00:00:00"/>
    <s v=""/>
    <s v="UNIDAD"/>
    <n v="5"/>
    <s v="PENDIENTE APROBACION  ENVIO TMS"/>
    <s v="000000008209673328"/>
    <x v="2"/>
    <x v="0"/>
    <m/>
    <n v="1"/>
    <m/>
  </r>
  <r>
    <n v="1209673405"/>
    <s v="280"/>
    <x v="0"/>
    <d v="2026-10-14T12:14:55"/>
    <d v="2026-10-14T06:14:53"/>
    <d v="2026-10-14T00:00:00"/>
    <s v=""/>
    <s v="PACK"/>
    <n v="7"/>
    <s v="PENDIENTE APROBACION  ENVIO TMS"/>
    <s v="000000001209673405"/>
    <x v="1"/>
    <x v="0"/>
    <m/>
    <n v="1"/>
    <m/>
  </r>
  <r>
    <n v="1209673331"/>
    <s v="275"/>
    <x v="89"/>
    <d v="2026-10-14T12:14:56"/>
    <d v="2026-10-14T06:14:54"/>
    <d v="2026-10-14T00:00:00"/>
    <s v=""/>
    <s v="CAJA"/>
    <n v="18"/>
    <s v="PENDIENTE APROBACION  ENVIO TMS"/>
    <s v="000000001209673331"/>
    <x v="1"/>
    <x v="0"/>
    <m/>
    <n v="1"/>
    <m/>
  </r>
  <r>
    <n v="1209673359"/>
    <s v="277"/>
    <x v="4"/>
    <d v="2026-10-14T12:14:58"/>
    <d v="2026-10-14T06:14:55"/>
    <d v="2026-10-14T00:00:00"/>
    <s v=""/>
    <s v="PACK"/>
    <n v="37"/>
    <s v="PENDIENTE APROBACION  ENVIO TMS"/>
    <s v="000000001209673359"/>
    <x v="1"/>
    <x v="1"/>
    <m/>
    <n v="1"/>
    <m/>
  </r>
  <r>
    <n v="1209673339"/>
    <s v="275"/>
    <x v="89"/>
    <d v="2026-10-14T12:15:01"/>
    <d v="2026-10-14T06:14:58"/>
    <d v="2026-10-14T00:00:00"/>
    <s v=""/>
    <s v="PACK"/>
    <n v="29"/>
    <s v="PENDIENTE APROBACION  ENVIO TMS"/>
    <s v="000000001209673339"/>
    <x v="1"/>
    <x v="0"/>
    <m/>
    <n v="1"/>
    <m/>
  </r>
  <r>
    <n v="8209673363"/>
    <s v="278"/>
    <x v="46"/>
    <d v="2026-10-14T12:15:02"/>
    <d v="2026-10-14T06:14:59"/>
    <d v="2026-10-14T00:00:00"/>
    <s v=""/>
    <s v="UNIDAD"/>
    <n v="6"/>
    <s v="PENDIENTE APROBACION  ENVIO TMS"/>
    <s v="000000008209673363"/>
    <x v="2"/>
    <x v="1"/>
    <m/>
    <n v="1"/>
    <m/>
  </r>
  <r>
    <n v="8209673366"/>
    <s v="278"/>
    <x v="46"/>
    <d v="2026-10-14T12:15:03"/>
    <d v="2026-10-14T06:15:00"/>
    <d v="2026-10-14T00:00:00"/>
    <s v=""/>
    <s v="UNIDAD"/>
    <n v="1"/>
    <s v="PENDIENTE APROBACION  ENVIO TMS"/>
    <s v="000000008209673366"/>
    <x v="2"/>
    <x v="1"/>
    <m/>
    <n v="1"/>
    <m/>
  </r>
  <r>
    <n v="1209673373"/>
    <s v="278"/>
    <x v="46"/>
    <d v="2026-10-14T12:15:04"/>
    <d v="2026-10-14T06:15:02"/>
    <d v="2026-10-14T00:00:00"/>
    <s v=""/>
    <s v="PACK"/>
    <n v="20"/>
    <s v="PENDIENTE APROBACION  ENVIO TMS"/>
    <s v="000000001209673373"/>
    <x v="1"/>
    <x v="1"/>
    <m/>
    <n v="1"/>
    <m/>
  </r>
  <r>
    <n v="8209673323"/>
    <s v="275"/>
    <x v="89"/>
    <d v="2026-10-14T12:15:06"/>
    <d v="2026-10-14T06:15:03"/>
    <d v="2026-10-14T00:00:00"/>
    <s v=""/>
    <s v="UNIDAD"/>
    <n v="9"/>
    <s v="PENDIENTE APROBACION  ENVIO TMS"/>
    <s v="000000008209673323"/>
    <x v="2"/>
    <x v="0"/>
    <m/>
    <n v="1"/>
    <m/>
  </r>
  <r>
    <n v="8209673402"/>
    <s v="280"/>
    <x v="0"/>
    <d v="2026-10-14T12:15:06"/>
    <d v="2026-10-14T06:15:04"/>
    <d v="2026-10-14T00:00:00"/>
    <s v=""/>
    <s v="UNIDAD"/>
    <n v="2"/>
    <s v="PENDIENTE APROBACION  ENVIO TMS"/>
    <s v="000000008209673402"/>
    <x v="2"/>
    <x v="0"/>
    <m/>
    <n v="1"/>
    <m/>
  </r>
  <r>
    <n v="1209673369"/>
    <s v="278"/>
    <x v="46"/>
    <d v="2026-10-14T12:15:08"/>
    <d v="2026-10-14T06:15:05"/>
    <d v="2026-10-14T00:00:00"/>
    <s v=""/>
    <s v="CAJA"/>
    <n v="1"/>
    <s v="PENDIENTE APROBACION  ENVIO TMS"/>
    <s v="000000001209673369"/>
    <x v="1"/>
    <x v="1"/>
    <m/>
    <n v="1"/>
    <m/>
  </r>
  <r>
    <n v="1209673389"/>
    <s v="279"/>
    <x v="114"/>
    <d v="2026-10-14T12:15:09"/>
    <d v="2026-10-14T06:15:07"/>
    <d v="2026-10-14T00:00:00"/>
    <s v=""/>
    <s v="PACK"/>
    <n v="22"/>
    <s v="PENDIENTE APROBACION  ENVIO TMS"/>
    <s v="000000001209673389"/>
    <x v="1"/>
    <x v="0"/>
    <m/>
    <n v="1"/>
    <m/>
  </r>
  <r>
    <n v="1209673349"/>
    <s v="277"/>
    <x v="4"/>
    <d v="2026-10-14T12:15:11"/>
    <d v="2026-10-14T06:15:08"/>
    <d v="2026-10-14T00:00:00"/>
    <s v=""/>
    <s v="CAJA"/>
    <n v="3"/>
    <s v="PENDIENTE APROBACION  ENVIO TMS"/>
    <s v="000000001209673349"/>
    <x v="1"/>
    <x v="1"/>
    <m/>
    <n v="1"/>
    <m/>
  </r>
  <r>
    <n v="1209673352"/>
    <s v="277"/>
    <x v="4"/>
    <d v="2026-10-14T12:15:12"/>
    <d v="2026-10-14T06:15:09"/>
    <d v="2026-10-14T00:00:00"/>
    <s v=""/>
    <s v="CAJA"/>
    <n v="43"/>
    <s v="PENDIENTE APROBACION  ENVIO TMS"/>
    <s v="000000001209673352"/>
    <x v="1"/>
    <x v="1"/>
    <m/>
    <n v="1"/>
    <m/>
  </r>
  <r>
    <n v="8209673327"/>
    <s v="275"/>
    <x v="89"/>
    <d v="2026-10-14T12:15:13"/>
    <d v="2026-10-14T06:15:11"/>
    <d v="2026-10-14T00:00:00"/>
    <s v=""/>
    <s v="UNIDAD"/>
    <n v="5"/>
    <s v="PENDIENTE APROBACION  ENVIO TMS"/>
    <s v="000000008209673327"/>
    <x v="2"/>
    <x v="0"/>
    <m/>
    <n v="1"/>
    <m/>
  </r>
  <r>
    <n v="1209673353"/>
    <s v="277"/>
    <x v="4"/>
    <d v="2026-10-14T12:15:14"/>
    <d v="2026-10-14T06:15:12"/>
    <d v="2026-10-14T00:00:00"/>
    <s v=""/>
    <s v="CAJA"/>
    <n v="13"/>
    <s v="PENDIENTE APROBACION  ENVIO TMS"/>
    <s v="000000001209673353"/>
    <x v="1"/>
    <x v="1"/>
    <m/>
    <n v="1"/>
    <m/>
  </r>
  <r>
    <n v="8209673401"/>
    <s v="280"/>
    <x v="0"/>
    <d v="2026-10-14T12:15:16"/>
    <d v="2026-10-14T06:15:14"/>
    <d v="2026-10-14T00:00:00"/>
    <s v=""/>
    <s v="UNIDAD"/>
    <n v="8"/>
    <s v="PENDIENTE APROBACION  ENVIO TMS"/>
    <s v="000000008209673401"/>
    <x v="2"/>
    <x v="0"/>
    <m/>
    <n v="1"/>
    <m/>
  </r>
  <r>
    <n v="1209673403"/>
    <s v="280"/>
    <x v="0"/>
    <d v="2026-10-14T12:15:18"/>
    <d v="2026-10-14T06:15:15"/>
    <d v="2026-10-14T00:00:00"/>
    <s v=""/>
    <s v="CAJA"/>
    <n v="3"/>
    <s v="PENDIENTE APROBACION  ENVIO TMS"/>
    <s v="000000001209673403"/>
    <x v="1"/>
    <x v="0"/>
    <m/>
    <n v="1"/>
    <m/>
  </r>
  <r>
    <n v="1209673404"/>
    <s v="280"/>
    <x v="0"/>
    <d v="2026-10-14T12:15:19"/>
    <d v="2026-10-14T06:15:16"/>
    <d v="2026-10-14T00:00:00"/>
    <s v=""/>
    <s v="PACK"/>
    <n v="3"/>
    <s v="PENDIENTE APROBACION  ENVIO TMS"/>
    <s v="000000001209673404"/>
    <x v="1"/>
    <x v="0"/>
    <m/>
    <n v="1"/>
    <m/>
  </r>
  <r>
    <n v="1209673332"/>
    <s v="275"/>
    <x v="89"/>
    <d v="2026-10-14T12:15:20"/>
    <d v="2026-10-14T06:15:17"/>
    <d v="2026-10-14T00:00:00"/>
    <s v=""/>
    <s v="CAJA"/>
    <n v="20"/>
    <s v="PENDIENTE APROBACION  ENVIO TMS"/>
    <s v="000000001209673332"/>
    <x v="1"/>
    <x v="0"/>
    <m/>
    <n v="1"/>
    <m/>
  </r>
  <r>
    <n v="1209673409"/>
    <s v="280"/>
    <x v="0"/>
    <d v="2026-10-14T12:15:21"/>
    <d v="2026-10-14T06:15:19"/>
    <d v="2026-10-14T00:00:00"/>
    <s v=""/>
    <s v="CAJA"/>
    <n v="15"/>
    <s v="PENDIENTE APROBACION  ENVIO TMS"/>
    <s v="000000001209673409"/>
    <x v="1"/>
    <x v="0"/>
    <m/>
    <n v="1"/>
    <m/>
  </r>
  <r>
    <n v="1209673334"/>
    <s v="275"/>
    <x v="89"/>
    <d v="2026-10-14T12:15:23"/>
    <d v="2026-10-14T06:15:20"/>
    <d v="2026-10-14T00:00:00"/>
    <s v=""/>
    <s v="CAJA"/>
    <n v="1"/>
    <s v="PENDIENTE APROBACION  ENVIO TMS"/>
    <s v="000000001209673334"/>
    <x v="1"/>
    <x v="0"/>
    <m/>
    <n v="1"/>
    <m/>
  </r>
  <r>
    <n v="1209673381"/>
    <s v="279"/>
    <x v="114"/>
    <d v="2026-10-14T12:15:24"/>
    <d v="2026-10-14T06:15:21"/>
    <d v="2026-10-14T00:00:00"/>
    <s v=""/>
    <s v="CAJA"/>
    <n v="1"/>
    <s v="PENDIENTE APROBACION  ENVIO TMS"/>
    <s v="000000001209673381"/>
    <x v="1"/>
    <x v="0"/>
    <m/>
    <n v="1"/>
    <m/>
  </r>
  <r>
    <n v="8209673382"/>
    <s v="279"/>
    <x v="114"/>
    <d v="2026-10-14T12:15:25"/>
    <d v="2026-10-14T06:15:23"/>
    <d v="2026-10-14T00:00:00"/>
    <s v=""/>
    <s v="UNIDAD"/>
    <n v="2"/>
    <s v="PENDIENTE APROBACION  ENVIO TMS"/>
    <s v="000000008209673382"/>
    <x v="2"/>
    <x v="0"/>
    <m/>
    <n v="1"/>
    <m/>
  </r>
  <r>
    <n v="1209673385"/>
    <s v="279"/>
    <x v="114"/>
    <d v="2026-10-14T12:15:27"/>
    <d v="2026-10-14T06:15:24"/>
    <d v="2026-10-14T00:00:00"/>
    <s v=""/>
    <s v="CAJA"/>
    <n v="9"/>
    <s v="PENDIENTE APROBACION  ENVIO TMS"/>
    <s v="000000001209673385"/>
    <x v="1"/>
    <x v="0"/>
    <m/>
    <n v="1"/>
    <m/>
  </r>
  <r>
    <n v="1209673351"/>
    <s v="277"/>
    <x v="4"/>
    <d v="2026-10-14T12:15:28"/>
    <d v="2026-10-14T06:15:25"/>
    <d v="2026-10-14T00:00:00"/>
    <s v=""/>
    <s v="CAJA"/>
    <n v="3"/>
    <s v="PENDIENTE APROBACION  ENVIO TMS"/>
    <s v="000000001209673351"/>
    <x v="1"/>
    <x v="1"/>
    <m/>
    <n v="1"/>
    <m/>
  </r>
  <r>
    <n v="1209673329"/>
    <s v="275"/>
    <x v="89"/>
    <d v="2026-10-14T12:15:29"/>
    <d v="2026-10-14T06:15:27"/>
    <d v="2026-10-14T00:00:00"/>
    <s v=""/>
    <s v="CAJA"/>
    <n v="2"/>
    <s v="PENDIENTE APROBACION  ENVIO TMS"/>
    <s v="000000001209673329"/>
    <x v="1"/>
    <x v="0"/>
    <m/>
    <n v="1"/>
    <m/>
  </r>
  <r>
    <n v="1209673335"/>
    <s v="275"/>
    <x v="89"/>
    <d v="2026-10-14T12:15:30"/>
    <d v="2026-10-14T06:15:28"/>
    <d v="2026-10-14T00:00:00"/>
    <s v=""/>
    <s v="PACK"/>
    <n v="14"/>
    <s v="PENDIENTE APROBACION  ENVIO TMS"/>
    <s v="000000001209673335"/>
    <x v="1"/>
    <x v="0"/>
    <m/>
    <n v="1"/>
    <m/>
  </r>
  <r>
    <n v="8209673380"/>
    <s v="279"/>
    <x v="114"/>
    <d v="2026-10-14T12:15:32"/>
    <d v="2026-10-14T06:15:29"/>
    <d v="2026-10-14T00:00:00"/>
    <s v=""/>
    <s v="UNIDAD"/>
    <n v="3"/>
    <s v="PENDIENTE APROBACION  ENVIO TMS"/>
    <s v="000000008209673380"/>
    <x v="2"/>
    <x v="0"/>
    <m/>
    <n v="1"/>
    <m/>
  </r>
  <r>
    <n v="1209673386"/>
    <s v="279"/>
    <x v="114"/>
    <d v="2026-10-14T12:15:35"/>
    <d v="2026-10-14T06:15:32"/>
    <d v="2026-10-14T00:00:00"/>
    <s v=""/>
    <s v="CAJA"/>
    <n v="16"/>
    <s v="PENDIENTE APROBACION  ENVIO TMS"/>
    <s v="000000001209673386"/>
    <x v="1"/>
    <x v="0"/>
    <m/>
    <n v="1"/>
    <m/>
  </r>
  <r>
    <n v="8209673346"/>
    <s v="277"/>
    <x v="4"/>
    <d v="2026-10-14T12:15:37"/>
    <d v="2026-10-14T06:15:34"/>
    <d v="2026-10-14T00:00:00"/>
    <s v=""/>
    <s v="UNIDAD"/>
    <n v="6"/>
    <s v="PENDIENTE APROBACION  ENVIO TMS"/>
    <s v="000000008209673346"/>
    <x v="2"/>
    <x v="1"/>
    <m/>
    <n v="1"/>
    <m/>
  </r>
  <r>
    <n v="1209673374"/>
    <s v="278"/>
    <x v="46"/>
    <d v="2026-10-14T12:15:39"/>
    <d v="2026-10-14T06:15:36"/>
    <d v="2026-10-14T00:00:00"/>
    <s v=""/>
    <s v="CAJA"/>
    <n v="16"/>
    <s v="PENDIENTE APROBACION  ENVIO TMS"/>
    <s v="000000001209673374"/>
    <x v="1"/>
    <x v="1"/>
    <m/>
    <n v="1"/>
    <m/>
  </r>
  <r>
    <n v="1209673376"/>
    <s v="278"/>
    <x v="46"/>
    <d v="2026-10-14T12:15:40"/>
    <d v="2026-10-14T06:15:37"/>
    <d v="2026-10-14T00:00:00"/>
    <s v=""/>
    <s v="PACK"/>
    <n v="23"/>
    <s v="PENDIENTE APROBACION  ENVIO TMS"/>
    <s v="000000001209673376"/>
    <x v="1"/>
    <x v="1"/>
    <m/>
    <n v="1"/>
    <m/>
  </r>
  <r>
    <n v="1209673354"/>
    <s v="277"/>
    <x v="4"/>
    <d v="2026-10-14T12:15:41"/>
    <d v="2026-10-14T06:15:38"/>
    <d v="2026-10-14T00:00:00"/>
    <s v=""/>
    <s v="CAJA"/>
    <n v="19"/>
    <s v="PENDIENTE APROBACION  ENVIO TMS"/>
    <s v="000000001209673354"/>
    <x v="1"/>
    <x v="1"/>
    <m/>
    <n v="1"/>
    <m/>
  </r>
  <r>
    <n v="1209673333"/>
    <s v="275"/>
    <x v="89"/>
    <d v="2026-10-14T12:15:42"/>
    <d v="2026-10-14T06:15:40"/>
    <d v="2026-10-14T00:00:00"/>
    <s v=""/>
    <s v="CAJA"/>
    <n v="12"/>
    <s v="PENDIENTE APROBACION  ENVIO TMS"/>
    <s v="000000001209673333"/>
    <x v="1"/>
    <x v="0"/>
    <m/>
    <n v="1"/>
    <m/>
  </r>
  <r>
    <n v="8209673379"/>
    <s v="279"/>
    <x v="114"/>
    <d v="2026-10-14T12:15:44"/>
    <d v="2026-10-14T06:15:41"/>
    <d v="2026-10-14T00:00:00"/>
    <s v=""/>
    <s v="UNIDAD"/>
    <n v="6"/>
    <s v="PENDIENTE APROBACION  ENVIO TMS"/>
    <s v="000000008209673379"/>
    <x v="2"/>
    <x v="0"/>
    <m/>
    <n v="1"/>
    <m/>
  </r>
  <r>
    <n v="1209673384"/>
    <s v="279"/>
    <x v="114"/>
    <d v="2026-10-14T12:15:46"/>
    <d v="2026-10-14T06:15:44"/>
    <d v="2026-10-14T00:00:00"/>
    <s v=""/>
    <s v="CAJA"/>
    <n v="5"/>
    <s v="PENDIENTE APROBACION  ENVIO TMS"/>
    <s v="000000001209673384"/>
    <x v="1"/>
    <x v="0"/>
    <m/>
    <n v="1"/>
    <m/>
  </r>
  <r>
    <n v="8209673367"/>
    <s v="278"/>
    <x v="46"/>
    <d v="2026-10-14T12:15:49"/>
    <d v="2026-10-14T06:15:46"/>
    <d v="2026-10-14T00:00:00"/>
    <s v=""/>
    <s v="UNIDAD"/>
    <n v="3"/>
    <s v="PENDIENTE APROBACION  ENVIO TMS"/>
    <s v="000000008209673367"/>
    <x v="2"/>
    <x v="1"/>
    <m/>
    <n v="1"/>
    <m/>
  </r>
  <r>
    <n v="8209673368"/>
    <s v="278"/>
    <x v="46"/>
    <d v="2026-10-14T12:15:50"/>
    <d v="2026-10-14T06:15:48"/>
    <d v="2026-10-14T00:00:00"/>
    <s v=""/>
    <s v="UNIDAD"/>
    <n v="4"/>
    <s v="PENDIENTE APROBACION  ENVIO TMS"/>
    <s v="000000008209673368"/>
    <x v="2"/>
    <x v="1"/>
    <m/>
    <n v="1"/>
    <m/>
  </r>
  <r>
    <n v="1209673348"/>
    <s v="277"/>
    <x v="4"/>
    <d v="2026-10-14T12:15:52"/>
    <d v="2026-10-14T06:15:49"/>
    <d v="2026-10-14T00:00:00"/>
    <s v=""/>
    <s v="CAJA"/>
    <n v="1"/>
    <s v="PENDIENTE APROBACION  ENVIO TMS"/>
    <s v="000000001209673348"/>
    <x v="1"/>
    <x v="1"/>
    <m/>
    <n v="1"/>
    <m/>
  </r>
  <r>
    <n v="8209673325"/>
    <s v="275"/>
    <x v="89"/>
    <d v="2026-10-14T12:15:53"/>
    <d v="2026-10-14T06:15:50"/>
    <d v="2026-10-14T00:00:00"/>
    <s v=""/>
    <s v="UNIDAD"/>
    <n v="1"/>
    <s v="PENDIENTE APROBACION  ENVIO TMS"/>
    <s v="000000008209673325"/>
    <x v="2"/>
    <x v="0"/>
    <m/>
    <n v="1"/>
    <m/>
  </r>
  <r>
    <n v="8209673400"/>
    <s v="280"/>
    <x v="0"/>
    <d v="2026-10-14T12:15:54"/>
    <d v="2026-10-14T06:15:52"/>
    <d v="2026-10-14T00:00:00"/>
    <s v=""/>
    <s v="UNIDAD"/>
    <n v="3"/>
    <s v="PENDIENTE APROBACION  ENVIO TMS"/>
    <s v="000000008209673400"/>
    <x v="2"/>
    <x v="0"/>
    <m/>
    <n v="1"/>
    <m/>
  </r>
  <r>
    <n v="1209673406"/>
    <s v="280"/>
    <x v="0"/>
    <d v="2026-10-14T12:15:56"/>
    <d v="2026-10-14T06:15:53"/>
    <d v="2026-10-14T00:00:00"/>
    <s v=""/>
    <s v="CAJA"/>
    <n v="15"/>
    <s v="PENDIENTE APROBACION  ENVIO TMS"/>
    <s v="000000001209673406"/>
    <x v="1"/>
    <x v="0"/>
    <m/>
    <n v="1"/>
    <m/>
  </r>
  <r>
    <n v="1209673476"/>
    <s v="296"/>
    <x v="13"/>
    <d v="2026-10-14T12:19:12"/>
    <d v="2026-10-14T06:19:09"/>
    <d v="2026-10-14T00:00:00"/>
    <s v=""/>
    <s v="CAJA"/>
    <n v="11"/>
    <s v="PENDIENTE APROBACION  ENVIO TMS"/>
    <s v="000000001209673476"/>
    <x v="1"/>
    <x v="1"/>
    <m/>
    <n v="1"/>
    <m/>
  </r>
  <r>
    <n v="8209673444"/>
    <s v="282"/>
    <x v="110"/>
    <d v="2026-10-14T12:19:13"/>
    <d v="2026-10-14T06:19:11"/>
    <d v="2026-10-14T00:00:00"/>
    <s v=""/>
    <s v="UNIDAD"/>
    <n v="15"/>
    <s v="PENDIENTE APROBACION  ENVIO TMS"/>
    <s v="000000008209673444"/>
    <x v="2"/>
    <x v="0"/>
    <m/>
    <n v="1"/>
    <m/>
  </r>
  <r>
    <n v="1209673433"/>
    <s v="281"/>
    <x v="27"/>
    <d v="2026-10-14T12:19:14"/>
    <d v="2026-10-14T06:19:12"/>
    <d v="2026-10-14T00:00:00"/>
    <s v=""/>
    <s v="UNIDAD"/>
    <n v="59"/>
    <s v="PENDIENTE APROBACION  ENVIO TMS"/>
    <s v="000000001209673433"/>
    <x v="1"/>
    <x v="0"/>
    <m/>
    <n v="1"/>
    <m/>
  </r>
  <r>
    <n v="1209673434"/>
    <s v="281"/>
    <x v="27"/>
    <d v="2026-10-14T12:19:16"/>
    <d v="2026-10-14T06:19:13"/>
    <d v="2026-10-14T00:00:00"/>
    <s v=""/>
    <s v="CAJA"/>
    <n v="5"/>
    <s v="PENDIENTE APROBACION  ENVIO TMS"/>
    <s v="000000001209673434"/>
    <x v="1"/>
    <x v="0"/>
    <m/>
    <n v="1"/>
    <m/>
  </r>
  <r>
    <n v="8209673424"/>
    <s v="281"/>
    <x v="27"/>
    <d v="2026-10-14T12:19:17"/>
    <d v="2026-10-14T06:19:14"/>
    <d v="2026-10-14T00:00:00"/>
    <s v=""/>
    <s v="UNIDAD"/>
    <n v="2"/>
    <s v="PENDIENTE APROBACION  ENVIO TMS"/>
    <s v="000000008209673424"/>
    <x v="2"/>
    <x v="0"/>
    <m/>
    <n v="1"/>
    <m/>
  </r>
  <r>
    <n v="1209673450"/>
    <s v="282"/>
    <x v="110"/>
    <d v="2026-10-14T12:19:18"/>
    <d v="2026-10-14T06:19:16"/>
    <d v="2026-10-14T00:00:00"/>
    <s v=""/>
    <s v="CAJA"/>
    <n v="5"/>
    <s v="PENDIENTE APROBACION  ENVIO TMS"/>
    <s v="000000001209673450"/>
    <x v="1"/>
    <x v="0"/>
    <m/>
    <n v="1"/>
    <m/>
  </r>
  <r>
    <n v="1209673462"/>
    <s v="284"/>
    <x v="116"/>
    <d v="2026-10-14T12:19:20"/>
    <d v="2026-10-14T06:19:17"/>
    <d v="2026-10-14T00:00:00"/>
    <s v=""/>
    <s v="CAJA"/>
    <n v="4"/>
    <s v="PENDIENTE APROBACION  ENVIO TMS"/>
    <s v="000000001209673462"/>
    <x v="1"/>
    <x v="0"/>
    <m/>
    <n v="1"/>
    <m/>
  </r>
  <r>
    <n v="1209673464"/>
    <s v="284"/>
    <x v="116"/>
    <d v="2026-10-14T12:19:21"/>
    <d v="2026-10-14T06:19:18"/>
    <d v="2026-10-14T00:00:00"/>
    <s v=""/>
    <s v="CAJA"/>
    <n v="2"/>
    <s v="PENDIENTE APROBACION  ENVIO TMS"/>
    <s v="000000001209673464"/>
    <x v="1"/>
    <x v="0"/>
    <m/>
    <n v="1"/>
    <m/>
  </r>
  <r>
    <n v="1209673479"/>
    <s v="296"/>
    <x v="13"/>
    <d v="2026-10-14T12:19:24"/>
    <d v="2026-10-14T06:19:22"/>
    <d v="2026-10-14T00:00:00"/>
    <s v=""/>
    <s v="CAJA"/>
    <n v="45"/>
    <s v="PENDIENTE APROBACION  ENVIO TMS"/>
    <s v="000000001209673479"/>
    <x v="1"/>
    <x v="1"/>
    <m/>
    <n v="1"/>
    <m/>
  </r>
  <r>
    <n v="1209673447"/>
    <s v="282"/>
    <x v="110"/>
    <d v="2026-10-14T12:19:26"/>
    <d v="2026-10-14T06:19:23"/>
    <d v="2026-10-14T00:00:00"/>
    <s v=""/>
    <s v="CAJA"/>
    <n v="9"/>
    <s v="PENDIENTE APROBACION  ENVIO TMS"/>
    <s v="000000001209673447"/>
    <x v="1"/>
    <x v="0"/>
    <m/>
    <n v="1"/>
    <m/>
  </r>
  <r>
    <n v="1209673474"/>
    <s v="296"/>
    <x v="13"/>
    <d v="2026-10-14T12:19:27"/>
    <d v="2026-10-14T06:19:24"/>
    <d v="2026-10-14T00:00:00"/>
    <s v=""/>
    <s v="CAJA"/>
    <n v="5"/>
    <s v="PENDIENTE APROBACION  ENVIO TMS"/>
    <s v="000000001209673474"/>
    <x v="1"/>
    <x v="1"/>
    <m/>
    <n v="1"/>
    <m/>
  </r>
  <r>
    <n v="1209673428"/>
    <s v="281"/>
    <x v="27"/>
    <d v="2026-10-14T12:19:29"/>
    <d v="2026-10-14T06:19:26"/>
    <d v="2026-10-14T00:00:00"/>
    <s v=""/>
    <s v="CAJA"/>
    <n v="4"/>
    <s v="PENDIENTE APROBACION  ENVIO TMS"/>
    <s v="000000001209673428"/>
    <x v="1"/>
    <x v="0"/>
    <m/>
    <n v="1"/>
    <m/>
  </r>
  <r>
    <n v="1209673487"/>
    <s v="297"/>
    <x v="73"/>
    <d v="2026-10-14T12:19:30"/>
    <d v="2026-10-14T06:19:27"/>
    <d v="2026-10-14T00:00:00"/>
    <s v=""/>
    <s v="PACK"/>
    <n v="12"/>
    <s v="PENDIENTE APROBACION  ENVIO TMS"/>
    <s v="000000001209673487"/>
    <x v="1"/>
    <x v="0"/>
    <m/>
    <n v="1"/>
    <m/>
  </r>
  <r>
    <n v="1209673445"/>
    <s v="282"/>
    <x v="110"/>
    <d v="2026-10-14T12:19:31"/>
    <d v="2026-10-14T06:19:28"/>
    <d v="2026-10-14T00:00:00"/>
    <s v=""/>
    <s v="CAJA"/>
    <n v="1"/>
    <s v="PENDIENTE APROBACION  ENVIO TMS"/>
    <s v="000000001209673445"/>
    <x v="1"/>
    <x v="0"/>
    <m/>
    <n v="1"/>
    <m/>
  </r>
  <r>
    <n v="1209673429"/>
    <s v="281"/>
    <x v="27"/>
    <d v="2026-10-14T12:19:32"/>
    <d v="2026-10-14T06:19:30"/>
    <d v="2026-10-14T00:00:00"/>
    <s v=""/>
    <s v="CAJA"/>
    <n v="10"/>
    <s v="PENDIENTE APROBACION  ENVIO TMS"/>
    <s v="000000001209673429"/>
    <x v="1"/>
    <x v="0"/>
    <m/>
    <n v="1"/>
    <m/>
  </r>
  <r>
    <n v="1209673484"/>
    <s v="297"/>
    <x v="73"/>
    <d v="2026-10-14T12:19:34"/>
    <d v="2026-10-14T06:19:31"/>
    <d v="2026-10-14T00:00:00"/>
    <s v=""/>
    <s v="CAJA"/>
    <n v="5"/>
    <s v="PENDIENTE APROBACION  ENVIO TMS"/>
    <s v="000000001209673484"/>
    <x v="1"/>
    <x v="0"/>
    <m/>
    <n v="1"/>
    <m/>
  </r>
  <r>
    <n v="1209673469"/>
    <s v="284"/>
    <x v="116"/>
    <d v="2026-10-14T12:19:35"/>
    <d v="2026-10-14T06:19:32"/>
    <d v="2026-10-14T00:00:00"/>
    <s v=""/>
    <s v="CAJA"/>
    <n v="17"/>
    <s v="PENDIENTE APROBACION  ENVIO TMS"/>
    <s v="000000001209673469"/>
    <x v="1"/>
    <x v="0"/>
    <m/>
    <n v="1"/>
    <m/>
  </r>
  <r>
    <n v="1209673478"/>
    <s v="296"/>
    <x v="13"/>
    <d v="2026-10-14T12:19:36"/>
    <d v="2026-10-14T06:19:34"/>
    <d v="2026-10-14T00:00:00"/>
    <s v=""/>
    <s v="CAJA"/>
    <n v="18"/>
    <s v="PENDIENTE APROBACION  ENVIO TMS"/>
    <s v="000000001209673478"/>
    <x v="1"/>
    <x v="1"/>
    <m/>
    <n v="1"/>
    <m/>
  </r>
  <r>
    <n v="1209673472"/>
    <s v="296"/>
    <x v="13"/>
    <d v="2026-10-14T12:19:37"/>
    <d v="2026-10-14T06:19:35"/>
    <d v="2026-10-14T00:00:00"/>
    <s v=""/>
    <s v="CAJA"/>
    <n v="4"/>
    <s v="PENDIENTE APROBACION  ENVIO TMS"/>
    <s v="000000001209673472"/>
    <x v="1"/>
    <x v="1"/>
    <m/>
    <n v="1"/>
    <m/>
  </r>
  <r>
    <n v="8209673460"/>
    <s v="284"/>
    <x v="116"/>
    <d v="2026-10-14T12:19:39"/>
    <d v="2026-10-14T06:19:36"/>
    <d v="2026-10-14T00:00:00"/>
    <s v=""/>
    <s v="UNIDAD"/>
    <n v="3"/>
    <s v="PENDIENTE APROBACION  ENVIO TMS"/>
    <s v="000000008209673460"/>
    <x v="2"/>
    <x v="0"/>
    <m/>
    <n v="1"/>
    <m/>
  </r>
  <r>
    <n v="1209673481"/>
    <s v="297"/>
    <x v="73"/>
    <d v="2026-10-14T12:19:40"/>
    <d v="2026-10-14T06:19:37"/>
    <d v="2026-10-14T00:00:00"/>
    <s v=""/>
    <s v="PACK"/>
    <n v="2"/>
    <s v="PENDIENTE APROBACION  ENVIO TMS"/>
    <s v="000000001209673481"/>
    <x v="1"/>
    <x v="0"/>
    <m/>
    <n v="1"/>
    <m/>
  </r>
  <r>
    <n v="1209673437"/>
    <s v="281"/>
    <x v="27"/>
    <d v="2026-10-14T12:19:42"/>
    <d v="2026-10-14T06:19:39"/>
    <d v="2026-10-14T00:00:00"/>
    <s v=""/>
    <s v="CAJA"/>
    <n v="42"/>
    <s v="PENDIENTE APROBACION  ENVIO TMS"/>
    <s v="000000001209673437"/>
    <x v="1"/>
    <x v="0"/>
    <m/>
    <n v="1"/>
    <m/>
  </r>
  <r>
    <n v="1209673451"/>
    <s v="282"/>
    <x v="110"/>
    <d v="2026-10-14T12:19:42"/>
    <d v="2026-10-14T06:19:40"/>
    <d v="2026-10-14T00:00:00"/>
    <s v=""/>
    <s v="CAJA"/>
    <n v="1"/>
    <s v="PENDIENTE APROBACION  ENVIO TMS"/>
    <s v="000000001209673451"/>
    <x v="1"/>
    <x v="0"/>
    <m/>
    <n v="1"/>
    <m/>
  </r>
  <r>
    <n v="1209673461"/>
    <s v="284"/>
    <x v="116"/>
    <d v="2026-10-14T12:19:44"/>
    <d v="2026-10-14T06:19:41"/>
    <d v="2026-10-14T00:00:00"/>
    <s v=""/>
    <s v="CAJA"/>
    <n v="3"/>
    <s v="PENDIENTE APROBACION  ENVIO TMS"/>
    <s v="000000001209673461"/>
    <x v="1"/>
    <x v="0"/>
    <m/>
    <n v="1"/>
    <m/>
  </r>
  <r>
    <n v="1209673463"/>
    <s v="284"/>
    <x v="116"/>
    <d v="2026-10-14T12:19:45"/>
    <d v="2026-10-14T06:19:42"/>
    <d v="2026-10-14T00:00:00"/>
    <s v=""/>
    <s v="CAJA"/>
    <n v="5"/>
    <s v="PENDIENTE APROBACION  ENVIO TMS"/>
    <s v="000000001209673463"/>
    <x v="1"/>
    <x v="0"/>
    <m/>
    <n v="1"/>
    <m/>
  </r>
  <r>
    <n v="1209673475"/>
    <s v="296"/>
    <x v="13"/>
    <d v="2026-10-14T12:19:46"/>
    <d v="2026-10-14T06:19:44"/>
    <d v="2026-10-14T00:00:00"/>
    <s v=""/>
    <s v="CAJA"/>
    <n v="10"/>
    <s v="PENDIENTE APROBACION  ENVIO TMS"/>
    <s v="000000001209673475"/>
    <x v="1"/>
    <x v="1"/>
    <m/>
    <n v="1"/>
    <m/>
  </r>
  <r>
    <n v="1209673477"/>
    <s v="296"/>
    <x v="13"/>
    <d v="2026-10-14T12:19:48"/>
    <d v="2026-10-14T06:19:46"/>
    <d v="2026-10-14T00:00:00"/>
    <s v=""/>
    <s v="CAJA"/>
    <n v="14"/>
    <s v="PENDIENTE APROBACION  ENVIO TMS"/>
    <s v="000000001209673477"/>
    <x v="1"/>
    <x v="1"/>
    <m/>
    <n v="1"/>
    <m/>
  </r>
  <r>
    <n v="1209673489"/>
    <s v="297"/>
    <x v="73"/>
    <d v="2026-10-14T12:19:48"/>
    <d v="2026-10-14T06:19:45"/>
    <d v="2026-10-14T00:00:00"/>
    <s v=""/>
    <s v="PACK"/>
    <n v="28"/>
    <s v="PENDIENTE APROBACION  ENVIO TMS"/>
    <s v="000000001209673489"/>
    <x v="1"/>
    <x v="0"/>
    <m/>
    <n v="1"/>
    <m/>
  </r>
  <r>
    <n v="1209673452"/>
    <s v="282"/>
    <x v="110"/>
    <d v="2026-10-14T12:19:50"/>
    <d v="2026-10-14T06:19:47"/>
    <d v="2026-10-14T00:00:00"/>
    <s v=""/>
    <s v="CAJA"/>
    <n v="18"/>
    <s v="PENDIENTE APROBACION  ENVIO TMS"/>
    <s v="000000001209673452"/>
    <x v="1"/>
    <x v="0"/>
    <m/>
    <n v="1"/>
    <m/>
  </r>
  <r>
    <n v="1209673438"/>
    <s v="281"/>
    <x v="27"/>
    <d v="2026-10-14T12:19:52"/>
    <d v="2026-10-14T06:19:49"/>
    <d v="2026-10-14T00:00:00"/>
    <s v=""/>
    <s v="PACK"/>
    <n v="44"/>
    <s v="PENDIENTE APROBACION  ENVIO TMS"/>
    <s v="000000001209673438"/>
    <x v="1"/>
    <x v="0"/>
    <m/>
    <n v="1"/>
    <m/>
  </r>
  <r>
    <n v="1209673436"/>
    <s v="281"/>
    <x v="27"/>
    <d v="2026-10-14T12:19:53"/>
    <d v="2026-10-14T06:19:50"/>
    <d v="2026-10-14T00:00:00"/>
    <s v=""/>
    <s v="CAJA"/>
    <n v="36"/>
    <s v="PENDIENTE APROBACION  ENVIO TMS"/>
    <s v="000000001209673436"/>
    <x v="1"/>
    <x v="0"/>
    <m/>
    <n v="1"/>
    <m/>
  </r>
  <r>
    <n v="8209673439"/>
    <s v="282"/>
    <x v="110"/>
    <d v="2026-10-14T12:19:54"/>
    <d v="2026-10-14T06:19:51"/>
    <d v="2026-10-14T00:00:00"/>
    <s v=""/>
    <s v="UNIDAD"/>
    <n v="2"/>
    <s v="PENDIENTE APROBACION  ENVIO TMS"/>
    <s v="000000008209673439"/>
    <x v="2"/>
    <x v="0"/>
    <m/>
    <n v="1"/>
    <m/>
  </r>
  <r>
    <n v="8209673441"/>
    <s v="282"/>
    <x v="110"/>
    <d v="2026-10-14T12:19:55"/>
    <d v="2026-10-14T06:19:53"/>
    <d v="2026-10-14T00:00:00"/>
    <s v=""/>
    <s v="UNIDAD"/>
    <n v="3"/>
    <s v="PENDIENTE APROBACION  ENVIO TMS"/>
    <s v="000000008209673441"/>
    <x v="2"/>
    <x v="0"/>
    <m/>
    <n v="1"/>
    <m/>
  </r>
  <r>
    <n v="1209673443"/>
    <s v="282"/>
    <x v="110"/>
    <d v="2026-10-14T12:19:56"/>
    <d v="2026-10-14T06:19:54"/>
    <d v="2026-10-14T00:00:00"/>
    <s v=""/>
    <s v="CAJA"/>
    <n v="1"/>
    <s v="PENDIENTE APROBACION  ENVIO TMS"/>
    <s v="000000001209673443"/>
    <x v="1"/>
    <x v="0"/>
    <m/>
    <n v="1"/>
    <m/>
  </r>
  <r>
    <n v="1209673488"/>
    <s v="297"/>
    <x v="73"/>
    <d v="2026-10-14T12:19:58"/>
    <d v="2026-10-14T06:19:55"/>
    <d v="2026-10-14T00:00:00"/>
    <s v=""/>
    <s v="CAJA"/>
    <n v="28"/>
    <s v="PENDIENTE APROBACION  ENVIO TMS"/>
    <s v="000000001209673488"/>
    <x v="1"/>
    <x v="0"/>
    <m/>
    <n v="1"/>
    <m/>
  </r>
  <r>
    <n v="1209673432"/>
    <s v="281"/>
    <x v="27"/>
    <d v="2026-10-14T12:20:00"/>
    <d v="2026-10-14T06:19:58"/>
    <d v="2026-10-14T00:00:00"/>
    <s v=""/>
    <s v="CAJA"/>
    <n v="9"/>
    <s v="PENDIENTE APROBACION  ENVIO TMS"/>
    <s v="000000001209673432"/>
    <x v="1"/>
    <x v="0"/>
    <m/>
    <n v="1"/>
    <m/>
  </r>
  <r>
    <n v="8209673425"/>
    <s v="281"/>
    <x v="27"/>
    <d v="2026-10-14T12:20:02"/>
    <d v="2026-10-14T06:19:59"/>
    <d v="2026-10-14T00:00:00"/>
    <s v=""/>
    <s v="UNIDAD"/>
    <n v="11"/>
    <s v="PENDIENTE APROBACION  ENVIO TMS"/>
    <s v="000000008209673425"/>
    <x v="2"/>
    <x v="0"/>
    <m/>
    <n v="1"/>
    <m/>
  </r>
  <r>
    <n v="1209673430"/>
    <s v="281"/>
    <x v="27"/>
    <d v="2026-10-14T12:20:03"/>
    <d v="2026-10-14T06:20:00"/>
    <d v="2026-10-14T00:00:00"/>
    <s v=""/>
    <s v="CAJA"/>
    <n v="13"/>
    <s v="PENDIENTE APROBACION  ENVIO TMS"/>
    <s v="000000001209673430"/>
    <x v="1"/>
    <x v="0"/>
    <m/>
    <n v="1"/>
    <m/>
  </r>
  <r>
    <n v="1209673449"/>
    <s v="282"/>
    <x v="110"/>
    <d v="2026-10-14T12:20:04"/>
    <d v="2026-10-14T06:20:01"/>
    <d v="2026-10-14T00:00:00"/>
    <s v=""/>
    <s v="CAJA"/>
    <n v="5"/>
    <s v="PENDIENTE APROBACION  ENVIO TMS"/>
    <s v="000000001209673449"/>
    <x v="1"/>
    <x v="0"/>
    <m/>
    <n v="1"/>
    <m/>
  </r>
  <r>
    <n v="1209673482"/>
    <s v="297"/>
    <x v="73"/>
    <d v="2026-10-14T12:20:05"/>
    <d v="2026-10-14T06:20:03"/>
    <d v="2026-10-14T00:00:00"/>
    <s v=""/>
    <s v="CAJA"/>
    <n v="7"/>
    <s v="PENDIENTE APROBACION  ENVIO TMS"/>
    <s v="000000001209673482"/>
    <x v="1"/>
    <x v="0"/>
    <m/>
    <n v="1"/>
    <m/>
  </r>
  <r>
    <n v="8209673459"/>
    <s v="284"/>
    <x v="116"/>
    <d v="2026-10-14T12:20:08"/>
    <d v="2026-10-14T06:20:05"/>
    <d v="2026-10-14T00:00:00"/>
    <s v=""/>
    <s v="UNIDAD"/>
    <n v="5"/>
    <s v="PENDIENTE APROBACION  ENVIO TMS"/>
    <s v="000000008209673459"/>
    <x v="2"/>
    <x v="0"/>
    <m/>
    <n v="1"/>
    <m/>
  </r>
  <r>
    <n v="8209673427"/>
    <s v="281"/>
    <x v="27"/>
    <d v="2026-10-14T12:20:10"/>
    <d v="2026-10-14T06:20:07"/>
    <d v="2026-10-14T00:00:00"/>
    <s v=""/>
    <s v="UNIDAD"/>
    <n v="88"/>
    <s v="PENDIENTE APROBACION  ENVIO TMS"/>
    <s v="000000008209673427"/>
    <x v="2"/>
    <x v="0"/>
    <m/>
    <n v="1"/>
    <m/>
  </r>
  <r>
    <n v="1209673431"/>
    <s v="281"/>
    <x v="27"/>
    <d v="2026-10-14T12:20:11"/>
    <d v="2026-10-14T06:20:08"/>
    <d v="2026-10-14T00:00:00"/>
    <s v=""/>
    <s v="CAJA"/>
    <n v="13"/>
    <s v="PENDIENTE APROBACION  ENVIO TMS"/>
    <s v="000000001209673431"/>
    <x v="1"/>
    <x v="0"/>
    <m/>
    <n v="1"/>
    <m/>
  </r>
  <r>
    <n v="1209673485"/>
    <s v="297"/>
    <x v="73"/>
    <d v="2026-10-14T12:20:13"/>
    <d v="2026-10-14T06:20:11"/>
    <d v="2026-10-14T00:00:00"/>
    <s v=""/>
    <s v="CAJA"/>
    <n v="9"/>
    <s v="PENDIENTE APROBACION  ENVIO TMS"/>
    <s v="000000001209673485"/>
    <x v="1"/>
    <x v="0"/>
    <m/>
    <n v="1"/>
    <m/>
  </r>
  <r>
    <n v="1209673486"/>
    <s v="297"/>
    <x v="73"/>
    <d v="2026-10-14T12:20:15"/>
    <d v="2026-10-14T06:20:12"/>
    <d v="2026-10-14T00:00:00"/>
    <s v=""/>
    <s v="CAJA"/>
    <n v="9"/>
    <s v="PENDIENTE APROBACION  ENVIO TMS"/>
    <s v="000000001209673486"/>
    <x v="1"/>
    <x v="0"/>
    <m/>
    <n v="1"/>
    <m/>
  </r>
  <r>
    <n v="1209673467"/>
    <s v="284"/>
    <x v="116"/>
    <d v="2026-10-14T12:20:16"/>
    <d v="2026-10-14T06:20:13"/>
    <d v="2026-10-14T00:00:00"/>
    <s v=""/>
    <s v="CAJA"/>
    <n v="11"/>
    <s v="PENDIENTE APROBACION  ENVIO TMS"/>
    <s v="000000001209673467"/>
    <x v="1"/>
    <x v="0"/>
    <m/>
    <n v="1"/>
    <m/>
  </r>
  <r>
    <n v="8209673442"/>
    <s v="282"/>
    <x v="110"/>
    <d v="2026-10-14T12:20:17"/>
    <d v="2026-10-14T06:20:14"/>
    <d v="2026-10-14T00:00:00"/>
    <s v=""/>
    <s v="UNIDAD"/>
    <n v="3"/>
    <s v="PENDIENTE APROBACION  ENVIO TMS"/>
    <s v="000000008209673442"/>
    <x v="2"/>
    <x v="0"/>
    <m/>
    <n v="1"/>
    <m/>
  </r>
  <r>
    <n v="8209673470"/>
    <s v="296"/>
    <x v="13"/>
    <d v="2026-10-14T12:20:18"/>
    <d v="2026-10-14T06:20:16"/>
    <d v="2026-10-14T00:00:00"/>
    <s v=""/>
    <s v="UNIDAD"/>
    <n v="1"/>
    <s v="PENDIENTE APROBACION  ENVIO TMS"/>
    <s v="000000008209673470"/>
    <x v="2"/>
    <x v="1"/>
    <m/>
    <n v="1"/>
    <m/>
  </r>
  <r>
    <n v="8209673471"/>
    <s v="296"/>
    <x v="13"/>
    <d v="2026-10-14T12:20:20"/>
    <d v="2026-10-14T06:20:17"/>
    <d v="2026-10-14T00:00:00"/>
    <s v=""/>
    <s v="UNIDAD"/>
    <n v="2"/>
    <s v="PENDIENTE APROBACION  ENVIO TMS"/>
    <s v="000000008209673471"/>
    <x v="2"/>
    <x v="1"/>
    <m/>
    <n v="1"/>
    <m/>
  </r>
  <r>
    <n v="8209673423"/>
    <s v="281"/>
    <x v="27"/>
    <d v="2026-10-14T12:20:21"/>
    <d v="2026-10-14T06:20:18"/>
    <d v="2026-10-14T00:00:00"/>
    <s v=""/>
    <s v="UNIDAD"/>
    <n v="1"/>
    <s v="PENDIENTE APROBACION  ENVIO TMS"/>
    <s v="000000008209673423"/>
    <x v="2"/>
    <x v="0"/>
    <m/>
    <n v="1"/>
    <m/>
  </r>
  <r>
    <n v="8209673426"/>
    <s v="281"/>
    <x v="27"/>
    <d v="2026-10-14T12:20:22"/>
    <d v="2026-10-14T06:20:20"/>
    <d v="2026-10-14T00:00:00"/>
    <s v=""/>
    <s v="UNIDAD"/>
    <n v="11"/>
    <s v="PENDIENTE APROBACION  ENVIO TMS"/>
    <s v="000000008209673426"/>
    <x v="2"/>
    <x v="0"/>
    <m/>
    <n v="1"/>
    <m/>
  </r>
  <r>
    <n v="1209673465"/>
    <s v="284"/>
    <x v="116"/>
    <d v="2026-10-14T12:20:23"/>
    <d v="2026-10-14T06:20:21"/>
    <d v="2026-10-14T00:00:00"/>
    <s v=""/>
    <s v="CAJA"/>
    <n v="2"/>
    <s v="PENDIENTE APROBACION  ENVIO TMS"/>
    <s v="000000001209673465"/>
    <x v="1"/>
    <x v="0"/>
    <m/>
    <n v="1"/>
    <m/>
  </r>
  <r>
    <n v="1209673483"/>
    <s v="297"/>
    <x v="73"/>
    <d v="2026-10-14T12:20:25"/>
    <d v="2026-10-14T06:20:22"/>
    <d v="2026-10-14T00:00:00"/>
    <s v=""/>
    <s v="CAJA"/>
    <n v="7"/>
    <s v="PENDIENTE APROBACION  ENVIO TMS"/>
    <s v="000000001209673483"/>
    <x v="1"/>
    <x v="0"/>
    <m/>
    <n v="1"/>
    <m/>
  </r>
  <r>
    <n v="1209673466"/>
    <s v="284"/>
    <x v="116"/>
    <d v="2026-10-14T12:20:27"/>
    <d v="2026-10-14T06:20:25"/>
    <d v="2026-10-14T00:00:00"/>
    <s v=""/>
    <s v="CAJA"/>
    <n v="6"/>
    <s v="PENDIENTE APROBACION  ENVIO TMS"/>
    <s v="000000001209673466"/>
    <x v="1"/>
    <x v="0"/>
    <m/>
    <n v="1"/>
    <m/>
  </r>
  <r>
    <n v="1209673435"/>
    <s v="281"/>
    <x v="27"/>
    <d v="2026-10-14T12:20:28"/>
    <d v="2026-10-14T06:20:26"/>
    <d v="2026-10-14T00:00:00"/>
    <s v=""/>
    <s v="PACK"/>
    <n v="40"/>
    <s v="PENDIENTE APROBACION  ENVIO TMS"/>
    <s v="000000001209673435"/>
    <x v="1"/>
    <x v="0"/>
    <m/>
    <n v="1"/>
    <m/>
  </r>
  <r>
    <n v="1209673453"/>
    <s v="282"/>
    <x v="110"/>
    <d v="2026-10-14T12:20:30"/>
    <d v="2026-10-14T06:20:27"/>
    <d v="2026-10-14T00:00:00"/>
    <s v=""/>
    <s v="PACK"/>
    <n v="21"/>
    <s v="PENDIENTE APROBACION  ENVIO TMS"/>
    <s v="000000001209673453"/>
    <x v="1"/>
    <x v="0"/>
    <m/>
    <n v="1"/>
    <m/>
  </r>
  <r>
    <n v="1209673468"/>
    <s v="284"/>
    <x v="116"/>
    <d v="2026-10-14T12:20:31"/>
    <d v="2026-10-14T06:20:28"/>
    <d v="2026-10-14T00:00:00"/>
    <s v=""/>
    <s v="CAJA"/>
    <n v="1"/>
    <s v="PENDIENTE APROBACION  ENVIO TMS"/>
    <s v="000000001209673468"/>
    <x v="1"/>
    <x v="0"/>
    <m/>
    <n v="1"/>
    <m/>
  </r>
  <r>
    <n v="8209673440"/>
    <s v="282"/>
    <x v="110"/>
    <d v="2026-10-14T12:20:33"/>
    <d v="2026-10-14T06:20:30"/>
    <d v="2026-10-14T00:00:00"/>
    <s v=""/>
    <s v="UNIDAD"/>
    <n v="2"/>
    <s v="PENDIENTE APROBACION  ENVIO TMS"/>
    <s v="000000008209673440"/>
    <x v="2"/>
    <x v="0"/>
    <m/>
    <n v="1"/>
    <m/>
  </r>
  <r>
    <n v="1209673446"/>
    <s v="282"/>
    <x v="110"/>
    <d v="2026-10-14T12:20:34"/>
    <d v="2026-10-14T06:20:31"/>
    <d v="2026-10-14T00:00:00"/>
    <s v=""/>
    <s v="CAJA"/>
    <n v="6"/>
    <s v="PENDIENTE APROBACION  ENVIO TMS"/>
    <s v="000000001209673446"/>
    <x v="1"/>
    <x v="0"/>
    <m/>
    <n v="1"/>
    <m/>
  </r>
  <r>
    <n v="1209673454"/>
    <s v="282"/>
    <x v="110"/>
    <d v="2026-10-14T12:20:34"/>
    <d v="2026-10-14T06:20:32"/>
    <d v="2026-10-14T00:00:00"/>
    <s v=""/>
    <s v="PACK"/>
    <n v="20"/>
    <s v="PENDIENTE APROBACION  ENVIO TMS"/>
    <s v="000000001209673454"/>
    <x v="1"/>
    <x v="0"/>
    <m/>
    <n v="1"/>
    <m/>
  </r>
  <r>
    <n v="1209673473"/>
    <s v="296"/>
    <x v="13"/>
    <d v="2026-10-14T12:20:36"/>
    <d v="2026-10-14T06:20:33"/>
    <d v="2026-10-14T00:00:00"/>
    <s v=""/>
    <s v="CAJA"/>
    <n v="9"/>
    <s v="PENDIENTE APROBACION  ENVIO TMS"/>
    <s v="000000001209673473"/>
    <x v="1"/>
    <x v="1"/>
    <m/>
    <n v="1"/>
    <m/>
  </r>
  <r>
    <n v="1209673448"/>
    <s v="282"/>
    <x v="110"/>
    <d v="2026-10-14T12:20:37"/>
    <d v="2026-10-14T06:20:35"/>
    <d v="2026-10-14T00:00:00"/>
    <s v=""/>
    <s v="CAJA"/>
    <n v="4"/>
    <s v="PENDIENTE APROBACION  ENVIO TMS"/>
    <s v="000000001209673448"/>
    <x v="1"/>
    <x v="0"/>
    <m/>
    <n v="1"/>
    <m/>
  </r>
  <r>
    <n v="8209673458"/>
    <s v="284"/>
    <x v="116"/>
    <d v="2026-10-14T12:20:38"/>
    <d v="2026-10-14T06:20:36"/>
    <d v="2026-10-14T00:00:00"/>
    <s v=""/>
    <s v="UNIDAD"/>
    <n v="1"/>
    <s v="PENDIENTE APROBACION  ENVIO TMS"/>
    <s v="000000008209673458"/>
    <x v="2"/>
    <x v="0"/>
    <m/>
    <n v="1"/>
    <m/>
  </r>
  <r>
    <n v="8209673480"/>
    <s v="297"/>
    <x v="73"/>
    <d v="2026-10-14T12:20:39"/>
    <d v="2026-10-14T06:20:37"/>
    <d v="2026-10-14T00:00:00"/>
    <s v=""/>
    <s v="UNIDAD"/>
    <n v="5"/>
    <s v="PENDIENTE APROBACION  ENVIO TMS"/>
    <s v="000000008209673480"/>
    <x v="2"/>
    <x v="0"/>
    <m/>
    <n v="1"/>
    <m/>
  </r>
  <r>
    <n v="8209673422"/>
    <s v="281"/>
    <x v="27"/>
    <d v="2026-10-14T12:20:41"/>
    <d v="2026-10-14T06:20:39"/>
    <d v="2026-10-14T00:00:00"/>
    <s v=""/>
    <s v="UNIDAD"/>
    <n v="1"/>
    <s v="PENDIENTE APROBACION  ENVIO TMS"/>
    <s v="000000008209673422"/>
    <x v="2"/>
    <x v="0"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D00E8-7418-435E-8F33-92612DD09C1A}" name="TablaDinámica1" cacheId="5" applyNumberFormats="0" applyBorderFormats="0" applyFontFormats="0" applyPatternFormats="0" applyAlignmentFormats="0" applyWidthHeightFormats="1" dataCaption="  " updatedVersion="8" minRefreshableVersion="3" showCalcMbrs="0" useAutoFormatting="1" itemPrintTitles="1" createdVersion="3" indent="0" outline="1" outlineData="1" multipleFieldFilters="0" rowHeaderCaption="   ">
  <location ref="A5:C146" firstHeaderRow="1" firstDataRow="2" firstDataCol="1" rowPageCount="2" colPageCount="1"/>
  <pivotFields count="16">
    <pivotField numFmtId="1" showAll="0"/>
    <pivotField showAll="0"/>
    <pivotField axis="axisRow" showAll="0" sortType="ascending">
      <items count="140">
        <item x="69"/>
        <item x="83"/>
        <item x="127"/>
        <item x="40"/>
        <item x="13"/>
        <item x="53"/>
        <item x="73"/>
        <item x="123"/>
        <item x="39"/>
        <item x="71"/>
        <item x="87"/>
        <item x="136"/>
        <item x="68"/>
        <item x="11"/>
        <item x="15"/>
        <item x="90"/>
        <item x="54"/>
        <item x="78"/>
        <item x="61"/>
        <item x="112"/>
        <item x="97"/>
        <item x="118"/>
        <item x="137"/>
        <item x="117"/>
        <item x="59"/>
        <item x="95"/>
        <item x="17"/>
        <item x="1"/>
        <item x="51"/>
        <item x="56"/>
        <item x="2"/>
        <item x="119"/>
        <item x="132"/>
        <item x="45"/>
        <item x="49"/>
        <item x="88"/>
        <item x="23"/>
        <item x="106"/>
        <item x="50"/>
        <item x="36"/>
        <item x="103"/>
        <item x="111"/>
        <item x="76"/>
        <item x="25"/>
        <item x="14"/>
        <item x="27"/>
        <item x="31"/>
        <item x="77"/>
        <item x="93"/>
        <item x="131"/>
        <item x="9"/>
        <item x="79"/>
        <item x="116"/>
        <item x="96"/>
        <item x="26"/>
        <item x="98"/>
        <item x="107"/>
        <item x="55"/>
        <item x="60"/>
        <item x="12"/>
        <item x="21"/>
        <item x="94"/>
        <item x="28"/>
        <item x="100"/>
        <item x="5"/>
        <item x="126"/>
        <item x="33"/>
        <item x="101"/>
        <item x="35"/>
        <item x="89"/>
        <item x="58"/>
        <item x="70"/>
        <item x="81"/>
        <item x="16"/>
        <item x="10"/>
        <item x="62"/>
        <item x="34"/>
        <item x="115"/>
        <item x="67"/>
        <item x="41"/>
        <item x="42"/>
        <item x="125"/>
        <item x="104"/>
        <item x="135"/>
        <item x="6"/>
        <item x="114"/>
        <item x="99"/>
        <item x="121"/>
        <item x="29"/>
        <item x="7"/>
        <item x="20"/>
        <item x="0"/>
        <item x="108"/>
        <item x="124"/>
        <item x="18"/>
        <item x="74"/>
        <item x="72"/>
        <item x="129"/>
        <item x="37"/>
        <item x="113"/>
        <item x="22"/>
        <item x="63"/>
        <item x="44"/>
        <item x="85"/>
        <item x="66"/>
        <item x="86"/>
        <item x="110"/>
        <item x="64"/>
        <item x="82"/>
        <item x="65"/>
        <item x="120"/>
        <item x="43"/>
        <item x="19"/>
        <item x="38"/>
        <item x="4"/>
        <item x="80"/>
        <item x="133"/>
        <item x="130"/>
        <item x="84"/>
        <item x="128"/>
        <item x="24"/>
        <item x="134"/>
        <item x="109"/>
        <item x="3"/>
        <item x="8"/>
        <item x="57"/>
        <item x="32"/>
        <item x="47"/>
        <item x="91"/>
        <item x="48"/>
        <item x="30"/>
        <item x="92"/>
        <item x="138"/>
        <item x="46"/>
        <item x="75"/>
        <item x="52"/>
        <item x="102"/>
        <item x="122"/>
        <item x="105"/>
        <item t="default"/>
      </items>
    </pivotField>
    <pivotField numFmtId="164" showAll="0"/>
    <pivotField numFmtId="164" showAll="0"/>
    <pivotField numFmtId="164" showAll="0"/>
    <pivotField showAll="0"/>
    <pivotField showAll="0"/>
    <pivotField dataField="1" showAll="0"/>
    <pivotField showAll="0"/>
    <pivotField showAll="0"/>
    <pivotField axis="axisPage" multipleItemSelectionAllowed="1" showAll="0">
      <items count="4">
        <item x="0"/>
        <item x="1"/>
        <item h="1" x="2"/>
        <item t="default"/>
      </items>
    </pivotField>
    <pivotField axis="axisPage" showAll="0">
      <items count="7">
        <item m="1" x="5"/>
        <item x="0"/>
        <item x="1"/>
        <item x="2"/>
        <item x="3"/>
        <item x="4"/>
        <item t="default"/>
      </items>
    </pivotField>
    <pivotField showAll="0"/>
    <pivotField dataField="1" showAll="0"/>
    <pivotField showAll="0"/>
  </pivotFields>
  <rowFields count="1">
    <field x="2"/>
  </rowFields>
  <rowItems count="1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formats count="4">
    <format dxfId="3">
      <pivotArea dataOnly="0" fieldPosition="0">
        <references count="1">
          <reference field="2" count="1">
            <x v="30"/>
          </reference>
        </references>
      </pivotArea>
    </format>
    <format dxfId="2">
      <pivotArea dataOnly="0" fieldPosition="0">
        <references count="1">
          <reference field="2" count="1">
            <x v="59"/>
          </reference>
        </references>
      </pivotArea>
    </format>
    <format dxfId="1">
      <pivotArea dataOnly="0" fieldPosition="0">
        <references count="1">
          <reference field="2" count="2">
            <x v="123"/>
            <x v="124"/>
          </reference>
        </references>
      </pivotArea>
    </format>
    <format dxfId="0">
      <pivotArea dataOnly="0" fieldPosition="0">
        <references count="1">
          <reference field="2" count="1">
            <x v="13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28FE-F4E6-4B84-9BF4-E4550A5F37B6}">
  <dimension ref="A2:C146"/>
  <sheetViews>
    <sheetView topLeftCell="A46" workbookViewId="0">
      <selection activeCell="B37" activeCellId="4" sqref="B139 B131 B130 B66 B37"/>
    </sheetView>
  </sheetViews>
  <sheetFormatPr baseColWidth="10" defaultRowHeight="14.4" x14ac:dyDescent="0.3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 x14ac:dyDescent="0.3">
      <c r="A2" s="17" t="s">
        <v>3296</v>
      </c>
      <c r="B2" t="s">
        <v>3294</v>
      </c>
    </row>
    <row r="3" spans="1:3" x14ac:dyDescent="0.3">
      <c r="A3" s="17" t="s">
        <v>3284</v>
      </c>
      <c r="B3" t="s">
        <v>3295</v>
      </c>
    </row>
    <row r="5" spans="1:3" x14ac:dyDescent="0.3">
      <c r="B5" s="17" t="s">
        <v>3299</v>
      </c>
    </row>
    <row r="6" spans="1:3" x14ac:dyDescent="0.3">
      <c r="A6" s="17" t="s">
        <v>3300</v>
      </c>
      <c r="B6" t="s">
        <v>3297</v>
      </c>
      <c r="C6" t="s">
        <v>3298</v>
      </c>
    </row>
    <row r="7" spans="1:3" x14ac:dyDescent="0.3">
      <c r="A7" s="18" t="s">
        <v>349</v>
      </c>
      <c r="B7">
        <v>122</v>
      </c>
      <c r="C7">
        <v>14</v>
      </c>
    </row>
    <row r="8" spans="1:3" x14ac:dyDescent="0.3">
      <c r="A8" s="18" t="s">
        <v>392</v>
      </c>
      <c r="B8">
        <v>116</v>
      </c>
      <c r="C8">
        <v>13</v>
      </c>
    </row>
    <row r="9" spans="1:3" x14ac:dyDescent="0.3">
      <c r="A9" s="18" t="s">
        <v>525</v>
      </c>
      <c r="B9">
        <v>149</v>
      </c>
      <c r="C9">
        <v>13</v>
      </c>
    </row>
    <row r="10" spans="1:3" x14ac:dyDescent="0.3">
      <c r="A10" s="18" t="s">
        <v>260</v>
      </c>
      <c r="B10">
        <v>120</v>
      </c>
      <c r="C10">
        <v>12</v>
      </c>
    </row>
    <row r="11" spans="1:3" x14ac:dyDescent="0.3">
      <c r="A11" s="18" t="s">
        <v>179</v>
      </c>
      <c r="B11">
        <v>126</v>
      </c>
      <c r="C11">
        <v>10</v>
      </c>
    </row>
    <row r="12" spans="1:3" x14ac:dyDescent="0.3">
      <c r="A12" s="18" t="s">
        <v>299</v>
      </c>
      <c r="B12">
        <v>99</v>
      </c>
      <c r="C12">
        <v>14</v>
      </c>
    </row>
    <row r="13" spans="1:3" x14ac:dyDescent="0.3">
      <c r="A13" s="18" t="s">
        <v>362</v>
      </c>
      <c r="B13">
        <v>122</v>
      </c>
      <c r="C13">
        <v>12</v>
      </c>
    </row>
    <row r="14" spans="1:3" x14ac:dyDescent="0.3">
      <c r="A14" s="18" t="s">
        <v>513</v>
      </c>
      <c r="B14">
        <v>194</v>
      </c>
      <c r="C14">
        <v>14</v>
      </c>
    </row>
    <row r="15" spans="1:3" x14ac:dyDescent="0.3">
      <c r="A15" s="18" t="s">
        <v>257</v>
      </c>
      <c r="B15">
        <v>124</v>
      </c>
      <c r="C15">
        <v>12</v>
      </c>
    </row>
    <row r="16" spans="1:3" x14ac:dyDescent="0.3">
      <c r="A16" s="18" t="s">
        <v>355</v>
      </c>
      <c r="B16">
        <v>410</v>
      </c>
      <c r="C16">
        <v>17</v>
      </c>
    </row>
    <row r="17" spans="1:3" x14ac:dyDescent="0.3">
      <c r="A17" s="18" t="s">
        <v>404</v>
      </c>
      <c r="B17">
        <v>286</v>
      </c>
      <c r="C17">
        <v>17</v>
      </c>
    </row>
    <row r="18" spans="1:3" x14ac:dyDescent="0.3">
      <c r="A18" s="18" t="s">
        <v>552</v>
      </c>
      <c r="B18">
        <v>195</v>
      </c>
      <c r="C18">
        <v>17</v>
      </c>
    </row>
    <row r="19" spans="1:3" x14ac:dyDescent="0.3">
      <c r="A19" s="18" t="s">
        <v>346</v>
      </c>
      <c r="B19">
        <v>43</v>
      </c>
      <c r="C19">
        <v>6</v>
      </c>
    </row>
    <row r="20" spans="1:3" x14ac:dyDescent="0.3">
      <c r="A20" s="18" t="s">
        <v>173</v>
      </c>
      <c r="B20">
        <v>108</v>
      </c>
      <c r="C20">
        <v>14</v>
      </c>
    </row>
    <row r="21" spans="1:3" x14ac:dyDescent="0.3">
      <c r="A21" s="18" t="s">
        <v>185</v>
      </c>
      <c r="B21">
        <v>358</v>
      </c>
      <c r="C21">
        <v>16</v>
      </c>
    </row>
    <row r="22" spans="1:3" x14ac:dyDescent="0.3">
      <c r="A22" s="18" t="s">
        <v>413</v>
      </c>
      <c r="B22">
        <v>248</v>
      </c>
      <c r="C22">
        <v>17</v>
      </c>
    </row>
    <row r="23" spans="1:3" x14ac:dyDescent="0.3">
      <c r="A23" s="18" t="s">
        <v>302</v>
      </c>
      <c r="B23">
        <v>142</v>
      </c>
      <c r="C23">
        <v>17</v>
      </c>
    </row>
    <row r="24" spans="1:3" x14ac:dyDescent="0.3">
      <c r="A24" s="18" t="s">
        <v>377</v>
      </c>
      <c r="B24">
        <v>225</v>
      </c>
      <c r="C24">
        <v>17</v>
      </c>
    </row>
    <row r="25" spans="1:3" x14ac:dyDescent="0.3">
      <c r="A25" s="18" t="s">
        <v>325</v>
      </c>
      <c r="B25">
        <v>232</v>
      </c>
      <c r="C25">
        <v>17</v>
      </c>
    </row>
    <row r="26" spans="1:3" x14ac:dyDescent="0.3">
      <c r="A26" s="18" t="s">
        <v>479</v>
      </c>
      <c r="B26">
        <v>179</v>
      </c>
      <c r="C26">
        <v>18</v>
      </c>
    </row>
    <row r="27" spans="1:3" x14ac:dyDescent="0.3">
      <c r="A27" s="18" t="s">
        <v>434</v>
      </c>
      <c r="B27">
        <v>440</v>
      </c>
      <c r="C27">
        <v>16</v>
      </c>
    </row>
    <row r="28" spans="1:3" x14ac:dyDescent="0.3">
      <c r="A28" s="18" t="s">
        <v>498</v>
      </c>
      <c r="B28">
        <v>268</v>
      </c>
      <c r="C28">
        <v>17</v>
      </c>
    </row>
    <row r="29" spans="1:3" x14ac:dyDescent="0.3">
      <c r="A29" s="18" t="s">
        <v>555</v>
      </c>
      <c r="B29">
        <v>219</v>
      </c>
      <c r="C29">
        <v>18</v>
      </c>
    </row>
    <row r="30" spans="1:3" x14ac:dyDescent="0.3">
      <c r="A30" s="18" t="s">
        <v>495</v>
      </c>
      <c r="B30">
        <v>41</v>
      </c>
      <c r="C30">
        <v>6</v>
      </c>
    </row>
    <row r="31" spans="1:3" x14ac:dyDescent="0.3">
      <c r="A31" s="18" t="s">
        <v>319</v>
      </c>
      <c r="B31">
        <v>222</v>
      </c>
      <c r="C31">
        <v>18</v>
      </c>
    </row>
    <row r="32" spans="1:3" x14ac:dyDescent="0.3">
      <c r="A32" s="18" t="s">
        <v>428</v>
      </c>
      <c r="B32">
        <v>251</v>
      </c>
      <c r="C32">
        <v>18</v>
      </c>
    </row>
    <row r="33" spans="1:3" x14ac:dyDescent="0.3">
      <c r="A33" s="18" t="s">
        <v>191</v>
      </c>
      <c r="B33">
        <v>302</v>
      </c>
      <c r="C33">
        <v>18</v>
      </c>
    </row>
    <row r="34" spans="1:3" x14ac:dyDescent="0.3">
      <c r="A34" s="18" t="s">
        <v>20</v>
      </c>
      <c r="B34">
        <v>832</v>
      </c>
      <c r="C34">
        <v>55</v>
      </c>
    </row>
    <row r="35" spans="1:3" x14ac:dyDescent="0.3">
      <c r="A35" s="18" t="s">
        <v>293</v>
      </c>
      <c r="B35">
        <v>27</v>
      </c>
      <c r="C35">
        <v>5</v>
      </c>
    </row>
    <row r="36" spans="1:3" x14ac:dyDescent="0.3">
      <c r="A36" s="18" t="s">
        <v>310</v>
      </c>
      <c r="B36">
        <v>334</v>
      </c>
      <c r="C36">
        <v>17</v>
      </c>
    </row>
    <row r="37" spans="1:3" x14ac:dyDescent="0.3">
      <c r="A37" s="19" t="s">
        <v>88</v>
      </c>
      <c r="B37" s="20">
        <v>514</v>
      </c>
      <c r="C37" s="20">
        <v>33</v>
      </c>
    </row>
    <row r="38" spans="1:3" x14ac:dyDescent="0.3">
      <c r="A38" s="18" t="s">
        <v>501</v>
      </c>
      <c r="B38">
        <v>281</v>
      </c>
      <c r="C38">
        <v>18</v>
      </c>
    </row>
    <row r="39" spans="1:3" x14ac:dyDescent="0.3">
      <c r="A39" s="18" t="s">
        <v>540</v>
      </c>
      <c r="B39">
        <v>268</v>
      </c>
      <c r="C39">
        <v>17</v>
      </c>
    </row>
    <row r="40" spans="1:3" x14ac:dyDescent="0.3">
      <c r="A40" s="18" t="s">
        <v>275</v>
      </c>
      <c r="B40">
        <v>366</v>
      </c>
      <c r="C40">
        <v>17</v>
      </c>
    </row>
    <row r="41" spans="1:3" x14ac:dyDescent="0.3">
      <c r="A41" s="18" t="s">
        <v>287</v>
      </c>
      <c r="B41">
        <v>380</v>
      </c>
      <c r="C41">
        <v>17</v>
      </c>
    </row>
    <row r="42" spans="1:3" x14ac:dyDescent="0.3">
      <c r="A42" s="18" t="s">
        <v>407</v>
      </c>
      <c r="B42">
        <v>137</v>
      </c>
      <c r="C42">
        <v>17</v>
      </c>
    </row>
    <row r="43" spans="1:3" x14ac:dyDescent="0.3">
      <c r="A43" s="18" t="s">
        <v>209</v>
      </c>
      <c r="B43">
        <v>271</v>
      </c>
      <c r="C43">
        <v>17</v>
      </c>
    </row>
    <row r="44" spans="1:3" x14ac:dyDescent="0.3">
      <c r="A44" s="18" t="s">
        <v>461</v>
      </c>
      <c r="B44">
        <v>260</v>
      </c>
      <c r="C44">
        <v>16</v>
      </c>
    </row>
    <row r="45" spans="1:3" x14ac:dyDescent="0.3">
      <c r="A45" s="18" t="s">
        <v>290</v>
      </c>
      <c r="B45">
        <v>263</v>
      </c>
      <c r="C45">
        <v>16</v>
      </c>
    </row>
    <row r="46" spans="1:3" x14ac:dyDescent="0.3">
      <c r="A46" s="18" t="s">
        <v>248</v>
      </c>
      <c r="B46">
        <v>312</v>
      </c>
      <c r="C46">
        <v>17</v>
      </c>
    </row>
    <row r="47" spans="1:3" x14ac:dyDescent="0.3">
      <c r="A47" s="18" t="s">
        <v>452</v>
      </c>
      <c r="B47">
        <v>344</v>
      </c>
      <c r="C47">
        <v>18</v>
      </c>
    </row>
    <row r="48" spans="1:3" x14ac:dyDescent="0.3">
      <c r="A48" s="18" t="s">
        <v>476</v>
      </c>
      <c r="B48">
        <v>434</v>
      </c>
      <c r="C48">
        <v>17</v>
      </c>
    </row>
    <row r="49" spans="1:3" x14ac:dyDescent="0.3">
      <c r="A49" s="18" t="s">
        <v>371</v>
      </c>
      <c r="B49">
        <v>345</v>
      </c>
      <c r="C49">
        <v>17</v>
      </c>
    </row>
    <row r="50" spans="1:3" x14ac:dyDescent="0.3">
      <c r="A50" s="18" t="s">
        <v>215</v>
      </c>
      <c r="B50">
        <v>58</v>
      </c>
      <c r="C50">
        <v>7</v>
      </c>
    </row>
    <row r="51" spans="1:3" x14ac:dyDescent="0.3">
      <c r="A51" s="18" t="s">
        <v>182</v>
      </c>
      <c r="B51">
        <v>261</v>
      </c>
      <c r="C51">
        <v>18</v>
      </c>
    </row>
    <row r="52" spans="1:3" x14ac:dyDescent="0.3">
      <c r="A52" s="18" t="s">
        <v>221</v>
      </c>
      <c r="B52">
        <v>312</v>
      </c>
      <c r="C52">
        <v>17</v>
      </c>
    </row>
    <row r="53" spans="1:3" x14ac:dyDescent="0.3">
      <c r="A53" s="18" t="s">
        <v>233</v>
      </c>
      <c r="B53">
        <v>63</v>
      </c>
      <c r="C53">
        <v>7</v>
      </c>
    </row>
    <row r="54" spans="1:3" x14ac:dyDescent="0.3">
      <c r="A54" s="18" t="s">
        <v>374</v>
      </c>
      <c r="B54">
        <v>123</v>
      </c>
      <c r="C54">
        <v>14</v>
      </c>
    </row>
    <row r="55" spans="1:3" x14ac:dyDescent="0.3">
      <c r="A55" s="18" t="s">
        <v>422</v>
      </c>
      <c r="B55">
        <v>153</v>
      </c>
      <c r="C55">
        <v>17</v>
      </c>
    </row>
    <row r="56" spans="1:3" x14ac:dyDescent="0.3">
      <c r="A56" s="18" t="s">
        <v>537</v>
      </c>
      <c r="B56">
        <v>188</v>
      </c>
      <c r="C56">
        <v>17</v>
      </c>
    </row>
    <row r="57" spans="1:3" x14ac:dyDescent="0.3">
      <c r="A57" s="18" t="s">
        <v>167</v>
      </c>
      <c r="B57">
        <v>58</v>
      </c>
      <c r="C57">
        <v>6</v>
      </c>
    </row>
    <row r="58" spans="1:3" x14ac:dyDescent="0.3">
      <c r="A58" s="18" t="s">
        <v>380</v>
      </c>
      <c r="B58">
        <v>239</v>
      </c>
      <c r="C58">
        <v>16</v>
      </c>
    </row>
    <row r="59" spans="1:3" x14ac:dyDescent="0.3">
      <c r="A59" s="18" t="s">
        <v>492</v>
      </c>
      <c r="B59">
        <v>77</v>
      </c>
      <c r="C59">
        <v>14</v>
      </c>
    </row>
    <row r="60" spans="1:3" x14ac:dyDescent="0.3">
      <c r="A60" s="18" t="s">
        <v>431</v>
      </c>
      <c r="B60">
        <v>230</v>
      </c>
      <c r="C60">
        <v>18</v>
      </c>
    </row>
    <row r="61" spans="1:3" x14ac:dyDescent="0.3">
      <c r="A61" s="18" t="s">
        <v>218</v>
      </c>
      <c r="B61">
        <v>171</v>
      </c>
      <c r="C61">
        <v>18</v>
      </c>
    </row>
    <row r="62" spans="1:3" x14ac:dyDescent="0.3">
      <c r="A62" s="18" t="s">
        <v>437</v>
      </c>
      <c r="B62">
        <v>217</v>
      </c>
      <c r="C62">
        <v>17</v>
      </c>
    </row>
    <row r="63" spans="1:3" x14ac:dyDescent="0.3">
      <c r="A63" s="18" t="s">
        <v>464</v>
      </c>
      <c r="B63">
        <v>144</v>
      </c>
      <c r="C63">
        <v>18</v>
      </c>
    </row>
    <row r="64" spans="1:3" x14ac:dyDescent="0.3">
      <c r="A64" s="18" t="s">
        <v>305</v>
      </c>
      <c r="B64">
        <v>213</v>
      </c>
      <c r="C64">
        <v>16</v>
      </c>
    </row>
    <row r="65" spans="1:3" x14ac:dyDescent="0.3">
      <c r="A65" s="18" t="s">
        <v>322</v>
      </c>
      <c r="B65">
        <v>361</v>
      </c>
      <c r="C65">
        <v>17</v>
      </c>
    </row>
    <row r="66" spans="1:3" x14ac:dyDescent="0.3">
      <c r="A66" s="19" t="s">
        <v>176</v>
      </c>
      <c r="B66" s="20">
        <v>45</v>
      </c>
      <c r="C66" s="20">
        <v>6</v>
      </c>
    </row>
    <row r="67" spans="1:3" x14ac:dyDescent="0.3">
      <c r="A67" s="18" t="s">
        <v>203</v>
      </c>
      <c r="B67">
        <v>75</v>
      </c>
      <c r="C67">
        <v>14</v>
      </c>
    </row>
    <row r="68" spans="1:3" x14ac:dyDescent="0.3">
      <c r="A68" s="18" t="s">
        <v>425</v>
      </c>
      <c r="B68">
        <v>388</v>
      </c>
      <c r="C68">
        <v>17</v>
      </c>
    </row>
    <row r="69" spans="1:3" x14ac:dyDescent="0.3">
      <c r="A69" s="18" t="s">
        <v>224</v>
      </c>
      <c r="B69">
        <v>55</v>
      </c>
      <c r="C69">
        <v>7</v>
      </c>
    </row>
    <row r="70" spans="1:3" x14ac:dyDescent="0.3">
      <c r="A70" s="18" t="s">
        <v>443</v>
      </c>
      <c r="B70">
        <v>168</v>
      </c>
      <c r="C70">
        <v>17</v>
      </c>
    </row>
    <row r="71" spans="1:3" x14ac:dyDescent="0.3">
      <c r="A71" s="18" t="s">
        <v>155</v>
      </c>
      <c r="B71">
        <v>352</v>
      </c>
      <c r="C71">
        <v>17</v>
      </c>
    </row>
    <row r="72" spans="1:3" x14ac:dyDescent="0.3">
      <c r="A72" s="18" t="s">
        <v>522</v>
      </c>
      <c r="B72">
        <v>183</v>
      </c>
      <c r="C72">
        <v>17</v>
      </c>
    </row>
    <row r="73" spans="1:3" x14ac:dyDescent="0.3">
      <c r="A73" s="18" t="s">
        <v>239</v>
      </c>
      <c r="B73">
        <v>313</v>
      </c>
      <c r="C73">
        <v>17</v>
      </c>
    </row>
    <row r="74" spans="1:3" x14ac:dyDescent="0.3">
      <c r="A74" s="18" t="s">
        <v>446</v>
      </c>
      <c r="B74">
        <v>246</v>
      </c>
      <c r="C74">
        <v>18</v>
      </c>
    </row>
    <row r="75" spans="1:3" x14ac:dyDescent="0.3">
      <c r="A75" s="18" t="s">
        <v>245</v>
      </c>
      <c r="B75">
        <v>128</v>
      </c>
      <c r="C75">
        <v>16</v>
      </c>
    </row>
    <row r="76" spans="1:3" x14ac:dyDescent="0.3">
      <c r="A76" s="18" t="s">
        <v>410</v>
      </c>
      <c r="B76">
        <v>211</v>
      </c>
      <c r="C76">
        <v>18</v>
      </c>
    </row>
    <row r="77" spans="1:3" x14ac:dyDescent="0.3">
      <c r="A77" s="18" t="s">
        <v>316</v>
      </c>
      <c r="B77">
        <v>295</v>
      </c>
      <c r="C77">
        <v>16</v>
      </c>
    </row>
    <row r="78" spans="1:3" x14ac:dyDescent="0.3">
      <c r="A78" s="18" t="s">
        <v>352</v>
      </c>
      <c r="B78">
        <v>320</v>
      </c>
      <c r="C78">
        <v>17</v>
      </c>
    </row>
    <row r="79" spans="1:3" x14ac:dyDescent="0.3">
      <c r="A79" s="18" t="s">
        <v>386</v>
      </c>
      <c r="B79">
        <v>204</v>
      </c>
      <c r="C79">
        <v>16</v>
      </c>
    </row>
    <row r="80" spans="1:3" x14ac:dyDescent="0.3">
      <c r="A80" s="18" t="s">
        <v>188</v>
      </c>
      <c r="B80">
        <v>177</v>
      </c>
      <c r="C80">
        <v>18</v>
      </c>
    </row>
    <row r="81" spans="1:3" x14ac:dyDescent="0.3">
      <c r="A81" s="18" t="s">
        <v>170</v>
      </c>
      <c r="B81">
        <v>40</v>
      </c>
      <c r="C81">
        <v>7</v>
      </c>
    </row>
    <row r="82" spans="1:3" x14ac:dyDescent="0.3">
      <c r="A82" s="18" t="s">
        <v>328</v>
      </c>
      <c r="B82">
        <v>119</v>
      </c>
      <c r="C82">
        <v>17</v>
      </c>
    </row>
    <row r="83" spans="1:3" x14ac:dyDescent="0.3">
      <c r="A83" s="18" t="s">
        <v>242</v>
      </c>
      <c r="B83">
        <v>173</v>
      </c>
      <c r="C83">
        <v>15</v>
      </c>
    </row>
    <row r="84" spans="1:3" x14ac:dyDescent="0.3">
      <c r="A84" s="18" t="s">
        <v>489</v>
      </c>
      <c r="B84">
        <v>194</v>
      </c>
      <c r="C84">
        <v>18</v>
      </c>
    </row>
    <row r="85" spans="1:3" x14ac:dyDescent="0.3">
      <c r="A85" s="18" t="s">
        <v>343</v>
      </c>
      <c r="B85">
        <v>252</v>
      </c>
      <c r="C85">
        <v>18</v>
      </c>
    </row>
    <row r="86" spans="1:3" x14ac:dyDescent="0.3">
      <c r="A86" s="18" t="s">
        <v>263</v>
      </c>
      <c r="B86">
        <v>165</v>
      </c>
      <c r="C86">
        <v>18</v>
      </c>
    </row>
    <row r="87" spans="1:3" x14ac:dyDescent="0.3">
      <c r="A87" s="18" t="s">
        <v>266</v>
      </c>
      <c r="B87">
        <v>296</v>
      </c>
      <c r="C87">
        <v>18</v>
      </c>
    </row>
    <row r="88" spans="1:3" x14ac:dyDescent="0.3">
      <c r="A88" s="18" t="s">
        <v>519</v>
      </c>
      <c r="B88">
        <v>282</v>
      </c>
      <c r="C88">
        <v>17</v>
      </c>
    </row>
    <row r="89" spans="1:3" x14ac:dyDescent="0.3">
      <c r="A89" s="18" t="s">
        <v>455</v>
      </c>
      <c r="B89">
        <v>298</v>
      </c>
      <c r="C89">
        <v>18</v>
      </c>
    </row>
    <row r="90" spans="1:3" x14ac:dyDescent="0.3">
      <c r="A90" s="18" t="s">
        <v>549</v>
      </c>
      <c r="B90">
        <v>303</v>
      </c>
      <c r="C90">
        <v>17</v>
      </c>
    </row>
    <row r="91" spans="1:3" x14ac:dyDescent="0.3">
      <c r="A91" s="18" t="s">
        <v>158</v>
      </c>
      <c r="B91">
        <v>238</v>
      </c>
      <c r="C91">
        <v>17</v>
      </c>
    </row>
    <row r="92" spans="1:3" x14ac:dyDescent="0.3">
      <c r="A92" s="18" t="s">
        <v>486</v>
      </c>
      <c r="B92">
        <v>152</v>
      </c>
      <c r="C92">
        <v>16</v>
      </c>
    </row>
    <row r="93" spans="1:3" x14ac:dyDescent="0.3">
      <c r="A93" s="18" t="s">
        <v>440</v>
      </c>
      <c r="B93">
        <v>139</v>
      </c>
      <c r="C93">
        <v>15</v>
      </c>
    </row>
    <row r="94" spans="1:3" x14ac:dyDescent="0.3">
      <c r="A94" s="18" t="s">
        <v>507</v>
      </c>
      <c r="B94">
        <v>292</v>
      </c>
      <c r="C94">
        <v>16</v>
      </c>
    </row>
    <row r="95" spans="1:3" x14ac:dyDescent="0.3">
      <c r="A95" s="18" t="s">
        <v>227</v>
      </c>
      <c r="B95">
        <v>319</v>
      </c>
      <c r="C95">
        <v>17</v>
      </c>
    </row>
    <row r="96" spans="1:3" x14ac:dyDescent="0.3">
      <c r="A96" s="18" t="s">
        <v>161</v>
      </c>
      <c r="B96">
        <v>207</v>
      </c>
      <c r="C96">
        <v>17</v>
      </c>
    </row>
    <row r="97" spans="1:3" x14ac:dyDescent="0.3">
      <c r="A97" s="18" t="s">
        <v>200</v>
      </c>
      <c r="B97">
        <v>270</v>
      </c>
      <c r="C97">
        <v>17</v>
      </c>
    </row>
    <row r="98" spans="1:3" x14ac:dyDescent="0.3">
      <c r="A98" s="18" t="s">
        <v>15</v>
      </c>
      <c r="B98">
        <v>651</v>
      </c>
      <c r="C98">
        <v>50</v>
      </c>
    </row>
    <row r="99" spans="1:3" x14ac:dyDescent="0.3">
      <c r="A99" s="18" t="s">
        <v>467</v>
      </c>
      <c r="B99">
        <v>216</v>
      </c>
      <c r="C99">
        <v>18</v>
      </c>
    </row>
    <row r="100" spans="1:3" x14ac:dyDescent="0.3">
      <c r="A100" s="18" t="s">
        <v>516</v>
      </c>
      <c r="B100">
        <v>158</v>
      </c>
      <c r="C100">
        <v>16</v>
      </c>
    </row>
    <row r="101" spans="1:3" x14ac:dyDescent="0.3">
      <c r="A101" s="18" t="s">
        <v>194</v>
      </c>
      <c r="B101">
        <v>163</v>
      </c>
      <c r="C101">
        <v>16</v>
      </c>
    </row>
    <row r="102" spans="1:3" x14ac:dyDescent="0.3">
      <c r="A102" s="18" t="s">
        <v>365</v>
      </c>
      <c r="B102">
        <v>351</v>
      </c>
      <c r="C102">
        <v>17</v>
      </c>
    </row>
    <row r="103" spans="1:3" x14ac:dyDescent="0.3">
      <c r="A103" s="18" t="s">
        <v>359</v>
      </c>
      <c r="B103">
        <v>331</v>
      </c>
      <c r="C103">
        <v>16</v>
      </c>
    </row>
    <row r="104" spans="1:3" x14ac:dyDescent="0.3">
      <c r="A104" s="18" t="s">
        <v>531</v>
      </c>
      <c r="B104">
        <v>155</v>
      </c>
      <c r="C104">
        <v>16</v>
      </c>
    </row>
    <row r="105" spans="1:3" x14ac:dyDescent="0.3">
      <c r="A105" s="18" t="s">
        <v>251</v>
      </c>
      <c r="B105">
        <v>264</v>
      </c>
      <c r="C105">
        <v>17</v>
      </c>
    </row>
    <row r="106" spans="1:3" x14ac:dyDescent="0.3">
      <c r="A106" s="18" t="s">
        <v>483</v>
      </c>
      <c r="B106">
        <v>192</v>
      </c>
      <c r="C106">
        <v>17</v>
      </c>
    </row>
    <row r="107" spans="1:3" x14ac:dyDescent="0.3">
      <c r="A107" s="18" t="s">
        <v>206</v>
      </c>
      <c r="B107">
        <v>425</v>
      </c>
      <c r="C107">
        <v>17</v>
      </c>
    </row>
    <row r="108" spans="1:3" x14ac:dyDescent="0.3">
      <c r="A108" s="18" t="s">
        <v>331</v>
      </c>
      <c r="B108">
        <v>372</v>
      </c>
      <c r="C108">
        <v>18</v>
      </c>
    </row>
    <row r="109" spans="1:3" x14ac:dyDescent="0.3">
      <c r="A109" s="18" t="s">
        <v>272</v>
      </c>
      <c r="B109">
        <v>155</v>
      </c>
      <c r="C109">
        <v>15</v>
      </c>
    </row>
    <row r="110" spans="1:3" x14ac:dyDescent="0.3">
      <c r="A110" s="18" t="s">
        <v>398</v>
      </c>
      <c r="B110">
        <v>191</v>
      </c>
      <c r="C110">
        <v>16</v>
      </c>
    </row>
    <row r="111" spans="1:3" x14ac:dyDescent="0.3">
      <c r="A111" s="18" t="s">
        <v>340</v>
      </c>
      <c r="B111">
        <v>221</v>
      </c>
      <c r="C111">
        <v>16</v>
      </c>
    </row>
    <row r="112" spans="1:3" x14ac:dyDescent="0.3">
      <c r="A112" s="18" t="s">
        <v>401</v>
      </c>
      <c r="B112">
        <v>185</v>
      </c>
      <c r="C112">
        <v>17</v>
      </c>
    </row>
    <row r="113" spans="1:3" x14ac:dyDescent="0.3">
      <c r="A113" s="18" t="s">
        <v>473</v>
      </c>
      <c r="B113">
        <v>123</v>
      </c>
      <c r="C113">
        <v>18</v>
      </c>
    </row>
    <row r="114" spans="1:3" x14ac:dyDescent="0.3">
      <c r="A114" s="18" t="s">
        <v>334</v>
      </c>
      <c r="B114">
        <v>340</v>
      </c>
      <c r="C114">
        <v>16</v>
      </c>
    </row>
    <row r="115" spans="1:3" x14ac:dyDescent="0.3">
      <c r="A115" s="18" t="s">
        <v>389</v>
      </c>
      <c r="B115">
        <v>199</v>
      </c>
      <c r="C115">
        <v>17</v>
      </c>
    </row>
    <row r="116" spans="1:3" x14ac:dyDescent="0.3">
      <c r="A116" s="18" t="s">
        <v>337</v>
      </c>
      <c r="B116">
        <v>150</v>
      </c>
      <c r="C116">
        <v>17</v>
      </c>
    </row>
    <row r="117" spans="1:3" x14ac:dyDescent="0.3">
      <c r="A117" s="18" t="s">
        <v>504</v>
      </c>
      <c r="B117">
        <v>207</v>
      </c>
      <c r="C117">
        <v>18</v>
      </c>
    </row>
    <row r="118" spans="1:3" x14ac:dyDescent="0.3">
      <c r="A118" s="18" t="s">
        <v>269</v>
      </c>
      <c r="B118">
        <v>43</v>
      </c>
      <c r="C118">
        <v>7</v>
      </c>
    </row>
    <row r="119" spans="1:3" x14ac:dyDescent="0.3">
      <c r="A119" s="18" t="s">
        <v>197</v>
      </c>
      <c r="B119">
        <v>179</v>
      </c>
      <c r="C119">
        <v>17</v>
      </c>
    </row>
    <row r="120" spans="1:3" x14ac:dyDescent="0.3">
      <c r="A120" s="18" t="s">
        <v>254</v>
      </c>
      <c r="B120">
        <v>440</v>
      </c>
      <c r="C120">
        <v>17</v>
      </c>
    </row>
    <row r="121" spans="1:3" x14ac:dyDescent="0.3">
      <c r="A121" s="18" t="s">
        <v>151</v>
      </c>
      <c r="B121">
        <v>366</v>
      </c>
      <c r="C121">
        <v>16</v>
      </c>
    </row>
    <row r="122" spans="1:3" x14ac:dyDescent="0.3">
      <c r="A122" s="18" t="s">
        <v>383</v>
      </c>
      <c r="B122">
        <v>225</v>
      </c>
      <c r="C122">
        <v>16</v>
      </c>
    </row>
    <row r="123" spans="1:3" x14ac:dyDescent="0.3">
      <c r="A123" s="18" t="s">
        <v>543</v>
      </c>
      <c r="B123">
        <v>280</v>
      </c>
      <c r="C123">
        <v>17</v>
      </c>
    </row>
    <row r="124" spans="1:3" x14ac:dyDescent="0.3">
      <c r="A124" s="18" t="s">
        <v>534</v>
      </c>
      <c r="B124">
        <v>288</v>
      </c>
      <c r="C124">
        <v>17</v>
      </c>
    </row>
    <row r="125" spans="1:3" x14ac:dyDescent="0.3">
      <c r="A125" s="18" t="s">
        <v>395</v>
      </c>
      <c r="B125">
        <v>186</v>
      </c>
      <c r="C125">
        <v>17</v>
      </c>
    </row>
    <row r="126" spans="1:3" x14ac:dyDescent="0.3">
      <c r="A126" s="18" t="s">
        <v>528</v>
      </c>
      <c r="B126">
        <v>112</v>
      </c>
      <c r="C126">
        <v>14</v>
      </c>
    </row>
    <row r="127" spans="1:3" x14ac:dyDescent="0.3">
      <c r="A127" s="18" t="s">
        <v>212</v>
      </c>
      <c r="B127">
        <v>334</v>
      </c>
      <c r="C127">
        <v>18</v>
      </c>
    </row>
    <row r="128" spans="1:3" x14ac:dyDescent="0.3">
      <c r="A128" s="18" t="s">
        <v>546</v>
      </c>
      <c r="B128">
        <v>366</v>
      </c>
      <c r="C128">
        <v>18</v>
      </c>
    </row>
    <row r="129" spans="1:3" x14ac:dyDescent="0.3">
      <c r="A129" s="18" t="s">
        <v>470</v>
      </c>
      <c r="B129">
        <v>200</v>
      </c>
      <c r="C129">
        <v>18</v>
      </c>
    </row>
    <row r="130" spans="1:3" x14ac:dyDescent="0.3">
      <c r="A130" s="19" t="s">
        <v>94</v>
      </c>
      <c r="B130" s="20">
        <v>276</v>
      </c>
      <c r="C130" s="20">
        <v>32</v>
      </c>
    </row>
    <row r="131" spans="1:3" x14ac:dyDescent="0.3">
      <c r="A131" s="19" t="s">
        <v>164</v>
      </c>
      <c r="B131" s="20">
        <v>270</v>
      </c>
      <c r="C131" s="20">
        <v>18</v>
      </c>
    </row>
    <row r="132" spans="1:3" x14ac:dyDescent="0.3">
      <c r="A132" s="18" t="s">
        <v>313</v>
      </c>
      <c r="B132">
        <v>252</v>
      </c>
      <c r="C132">
        <v>16</v>
      </c>
    </row>
    <row r="133" spans="1:3" x14ac:dyDescent="0.3">
      <c r="A133" s="18" t="s">
        <v>236</v>
      </c>
      <c r="B133">
        <v>194</v>
      </c>
      <c r="C133">
        <v>17</v>
      </c>
    </row>
    <row r="134" spans="1:3" x14ac:dyDescent="0.3">
      <c r="A134" s="18" t="s">
        <v>281</v>
      </c>
      <c r="B134">
        <v>379</v>
      </c>
      <c r="C134">
        <v>15</v>
      </c>
    </row>
    <row r="135" spans="1:3" x14ac:dyDescent="0.3">
      <c r="A135" s="18" t="s">
        <v>416</v>
      </c>
      <c r="B135">
        <v>264</v>
      </c>
      <c r="C135">
        <v>16</v>
      </c>
    </row>
    <row r="136" spans="1:3" x14ac:dyDescent="0.3">
      <c r="A136" s="18" t="s">
        <v>284</v>
      </c>
      <c r="B136">
        <v>431</v>
      </c>
      <c r="C136">
        <v>17</v>
      </c>
    </row>
    <row r="137" spans="1:3" x14ac:dyDescent="0.3">
      <c r="A137" s="18" t="s">
        <v>230</v>
      </c>
      <c r="B137">
        <v>251</v>
      </c>
      <c r="C137">
        <v>17</v>
      </c>
    </row>
    <row r="138" spans="1:3" x14ac:dyDescent="0.3">
      <c r="A138" s="18" t="s">
        <v>419</v>
      </c>
      <c r="B138">
        <v>35</v>
      </c>
      <c r="C138">
        <v>6</v>
      </c>
    </row>
    <row r="139" spans="1:3" x14ac:dyDescent="0.3">
      <c r="A139" s="19" t="s">
        <v>558</v>
      </c>
      <c r="B139" s="20">
        <v>215</v>
      </c>
      <c r="C139" s="20">
        <v>16</v>
      </c>
    </row>
    <row r="140" spans="1:3" x14ac:dyDescent="0.3">
      <c r="A140" s="18" t="s">
        <v>278</v>
      </c>
      <c r="B140">
        <v>237</v>
      </c>
      <c r="C140">
        <v>16</v>
      </c>
    </row>
    <row r="141" spans="1:3" x14ac:dyDescent="0.3">
      <c r="A141" s="18" t="s">
        <v>368</v>
      </c>
      <c r="B141">
        <v>196</v>
      </c>
      <c r="C141">
        <v>15</v>
      </c>
    </row>
    <row r="142" spans="1:3" x14ac:dyDescent="0.3">
      <c r="A142" s="18" t="s">
        <v>296</v>
      </c>
      <c r="B142">
        <v>297</v>
      </c>
      <c r="C142">
        <v>17</v>
      </c>
    </row>
    <row r="143" spans="1:3" x14ac:dyDescent="0.3">
      <c r="A143" s="18" t="s">
        <v>449</v>
      </c>
      <c r="B143">
        <v>246</v>
      </c>
      <c r="C143">
        <v>16</v>
      </c>
    </row>
    <row r="144" spans="1:3" x14ac:dyDescent="0.3">
      <c r="A144" s="18" t="s">
        <v>510</v>
      </c>
      <c r="B144">
        <v>324</v>
      </c>
      <c r="C144">
        <v>18</v>
      </c>
    </row>
    <row r="145" spans="1:3" x14ac:dyDescent="0.3">
      <c r="A145" s="18" t="s">
        <v>458</v>
      </c>
      <c r="B145">
        <v>47</v>
      </c>
      <c r="C145">
        <v>7</v>
      </c>
    </row>
    <row r="146" spans="1:3" x14ac:dyDescent="0.3">
      <c r="A146" s="18" t="s">
        <v>3293</v>
      </c>
      <c r="B146">
        <v>32458</v>
      </c>
      <c r="C146">
        <v>2277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02"/>
  <sheetViews>
    <sheetView showGridLines="0" tabSelected="1" topLeftCell="A2981" workbookViewId="0">
      <selection activeCell="D2990" sqref="D2990"/>
    </sheetView>
  </sheetViews>
  <sheetFormatPr baseColWidth="10" defaultRowHeight="15" customHeight="1" x14ac:dyDescent="0.3"/>
  <cols>
    <col min="1" max="1" width="9.33203125" bestFit="1" customWidth="1"/>
    <col min="2" max="2" width="23.6640625" bestFit="1" customWidth="1"/>
    <col min="3" max="3" width="22.77734375" bestFit="1" customWidth="1"/>
    <col min="4" max="4" width="17.77734375" bestFit="1" customWidth="1"/>
    <col min="5" max="5" width="20.33203125" bestFit="1" customWidth="1"/>
    <col min="6" max="6" width="16.88671875" bestFit="1" customWidth="1"/>
    <col min="7" max="7" width="14.44140625" bestFit="1" customWidth="1"/>
    <col min="8" max="9" width="11.44140625" bestFit="1" customWidth="1"/>
    <col min="10" max="10" width="28" bestFit="1" customWidth="1"/>
    <col min="11" max="11" width="19.109375" bestFit="1" customWidth="1"/>
    <col min="12" max="12" width="9.109375" bestFit="1" customWidth="1"/>
    <col min="13" max="13" width="13.44140625" bestFit="1" customWidth="1"/>
    <col min="14" max="14" width="11.109375" bestFit="1" customWidth="1"/>
    <col min="15" max="15" width="9.77734375" bestFit="1" customWidth="1"/>
    <col min="16" max="16" width="13.44140625" bestFit="1" customWidth="1"/>
  </cols>
  <sheetData>
    <row r="1" spans="1:16" ht="1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3283</v>
      </c>
      <c r="L1" t="s">
        <v>3284</v>
      </c>
      <c r="M1" t="s">
        <v>9</v>
      </c>
      <c r="N1" t="s">
        <v>3285</v>
      </c>
      <c r="O1" t="s">
        <v>3286</v>
      </c>
      <c r="P1" t="s">
        <v>3287</v>
      </c>
    </row>
    <row r="2" spans="1:16" ht="15" customHeight="1" x14ac:dyDescent="0.3">
      <c r="A2" s="8">
        <v>209652799</v>
      </c>
      <c r="B2" s="4" t="s">
        <v>14</v>
      </c>
      <c r="C2" s="4" t="s">
        <v>15</v>
      </c>
      <c r="D2" s="6">
        <v>46305.710381944402</v>
      </c>
      <c r="E2" s="6">
        <v>46305.460358796299</v>
      </c>
      <c r="F2" s="6">
        <v>46305</v>
      </c>
      <c r="G2" s="5" t="s">
        <v>12</v>
      </c>
      <c r="H2" s="5" t="s">
        <v>16</v>
      </c>
      <c r="I2" s="5">
        <v>2</v>
      </c>
      <c r="J2" s="9" t="s">
        <v>17</v>
      </c>
      <c r="K2" s="1" t="s">
        <v>13</v>
      </c>
      <c r="L2" t="s">
        <v>10</v>
      </c>
      <c r="M2" t="str">
        <f>+VLOOKUP(C2,'[1]TIENDAS 2025'!$A$1:$C$143,3,0)</f>
        <v>departamental</v>
      </c>
      <c r="O2">
        <v>1</v>
      </c>
    </row>
    <row r="3" spans="1:16" ht="15" customHeight="1" x14ac:dyDescent="0.3">
      <c r="A3" s="8">
        <v>209652812</v>
      </c>
      <c r="B3" s="4" t="s">
        <v>19</v>
      </c>
      <c r="C3" s="4" t="s">
        <v>20</v>
      </c>
      <c r="D3" s="6">
        <v>46305.710474537002</v>
      </c>
      <c r="E3" s="6">
        <v>46305.4604398148</v>
      </c>
      <c r="F3" s="6">
        <v>46305</v>
      </c>
      <c r="G3" s="5" t="s">
        <v>12</v>
      </c>
      <c r="H3" s="5" t="s">
        <v>16</v>
      </c>
      <c r="I3" s="5">
        <v>2</v>
      </c>
      <c r="J3" s="9" t="s">
        <v>17</v>
      </c>
      <c r="K3" s="1" t="s">
        <v>18</v>
      </c>
      <c r="L3" t="s">
        <v>10</v>
      </c>
      <c r="M3" t="str">
        <f>+VLOOKUP(C3,'[1]TIENDAS 2025'!$A$1:$C$143,3,0)</f>
        <v>departamental</v>
      </c>
      <c r="O3">
        <v>1</v>
      </c>
    </row>
    <row r="4" spans="1:16" ht="15" customHeight="1" x14ac:dyDescent="0.3">
      <c r="A4" s="7">
        <v>1209653753</v>
      </c>
      <c r="B4" s="4" t="s">
        <v>19</v>
      </c>
      <c r="C4" s="4" t="s">
        <v>20</v>
      </c>
      <c r="D4" s="6">
        <v>46306.463067129604</v>
      </c>
      <c r="E4" s="6">
        <v>46306.213043981501</v>
      </c>
      <c r="F4" s="6">
        <v>46306</v>
      </c>
      <c r="G4" s="5" t="s">
        <v>12</v>
      </c>
      <c r="H4" s="5" t="s">
        <v>16</v>
      </c>
      <c r="I4" s="5">
        <v>1</v>
      </c>
      <c r="J4" s="9" t="s">
        <v>17</v>
      </c>
      <c r="K4" s="1" t="s">
        <v>21</v>
      </c>
      <c r="L4" t="s">
        <v>3284</v>
      </c>
      <c r="M4" t="str">
        <f>+VLOOKUP(C4,'[1]TIENDAS 2025'!$A$1:$C$143,3,0)</f>
        <v>departamental</v>
      </c>
      <c r="O4">
        <v>1</v>
      </c>
    </row>
    <row r="5" spans="1:16" ht="15" customHeight="1" x14ac:dyDescent="0.3">
      <c r="A5" s="7">
        <v>1209653752</v>
      </c>
      <c r="B5" s="4" t="s">
        <v>19</v>
      </c>
      <c r="C5" s="4" t="s">
        <v>20</v>
      </c>
      <c r="D5" s="6">
        <v>46306.463148148097</v>
      </c>
      <c r="E5" s="6">
        <v>46306.213125000002</v>
      </c>
      <c r="F5" s="6">
        <v>46306</v>
      </c>
      <c r="G5" s="5" t="s">
        <v>12</v>
      </c>
      <c r="H5" s="5" t="s">
        <v>16</v>
      </c>
      <c r="I5" s="5">
        <v>29</v>
      </c>
      <c r="J5" s="9" t="s">
        <v>17</v>
      </c>
      <c r="K5" s="1" t="s">
        <v>22</v>
      </c>
      <c r="L5" t="s">
        <v>3284</v>
      </c>
      <c r="M5" t="str">
        <f>+VLOOKUP(C5,'[1]TIENDAS 2025'!$A$1:$C$143,3,0)</f>
        <v>departamental</v>
      </c>
      <c r="O5">
        <v>1</v>
      </c>
    </row>
    <row r="6" spans="1:16" ht="15" customHeight="1" x14ac:dyDescent="0.3">
      <c r="A6" s="7">
        <v>1209653754</v>
      </c>
      <c r="B6" s="4" t="s">
        <v>19</v>
      </c>
      <c r="C6" s="4" t="s">
        <v>20</v>
      </c>
      <c r="D6" s="6">
        <v>46306.463194444397</v>
      </c>
      <c r="E6" s="6">
        <v>46306.213171296302</v>
      </c>
      <c r="F6" s="6">
        <v>46306</v>
      </c>
      <c r="G6" s="5" t="s">
        <v>12</v>
      </c>
      <c r="H6" s="5" t="s">
        <v>16</v>
      </c>
      <c r="I6" s="5">
        <v>34</v>
      </c>
      <c r="J6" s="9" t="s">
        <v>17</v>
      </c>
      <c r="K6" s="1" t="s">
        <v>23</v>
      </c>
      <c r="L6" t="s">
        <v>3284</v>
      </c>
      <c r="M6" t="str">
        <f>+VLOOKUP(C6,'[1]TIENDAS 2025'!$A$1:$C$143,3,0)</f>
        <v>departamental</v>
      </c>
      <c r="O6">
        <v>1</v>
      </c>
    </row>
    <row r="7" spans="1:16" ht="15" customHeight="1" x14ac:dyDescent="0.3">
      <c r="A7" s="7">
        <v>1209653748</v>
      </c>
      <c r="B7" s="4" t="s">
        <v>19</v>
      </c>
      <c r="C7" s="4" t="s">
        <v>20</v>
      </c>
      <c r="D7" s="6">
        <v>46306.463298611103</v>
      </c>
      <c r="E7" s="6">
        <v>46306.213263888902</v>
      </c>
      <c r="F7" s="6">
        <v>46306</v>
      </c>
      <c r="G7" s="5" t="s">
        <v>12</v>
      </c>
      <c r="H7" s="5" t="s">
        <v>16</v>
      </c>
      <c r="I7" s="5">
        <v>13</v>
      </c>
      <c r="J7" s="9" t="s">
        <v>17</v>
      </c>
      <c r="K7" s="1" t="s">
        <v>24</v>
      </c>
      <c r="L7" t="s">
        <v>3284</v>
      </c>
      <c r="M7" t="str">
        <f>+VLOOKUP(C7,'[1]TIENDAS 2025'!$A$1:$C$143,3,0)</f>
        <v>departamental</v>
      </c>
      <c r="O7">
        <v>1</v>
      </c>
    </row>
    <row r="8" spans="1:16" ht="15" customHeight="1" x14ac:dyDescent="0.3">
      <c r="A8" s="7">
        <v>1209653742</v>
      </c>
      <c r="B8" s="4" t="s">
        <v>19</v>
      </c>
      <c r="C8" s="4" t="s">
        <v>20</v>
      </c>
      <c r="D8" s="6">
        <v>46306.463425925896</v>
      </c>
      <c r="E8" s="6">
        <v>46306.213402777801</v>
      </c>
      <c r="F8" s="6">
        <v>46306</v>
      </c>
      <c r="G8" s="5" t="s">
        <v>12</v>
      </c>
      <c r="H8" s="5" t="s">
        <v>16</v>
      </c>
      <c r="I8" s="5">
        <v>2</v>
      </c>
      <c r="J8" s="9" t="s">
        <v>17</v>
      </c>
      <c r="K8" s="1" t="s">
        <v>25</v>
      </c>
      <c r="L8" t="s">
        <v>3284</v>
      </c>
      <c r="M8" t="str">
        <f>+VLOOKUP(C8,'[1]TIENDAS 2025'!$A$1:$C$143,3,0)</f>
        <v>departamental</v>
      </c>
      <c r="O8">
        <v>1</v>
      </c>
    </row>
    <row r="9" spans="1:16" ht="15" customHeight="1" x14ac:dyDescent="0.3">
      <c r="A9" s="7">
        <v>8209653743</v>
      </c>
      <c r="B9" s="4" t="s">
        <v>19</v>
      </c>
      <c r="C9" s="4" t="s">
        <v>20</v>
      </c>
      <c r="D9" s="6">
        <v>46306.463449074101</v>
      </c>
      <c r="E9" s="6">
        <v>46306.213414351798</v>
      </c>
      <c r="F9" s="6">
        <v>46306</v>
      </c>
      <c r="G9" s="5" t="s">
        <v>12</v>
      </c>
      <c r="H9" s="5" t="s">
        <v>27</v>
      </c>
      <c r="I9" s="5">
        <v>1</v>
      </c>
      <c r="J9" s="10" t="s">
        <v>17</v>
      </c>
      <c r="K9" s="1" t="s">
        <v>26</v>
      </c>
      <c r="M9" t="str">
        <f>+VLOOKUP(C9,'[1]TIENDAS 2025'!$A$1:$C$143,3,0)</f>
        <v>departamental</v>
      </c>
      <c r="O9">
        <v>1</v>
      </c>
    </row>
    <row r="10" spans="1:16" ht="15" customHeight="1" x14ac:dyDescent="0.3">
      <c r="A10" s="7">
        <v>1209653746</v>
      </c>
      <c r="B10" s="4" t="s">
        <v>19</v>
      </c>
      <c r="C10" s="4" t="s">
        <v>20</v>
      </c>
      <c r="D10" s="6">
        <v>46306.463472222204</v>
      </c>
      <c r="E10" s="6">
        <v>46306.213449074101</v>
      </c>
      <c r="F10" s="6">
        <v>46306</v>
      </c>
      <c r="G10" s="5" t="s">
        <v>12</v>
      </c>
      <c r="H10" s="5" t="s">
        <v>29</v>
      </c>
      <c r="I10" s="5">
        <v>8</v>
      </c>
      <c r="J10" s="9" t="s">
        <v>17</v>
      </c>
      <c r="K10" s="1" t="s">
        <v>28</v>
      </c>
      <c r="L10" t="s">
        <v>3284</v>
      </c>
      <c r="M10" t="str">
        <f>+VLOOKUP(C10,'[1]TIENDAS 2025'!$A$1:$C$143,3,0)</f>
        <v>departamental</v>
      </c>
      <c r="O10">
        <v>1</v>
      </c>
    </row>
    <row r="11" spans="1:16" ht="15" customHeight="1" x14ac:dyDescent="0.3">
      <c r="A11" s="7">
        <v>1209653755</v>
      </c>
      <c r="B11" s="4" t="s">
        <v>19</v>
      </c>
      <c r="C11" s="4" t="s">
        <v>20</v>
      </c>
      <c r="D11" s="6">
        <v>46306.463495370401</v>
      </c>
      <c r="E11" s="6">
        <v>46306.213460648098</v>
      </c>
      <c r="F11" s="6">
        <v>46306</v>
      </c>
      <c r="G11" s="5" t="s">
        <v>12</v>
      </c>
      <c r="H11" s="5" t="s">
        <v>29</v>
      </c>
      <c r="I11" s="5">
        <v>49</v>
      </c>
      <c r="J11" s="9" t="s">
        <v>17</v>
      </c>
      <c r="K11" s="1" t="s">
        <v>30</v>
      </c>
      <c r="L11" t="s">
        <v>3284</v>
      </c>
      <c r="M11" t="str">
        <f>+VLOOKUP(C11,'[1]TIENDAS 2025'!$A$1:$C$143,3,0)</f>
        <v>departamental</v>
      </c>
      <c r="O11">
        <v>1</v>
      </c>
    </row>
    <row r="12" spans="1:16" ht="15" customHeight="1" x14ac:dyDescent="0.3">
      <c r="A12" s="7">
        <v>1209653749</v>
      </c>
      <c r="B12" s="4" t="s">
        <v>19</v>
      </c>
      <c r="C12" s="4" t="s">
        <v>20</v>
      </c>
      <c r="D12" s="6">
        <v>46306.463576388902</v>
      </c>
      <c r="E12" s="6">
        <v>46306.213541666701</v>
      </c>
      <c r="F12" s="6">
        <v>46306</v>
      </c>
      <c r="G12" s="5" t="s">
        <v>12</v>
      </c>
      <c r="H12" s="5" t="s">
        <v>16</v>
      </c>
      <c r="I12" s="5">
        <v>14</v>
      </c>
      <c r="J12" s="9" t="s">
        <v>17</v>
      </c>
      <c r="K12" s="1" t="s">
        <v>31</v>
      </c>
      <c r="L12" t="s">
        <v>3284</v>
      </c>
      <c r="M12" t="str">
        <f>+VLOOKUP(C12,'[1]TIENDAS 2025'!$A$1:$C$143,3,0)</f>
        <v>departamental</v>
      </c>
      <c r="O12">
        <v>1</v>
      </c>
    </row>
    <row r="13" spans="1:16" ht="15" customHeight="1" x14ac:dyDescent="0.3">
      <c r="A13" s="7">
        <v>1209653747</v>
      </c>
      <c r="B13" s="4" t="s">
        <v>19</v>
      </c>
      <c r="C13" s="4" t="s">
        <v>20</v>
      </c>
      <c r="D13" s="6">
        <v>46306.463761574101</v>
      </c>
      <c r="E13" s="6">
        <v>46306.213738425897</v>
      </c>
      <c r="F13" s="6">
        <v>46306</v>
      </c>
      <c r="G13" s="5" t="s">
        <v>12</v>
      </c>
      <c r="H13" s="5" t="s">
        <v>16</v>
      </c>
      <c r="I13" s="5">
        <v>13</v>
      </c>
      <c r="J13" s="9" t="s">
        <v>17</v>
      </c>
      <c r="K13" s="1" t="s">
        <v>32</v>
      </c>
      <c r="L13" t="s">
        <v>3284</v>
      </c>
      <c r="M13" t="str">
        <f>+VLOOKUP(C13,'[1]TIENDAS 2025'!$A$1:$C$143,3,0)</f>
        <v>departamental</v>
      </c>
      <c r="O13">
        <v>1</v>
      </c>
    </row>
    <row r="14" spans="1:16" ht="15" customHeight="1" x14ac:dyDescent="0.3">
      <c r="A14" s="7">
        <v>8209653739</v>
      </c>
      <c r="B14" s="4" t="s">
        <v>19</v>
      </c>
      <c r="C14" s="4" t="s">
        <v>20</v>
      </c>
      <c r="D14" s="6">
        <v>46306.463888888902</v>
      </c>
      <c r="E14" s="6">
        <v>46306.213865740698</v>
      </c>
      <c r="F14" s="6">
        <v>46306</v>
      </c>
      <c r="G14" s="5" t="s">
        <v>12</v>
      </c>
      <c r="H14" s="5" t="s">
        <v>27</v>
      </c>
      <c r="I14" s="5">
        <v>1</v>
      </c>
      <c r="J14" s="10" t="s">
        <v>17</v>
      </c>
      <c r="K14" s="1" t="s">
        <v>33</v>
      </c>
      <c r="M14" t="str">
        <f>+VLOOKUP(C14,'[1]TIENDAS 2025'!$A$1:$C$143,3,0)</f>
        <v>departamental</v>
      </c>
      <c r="O14">
        <v>1</v>
      </c>
    </row>
    <row r="15" spans="1:16" ht="15" customHeight="1" x14ac:dyDescent="0.3">
      <c r="A15" s="7">
        <v>8209653741</v>
      </c>
      <c r="B15" s="4" t="s">
        <v>19</v>
      </c>
      <c r="C15" s="4" t="s">
        <v>20</v>
      </c>
      <c r="D15" s="6">
        <v>46306.464131944398</v>
      </c>
      <c r="E15" s="6">
        <v>46306.214108796303</v>
      </c>
      <c r="F15" s="6">
        <v>46306</v>
      </c>
      <c r="G15" s="5" t="s">
        <v>12</v>
      </c>
      <c r="H15" s="5" t="s">
        <v>27</v>
      </c>
      <c r="I15" s="5">
        <v>2</v>
      </c>
      <c r="J15" s="10" t="s">
        <v>17</v>
      </c>
      <c r="K15" s="1" t="s">
        <v>34</v>
      </c>
      <c r="M15" t="str">
        <f>+VLOOKUP(C15,'[1]TIENDAS 2025'!$A$1:$C$143,3,0)</f>
        <v>departamental</v>
      </c>
      <c r="O15">
        <v>1</v>
      </c>
    </row>
    <row r="16" spans="1:16" ht="15" customHeight="1" x14ac:dyDescent="0.3">
      <c r="A16" s="7">
        <v>8209653744</v>
      </c>
      <c r="B16" s="4" t="s">
        <v>19</v>
      </c>
      <c r="C16" s="4" t="s">
        <v>20</v>
      </c>
      <c r="D16" s="6">
        <v>46306.464155092603</v>
      </c>
      <c r="E16" s="6">
        <v>46306.214131944398</v>
      </c>
      <c r="F16" s="6">
        <v>46306</v>
      </c>
      <c r="G16" s="5" t="s">
        <v>12</v>
      </c>
      <c r="H16" s="5" t="s">
        <v>27</v>
      </c>
      <c r="I16" s="5">
        <v>1</v>
      </c>
      <c r="J16" s="10" t="s">
        <v>17</v>
      </c>
      <c r="K16" s="1" t="s">
        <v>35</v>
      </c>
      <c r="M16" t="str">
        <f>+VLOOKUP(C16,'[1]TIENDAS 2025'!$A$1:$C$143,3,0)</f>
        <v>departamental</v>
      </c>
      <c r="O16">
        <v>1</v>
      </c>
    </row>
    <row r="17" spans="1:15" ht="15" customHeight="1" x14ac:dyDescent="0.3">
      <c r="A17" s="7">
        <v>8209653745</v>
      </c>
      <c r="B17" s="4" t="s">
        <v>19</v>
      </c>
      <c r="C17" s="4" t="s">
        <v>20</v>
      </c>
      <c r="D17" s="6">
        <v>46306.464178240698</v>
      </c>
      <c r="E17" s="6">
        <v>46306.214143518497</v>
      </c>
      <c r="F17" s="6">
        <v>46306</v>
      </c>
      <c r="G17" s="5" t="s">
        <v>12</v>
      </c>
      <c r="H17" s="5" t="s">
        <v>27</v>
      </c>
      <c r="I17" s="5">
        <v>7</v>
      </c>
      <c r="J17" s="10" t="s">
        <v>17</v>
      </c>
      <c r="K17" s="1" t="s">
        <v>36</v>
      </c>
      <c r="M17" t="str">
        <f>+VLOOKUP(C17,'[1]TIENDAS 2025'!$A$1:$C$143,3,0)</f>
        <v>departamental</v>
      </c>
      <c r="O17">
        <v>1</v>
      </c>
    </row>
    <row r="18" spans="1:15" ht="15" customHeight="1" x14ac:dyDescent="0.3">
      <c r="A18" s="7">
        <v>1209653750</v>
      </c>
      <c r="B18" s="4" t="s">
        <v>19</v>
      </c>
      <c r="C18" s="4" t="s">
        <v>20</v>
      </c>
      <c r="D18" s="6">
        <v>46306.464479166701</v>
      </c>
      <c r="E18" s="6">
        <v>46306.214456018497</v>
      </c>
      <c r="F18" s="6">
        <v>46306</v>
      </c>
      <c r="G18" s="5" t="s">
        <v>12</v>
      </c>
      <c r="H18" s="5" t="s">
        <v>29</v>
      </c>
      <c r="I18" s="5">
        <v>21</v>
      </c>
      <c r="J18" s="9" t="s">
        <v>17</v>
      </c>
      <c r="K18" s="1" t="s">
        <v>37</v>
      </c>
      <c r="L18" t="s">
        <v>3284</v>
      </c>
      <c r="M18" t="str">
        <f>+VLOOKUP(C18,'[1]TIENDAS 2025'!$A$1:$C$143,3,0)</f>
        <v>departamental</v>
      </c>
      <c r="O18">
        <v>1</v>
      </c>
    </row>
    <row r="19" spans="1:15" ht="15" customHeight="1" x14ac:dyDescent="0.3">
      <c r="A19" s="7">
        <v>8209653740</v>
      </c>
      <c r="B19" s="4" t="s">
        <v>19</v>
      </c>
      <c r="C19" s="4" t="s">
        <v>20</v>
      </c>
      <c r="D19" s="6">
        <v>46306.464560185203</v>
      </c>
      <c r="E19" s="6">
        <v>46306.214537036998</v>
      </c>
      <c r="F19" s="6">
        <v>46306</v>
      </c>
      <c r="G19" s="5" t="s">
        <v>12</v>
      </c>
      <c r="H19" s="5" t="s">
        <v>27</v>
      </c>
      <c r="I19" s="5">
        <v>1</v>
      </c>
      <c r="J19" s="10" t="s">
        <v>17</v>
      </c>
      <c r="K19" s="1" t="s">
        <v>38</v>
      </c>
      <c r="M19" t="str">
        <f>+VLOOKUP(C19,'[1]TIENDAS 2025'!$A$1:$C$143,3,0)</f>
        <v>departamental</v>
      </c>
      <c r="O19">
        <v>1</v>
      </c>
    </row>
    <row r="20" spans="1:15" ht="15" customHeight="1" x14ac:dyDescent="0.3">
      <c r="A20" s="7">
        <v>1209653751</v>
      </c>
      <c r="B20" s="4" t="s">
        <v>19</v>
      </c>
      <c r="C20" s="4" t="s">
        <v>20</v>
      </c>
      <c r="D20" s="6">
        <v>46306.464583333298</v>
      </c>
      <c r="E20" s="6">
        <v>46306.214548611097</v>
      </c>
      <c r="F20" s="6">
        <v>46306</v>
      </c>
      <c r="G20" s="5" t="s">
        <v>12</v>
      </c>
      <c r="H20" s="5" t="s">
        <v>16</v>
      </c>
      <c r="I20" s="5">
        <v>23</v>
      </c>
      <c r="J20" s="9" t="s">
        <v>17</v>
      </c>
      <c r="K20" s="1" t="s">
        <v>39</v>
      </c>
      <c r="L20" t="s">
        <v>3284</v>
      </c>
      <c r="M20" t="str">
        <f>+VLOOKUP(C20,'[1]TIENDAS 2025'!$A$1:$C$143,3,0)</f>
        <v>departamental</v>
      </c>
      <c r="O20">
        <v>1</v>
      </c>
    </row>
    <row r="21" spans="1:15" ht="15" customHeight="1" x14ac:dyDescent="0.3">
      <c r="A21" s="7">
        <v>1209655356</v>
      </c>
      <c r="B21" s="4" t="s">
        <v>14</v>
      </c>
      <c r="C21" s="4" t="s">
        <v>15</v>
      </c>
      <c r="D21" s="6">
        <v>46306.5222222222</v>
      </c>
      <c r="E21" s="6">
        <v>46306.272187499999</v>
      </c>
      <c r="F21" s="6">
        <v>46306</v>
      </c>
      <c r="G21" s="5" t="s">
        <v>12</v>
      </c>
      <c r="H21" s="5" t="s">
        <v>16</v>
      </c>
      <c r="I21" s="5">
        <v>35</v>
      </c>
      <c r="J21" s="9" t="s">
        <v>17</v>
      </c>
      <c r="K21" s="1" t="s">
        <v>40</v>
      </c>
      <c r="L21" t="s">
        <v>3284</v>
      </c>
      <c r="M21" t="str">
        <f>+VLOOKUP(C21,'[1]TIENDAS 2025'!$A$1:$C$143,3,0)</f>
        <v>departamental</v>
      </c>
      <c r="O21">
        <v>1</v>
      </c>
    </row>
    <row r="22" spans="1:15" ht="15" customHeight="1" x14ac:dyDescent="0.3">
      <c r="A22" s="7">
        <v>1209655353</v>
      </c>
      <c r="B22" s="4" t="s">
        <v>14</v>
      </c>
      <c r="C22" s="4" t="s">
        <v>15</v>
      </c>
      <c r="D22" s="6">
        <v>46306.522615740701</v>
      </c>
      <c r="E22" s="6">
        <v>46306.2725810185</v>
      </c>
      <c r="F22" s="6">
        <v>46306</v>
      </c>
      <c r="G22" s="5" t="s">
        <v>12</v>
      </c>
      <c r="H22" s="5" t="s">
        <v>16</v>
      </c>
      <c r="I22" s="5">
        <v>15</v>
      </c>
      <c r="J22" s="9" t="s">
        <v>17</v>
      </c>
      <c r="K22" s="1" t="s">
        <v>41</v>
      </c>
      <c r="L22" t="s">
        <v>3284</v>
      </c>
      <c r="M22" t="str">
        <f>+VLOOKUP(C22,'[1]TIENDAS 2025'!$A$1:$C$143,3,0)</f>
        <v>departamental</v>
      </c>
      <c r="O22">
        <v>1</v>
      </c>
    </row>
    <row r="23" spans="1:15" ht="15" customHeight="1" x14ac:dyDescent="0.3">
      <c r="A23" s="7">
        <v>8209655358</v>
      </c>
      <c r="B23" s="4" t="s">
        <v>14</v>
      </c>
      <c r="C23" s="4" t="s">
        <v>15</v>
      </c>
      <c r="D23" s="6">
        <v>46306.5227662037</v>
      </c>
      <c r="E23" s="6">
        <v>46306.272743055597</v>
      </c>
      <c r="F23" s="6">
        <v>46306</v>
      </c>
      <c r="G23" s="5" t="s">
        <v>12</v>
      </c>
      <c r="H23" s="5" t="s">
        <v>27</v>
      </c>
      <c r="I23" s="5">
        <v>4</v>
      </c>
      <c r="J23" s="10" t="s">
        <v>17</v>
      </c>
      <c r="K23" s="1" t="s">
        <v>42</v>
      </c>
      <c r="M23" t="str">
        <f>+VLOOKUP(C23,'[1]TIENDAS 2025'!$A$1:$C$143,3,0)</f>
        <v>departamental</v>
      </c>
      <c r="O23">
        <v>1</v>
      </c>
    </row>
    <row r="24" spans="1:15" ht="15" customHeight="1" x14ac:dyDescent="0.3">
      <c r="A24" s="7">
        <v>8209655348</v>
      </c>
      <c r="B24" s="4" t="s">
        <v>14</v>
      </c>
      <c r="C24" s="4" t="s">
        <v>15</v>
      </c>
      <c r="D24" s="6">
        <v>46306.522835648102</v>
      </c>
      <c r="E24" s="6">
        <v>46306.272800925901</v>
      </c>
      <c r="F24" s="6">
        <v>46306</v>
      </c>
      <c r="G24" s="5" t="s">
        <v>12</v>
      </c>
      <c r="H24" s="5" t="s">
        <v>27</v>
      </c>
      <c r="I24" s="5">
        <v>3</v>
      </c>
      <c r="J24" s="10" t="s">
        <v>17</v>
      </c>
      <c r="K24" s="1" t="s">
        <v>43</v>
      </c>
      <c r="M24" t="str">
        <f>+VLOOKUP(C24,'[1]TIENDAS 2025'!$A$1:$C$143,3,0)</f>
        <v>departamental</v>
      </c>
      <c r="O24">
        <v>1</v>
      </c>
    </row>
    <row r="25" spans="1:15" ht="15" customHeight="1" x14ac:dyDescent="0.3">
      <c r="A25" s="7">
        <v>1209655354</v>
      </c>
      <c r="B25" s="4" t="s">
        <v>14</v>
      </c>
      <c r="C25" s="4" t="s">
        <v>15</v>
      </c>
      <c r="D25" s="6">
        <v>46306.522858796299</v>
      </c>
      <c r="E25" s="6">
        <v>46306.272835648102</v>
      </c>
      <c r="F25" s="6">
        <v>46306</v>
      </c>
      <c r="G25" s="5" t="s">
        <v>12</v>
      </c>
      <c r="H25" s="5" t="s">
        <v>29</v>
      </c>
      <c r="I25" s="5">
        <v>13</v>
      </c>
      <c r="J25" s="9" t="s">
        <v>17</v>
      </c>
      <c r="K25" s="1" t="s">
        <v>44</v>
      </c>
      <c r="L25" t="s">
        <v>3284</v>
      </c>
      <c r="M25" t="str">
        <f>+VLOOKUP(C25,'[1]TIENDAS 2025'!$A$1:$C$143,3,0)</f>
        <v>departamental</v>
      </c>
      <c r="O25">
        <v>1</v>
      </c>
    </row>
    <row r="26" spans="1:15" ht="15" customHeight="1" x14ac:dyDescent="0.3">
      <c r="A26" s="7">
        <v>1209655357</v>
      </c>
      <c r="B26" s="4" t="s">
        <v>14</v>
      </c>
      <c r="C26" s="4" t="s">
        <v>15</v>
      </c>
      <c r="D26" s="6">
        <v>46306.522905092599</v>
      </c>
      <c r="E26" s="6">
        <v>46306.272881944402</v>
      </c>
      <c r="F26" s="6">
        <v>46306</v>
      </c>
      <c r="G26" s="5" t="s">
        <v>12</v>
      </c>
      <c r="H26" s="5" t="s">
        <v>29</v>
      </c>
      <c r="I26" s="5">
        <v>58</v>
      </c>
      <c r="J26" s="9" t="s">
        <v>17</v>
      </c>
      <c r="K26" s="1" t="s">
        <v>45</v>
      </c>
      <c r="L26" t="s">
        <v>3284</v>
      </c>
      <c r="M26" t="str">
        <f>+VLOOKUP(C26,'[1]TIENDAS 2025'!$A$1:$C$143,3,0)</f>
        <v>departamental</v>
      </c>
      <c r="O26">
        <v>1</v>
      </c>
    </row>
    <row r="27" spans="1:15" ht="15" customHeight="1" x14ac:dyDescent="0.3">
      <c r="A27" s="7">
        <v>8209655347</v>
      </c>
      <c r="B27" s="4" t="s">
        <v>14</v>
      </c>
      <c r="C27" s="4" t="s">
        <v>15</v>
      </c>
      <c r="D27" s="6">
        <v>46306.522997685199</v>
      </c>
      <c r="E27" s="6">
        <v>46306.272974537002</v>
      </c>
      <c r="F27" s="6">
        <v>46306</v>
      </c>
      <c r="G27" s="5" t="s">
        <v>12</v>
      </c>
      <c r="H27" s="5" t="s">
        <v>27</v>
      </c>
      <c r="I27" s="5">
        <v>4</v>
      </c>
      <c r="J27" s="10" t="s">
        <v>17</v>
      </c>
      <c r="K27" s="1" t="s">
        <v>46</v>
      </c>
      <c r="M27" t="str">
        <f>+VLOOKUP(C27,'[1]TIENDAS 2025'!$A$1:$C$143,3,0)</f>
        <v>departamental</v>
      </c>
      <c r="O27">
        <v>1</v>
      </c>
    </row>
    <row r="28" spans="1:15" ht="15" customHeight="1" x14ac:dyDescent="0.3">
      <c r="A28" s="7">
        <v>8209655349</v>
      </c>
      <c r="B28" s="4" t="s">
        <v>14</v>
      </c>
      <c r="C28" s="4" t="s">
        <v>15</v>
      </c>
      <c r="D28" s="6">
        <v>46306.523020833301</v>
      </c>
      <c r="E28" s="6">
        <v>46306.2729861111</v>
      </c>
      <c r="F28" s="6">
        <v>46306</v>
      </c>
      <c r="G28" s="5" t="s">
        <v>12</v>
      </c>
      <c r="H28" s="5" t="s">
        <v>27</v>
      </c>
      <c r="I28" s="5">
        <v>3</v>
      </c>
      <c r="J28" s="10" t="s">
        <v>17</v>
      </c>
      <c r="K28" s="1" t="s">
        <v>47</v>
      </c>
      <c r="M28" t="str">
        <f>+VLOOKUP(C28,'[1]TIENDAS 2025'!$A$1:$C$143,3,0)</f>
        <v>departamental</v>
      </c>
      <c r="O28">
        <v>1</v>
      </c>
    </row>
    <row r="29" spans="1:15" ht="15" customHeight="1" x14ac:dyDescent="0.3">
      <c r="A29" s="7">
        <v>1209655359</v>
      </c>
      <c r="B29" s="4" t="s">
        <v>14</v>
      </c>
      <c r="C29" s="4" t="s">
        <v>15</v>
      </c>
      <c r="D29" s="6">
        <v>46306.523101851897</v>
      </c>
      <c r="E29" s="6">
        <v>46306.2730787037</v>
      </c>
      <c r="F29" s="6">
        <v>46306</v>
      </c>
      <c r="G29" s="5" t="s">
        <v>12</v>
      </c>
      <c r="H29" s="5" t="s">
        <v>29</v>
      </c>
      <c r="I29" s="5">
        <v>21</v>
      </c>
      <c r="J29" s="9" t="s">
        <v>17</v>
      </c>
      <c r="K29" s="1" t="s">
        <v>48</v>
      </c>
      <c r="L29" t="s">
        <v>3284</v>
      </c>
      <c r="M29" t="str">
        <f>+VLOOKUP(C29,'[1]TIENDAS 2025'!$A$1:$C$143,3,0)</f>
        <v>departamental</v>
      </c>
      <c r="O29">
        <v>1</v>
      </c>
    </row>
    <row r="30" spans="1:15" ht="15" customHeight="1" x14ac:dyDescent="0.3">
      <c r="A30" s="7">
        <v>8209655346</v>
      </c>
      <c r="B30" s="4" t="s">
        <v>14</v>
      </c>
      <c r="C30" s="4" t="s">
        <v>15</v>
      </c>
      <c r="D30" s="6">
        <v>46306.523194444402</v>
      </c>
      <c r="E30" s="6">
        <v>46306.273159722201</v>
      </c>
      <c r="F30" s="6">
        <v>46306</v>
      </c>
      <c r="G30" s="5" t="s">
        <v>12</v>
      </c>
      <c r="H30" s="5" t="s">
        <v>27</v>
      </c>
      <c r="I30" s="5">
        <v>7</v>
      </c>
      <c r="J30" s="10" t="s">
        <v>17</v>
      </c>
      <c r="K30" s="1" t="s">
        <v>49</v>
      </c>
      <c r="M30" t="str">
        <f>+VLOOKUP(C30,'[1]TIENDAS 2025'!$A$1:$C$143,3,0)</f>
        <v>departamental</v>
      </c>
      <c r="O30">
        <v>1</v>
      </c>
    </row>
    <row r="31" spans="1:15" ht="15" customHeight="1" x14ac:dyDescent="0.3">
      <c r="A31" s="7">
        <v>1209655352</v>
      </c>
      <c r="B31" s="4" t="s">
        <v>14</v>
      </c>
      <c r="C31" s="4" t="s">
        <v>15</v>
      </c>
      <c r="D31" s="6">
        <v>46306.523287037002</v>
      </c>
      <c r="E31" s="6">
        <v>46306.273252314801</v>
      </c>
      <c r="F31" s="6">
        <v>46306</v>
      </c>
      <c r="G31" s="5" t="s">
        <v>12</v>
      </c>
      <c r="H31" s="5" t="s">
        <v>29</v>
      </c>
      <c r="I31" s="5">
        <v>14</v>
      </c>
      <c r="J31" s="9" t="s">
        <v>17</v>
      </c>
      <c r="K31" s="1" t="s">
        <v>50</v>
      </c>
      <c r="L31" t="s">
        <v>3284</v>
      </c>
      <c r="M31" t="str">
        <f>+VLOOKUP(C31,'[1]TIENDAS 2025'!$A$1:$C$143,3,0)</f>
        <v>departamental</v>
      </c>
      <c r="O31">
        <v>1</v>
      </c>
    </row>
    <row r="32" spans="1:15" ht="15" customHeight="1" x14ac:dyDescent="0.3">
      <c r="A32" s="7">
        <v>1209655351</v>
      </c>
      <c r="B32" s="4" t="s">
        <v>14</v>
      </c>
      <c r="C32" s="4" t="s">
        <v>15</v>
      </c>
      <c r="D32" s="6">
        <v>46306.523460648103</v>
      </c>
      <c r="E32" s="6">
        <v>46306.2734375</v>
      </c>
      <c r="F32" s="6">
        <v>46306</v>
      </c>
      <c r="G32" s="5" t="s">
        <v>12</v>
      </c>
      <c r="H32" s="5" t="s">
        <v>16</v>
      </c>
      <c r="I32" s="5">
        <v>12</v>
      </c>
      <c r="J32" s="9" t="s">
        <v>17</v>
      </c>
      <c r="K32" s="1" t="s">
        <v>51</v>
      </c>
      <c r="L32" t="s">
        <v>3284</v>
      </c>
      <c r="M32" t="str">
        <f>+VLOOKUP(C32,'[1]TIENDAS 2025'!$A$1:$C$143,3,0)</f>
        <v>departamental</v>
      </c>
      <c r="O32">
        <v>1</v>
      </c>
    </row>
    <row r="33" spans="1:15" ht="15" customHeight="1" x14ac:dyDescent="0.3">
      <c r="A33" s="7">
        <v>8209655345</v>
      </c>
      <c r="B33" s="4" t="s">
        <v>14</v>
      </c>
      <c r="C33" s="4" t="s">
        <v>15</v>
      </c>
      <c r="D33" s="6">
        <v>46306.523460648103</v>
      </c>
      <c r="E33" s="6">
        <v>46306.273414351897</v>
      </c>
      <c r="F33" s="6">
        <v>46306</v>
      </c>
      <c r="G33" s="5" t="s">
        <v>12</v>
      </c>
      <c r="H33" s="5" t="s">
        <v>27</v>
      </c>
      <c r="I33" s="5">
        <v>7</v>
      </c>
      <c r="J33" s="10" t="s">
        <v>17</v>
      </c>
      <c r="K33" s="1" t="s">
        <v>52</v>
      </c>
      <c r="M33" t="str">
        <f>+VLOOKUP(C33,'[1]TIENDAS 2025'!$A$1:$C$143,3,0)</f>
        <v>departamental</v>
      </c>
      <c r="O33">
        <v>1</v>
      </c>
    </row>
    <row r="34" spans="1:15" ht="15" customHeight="1" x14ac:dyDescent="0.3">
      <c r="A34" s="7">
        <v>1209655355</v>
      </c>
      <c r="B34" s="4" t="s">
        <v>14</v>
      </c>
      <c r="C34" s="4" t="s">
        <v>15</v>
      </c>
      <c r="D34" s="6">
        <v>46306.5234837963</v>
      </c>
      <c r="E34" s="6">
        <v>46306.273449074099</v>
      </c>
      <c r="F34" s="6">
        <v>46306</v>
      </c>
      <c r="G34" s="5" t="s">
        <v>12</v>
      </c>
      <c r="H34" s="5" t="s">
        <v>16</v>
      </c>
      <c r="I34" s="5">
        <v>8</v>
      </c>
      <c r="J34" s="9" t="s">
        <v>17</v>
      </c>
      <c r="K34" s="1" t="s">
        <v>53</v>
      </c>
      <c r="L34" t="s">
        <v>3284</v>
      </c>
      <c r="M34" t="str">
        <f>+VLOOKUP(C34,'[1]TIENDAS 2025'!$A$1:$C$143,3,0)</f>
        <v>departamental</v>
      </c>
      <c r="O34">
        <v>1</v>
      </c>
    </row>
    <row r="35" spans="1:15" ht="15" customHeight="1" x14ac:dyDescent="0.3">
      <c r="A35" s="7">
        <v>1209655350</v>
      </c>
      <c r="B35" s="4" t="s">
        <v>14</v>
      </c>
      <c r="C35" s="4" t="s">
        <v>15</v>
      </c>
      <c r="D35" s="6">
        <v>46306.523587962998</v>
      </c>
      <c r="E35" s="6">
        <v>46306.273564814801</v>
      </c>
      <c r="F35" s="6">
        <v>46306</v>
      </c>
      <c r="G35" s="5" t="s">
        <v>12</v>
      </c>
      <c r="H35" s="5" t="s">
        <v>16</v>
      </c>
      <c r="I35" s="5">
        <v>5</v>
      </c>
      <c r="J35" s="9" t="s">
        <v>17</v>
      </c>
      <c r="K35" s="1" t="s">
        <v>54</v>
      </c>
      <c r="L35" t="s">
        <v>3284</v>
      </c>
      <c r="M35" t="str">
        <f>+VLOOKUP(C35,'[1]TIENDAS 2025'!$A$1:$C$143,3,0)</f>
        <v>departamental</v>
      </c>
      <c r="O35">
        <v>1</v>
      </c>
    </row>
    <row r="36" spans="1:15" ht="15" customHeight="1" x14ac:dyDescent="0.3">
      <c r="A36" s="7">
        <v>8209657723</v>
      </c>
      <c r="B36" s="4" t="s">
        <v>19</v>
      </c>
      <c r="C36" s="4" t="s">
        <v>20</v>
      </c>
      <c r="D36" s="6">
        <v>46307.405543981498</v>
      </c>
      <c r="E36" s="6">
        <v>46307.155509259297</v>
      </c>
      <c r="F36" s="6">
        <v>46307</v>
      </c>
      <c r="G36" s="5" t="s">
        <v>12</v>
      </c>
      <c r="H36" s="5" t="s">
        <v>27</v>
      </c>
      <c r="I36" s="5">
        <v>3</v>
      </c>
      <c r="J36" s="10" t="s">
        <v>17</v>
      </c>
      <c r="K36" s="1" t="s">
        <v>55</v>
      </c>
      <c r="M36" t="str">
        <f>+VLOOKUP(C36,'[1]TIENDAS 2025'!$A$1:$C$143,3,0)</f>
        <v>departamental</v>
      </c>
      <c r="O36">
        <v>1</v>
      </c>
    </row>
    <row r="37" spans="1:15" ht="15" customHeight="1" x14ac:dyDescent="0.3">
      <c r="A37" s="7">
        <v>1209657727</v>
      </c>
      <c r="B37" s="4" t="s">
        <v>19</v>
      </c>
      <c r="C37" s="4" t="s">
        <v>20</v>
      </c>
      <c r="D37" s="6">
        <v>46307.405567129601</v>
      </c>
      <c r="E37" s="6">
        <v>46307.155543981498</v>
      </c>
      <c r="F37" s="6">
        <v>46307</v>
      </c>
      <c r="G37" s="5" t="s">
        <v>12</v>
      </c>
      <c r="H37" s="5" t="s">
        <v>16</v>
      </c>
      <c r="I37" s="5">
        <v>11</v>
      </c>
      <c r="J37" s="9" t="s">
        <v>17</v>
      </c>
      <c r="K37" s="1" t="s">
        <v>56</v>
      </c>
      <c r="L37" t="s">
        <v>3284</v>
      </c>
      <c r="M37" t="str">
        <f>+VLOOKUP(C37,'[1]TIENDAS 2025'!$A$1:$C$143,3,0)</f>
        <v>departamental</v>
      </c>
      <c r="O37">
        <v>1</v>
      </c>
    </row>
    <row r="38" spans="1:15" ht="15" customHeight="1" x14ac:dyDescent="0.3">
      <c r="A38" s="7">
        <v>1209657728</v>
      </c>
      <c r="B38" s="4" t="s">
        <v>19</v>
      </c>
      <c r="C38" s="4" t="s">
        <v>20</v>
      </c>
      <c r="D38" s="6">
        <v>46307.4055787037</v>
      </c>
      <c r="E38" s="6">
        <v>46307.155555555597</v>
      </c>
      <c r="F38" s="6">
        <v>46307</v>
      </c>
      <c r="G38" s="5" t="s">
        <v>12</v>
      </c>
      <c r="H38" s="5" t="s">
        <v>29</v>
      </c>
      <c r="I38" s="5">
        <v>22</v>
      </c>
      <c r="J38" s="9" t="s">
        <v>17</v>
      </c>
      <c r="K38" s="1" t="s">
        <v>57</v>
      </c>
      <c r="L38" t="s">
        <v>3284</v>
      </c>
      <c r="M38" t="str">
        <f>+VLOOKUP(C38,'[1]TIENDAS 2025'!$A$1:$C$143,3,0)</f>
        <v>departamental</v>
      </c>
      <c r="O38">
        <v>1</v>
      </c>
    </row>
    <row r="39" spans="1:15" ht="15" customHeight="1" x14ac:dyDescent="0.3">
      <c r="A39" s="7">
        <v>1209657735</v>
      </c>
      <c r="B39" s="4" t="s">
        <v>19</v>
      </c>
      <c r="C39" s="4" t="s">
        <v>20</v>
      </c>
      <c r="D39" s="6">
        <v>46307.405613425901</v>
      </c>
      <c r="E39" s="6">
        <v>46307.1555787037</v>
      </c>
      <c r="F39" s="6">
        <v>46307</v>
      </c>
      <c r="G39" s="5" t="s">
        <v>12</v>
      </c>
      <c r="H39" s="5" t="s">
        <v>16</v>
      </c>
      <c r="I39" s="5">
        <v>1</v>
      </c>
      <c r="J39" s="9" t="s">
        <v>17</v>
      </c>
      <c r="K39" s="1" t="s">
        <v>58</v>
      </c>
      <c r="L39" t="s">
        <v>3284</v>
      </c>
      <c r="M39" t="str">
        <f>+VLOOKUP(C39,'[1]TIENDAS 2025'!$A$1:$C$143,3,0)</f>
        <v>departamental</v>
      </c>
      <c r="O39">
        <v>1</v>
      </c>
    </row>
    <row r="40" spans="1:15" ht="15" customHeight="1" x14ac:dyDescent="0.3">
      <c r="A40" s="7">
        <v>1209657729</v>
      </c>
      <c r="B40" s="4" t="s">
        <v>19</v>
      </c>
      <c r="C40" s="4" t="s">
        <v>20</v>
      </c>
      <c r="D40" s="6">
        <v>46307.4057060185</v>
      </c>
      <c r="E40" s="6">
        <v>46307.155682870398</v>
      </c>
      <c r="F40" s="6">
        <v>46307</v>
      </c>
      <c r="G40" s="5" t="s">
        <v>12</v>
      </c>
      <c r="H40" s="5" t="s">
        <v>16</v>
      </c>
      <c r="I40" s="5">
        <v>17</v>
      </c>
      <c r="J40" s="9" t="s">
        <v>17</v>
      </c>
      <c r="K40" s="1" t="s">
        <v>59</v>
      </c>
      <c r="L40" t="s">
        <v>3284</v>
      </c>
      <c r="M40" t="str">
        <f>+VLOOKUP(C40,'[1]TIENDAS 2025'!$A$1:$C$143,3,0)</f>
        <v>departamental</v>
      </c>
      <c r="O40">
        <v>1</v>
      </c>
    </row>
    <row r="41" spans="1:15" ht="15" customHeight="1" x14ac:dyDescent="0.3">
      <c r="A41" s="7">
        <v>1209657736</v>
      </c>
      <c r="B41" s="4" t="s">
        <v>19</v>
      </c>
      <c r="C41" s="4" t="s">
        <v>20</v>
      </c>
      <c r="D41" s="6">
        <v>46307.405914351897</v>
      </c>
      <c r="E41" s="6">
        <v>46307.155879629601</v>
      </c>
      <c r="F41" s="6">
        <v>46307</v>
      </c>
      <c r="G41" s="5" t="s">
        <v>12</v>
      </c>
      <c r="H41" s="5" t="s">
        <v>16</v>
      </c>
      <c r="I41" s="5">
        <v>7</v>
      </c>
      <c r="J41" s="9" t="s">
        <v>17</v>
      </c>
      <c r="K41" s="1" t="s">
        <v>60</v>
      </c>
      <c r="L41" t="s">
        <v>3284</v>
      </c>
      <c r="M41" t="str">
        <f>+VLOOKUP(C41,'[1]TIENDAS 2025'!$A$1:$C$143,3,0)</f>
        <v>departamental</v>
      </c>
      <c r="O41">
        <v>1</v>
      </c>
    </row>
    <row r="42" spans="1:15" ht="15" customHeight="1" x14ac:dyDescent="0.3">
      <c r="A42" s="7">
        <v>1209657738</v>
      </c>
      <c r="B42" s="4" t="s">
        <v>19</v>
      </c>
      <c r="C42" s="4" t="s">
        <v>20</v>
      </c>
      <c r="D42" s="6">
        <v>46307.405960648102</v>
      </c>
      <c r="E42" s="6">
        <v>46307.1559375</v>
      </c>
      <c r="F42" s="6">
        <v>46307</v>
      </c>
      <c r="G42" s="5" t="s">
        <v>12</v>
      </c>
      <c r="H42" s="5" t="s">
        <v>16</v>
      </c>
      <c r="I42" s="5">
        <v>23</v>
      </c>
      <c r="J42" s="9" t="s">
        <v>17</v>
      </c>
      <c r="K42" s="1" t="s">
        <v>61</v>
      </c>
      <c r="L42" t="s">
        <v>3284</v>
      </c>
      <c r="M42" t="str">
        <f>+VLOOKUP(C42,'[1]TIENDAS 2025'!$A$1:$C$143,3,0)</f>
        <v>departamental</v>
      </c>
      <c r="O42">
        <v>1</v>
      </c>
    </row>
    <row r="43" spans="1:15" ht="15" customHeight="1" x14ac:dyDescent="0.3">
      <c r="A43" s="7">
        <v>1209657730</v>
      </c>
      <c r="B43" s="4" t="s">
        <v>19</v>
      </c>
      <c r="C43" s="4" t="s">
        <v>20</v>
      </c>
      <c r="D43" s="6">
        <v>46307.406053240702</v>
      </c>
      <c r="E43" s="6">
        <v>46307.156018518501</v>
      </c>
      <c r="F43" s="6">
        <v>46307</v>
      </c>
      <c r="G43" s="5" t="s">
        <v>12</v>
      </c>
      <c r="H43" s="5" t="s">
        <v>29</v>
      </c>
      <c r="I43" s="5">
        <v>19</v>
      </c>
      <c r="J43" s="9" t="s">
        <v>17</v>
      </c>
      <c r="K43" s="1" t="s">
        <v>62</v>
      </c>
      <c r="L43" t="s">
        <v>3284</v>
      </c>
      <c r="M43" t="str">
        <f>+VLOOKUP(C43,'[1]TIENDAS 2025'!$A$1:$C$143,3,0)</f>
        <v>departamental</v>
      </c>
      <c r="O43">
        <v>1</v>
      </c>
    </row>
    <row r="44" spans="1:15" ht="15" customHeight="1" x14ac:dyDescent="0.3">
      <c r="A44" s="7">
        <v>1209657731</v>
      </c>
      <c r="B44" s="4" t="s">
        <v>19</v>
      </c>
      <c r="C44" s="4" t="s">
        <v>20</v>
      </c>
      <c r="D44" s="6">
        <v>46307.406064814801</v>
      </c>
      <c r="E44" s="6">
        <v>46307.156030092599</v>
      </c>
      <c r="F44" s="6">
        <v>46307</v>
      </c>
      <c r="G44" s="5" t="s">
        <v>12</v>
      </c>
      <c r="H44" s="5" t="s">
        <v>16</v>
      </c>
      <c r="I44" s="5">
        <v>14</v>
      </c>
      <c r="J44" s="9" t="s">
        <v>17</v>
      </c>
      <c r="K44" s="1" t="s">
        <v>63</v>
      </c>
      <c r="L44" t="s">
        <v>3284</v>
      </c>
      <c r="M44" t="str">
        <f>+VLOOKUP(C44,'[1]TIENDAS 2025'!$A$1:$C$143,3,0)</f>
        <v>departamental</v>
      </c>
      <c r="O44">
        <v>1</v>
      </c>
    </row>
    <row r="45" spans="1:15" ht="15" customHeight="1" x14ac:dyDescent="0.3">
      <c r="A45" s="7">
        <v>8209657734</v>
      </c>
      <c r="B45" s="4" t="s">
        <v>19</v>
      </c>
      <c r="C45" s="4" t="s">
        <v>20</v>
      </c>
      <c r="D45" s="6">
        <v>46307.406087962998</v>
      </c>
      <c r="E45" s="6">
        <v>46307.156053240702</v>
      </c>
      <c r="F45" s="6">
        <v>46307</v>
      </c>
      <c r="G45" s="5" t="s">
        <v>12</v>
      </c>
      <c r="H45" s="5" t="s">
        <v>27</v>
      </c>
      <c r="I45" s="5">
        <v>4</v>
      </c>
      <c r="J45" s="10" t="s">
        <v>17</v>
      </c>
      <c r="K45" s="1" t="s">
        <v>64</v>
      </c>
      <c r="M45" t="str">
        <f>+VLOOKUP(C45,'[1]TIENDAS 2025'!$A$1:$C$143,3,0)</f>
        <v>departamental</v>
      </c>
      <c r="O45">
        <v>1</v>
      </c>
    </row>
    <row r="46" spans="1:15" ht="15" customHeight="1" x14ac:dyDescent="0.3">
      <c r="A46" s="7">
        <v>1209657737</v>
      </c>
      <c r="B46" s="4" t="s">
        <v>19</v>
      </c>
      <c r="C46" s="4" t="s">
        <v>20</v>
      </c>
      <c r="D46" s="6">
        <v>46307.406099537002</v>
      </c>
      <c r="E46" s="6">
        <v>46307.156064814801</v>
      </c>
      <c r="F46" s="6">
        <v>46307</v>
      </c>
      <c r="G46" s="5" t="s">
        <v>12</v>
      </c>
      <c r="H46" s="5" t="s">
        <v>16</v>
      </c>
      <c r="I46" s="5">
        <v>19</v>
      </c>
      <c r="J46" s="9" t="s">
        <v>17</v>
      </c>
      <c r="K46" s="1" t="s">
        <v>65</v>
      </c>
      <c r="L46" t="s">
        <v>3284</v>
      </c>
      <c r="M46" t="str">
        <f>+VLOOKUP(C46,'[1]TIENDAS 2025'!$A$1:$C$143,3,0)</f>
        <v>departamental</v>
      </c>
      <c r="O46">
        <v>1</v>
      </c>
    </row>
    <row r="47" spans="1:15" ht="15" customHeight="1" x14ac:dyDescent="0.3">
      <c r="A47" s="7">
        <v>8209657722</v>
      </c>
      <c r="B47" s="4" t="s">
        <v>19</v>
      </c>
      <c r="C47" s="4" t="s">
        <v>20</v>
      </c>
      <c r="D47" s="6">
        <v>46307.406273148103</v>
      </c>
      <c r="E47" s="6">
        <v>46307.15625</v>
      </c>
      <c r="F47" s="6">
        <v>46307</v>
      </c>
      <c r="G47" s="5" t="s">
        <v>12</v>
      </c>
      <c r="H47" s="5" t="s">
        <v>27</v>
      </c>
      <c r="I47" s="5">
        <v>1</v>
      </c>
      <c r="J47" s="10" t="s">
        <v>17</v>
      </c>
      <c r="K47" s="1" t="s">
        <v>66</v>
      </c>
      <c r="M47" t="str">
        <f>+VLOOKUP(C47,'[1]TIENDAS 2025'!$A$1:$C$143,3,0)</f>
        <v>departamental</v>
      </c>
      <c r="O47">
        <v>1</v>
      </c>
    </row>
    <row r="48" spans="1:15" ht="15" customHeight="1" x14ac:dyDescent="0.3">
      <c r="A48" s="7">
        <v>8209657725</v>
      </c>
      <c r="B48" s="4" t="s">
        <v>19</v>
      </c>
      <c r="C48" s="4" t="s">
        <v>20</v>
      </c>
      <c r="D48" s="6">
        <v>46307.406284722201</v>
      </c>
      <c r="E48" s="6">
        <v>46307.156261574099</v>
      </c>
      <c r="F48" s="6">
        <v>46307</v>
      </c>
      <c r="G48" s="5" t="s">
        <v>12</v>
      </c>
      <c r="H48" s="5" t="s">
        <v>27</v>
      </c>
      <c r="I48" s="5">
        <v>4</v>
      </c>
      <c r="J48" s="10" t="s">
        <v>17</v>
      </c>
      <c r="K48" s="1" t="s">
        <v>67</v>
      </c>
      <c r="M48" t="str">
        <f>+VLOOKUP(C48,'[1]TIENDAS 2025'!$A$1:$C$143,3,0)</f>
        <v>departamental</v>
      </c>
      <c r="O48">
        <v>1</v>
      </c>
    </row>
    <row r="49" spans="1:15" ht="15" customHeight="1" x14ac:dyDescent="0.3">
      <c r="A49" s="7">
        <v>8209657733</v>
      </c>
      <c r="B49" s="4" t="s">
        <v>19</v>
      </c>
      <c r="C49" s="4" t="s">
        <v>20</v>
      </c>
      <c r="D49" s="6">
        <v>46307.406400462998</v>
      </c>
      <c r="E49" s="6">
        <v>46307.156365740702</v>
      </c>
      <c r="F49" s="6">
        <v>46307</v>
      </c>
      <c r="G49" s="5" t="s">
        <v>12</v>
      </c>
      <c r="H49" s="5" t="s">
        <v>27</v>
      </c>
      <c r="I49" s="5">
        <v>1</v>
      </c>
      <c r="J49" s="10" t="s">
        <v>17</v>
      </c>
      <c r="K49" s="1" t="s">
        <v>68</v>
      </c>
      <c r="M49" t="str">
        <f>+VLOOKUP(C49,'[1]TIENDAS 2025'!$A$1:$C$143,3,0)</f>
        <v>departamental</v>
      </c>
      <c r="O49">
        <v>1</v>
      </c>
    </row>
    <row r="50" spans="1:15" ht="15" customHeight="1" x14ac:dyDescent="0.3">
      <c r="A50" s="7">
        <v>8209657724</v>
      </c>
      <c r="B50" s="4" t="s">
        <v>19</v>
      </c>
      <c r="C50" s="4" t="s">
        <v>20</v>
      </c>
      <c r="D50" s="6">
        <v>46307.406527777799</v>
      </c>
      <c r="E50" s="6">
        <v>46307.156493055598</v>
      </c>
      <c r="F50" s="6">
        <v>46307</v>
      </c>
      <c r="G50" s="5" t="s">
        <v>12</v>
      </c>
      <c r="H50" s="5" t="s">
        <v>27</v>
      </c>
      <c r="I50" s="5">
        <v>1</v>
      </c>
      <c r="J50" s="10" t="s">
        <v>17</v>
      </c>
      <c r="K50" s="1" t="s">
        <v>69</v>
      </c>
      <c r="M50" t="str">
        <f>+VLOOKUP(C50,'[1]TIENDAS 2025'!$A$1:$C$143,3,0)</f>
        <v>departamental</v>
      </c>
      <c r="O50">
        <v>1</v>
      </c>
    </row>
    <row r="51" spans="1:15" ht="15" customHeight="1" x14ac:dyDescent="0.3">
      <c r="A51" s="7">
        <v>1209657732</v>
      </c>
      <c r="B51" s="4" t="s">
        <v>19</v>
      </c>
      <c r="C51" s="4" t="s">
        <v>20</v>
      </c>
      <c r="D51" s="6">
        <v>46307.4065625</v>
      </c>
      <c r="E51" s="6">
        <v>46307.156539351898</v>
      </c>
      <c r="F51" s="6">
        <v>46307</v>
      </c>
      <c r="G51" s="5" t="s">
        <v>12</v>
      </c>
      <c r="H51" s="5" t="s">
        <v>29</v>
      </c>
      <c r="I51" s="5">
        <v>21</v>
      </c>
      <c r="J51" s="9" t="s">
        <v>17</v>
      </c>
      <c r="K51" s="1" t="s">
        <v>70</v>
      </c>
      <c r="L51" t="s">
        <v>3284</v>
      </c>
      <c r="M51" t="str">
        <f>+VLOOKUP(C51,'[1]TIENDAS 2025'!$A$1:$C$143,3,0)</f>
        <v>departamental</v>
      </c>
      <c r="O51">
        <v>1</v>
      </c>
    </row>
    <row r="52" spans="1:15" ht="15" customHeight="1" x14ac:dyDescent="0.3">
      <c r="A52" s="7">
        <v>8209660925</v>
      </c>
      <c r="B52" s="4" t="s">
        <v>14</v>
      </c>
      <c r="C52" s="4" t="s">
        <v>15</v>
      </c>
      <c r="D52" s="6">
        <v>46307.471597222197</v>
      </c>
      <c r="E52" s="6">
        <v>46307.221562500003</v>
      </c>
      <c r="F52" s="6">
        <v>46307</v>
      </c>
      <c r="G52" s="5" t="s">
        <v>12</v>
      </c>
      <c r="H52" s="5" t="s">
        <v>27</v>
      </c>
      <c r="I52" s="5">
        <v>1</v>
      </c>
      <c r="J52" s="10" t="s">
        <v>17</v>
      </c>
      <c r="K52" s="1" t="s">
        <v>71</v>
      </c>
      <c r="M52" t="str">
        <f>+VLOOKUP(C52,'[1]TIENDAS 2025'!$A$1:$C$143,3,0)</f>
        <v>departamental</v>
      </c>
      <c r="O52">
        <v>1</v>
      </c>
    </row>
    <row r="53" spans="1:15" ht="15" customHeight="1" x14ac:dyDescent="0.3">
      <c r="A53" s="7">
        <v>8209660920</v>
      </c>
      <c r="B53" s="4" t="s">
        <v>14</v>
      </c>
      <c r="C53" s="4" t="s">
        <v>15</v>
      </c>
      <c r="D53" s="6">
        <v>46307.471817129597</v>
      </c>
      <c r="E53" s="6">
        <v>46307.221793981502</v>
      </c>
      <c r="F53" s="6">
        <v>46307</v>
      </c>
      <c r="G53" s="5" t="s">
        <v>12</v>
      </c>
      <c r="H53" s="5" t="s">
        <v>27</v>
      </c>
      <c r="I53" s="5">
        <v>2</v>
      </c>
      <c r="J53" s="10" t="s">
        <v>17</v>
      </c>
      <c r="K53" s="1" t="s">
        <v>72</v>
      </c>
      <c r="M53" t="str">
        <f>+VLOOKUP(C53,'[1]TIENDAS 2025'!$A$1:$C$143,3,0)</f>
        <v>departamental</v>
      </c>
      <c r="O53">
        <v>1</v>
      </c>
    </row>
    <row r="54" spans="1:15" ht="15" customHeight="1" x14ac:dyDescent="0.3">
      <c r="A54" s="7">
        <v>1209660926</v>
      </c>
      <c r="B54" s="4" t="s">
        <v>14</v>
      </c>
      <c r="C54" s="4" t="s">
        <v>15</v>
      </c>
      <c r="D54" s="6">
        <v>46307.471828703703</v>
      </c>
      <c r="E54" s="6">
        <v>46307.2218055556</v>
      </c>
      <c r="F54" s="6">
        <v>46307</v>
      </c>
      <c r="G54" s="5" t="s">
        <v>12</v>
      </c>
      <c r="H54" s="5" t="s">
        <v>16</v>
      </c>
      <c r="I54" s="5">
        <v>1</v>
      </c>
      <c r="J54" s="9" t="s">
        <v>17</v>
      </c>
      <c r="K54" s="1" t="s">
        <v>73</v>
      </c>
      <c r="L54" t="s">
        <v>3284</v>
      </c>
      <c r="M54" t="str">
        <f>+VLOOKUP(C54,'[1]TIENDAS 2025'!$A$1:$C$143,3,0)</f>
        <v>departamental</v>
      </c>
      <c r="O54">
        <v>1</v>
      </c>
    </row>
    <row r="55" spans="1:15" ht="15" customHeight="1" x14ac:dyDescent="0.3">
      <c r="A55" s="7">
        <v>1209660930</v>
      </c>
      <c r="B55" s="4" t="s">
        <v>14</v>
      </c>
      <c r="C55" s="4" t="s">
        <v>15</v>
      </c>
      <c r="D55" s="6">
        <v>46307.471863425897</v>
      </c>
      <c r="E55" s="6">
        <v>46307.221828703703</v>
      </c>
      <c r="F55" s="6">
        <v>46307</v>
      </c>
      <c r="G55" s="5" t="s">
        <v>12</v>
      </c>
      <c r="H55" s="5" t="s">
        <v>16</v>
      </c>
      <c r="I55" s="5">
        <v>9</v>
      </c>
      <c r="J55" s="9" t="s">
        <v>17</v>
      </c>
      <c r="K55" s="1" t="s">
        <v>74</v>
      </c>
      <c r="L55" t="s">
        <v>3284</v>
      </c>
      <c r="M55" t="str">
        <f>+VLOOKUP(C55,'[1]TIENDAS 2025'!$A$1:$C$143,3,0)</f>
        <v>departamental</v>
      </c>
      <c r="O55">
        <v>1</v>
      </c>
    </row>
    <row r="56" spans="1:15" ht="15" customHeight="1" x14ac:dyDescent="0.3">
      <c r="A56" s="7">
        <v>1209660931</v>
      </c>
      <c r="B56" s="4" t="s">
        <v>14</v>
      </c>
      <c r="C56" s="4" t="s">
        <v>15</v>
      </c>
      <c r="D56" s="6">
        <v>46307.471886574102</v>
      </c>
      <c r="E56" s="6">
        <v>46307.221851851798</v>
      </c>
      <c r="F56" s="6">
        <v>46307</v>
      </c>
      <c r="G56" s="5" t="s">
        <v>12</v>
      </c>
      <c r="H56" s="5" t="s">
        <v>29</v>
      </c>
      <c r="I56" s="5">
        <v>8</v>
      </c>
      <c r="J56" s="9" t="s">
        <v>17</v>
      </c>
      <c r="K56" s="1" t="s">
        <v>75</v>
      </c>
      <c r="L56" t="s">
        <v>3284</v>
      </c>
      <c r="M56" t="str">
        <f>+VLOOKUP(C56,'[1]TIENDAS 2025'!$A$1:$C$143,3,0)</f>
        <v>departamental</v>
      </c>
      <c r="O56">
        <v>1</v>
      </c>
    </row>
    <row r="57" spans="1:15" ht="15" customHeight="1" x14ac:dyDescent="0.3">
      <c r="A57" s="7">
        <v>8209660924</v>
      </c>
      <c r="B57" s="4" t="s">
        <v>14</v>
      </c>
      <c r="C57" s="4" t="s">
        <v>15</v>
      </c>
      <c r="D57" s="6">
        <v>46307.472233796303</v>
      </c>
      <c r="E57" s="6">
        <v>46307.222199074102</v>
      </c>
      <c r="F57" s="6">
        <v>46307</v>
      </c>
      <c r="G57" s="5" t="s">
        <v>12</v>
      </c>
      <c r="H57" s="5" t="s">
        <v>27</v>
      </c>
      <c r="I57" s="5">
        <v>1</v>
      </c>
      <c r="J57" s="10" t="s">
        <v>17</v>
      </c>
      <c r="K57" s="1" t="s">
        <v>76</v>
      </c>
      <c r="M57" t="str">
        <f>+VLOOKUP(C57,'[1]TIENDAS 2025'!$A$1:$C$143,3,0)</f>
        <v>departamental</v>
      </c>
      <c r="O57">
        <v>1</v>
      </c>
    </row>
    <row r="58" spans="1:15" ht="15" customHeight="1" x14ac:dyDescent="0.3">
      <c r="A58" s="7">
        <v>1209660928</v>
      </c>
      <c r="B58" s="4" t="s">
        <v>14</v>
      </c>
      <c r="C58" s="4" t="s">
        <v>15</v>
      </c>
      <c r="D58" s="6">
        <v>46307.472268518497</v>
      </c>
      <c r="E58" s="6">
        <v>46307.222233796303</v>
      </c>
      <c r="F58" s="6">
        <v>46307</v>
      </c>
      <c r="G58" s="5" t="s">
        <v>12</v>
      </c>
      <c r="H58" s="5" t="s">
        <v>16</v>
      </c>
      <c r="I58" s="5">
        <v>5</v>
      </c>
      <c r="J58" s="9" t="s">
        <v>17</v>
      </c>
      <c r="K58" s="1" t="s">
        <v>77</v>
      </c>
      <c r="L58" t="s">
        <v>3284</v>
      </c>
      <c r="M58" t="str">
        <f>+VLOOKUP(C58,'[1]TIENDAS 2025'!$A$1:$C$143,3,0)</f>
        <v>departamental</v>
      </c>
      <c r="O58">
        <v>1</v>
      </c>
    </row>
    <row r="59" spans="1:15" ht="15" customHeight="1" x14ac:dyDescent="0.3">
      <c r="A59" s="7">
        <v>1209660932</v>
      </c>
      <c r="B59" s="4" t="s">
        <v>14</v>
      </c>
      <c r="C59" s="4" t="s">
        <v>15</v>
      </c>
      <c r="D59" s="6">
        <v>46307.472280092603</v>
      </c>
      <c r="E59" s="6">
        <v>46307.222256944398</v>
      </c>
      <c r="F59" s="6">
        <v>46307</v>
      </c>
      <c r="G59" s="5" t="s">
        <v>12</v>
      </c>
      <c r="H59" s="5" t="s">
        <v>29</v>
      </c>
      <c r="I59" s="5">
        <v>19</v>
      </c>
      <c r="J59" s="9" t="s">
        <v>17</v>
      </c>
      <c r="K59" s="1" t="s">
        <v>78</v>
      </c>
      <c r="L59" t="s">
        <v>3284</v>
      </c>
      <c r="M59" t="str">
        <f>+VLOOKUP(C59,'[1]TIENDAS 2025'!$A$1:$C$143,3,0)</f>
        <v>departamental</v>
      </c>
      <c r="O59">
        <v>1</v>
      </c>
    </row>
    <row r="60" spans="1:15" ht="15" customHeight="1" x14ac:dyDescent="0.3">
      <c r="A60" s="7">
        <v>8209660921</v>
      </c>
      <c r="B60" s="4" t="s">
        <v>14</v>
      </c>
      <c r="C60" s="4" t="s">
        <v>15</v>
      </c>
      <c r="D60" s="6">
        <v>46307.472523148099</v>
      </c>
      <c r="E60" s="6">
        <v>46307.222488425898</v>
      </c>
      <c r="F60" s="6">
        <v>46307</v>
      </c>
      <c r="G60" s="5" t="s">
        <v>12</v>
      </c>
      <c r="H60" s="5" t="s">
        <v>27</v>
      </c>
      <c r="I60" s="5">
        <v>3</v>
      </c>
      <c r="J60" s="10" t="s">
        <v>17</v>
      </c>
      <c r="K60" s="1" t="s">
        <v>79</v>
      </c>
      <c r="M60" t="str">
        <f>+VLOOKUP(C60,'[1]TIENDAS 2025'!$A$1:$C$143,3,0)</f>
        <v>departamental</v>
      </c>
      <c r="O60">
        <v>1</v>
      </c>
    </row>
    <row r="61" spans="1:15" ht="15" customHeight="1" x14ac:dyDescent="0.3">
      <c r="A61" s="7">
        <v>8209660923</v>
      </c>
      <c r="B61" s="4" t="s">
        <v>14</v>
      </c>
      <c r="C61" s="4" t="s">
        <v>15</v>
      </c>
      <c r="D61" s="6">
        <v>46307.472534722197</v>
      </c>
      <c r="E61" s="6">
        <v>46307.222500000003</v>
      </c>
      <c r="F61" s="6">
        <v>46307</v>
      </c>
      <c r="G61" s="5" t="s">
        <v>12</v>
      </c>
      <c r="H61" s="5" t="s">
        <v>27</v>
      </c>
      <c r="I61" s="5">
        <v>6</v>
      </c>
      <c r="J61" s="10" t="s">
        <v>17</v>
      </c>
      <c r="K61" s="1" t="s">
        <v>80</v>
      </c>
      <c r="M61" t="str">
        <f>+VLOOKUP(C61,'[1]TIENDAS 2025'!$A$1:$C$143,3,0)</f>
        <v>departamental</v>
      </c>
      <c r="O61">
        <v>1</v>
      </c>
    </row>
    <row r="62" spans="1:15" ht="15" customHeight="1" x14ac:dyDescent="0.3">
      <c r="A62" s="7">
        <v>8209660919</v>
      </c>
      <c r="B62" s="4" t="s">
        <v>14</v>
      </c>
      <c r="C62" s="4" t="s">
        <v>15</v>
      </c>
      <c r="D62" s="6">
        <v>46307.472708333298</v>
      </c>
      <c r="E62" s="6">
        <v>46307.222673611097</v>
      </c>
      <c r="F62" s="6">
        <v>46307</v>
      </c>
      <c r="G62" s="5" t="s">
        <v>12</v>
      </c>
      <c r="H62" s="5" t="s">
        <v>27</v>
      </c>
      <c r="I62" s="5">
        <v>4</v>
      </c>
      <c r="J62" s="10" t="s">
        <v>17</v>
      </c>
      <c r="K62" s="1" t="s">
        <v>81</v>
      </c>
      <c r="M62" t="str">
        <f>+VLOOKUP(C62,'[1]TIENDAS 2025'!$A$1:$C$143,3,0)</f>
        <v>departamental</v>
      </c>
      <c r="O62">
        <v>1</v>
      </c>
    </row>
    <row r="63" spans="1:15" ht="15" customHeight="1" x14ac:dyDescent="0.3">
      <c r="A63" s="7">
        <v>1209660927</v>
      </c>
      <c r="B63" s="4" t="s">
        <v>14</v>
      </c>
      <c r="C63" s="4" t="s">
        <v>15</v>
      </c>
      <c r="D63" s="6">
        <v>46307.472731481503</v>
      </c>
      <c r="E63" s="6">
        <v>46307.222696759301</v>
      </c>
      <c r="F63" s="6">
        <v>46307</v>
      </c>
      <c r="G63" s="5" t="s">
        <v>12</v>
      </c>
      <c r="H63" s="5" t="s">
        <v>29</v>
      </c>
      <c r="I63" s="5">
        <v>6</v>
      </c>
      <c r="J63" s="9" t="s">
        <v>17</v>
      </c>
      <c r="K63" s="1" t="s">
        <v>82</v>
      </c>
      <c r="L63" t="s">
        <v>3284</v>
      </c>
      <c r="M63" t="str">
        <f>+VLOOKUP(C63,'[1]TIENDAS 2025'!$A$1:$C$143,3,0)</f>
        <v>departamental</v>
      </c>
      <c r="O63">
        <v>1</v>
      </c>
    </row>
    <row r="64" spans="1:15" ht="15" customHeight="1" x14ac:dyDescent="0.3">
      <c r="A64" s="7">
        <v>1209660929</v>
      </c>
      <c r="B64" s="4" t="s">
        <v>14</v>
      </c>
      <c r="C64" s="4" t="s">
        <v>15</v>
      </c>
      <c r="D64" s="6">
        <v>46307.472743055601</v>
      </c>
      <c r="E64" s="6">
        <v>46307.222719907397</v>
      </c>
      <c r="F64" s="6">
        <v>46307</v>
      </c>
      <c r="G64" s="5" t="s">
        <v>12</v>
      </c>
      <c r="H64" s="5" t="s">
        <v>16</v>
      </c>
      <c r="I64" s="5">
        <v>13</v>
      </c>
      <c r="J64" s="9" t="s">
        <v>17</v>
      </c>
      <c r="K64" s="1" t="s">
        <v>83</v>
      </c>
      <c r="L64" t="s">
        <v>3284</v>
      </c>
      <c r="M64" t="str">
        <f>+VLOOKUP(C64,'[1]TIENDAS 2025'!$A$1:$C$143,3,0)</f>
        <v>departamental</v>
      </c>
      <c r="O64">
        <v>1</v>
      </c>
    </row>
    <row r="65" spans="1:15" ht="15" customHeight="1" x14ac:dyDescent="0.3">
      <c r="A65" s="7">
        <v>1209660934</v>
      </c>
      <c r="B65" s="4" t="s">
        <v>14</v>
      </c>
      <c r="C65" s="4" t="s">
        <v>15</v>
      </c>
      <c r="D65" s="6">
        <v>46307.472754629598</v>
      </c>
      <c r="E65" s="6">
        <v>46307.222731481503</v>
      </c>
      <c r="F65" s="6">
        <v>46307</v>
      </c>
      <c r="G65" s="5" t="s">
        <v>12</v>
      </c>
      <c r="H65" s="5" t="s">
        <v>16</v>
      </c>
      <c r="I65" s="5">
        <v>27</v>
      </c>
      <c r="J65" s="9" t="s">
        <v>17</v>
      </c>
      <c r="K65" s="1" t="s">
        <v>84</v>
      </c>
      <c r="L65" t="s">
        <v>3284</v>
      </c>
      <c r="M65" t="str">
        <f>+VLOOKUP(C65,'[1]TIENDAS 2025'!$A$1:$C$143,3,0)</f>
        <v>departamental</v>
      </c>
      <c r="O65">
        <v>1</v>
      </c>
    </row>
    <row r="66" spans="1:15" ht="15" customHeight="1" x14ac:dyDescent="0.3">
      <c r="A66" s="7">
        <v>1209660935</v>
      </c>
      <c r="B66" s="4" t="s">
        <v>14</v>
      </c>
      <c r="C66" s="4" t="s">
        <v>15</v>
      </c>
      <c r="D66" s="6">
        <v>46307.472777777803</v>
      </c>
      <c r="E66" s="6">
        <v>46307.222743055601</v>
      </c>
      <c r="F66" s="6">
        <v>46307</v>
      </c>
      <c r="G66" s="5" t="s">
        <v>12</v>
      </c>
      <c r="H66" s="5" t="s">
        <v>29</v>
      </c>
      <c r="I66" s="5">
        <v>42</v>
      </c>
      <c r="J66" s="9" t="s">
        <v>17</v>
      </c>
      <c r="K66" s="1" t="s">
        <v>85</v>
      </c>
      <c r="L66" t="s">
        <v>3284</v>
      </c>
      <c r="M66" t="str">
        <f>+VLOOKUP(C66,'[1]TIENDAS 2025'!$A$1:$C$143,3,0)</f>
        <v>departamental</v>
      </c>
      <c r="O66">
        <v>1</v>
      </c>
    </row>
    <row r="67" spans="1:15" ht="15" customHeight="1" x14ac:dyDescent="0.3">
      <c r="A67" s="7">
        <v>8209660922</v>
      </c>
      <c r="B67" s="4" t="s">
        <v>14</v>
      </c>
      <c r="C67" s="4" t="s">
        <v>15</v>
      </c>
      <c r="D67" s="6">
        <v>46307.473020833299</v>
      </c>
      <c r="E67" s="6">
        <v>46307.222986111097</v>
      </c>
      <c r="F67" s="6">
        <v>46307</v>
      </c>
      <c r="G67" s="5" t="s">
        <v>12</v>
      </c>
      <c r="H67" s="5" t="s">
        <v>27</v>
      </c>
      <c r="I67" s="5">
        <v>4</v>
      </c>
      <c r="J67" s="10" t="s">
        <v>17</v>
      </c>
      <c r="K67" s="1" t="s">
        <v>86</v>
      </c>
      <c r="M67" t="str">
        <f>+VLOOKUP(C67,'[1]TIENDAS 2025'!$A$1:$C$143,3,0)</f>
        <v>departamental</v>
      </c>
      <c r="O67">
        <v>1</v>
      </c>
    </row>
    <row r="68" spans="1:15" ht="15" customHeight="1" x14ac:dyDescent="0.3">
      <c r="A68" s="7">
        <v>1209660933</v>
      </c>
      <c r="B68" s="4" t="s">
        <v>14</v>
      </c>
      <c r="C68" s="4" t="s">
        <v>15</v>
      </c>
      <c r="D68" s="6">
        <v>46307.473252314798</v>
      </c>
      <c r="E68" s="6">
        <v>46307.223217592596</v>
      </c>
      <c r="F68" s="6">
        <v>46307</v>
      </c>
      <c r="G68" s="5" t="s">
        <v>12</v>
      </c>
      <c r="H68" s="5" t="s">
        <v>16</v>
      </c>
      <c r="I68" s="5">
        <v>21</v>
      </c>
      <c r="J68" s="9" t="s">
        <v>17</v>
      </c>
      <c r="K68" s="1" t="s">
        <v>87</v>
      </c>
      <c r="L68" t="s">
        <v>3284</v>
      </c>
      <c r="M68" t="str">
        <f>+VLOOKUP(C68,'[1]TIENDAS 2025'!$A$1:$C$143,3,0)</f>
        <v>departamental</v>
      </c>
      <c r="O68">
        <v>1</v>
      </c>
    </row>
    <row r="69" spans="1:15" ht="15" customHeight="1" x14ac:dyDescent="0.3">
      <c r="A69" s="8">
        <v>209662425</v>
      </c>
      <c r="B69" s="4" t="s">
        <v>19</v>
      </c>
      <c r="C69" s="4" t="s">
        <v>20</v>
      </c>
      <c r="D69" s="6">
        <v>46307.780590277798</v>
      </c>
      <c r="E69" s="6">
        <v>46307.530555555597</v>
      </c>
      <c r="F69" s="6">
        <v>46307</v>
      </c>
      <c r="G69" s="5" t="s">
        <v>12</v>
      </c>
      <c r="H69" s="5" t="s">
        <v>16</v>
      </c>
      <c r="I69" s="5">
        <v>1</v>
      </c>
      <c r="J69" s="9" t="s">
        <v>17</v>
      </c>
      <c r="K69" s="1" t="s">
        <v>89</v>
      </c>
      <c r="L69" t="s">
        <v>10</v>
      </c>
      <c r="M69" t="str">
        <f>+VLOOKUP(C69,'[1]TIENDAS 2025'!$A$1:$C$143,3,0)</f>
        <v>departamental</v>
      </c>
      <c r="O69">
        <v>1</v>
      </c>
    </row>
    <row r="70" spans="1:15" ht="15" customHeight="1" x14ac:dyDescent="0.3">
      <c r="A70" s="8">
        <v>209662725</v>
      </c>
      <c r="B70" s="4" t="s">
        <v>14</v>
      </c>
      <c r="C70" s="4" t="s">
        <v>15</v>
      </c>
      <c r="D70" s="6">
        <v>46307.798460648097</v>
      </c>
      <c r="E70" s="6">
        <v>46307.548425925903</v>
      </c>
      <c r="F70" s="6">
        <v>46307</v>
      </c>
      <c r="G70" s="5" t="s">
        <v>12</v>
      </c>
      <c r="H70" s="5" t="s">
        <v>16</v>
      </c>
      <c r="I70" s="5">
        <v>4</v>
      </c>
      <c r="J70" s="9" t="s">
        <v>17</v>
      </c>
      <c r="K70" s="1" t="s">
        <v>90</v>
      </c>
      <c r="L70" t="s">
        <v>10</v>
      </c>
      <c r="M70" t="str">
        <f>+VLOOKUP(C70,'[1]TIENDAS 2025'!$A$1:$C$143,3,0)</f>
        <v>departamental</v>
      </c>
      <c r="O70">
        <v>1</v>
      </c>
    </row>
    <row r="71" spans="1:15" ht="15" customHeight="1" x14ac:dyDescent="0.3">
      <c r="A71" s="8">
        <v>209662816</v>
      </c>
      <c r="B71" s="4" t="s">
        <v>19</v>
      </c>
      <c r="C71" s="4" t="s">
        <v>20</v>
      </c>
      <c r="D71" s="6">
        <v>46307.8434375</v>
      </c>
      <c r="E71" s="6">
        <v>46307.593414351897</v>
      </c>
      <c r="F71" s="6">
        <v>46307</v>
      </c>
      <c r="G71" s="5" t="s">
        <v>12</v>
      </c>
      <c r="H71" s="5" t="s">
        <v>16</v>
      </c>
      <c r="I71" s="5">
        <v>5</v>
      </c>
      <c r="J71" s="9" t="s">
        <v>17</v>
      </c>
      <c r="K71" s="1" t="s">
        <v>91</v>
      </c>
      <c r="L71" t="s">
        <v>10</v>
      </c>
      <c r="M71" t="str">
        <f>+VLOOKUP(C71,'[1]TIENDAS 2025'!$A$1:$C$143,3,0)</f>
        <v>departamental</v>
      </c>
      <c r="O71">
        <v>1</v>
      </c>
    </row>
    <row r="72" spans="1:15" ht="15" customHeight="1" x14ac:dyDescent="0.3">
      <c r="A72" s="8">
        <v>209662818</v>
      </c>
      <c r="B72" s="4" t="s">
        <v>93</v>
      </c>
      <c r="C72" s="4" t="s">
        <v>94</v>
      </c>
      <c r="D72" s="6">
        <v>46307.843472222201</v>
      </c>
      <c r="E72" s="6">
        <v>46307.5934375</v>
      </c>
      <c r="F72" s="6">
        <v>46307</v>
      </c>
      <c r="G72" s="5" t="s">
        <v>12</v>
      </c>
      <c r="H72" s="5" t="s">
        <v>16</v>
      </c>
      <c r="I72" s="5">
        <v>5</v>
      </c>
      <c r="J72" s="9" t="s">
        <v>17</v>
      </c>
      <c r="K72" s="1" t="s">
        <v>92</v>
      </c>
      <c r="L72" t="s">
        <v>10</v>
      </c>
      <c r="M72" t="str">
        <f>+VLOOKUP(C72,'[1]TIENDAS 2025'!$A$1:$C$143,3,0)</f>
        <v>departamental</v>
      </c>
      <c r="O72">
        <v>1</v>
      </c>
    </row>
    <row r="73" spans="1:15" ht="15" customHeight="1" x14ac:dyDescent="0.3">
      <c r="A73" s="8">
        <v>209663196</v>
      </c>
      <c r="B73" s="4" t="s">
        <v>93</v>
      </c>
      <c r="C73" s="4" t="s">
        <v>94</v>
      </c>
      <c r="D73" s="6">
        <v>46307.909259259301</v>
      </c>
      <c r="E73" s="6">
        <v>46307.659224536997</v>
      </c>
      <c r="F73" s="6">
        <v>46307</v>
      </c>
      <c r="G73" s="5" t="s">
        <v>12</v>
      </c>
      <c r="H73" s="5" t="s">
        <v>16</v>
      </c>
      <c r="I73" s="5">
        <v>1</v>
      </c>
      <c r="J73" s="9" t="s">
        <v>17</v>
      </c>
      <c r="K73" s="1" t="s">
        <v>95</v>
      </c>
      <c r="L73" t="s">
        <v>10</v>
      </c>
      <c r="M73" t="str">
        <f>+VLOOKUP(C73,'[1]TIENDAS 2025'!$A$1:$C$143,3,0)</f>
        <v>departamental</v>
      </c>
      <c r="O73">
        <v>1</v>
      </c>
    </row>
    <row r="74" spans="1:15" ht="15" customHeight="1" x14ac:dyDescent="0.3">
      <c r="A74" s="8">
        <v>209663182</v>
      </c>
      <c r="B74" s="4" t="s">
        <v>19</v>
      </c>
      <c r="C74" s="4" t="s">
        <v>20</v>
      </c>
      <c r="D74" s="6">
        <v>46307.909409722197</v>
      </c>
      <c r="E74" s="6">
        <v>46307.659386574102</v>
      </c>
      <c r="F74" s="6">
        <v>46307</v>
      </c>
      <c r="G74" s="5" t="s">
        <v>12</v>
      </c>
      <c r="H74" s="5" t="s">
        <v>16</v>
      </c>
      <c r="I74" s="5">
        <v>1</v>
      </c>
      <c r="J74" s="9" t="s">
        <v>17</v>
      </c>
      <c r="K74" s="1" t="s">
        <v>96</v>
      </c>
      <c r="L74" t="s">
        <v>10</v>
      </c>
      <c r="M74" t="str">
        <f>+VLOOKUP(C74,'[1]TIENDAS 2025'!$A$1:$C$143,3,0)</f>
        <v>departamental</v>
      </c>
      <c r="O74">
        <v>1</v>
      </c>
    </row>
    <row r="75" spans="1:15" ht="15" customHeight="1" x14ac:dyDescent="0.3">
      <c r="A75" s="8">
        <v>209663764</v>
      </c>
      <c r="B75" s="4" t="s">
        <v>14</v>
      </c>
      <c r="C75" s="4" t="s">
        <v>15</v>
      </c>
      <c r="D75" s="6">
        <v>46307.950706018499</v>
      </c>
      <c r="E75" s="6">
        <v>46307.700682870403</v>
      </c>
      <c r="F75" s="6">
        <v>46307</v>
      </c>
      <c r="G75" s="5" t="s">
        <v>12</v>
      </c>
      <c r="H75" s="5" t="s">
        <v>16</v>
      </c>
      <c r="I75" s="5">
        <v>8</v>
      </c>
      <c r="J75" s="9" t="s">
        <v>17</v>
      </c>
      <c r="K75" s="1" t="s">
        <v>97</v>
      </c>
      <c r="L75" t="s">
        <v>10</v>
      </c>
      <c r="M75" t="str">
        <f>+VLOOKUP(C75,'[1]TIENDAS 2025'!$A$1:$C$143,3,0)</f>
        <v>departamental</v>
      </c>
      <c r="O75">
        <v>1</v>
      </c>
    </row>
    <row r="76" spans="1:15" ht="15" customHeight="1" x14ac:dyDescent="0.3">
      <c r="A76" s="8">
        <v>209663749</v>
      </c>
      <c r="B76" s="4" t="s">
        <v>93</v>
      </c>
      <c r="C76" s="4" t="s">
        <v>94</v>
      </c>
      <c r="D76" s="6">
        <v>46307.951631944401</v>
      </c>
      <c r="E76" s="6">
        <v>46307.701608796298</v>
      </c>
      <c r="F76" s="6">
        <v>46307</v>
      </c>
      <c r="G76" s="5" t="s">
        <v>12</v>
      </c>
      <c r="H76" s="5" t="s">
        <v>16</v>
      </c>
      <c r="I76" s="5">
        <v>10</v>
      </c>
      <c r="J76" s="9" t="s">
        <v>17</v>
      </c>
      <c r="K76" s="1" t="s">
        <v>98</v>
      </c>
      <c r="L76" t="s">
        <v>10</v>
      </c>
      <c r="M76" t="str">
        <f>+VLOOKUP(C76,'[1]TIENDAS 2025'!$A$1:$C$143,3,0)</f>
        <v>departamental</v>
      </c>
      <c r="O76">
        <v>1</v>
      </c>
    </row>
    <row r="77" spans="1:15" ht="15" customHeight="1" x14ac:dyDescent="0.3">
      <c r="A77" s="8">
        <v>209664061</v>
      </c>
      <c r="B77" s="4" t="s">
        <v>19</v>
      </c>
      <c r="C77" s="4" t="s">
        <v>20</v>
      </c>
      <c r="D77" s="6">
        <v>46307.964803240699</v>
      </c>
      <c r="E77" s="6">
        <v>46307.714733796303</v>
      </c>
      <c r="F77" s="6">
        <v>46307</v>
      </c>
      <c r="G77" s="5" t="s">
        <v>12</v>
      </c>
      <c r="H77" s="5" t="s">
        <v>16</v>
      </c>
      <c r="I77" s="5">
        <v>1</v>
      </c>
      <c r="J77" s="9" t="s">
        <v>17</v>
      </c>
      <c r="K77" s="1" t="s">
        <v>99</v>
      </c>
      <c r="L77" t="s">
        <v>10</v>
      </c>
      <c r="M77" t="str">
        <f>+VLOOKUP(C77,'[1]TIENDAS 2025'!$A$1:$C$143,3,0)</f>
        <v>departamental</v>
      </c>
      <c r="O77">
        <v>1</v>
      </c>
    </row>
    <row r="78" spans="1:15" ht="15" customHeight="1" x14ac:dyDescent="0.3">
      <c r="A78" s="8">
        <v>209664115</v>
      </c>
      <c r="B78" s="4" t="s">
        <v>93</v>
      </c>
      <c r="C78" s="4" t="s">
        <v>94</v>
      </c>
      <c r="D78" s="6">
        <v>46307.965289351901</v>
      </c>
      <c r="E78" s="6">
        <v>46307.715254629598</v>
      </c>
      <c r="F78" s="6">
        <v>46307</v>
      </c>
      <c r="G78" s="5" t="s">
        <v>12</v>
      </c>
      <c r="H78" s="5" t="s">
        <v>16</v>
      </c>
      <c r="I78" s="5">
        <v>1</v>
      </c>
      <c r="J78" s="9" t="s">
        <v>17</v>
      </c>
      <c r="K78" s="1" t="s">
        <v>100</v>
      </c>
      <c r="L78" t="s">
        <v>10</v>
      </c>
      <c r="M78" t="str">
        <f>+VLOOKUP(C78,'[1]TIENDAS 2025'!$A$1:$C$143,3,0)</f>
        <v>departamental</v>
      </c>
      <c r="O78">
        <v>1</v>
      </c>
    </row>
    <row r="79" spans="1:15" ht="15" customHeight="1" x14ac:dyDescent="0.3">
      <c r="A79" s="8">
        <v>209663924</v>
      </c>
      <c r="B79" s="4" t="s">
        <v>19</v>
      </c>
      <c r="C79" s="4" t="s">
        <v>20</v>
      </c>
      <c r="D79" s="6">
        <v>46307.965335648201</v>
      </c>
      <c r="E79" s="6">
        <v>46307.715300925898</v>
      </c>
      <c r="F79" s="6">
        <v>46307</v>
      </c>
      <c r="G79" s="5" t="s">
        <v>12</v>
      </c>
      <c r="H79" s="5" t="s">
        <v>16</v>
      </c>
      <c r="I79" s="5">
        <v>3</v>
      </c>
      <c r="J79" s="9" t="s">
        <v>17</v>
      </c>
      <c r="K79" s="1" t="s">
        <v>101</v>
      </c>
      <c r="L79" t="s">
        <v>10</v>
      </c>
      <c r="M79" t="str">
        <f>+VLOOKUP(C79,'[1]TIENDAS 2025'!$A$1:$C$143,3,0)</f>
        <v>departamental</v>
      </c>
      <c r="O79">
        <v>1</v>
      </c>
    </row>
    <row r="80" spans="1:15" ht="15" customHeight="1" x14ac:dyDescent="0.3">
      <c r="A80" s="8">
        <v>209663977</v>
      </c>
      <c r="B80" s="4" t="s">
        <v>93</v>
      </c>
      <c r="C80" s="4" t="s">
        <v>94</v>
      </c>
      <c r="D80" s="6">
        <v>46307.966099537</v>
      </c>
      <c r="E80" s="6">
        <v>46307.716076388897</v>
      </c>
      <c r="F80" s="6">
        <v>46307</v>
      </c>
      <c r="G80" s="5" t="s">
        <v>12</v>
      </c>
      <c r="H80" s="5" t="s">
        <v>16</v>
      </c>
      <c r="I80" s="5">
        <v>1</v>
      </c>
      <c r="J80" s="9" t="s">
        <v>17</v>
      </c>
      <c r="K80" s="1" t="s">
        <v>102</v>
      </c>
      <c r="L80" t="s">
        <v>10</v>
      </c>
      <c r="M80" t="str">
        <f>+VLOOKUP(C80,'[1]TIENDAS 2025'!$A$1:$C$143,3,0)</f>
        <v>departamental</v>
      </c>
      <c r="O80">
        <v>1</v>
      </c>
    </row>
    <row r="81" spans="1:15" ht="15" customHeight="1" x14ac:dyDescent="0.3">
      <c r="A81" s="8">
        <v>209664021</v>
      </c>
      <c r="B81" s="4" t="s">
        <v>14</v>
      </c>
      <c r="C81" s="4" t="s">
        <v>15</v>
      </c>
      <c r="D81" s="6">
        <v>46307.966620370396</v>
      </c>
      <c r="E81" s="6">
        <v>46307.716597222199</v>
      </c>
      <c r="F81" s="6">
        <v>46307</v>
      </c>
      <c r="G81" s="5" t="s">
        <v>12</v>
      </c>
      <c r="H81" s="5" t="s">
        <v>16</v>
      </c>
      <c r="I81" s="5">
        <v>4</v>
      </c>
      <c r="J81" s="9" t="s">
        <v>17</v>
      </c>
      <c r="K81" s="1" t="s">
        <v>103</v>
      </c>
      <c r="L81" t="s">
        <v>10</v>
      </c>
      <c r="M81" t="str">
        <f>+VLOOKUP(C81,'[1]TIENDAS 2025'!$A$1:$C$143,3,0)</f>
        <v>departamental</v>
      </c>
      <c r="O81">
        <v>1</v>
      </c>
    </row>
    <row r="82" spans="1:15" ht="15" customHeight="1" x14ac:dyDescent="0.3">
      <c r="A82" s="7">
        <v>8209665303</v>
      </c>
      <c r="B82" s="4" t="s">
        <v>19</v>
      </c>
      <c r="C82" s="4" t="s">
        <v>20</v>
      </c>
      <c r="D82" s="6">
        <v>46308.4231828704</v>
      </c>
      <c r="E82" s="6">
        <v>46308.173159722202</v>
      </c>
      <c r="F82" s="6">
        <v>46308</v>
      </c>
      <c r="G82" s="5" t="s">
        <v>12</v>
      </c>
      <c r="H82" s="5" t="s">
        <v>27</v>
      </c>
      <c r="I82" s="5">
        <v>4</v>
      </c>
      <c r="J82" s="10" t="s">
        <v>17</v>
      </c>
      <c r="K82" s="1" t="s">
        <v>104</v>
      </c>
      <c r="M82" t="str">
        <f>+VLOOKUP(C82,'[1]TIENDAS 2025'!$A$1:$C$143,3,0)</f>
        <v>departamental</v>
      </c>
      <c r="O82">
        <v>1</v>
      </c>
    </row>
    <row r="83" spans="1:15" ht="15" customHeight="1" x14ac:dyDescent="0.3">
      <c r="A83" s="7">
        <v>1209665315</v>
      </c>
      <c r="B83" s="4" t="s">
        <v>19</v>
      </c>
      <c r="C83" s="4" t="s">
        <v>20</v>
      </c>
      <c r="D83" s="6">
        <v>46308.423275462999</v>
      </c>
      <c r="E83" s="6">
        <v>46308.173252314802</v>
      </c>
      <c r="F83" s="6">
        <v>46308</v>
      </c>
      <c r="G83" s="5" t="s">
        <v>12</v>
      </c>
      <c r="H83" s="5" t="s">
        <v>29</v>
      </c>
      <c r="I83" s="5">
        <v>40</v>
      </c>
      <c r="J83" s="9" t="s">
        <v>17</v>
      </c>
      <c r="K83" s="1" t="s">
        <v>105</v>
      </c>
      <c r="L83" t="s">
        <v>3284</v>
      </c>
      <c r="M83" t="str">
        <f>+VLOOKUP(C83,'[1]TIENDAS 2025'!$A$1:$C$143,3,0)</f>
        <v>departamental</v>
      </c>
      <c r="O83">
        <v>1</v>
      </c>
    </row>
    <row r="84" spans="1:15" ht="15" customHeight="1" x14ac:dyDescent="0.3">
      <c r="A84" s="7">
        <v>1209665316</v>
      </c>
      <c r="B84" s="4" t="s">
        <v>19</v>
      </c>
      <c r="C84" s="4" t="s">
        <v>20</v>
      </c>
      <c r="D84" s="6">
        <v>46308.423298611102</v>
      </c>
      <c r="E84" s="6">
        <v>46308.173263888901</v>
      </c>
      <c r="F84" s="6">
        <v>46308</v>
      </c>
      <c r="G84" s="5" t="s">
        <v>12</v>
      </c>
      <c r="H84" s="5" t="s">
        <v>16</v>
      </c>
      <c r="I84" s="5">
        <v>3</v>
      </c>
      <c r="J84" s="9" t="s">
        <v>17</v>
      </c>
      <c r="K84" s="1" t="s">
        <v>106</v>
      </c>
      <c r="L84" t="s">
        <v>3284</v>
      </c>
      <c r="M84" t="str">
        <f>+VLOOKUP(C84,'[1]TIENDAS 2025'!$A$1:$C$143,3,0)</f>
        <v>departamental</v>
      </c>
      <c r="O84">
        <v>1</v>
      </c>
    </row>
    <row r="85" spans="1:15" ht="15" customHeight="1" x14ac:dyDescent="0.3">
      <c r="A85" s="7">
        <v>1209665308</v>
      </c>
      <c r="B85" s="4" t="s">
        <v>19</v>
      </c>
      <c r="C85" s="4" t="s">
        <v>20</v>
      </c>
      <c r="D85" s="6">
        <v>46308.423379629603</v>
      </c>
      <c r="E85" s="6">
        <v>46308.1733564815</v>
      </c>
      <c r="F85" s="6">
        <v>46308</v>
      </c>
      <c r="G85" s="5" t="s">
        <v>12</v>
      </c>
      <c r="H85" s="5" t="s">
        <v>16</v>
      </c>
      <c r="I85" s="5">
        <v>7</v>
      </c>
      <c r="J85" s="9" t="s">
        <v>17</v>
      </c>
      <c r="K85" s="1" t="s">
        <v>107</v>
      </c>
      <c r="L85" t="s">
        <v>3284</v>
      </c>
      <c r="M85" t="str">
        <f>+VLOOKUP(C85,'[1]TIENDAS 2025'!$A$1:$C$143,3,0)</f>
        <v>departamental</v>
      </c>
      <c r="O85">
        <v>1</v>
      </c>
    </row>
    <row r="86" spans="1:15" ht="15" customHeight="1" x14ac:dyDescent="0.3">
      <c r="A86" s="7">
        <v>8209665304</v>
      </c>
      <c r="B86" s="4" t="s">
        <v>19</v>
      </c>
      <c r="C86" s="4" t="s">
        <v>20</v>
      </c>
      <c r="D86" s="6">
        <v>46308.423773148097</v>
      </c>
      <c r="E86" s="6">
        <v>46308.173530092601</v>
      </c>
      <c r="F86" s="6">
        <v>46308</v>
      </c>
      <c r="G86" s="5" t="s">
        <v>12</v>
      </c>
      <c r="H86" s="5" t="s">
        <v>27</v>
      </c>
      <c r="I86" s="5">
        <v>4</v>
      </c>
      <c r="J86" s="10" t="s">
        <v>17</v>
      </c>
      <c r="K86" s="1" t="s">
        <v>108</v>
      </c>
      <c r="M86" t="str">
        <f>+VLOOKUP(C86,'[1]TIENDAS 2025'!$A$1:$C$143,3,0)</f>
        <v>departamental</v>
      </c>
      <c r="O86">
        <v>1</v>
      </c>
    </row>
    <row r="87" spans="1:15" ht="15" customHeight="1" x14ac:dyDescent="0.3">
      <c r="A87" s="7">
        <v>1209665317</v>
      </c>
      <c r="B87" s="4" t="s">
        <v>19</v>
      </c>
      <c r="C87" s="4" t="s">
        <v>20</v>
      </c>
      <c r="D87" s="6">
        <v>46308.423796296302</v>
      </c>
      <c r="E87" s="6">
        <v>46308.173738425903</v>
      </c>
      <c r="F87" s="6">
        <v>46308</v>
      </c>
      <c r="G87" s="5" t="s">
        <v>12</v>
      </c>
      <c r="H87" s="5" t="s">
        <v>29</v>
      </c>
      <c r="I87" s="5">
        <v>35</v>
      </c>
      <c r="J87" s="9" t="s">
        <v>17</v>
      </c>
      <c r="K87" s="1" t="s">
        <v>109</v>
      </c>
      <c r="L87" t="s">
        <v>3284</v>
      </c>
      <c r="M87" t="str">
        <f>+VLOOKUP(C87,'[1]TIENDAS 2025'!$A$1:$C$143,3,0)</f>
        <v>departamental</v>
      </c>
      <c r="O87">
        <v>1</v>
      </c>
    </row>
    <row r="88" spans="1:15" ht="15" customHeight="1" x14ac:dyDescent="0.3">
      <c r="A88" s="7">
        <v>8209665302</v>
      </c>
      <c r="B88" s="4" t="s">
        <v>19</v>
      </c>
      <c r="C88" s="4" t="s">
        <v>20</v>
      </c>
      <c r="D88" s="6">
        <v>46308.423842592601</v>
      </c>
      <c r="E88" s="6">
        <v>46308.173819444397</v>
      </c>
      <c r="F88" s="6">
        <v>46308</v>
      </c>
      <c r="G88" s="5" t="s">
        <v>12</v>
      </c>
      <c r="H88" s="5" t="s">
        <v>27</v>
      </c>
      <c r="I88" s="5">
        <v>1</v>
      </c>
      <c r="J88" s="10" t="s">
        <v>17</v>
      </c>
      <c r="K88" s="1" t="s">
        <v>110</v>
      </c>
      <c r="M88" t="str">
        <f>+VLOOKUP(C88,'[1]TIENDAS 2025'!$A$1:$C$143,3,0)</f>
        <v>departamental</v>
      </c>
      <c r="O88">
        <v>1</v>
      </c>
    </row>
    <row r="89" spans="1:15" ht="15" customHeight="1" x14ac:dyDescent="0.3">
      <c r="A89" s="7">
        <v>1209665307</v>
      </c>
      <c r="B89" s="4" t="s">
        <v>19</v>
      </c>
      <c r="C89" s="4" t="s">
        <v>20</v>
      </c>
      <c r="D89" s="6">
        <v>46308.423912036997</v>
      </c>
      <c r="E89" s="6">
        <v>46308.173888888901</v>
      </c>
      <c r="F89" s="6">
        <v>46308</v>
      </c>
      <c r="G89" s="5" t="s">
        <v>12</v>
      </c>
      <c r="H89" s="5" t="s">
        <v>16</v>
      </c>
      <c r="I89" s="5">
        <v>6</v>
      </c>
      <c r="J89" s="9" t="s">
        <v>17</v>
      </c>
      <c r="K89" s="1" t="s">
        <v>111</v>
      </c>
      <c r="L89" t="s">
        <v>3284</v>
      </c>
      <c r="M89" t="str">
        <f>+VLOOKUP(C89,'[1]TIENDAS 2025'!$A$1:$C$143,3,0)</f>
        <v>departamental</v>
      </c>
      <c r="O89">
        <v>1</v>
      </c>
    </row>
    <row r="90" spans="1:15" ht="15" customHeight="1" x14ac:dyDescent="0.3">
      <c r="A90" s="7">
        <v>1209665312</v>
      </c>
      <c r="B90" s="4" t="s">
        <v>19</v>
      </c>
      <c r="C90" s="4" t="s">
        <v>20</v>
      </c>
      <c r="D90" s="6">
        <v>46308.4239467593</v>
      </c>
      <c r="E90" s="6">
        <v>46308.173923611103</v>
      </c>
      <c r="F90" s="6">
        <v>46308</v>
      </c>
      <c r="G90" s="5" t="s">
        <v>12</v>
      </c>
      <c r="H90" s="5" t="s">
        <v>16</v>
      </c>
      <c r="I90" s="5">
        <v>9</v>
      </c>
      <c r="J90" s="9" t="s">
        <v>17</v>
      </c>
      <c r="K90" s="1" t="s">
        <v>112</v>
      </c>
      <c r="L90" t="s">
        <v>3284</v>
      </c>
      <c r="M90" t="str">
        <f>+VLOOKUP(C90,'[1]TIENDAS 2025'!$A$1:$C$143,3,0)</f>
        <v>departamental</v>
      </c>
      <c r="O90">
        <v>1</v>
      </c>
    </row>
    <row r="91" spans="1:15" ht="15" customHeight="1" x14ac:dyDescent="0.3">
      <c r="A91" s="7">
        <v>8209665301</v>
      </c>
      <c r="B91" s="4" t="s">
        <v>19</v>
      </c>
      <c r="C91" s="4" t="s">
        <v>20</v>
      </c>
      <c r="D91" s="6">
        <v>46308.424085648097</v>
      </c>
      <c r="E91" s="6">
        <v>46308.174050925903</v>
      </c>
      <c r="F91" s="6">
        <v>46308</v>
      </c>
      <c r="G91" s="5" t="s">
        <v>12</v>
      </c>
      <c r="H91" s="5" t="s">
        <v>27</v>
      </c>
      <c r="I91" s="5">
        <v>2</v>
      </c>
      <c r="J91" s="10" t="s">
        <v>17</v>
      </c>
      <c r="K91" s="1" t="s">
        <v>113</v>
      </c>
      <c r="M91" t="str">
        <f>+VLOOKUP(C91,'[1]TIENDAS 2025'!$A$1:$C$143,3,0)</f>
        <v>departamental</v>
      </c>
      <c r="O91">
        <v>1</v>
      </c>
    </row>
    <row r="92" spans="1:15" ht="15" customHeight="1" x14ac:dyDescent="0.3">
      <c r="A92" s="7">
        <v>1209665310</v>
      </c>
      <c r="B92" s="4" t="s">
        <v>19</v>
      </c>
      <c r="C92" s="4" t="s">
        <v>20</v>
      </c>
      <c r="D92" s="6">
        <v>46308.424351851798</v>
      </c>
      <c r="E92" s="6">
        <v>46308.174328703702</v>
      </c>
      <c r="F92" s="6">
        <v>46308</v>
      </c>
      <c r="G92" s="5" t="s">
        <v>12</v>
      </c>
      <c r="H92" s="5" t="s">
        <v>29</v>
      </c>
      <c r="I92" s="5">
        <v>7</v>
      </c>
      <c r="J92" s="9" t="s">
        <v>17</v>
      </c>
      <c r="K92" s="1" t="s">
        <v>114</v>
      </c>
      <c r="L92" t="s">
        <v>3284</v>
      </c>
      <c r="M92" t="str">
        <f>+VLOOKUP(C92,'[1]TIENDAS 2025'!$A$1:$C$143,3,0)</f>
        <v>departamental</v>
      </c>
      <c r="O92">
        <v>1</v>
      </c>
    </row>
    <row r="93" spans="1:15" ht="15" customHeight="1" x14ac:dyDescent="0.3">
      <c r="A93" s="7">
        <v>1209665313</v>
      </c>
      <c r="B93" s="4" t="s">
        <v>19</v>
      </c>
      <c r="C93" s="4" t="s">
        <v>20</v>
      </c>
      <c r="D93" s="6">
        <v>46308.424398148098</v>
      </c>
      <c r="E93" s="6">
        <v>46308.174363425896</v>
      </c>
      <c r="F93" s="6">
        <v>46308</v>
      </c>
      <c r="G93" s="5" t="s">
        <v>12</v>
      </c>
      <c r="H93" s="5" t="s">
        <v>16</v>
      </c>
      <c r="I93" s="5">
        <v>25</v>
      </c>
      <c r="J93" s="9" t="s">
        <v>17</v>
      </c>
      <c r="K93" s="1" t="s">
        <v>115</v>
      </c>
      <c r="L93" t="s">
        <v>3284</v>
      </c>
      <c r="M93" t="str">
        <f>+VLOOKUP(C93,'[1]TIENDAS 2025'!$A$1:$C$143,3,0)</f>
        <v>departamental</v>
      </c>
      <c r="O93">
        <v>1</v>
      </c>
    </row>
    <row r="94" spans="1:15" ht="15" customHeight="1" x14ac:dyDescent="0.3">
      <c r="A94" s="7">
        <v>8209665305</v>
      </c>
      <c r="B94" s="4" t="s">
        <v>19</v>
      </c>
      <c r="C94" s="4" t="s">
        <v>20</v>
      </c>
      <c r="D94" s="6">
        <v>46308.424525463</v>
      </c>
      <c r="E94" s="6">
        <v>46308.174502314803</v>
      </c>
      <c r="F94" s="6">
        <v>46308</v>
      </c>
      <c r="G94" s="5" t="s">
        <v>12</v>
      </c>
      <c r="H94" s="5" t="s">
        <v>27</v>
      </c>
      <c r="I94" s="5">
        <v>6</v>
      </c>
      <c r="J94" s="10" t="s">
        <v>17</v>
      </c>
      <c r="K94" s="1" t="s">
        <v>116</v>
      </c>
      <c r="M94" t="str">
        <f>+VLOOKUP(C94,'[1]TIENDAS 2025'!$A$1:$C$143,3,0)</f>
        <v>departamental</v>
      </c>
      <c r="O94">
        <v>1</v>
      </c>
    </row>
    <row r="95" spans="1:15" ht="15" customHeight="1" x14ac:dyDescent="0.3">
      <c r="A95" s="7">
        <v>8209665306</v>
      </c>
      <c r="B95" s="4" t="s">
        <v>19</v>
      </c>
      <c r="C95" s="4" t="s">
        <v>20</v>
      </c>
      <c r="D95" s="6">
        <v>46308.424548611103</v>
      </c>
      <c r="E95" s="6">
        <v>46308.174513888902</v>
      </c>
      <c r="F95" s="6">
        <v>46308</v>
      </c>
      <c r="G95" s="5" t="s">
        <v>12</v>
      </c>
      <c r="H95" s="5" t="s">
        <v>27</v>
      </c>
      <c r="I95" s="5">
        <v>48</v>
      </c>
      <c r="J95" s="10" t="s">
        <v>17</v>
      </c>
      <c r="K95" s="1" t="s">
        <v>117</v>
      </c>
      <c r="M95" t="str">
        <f>+VLOOKUP(C95,'[1]TIENDAS 2025'!$A$1:$C$143,3,0)</f>
        <v>departamental</v>
      </c>
      <c r="O95">
        <v>1</v>
      </c>
    </row>
    <row r="96" spans="1:15" ht="15" customHeight="1" x14ac:dyDescent="0.3">
      <c r="A96" s="7">
        <v>1209665309</v>
      </c>
      <c r="B96" s="4" t="s">
        <v>19</v>
      </c>
      <c r="C96" s="4" t="s">
        <v>20</v>
      </c>
      <c r="D96" s="6">
        <v>46308.424583333297</v>
      </c>
      <c r="E96" s="6">
        <v>46308.174560185202</v>
      </c>
      <c r="F96" s="6">
        <v>46308</v>
      </c>
      <c r="G96" s="5" t="s">
        <v>12</v>
      </c>
      <c r="H96" s="5" t="s">
        <v>16</v>
      </c>
      <c r="I96" s="5">
        <v>12</v>
      </c>
      <c r="J96" s="9" t="s">
        <v>17</v>
      </c>
      <c r="K96" s="1" t="s">
        <v>118</v>
      </c>
      <c r="L96" t="s">
        <v>3284</v>
      </c>
      <c r="M96" t="str">
        <f>+VLOOKUP(C96,'[1]TIENDAS 2025'!$A$1:$C$143,3,0)</f>
        <v>departamental</v>
      </c>
      <c r="O96">
        <v>1</v>
      </c>
    </row>
    <row r="97" spans="1:15" ht="15" customHeight="1" x14ac:dyDescent="0.3">
      <c r="A97" s="7">
        <v>1209665311</v>
      </c>
      <c r="B97" s="4" t="s">
        <v>19</v>
      </c>
      <c r="C97" s="4" t="s">
        <v>20</v>
      </c>
      <c r="D97" s="6">
        <v>46308.424606481502</v>
      </c>
      <c r="E97" s="6">
        <v>46308.1745717593</v>
      </c>
      <c r="F97" s="6">
        <v>46308</v>
      </c>
      <c r="G97" s="5" t="s">
        <v>12</v>
      </c>
      <c r="H97" s="5" t="s">
        <v>16</v>
      </c>
      <c r="I97" s="5">
        <v>14</v>
      </c>
      <c r="J97" s="9" t="s">
        <v>17</v>
      </c>
      <c r="K97" s="1" t="s">
        <v>119</v>
      </c>
      <c r="L97" t="s">
        <v>3284</v>
      </c>
      <c r="M97" t="str">
        <f>+VLOOKUP(C97,'[1]TIENDAS 2025'!$A$1:$C$143,3,0)</f>
        <v>departamental</v>
      </c>
      <c r="O97">
        <v>1</v>
      </c>
    </row>
    <row r="98" spans="1:15" ht="15" customHeight="1" x14ac:dyDescent="0.3">
      <c r="A98" s="7">
        <v>1209665314</v>
      </c>
      <c r="B98" s="4" t="s">
        <v>19</v>
      </c>
      <c r="C98" s="4" t="s">
        <v>20</v>
      </c>
      <c r="D98" s="6">
        <v>46308.424652777801</v>
      </c>
      <c r="E98" s="6">
        <v>46308.174629629597</v>
      </c>
      <c r="F98" s="6">
        <v>46308</v>
      </c>
      <c r="G98" s="5" t="s">
        <v>12</v>
      </c>
      <c r="H98" s="5" t="s">
        <v>16</v>
      </c>
      <c r="I98" s="5">
        <v>28</v>
      </c>
      <c r="J98" s="9" t="s">
        <v>17</v>
      </c>
      <c r="K98" s="1" t="s">
        <v>120</v>
      </c>
      <c r="L98" t="s">
        <v>3284</v>
      </c>
      <c r="M98" t="str">
        <f>+VLOOKUP(C98,'[1]TIENDAS 2025'!$A$1:$C$143,3,0)</f>
        <v>departamental</v>
      </c>
      <c r="O98">
        <v>1</v>
      </c>
    </row>
    <row r="99" spans="1:15" ht="15" customHeight="1" x14ac:dyDescent="0.3">
      <c r="A99" s="7">
        <v>1209666397</v>
      </c>
      <c r="B99" s="4" t="s">
        <v>93</v>
      </c>
      <c r="C99" s="4" t="s">
        <v>94</v>
      </c>
      <c r="D99" s="6">
        <v>46308.457800925898</v>
      </c>
      <c r="E99" s="6">
        <v>46308.207777777803</v>
      </c>
      <c r="F99" s="6">
        <v>46308</v>
      </c>
      <c r="G99" s="5" t="s">
        <v>12</v>
      </c>
      <c r="H99" s="5" t="s">
        <v>16</v>
      </c>
      <c r="I99" s="5">
        <v>8</v>
      </c>
      <c r="J99" s="9" t="s">
        <v>17</v>
      </c>
      <c r="K99" s="1" t="s">
        <v>121</v>
      </c>
      <c r="L99" t="s">
        <v>3284</v>
      </c>
      <c r="M99" t="str">
        <f>+VLOOKUP(C99,'[1]TIENDAS 2025'!$A$1:$C$143,3,0)</f>
        <v>departamental</v>
      </c>
      <c r="O99">
        <v>1</v>
      </c>
    </row>
    <row r="100" spans="1:15" ht="15" customHeight="1" x14ac:dyDescent="0.3">
      <c r="A100" s="7">
        <v>8209666391</v>
      </c>
      <c r="B100" s="4" t="s">
        <v>93</v>
      </c>
      <c r="C100" s="4" t="s">
        <v>94</v>
      </c>
      <c r="D100" s="6">
        <v>46308.457939814798</v>
      </c>
      <c r="E100" s="6">
        <v>46308.207916666703</v>
      </c>
      <c r="F100" s="6">
        <v>46308</v>
      </c>
      <c r="G100" s="5" t="s">
        <v>12</v>
      </c>
      <c r="H100" s="5" t="s">
        <v>27</v>
      </c>
      <c r="I100" s="5">
        <v>1</v>
      </c>
      <c r="J100" s="10" t="s">
        <v>17</v>
      </c>
      <c r="K100" s="1" t="s">
        <v>122</v>
      </c>
      <c r="M100" t="str">
        <f>+VLOOKUP(C100,'[1]TIENDAS 2025'!$A$1:$C$143,3,0)</f>
        <v>departamental</v>
      </c>
      <c r="O100">
        <v>1</v>
      </c>
    </row>
    <row r="101" spans="1:15" ht="15" customHeight="1" x14ac:dyDescent="0.3">
      <c r="A101" s="7">
        <v>8209666392</v>
      </c>
      <c r="B101" s="4" t="s">
        <v>93</v>
      </c>
      <c r="C101" s="4" t="s">
        <v>94</v>
      </c>
      <c r="D101" s="6">
        <v>46308.457962963003</v>
      </c>
      <c r="E101" s="6">
        <v>46308.207928240699</v>
      </c>
      <c r="F101" s="6">
        <v>46308</v>
      </c>
      <c r="G101" s="5" t="s">
        <v>12</v>
      </c>
      <c r="H101" s="5" t="s">
        <v>27</v>
      </c>
      <c r="I101" s="5">
        <v>1</v>
      </c>
      <c r="J101" s="10" t="s">
        <v>17</v>
      </c>
      <c r="K101" s="1" t="s">
        <v>123</v>
      </c>
      <c r="M101" t="str">
        <f>+VLOOKUP(C101,'[1]TIENDAS 2025'!$A$1:$C$143,3,0)</f>
        <v>departamental</v>
      </c>
      <c r="O101">
        <v>1</v>
      </c>
    </row>
    <row r="102" spans="1:15" ht="15" customHeight="1" x14ac:dyDescent="0.3">
      <c r="A102" s="7">
        <v>8209666390</v>
      </c>
      <c r="B102" s="4" t="s">
        <v>93</v>
      </c>
      <c r="C102" s="4" t="s">
        <v>94</v>
      </c>
      <c r="D102" s="6">
        <v>46308.458344907398</v>
      </c>
      <c r="E102" s="6">
        <v>46308.208310185197</v>
      </c>
      <c r="F102" s="6">
        <v>46308</v>
      </c>
      <c r="G102" s="5" t="s">
        <v>12</v>
      </c>
      <c r="H102" s="5" t="s">
        <v>27</v>
      </c>
      <c r="I102" s="5">
        <v>2</v>
      </c>
      <c r="J102" s="10" t="s">
        <v>17</v>
      </c>
      <c r="K102" s="1" t="s">
        <v>124</v>
      </c>
      <c r="M102" t="str">
        <f>+VLOOKUP(C102,'[1]TIENDAS 2025'!$A$1:$C$143,3,0)</f>
        <v>departamental</v>
      </c>
      <c r="O102">
        <v>1</v>
      </c>
    </row>
    <row r="103" spans="1:15" ht="15" customHeight="1" x14ac:dyDescent="0.3">
      <c r="A103" s="7">
        <v>1209666393</v>
      </c>
      <c r="B103" s="4" t="s">
        <v>93</v>
      </c>
      <c r="C103" s="4" t="s">
        <v>94</v>
      </c>
      <c r="D103" s="6">
        <v>46308.458368055602</v>
      </c>
      <c r="E103" s="6">
        <v>46308.208333333299</v>
      </c>
      <c r="F103" s="6">
        <v>46308</v>
      </c>
      <c r="G103" s="5" t="s">
        <v>12</v>
      </c>
      <c r="H103" s="5" t="s">
        <v>16</v>
      </c>
      <c r="I103" s="5">
        <v>2</v>
      </c>
      <c r="J103" s="9" t="s">
        <v>17</v>
      </c>
      <c r="K103" s="1" t="s">
        <v>125</v>
      </c>
      <c r="L103" t="s">
        <v>3284</v>
      </c>
      <c r="M103" t="str">
        <f>+VLOOKUP(C103,'[1]TIENDAS 2025'!$A$1:$C$143,3,0)</f>
        <v>departamental</v>
      </c>
      <c r="O103">
        <v>1</v>
      </c>
    </row>
    <row r="104" spans="1:15" ht="15" customHeight="1" x14ac:dyDescent="0.3">
      <c r="A104" s="7">
        <v>1209666394</v>
      </c>
      <c r="B104" s="4" t="s">
        <v>93</v>
      </c>
      <c r="C104" s="4" t="s">
        <v>94</v>
      </c>
      <c r="D104" s="6">
        <v>46308.458518518499</v>
      </c>
      <c r="E104" s="6">
        <v>46308.208483796298</v>
      </c>
      <c r="F104" s="6">
        <v>46308</v>
      </c>
      <c r="G104" s="5" t="s">
        <v>12</v>
      </c>
      <c r="H104" s="5" t="s">
        <v>16</v>
      </c>
      <c r="I104" s="5">
        <v>3</v>
      </c>
      <c r="J104" s="9" t="s">
        <v>17</v>
      </c>
      <c r="K104" s="1" t="s">
        <v>126</v>
      </c>
      <c r="L104" t="s">
        <v>3284</v>
      </c>
      <c r="M104" t="str">
        <f>+VLOOKUP(C104,'[1]TIENDAS 2025'!$A$1:$C$143,3,0)</f>
        <v>departamental</v>
      </c>
      <c r="O104">
        <v>1</v>
      </c>
    </row>
    <row r="105" spans="1:15" ht="15" customHeight="1" x14ac:dyDescent="0.3">
      <c r="A105" s="7">
        <v>8209666389</v>
      </c>
      <c r="B105" s="4" t="s">
        <v>93</v>
      </c>
      <c r="C105" s="4" t="s">
        <v>94</v>
      </c>
      <c r="D105" s="6">
        <v>46308.458738425899</v>
      </c>
      <c r="E105" s="6">
        <v>46308.208715277797</v>
      </c>
      <c r="F105" s="6">
        <v>46308</v>
      </c>
      <c r="G105" s="5" t="s">
        <v>12</v>
      </c>
      <c r="H105" s="5" t="s">
        <v>27</v>
      </c>
      <c r="I105" s="5">
        <v>4</v>
      </c>
      <c r="J105" s="10" t="s">
        <v>17</v>
      </c>
      <c r="K105" s="1" t="s">
        <v>127</v>
      </c>
      <c r="M105" t="str">
        <f>+VLOOKUP(C105,'[1]TIENDAS 2025'!$A$1:$C$143,3,0)</f>
        <v>departamental</v>
      </c>
      <c r="O105">
        <v>1</v>
      </c>
    </row>
    <row r="106" spans="1:15" ht="15" customHeight="1" x14ac:dyDescent="0.3">
      <c r="A106" s="7">
        <v>1209666399</v>
      </c>
      <c r="B106" s="4" t="s">
        <v>93</v>
      </c>
      <c r="C106" s="4" t="s">
        <v>94</v>
      </c>
      <c r="D106" s="6">
        <v>46308.458888888897</v>
      </c>
      <c r="E106" s="6">
        <v>46308.2088657407</v>
      </c>
      <c r="F106" s="6">
        <v>46308</v>
      </c>
      <c r="G106" s="5" t="s">
        <v>12</v>
      </c>
      <c r="H106" s="5" t="s">
        <v>16</v>
      </c>
      <c r="I106" s="5">
        <v>19</v>
      </c>
      <c r="J106" s="9" t="s">
        <v>17</v>
      </c>
      <c r="K106" s="1" t="s">
        <v>128</v>
      </c>
      <c r="L106" t="s">
        <v>3284</v>
      </c>
      <c r="M106" t="str">
        <f>+VLOOKUP(C106,'[1]TIENDAS 2025'!$A$1:$C$143,3,0)</f>
        <v>departamental</v>
      </c>
      <c r="O106">
        <v>1</v>
      </c>
    </row>
    <row r="107" spans="1:15" ht="15" customHeight="1" x14ac:dyDescent="0.3">
      <c r="A107" s="7">
        <v>1209666396</v>
      </c>
      <c r="B107" s="4" t="s">
        <v>93</v>
      </c>
      <c r="C107" s="4" t="s">
        <v>94</v>
      </c>
      <c r="D107" s="6">
        <v>46308.459027777797</v>
      </c>
      <c r="E107" s="6">
        <v>46308.208993055603</v>
      </c>
      <c r="F107" s="6">
        <v>46308</v>
      </c>
      <c r="G107" s="5" t="s">
        <v>12</v>
      </c>
      <c r="H107" s="5" t="s">
        <v>16</v>
      </c>
      <c r="I107" s="5">
        <v>4</v>
      </c>
      <c r="J107" s="9" t="s">
        <v>17</v>
      </c>
      <c r="K107" s="1" t="s">
        <v>129</v>
      </c>
      <c r="L107" t="s">
        <v>3284</v>
      </c>
      <c r="M107" t="str">
        <f>+VLOOKUP(C107,'[1]TIENDAS 2025'!$A$1:$C$143,3,0)</f>
        <v>departamental</v>
      </c>
      <c r="O107">
        <v>1</v>
      </c>
    </row>
    <row r="108" spans="1:15" ht="15" customHeight="1" x14ac:dyDescent="0.3">
      <c r="A108" s="7">
        <v>1209666398</v>
      </c>
      <c r="B108" s="4" t="s">
        <v>93</v>
      </c>
      <c r="C108" s="4" t="s">
        <v>94</v>
      </c>
      <c r="D108" s="6">
        <v>46308.459039351903</v>
      </c>
      <c r="E108" s="6">
        <v>46308.2090046296</v>
      </c>
      <c r="F108" s="6">
        <v>46308</v>
      </c>
      <c r="G108" s="5" t="s">
        <v>12</v>
      </c>
      <c r="H108" s="5" t="s">
        <v>29</v>
      </c>
      <c r="I108" s="5">
        <v>8</v>
      </c>
      <c r="J108" s="9" t="s">
        <v>17</v>
      </c>
      <c r="K108" s="1" t="s">
        <v>130</v>
      </c>
      <c r="L108" t="s">
        <v>3284</v>
      </c>
      <c r="M108" t="str">
        <f>+VLOOKUP(C108,'[1]TIENDAS 2025'!$A$1:$C$143,3,0)</f>
        <v>departamental</v>
      </c>
      <c r="O108">
        <v>1</v>
      </c>
    </row>
    <row r="109" spans="1:15" ht="15" customHeight="1" x14ac:dyDescent="0.3">
      <c r="A109" s="7">
        <v>1209666400</v>
      </c>
      <c r="B109" s="4" t="s">
        <v>93</v>
      </c>
      <c r="C109" s="4" t="s">
        <v>94</v>
      </c>
      <c r="D109" s="6">
        <v>46308.459074074097</v>
      </c>
      <c r="E109" s="6">
        <v>46308.209039351903</v>
      </c>
      <c r="F109" s="6">
        <v>46308</v>
      </c>
      <c r="G109" s="5" t="s">
        <v>12</v>
      </c>
      <c r="H109" s="5" t="s">
        <v>29</v>
      </c>
      <c r="I109" s="5">
        <v>17</v>
      </c>
      <c r="J109" s="9" t="s">
        <v>17</v>
      </c>
      <c r="K109" s="1" t="s">
        <v>131</v>
      </c>
      <c r="L109" t="s">
        <v>3284</v>
      </c>
      <c r="M109" t="str">
        <f>+VLOOKUP(C109,'[1]TIENDAS 2025'!$A$1:$C$143,3,0)</f>
        <v>departamental</v>
      </c>
      <c r="O109">
        <v>1</v>
      </c>
    </row>
    <row r="110" spans="1:15" ht="15" customHeight="1" x14ac:dyDescent="0.3">
      <c r="A110" s="7">
        <v>1209666401</v>
      </c>
      <c r="B110" s="4" t="s">
        <v>93</v>
      </c>
      <c r="C110" s="4" t="s">
        <v>94</v>
      </c>
      <c r="D110" s="6">
        <v>46308.459108796298</v>
      </c>
      <c r="E110" s="6">
        <v>46308.209074074097</v>
      </c>
      <c r="F110" s="6">
        <v>46308</v>
      </c>
      <c r="G110" s="5" t="s">
        <v>12</v>
      </c>
      <c r="H110" s="5" t="s">
        <v>29</v>
      </c>
      <c r="I110" s="5">
        <v>23</v>
      </c>
      <c r="J110" s="9" t="s">
        <v>17</v>
      </c>
      <c r="K110" s="1" t="s">
        <v>132</v>
      </c>
      <c r="L110" t="s">
        <v>3284</v>
      </c>
      <c r="M110" t="str">
        <f>+VLOOKUP(C110,'[1]TIENDAS 2025'!$A$1:$C$143,3,0)</f>
        <v>departamental</v>
      </c>
      <c r="O110">
        <v>1</v>
      </c>
    </row>
    <row r="111" spans="1:15" ht="15" customHeight="1" x14ac:dyDescent="0.3">
      <c r="A111" s="7">
        <v>1209666395</v>
      </c>
      <c r="B111" s="4" t="s">
        <v>93</v>
      </c>
      <c r="C111" s="4" t="s">
        <v>94</v>
      </c>
      <c r="D111" s="6">
        <v>46308.459247685198</v>
      </c>
      <c r="E111" s="6">
        <v>46308.209212962996</v>
      </c>
      <c r="F111" s="6">
        <v>46308</v>
      </c>
      <c r="G111" s="5" t="s">
        <v>12</v>
      </c>
      <c r="H111" s="5" t="s">
        <v>16</v>
      </c>
      <c r="I111" s="5">
        <v>12</v>
      </c>
      <c r="J111" s="9" t="s">
        <v>17</v>
      </c>
      <c r="K111" s="1" t="s">
        <v>133</v>
      </c>
      <c r="L111" t="s">
        <v>3284</v>
      </c>
      <c r="M111" t="str">
        <f>+VLOOKUP(C111,'[1]TIENDAS 2025'!$A$1:$C$143,3,0)</f>
        <v>departamental</v>
      </c>
      <c r="O111">
        <v>1</v>
      </c>
    </row>
    <row r="112" spans="1:15" ht="15" customHeight="1" x14ac:dyDescent="0.3">
      <c r="A112" s="7">
        <v>8209667277</v>
      </c>
      <c r="B112" s="4" t="s">
        <v>14</v>
      </c>
      <c r="C112" s="4" t="s">
        <v>15</v>
      </c>
      <c r="D112" s="6">
        <v>46308.4821296296</v>
      </c>
      <c r="E112" s="6">
        <v>46308.232094907398</v>
      </c>
      <c r="F112" s="6">
        <v>46308</v>
      </c>
      <c r="G112" s="5" t="s">
        <v>12</v>
      </c>
      <c r="H112" s="5" t="s">
        <v>27</v>
      </c>
      <c r="I112" s="5">
        <v>1</v>
      </c>
      <c r="J112" s="10" t="s">
        <v>17</v>
      </c>
      <c r="K112" s="1" t="s">
        <v>134</v>
      </c>
      <c r="M112" t="str">
        <f>+VLOOKUP(C112,'[1]TIENDAS 2025'!$A$1:$C$143,3,0)</f>
        <v>departamental</v>
      </c>
      <c r="O112">
        <v>1</v>
      </c>
    </row>
    <row r="113" spans="1:15" ht="15" customHeight="1" x14ac:dyDescent="0.3">
      <c r="A113" s="7">
        <v>1209667279</v>
      </c>
      <c r="B113" s="4" t="s">
        <v>14</v>
      </c>
      <c r="C113" s="4" t="s">
        <v>15</v>
      </c>
      <c r="D113" s="6">
        <v>46308.482141203698</v>
      </c>
      <c r="E113" s="6">
        <v>46308.232106481497</v>
      </c>
      <c r="F113" s="6">
        <v>46308</v>
      </c>
      <c r="G113" s="5" t="s">
        <v>12</v>
      </c>
      <c r="H113" s="5" t="s">
        <v>16</v>
      </c>
      <c r="I113" s="5">
        <v>2</v>
      </c>
      <c r="J113" s="9" t="s">
        <v>17</v>
      </c>
      <c r="K113" s="1" t="s">
        <v>135</v>
      </c>
      <c r="L113" t="s">
        <v>3284</v>
      </c>
      <c r="M113" t="str">
        <f>+VLOOKUP(C113,'[1]TIENDAS 2025'!$A$1:$C$143,3,0)</f>
        <v>departamental</v>
      </c>
      <c r="O113">
        <v>1</v>
      </c>
    </row>
    <row r="114" spans="1:15" ht="15" customHeight="1" x14ac:dyDescent="0.3">
      <c r="A114" s="7">
        <v>1209667284</v>
      </c>
      <c r="B114" s="4" t="s">
        <v>14</v>
      </c>
      <c r="C114" s="4" t="s">
        <v>15</v>
      </c>
      <c r="D114" s="6">
        <v>46308.482164351903</v>
      </c>
      <c r="E114" s="6">
        <v>46308.232141203698</v>
      </c>
      <c r="F114" s="6">
        <v>46308</v>
      </c>
      <c r="G114" s="5" t="s">
        <v>12</v>
      </c>
      <c r="H114" s="5" t="s">
        <v>16</v>
      </c>
      <c r="I114" s="5">
        <v>20</v>
      </c>
      <c r="J114" s="9" t="s">
        <v>17</v>
      </c>
      <c r="K114" s="1" t="s">
        <v>136</v>
      </c>
      <c r="L114" t="s">
        <v>3284</v>
      </c>
      <c r="M114" t="str">
        <f>+VLOOKUP(C114,'[1]TIENDAS 2025'!$A$1:$C$143,3,0)</f>
        <v>departamental</v>
      </c>
      <c r="O114">
        <v>1</v>
      </c>
    </row>
    <row r="115" spans="1:15" ht="15" customHeight="1" x14ac:dyDescent="0.3">
      <c r="A115" s="7">
        <v>1209667280</v>
      </c>
      <c r="B115" s="4" t="s">
        <v>14</v>
      </c>
      <c r="C115" s="4" t="s">
        <v>15</v>
      </c>
      <c r="D115" s="6">
        <v>46308.482326388897</v>
      </c>
      <c r="E115" s="6">
        <v>46308.232291666704</v>
      </c>
      <c r="F115" s="6">
        <v>46308</v>
      </c>
      <c r="G115" s="5" t="s">
        <v>12</v>
      </c>
      <c r="H115" s="5" t="s">
        <v>29</v>
      </c>
      <c r="I115" s="5">
        <v>5</v>
      </c>
      <c r="J115" s="9" t="s">
        <v>17</v>
      </c>
      <c r="K115" s="1" t="s">
        <v>137</v>
      </c>
      <c r="L115" t="s">
        <v>3284</v>
      </c>
      <c r="M115" t="str">
        <f>+VLOOKUP(C115,'[1]TIENDAS 2025'!$A$1:$C$143,3,0)</f>
        <v>departamental</v>
      </c>
      <c r="O115">
        <v>1</v>
      </c>
    </row>
    <row r="116" spans="1:15" ht="15" customHeight="1" x14ac:dyDescent="0.3">
      <c r="A116" s="7">
        <v>1209667283</v>
      </c>
      <c r="B116" s="4" t="s">
        <v>14</v>
      </c>
      <c r="C116" s="4" t="s">
        <v>15</v>
      </c>
      <c r="D116" s="6">
        <v>46308.482384259303</v>
      </c>
      <c r="E116" s="6">
        <v>46308.232349537</v>
      </c>
      <c r="F116" s="6">
        <v>46308</v>
      </c>
      <c r="G116" s="5" t="s">
        <v>12</v>
      </c>
      <c r="H116" s="5" t="s">
        <v>16</v>
      </c>
      <c r="I116" s="5">
        <v>11</v>
      </c>
      <c r="J116" s="9" t="s">
        <v>17</v>
      </c>
      <c r="K116" s="1" t="s">
        <v>138</v>
      </c>
      <c r="L116" t="s">
        <v>3284</v>
      </c>
      <c r="M116" t="str">
        <f>+VLOOKUP(C116,'[1]TIENDAS 2025'!$A$1:$C$143,3,0)</f>
        <v>departamental</v>
      </c>
      <c r="O116">
        <v>1</v>
      </c>
    </row>
    <row r="117" spans="1:15" ht="15" customHeight="1" x14ac:dyDescent="0.3">
      <c r="A117" s="7">
        <v>1209667288</v>
      </c>
      <c r="B117" s="4" t="s">
        <v>14</v>
      </c>
      <c r="C117" s="4" t="s">
        <v>15</v>
      </c>
      <c r="D117" s="6">
        <v>46308.482604166697</v>
      </c>
      <c r="E117" s="6">
        <v>46308.232569444401</v>
      </c>
      <c r="F117" s="6">
        <v>46308</v>
      </c>
      <c r="G117" s="5" t="s">
        <v>12</v>
      </c>
      <c r="H117" s="5" t="s">
        <v>29</v>
      </c>
      <c r="I117" s="5">
        <v>41</v>
      </c>
      <c r="J117" s="9" t="s">
        <v>17</v>
      </c>
      <c r="K117" s="1" t="s">
        <v>139</v>
      </c>
      <c r="L117" t="s">
        <v>3284</v>
      </c>
      <c r="M117" t="str">
        <f>+VLOOKUP(C117,'[1]TIENDAS 2025'!$A$1:$C$143,3,0)</f>
        <v>departamental</v>
      </c>
      <c r="O117">
        <v>1</v>
      </c>
    </row>
    <row r="118" spans="1:15" ht="15" customHeight="1" x14ac:dyDescent="0.3">
      <c r="A118" s="7">
        <v>8209667275</v>
      </c>
      <c r="B118" s="4" t="s">
        <v>14</v>
      </c>
      <c r="C118" s="4" t="s">
        <v>15</v>
      </c>
      <c r="D118" s="6">
        <v>46308.482685185198</v>
      </c>
      <c r="E118" s="6">
        <v>46308.232662037</v>
      </c>
      <c r="F118" s="6">
        <v>46308</v>
      </c>
      <c r="G118" s="5" t="s">
        <v>12</v>
      </c>
      <c r="H118" s="5" t="s">
        <v>27</v>
      </c>
      <c r="I118" s="5">
        <v>1</v>
      </c>
      <c r="J118" s="10" t="s">
        <v>17</v>
      </c>
      <c r="K118" s="1" t="s">
        <v>140</v>
      </c>
      <c r="M118" t="str">
        <f>+VLOOKUP(C118,'[1]TIENDAS 2025'!$A$1:$C$143,3,0)</f>
        <v>departamental</v>
      </c>
      <c r="O118">
        <v>1</v>
      </c>
    </row>
    <row r="119" spans="1:15" ht="15" customHeight="1" x14ac:dyDescent="0.3">
      <c r="A119" s="7">
        <v>1209667281</v>
      </c>
      <c r="B119" s="4" t="s">
        <v>14</v>
      </c>
      <c r="C119" s="4" t="s">
        <v>15</v>
      </c>
      <c r="D119" s="6">
        <v>46308.482719907399</v>
      </c>
      <c r="E119" s="6">
        <v>46308.232685185198</v>
      </c>
      <c r="F119" s="6">
        <v>46308</v>
      </c>
      <c r="G119" s="5" t="s">
        <v>12</v>
      </c>
      <c r="H119" s="5" t="s">
        <v>29</v>
      </c>
      <c r="I119" s="5">
        <v>4</v>
      </c>
      <c r="J119" s="9" t="s">
        <v>17</v>
      </c>
      <c r="K119" s="1" t="s">
        <v>141</v>
      </c>
      <c r="L119" t="s">
        <v>3284</v>
      </c>
      <c r="M119" t="str">
        <f>+VLOOKUP(C119,'[1]TIENDAS 2025'!$A$1:$C$143,3,0)</f>
        <v>departamental</v>
      </c>
      <c r="O119">
        <v>1</v>
      </c>
    </row>
    <row r="120" spans="1:15" ht="15" customHeight="1" x14ac:dyDescent="0.3">
      <c r="A120" s="7">
        <v>1209667282</v>
      </c>
      <c r="B120" s="4" t="s">
        <v>14</v>
      </c>
      <c r="C120" s="4" t="s">
        <v>15</v>
      </c>
      <c r="D120" s="6">
        <v>46308.482731481497</v>
      </c>
      <c r="E120" s="6">
        <v>46308.2327083333</v>
      </c>
      <c r="F120" s="6">
        <v>46308</v>
      </c>
      <c r="G120" s="5" t="s">
        <v>12</v>
      </c>
      <c r="H120" s="5" t="s">
        <v>16</v>
      </c>
      <c r="I120" s="5">
        <v>5</v>
      </c>
      <c r="J120" s="9" t="s">
        <v>17</v>
      </c>
      <c r="K120" s="1" t="s">
        <v>142</v>
      </c>
      <c r="L120" t="s">
        <v>3284</v>
      </c>
      <c r="M120" t="str">
        <f>+VLOOKUP(C120,'[1]TIENDAS 2025'!$A$1:$C$143,3,0)</f>
        <v>departamental</v>
      </c>
      <c r="O120">
        <v>1</v>
      </c>
    </row>
    <row r="121" spans="1:15" ht="15" customHeight="1" x14ac:dyDescent="0.3">
      <c r="A121" s="7">
        <v>1209667285</v>
      </c>
      <c r="B121" s="4" t="s">
        <v>14</v>
      </c>
      <c r="C121" s="4" t="s">
        <v>15</v>
      </c>
      <c r="D121" s="6">
        <v>46308.482766203699</v>
      </c>
      <c r="E121" s="6">
        <v>46308.232731481497</v>
      </c>
      <c r="F121" s="6">
        <v>46308</v>
      </c>
      <c r="G121" s="5" t="s">
        <v>12</v>
      </c>
      <c r="H121" s="5" t="s">
        <v>29</v>
      </c>
      <c r="I121" s="5">
        <v>21</v>
      </c>
      <c r="J121" s="9" t="s">
        <v>17</v>
      </c>
      <c r="K121" s="1" t="s">
        <v>143</v>
      </c>
      <c r="L121" t="s">
        <v>3284</v>
      </c>
      <c r="M121" t="str">
        <f>+VLOOKUP(C121,'[1]TIENDAS 2025'!$A$1:$C$143,3,0)</f>
        <v>departamental</v>
      </c>
      <c r="O121">
        <v>1</v>
      </c>
    </row>
    <row r="122" spans="1:15" ht="15" customHeight="1" x14ac:dyDescent="0.3">
      <c r="A122" s="7">
        <v>1209667289</v>
      </c>
      <c r="B122" s="4" t="s">
        <v>14</v>
      </c>
      <c r="C122" s="4" t="s">
        <v>15</v>
      </c>
      <c r="D122" s="6">
        <v>46308.482824074097</v>
      </c>
      <c r="E122" s="6">
        <v>46308.2328009259</v>
      </c>
      <c r="F122" s="6">
        <v>46308</v>
      </c>
      <c r="G122" s="5" t="s">
        <v>12</v>
      </c>
      <c r="H122" s="5" t="s">
        <v>29</v>
      </c>
      <c r="I122" s="5">
        <v>1</v>
      </c>
      <c r="J122" s="9" t="s">
        <v>17</v>
      </c>
      <c r="K122" s="1" t="s">
        <v>144</v>
      </c>
      <c r="L122" t="s">
        <v>3284</v>
      </c>
      <c r="M122" t="str">
        <f>+VLOOKUP(C122,'[1]TIENDAS 2025'!$A$1:$C$143,3,0)</f>
        <v>departamental</v>
      </c>
      <c r="O122">
        <v>1</v>
      </c>
    </row>
    <row r="123" spans="1:15" ht="15" customHeight="1" x14ac:dyDescent="0.3">
      <c r="A123" s="7">
        <v>1209667286</v>
      </c>
      <c r="B123" s="4" t="s">
        <v>14</v>
      </c>
      <c r="C123" s="4" t="s">
        <v>15</v>
      </c>
      <c r="D123" s="6">
        <v>46308.482974537001</v>
      </c>
      <c r="E123" s="6">
        <v>46308.232939814799</v>
      </c>
      <c r="F123" s="6">
        <v>46308</v>
      </c>
      <c r="G123" s="5" t="s">
        <v>12</v>
      </c>
      <c r="H123" s="5" t="s">
        <v>16</v>
      </c>
      <c r="I123" s="5">
        <v>3</v>
      </c>
      <c r="J123" s="9" t="s">
        <v>17</v>
      </c>
      <c r="K123" s="1" t="s">
        <v>145</v>
      </c>
      <c r="L123" t="s">
        <v>3284</v>
      </c>
      <c r="M123" t="str">
        <f>+VLOOKUP(C123,'[1]TIENDAS 2025'!$A$1:$C$143,3,0)</f>
        <v>departamental</v>
      </c>
      <c r="O123">
        <v>1</v>
      </c>
    </row>
    <row r="124" spans="1:15" ht="15" customHeight="1" x14ac:dyDescent="0.3">
      <c r="A124" s="7">
        <v>8209667276</v>
      </c>
      <c r="B124" s="4" t="s">
        <v>14</v>
      </c>
      <c r="C124" s="4" t="s">
        <v>15</v>
      </c>
      <c r="D124" s="6">
        <v>46308.483194444401</v>
      </c>
      <c r="E124" s="6">
        <v>46308.233171296299</v>
      </c>
      <c r="F124" s="6">
        <v>46308</v>
      </c>
      <c r="G124" s="5" t="s">
        <v>12</v>
      </c>
      <c r="H124" s="5" t="s">
        <v>27</v>
      </c>
      <c r="I124" s="5">
        <v>1</v>
      </c>
      <c r="J124" s="10" t="s">
        <v>17</v>
      </c>
      <c r="K124" s="1" t="s">
        <v>146</v>
      </c>
      <c r="M124" t="str">
        <f>+VLOOKUP(C124,'[1]TIENDAS 2025'!$A$1:$C$143,3,0)</f>
        <v>departamental</v>
      </c>
      <c r="O124">
        <v>1</v>
      </c>
    </row>
    <row r="125" spans="1:15" ht="15" customHeight="1" x14ac:dyDescent="0.3">
      <c r="A125" s="7">
        <v>1209667287</v>
      </c>
      <c r="B125" s="4" t="s">
        <v>14</v>
      </c>
      <c r="C125" s="4" t="s">
        <v>15</v>
      </c>
      <c r="D125" s="6">
        <v>46308.483425925901</v>
      </c>
      <c r="E125" s="6">
        <v>46308.233391203699</v>
      </c>
      <c r="F125" s="6">
        <v>46308</v>
      </c>
      <c r="G125" s="5" t="s">
        <v>12</v>
      </c>
      <c r="H125" s="5" t="s">
        <v>29</v>
      </c>
      <c r="I125" s="5">
        <v>22</v>
      </c>
      <c r="J125" s="9" t="s">
        <v>17</v>
      </c>
      <c r="K125" s="1" t="s">
        <v>147</v>
      </c>
      <c r="L125" t="s">
        <v>3284</v>
      </c>
      <c r="M125" t="str">
        <f>+VLOOKUP(C125,'[1]TIENDAS 2025'!$A$1:$C$143,3,0)</f>
        <v>departamental</v>
      </c>
      <c r="O125">
        <v>1</v>
      </c>
    </row>
    <row r="126" spans="1:15" ht="15" customHeight="1" x14ac:dyDescent="0.3">
      <c r="A126" s="7">
        <v>8209667278</v>
      </c>
      <c r="B126" s="4" t="s">
        <v>14</v>
      </c>
      <c r="C126" s="4" t="s">
        <v>15</v>
      </c>
      <c r="D126" s="6">
        <v>46308.483576388899</v>
      </c>
      <c r="E126" s="6">
        <v>46308.233541666697</v>
      </c>
      <c r="F126" s="6">
        <v>46308</v>
      </c>
      <c r="G126" s="5" t="s">
        <v>12</v>
      </c>
      <c r="H126" s="5" t="s">
        <v>27</v>
      </c>
      <c r="I126" s="5">
        <v>3</v>
      </c>
      <c r="J126" s="10" t="s">
        <v>17</v>
      </c>
      <c r="K126" s="1" t="s">
        <v>148</v>
      </c>
      <c r="M126" t="str">
        <f>+VLOOKUP(C126,'[1]TIENDAS 2025'!$A$1:$C$143,3,0)</f>
        <v>departamental</v>
      </c>
      <c r="O126">
        <v>1</v>
      </c>
    </row>
    <row r="127" spans="1:15" ht="15" customHeight="1" x14ac:dyDescent="0.3">
      <c r="A127" s="7">
        <v>1209667375</v>
      </c>
      <c r="B127" s="4" t="s">
        <v>150</v>
      </c>
      <c r="C127" s="4" t="s">
        <v>151</v>
      </c>
      <c r="D127" s="6">
        <v>46308.583101851902</v>
      </c>
      <c r="E127" s="6">
        <v>46308.333067129599</v>
      </c>
      <c r="F127" s="6">
        <v>46308</v>
      </c>
      <c r="G127" s="5" t="s">
        <v>12</v>
      </c>
      <c r="H127" s="5" t="s">
        <v>29</v>
      </c>
      <c r="I127" s="5">
        <v>77</v>
      </c>
      <c r="J127" s="9" t="s">
        <v>17</v>
      </c>
      <c r="K127" s="1" t="s">
        <v>149</v>
      </c>
      <c r="L127" t="s">
        <v>3284</v>
      </c>
      <c r="M127" t="str">
        <f>+VLOOKUP(C127,'[1]TIENDAS 2025'!$A$1:$C$143,3,0)</f>
        <v>local</v>
      </c>
      <c r="O127">
        <v>1</v>
      </c>
    </row>
    <row r="128" spans="1:15" ht="15" customHeight="1" x14ac:dyDescent="0.3">
      <c r="A128" s="7">
        <v>1209667382</v>
      </c>
      <c r="B128" s="4" t="s">
        <v>150</v>
      </c>
      <c r="C128" s="4" t="s">
        <v>151</v>
      </c>
      <c r="D128" s="6">
        <v>46308.603958333297</v>
      </c>
      <c r="E128" s="6">
        <v>46308.353923611103</v>
      </c>
      <c r="F128" s="6">
        <v>46308</v>
      </c>
      <c r="G128" s="5" t="s">
        <v>12</v>
      </c>
      <c r="H128" s="5" t="s">
        <v>29</v>
      </c>
      <c r="I128" s="5">
        <v>20</v>
      </c>
      <c r="J128" s="9" t="s">
        <v>17</v>
      </c>
      <c r="K128" s="1" t="s">
        <v>152</v>
      </c>
      <c r="L128" t="s">
        <v>3284</v>
      </c>
      <c r="M128" t="str">
        <f>+VLOOKUP(C128,'[1]TIENDAS 2025'!$A$1:$C$143,3,0)</f>
        <v>local</v>
      </c>
      <c r="O128">
        <v>1</v>
      </c>
    </row>
    <row r="129" spans="1:15" ht="15" customHeight="1" x14ac:dyDescent="0.3">
      <c r="A129" s="8">
        <v>209667600</v>
      </c>
      <c r="B129" s="4" t="s">
        <v>154</v>
      </c>
      <c r="C129" s="4" t="s">
        <v>155</v>
      </c>
      <c r="D129" s="6">
        <v>46308.728935185201</v>
      </c>
      <c r="E129" s="6">
        <v>46308.478888888902</v>
      </c>
      <c r="F129" s="6">
        <v>46308</v>
      </c>
      <c r="G129" s="5" t="s">
        <v>12</v>
      </c>
      <c r="H129" s="5" t="s">
        <v>16</v>
      </c>
      <c r="I129" s="5">
        <v>4</v>
      </c>
      <c r="J129" s="9" t="s">
        <v>17</v>
      </c>
      <c r="K129" s="1" t="s">
        <v>153</v>
      </c>
      <c r="L129" t="s">
        <v>10</v>
      </c>
      <c r="M129" t="str">
        <f>+VLOOKUP(C129,'[1]TIENDAS 2025'!$A$1:$C$143,3,0)</f>
        <v>nocturna</v>
      </c>
      <c r="O129">
        <v>1</v>
      </c>
    </row>
    <row r="130" spans="1:15" ht="15" customHeight="1" x14ac:dyDescent="0.3">
      <c r="A130" s="8">
        <v>209667661</v>
      </c>
      <c r="B130" s="4" t="s">
        <v>157</v>
      </c>
      <c r="C130" s="4" t="s">
        <v>158</v>
      </c>
      <c r="D130" s="6">
        <v>46308.7289467593</v>
      </c>
      <c r="E130" s="6">
        <v>46308.478912036997</v>
      </c>
      <c r="F130" s="6">
        <v>46308</v>
      </c>
      <c r="G130" s="5" t="s">
        <v>12</v>
      </c>
      <c r="H130" s="5" t="s">
        <v>16</v>
      </c>
      <c r="I130" s="5">
        <v>4</v>
      </c>
      <c r="J130" s="9" t="s">
        <v>17</v>
      </c>
      <c r="K130" s="1" t="s">
        <v>156</v>
      </c>
      <c r="L130" t="s">
        <v>10</v>
      </c>
      <c r="M130" t="str">
        <f>+VLOOKUP(C130,'[1]TIENDAS 2025'!$A$1:$C$143,3,0)</f>
        <v>departamental</v>
      </c>
      <c r="O130">
        <v>1</v>
      </c>
    </row>
    <row r="131" spans="1:15" ht="15" customHeight="1" x14ac:dyDescent="0.3">
      <c r="A131" s="8">
        <v>209667618</v>
      </c>
      <c r="B131" s="4" t="s">
        <v>160</v>
      </c>
      <c r="C131" s="4" t="s">
        <v>161</v>
      </c>
      <c r="D131" s="6">
        <v>46308.728958333297</v>
      </c>
      <c r="E131" s="6">
        <v>46308.478935185201</v>
      </c>
      <c r="F131" s="6">
        <v>46308</v>
      </c>
      <c r="G131" s="5" t="s">
        <v>12</v>
      </c>
      <c r="H131" s="5" t="s">
        <v>16</v>
      </c>
      <c r="I131" s="5">
        <v>8</v>
      </c>
      <c r="J131" s="9" t="s">
        <v>17</v>
      </c>
      <c r="K131" s="1" t="s">
        <v>159</v>
      </c>
      <c r="L131" t="s">
        <v>10</v>
      </c>
      <c r="M131" t="str">
        <f>+VLOOKUP(C131,'[1]TIENDAS 2025'!$A$1:$C$143,3,0)</f>
        <v>nocturna</v>
      </c>
      <c r="O131">
        <v>1</v>
      </c>
    </row>
    <row r="132" spans="1:15" ht="15" customHeight="1" x14ac:dyDescent="0.3">
      <c r="A132" s="8">
        <v>209667668</v>
      </c>
      <c r="B132" s="4" t="s">
        <v>163</v>
      </c>
      <c r="C132" s="4" t="s">
        <v>164</v>
      </c>
      <c r="D132" s="6">
        <v>46308.728981481501</v>
      </c>
      <c r="E132" s="6">
        <v>46308.4789467593</v>
      </c>
      <c r="F132" s="6">
        <v>46308</v>
      </c>
      <c r="G132" s="5" t="s">
        <v>12</v>
      </c>
      <c r="H132" s="5" t="s">
        <v>16</v>
      </c>
      <c r="I132" s="5">
        <v>4</v>
      </c>
      <c r="J132" s="9" t="s">
        <v>17</v>
      </c>
      <c r="K132" s="1" t="s">
        <v>162</v>
      </c>
      <c r="L132" t="s">
        <v>10</v>
      </c>
      <c r="M132" t="str">
        <f>+VLOOKUP(C132,'[1]TIENDAS 2025'!$A$1:$C$143,3,0)</f>
        <v>departamental</v>
      </c>
      <c r="O132">
        <v>1</v>
      </c>
    </row>
    <row r="133" spans="1:15" ht="15" customHeight="1" x14ac:dyDescent="0.3">
      <c r="A133" s="8">
        <v>209667621</v>
      </c>
      <c r="B133" s="4" t="s">
        <v>166</v>
      </c>
      <c r="C133" s="4" t="s">
        <v>167</v>
      </c>
      <c r="D133" s="6">
        <v>46308.7289930556</v>
      </c>
      <c r="E133" s="6">
        <v>46308.478958333297</v>
      </c>
      <c r="F133" s="6">
        <v>46308</v>
      </c>
      <c r="G133" s="5" t="s">
        <v>12</v>
      </c>
      <c r="H133" s="5" t="s">
        <v>16</v>
      </c>
      <c r="I133" s="5">
        <v>8</v>
      </c>
      <c r="J133" s="9" t="s">
        <v>17</v>
      </c>
      <c r="K133" s="1" t="s">
        <v>165</v>
      </c>
      <c r="L133" t="s">
        <v>10</v>
      </c>
      <c r="M133" t="str">
        <f>+VLOOKUP(C133,'[1]TIENDAS 2025'!$A$1:$C$143,3,0)</f>
        <v>local</v>
      </c>
      <c r="O133">
        <v>1</v>
      </c>
    </row>
    <row r="134" spans="1:15" ht="15" customHeight="1" x14ac:dyDescent="0.3">
      <c r="A134" s="8">
        <v>209667624</v>
      </c>
      <c r="B134" s="4" t="s">
        <v>169</v>
      </c>
      <c r="C134" s="4" t="s">
        <v>170</v>
      </c>
      <c r="D134" s="6">
        <v>46308.729004629597</v>
      </c>
      <c r="E134" s="6">
        <v>46308.478969907403</v>
      </c>
      <c r="F134" s="6">
        <v>46308</v>
      </c>
      <c r="G134" s="5" t="s">
        <v>12</v>
      </c>
      <c r="H134" s="5" t="s">
        <v>16</v>
      </c>
      <c r="I134" s="5">
        <v>4</v>
      </c>
      <c r="J134" s="9" t="s">
        <v>17</v>
      </c>
      <c r="K134" s="1" t="s">
        <v>168</v>
      </c>
      <c r="L134" t="s">
        <v>10</v>
      </c>
      <c r="M134" t="str">
        <f>+VLOOKUP(C134,'[1]TIENDAS 2025'!$A$1:$C$143,3,0)</f>
        <v>departamental</v>
      </c>
      <c r="O134">
        <v>1</v>
      </c>
    </row>
    <row r="135" spans="1:15" ht="15" customHeight="1" x14ac:dyDescent="0.3">
      <c r="A135" s="8">
        <v>209667672</v>
      </c>
      <c r="B135" s="4" t="s">
        <v>172</v>
      </c>
      <c r="C135" s="4" t="s">
        <v>173</v>
      </c>
      <c r="D135" s="6">
        <v>46308.729016203702</v>
      </c>
      <c r="E135" s="6">
        <v>46308.4789930556</v>
      </c>
      <c r="F135" s="6">
        <v>46308</v>
      </c>
      <c r="G135" s="5" t="s">
        <v>12</v>
      </c>
      <c r="H135" s="5" t="s">
        <v>16</v>
      </c>
      <c r="I135" s="5">
        <v>8</v>
      </c>
      <c r="J135" s="9" t="s">
        <v>17</v>
      </c>
      <c r="K135" s="1" t="s">
        <v>171</v>
      </c>
      <c r="L135" t="s">
        <v>10</v>
      </c>
      <c r="M135" t="str">
        <f>+VLOOKUP(C135,'[1]TIENDAS 2025'!$A$1:$C$143,3,0)</f>
        <v>local</v>
      </c>
      <c r="O135">
        <v>1</v>
      </c>
    </row>
    <row r="136" spans="1:15" ht="15" customHeight="1" x14ac:dyDescent="0.3">
      <c r="A136" s="8">
        <v>209667583</v>
      </c>
      <c r="B136" s="4" t="s">
        <v>175</v>
      </c>
      <c r="C136" s="4" t="s">
        <v>176</v>
      </c>
      <c r="D136" s="6">
        <v>46308.729027777801</v>
      </c>
      <c r="E136" s="6">
        <v>46308.479004629597</v>
      </c>
      <c r="F136" s="6">
        <v>46308</v>
      </c>
      <c r="G136" s="5" t="s">
        <v>12</v>
      </c>
      <c r="H136" s="5" t="s">
        <v>16</v>
      </c>
      <c r="I136" s="5">
        <v>4</v>
      </c>
      <c r="J136" s="9" t="s">
        <v>17</v>
      </c>
      <c r="K136" s="1" t="s">
        <v>174</v>
      </c>
      <c r="L136" t="s">
        <v>10</v>
      </c>
      <c r="M136" t="str">
        <f>+VLOOKUP(C136,'[1]TIENDAS 2025'!$A$1:$C$143,3,0)</f>
        <v>departamental</v>
      </c>
      <c r="O136">
        <v>1</v>
      </c>
    </row>
    <row r="137" spans="1:15" ht="15" customHeight="1" x14ac:dyDescent="0.3">
      <c r="A137" s="8">
        <v>209667678</v>
      </c>
      <c r="B137" s="4" t="s">
        <v>178</v>
      </c>
      <c r="C137" s="4" t="s">
        <v>179</v>
      </c>
      <c r="D137" s="6">
        <v>46308.729050925896</v>
      </c>
      <c r="E137" s="6">
        <v>46308.479016203702</v>
      </c>
      <c r="F137" s="6">
        <v>46308</v>
      </c>
      <c r="G137" s="5" t="s">
        <v>12</v>
      </c>
      <c r="H137" s="5" t="s">
        <v>16</v>
      </c>
      <c r="I137" s="5">
        <v>4</v>
      </c>
      <c r="J137" s="9" t="s">
        <v>17</v>
      </c>
      <c r="K137" s="1" t="s">
        <v>177</v>
      </c>
      <c r="L137" t="s">
        <v>10</v>
      </c>
      <c r="M137" t="str">
        <f>+VLOOKUP(C137,'[1]TIENDAS 2025'!$A$1:$C$143,3,0)</f>
        <v>local</v>
      </c>
      <c r="O137">
        <v>1</v>
      </c>
    </row>
    <row r="138" spans="1:15" ht="15" customHeight="1" x14ac:dyDescent="0.3">
      <c r="A138" s="8">
        <v>209667636</v>
      </c>
      <c r="B138" s="4" t="s">
        <v>181</v>
      </c>
      <c r="C138" s="4" t="s">
        <v>182</v>
      </c>
      <c r="D138" s="6">
        <v>46308.729062500002</v>
      </c>
      <c r="E138" s="6">
        <v>46308.479027777801</v>
      </c>
      <c r="F138" s="6">
        <v>46308</v>
      </c>
      <c r="G138" s="5" t="s">
        <v>12</v>
      </c>
      <c r="H138" s="5" t="s">
        <v>16</v>
      </c>
      <c r="I138" s="5">
        <v>4</v>
      </c>
      <c r="J138" s="9" t="s">
        <v>17</v>
      </c>
      <c r="K138" s="1" t="s">
        <v>180</v>
      </c>
      <c r="L138" t="s">
        <v>10</v>
      </c>
      <c r="M138" t="str">
        <f>+VLOOKUP(C138,'[1]TIENDAS 2025'!$A$1:$C$143,3,0)</f>
        <v>departamental</v>
      </c>
      <c r="O138">
        <v>1</v>
      </c>
    </row>
    <row r="139" spans="1:15" ht="15" customHeight="1" x14ac:dyDescent="0.3">
      <c r="A139" s="8">
        <v>209667598</v>
      </c>
      <c r="B139" s="4" t="s">
        <v>184</v>
      </c>
      <c r="C139" s="4" t="s">
        <v>185</v>
      </c>
      <c r="D139" s="6">
        <v>46308.729074074101</v>
      </c>
      <c r="E139" s="6">
        <v>46308.479039351798</v>
      </c>
      <c r="F139" s="6">
        <v>46308</v>
      </c>
      <c r="G139" s="5" t="s">
        <v>12</v>
      </c>
      <c r="H139" s="5" t="s">
        <v>16</v>
      </c>
      <c r="I139" s="5">
        <v>8</v>
      </c>
      <c r="J139" s="9" t="s">
        <v>17</v>
      </c>
      <c r="K139" s="1" t="s">
        <v>183</v>
      </c>
      <c r="L139" t="s">
        <v>10</v>
      </c>
      <c r="M139" t="str">
        <f>+VLOOKUP(C139,'[1]TIENDAS 2025'!$A$1:$C$143,3,0)</f>
        <v>nocturna</v>
      </c>
      <c r="O139">
        <v>1</v>
      </c>
    </row>
    <row r="140" spans="1:15" ht="15" customHeight="1" x14ac:dyDescent="0.3">
      <c r="A140" s="8">
        <v>209667551</v>
      </c>
      <c r="B140" s="4" t="s">
        <v>187</v>
      </c>
      <c r="C140" s="4" t="s">
        <v>188</v>
      </c>
      <c r="D140" s="6">
        <v>46308.729085648098</v>
      </c>
      <c r="E140" s="6">
        <v>46308.479062500002</v>
      </c>
      <c r="F140" s="6">
        <v>46308</v>
      </c>
      <c r="G140" s="5" t="s">
        <v>12</v>
      </c>
      <c r="H140" s="5" t="s">
        <v>16</v>
      </c>
      <c r="I140" s="5">
        <v>4</v>
      </c>
      <c r="J140" s="9" t="s">
        <v>17</v>
      </c>
      <c r="K140" s="1" t="s">
        <v>186</v>
      </c>
      <c r="L140" t="s">
        <v>10</v>
      </c>
      <c r="M140" t="str">
        <f>+VLOOKUP(C140,'[1]TIENDAS 2025'!$A$1:$C$143,3,0)</f>
        <v>departamental</v>
      </c>
      <c r="O140">
        <v>1</v>
      </c>
    </row>
    <row r="141" spans="1:15" ht="15" customHeight="1" x14ac:dyDescent="0.3">
      <c r="A141" s="8">
        <v>209667647</v>
      </c>
      <c r="B141" s="4" t="s">
        <v>190</v>
      </c>
      <c r="C141" s="4" t="s">
        <v>191</v>
      </c>
      <c r="D141" s="6">
        <v>46308.729097222204</v>
      </c>
      <c r="E141" s="6">
        <v>46308.479074074101</v>
      </c>
      <c r="F141" s="6">
        <v>46308</v>
      </c>
      <c r="G141" s="5" t="s">
        <v>12</v>
      </c>
      <c r="H141" s="5" t="s">
        <v>16</v>
      </c>
      <c r="I141" s="5">
        <v>4</v>
      </c>
      <c r="J141" s="9" t="s">
        <v>17</v>
      </c>
      <c r="K141" s="1" t="s">
        <v>189</v>
      </c>
      <c r="L141" t="s">
        <v>10</v>
      </c>
      <c r="M141" t="str">
        <f>+VLOOKUP(C141,'[1]TIENDAS 2025'!$A$1:$C$143,3,0)</f>
        <v>departamental</v>
      </c>
      <c r="O141">
        <v>1</v>
      </c>
    </row>
    <row r="142" spans="1:15" ht="15" customHeight="1" x14ac:dyDescent="0.3">
      <c r="A142" s="8">
        <v>209667557</v>
      </c>
      <c r="B142" s="4" t="s">
        <v>193</v>
      </c>
      <c r="C142" s="4" t="s">
        <v>194</v>
      </c>
      <c r="D142" s="6">
        <v>46308.729120370401</v>
      </c>
      <c r="E142" s="6">
        <v>46308.479085648098</v>
      </c>
      <c r="F142" s="6">
        <v>46308</v>
      </c>
      <c r="G142" s="5" t="s">
        <v>12</v>
      </c>
      <c r="H142" s="5" t="s">
        <v>16</v>
      </c>
      <c r="I142" s="5">
        <v>4</v>
      </c>
      <c r="J142" s="9" t="s">
        <v>17</v>
      </c>
      <c r="K142" s="1" t="s">
        <v>192</v>
      </c>
      <c r="L142" t="s">
        <v>10</v>
      </c>
      <c r="M142" t="str">
        <f>+VLOOKUP(C142,'[1]TIENDAS 2025'!$A$1:$C$143,3,0)</f>
        <v>local</v>
      </c>
      <c r="O142">
        <v>1</v>
      </c>
    </row>
    <row r="143" spans="1:15" ht="15" customHeight="1" x14ac:dyDescent="0.3">
      <c r="A143" s="8">
        <v>209667654</v>
      </c>
      <c r="B143" s="4" t="s">
        <v>196</v>
      </c>
      <c r="C143" s="4" t="s">
        <v>197</v>
      </c>
      <c r="D143" s="6">
        <v>46308.729131944398</v>
      </c>
      <c r="E143" s="6">
        <v>46308.479097222204</v>
      </c>
      <c r="F143" s="6">
        <v>46308</v>
      </c>
      <c r="G143" s="5" t="s">
        <v>12</v>
      </c>
      <c r="H143" s="5" t="s">
        <v>16</v>
      </c>
      <c r="I143" s="5">
        <v>4</v>
      </c>
      <c r="J143" s="9" t="s">
        <v>17</v>
      </c>
      <c r="K143" s="1" t="s">
        <v>195</v>
      </c>
      <c r="L143" t="s">
        <v>10</v>
      </c>
      <c r="M143" t="str">
        <f>+VLOOKUP(C143,'[1]TIENDAS 2025'!$A$1:$C$143,3,0)</f>
        <v>departamental</v>
      </c>
      <c r="O143">
        <v>1</v>
      </c>
    </row>
    <row r="144" spans="1:15" ht="15" customHeight="1" x14ac:dyDescent="0.3">
      <c r="A144" s="8">
        <v>209667609</v>
      </c>
      <c r="B144" s="4" t="s">
        <v>199</v>
      </c>
      <c r="C144" s="4" t="s">
        <v>200</v>
      </c>
      <c r="D144" s="6">
        <v>46308.729143518503</v>
      </c>
      <c r="E144" s="6">
        <v>46308.479108796302</v>
      </c>
      <c r="F144" s="6">
        <v>46308</v>
      </c>
      <c r="G144" s="5" t="s">
        <v>12</v>
      </c>
      <c r="H144" s="5" t="s">
        <v>16</v>
      </c>
      <c r="I144" s="5">
        <v>4</v>
      </c>
      <c r="J144" s="9" t="s">
        <v>17</v>
      </c>
      <c r="K144" s="1" t="s">
        <v>198</v>
      </c>
      <c r="L144" t="s">
        <v>10</v>
      </c>
      <c r="M144" t="str">
        <f>+VLOOKUP(C144,'[1]TIENDAS 2025'!$A$1:$C$143,3,0)</f>
        <v>departamental</v>
      </c>
      <c r="O144">
        <v>1</v>
      </c>
    </row>
    <row r="145" spans="1:15" ht="15" customHeight="1" x14ac:dyDescent="0.3">
      <c r="A145" s="8">
        <v>209667569</v>
      </c>
      <c r="B145" s="4" t="s">
        <v>202</v>
      </c>
      <c r="C145" s="4" t="s">
        <v>203</v>
      </c>
      <c r="D145" s="6">
        <v>46308.729155092602</v>
      </c>
      <c r="E145" s="6">
        <v>46308.479131944398</v>
      </c>
      <c r="F145" s="6">
        <v>46308</v>
      </c>
      <c r="G145" s="5" t="s">
        <v>12</v>
      </c>
      <c r="H145" s="5" t="s">
        <v>16</v>
      </c>
      <c r="I145" s="5">
        <v>4</v>
      </c>
      <c r="J145" s="9" t="s">
        <v>17</v>
      </c>
      <c r="K145" s="1" t="s">
        <v>201</v>
      </c>
      <c r="L145" t="s">
        <v>10</v>
      </c>
      <c r="M145" t="str">
        <f>+VLOOKUP(C145,'[1]TIENDAS 2025'!$A$1:$C$143,3,0)</f>
        <v>local</v>
      </c>
      <c r="O145">
        <v>1</v>
      </c>
    </row>
    <row r="146" spans="1:15" ht="15" customHeight="1" x14ac:dyDescent="0.3">
      <c r="A146" s="8">
        <v>209667572</v>
      </c>
      <c r="B146" s="4" t="s">
        <v>205</v>
      </c>
      <c r="C146" s="4" t="s">
        <v>206</v>
      </c>
      <c r="D146" s="6">
        <v>46308.729166666701</v>
      </c>
      <c r="E146" s="6">
        <v>46308.479143518503</v>
      </c>
      <c r="F146" s="6">
        <v>46308</v>
      </c>
      <c r="G146" s="5" t="s">
        <v>12</v>
      </c>
      <c r="H146" s="5" t="s">
        <v>16</v>
      </c>
      <c r="I146" s="5">
        <v>4</v>
      </c>
      <c r="J146" s="9" t="s">
        <v>17</v>
      </c>
      <c r="K146" s="1" t="s">
        <v>204</v>
      </c>
      <c r="L146" t="s">
        <v>10</v>
      </c>
      <c r="M146" t="str">
        <f>+VLOOKUP(C146,'[1]TIENDAS 2025'!$A$1:$C$143,3,0)</f>
        <v>prioridad</v>
      </c>
      <c r="O146">
        <v>1</v>
      </c>
    </row>
    <row r="147" spans="1:15" ht="15" customHeight="1" x14ac:dyDescent="0.3">
      <c r="A147" s="8">
        <v>209667574</v>
      </c>
      <c r="B147" s="4" t="s">
        <v>208</v>
      </c>
      <c r="C147" s="4" t="s">
        <v>209</v>
      </c>
      <c r="D147" s="6">
        <v>46308.729189814803</v>
      </c>
      <c r="E147" s="6">
        <v>46308.479155092602</v>
      </c>
      <c r="F147" s="6">
        <v>46308</v>
      </c>
      <c r="G147" s="5" t="s">
        <v>12</v>
      </c>
      <c r="H147" s="5" t="s">
        <v>16</v>
      </c>
      <c r="I147" s="5">
        <v>8</v>
      </c>
      <c r="J147" s="9" t="s">
        <v>17</v>
      </c>
      <c r="K147" s="1" t="s">
        <v>207</v>
      </c>
      <c r="L147" t="s">
        <v>10</v>
      </c>
      <c r="M147" t="str">
        <f>+VLOOKUP(C147,'[1]TIENDAS 2025'!$A$1:$C$143,3,0)</f>
        <v>local</v>
      </c>
      <c r="O147">
        <v>1</v>
      </c>
    </row>
    <row r="148" spans="1:15" ht="15" customHeight="1" x14ac:dyDescent="0.3">
      <c r="A148" s="8">
        <v>209667575</v>
      </c>
      <c r="B148" s="4" t="s">
        <v>211</v>
      </c>
      <c r="C148" s="4" t="s">
        <v>212</v>
      </c>
      <c r="D148" s="6">
        <v>46308.729201388902</v>
      </c>
      <c r="E148" s="6">
        <v>46308.479166666701</v>
      </c>
      <c r="F148" s="6">
        <v>46308</v>
      </c>
      <c r="G148" s="5" t="s">
        <v>12</v>
      </c>
      <c r="H148" s="5" t="s">
        <v>16</v>
      </c>
      <c r="I148" s="5">
        <v>4</v>
      </c>
      <c r="J148" s="9" t="s">
        <v>17</v>
      </c>
      <c r="K148" s="1" t="s">
        <v>210</v>
      </c>
      <c r="L148" t="s">
        <v>10</v>
      </c>
      <c r="M148" t="str">
        <f>+VLOOKUP(C148,'[1]TIENDAS 2025'!$A$1:$C$143,3,0)</f>
        <v>departamental</v>
      </c>
      <c r="O148">
        <v>1</v>
      </c>
    </row>
    <row r="149" spans="1:15" ht="15" customHeight="1" x14ac:dyDescent="0.3">
      <c r="A149" s="8">
        <v>209667623</v>
      </c>
      <c r="B149" s="4" t="s">
        <v>214</v>
      </c>
      <c r="C149" s="4" t="s">
        <v>215</v>
      </c>
      <c r="D149" s="6">
        <v>46308.729212963</v>
      </c>
      <c r="E149" s="6">
        <v>46308.479189814803</v>
      </c>
      <c r="F149" s="6">
        <v>46308</v>
      </c>
      <c r="G149" s="5" t="s">
        <v>12</v>
      </c>
      <c r="H149" s="5" t="s">
        <v>16</v>
      </c>
      <c r="I149" s="5">
        <v>4</v>
      </c>
      <c r="J149" s="9" t="s">
        <v>17</v>
      </c>
      <c r="K149" s="1" t="s">
        <v>213</v>
      </c>
      <c r="L149" t="s">
        <v>10</v>
      </c>
      <c r="M149" t="str">
        <f>+VLOOKUP(C149,'[1]TIENDAS 2025'!$A$1:$C$143,3,0)</f>
        <v>departamental</v>
      </c>
      <c r="O149">
        <v>1</v>
      </c>
    </row>
    <row r="150" spans="1:15" ht="15" customHeight="1" x14ac:dyDescent="0.3">
      <c r="A150" s="8">
        <v>209667627</v>
      </c>
      <c r="B150" s="4" t="s">
        <v>217</v>
      </c>
      <c r="C150" s="4" t="s">
        <v>218</v>
      </c>
      <c r="D150" s="6">
        <v>46308.729224536997</v>
      </c>
      <c r="E150" s="6">
        <v>46308.479201388902</v>
      </c>
      <c r="F150" s="6">
        <v>46308</v>
      </c>
      <c r="G150" s="5" t="s">
        <v>12</v>
      </c>
      <c r="H150" s="5" t="s">
        <v>16</v>
      </c>
      <c r="I150" s="5">
        <v>4</v>
      </c>
      <c r="J150" s="9" t="s">
        <v>17</v>
      </c>
      <c r="K150" s="1" t="s">
        <v>216</v>
      </c>
      <c r="L150" t="s">
        <v>10</v>
      </c>
      <c r="M150" t="str">
        <f>+VLOOKUP(C150,'[1]TIENDAS 2025'!$A$1:$C$143,3,0)</f>
        <v>nocturna</v>
      </c>
      <c r="O150">
        <v>1</v>
      </c>
    </row>
    <row r="151" spans="1:15" ht="15" customHeight="1" x14ac:dyDescent="0.3">
      <c r="A151" s="8">
        <v>209667675</v>
      </c>
      <c r="B151" s="4" t="s">
        <v>220</v>
      </c>
      <c r="C151" s="4" t="s">
        <v>221</v>
      </c>
      <c r="D151" s="6">
        <v>46308.729247685202</v>
      </c>
      <c r="E151" s="6">
        <v>46308.479212963</v>
      </c>
      <c r="F151" s="6">
        <v>46308</v>
      </c>
      <c r="G151" s="5" t="s">
        <v>12</v>
      </c>
      <c r="H151" s="5" t="s">
        <v>16</v>
      </c>
      <c r="I151" s="5">
        <v>4</v>
      </c>
      <c r="J151" s="9" t="s">
        <v>17</v>
      </c>
      <c r="K151" s="1" t="s">
        <v>219</v>
      </c>
      <c r="L151" t="s">
        <v>10</v>
      </c>
      <c r="M151" t="str">
        <f>+VLOOKUP(C151,'[1]TIENDAS 2025'!$A$1:$C$143,3,0)</f>
        <v>departamental</v>
      </c>
      <c r="O151">
        <v>1</v>
      </c>
    </row>
    <row r="152" spans="1:15" ht="15" customHeight="1" x14ac:dyDescent="0.3">
      <c r="A152" s="8">
        <v>209667586</v>
      </c>
      <c r="B152" s="4" t="s">
        <v>223</v>
      </c>
      <c r="C152" s="4" t="s">
        <v>224</v>
      </c>
      <c r="D152" s="6">
        <v>46308.7292592593</v>
      </c>
      <c r="E152" s="6">
        <v>46308.479224536997</v>
      </c>
      <c r="F152" s="6">
        <v>46308</v>
      </c>
      <c r="G152" s="5" t="s">
        <v>12</v>
      </c>
      <c r="H152" s="5" t="s">
        <v>16</v>
      </c>
      <c r="I152" s="5">
        <v>4</v>
      </c>
      <c r="J152" s="9" t="s">
        <v>17</v>
      </c>
      <c r="K152" s="1" t="s">
        <v>222</v>
      </c>
      <c r="L152" t="s">
        <v>10</v>
      </c>
      <c r="M152" t="str">
        <f>+VLOOKUP(C152,'[1]TIENDAS 2025'!$A$1:$C$143,3,0)</f>
        <v>departamental</v>
      </c>
      <c r="O152">
        <v>1</v>
      </c>
    </row>
    <row r="153" spans="1:15" ht="15" customHeight="1" x14ac:dyDescent="0.3">
      <c r="A153" s="8">
        <v>209667635</v>
      </c>
      <c r="B153" s="4" t="s">
        <v>226</v>
      </c>
      <c r="C153" s="4" t="s">
        <v>227</v>
      </c>
      <c r="D153" s="6">
        <v>46308.729270833297</v>
      </c>
      <c r="E153" s="6">
        <v>46308.479247685202</v>
      </c>
      <c r="F153" s="6">
        <v>46308</v>
      </c>
      <c r="G153" s="5" t="s">
        <v>12</v>
      </c>
      <c r="H153" s="5" t="s">
        <v>16</v>
      </c>
      <c r="I153" s="5">
        <v>4</v>
      </c>
      <c r="J153" s="9" t="s">
        <v>17</v>
      </c>
      <c r="K153" s="1" t="s">
        <v>225</v>
      </c>
      <c r="L153" t="s">
        <v>10</v>
      </c>
      <c r="M153" t="str">
        <f>+VLOOKUP(C153,'[1]TIENDAS 2025'!$A$1:$C$143,3,0)</f>
        <v>departamental</v>
      </c>
      <c r="O153">
        <v>1</v>
      </c>
    </row>
    <row r="154" spans="1:15" ht="15" customHeight="1" x14ac:dyDescent="0.3">
      <c r="A154" s="8">
        <v>209667589</v>
      </c>
      <c r="B154" s="4" t="s">
        <v>229</v>
      </c>
      <c r="C154" s="4" t="s">
        <v>230</v>
      </c>
      <c r="D154" s="6">
        <v>46308.729293981502</v>
      </c>
      <c r="E154" s="6">
        <v>46308.4792592593</v>
      </c>
      <c r="F154" s="6">
        <v>46308</v>
      </c>
      <c r="G154" s="5" t="s">
        <v>12</v>
      </c>
      <c r="H154" s="5" t="s">
        <v>16</v>
      </c>
      <c r="I154" s="5">
        <v>8</v>
      </c>
      <c r="J154" s="9" t="s">
        <v>17</v>
      </c>
      <c r="K154" s="1" t="s">
        <v>228</v>
      </c>
      <c r="L154" t="s">
        <v>10</v>
      </c>
      <c r="M154" t="str">
        <f>+VLOOKUP(C154,'[1]TIENDAS 2025'!$A$1:$C$143,3,0)</f>
        <v>local</v>
      </c>
      <c r="O154">
        <v>1</v>
      </c>
    </row>
    <row r="155" spans="1:15" ht="15" customHeight="1" x14ac:dyDescent="0.3">
      <c r="A155" s="8">
        <v>209667592</v>
      </c>
      <c r="B155" s="4" t="s">
        <v>232</v>
      </c>
      <c r="C155" s="4" t="s">
        <v>233</v>
      </c>
      <c r="D155" s="6">
        <v>46308.7293055556</v>
      </c>
      <c r="E155" s="6">
        <v>46308.479270833297</v>
      </c>
      <c r="F155" s="6">
        <v>46308</v>
      </c>
      <c r="G155" s="5" t="s">
        <v>12</v>
      </c>
      <c r="H155" s="5" t="s">
        <v>16</v>
      </c>
      <c r="I155" s="5">
        <v>4</v>
      </c>
      <c r="J155" s="9" t="s">
        <v>17</v>
      </c>
      <c r="K155" s="1" t="s">
        <v>231</v>
      </c>
      <c r="L155" t="s">
        <v>10</v>
      </c>
      <c r="M155" t="str">
        <f>+VLOOKUP(C155,'[1]TIENDAS 2025'!$A$1:$C$143,3,0)</f>
        <v>departamental</v>
      </c>
      <c r="O155">
        <v>1</v>
      </c>
    </row>
    <row r="156" spans="1:15" ht="15" customHeight="1" x14ac:dyDescent="0.3">
      <c r="A156" s="8">
        <v>209667547</v>
      </c>
      <c r="B156" s="4" t="s">
        <v>235</v>
      </c>
      <c r="C156" s="4" t="s">
        <v>236</v>
      </c>
      <c r="D156" s="6">
        <v>46308.729328703703</v>
      </c>
      <c r="E156" s="6">
        <v>46308.479293981502</v>
      </c>
      <c r="F156" s="6">
        <v>46308</v>
      </c>
      <c r="G156" s="5" t="s">
        <v>12</v>
      </c>
      <c r="H156" s="5" t="s">
        <v>16</v>
      </c>
      <c r="I156" s="5">
        <v>4</v>
      </c>
      <c r="J156" s="9" t="s">
        <v>17</v>
      </c>
      <c r="K156" s="1" t="s">
        <v>234</v>
      </c>
      <c r="L156" t="s">
        <v>10</v>
      </c>
      <c r="M156" t="str">
        <f>+VLOOKUP(C156,'[1]TIENDAS 2025'!$A$1:$C$143,3,0)</f>
        <v>prioridad</v>
      </c>
      <c r="O156">
        <v>1</v>
      </c>
    </row>
    <row r="157" spans="1:15" ht="15" customHeight="1" x14ac:dyDescent="0.3">
      <c r="A157" s="8">
        <v>209667645</v>
      </c>
      <c r="B157" s="4" t="s">
        <v>238</v>
      </c>
      <c r="C157" s="4" t="s">
        <v>239</v>
      </c>
      <c r="D157" s="6">
        <v>46308.729340277801</v>
      </c>
      <c r="E157" s="6">
        <v>46308.479317129597</v>
      </c>
      <c r="F157" s="6">
        <v>46308</v>
      </c>
      <c r="G157" s="5" t="s">
        <v>12</v>
      </c>
      <c r="H157" s="5" t="s">
        <v>16</v>
      </c>
      <c r="I157" s="5">
        <v>8</v>
      </c>
      <c r="J157" s="9" t="s">
        <v>17</v>
      </c>
      <c r="K157" s="1" t="s">
        <v>237</v>
      </c>
      <c r="L157" t="s">
        <v>10</v>
      </c>
      <c r="M157" t="str">
        <f>+VLOOKUP(C157,'[1]TIENDAS 2025'!$A$1:$C$143,3,0)</f>
        <v>nocturna</v>
      </c>
      <c r="O157">
        <v>1</v>
      </c>
    </row>
    <row r="158" spans="1:15" ht="15" customHeight="1" x14ac:dyDescent="0.3">
      <c r="A158" s="8">
        <v>209667643</v>
      </c>
      <c r="B158" s="4" t="s">
        <v>241</v>
      </c>
      <c r="C158" s="4" t="s">
        <v>242</v>
      </c>
      <c r="D158" s="6">
        <v>46308.729340277801</v>
      </c>
      <c r="E158" s="6">
        <v>46308.4793055556</v>
      </c>
      <c r="F158" s="6">
        <v>46308</v>
      </c>
      <c r="G158" s="5" t="s">
        <v>12</v>
      </c>
      <c r="H158" s="5" t="s">
        <v>16</v>
      </c>
      <c r="I158" s="5">
        <v>4</v>
      </c>
      <c r="J158" s="9" t="s">
        <v>17</v>
      </c>
      <c r="K158" s="1" t="s">
        <v>240</v>
      </c>
      <c r="L158" t="s">
        <v>10</v>
      </c>
      <c r="M158" t="str">
        <f>+VLOOKUP(C158,'[1]TIENDAS 2025'!$A$1:$C$143,3,0)</f>
        <v>local</v>
      </c>
      <c r="O158">
        <v>1</v>
      </c>
    </row>
    <row r="159" spans="1:15" ht="15" customHeight="1" x14ac:dyDescent="0.3">
      <c r="A159" s="8">
        <v>209667646</v>
      </c>
      <c r="B159" s="4" t="s">
        <v>244</v>
      </c>
      <c r="C159" s="4" t="s">
        <v>245</v>
      </c>
      <c r="D159" s="6">
        <v>46308.729363425897</v>
      </c>
      <c r="E159" s="6">
        <v>46308.479328703703</v>
      </c>
      <c r="F159" s="6">
        <v>46308</v>
      </c>
      <c r="G159" s="5" t="s">
        <v>12</v>
      </c>
      <c r="H159" s="5" t="s">
        <v>16</v>
      </c>
      <c r="I159" s="5">
        <v>4</v>
      </c>
      <c r="J159" s="9" t="s">
        <v>17</v>
      </c>
      <c r="K159" s="1" t="s">
        <v>243</v>
      </c>
      <c r="L159" t="s">
        <v>10</v>
      </c>
      <c r="M159" t="str">
        <f>+VLOOKUP(C159,'[1]TIENDAS 2025'!$A$1:$C$143,3,0)</f>
        <v>nocturna</v>
      </c>
      <c r="O159">
        <v>1</v>
      </c>
    </row>
    <row r="160" spans="1:15" ht="15" customHeight="1" x14ac:dyDescent="0.3">
      <c r="A160" s="8">
        <v>209667650</v>
      </c>
      <c r="B160" s="4" t="s">
        <v>247</v>
      </c>
      <c r="C160" s="4" t="s">
        <v>248</v>
      </c>
      <c r="D160" s="6">
        <v>46308.729375000003</v>
      </c>
      <c r="E160" s="6">
        <v>46308.479351851798</v>
      </c>
      <c r="F160" s="6">
        <v>46308</v>
      </c>
      <c r="G160" s="5" t="s">
        <v>12</v>
      </c>
      <c r="H160" s="5" t="s">
        <v>16</v>
      </c>
      <c r="I160" s="5">
        <v>4</v>
      </c>
      <c r="J160" s="9" t="s">
        <v>17</v>
      </c>
      <c r="K160" s="1" t="s">
        <v>246</v>
      </c>
      <c r="L160" t="s">
        <v>10</v>
      </c>
      <c r="M160" t="str">
        <f>+VLOOKUP(C160,'[1]TIENDAS 2025'!$A$1:$C$143,3,0)</f>
        <v>local</v>
      </c>
      <c r="O160">
        <v>1</v>
      </c>
    </row>
    <row r="161" spans="1:15" ht="15" customHeight="1" x14ac:dyDescent="0.3">
      <c r="A161" s="8">
        <v>209667605</v>
      </c>
      <c r="B161" s="4" t="s">
        <v>250</v>
      </c>
      <c r="C161" s="4" t="s">
        <v>251</v>
      </c>
      <c r="D161" s="6">
        <v>46308.729398148098</v>
      </c>
      <c r="E161" s="6">
        <v>46308.479363425897</v>
      </c>
      <c r="F161" s="6">
        <v>46308</v>
      </c>
      <c r="G161" s="5" t="s">
        <v>12</v>
      </c>
      <c r="H161" s="5" t="s">
        <v>16</v>
      </c>
      <c r="I161" s="5">
        <v>8</v>
      </c>
      <c r="J161" s="9" t="s">
        <v>17</v>
      </c>
      <c r="K161" s="1" t="s">
        <v>249</v>
      </c>
      <c r="L161" t="s">
        <v>10</v>
      </c>
      <c r="M161" t="str">
        <f>+VLOOKUP(C161,'[1]TIENDAS 2025'!$A$1:$C$143,3,0)</f>
        <v>prioridad</v>
      </c>
      <c r="O161">
        <v>1</v>
      </c>
    </row>
    <row r="162" spans="1:15" ht="15" customHeight="1" x14ac:dyDescent="0.3">
      <c r="A162" s="8">
        <v>209667562</v>
      </c>
      <c r="B162" s="4" t="s">
        <v>253</v>
      </c>
      <c r="C162" s="4" t="s">
        <v>254</v>
      </c>
      <c r="D162" s="6">
        <v>46308.729398148098</v>
      </c>
      <c r="E162" s="6">
        <v>46308.479375000003</v>
      </c>
      <c r="F162" s="6">
        <v>46308</v>
      </c>
      <c r="G162" s="5" t="s">
        <v>12</v>
      </c>
      <c r="H162" s="5" t="s">
        <v>16</v>
      </c>
      <c r="I162" s="5">
        <v>4</v>
      </c>
      <c r="J162" s="9" t="s">
        <v>17</v>
      </c>
      <c r="K162" s="1" t="s">
        <v>252</v>
      </c>
      <c r="L162" t="s">
        <v>10</v>
      </c>
      <c r="M162" t="str">
        <f>+VLOOKUP(C162,'[1]TIENDAS 2025'!$A$1:$C$143,3,0)</f>
        <v>departamental</v>
      </c>
      <c r="O162">
        <v>1</v>
      </c>
    </row>
    <row r="163" spans="1:15" ht="15" customHeight="1" x14ac:dyDescent="0.3">
      <c r="A163" s="8">
        <v>209667564</v>
      </c>
      <c r="B163" s="4" t="s">
        <v>256</v>
      </c>
      <c r="C163" s="4" t="s">
        <v>257</v>
      </c>
      <c r="D163" s="6">
        <v>46308.729421296302</v>
      </c>
      <c r="E163" s="6">
        <v>46308.479386574101</v>
      </c>
      <c r="F163" s="6">
        <v>46308</v>
      </c>
      <c r="G163" s="5" t="s">
        <v>12</v>
      </c>
      <c r="H163" s="5" t="s">
        <v>16</v>
      </c>
      <c r="I163" s="5">
        <v>4</v>
      </c>
      <c r="J163" s="9" t="s">
        <v>17</v>
      </c>
      <c r="K163" s="1" t="s">
        <v>255</v>
      </c>
      <c r="L163" t="s">
        <v>10</v>
      </c>
      <c r="M163" t="str">
        <f>+VLOOKUP(C163,'[1]TIENDAS 2025'!$A$1:$C$143,3,0)</f>
        <v>prioridad</v>
      </c>
      <c r="O163">
        <v>1</v>
      </c>
    </row>
    <row r="164" spans="1:15" ht="15" customHeight="1" x14ac:dyDescent="0.3">
      <c r="A164" s="8">
        <v>209667566</v>
      </c>
      <c r="B164" s="4" t="s">
        <v>259</v>
      </c>
      <c r="C164" s="4" t="s">
        <v>260</v>
      </c>
      <c r="D164" s="6">
        <v>46308.729432870401</v>
      </c>
      <c r="E164" s="6">
        <v>46308.479409722197</v>
      </c>
      <c r="F164" s="6">
        <v>46308</v>
      </c>
      <c r="G164" s="5" t="s">
        <v>12</v>
      </c>
      <c r="H164" s="5" t="s">
        <v>16</v>
      </c>
      <c r="I164" s="5">
        <v>4</v>
      </c>
      <c r="J164" s="9" t="s">
        <v>17</v>
      </c>
      <c r="K164" s="1" t="s">
        <v>258</v>
      </c>
      <c r="L164" t="s">
        <v>10</v>
      </c>
      <c r="M164" t="str">
        <f>+VLOOKUP(C164,'[1]TIENDAS 2025'!$A$1:$C$143,3,0)</f>
        <v>local</v>
      </c>
      <c r="O164">
        <v>1</v>
      </c>
    </row>
    <row r="165" spans="1:15" ht="15" customHeight="1" x14ac:dyDescent="0.3">
      <c r="A165" s="8">
        <v>209667616</v>
      </c>
      <c r="B165" s="4" t="s">
        <v>262</v>
      </c>
      <c r="C165" s="4" t="s">
        <v>263</v>
      </c>
      <c r="D165" s="6">
        <v>46308.729456018496</v>
      </c>
      <c r="E165" s="6">
        <v>46308.479421296302</v>
      </c>
      <c r="F165" s="6">
        <v>46308</v>
      </c>
      <c r="G165" s="5" t="s">
        <v>12</v>
      </c>
      <c r="H165" s="5" t="s">
        <v>16</v>
      </c>
      <c r="I165" s="5">
        <v>4</v>
      </c>
      <c r="J165" s="9" t="s">
        <v>17</v>
      </c>
      <c r="K165" s="1" t="s">
        <v>261</v>
      </c>
      <c r="L165" t="s">
        <v>10</v>
      </c>
      <c r="M165" t="str">
        <f>+VLOOKUP(C165,'[1]TIENDAS 2025'!$A$1:$C$143,3,0)</f>
        <v>departamental</v>
      </c>
      <c r="O165">
        <v>1</v>
      </c>
    </row>
    <row r="166" spans="1:15" ht="15" customHeight="1" x14ac:dyDescent="0.3">
      <c r="A166" s="8">
        <v>209667620</v>
      </c>
      <c r="B166" s="4" t="s">
        <v>265</v>
      </c>
      <c r="C166" s="4" t="s">
        <v>266</v>
      </c>
      <c r="D166" s="6">
        <v>46308.729467592602</v>
      </c>
      <c r="E166" s="6">
        <v>46308.479432870401</v>
      </c>
      <c r="F166" s="6">
        <v>46308</v>
      </c>
      <c r="G166" s="5" t="s">
        <v>12</v>
      </c>
      <c r="H166" s="5" t="s">
        <v>16</v>
      </c>
      <c r="I166" s="5">
        <v>4</v>
      </c>
      <c r="J166" s="9" t="s">
        <v>17</v>
      </c>
      <c r="K166" s="1" t="s">
        <v>264</v>
      </c>
      <c r="L166" t="s">
        <v>10</v>
      </c>
      <c r="M166" t="str">
        <f>+VLOOKUP(C166,'[1]TIENDAS 2025'!$A$1:$C$143,3,0)</f>
        <v>nocturna</v>
      </c>
      <c r="O166">
        <v>1</v>
      </c>
    </row>
    <row r="167" spans="1:15" ht="15" customHeight="1" x14ac:dyDescent="0.3">
      <c r="A167" s="8">
        <v>209667573</v>
      </c>
      <c r="B167" s="4" t="s">
        <v>268</v>
      </c>
      <c r="C167" s="4" t="s">
        <v>269</v>
      </c>
      <c r="D167" s="6">
        <v>46308.729479166701</v>
      </c>
      <c r="E167" s="6">
        <v>46308.479444444398</v>
      </c>
      <c r="F167" s="6">
        <v>46308</v>
      </c>
      <c r="G167" s="5" t="s">
        <v>12</v>
      </c>
      <c r="H167" s="5" t="s">
        <v>16</v>
      </c>
      <c r="I167" s="5">
        <v>4</v>
      </c>
      <c r="J167" s="9" t="s">
        <v>17</v>
      </c>
      <c r="K167" s="1" t="s">
        <v>267</v>
      </c>
      <c r="L167" t="s">
        <v>10</v>
      </c>
      <c r="M167" t="str">
        <f>+VLOOKUP(C167,'[1]TIENDAS 2025'!$A$1:$C$143,3,0)</f>
        <v>departamental</v>
      </c>
      <c r="O167">
        <v>1</v>
      </c>
    </row>
    <row r="168" spans="1:15" ht="15" customHeight="1" x14ac:dyDescent="0.3">
      <c r="A168" s="8">
        <v>209667582</v>
      </c>
      <c r="B168" s="4" t="s">
        <v>271</v>
      </c>
      <c r="C168" s="4" t="s">
        <v>272</v>
      </c>
      <c r="D168" s="6">
        <v>46308.729490740698</v>
      </c>
      <c r="E168" s="6">
        <v>46308.479467592602</v>
      </c>
      <c r="F168" s="6">
        <v>46308</v>
      </c>
      <c r="G168" s="5" t="s">
        <v>12</v>
      </c>
      <c r="H168" s="5" t="s">
        <v>16</v>
      </c>
      <c r="I168" s="5">
        <v>4</v>
      </c>
      <c r="J168" s="9" t="s">
        <v>17</v>
      </c>
      <c r="K168" s="1" t="s">
        <v>270</v>
      </c>
      <c r="L168" t="s">
        <v>10</v>
      </c>
      <c r="M168" t="str">
        <f>+VLOOKUP(C168,'[1]TIENDAS 2025'!$A$1:$C$143,3,0)</f>
        <v>local</v>
      </c>
      <c r="O168">
        <v>1</v>
      </c>
    </row>
    <row r="169" spans="1:15" ht="15" customHeight="1" x14ac:dyDescent="0.3">
      <c r="A169" s="8">
        <v>209667587</v>
      </c>
      <c r="B169" s="4" t="s">
        <v>274</v>
      </c>
      <c r="C169" s="4" t="s">
        <v>275</v>
      </c>
      <c r="D169" s="6">
        <v>46308.729513888902</v>
      </c>
      <c r="E169" s="6">
        <v>46308.479479166701</v>
      </c>
      <c r="F169" s="6">
        <v>46308</v>
      </c>
      <c r="G169" s="5" t="s">
        <v>12</v>
      </c>
      <c r="H169" s="5" t="s">
        <v>16</v>
      </c>
      <c r="I169" s="5">
        <v>4</v>
      </c>
      <c r="J169" s="9" t="s">
        <v>17</v>
      </c>
      <c r="K169" s="1" t="s">
        <v>273</v>
      </c>
      <c r="L169" t="s">
        <v>10</v>
      </c>
      <c r="M169" t="str">
        <f>+VLOOKUP(C169,'[1]TIENDAS 2025'!$A$1:$C$143,3,0)</f>
        <v>nocturna</v>
      </c>
      <c r="O169">
        <v>1</v>
      </c>
    </row>
    <row r="170" spans="1:15" ht="15" customHeight="1" x14ac:dyDescent="0.3">
      <c r="A170" s="8">
        <v>209667681</v>
      </c>
      <c r="B170" s="4" t="s">
        <v>277</v>
      </c>
      <c r="C170" s="4" t="s">
        <v>278</v>
      </c>
      <c r="D170" s="6">
        <v>46308.729525463001</v>
      </c>
      <c r="E170" s="6">
        <v>46308.479490740698</v>
      </c>
      <c r="F170" s="6">
        <v>46308</v>
      </c>
      <c r="G170" s="5" t="s">
        <v>12</v>
      </c>
      <c r="H170" s="5" t="s">
        <v>16</v>
      </c>
      <c r="I170" s="5">
        <v>4</v>
      </c>
      <c r="J170" s="9" t="s">
        <v>17</v>
      </c>
      <c r="K170" s="1" t="s">
        <v>276</v>
      </c>
      <c r="L170" t="s">
        <v>10</v>
      </c>
      <c r="M170" t="str">
        <f>+VLOOKUP(C170,'[1]TIENDAS 2025'!$A$1:$C$143,3,0)</f>
        <v>local</v>
      </c>
      <c r="O170">
        <v>1</v>
      </c>
    </row>
    <row r="171" spans="1:15" ht="15" customHeight="1" x14ac:dyDescent="0.3">
      <c r="A171" s="8">
        <v>209667638</v>
      </c>
      <c r="B171" s="4" t="s">
        <v>280</v>
      </c>
      <c r="C171" s="4" t="s">
        <v>281</v>
      </c>
      <c r="D171" s="6">
        <v>46308.729537036997</v>
      </c>
      <c r="E171" s="6">
        <v>46308.479502314804</v>
      </c>
      <c r="F171" s="6">
        <v>46308</v>
      </c>
      <c r="G171" s="5" t="s">
        <v>12</v>
      </c>
      <c r="H171" s="5" t="s">
        <v>16</v>
      </c>
      <c r="I171" s="5">
        <v>8</v>
      </c>
      <c r="J171" s="9" t="s">
        <v>17</v>
      </c>
      <c r="K171" s="1" t="s">
        <v>279</v>
      </c>
      <c r="L171" t="s">
        <v>10</v>
      </c>
      <c r="M171" t="str">
        <f>+VLOOKUP(C171,'[1]TIENDAS 2025'!$A$1:$C$143,3,0)</f>
        <v>nocturna</v>
      </c>
      <c r="O171">
        <v>1</v>
      </c>
    </row>
    <row r="172" spans="1:15" ht="15" customHeight="1" x14ac:dyDescent="0.3">
      <c r="A172" s="8">
        <v>209667549</v>
      </c>
      <c r="B172" s="4" t="s">
        <v>283</v>
      </c>
      <c r="C172" s="4" t="s">
        <v>284</v>
      </c>
      <c r="D172" s="6">
        <v>46308.729548611103</v>
      </c>
      <c r="E172" s="6">
        <v>46308.479525463001</v>
      </c>
      <c r="F172" s="6">
        <v>46308</v>
      </c>
      <c r="G172" s="5" t="s">
        <v>12</v>
      </c>
      <c r="H172" s="5" t="s">
        <v>16</v>
      </c>
      <c r="I172" s="5">
        <v>8</v>
      </c>
      <c r="J172" s="9" t="s">
        <v>17</v>
      </c>
      <c r="K172" s="1" t="s">
        <v>282</v>
      </c>
      <c r="L172" t="s">
        <v>10</v>
      </c>
      <c r="M172" t="str">
        <f>+VLOOKUP(C172,'[1]TIENDAS 2025'!$A$1:$C$143,3,0)</f>
        <v>prioridad</v>
      </c>
      <c r="O172">
        <v>1</v>
      </c>
    </row>
    <row r="173" spans="1:15" ht="15" customHeight="1" x14ac:dyDescent="0.3">
      <c r="A173" s="8">
        <v>209667607</v>
      </c>
      <c r="B173" s="4" t="s">
        <v>286</v>
      </c>
      <c r="C173" s="4" t="s">
        <v>287</v>
      </c>
      <c r="D173" s="6">
        <v>46308.729560185202</v>
      </c>
      <c r="E173" s="6">
        <v>46308.479537036997</v>
      </c>
      <c r="F173" s="6">
        <v>46308</v>
      </c>
      <c r="G173" s="5" t="s">
        <v>12</v>
      </c>
      <c r="H173" s="5" t="s">
        <v>16</v>
      </c>
      <c r="I173" s="5">
        <v>8</v>
      </c>
      <c r="J173" s="9" t="s">
        <v>17</v>
      </c>
      <c r="K173" s="1" t="s">
        <v>285</v>
      </c>
      <c r="L173" t="s">
        <v>10</v>
      </c>
      <c r="M173" t="str">
        <f>+VLOOKUP(C173,'[1]TIENDAS 2025'!$A$1:$C$143,3,0)</f>
        <v>nocturna</v>
      </c>
      <c r="O173">
        <v>1</v>
      </c>
    </row>
    <row r="174" spans="1:15" ht="15" customHeight="1" x14ac:dyDescent="0.3">
      <c r="A174" s="8">
        <v>209667608</v>
      </c>
      <c r="B174" s="4" t="s">
        <v>289</v>
      </c>
      <c r="C174" s="4" t="s">
        <v>290</v>
      </c>
      <c r="D174" s="6">
        <v>46308.729583333297</v>
      </c>
      <c r="E174" s="6">
        <v>46308.479548611103</v>
      </c>
      <c r="F174" s="6">
        <v>46308</v>
      </c>
      <c r="G174" s="5" t="s">
        <v>12</v>
      </c>
      <c r="H174" s="5" t="s">
        <v>16</v>
      </c>
      <c r="I174" s="5">
        <v>4</v>
      </c>
      <c r="J174" s="9" t="s">
        <v>17</v>
      </c>
      <c r="K174" s="1" t="s">
        <v>288</v>
      </c>
      <c r="L174" t="s">
        <v>10</v>
      </c>
      <c r="M174" t="str">
        <f>+VLOOKUP(C174,'[1]TIENDAS 2025'!$A$1:$C$143,3,0)</f>
        <v>departamental</v>
      </c>
      <c r="O174">
        <v>1</v>
      </c>
    </row>
    <row r="175" spans="1:15" ht="15" customHeight="1" x14ac:dyDescent="0.3">
      <c r="A175" s="8">
        <v>209667655</v>
      </c>
      <c r="B175" s="4" t="s">
        <v>292</v>
      </c>
      <c r="C175" s="4" t="s">
        <v>293</v>
      </c>
      <c r="D175" s="6">
        <v>46308.729594907403</v>
      </c>
      <c r="E175" s="6">
        <v>46308.479560185202</v>
      </c>
      <c r="F175" s="6">
        <v>46308</v>
      </c>
      <c r="G175" s="5" t="s">
        <v>12</v>
      </c>
      <c r="H175" s="5" t="s">
        <v>16</v>
      </c>
      <c r="I175" s="5">
        <v>6</v>
      </c>
      <c r="J175" s="9" t="s">
        <v>17</v>
      </c>
      <c r="K175" s="1" t="s">
        <v>291</v>
      </c>
      <c r="L175" t="s">
        <v>10</v>
      </c>
      <c r="M175" t="str">
        <f>+VLOOKUP(C175,'[1]TIENDAS 2025'!$A$1:$C$143,3,0)</f>
        <v>local</v>
      </c>
      <c r="O175">
        <v>1</v>
      </c>
    </row>
    <row r="176" spans="1:15" ht="15" customHeight="1" x14ac:dyDescent="0.3">
      <c r="A176" s="8">
        <v>209667561</v>
      </c>
      <c r="B176" s="4" t="s">
        <v>295</v>
      </c>
      <c r="C176" s="4" t="s">
        <v>296</v>
      </c>
      <c r="D176" s="6">
        <v>46308.729606481502</v>
      </c>
      <c r="E176" s="6">
        <v>46308.479583333297</v>
      </c>
      <c r="F176" s="6">
        <v>46308</v>
      </c>
      <c r="G176" s="5" t="s">
        <v>12</v>
      </c>
      <c r="H176" s="5" t="s">
        <v>16</v>
      </c>
      <c r="I176" s="5">
        <v>4</v>
      </c>
      <c r="J176" s="9" t="s">
        <v>17</v>
      </c>
      <c r="K176" s="1" t="s">
        <v>294</v>
      </c>
      <c r="L176" t="s">
        <v>10</v>
      </c>
      <c r="M176" t="str">
        <f>+VLOOKUP(C176,'[1]TIENDAS 2025'!$A$1:$C$143,3,0)</f>
        <v>local</v>
      </c>
      <c r="O176">
        <v>1</v>
      </c>
    </row>
    <row r="177" spans="1:15" ht="15" customHeight="1" x14ac:dyDescent="0.3">
      <c r="A177" s="8">
        <v>209667565</v>
      </c>
      <c r="B177" s="4" t="s">
        <v>298</v>
      </c>
      <c r="C177" s="4" t="s">
        <v>299</v>
      </c>
      <c r="D177" s="6">
        <v>46308.7296180556</v>
      </c>
      <c r="E177" s="6">
        <v>46308.479594907403</v>
      </c>
      <c r="F177" s="6">
        <v>46308</v>
      </c>
      <c r="G177" s="5" t="s">
        <v>12</v>
      </c>
      <c r="H177" s="5" t="s">
        <v>16</v>
      </c>
      <c r="I177" s="5">
        <v>4</v>
      </c>
      <c r="J177" s="9" t="s">
        <v>17</v>
      </c>
      <c r="K177" s="1" t="s">
        <v>297</v>
      </c>
      <c r="L177" t="s">
        <v>10</v>
      </c>
      <c r="M177" t="str">
        <f>+VLOOKUP(C177,'[1]TIENDAS 2025'!$A$1:$C$143,3,0)</f>
        <v>local</v>
      </c>
      <c r="O177">
        <v>1</v>
      </c>
    </row>
    <row r="178" spans="1:15" ht="15" customHeight="1" x14ac:dyDescent="0.3">
      <c r="A178" s="8">
        <v>209667614</v>
      </c>
      <c r="B178" s="4" t="s">
        <v>301</v>
      </c>
      <c r="C178" s="4" t="s">
        <v>302</v>
      </c>
      <c r="D178" s="6">
        <v>46308.729641203703</v>
      </c>
      <c r="E178" s="6">
        <v>46308.479606481502</v>
      </c>
      <c r="F178" s="6">
        <v>46308</v>
      </c>
      <c r="G178" s="5" t="s">
        <v>12</v>
      </c>
      <c r="H178" s="5" t="s">
        <v>16</v>
      </c>
      <c r="I178" s="5">
        <v>4</v>
      </c>
      <c r="J178" s="9" t="s">
        <v>17</v>
      </c>
      <c r="K178" s="1" t="s">
        <v>300</v>
      </c>
      <c r="L178" t="s">
        <v>10</v>
      </c>
      <c r="M178" t="str">
        <f>+VLOOKUP(C178,'[1]TIENDAS 2025'!$A$1:$C$143,3,0)</f>
        <v>departamental</v>
      </c>
      <c r="O178">
        <v>1</v>
      </c>
    </row>
    <row r="179" spans="1:15" ht="15" customHeight="1" x14ac:dyDescent="0.3">
      <c r="A179" s="8">
        <v>209667626</v>
      </c>
      <c r="B179" s="4" t="s">
        <v>304</v>
      </c>
      <c r="C179" s="4" t="s">
        <v>305</v>
      </c>
      <c r="D179" s="6">
        <v>46308.729652777802</v>
      </c>
      <c r="E179" s="6">
        <v>46308.4796180556</v>
      </c>
      <c r="F179" s="6">
        <v>46308</v>
      </c>
      <c r="G179" s="5" t="s">
        <v>12</v>
      </c>
      <c r="H179" s="5" t="s">
        <v>16</v>
      </c>
      <c r="I179" s="5">
        <v>4</v>
      </c>
      <c r="J179" s="9" t="s">
        <v>17</v>
      </c>
      <c r="K179" s="1" t="s">
        <v>303</v>
      </c>
      <c r="L179" t="s">
        <v>10</v>
      </c>
      <c r="M179" t="str">
        <f>+VLOOKUP(C179,'[1]TIENDAS 2025'!$A$1:$C$143,3,0)</f>
        <v>departamental</v>
      </c>
      <c r="O179">
        <v>1</v>
      </c>
    </row>
    <row r="180" spans="1:15" ht="15" customHeight="1" x14ac:dyDescent="0.3">
      <c r="A180" s="8">
        <v>209667632</v>
      </c>
      <c r="B180" s="4" t="s">
        <v>93</v>
      </c>
      <c r="C180" s="4" t="s">
        <v>94</v>
      </c>
      <c r="D180" s="6">
        <v>46308.729675925897</v>
      </c>
      <c r="E180" s="6">
        <v>46308.479641203703</v>
      </c>
      <c r="F180" s="6">
        <v>46308</v>
      </c>
      <c r="G180" s="5" t="s">
        <v>12</v>
      </c>
      <c r="H180" s="5" t="s">
        <v>16</v>
      </c>
      <c r="I180" s="5">
        <v>4</v>
      </c>
      <c r="J180" s="9" t="s">
        <v>17</v>
      </c>
      <c r="K180" s="1" t="s">
        <v>306</v>
      </c>
      <c r="L180" t="s">
        <v>10</v>
      </c>
      <c r="M180" t="str">
        <f>+VLOOKUP(C180,'[1]TIENDAS 2025'!$A$1:$C$143,3,0)</f>
        <v>departamental</v>
      </c>
      <c r="O180">
        <v>1</v>
      </c>
    </row>
    <row r="181" spans="1:15" ht="15" customHeight="1" x14ac:dyDescent="0.3">
      <c r="A181" s="8">
        <v>209667683</v>
      </c>
      <c r="B181" s="4" t="s">
        <v>150</v>
      </c>
      <c r="C181" s="4" t="s">
        <v>151</v>
      </c>
      <c r="D181" s="6">
        <v>46308.729687500003</v>
      </c>
      <c r="E181" s="6">
        <v>46308.479652777802</v>
      </c>
      <c r="F181" s="6">
        <v>46308</v>
      </c>
      <c r="G181" s="5" t="s">
        <v>12</v>
      </c>
      <c r="H181" s="5" t="s">
        <v>16</v>
      </c>
      <c r="I181" s="5">
        <v>4</v>
      </c>
      <c r="J181" s="9" t="s">
        <v>17</v>
      </c>
      <c r="K181" s="1" t="s">
        <v>307</v>
      </c>
      <c r="L181" t="s">
        <v>10</v>
      </c>
      <c r="M181" t="str">
        <f>+VLOOKUP(C181,'[1]TIENDAS 2025'!$A$1:$C$143,3,0)</f>
        <v>local</v>
      </c>
      <c r="O181">
        <v>1</v>
      </c>
    </row>
    <row r="182" spans="1:15" ht="15" customHeight="1" x14ac:dyDescent="0.3">
      <c r="A182" s="8">
        <v>209667590</v>
      </c>
      <c r="B182" s="4" t="s">
        <v>309</v>
      </c>
      <c r="C182" s="4" t="s">
        <v>310</v>
      </c>
      <c r="D182" s="6">
        <v>46308.729699074102</v>
      </c>
      <c r="E182" s="6">
        <v>46308.479664351798</v>
      </c>
      <c r="F182" s="6">
        <v>46308</v>
      </c>
      <c r="G182" s="5" t="s">
        <v>12</v>
      </c>
      <c r="H182" s="5" t="s">
        <v>16</v>
      </c>
      <c r="I182" s="5">
        <v>4</v>
      </c>
      <c r="J182" s="9" t="s">
        <v>17</v>
      </c>
      <c r="K182" s="1" t="s">
        <v>308</v>
      </c>
      <c r="L182" t="s">
        <v>10</v>
      </c>
      <c r="M182" t="str">
        <f>+VLOOKUP(C182,'[1]TIENDAS 2025'!$A$1:$C$143,3,0)</f>
        <v>departamental</v>
      </c>
      <c r="O182">
        <v>1</v>
      </c>
    </row>
    <row r="183" spans="1:15" ht="15" customHeight="1" x14ac:dyDescent="0.3">
      <c r="A183" s="8">
        <v>209667546</v>
      </c>
      <c r="B183" s="4" t="s">
        <v>312</v>
      </c>
      <c r="C183" s="4" t="s">
        <v>313</v>
      </c>
      <c r="D183" s="6">
        <v>46308.729710648098</v>
      </c>
      <c r="E183" s="6">
        <v>46308.479675925897</v>
      </c>
      <c r="F183" s="6">
        <v>46308</v>
      </c>
      <c r="G183" s="5" t="s">
        <v>12</v>
      </c>
      <c r="H183" s="5" t="s">
        <v>16</v>
      </c>
      <c r="I183" s="5">
        <v>8</v>
      </c>
      <c r="J183" s="9" t="s">
        <v>17</v>
      </c>
      <c r="K183" s="1" t="s">
        <v>311</v>
      </c>
      <c r="L183" t="s">
        <v>10</v>
      </c>
      <c r="M183" t="str">
        <f>+VLOOKUP(C183,'[1]TIENDAS 2025'!$A$1:$C$143,3,0)</f>
        <v>prioridad</v>
      </c>
      <c r="O183">
        <v>1</v>
      </c>
    </row>
    <row r="184" spans="1:15" ht="15" customHeight="1" x14ac:dyDescent="0.3">
      <c r="A184" s="8">
        <v>209667594</v>
      </c>
      <c r="B184" s="4" t="s">
        <v>315</v>
      </c>
      <c r="C184" s="4" t="s">
        <v>316</v>
      </c>
      <c r="D184" s="6">
        <v>46308.729722222197</v>
      </c>
      <c r="E184" s="6">
        <v>46308.479687500003</v>
      </c>
      <c r="F184" s="6">
        <v>46308</v>
      </c>
      <c r="G184" s="5" t="s">
        <v>12</v>
      </c>
      <c r="H184" s="5" t="s">
        <v>16</v>
      </c>
      <c r="I184" s="5">
        <v>7</v>
      </c>
      <c r="J184" s="9" t="s">
        <v>17</v>
      </c>
      <c r="K184" s="1" t="s">
        <v>314</v>
      </c>
      <c r="L184" t="s">
        <v>10</v>
      </c>
      <c r="M184" t="str">
        <f>+VLOOKUP(C184,'[1]TIENDAS 2025'!$A$1:$C$143,3,0)</f>
        <v>prioridad</v>
      </c>
      <c r="O184">
        <v>1</v>
      </c>
    </row>
    <row r="185" spans="1:15" ht="15" customHeight="1" x14ac:dyDescent="0.3">
      <c r="A185" s="8">
        <v>209667644</v>
      </c>
      <c r="B185" s="4" t="s">
        <v>318</v>
      </c>
      <c r="C185" s="4" t="s">
        <v>319</v>
      </c>
      <c r="D185" s="6">
        <v>46308.729745370401</v>
      </c>
      <c r="E185" s="6">
        <v>46308.479722222197</v>
      </c>
      <c r="F185" s="6">
        <v>46308</v>
      </c>
      <c r="G185" s="5" t="s">
        <v>12</v>
      </c>
      <c r="H185" s="5" t="s">
        <v>16</v>
      </c>
      <c r="I185" s="5">
        <v>4</v>
      </c>
      <c r="J185" s="9" t="s">
        <v>17</v>
      </c>
      <c r="K185" s="1" t="s">
        <v>317</v>
      </c>
      <c r="L185" t="s">
        <v>10</v>
      </c>
      <c r="M185" t="str">
        <f>+VLOOKUP(C185,'[1]TIENDAS 2025'!$A$1:$C$143,3,0)</f>
        <v>local</v>
      </c>
      <c r="O185">
        <v>1</v>
      </c>
    </row>
    <row r="186" spans="1:15" ht="15" customHeight="1" x14ac:dyDescent="0.3">
      <c r="A186" s="8">
        <v>209667595</v>
      </c>
      <c r="B186" s="4" t="s">
        <v>321</v>
      </c>
      <c r="C186" s="4" t="s">
        <v>322</v>
      </c>
      <c r="D186" s="6">
        <v>46308.729745370401</v>
      </c>
      <c r="E186" s="6">
        <v>46308.479710648098</v>
      </c>
      <c r="F186" s="6">
        <v>46308</v>
      </c>
      <c r="G186" s="5" t="s">
        <v>12</v>
      </c>
      <c r="H186" s="5" t="s">
        <v>16</v>
      </c>
      <c r="I186" s="5">
        <v>8</v>
      </c>
      <c r="J186" s="9" t="s">
        <v>17</v>
      </c>
      <c r="K186" s="1" t="s">
        <v>320</v>
      </c>
      <c r="L186" t="s">
        <v>10</v>
      </c>
      <c r="M186" t="str">
        <f>+VLOOKUP(C186,'[1]TIENDAS 2025'!$A$1:$C$143,3,0)</f>
        <v>prioridad</v>
      </c>
      <c r="O186">
        <v>1</v>
      </c>
    </row>
    <row r="187" spans="1:15" ht="15" customHeight="1" x14ac:dyDescent="0.3">
      <c r="A187" s="8">
        <v>209667553</v>
      </c>
      <c r="B187" s="4" t="s">
        <v>324</v>
      </c>
      <c r="C187" s="4" t="s">
        <v>325</v>
      </c>
      <c r="D187" s="6">
        <v>46308.729768518497</v>
      </c>
      <c r="E187" s="6">
        <v>46308.479733796303</v>
      </c>
      <c r="F187" s="6">
        <v>46308</v>
      </c>
      <c r="G187" s="5" t="s">
        <v>12</v>
      </c>
      <c r="H187" s="5" t="s">
        <v>16</v>
      </c>
      <c r="I187" s="5">
        <v>4</v>
      </c>
      <c r="J187" s="9" t="s">
        <v>17</v>
      </c>
      <c r="K187" s="1" t="s">
        <v>323</v>
      </c>
      <c r="L187" t="s">
        <v>10</v>
      </c>
      <c r="M187" t="str">
        <f>+VLOOKUP(C187,'[1]TIENDAS 2025'!$A$1:$C$143,3,0)</f>
        <v>local</v>
      </c>
      <c r="O187">
        <v>1</v>
      </c>
    </row>
    <row r="188" spans="1:15" ht="15" customHeight="1" x14ac:dyDescent="0.3">
      <c r="A188" s="8">
        <v>209667554</v>
      </c>
      <c r="B188" s="4" t="s">
        <v>327</v>
      </c>
      <c r="C188" s="4" t="s">
        <v>328</v>
      </c>
      <c r="D188" s="6">
        <v>46308.729780092603</v>
      </c>
      <c r="E188" s="6">
        <v>46308.479745370401</v>
      </c>
      <c r="F188" s="6">
        <v>46308</v>
      </c>
      <c r="G188" s="5" t="s">
        <v>12</v>
      </c>
      <c r="H188" s="5" t="s">
        <v>16</v>
      </c>
      <c r="I188" s="5">
        <v>4</v>
      </c>
      <c r="J188" s="9" t="s">
        <v>17</v>
      </c>
      <c r="K188" s="1" t="s">
        <v>326</v>
      </c>
      <c r="L188" t="s">
        <v>10</v>
      </c>
      <c r="M188" t="str">
        <f>+VLOOKUP(C188,'[1]TIENDAS 2025'!$A$1:$C$143,3,0)</f>
        <v>local</v>
      </c>
      <c r="O188">
        <v>1</v>
      </c>
    </row>
    <row r="189" spans="1:15" ht="15" customHeight="1" x14ac:dyDescent="0.3">
      <c r="A189" s="8">
        <v>209667601</v>
      </c>
      <c r="B189" s="4" t="s">
        <v>330</v>
      </c>
      <c r="C189" s="4" t="s">
        <v>331</v>
      </c>
      <c r="D189" s="6">
        <v>46308.729791666701</v>
      </c>
      <c r="E189" s="6">
        <v>46308.479756944398</v>
      </c>
      <c r="F189" s="6">
        <v>46308</v>
      </c>
      <c r="G189" s="5" t="s">
        <v>12</v>
      </c>
      <c r="H189" s="5" t="s">
        <v>16</v>
      </c>
      <c r="I189" s="5">
        <v>4</v>
      </c>
      <c r="J189" s="9" t="s">
        <v>17</v>
      </c>
      <c r="K189" s="1" t="s">
        <v>329</v>
      </c>
      <c r="L189" t="s">
        <v>10</v>
      </c>
      <c r="M189" t="str">
        <f>+VLOOKUP(C189,'[1]TIENDAS 2025'!$A$1:$C$143,3,0)</f>
        <v>departamental</v>
      </c>
      <c r="O189">
        <v>1</v>
      </c>
    </row>
    <row r="190" spans="1:15" ht="15" customHeight="1" x14ac:dyDescent="0.3">
      <c r="A190" s="8">
        <v>209667602</v>
      </c>
      <c r="B190" s="4" t="s">
        <v>333</v>
      </c>
      <c r="C190" s="4" t="s">
        <v>334</v>
      </c>
      <c r="D190" s="6">
        <v>46308.729803240698</v>
      </c>
      <c r="E190" s="6">
        <v>46308.479780092603</v>
      </c>
      <c r="F190" s="6">
        <v>46308</v>
      </c>
      <c r="G190" s="5" t="s">
        <v>12</v>
      </c>
      <c r="H190" s="5" t="s">
        <v>16</v>
      </c>
      <c r="I190" s="5">
        <v>8</v>
      </c>
      <c r="J190" s="9" t="s">
        <v>17</v>
      </c>
      <c r="K190" s="1" t="s">
        <v>332</v>
      </c>
      <c r="L190" t="s">
        <v>10</v>
      </c>
      <c r="M190" t="str">
        <f>+VLOOKUP(C190,'[1]TIENDAS 2025'!$A$1:$C$143,3,0)</f>
        <v>nocturna</v>
      </c>
      <c r="O190">
        <v>1</v>
      </c>
    </row>
    <row r="191" spans="1:15" ht="15" customHeight="1" x14ac:dyDescent="0.3">
      <c r="A191" s="8">
        <v>209667648</v>
      </c>
      <c r="B191" s="4" t="s">
        <v>336</v>
      </c>
      <c r="C191" s="4" t="s">
        <v>337</v>
      </c>
      <c r="D191" s="6">
        <v>46308.729826388902</v>
      </c>
      <c r="E191" s="6">
        <v>46308.479791666701</v>
      </c>
      <c r="F191" s="6">
        <v>46308</v>
      </c>
      <c r="G191" s="5" t="s">
        <v>12</v>
      </c>
      <c r="H191" s="5" t="s">
        <v>16</v>
      </c>
      <c r="I191" s="5">
        <v>4</v>
      </c>
      <c r="J191" s="9" t="s">
        <v>17</v>
      </c>
      <c r="K191" s="1" t="s">
        <v>335</v>
      </c>
      <c r="L191" t="s">
        <v>10</v>
      </c>
      <c r="M191" t="str">
        <f>+VLOOKUP(C191,'[1]TIENDAS 2025'!$A$1:$C$143,3,0)</f>
        <v xml:space="preserve">departamental </v>
      </c>
      <c r="O191">
        <v>1</v>
      </c>
    </row>
    <row r="192" spans="1:15" ht="15" customHeight="1" x14ac:dyDescent="0.3">
      <c r="A192" s="8">
        <v>209667606</v>
      </c>
      <c r="B192" s="4" t="s">
        <v>339</v>
      </c>
      <c r="C192" s="4" t="s">
        <v>340</v>
      </c>
      <c r="D192" s="6">
        <v>46308.729837963001</v>
      </c>
      <c r="E192" s="6">
        <v>46308.479814814797</v>
      </c>
      <c r="F192" s="6">
        <v>46308</v>
      </c>
      <c r="G192" s="5" t="s">
        <v>12</v>
      </c>
      <c r="H192" s="5" t="s">
        <v>16</v>
      </c>
      <c r="I192" s="5">
        <v>4</v>
      </c>
      <c r="J192" s="9" t="s">
        <v>17</v>
      </c>
      <c r="K192" s="1" t="s">
        <v>338</v>
      </c>
      <c r="L192" t="s">
        <v>10</v>
      </c>
      <c r="M192" t="str">
        <f>+VLOOKUP(C192,'[1]TIENDAS 2025'!$A$1:$C$143,3,0)</f>
        <v>nocturna</v>
      </c>
      <c r="O192">
        <v>1</v>
      </c>
    </row>
    <row r="193" spans="1:15" ht="15" customHeight="1" x14ac:dyDescent="0.3">
      <c r="A193" s="8">
        <v>209667610</v>
      </c>
      <c r="B193" s="4" t="s">
        <v>342</v>
      </c>
      <c r="C193" s="4" t="s">
        <v>343</v>
      </c>
      <c r="D193" s="6">
        <v>46308.729861111096</v>
      </c>
      <c r="E193" s="6">
        <v>46308.479826388902</v>
      </c>
      <c r="F193" s="6">
        <v>46308</v>
      </c>
      <c r="G193" s="5" t="s">
        <v>12</v>
      </c>
      <c r="H193" s="5" t="s">
        <v>16</v>
      </c>
      <c r="I193" s="5">
        <v>4</v>
      </c>
      <c r="J193" s="9" t="s">
        <v>17</v>
      </c>
      <c r="K193" s="1" t="s">
        <v>341</v>
      </c>
      <c r="L193" t="s">
        <v>10</v>
      </c>
      <c r="M193" t="str">
        <f>+VLOOKUP(C193,'[1]TIENDAS 2025'!$A$1:$C$143,3,0)</f>
        <v>local</v>
      </c>
      <c r="O193">
        <v>1</v>
      </c>
    </row>
    <row r="194" spans="1:15" ht="15" customHeight="1" x14ac:dyDescent="0.3">
      <c r="A194" s="8">
        <v>209667659</v>
      </c>
      <c r="B194" s="4" t="s">
        <v>345</v>
      </c>
      <c r="C194" s="4" t="s">
        <v>346</v>
      </c>
      <c r="D194" s="6">
        <v>46308.729872685202</v>
      </c>
      <c r="E194" s="6">
        <v>46308.479837963001</v>
      </c>
      <c r="F194" s="6">
        <v>46308</v>
      </c>
      <c r="G194" s="5" t="s">
        <v>12</v>
      </c>
      <c r="H194" s="5" t="s">
        <v>16</v>
      </c>
      <c r="I194" s="5">
        <v>8</v>
      </c>
      <c r="J194" s="9" t="s">
        <v>17</v>
      </c>
      <c r="K194" s="1" t="s">
        <v>344</v>
      </c>
      <c r="L194" t="s">
        <v>10</v>
      </c>
      <c r="M194" t="str">
        <f>+VLOOKUP(C194,'[1]TIENDAS 2025'!$A$1:$C$143,3,0)</f>
        <v>local</v>
      </c>
      <c r="O194">
        <v>1</v>
      </c>
    </row>
    <row r="195" spans="1:15" ht="15" customHeight="1" x14ac:dyDescent="0.3">
      <c r="A195" s="8">
        <v>209667612</v>
      </c>
      <c r="B195" s="4" t="s">
        <v>348</v>
      </c>
      <c r="C195" s="4" t="s">
        <v>349</v>
      </c>
      <c r="D195" s="6">
        <v>46308.729884259301</v>
      </c>
      <c r="E195" s="6">
        <v>46308.479849536998</v>
      </c>
      <c r="F195" s="6">
        <v>46308</v>
      </c>
      <c r="G195" s="5" t="s">
        <v>12</v>
      </c>
      <c r="H195" s="5" t="s">
        <v>16</v>
      </c>
      <c r="I195" s="5">
        <v>4</v>
      </c>
      <c r="J195" s="9" t="s">
        <v>17</v>
      </c>
      <c r="K195" s="1" t="s">
        <v>347</v>
      </c>
      <c r="L195" t="s">
        <v>10</v>
      </c>
      <c r="M195" t="str">
        <f>+VLOOKUP(C195,'[1]TIENDAS 2025'!$A$1:$C$143,3,0)</f>
        <v>local</v>
      </c>
      <c r="O195">
        <v>1</v>
      </c>
    </row>
    <row r="196" spans="1:15" ht="15" customHeight="1" x14ac:dyDescent="0.3">
      <c r="A196" s="8">
        <v>209667660</v>
      </c>
      <c r="B196" s="4" t="s">
        <v>351</v>
      </c>
      <c r="C196" s="4" t="s">
        <v>352</v>
      </c>
      <c r="D196" s="6">
        <v>46308.729895833298</v>
      </c>
      <c r="E196" s="6">
        <v>46308.479872685202</v>
      </c>
      <c r="F196" s="6">
        <v>46308</v>
      </c>
      <c r="G196" s="5" t="s">
        <v>12</v>
      </c>
      <c r="H196" s="5" t="s">
        <v>16</v>
      </c>
      <c r="I196" s="5">
        <v>7</v>
      </c>
      <c r="J196" s="9" t="s">
        <v>17</v>
      </c>
      <c r="K196" s="1" t="s">
        <v>350</v>
      </c>
      <c r="L196" t="s">
        <v>10</v>
      </c>
      <c r="M196" t="str">
        <f>+VLOOKUP(C196,'[1]TIENDAS 2025'!$A$1:$C$143,3,0)</f>
        <v>prioridad</v>
      </c>
      <c r="O196">
        <v>1</v>
      </c>
    </row>
    <row r="197" spans="1:15" ht="15" customHeight="1" x14ac:dyDescent="0.3">
      <c r="A197" s="8">
        <v>209667622</v>
      </c>
      <c r="B197" s="4" t="s">
        <v>354</v>
      </c>
      <c r="C197" s="4" t="s">
        <v>355</v>
      </c>
      <c r="D197" s="6">
        <v>46308.729918981502</v>
      </c>
      <c r="E197" s="6">
        <v>46308.479884259301</v>
      </c>
      <c r="F197" s="6">
        <v>46308</v>
      </c>
      <c r="G197" s="5" t="s">
        <v>12</v>
      </c>
      <c r="H197" s="5" t="s">
        <v>16</v>
      </c>
      <c r="I197" s="5">
        <v>8</v>
      </c>
      <c r="J197" s="9" t="s">
        <v>17</v>
      </c>
      <c r="K197" s="1" t="s">
        <v>353</v>
      </c>
      <c r="L197" t="s">
        <v>10</v>
      </c>
      <c r="M197" t="str">
        <f>+VLOOKUP(C197,'[1]TIENDAS 2025'!$A$1:$C$143,3,0)</f>
        <v>nocturna</v>
      </c>
      <c r="O197">
        <v>1</v>
      </c>
    </row>
    <row r="198" spans="1:15" ht="15" customHeight="1" x14ac:dyDescent="0.3">
      <c r="A198" s="8">
        <v>209667578</v>
      </c>
      <c r="B198" s="4" t="s">
        <v>19</v>
      </c>
      <c r="C198" s="4" t="s">
        <v>20</v>
      </c>
      <c r="D198" s="6">
        <v>46308.729930555601</v>
      </c>
      <c r="E198" s="6">
        <v>46308.479895833298</v>
      </c>
      <c r="F198" s="6">
        <v>46308</v>
      </c>
      <c r="G198" s="5" t="s">
        <v>12</v>
      </c>
      <c r="H198" s="5" t="s">
        <v>16</v>
      </c>
      <c r="I198" s="5">
        <v>4</v>
      </c>
      <c r="J198" s="9" t="s">
        <v>17</v>
      </c>
      <c r="K198" s="1" t="s">
        <v>356</v>
      </c>
      <c r="L198" t="s">
        <v>10</v>
      </c>
      <c r="M198" t="str">
        <f>+VLOOKUP(C198,'[1]TIENDAS 2025'!$A$1:$C$143,3,0)</f>
        <v>departamental</v>
      </c>
      <c r="O198">
        <v>1</v>
      </c>
    </row>
    <row r="199" spans="1:15" ht="15" customHeight="1" x14ac:dyDescent="0.3">
      <c r="A199" s="8">
        <v>209667630</v>
      </c>
      <c r="B199" s="4" t="s">
        <v>358</v>
      </c>
      <c r="C199" s="4" t="s">
        <v>359</v>
      </c>
      <c r="D199" s="6">
        <v>46308.729942129597</v>
      </c>
      <c r="E199" s="6">
        <v>46308.479907407404</v>
      </c>
      <c r="F199" s="6">
        <v>46308</v>
      </c>
      <c r="G199" s="5" t="s">
        <v>12</v>
      </c>
      <c r="H199" s="5" t="s">
        <v>16</v>
      </c>
      <c r="I199" s="5">
        <v>8</v>
      </c>
      <c r="J199" s="9" t="s">
        <v>17</v>
      </c>
      <c r="K199" s="1" t="s">
        <v>357</v>
      </c>
      <c r="L199" t="s">
        <v>10</v>
      </c>
      <c r="M199" t="str">
        <f>+VLOOKUP(C199,'[1]TIENDAS 2025'!$A$1:$C$143,3,0)</f>
        <v>prioridad</v>
      </c>
      <c r="O199">
        <v>1</v>
      </c>
    </row>
    <row r="200" spans="1:15" ht="15" customHeight="1" x14ac:dyDescent="0.3">
      <c r="A200" s="8">
        <v>209667679</v>
      </c>
      <c r="B200" s="4" t="s">
        <v>361</v>
      </c>
      <c r="C200" s="4" t="s">
        <v>362</v>
      </c>
      <c r="D200" s="6">
        <v>46308.729953703703</v>
      </c>
      <c r="E200" s="6">
        <v>46308.479918981502</v>
      </c>
      <c r="F200" s="6">
        <v>46308</v>
      </c>
      <c r="G200" s="5" t="s">
        <v>12</v>
      </c>
      <c r="H200" s="5" t="s">
        <v>16</v>
      </c>
      <c r="I200" s="5">
        <v>4</v>
      </c>
      <c r="J200" s="9" t="s">
        <v>17</v>
      </c>
      <c r="K200" s="1" t="s">
        <v>360</v>
      </c>
      <c r="L200" t="s">
        <v>10</v>
      </c>
      <c r="M200" t="str">
        <f>+VLOOKUP(C200,'[1]TIENDAS 2025'!$A$1:$C$143,3,0)</f>
        <v>departamental</v>
      </c>
      <c r="O200">
        <v>1</v>
      </c>
    </row>
    <row r="201" spans="1:15" ht="15" customHeight="1" x14ac:dyDescent="0.3">
      <c r="A201" s="8">
        <v>209667634</v>
      </c>
      <c r="B201" s="4" t="s">
        <v>364</v>
      </c>
      <c r="C201" s="4" t="s">
        <v>365</v>
      </c>
      <c r="D201" s="6">
        <v>46308.729965277802</v>
      </c>
      <c r="E201" s="6">
        <v>46308.479942129597</v>
      </c>
      <c r="F201" s="6">
        <v>46308</v>
      </c>
      <c r="G201" s="5" t="s">
        <v>12</v>
      </c>
      <c r="H201" s="5" t="s">
        <v>16</v>
      </c>
      <c r="I201" s="5">
        <v>8</v>
      </c>
      <c r="J201" s="9" t="s">
        <v>17</v>
      </c>
      <c r="K201" s="1" t="s">
        <v>363</v>
      </c>
      <c r="L201" t="s">
        <v>10</v>
      </c>
      <c r="M201" t="str">
        <f>+VLOOKUP(C201,'[1]TIENDAS 2025'!$A$1:$C$143,3,0)</f>
        <v>local</v>
      </c>
      <c r="O201">
        <v>1</v>
      </c>
    </row>
    <row r="202" spans="1:15" ht="15" customHeight="1" x14ac:dyDescent="0.3">
      <c r="A202" s="8">
        <v>209667637</v>
      </c>
      <c r="B202" s="4" t="s">
        <v>367</v>
      </c>
      <c r="C202" s="4" t="s">
        <v>368</v>
      </c>
      <c r="D202" s="6">
        <v>46308.729988425897</v>
      </c>
      <c r="E202" s="6">
        <v>46308.479953703703</v>
      </c>
      <c r="F202" s="6">
        <v>46308</v>
      </c>
      <c r="G202" s="5" t="s">
        <v>12</v>
      </c>
      <c r="H202" s="5" t="s">
        <v>16</v>
      </c>
      <c r="I202" s="5">
        <v>4</v>
      </c>
      <c r="J202" s="9" t="s">
        <v>17</v>
      </c>
      <c r="K202" s="1" t="s">
        <v>366</v>
      </c>
      <c r="L202" t="s">
        <v>10</v>
      </c>
      <c r="M202" t="str">
        <f>+VLOOKUP(C202,'[1]TIENDAS 2025'!$A$1:$C$143,3,0)</f>
        <v>local</v>
      </c>
      <c r="O202">
        <v>1</v>
      </c>
    </row>
    <row r="203" spans="1:15" ht="15" customHeight="1" x14ac:dyDescent="0.3">
      <c r="A203" s="8">
        <v>209667640</v>
      </c>
      <c r="B203" s="4" t="s">
        <v>370</v>
      </c>
      <c r="C203" s="4" t="s">
        <v>371</v>
      </c>
      <c r="D203" s="6">
        <v>46308.73</v>
      </c>
      <c r="E203" s="6">
        <v>46308.479976851799</v>
      </c>
      <c r="F203" s="6">
        <v>46308</v>
      </c>
      <c r="G203" s="5" t="s">
        <v>12</v>
      </c>
      <c r="H203" s="5" t="s">
        <v>16</v>
      </c>
      <c r="I203" s="5">
        <v>8</v>
      </c>
      <c r="J203" s="9" t="s">
        <v>17</v>
      </c>
      <c r="K203" s="1" t="s">
        <v>369</v>
      </c>
      <c r="L203" t="s">
        <v>10</v>
      </c>
      <c r="M203" t="str">
        <f>+VLOOKUP(C203,'[1]TIENDAS 2025'!$A$1:$C$143,3,0)</f>
        <v>nocturna</v>
      </c>
      <c r="O203">
        <v>1</v>
      </c>
    </row>
    <row r="204" spans="1:15" ht="15" customHeight="1" x14ac:dyDescent="0.3">
      <c r="A204" s="8">
        <v>209667593</v>
      </c>
      <c r="B204" s="4" t="s">
        <v>373</v>
      </c>
      <c r="C204" s="4" t="s">
        <v>374</v>
      </c>
      <c r="D204" s="6">
        <v>46308.73</v>
      </c>
      <c r="E204" s="6">
        <v>46308.479965277802</v>
      </c>
      <c r="F204" s="6">
        <v>46308</v>
      </c>
      <c r="G204" s="5" t="s">
        <v>12</v>
      </c>
      <c r="H204" s="5" t="s">
        <v>16</v>
      </c>
      <c r="I204" s="5">
        <v>5</v>
      </c>
      <c r="J204" s="9" t="s">
        <v>17</v>
      </c>
      <c r="K204" s="1" t="s">
        <v>372</v>
      </c>
      <c r="L204" t="s">
        <v>10</v>
      </c>
      <c r="M204" t="str">
        <f>+VLOOKUP(C204,'[1]TIENDAS 2025'!$A$1:$C$143,3,0)</f>
        <v>departamental</v>
      </c>
      <c r="O204">
        <v>1</v>
      </c>
    </row>
    <row r="205" spans="1:15" ht="15" customHeight="1" x14ac:dyDescent="0.3">
      <c r="A205" s="8">
        <v>209667642</v>
      </c>
      <c r="B205" s="4" t="s">
        <v>376</v>
      </c>
      <c r="C205" s="4" t="s">
        <v>377</v>
      </c>
      <c r="D205" s="6">
        <v>46308.730023148099</v>
      </c>
      <c r="E205" s="6">
        <v>46308.480000000003</v>
      </c>
      <c r="F205" s="6">
        <v>46308</v>
      </c>
      <c r="G205" s="5" t="s">
        <v>12</v>
      </c>
      <c r="H205" s="5" t="s">
        <v>16</v>
      </c>
      <c r="I205" s="5">
        <v>4</v>
      </c>
      <c r="J205" s="9" t="s">
        <v>17</v>
      </c>
      <c r="K205" s="1" t="s">
        <v>375</v>
      </c>
      <c r="L205" t="s">
        <v>10</v>
      </c>
      <c r="M205" t="str">
        <f>+VLOOKUP(C205,'[1]TIENDAS 2025'!$A$1:$C$143,3,0)</f>
        <v>nocturna</v>
      </c>
      <c r="O205">
        <v>1</v>
      </c>
    </row>
    <row r="206" spans="1:15" ht="15" customHeight="1" x14ac:dyDescent="0.3">
      <c r="A206" s="8">
        <v>209667599</v>
      </c>
      <c r="B206" s="4" t="s">
        <v>379</v>
      </c>
      <c r="C206" s="4" t="s">
        <v>380</v>
      </c>
      <c r="D206" s="6">
        <v>46308.730034722197</v>
      </c>
      <c r="E206" s="6">
        <v>46308.480011574102</v>
      </c>
      <c r="F206" s="6">
        <v>46308</v>
      </c>
      <c r="G206" s="5" t="s">
        <v>12</v>
      </c>
      <c r="H206" s="5" t="s">
        <v>16</v>
      </c>
      <c r="I206" s="5">
        <v>4</v>
      </c>
      <c r="J206" s="9" t="s">
        <v>17</v>
      </c>
      <c r="K206" s="1" t="s">
        <v>378</v>
      </c>
      <c r="L206" t="s">
        <v>10</v>
      </c>
      <c r="M206" t="str">
        <f>+VLOOKUP(C206,'[1]TIENDAS 2025'!$A$1:$C$143,3,0)</f>
        <v>departamental</v>
      </c>
      <c r="O206">
        <v>1</v>
      </c>
    </row>
    <row r="207" spans="1:15" ht="15" customHeight="1" x14ac:dyDescent="0.3">
      <c r="A207" s="8">
        <v>209667604</v>
      </c>
      <c r="B207" s="4" t="s">
        <v>382</v>
      </c>
      <c r="C207" s="4" t="s">
        <v>383</v>
      </c>
      <c r="D207" s="6">
        <v>46308.730057870402</v>
      </c>
      <c r="E207" s="6">
        <v>46308.480023148099</v>
      </c>
      <c r="F207" s="6">
        <v>46308</v>
      </c>
      <c r="G207" s="5" t="s">
        <v>12</v>
      </c>
      <c r="H207" s="5" t="s">
        <v>16</v>
      </c>
      <c r="I207" s="5">
        <v>4</v>
      </c>
      <c r="J207" s="9" t="s">
        <v>17</v>
      </c>
      <c r="K207" s="1" t="s">
        <v>381</v>
      </c>
      <c r="L207" t="s">
        <v>10</v>
      </c>
      <c r="M207" t="str">
        <f>+VLOOKUP(C207,'[1]TIENDAS 2025'!$A$1:$C$143,3,0)</f>
        <v>local</v>
      </c>
      <c r="O207">
        <v>1</v>
      </c>
    </row>
    <row r="208" spans="1:15" ht="15" customHeight="1" x14ac:dyDescent="0.3">
      <c r="A208" s="8">
        <v>209667651</v>
      </c>
      <c r="B208" s="4" t="s">
        <v>385</v>
      </c>
      <c r="C208" s="4" t="s">
        <v>386</v>
      </c>
      <c r="D208" s="6">
        <v>46308.730069444398</v>
      </c>
      <c r="E208" s="6">
        <v>46308.480034722197</v>
      </c>
      <c r="F208" s="6">
        <v>46308</v>
      </c>
      <c r="G208" s="5" t="s">
        <v>12</v>
      </c>
      <c r="H208" s="5" t="s">
        <v>16</v>
      </c>
      <c r="I208" s="5">
        <v>4</v>
      </c>
      <c r="J208" s="9" t="s">
        <v>17</v>
      </c>
      <c r="K208" s="1" t="s">
        <v>384</v>
      </c>
      <c r="L208" t="s">
        <v>10</v>
      </c>
      <c r="M208" t="str">
        <f>+VLOOKUP(C208,'[1]TIENDAS 2025'!$A$1:$C$143,3,0)</f>
        <v>nocturna</v>
      </c>
      <c r="O208">
        <v>1</v>
      </c>
    </row>
    <row r="209" spans="1:15" ht="15" customHeight="1" x14ac:dyDescent="0.3">
      <c r="A209" s="8">
        <v>209667611</v>
      </c>
      <c r="B209" s="4" t="s">
        <v>388</v>
      </c>
      <c r="C209" s="4" t="s">
        <v>389</v>
      </c>
      <c r="D209" s="6">
        <v>46308.730081018497</v>
      </c>
      <c r="E209" s="6">
        <v>46308.480046296303</v>
      </c>
      <c r="F209" s="6">
        <v>46308</v>
      </c>
      <c r="G209" s="5" t="s">
        <v>12</v>
      </c>
      <c r="H209" s="5" t="s">
        <v>16</v>
      </c>
      <c r="I209" s="5">
        <v>4</v>
      </c>
      <c r="J209" s="9" t="s">
        <v>17</v>
      </c>
      <c r="K209" s="1" t="s">
        <v>387</v>
      </c>
      <c r="L209" t="s">
        <v>10</v>
      </c>
      <c r="M209" t="str">
        <f>+VLOOKUP(C209,'[1]TIENDAS 2025'!$A$1:$C$143,3,0)</f>
        <v>departamental</v>
      </c>
      <c r="O209">
        <v>1</v>
      </c>
    </row>
    <row r="210" spans="1:15" ht="15" customHeight="1" x14ac:dyDescent="0.3">
      <c r="A210" s="8">
        <v>209667568</v>
      </c>
      <c r="B210" s="4" t="s">
        <v>391</v>
      </c>
      <c r="C210" s="4" t="s">
        <v>392</v>
      </c>
      <c r="D210" s="6">
        <v>46308.730092592603</v>
      </c>
      <c r="E210" s="6">
        <v>46308.480069444398</v>
      </c>
      <c r="F210" s="6">
        <v>46308</v>
      </c>
      <c r="G210" s="5" t="s">
        <v>12</v>
      </c>
      <c r="H210" s="5" t="s">
        <v>16</v>
      </c>
      <c r="I210" s="5">
        <v>4</v>
      </c>
      <c r="J210" s="9" t="s">
        <v>17</v>
      </c>
      <c r="K210" s="1" t="s">
        <v>390</v>
      </c>
      <c r="L210" t="s">
        <v>10</v>
      </c>
      <c r="M210" t="str">
        <f>+VLOOKUP(C210,'[1]TIENDAS 2025'!$A$1:$C$143,3,0)</f>
        <v>local</v>
      </c>
      <c r="O210">
        <v>1</v>
      </c>
    </row>
    <row r="211" spans="1:15" ht="15" customHeight="1" x14ac:dyDescent="0.3">
      <c r="A211" s="8">
        <v>209667664</v>
      </c>
      <c r="B211" s="4" t="s">
        <v>394</v>
      </c>
      <c r="C211" s="4" t="s">
        <v>395</v>
      </c>
      <c r="D211" s="6">
        <v>46308.730104166701</v>
      </c>
      <c r="E211" s="6">
        <v>46308.480081018497</v>
      </c>
      <c r="F211" s="6">
        <v>46308</v>
      </c>
      <c r="G211" s="5" t="s">
        <v>12</v>
      </c>
      <c r="H211" s="5" t="s">
        <v>16</v>
      </c>
      <c r="I211" s="5">
        <v>4</v>
      </c>
      <c r="J211" s="9" t="s">
        <v>17</v>
      </c>
      <c r="K211" s="1" t="s">
        <v>393</v>
      </c>
      <c r="L211" t="s">
        <v>10</v>
      </c>
      <c r="M211" t="str">
        <f>+VLOOKUP(C211,'[1]TIENDAS 2025'!$A$1:$C$143,3,0)</f>
        <v>local</v>
      </c>
      <c r="O211">
        <v>1</v>
      </c>
    </row>
    <row r="212" spans="1:15" ht="15" customHeight="1" x14ac:dyDescent="0.3">
      <c r="A212" s="8">
        <v>209667667</v>
      </c>
      <c r="B212" s="4" t="s">
        <v>397</v>
      </c>
      <c r="C212" s="4" t="s">
        <v>398</v>
      </c>
      <c r="D212" s="6">
        <v>46308.730127314797</v>
      </c>
      <c r="E212" s="6">
        <v>46308.480092592603</v>
      </c>
      <c r="F212" s="6">
        <v>46308</v>
      </c>
      <c r="G212" s="5" t="s">
        <v>12</v>
      </c>
      <c r="H212" s="5" t="s">
        <v>16</v>
      </c>
      <c r="I212" s="5">
        <v>4</v>
      </c>
      <c r="J212" s="9" t="s">
        <v>17</v>
      </c>
      <c r="K212" s="1" t="s">
        <v>396</v>
      </c>
      <c r="L212" t="s">
        <v>10</v>
      </c>
      <c r="M212" t="str">
        <f>+VLOOKUP(C212,'[1]TIENDAS 2025'!$A$1:$C$143,3,0)</f>
        <v>local</v>
      </c>
      <c r="O212">
        <v>1</v>
      </c>
    </row>
    <row r="213" spans="1:15" ht="15" customHeight="1" x14ac:dyDescent="0.3">
      <c r="A213" s="8">
        <v>209667577</v>
      </c>
      <c r="B213" s="4" t="s">
        <v>400</v>
      </c>
      <c r="C213" s="4" t="s">
        <v>401</v>
      </c>
      <c r="D213" s="6">
        <v>46308.730138888903</v>
      </c>
      <c r="E213" s="6">
        <v>46308.480104166701</v>
      </c>
      <c r="F213" s="6">
        <v>46308</v>
      </c>
      <c r="G213" s="5" t="s">
        <v>12</v>
      </c>
      <c r="H213" s="5" t="s">
        <v>16</v>
      </c>
      <c r="I213" s="5">
        <v>4</v>
      </c>
      <c r="J213" s="9" t="s">
        <v>17</v>
      </c>
      <c r="K213" s="1" t="s">
        <v>399</v>
      </c>
      <c r="L213" t="s">
        <v>10</v>
      </c>
      <c r="M213" t="str">
        <f>+VLOOKUP(C213,'[1]TIENDAS 2025'!$A$1:$C$143,3,0)</f>
        <v>local</v>
      </c>
      <c r="O213">
        <v>1</v>
      </c>
    </row>
    <row r="214" spans="1:15" ht="15" customHeight="1" x14ac:dyDescent="0.3">
      <c r="A214" s="8">
        <v>209667579</v>
      </c>
      <c r="B214" s="4" t="s">
        <v>403</v>
      </c>
      <c r="C214" s="4" t="s">
        <v>404</v>
      </c>
      <c r="D214" s="6">
        <v>46308.730150463001</v>
      </c>
      <c r="E214" s="6">
        <v>46308.480115740698</v>
      </c>
      <c r="F214" s="6">
        <v>46308</v>
      </c>
      <c r="G214" s="5" t="s">
        <v>12</v>
      </c>
      <c r="H214" s="5" t="s">
        <v>16</v>
      </c>
      <c r="I214" s="5">
        <v>4</v>
      </c>
      <c r="J214" s="9" t="s">
        <v>17</v>
      </c>
      <c r="K214" s="1" t="s">
        <v>402</v>
      </c>
      <c r="L214" t="s">
        <v>10</v>
      </c>
      <c r="M214" t="str">
        <f>+VLOOKUP(C214,'[1]TIENDAS 2025'!$A$1:$C$143,3,0)</f>
        <v>prioridad</v>
      </c>
      <c r="O214">
        <v>1</v>
      </c>
    </row>
    <row r="215" spans="1:15" ht="15" customHeight="1" x14ac:dyDescent="0.3">
      <c r="A215" s="8">
        <v>209667628</v>
      </c>
      <c r="B215" s="4" t="s">
        <v>406</v>
      </c>
      <c r="C215" s="4" t="s">
        <v>407</v>
      </c>
      <c r="D215" s="6">
        <v>46308.730162036998</v>
      </c>
      <c r="E215" s="6">
        <v>46308.480138888903</v>
      </c>
      <c r="F215" s="6">
        <v>46308</v>
      </c>
      <c r="G215" s="5" t="s">
        <v>12</v>
      </c>
      <c r="H215" s="5" t="s">
        <v>16</v>
      </c>
      <c r="I215" s="5">
        <v>4</v>
      </c>
      <c r="J215" s="9" t="s">
        <v>17</v>
      </c>
      <c r="K215" s="1" t="s">
        <v>405</v>
      </c>
      <c r="L215" t="s">
        <v>10</v>
      </c>
      <c r="M215" t="str">
        <f>+VLOOKUP(C215,'[1]TIENDAS 2025'!$A$1:$C$143,3,0)</f>
        <v>nocturna</v>
      </c>
      <c r="O215">
        <v>1</v>
      </c>
    </row>
    <row r="216" spans="1:15" ht="15" customHeight="1" x14ac:dyDescent="0.3">
      <c r="A216" s="8">
        <v>209667677</v>
      </c>
      <c r="B216" s="4" t="s">
        <v>409</v>
      </c>
      <c r="C216" s="4" t="s">
        <v>410</v>
      </c>
      <c r="D216" s="6">
        <v>46308.730185185203</v>
      </c>
      <c r="E216" s="6">
        <v>46308.480150463001</v>
      </c>
      <c r="F216" s="6">
        <v>46308</v>
      </c>
      <c r="G216" s="5" t="s">
        <v>12</v>
      </c>
      <c r="H216" s="5" t="s">
        <v>16</v>
      </c>
      <c r="I216" s="5">
        <v>4</v>
      </c>
      <c r="J216" s="9" t="s">
        <v>17</v>
      </c>
      <c r="K216" s="1" t="s">
        <v>408</v>
      </c>
      <c r="L216" t="s">
        <v>10</v>
      </c>
      <c r="M216" t="str">
        <f>+VLOOKUP(C216,'[1]TIENDAS 2025'!$A$1:$C$143,3,0)</f>
        <v>departamental</v>
      </c>
      <c r="O216">
        <v>1</v>
      </c>
    </row>
    <row r="217" spans="1:15" ht="15" customHeight="1" x14ac:dyDescent="0.3">
      <c r="A217" s="8">
        <v>209667633</v>
      </c>
      <c r="B217" s="4" t="s">
        <v>412</v>
      </c>
      <c r="C217" s="4" t="s">
        <v>413</v>
      </c>
      <c r="D217" s="6">
        <v>46308.730196759301</v>
      </c>
      <c r="E217" s="6">
        <v>46308.480162036998</v>
      </c>
      <c r="F217" s="6">
        <v>46308</v>
      </c>
      <c r="G217" s="5" t="s">
        <v>12</v>
      </c>
      <c r="H217" s="5" t="s">
        <v>16</v>
      </c>
      <c r="I217" s="5">
        <v>4</v>
      </c>
      <c r="J217" s="9" t="s">
        <v>17</v>
      </c>
      <c r="K217" s="1" t="s">
        <v>411</v>
      </c>
      <c r="L217" t="s">
        <v>10</v>
      </c>
      <c r="M217" t="str">
        <f>+VLOOKUP(C217,'[1]TIENDAS 2025'!$A$1:$C$143,3,0)</f>
        <v>local</v>
      </c>
      <c r="O217">
        <v>1</v>
      </c>
    </row>
    <row r="218" spans="1:15" ht="15" customHeight="1" x14ac:dyDescent="0.3">
      <c r="A218" s="8">
        <v>209667548</v>
      </c>
      <c r="B218" s="4" t="s">
        <v>415</v>
      </c>
      <c r="C218" s="4" t="s">
        <v>416</v>
      </c>
      <c r="D218" s="6">
        <v>46308.730208333298</v>
      </c>
      <c r="E218" s="6">
        <v>46308.480173611097</v>
      </c>
      <c r="F218" s="6">
        <v>46308</v>
      </c>
      <c r="G218" s="5" t="s">
        <v>12</v>
      </c>
      <c r="H218" s="5" t="s">
        <v>16</v>
      </c>
      <c r="I218" s="5">
        <v>8</v>
      </c>
      <c r="J218" s="9" t="s">
        <v>17</v>
      </c>
      <c r="K218" s="1" t="s">
        <v>414</v>
      </c>
      <c r="L218" t="s">
        <v>10</v>
      </c>
      <c r="M218" t="str">
        <f>+VLOOKUP(C218,'[1]TIENDAS 2025'!$A$1:$C$143,3,0)</f>
        <v>prioridad</v>
      </c>
      <c r="O218">
        <v>1</v>
      </c>
    </row>
    <row r="219" spans="1:15" ht="15" customHeight="1" x14ac:dyDescent="0.3">
      <c r="A219" s="8">
        <v>209667550</v>
      </c>
      <c r="B219" s="4" t="s">
        <v>418</v>
      </c>
      <c r="C219" s="4" t="s">
        <v>419</v>
      </c>
      <c r="D219" s="6">
        <v>46308.730219907397</v>
      </c>
      <c r="E219" s="6">
        <v>46308.480196759301</v>
      </c>
      <c r="F219" s="6">
        <v>46308</v>
      </c>
      <c r="G219" s="5" t="s">
        <v>12</v>
      </c>
      <c r="H219" s="5" t="s">
        <v>16</v>
      </c>
      <c r="I219" s="5">
        <v>4</v>
      </c>
      <c r="J219" s="9" t="s">
        <v>17</v>
      </c>
      <c r="K219" s="1" t="s">
        <v>417</v>
      </c>
      <c r="L219" t="s">
        <v>10</v>
      </c>
      <c r="M219" t="str">
        <f>+VLOOKUP(C219,'[1]TIENDAS 2025'!$A$1:$C$143,3,0)</f>
        <v>local</v>
      </c>
      <c r="O219">
        <v>1</v>
      </c>
    </row>
    <row r="220" spans="1:15" ht="15" customHeight="1" x14ac:dyDescent="0.3">
      <c r="A220" s="8">
        <v>209667597</v>
      </c>
      <c r="B220" s="4" t="s">
        <v>421</v>
      </c>
      <c r="C220" s="4" t="s">
        <v>422</v>
      </c>
      <c r="D220" s="6">
        <v>46308.730231481502</v>
      </c>
      <c r="E220" s="6">
        <v>46308.480208333298</v>
      </c>
      <c r="F220" s="6">
        <v>46308</v>
      </c>
      <c r="G220" s="5" t="s">
        <v>12</v>
      </c>
      <c r="H220" s="5" t="s">
        <v>16</v>
      </c>
      <c r="I220" s="5">
        <v>4</v>
      </c>
      <c r="J220" s="9" t="s">
        <v>17</v>
      </c>
      <c r="K220" s="1" t="s">
        <v>420</v>
      </c>
      <c r="L220" t="s">
        <v>10</v>
      </c>
      <c r="M220" t="str">
        <f>+VLOOKUP(C220,'[1]TIENDAS 2025'!$A$1:$C$143,3,0)</f>
        <v>departamental</v>
      </c>
      <c r="O220">
        <v>1</v>
      </c>
    </row>
    <row r="221" spans="1:15" ht="15" customHeight="1" x14ac:dyDescent="0.3">
      <c r="A221" s="8">
        <v>209667649</v>
      </c>
      <c r="B221" s="4" t="s">
        <v>424</v>
      </c>
      <c r="C221" s="4" t="s">
        <v>425</v>
      </c>
      <c r="D221" s="6">
        <v>46308.730254629598</v>
      </c>
      <c r="E221" s="6">
        <v>46308.480219907397</v>
      </c>
      <c r="F221" s="6">
        <v>46308</v>
      </c>
      <c r="G221" s="5" t="s">
        <v>12</v>
      </c>
      <c r="H221" s="5" t="s">
        <v>16</v>
      </c>
      <c r="I221" s="5">
        <v>8</v>
      </c>
      <c r="J221" s="9" t="s">
        <v>17</v>
      </c>
      <c r="K221" s="1" t="s">
        <v>423</v>
      </c>
      <c r="L221" t="s">
        <v>10</v>
      </c>
      <c r="M221" t="str">
        <f>+VLOOKUP(C221,'[1]TIENDAS 2025'!$A$1:$C$143,3,0)</f>
        <v>prioridad</v>
      </c>
      <c r="O221">
        <v>1</v>
      </c>
    </row>
    <row r="222" spans="1:15" ht="15" customHeight="1" x14ac:dyDescent="0.3">
      <c r="A222" s="8">
        <v>209667555</v>
      </c>
      <c r="B222" s="4" t="s">
        <v>427</v>
      </c>
      <c r="C222" s="4" t="s">
        <v>428</v>
      </c>
      <c r="D222" s="6">
        <v>46308.730266203696</v>
      </c>
      <c r="E222" s="6">
        <v>46308.480231481502</v>
      </c>
      <c r="F222" s="6">
        <v>46308</v>
      </c>
      <c r="G222" s="5" t="s">
        <v>12</v>
      </c>
      <c r="H222" s="5" t="s">
        <v>16</v>
      </c>
      <c r="I222" s="5">
        <v>4</v>
      </c>
      <c r="J222" s="9" t="s">
        <v>17</v>
      </c>
      <c r="K222" s="1" t="s">
        <v>426</v>
      </c>
      <c r="L222" t="s">
        <v>10</v>
      </c>
      <c r="M222" t="str">
        <f>+VLOOKUP(C222,'[1]TIENDAS 2025'!$A$1:$C$143,3,0)</f>
        <v>local</v>
      </c>
      <c r="O222">
        <v>1</v>
      </c>
    </row>
    <row r="223" spans="1:15" ht="15" customHeight="1" x14ac:dyDescent="0.3">
      <c r="A223" s="8">
        <v>209667556</v>
      </c>
      <c r="B223" s="4" t="s">
        <v>430</v>
      </c>
      <c r="C223" s="4" t="s">
        <v>431</v>
      </c>
      <c r="D223" s="6">
        <v>46308.730277777802</v>
      </c>
      <c r="E223" s="6">
        <v>46308.480254629598</v>
      </c>
      <c r="F223" s="6">
        <v>46308</v>
      </c>
      <c r="G223" s="5" t="s">
        <v>12</v>
      </c>
      <c r="H223" s="5" t="s">
        <v>16</v>
      </c>
      <c r="I223" s="5">
        <v>4</v>
      </c>
      <c r="J223" s="9" t="s">
        <v>17</v>
      </c>
      <c r="K223" s="1" t="s">
        <v>429</v>
      </c>
      <c r="L223" t="s">
        <v>10</v>
      </c>
      <c r="M223" t="str">
        <f>+VLOOKUP(C223,'[1]TIENDAS 2025'!$A$1:$C$143,3,0)</f>
        <v>prioridad</v>
      </c>
      <c r="O223">
        <v>1</v>
      </c>
    </row>
    <row r="224" spans="1:15" ht="15" customHeight="1" x14ac:dyDescent="0.3">
      <c r="A224" s="8">
        <v>209667603</v>
      </c>
      <c r="B224" s="4" t="s">
        <v>433</v>
      </c>
      <c r="C224" s="4" t="s">
        <v>434</v>
      </c>
      <c r="D224" s="6">
        <v>46308.730300925898</v>
      </c>
      <c r="E224" s="6">
        <v>46308.480266203696</v>
      </c>
      <c r="F224" s="6">
        <v>46308</v>
      </c>
      <c r="G224" s="5" t="s">
        <v>12</v>
      </c>
      <c r="H224" s="5" t="s">
        <v>16</v>
      </c>
      <c r="I224" s="5">
        <v>8</v>
      </c>
      <c r="J224" s="9" t="s">
        <v>17</v>
      </c>
      <c r="K224" s="1" t="s">
        <v>432</v>
      </c>
      <c r="L224" t="s">
        <v>10</v>
      </c>
      <c r="M224" t="str">
        <f>+VLOOKUP(C224,'[1]TIENDAS 2025'!$A$1:$C$143,3,0)</f>
        <v>prioridad</v>
      </c>
      <c r="O224">
        <v>1</v>
      </c>
    </row>
    <row r="225" spans="1:15" ht="15" customHeight="1" x14ac:dyDescent="0.3">
      <c r="A225" s="8">
        <v>209667653</v>
      </c>
      <c r="B225" s="4" t="s">
        <v>436</v>
      </c>
      <c r="C225" s="4" t="s">
        <v>437</v>
      </c>
      <c r="D225" s="6">
        <v>46308.730300925898</v>
      </c>
      <c r="E225" s="6">
        <v>46308.480277777802</v>
      </c>
      <c r="F225" s="6">
        <v>46308</v>
      </c>
      <c r="G225" s="5" t="s">
        <v>12</v>
      </c>
      <c r="H225" s="5" t="s">
        <v>16</v>
      </c>
      <c r="I225" s="5">
        <v>4</v>
      </c>
      <c r="J225" s="9" t="s">
        <v>17</v>
      </c>
      <c r="K225" s="1" t="s">
        <v>435</v>
      </c>
      <c r="L225" t="s">
        <v>10</v>
      </c>
      <c r="M225" t="str">
        <f>+VLOOKUP(C225,'[1]TIENDAS 2025'!$A$1:$C$143,3,0)</f>
        <v>departamental</v>
      </c>
      <c r="O225">
        <v>1</v>
      </c>
    </row>
    <row r="226" spans="1:15" ht="15" customHeight="1" x14ac:dyDescent="0.3">
      <c r="A226" s="8">
        <v>209667558</v>
      </c>
      <c r="B226" s="4" t="s">
        <v>439</v>
      </c>
      <c r="C226" s="4" t="s">
        <v>440</v>
      </c>
      <c r="D226" s="6">
        <v>46308.730324074102</v>
      </c>
      <c r="E226" s="6">
        <v>46308.480289351799</v>
      </c>
      <c r="F226" s="6">
        <v>46308</v>
      </c>
      <c r="G226" s="5" t="s">
        <v>12</v>
      </c>
      <c r="H226" s="5" t="s">
        <v>16</v>
      </c>
      <c r="I226" s="5">
        <v>4</v>
      </c>
      <c r="J226" s="9" t="s">
        <v>17</v>
      </c>
      <c r="K226" s="1" t="s">
        <v>438</v>
      </c>
      <c r="L226" t="s">
        <v>10</v>
      </c>
      <c r="M226" t="str">
        <f>+VLOOKUP(C226,'[1]TIENDAS 2025'!$A$1:$C$143,3,0)</f>
        <v>prioridad</v>
      </c>
      <c r="O226">
        <v>1</v>
      </c>
    </row>
    <row r="227" spans="1:15" ht="15" customHeight="1" x14ac:dyDescent="0.3">
      <c r="A227" s="8">
        <v>209667560</v>
      </c>
      <c r="B227" s="4" t="s">
        <v>442</v>
      </c>
      <c r="C227" s="4" t="s">
        <v>443</v>
      </c>
      <c r="D227" s="6">
        <v>46308.730335648099</v>
      </c>
      <c r="E227" s="6">
        <v>46308.480300925898</v>
      </c>
      <c r="F227" s="6">
        <v>46308</v>
      </c>
      <c r="G227" s="5" t="s">
        <v>12</v>
      </c>
      <c r="H227" s="5" t="s">
        <v>16</v>
      </c>
      <c r="I227" s="5">
        <v>4</v>
      </c>
      <c r="J227" s="9" t="s">
        <v>17</v>
      </c>
      <c r="K227" s="1" t="s">
        <v>441</v>
      </c>
      <c r="L227" t="s">
        <v>10</v>
      </c>
      <c r="M227" t="str">
        <f>+VLOOKUP(C227,'[1]TIENDAS 2025'!$A$1:$C$143,3,0)</f>
        <v>local</v>
      </c>
      <c r="O227">
        <v>1</v>
      </c>
    </row>
    <row r="228" spans="1:15" ht="15" customHeight="1" x14ac:dyDescent="0.3">
      <c r="A228" s="8">
        <v>209667656</v>
      </c>
      <c r="B228" s="4" t="s">
        <v>445</v>
      </c>
      <c r="C228" s="4" t="s">
        <v>446</v>
      </c>
      <c r="D228" s="6">
        <v>46308.730347222197</v>
      </c>
      <c r="E228" s="6">
        <v>46308.480324074102</v>
      </c>
      <c r="F228" s="6">
        <v>46308</v>
      </c>
      <c r="G228" s="5" t="s">
        <v>12</v>
      </c>
      <c r="H228" s="5" t="s">
        <v>16</v>
      </c>
      <c r="I228" s="5">
        <v>4</v>
      </c>
      <c r="J228" s="9" t="s">
        <v>17</v>
      </c>
      <c r="K228" s="1" t="s">
        <v>444</v>
      </c>
      <c r="L228" t="s">
        <v>10</v>
      </c>
      <c r="M228" t="str">
        <f>+VLOOKUP(C228,'[1]TIENDAS 2025'!$A$1:$C$143,3,0)</f>
        <v>departamental</v>
      </c>
      <c r="O228">
        <v>1</v>
      </c>
    </row>
    <row r="229" spans="1:15" ht="15" customHeight="1" x14ac:dyDescent="0.3">
      <c r="A229" s="8">
        <v>209667662</v>
      </c>
      <c r="B229" s="4" t="s">
        <v>448</v>
      </c>
      <c r="C229" s="4" t="s">
        <v>449</v>
      </c>
      <c r="D229" s="6">
        <v>46308.730358796303</v>
      </c>
      <c r="E229" s="6">
        <v>46308.480335648099</v>
      </c>
      <c r="F229" s="6">
        <v>46308</v>
      </c>
      <c r="G229" s="5" t="s">
        <v>12</v>
      </c>
      <c r="H229" s="5" t="s">
        <v>16</v>
      </c>
      <c r="I229" s="5">
        <v>8</v>
      </c>
      <c r="J229" s="9" t="s">
        <v>17</v>
      </c>
      <c r="K229" s="1" t="s">
        <v>447</v>
      </c>
      <c r="L229" t="s">
        <v>10</v>
      </c>
      <c r="M229" t="str">
        <f>+VLOOKUP(C229,'[1]TIENDAS 2025'!$A$1:$C$143,3,0)</f>
        <v>local</v>
      </c>
      <c r="O229">
        <v>1</v>
      </c>
    </row>
    <row r="230" spans="1:15" ht="15" customHeight="1" x14ac:dyDescent="0.3">
      <c r="A230" s="8">
        <v>209667615</v>
      </c>
      <c r="B230" s="4" t="s">
        <v>451</v>
      </c>
      <c r="C230" s="4" t="s">
        <v>452</v>
      </c>
      <c r="D230" s="6">
        <v>46308.730381944399</v>
      </c>
      <c r="E230" s="6">
        <v>46308.480347222197</v>
      </c>
      <c r="F230" s="6">
        <v>46308</v>
      </c>
      <c r="G230" s="5" t="s">
        <v>12</v>
      </c>
      <c r="H230" s="5" t="s">
        <v>16</v>
      </c>
      <c r="I230" s="5">
        <v>4</v>
      </c>
      <c r="J230" s="9" t="s">
        <v>17</v>
      </c>
      <c r="K230" s="1" t="s">
        <v>450</v>
      </c>
      <c r="L230" t="s">
        <v>10</v>
      </c>
      <c r="M230" t="str">
        <f>+VLOOKUP(C230,'[1]TIENDAS 2025'!$A$1:$C$143,3,0)</f>
        <v>departamental</v>
      </c>
      <c r="O230">
        <v>1</v>
      </c>
    </row>
    <row r="231" spans="1:15" ht="15" customHeight="1" x14ac:dyDescent="0.3">
      <c r="A231" s="8">
        <v>209667617</v>
      </c>
      <c r="B231" s="4" t="s">
        <v>454</v>
      </c>
      <c r="C231" s="4" t="s">
        <v>455</v>
      </c>
      <c r="D231" s="6">
        <v>46308.730393518497</v>
      </c>
      <c r="E231" s="6">
        <v>46308.480358796303</v>
      </c>
      <c r="F231" s="6">
        <v>46308</v>
      </c>
      <c r="G231" s="5" t="s">
        <v>12</v>
      </c>
      <c r="H231" s="5" t="s">
        <v>16</v>
      </c>
      <c r="I231" s="5">
        <v>4</v>
      </c>
      <c r="J231" s="9" t="s">
        <v>17</v>
      </c>
      <c r="K231" s="1" t="s">
        <v>453</v>
      </c>
      <c r="L231" t="s">
        <v>10</v>
      </c>
      <c r="M231" t="str">
        <f>+VLOOKUP(C231,'[1]TIENDAS 2025'!$A$1:$C$143,3,0)</f>
        <v>departamental</v>
      </c>
      <c r="O231">
        <v>1</v>
      </c>
    </row>
    <row r="232" spans="1:15" ht="15" customHeight="1" x14ac:dyDescent="0.3">
      <c r="A232" s="8">
        <v>209667663</v>
      </c>
      <c r="B232" s="4" t="s">
        <v>457</v>
      </c>
      <c r="C232" s="4" t="s">
        <v>458</v>
      </c>
      <c r="D232" s="6">
        <v>46308.730405092603</v>
      </c>
      <c r="E232" s="6">
        <v>46308.480370370402</v>
      </c>
      <c r="F232" s="6">
        <v>46308</v>
      </c>
      <c r="G232" s="5" t="s">
        <v>12</v>
      </c>
      <c r="H232" s="5" t="s">
        <v>16</v>
      </c>
      <c r="I232" s="5">
        <v>4</v>
      </c>
      <c r="J232" s="9" t="s">
        <v>17</v>
      </c>
      <c r="K232" s="1" t="s">
        <v>456</v>
      </c>
      <c r="L232" t="s">
        <v>10</v>
      </c>
      <c r="M232" t="str">
        <f>+VLOOKUP(C232,'[1]TIENDAS 2025'!$A$1:$C$143,3,0)</f>
        <v>departamental</v>
      </c>
      <c r="O232">
        <v>1</v>
      </c>
    </row>
    <row r="233" spans="1:15" ht="15" customHeight="1" x14ac:dyDescent="0.3">
      <c r="A233" s="8">
        <v>209667619</v>
      </c>
      <c r="B233" s="4" t="s">
        <v>460</v>
      </c>
      <c r="C233" s="4" t="s">
        <v>461</v>
      </c>
      <c r="D233" s="6">
        <v>46308.730428240699</v>
      </c>
      <c r="E233" s="6">
        <v>46308.480393518497</v>
      </c>
      <c r="F233" s="6">
        <v>46308</v>
      </c>
      <c r="G233" s="5" t="s">
        <v>12</v>
      </c>
      <c r="H233" s="5" t="s">
        <v>16</v>
      </c>
      <c r="I233" s="5">
        <v>8</v>
      </c>
      <c r="J233" s="9" t="s">
        <v>17</v>
      </c>
      <c r="K233" s="1" t="s">
        <v>459</v>
      </c>
      <c r="L233" t="s">
        <v>10</v>
      </c>
      <c r="M233" t="str">
        <f>+VLOOKUP(C233,'[1]TIENDAS 2025'!$A$1:$C$143,3,0)</f>
        <v>prioridad</v>
      </c>
      <c r="O233">
        <v>1</v>
      </c>
    </row>
    <row r="234" spans="1:15" ht="15" customHeight="1" x14ac:dyDescent="0.3">
      <c r="A234" s="8">
        <v>209667670</v>
      </c>
      <c r="B234" s="4" t="s">
        <v>463</v>
      </c>
      <c r="C234" s="4" t="s">
        <v>464</v>
      </c>
      <c r="D234" s="6">
        <v>46308.730428240699</v>
      </c>
      <c r="E234" s="6">
        <v>46308.480405092603</v>
      </c>
      <c r="F234" s="6">
        <v>46308</v>
      </c>
      <c r="G234" s="5" t="s">
        <v>12</v>
      </c>
      <c r="H234" s="5" t="s">
        <v>16</v>
      </c>
      <c r="I234" s="5">
        <v>4</v>
      </c>
      <c r="J234" s="9" t="s">
        <v>17</v>
      </c>
      <c r="K234" s="1" t="s">
        <v>462</v>
      </c>
      <c r="L234" t="s">
        <v>10</v>
      </c>
      <c r="M234" t="str">
        <f>+VLOOKUP(C234,'[1]TIENDAS 2025'!$A$1:$C$143,3,0)</f>
        <v xml:space="preserve">departamental </v>
      </c>
      <c r="O234">
        <v>1</v>
      </c>
    </row>
    <row r="235" spans="1:15" ht="15" customHeight="1" x14ac:dyDescent="0.3">
      <c r="A235" s="8">
        <v>209667671</v>
      </c>
      <c r="B235" s="4" t="s">
        <v>466</v>
      </c>
      <c r="C235" s="4" t="s">
        <v>467</v>
      </c>
      <c r="D235" s="6">
        <v>46308.730451388903</v>
      </c>
      <c r="E235" s="6">
        <v>46308.480416666702</v>
      </c>
      <c r="F235" s="6">
        <v>46308</v>
      </c>
      <c r="G235" s="5" t="s">
        <v>12</v>
      </c>
      <c r="H235" s="5" t="s">
        <v>16</v>
      </c>
      <c r="I235" s="5">
        <v>4</v>
      </c>
      <c r="J235" s="9" t="s">
        <v>17</v>
      </c>
      <c r="K235" s="1" t="s">
        <v>465</v>
      </c>
      <c r="L235" t="s">
        <v>10</v>
      </c>
      <c r="M235" t="str">
        <f>+VLOOKUP(C235,'[1]TIENDAS 2025'!$A$1:$C$143,3,0)</f>
        <v>departamental</v>
      </c>
      <c r="O235">
        <v>1</v>
      </c>
    </row>
    <row r="236" spans="1:15" ht="15" customHeight="1" x14ac:dyDescent="0.3">
      <c r="A236" s="8">
        <v>209667673</v>
      </c>
      <c r="B236" s="4" t="s">
        <v>469</v>
      </c>
      <c r="C236" s="4" t="s">
        <v>470</v>
      </c>
      <c r="D236" s="6">
        <v>46308.730462963002</v>
      </c>
      <c r="E236" s="6">
        <v>46308.480428240699</v>
      </c>
      <c r="F236" s="6">
        <v>46308</v>
      </c>
      <c r="G236" s="5" t="s">
        <v>12</v>
      </c>
      <c r="H236" s="5" t="s">
        <v>16</v>
      </c>
      <c r="I236" s="5">
        <v>4</v>
      </c>
      <c r="J236" s="9" t="s">
        <v>17</v>
      </c>
      <c r="K236" s="1" t="s">
        <v>468</v>
      </c>
      <c r="L236" t="s">
        <v>10</v>
      </c>
      <c r="M236" t="str">
        <f>+VLOOKUP(C236,'[1]TIENDAS 2025'!$A$1:$C$143,3,0)</f>
        <v>departamental</v>
      </c>
      <c r="O236">
        <v>1</v>
      </c>
    </row>
    <row r="237" spans="1:15" ht="15" customHeight="1" x14ac:dyDescent="0.3">
      <c r="A237" s="8">
        <v>209667674</v>
      </c>
      <c r="B237" s="4" t="s">
        <v>472</v>
      </c>
      <c r="C237" s="4" t="s">
        <v>473</v>
      </c>
      <c r="D237" s="6">
        <v>46308.730474536998</v>
      </c>
      <c r="E237" s="6">
        <v>46308.480451388903</v>
      </c>
      <c r="F237" s="6">
        <v>46308</v>
      </c>
      <c r="G237" s="5" t="s">
        <v>12</v>
      </c>
      <c r="H237" s="5" t="s">
        <v>16</v>
      </c>
      <c r="I237" s="5">
        <v>4</v>
      </c>
      <c r="J237" s="9" t="s">
        <v>17</v>
      </c>
      <c r="K237" s="1" t="s">
        <v>471</v>
      </c>
      <c r="L237" t="s">
        <v>10</v>
      </c>
      <c r="M237" t="str">
        <f>+VLOOKUP(C237,'[1]TIENDAS 2025'!$A$1:$C$143,3,0)</f>
        <v>departamental</v>
      </c>
      <c r="O237">
        <v>1</v>
      </c>
    </row>
    <row r="238" spans="1:15" ht="15" customHeight="1" x14ac:dyDescent="0.3">
      <c r="A238" s="8">
        <v>209667580</v>
      </c>
      <c r="B238" s="4" t="s">
        <v>475</v>
      </c>
      <c r="C238" s="4" t="s">
        <v>476</v>
      </c>
      <c r="D238" s="6">
        <v>46308.730486111097</v>
      </c>
      <c r="E238" s="6">
        <v>46308.480462963002</v>
      </c>
      <c r="F238" s="6">
        <v>46308</v>
      </c>
      <c r="G238" s="5" t="s">
        <v>12</v>
      </c>
      <c r="H238" s="5" t="s">
        <v>16</v>
      </c>
      <c r="I238" s="5">
        <v>8</v>
      </c>
      <c r="J238" s="9" t="s">
        <v>17</v>
      </c>
      <c r="K238" s="1" t="s">
        <v>474</v>
      </c>
      <c r="L238" t="s">
        <v>10</v>
      </c>
      <c r="M238" t="str">
        <f>+VLOOKUP(C238,'[1]TIENDAS 2025'!$A$1:$C$143,3,0)</f>
        <v>prioridad</v>
      </c>
      <c r="O238">
        <v>1</v>
      </c>
    </row>
    <row r="239" spans="1:15" ht="15" customHeight="1" x14ac:dyDescent="0.3">
      <c r="A239" s="8">
        <v>209667629</v>
      </c>
      <c r="B239" s="4" t="s">
        <v>478</v>
      </c>
      <c r="C239" s="4" t="s">
        <v>479</v>
      </c>
      <c r="D239" s="6">
        <v>46308.730497685203</v>
      </c>
      <c r="E239" s="6">
        <v>46308.480474536998</v>
      </c>
      <c r="F239" s="6">
        <v>46308</v>
      </c>
      <c r="G239" s="5" t="s">
        <v>12</v>
      </c>
      <c r="H239" s="5" t="s">
        <v>16</v>
      </c>
      <c r="I239" s="5">
        <v>4</v>
      </c>
      <c r="J239" s="9" t="s">
        <v>17</v>
      </c>
      <c r="K239" s="1" t="s">
        <v>477</v>
      </c>
      <c r="L239" t="s">
        <v>10</v>
      </c>
      <c r="M239" t="str">
        <f>+VLOOKUP(C239,'[1]TIENDAS 2025'!$A$1:$C$143,3,0)</f>
        <v>departamental</v>
      </c>
      <c r="O239">
        <v>1</v>
      </c>
    </row>
    <row r="240" spans="1:15" ht="15" customHeight="1" x14ac:dyDescent="0.3">
      <c r="A240" s="8">
        <v>209667676</v>
      </c>
      <c r="B240" s="4" t="s">
        <v>14</v>
      </c>
      <c r="C240" s="4" t="s">
        <v>15</v>
      </c>
      <c r="D240" s="6">
        <v>46308.730520833298</v>
      </c>
      <c r="E240" s="6">
        <v>46308.480486111097</v>
      </c>
      <c r="F240" s="6">
        <v>46308</v>
      </c>
      <c r="G240" s="5" t="s">
        <v>12</v>
      </c>
      <c r="H240" s="5" t="s">
        <v>16</v>
      </c>
      <c r="I240" s="5">
        <v>4</v>
      </c>
      <c r="J240" s="9" t="s">
        <v>17</v>
      </c>
      <c r="K240" s="1" t="s">
        <v>480</v>
      </c>
      <c r="L240" t="s">
        <v>10</v>
      </c>
      <c r="M240" t="str">
        <f>+VLOOKUP(C240,'[1]TIENDAS 2025'!$A$1:$C$143,3,0)</f>
        <v>departamental</v>
      </c>
      <c r="O240">
        <v>1</v>
      </c>
    </row>
    <row r="241" spans="1:15" ht="15" customHeight="1" x14ac:dyDescent="0.3">
      <c r="A241" s="8">
        <v>209667631</v>
      </c>
      <c r="B241" s="4" t="s">
        <v>482</v>
      </c>
      <c r="C241" s="4" t="s">
        <v>483</v>
      </c>
      <c r="D241" s="6">
        <v>46308.730532407397</v>
      </c>
      <c r="E241" s="6">
        <v>46308.480509259301</v>
      </c>
      <c r="F241" s="6">
        <v>46308</v>
      </c>
      <c r="G241" s="5" t="s">
        <v>12</v>
      </c>
      <c r="H241" s="5" t="s">
        <v>16</v>
      </c>
      <c r="I241" s="5">
        <v>4</v>
      </c>
      <c r="J241" s="9" t="s">
        <v>17</v>
      </c>
      <c r="K241" s="1" t="s">
        <v>481</v>
      </c>
      <c r="L241" t="s">
        <v>10</v>
      </c>
      <c r="M241" t="str">
        <f>+VLOOKUP(C241,'[1]TIENDAS 2025'!$A$1:$C$143,3,0)</f>
        <v>local</v>
      </c>
      <c r="O241">
        <v>1</v>
      </c>
    </row>
    <row r="242" spans="1:15" ht="15" customHeight="1" x14ac:dyDescent="0.3">
      <c r="A242" s="8">
        <v>209667680</v>
      </c>
      <c r="B242" s="4" t="s">
        <v>485</v>
      </c>
      <c r="C242" s="4" t="s">
        <v>486</v>
      </c>
      <c r="D242" s="6">
        <v>46308.730543981503</v>
      </c>
      <c r="E242" s="6">
        <v>46308.480520833298</v>
      </c>
      <c r="F242" s="6">
        <v>46308</v>
      </c>
      <c r="G242" s="5" t="s">
        <v>12</v>
      </c>
      <c r="H242" s="5" t="s">
        <v>16</v>
      </c>
      <c r="I242" s="5">
        <v>4</v>
      </c>
      <c r="J242" s="9" t="s">
        <v>17</v>
      </c>
      <c r="K242" s="1" t="s">
        <v>484</v>
      </c>
      <c r="L242" t="s">
        <v>10</v>
      </c>
      <c r="M242" t="str">
        <f>+VLOOKUP(C242,'[1]TIENDAS 2025'!$A$1:$C$143,3,0)</f>
        <v>departamental</v>
      </c>
      <c r="O242">
        <v>1</v>
      </c>
    </row>
    <row r="243" spans="1:15" ht="15" customHeight="1" x14ac:dyDescent="0.3">
      <c r="A243" s="8">
        <v>209667585</v>
      </c>
      <c r="B243" s="4" t="s">
        <v>488</v>
      </c>
      <c r="C243" s="4" t="s">
        <v>489</v>
      </c>
      <c r="D243" s="6">
        <v>46308.730555555601</v>
      </c>
      <c r="E243" s="6">
        <v>46308.480532407397</v>
      </c>
      <c r="F243" s="6">
        <v>46308</v>
      </c>
      <c r="G243" s="5" t="s">
        <v>12</v>
      </c>
      <c r="H243" s="5" t="s">
        <v>16</v>
      </c>
      <c r="I243" s="5">
        <v>4</v>
      </c>
      <c r="J243" s="9" t="s">
        <v>17</v>
      </c>
      <c r="K243" s="1" t="s">
        <v>487</v>
      </c>
      <c r="L243" t="s">
        <v>10</v>
      </c>
      <c r="M243" t="str">
        <f>+VLOOKUP(C243,'[1]TIENDAS 2025'!$A$1:$C$143,3,0)</f>
        <v>departamental</v>
      </c>
      <c r="O243">
        <v>1</v>
      </c>
    </row>
    <row r="244" spans="1:15" ht="15" customHeight="1" x14ac:dyDescent="0.3">
      <c r="A244" s="8">
        <v>209667682</v>
      </c>
      <c r="B244" s="4" t="s">
        <v>491</v>
      </c>
      <c r="C244" s="4" t="s">
        <v>492</v>
      </c>
      <c r="D244" s="6">
        <v>46308.730578703697</v>
      </c>
      <c r="E244" s="6">
        <v>46308.480543981503</v>
      </c>
      <c r="F244" s="6">
        <v>46308</v>
      </c>
      <c r="G244" s="5" t="s">
        <v>12</v>
      </c>
      <c r="H244" s="5" t="s">
        <v>16</v>
      </c>
      <c r="I244" s="5">
        <v>4</v>
      </c>
      <c r="J244" s="9" t="s">
        <v>17</v>
      </c>
      <c r="K244" s="1" t="s">
        <v>490</v>
      </c>
      <c r="L244" t="s">
        <v>10</v>
      </c>
      <c r="M244" t="str">
        <f>+VLOOKUP(C244,'[1]TIENDAS 2025'!$A$1:$C$143,3,0)</f>
        <v>departamental</v>
      </c>
      <c r="O244">
        <v>1</v>
      </c>
    </row>
    <row r="245" spans="1:15" ht="15" customHeight="1" x14ac:dyDescent="0.3">
      <c r="A245" s="8">
        <v>209667588</v>
      </c>
      <c r="B245" s="4" t="s">
        <v>494</v>
      </c>
      <c r="C245" s="4" t="s">
        <v>495</v>
      </c>
      <c r="D245" s="6">
        <v>46308.730590277803</v>
      </c>
      <c r="E245" s="6">
        <v>46308.480555555601</v>
      </c>
      <c r="F245" s="6">
        <v>46308</v>
      </c>
      <c r="G245" s="5" t="s">
        <v>12</v>
      </c>
      <c r="H245" s="5" t="s">
        <v>16</v>
      </c>
      <c r="I245" s="5">
        <v>4</v>
      </c>
      <c r="J245" s="9" t="s">
        <v>17</v>
      </c>
      <c r="K245" s="1" t="s">
        <v>493</v>
      </c>
      <c r="L245" t="s">
        <v>10</v>
      </c>
      <c r="M245" t="str">
        <f>+VLOOKUP(C245,'[1]TIENDAS 2025'!$A$1:$C$143,3,0)</f>
        <v>local</v>
      </c>
      <c r="O245">
        <v>1</v>
      </c>
    </row>
    <row r="246" spans="1:15" ht="15" customHeight="1" x14ac:dyDescent="0.3">
      <c r="A246" s="8">
        <v>209667641</v>
      </c>
      <c r="B246" s="4" t="s">
        <v>497</v>
      </c>
      <c r="C246" s="4" t="s">
        <v>498</v>
      </c>
      <c r="D246" s="6">
        <v>46308.730613425898</v>
      </c>
      <c r="E246" s="6">
        <v>46308.480590277803</v>
      </c>
      <c r="F246" s="6">
        <v>46308</v>
      </c>
      <c r="G246" s="5" t="s">
        <v>12</v>
      </c>
      <c r="H246" s="5" t="s">
        <v>16</v>
      </c>
      <c r="I246" s="5">
        <v>7</v>
      </c>
      <c r="J246" s="9" t="s">
        <v>17</v>
      </c>
      <c r="K246" s="1" t="s">
        <v>496</v>
      </c>
      <c r="L246" t="s">
        <v>10</v>
      </c>
      <c r="M246" t="str">
        <f>+VLOOKUP(C246,'[1]TIENDAS 2025'!$A$1:$C$143,3,0)</f>
        <v>prioridad</v>
      </c>
      <c r="O246">
        <v>1</v>
      </c>
    </row>
    <row r="247" spans="1:15" ht="15" customHeight="1" x14ac:dyDescent="0.3">
      <c r="A247" s="8">
        <v>209667639</v>
      </c>
      <c r="B247" s="4" t="s">
        <v>500</v>
      </c>
      <c r="C247" s="4" t="s">
        <v>501</v>
      </c>
      <c r="D247" s="6">
        <v>46308.730613425898</v>
      </c>
      <c r="E247" s="6">
        <v>46308.480578703697</v>
      </c>
      <c r="F247" s="6">
        <v>46308</v>
      </c>
      <c r="G247" s="5" t="s">
        <v>12</v>
      </c>
      <c r="H247" s="5" t="s">
        <v>16</v>
      </c>
      <c r="I247" s="5">
        <v>4</v>
      </c>
      <c r="J247" s="9" t="s">
        <v>17</v>
      </c>
      <c r="K247" s="1" t="s">
        <v>499</v>
      </c>
      <c r="L247" t="s">
        <v>10</v>
      </c>
      <c r="M247" t="str">
        <f>+VLOOKUP(C247,'[1]TIENDAS 2025'!$A$1:$C$143,3,0)</f>
        <v>departamental</v>
      </c>
      <c r="O247">
        <v>1</v>
      </c>
    </row>
    <row r="248" spans="1:15" ht="15" customHeight="1" x14ac:dyDescent="0.3">
      <c r="A248" s="8">
        <v>209667596</v>
      </c>
      <c r="B248" s="4" t="s">
        <v>503</v>
      </c>
      <c r="C248" s="4" t="s">
        <v>504</v>
      </c>
      <c r="D248" s="6">
        <v>46308.730624999997</v>
      </c>
      <c r="E248" s="6">
        <v>46308.480601851901</v>
      </c>
      <c r="F248" s="6">
        <v>46308</v>
      </c>
      <c r="G248" s="5" t="s">
        <v>12</v>
      </c>
      <c r="H248" s="5" t="s">
        <v>16</v>
      </c>
      <c r="I248" s="5">
        <v>4</v>
      </c>
      <c r="J248" s="9" t="s">
        <v>17</v>
      </c>
      <c r="K248" s="1" t="s">
        <v>502</v>
      </c>
      <c r="L248" t="s">
        <v>10</v>
      </c>
      <c r="M248" t="str">
        <f>+VLOOKUP(C248,'[1]TIENDAS 2025'!$A$1:$C$143,3,0)</f>
        <v>departamental</v>
      </c>
      <c r="O248">
        <v>1</v>
      </c>
    </row>
    <row r="249" spans="1:15" ht="15" customHeight="1" x14ac:dyDescent="0.3">
      <c r="A249" s="8">
        <v>209667552</v>
      </c>
      <c r="B249" s="4" t="s">
        <v>506</v>
      </c>
      <c r="C249" s="4" t="s">
        <v>507</v>
      </c>
      <c r="D249" s="6">
        <v>46308.730648148201</v>
      </c>
      <c r="E249" s="6">
        <v>46308.480613425898</v>
      </c>
      <c r="F249" s="6">
        <v>46308</v>
      </c>
      <c r="G249" s="5" t="s">
        <v>12</v>
      </c>
      <c r="H249" s="5" t="s">
        <v>16</v>
      </c>
      <c r="I249" s="5">
        <v>4</v>
      </c>
      <c r="J249" s="9" t="s">
        <v>17</v>
      </c>
      <c r="K249" s="1" t="s">
        <v>505</v>
      </c>
      <c r="L249" t="s">
        <v>10</v>
      </c>
      <c r="M249" t="str">
        <f>+VLOOKUP(C249,'[1]TIENDAS 2025'!$A$1:$C$143,3,0)</f>
        <v>departamental</v>
      </c>
      <c r="O249">
        <v>1</v>
      </c>
    </row>
    <row r="250" spans="1:15" ht="15" customHeight="1" x14ac:dyDescent="0.3">
      <c r="A250" s="8">
        <v>209667652</v>
      </c>
      <c r="B250" s="4" t="s">
        <v>509</v>
      </c>
      <c r="C250" s="4" t="s">
        <v>510</v>
      </c>
      <c r="D250" s="6">
        <v>46308.730659722198</v>
      </c>
      <c r="E250" s="6">
        <v>46308.480624999997</v>
      </c>
      <c r="F250" s="6">
        <v>46308</v>
      </c>
      <c r="G250" s="5" t="s">
        <v>12</v>
      </c>
      <c r="H250" s="5" t="s">
        <v>16</v>
      </c>
      <c r="I250" s="5">
        <v>4</v>
      </c>
      <c r="J250" s="9" t="s">
        <v>17</v>
      </c>
      <c r="K250" s="1" t="s">
        <v>508</v>
      </c>
      <c r="L250" t="s">
        <v>10</v>
      </c>
      <c r="M250" t="str">
        <f>+VLOOKUP(C250,'[1]TIENDAS 2025'!$A$1:$C$143,3,0)</f>
        <v>nocturna</v>
      </c>
      <c r="O250">
        <v>1</v>
      </c>
    </row>
    <row r="251" spans="1:15" ht="15" customHeight="1" x14ac:dyDescent="0.3">
      <c r="A251" s="8">
        <v>209667563</v>
      </c>
      <c r="B251" s="4" t="s">
        <v>512</v>
      </c>
      <c r="C251" s="4" t="s">
        <v>513</v>
      </c>
      <c r="D251" s="6">
        <v>46308.730682870402</v>
      </c>
      <c r="E251" s="6">
        <v>46308.480659722198</v>
      </c>
      <c r="F251" s="6">
        <v>46308</v>
      </c>
      <c r="G251" s="5" t="s">
        <v>12</v>
      </c>
      <c r="H251" s="5" t="s">
        <v>16</v>
      </c>
      <c r="I251" s="5">
        <v>4</v>
      </c>
      <c r="J251" s="9" t="s">
        <v>17</v>
      </c>
      <c r="K251" s="1" t="s">
        <v>511</v>
      </c>
      <c r="L251" t="s">
        <v>10</v>
      </c>
      <c r="M251" t="str">
        <f>+VLOOKUP(C251,'[1]TIENDAS 2025'!$A$1:$C$143,3,0)</f>
        <v>prioridad</v>
      </c>
      <c r="O251">
        <v>1</v>
      </c>
    </row>
    <row r="252" spans="1:15" ht="15" customHeight="1" x14ac:dyDescent="0.3">
      <c r="A252" s="8">
        <v>209667559</v>
      </c>
      <c r="B252" s="4" t="s">
        <v>515</v>
      </c>
      <c r="C252" s="4" t="s">
        <v>516</v>
      </c>
      <c r="D252" s="6">
        <v>46308.730682870402</v>
      </c>
      <c r="E252" s="6">
        <v>46308.480648148201</v>
      </c>
      <c r="F252" s="6">
        <v>46308</v>
      </c>
      <c r="G252" s="5" t="s">
        <v>12</v>
      </c>
      <c r="H252" s="5" t="s">
        <v>16</v>
      </c>
      <c r="I252" s="5">
        <v>4</v>
      </c>
      <c r="J252" s="9" t="s">
        <v>17</v>
      </c>
      <c r="K252" s="1" t="s">
        <v>514</v>
      </c>
      <c r="L252" t="s">
        <v>10</v>
      </c>
      <c r="M252" t="str">
        <f>+VLOOKUP(C252,'[1]TIENDAS 2025'!$A$1:$C$143,3,0)</f>
        <v>prioridad</v>
      </c>
      <c r="O252">
        <v>1</v>
      </c>
    </row>
    <row r="253" spans="1:15" ht="15" customHeight="1" x14ac:dyDescent="0.3">
      <c r="A253" s="8">
        <v>209667658</v>
      </c>
      <c r="B253" s="4" t="s">
        <v>518</v>
      </c>
      <c r="C253" s="4" t="s">
        <v>519</v>
      </c>
      <c r="D253" s="6">
        <v>46308.730717592603</v>
      </c>
      <c r="E253" s="6">
        <v>46308.480682870402</v>
      </c>
      <c r="F253" s="6">
        <v>46308</v>
      </c>
      <c r="G253" s="5" t="s">
        <v>12</v>
      </c>
      <c r="H253" s="5" t="s">
        <v>16</v>
      </c>
      <c r="I253" s="5">
        <v>8</v>
      </c>
      <c r="J253" s="9" t="s">
        <v>17</v>
      </c>
      <c r="K253" s="1" t="s">
        <v>517</v>
      </c>
      <c r="L253" t="s">
        <v>10</v>
      </c>
      <c r="M253" t="str">
        <f>+VLOOKUP(C253,'[1]TIENDAS 2025'!$A$1:$C$143,3,0)</f>
        <v>prioridad</v>
      </c>
      <c r="O253">
        <v>1</v>
      </c>
    </row>
    <row r="254" spans="1:15" ht="15" customHeight="1" x14ac:dyDescent="0.3">
      <c r="A254" s="8">
        <v>209667613</v>
      </c>
      <c r="B254" s="4" t="s">
        <v>521</v>
      </c>
      <c r="C254" s="4" t="s">
        <v>522</v>
      </c>
      <c r="D254" s="6">
        <v>46308.730729166702</v>
      </c>
      <c r="E254" s="6">
        <v>46308.480706018498</v>
      </c>
      <c r="F254" s="6">
        <v>46308</v>
      </c>
      <c r="G254" s="5" t="s">
        <v>12</v>
      </c>
      <c r="H254" s="5" t="s">
        <v>16</v>
      </c>
      <c r="I254" s="5">
        <v>8</v>
      </c>
      <c r="J254" s="9" t="s">
        <v>17</v>
      </c>
      <c r="K254" s="1" t="s">
        <v>520</v>
      </c>
      <c r="L254" t="s">
        <v>10</v>
      </c>
      <c r="M254" t="str">
        <f>+VLOOKUP(C254,'[1]TIENDAS 2025'!$A$1:$C$143,3,0)</f>
        <v>local</v>
      </c>
      <c r="O254">
        <v>1</v>
      </c>
    </row>
    <row r="255" spans="1:15" ht="15" customHeight="1" x14ac:dyDescent="0.3">
      <c r="A255" s="8">
        <v>209667567</v>
      </c>
      <c r="B255" s="4" t="s">
        <v>524</v>
      </c>
      <c r="C255" s="4" t="s">
        <v>525</v>
      </c>
      <c r="D255" s="6">
        <v>46308.730752314797</v>
      </c>
      <c r="E255" s="6">
        <v>46308.480717592603</v>
      </c>
      <c r="F255" s="6">
        <v>46308</v>
      </c>
      <c r="G255" s="5" t="s">
        <v>12</v>
      </c>
      <c r="H255" s="5" t="s">
        <v>16</v>
      </c>
      <c r="I255" s="5">
        <v>4</v>
      </c>
      <c r="J255" s="9" t="s">
        <v>17</v>
      </c>
      <c r="K255" s="1" t="s">
        <v>523</v>
      </c>
      <c r="L255" t="s">
        <v>10</v>
      </c>
      <c r="M255" t="str">
        <f>+VLOOKUP(C255,'[1]TIENDAS 2025'!$A$1:$C$143,3,0)</f>
        <v>local</v>
      </c>
      <c r="O255">
        <v>1</v>
      </c>
    </row>
    <row r="256" spans="1:15" ht="15" customHeight="1" x14ac:dyDescent="0.3">
      <c r="A256" s="8">
        <v>209667665</v>
      </c>
      <c r="B256" s="4" t="s">
        <v>527</v>
      </c>
      <c r="C256" s="4" t="s">
        <v>528</v>
      </c>
      <c r="D256" s="6">
        <v>46308.730752314797</v>
      </c>
      <c r="E256" s="6">
        <v>46308.480729166702</v>
      </c>
      <c r="F256" s="6">
        <v>46308</v>
      </c>
      <c r="G256" s="5" t="s">
        <v>12</v>
      </c>
      <c r="H256" s="5" t="s">
        <v>16</v>
      </c>
      <c r="I256" s="5">
        <v>8</v>
      </c>
      <c r="J256" s="9" t="s">
        <v>17</v>
      </c>
      <c r="K256" s="1" t="s">
        <v>526</v>
      </c>
      <c r="L256" t="s">
        <v>10</v>
      </c>
      <c r="M256" t="str">
        <f>+VLOOKUP(C256,'[1]TIENDAS 2025'!$A$1:$C$143,3,0)</f>
        <v>prioridad</v>
      </c>
      <c r="O256">
        <v>1</v>
      </c>
    </row>
    <row r="257" spans="1:15" ht="15" customHeight="1" x14ac:dyDescent="0.3">
      <c r="A257" s="8">
        <v>209667570</v>
      </c>
      <c r="B257" s="4" t="s">
        <v>530</v>
      </c>
      <c r="C257" s="4" t="s">
        <v>531</v>
      </c>
      <c r="D257" s="6">
        <v>46308.730775463002</v>
      </c>
      <c r="E257" s="6">
        <v>46308.480740740699</v>
      </c>
      <c r="F257" s="6">
        <v>46308</v>
      </c>
      <c r="G257" s="5" t="s">
        <v>12</v>
      </c>
      <c r="H257" s="5" t="s">
        <v>16</v>
      </c>
      <c r="I257" s="5">
        <v>4</v>
      </c>
      <c r="J257" s="9" t="s">
        <v>17</v>
      </c>
      <c r="K257" s="1" t="s">
        <v>529</v>
      </c>
      <c r="L257" t="s">
        <v>10</v>
      </c>
      <c r="M257" t="str">
        <f>+VLOOKUP(C257,'[1]TIENDAS 2025'!$A$1:$C$143,3,0)</f>
        <v>local</v>
      </c>
      <c r="O257">
        <v>1</v>
      </c>
    </row>
    <row r="258" spans="1:15" ht="15" customHeight="1" x14ac:dyDescent="0.3">
      <c r="A258" s="8">
        <v>209667571</v>
      </c>
      <c r="B258" s="4" t="s">
        <v>533</v>
      </c>
      <c r="C258" s="4" t="s">
        <v>534</v>
      </c>
      <c r="D258" s="6">
        <v>46308.730787036999</v>
      </c>
      <c r="E258" s="6">
        <v>46308.480752314797</v>
      </c>
      <c r="F258" s="6">
        <v>46308</v>
      </c>
      <c r="G258" s="5" t="s">
        <v>12</v>
      </c>
      <c r="H258" s="5" t="s">
        <v>16</v>
      </c>
      <c r="I258" s="5">
        <v>4</v>
      </c>
      <c r="J258" s="9" t="s">
        <v>17</v>
      </c>
      <c r="K258" s="1" t="s">
        <v>532</v>
      </c>
      <c r="L258" t="s">
        <v>10</v>
      </c>
      <c r="M258" t="str">
        <f>+VLOOKUP(C258,'[1]TIENDAS 2025'!$A$1:$C$143,3,0)</f>
        <v>local</v>
      </c>
      <c r="O258">
        <v>1</v>
      </c>
    </row>
    <row r="259" spans="1:15" ht="15" customHeight="1" x14ac:dyDescent="0.3">
      <c r="A259" s="8">
        <v>209667666</v>
      </c>
      <c r="B259" s="4" t="s">
        <v>536</v>
      </c>
      <c r="C259" s="4" t="s">
        <v>537</v>
      </c>
      <c r="D259" s="6">
        <v>46308.730798611097</v>
      </c>
      <c r="E259" s="6">
        <v>46308.480775463002</v>
      </c>
      <c r="F259" s="6">
        <v>46308</v>
      </c>
      <c r="G259" s="5" t="s">
        <v>12</v>
      </c>
      <c r="H259" s="5" t="s">
        <v>16</v>
      </c>
      <c r="I259" s="5">
        <v>4</v>
      </c>
      <c r="J259" s="9" t="s">
        <v>17</v>
      </c>
      <c r="K259" s="1" t="s">
        <v>535</v>
      </c>
      <c r="L259" t="s">
        <v>10</v>
      </c>
      <c r="M259" t="str">
        <f>+VLOOKUP(C259,'[1]TIENDAS 2025'!$A$1:$C$143,3,0)</f>
        <v>departamental</v>
      </c>
      <c r="O259">
        <v>1</v>
      </c>
    </row>
    <row r="260" spans="1:15" ht="15" customHeight="1" x14ac:dyDescent="0.3">
      <c r="A260" s="8">
        <v>209667669</v>
      </c>
      <c r="B260" s="4" t="s">
        <v>539</v>
      </c>
      <c r="C260" s="4" t="s">
        <v>540</v>
      </c>
      <c r="D260" s="6">
        <v>46308.730821759302</v>
      </c>
      <c r="E260" s="6">
        <v>46308.480787036999</v>
      </c>
      <c r="F260" s="6">
        <v>46308</v>
      </c>
      <c r="G260" s="5" t="s">
        <v>12</v>
      </c>
      <c r="H260" s="5" t="s">
        <v>16</v>
      </c>
      <c r="I260" s="5">
        <v>4</v>
      </c>
      <c r="J260" s="9" t="s">
        <v>17</v>
      </c>
      <c r="K260" s="1" t="s">
        <v>538</v>
      </c>
      <c r="L260" t="s">
        <v>10</v>
      </c>
      <c r="M260" t="str">
        <f>+VLOOKUP(C260,'[1]TIENDAS 2025'!$A$1:$C$143,3,0)</f>
        <v>departamental</v>
      </c>
      <c r="O260">
        <v>1</v>
      </c>
    </row>
    <row r="261" spans="1:15" ht="15" customHeight="1" x14ac:dyDescent="0.3">
      <c r="A261" s="8">
        <v>209667576</v>
      </c>
      <c r="B261" s="4" t="s">
        <v>542</v>
      </c>
      <c r="C261" s="4" t="s">
        <v>543</v>
      </c>
      <c r="D261" s="6">
        <v>46308.730821759302</v>
      </c>
      <c r="E261" s="6">
        <v>46308.480798611097</v>
      </c>
      <c r="F261" s="6">
        <v>46308</v>
      </c>
      <c r="G261" s="5" t="s">
        <v>12</v>
      </c>
      <c r="H261" s="5" t="s">
        <v>16</v>
      </c>
      <c r="I261" s="5">
        <v>4</v>
      </c>
      <c r="J261" s="9" t="s">
        <v>17</v>
      </c>
      <c r="K261" s="1" t="s">
        <v>541</v>
      </c>
      <c r="L261" t="s">
        <v>10</v>
      </c>
      <c r="M261" t="str">
        <f>+VLOOKUP(C261,'[1]TIENDAS 2025'!$A$1:$C$143,3,0)</f>
        <v>prioridad</v>
      </c>
      <c r="O261">
        <v>1</v>
      </c>
    </row>
    <row r="262" spans="1:15" ht="15" customHeight="1" x14ac:dyDescent="0.3">
      <c r="A262" s="8">
        <v>209667625</v>
      </c>
      <c r="B262" s="4" t="s">
        <v>545</v>
      </c>
      <c r="C262" s="4" t="s">
        <v>546</v>
      </c>
      <c r="D262" s="6">
        <v>46308.730844907397</v>
      </c>
      <c r="E262" s="6">
        <v>46308.480810185203</v>
      </c>
      <c r="F262" s="6">
        <v>46308</v>
      </c>
      <c r="G262" s="5" t="s">
        <v>12</v>
      </c>
      <c r="H262" s="5" t="s">
        <v>16</v>
      </c>
      <c r="I262" s="5">
        <v>4</v>
      </c>
      <c r="J262" s="9" t="s">
        <v>17</v>
      </c>
      <c r="K262" s="1" t="s">
        <v>544</v>
      </c>
      <c r="L262" t="s">
        <v>10</v>
      </c>
      <c r="M262" t="str">
        <f>+VLOOKUP(C262,'[1]TIENDAS 2025'!$A$1:$C$143,3,0)</f>
        <v>departamental</v>
      </c>
      <c r="O262">
        <v>1</v>
      </c>
    </row>
    <row r="263" spans="1:15" ht="15" customHeight="1" x14ac:dyDescent="0.3">
      <c r="A263" s="8">
        <v>209667581</v>
      </c>
      <c r="B263" s="4" t="s">
        <v>548</v>
      </c>
      <c r="C263" s="4" t="s">
        <v>549</v>
      </c>
      <c r="D263" s="6">
        <v>46308.730856481503</v>
      </c>
      <c r="E263" s="6">
        <v>46308.480821759302</v>
      </c>
      <c r="F263" s="6">
        <v>46308</v>
      </c>
      <c r="G263" s="5" t="s">
        <v>12</v>
      </c>
      <c r="H263" s="5" t="s">
        <v>16</v>
      </c>
      <c r="I263" s="5">
        <v>4</v>
      </c>
      <c r="J263" s="9" t="s">
        <v>17</v>
      </c>
      <c r="K263" s="1" t="s">
        <v>547</v>
      </c>
      <c r="L263" t="s">
        <v>10</v>
      </c>
      <c r="M263" t="str">
        <f>+VLOOKUP(C263,'[1]TIENDAS 2025'!$A$1:$C$143,3,0)</f>
        <v>departamental</v>
      </c>
      <c r="O263">
        <v>1</v>
      </c>
    </row>
    <row r="264" spans="1:15" ht="15" customHeight="1" x14ac:dyDescent="0.3">
      <c r="A264" s="8">
        <v>209667584</v>
      </c>
      <c r="B264" s="4" t="s">
        <v>551</v>
      </c>
      <c r="C264" s="4" t="s">
        <v>552</v>
      </c>
      <c r="D264" s="6">
        <v>46308.730868055602</v>
      </c>
      <c r="E264" s="6">
        <v>46308.480844907397</v>
      </c>
      <c r="F264" s="6">
        <v>46308</v>
      </c>
      <c r="G264" s="5" t="s">
        <v>12</v>
      </c>
      <c r="H264" s="5" t="s">
        <v>16</v>
      </c>
      <c r="I264" s="5">
        <v>4</v>
      </c>
      <c r="J264" s="9" t="s">
        <v>17</v>
      </c>
      <c r="K264" s="1" t="s">
        <v>550</v>
      </c>
      <c r="L264" t="s">
        <v>10</v>
      </c>
      <c r="M264" t="str">
        <f>+VLOOKUP(C264,'[1]TIENDAS 2025'!$A$1:$C$143,3,0)</f>
        <v>nocturna</v>
      </c>
      <c r="O264">
        <v>1</v>
      </c>
    </row>
    <row r="265" spans="1:15" ht="15" customHeight="1" x14ac:dyDescent="0.3">
      <c r="A265" s="8">
        <v>209667591</v>
      </c>
      <c r="B265" s="4" t="s">
        <v>554</v>
      </c>
      <c r="C265" s="4" t="s">
        <v>555</v>
      </c>
      <c r="D265" s="6">
        <v>46308.730891203697</v>
      </c>
      <c r="E265" s="6">
        <v>46308.480868055602</v>
      </c>
      <c r="F265" s="6">
        <v>46308</v>
      </c>
      <c r="G265" s="5" t="s">
        <v>12</v>
      </c>
      <c r="H265" s="5" t="s">
        <v>16</v>
      </c>
      <c r="I265" s="5">
        <v>4</v>
      </c>
      <c r="J265" s="9" t="s">
        <v>17</v>
      </c>
      <c r="K265" s="1" t="s">
        <v>553</v>
      </c>
      <c r="L265" t="s">
        <v>10</v>
      </c>
      <c r="M265" t="str">
        <f>+VLOOKUP(C265,'[1]TIENDAS 2025'!$A$1:$C$143,3,0)</f>
        <v>nocturna</v>
      </c>
      <c r="O265">
        <v>1</v>
      </c>
    </row>
    <row r="266" spans="1:15" ht="15" customHeight="1" x14ac:dyDescent="0.3">
      <c r="A266" s="8">
        <v>209667545</v>
      </c>
      <c r="B266" s="4" t="s">
        <v>557</v>
      </c>
      <c r="C266" s="4" t="s">
        <v>558</v>
      </c>
      <c r="D266" s="6">
        <v>46308.730891203697</v>
      </c>
      <c r="E266" s="6">
        <v>46308.480856481503</v>
      </c>
      <c r="F266" s="6">
        <v>46308</v>
      </c>
      <c r="G266" s="5" t="s">
        <v>12</v>
      </c>
      <c r="H266" s="5" t="s">
        <v>16</v>
      </c>
      <c r="I266" s="5">
        <v>4</v>
      </c>
      <c r="J266" s="9" t="s">
        <v>17</v>
      </c>
      <c r="K266" s="1" t="s">
        <v>556</v>
      </c>
      <c r="L266" t="s">
        <v>10</v>
      </c>
      <c r="M266" t="str">
        <f>+VLOOKUP(C266,'[1]TIENDAS 2025'!$A$1:$C$143,3,0)</f>
        <v>local</v>
      </c>
      <c r="O266">
        <v>1</v>
      </c>
    </row>
    <row r="267" spans="1:15" ht="15" customHeight="1" x14ac:dyDescent="0.3">
      <c r="A267" s="8">
        <v>209667856</v>
      </c>
      <c r="B267" s="4" t="s">
        <v>548</v>
      </c>
      <c r="C267" s="4" t="s">
        <v>549</v>
      </c>
      <c r="D267" s="6">
        <v>46308.760231481501</v>
      </c>
      <c r="E267" s="6">
        <v>46308.510185185201</v>
      </c>
      <c r="F267" s="6">
        <v>46308</v>
      </c>
      <c r="G267" s="5" t="s">
        <v>12</v>
      </c>
      <c r="H267" s="5" t="s">
        <v>16</v>
      </c>
      <c r="I267" s="5">
        <v>10</v>
      </c>
      <c r="J267" s="9" t="s">
        <v>17</v>
      </c>
      <c r="K267" s="1" t="s">
        <v>559</v>
      </c>
      <c r="L267" t="s">
        <v>10</v>
      </c>
      <c r="M267" t="str">
        <f>+VLOOKUP(C267,'[1]TIENDAS 2025'!$A$1:$C$143,3,0)</f>
        <v>departamental</v>
      </c>
      <c r="O267">
        <v>1</v>
      </c>
    </row>
    <row r="268" spans="1:15" ht="15" customHeight="1" x14ac:dyDescent="0.3">
      <c r="A268" s="8">
        <v>209667863</v>
      </c>
      <c r="B268" s="4" t="s">
        <v>370</v>
      </c>
      <c r="C268" s="4" t="s">
        <v>371</v>
      </c>
      <c r="D268" s="6">
        <v>46308.7602430556</v>
      </c>
      <c r="E268" s="6">
        <v>46308.510219907403</v>
      </c>
      <c r="F268" s="6">
        <v>46308</v>
      </c>
      <c r="G268" s="5" t="s">
        <v>12</v>
      </c>
      <c r="H268" s="5" t="s">
        <v>16</v>
      </c>
      <c r="I268" s="5">
        <v>10</v>
      </c>
      <c r="J268" s="9" t="s">
        <v>17</v>
      </c>
      <c r="K268" s="1" t="s">
        <v>560</v>
      </c>
      <c r="L268" t="s">
        <v>10</v>
      </c>
      <c r="M268" t="str">
        <f>+VLOOKUP(C268,'[1]TIENDAS 2025'!$A$1:$C$143,3,0)</f>
        <v>nocturna</v>
      </c>
      <c r="O268">
        <v>1</v>
      </c>
    </row>
    <row r="269" spans="1:15" ht="15" customHeight="1" x14ac:dyDescent="0.3">
      <c r="A269" s="8">
        <v>209667814</v>
      </c>
      <c r="B269" s="4" t="s">
        <v>256</v>
      </c>
      <c r="C269" s="4" t="s">
        <v>257</v>
      </c>
      <c r="D269" s="6">
        <v>46308.760266203702</v>
      </c>
      <c r="E269" s="6">
        <v>46308.510231481501</v>
      </c>
      <c r="F269" s="6">
        <v>46308</v>
      </c>
      <c r="G269" s="5" t="s">
        <v>12</v>
      </c>
      <c r="H269" s="5" t="s">
        <v>16</v>
      </c>
      <c r="I269" s="5">
        <v>10</v>
      </c>
      <c r="J269" s="9" t="s">
        <v>17</v>
      </c>
      <c r="K269" s="1" t="s">
        <v>561</v>
      </c>
      <c r="L269" t="s">
        <v>10</v>
      </c>
      <c r="M269" t="str">
        <f>+VLOOKUP(C269,'[1]TIENDAS 2025'!$A$1:$C$143,3,0)</f>
        <v>prioridad</v>
      </c>
      <c r="O269">
        <v>1</v>
      </c>
    </row>
    <row r="270" spans="1:15" ht="15" customHeight="1" x14ac:dyDescent="0.3">
      <c r="A270" s="8">
        <v>209667868</v>
      </c>
      <c r="B270" s="4" t="s">
        <v>524</v>
      </c>
      <c r="C270" s="4" t="s">
        <v>525</v>
      </c>
      <c r="D270" s="6">
        <v>46308.760289351798</v>
      </c>
      <c r="E270" s="6">
        <v>46308.5102430556</v>
      </c>
      <c r="F270" s="6">
        <v>46308</v>
      </c>
      <c r="G270" s="5" t="s">
        <v>12</v>
      </c>
      <c r="H270" s="5" t="s">
        <v>16</v>
      </c>
      <c r="I270" s="5">
        <v>7</v>
      </c>
      <c r="J270" s="9" t="s">
        <v>17</v>
      </c>
      <c r="K270" s="1" t="s">
        <v>562</v>
      </c>
      <c r="L270" t="s">
        <v>10</v>
      </c>
      <c r="M270" t="str">
        <f>+VLOOKUP(C270,'[1]TIENDAS 2025'!$A$1:$C$143,3,0)</f>
        <v>local</v>
      </c>
      <c r="O270">
        <v>1</v>
      </c>
    </row>
    <row r="271" spans="1:15" ht="15" customHeight="1" x14ac:dyDescent="0.3">
      <c r="A271" s="8">
        <v>209667871</v>
      </c>
      <c r="B271" s="4" t="s">
        <v>327</v>
      </c>
      <c r="C271" s="4" t="s">
        <v>328</v>
      </c>
      <c r="D271" s="6">
        <v>46308.760300925896</v>
      </c>
      <c r="E271" s="6">
        <v>46308.510266203702</v>
      </c>
      <c r="F271" s="6">
        <v>46308</v>
      </c>
      <c r="G271" s="5" t="s">
        <v>12</v>
      </c>
      <c r="H271" s="5" t="s">
        <v>16</v>
      </c>
      <c r="I271" s="5">
        <v>9</v>
      </c>
      <c r="J271" s="9" t="s">
        <v>17</v>
      </c>
      <c r="K271" s="1" t="s">
        <v>563</v>
      </c>
      <c r="L271" t="s">
        <v>10</v>
      </c>
      <c r="M271" t="str">
        <f>+VLOOKUP(C271,'[1]TIENDAS 2025'!$A$1:$C$143,3,0)</f>
        <v>local</v>
      </c>
      <c r="O271">
        <v>1</v>
      </c>
    </row>
    <row r="272" spans="1:15" ht="15" customHeight="1" x14ac:dyDescent="0.3">
      <c r="A272" s="8">
        <v>209667825</v>
      </c>
      <c r="B272" s="4" t="s">
        <v>93</v>
      </c>
      <c r="C272" s="4" t="s">
        <v>94</v>
      </c>
      <c r="D272" s="6">
        <v>46308.760324074101</v>
      </c>
      <c r="E272" s="6">
        <v>46308.510289351798</v>
      </c>
      <c r="F272" s="6">
        <v>46308</v>
      </c>
      <c r="G272" s="5" t="s">
        <v>12</v>
      </c>
      <c r="H272" s="5" t="s">
        <v>16</v>
      </c>
      <c r="I272" s="5">
        <v>8</v>
      </c>
      <c r="J272" s="9" t="s">
        <v>17</v>
      </c>
      <c r="K272" s="1" t="s">
        <v>564</v>
      </c>
      <c r="L272" t="s">
        <v>10</v>
      </c>
      <c r="M272" t="str">
        <f>+VLOOKUP(C272,'[1]TIENDAS 2025'!$A$1:$C$143,3,0)</f>
        <v>departamental</v>
      </c>
      <c r="O272">
        <v>1</v>
      </c>
    </row>
    <row r="273" spans="1:15" ht="15" customHeight="1" x14ac:dyDescent="0.3">
      <c r="A273" s="8">
        <v>209667881</v>
      </c>
      <c r="B273" s="4" t="s">
        <v>354</v>
      </c>
      <c r="C273" s="4" t="s">
        <v>355</v>
      </c>
      <c r="D273" s="6">
        <v>46308.760335648098</v>
      </c>
      <c r="E273" s="6">
        <v>46308.510300925896</v>
      </c>
      <c r="F273" s="6">
        <v>46308</v>
      </c>
      <c r="G273" s="5" t="s">
        <v>12</v>
      </c>
      <c r="H273" s="5" t="s">
        <v>16</v>
      </c>
      <c r="I273" s="5">
        <v>3</v>
      </c>
      <c r="J273" s="9" t="s">
        <v>17</v>
      </c>
      <c r="K273" s="1" t="s">
        <v>565</v>
      </c>
      <c r="L273" t="s">
        <v>10</v>
      </c>
      <c r="M273" t="str">
        <f>+VLOOKUP(C273,'[1]TIENDAS 2025'!$A$1:$C$143,3,0)</f>
        <v>nocturna</v>
      </c>
      <c r="O273">
        <v>1</v>
      </c>
    </row>
    <row r="274" spans="1:15" ht="15" customHeight="1" x14ac:dyDescent="0.3">
      <c r="A274" s="8">
        <v>209667882</v>
      </c>
      <c r="B274" s="4" t="s">
        <v>482</v>
      </c>
      <c r="C274" s="4" t="s">
        <v>483</v>
      </c>
      <c r="D274" s="6">
        <v>46308.760347222204</v>
      </c>
      <c r="E274" s="6">
        <v>46308.510324074101</v>
      </c>
      <c r="F274" s="6">
        <v>46308</v>
      </c>
      <c r="G274" s="5" t="s">
        <v>12</v>
      </c>
      <c r="H274" s="5" t="s">
        <v>16</v>
      </c>
      <c r="I274" s="5">
        <v>5</v>
      </c>
      <c r="J274" s="9" t="s">
        <v>17</v>
      </c>
      <c r="K274" s="1" t="s">
        <v>566</v>
      </c>
      <c r="L274" t="s">
        <v>10</v>
      </c>
      <c r="M274" t="str">
        <f>+VLOOKUP(C274,'[1]TIENDAS 2025'!$A$1:$C$143,3,0)</f>
        <v>local</v>
      </c>
      <c r="O274">
        <v>1</v>
      </c>
    </row>
    <row r="275" spans="1:15" ht="15" customHeight="1" x14ac:dyDescent="0.3">
      <c r="A275" s="8">
        <v>209667895</v>
      </c>
      <c r="B275" s="4" t="s">
        <v>181</v>
      </c>
      <c r="C275" s="4" t="s">
        <v>182</v>
      </c>
      <c r="D275" s="6">
        <v>46308.760370370401</v>
      </c>
      <c r="E275" s="6">
        <v>46308.510335648098</v>
      </c>
      <c r="F275" s="6">
        <v>46308</v>
      </c>
      <c r="G275" s="5" t="s">
        <v>12</v>
      </c>
      <c r="H275" s="5" t="s">
        <v>16</v>
      </c>
      <c r="I275" s="5">
        <v>5</v>
      </c>
      <c r="J275" s="9" t="s">
        <v>17</v>
      </c>
      <c r="K275" s="1" t="s">
        <v>567</v>
      </c>
      <c r="L275" t="s">
        <v>10</v>
      </c>
      <c r="M275" t="str">
        <f>+VLOOKUP(C275,'[1]TIENDAS 2025'!$A$1:$C$143,3,0)</f>
        <v>departamental</v>
      </c>
      <c r="O275">
        <v>1</v>
      </c>
    </row>
    <row r="276" spans="1:15" ht="15" customHeight="1" x14ac:dyDescent="0.3">
      <c r="A276" s="8">
        <v>209667899</v>
      </c>
      <c r="B276" s="4" t="s">
        <v>488</v>
      </c>
      <c r="C276" s="4" t="s">
        <v>489</v>
      </c>
      <c r="D276" s="6">
        <v>46308.760381944398</v>
      </c>
      <c r="E276" s="6">
        <v>46308.510347222204</v>
      </c>
      <c r="F276" s="6">
        <v>46308</v>
      </c>
      <c r="G276" s="5" t="s">
        <v>12</v>
      </c>
      <c r="H276" s="5" t="s">
        <v>16</v>
      </c>
      <c r="I276" s="5">
        <v>4</v>
      </c>
      <c r="J276" s="9" t="s">
        <v>17</v>
      </c>
      <c r="K276" s="1" t="s">
        <v>568</v>
      </c>
      <c r="L276" t="s">
        <v>10</v>
      </c>
      <c r="M276" t="str">
        <f>+VLOOKUP(C276,'[1]TIENDAS 2025'!$A$1:$C$143,3,0)</f>
        <v>departamental</v>
      </c>
      <c r="O276">
        <v>1</v>
      </c>
    </row>
    <row r="277" spans="1:15" ht="15" customHeight="1" x14ac:dyDescent="0.3">
      <c r="A277" s="8">
        <v>209667911</v>
      </c>
      <c r="B277" s="4" t="s">
        <v>478</v>
      </c>
      <c r="C277" s="4" t="s">
        <v>479</v>
      </c>
      <c r="D277" s="6">
        <v>46308.760405092602</v>
      </c>
      <c r="E277" s="6">
        <v>46308.510370370401</v>
      </c>
      <c r="F277" s="6">
        <v>46308</v>
      </c>
      <c r="G277" s="5" t="s">
        <v>12</v>
      </c>
      <c r="H277" s="5" t="s">
        <v>16</v>
      </c>
      <c r="I277" s="5">
        <v>4</v>
      </c>
      <c r="J277" s="9" t="s">
        <v>17</v>
      </c>
      <c r="K277" s="1" t="s">
        <v>569</v>
      </c>
      <c r="L277" t="s">
        <v>10</v>
      </c>
      <c r="M277" t="str">
        <f>+VLOOKUP(C277,'[1]TIENDAS 2025'!$A$1:$C$143,3,0)</f>
        <v>departamental</v>
      </c>
      <c r="O277">
        <v>1</v>
      </c>
    </row>
    <row r="278" spans="1:15" ht="15" customHeight="1" x14ac:dyDescent="0.3">
      <c r="A278" s="8">
        <v>209667799</v>
      </c>
      <c r="B278" s="4" t="s">
        <v>515</v>
      </c>
      <c r="C278" s="4" t="s">
        <v>516</v>
      </c>
      <c r="D278" s="6">
        <v>46308.760416666701</v>
      </c>
      <c r="E278" s="6">
        <v>46308.510381944398</v>
      </c>
      <c r="F278" s="6">
        <v>46308</v>
      </c>
      <c r="G278" s="5" t="s">
        <v>12</v>
      </c>
      <c r="H278" s="5" t="s">
        <v>16</v>
      </c>
      <c r="I278" s="5">
        <v>13</v>
      </c>
      <c r="J278" s="9" t="s">
        <v>17</v>
      </c>
      <c r="K278" s="1" t="s">
        <v>570</v>
      </c>
      <c r="L278" t="s">
        <v>10</v>
      </c>
      <c r="M278" t="str">
        <f>+VLOOKUP(C278,'[1]TIENDAS 2025'!$A$1:$C$143,3,0)</f>
        <v>prioridad</v>
      </c>
      <c r="O278">
        <v>1</v>
      </c>
    </row>
    <row r="279" spans="1:15" ht="15" customHeight="1" x14ac:dyDescent="0.3">
      <c r="A279" s="8">
        <v>209667801</v>
      </c>
      <c r="B279" s="4" t="s">
        <v>163</v>
      </c>
      <c r="C279" s="4" t="s">
        <v>164</v>
      </c>
      <c r="D279" s="6">
        <v>46308.760428240697</v>
      </c>
      <c r="E279" s="6">
        <v>46308.510393518503</v>
      </c>
      <c r="F279" s="6">
        <v>46308</v>
      </c>
      <c r="G279" s="5" t="s">
        <v>12</v>
      </c>
      <c r="H279" s="5" t="s">
        <v>16</v>
      </c>
      <c r="I279" s="5">
        <v>7</v>
      </c>
      <c r="J279" s="9" t="s">
        <v>17</v>
      </c>
      <c r="K279" s="1" t="s">
        <v>571</v>
      </c>
      <c r="L279" t="s">
        <v>10</v>
      </c>
      <c r="M279" t="str">
        <f>+VLOOKUP(C279,'[1]TIENDAS 2025'!$A$1:$C$143,3,0)</f>
        <v>departamental</v>
      </c>
      <c r="O279">
        <v>1</v>
      </c>
    </row>
    <row r="280" spans="1:15" ht="15" customHeight="1" x14ac:dyDescent="0.3">
      <c r="A280" s="8">
        <v>209667802</v>
      </c>
      <c r="B280" s="4" t="s">
        <v>14</v>
      </c>
      <c r="C280" s="4" t="s">
        <v>15</v>
      </c>
      <c r="D280" s="6">
        <v>46308.760439814803</v>
      </c>
      <c r="E280" s="6">
        <v>46308.510405092602</v>
      </c>
      <c r="F280" s="6">
        <v>46308</v>
      </c>
      <c r="G280" s="5" t="s">
        <v>12</v>
      </c>
      <c r="H280" s="5" t="s">
        <v>16</v>
      </c>
      <c r="I280" s="5">
        <v>14</v>
      </c>
      <c r="J280" s="9" t="s">
        <v>17</v>
      </c>
      <c r="K280" s="1" t="s">
        <v>572</v>
      </c>
      <c r="L280" t="s">
        <v>10</v>
      </c>
      <c r="M280" t="str">
        <f>+VLOOKUP(C280,'[1]TIENDAS 2025'!$A$1:$C$143,3,0)</f>
        <v>departamental</v>
      </c>
      <c r="O280">
        <v>1</v>
      </c>
    </row>
    <row r="281" spans="1:15" ht="15" customHeight="1" x14ac:dyDescent="0.3">
      <c r="A281" s="8">
        <v>209667806</v>
      </c>
      <c r="B281" s="4" t="s">
        <v>223</v>
      </c>
      <c r="C281" s="4" t="s">
        <v>224</v>
      </c>
      <c r="D281" s="6">
        <v>46308.760451388902</v>
      </c>
      <c r="E281" s="6">
        <v>46308.510416666701</v>
      </c>
      <c r="F281" s="6">
        <v>46308</v>
      </c>
      <c r="G281" s="5" t="s">
        <v>12</v>
      </c>
      <c r="H281" s="5" t="s">
        <v>16</v>
      </c>
      <c r="I281" s="5">
        <v>8</v>
      </c>
      <c r="J281" s="9" t="s">
        <v>17</v>
      </c>
      <c r="K281" s="1" t="s">
        <v>573</v>
      </c>
      <c r="L281" t="s">
        <v>10</v>
      </c>
      <c r="M281" t="str">
        <f>+VLOOKUP(C281,'[1]TIENDAS 2025'!$A$1:$C$143,3,0)</f>
        <v>departamental</v>
      </c>
      <c r="O281">
        <v>1</v>
      </c>
    </row>
    <row r="282" spans="1:15" ht="15" customHeight="1" x14ac:dyDescent="0.3">
      <c r="A282" s="8">
        <v>209667860</v>
      </c>
      <c r="B282" s="4" t="s">
        <v>238</v>
      </c>
      <c r="C282" s="4" t="s">
        <v>239</v>
      </c>
      <c r="D282" s="6">
        <v>46308.760474536997</v>
      </c>
      <c r="E282" s="6">
        <v>46308.510451388902</v>
      </c>
      <c r="F282" s="6">
        <v>46308</v>
      </c>
      <c r="G282" s="5" t="s">
        <v>12</v>
      </c>
      <c r="H282" s="5" t="s">
        <v>16</v>
      </c>
      <c r="I282" s="5">
        <v>5</v>
      </c>
      <c r="J282" s="9" t="s">
        <v>17</v>
      </c>
      <c r="K282" s="1" t="s">
        <v>574</v>
      </c>
      <c r="L282" t="s">
        <v>10</v>
      </c>
      <c r="M282" t="str">
        <f>+VLOOKUP(C282,'[1]TIENDAS 2025'!$A$1:$C$143,3,0)</f>
        <v>nocturna</v>
      </c>
      <c r="O282">
        <v>1</v>
      </c>
    </row>
    <row r="283" spans="1:15" ht="15" customHeight="1" x14ac:dyDescent="0.3">
      <c r="A283" s="8">
        <v>209667807</v>
      </c>
      <c r="B283" s="4" t="s">
        <v>283</v>
      </c>
      <c r="C283" s="4" t="s">
        <v>284</v>
      </c>
      <c r="D283" s="6">
        <v>46308.760474536997</v>
      </c>
      <c r="E283" s="6">
        <v>46308.510439814803</v>
      </c>
      <c r="F283" s="6">
        <v>46308</v>
      </c>
      <c r="G283" s="5" t="s">
        <v>12</v>
      </c>
      <c r="H283" s="5" t="s">
        <v>16</v>
      </c>
      <c r="I283" s="5">
        <v>2</v>
      </c>
      <c r="J283" s="9" t="s">
        <v>17</v>
      </c>
      <c r="K283" s="1" t="s">
        <v>575</v>
      </c>
      <c r="L283" t="s">
        <v>10</v>
      </c>
      <c r="M283" t="str">
        <f>+VLOOKUP(C283,'[1]TIENDAS 2025'!$A$1:$C$143,3,0)</f>
        <v>prioridad</v>
      </c>
      <c r="O283">
        <v>1</v>
      </c>
    </row>
    <row r="284" spans="1:15" ht="15" customHeight="1" x14ac:dyDescent="0.3">
      <c r="A284" s="8">
        <v>209667809</v>
      </c>
      <c r="B284" s="4" t="s">
        <v>342</v>
      </c>
      <c r="C284" s="4" t="s">
        <v>343</v>
      </c>
      <c r="D284" s="6">
        <v>46308.760497685202</v>
      </c>
      <c r="E284" s="6">
        <v>46308.510462963</v>
      </c>
      <c r="F284" s="6">
        <v>46308</v>
      </c>
      <c r="G284" s="5" t="s">
        <v>12</v>
      </c>
      <c r="H284" s="5" t="s">
        <v>16</v>
      </c>
      <c r="I284" s="5">
        <v>4</v>
      </c>
      <c r="J284" s="9" t="s">
        <v>17</v>
      </c>
      <c r="K284" s="1" t="s">
        <v>576</v>
      </c>
      <c r="L284" t="s">
        <v>10</v>
      </c>
      <c r="M284" t="str">
        <f>+VLOOKUP(C284,'[1]TIENDAS 2025'!$A$1:$C$143,3,0)</f>
        <v>local</v>
      </c>
      <c r="O284">
        <v>1</v>
      </c>
    </row>
    <row r="285" spans="1:15" ht="15" customHeight="1" x14ac:dyDescent="0.3">
      <c r="A285" s="8">
        <v>209667810</v>
      </c>
      <c r="B285" s="4" t="s">
        <v>454</v>
      </c>
      <c r="C285" s="4" t="s">
        <v>455</v>
      </c>
      <c r="D285" s="6">
        <v>46308.7605092593</v>
      </c>
      <c r="E285" s="6">
        <v>46308.510486111103</v>
      </c>
      <c r="F285" s="6">
        <v>46308</v>
      </c>
      <c r="G285" s="5" t="s">
        <v>12</v>
      </c>
      <c r="H285" s="5" t="s">
        <v>16</v>
      </c>
      <c r="I285" s="5">
        <v>6</v>
      </c>
      <c r="J285" s="9" t="s">
        <v>17</v>
      </c>
      <c r="K285" s="1" t="s">
        <v>577</v>
      </c>
      <c r="L285" t="s">
        <v>10</v>
      </c>
      <c r="M285" t="str">
        <f>+VLOOKUP(C285,'[1]TIENDAS 2025'!$A$1:$C$143,3,0)</f>
        <v>departamental</v>
      </c>
      <c r="O285">
        <v>1</v>
      </c>
    </row>
    <row r="286" spans="1:15" ht="15" customHeight="1" x14ac:dyDescent="0.3">
      <c r="A286" s="8">
        <v>209667819</v>
      </c>
      <c r="B286" s="4" t="s">
        <v>208</v>
      </c>
      <c r="C286" s="4" t="s">
        <v>209</v>
      </c>
      <c r="D286" s="6">
        <v>46308.760532407403</v>
      </c>
      <c r="E286" s="6">
        <v>46308.510497685202</v>
      </c>
      <c r="F286" s="6">
        <v>46308</v>
      </c>
      <c r="G286" s="5" t="s">
        <v>12</v>
      </c>
      <c r="H286" s="5" t="s">
        <v>16</v>
      </c>
      <c r="I286" s="5">
        <v>4</v>
      </c>
      <c r="J286" s="9" t="s">
        <v>17</v>
      </c>
      <c r="K286" s="1" t="s">
        <v>578</v>
      </c>
      <c r="L286" t="s">
        <v>10</v>
      </c>
      <c r="M286" t="str">
        <f>+VLOOKUP(C286,'[1]TIENDAS 2025'!$A$1:$C$143,3,0)</f>
        <v>local</v>
      </c>
      <c r="O286">
        <v>1</v>
      </c>
    </row>
    <row r="287" spans="1:15" ht="15" customHeight="1" x14ac:dyDescent="0.3">
      <c r="A287" s="8">
        <v>209667821</v>
      </c>
      <c r="B287" s="4" t="s">
        <v>199</v>
      </c>
      <c r="C287" s="4" t="s">
        <v>200</v>
      </c>
      <c r="D287" s="6">
        <v>46308.760532407403</v>
      </c>
      <c r="E287" s="6">
        <v>46308.5105092593</v>
      </c>
      <c r="F287" s="6">
        <v>46308</v>
      </c>
      <c r="G287" s="5" t="s">
        <v>12</v>
      </c>
      <c r="H287" s="5" t="s">
        <v>16</v>
      </c>
      <c r="I287" s="5">
        <v>11</v>
      </c>
      <c r="J287" s="9" t="s">
        <v>17</v>
      </c>
      <c r="K287" s="1" t="s">
        <v>579</v>
      </c>
      <c r="L287" t="s">
        <v>10</v>
      </c>
      <c r="M287" t="str">
        <f>+VLOOKUP(C287,'[1]TIENDAS 2025'!$A$1:$C$143,3,0)</f>
        <v>departamental</v>
      </c>
      <c r="O287">
        <v>1</v>
      </c>
    </row>
    <row r="288" spans="1:15" ht="15" customHeight="1" x14ac:dyDescent="0.3">
      <c r="A288" s="8">
        <v>209667875</v>
      </c>
      <c r="B288" s="4" t="s">
        <v>157</v>
      </c>
      <c r="C288" s="4" t="s">
        <v>158</v>
      </c>
      <c r="D288" s="6">
        <v>46308.7605555556</v>
      </c>
      <c r="E288" s="6">
        <v>46308.510520833297</v>
      </c>
      <c r="F288" s="6">
        <v>46308</v>
      </c>
      <c r="G288" s="5" t="s">
        <v>12</v>
      </c>
      <c r="H288" s="5" t="s">
        <v>16</v>
      </c>
      <c r="I288" s="5">
        <v>10</v>
      </c>
      <c r="J288" s="9" t="s">
        <v>17</v>
      </c>
      <c r="K288" s="1" t="s">
        <v>580</v>
      </c>
      <c r="L288" t="s">
        <v>10</v>
      </c>
      <c r="M288" t="str">
        <f>+VLOOKUP(C288,'[1]TIENDAS 2025'!$A$1:$C$143,3,0)</f>
        <v>departamental</v>
      </c>
      <c r="O288">
        <v>1</v>
      </c>
    </row>
    <row r="289" spans="1:15" ht="15" customHeight="1" x14ac:dyDescent="0.3">
      <c r="A289" s="8">
        <v>209667829</v>
      </c>
      <c r="B289" s="4" t="s">
        <v>336</v>
      </c>
      <c r="C289" s="4" t="s">
        <v>337</v>
      </c>
      <c r="D289" s="6">
        <v>46308.761979166702</v>
      </c>
      <c r="E289" s="6">
        <v>46308.511944444399</v>
      </c>
      <c r="F289" s="6">
        <v>46308</v>
      </c>
      <c r="G289" s="5" t="s">
        <v>12</v>
      </c>
      <c r="H289" s="5" t="s">
        <v>16</v>
      </c>
      <c r="I289" s="5">
        <v>12</v>
      </c>
      <c r="J289" s="9" t="s">
        <v>17</v>
      </c>
      <c r="K289" s="1" t="s">
        <v>581</v>
      </c>
      <c r="L289" t="s">
        <v>10</v>
      </c>
      <c r="M289" t="str">
        <f>+VLOOKUP(C289,'[1]TIENDAS 2025'!$A$1:$C$143,3,0)</f>
        <v xml:space="preserve">departamental </v>
      </c>
      <c r="O289">
        <v>1</v>
      </c>
    </row>
    <row r="290" spans="1:15" ht="15" customHeight="1" x14ac:dyDescent="0.3">
      <c r="A290" s="8">
        <v>209667910</v>
      </c>
      <c r="B290" s="4" t="s">
        <v>226</v>
      </c>
      <c r="C290" s="4" t="s">
        <v>227</v>
      </c>
      <c r="D290" s="6">
        <v>46308.761990740699</v>
      </c>
      <c r="E290" s="6">
        <v>46308.511956018498</v>
      </c>
      <c r="F290" s="6">
        <v>46308</v>
      </c>
      <c r="G290" s="5" t="s">
        <v>12</v>
      </c>
      <c r="H290" s="5" t="s">
        <v>16</v>
      </c>
      <c r="I290" s="5">
        <v>5</v>
      </c>
      <c r="J290" s="9" t="s">
        <v>17</v>
      </c>
      <c r="K290" s="1" t="s">
        <v>582</v>
      </c>
      <c r="L290" t="s">
        <v>10</v>
      </c>
      <c r="M290" t="str">
        <f>+VLOOKUP(C290,'[1]TIENDAS 2025'!$A$1:$C$143,3,0)</f>
        <v>departamental</v>
      </c>
      <c r="O290">
        <v>1</v>
      </c>
    </row>
    <row r="291" spans="1:15" ht="15" customHeight="1" x14ac:dyDescent="0.3">
      <c r="A291" s="8">
        <v>209667912</v>
      </c>
      <c r="B291" s="4" t="s">
        <v>445</v>
      </c>
      <c r="C291" s="4" t="s">
        <v>446</v>
      </c>
      <c r="D291" s="6">
        <v>46308.762002314797</v>
      </c>
      <c r="E291" s="6">
        <v>46308.511979166702</v>
      </c>
      <c r="F291" s="6">
        <v>46308</v>
      </c>
      <c r="G291" s="5" t="s">
        <v>12</v>
      </c>
      <c r="H291" s="5" t="s">
        <v>16</v>
      </c>
      <c r="I291" s="5">
        <v>4</v>
      </c>
      <c r="J291" s="9" t="s">
        <v>17</v>
      </c>
      <c r="K291" s="1" t="s">
        <v>583</v>
      </c>
      <c r="L291" t="s">
        <v>10</v>
      </c>
      <c r="M291" t="str">
        <f>+VLOOKUP(C291,'[1]TIENDAS 2025'!$A$1:$C$143,3,0)</f>
        <v>departamental</v>
      </c>
      <c r="O291">
        <v>1</v>
      </c>
    </row>
    <row r="292" spans="1:15" ht="15" customHeight="1" x14ac:dyDescent="0.3">
      <c r="A292" s="8">
        <v>209667846</v>
      </c>
      <c r="B292" s="4" t="s">
        <v>439</v>
      </c>
      <c r="C292" s="4" t="s">
        <v>440</v>
      </c>
      <c r="D292" s="6">
        <v>46308.762025463002</v>
      </c>
      <c r="E292" s="6">
        <v>46308.512002314797</v>
      </c>
      <c r="F292" s="6">
        <v>46308</v>
      </c>
      <c r="G292" s="5" t="s">
        <v>12</v>
      </c>
      <c r="H292" s="5" t="s">
        <v>16</v>
      </c>
      <c r="I292" s="5">
        <v>9</v>
      </c>
      <c r="J292" s="9" t="s">
        <v>17</v>
      </c>
      <c r="K292" s="1" t="s">
        <v>584</v>
      </c>
      <c r="L292" t="s">
        <v>10</v>
      </c>
      <c r="M292" t="str">
        <f>+VLOOKUP(C292,'[1]TIENDAS 2025'!$A$1:$C$143,3,0)</f>
        <v>prioridad</v>
      </c>
      <c r="O292">
        <v>1</v>
      </c>
    </row>
    <row r="293" spans="1:15" ht="15" customHeight="1" x14ac:dyDescent="0.3">
      <c r="A293" s="8">
        <v>209667915</v>
      </c>
      <c r="B293" s="4" t="s">
        <v>271</v>
      </c>
      <c r="C293" s="4" t="s">
        <v>272</v>
      </c>
      <c r="D293" s="6">
        <v>46308.762025463002</v>
      </c>
      <c r="E293" s="6">
        <v>46308.511990740699</v>
      </c>
      <c r="F293" s="6">
        <v>46308</v>
      </c>
      <c r="G293" s="5" t="s">
        <v>12</v>
      </c>
      <c r="H293" s="5" t="s">
        <v>16</v>
      </c>
      <c r="I293" s="5">
        <v>6</v>
      </c>
      <c r="J293" s="9" t="s">
        <v>17</v>
      </c>
      <c r="K293" s="1" t="s">
        <v>585</v>
      </c>
      <c r="L293" t="s">
        <v>10</v>
      </c>
      <c r="M293" t="str">
        <f>+VLOOKUP(C293,'[1]TIENDAS 2025'!$A$1:$C$143,3,0)</f>
        <v>local</v>
      </c>
      <c r="O293">
        <v>1</v>
      </c>
    </row>
    <row r="294" spans="1:15" ht="15" customHeight="1" x14ac:dyDescent="0.3">
      <c r="A294" s="8">
        <v>209667798</v>
      </c>
      <c r="B294" s="4" t="s">
        <v>385</v>
      </c>
      <c r="C294" s="4" t="s">
        <v>386</v>
      </c>
      <c r="D294" s="6">
        <v>46308.762048611097</v>
      </c>
      <c r="E294" s="6">
        <v>46308.512013888903</v>
      </c>
      <c r="F294" s="6">
        <v>46308</v>
      </c>
      <c r="G294" s="5" t="s">
        <v>12</v>
      </c>
      <c r="H294" s="5" t="s">
        <v>16</v>
      </c>
      <c r="I294" s="5">
        <v>6</v>
      </c>
      <c r="J294" s="9" t="s">
        <v>17</v>
      </c>
      <c r="K294" s="1" t="s">
        <v>586</v>
      </c>
      <c r="L294" t="s">
        <v>10</v>
      </c>
      <c r="M294" t="str">
        <f>+VLOOKUP(C294,'[1]TIENDAS 2025'!$A$1:$C$143,3,0)</f>
        <v>nocturna</v>
      </c>
      <c r="O294">
        <v>1</v>
      </c>
    </row>
    <row r="295" spans="1:15" ht="15" customHeight="1" x14ac:dyDescent="0.3">
      <c r="A295" s="8">
        <v>209667859</v>
      </c>
      <c r="B295" s="4" t="s">
        <v>364</v>
      </c>
      <c r="C295" s="4" t="s">
        <v>365</v>
      </c>
      <c r="D295" s="6">
        <v>46308.762060185203</v>
      </c>
      <c r="E295" s="6">
        <v>46308.512025463002</v>
      </c>
      <c r="F295" s="6">
        <v>46308</v>
      </c>
      <c r="G295" s="5" t="s">
        <v>12</v>
      </c>
      <c r="H295" s="5" t="s">
        <v>16</v>
      </c>
      <c r="I295" s="5">
        <v>7</v>
      </c>
      <c r="J295" s="9" t="s">
        <v>17</v>
      </c>
      <c r="K295" s="1" t="s">
        <v>587</v>
      </c>
      <c r="L295" t="s">
        <v>10</v>
      </c>
      <c r="M295" t="str">
        <f>+VLOOKUP(C295,'[1]TIENDAS 2025'!$A$1:$C$143,3,0)</f>
        <v>local</v>
      </c>
      <c r="O295">
        <v>1</v>
      </c>
    </row>
    <row r="296" spans="1:15" ht="15" customHeight="1" x14ac:dyDescent="0.3">
      <c r="A296" s="8">
        <v>209667812</v>
      </c>
      <c r="B296" s="4" t="s">
        <v>557</v>
      </c>
      <c r="C296" s="4" t="s">
        <v>558</v>
      </c>
      <c r="D296" s="6">
        <v>46308.762083333299</v>
      </c>
      <c r="E296" s="6">
        <v>46308.512048611097</v>
      </c>
      <c r="F296" s="6">
        <v>46308</v>
      </c>
      <c r="G296" s="5" t="s">
        <v>12</v>
      </c>
      <c r="H296" s="5" t="s">
        <v>16</v>
      </c>
      <c r="I296" s="5">
        <v>11</v>
      </c>
      <c r="J296" s="9" t="s">
        <v>17</v>
      </c>
      <c r="K296" s="1" t="s">
        <v>588</v>
      </c>
      <c r="L296" t="s">
        <v>10</v>
      </c>
      <c r="M296" t="str">
        <f>+VLOOKUP(C296,'[1]TIENDAS 2025'!$A$1:$C$143,3,0)</f>
        <v>local</v>
      </c>
      <c r="O296">
        <v>1</v>
      </c>
    </row>
    <row r="297" spans="1:15" ht="15" customHeight="1" x14ac:dyDescent="0.3">
      <c r="A297" s="8">
        <v>209667865</v>
      </c>
      <c r="B297" s="4" t="s">
        <v>330</v>
      </c>
      <c r="C297" s="4" t="s">
        <v>331</v>
      </c>
      <c r="D297" s="6">
        <v>46308.762094907397</v>
      </c>
      <c r="E297" s="6">
        <v>46308.512060185203</v>
      </c>
      <c r="F297" s="6">
        <v>46308</v>
      </c>
      <c r="G297" s="5" t="s">
        <v>12</v>
      </c>
      <c r="H297" s="5" t="s">
        <v>16</v>
      </c>
      <c r="I297" s="5">
        <v>6</v>
      </c>
      <c r="J297" s="9" t="s">
        <v>17</v>
      </c>
      <c r="K297" s="1" t="s">
        <v>589</v>
      </c>
      <c r="L297" t="s">
        <v>10</v>
      </c>
      <c r="M297" t="str">
        <f>+VLOOKUP(C297,'[1]TIENDAS 2025'!$A$1:$C$143,3,0)</f>
        <v>departamental</v>
      </c>
      <c r="O297">
        <v>1</v>
      </c>
    </row>
    <row r="298" spans="1:15" ht="15" customHeight="1" x14ac:dyDescent="0.3">
      <c r="A298" s="8">
        <v>209667866</v>
      </c>
      <c r="B298" s="4" t="s">
        <v>345</v>
      </c>
      <c r="C298" s="4" t="s">
        <v>346</v>
      </c>
      <c r="D298" s="6">
        <v>46308.762106481503</v>
      </c>
      <c r="E298" s="6">
        <v>46308.512083333299</v>
      </c>
      <c r="F298" s="6">
        <v>46308</v>
      </c>
      <c r="G298" s="5" t="s">
        <v>12</v>
      </c>
      <c r="H298" s="5" t="s">
        <v>16</v>
      </c>
      <c r="I298" s="5">
        <v>6</v>
      </c>
      <c r="J298" s="9" t="s">
        <v>17</v>
      </c>
      <c r="K298" s="1" t="s">
        <v>590</v>
      </c>
      <c r="L298" t="s">
        <v>10</v>
      </c>
      <c r="M298" t="str">
        <f>+VLOOKUP(C298,'[1]TIENDAS 2025'!$A$1:$C$143,3,0)</f>
        <v>local</v>
      </c>
      <c r="O298">
        <v>1</v>
      </c>
    </row>
    <row r="299" spans="1:15" ht="15" customHeight="1" x14ac:dyDescent="0.3">
      <c r="A299" s="8">
        <v>209667877</v>
      </c>
      <c r="B299" s="4" t="s">
        <v>500</v>
      </c>
      <c r="C299" s="4" t="s">
        <v>501</v>
      </c>
      <c r="D299" s="6">
        <v>46308.762152777803</v>
      </c>
      <c r="E299" s="6">
        <v>46308.512118055602</v>
      </c>
      <c r="F299" s="6">
        <v>46308</v>
      </c>
      <c r="G299" s="5" t="s">
        <v>12</v>
      </c>
      <c r="H299" s="5" t="s">
        <v>16</v>
      </c>
      <c r="I299" s="5">
        <v>14</v>
      </c>
      <c r="J299" s="9" t="s">
        <v>17</v>
      </c>
      <c r="K299" s="1" t="s">
        <v>591</v>
      </c>
      <c r="L299" t="s">
        <v>10</v>
      </c>
      <c r="M299" t="str">
        <f>+VLOOKUP(C299,'[1]TIENDAS 2025'!$A$1:$C$143,3,0)</f>
        <v>departamental</v>
      </c>
      <c r="O299">
        <v>1</v>
      </c>
    </row>
    <row r="300" spans="1:15" ht="15" customHeight="1" x14ac:dyDescent="0.3">
      <c r="A300" s="8">
        <v>209667827</v>
      </c>
      <c r="B300" s="4" t="s">
        <v>241</v>
      </c>
      <c r="C300" s="4" t="s">
        <v>242</v>
      </c>
      <c r="D300" s="6">
        <v>46308.762164351901</v>
      </c>
      <c r="E300" s="6">
        <v>46308.512141203697</v>
      </c>
      <c r="F300" s="6">
        <v>46308</v>
      </c>
      <c r="G300" s="5" t="s">
        <v>12</v>
      </c>
      <c r="H300" s="5" t="s">
        <v>16</v>
      </c>
      <c r="I300" s="5">
        <v>12</v>
      </c>
      <c r="J300" s="9" t="s">
        <v>17</v>
      </c>
      <c r="K300" s="1" t="s">
        <v>592</v>
      </c>
      <c r="L300" t="s">
        <v>10</v>
      </c>
      <c r="M300" t="str">
        <f>+VLOOKUP(C300,'[1]TIENDAS 2025'!$A$1:$C$143,3,0)</f>
        <v>local</v>
      </c>
      <c r="O300">
        <v>1</v>
      </c>
    </row>
    <row r="301" spans="1:15" ht="15" customHeight="1" x14ac:dyDescent="0.3">
      <c r="A301" s="8">
        <v>209667886</v>
      </c>
      <c r="B301" s="4" t="s">
        <v>469</v>
      </c>
      <c r="C301" s="4" t="s">
        <v>470</v>
      </c>
      <c r="D301" s="6">
        <v>46308.762187499997</v>
      </c>
      <c r="E301" s="6">
        <v>46308.512164351901</v>
      </c>
      <c r="F301" s="6">
        <v>46308</v>
      </c>
      <c r="G301" s="5" t="s">
        <v>12</v>
      </c>
      <c r="H301" s="5" t="s">
        <v>16</v>
      </c>
      <c r="I301" s="5">
        <v>3</v>
      </c>
      <c r="J301" s="9" t="s">
        <v>17</v>
      </c>
      <c r="K301" s="1" t="s">
        <v>593</v>
      </c>
      <c r="L301" t="s">
        <v>10</v>
      </c>
      <c r="M301" t="str">
        <f>+VLOOKUP(C301,'[1]TIENDAS 2025'!$A$1:$C$143,3,0)</f>
        <v>departamental</v>
      </c>
      <c r="O301">
        <v>1</v>
      </c>
    </row>
    <row r="302" spans="1:15" ht="15" customHeight="1" x14ac:dyDescent="0.3">
      <c r="A302" s="8">
        <v>209667893</v>
      </c>
      <c r="B302" s="4" t="s">
        <v>403</v>
      </c>
      <c r="C302" s="4" t="s">
        <v>404</v>
      </c>
      <c r="D302" s="6">
        <v>46308.762210648201</v>
      </c>
      <c r="E302" s="6">
        <v>46308.512175925898</v>
      </c>
      <c r="F302" s="6">
        <v>46308</v>
      </c>
      <c r="G302" s="5" t="s">
        <v>12</v>
      </c>
      <c r="H302" s="5" t="s">
        <v>16</v>
      </c>
      <c r="I302" s="5">
        <v>14</v>
      </c>
      <c r="J302" s="9" t="s">
        <v>17</v>
      </c>
      <c r="K302" s="1" t="s">
        <v>594</v>
      </c>
      <c r="L302" t="s">
        <v>10</v>
      </c>
      <c r="M302" t="str">
        <f>+VLOOKUP(C302,'[1]TIENDAS 2025'!$A$1:$C$143,3,0)</f>
        <v>prioridad</v>
      </c>
      <c r="O302">
        <v>1</v>
      </c>
    </row>
    <row r="303" spans="1:15" ht="15" customHeight="1" x14ac:dyDescent="0.3">
      <c r="A303" s="8">
        <v>209667901</v>
      </c>
      <c r="B303" s="4" t="s">
        <v>430</v>
      </c>
      <c r="C303" s="4" t="s">
        <v>431</v>
      </c>
      <c r="D303" s="6">
        <v>46308.762233796297</v>
      </c>
      <c r="E303" s="6">
        <v>46308.512199074103</v>
      </c>
      <c r="F303" s="6">
        <v>46308</v>
      </c>
      <c r="G303" s="5" t="s">
        <v>12</v>
      </c>
      <c r="H303" s="5" t="s">
        <v>16</v>
      </c>
      <c r="I303" s="5">
        <v>6</v>
      </c>
      <c r="J303" s="9" t="s">
        <v>17</v>
      </c>
      <c r="K303" s="1" t="s">
        <v>595</v>
      </c>
      <c r="L303" t="s">
        <v>10</v>
      </c>
      <c r="M303" t="str">
        <f>+VLOOKUP(C303,'[1]TIENDAS 2025'!$A$1:$C$143,3,0)</f>
        <v>prioridad</v>
      </c>
      <c r="O303">
        <v>1</v>
      </c>
    </row>
    <row r="304" spans="1:15" ht="15" customHeight="1" x14ac:dyDescent="0.3">
      <c r="A304" s="8">
        <v>209667907</v>
      </c>
      <c r="B304" s="4" t="s">
        <v>382</v>
      </c>
      <c r="C304" s="4" t="s">
        <v>383</v>
      </c>
      <c r="D304" s="6">
        <v>46308.762245370403</v>
      </c>
      <c r="E304" s="6">
        <v>46308.512222222198</v>
      </c>
      <c r="F304" s="6">
        <v>46308</v>
      </c>
      <c r="G304" s="5" t="s">
        <v>12</v>
      </c>
      <c r="H304" s="5" t="s">
        <v>16</v>
      </c>
      <c r="I304" s="5">
        <v>4</v>
      </c>
      <c r="J304" s="9" t="s">
        <v>17</v>
      </c>
      <c r="K304" s="1" t="s">
        <v>596</v>
      </c>
      <c r="L304" t="s">
        <v>10</v>
      </c>
      <c r="M304" t="str">
        <f>+VLOOKUP(C304,'[1]TIENDAS 2025'!$A$1:$C$143,3,0)</f>
        <v>local</v>
      </c>
      <c r="O304">
        <v>1</v>
      </c>
    </row>
    <row r="305" spans="1:15" ht="15" customHeight="1" x14ac:dyDescent="0.3">
      <c r="A305" s="8">
        <v>209667840</v>
      </c>
      <c r="B305" s="4" t="s">
        <v>545</v>
      </c>
      <c r="C305" s="4" t="s">
        <v>546</v>
      </c>
      <c r="D305" s="6">
        <v>46308.762268518498</v>
      </c>
      <c r="E305" s="6">
        <v>46308.512233796297</v>
      </c>
      <c r="F305" s="6">
        <v>46308</v>
      </c>
      <c r="G305" s="5" t="s">
        <v>12</v>
      </c>
      <c r="H305" s="5" t="s">
        <v>16</v>
      </c>
      <c r="I305" s="5">
        <v>6</v>
      </c>
      <c r="J305" s="9" t="s">
        <v>17</v>
      </c>
      <c r="K305" s="1" t="s">
        <v>597</v>
      </c>
      <c r="L305" t="s">
        <v>10</v>
      </c>
      <c r="M305" t="str">
        <f>+VLOOKUP(C305,'[1]TIENDAS 2025'!$A$1:$C$143,3,0)</f>
        <v>departamental</v>
      </c>
      <c r="O305">
        <v>1</v>
      </c>
    </row>
    <row r="306" spans="1:15" ht="15" customHeight="1" x14ac:dyDescent="0.3">
      <c r="A306" s="8">
        <v>209667916</v>
      </c>
      <c r="B306" s="4" t="s">
        <v>466</v>
      </c>
      <c r="C306" s="4" t="s">
        <v>467</v>
      </c>
      <c r="D306" s="6">
        <v>46308.762291666702</v>
      </c>
      <c r="E306" s="6">
        <v>46308.512256944399</v>
      </c>
      <c r="F306" s="6">
        <v>46308</v>
      </c>
      <c r="G306" s="5" t="s">
        <v>12</v>
      </c>
      <c r="H306" s="5" t="s">
        <v>16</v>
      </c>
      <c r="I306" s="5">
        <v>4</v>
      </c>
      <c r="J306" s="9" t="s">
        <v>17</v>
      </c>
      <c r="K306" s="1" t="s">
        <v>598</v>
      </c>
      <c r="L306" t="s">
        <v>10</v>
      </c>
      <c r="M306" t="str">
        <f>+VLOOKUP(C306,'[1]TIENDAS 2025'!$A$1:$C$143,3,0)</f>
        <v>departamental</v>
      </c>
      <c r="O306">
        <v>1</v>
      </c>
    </row>
    <row r="307" spans="1:15" ht="15" customHeight="1" x14ac:dyDescent="0.3">
      <c r="A307" s="8">
        <v>209667795</v>
      </c>
      <c r="B307" s="4" t="s">
        <v>506</v>
      </c>
      <c r="C307" s="4" t="s">
        <v>507</v>
      </c>
      <c r="D307" s="6">
        <v>46308.762303240699</v>
      </c>
      <c r="E307" s="6">
        <v>46308.512280092596</v>
      </c>
      <c r="F307" s="6">
        <v>46308</v>
      </c>
      <c r="G307" s="5" t="s">
        <v>12</v>
      </c>
      <c r="H307" s="5" t="s">
        <v>16</v>
      </c>
      <c r="I307" s="5">
        <v>11</v>
      </c>
      <c r="J307" s="9" t="s">
        <v>17</v>
      </c>
      <c r="K307" s="1" t="s">
        <v>599</v>
      </c>
      <c r="L307" t="s">
        <v>10</v>
      </c>
      <c r="M307" t="str">
        <f>+VLOOKUP(C307,'[1]TIENDAS 2025'!$A$1:$C$143,3,0)</f>
        <v>departamental</v>
      </c>
      <c r="O307">
        <v>1</v>
      </c>
    </row>
    <row r="308" spans="1:15" ht="15" customHeight="1" x14ac:dyDescent="0.3">
      <c r="A308" s="8">
        <v>209667796</v>
      </c>
      <c r="B308" s="4" t="s">
        <v>244</v>
      </c>
      <c r="C308" s="4" t="s">
        <v>245</v>
      </c>
      <c r="D308" s="6">
        <v>46308.762326388904</v>
      </c>
      <c r="E308" s="6">
        <v>46308.512303240699</v>
      </c>
      <c r="F308" s="6">
        <v>46308</v>
      </c>
      <c r="G308" s="5" t="s">
        <v>12</v>
      </c>
      <c r="H308" s="5" t="s">
        <v>16</v>
      </c>
      <c r="I308" s="5">
        <v>8</v>
      </c>
      <c r="J308" s="9" t="s">
        <v>17</v>
      </c>
      <c r="K308" s="1" t="s">
        <v>600</v>
      </c>
      <c r="L308" t="s">
        <v>10</v>
      </c>
      <c r="M308" t="str">
        <f>+VLOOKUP(C308,'[1]TIENDAS 2025'!$A$1:$C$143,3,0)</f>
        <v>nocturna</v>
      </c>
      <c r="O308">
        <v>1</v>
      </c>
    </row>
    <row r="309" spans="1:15" ht="15" customHeight="1" x14ac:dyDescent="0.3">
      <c r="A309" s="8">
        <v>209667847</v>
      </c>
      <c r="B309" s="4" t="s">
        <v>554</v>
      </c>
      <c r="C309" s="4" t="s">
        <v>555</v>
      </c>
      <c r="D309" s="6">
        <v>46308.762349536999</v>
      </c>
      <c r="E309" s="6">
        <v>46308.512314814798</v>
      </c>
      <c r="F309" s="6">
        <v>46308</v>
      </c>
      <c r="G309" s="5" t="s">
        <v>12</v>
      </c>
      <c r="H309" s="5" t="s">
        <v>16</v>
      </c>
      <c r="I309" s="5">
        <v>8</v>
      </c>
      <c r="J309" s="9" t="s">
        <v>17</v>
      </c>
      <c r="K309" s="1" t="s">
        <v>601</v>
      </c>
      <c r="L309" t="s">
        <v>10</v>
      </c>
      <c r="M309" t="str">
        <f>+VLOOKUP(C309,'[1]TIENDAS 2025'!$A$1:$C$143,3,0)</f>
        <v>nocturna</v>
      </c>
      <c r="O309">
        <v>1</v>
      </c>
    </row>
    <row r="310" spans="1:15" ht="15" customHeight="1" x14ac:dyDescent="0.3">
      <c r="A310" s="8">
        <v>209667917</v>
      </c>
      <c r="B310" s="4" t="s">
        <v>391</v>
      </c>
      <c r="C310" s="4" t="s">
        <v>392</v>
      </c>
      <c r="D310" s="6">
        <v>46308.762361111098</v>
      </c>
      <c r="E310" s="6">
        <v>46308.512337963002</v>
      </c>
      <c r="F310" s="6">
        <v>46308</v>
      </c>
      <c r="G310" s="5" t="s">
        <v>12</v>
      </c>
      <c r="H310" s="5" t="s">
        <v>16</v>
      </c>
      <c r="I310" s="5">
        <v>8</v>
      </c>
      <c r="J310" s="9" t="s">
        <v>17</v>
      </c>
      <c r="K310" s="1" t="s">
        <v>602</v>
      </c>
      <c r="L310" t="s">
        <v>10</v>
      </c>
      <c r="M310" t="str">
        <f>+VLOOKUP(C310,'[1]TIENDAS 2025'!$A$1:$C$143,3,0)</f>
        <v>local</v>
      </c>
      <c r="O310">
        <v>1</v>
      </c>
    </row>
    <row r="311" spans="1:15" ht="15" customHeight="1" x14ac:dyDescent="0.3">
      <c r="A311" s="8">
        <v>209667797</v>
      </c>
      <c r="B311" s="4" t="s">
        <v>318</v>
      </c>
      <c r="C311" s="4" t="s">
        <v>319</v>
      </c>
      <c r="D311" s="6">
        <v>46308.762395833299</v>
      </c>
      <c r="E311" s="6">
        <v>46308.512349536999</v>
      </c>
      <c r="F311" s="6">
        <v>46308</v>
      </c>
      <c r="G311" s="5" t="s">
        <v>12</v>
      </c>
      <c r="H311" s="5" t="s">
        <v>16</v>
      </c>
      <c r="I311" s="5">
        <v>11</v>
      </c>
      <c r="J311" s="9" t="s">
        <v>17</v>
      </c>
      <c r="K311" s="1" t="s">
        <v>603</v>
      </c>
      <c r="L311" t="s">
        <v>10</v>
      </c>
      <c r="M311" t="str">
        <f>+VLOOKUP(C311,'[1]TIENDAS 2025'!$A$1:$C$143,3,0)</f>
        <v>local</v>
      </c>
      <c r="O311">
        <v>1</v>
      </c>
    </row>
    <row r="312" spans="1:15" ht="15" customHeight="1" x14ac:dyDescent="0.3">
      <c r="A312" s="8">
        <v>209667850</v>
      </c>
      <c r="B312" s="4" t="s">
        <v>472</v>
      </c>
      <c r="C312" s="4" t="s">
        <v>473</v>
      </c>
      <c r="D312" s="6">
        <v>46308.762418981503</v>
      </c>
      <c r="E312" s="6">
        <v>46308.512384259302</v>
      </c>
      <c r="F312" s="6">
        <v>46308</v>
      </c>
      <c r="G312" s="5" t="s">
        <v>12</v>
      </c>
      <c r="H312" s="5" t="s">
        <v>16</v>
      </c>
      <c r="I312" s="5">
        <v>7</v>
      </c>
      <c r="J312" s="9" t="s">
        <v>17</v>
      </c>
      <c r="K312" s="1" t="s">
        <v>604</v>
      </c>
      <c r="L312" t="s">
        <v>10</v>
      </c>
      <c r="M312" t="str">
        <f>+VLOOKUP(C312,'[1]TIENDAS 2025'!$A$1:$C$143,3,0)</f>
        <v>departamental</v>
      </c>
      <c r="O312">
        <v>1</v>
      </c>
    </row>
    <row r="313" spans="1:15" ht="15" customHeight="1" x14ac:dyDescent="0.3">
      <c r="A313" s="8">
        <v>209667800</v>
      </c>
      <c r="B313" s="4" t="s">
        <v>536</v>
      </c>
      <c r="C313" s="4" t="s">
        <v>537</v>
      </c>
      <c r="D313" s="6">
        <v>46308.762430555602</v>
      </c>
      <c r="E313" s="6">
        <v>46308.512407407397</v>
      </c>
      <c r="F313" s="6">
        <v>46308</v>
      </c>
      <c r="G313" s="5" t="s">
        <v>12</v>
      </c>
      <c r="H313" s="5" t="s">
        <v>16</v>
      </c>
      <c r="I313" s="5">
        <v>17</v>
      </c>
      <c r="J313" s="9" t="s">
        <v>17</v>
      </c>
      <c r="K313" s="1" t="s">
        <v>605</v>
      </c>
      <c r="L313" t="s">
        <v>10</v>
      </c>
      <c r="M313" t="str">
        <f>+VLOOKUP(C313,'[1]TIENDAS 2025'!$A$1:$C$143,3,0)</f>
        <v>departamental</v>
      </c>
      <c r="O313">
        <v>1</v>
      </c>
    </row>
    <row r="314" spans="1:15" ht="15" customHeight="1" x14ac:dyDescent="0.3">
      <c r="A314" s="8">
        <v>209667804</v>
      </c>
      <c r="B314" s="4" t="s">
        <v>211</v>
      </c>
      <c r="C314" s="4" t="s">
        <v>212</v>
      </c>
      <c r="D314" s="6">
        <v>46308.762453703697</v>
      </c>
      <c r="E314" s="6">
        <v>46308.512418981503</v>
      </c>
      <c r="F314" s="6">
        <v>46308</v>
      </c>
      <c r="G314" s="5" t="s">
        <v>12</v>
      </c>
      <c r="H314" s="5" t="s">
        <v>16</v>
      </c>
      <c r="I314" s="5">
        <v>14</v>
      </c>
      <c r="J314" s="9" t="s">
        <v>17</v>
      </c>
      <c r="K314" s="1" t="s">
        <v>606</v>
      </c>
      <c r="L314" t="s">
        <v>10</v>
      </c>
      <c r="M314" t="str">
        <f>+VLOOKUP(C314,'[1]TIENDAS 2025'!$A$1:$C$143,3,0)</f>
        <v>departamental</v>
      </c>
      <c r="O314">
        <v>1</v>
      </c>
    </row>
    <row r="315" spans="1:15" ht="15" customHeight="1" x14ac:dyDescent="0.3">
      <c r="A315" s="8">
        <v>209667793</v>
      </c>
      <c r="B315" s="4" t="s">
        <v>457</v>
      </c>
      <c r="C315" s="4" t="s">
        <v>458</v>
      </c>
      <c r="D315" s="6">
        <v>46308.762465277803</v>
      </c>
      <c r="E315" s="6">
        <v>46308.512442129599</v>
      </c>
      <c r="F315" s="6">
        <v>46308</v>
      </c>
      <c r="G315" s="5" t="s">
        <v>12</v>
      </c>
      <c r="H315" s="5" t="s">
        <v>16</v>
      </c>
      <c r="I315" s="5">
        <v>11</v>
      </c>
      <c r="J315" s="9" t="s">
        <v>17</v>
      </c>
      <c r="K315" s="1" t="s">
        <v>607</v>
      </c>
      <c r="L315" t="s">
        <v>10</v>
      </c>
      <c r="M315" t="str">
        <f>+VLOOKUP(C315,'[1]TIENDAS 2025'!$A$1:$C$143,3,0)</f>
        <v>departamental</v>
      </c>
      <c r="O315">
        <v>1</v>
      </c>
    </row>
    <row r="316" spans="1:15" ht="15" customHeight="1" x14ac:dyDescent="0.3">
      <c r="A316" s="8">
        <v>209667869</v>
      </c>
      <c r="B316" s="4" t="s">
        <v>184</v>
      </c>
      <c r="C316" s="4" t="s">
        <v>185</v>
      </c>
      <c r="D316" s="6">
        <v>46308.762488425898</v>
      </c>
      <c r="E316" s="6">
        <v>46308.512453703697</v>
      </c>
      <c r="F316" s="6">
        <v>46308</v>
      </c>
      <c r="G316" s="5" t="s">
        <v>12</v>
      </c>
      <c r="H316" s="5" t="s">
        <v>16</v>
      </c>
      <c r="I316" s="5">
        <v>4</v>
      </c>
      <c r="J316" s="9" t="s">
        <v>17</v>
      </c>
      <c r="K316" s="1" t="s">
        <v>608</v>
      </c>
      <c r="L316" t="s">
        <v>10</v>
      </c>
      <c r="M316" t="str">
        <f>+VLOOKUP(C316,'[1]TIENDAS 2025'!$A$1:$C$143,3,0)</f>
        <v>nocturna</v>
      </c>
      <c r="O316">
        <v>1</v>
      </c>
    </row>
    <row r="317" spans="1:15" ht="15" customHeight="1" x14ac:dyDescent="0.3">
      <c r="A317" s="8">
        <v>209667874</v>
      </c>
      <c r="B317" s="4" t="s">
        <v>409</v>
      </c>
      <c r="C317" s="4" t="s">
        <v>410</v>
      </c>
      <c r="D317" s="6">
        <v>46308.762499999997</v>
      </c>
      <c r="E317" s="6">
        <v>46308.512465277803</v>
      </c>
      <c r="F317" s="6">
        <v>46308</v>
      </c>
      <c r="G317" s="5" t="s">
        <v>12</v>
      </c>
      <c r="H317" s="5" t="s">
        <v>16</v>
      </c>
      <c r="I317" s="5">
        <v>7</v>
      </c>
      <c r="J317" s="9" t="s">
        <v>17</v>
      </c>
      <c r="K317" s="1" t="s">
        <v>609</v>
      </c>
      <c r="L317" t="s">
        <v>10</v>
      </c>
      <c r="M317" t="str">
        <f>+VLOOKUP(C317,'[1]TIENDAS 2025'!$A$1:$C$143,3,0)</f>
        <v>departamental</v>
      </c>
      <c r="O317">
        <v>1</v>
      </c>
    </row>
    <row r="318" spans="1:15" ht="15" customHeight="1" x14ac:dyDescent="0.3">
      <c r="A318" s="8">
        <v>209667880</v>
      </c>
      <c r="B318" s="4" t="s">
        <v>178</v>
      </c>
      <c r="C318" s="4" t="s">
        <v>179</v>
      </c>
      <c r="D318" s="6">
        <v>46308.762523148202</v>
      </c>
      <c r="E318" s="6">
        <v>46308.512488425898</v>
      </c>
      <c r="F318" s="6">
        <v>46308</v>
      </c>
      <c r="G318" s="5" t="s">
        <v>12</v>
      </c>
      <c r="H318" s="5" t="s">
        <v>16</v>
      </c>
      <c r="I318" s="5">
        <v>6</v>
      </c>
      <c r="J318" s="9" t="s">
        <v>17</v>
      </c>
      <c r="K318" s="1" t="s">
        <v>610</v>
      </c>
      <c r="L318" t="s">
        <v>10</v>
      </c>
      <c r="M318" t="str">
        <f>+VLOOKUP(C318,'[1]TIENDAS 2025'!$A$1:$C$143,3,0)</f>
        <v>local</v>
      </c>
      <c r="O318">
        <v>1</v>
      </c>
    </row>
    <row r="319" spans="1:15" ht="15" customHeight="1" x14ac:dyDescent="0.3">
      <c r="A319" s="8">
        <v>209667826</v>
      </c>
      <c r="B319" s="4" t="s">
        <v>376</v>
      </c>
      <c r="C319" s="4" t="s">
        <v>377</v>
      </c>
      <c r="D319" s="6">
        <v>46308.762534722198</v>
      </c>
      <c r="E319" s="6">
        <v>46308.512499999997</v>
      </c>
      <c r="F319" s="6">
        <v>46308</v>
      </c>
      <c r="G319" s="5" t="s">
        <v>12</v>
      </c>
      <c r="H319" s="5" t="s">
        <v>16</v>
      </c>
      <c r="I319" s="5">
        <v>9</v>
      </c>
      <c r="J319" s="9" t="s">
        <v>17</v>
      </c>
      <c r="K319" s="1" t="s">
        <v>611</v>
      </c>
      <c r="L319" t="s">
        <v>10</v>
      </c>
      <c r="M319" t="str">
        <f>+VLOOKUP(C319,'[1]TIENDAS 2025'!$A$1:$C$143,3,0)</f>
        <v>nocturna</v>
      </c>
      <c r="O319">
        <v>1</v>
      </c>
    </row>
    <row r="320" spans="1:15" ht="15" customHeight="1" x14ac:dyDescent="0.3">
      <c r="A320" s="8">
        <v>209667891</v>
      </c>
      <c r="B320" s="4" t="s">
        <v>295</v>
      </c>
      <c r="C320" s="4" t="s">
        <v>296</v>
      </c>
      <c r="D320" s="6">
        <v>46308.762546296297</v>
      </c>
      <c r="E320" s="6">
        <v>46308.512523148202</v>
      </c>
      <c r="F320" s="6">
        <v>46308</v>
      </c>
      <c r="G320" s="5" t="s">
        <v>12</v>
      </c>
      <c r="H320" s="5" t="s">
        <v>16</v>
      </c>
      <c r="I320" s="5">
        <v>6</v>
      </c>
      <c r="J320" s="9" t="s">
        <v>17</v>
      </c>
      <c r="K320" s="1" t="s">
        <v>612</v>
      </c>
      <c r="L320" t="s">
        <v>10</v>
      </c>
      <c r="M320" t="str">
        <f>+VLOOKUP(C320,'[1]TIENDAS 2025'!$A$1:$C$143,3,0)</f>
        <v>local</v>
      </c>
      <c r="O320">
        <v>1</v>
      </c>
    </row>
    <row r="321" spans="1:15" ht="15" customHeight="1" x14ac:dyDescent="0.3">
      <c r="A321" s="8">
        <v>209667892</v>
      </c>
      <c r="B321" s="4" t="s">
        <v>351</v>
      </c>
      <c r="C321" s="4" t="s">
        <v>352</v>
      </c>
      <c r="D321" s="6">
        <v>46308.762557870403</v>
      </c>
      <c r="E321" s="6">
        <v>46308.512534722198</v>
      </c>
      <c r="F321" s="6">
        <v>46308</v>
      </c>
      <c r="G321" s="5" t="s">
        <v>12</v>
      </c>
      <c r="H321" s="5" t="s">
        <v>16</v>
      </c>
      <c r="I321" s="5">
        <v>4</v>
      </c>
      <c r="J321" s="9" t="s">
        <v>17</v>
      </c>
      <c r="K321" s="1" t="s">
        <v>613</v>
      </c>
      <c r="L321" t="s">
        <v>10</v>
      </c>
      <c r="M321" t="str">
        <f>+VLOOKUP(C321,'[1]TIENDAS 2025'!$A$1:$C$143,3,0)</f>
        <v>prioridad</v>
      </c>
      <c r="O321">
        <v>1</v>
      </c>
    </row>
    <row r="322" spans="1:15" ht="15" customHeight="1" x14ac:dyDescent="0.3">
      <c r="A322" s="8">
        <v>209667831</v>
      </c>
      <c r="B322" s="4" t="s">
        <v>253</v>
      </c>
      <c r="C322" s="4" t="s">
        <v>254</v>
      </c>
      <c r="D322" s="6">
        <v>46308.762581018498</v>
      </c>
      <c r="E322" s="6">
        <v>46308.512546296297</v>
      </c>
      <c r="F322" s="6">
        <v>46308</v>
      </c>
      <c r="G322" s="5" t="s">
        <v>12</v>
      </c>
      <c r="H322" s="5" t="s">
        <v>16</v>
      </c>
      <c r="I322" s="5">
        <v>5</v>
      </c>
      <c r="J322" s="9" t="s">
        <v>17</v>
      </c>
      <c r="K322" s="1" t="s">
        <v>614</v>
      </c>
      <c r="L322" t="s">
        <v>10</v>
      </c>
      <c r="M322" t="str">
        <f>+VLOOKUP(C322,'[1]TIENDAS 2025'!$A$1:$C$143,3,0)</f>
        <v>departamental</v>
      </c>
      <c r="O322">
        <v>1</v>
      </c>
    </row>
    <row r="323" spans="1:15" ht="15" customHeight="1" x14ac:dyDescent="0.3">
      <c r="A323" s="8">
        <v>209667832</v>
      </c>
      <c r="B323" s="4" t="s">
        <v>202</v>
      </c>
      <c r="C323" s="4" t="s">
        <v>203</v>
      </c>
      <c r="D323" s="6">
        <v>46308.762604166703</v>
      </c>
      <c r="E323" s="6">
        <v>46308.5125694444</v>
      </c>
      <c r="F323" s="6">
        <v>46308</v>
      </c>
      <c r="G323" s="5" t="s">
        <v>12</v>
      </c>
      <c r="H323" s="5" t="s">
        <v>16</v>
      </c>
      <c r="I323" s="5">
        <v>17</v>
      </c>
      <c r="J323" s="9" t="s">
        <v>17</v>
      </c>
      <c r="K323" s="1" t="s">
        <v>615</v>
      </c>
      <c r="L323" t="s">
        <v>10</v>
      </c>
      <c r="M323" t="str">
        <f>+VLOOKUP(C323,'[1]TIENDAS 2025'!$A$1:$C$143,3,0)</f>
        <v>local</v>
      </c>
      <c r="O323">
        <v>1</v>
      </c>
    </row>
    <row r="324" spans="1:15" ht="15" customHeight="1" x14ac:dyDescent="0.3">
      <c r="A324" s="8">
        <v>209667898</v>
      </c>
      <c r="B324" s="4" t="s">
        <v>475</v>
      </c>
      <c r="C324" s="4" t="s">
        <v>476</v>
      </c>
      <c r="D324" s="6">
        <v>46308.762627314798</v>
      </c>
      <c r="E324" s="6">
        <v>46308.512592592597</v>
      </c>
      <c r="F324" s="6">
        <v>46308</v>
      </c>
      <c r="G324" s="5" t="s">
        <v>12</v>
      </c>
      <c r="H324" s="5" t="s">
        <v>16</v>
      </c>
      <c r="I324" s="5">
        <v>1</v>
      </c>
      <c r="J324" s="9" t="s">
        <v>17</v>
      </c>
      <c r="K324" s="1" t="s">
        <v>616</v>
      </c>
      <c r="L324" t="s">
        <v>10</v>
      </c>
      <c r="M324" t="str">
        <f>+VLOOKUP(C324,'[1]TIENDAS 2025'!$A$1:$C$143,3,0)</f>
        <v>prioridad</v>
      </c>
      <c r="O324">
        <v>1</v>
      </c>
    </row>
    <row r="325" spans="1:15" ht="15" customHeight="1" x14ac:dyDescent="0.3">
      <c r="A325" s="8">
        <v>209667835</v>
      </c>
      <c r="B325" s="4" t="s">
        <v>373</v>
      </c>
      <c r="C325" s="4" t="s">
        <v>374</v>
      </c>
      <c r="D325" s="6">
        <v>46308.762638888897</v>
      </c>
      <c r="E325" s="6">
        <v>46308.512604166703</v>
      </c>
      <c r="F325" s="6">
        <v>46308</v>
      </c>
      <c r="G325" s="5" t="s">
        <v>12</v>
      </c>
      <c r="H325" s="5" t="s">
        <v>16</v>
      </c>
      <c r="I325" s="5">
        <v>7</v>
      </c>
      <c r="J325" s="9" t="s">
        <v>17</v>
      </c>
      <c r="K325" s="1" t="s">
        <v>617</v>
      </c>
      <c r="L325" t="s">
        <v>10</v>
      </c>
      <c r="M325" t="str">
        <f>+VLOOKUP(C325,'[1]TIENDAS 2025'!$A$1:$C$143,3,0)</f>
        <v>departamental</v>
      </c>
      <c r="O325">
        <v>1</v>
      </c>
    </row>
    <row r="326" spans="1:15" ht="15" customHeight="1" x14ac:dyDescent="0.3">
      <c r="A326" s="8">
        <v>209667841</v>
      </c>
      <c r="B326" s="4" t="s">
        <v>324</v>
      </c>
      <c r="C326" s="4" t="s">
        <v>325</v>
      </c>
      <c r="D326" s="6">
        <v>46308.762650463003</v>
      </c>
      <c r="E326" s="6">
        <v>46308.512615740699</v>
      </c>
      <c r="F326" s="6">
        <v>46308</v>
      </c>
      <c r="G326" s="5" t="s">
        <v>12</v>
      </c>
      <c r="H326" s="5" t="s">
        <v>16</v>
      </c>
      <c r="I326" s="5">
        <v>3</v>
      </c>
      <c r="J326" s="9" t="s">
        <v>17</v>
      </c>
      <c r="K326" s="1" t="s">
        <v>618</v>
      </c>
      <c r="L326" t="s">
        <v>10</v>
      </c>
      <c r="M326" t="str">
        <f>+VLOOKUP(C326,'[1]TIENDAS 2025'!$A$1:$C$143,3,0)</f>
        <v>local</v>
      </c>
      <c r="O326">
        <v>1</v>
      </c>
    </row>
    <row r="327" spans="1:15" ht="15" customHeight="1" x14ac:dyDescent="0.3">
      <c r="A327" s="8">
        <v>209667842</v>
      </c>
      <c r="B327" s="4" t="s">
        <v>406</v>
      </c>
      <c r="C327" s="4" t="s">
        <v>407</v>
      </c>
      <c r="D327" s="6">
        <v>46308.762662036999</v>
      </c>
      <c r="E327" s="6">
        <v>46308.512627314798</v>
      </c>
      <c r="F327" s="6">
        <v>46308</v>
      </c>
      <c r="G327" s="5" t="s">
        <v>12</v>
      </c>
      <c r="H327" s="5" t="s">
        <v>16</v>
      </c>
      <c r="I327" s="5">
        <v>9</v>
      </c>
      <c r="J327" s="9" t="s">
        <v>17</v>
      </c>
      <c r="K327" s="1" t="s">
        <v>619</v>
      </c>
      <c r="L327" t="s">
        <v>10</v>
      </c>
      <c r="M327" t="str">
        <f>+VLOOKUP(C327,'[1]TIENDAS 2025'!$A$1:$C$143,3,0)</f>
        <v>nocturna</v>
      </c>
      <c r="O327">
        <v>1</v>
      </c>
    </row>
    <row r="328" spans="1:15" ht="15" customHeight="1" x14ac:dyDescent="0.3">
      <c r="A328" s="8">
        <v>209667909</v>
      </c>
      <c r="B328" s="4" t="s">
        <v>160</v>
      </c>
      <c r="C328" s="4" t="s">
        <v>161</v>
      </c>
      <c r="D328" s="6">
        <v>46308.762685185196</v>
      </c>
      <c r="E328" s="6">
        <v>46308.512650463003</v>
      </c>
      <c r="F328" s="6">
        <v>46308</v>
      </c>
      <c r="G328" s="5" t="s">
        <v>12</v>
      </c>
      <c r="H328" s="5" t="s">
        <v>16</v>
      </c>
      <c r="I328" s="5">
        <v>7</v>
      </c>
      <c r="J328" s="9" t="s">
        <v>17</v>
      </c>
      <c r="K328" s="1" t="s">
        <v>620</v>
      </c>
      <c r="L328" t="s">
        <v>10</v>
      </c>
      <c r="M328" t="str">
        <f>+VLOOKUP(C328,'[1]TIENDAS 2025'!$A$1:$C$143,3,0)</f>
        <v>nocturna</v>
      </c>
      <c r="O328">
        <v>1</v>
      </c>
    </row>
    <row r="329" spans="1:15" ht="15" customHeight="1" x14ac:dyDescent="0.3">
      <c r="A329" s="8">
        <v>209667918</v>
      </c>
      <c r="B329" s="4" t="s">
        <v>280</v>
      </c>
      <c r="C329" s="4" t="s">
        <v>281</v>
      </c>
      <c r="D329" s="6">
        <v>46308.762696759302</v>
      </c>
      <c r="E329" s="6">
        <v>46308.512662036999</v>
      </c>
      <c r="F329" s="6">
        <v>46308</v>
      </c>
      <c r="G329" s="5" t="s">
        <v>12</v>
      </c>
      <c r="H329" s="5" t="s">
        <v>16</v>
      </c>
      <c r="I329" s="5">
        <v>1</v>
      </c>
      <c r="J329" s="9" t="s">
        <v>17</v>
      </c>
      <c r="K329" s="1" t="s">
        <v>621</v>
      </c>
      <c r="L329" t="s">
        <v>10</v>
      </c>
      <c r="M329" t="str">
        <f>+VLOOKUP(C329,'[1]TIENDAS 2025'!$A$1:$C$143,3,0)</f>
        <v>nocturna</v>
      </c>
      <c r="O329">
        <v>1</v>
      </c>
    </row>
    <row r="330" spans="1:15" ht="15" customHeight="1" x14ac:dyDescent="0.3">
      <c r="A330" s="8">
        <v>209667849</v>
      </c>
      <c r="B330" s="4" t="s">
        <v>367</v>
      </c>
      <c r="C330" s="4" t="s">
        <v>368</v>
      </c>
      <c r="D330" s="6">
        <v>46308.762696759302</v>
      </c>
      <c r="E330" s="6">
        <v>46308.512673611098</v>
      </c>
      <c r="F330" s="6">
        <v>46308</v>
      </c>
      <c r="G330" s="5" t="s">
        <v>12</v>
      </c>
      <c r="H330" s="5" t="s">
        <v>16</v>
      </c>
      <c r="I330" s="5">
        <v>7</v>
      </c>
      <c r="J330" s="9" t="s">
        <v>17</v>
      </c>
      <c r="K330" s="1" t="s">
        <v>622</v>
      </c>
      <c r="L330" t="s">
        <v>10</v>
      </c>
      <c r="M330" t="str">
        <f>+VLOOKUP(C330,'[1]TIENDAS 2025'!$A$1:$C$143,3,0)</f>
        <v>local</v>
      </c>
      <c r="O330">
        <v>1</v>
      </c>
    </row>
    <row r="331" spans="1:15" ht="15" customHeight="1" x14ac:dyDescent="0.3">
      <c r="A331" s="8">
        <v>209667857</v>
      </c>
      <c r="B331" s="4" t="s">
        <v>424</v>
      </c>
      <c r="C331" s="4" t="s">
        <v>425</v>
      </c>
      <c r="D331" s="6">
        <v>46308.762719907398</v>
      </c>
      <c r="E331" s="6">
        <v>46308.512685185196</v>
      </c>
      <c r="F331" s="6">
        <v>46308</v>
      </c>
      <c r="G331" s="5" t="s">
        <v>12</v>
      </c>
      <c r="H331" s="5" t="s">
        <v>16</v>
      </c>
      <c r="I331" s="5">
        <v>4</v>
      </c>
      <c r="J331" s="9" t="s">
        <v>17</v>
      </c>
      <c r="K331" s="1" t="s">
        <v>623</v>
      </c>
      <c r="L331" t="s">
        <v>10</v>
      </c>
      <c r="M331" t="str">
        <f>+VLOOKUP(C331,'[1]TIENDAS 2025'!$A$1:$C$143,3,0)</f>
        <v>prioridad</v>
      </c>
      <c r="O331">
        <v>1</v>
      </c>
    </row>
    <row r="332" spans="1:15" ht="15" customHeight="1" x14ac:dyDescent="0.3">
      <c r="A332" s="8">
        <v>209667864</v>
      </c>
      <c r="B332" s="4" t="s">
        <v>512</v>
      </c>
      <c r="C332" s="4" t="s">
        <v>513</v>
      </c>
      <c r="D332" s="6">
        <v>46308.762731481504</v>
      </c>
      <c r="E332" s="6">
        <v>46308.512708333299</v>
      </c>
      <c r="F332" s="6">
        <v>46308</v>
      </c>
      <c r="G332" s="5" t="s">
        <v>12</v>
      </c>
      <c r="H332" s="5" t="s">
        <v>16</v>
      </c>
      <c r="I332" s="5">
        <v>10</v>
      </c>
      <c r="J332" s="9" t="s">
        <v>17</v>
      </c>
      <c r="K332" s="1" t="s">
        <v>624</v>
      </c>
      <c r="L332" t="s">
        <v>10</v>
      </c>
      <c r="M332" t="str">
        <f>+VLOOKUP(C332,'[1]TIENDAS 2025'!$A$1:$C$143,3,0)</f>
        <v>prioridad</v>
      </c>
      <c r="O332">
        <v>1</v>
      </c>
    </row>
    <row r="333" spans="1:15" ht="15" customHeight="1" x14ac:dyDescent="0.3">
      <c r="A333" s="8">
        <v>209667873</v>
      </c>
      <c r="B333" s="4" t="s">
        <v>172</v>
      </c>
      <c r="C333" s="4" t="s">
        <v>173</v>
      </c>
      <c r="D333" s="6">
        <v>46308.762754629599</v>
      </c>
      <c r="E333" s="6">
        <v>46308.512719907398</v>
      </c>
      <c r="F333" s="6">
        <v>46308</v>
      </c>
      <c r="G333" s="5" t="s">
        <v>12</v>
      </c>
      <c r="H333" s="5" t="s">
        <v>16</v>
      </c>
      <c r="I333" s="5">
        <v>10</v>
      </c>
      <c r="J333" s="9" t="s">
        <v>17</v>
      </c>
      <c r="K333" s="1" t="s">
        <v>625</v>
      </c>
      <c r="L333" t="s">
        <v>10</v>
      </c>
      <c r="M333" t="str">
        <f>+VLOOKUP(C333,'[1]TIENDAS 2025'!$A$1:$C$143,3,0)</f>
        <v>local</v>
      </c>
      <c r="O333">
        <v>1</v>
      </c>
    </row>
    <row r="334" spans="1:15" ht="15" customHeight="1" x14ac:dyDescent="0.3">
      <c r="A334" s="8">
        <v>209667876</v>
      </c>
      <c r="B334" s="4" t="s">
        <v>277</v>
      </c>
      <c r="C334" s="4" t="s">
        <v>278</v>
      </c>
      <c r="D334" s="6">
        <v>46308.762766203698</v>
      </c>
      <c r="E334" s="6">
        <v>46308.512731481504</v>
      </c>
      <c r="F334" s="6">
        <v>46308</v>
      </c>
      <c r="G334" s="5" t="s">
        <v>12</v>
      </c>
      <c r="H334" s="5" t="s">
        <v>16</v>
      </c>
      <c r="I334" s="5">
        <v>2</v>
      </c>
      <c r="J334" s="9" t="s">
        <v>17</v>
      </c>
      <c r="K334" s="1" t="s">
        <v>626</v>
      </c>
      <c r="L334" t="s">
        <v>10</v>
      </c>
      <c r="M334" t="str">
        <f>+VLOOKUP(C334,'[1]TIENDAS 2025'!$A$1:$C$143,3,0)</f>
        <v>local</v>
      </c>
      <c r="O334">
        <v>1</v>
      </c>
    </row>
    <row r="335" spans="1:15" ht="15" customHeight="1" x14ac:dyDescent="0.3">
      <c r="A335" s="8">
        <v>209667824</v>
      </c>
      <c r="B335" s="4" t="s">
        <v>214</v>
      </c>
      <c r="C335" s="4" t="s">
        <v>215</v>
      </c>
      <c r="D335" s="6">
        <v>46308.762777777803</v>
      </c>
      <c r="E335" s="6">
        <v>46308.512754629599</v>
      </c>
      <c r="F335" s="6">
        <v>46308</v>
      </c>
      <c r="G335" s="5" t="s">
        <v>12</v>
      </c>
      <c r="H335" s="5" t="s">
        <v>16</v>
      </c>
      <c r="I335" s="5">
        <v>9</v>
      </c>
      <c r="J335" s="9" t="s">
        <v>17</v>
      </c>
      <c r="K335" s="1" t="s">
        <v>627</v>
      </c>
      <c r="L335" t="s">
        <v>10</v>
      </c>
      <c r="M335" t="str">
        <f>+VLOOKUP(C335,'[1]TIENDAS 2025'!$A$1:$C$143,3,0)</f>
        <v>departamental</v>
      </c>
      <c r="O335">
        <v>1</v>
      </c>
    </row>
    <row r="336" spans="1:15" ht="15" customHeight="1" x14ac:dyDescent="0.3">
      <c r="A336" s="8">
        <v>209667879</v>
      </c>
      <c r="B336" s="4" t="s">
        <v>217</v>
      </c>
      <c r="C336" s="4" t="s">
        <v>218</v>
      </c>
      <c r="D336" s="6">
        <v>46308.762800925899</v>
      </c>
      <c r="E336" s="6">
        <v>46308.512766203698</v>
      </c>
      <c r="F336" s="6">
        <v>46308</v>
      </c>
      <c r="G336" s="5" t="s">
        <v>12</v>
      </c>
      <c r="H336" s="5" t="s">
        <v>16</v>
      </c>
      <c r="I336" s="5">
        <v>4</v>
      </c>
      <c r="J336" s="9" t="s">
        <v>17</v>
      </c>
      <c r="K336" s="1" t="s">
        <v>628</v>
      </c>
      <c r="L336" t="s">
        <v>10</v>
      </c>
      <c r="M336" t="str">
        <f>+VLOOKUP(C336,'[1]TIENDAS 2025'!$A$1:$C$143,3,0)</f>
        <v>nocturna</v>
      </c>
      <c r="O336">
        <v>1</v>
      </c>
    </row>
    <row r="337" spans="1:15" ht="15" customHeight="1" x14ac:dyDescent="0.3">
      <c r="A337" s="8">
        <v>209667883</v>
      </c>
      <c r="B337" s="4" t="s">
        <v>485</v>
      </c>
      <c r="C337" s="4" t="s">
        <v>486</v>
      </c>
      <c r="D337" s="6">
        <v>46308.762812499997</v>
      </c>
      <c r="E337" s="6">
        <v>46308.512777777803</v>
      </c>
      <c r="F337" s="6">
        <v>46308</v>
      </c>
      <c r="G337" s="5" t="s">
        <v>12</v>
      </c>
      <c r="H337" s="5" t="s">
        <v>16</v>
      </c>
      <c r="I337" s="5">
        <v>8</v>
      </c>
      <c r="J337" s="9" t="s">
        <v>17</v>
      </c>
      <c r="K337" s="1" t="s">
        <v>629</v>
      </c>
      <c r="L337" t="s">
        <v>10</v>
      </c>
      <c r="M337" t="str">
        <f>+VLOOKUP(C337,'[1]TIENDAS 2025'!$A$1:$C$143,3,0)</f>
        <v>departamental</v>
      </c>
      <c r="O337">
        <v>1</v>
      </c>
    </row>
    <row r="338" spans="1:15" ht="15" customHeight="1" x14ac:dyDescent="0.3">
      <c r="A338" s="8">
        <v>209667888</v>
      </c>
      <c r="B338" s="4" t="s">
        <v>551</v>
      </c>
      <c r="C338" s="4" t="s">
        <v>552</v>
      </c>
      <c r="D338" s="6">
        <v>46308.762835648202</v>
      </c>
      <c r="E338" s="6">
        <v>46308.512800925899</v>
      </c>
      <c r="F338" s="6">
        <v>46308</v>
      </c>
      <c r="G338" s="5" t="s">
        <v>12</v>
      </c>
      <c r="H338" s="5" t="s">
        <v>16</v>
      </c>
      <c r="I338" s="5">
        <v>2</v>
      </c>
      <c r="J338" s="9" t="s">
        <v>17</v>
      </c>
      <c r="K338" s="1" t="s">
        <v>630</v>
      </c>
      <c r="L338" t="s">
        <v>10</v>
      </c>
      <c r="M338" t="str">
        <f>+VLOOKUP(C338,'[1]TIENDAS 2025'!$A$1:$C$143,3,0)</f>
        <v>nocturna</v>
      </c>
      <c r="O338">
        <v>1</v>
      </c>
    </row>
    <row r="339" spans="1:15" ht="15" customHeight="1" x14ac:dyDescent="0.3">
      <c r="A339" s="8">
        <v>209667889</v>
      </c>
      <c r="B339" s="4" t="s">
        <v>301</v>
      </c>
      <c r="C339" s="4" t="s">
        <v>302</v>
      </c>
      <c r="D339" s="6">
        <v>46308.762847222199</v>
      </c>
      <c r="E339" s="6">
        <v>46308.512812499997</v>
      </c>
      <c r="F339" s="6">
        <v>46308</v>
      </c>
      <c r="G339" s="5" t="s">
        <v>12</v>
      </c>
      <c r="H339" s="5" t="s">
        <v>16</v>
      </c>
      <c r="I339" s="5">
        <v>5</v>
      </c>
      <c r="J339" s="9" t="s">
        <v>17</v>
      </c>
      <c r="K339" s="1" t="s">
        <v>631</v>
      </c>
      <c r="L339" t="s">
        <v>10</v>
      </c>
      <c r="M339" t="str">
        <f>+VLOOKUP(C339,'[1]TIENDAS 2025'!$A$1:$C$143,3,0)</f>
        <v>departamental</v>
      </c>
      <c r="O339">
        <v>1</v>
      </c>
    </row>
    <row r="340" spans="1:15" ht="15" customHeight="1" x14ac:dyDescent="0.3">
      <c r="A340" s="8">
        <v>209667830</v>
      </c>
      <c r="B340" s="4" t="s">
        <v>436</v>
      </c>
      <c r="C340" s="4" t="s">
        <v>437</v>
      </c>
      <c r="D340" s="6">
        <v>46308.762870370403</v>
      </c>
      <c r="E340" s="6">
        <v>46308.512835648202</v>
      </c>
      <c r="F340" s="6">
        <v>46308</v>
      </c>
      <c r="G340" s="5" t="s">
        <v>12</v>
      </c>
      <c r="H340" s="5" t="s">
        <v>16</v>
      </c>
      <c r="I340" s="5">
        <v>12</v>
      </c>
      <c r="J340" s="9" t="s">
        <v>17</v>
      </c>
      <c r="K340" s="1" t="s">
        <v>632</v>
      </c>
      <c r="L340" t="s">
        <v>10</v>
      </c>
      <c r="M340" t="str">
        <f>+VLOOKUP(C340,'[1]TIENDAS 2025'!$A$1:$C$143,3,0)</f>
        <v>departamental</v>
      </c>
      <c r="O340">
        <v>1</v>
      </c>
    </row>
    <row r="341" spans="1:15" ht="15" customHeight="1" x14ac:dyDescent="0.3">
      <c r="A341" s="8">
        <v>209667834</v>
      </c>
      <c r="B341" s="4" t="s">
        <v>309</v>
      </c>
      <c r="C341" s="4" t="s">
        <v>310</v>
      </c>
      <c r="D341" s="6">
        <v>46308.762893518498</v>
      </c>
      <c r="E341" s="6">
        <v>46308.512870370403</v>
      </c>
      <c r="F341" s="6">
        <v>46308</v>
      </c>
      <c r="G341" s="5" t="s">
        <v>12</v>
      </c>
      <c r="H341" s="5" t="s">
        <v>16</v>
      </c>
      <c r="I341" s="5">
        <v>12</v>
      </c>
      <c r="J341" s="9" t="s">
        <v>17</v>
      </c>
      <c r="K341" s="1" t="s">
        <v>633</v>
      </c>
      <c r="L341" t="s">
        <v>10</v>
      </c>
      <c r="M341" t="str">
        <f>+VLOOKUP(C341,'[1]TIENDAS 2025'!$A$1:$C$143,3,0)</f>
        <v>departamental</v>
      </c>
      <c r="O341">
        <v>1</v>
      </c>
    </row>
    <row r="342" spans="1:15" ht="15" customHeight="1" x14ac:dyDescent="0.3">
      <c r="A342" s="8">
        <v>209667897</v>
      </c>
      <c r="B342" s="4" t="s">
        <v>312</v>
      </c>
      <c r="C342" s="4" t="s">
        <v>313</v>
      </c>
      <c r="D342" s="6">
        <v>46308.762893518498</v>
      </c>
      <c r="E342" s="6">
        <v>46308.512858796297</v>
      </c>
      <c r="F342" s="6">
        <v>46308</v>
      </c>
      <c r="G342" s="5" t="s">
        <v>12</v>
      </c>
      <c r="H342" s="5" t="s">
        <v>16</v>
      </c>
      <c r="I342" s="5">
        <v>7</v>
      </c>
      <c r="J342" s="9" t="s">
        <v>17</v>
      </c>
      <c r="K342" s="1" t="s">
        <v>634</v>
      </c>
      <c r="L342" t="s">
        <v>10</v>
      </c>
      <c r="M342" t="str">
        <f>+VLOOKUP(C342,'[1]TIENDAS 2025'!$A$1:$C$143,3,0)</f>
        <v>prioridad</v>
      </c>
      <c r="O342">
        <v>1</v>
      </c>
    </row>
    <row r="343" spans="1:15" ht="15" customHeight="1" x14ac:dyDescent="0.3">
      <c r="A343" s="8">
        <v>209667908</v>
      </c>
      <c r="B343" s="4" t="s">
        <v>196</v>
      </c>
      <c r="C343" s="4" t="s">
        <v>197</v>
      </c>
      <c r="D343" s="6">
        <v>46308.762916666703</v>
      </c>
      <c r="E343" s="6">
        <v>46308.512893518498</v>
      </c>
      <c r="F343" s="6">
        <v>46308</v>
      </c>
      <c r="G343" s="5" t="s">
        <v>12</v>
      </c>
      <c r="H343" s="5" t="s">
        <v>16</v>
      </c>
      <c r="I343" s="5">
        <v>13</v>
      </c>
      <c r="J343" s="9" t="s">
        <v>17</v>
      </c>
      <c r="K343" s="1" t="s">
        <v>635</v>
      </c>
      <c r="L343" t="s">
        <v>10</v>
      </c>
      <c r="M343" t="str">
        <f>+VLOOKUP(C343,'[1]TIENDAS 2025'!$A$1:$C$143,3,0)</f>
        <v>departamental</v>
      </c>
      <c r="O343">
        <v>1</v>
      </c>
    </row>
    <row r="344" spans="1:15" ht="15" customHeight="1" x14ac:dyDescent="0.3">
      <c r="A344" s="8">
        <v>209667844</v>
      </c>
      <c r="B344" s="4" t="s">
        <v>509</v>
      </c>
      <c r="C344" s="4" t="s">
        <v>510</v>
      </c>
      <c r="D344" s="6">
        <v>46308.762939814798</v>
      </c>
      <c r="E344" s="6">
        <v>46308.512905092597</v>
      </c>
      <c r="F344" s="6">
        <v>46308</v>
      </c>
      <c r="G344" s="5" t="s">
        <v>12</v>
      </c>
      <c r="H344" s="5" t="s">
        <v>16</v>
      </c>
      <c r="I344" s="5">
        <v>6</v>
      </c>
      <c r="J344" s="9" t="s">
        <v>17</v>
      </c>
      <c r="K344" s="1" t="s">
        <v>636</v>
      </c>
      <c r="L344" t="s">
        <v>10</v>
      </c>
      <c r="M344" t="str">
        <f>+VLOOKUP(C344,'[1]TIENDAS 2025'!$A$1:$C$143,3,0)</f>
        <v>nocturna</v>
      </c>
      <c r="O344">
        <v>1</v>
      </c>
    </row>
    <row r="345" spans="1:15" ht="15" customHeight="1" x14ac:dyDescent="0.3">
      <c r="A345" s="8">
        <v>209667919</v>
      </c>
      <c r="B345" s="4" t="s">
        <v>527</v>
      </c>
      <c r="C345" s="4" t="s">
        <v>528</v>
      </c>
      <c r="D345" s="6">
        <v>46308.762951388897</v>
      </c>
      <c r="E345" s="6">
        <v>46308.512916666703</v>
      </c>
      <c r="F345" s="6">
        <v>46308</v>
      </c>
      <c r="G345" s="5" t="s">
        <v>12</v>
      </c>
      <c r="H345" s="5" t="s">
        <v>16</v>
      </c>
      <c r="I345" s="5">
        <v>3</v>
      </c>
      <c r="J345" s="9" t="s">
        <v>17</v>
      </c>
      <c r="K345" s="1" t="s">
        <v>637</v>
      </c>
      <c r="L345" t="s">
        <v>10</v>
      </c>
      <c r="M345" t="str">
        <f>+VLOOKUP(C345,'[1]TIENDAS 2025'!$A$1:$C$143,3,0)</f>
        <v>prioridad</v>
      </c>
      <c r="O345">
        <v>1</v>
      </c>
    </row>
    <row r="346" spans="1:15" ht="15" customHeight="1" x14ac:dyDescent="0.3">
      <c r="A346" s="8">
        <v>209667920</v>
      </c>
      <c r="B346" s="4" t="s">
        <v>262</v>
      </c>
      <c r="C346" s="4" t="s">
        <v>263</v>
      </c>
      <c r="D346" s="6">
        <v>46308.762962963003</v>
      </c>
      <c r="E346" s="6">
        <v>46308.512939814798</v>
      </c>
      <c r="F346" s="6">
        <v>46308</v>
      </c>
      <c r="G346" s="5" t="s">
        <v>12</v>
      </c>
      <c r="H346" s="5" t="s">
        <v>16</v>
      </c>
      <c r="I346" s="5">
        <v>2</v>
      </c>
      <c r="J346" s="9" t="s">
        <v>17</v>
      </c>
      <c r="K346" s="1" t="s">
        <v>638</v>
      </c>
      <c r="L346" t="s">
        <v>10</v>
      </c>
      <c r="M346" t="str">
        <f>+VLOOKUP(C346,'[1]TIENDAS 2025'!$A$1:$C$143,3,0)</f>
        <v>departamental</v>
      </c>
      <c r="O346">
        <v>1</v>
      </c>
    </row>
    <row r="347" spans="1:15" ht="15" customHeight="1" x14ac:dyDescent="0.3">
      <c r="A347" s="8">
        <v>209667851</v>
      </c>
      <c r="B347" s="4" t="s">
        <v>361</v>
      </c>
      <c r="C347" s="4" t="s">
        <v>362</v>
      </c>
      <c r="D347" s="6">
        <v>46308.762974537</v>
      </c>
      <c r="E347" s="6">
        <v>46308.512951388897</v>
      </c>
      <c r="F347" s="6">
        <v>46308</v>
      </c>
      <c r="G347" s="5" t="s">
        <v>12</v>
      </c>
      <c r="H347" s="5" t="s">
        <v>16</v>
      </c>
      <c r="I347" s="5">
        <v>7</v>
      </c>
      <c r="J347" s="9" t="s">
        <v>17</v>
      </c>
      <c r="K347" s="1" t="s">
        <v>639</v>
      </c>
      <c r="L347" t="s">
        <v>10</v>
      </c>
      <c r="M347" t="str">
        <f>+VLOOKUP(C347,'[1]TIENDAS 2025'!$A$1:$C$143,3,0)</f>
        <v>departamental</v>
      </c>
      <c r="O347">
        <v>1</v>
      </c>
    </row>
    <row r="348" spans="1:15" ht="15" customHeight="1" x14ac:dyDescent="0.3">
      <c r="A348" s="8">
        <v>209667852</v>
      </c>
      <c r="B348" s="4" t="s">
        <v>304</v>
      </c>
      <c r="C348" s="4" t="s">
        <v>305</v>
      </c>
      <c r="D348" s="6">
        <v>46308.762986111098</v>
      </c>
      <c r="E348" s="6">
        <v>46308.512962963003</v>
      </c>
      <c r="F348" s="6">
        <v>46308</v>
      </c>
      <c r="G348" s="5" t="s">
        <v>12</v>
      </c>
      <c r="H348" s="5" t="s">
        <v>16</v>
      </c>
      <c r="I348" s="5">
        <v>9</v>
      </c>
      <c r="J348" s="9" t="s">
        <v>17</v>
      </c>
      <c r="K348" s="1" t="s">
        <v>640</v>
      </c>
      <c r="L348" t="s">
        <v>10</v>
      </c>
      <c r="M348" t="str">
        <f>+VLOOKUP(C348,'[1]TIENDAS 2025'!$A$1:$C$143,3,0)</f>
        <v>departamental</v>
      </c>
      <c r="O348">
        <v>1</v>
      </c>
    </row>
    <row r="349" spans="1:15" ht="15" customHeight="1" x14ac:dyDescent="0.3">
      <c r="A349" s="8">
        <v>209667853</v>
      </c>
      <c r="B349" s="4" t="s">
        <v>421</v>
      </c>
      <c r="C349" s="4" t="s">
        <v>422</v>
      </c>
      <c r="D349" s="6">
        <v>46308.763009259303</v>
      </c>
      <c r="E349" s="6">
        <v>46308.512974537</v>
      </c>
      <c r="F349" s="6">
        <v>46308</v>
      </c>
      <c r="G349" s="5" t="s">
        <v>12</v>
      </c>
      <c r="H349" s="5" t="s">
        <v>16</v>
      </c>
      <c r="I349" s="5">
        <v>7</v>
      </c>
      <c r="J349" s="9" t="s">
        <v>17</v>
      </c>
      <c r="K349" s="1" t="s">
        <v>641</v>
      </c>
      <c r="L349" t="s">
        <v>10</v>
      </c>
      <c r="M349" t="str">
        <f>+VLOOKUP(C349,'[1]TIENDAS 2025'!$A$1:$C$143,3,0)</f>
        <v>departamental</v>
      </c>
      <c r="O349">
        <v>1</v>
      </c>
    </row>
    <row r="350" spans="1:15" ht="15" customHeight="1" x14ac:dyDescent="0.3">
      <c r="A350" s="8">
        <v>209667808</v>
      </c>
      <c r="B350" s="4" t="s">
        <v>503</v>
      </c>
      <c r="C350" s="4" t="s">
        <v>504</v>
      </c>
      <c r="D350" s="6">
        <v>46308.763020833299</v>
      </c>
      <c r="E350" s="6">
        <v>46308.512997685197</v>
      </c>
      <c r="F350" s="6">
        <v>46308</v>
      </c>
      <c r="G350" s="5" t="s">
        <v>12</v>
      </c>
      <c r="H350" s="5" t="s">
        <v>16</v>
      </c>
      <c r="I350" s="5">
        <v>9</v>
      </c>
      <c r="J350" s="9" t="s">
        <v>17</v>
      </c>
      <c r="K350" s="1" t="s">
        <v>642</v>
      </c>
      <c r="L350" t="s">
        <v>10</v>
      </c>
      <c r="M350" t="str">
        <f>+VLOOKUP(C350,'[1]TIENDAS 2025'!$A$1:$C$143,3,0)</f>
        <v>departamental</v>
      </c>
      <c r="O350">
        <v>1</v>
      </c>
    </row>
    <row r="351" spans="1:15" ht="15" customHeight="1" x14ac:dyDescent="0.3">
      <c r="A351" s="8">
        <v>209667791</v>
      </c>
      <c r="B351" s="4" t="s">
        <v>460</v>
      </c>
      <c r="C351" s="4" t="s">
        <v>461</v>
      </c>
      <c r="D351" s="6">
        <v>46308.763032407398</v>
      </c>
      <c r="E351" s="6">
        <v>46308.513009259303</v>
      </c>
      <c r="F351" s="6">
        <v>46308</v>
      </c>
      <c r="G351" s="5" t="s">
        <v>12</v>
      </c>
      <c r="H351" s="5" t="s">
        <v>16</v>
      </c>
      <c r="I351" s="5">
        <v>14</v>
      </c>
      <c r="J351" s="9" t="s">
        <v>17</v>
      </c>
      <c r="K351" s="1" t="s">
        <v>643</v>
      </c>
      <c r="L351" t="s">
        <v>10</v>
      </c>
      <c r="M351" t="str">
        <f>+VLOOKUP(C351,'[1]TIENDAS 2025'!$A$1:$C$143,3,0)</f>
        <v>prioridad</v>
      </c>
      <c r="O351">
        <v>1</v>
      </c>
    </row>
    <row r="352" spans="1:15" ht="15" customHeight="1" x14ac:dyDescent="0.3">
      <c r="A352" s="8">
        <v>209667867</v>
      </c>
      <c r="B352" s="4" t="s">
        <v>315</v>
      </c>
      <c r="C352" s="4" t="s">
        <v>316</v>
      </c>
      <c r="D352" s="6">
        <v>46308.763055555602</v>
      </c>
      <c r="E352" s="6">
        <v>46308.513020833299</v>
      </c>
      <c r="F352" s="6">
        <v>46308</v>
      </c>
      <c r="G352" s="5" t="s">
        <v>12</v>
      </c>
      <c r="H352" s="5" t="s">
        <v>16</v>
      </c>
      <c r="I352" s="5">
        <v>4</v>
      </c>
      <c r="J352" s="9" t="s">
        <v>17</v>
      </c>
      <c r="K352" s="1" t="s">
        <v>644</v>
      </c>
      <c r="L352" t="s">
        <v>10</v>
      </c>
      <c r="M352" t="str">
        <f>+VLOOKUP(C352,'[1]TIENDAS 2025'!$A$1:$C$143,3,0)</f>
        <v>prioridad</v>
      </c>
      <c r="O352">
        <v>1</v>
      </c>
    </row>
    <row r="353" spans="1:15" ht="15" customHeight="1" x14ac:dyDescent="0.3">
      <c r="A353" s="8">
        <v>209667820</v>
      </c>
      <c r="B353" s="4" t="s">
        <v>321</v>
      </c>
      <c r="C353" s="4" t="s">
        <v>322</v>
      </c>
      <c r="D353" s="6">
        <v>46308.763067129599</v>
      </c>
      <c r="E353" s="6">
        <v>46308.513043981497</v>
      </c>
      <c r="F353" s="6">
        <v>46308</v>
      </c>
      <c r="G353" s="5" t="s">
        <v>12</v>
      </c>
      <c r="H353" s="5" t="s">
        <v>16</v>
      </c>
      <c r="I353" s="5">
        <v>4</v>
      </c>
      <c r="J353" s="9" t="s">
        <v>17</v>
      </c>
      <c r="K353" s="1" t="s">
        <v>645</v>
      </c>
      <c r="L353" t="s">
        <v>10</v>
      </c>
      <c r="M353" t="str">
        <f>+VLOOKUP(C353,'[1]TIENDAS 2025'!$A$1:$C$143,3,0)</f>
        <v>prioridad</v>
      </c>
      <c r="O353">
        <v>1</v>
      </c>
    </row>
    <row r="354" spans="1:15" ht="15" customHeight="1" x14ac:dyDescent="0.3">
      <c r="A354" s="8">
        <v>209667823</v>
      </c>
      <c r="B354" s="4" t="s">
        <v>166</v>
      </c>
      <c r="C354" s="4" t="s">
        <v>167</v>
      </c>
      <c r="D354" s="6">
        <v>46308.763090277796</v>
      </c>
      <c r="E354" s="6">
        <v>46308.513055555602</v>
      </c>
      <c r="F354" s="6">
        <v>46308</v>
      </c>
      <c r="G354" s="5" t="s">
        <v>12</v>
      </c>
      <c r="H354" s="5" t="s">
        <v>16</v>
      </c>
      <c r="I354" s="5">
        <v>3</v>
      </c>
      <c r="J354" s="9" t="s">
        <v>17</v>
      </c>
      <c r="K354" s="1" t="s">
        <v>646</v>
      </c>
      <c r="L354" t="s">
        <v>10</v>
      </c>
      <c r="M354" t="str">
        <f>+VLOOKUP(C354,'[1]TIENDAS 2025'!$A$1:$C$143,3,0)</f>
        <v>local</v>
      </c>
      <c r="O354">
        <v>1</v>
      </c>
    </row>
    <row r="355" spans="1:15" ht="15" customHeight="1" x14ac:dyDescent="0.3">
      <c r="A355" s="8">
        <v>209667885</v>
      </c>
      <c r="B355" s="4" t="s">
        <v>190</v>
      </c>
      <c r="C355" s="4" t="s">
        <v>191</v>
      </c>
      <c r="D355" s="6">
        <v>46308.763101851902</v>
      </c>
      <c r="E355" s="6">
        <v>46308.513078703698</v>
      </c>
      <c r="F355" s="6">
        <v>46308</v>
      </c>
      <c r="G355" s="5" t="s">
        <v>12</v>
      </c>
      <c r="H355" s="5" t="s">
        <v>16</v>
      </c>
      <c r="I355" s="5">
        <v>7</v>
      </c>
      <c r="J355" s="9" t="s">
        <v>17</v>
      </c>
      <c r="K355" s="1" t="s">
        <v>647</v>
      </c>
      <c r="L355" t="s">
        <v>10</v>
      </c>
      <c r="M355" t="str">
        <f>+VLOOKUP(C355,'[1]TIENDAS 2025'!$A$1:$C$143,3,0)</f>
        <v>departamental</v>
      </c>
      <c r="O355">
        <v>1</v>
      </c>
    </row>
    <row r="356" spans="1:15" ht="15" customHeight="1" x14ac:dyDescent="0.3">
      <c r="A356" s="8">
        <v>209667887</v>
      </c>
      <c r="B356" s="4" t="s">
        <v>542</v>
      </c>
      <c r="C356" s="4" t="s">
        <v>543</v>
      </c>
      <c r="D356" s="6">
        <v>46308.763124999998</v>
      </c>
      <c r="E356" s="6">
        <v>46308.513090277796</v>
      </c>
      <c r="F356" s="6">
        <v>46308</v>
      </c>
      <c r="G356" s="5" t="s">
        <v>12</v>
      </c>
      <c r="H356" s="5" t="s">
        <v>16</v>
      </c>
      <c r="I356" s="5">
        <v>1</v>
      </c>
      <c r="J356" s="9" t="s">
        <v>17</v>
      </c>
      <c r="K356" s="1" t="s">
        <v>648</v>
      </c>
      <c r="L356" t="s">
        <v>10</v>
      </c>
      <c r="M356" t="str">
        <f>+VLOOKUP(C356,'[1]TIENDAS 2025'!$A$1:$C$143,3,0)</f>
        <v>prioridad</v>
      </c>
      <c r="O356">
        <v>1</v>
      </c>
    </row>
    <row r="357" spans="1:15" ht="15" customHeight="1" x14ac:dyDescent="0.3">
      <c r="A357" s="8">
        <v>209667890</v>
      </c>
      <c r="B357" s="4" t="s">
        <v>518</v>
      </c>
      <c r="C357" s="4" t="s">
        <v>519</v>
      </c>
      <c r="D357" s="6">
        <v>46308.763136574104</v>
      </c>
      <c r="E357" s="6">
        <v>46308.513113425899</v>
      </c>
      <c r="F357" s="6">
        <v>46308</v>
      </c>
      <c r="G357" s="5" t="s">
        <v>12</v>
      </c>
      <c r="H357" s="5" t="s">
        <v>16</v>
      </c>
      <c r="I357" s="5">
        <v>6</v>
      </c>
      <c r="J357" s="9" t="s">
        <v>17</v>
      </c>
      <c r="K357" s="1" t="s">
        <v>649</v>
      </c>
      <c r="L357" t="s">
        <v>10</v>
      </c>
      <c r="M357" t="str">
        <f>+VLOOKUP(C357,'[1]TIENDAS 2025'!$A$1:$C$143,3,0)</f>
        <v>prioridad</v>
      </c>
      <c r="O357">
        <v>1</v>
      </c>
    </row>
    <row r="358" spans="1:15" ht="15" customHeight="1" x14ac:dyDescent="0.3">
      <c r="A358" s="8">
        <v>209667833</v>
      </c>
      <c r="B358" s="4" t="s">
        <v>175</v>
      </c>
      <c r="C358" s="4" t="s">
        <v>176</v>
      </c>
      <c r="D358" s="6">
        <v>46308.763159722199</v>
      </c>
      <c r="E358" s="6">
        <v>46308.513124999998</v>
      </c>
      <c r="F358" s="6">
        <v>46308</v>
      </c>
      <c r="G358" s="5" t="s">
        <v>12</v>
      </c>
      <c r="H358" s="5" t="s">
        <v>16</v>
      </c>
      <c r="I358" s="5">
        <v>10</v>
      </c>
      <c r="J358" s="9" t="s">
        <v>17</v>
      </c>
      <c r="K358" s="1" t="s">
        <v>650</v>
      </c>
      <c r="L358" t="s">
        <v>10</v>
      </c>
      <c r="M358" t="str">
        <f>+VLOOKUP(C358,'[1]TIENDAS 2025'!$A$1:$C$143,3,0)</f>
        <v>departamental</v>
      </c>
      <c r="O358">
        <v>1</v>
      </c>
    </row>
    <row r="359" spans="1:15" ht="15" customHeight="1" x14ac:dyDescent="0.3">
      <c r="A359" s="8">
        <v>209667900</v>
      </c>
      <c r="B359" s="4" t="s">
        <v>274</v>
      </c>
      <c r="C359" s="4" t="s">
        <v>275</v>
      </c>
      <c r="D359" s="6">
        <v>46308.763171296298</v>
      </c>
      <c r="E359" s="6">
        <v>46308.513136574104</v>
      </c>
      <c r="F359" s="6">
        <v>46308</v>
      </c>
      <c r="G359" s="5" t="s">
        <v>12</v>
      </c>
      <c r="H359" s="5" t="s">
        <v>16</v>
      </c>
      <c r="I359" s="5">
        <v>5</v>
      </c>
      <c r="J359" s="9" t="s">
        <v>17</v>
      </c>
      <c r="K359" s="1" t="s">
        <v>651</v>
      </c>
      <c r="L359" t="s">
        <v>10</v>
      </c>
      <c r="M359" t="str">
        <f>+VLOOKUP(C359,'[1]TIENDAS 2025'!$A$1:$C$143,3,0)</f>
        <v>nocturna</v>
      </c>
      <c r="O359">
        <v>1</v>
      </c>
    </row>
    <row r="360" spans="1:15" ht="15" customHeight="1" x14ac:dyDescent="0.3">
      <c r="A360" s="8">
        <v>209667903</v>
      </c>
      <c r="B360" s="4" t="s">
        <v>415</v>
      </c>
      <c r="C360" s="4" t="s">
        <v>416</v>
      </c>
      <c r="D360" s="6">
        <v>46308.763182870403</v>
      </c>
      <c r="E360" s="6">
        <v>46308.513159722199</v>
      </c>
      <c r="F360" s="6">
        <v>46308</v>
      </c>
      <c r="G360" s="5" t="s">
        <v>12</v>
      </c>
      <c r="H360" s="5" t="s">
        <v>16</v>
      </c>
      <c r="I360" s="5">
        <v>4</v>
      </c>
      <c r="J360" s="9" t="s">
        <v>17</v>
      </c>
      <c r="K360" s="1" t="s">
        <v>652</v>
      </c>
      <c r="L360" t="s">
        <v>10</v>
      </c>
      <c r="M360" t="str">
        <f>+VLOOKUP(C360,'[1]TIENDAS 2025'!$A$1:$C$143,3,0)</f>
        <v>prioridad</v>
      </c>
      <c r="O360">
        <v>1</v>
      </c>
    </row>
    <row r="361" spans="1:15" ht="15" customHeight="1" x14ac:dyDescent="0.3">
      <c r="A361" s="8">
        <v>209667836</v>
      </c>
      <c r="B361" s="4" t="s">
        <v>286</v>
      </c>
      <c r="C361" s="4" t="s">
        <v>287</v>
      </c>
      <c r="D361" s="6">
        <v>46308.763206018499</v>
      </c>
      <c r="E361" s="6">
        <v>46308.513182870403</v>
      </c>
      <c r="F361" s="6">
        <v>46308</v>
      </c>
      <c r="G361" s="5" t="s">
        <v>12</v>
      </c>
      <c r="H361" s="5" t="s">
        <v>16</v>
      </c>
      <c r="I361" s="5">
        <v>6</v>
      </c>
      <c r="J361" s="9" t="s">
        <v>17</v>
      </c>
      <c r="K361" s="1" t="s">
        <v>653</v>
      </c>
      <c r="L361" t="s">
        <v>10</v>
      </c>
      <c r="M361" t="str">
        <f>+VLOOKUP(C361,'[1]TIENDAS 2025'!$A$1:$C$143,3,0)</f>
        <v>nocturna</v>
      </c>
      <c r="O361">
        <v>1</v>
      </c>
    </row>
    <row r="362" spans="1:15" ht="15" customHeight="1" x14ac:dyDescent="0.3">
      <c r="A362" s="8">
        <v>209667904</v>
      </c>
      <c r="B362" s="4" t="s">
        <v>339</v>
      </c>
      <c r="C362" s="4" t="s">
        <v>340</v>
      </c>
      <c r="D362" s="6">
        <v>46308.763229166703</v>
      </c>
      <c r="E362" s="6">
        <v>46308.5131944444</v>
      </c>
      <c r="F362" s="6">
        <v>46308</v>
      </c>
      <c r="G362" s="5" t="s">
        <v>12</v>
      </c>
      <c r="H362" s="5" t="s">
        <v>16</v>
      </c>
      <c r="I362" s="5">
        <v>9</v>
      </c>
      <c r="J362" s="9" t="s">
        <v>17</v>
      </c>
      <c r="K362" s="1" t="s">
        <v>654</v>
      </c>
      <c r="L362" t="s">
        <v>10</v>
      </c>
      <c r="M362" t="str">
        <f>+VLOOKUP(C362,'[1]TIENDAS 2025'!$A$1:$C$143,3,0)</f>
        <v>nocturna</v>
      </c>
      <c r="O362">
        <v>1</v>
      </c>
    </row>
    <row r="363" spans="1:15" ht="15" customHeight="1" x14ac:dyDescent="0.3">
      <c r="A363" s="8">
        <v>209667858</v>
      </c>
      <c r="B363" s="4" t="s">
        <v>448</v>
      </c>
      <c r="C363" s="4" t="s">
        <v>449</v>
      </c>
      <c r="D363" s="6">
        <v>46308.763252314799</v>
      </c>
      <c r="E363" s="6">
        <v>46308.513217592597</v>
      </c>
      <c r="F363" s="6">
        <v>46308</v>
      </c>
      <c r="G363" s="5" t="s">
        <v>12</v>
      </c>
      <c r="H363" s="5" t="s">
        <v>16</v>
      </c>
      <c r="I363" s="5">
        <v>10</v>
      </c>
      <c r="J363" s="9" t="s">
        <v>17</v>
      </c>
      <c r="K363" s="1" t="s">
        <v>655</v>
      </c>
      <c r="L363" t="s">
        <v>10</v>
      </c>
      <c r="M363" t="str">
        <f>+VLOOKUP(C363,'[1]TIENDAS 2025'!$A$1:$C$143,3,0)</f>
        <v>local</v>
      </c>
      <c r="O363">
        <v>1</v>
      </c>
    </row>
    <row r="364" spans="1:15" ht="15" customHeight="1" x14ac:dyDescent="0.3">
      <c r="A364" s="8">
        <v>209667805</v>
      </c>
      <c r="B364" s="4" t="s">
        <v>400</v>
      </c>
      <c r="C364" s="4" t="s">
        <v>401</v>
      </c>
      <c r="D364" s="6">
        <v>46308.763275463003</v>
      </c>
      <c r="E364" s="6">
        <v>46308.5132407407</v>
      </c>
      <c r="F364" s="6">
        <v>46308</v>
      </c>
      <c r="G364" s="5" t="s">
        <v>12</v>
      </c>
      <c r="H364" s="5" t="s">
        <v>16</v>
      </c>
      <c r="I364" s="5">
        <v>13</v>
      </c>
      <c r="J364" s="9" t="s">
        <v>17</v>
      </c>
      <c r="K364" s="1" t="s">
        <v>656</v>
      </c>
      <c r="L364" t="s">
        <v>10</v>
      </c>
      <c r="M364" t="str">
        <f>+VLOOKUP(C364,'[1]TIENDAS 2025'!$A$1:$C$143,3,0)</f>
        <v>local</v>
      </c>
      <c r="O364">
        <v>1</v>
      </c>
    </row>
    <row r="365" spans="1:15" ht="15" customHeight="1" x14ac:dyDescent="0.3">
      <c r="A365" s="8">
        <v>209667811</v>
      </c>
      <c r="B365" s="4" t="s">
        <v>187</v>
      </c>
      <c r="C365" s="4" t="s">
        <v>188</v>
      </c>
      <c r="D365" s="6">
        <v>46308.763298611098</v>
      </c>
      <c r="E365" s="6">
        <v>46308.513263888897</v>
      </c>
      <c r="F365" s="6">
        <v>46308</v>
      </c>
      <c r="G365" s="5" t="s">
        <v>12</v>
      </c>
      <c r="H365" s="5" t="s">
        <v>16</v>
      </c>
      <c r="I365" s="5">
        <v>6</v>
      </c>
      <c r="J365" s="9" t="s">
        <v>17</v>
      </c>
      <c r="K365" s="1" t="s">
        <v>657</v>
      </c>
      <c r="L365" t="s">
        <v>10</v>
      </c>
      <c r="M365" t="str">
        <f>+VLOOKUP(C365,'[1]TIENDAS 2025'!$A$1:$C$143,3,0)</f>
        <v>departamental</v>
      </c>
      <c r="O365">
        <v>1</v>
      </c>
    </row>
    <row r="366" spans="1:15" ht="15" customHeight="1" x14ac:dyDescent="0.3">
      <c r="A366" s="8">
        <v>209667815</v>
      </c>
      <c r="B366" s="4" t="s">
        <v>220</v>
      </c>
      <c r="C366" s="4" t="s">
        <v>221</v>
      </c>
      <c r="D366" s="6">
        <v>46308.763310185197</v>
      </c>
      <c r="E366" s="6">
        <v>46308.513275463003</v>
      </c>
      <c r="F366" s="6">
        <v>46308</v>
      </c>
      <c r="G366" s="5" t="s">
        <v>12</v>
      </c>
      <c r="H366" s="5" t="s">
        <v>16</v>
      </c>
      <c r="I366" s="5">
        <v>11</v>
      </c>
      <c r="J366" s="9" t="s">
        <v>17</v>
      </c>
      <c r="K366" s="1" t="s">
        <v>658</v>
      </c>
      <c r="L366" t="s">
        <v>10</v>
      </c>
      <c r="M366" t="str">
        <f>+VLOOKUP(C366,'[1]TIENDAS 2025'!$A$1:$C$143,3,0)</f>
        <v>departamental</v>
      </c>
      <c r="O366">
        <v>1</v>
      </c>
    </row>
    <row r="367" spans="1:15" ht="15" customHeight="1" x14ac:dyDescent="0.3">
      <c r="A367" s="8">
        <v>209667816</v>
      </c>
      <c r="B367" s="4" t="s">
        <v>259</v>
      </c>
      <c r="C367" s="4" t="s">
        <v>260</v>
      </c>
      <c r="D367" s="6">
        <v>46308.763321759303</v>
      </c>
      <c r="E367" s="6">
        <v>46308.513298611098</v>
      </c>
      <c r="F367" s="6">
        <v>46308</v>
      </c>
      <c r="G367" s="5" t="s">
        <v>12</v>
      </c>
      <c r="H367" s="5" t="s">
        <v>16</v>
      </c>
      <c r="I367" s="5">
        <v>11</v>
      </c>
      <c r="J367" s="9" t="s">
        <v>17</v>
      </c>
      <c r="K367" s="1" t="s">
        <v>659</v>
      </c>
      <c r="L367" t="s">
        <v>10</v>
      </c>
      <c r="M367" t="str">
        <f>+VLOOKUP(C367,'[1]TIENDAS 2025'!$A$1:$C$143,3,0)</f>
        <v>local</v>
      </c>
      <c r="O367">
        <v>1</v>
      </c>
    </row>
    <row r="368" spans="1:15" ht="15" customHeight="1" x14ac:dyDescent="0.3">
      <c r="A368" s="8">
        <v>209667884</v>
      </c>
      <c r="B368" s="4" t="s">
        <v>491</v>
      </c>
      <c r="C368" s="4" t="s">
        <v>492</v>
      </c>
      <c r="D368" s="6">
        <v>46308.763344907398</v>
      </c>
      <c r="E368" s="6">
        <v>46308.513310185197</v>
      </c>
      <c r="F368" s="6">
        <v>46308</v>
      </c>
      <c r="G368" s="5" t="s">
        <v>12</v>
      </c>
      <c r="H368" s="5" t="s">
        <v>16</v>
      </c>
      <c r="I368" s="5">
        <v>10</v>
      </c>
      <c r="J368" s="9" t="s">
        <v>17</v>
      </c>
      <c r="K368" s="1" t="s">
        <v>660</v>
      </c>
      <c r="L368" t="s">
        <v>10</v>
      </c>
      <c r="M368" t="str">
        <f>+VLOOKUP(C368,'[1]TIENDAS 2025'!$A$1:$C$143,3,0)</f>
        <v>departamental</v>
      </c>
      <c r="O368">
        <v>1</v>
      </c>
    </row>
    <row r="369" spans="1:15" ht="15" customHeight="1" x14ac:dyDescent="0.3">
      <c r="A369" s="8">
        <v>209667828</v>
      </c>
      <c r="B369" s="4" t="s">
        <v>193</v>
      </c>
      <c r="C369" s="4" t="s">
        <v>194</v>
      </c>
      <c r="D369" s="6">
        <v>46308.763356481497</v>
      </c>
      <c r="E369" s="6">
        <v>46308.513321759303</v>
      </c>
      <c r="F369" s="6">
        <v>46308</v>
      </c>
      <c r="G369" s="5" t="s">
        <v>12</v>
      </c>
      <c r="H369" s="5" t="s">
        <v>16</v>
      </c>
      <c r="I369" s="5">
        <v>15</v>
      </c>
      <c r="J369" s="9" t="s">
        <v>17</v>
      </c>
      <c r="K369" s="1" t="s">
        <v>661</v>
      </c>
      <c r="L369" t="s">
        <v>10</v>
      </c>
      <c r="M369" t="str">
        <f>+VLOOKUP(C369,'[1]TIENDAS 2025'!$A$1:$C$143,3,0)</f>
        <v>local</v>
      </c>
      <c r="O369">
        <v>1</v>
      </c>
    </row>
    <row r="370" spans="1:15" ht="15" customHeight="1" x14ac:dyDescent="0.3">
      <c r="A370" s="8">
        <v>209667838</v>
      </c>
      <c r="B370" s="4" t="s">
        <v>451</v>
      </c>
      <c r="C370" s="4" t="s">
        <v>452</v>
      </c>
      <c r="D370" s="6">
        <v>46308.7633796296</v>
      </c>
      <c r="E370" s="6">
        <v>46308.513356481497</v>
      </c>
      <c r="F370" s="6">
        <v>46308</v>
      </c>
      <c r="G370" s="5" t="s">
        <v>12</v>
      </c>
      <c r="H370" s="5" t="s">
        <v>16</v>
      </c>
      <c r="I370" s="5">
        <v>7</v>
      </c>
      <c r="J370" s="9" t="s">
        <v>17</v>
      </c>
      <c r="K370" s="1" t="s">
        <v>662</v>
      </c>
      <c r="L370" t="s">
        <v>10</v>
      </c>
      <c r="M370" t="str">
        <f>+VLOOKUP(C370,'[1]TIENDAS 2025'!$A$1:$C$143,3,0)</f>
        <v>departamental</v>
      </c>
      <c r="O370">
        <v>1</v>
      </c>
    </row>
    <row r="371" spans="1:15" ht="15" customHeight="1" x14ac:dyDescent="0.3">
      <c r="A371" s="8">
        <v>209667902</v>
      </c>
      <c r="B371" s="4" t="s">
        <v>150</v>
      </c>
      <c r="C371" s="4" t="s">
        <v>151</v>
      </c>
      <c r="D371" s="6">
        <v>46308.7633796296</v>
      </c>
      <c r="E371" s="6">
        <v>46308.513344907398</v>
      </c>
      <c r="F371" s="6">
        <v>46308</v>
      </c>
      <c r="G371" s="5" t="s">
        <v>12</v>
      </c>
      <c r="H371" s="5" t="s">
        <v>16</v>
      </c>
      <c r="I371" s="5">
        <v>9</v>
      </c>
      <c r="J371" s="9" t="s">
        <v>17</v>
      </c>
      <c r="K371" s="1" t="s">
        <v>663</v>
      </c>
      <c r="L371" t="s">
        <v>10</v>
      </c>
      <c r="M371" t="str">
        <f>+VLOOKUP(C371,'[1]TIENDAS 2025'!$A$1:$C$143,3,0)</f>
        <v>local</v>
      </c>
      <c r="O371">
        <v>1</v>
      </c>
    </row>
    <row r="372" spans="1:15" ht="15" customHeight="1" x14ac:dyDescent="0.3">
      <c r="A372" s="8">
        <v>209667906</v>
      </c>
      <c r="B372" s="4" t="s">
        <v>229</v>
      </c>
      <c r="C372" s="4" t="s">
        <v>230</v>
      </c>
      <c r="D372" s="6">
        <v>46308.763402777797</v>
      </c>
      <c r="E372" s="6">
        <v>46308.513368055603</v>
      </c>
      <c r="F372" s="6">
        <v>46308</v>
      </c>
      <c r="G372" s="5" t="s">
        <v>12</v>
      </c>
      <c r="H372" s="5" t="s">
        <v>16</v>
      </c>
      <c r="I372" s="5">
        <v>1</v>
      </c>
      <c r="J372" s="9" t="s">
        <v>17</v>
      </c>
      <c r="K372" s="1" t="s">
        <v>664</v>
      </c>
      <c r="L372" t="s">
        <v>10</v>
      </c>
      <c r="M372" t="str">
        <f>+VLOOKUP(C372,'[1]TIENDAS 2025'!$A$1:$C$143,3,0)</f>
        <v>local</v>
      </c>
      <c r="O372">
        <v>1</v>
      </c>
    </row>
    <row r="373" spans="1:15" ht="15" customHeight="1" x14ac:dyDescent="0.3">
      <c r="A373" s="8">
        <v>209667913</v>
      </c>
      <c r="B373" s="4" t="s">
        <v>533</v>
      </c>
      <c r="C373" s="4" t="s">
        <v>534</v>
      </c>
      <c r="D373" s="6">
        <v>46308.763425925899</v>
      </c>
      <c r="E373" s="6">
        <v>46308.513391203698</v>
      </c>
      <c r="F373" s="6">
        <v>46308</v>
      </c>
      <c r="G373" s="5" t="s">
        <v>12</v>
      </c>
      <c r="H373" s="5" t="s">
        <v>16</v>
      </c>
      <c r="I373" s="5">
        <v>4</v>
      </c>
      <c r="J373" s="9" t="s">
        <v>17</v>
      </c>
      <c r="K373" s="1" t="s">
        <v>665</v>
      </c>
      <c r="L373" t="s">
        <v>10</v>
      </c>
      <c r="M373" t="str">
        <f>+VLOOKUP(C373,'[1]TIENDAS 2025'!$A$1:$C$143,3,0)</f>
        <v>local</v>
      </c>
      <c r="O373">
        <v>1</v>
      </c>
    </row>
    <row r="374" spans="1:15" ht="15" customHeight="1" x14ac:dyDescent="0.3">
      <c r="A374" s="8">
        <v>209667914</v>
      </c>
      <c r="B374" s="4" t="s">
        <v>394</v>
      </c>
      <c r="C374" s="4" t="s">
        <v>395</v>
      </c>
      <c r="D374" s="6">
        <v>46308.763437499998</v>
      </c>
      <c r="E374" s="6">
        <v>46308.513402777797</v>
      </c>
      <c r="F374" s="6">
        <v>46308</v>
      </c>
      <c r="G374" s="5" t="s">
        <v>12</v>
      </c>
      <c r="H374" s="5" t="s">
        <v>16</v>
      </c>
      <c r="I374" s="5">
        <v>6</v>
      </c>
      <c r="J374" s="9" t="s">
        <v>17</v>
      </c>
      <c r="K374" s="1" t="s">
        <v>666</v>
      </c>
      <c r="L374" t="s">
        <v>10</v>
      </c>
      <c r="M374" t="str">
        <f>+VLOOKUP(C374,'[1]TIENDAS 2025'!$A$1:$C$143,3,0)</f>
        <v>local</v>
      </c>
      <c r="O374">
        <v>1</v>
      </c>
    </row>
    <row r="375" spans="1:15" ht="15" customHeight="1" x14ac:dyDescent="0.3">
      <c r="A375" s="8">
        <v>209667794</v>
      </c>
      <c r="B375" s="4" t="s">
        <v>19</v>
      </c>
      <c r="C375" s="4" t="s">
        <v>20</v>
      </c>
      <c r="D375" s="6">
        <v>46308.763460648202</v>
      </c>
      <c r="E375" s="6">
        <v>46308.513425925899</v>
      </c>
      <c r="F375" s="6">
        <v>46308</v>
      </c>
      <c r="G375" s="5" t="s">
        <v>12</v>
      </c>
      <c r="H375" s="5" t="s">
        <v>16</v>
      </c>
      <c r="I375" s="5">
        <v>10</v>
      </c>
      <c r="J375" s="9" t="s">
        <v>17</v>
      </c>
      <c r="K375" s="1" t="s">
        <v>667</v>
      </c>
      <c r="L375" t="s">
        <v>10</v>
      </c>
      <c r="M375" t="str">
        <f>+VLOOKUP(C375,'[1]TIENDAS 2025'!$A$1:$C$143,3,0)</f>
        <v>departamental</v>
      </c>
      <c r="O375">
        <v>1</v>
      </c>
    </row>
    <row r="376" spans="1:15" ht="15" customHeight="1" x14ac:dyDescent="0.3">
      <c r="A376" s="8">
        <v>209667845</v>
      </c>
      <c r="B376" s="4" t="s">
        <v>232</v>
      </c>
      <c r="C376" s="4" t="s">
        <v>233</v>
      </c>
      <c r="D376" s="6">
        <v>46308.763483796298</v>
      </c>
      <c r="E376" s="6">
        <v>46308.513449074097</v>
      </c>
      <c r="F376" s="6">
        <v>46308</v>
      </c>
      <c r="G376" s="5" t="s">
        <v>12</v>
      </c>
      <c r="H376" s="5" t="s">
        <v>16</v>
      </c>
      <c r="I376" s="5">
        <v>12</v>
      </c>
      <c r="J376" s="9" t="s">
        <v>17</v>
      </c>
      <c r="K376" s="1" t="s">
        <v>668</v>
      </c>
      <c r="L376" t="s">
        <v>10</v>
      </c>
      <c r="M376" t="str">
        <f>+VLOOKUP(C376,'[1]TIENDAS 2025'!$A$1:$C$143,3,0)</f>
        <v>departamental</v>
      </c>
      <c r="O376">
        <v>1</v>
      </c>
    </row>
    <row r="377" spans="1:15" ht="15" customHeight="1" x14ac:dyDescent="0.3">
      <c r="A377" s="8">
        <v>209667854</v>
      </c>
      <c r="B377" s="4" t="s">
        <v>463</v>
      </c>
      <c r="C377" s="4" t="s">
        <v>464</v>
      </c>
      <c r="D377" s="6">
        <v>46308.763495370396</v>
      </c>
      <c r="E377" s="6">
        <v>46308.513460648202</v>
      </c>
      <c r="F377" s="6">
        <v>46308</v>
      </c>
      <c r="G377" s="5" t="s">
        <v>12</v>
      </c>
      <c r="H377" s="5" t="s">
        <v>16</v>
      </c>
      <c r="I377" s="5">
        <v>11</v>
      </c>
      <c r="J377" s="9" t="s">
        <v>17</v>
      </c>
      <c r="K377" s="1" t="s">
        <v>669</v>
      </c>
      <c r="L377" t="s">
        <v>10</v>
      </c>
      <c r="M377" t="str">
        <f>+VLOOKUP(C377,'[1]TIENDAS 2025'!$A$1:$C$143,3,0)</f>
        <v xml:space="preserve">departamental </v>
      </c>
      <c r="O377">
        <v>1</v>
      </c>
    </row>
    <row r="378" spans="1:15" ht="15" customHeight="1" x14ac:dyDescent="0.3">
      <c r="A378" s="8">
        <v>209667861</v>
      </c>
      <c r="B378" s="4" t="s">
        <v>379</v>
      </c>
      <c r="C378" s="4" t="s">
        <v>380</v>
      </c>
      <c r="D378" s="6">
        <v>46308.763518518499</v>
      </c>
      <c r="E378" s="6">
        <v>46308.513483796298</v>
      </c>
      <c r="F378" s="6">
        <v>46308</v>
      </c>
      <c r="G378" s="5" t="s">
        <v>12</v>
      </c>
      <c r="H378" s="5" t="s">
        <v>16</v>
      </c>
      <c r="I378" s="5">
        <v>9</v>
      </c>
      <c r="J378" s="9" t="s">
        <v>17</v>
      </c>
      <c r="K378" s="1" t="s">
        <v>670</v>
      </c>
      <c r="L378" t="s">
        <v>10</v>
      </c>
      <c r="M378" t="str">
        <f>+VLOOKUP(C378,'[1]TIENDAS 2025'!$A$1:$C$143,3,0)</f>
        <v>departamental</v>
      </c>
      <c r="O378">
        <v>1</v>
      </c>
    </row>
    <row r="379" spans="1:15" ht="15" customHeight="1" x14ac:dyDescent="0.3">
      <c r="A379" s="8">
        <v>209667862</v>
      </c>
      <c r="B379" s="4" t="s">
        <v>298</v>
      </c>
      <c r="C379" s="4" t="s">
        <v>299</v>
      </c>
      <c r="D379" s="6">
        <v>46308.763541666704</v>
      </c>
      <c r="E379" s="6">
        <v>46308.5135069444</v>
      </c>
      <c r="F379" s="6">
        <v>46308</v>
      </c>
      <c r="G379" s="5" t="s">
        <v>12</v>
      </c>
      <c r="H379" s="5" t="s">
        <v>16</v>
      </c>
      <c r="I379" s="5">
        <v>11</v>
      </c>
      <c r="J379" s="9" t="s">
        <v>17</v>
      </c>
      <c r="K379" s="1" t="s">
        <v>671</v>
      </c>
      <c r="L379" t="s">
        <v>10</v>
      </c>
      <c r="M379" t="str">
        <f>+VLOOKUP(C379,'[1]TIENDAS 2025'!$A$1:$C$143,3,0)</f>
        <v>local</v>
      </c>
      <c r="O379">
        <v>1</v>
      </c>
    </row>
    <row r="380" spans="1:15" ht="15" customHeight="1" x14ac:dyDescent="0.3">
      <c r="A380" s="8">
        <v>209667792</v>
      </c>
      <c r="B380" s="4" t="s">
        <v>497</v>
      </c>
      <c r="C380" s="4" t="s">
        <v>498</v>
      </c>
      <c r="D380" s="6">
        <v>46308.763564814799</v>
      </c>
      <c r="E380" s="6">
        <v>46308.513530092598</v>
      </c>
      <c r="F380" s="6">
        <v>46308</v>
      </c>
      <c r="G380" s="5" t="s">
        <v>12</v>
      </c>
      <c r="H380" s="5" t="s">
        <v>16</v>
      </c>
      <c r="I380" s="5">
        <v>8</v>
      </c>
      <c r="J380" s="9" t="s">
        <v>17</v>
      </c>
      <c r="K380" s="1" t="s">
        <v>672</v>
      </c>
      <c r="L380" t="s">
        <v>10</v>
      </c>
      <c r="M380" t="str">
        <f>+VLOOKUP(C380,'[1]TIENDAS 2025'!$A$1:$C$143,3,0)</f>
        <v>prioridad</v>
      </c>
      <c r="O380">
        <v>1</v>
      </c>
    </row>
    <row r="381" spans="1:15" ht="15" customHeight="1" x14ac:dyDescent="0.3">
      <c r="A381" s="8">
        <v>209667870</v>
      </c>
      <c r="B381" s="4" t="s">
        <v>427</v>
      </c>
      <c r="C381" s="4" t="s">
        <v>428</v>
      </c>
      <c r="D381" s="6">
        <v>46308.763576388897</v>
      </c>
      <c r="E381" s="6">
        <v>46308.513541666704</v>
      </c>
      <c r="F381" s="6">
        <v>46308</v>
      </c>
      <c r="G381" s="5" t="s">
        <v>12</v>
      </c>
      <c r="H381" s="5" t="s">
        <v>16</v>
      </c>
      <c r="I381" s="5">
        <v>10</v>
      </c>
      <c r="J381" s="9" t="s">
        <v>17</v>
      </c>
      <c r="K381" s="1" t="s">
        <v>673</v>
      </c>
      <c r="L381" t="s">
        <v>10</v>
      </c>
      <c r="M381" t="str">
        <f>+VLOOKUP(C381,'[1]TIENDAS 2025'!$A$1:$C$143,3,0)</f>
        <v>local</v>
      </c>
      <c r="O381">
        <v>1</v>
      </c>
    </row>
    <row r="382" spans="1:15" ht="15" customHeight="1" x14ac:dyDescent="0.3">
      <c r="A382" s="8">
        <v>209667817</v>
      </c>
      <c r="B382" s="4" t="s">
        <v>530</v>
      </c>
      <c r="C382" s="4" t="s">
        <v>531</v>
      </c>
      <c r="D382" s="6">
        <v>46308.763587963003</v>
      </c>
      <c r="E382" s="6">
        <v>46308.5135532407</v>
      </c>
      <c r="F382" s="6">
        <v>46308</v>
      </c>
      <c r="G382" s="5" t="s">
        <v>12</v>
      </c>
      <c r="H382" s="5" t="s">
        <v>16</v>
      </c>
      <c r="I382" s="5">
        <v>14</v>
      </c>
      <c r="J382" s="9" t="s">
        <v>17</v>
      </c>
      <c r="K382" s="1" t="s">
        <v>674</v>
      </c>
      <c r="L382" t="s">
        <v>10</v>
      </c>
      <c r="M382" t="str">
        <f>+VLOOKUP(C382,'[1]TIENDAS 2025'!$A$1:$C$143,3,0)</f>
        <v>local</v>
      </c>
      <c r="O382">
        <v>1</v>
      </c>
    </row>
    <row r="383" spans="1:15" ht="15" customHeight="1" x14ac:dyDescent="0.3">
      <c r="A383" s="8">
        <v>209667872</v>
      </c>
      <c r="B383" s="4" t="s">
        <v>539</v>
      </c>
      <c r="C383" s="4" t="s">
        <v>540</v>
      </c>
      <c r="D383" s="6">
        <v>46308.763599537</v>
      </c>
      <c r="E383" s="6">
        <v>46308.513576388897</v>
      </c>
      <c r="F383" s="6">
        <v>46308</v>
      </c>
      <c r="G383" s="5" t="s">
        <v>12</v>
      </c>
      <c r="H383" s="5" t="s">
        <v>16</v>
      </c>
      <c r="I383" s="5">
        <v>14</v>
      </c>
      <c r="J383" s="9" t="s">
        <v>17</v>
      </c>
      <c r="K383" s="1" t="s">
        <v>675</v>
      </c>
      <c r="L383" t="s">
        <v>10</v>
      </c>
      <c r="M383" t="str">
        <f>+VLOOKUP(C383,'[1]TIENDAS 2025'!$A$1:$C$143,3,0)</f>
        <v>departamental</v>
      </c>
      <c r="O383">
        <v>1</v>
      </c>
    </row>
    <row r="384" spans="1:15" ht="15" customHeight="1" x14ac:dyDescent="0.3">
      <c r="A384" s="8">
        <v>209667818</v>
      </c>
      <c r="B384" s="4" t="s">
        <v>235</v>
      </c>
      <c r="C384" s="4" t="s">
        <v>236</v>
      </c>
      <c r="D384" s="6">
        <v>46308.763622685197</v>
      </c>
      <c r="E384" s="6">
        <v>46308.513587963003</v>
      </c>
      <c r="F384" s="6">
        <v>46308</v>
      </c>
      <c r="G384" s="5" t="s">
        <v>12</v>
      </c>
      <c r="H384" s="5" t="s">
        <v>16</v>
      </c>
      <c r="I384" s="5">
        <v>15</v>
      </c>
      <c r="J384" s="9" t="s">
        <v>17</v>
      </c>
      <c r="K384" s="1" t="s">
        <v>676</v>
      </c>
      <c r="L384" t="s">
        <v>10</v>
      </c>
      <c r="M384" t="str">
        <f>+VLOOKUP(C384,'[1]TIENDAS 2025'!$A$1:$C$143,3,0)</f>
        <v>prioridad</v>
      </c>
      <c r="O384">
        <v>1</v>
      </c>
    </row>
    <row r="385" spans="1:15" ht="15" customHeight="1" x14ac:dyDescent="0.3">
      <c r="A385" s="8">
        <v>209667822</v>
      </c>
      <c r="B385" s="4" t="s">
        <v>348</v>
      </c>
      <c r="C385" s="4" t="s">
        <v>349</v>
      </c>
      <c r="D385" s="6">
        <v>46308.763634259303</v>
      </c>
      <c r="E385" s="6">
        <v>46308.513599537</v>
      </c>
      <c r="F385" s="6">
        <v>46308</v>
      </c>
      <c r="G385" s="5" t="s">
        <v>12</v>
      </c>
      <c r="H385" s="5" t="s">
        <v>16</v>
      </c>
      <c r="I385" s="5">
        <v>11</v>
      </c>
      <c r="J385" s="9" t="s">
        <v>17</v>
      </c>
      <c r="K385" s="1" t="s">
        <v>677</v>
      </c>
      <c r="L385" t="s">
        <v>10</v>
      </c>
      <c r="M385" t="str">
        <f>+VLOOKUP(C385,'[1]TIENDAS 2025'!$A$1:$C$143,3,0)</f>
        <v>local</v>
      </c>
      <c r="O385">
        <v>1</v>
      </c>
    </row>
    <row r="386" spans="1:15" ht="15" customHeight="1" x14ac:dyDescent="0.3">
      <c r="A386" s="8">
        <v>209667894</v>
      </c>
      <c r="B386" s="4" t="s">
        <v>521</v>
      </c>
      <c r="C386" s="4" t="s">
        <v>522</v>
      </c>
      <c r="D386" s="6">
        <v>46308.7636458333</v>
      </c>
      <c r="E386" s="6">
        <v>46308.513611111099</v>
      </c>
      <c r="F386" s="6">
        <v>46308</v>
      </c>
      <c r="G386" s="5" t="s">
        <v>12</v>
      </c>
      <c r="H386" s="5" t="s">
        <v>16</v>
      </c>
      <c r="I386" s="5">
        <v>9</v>
      </c>
      <c r="J386" s="9" t="s">
        <v>17</v>
      </c>
      <c r="K386" s="1" t="s">
        <v>678</v>
      </c>
      <c r="L386" t="s">
        <v>10</v>
      </c>
      <c r="M386" t="str">
        <f>+VLOOKUP(C386,'[1]TIENDAS 2025'!$A$1:$C$143,3,0)</f>
        <v>local</v>
      </c>
      <c r="O386">
        <v>1</v>
      </c>
    </row>
    <row r="387" spans="1:15" ht="15" customHeight="1" x14ac:dyDescent="0.3">
      <c r="A387" s="8">
        <v>209667896</v>
      </c>
      <c r="B387" s="4" t="s">
        <v>442</v>
      </c>
      <c r="C387" s="4" t="s">
        <v>443</v>
      </c>
      <c r="D387" s="6">
        <v>46308.763668981497</v>
      </c>
      <c r="E387" s="6">
        <v>46308.513634259303</v>
      </c>
      <c r="F387" s="6">
        <v>46308</v>
      </c>
      <c r="G387" s="5" t="s">
        <v>12</v>
      </c>
      <c r="H387" s="5" t="s">
        <v>16</v>
      </c>
      <c r="I387" s="5">
        <v>5</v>
      </c>
      <c r="J387" s="9" t="s">
        <v>17</v>
      </c>
      <c r="K387" s="1" t="s">
        <v>679</v>
      </c>
      <c r="L387" t="s">
        <v>10</v>
      </c>
      <c r="M387" t="str">
        <f>+VLOOKUP(C387,'[1]TIENDAS 2025'!$A$1:$C$143,3,0)</f>
        <v>local</v>
      </c>
      <c r="O387">
        <v>1</v>
      </c>
    </row>
    <row r="388" spans="1:15" ht="15" customHeight="1" x14ac:dyDescent="0.3">
      <c r="A388" s="8">
        <v>209667837</v>
      </c>
      <c r="B388" s="4" t="s">
        <v>388</v>
      </c>
      <c r="C388" s="4" t="s">
        <v>389</v>
      </c>
      <c r="D388" s="6">
        <v>46308.7636921296</v>
      </c>
      <c r="E388" s="6">
        <v>46308.513657407399</v>
      </c>
      <c r="F388" s="6">
        <v>46308</v>
      </c>
      <c r="G388" s="5" t="s">
        <v>12</v>
      </c>
      <c r="H388" s="5" t="s">
        <v>16</v>
      </c>
      <c r="I388" s="5">
        <v>5</v>
      </c>
      <c r="J388" s="9" t="s">
        <v>17</v>
      </c>
      <c r="K388" s="1" t="s">
        <v>680</v>
      </c>
      <c r="L388" t="s">
        <v>10</v>
      </c>
      <c r="M388" t="str">
        <f>+VLOOKUP(C388,'[1]TIENDAS 2025'!$A$1:$C$143,3,0)</f>
        <v>departamental</v>
      </c>
      <c r="O388">
        <v>1</v>
      </c>
    </row>
    <row r="389" spans="1:15" ht="15" customHeight="1" x14ac:dyDescent="0.3">
      <c r="A389" s="8">
        <v>209667839</v>
      </c>
      <c r="B389" s="4" t="s">
        <v>265</v>
      </c>
      <c r="C389" s="4" t="s">
        <v>266</v>
      </c>
      <c r="D389" s="6">
        <v>46308.763703703698</v>
      </c>
      <c r="E389" s="6">
        <v>46308.513668981497</v>
      </c>
      <c r="F389" s="6">
        <v>46308</v>
      </c>
      <c r="G389" s="5" t="s">
        <v>12</v>
      </c>
      <c r="H389" s="5" t="s">
        <v>16</v>
      </c>
      <c r="I389" s="5">
        <v>6</v>
      </c>
      <c r="J389" s="9" t="s">
        <v>17</v>
      </c>
      <c r="K389" s="1" t="s">
        <v>681</v>
      </c>
      <c r="L389" t="s">
        <v>10</v>
      </c>
      <c r="M389" t="str">
        <f>+VLOOKUP(C389,'[1]TIENDAS 2025'!$A$1:$C$143,3,0)</f>
        <v>nocturna</v>
      </c>
      <c r="O389">
        <v>1</v>
      </c>
    </row>
    <row r="390" spans="1:15" ht="15" customHeight="1" x14ac:dyDescent="0.3">
      <c r="A390" s="8">
        <v>209667905</v>
      </c>
      <c r="B390" s="4" t="s">
        <v>412</v>
      </c>
      <c r="C390" s="4" t="s">
        <v>413</v>
      </c>
      <c r="D390" s="6">
        <v>46308.763726851903</v>
      </c>
      <c r="E390" s="6">
        <v>46308.5136921296</v>
      </c>
      <c r="F390" s="6">
        <v>46308</v>
      </c>
      <c r="G390" s="5" t="s">
        <v>12</v>
      </c>
      <c r="H390" s="5" t="s">
        <v>16</v>
      </c>
      <c r="I390" s="5">
        <v>1</v>
      </c>
      <c r="J390" s="9" t="s">
        <v>17</v>
      </c>
      <c r="K390" s="1" t="s">
        <v>682</v>
      </c>
      <c r="L390" t="s">
        <v>10</v>
      </c>
      <c r="M390" t="str">
        <f>+VLOOKUP(C390,'[1]TIENDAS 2025'!$A$1:$C$143,3,0)</f>
        <v>local</v>
      </c>
      <c r="O390">
        <v>1</v>
      </c>
    </row>
    <row r="391" spans="1:15" ht="15" customHeight="1" x14ac:dyDescent="0.3">
      <c r="A391" s="8">
        <v>209667843</v>
      </c>
      <c r="B391" s="4" t="s">
        <v>358</v>
      </c>
      <c r="C391" s="4" t="s">
        <v>359</v>
      </c>
      <c r="D391" s="6">
        <v>46308.7637384259</v>
      </c>
      <c r="E391" s="6">
        <v>46308.513715277797</v>
      </c>
      <c r="F391" s="6">
        <v>46308</v>
      </c>
      <c r="G391" s="5" t="s">
        <v>12</v>
      </c>
      <c r="H391" s="5" t="s">
        <v>16</v>
      </c>
      <c r="I391" s="5">
        <v>2</v>
      </c>
      <c r="J391" s="9" t="s">
        <v>17</v>
      </c>
      <c r="K391" s="1" t="s">
        <v>683</v>
      </c>
      <c r="L391" t="s">
        <v>10</v>
      </c>
      <c r="M391" t="str">
        <f>+VLOOKUP(C391,'[1]TIENDAS 2025'!$A$1:$C$143,3,0)</f>
        <v>prioridad</v>
      </c>
      <c r="O391">
        <v>1</v>
      </c>
    </row>
    <row r="392" spans="1:15" ht="15" customHeight="1" x14ac:dyDescent="0.3">
      <c r="A392" s="8">
        <v>209667848</v>
      </c>
      <c r="B392" s="4" t="s">
        <v>289</v>
      </c>
      <c r="C392" s="4" t="s">
        <v>290</v>
      </c>
      <c r="D392" s="6">
        <v>46308.763761574097</v>
      </c>
      <c r="E392" s="6">
        <v>46308.513726851903</v>
      </c>
      <c r="F392" s="6">
        <v>46308</v>
      </c>
      <c r="G392" s="5" t="s">
        <v>12</v>
      </c>
      <c r="H392" s="5" t="s">
        <v>16</v>
      </c>
      <c r="I392" s="5">
        <v>4</v>
      </c>
      <c r="J392" s="9" t="s">
        <v>17</v>
      </c>
      <c r="K392" s="1" t="s">
        <v>684</v>
      </c>
      <c r="L392" t="s">
        <v>10</v>
      </c>
      <c r="M392" t="str">
        <f>+VLOOKUP(C392,'[1]TIENDAS 2025'!$A$1:$C$143,3,0)</f>
        <v>departamental</v>
      </c>
      <c r="O392">
        <v>1</v>
      </c>
    </row>
    <row r="393" spans="1:15" ht="15" customHeight="1" x14ac:dyDescent="0.3">
      <c r="A393" s="8">
        <v>209667855</v>
      </c>
      <c r="B393" s="4" t="s">
        <v>169</v>
      </c>
      <c r="C393" s="4" t="s">
        <v>170</v>
      </c>
      <c r="D393" s="6">
        <v>46308.763784722199</v>
      </c>
      <c r="E393" s="6">
        <v>46308.513749999998</v>
      </c>
      <c r="F393" s="6">
        <v>46308</v>
      </c>
      <c r="G393" s="5" t="s">
        <v>12</v>
      </c>
      <c r="H393" s="5" t="s">
        <v>16</v>
      </c>
      <c r="I393" s="5">
        <v>11</v>
      </c>
      <c r="J393" s="9" t="s">
        <v>17</v>
      </c>
      <c r="K393" s="1" t="s">
        <v>685</v>
      </c>
      <c r="L393" t="s">
        <v>10</v>
      </c>
      <c r="M393" t="str">
        <f>+VLOOKUP(C393,'[1]TIENDAS 2025'!$A$1:$C$143,3,0)</f>
        <v>departamental</v>
      </c>
      <c r="O393">
        <v>1</v>
      </c>
    </row>
    <row r="394" spans="1:15" ht="15" customHeight="1" x14ac:dyDescent="0.3">
      <c r="A394" s="8">
        <v>209667803</v>
      </c>
      <c r="B394" s="4" t="s">
        <v>268</v>
      </c>
      <c r="C394" s="4" t="s">
        <v>269</v>
      </c>
      <c r="D394" s="6">
        <v>46308.763796296298</v>
      </c>
      <c r="E394" s="6">
        <v>46308.513773148101</v>
      </c>
      <c r="F394" s="6">
        <v>46308</v>
      </c>
      <c r="G394" s="5" t="s">
        <v>12</v>
      </c>
      <c r="H394" s="5" t="s">
        <v>16</v>
      </c>
      <c r="I394" s="5">
        <v>6</v>
      </c>
      <c r="J394" s="9" t="s">
        <v>17</v>
      </c>
      <c r="K394" s="1" t="s">
        <v>686</v>
      </c>
      <c r="L394" t="s">
        <v>10</v>
      </c>
      <c r="M394" t="str">
        <f>+VLOOKUP(C394,'[1]TIENDAS 2025'!$A$1:$C$143,3,0)</f>
        <v>departamental</v>
      </c>
      <c r="O394">
        <v>1</v>
      </c>
    </row>
    <row r="395" spans="1:15" ht="15" customHeight="1" x14ac:dyDescent="0.3">
      <c r="A395" s="8">
        <v>209667878</v>
      </c>
      <c r="B395" s="4" t="s">
        <v>250</v>
      </c>
      <c r="C395" s="4" t="s">
        <v>251</v>
      </c>
      <c r="D395" s="6">
        <v>46308.777523148201</v>
      </c>
      <c r="E395" s="6">
        <v>46308.527465277803</v>
      </c>
      <c r="F395" s="6">
        <v>46308</v>
      </c>
      <c r="G395" s="5" t="s">
        <v>12</v>
      </c>
      <c r="H395" s="5" t="s">
        <v>16</v>
      </c>
      <c r="I395" s="5">
        <v>1</v>
      </c>
      <c r="J395" s="9" t="s">
        <v>17</v>
      </c>
      <c r="K395" s="1" t="s">
        <v>687</v>
      </c>
      <c r="L395" t="s">
        <v>10</v>
      </c>
      <c r="M395" t="str">
        <f>+VLOOKUP(C395,'[1]TIENDAS 2025'!$A$1:$C$143,3,0)</f>
        <v>prioridad</v>
      </c>
      <c r="O395">
        <v>1</v>
      </c>
    </row>
    <row r="396" spans="1:15" ht="15" customHeight="1" x14ac:dyDescent="0.3">
      <c r="A396" s="8">
        <v>209668041</v>
      </c>
      <c r="B396" s="4" t="s">
        <v>181</v>
      </c>
      <c r="C396" s="4" t="s">
        <v>182</v>
      </c>
      <c r="D396" s="6">
        <v>46308.780740740702</v>
      </c>
      <c r="E396" s="6">
        <v>46308.5307060185</v>
      </c>
      <c r="F396" s="6">
        <v>46308</v>
      </c>
      <c r="G396" s="5" t="s">
        <v>12</v>
      </c>
      <c r="H396" s="5" t="s">
        <v>16</v>
      </c>
      <c r="I396" s="5">
        <v>2</v>
      </c>
      <c r="J396" s="9" t="s">
        <v>17</v>
      </c>
      <c r="K396" s="1" t="s">
        <v>688</v>
      </c>
      <c r="L396" t="s">
        <v>10</v>
      </c>
      <c r="M396" t="str">
        <f>+VLOOKUP(C396,'[1]TIENDAS 2025'!$A$1:$C$143,3,0)</f>
        <v>departamental</v>
      </c>
      <c r="O396">
        <v>1</v>
      </c>
    </row>
    <row r="397" spans="1:15" ht="15" customHeight="1" x14ac:dyDescent="0.3">
      <c r="A397" s="8">
        <v>209668044</v>
      </c>
      <c r="B397" s="4" t="s">
        <v>277</v>
      </c>
      <c r="C397" s="4" t="s">
        <v>278</v>
      </c>
      <c r="D397" s="6">
        <v>46308.7807523148</v>
      </c>
      <c r="E397" s="6">
        <v>46308.530717592599</v>
      </c>
      <c r="F397" s="6">
        <v>46308</v>
      </c>
      <c r="G397" s="5" t="s">
        <v>12</v>
      </c>
      <c r="H397" s="5" t="s">
        <v>16</v>
      </c>
      <c r="I397" s="5">
        <v>4</v>
      </c>
      <c r="J397" s="9" t="s">
        <v>17</v>
      </c>
      <c r="K397" s="1" t="s">
        <v>689</v>
      </c>
      <c r="L397" t="s">
        <v>10</v>
      </c>
      <c r="M397" t="str">
        <f>+VLOOKUP(C397,'[1]TIENDAS 2025'!$A$1:$C$143,3,0)</f>
        <v>local</v>
      </c>
      <c r="O397">
        <v>1</v>
      </c>
    </row>
    <row r="398" spans="1:15" ht="15" customHeight="1" x14ac:dyDescent="0.3">
      <c r="A398" s="8">
        <v>209668048</v>
      </c>
      <c r="B398" s="4" t="s">
        <v>304</v>
      </c>
      <c r="C398" s="4" t="s">
        <v>305</v>
      </c>
      <c r="D398" s="6">
        <v>46308.780763888899</v>
      </c>
      <c r="E398" s="6">
        <v>46308.530740740702</v>
      </c>
      <c r="F398" s="6">
        <v>46308</v>
      </c>
      <c r="G398" s="5" t="s">
        <v>12</v>
      </c>
      <c r="H398" s="5" t="s">
        <v>16</v>
      </c>
      <c r="I398" s="5">
        <v>2</v>
      </c>
      <c r="J398" s="9" t="s">
        <v>17</v>
      </c>
      <c r="K398" s="1" t="s">
        <v>690</v>
      </c>
      <c r="L398" t="s">
        <v>10</v>
      </c>
      <c r="M398" t="str">
        <f>+VLOOKUP(C398,'[1]TIENDAS 2025'!$A$1:$C$143,3,0)</f>
        <v>departamental</v>
      </c>
      <c r="O398">
        <v>1</v>
      </c>
    </row>
    <row r="399" spans="1:15" ht="15" customHeight="1" x14ac:dyDescent="0.3">
      <c r="A399" s="8">
        <v>209668052</v>
      </c>
      <c r="B399" s="4" t="s">
        <v>406</v>
      </c>
      <c r="C399" s="4" t="s">
        <v>407</v>
      </c>
      <c r="D399" s="6">
        <v>46308.780775462998</v>
      </c>
      <c r="E399" s="6">
        <v>46308.5307523148</v>
      </c>
      <c r="F399" s="6">
        <v>46308</v>
      </c>
      <c r="G399" s="5" t="s">
        <v>12</v>
      </c>
      <c r="H399" s="5" t="s">
        <v>16</v>
      </c>
      <c r="I399" s="5">
        <v>5</v>
      </c>
      <c r="J399" s="9" t="s">
        <v>17</v>
      </c>
      <c r="K399" s="1" t="s">
        <v>691</v>
      </c>
      <c r="L399" t="s">
        <v>10</v>
      </c>
      <c r="M399" t="str">
        <f>+VLOOKUP(C399,'[1]TIENDAS 2025'!$A$1:$C$143,3,0)</f>
        <v>nocturna</v>
      </c>
      <c r="O399">
        <v>1</v>
      </c>
    </row>
    <row r="400" spans="1:15" ht="15" customHeight="1" x14ac:dyDescent="0.3">
      <c r="A400" s="8">
        <v>209668056</v>
      </c>
      <c r="B400" s="4" t="s">
        <v>157</v>
      </c>
      <c r="C400" s="4" t="s">
        <v>158</v>
      </c>
      <c r="D400" s="6">
        <v>46308.7807986111</v>
      </c>
      <c r="E400" s="6">
        <v>46308.530763888899</v>
      </c>
      <c r="F400" s="6">
        <v>46308</v>
      </c>
      <c r="G400" s="5" t="s">
        <v>12</v>
      </c>
      <c r="H400" s="5" t="s">
        <v>16</v>
      </c>
      <c r="I400" s="5">
        <v>4</v>
      </c>
      <c r="J400" s="9" t="s">
        <v>17</v>
      </c>
      <c r="K400" s="1" t="s">
        <v>692</v>
      </c>
      <c r="L400" t="s">
        <v>10</v>
      </c>
      <c r="M400" t="str">
        <f>+VLOOKUP(C400,'[1]TIENDAS 2025'!$A$1:$C$143,3,0)</f>
        <v>departamental</v>
      </c>
      <c r="O400">
        <v>1</v>
      </c>
    </row>
    <row r="401" spans="1:15" ht="15" customHeight="1" x14ac:dyDescent="0.3">
      <c r="A401" s="8">
        <v>209668062</v>
      </c>
      <c r="B401" s="4" t="s">
        <v>205</v>
      </c>
      <c r="C401" s="4" t="s">
        <v>206</v>
      </c>
      <c r="D401" s="6">
        <v>46308.780810185199</v>
      </c>
      <c r="E401" s="6">
        <v>46308.530775462998</v>
      </c>
      <c r="F401" s="6">
        <v>46308</v>
      </c>
      <c r="G401" s="5" t="s">
        <v>12</v>
      </c>
      <c r="H401" s="5" t="s">
        <v>16</v>
      </c>
      <c r="I401" s="5">
        <v>3</v>
      </c>
      <c r="J401" s="9" t="s">
        <v>17</v>
      </c>
      <c r="K401" s="1" t="s">
        <v>693</v>
      </c>
      <c r="L401" t="s">
        <v>10</v>
      </c>
      <c r="M401" t="str">
        <f>+VLOOKUP(C401,'[1]TIENDAS 2025'!$A$1:$C$143,3,0)</f>
        <v>prioridad</v>
      </c>
      <c r="O401">
        <v>1</v>
      </c>
    </row>
    <row r="402" spans="1:15" ht="15" customHeight="1" x14ac:dyDescent="0.3">
      <c r="A402" s="8">
        <v>209668063</v>
      </c>
      <c r="B402" s="4" t="s">
        <v>388</v>
      </c>
      <c r="C402" s="4" t="s">
        <v>389</v>
      </c>
      <c r="D402" s="6">
        <v>46308.780821759297</v>
      </c>
      <c r="E402" s="6">
        <v>46308.5307986111</v>
      </c>
      <c r="F402" s="6">
        <v>46308</v>
      </c>
      <c r="G402" s="5" t="s">
        <v>12</v>
      </c>
      <c r="H402" s="5" t="s">
        <v>16</v>
      </c>
      <c r="I402" s="5">
        <v>3</v>
      </c>
      <c r="J402" s="9" t="s">
        <v>17</v>
      </c>
      <c r="K402" s="1" t="s">
        <v>694</v>
      </c>
      <c r="L402" t="s">
        <v>10</v>
      </c>
      <c r="M402" t="str">
        <f>+VLOOKUP(C402,'[1]TIENDAS 2025'!$A$1:$C$143,3,0)</f>
        <v>departamental</v>
      </c>
      <c r="O402">
        <v>1</v>
      </c>
    </row>
    <row r="403" spans="1:15" ht="15" customHeight="1" x14ac:dyDescent="0.3">
      <c r="A403" s="8">
        <v>209668064</v>
      </c>
      <c r="B403" s="4" t="s">
        <v>466</v>
      </c>
      <c r="C403" s="4" t="s">
        <v>467</v>
      </c>
      <c r="D403" s="6">
        <v>46308.7808449074</v>
      </c>
      <c r="E403" s="6">
        <v>46308.530810185199</v>
      </c>
      <c r="F403" s="6">
        <v>46308</v>
      </c>
      <c r="G403" s="5" t="s">
        <v>12</v>
      </c>
      <c r="H403" s="5" t="s">
        <v>16</v>
      </c>
      <c r="I403" s="5">
        <v>2</v>
      </c>
      <c r="J403" s="9" t="s">
        <v>17</v>
      </c>
      <c r="K403" s="1" t="s">
        <v>695</v>
      </c>
      <c r="L403" t="s">
        <v>10</v>
      </c>
      <c r="M403" t="str">
        <f>+VLOOKUP(C403,'[1]TIENDAS 2025'!$A$1:$C$143,3,0)</f>
        <v>departamental</v>
      </c>
      <c r="O403">
        <v>1</v>
      </c>
    </row>
    <row r="404" spans="1:15" ht="15" customHeight="1" x14ac:dyDescent="0.3">
      <c r="A404" s="8">
        <v>209667995</v>
      </c>
      <c r="B404" s="4" t="s">
        <v>193</v>
      </c>
      <c r="C404" s="4" t="s">
        <v>194</v>
      </c>
      <c r="D404" s="6">
        <v>46308.780856481499</v>
      </c>
      <c r="E404" s="6">
        <v>46308.530821759297</v>
      </c>
      <c r="F404" s="6">
        <v>46308</v>
      </c>
      <c r="G404" s="5" t="s">
        <v>12</v>
      </c>
      <c r="H404" s="5" t="s">
        <v>16</v>
      </c>
      <c r="I404" s="5">
        <v>3</v>
      </c>
      <c r="J404" s="9" t="s">
        <v>17</v>
      </c>
      <c r="K404" s="1" t="s">
        <v>696</v>
      </c>
      <c r="L404" t="s">
        <v>10</v>
      </c>
      <c r="M404" t="str">
        <f>+VLOOKUP(C404,'[1]TIENDAS 2025'!$A$1:$C$143,3,0)</f>
        <v>local</v>
      </c>
      <c r="O404">
        <v>1</v>
      </c>
    </row>
    <row r="405" spans="1:15" ht="15" customHeight="1" x14ac:dyDescent="0.3">
      <c r="A405" s="8">
        <v>209668078</v>
      </c>
      <c r="B405" s="4" t="s">
        <v>342</v>
      </c>
      <c r="C405" s="4" t="s">
        <v>343</v>
      </c>
      <c r="D405" s="6">
        <v>46308.780868055597</v>
      </c>
      <c r="E405" s="6">
        <v>46308.530833333301</v>
      </c>
      <c r="F405" s="6">
        <v>46308</v>
      </c>
      <c r="G405" s="5" t="s">
        <v>12</v>
      </c>
      <c r="H405" s="5" t="s">
        <v>16</v>
      </c>
      <c r="I405" s="5">
        <v>2</v>
      </c>
      <c r="J405" s="9" t="s">
        <v>17</v>
      </c>
      <c r="K405" s="1" t="s">
        <v>697</v>
      </c>
      <c r="L405" t="s">
        <v>10</v>
      </c>
      <c r="M405" t="str">
        <f>+VLOOKUP(C405,'[1]TIENDAS 2025'!$A$1:$C$143,3,0)</f>
        <v>local</v>
      </c>
      <c r="O405">
        <v>1</v>
      </c>
    </row>
    <row r="406" spans="1:15" ht="15" customHeight="1" x14ac:dyDescent="0.3">
      <c r="A406" s="8">
        <v>209668012</v>
      </c>
      <c r="B406" s="4" t="s">
        <v>554</v>
      </c>
      <c r="C406" s="4" t="s">
        <v>555</v>
      </c>
      <c r="D406" s="6">
        <v>46308.780879629601</v>
      </c>
      <c r="E406" s="6">
        <v>46308.530856481499</v>
      </c>
      <c r="F406" s="6">
        <v>46308</v>
      </c>
      <c r="G406" s="5" t="s">
        <v>12</v>
      </c>
      <c r="H406" s="5" t="s">
        <v>16</v>
      </c>
      <c r="I406" s="5">
        <v>5</v>
      </c>
      <c r="J406" s="9" t="s">
        <v>17</v>
      </c>
      <c r="K406" s="1" t="s">
        <v>698</v>
      </c>
      <c r="L406" t="s">
        <v>10</v>
      </c>
      <c r="M406" t="str">
        <f>+VLOOKUP(C406,'[1]TIENDAS 2025'!$A$1:$C$143,3,0)</f>
        <v>nocturna</v>
      </c>
      <c r="O406">
        <v>1</v>
      </c>
    </row>
    <row r="407" spans="1:15" ht="15" customHeight="1" x14ac:dyDescent="0.3">
      <c r="A407" s="8">
        <v>209668031</v>
      </c>
      <c r="B407" s="4" t="s">
        <v>163</v>
      </c>
      <c r="C407" s="4" t="s">
        <v>164</v>
      </c>
      <c r="D407" s="6">
        <v>46308.780902777798</v>
      </c>
      <c r="E407" s="6">
        <v>46308.530868055597</v>
      </c>
      <c r="F407" s="6">
        <v>46308</v>
      </c>
      <c r="G407" s="5" t="s">
        <v>12</v>
      </c>
      <c r="H407" s="5" t="s">
        <v>16</v>
      </c>
      <c r="I407" s="5">
        <v>6</v>
      </c>
      <c r="J407" s="9" t="s">
        <v>17</v>
      </c>
      <c r="K407" s="1" t="s">
        <v>699</v>
      </c>
      <c r="L407" t="s">
        <v>10</v>
      </c>
      <c r="M407" t="str">
        <f>+VLOOKUP(C407,'[1]TIENDAS 2025'!$A$1:$C$143,3,0)</f>
        <v>departamental</v>
      </c>
      <c r="O407">
        <v>1</v>
      </c>
    </row>
    <row r="408" spans="1:15" ht="15" customHeight="1" x14ac:dyDescent="0.3">
      <c r="A408" s="8">
        <v>209668060</v>
      </c>
      <c r="B408" s="4" t="s">
        <v>545</v>
      </c>
      <c r="C408" s="4" t="s">
        <v>546</v>
      </c>
      <c r="D408" s="6">
        <v>46308.780914351897</v>
      </c>
      <c r="E408" s="6">
        <v>46308.530879629601</v>
      </c>
      <c r="F408" s="6">
        <v>46308</v>
      </c>
      <c r="G408" s="5" t="s">
        <v>12</v>
      </c>
      <c r="H408" s="5" t="s">
        <v>16</v>
      </c>
      <c r="I408" s="5">
        <v>3</v>
      </c>
      <c r="J408" s="9" t="s">
        <v>17</v>
      </c>
      <c r="K408" s="1" t="s">
        <v>700</v>
      </c>
      <c r="L408" t="s">
        <v>10</v>
      </c>
      <c r="M408" t="str">
        <f>+VLOOKUP(C408,'[1]TIENDAS 2025'!$A$1:$C$143,3,0)</f>
        <v>departamental</v>
      </c>
      <c r="O408">
        <v>1</v>
      </c>
    </row>
    <row r="409" spans="1:15" ht="15" customHeight="1" x14ac:dyDescent="0.3">
      <c r="A409" s="8">
        <v>209668065</v>
      </c>
      <c r="B409" s="4" t="s">
        <v>217</v>
      </c>
      <c r="C409" s="4" t="s">
        <v>218</v>
      </c>
      <c r="D409" s="6">
        <v>46308.7809375</v>
      </c>
      <c r="E409" s="6">
        <v>46308.5308912037</v>
      </c>
      <c r="F409" s="6">
        <v>46308</v>
      </c>
      <c r="G409" s="5" t="s">
        <v>12</v>
      </c>
      <c r="H409" s="5" t="s">
        <v>16</v>
      </c>
      <c r="I409" s="5">
        <v>4</v>
      </c>
      <c r="J409" s="9" t="s">
        <v>17</v>
      </c>
      <c r="K409" s="1" t="s">
        <v>701</v>
      </c>
      <c r="L409" t="s">
        <v>10</v>
      </c>
      <c r="M409" t="str">
        <f>+VLOOKUP(C409,'[1]TIENDAS 2025'!$A$1:$C$143,3,0)</f>
        <v>nocturna</v>
      </c>
      <c r="O409">
        <v>1</v>
      </c>
    </row>
    <row r="410" spans="1:15" ht="15" customHeight="1" x14ac:dyDescent="0.3">
      <c r="A410" s="8">
        <v>209668067</v>
      </c>
      <c r="B410" s="4" t="s">
        <v>19</v>
      </c>
      <c r="C410" s="4" t="s">
        <v>20</v>
      </c>
      <c r="D410" s="6">
        <v>46308.780949074098</v>
      </c>
      <c r="E410" s="6">
        <v>46308.530925925901</v>
      </c>
      <c r="F410" s="6">
        <v>46308</v>
      </c>
      <c r="G410" s="5" t="s">
        <v>12</v>
      </c>
      <c r="H410" s="5" t="s">
        <v>16</v>
      </c>
      <c r="I410" s="5">
        <v>3</v>
      </c>
      <c r="J410" s="9" t="s">
        <v>17</v>
      </c>
      <c r="K410" s="1" t="s">
        <v>702</v>
      </c>
      <c r="L410" t="s">
        <v>10</v>
      </c>
      <c r="M410" t="str">
        <f>+VLOOKUP(C410,'[1]TIENDAS 2025'!$A$1:$C$143,3,0)</f>
        <v>departamental</v>
      </c>
      <c r="O410">
        <v>1</v>
      </c>
    </row>
    <row r="411" spans="1:15" ht="15" customHeight="1" x14ac:dyDescent="0.3">
      <c r="A411" s="8">
        <v>209668076</v>
      </c>
      <c r="B411" s="4" t="s">
        <v>494</v>
      </c>
      <c r="C411" s="4" t="s">
        <v>495</v>
      </c>
      <c r="D411" s="6">
        <v>46308.780972222201</v>
      </c>
      <c r="E411" s="6">
        <v>46308.5309375</v>
      </c>
      <c r="F411" s="6">
        <v>46308</v>
      </c>
      <c r="G411" s="5" t="s">
        <v>12</v>
      </c>
      <c r="H411" s="5" t="s">
        <v>16</v>
      </c>
      <c r="I411" s="5">
        <v>2</v>
      </c>
      <c r="J411" s="9" t="s">
        <v>17</v>
      </c>
      <c r="K411" s="1" t="s">
        <v>703</v>
      </c>
      <c r="L411" t="s">
        <v>10</v>
      </c>
      <c r="M411" t="str">
        <f>+VLOOKUP(C411,'[1]TIENDAS 2025'!$A$1:$C$143,3,0)</f>
        <v>local</v>
      </c>
      <c r="O411">
        <v>1</v>
      </c>
    </row>
    <row r="412" spans="1:15" ht="15" customHeight="1" x14ac:dyDescent="0.3">
      <c r="A412" s="8">
        <v>209668010</v>
      </c>
      <c r="B412" s="4" t="s">
        <v>463</v>
      </c>
      <c r="C412" s="4" t="s">
        <v>464</v>
      </c>
      <c r="D412" s="6">
        <v>46308.7809837963</v>
      </c>
      <c r="E412" s="6">
        <v>46308.530949074098</v>
      </c>
      <c r="F412" s="6">
        <v>46308</v>
      </c>
      <c r="G412" s="5" t="s">
        <v>12</v>
      </c>
      <c r="H412" s="5" t="s">
        <v>16</v>
      </c>
      <c r="I412" s="5">
        <v>6</v>
      </c>
      <c r="J412" s="9" t="s">
        <v>17</v>
      </c>
      <c r="K412" s="1" t="s">
        <v>704</v>
      </c>
      <c r="L412" t="s">
        <v>10</v>
      </c>
      <c r="M412" t="str">
        <f>+VLOOKUP(C412,'[1]TIENDAS 2025'!$A$1:$C$143,3,0)</f>
        <v xml:space="preserve">departamental </v>
      </c>
      <c r="O412">
        <v>1</v>
      </c>
    </row>
    <row r="413" spans="1:15" ht="15" customHeight="1" x14ac:dyDescent="0.3">
      <c r="A413" s="8">
        <v>209668033</v>
      </c>
      <c r="B413" s="4" t="s">
        <v>214</v>
      </c>
      <c r="C413" s="4" t="s">
        <v>215</v>
      </c>
      <c r="D413" s="6">
        <v>46308.780995370398</v>
      </c>
      <c r="E413" s="6">
        <v>46308.530960648102</v>
      </c>
      <c r="F413" s="6">
        <v>46308</v>
      </c>
      <c r="G413" s="5" t="s">
        <v>12</v>
      </c>
      <c r="H413" s="5" t="s">
        <v>16</v>
      </c>
      <c r="I413" s="5">
        <v>5</v>
      </c>
      <c r="J413" s="9" t="s">
        <v>17</v>
      </c>
      <c r="K413" s="1" t="s">
        <v>705</v>
      </c>
      <c r="L413" t="s">
        <v>10</v>
      </c>
      <c r="M413" t="str">
        <f>+VLOOKUP(C413,'[1]TIENDAS 2025'!$A$1:$C$143,3,0)</f>
        <v>departamental</v>
      </c>
      <c r="O413">
        <v>1</v>
      </c>
    </row>
    <row r="414" spans="1:15" ht="15" customHeight="1" x14ac:dyDescent="0.3">
      <c r="A414" s="8">
        <v>209668035</v>
      </c>
      <c r="B414" s="4" t="s">
        <v>472</v>
      </c>
      <c r="C414" s="4" t="s">
        <v>473</v>
      </c>
      <c r="D414" s="6">
        <v>46308.781006944402</v>
      </c>
      <c r="E414" s="6">
        <v>46308.530972222201</v>
      </c>
      <c r="F414" s="6">
        <v>46308</v>
      </c>
      <c r="G414" s="5" t="s">
        <v>12</v>
      </c>
      <c r="H414" s="5" t="s">
        <v>16</v>
      </c>
      <c r="I414" s="5">
        <v>3</v>
      </c>
      <c r="J414" s="9" t="s">
        <v>17</v>
      </c>
      <c r="K414" s="1" t="s">
        <v>706</v>
      </c>
      <c r="L414" t="s">
        <v>10</v>
      </c>
      <c r="M414" t="str">
        <f>+VLOOKUP(C414,'[1]TIENDAS 2025'!$A$1:$C$143,3,0)</f>
        <v>departamental</v>
      </c>
      <c r="O414">
        <v>1</v>
      </c>
    </row>
    <row r="415" spans="1:15" ht="15" customHeight="1" x14ac:dyDescent="0.3">
      <c r="A415" s="8">
        <v>209668049</v>
      </c>
      <c r="B415" s="4" t="s">
        <v>491</v>
      </c>
      <c r="C415" s="4" t="s">
        <v>492</v>
      </c>
      <c r="D415" s="6">
        <v>46308.781018518501</v>
      </c>
      <c r="E415" s="6">
        <v>46308.530995370398</v>
      </c>
      <c r="F415" s="6">
        <v>46308</v>
      </c>
      <c r="G415" s="5" t="s">
        <v>12</v>
      </c>
      <c r="H415" s="5" t="s">
        <v>16</v>
      </c>
      <c r="I415" s="5">
        <v>5</v>
      </c>
      <c r="J415" s="9" t="s">
        <v>17</v>
      </c>
      <c r="K415" s="1" t="s">
        <v>707</v>
      </c>
      <c r="L415" t="s">
        <v>10</v>
      </c>
      <c r="M415" t="str">
        <f>+VLOOKUP(C415,'[1]TIENDAS 2025'!$A$1:$C$143,3,0)</f>
        <v>departamental</v>
      </c>
      <c r="O415">
        <v>1</v>
      </c>
    </row>
    <row r="416" spans="1:15" ht="15" customHeight="1" x14ac:dyDescent="0.3">
      <c r="A416" s="8">
        <v>209668050</v>
      </c>
      <c r="B416" s="4" t="s">
        <v>451</v>
      </c>
      <c r="C416" s="4" t="s">
        <v>452</v>
      </c>
      <c r="D416" s="6">
        <v>46308.781041666698</v>
      </c>
      <c r="E416" s="6">
        <v>46308.531006944402</v>
      </c>
      <c r="F416" s="6">
        <v>46308</v>
      </c>
      <c r="G416" s="5" t="s">
        <v>12</v>
      </c>
      <c r="H416" s="5" t="s">
        <v>16</v>
      </c>
      <c r="I416" s="5">
        <v>2</v>
      </c>
      <c r="J416" s="9" t="s">
        <v>17</v>
      </c>
      <c r="K416" s="1" t="s">
        <v>708</v>
      </c>
      <c r="L416" t="s">
        <v>10</v>
      </c>
      <c r="M416" t="str">
        <f>+VLOOKUP(C416,'[1]TIENDAS 2025'!$A$1:$C$143,3,0)</f>
        <v>departamental</v>
      </c>
      <c r="O416">
        <v>1</v>
      </c>
    </row>
    <row r="417" spans="1:15" ht="15" customHeight="1" x14ac:dyDescent="0.3">
      <c r="A417" s="8">
        <v>209668057</v>
      </c>
      <c r="B417" s="4" t="s">
        <v>548</v>
      </c>
      <c r="C417" s="4" t="s">
        <v>549</v>
      </c>
      <c r="D417" s="6">
        <v>46308.781053240702</v>
      </c>
      <c r="E417" s="6">
        <v>46308.531018518501</v>
      </c>
      <c r="F417" s="6">
        <v>46308</v>
      </c>
      <c r="G417" s="5" t="s">
        <v>12</v>
      </c>
      <c r="H417" s="5" t="s">
        <v>16</v>
      </c>
      <c r="I417" s="5">
        <v>5</v>
      </c>
      <c r="J417" s="9" t="s">
        <v>17</v>
      </c>
      <c r="K417" s="1" t="s">
        <v>709</v>
      </c>
      <c r="L417" t="s">
        <v>10</v>
      </c>
      <c r="M417" t="str">
        <f>+VLOOKUP(C417,'[1]TIENDAS 2025'!$A$1:$C$143,3,0)</f>
        <v>departamental</v>
      </c>
      <c r="O417">
        <v>1</v>
      </c>
    </row>
    <row r="418" spans="1:15" ht="15" customHeight="1" x14ac:dyDescent="0.3">
      <c r="A418" s="8">
        <v>209668068</v>
      </c>
      <c r="B418" s="4" t="s">
        <v>223</v>
      </c>
      <c r="C418" s="4" t="s">
        <v>224</v>
      </c>
      <c r="D418" s="6">
        <v>46308.781064814801</v>
      </c>
      <c r="E418" s="6">
        <v>46308.531030092599</v>
      </c>
      <c r="F418" s="6">
        <v>46308</v>
      </c>
      <c r="G418" s="5" t="s">
        <v>12</v>
      </c>
      <c r="H418" s="5" t="s">
        <v>16</v>
      </c>
      <c r="I418" s="5">
        <v>1</v>
      </c>
      <c r="J418" s="9" t="s">
        <v>17</v>
      </c>
      <c r="K418" s="1" t="s">
        <v>710</v>
      </c>
      <c r="L418" t="s">
        <v>10</v>
      </c>
      <c r="M418" t="str">
        <f>+VLOOKUP(C418,'[1]TIENDAS 2025'!$A$1:$C$143,3,0)</f>
        <v>departamental</v>
      </c>
      <c r="O418">
        <v>1</v>
      </c>
    </row>
    <row r="419" spans="1:15" ht="15" customHeight="1" x14ac:dyDescent="0.3">
      <c r="A419" s="8">
        <v>209667997</v>
      </c>
      <c r="B419" s="4" t="s">
        <v>539</v>
      </c>
      <c r="C419" s="4" t="s">
        <v>540</v>
      </c>
      <c r="D419" s="6">
        <v>46308.781076388899</v>
      </c>
      <c r="E419" s="6">
        <v>46308.531053240702</v>
      </c>
      <c r="F419" s="6">
        <v>46308</v>
      </c>
      <c r="G419" s="5" t="s">
        <v>12</v>
      </c>
      <c r="H419" s="5" t="s">
        <v>16</v>
      </c>
      <c r="I419" s="5">
        <v>6</v>
      </c>
      <c r="J419" s="9" t="s">
        <v>17</v>
      </c>
      <c r="K419" s="1" t="s">
        <v>711</v>
      </c>
      <c r="L419" t="s">
        <v>10</v>
      </c>
      <c r="M419" t="str">
        <f>+VLOOKUP(C419,'[1]TIENDAS 2025'!$A$1:$C$143,3,0)</f>
        <v>departamental</v>
      </c>
      <c r="O419">
        <v>1</v>
      </c>
    </row>
    <row r="420" spans="1:15" ht="15" customHeight="1" x14ac:dyDescent="0.3">
      <c r="A420" s="8">
        <v>209668072</v>
      </c>
      <c r="B420" s="4" t="s">
        <v>268</v>
      </c>
      <c r="C420" s="4" t="s">
        <v>269</v>
      </c>
      <c r="D420" s="6">
        <v>46308.781099537002</v>
      </c>
      <c r="E420" s="6">
        <v>46308.531064814801</v>
      </c>
      <c r="F420" s="6">
        <v>46308</v>
      </c>
      <c r="G420" s="5" t="s">
        <v>12</v>
      </c>
      <c r="H420" s="5" t="s">
        <v>16</v>
      </c>
      <c r="I420" s="5">
        <v>2</v>
      </c>
      <c r="J420" s="9" t="s">
        <v>17</v>
      </c>
      <c r="K420" s="1" t="s">
        <v>712</v>
      </c>
      <c r="L420" t="s">
        <v>10</v>
      </c>
      <c r="M420" t="str">
        <f>+VLOOKUP(C420,'[1]TIENDAS 2025'!$A$1:$C$143,3,0)</f>
        <v>departamental</v>
      </c>
      <c r="O420">
        <v>1</v>
      </c>
    </row>
    <row r="421" spans="1:15" ht="15" customHeight="1" x14ac:dyDescent="0.3">
      <c r="A421" s="8">
        <v>209668000</v>
      </c>
      <c r="B421" s="4" t="s">
        <v>361</v>
      </c>
      <c r="C421" s="4" t="s">
        <v>362</v>
      </c>
      <c r="D421" s="6">
        <v>46308.781122685199</v>
      </c>
      <c r="E421" s="6">
        <v>46308.531087962998</v>
      </c>
      <c r="F421" s="6">
        <v>46308</v>
      </c>
      <c r="G421" s="5" t="s">
        <v>12</v>
      </c>
      <c r="H421" s="5" t="s">
        <v>16</v>
      </c>
      <c r="I421" s="5">
        <v>4</v>
      </c>
      <c r="J421" s="9" t="s">
        <v>17</v>
      </c>
      <c r="K421" s="1" t="s">
        <v>713</v>
      </c>
      <c r="L421" t="s">
        <v>10</v>
      </c>
      <c r="M421" t="str">
        <f>+VLOOKUP(C421,'[1]TIENDAS 2025'!$A$1:$C$143,3,0)</f>
        <v>departamental</v>
      </c>
      <c r="O421">
        <v>1</v>
      </c>
    </row>
    <row r="422" spans="1:15" ht="15" customHeight="1" x14ac:dyDescent="0.3">
      <c r="A422" s="8">
        <v>209668002</v>
      </c>
      <c r="B422" s="4" t="s">
        <v>524</v>
      </c>
      <c r="C422" s="4" t="s">
        <v>525</v>
      </c>
      <c r="D422" s="6">
        <v>46308.781134259298</v>
      </c>
      <c r="E422" s="6">
        <v>46308.5311111111</v>
      </c>
      <c r="F422" s="6">
        <v>46308</v>
      </c>
      <c r="G422" s="5" t="s">
        <v>12</v>
      </c>
      <c r="H422" s="5" t="s">
        <v>16</v>
      </c>
      <c r="I422" s="5">
        <v>4</v>
      </c>
      <c r="J422" s="9" t="s">
        <v>17</v>
      </c>
      <c r="K422" s="1" t="s">
        <v>714</v>
      </c>
      <c r="L422" t="s">
        <v>10</v>
      </c>
      <c r="M422" t="str">
        <f>+VLOOKUP(C422,'[1]TIENDAS 2025'!$A$1:$C$143,3,0)</f>
        <v>local</v>
      </c>
      <c r="O422">
        <v>1</v>
      </c>
    </row>
    <row r="423" spans="1:15" ht="15" customHeight="1" x14ac:dyDescent="0.3">
      <c r="A423" s="8">
        <v>209668006</v>
      </c>
      <c r="B423" s="4" t="s">
        <v>348</v>
      </c>
      <c r="C423" s="4" t="s">
        <v>349</v>
      </c>
      <c r="D423" s="6">
        <v>46308.781145833302</v>
      </c>
      <c r="E423" s="6">
        <v>46308.531122685199</v>
      </c>
      <c r="F423" s="6">
        <v>46308</v>
      </c>
      <c r="G423" s="5" t="s">
        <v>12</v>
      </c>
      <c r="H423" s="5" t="s">
        <v>16</v>
      </c>
      <c r="I423" s="5">
        <v>5</v>
      </c>
      <c r="J423" s="9" t="s">
        <v>17</v>
      </c>
      <c r="K423" s="1" t="s">
        <v>715</v>
      </c>
      <c r="L423" t="s">
        <v>10</v>
      </c>
      <c r="M423" t="str">
        <f>+VLOOKUP(C423,'[1]TIENDAS 2025'!$A$1:$C$143,3,0)</f>
        <v>local</v>
      </c>
      <c r="O423">
        <v>1</v>
      </c>
    </row>
    <row r="424" spans="1:15" ht="15" customHeight="1" x14ac:dyDescent="0.3">
      <c r="A424" s="8">
        <v>209668013</v>
      </c>
      <c r="B424" s="4" t="s">
        <v>262</v>
      </c>
      <c r="C424" s="4" t="s">
        <v>263</v>
      </c>
      <c r="D424" s="6">
        <v>46308.781168981499</v>
      </c>
      <c r="E424" s="6">
        <v>46308.531134259298</v>
      </c>
      <c r="F424" s="6">
        <v>46308</v>
      </c>
      <c r="G424" s="5" t="s">
        <v>12</v>
      </c>
      <c r="H424" s="5" t="s">
        <v>16</v>
      </c>
      <c r="I424" s="5">
        <v>5</v>
      </c>
      <c r="J424" s="9" t="s">
        <v>17</v>
      </c>
      <c r="K424" s="1" t="s">
        <v>716</v>
      </c>
      <c r="L424" t="s">
        <v>10</v>
      </c>
      <c r="M424" t="str">
        <f>+VLOOKUP(C424,'[1]TIENDAS 2025'!$A$1:$C$143,3,0)</f>
        <v>departamental</v>
      </c>
      <c r="O424">
        <v>1</v>
      </c>
    </row>
    <row r="425" spans="1:15" ht="15" customHeight="1" x14ac:dyDescent="0.3">
      <c r="A425" s="8">
        <v>209668016</v>
      </c>
      <c r="B425" s="4" t="s">
        <v>271</v>
      </c>
      <c r="C425" s="4" t="s">
        <v>272</v>
      </c>
      <c r="D425" s="6">
        <v>46308.781180555598</v>
      </c>
      <c r="E425" s="6">
        <v>46308.531145833302</v>
      </c>
      <c r="F425" s="6">
        <v>46308</v>
      </c>
      <c r="G425" s="5" t="s">
        <v>12</v>
      </c>
      <c r="H425" s="5" t="s">
        <v>16</v>
      </c>
      <c r="I425" s="5">
        <v>1</v>
      </c>
      <c r="J425" s="9" t="s">
        <v>17</v>
      </c>
      <c r="K425" s="1" t="s">
        <v>717</v>
      </c>
      <c r="L425" t="s">
        <v>10</v>
      </c>
      <c r="M425" t="str">
        <f>+VLOOKUP(C425,'[1]TIENDAS 2025'!$A$1:$C$143,3,0)</f>
        <v>local</v>
      </c>
      <c r="O425">
        <v>1</v>
      </c>
    </row>
    <row r="426" spans="1:15" ht="15" customHeight="1" x14ac:dyDescent="0.3">
      <c r="A426" s="8">
        <v>209668018</v>
      </c>
      <c r="B426" s="4" t="s">
        <v>14</v>
      </c>
      <c r="C426" s="4" t="s">
        <v>15</v>
      </c>
      <c r="D426" s="6">
        <v>46308.781192129602</v>
      </c>
      <c r="E426" s="6">
        <v>46308.5311574074</v>
      </c>
      <c r="F426" s="6">
        <v>46308</v>
      </c>
      <c r="G426" s="5" t="s">
        <v>12</v>
      </c>
      <c r="H426" s="5" t="s">
        <v>16</v>
      </c>
      <c r="I426" s="5">
        <v>6</v>
      </c>
      <c r="J426" s="9" t="s">
        <v>17</v>
      </c>
      <c r="K426" s="1" t="s">
        <v>718</v>
      </c>
      <c r="L426" t="s">
        <v>10</v>
      </c>
      <c r="M426" t="str">
        <f>+VLOOKUP(C426,'[1]TIENDAS 2025'!$A$1:$C$143,3,0)</f>
        <v>departamental</v>
      </c>
      <c r="O426">
        <v>1</v>
      </c>
    </row>
    <row r="427" spans="1:15" ht="15" customHeight="1" x14ac:dyDescent="0.3">
      <c r="A427" s="8">
        <v>209668021</v>
      </c>
      <c r="B427" s="4" t="s">
        <v>232</v>
      </c>
      <c r="C427" s="4" t="s">
        <v>233</v>
      </c>
      <c r="D427" s="6">
        <v>46308.7812037037</v>
      </c>
      <c r="E427" s="6">
        <v>46308.531180555598</v>
      </c>
      <c r="F427" s="6">
        <v>46308</v>
      </c>
      <c r="G427" s="5" t="s">
        <v>12</v>
      </c>
      <c r="H427" s="5" t="s">
        <v>16</v>
      </c>
      <c r="I427" s="5">
        <v>4</v>
      </c>
      <c r="J427" s="9" t="s">
        <v>17</v>
      </c>
      <c r="K427" s="1" t="s">
        <v>719</v>
      </c>
      <c r="L427" t="s">
        <v>10</v>
      </c>
      <c r="M427" t="str">
        <f>+VLOOKUP(C427,'[1]TIENDAS 2025'!$A$1:$C$143,3,0)</f>
        <v>departamental</v>
      </c>
      <c r="O427">
        <v>1</v>
      </c>
    </row>
    <row r="428" spans="1:15" ht="15" customHeight="1" x14ac:dyDescent="0.3">
      <c r="A428" s="8">
        <v>209668022</v>
      </c>
      <c r="B428" s="4" t="s">
        <v>93</v>
      </c>
      <c r="C428" s="4" t="s">
        <v>94</v>
      </c>
      <c r="D428" s="6">
        <v>46308.781226851897</v>
      </c>
      <c r="E428" s="6">
        <v>46308.531192129602</v>
      </c>
      <c r="F428" s="6">
        <v>46308</v>
      </c>
      <c r="G428" s="5" t="s">
        <v>12</v>
      </c>
      <c r="H428" s="5" t="s">
        <v>16</v>
      </c>
      <c r="I428" s="5">
        <v>3</v>
      </c>
      <c r="J428" s="9" t="s">
        <v>17</v>
      </c>
      <c r="K428" s="1" t="s">
        <v>720</v>
      </c>
      <c r="L428" t="s">
        <v>10</v>
      </c>
      <c r="M428" t="str">
        <f>+VLOOKUP(C428,'[1]TIENDAS 2025'!$A$1:$C$143,3,0)</f>
        <v>departamental</v>
      </c>
      <c r="O428">
        <v>1</v>
      </c>
    </row>
    <row r="429" spans="1:15" ht="15" customHeight="1" x14ac:dyDescent="0.3">
      <c r="A429" s="8">
        <v>209668032</v>
      </c>
      <c r="B429" s="4" t="s">
        <v>542</v>
      </c>
      <c r="C429" s="4" t="s">
        <v>543</v>
      </c>
      <c r="D429" s="6">
        <v>46308.781238425901</v>
      </c>
      <c r="E429" s="6">
        <v>46308.5312037037</v>
      </c>
      <c r="F429" s="6">
        <v>46308</v>
      </c>
      <c r="G429" s="5" t="s">
        <v>12</v>
      </c>
      <c r="H429" s="5" t="s">
        <v>16</v>
      </c>
      <c r="I429" s="5">
        <v>3</v>
      </c>
      <c r="J429" s="9" t="s">
        <v>17</v>
      </c>
      <c r="K429" s="1" t="s">
        <v>721</v>
      </c>
      <c r="L429" t="s">
        <v>10</v>
      </c>
      <c r="M429" t="str">
        <f>+VLOOKUP(C429,'[1]TIENDAS 2025'!$A$1:$C$143,3,0)</f>
        <v>prioridad</v>
      </c>
      <c r="O429">
        <v>1</v>
      </c>
    </row>
    <row r="430" spans="1:15" ht="15" customHeight="1" x14ac:dyDescent="0.3">
      <c r="A430" s="8">
        <v>209668042</v>
      </c>
      <c r="B430" s="4" t="s">
        <v>503</v>
      </c>
      <c r="C430" s="4" t="s">
        <v>504</v>
      </c>
      <c r="D430" s="6">
        <v>46308.78125</v>
      </c>
      <c r="E430" s="6">
        <v>46308.531215277799</v>
      </c>
      <c r="F430" s="6">
        <v>46308</v>
      </c>
      <c r="G430" s="5" t="s">
        <v>12</v>
      </c>
      <c r="H430" s="5" t="s">
        <v>16</v>
      </c>
      <c r="I430" s="5">
        <v>4</v>
      </c>
      <c r="J430" s="9" t="s">
        <v>17</v>
      </c>
      <c r="K430" s="1" t="s">
        <v>722</v>
      </c>
      <c r="L430" t="s">
        <v>10</v>
      </c>
      <c r="M430" t="str">
        <f>+VLOOKUP(C430,'[1]TIENDAS 2025'!$A$1:$C$143,3,0)</f>
        <v>departamental</v>
      </c>
      <c r="O430">
        <v>1</v>
      </c>
    </row>
    <row r="431" spans="1:15" ht="15" customHeight="1" x14ac:dyDescent="0.3">
      <c r="A431" s="8">
        <v>209668043</v>
      </c>
      <c r="B431" s="4" t="s">
        <v>509</v>
      </c>
      <c r="C431" s="4" t="s">
        <v>510</v>
      </c>
      <c r="D431" s="6">
        <v>46308.781261574099</v>
      </c>
      <c r="E431" s="6">
        <v>46308.531238425901</v>
      </c>
      <c r="F431" s="6">
        <v>46308</v>
      </c>
      <c r="G431" s="5" t="s">
        <v>12</v>
      </c>
      <c r="H431" s="5" t="s">
        <v>16</v>
      </c>
      <c r="I431" s="5">
        <v>4</v>
      </c>
      <c r="J431" s="9" t="s">
        <v>17</v>
      </c>
      <c r="K431" s="1" t="s">
        <v>723</v>
      </c>
      <c r="L431" t="s">
        <v>10</v>
      </c>
      <c r="M431" t="str">
        <f>+VLOOKUP(C431,'[1]TIENDAS 2025'!$A$1:$C$143,3,0)</f>
        <v>nocturna</v>
      </c>
      <c r="O431">
        <v>1</v>
      </c>
    </row>
    <row r="432" spans="1:15" ht="15" customHeight="1" x14ac:dyDescent="0.3">
      <c r="A432" s="8">
        <v>209668045</v>
      </c>
      <c r="B432" s="4" t="s">
        <v>309</v>
      </c>
      <c r="C432" s="4" t="s">
        <v>310</v>
      </c>
      <c r="D432" s="6">
        <v>46308.781273148103</v>
      </c>
      <c r="E432" s="6">
        <v>46308.53125</v>
      </c>
      <c r="F432" s="6">
        <v>46308</v>
      </c>
      <c r="G432" s="5" t="s">
        <v>12</v>
      </c>
      <c r="H432" s="5" t="s">
        <v>16</v>
      </c>
      <c r="I432" s="5">
        <v>5</v>
      </c>
      <c r="J432" s="9" t="s">
        <v>17</v>
      </c>
      <c r="K432" s="1" t="s">
        <v>724</v>
      </c>
      <c r="L432" t="s">
        <v>10</v>
      </c>
      <c r="M432" t="str">
        <f>+VLOOKUP(C432,'[1]TIENDAS 2025'!$A$1:$C$143,3,0)</f>
        <v>departamental</v>
      </c>
      <c r="O432">
        <v>1</v>
      </c>
    </row>
    <row r="433" spans="1:15" ht="15" customHeight="1" x14ac:dyDescent="0.3">
      <c r="A433" s="8">
        <v>209668046</v>
      </c>
      <c r="B433" s="4" t="s">
        <v>187</v>
      </c>
      <c r="C433" s="4" t="s">
        <v>188</v>
      </c>
      <c r="D433" s="6">
        <v>46308.7812962963</v>
      </c>
      <c r="E433" s="6">
        <v>46308.531261574099</v>
      </c>
      <c r="F433" s="6">
        <v>46308</v>
      </c>
      <c r="G433" s="5" t="s">
        <v>12</v>
      </c>
      <c r="H433" s="5" t="s">
        <v>16</v>
      </c>
      <c r="I433" s="5">
        <v>1</v>
      </c>
      <c r="J433" s="9" t="s">
        <v>17</v>
      </c>
      <c r="K433" s="1" t="s">
        <v>725</v>
      </c>
      <c r="L433" t="s">
        <v>10</v>
      </c>
      <c r="M433" t="str">
        <f>+VLOOKUP(C433,'[1]TIENDAS 2025'!$A$1:$C$143,3,0)</f>
        <v>departamental</v>
      </c>
      <c r="O433">
        <v>1</v>
      </c>
    </row>
    <row r="434" spans="1:15" ht="15" customHeight="1" x14ac:dyDescent="0.3">
      <c r="A434" s="8">
        <v>209668053</v>
      </c>
      <c r="B434" s="4" t="s">
        <v>196</v>
      </c>
      <c r="C434" s="4" t="s">
        <v>197</v>
      </c>
      <c r="D434" s="6">
        <v>46308.781307870398</v>
      </c>
      <c r="E434" s="6">
        <v>46308.531273148103</v>
      </c>
      <c r="F434" s="6">
        <v>46308</v>
      </c>
      <c r="G434" s="5" t="s">
        <v>12</v>
      </c>
      <c r="H434" s="5" t="s">
        <v>16</v>
      </c>
      <c r="I434" s="5">
        <v>3</v>
      </c>
      <c r="J434" s="9" t="s">
        <v>17</v>
      </c>
      <c r="K434" s="1" t="s">
        <v>726</v>
      </c>
      <c r="L434" t="s">
        <v>10</v>
      </c>
      <c r="M434" t="str">
        <f>+VLOOKUP(C434,'[1]TIENDAS 2025'!$A$1:$C$143,3,0)</f>
        <v>departamental</v>
      </c>
      <c r="O434">
        <v>1</v>
      </c>
    </row>
    <row r="435" spans="1:15" ht="15" customHeight="1" x14ac:dyDescent="0.3">
      <c r="A435" s="8">
        <v>209668070</v>
      </c>
      <c r="B435" s="4" t="s">
        <v>436</v>
      </c>
      <c r="C435" s="4" t="s">
        <v>437</v>
      </c>
      <c r="D435" s="6">
        <v>46308.781331018501</v>
      </c>
      <c r="E435" s="6">
        <v>46308.5312962963</v>
      </c>
      <c r="F435" s="6">
        <v>46308</v>
      </c>
      <c r="G435" s="5" t="s">
        <v>12</v>
      </c>
      <c r="H435" s="5" t="s">
        <v>16</v>
      </c>
      <c r="I435" s="5">
        <v>5</v>
      </c>
      <c r="J435" s="9" t="s">
        <v>17</v>
      </c>
      <c r="K435" s="1" t="s">
        <v>727</v>
      </c>
      <c r="L435" t="s">
        <v>10</v>
      </c>
      <c r="M435" t="str">
        <f>+VLOOKUP(C435,'[1]TIENDAS 2025'!$A$1:$C$143,3,0)</f>
        <v>departamental</v>
      </c>
      <c r="O435">
        <v>1</v>
      </c>
    </row>
    <row r="436" spans="1:15" ht="15" customHeight="1" x14ac:dyDescent="0.3">
      <c r="A436" s="8">
        <v>209668071</v>
      </c>
      <c r="B436" s="4" t="s">
        <v>169</v>
      </c>
      <c r="C436" s="4" t="s">
        <v>170</v>
      </c>
      <c r="D436" s="6">
        <v>46308.781331018501</v>
      </c>
      <c r="E436" s="6">
        <v>46308.531307870398</v>
      </c>
      <c r="F436" s="6">
        <v>46308</v>
      </c>
      <c r="G436" s="5" t="s">
        <v>12</v>
      </c>
      <c r="H436" s="5" t="s">
        <v>16</v>
      </c>
      <c r="I436" s="5">
        <v>2</v>
      </c>
      <c r="J436" s="9" t="s">
        <v>17</v>
      </c>
      <c r="K436" s="1" t="s">
        <v>728</v>
      </c>
      <c r="L436" t="s">
        <v>10</v>
      </c>
      <c r="M436" t="str">
        <f>+VLOOKUP(C436,'[1]TIENDAS 2025'!$A$1:$C$143,3,0)</f>
        <v>departamental</v>
      </c>
      <c r="O436">
        <v>1</v>
      </c>
    </row>
    <row r="437" spans="1:15" ht="15" customHeight="1" x14ac:dyDescent="0.3">
      <c r="A437" s="8">
        <v>209667998</v>
      </c>
      <c r="B437" s="4" t="s">
        <v>469</v>
      </c>
      <c r="C437" s="4" t="s">
        <v>470</v>
      </c>
      <c r="D437" s="6">
        <v>46308.781354166698</v>
      </c>
      <c r="E437" s="6">
        <v>46308.531319444402</v>
      </c>
      <c r="F437" s="6">
        <v>46308</v>
      </c>
      <c r="G437" s="5" t="s">
        <v>12</v>
      </c>
      <c r="H437" s="5" t="s">
        <v>16</v>
      </c>
      <c r="I437" s="5">
        <v>6</v>
      </c>
      <c r="J437" s="9" t="s">
        <v>17</v>
      </c>
      <c r="K437" s="1" t="s">
        <v>729</v>
      </c>
      <c r="L437" t="s">
        <v>10</v>
      </c>
      <c r="M437" t="str">
        <f>+VLOOKUP(C437,'[1]TIENDAS 2025'!$A$1:$C$143,3,0)</f>
        <v>departamental</v>
      </c>
      <c r="O437">
        <v>1</v>
      </c>
    </row>
    <row r="438" spans="1:15" ht="15" customHeight="1" x14ac:dyDescent="0.3">
      <c r="A438" s="8">
        <v>209668017</v>
      </c>
      <c r="B438" s="4" t="s">
        <v>274</v>
      </c>
      <c r="C438" s="4" t="s">
        <v>275</v>
      </c>
      <c r="D438" s="6">
        <v>46308.781365740702</v>
      </c>
      <c r="E438" s="6">
        <v>46308.531331018501</v>
      </c>
      <c r="F438" s="6">
        <v>46308</v>
      </c>
      <c r="G438" s="5" t="s">
        <v>12</v>
      </c>
      <c r="H438" s="5" t="s">
        <v>16</v>
      </c>
      <c r="I438" s="5">
        <v>3</v>
      </c>
      <c r="J438" s="9" t="s">
        <v>17</v>
      </c>
      <c r="K438" s="1" t="s">
        <v>730</v>
      </c>
      <c r="L438" t="s">
        <v>10</v>
      </c>
      <c r="M438" t="str">
        <f>+VLOOKUP(C438,'[1]TIENDAS 2025'!$A$1:$C$143,3,0)</f>
        <v>nocturna</v>
      </c>
      <c r="O438">
        <v>1</v>
      </c>
    </row>
    <row r="439" spans="1:15" ht="15" customHeight="1" x14ac:dyDescent="0.3">
      <c r="A439" s="8">
        <v>209668019</v>
      </c>
      <c r="B439" s="4" t="s">
        <v>253</v>
      </c>
      <c r="C439" s="4" t="s">
        <v>254</v>
      </c>
      <c r="D439" s="6">
        <v>46308.7813888889</v>
      </c>
      <c r="E439" s="6">
        <v>46308.531354166698</v>
      </c>
      <c r="F439" s="6">
        <v>46308</v>
      </c>
      <c r="G439" s="5" t="s">
        <v>12</v>
      </c>
      <c r="H439" s="5" t="s">
        <v>16</v>
      </c>
      <c r="I439" s="5">
        <v>3</v>
      </c>
      <c r="J439" s="9" t="s">
        <v>17</v>
      </c>
      <c r="K439" s="1" t="s">
        <v>731</v>
      </c>
      <c r="L439" t="s">
        <v>10</v>
      </c>
      <c r="M439" t="str">
        <f>+VLOOKUP(C439,'[1]TIENDAS 2025'!$A$1:$C$143,3,0)</f>
        <v>departamental</v>
      </c>
      <c r="O439">
        <v>1</v>
      </c>
    </row>
    <row r="440" spans="1:15" ht="15" customHeight="1" x14ac:dyDescent="0.3">
      <c r="A440" s="8">
        <v>209668023</v>
      </c>
      <c r="B440" s="4" t="s">
        <v>500</v>
      </c>
      <c r="C440" s="4" t="s">
        <v>501</v>
      </c>
      <c r="D440" s="6">
        <v>46308.781400462998</v>
      </c>
      <c r="E440" s="6">
        <v>46308.531365740702</v>
      </c>
      <c r="F440" s="6">
        <v>46308</v>
      </c>
      <c r="G440" s="5" t="s">
        <v>12</v>
      </c>
      <c r="H440" s="5" t="s">
        <v>16</v>
      </c>
      <c r="I440" s="5">
        <v>2</v>
      </c>
      <c r="J440" s="9" t="s">
        <v>17</v>
      </c>
      <c r="K440" s="1" t="s">
        <v>732</v>
      </c>
      <c r="L440" t="s">
        <v>10</v>
      </c>
      <c r="M440" t="str">
        <f>+VLOOKUP(C440,'[1]TIENDAS 2025'!$A$1:$C$143,3,0)</f>
        <v>departamental</v>
      </c>
      <c r="O440">
        <v>1</v>
      </c>
    </row>
    <row r="441" spans="1:15" ht="15" customHeight="1" x14ac:dyDescent="0.3">
      <c r="A441" s="8">
        <v>209668036</v>
      </c>
      <c r="B441" s="4" t="s">
        <v>454</v>
      </c>
      <c r="C441" s="4" t="s">
        <v>455</v>
      </c>
      <c r="D441" s="6">
        <v>46308.781412037002</v>
      </c>
      <c r="E441" s="6">
        <v>46308.531377314801</v>
      </c>
      <c r="F441" s="6">
        <v>46308</v>
      </c>
      <c r="G441" s="5" t="s">
        <v>12</v>
      </c>
      <c r="H441" s="5" t="s">
        <v>16</v>
      </c>
      <c r="I441" s="5">
        <v>5</v>
      </c>
      <c r="J441" s="9" t="s">
        <v>17</v>
      </c>
      <c r="K441" s="1" t="s">
        <v>733</v>
      </c>
      <c r="L441" t="s">
        <v>10</v>
      </c>
      <c r="M441" t="str">
        <f>+VLOOKUP(C441,'[1]TIENDAS 2025'!$A$1:$C$143,3,0)</f>
        <v>departamental</v>
      </c>
      <c r="O441">
        <v>1</v>
      </c>
    </row>
    <row r="442" spans="1:15" ht="15" customHeight="1" x14ac:dyDescent="0.3">
      <c r="A442" s="8">
        <v>209668038</v>
      </c>
      <c r="B442" s="4" t="s">
        <v>330</v>
      </c>
      <c r="C442" s="4" t="s">
        <v>331</v>
      </c>
      <c r="D442" s="6">
        <v>46308.781423611101</v>
      </c>
      <c r="E442" s="6">
        <v>46308.531400462998</v>
      </c>
      <c r="F442" s="6">
        <v>46308</v>
      </c>
      <c r="G442" s="5" t="s">
        <v>12</v>
      </c>
      <c r="H442" s="5" t="s">
        <v>16</v>
      </c>
      <c r="I442" s="5">
        <v>5</v>
      </c>
      <c r="J442" s="9" t="s">
        <v>17</v>
      </c>
      <c r="K442" s="1" t="s">
        <v>734</v>
      </c>
      <c r="L442" t="s">
        <v>10</v>
      </c>
      <c r="M442" t="str">
        <f>+VLOOKUP(C442,'[1]TIENDAS 2025'!$A$1:$C$143,3,0)</f>
        <v>departamental</v>
      </c>
      <c r="O442">
        <v>1</v>
      </c>
    </row>
    <row r="443" spans="1:15" ht="15" customHeight="1" x14ac:dyDescent="0.3">
      <c r="A443" s="8">
        <v>209668039</v>
      </c>
      <c r="B443" s="4" t="s">
        <v>226</v>
      </c>
      <c r="C443" s="4" t="s">
        <v>227</v>
      </c>
      <c r="D443" s="6">
        <v>46308.781446759298</v>
      </c>
      <c r="E443" s="6">
        <v>46308.531412037002</v>
      </c>
      <c r="F443" s="6">
        <v>46308</v>
      </c>
      <c r="G443" s="5" t="s">
        <v>12</v>
      </c>
      <c r="H443" s="5" t="s">
        <v>16</v>
      </c>
      <c r="I443" s="5">
        <v>1</v>
      </c>
      <c r="J443" s="9" t="s">
        <v>17</v>
      </c>
      <c r="K443" s="1" t="s">
        <v>735</v>
      </c>
      <c r="L443" t="s">
        <v>10</v>
      </c>
      <c r="M443" t="str">
        <f>+VLOOKUP(C443,'[1]TIENDAS 2025'!$A$1:$C$143,3,0)</f>
        <v>departamental</v>
      </c>
      <c r="O443">
        <v>1</v>
      </c>
    </row>
    <row r="444" spans="1:15" ht="15" customHeight="1" x14ac:dyDescent="0.3">
      <c r="A444" s="8">
        <v>209668047</v>
      </c>
      <c r="B444" s="4" t="s">
        <v>265</v>
      </c>
      <c r="C444" s="4" t="s">
        <v>266</v>
      </c>
      <c r="D444" s="6">
        <v>46308.781458333302</v>
      </c>
      <c r="E444" s="6">
        <v>46308.531423611101</v>
      </c>
      <c r="F444" s="6">
        <v>46308</v>
      </c>
      <c r="G444" s="5" t="s">
        <v>12</v>
      </c>
      <c r="H444" s="5" t="s">
        <v>16</v>
      </c>
      <c r="I444" s="5">
        <v>2</v>
      </c>
      <c r="J444" s="9" t="s">
        <v>17</v>
      </c>
      <c r="K444" s="1" t="s">
        <v>736</v>
      </c>
      <c r="L444" t="s">
        <v>10</v>
      </c>
      <c r="M444" t="str">
        <f>+VLOOKUP(C444,'[1]TIENDAS 2025'!$A$1:$C$143,3,0)</f>
        <v>nocturna</v>
      </c>
      <c r="O444">
        <v>1</v>
      </c>
    </row>
    <row r="445" spans="1:15" ht="15" customHeight="1" x14ac:dyDescent="0.3">
      <c r="A445" s="8">
        <v>209668058</v>
      </c>
      <c r="B445" s="4" t="s">
        <v>488</v>
      </c>
      <c r="C445" s="4" t="s">
        <v>489</v>
      </c>
      <c r="D445" s="6">
        <v>46308.781469907401</v>
      </c>
      <c r="E445" s="6">
        <v>46308.531435185199</v>
      </c>
      <c r="F445" s="6">
        <v>46308</v>
      </c>
      <c r="G445" s="5" t="s">
        <v>12</v>
      </c>
      <c r="H445" s="5" t="s">
        <v>16</v>
      </c>
      <c r="I445" s="5">
        <v>4</v>
      </c>
      <c r="J445" s="9" t="s">
        <v>17</v>
      </c>
      <c r="K445" s="1" t="s">
        <v>737</v>
      </c>
      <c r="L445" t="s">
        <v>10</v>
      </c>
      <c r="M445" t="str">
        <f>+VLOOKUP(C445,'[1]TIENDAS 2025'!$A$1:$C$143,3,0)</f>
        <v>departamental</v>
      </c>
      <c r="O445">
        <v>1</v>
      </c>
    </row>
    <row r="446" spans="1:15" ht="15" customHeight="1" x14ac:dyDescent="0.3">
      <c r="A446" s="8">
        <v>209667996</v>
      </c>
      <c r="B446" s="4" t="s">
        <v>256</v>
      </c>
      <c r="C446" s="4" t="s">
        <v>257</v>
      </c>
      <c r="D446" s="6">
        <v>46308.781481481499</v>
      </c>
      <c r="E446" s="6">
        <v>46308.531458333302</v>
      </c>
      <c r="F446" s="6">
        <v>46308</v>
      </c>
      <c r="G446" s="5" t="s">
        <v>12</v>
      </c>
      <c r="H446" s="5" t="s">
        <v>16</v>
      </c>
      <c r="I446" s="5">
        <v>5</v>
      </c>
      <c r="J446" s="9" t="s">
        <v>17</v>
      </c>
      <c r="K446" s="1" t="s">
        <v>738</v>
      </c>
      <c r="L446" t="s">
        <v>10</v>
      </c>
      <c r="M446" t="str">
        <f>+VLOOKUP(C446,'[1]TIENDAS 2025'!$A$1:$C$143,3,0)</f>
        <v>prioridad</v>
      </c>
      <c r="O446">
        <v>1</v>
      </c>
    </row>
    <row r="447" spans="1:15" ht="15" customHeight="1" x14ac:dyDescent="0.3">
      <c r="A447" s="8">
        <v>209668077</v>
      </c>
      <c r="B447" s="4" t="s">
        <v>394</v>
      </c>
      <c r="C447" s="4" t="s">
        <v>395</v>
      </c>
      <c r="D447" s="6">
        <v>46308.781504629602</v>
      </c>
      <c r="E447" s="6">
        <v>46308.531469907401</v>
      </c>
      <c r="F447" s="6">
        <v>46308</v>
      </c>
      <c r="G447" s="5" t="s">
        <v>12</v>
      </c>
      <c r="H447" s="5" t="s">
        <v>16</v>
      </c>
      <c r="I447" s="5">
        <v>2</v>
      </c>
      <c r="J447" s="9" t="s">
        <v>17</v>
      </c>
      <c r="K447" s="1" t="s">
        <v>739</v>
      </c>
      <c r="L447" t="s">
        <v>10</v>
      </c>
      <c r="M447" t="str">
        <f>+VLOOKUP(C447,'[1]TIENDAS 2025'!$A$1:$C$143,3,0)</f>
        <v>local</v>
      </c>
      <c r="O447">
        <v>1</v>
      </c>
    </row>
    <row r="448" spans="1:15" ht="15" customHeight="1" x14ac:dyDescent="0.3">
      <c r="A448" s="8">
        <v>209668081</v>
      </c>
      <c r="B448" s="4" t="s">
        <v>324</v>
      </c>
      <c r="C448" s="4" t="s">
        <v>325</v>
      </c>
      <c r="D448" s="6">
        <v>46308.7815162037</v>
      </c>
      <c r="E448" s="6">
        <v>46308.531481481499</v>
      </c>
      <c r="F448" s="6">
        <v>46308</v>
      </c>
      <c r="G448" s="5" t="s">
        <v>12</v>
      </c>
      <c r="H448" s="5" t="s">
        <v>16</v>
      </c>
      <c r="I448" s="5">
        <v>2</v>
      </c>
      <c r="J448" s="9" t="s">
        <v>17</v>
      </c>
      <c r="K448" s="1" t="s">
        <v>740</v>
      </c>
      <c r="L448" t="s">
        <v>10</v>
      </c>
      <c r="M448" t="str">
        <f>+VLOOKUP(C448,'[1]TIENDAS 2025'!$A$1:$C$143,3,0)</f>
        <v>local</v>
      </c>
      <c r="O448">
        <v>1</v>
      </c>
    </row>
    <row r="449" spans="1:15" ht="15" customHeight="1" x14ac:dyDescent="0.3">
      <c r="A449" s="8">
        <v>209668005</v>
      </c>
      <c r="B449" s="4" t="s">
        <v>379</v>
      </c>
      <c r="C449" s="4" t="s">
        <v>380</v>
      </c>
      <c r="D449" s="6">
        <v>46308.781527777799</v>
      </c>
      <c r="E449" s="6">
        <v>46308.531493055598</v>
      </c>
      <c r="F449" s="6">
        <v>46308</v>
      </c>
      <c r="G449" s="5" t="s">
        <v>12</v>
      </c>
      <c r="H449" s="5" t="s">
        <v>16</v>
      </c>
      <c r="I449" s="5">
        <v>3</v>
      </c>
      <c r="J449" s="9" t="s">
        <v>17</v>
      </c>
      <c r="K449" s="1" t="s">
        <v>741</v>
      </c>
      <c r="L449" t="s">
        <v>10</v>
      </c>
      <c r="M449" t="str">
        <f>+VLOOKUP(C449,'[1]TIENDAS 2025'!$A$1:$C$143,3,0)</f>
        <v>departamental</v>
      </c>
      <c r="O449">
        <v>1</v>
      </c>
    </row>
    <row r="450" spans="1:15" ht="15" customHeight="1" x14ac:dyDescent="0.3">
      <c r="A450" s="8">
        <v>209668008</v>
      </c>
      <c r="B450" s="4" t="s">
        <v>427</v>
      </c>
      <c r="C450" s="4" t="s">
        <v>428</v>
      </c>
      <c r="D450" s="6">
        <v>46308.781539351898</v>
      </c>
      <c r="E450" s="6">
        <v>46308.5315162037</v>
      </c>
      <c r="F450" s="6">
        <v>46308</v>
      </c>
      <c r="G450" s="5" t="s">
        <v>12</v>
      </c>
      <c r="H450" s="5" t="s">
        <v>16</v>
      </c>
      <c r="I450" s="5">
        <v>4</v>
      </c>
      <c r="J450" s="9" t="s">
        <v>17</v>
      </c>
      <c r="K450" s="1" t="s">
        <v>742</v>
      </c>
      <c r="L450" t="s">
        <v>10</v>
      </c>
      <c r="M450" t="str">
        <f>+VLOOKUP(C450,'[1]TIENDAS 2025'!$A$1:$C$143,3,0)</f>
        <v>local</v>
      </c>
      <c r="O450">
        <v>1</v>
      </c>
    </row>
    <row r="451" spans="1:15" ht="15" customHeight="1" x14ac:dyDescent="0.3">
      <c r="A451" s="8">
        <v>209668014</v>
      </c>
      <c r="B451" s="4" t="s">
        <v>241</v>
      </c>
      <c r="C451" s="4" t="s">
        <v>242</v>
      </c>
      <c r="D451" s="6">
        <v>46308.781550925902</v>
      </c>
      <c r="E451" s="6">
        <v>46308.531527777799</v>
      </c>
      <c r="F451" s="6">
        <v>46308</v>
      </c>
      <c r="G451" s="5" t="s">
        <v>12</v>
      </c>
      <c r="H451" s="5" t="s">
        <v>16</v>
      </c>
      <c r="I451" s="5">
        <v>1</v>
      </c>
      <c r="J451" s="9" t="s">
        <v>17</v>
      </c>
      <c r="K451" s="1" t="s">
        <v>743</v>
      </c>
      <c r="L451" t="s">
        <v>10</v>
      </c>
      <c r="M451" t="str">
        <f>+VLOOKUP(C451,'[1]TIENDAS 2025'!$A$1:$C$143,3,0)</f>
        <v>local</v>
      </c>
      <c r="O451">
        <v>1</v>
      </c>
    </row>
    <row r="452" spans="1:15" ht="15" customHeight="1" x14ac:dyDescent="0.3">
      <c r="A452" s="8">
        <v>209668024</v>
      </c>
      <c r="B452" s="4" t="s">
        <v>298</v>
      </c>
      <c r="C452" s="4" t="s">
        <v>299</v>
      </c>
      <c r="D452" s="6">
        <v>46308.781574074099</v>
      </c>
      <c r="E452" s="6">
        <v>46308.531539351898</v>
      </c>
      <c r="F452" s="6">
        <v>46308</v>
      </c>
      <c r="G452" s="5" t="s">
        <v>12</v>
      </c>
      <c r="H452" s="5" t="s">
        <v>16</v>
      </c>
      <c r="I452" s="5">
        <v>4</v>
      </c>
      <c r="J452" s="9" t="s">
        <v>17</v>
      </c>
      <c r="K452" s="1" t="s">
        <v>744</v>
      </c>
      <c r="L452" t="s">
        <v>10</v>
      </c>
      <c r="M452" t="str">
        <f>+VLOOKUP(C452,'[1]TIENDAS 2025'!$A$1:$C$143,3,0)</f>
        <v>local</v>
      </c>
      <c r="O452">
        <v>1</v>
      </c>
    </row>
    <row r="453" spans="1:15" ht="15" customHeight="1" x14ac:dyDescent="0.3">
      <c r="A453" s="8">
        <v>209668027</v>
      </c>
      <c r="B453" s="4" t="s">
        <v>199</v>
      </c>
      <c r="C453" s="4" t="s">
        <v>200</v>
      </c>
      <c r="D453" s="6">
        <v>46308.781585648103</v>
      </c>
      <c r="E453" s="6">
        <v>46308.531550925902</v>
      </c>
      <c r="F453" s="6">
        <v>46308</v>
      </c>
      <c r="G453" s="5" t="s">
        <v>12</v>
      </c>
      <c r="H453" s="5" t="s">
        <v>16</v>
      </c>
      <c r="I453" s="5">
        <v>5</v>
      </c>
      <c r="J453" s="9" t="s">
        <v>17</v>
      </c>
      <c r="K453" s="1" t="s">
        <v>745</v>
      </c>
      <c r="L453" t="s">
        <v>10</v>
      </c>
      <c r="M453" t="str">
        <f>+VLOOKUP(C453,'[1]TIENDAS 2025'!$A$1:$C$143,3,0)</f>
        <v>departamental</v>
      </c>
      <c r="O453">
        <v>1</v>
      </c>
    </row>
    <row r="454" spans="1:15" ht="15" customHeight="1" x14ac:dyDescent="0.3">
      <c r="A454" s="8">
        <v>209668029</v>
      </c>
      <c r="B454" s="4" t="s">
        <v>403</v>
      </c>
      <c r="C454" s="4" t="s">
        <v>404</v>
      </c>
      <c r="D454" s="6">
        <v>46308.781597222202</v>
      </c>
      <c r="E454" s="6">
        <v>46308.531574074099</v>
      </c>
      <c r="F454" s="6">
        <v>46308</v>
      </c>
      <c r="G454" s="5" t="s">
        <v>12</v>
      </c>
      <c r="H454" s="5" t="s">
        <v>16</v>
      </c>
      <c r="I454" s="5">
        <v>3</v>
      </c>
      <c r="J454" s="9" t="s">
        <v>17</v>
      </c>
      <c r="K454" s="1" t="s">
        <v>746</v>
      </c>
      <c r="L454" t="s">
        <v>10</v>
      </c>
      <c r="M454" t="str">
        <f>+VLOOKUP(C454,'[1]TIENDAS 2025'!$A$1:$C$143,3,0)</f>
        <v>prioridad</v>
      </c>
      <c r="O454">
        <v>1</v>
      </c>
    </row>
    <row r="455" spans="1:15" ht="15" customHeight="1" x14ac:dyDescent="0.3">
      <c r="A455" s="8">
        <v>209667993</v>
      </c>
      <c r="B455" s="4" t="s">
        <v>478</v>
      </c>
      <c r="C455" s="4" t="s">
        <v>479</v>
      </c>
      <c r="D455" s="6">
        <v>46308.7816087963</v>
      </c>
      <c r="E455" s="6">
        <v>46308.531585648103</v>
      </c>
      <c r="F455" s="6">
        <v>46308</v>
      </c>
      <c r="G455" s="5" t="s">
        <v>12</v>
      </c>
      <c r="H455" s="5" t="s">
        <v>16</v>
      </c>
      <c r="I455" s="5">
        <v>4</v>
      </c>
      <c r="J455" s="9" t="s">
        <v>17</v>
      </c>
      <c r="K455" s="1" t="s">
        <v>747</v>
      </c>
      <c r="L455" t="s">
        <v>10</v>
      </c>
      <c r="M455" t="str">
        <f>+VLOOKUP(C455,'[1]TIENDAS 2025'!$A$1:$C$143,3,0)</f>
        <v>departamental</v>
      </c>
      <c r="O455">
        <v>1</v>
      </c>
    </row>
    <row r="456" spans="1:15" ht="15" customHeight="1" x14ac:dyDescent="0.3">
      <c r="A456" s="8">
        <v>209668074</v>
      </c>
      <c r="B456" s="4" t="s">
        <v>430</v>
      </c>
      <c r="C456" s="4" t="s">
        <v>431</v>
      </c>
      <c r="D456" s="6">
        <v>46308.781631944403</v>
      </c>
      <c r="E456" s="6">
        <v>46308.531597222202</v>
      </c>
      <c r="F456" s="6">
        <v>46308</v>
      </c>
      <c r="G456" s="5" t="s">
        <v>12</v>
      </c>
      <c r="H456" s="5" t="s">
        <v>16</v>
      </c>
      <c r="I456" s="5">
        <v>2</v>
      </c>
      <c r="J456" s="9" t="s">
        <v>17</v>
      </c>
      <c r="K456" s="1" t="s">
        <v>748</v>
      </c>
      <c r="L456" t="s">
        <v>10</v>
      </c>
      <c r="M456" t="str">
        <f>+VLOOKUP(C456,'[1]TIENDAS 2025'!$A$1:$C$143,3,0)</f>
        <v>prioridad</v>
      </c>
      <c r="O456">
        <v>1</v>
      </c>
    </row>
    <row r="457" spans="1:15" ht="15" customHeight="1" x14ac:dyDescent="0.3">
      <c r="A457" s="8">
        <v>209668079</v>
      </c>
      <c r="B457" s="4" t="s">
        <v>247</v>
      </c>
      <c r="C457" s="4" t="s">
        <v>248</v>
      </c>
      <c r="D457" s="6">
        <v>46308.781643518501</v>
      </c>
      <c r="E457" s="6">
        <v>46308.5316087963</v>
      </c>
      <c r="F457" s="6">
        <v>46308</v>
      </c>
      <c r="G457" s="5" t="s">
        <v>12</v>
      </c>
      <c r="H457" s="5" t="s">
        <v>16</v>
      </c>
      <c r="I457" s="5">
        <v>2</v>
      </c>
      <c r="J457" s="9" t="s">
        <v>17</v>
      </c>
      <c r="K457" s="1" t="s">
        <v>749</v>
      </c>
      <c r="L457" t="s">
        <v>10</v>
      </c>
      <c r="M457" t="str">
        <f>+VLOOKUP(C457,'[1]TIENDAS 2025'!$A$1:$C$143,3,0)</f>
        <v>local</v>
      </c>
      <c r="O457">
        <v>1</v>
      </c>
    </row>
    <row r="458" spans="1:15" ht="15" customHeight="1" x14ac:dyDescent="0.3">
      <c r="A458" s="8">
        <v>209668082</v>
      </c>
      <c r="B458" s="4" t="s">
        <v>515</v>
      </c>
      <c r="C458" s="4" t="s">
        <v>516</v>
      </c>
      <c r="D458" s="6">
        <v>46308.781666666699</v>
      </c>
      <c r="E458" s="6">
        <v>46308.531631944403</v>
      </c>
      <c r="F458" s="6">
        <v>46308</v>
      </c>
      <c r="G458" s="5" t="s">
        <v>12</v>
      </c>
      <c r="H458" s="5" t="s">
        <v>16</v>
      </c>
      <c r="I458" s="5">
        <v>2</v>
      </c>
      <c r="J458" s="9" t="s">
        <v>17</v>
      </c>
      <c r="K458" s="1" t="s">
        <v>750</v>
      </c>
      <c r="L458" t="s">
        <v>10</v>
      </c>
      <c r="M458" t="str">
        <f>+VLOOKUP(C458,'[1]TIENDAS 2025'!$A$1:$C$143,3,0)</f>
        <v>prioridad</v>
      </c>
      <c r="O458">
        <v>1</v>
      </c>
    </row>
    <row r="459" spans="1:15" ht="15" customHeight="1" x14ac:dyDescent="0.3">
      <c r="A459" s="8">
        <v>209668004</v>
      </c>
      <c r="B459" s="4" t="s">
        <v>175</v>
      </c>
      <c r="C459" s="4" t="s">
        <v>176</v>
      </c>
      <c r="D459" s="6">
        <v>46308.781678240703</v>
      </c>
      <c r="E459" s="6">
        <v>46308.531643518501</v>
      </c>
      <c r="F459" s="6">
        <v>46308</v>
      </c>
      <c r="G459" s="5" t="s">
        <v>12</v>
      </c>
      <c r="H459" s="5" t="s">
        <v>16</v>
      </c>
      <c r="I459" s="5">
        <v>5</v>
      </c>
      <c r="J459" s="9" t="s">
        <v>17</v>
      </c>
      <c r="K459" s="1" t="s">
        <v>751</v>
      </c>
      <c r="L459" t="s">
        <v>10</v>
      </c>
      <c r="M459" t="str">
        <f>+VLOOKUP(C459,'[1]TIENDAS 2025'!$A$1:$C$143,3,0)</f>
        <v>departamental</v>
      </c>
      <c r="O459">
        <v>1</v>
      </c>
    </row>
    <row r="460" spans="1:15" ht="15" customHeight="1" x14ac:dyDescent="0.3">
      <c r="A460" s="8">
        <v>209668009</v>
      </c>
      <c r="B460" s="4" t="s">
        <v>512</v>
      </c>
      <c r="C460" s="4" t="s">
        <v>513</v>
      </c>
      <c r="D460" s="6">
        <v>46308.781689814801</v>
      </c>
      <c r="E460" s="6">
        <v>46308.531666666699</v>
      </c>
      <c r="F460" s="6">
        <v>46308</v>
      </c>
      <c r="G460" s="5" t="s">
        <v>12</v>
      </c>
      <c r="H460" s="5" t="s">
        <v>16</v>
      </c>
      <c r="I460" s="5">
        <v>2</v>
      </c>
      <c r="J460" s="9" t="s">
        <v>17</v>
      </c>
      <c r="K460" s="1" t="s">
        <v>752</v>
      </c>
      <c r="L460" t="s">
        <v>10</v>
      </c>
      <c r="M460" t="str">
        <f>+VLOOKUP(C460,'[1]TIENDAS 2025'!$A$1:$C$143,3,0)</f>
        <v>prioridad</v>
      </c>
      <c r="O460">
        <v>1</v>
      </c>
    </row>
    <row r="461" spans="1:15" ht="15" customHeight="1" x14ac:dyDescent="0.3">
      <c r="A461" s="8">
        <v>209668011</v>
      </c>
      <c r="B461" s="4" t="s">
        <v>485</v>
      </c>
      <c r="C461" s="4" t="s">
        <v>486</v>
      </c>
      <c r="D461" s="6">
        <v>46308.781712962998</v>
      </c>
      <c r="E461" s="6">
        <v>46308.531678240703</v>
      </c>
      <c r="F461" s="6">
        <v>46308</v>
      </c>
      <c r="G461" s="5" t="s">
        <v>12</v>
      </c>
      <c r="H461" s="5" t="s">
        <v>16</v>
      </c>
      <c r="I461" s="5">
        <v>6</v>
      </c>
      <c r="J461" s="9" t="s">
        <v>17</v>
      </c>
      <c r="K461" s="1" t="s">
        <v>753</v>
      </c>
      <c r="L461" t="s">
        <v>10</v>
      </c>
      <c r="M461" t="str">
        <f>+VLOOKUP(C461,'[1]TIENDAS 2025'!$A$1:$C$143,3,0)</f>
        <v>departamental</v>
      </c>
      <c r="O461">
        <v>1</v>
      </c>
    </row>
    <row r="462" spans="1:15" ht="15" customHeight="1" x14ac:dyDescent="0.3">
      <c r="A462" s="8">
        <v>209668026</v>
      </c>
      <c r="B462" s="4" t="s">
        <v>400</v>
      </c>
      <c r="C462" s="4" t="s">
        <v>401</v>
      </c>
      <c r="D462" s="6">
        <v>46308.781724537002</v>
      </c>
      <c r="E462" s="6">
        <v>46308.531689814801</v>
      </c>
      <c r="F462" s="6">
        <v>46308</v>
      </c>
      <c r="G462" s="5" t="s">
        <v>12</v>
      </c>
      <c r="H462" s="5" t="s">
        <v>16</v>
      </c>
      <c r="I462" s="5">
        <v>4</v>
      </c>
      <c r="J462" s="9" t="s">
        <v>17</v>
      </c>
      <c r="K462" s="1" t="s">
        <v>754</v>
      </c>
      <c r="L462" t="s">
        <v>10</v>
      </c>
      <c r="M462" t="str">
        <f>+VLOOKUP(C462,'[1]TIENDAS 2025'!$A$1:$C$143,3,0)</f>
        <v>local</v>
      </c>
      <c r="O462">
        <v>1</v>
      </c>
    </row>
    <row r="463" spans="1:15" ht="15" customHeight="1" x14ac:dyDescent="0.3">
      <c r="A463" s="8">
        <v>209667994</v>
      </c>
      <c r="B463" s="4" t="s">
        <v>318</v>
      </c>
      <c r="C463" s="4" t="s">
        <v>319</v>
      </c>
      <c r="D463" s="6">
        <v>46308.781736111101</v>
      </c>
      <c r="E463" s="6">
        <v>46308.5317013889</v>
      </c>
      <c r="F463" s="6">
        <v>46308</v>
      </c>
      <c r="G463" s="5" t="s">
        <v>12</v>
      </c>
      <c r="H463" s="5" t="s">
        <v>16</v>
      </c>
      <c r="I463" s="5">
        <v>4</v>
      </c>
      <c r="J463" s="9" t="s">
        <v>17</v>
      </c>
      <c r="K463" s="1" t="s">
        <v>755</v>
      </c>
      <c r="L463" t="s">
        <v>10</v>
      </c>
      <c r="M463" t="str">
        <f>+VLOOKUP(C463,'[1]TIENDAS 2025'!$A$1:$C$143,3,0)</f>
        <v>local</v>
      </c>
      <c r="O463">
        <v>1</v>
      </c>
    </row>
    <row r="464" spans="1:15" ht="15" customHeight="1" x14ac:dyDescent="0.3">
      <c r="A464" s="8">
        <v>209668059</v>
      </c>
      <c r="B464" s="4" t="s">
        <v>154</v>
      </c>
      <c r="C464" s="4" t="s">
        <v>155</v>
      </c>
      <c r="D464" s="6">
        <v>46308.781770833302</v>
      </c>
      <c r="E464" s="6">
        <v>46308.531736111101</v>
      </c>
      <c r="F464" s="6">
        <v>46308</v>
      </c>
      <c r="G464" s="5" t="s">
        <v>12</v>
      </c>
      <c r="H464" s="5" t="s">
        <v>16</v>
      </c>
      <c r="I464" s="5">
        <v>4</v>
      </c>
      <c r="J464" s="9" t="s">
        <v>17</v>
      </c>
      <c r="K464" s="1" t="s">
        <v>756</v>
      </c>
      <c r="L464" t="s">
        <v>10</v>
      </c>
      <c r="M464" t="str">
        <f>+VLOOKUP(C464,'[1]TIENDAS 2025'!$A$1:$C$143,3,0)</f>
        <v>nocturna</v>
      </c>
      <c r="O464">
        <v>1</v>
      </c>
    </row>
    <row r="465" spans="1:15" ht="15" customHeight="1" x14ac:dyDescent="0.3">
      <c r="A465" s="8">
        <v>209668061</v>
      </c>
      <c r="B465" s="4" t="s">
        <v>336</v>
      </c>
      <c r="C465" s="4" t="s">
        <v>337</v>
      </c>
      <c r="D465" s="6">
        <v>46308.781782407401</v>
      </c>
      <c r="E465" s="6">
        <v>46308.5317476852</v>
      </c>
      <c r="F465" s="6">
        <v>46308</v>
      </c>
      <c r="G465" s="5" t="s">
        <v>12</v>
      </c>
      <c r="H465" s="5" t="s">
        <v>16</v>
      </c>
      <c r="I465" s="5">
        <v>4</v>
      </c>
      <c r="J465" s="9" t="s">
        <v>17</v>
      </c>
      <c r="K465" s="1" t="s">
        <v>757</v>
      </c>
      <c r="L465" t="s">
        <v>10</v>
      </c>
      <c r="M465" t="str">
        <f>+VLOOKUP(C465,'[1]TIENDAS 2025'!$A$1:$C$143,3,0)</f>
        <v xml:space="preserve">departamental </v>
      </c>
      <c r="O465">
        <v>1</v>
      </c>
    </row>
    <row r="466" spans="1:15" ht="15" customHeight="1" x14ac:dyDescent="0.3">
      <c r="A466" s="8">
        <v>209668069</v>
      </c>
      <c r="B466" s="4" t="s">
        <v>418</v>
      </c>
      <c r="C466" s="4" t="s">
        <v>419</v>
      </c>
      <c r="D466" s="6">
        <v>46308.7817939815</v>
      </c>
      <c r="E466" s="6">
        <v>46308.531770833302</v>
      </c>
      <c r="F466" s="6">
        <v>46308</v>
      </c>
      <c r="G466" s="5" t="s">
        <v>12</v>
      </c>
      <c r="H466" s="5" t="s">
        <v>16</v>
      </c>
      <c r="I466" s="5">
        <v>1</v>
      </c>
      <c r="J466" s="9" t="s">
        <v>17</v>
      </c>
      <c r="K466" s="1" t="s">
        <v>758</v>
      </c>
      <c r="L466" t="s">
        <v>10</v>
      </c>
      <c r="M466" t="str">
        <f>+VLOOKUP(C466,'[1]TIENDAS 2025'!$A$1:$C$143,3,0)</f>
        <v>local</v>
      </c>
      <c r="O466">
        <v>1</v>
      </c>
    </row>
    <row r="467" spans="1:15" ht="15" customHeight="1" x14ac:dyDescent="0.3">
      <c r="A467" s="8">
        <v>209668073</v>
      </c>
      <c r="B467" s="4" t="s">
        <v>391</v>
      </c>
      <c r="C467" s="4" t="s">
        <v>392</v>
      </c>
      <c r="D467" s="6">
        <v>46308.781817129602</v>
      </c>
      <c r="E467" s="6">
        <v>46308.531782407401</v>
      </c>
      <c r="F467" s="6">
        <v>46308</v>
      </c>
      <c r="G467" s="5" t="s">
        <v>12</v>
      </c>
      <c r="H467" s="5" t="s">
        <v>16</v>
      </c>
      <c r="I467" s="5">
        <v>2</v>
      </c>
      <c r="J467" s="9" t="s">
        <v>17</v>
      </c>
      <c r="K467" s="1" t="s">
        <v>759</v>
      </c>
      <c r="L467" t="s">
        <v>10</v>
      </c>
      <c r="M467" t="str">
        <f>+VLOOKUP(C467,'[1]TIENDAS 2025'!$A$1:$C$143,3,0)</f>
        <v>local</v>
      </c>
      <c r="O467">
        <v>1</v>
      </c>
    </row>
    <row r="468" spans="1:15" ht="15" customHeight="1" x14ac:dyDescent="0.3">
      <c r="A468" s="8">
        <v>209668080</v>
      </c>
      <c r="B468" s="4" t="s">
        <v>482</v>
      </c>
      <c r="C468" s="4" t="s">
        <v>483</v>
      </c>
      <c r="D468" s="6">
        <v>46308.781828703701</v>
      </c>
      <c r="E468" s="6">
        <v>46308.5317939815</v>
      </c>
      <c r="F468" s="6">
        <v>46308</v>
      </c>
      <c r="G468" s="5" t="s">
        <v>12</v>
      </c>
      <c r="H468" s="5" t="s">
        <v>16</v>
      </c>
      <c r="I468" s="5">
        <v>2</v>
      </c>
      <c r="J468" s="9" t="s">
        <v>17</v>
      </c>
      <c r="K468" s="1" t="s">
        <v>760</v>
      </c>
      <c r="L468" t="s">
        <v>10</v>
      </c>
      <c r="M468" t="str">
        <f>+VLOOKUP(C468,'[1]TIENDAS 2025'!$A$1:$C$143,3,0)</f>
        <v>local</v>
      </c>
      <c r="O468">
        <v>1</v>
      </c>
    </row>
    <row r="469" spans="1:15" ht="15" customHeight="1" x14ac:dyDescent="0.3">
      <c r="A469" s="8">
        <v>209668007</v>
      </c>
      <c r="B469" s="4" t="s">
        <v>327</v>
      </c>
      <c r="C469" s="4" t="s">
        <v>328</v>
      </c>
      <c r="D469" s="6">
        <v>46308.781863425902</v>
      </c>
      <c r="E469" s="6">
        <v>46308.531828703701</v>
      </c>
      <c r="F469" s="6">
        <v>46308</v>
      </c>
      <c r="G469" s="5" t="s">
        <v>12</v>
      </c>
      <c r="H469" s="5" t="s">
        <v>16</v>
      </c>
      <c r="I469" s="5">
        <v>5</v>
      </c>
      <c r="J469" s="9" t="s">
        <v>17</v>
      </c>
      <c r="K469" s="1" t="s">
        <v>761</v>
      </c>
      <c r="L469" t="s">
        <v>10</v>
      </c>
      <c r="M469" t="str">
        <f>+VLOOKUP(C469,'[1]TIENDAS 2025'!$A$1:$C$143,3,0)</f>
        <v>local</v>
      </c>
      <c r="O469">
        <v>1</v>
      </c>
    </row>
    <row r="470" spans="1:15" ht="15" customHeight="1" x14ac:dyDescent="0.3">
      <c r="A470" s="8">
        <v>209668020</v>
      </c>
      <c r="B470" s="4" t="s">
        <v>442</v>
      </c>
      <c r="C470" s="4" t="s">
        <v>443</v>
      </c>
      <c r="D470" s="6">
        <v>46308.781875000001</v>
      </c>
      <c r="E470" s="6">
        <v>46308.531840277799</v>
      </c>
      <c r="F470" s="6">
        <v>46308</v>
      </c>
      <c r="G470" s="5" t="s">
        <v>12</v>
      </c>
      <c r="H470" s="5" t="s">
        <v>16</v>
      </c>
      <c r="I470" s="5">
        <v>3</v>
      </c>
      <c r="J470" s="9" t="s">
        <v>17</v>
      </c>
      <c r="K470" s="1" t="s">
        <v>762</v>
      </c>
      <c r="L470" t="s">
        <v>10</v>
      </c>
      <c r="M470" t="str">
        <f>+VLOOKUP(C470,'[1]TIENDAS 2025'!$A$1:$C$143,3,0)</f>
        <v>local</v>
      </c>
      <c r="O470">
        <v>1</v>
      </c>
    </row>
    <row r="471" spans="1:15" ht="15" customHeight="1" x14ac:dyDescent="0.3">
      <c r="A471" s="8">
        <v>209668028</v>
      </c>
      <c r="B471" s="4" t="s">
        <v>235</v>
      </c>
      <c r="C471" s="4" t="s">
        <v>236</v>
      </c>
      <c r="D471" s="6">
        <v>46308.781886574099</v>
      </c>
      <c r="E471" s="6">
        <v>46308.531851851898</v>
      </c>
      <c r="F471" s="6">
        <v>46308</v>
      </c>
      <c r="G471" s="5" t="s">
        <v>12</v>
      </c>
      <c r="H471" s="5" t="s">
        <v>16</v>
      </c>
      <c r="I471" s="5">
        <v>5</v>
      </c>
      <c r="J471" s="9" t="s">
        <v>17</v>
      </c>
      <c r="K471" s="1" t="s">
        <v>763</v>
      </c>
      <c r="L471" t="s">
        <v>10</v>
      </c>
      <c r="M471" t="str">
        <f>+VLOOKUP(C471,'[1]TIENDAS 2025'!$A$1:$C$143,3,0)</f>
        <v>prioridad</v>
      </c>
      <c r="O471">
        <v>1</v>
      </c>
    </row>
    <row r="472" spans="1:15" ht="15" customHeight="1" x14ac:dyDescent="0.3">
      <c r="A472" s="8">
        <v>209668030</v>
      </c>
      <c r="B472" s="4" t="s">
        <v>457</v>
      </c>
      <c r="C472" s="4" t="s">
        <v>458</v>
      </c>
      <c r="D472" s="6">
        <v>46308.781898148103</v>
      </c>
      <c r="E472" s="6">
        <v>46308.531863425902</v>
      </c>
      <c r="F472" s="6">
        <v>46308</v>
      </c>
      <c r="G472" s="5" t="s">
        <v>12</v>
      </c>
      <c r="H472" s="5" t="s">
        <v>16</v>
      </c>
      <c r="I472" s="5">
        <v>6</v>
      </c>
      <c r="J472" s="9" t="s">
        <v>17</v>
      </c>
      <c r="K472" s="1" t="s">
        <v>764</v>
      </c>
      <c r="L472" t="s">
        <v>10</v>
      </c>
      <c r="M472" t="str">
        <f>+VLOOKUP(C472,'[1]TIENDAS 2025'!$A$1:$C$143,3,0)</f>
        <v>departamental</v>
      </c>
      <c r="O472">
        <v>1</v>
      </c>
    </row>
    <row r="473" spans="1:15" ht="15" customHeight="1" x14ac:dyDescent="0.3">
      <c r="A473" s="8">
        <v>209668034</v>
      </c>
      <c r="B473" s="4" t="s">
        <v>409</v>
      </c>
      <c r="C473" s="4" t="s">
        <v>410</v>
      </c>
      <c r="D473" s="6">
        <v>46308.7819212963</v>
      </c>
      <c r="E473" s="6">
        <v>46308.531886574099</v>
      </c>
      <c r="F473" s="6">
        <v>46308</v>
      </c>
      <c r="G473" s="5" t="s">
        <v>12</v>
      </c>
      <c r="H473" s="5" t="s">
        <v>16</v>
      </c>
      <c r="I473" s="5">
        <v>6</v>
      </c>
      <c r="J473" s="9" t="s">
        <v>17</v>
      </c>
      <c r="K473" s="1" t="s">
        <v>765</v>
      </c>
      <c r="L473" t="s">
        <v>10</v>
      </c>
      <c r="M473" t="str">
        <f>+VLOOKUP(C473,'[1]TIENDAS 2025'!$A$1:$C$143,3,0)</f>
        <v>departamental</v>
      </c>
      <c r="O473">
        <v>1</v>
      </c>
    </row>
    <row r="474" spans="1:15" ht="15" customHeight="1" x14ac:dyDescent="0.3">
      <c r="A474" s="8">
        <v>209668040</v>
      </c>
      <c r="B474" s="4" t="s">
        <v>190</v>
      </c>
      <c r="C474" s="4" t="s">
        <v>191</v>
      </c>
      <c r="D474" s="6">
        <v>46308.781932870399</v>
      </c>
      <c r="E474" s="6">
        <v>46308.531909722202</v>
      </c>
      <c r="F474" s="6">
        <v>46308</v>
      </c>
      <c r="G474" s="5" t="s">
        <v>12</v>
      </c>
      <c r="H474" s="5" t="s">
        <v>16</v>
      </c>
      <c r="I474" s="5">
        <v>1</v>
      </c>
      <c r="J474" s="9" t="s">
        <v>17</v>
      </c>
      <c r="K474" s="1" t="s">
        <v>766</v>
      </c>
      <c r="L474" t="s">
        <v>10</v>
      </c>
      <c r="M474" t="str">
        <f>+VLOOKUP(C474,'[1]TIENDAS 2025'!$A$1:$C$143,3,0)</f>
        <v>departamental</v>
      </c>
      <c r="O474">
        <v>1</v>
      </c>
    </row>
    <row r="475" spans="1:15" ht="15" customHeight="1" x14ac:dyDescent="0.3">
      <c r="A475" s="8">
        <v>209668037</v>
      </c>
      <c r="B475" s="4" t="s">
        <v>295</v>
      </c>
      <c r="C475" s="4" t="s">
        <v>296</v>
      </c>
      <c r="D475" s="6">
        <v>46308.781932870399</v>
      </c>
      <c r="E475" s="6">
        <v>46308.531898148103</v>
      </c>
      <c r="F475" s="6">
        <v>46308</v>
      </c>
      <c r="G475" s="5" t="s">
        <v>12</v>
      </c>
      <c r="H475" s="5" t="s">
        <v>16</v>
      </c>
      <c r="I475" s="5">
        <v>5</v>
      </c>
      <c r="J475" s="9" t="s">
        <v>17</v>
      </c>
      <c r="K475" s="1" t="s">
        <v>767</v>
      </c>
      <c r="L475" t="s">
        <v>10</v>
      </c>
      <c r="M475" t="str">
        <f>+VLOOKUP(C475,'[1]TIENDAS 2025'!$A$1:$C$143,3,0)</f>
        <v>local</v>
      </c>
      <c r="O475">
        <v>1</v>
      </c>
    </row>
    <row r="476" spans="1:15" ht="15" customHeight="1" x14ac:dyDescent="0.3">
      <c r="A476" s="8">
        <v>209668051</v>
      </c>
      <c r="B476" s="4" t="s">
        <v>506</v>
      </c>
      <c r="C476" s="4" t="s">
        <v>507</v>
      </c>
      <c r="D476" s="6">
        <v>46308.781956018502</v>
      </c>
      <c r="E476" s="6">
        <v>46308.5319212963</v>
      </c>
      <c r="F476" s="6">
        <v>46308</v>
      </c>
      <c r="G476" s="5" t="s">
        <v>12</v>
      </c>
      <c r="H476" s="5" t="s">
        <v>16</v>
      </c>
      <c r="I476" s="5">
        <v>5</v>
      </c>
      <c r="J476" s="9" t="s">
        <v>17</v>
      </c>
      <c r="K476" s="1" t="s">
        <v>768</v>
      </c>
      <c r="L476" t="s">
        <v>10</v>
      </c>
      <c r="M476" t="str">
        <f>+VLOOKUP(C476,'[1]TIENDAS 2025'!$A$1:$C$143,3,0)</f>
        <v>departamental</v>
      </c>
      <c r="O476">
        <v>1</v>
      </c>
    </row>
    <row r="477" spans="1:15" ht="15" customHeight="1" x14ac:dyDescent="0.3">
      <c r="A477" s="8">
        <v>209668055</v>
      </c>
      <c r="B477" s="4" t="s">
        <v>445</v>
      </c>
      <c r="C477" s="4" t="s">
        <v>446</v>
      </c>
      <c r="D477" s="6">
        <v>46308.7819675926</v>
      </c>
      <c r="E477" s="6">
        <v>46308.531944444403</v>
      </c>
      <c r="F477" s="6">
        <v>46308</v>
      </c>
      <c r="G477" s="5" t="s">
        <v>12</v>
      </c>
      <c r="H477" s="5" t="s">
        <v>16</v>
      </c>
      <c r="I477" s="5">
        <v>5</v>
      </c>
      <c r="J477" s="9" t="s">
        <v>17</v>
      </c>
      <c r="K477" s="1" t="s">
        <v>769</v>
      </c>
      <c r="L477" t="s">
        <v>10</v>
      </c>
      <c r="M477" t="str">
        <f>+VLOOKUP(C477,'[1]TIENDAS 2025'!$A$1:$C$143,3,0)</f>
        <v>departamental</v>
      </c>
      <c r="O477">
        <v>1</v>
      </c>
    </row>
    <row r="478" spans="1:15" ht="15" customHeight="1" x14ac:dyDescent="0.3">
      <c r="A478" s="8">
        <v>209668066</v>
      </c>
      <c r="B478" s="4" t="s">
        <v>150</v>
      </c>
      <c r="C478" s="4" t="s">
        <v>151</v>
      </c>
      <c r="D478" s="6">
        <v>46308.781990740703</v>
      </c>
      <c r="E478" s="6">
        <v>46308.531956018502</v>
      </c>
      <c r="F478" s="6">
        <v>46308</v>
      </c>
      <c r="G478" s="5" t="s">
        <v>12</v>
      </c>
      <c r="H478" s="5" t="s">
        <v>16</v>
      </c>
      <c r="I478" s="5">
        <v>3</v>
      </c>
      <c r="J478" s="9" t="s">
        <v>17</v>
      </c>
      <c r="K478" s="1" t="s">
        <v>770</v>
      </c>
      <c r="L478" t="s">
        <v>10</v>
      </c>
      <c r="M478" t="str">
        <f>+VLOOKUP(C478,'[1]TIENDAS 2025'!$A$1:$C$143,3,0)</f>
        <v>local</v>
      </c>
      <c r="O478">
        <v>1</v>
      </c>
    </row>
    <row r="479" spans="1:15" ht="15" customHeight="1" x14ac:dyDescent="0.3">
      <c r="A479" s="8">
        <v>209668075</v>
      </c>
      <c r="B479" s="4" t="s">
        <v>551</v>
      </c>
      <c r="C479" s="4" t="s">
        <v>552</v>
      </c>
      <c r="D479" s="6">
        <v>46308.782002314802</v>
      </c>
      <c r="E479" s="6">
        <v>46308.5319675926</v>
      </c>
      <c r="F479" s="6">
        <v>46308</v>
      </c>
      <c r="G479" s="5" t="s">
        <v>12</v>
      </c>
      <c r="H479" s="5" t="s">
        <v>16</v>
      </c>
      <c r="I479" s="5">
        <v>2</v>
      </c>
      <c r="J479" s="9" t="s">
        <v>17</v>
      </c>
      <c r="K479" s="1" t="s">
        <v>771</v>
      </c>
      <c r="L479" t="s">
        <v>10</v>
      </c>
      <c r="M479" t="str">
        <f>+VLOOKUP(C479,'[1]TIENDAS 2025'!$A$1:$C$143,3,0)</f>
        <v>nocturna</v>
      </c>
      <c r="O479">
        <v>1</v>
      </c>
    </row>
    <row r="480" spans="1:15" ht="15" customHeight="1" x14ac:dyDescent="0.3">
      <c r="A480" s="8">
        <v>209668003</v>
      </c>
      <c r="B480" s="4" t="s">
        <v>530</v>
      </c>
      <c r="C480" s="4" t="s">
        <v>531</v>
      </c>
      <c r="D480" s="6">
        <v>46308.7820138889</v>
      </c>
      <c r="E480" s="6">
        <v>46308.531979166699</v>
      </c>
      <c r="F480" s="6">
        <v>46308</v>
      </c>
      <c r="G480" s="5" t="s">
        <v>12</v>
      </c>
      <c r="H480" s="5" t="s">
        <v>16</v>
      </c>
      <c r="I480" s="5">
        <v>5</v>
      </c>
      <c r="J480" s="9" t="s">
        <v>17</v>
      </c>
      <c r="K480" s="1" t="s">
        <v>772</v>
      </c>
      <c r="L480" t="s">
        <v>10</v>
      </c>
      <c r="M480" t="str">
        <f>+VLOOKUP(C480,'[1]TIENDAS 2025'!$A$1:$C$143,3,0)</f>
        <v>local</v>
      </c>
      <c r="O480">
        <v>1</v>
      </c>
    </row>
    <row r="481" spans="1:15" ht="15" customHeight="1" x14ac:dyDescent="0.3">
      <c r="A481" s="8">
        <v>209668015</v>
      </c>
      <c r="B481" s="4" t="s">
        <v>259</v>
      </c>
      <c r="C481" s="4" t="s">
        <v>260</v>
      </c>
      <c r="D481" s="6">
        <v>46308.782025462999</v>
      </c>
      <c r="E481" s="6">
        <v>46308.532002314802</v>
      </c>
      <c r="F481" s="6">
        <v>46308</v>
      </c>
      <c r="G481" s="5" t="s">
        <v>12</v>
      </c>
      <c r="H481" s="5" t="s">
        <v>16</v>
      </c>
      <c r="I481" s="5">
        <v>3</v>
      </c>
      <c r="J481" s="9" t="s">
        <v>17</v>
      </c>
      <c r="K481" s="1" t="s">
        <v>773</v>
      </c>
      <c r="L481" t="s">
        <v>10</v>
      </c>
      <c r="M481" t="str">
        <f>+VLOOKUP(C481,'[1]TIENDAS 2025'!$A$1:$C$143,3,0)</f>
        <v>local</v>
      </c>
      <c r="O481">
        <v>1</v>
      </c>
    </row>
    <row r="482" spans="1:15" ht="15" customHeight="1" x14ac:dyDescent="0.3">
      <c r="A482" s="8">
        <v>209668025</v>
      </c>
      <c r="B482" s="4" t="s">
        <v>211</v>
      </c>
      <c r="C482" s="4" t="s">
        <v>212</v>
      </c>
      <c r="D482" s="6">
        <v>46308.782048611101</v>
      </c>
      <c r="E482" s="6">
        <v>46308.5320138889</v>
      </c>
      <c r="F482" s="6">
        <v>46308</v>
      </c>
      <c r="G482" s="5" t="s">
        <v>12</v>
      </c>
      <c r="H482" s="5" t="s">
        <v>16</v>
      </c>
      <c r="I482" s="5">
        <v>4</v>
      </c>
      <c r="J482" s="9" t="s">
        <v>17</v>
      </c>
      <c r="K482" s="1" t="s">
        <v>774</v>
      </c>
      <c r="L482" t="s">
        <v>10</v>
      </c>
      <c r="M482" t="str">
        <f>+VLOOKUP(C482,'[1]TIENDAS 2025'!$A$1:$C$143,3,0)</f>
        <v>departamental</v>
      </c>
      <c r="O482">
        <v>1</v>
      </c>
    </row>
    <row r="483" spans="1:15" ht="15" customHeight="1" x14ac:dyDescent="0.3">
      <c r="A483" s="8">
        <v>209668146</v>
      </c>
      <c r="B483" s="4" t="s">
        <v>315</v>
      </c>
      <c r="C483" s="4" t="s">
        <v>316</v>
      </c>
      <c r="D483" s="6">
        <v>46308.833101851902</v>
      </c>
      <c r="E483" s="6">
        <v>46308.583055555602</v>
      </c>
      <c r="F483" s="6">
        <v>46308</v>
      </c>
      <c r="G483" s="5" t="s">
        <v>12</v>
      </c>
      <c r="H483" s="5" t="s">
        <v>16</v>
      </c>
      <c r="I483" s="5">
        <v>13</v>
      </c>
      <c r="J483" s="9" t="s">
        <v>17</v>
      </c>
      <c r="K483" s="1" t="s">
        <v>775</v>
      </c>
      <c r="L483" t="s">
        <v>10</v>
      </c>
      <c r="M483" t="str">
        <f>+VLOOKUP(C483,'[1]TIENDAS 2025'!$A$1:$C$143,3,0)</f>
        <v>prioridad</v>
      </c>
      <c r="O483">
        <v>1</v>
      </c>
    </row>
    <row r="484" spans="1:15" ht="15" customHeight="1" x14ac:dyDescent="0.3">
      <c r="A484" s="8">
        <v>209668178</v>
      </c>
      <c r="B484" s="4" t="s">
        <v>424</v>
      </c>
      <c r="C484" s="4" t="s">
        <v>425</v>
      </c>
      <c r="D484" s="6">
        <v>46308.833113425899</v>
      </c>
      <c r="E484" s="6">
        <v>46308.583078703698</v>
      </c>
      <c r="F484" s="6">
        <v>46308</v>
      </c>
      <c r="G484" s="5" t="s">
        <v>12</v>
      </c>
      <c r="H484" s="5" t="s">
        <v>16</v>
      </c>
      <c r="I484" s="5">
        <v>27</v>
      </c>
      <c r="J484" s="9" t="s">
        <v>17</v>
      </c>
      <c r="K484" s="1" t="s">
        <v>776</v>
      </c>
      <c r="L484" t="s">
        <v>10</v>
      </c>
      <c r="M484" t="str">
        <f>+VLOOKUP(C484,'[1]TIENDAS 2025'!$A$1:$C$143,3,0)</f>
        <v>prioridad</v>
      </c>
      <c r="O484">
        <v>1</v>
      </c>
    </row>
    <row r="485" spans="1:15" ht="15" customHeight="1" x14ac:dyDescent="0.3">
      <c r="A485" s="8">
        <v>209668169</v>
      </c>
      <c r="B485" s="4" t="s">
        <v>250</v>
      </c>
      <c r="C485" s="4" t="s">
        <v>251</v>
      </c>
      <c r="D485" s="6">
        <v>46308.833113425899</v>
      </c>
      <c r="E485" s="6">
        <v>46308.583090277803</v>
      </c>
      <c r="F485" s="6">
        <v>46308</v>
      </c>
      <c r="G485" s="5" t="s">
        <v>12</v>
      </c>
      <c r="H485" s="5" t="s">
        <v>16</v>
      </c>
      <c r="I485" s="5">
        <v>16</v>
      </c>
      <c r="J485" s="9" t="s">
        <v>17</v>
      </c>
      <c r="K485" s="1" t="s">
        <v>777</v>
      </c>
      <c r="L485" t="s">
        <v>10</v>
      </c>
      <c r="M485" t="str">
        <f>+VLOOKUP(C485,'[1]TIENDAS 2025'!$A$1:$C$143,3,0)</f>
        <v>prioridad</v>
      </c>
      <c r="O485">
        <v>1</v>
      </c>
    </row>
    <row r="486" spans="1:15" ht="15" customHeight="1" x14ac:dyDescent="0.3">
      <c r="A486" s="8">
        <v>209668171</v>
      </c>
      <c r="B486" s="4" t="s">
        <v>354</v>
      </c>
      <c r="C486" s="4" t="s">
        <v>355</v>
      </c>
      <c r="D486" s="6">
        <v>46308.833136574103</v>
      </c>
      <c r="E486" s="6">
        <v>46308.583101851902</v>
      </c>
      <c r="F486" s="6">
        <v>46308</v>
      </c>
      <c r="G486" s="5" t="s">
        <v>12</v>
      </c>
      <c r="H486" s="5" t="s">
        <v>16</v>
      </c>
      <c r="I486" s="5">
        <v>6</v>
      </c>
      <c r="J486" s="9" t="s">
        <v>17</v>
      </c>
      <c r="K486" s="1" t="s">
        <v>778</v>
      </c>
      <c r="L486" t="s">
        <v>10</v>
      </c>
      <c r="M486" t="str">
        <f>+VLOOKUP(C486,'[1]TIENDAS 2025'!$A$1:$C$143,3,0)</f>
        <v>nocturna</v>
      </c>
      <c r="O486">
        <v>1</v>
      </c>
    </row>
    <row r="487" spans="1:15" ht="15" customHeight="1" x14ac:dyDescent="0.3">
      <c r="A487" s="8">
        <v>209668120</v>
      </c>
      <c r="B487" s="4" t="s">
        <v>327</v>
      </c>
      <c r="C487" s="4" t="s">
        <v>328</v>
      </c>
      <c r="D487" s="6">
        <v>46308.833148148202</v>
      </c>
      <c r="E487" s="6">
        <v>46308.583124999997</v>
      </c>
      <c r="F487" s="6">
        <v>46308</v>
      </c>
      <c r="G487" s="5" t="s">
        <v>12</v>
      </c>
      <c r="H487" s="5" t="s">
        <v>16</v>
      </c>
      <c r="I487" s="5">
        <v>7</v>
      </c>
      <c r="J487" s="9" t="s">
        <v>17</v>
      </c>
      <c r="K487" s="1" t="s">
        <v>779</v>
      </c>
      <c r="L487" t="s">
        <v>10</v>
      </c>
      <c r="M487" t="str">
        <f>+VLOOKUP(C487,'[1]TIENDAS 2025'!$A$1:$C$143,3,0)</f>
        <v>local</v>
      </c>
      <c r="O487">
        <v>1</v>
      </c>
    </row>
    <row r="488" spans="1:15" ht="15" customHeight="1" x14ac:dyDescent="0.3">
      <c r="A488" s="8">
        <v>209668150</v>
      </c>
      <c r="B488" s="4" t="s">
        <v>382</v>
      </c>
      <c r="C488" s="4" t="s">
        <v>383</v>
      </c>
      <c r="D488" s="6">
        <v>46308.833171296297</v>
      </c>
      <c r="E488" s="6">
        <v>46308.583136574103</v>
      </c>
      <c r="F488" s="6">
        <v>46308</v>
      </c>
      <c r="G488" s="5" t="s">
        <v>12</v>
      </c>
      <c r="H488" s="5" t="s">
        <v>16</v>
      </c>
      <c r="I488" s="5">
        <v>13</v>
      </c>
      <c r="J488" s="9" t="s">
        <v>17</v>
      </c>
      <c r="K488" s="1" t="s">
        <v>780</v>
      </c>
      <c r="L488" t="s">
        <v>10</v>
      </c>
      <c r="M488" t="str">
        <f>+VLOOKUP(C488,'[1]TIENDAS 2025'!$A$1:$C$143,3,0)</f>
        <v>local</v>
      </c>
      <c r="O488">
        <v>1</v>
      </c>
    </row>
    <row r="489" spans="1:15" ht="15" customHeight="1" x14ac:dyDescent="0.3">
      <c r="A489" s="8">
        <v>209668127</v>
      </c>
      <c r="B489" s="4" t="s">
        <v>295</v>
      </c>
      <c r="C489" s="4" t="s">
        <v>296</v>
      </c>
      <c r="D489" s="6">
        <v>46308.833182870403</v>
      </c>
      <c r="E489" s="6">
        <v>46308.583148148202</v>
      </c>
      <c r="F489" s="6">
        <v>46308</v>
      </c>
      <c r="G489" s="5" t="s">
        <v>12</v>
      </c>
      <c r="H489" s="5" t="s">
        <v>29</v>
      </c>
      <c r="I489" s="5">
        <v>27</v>
      </c>
      <c r="J489" s="9" t="s">
        <v>17</v>
      </c>
      <c r="K489" s="1" t="s">
        <v>781</v>
      </c>
      <c r="L489" t="s">
        <v>10</v>
      </c>
      <c r="M489" t="str">
        <f>+VLOOKUP(C489,'[1]TIENDAS 2025'!$A$1:$C$143,3,0)</f>
        <v>local</v>
      </c>
      <c r="O489">
        <v>1</v>
      </c>
    </row>
    <row r="490" spans="1:15" ht="15" customHeight="1" x14ac:dyDescent="0.3">
      <c r="A490" s="8">
        <v>209668130</v>
      </c>
      <c r="B490" s="4" t="s">
        <v>533</v>
      </c>
      <c r="C490" s="4" t="s">
        <v>534</v>
      </c>
      <c r="D490" s="6">
        <v>46308.8331944444</v>
      </c>
      <c r="E490" s="6">
        <v>46308.583159722199</v>
      </c>
      <c r="F490" s="6">
        <v>46308</v>
      </c>
      <c r="G490" s="5" t="s">
        <v>12</v>
      </c>
      <c r="H490" s="5" t="s">
        <v>16</v>
      </c>
      <c r="I490" s="5">
        <v>31</v>
      </c>
      <c r="J490" s="9" t="s">
        <v>17</v>
      </c>
      <c r="K490" s="1" t="s">
        <v>782</v>
      </c>
      <c r="L490" t="s">
        <v>10</v>
      </c>
      <c r="M490" t="str">
        <f>+VLOOKUP(C490,'[1]TIENDAS 2025'!$A$1:$C$143,3,0)</f>
        <v>local</v>
      </c>
      <c r="O490">
        <v>1</v>
      </c>
    </row>
    <row r="491" spans="1:15" ht="15" customHeight="1" x14ac:dyDescent="0.3">
      <c r="A491" s="8">
        <v>209668194</v>
      </c>
      <c r="B491" s="4" t="s">
        <v>460</v>
      </c>
      <c r="C491" s="4" t="s">
        <v>461</v>
      </c>
      <c r="D491" s="6">
        <v>46308.833206018498</v>
      </c>
      <c r="E491" s="6">
        <v>46308.583182870403</v>
      </c>
      <c r="F491" s="6">
        <v>46308</v>
      </c>
      <c r="G491" s="5" t="s">
        <v>12</v>
      </c>
      <c r="H491" s="5" t="s">
        <v>16</v>
      </c>
      <c r="I491" s="5">
        <v>17</v>
      </c>
      <c r="J491" s="9" t="s">
        <v>17</v>
      </c>
      <c r="K491" s="1" t="s">
        <v>783</v>
      </c>
      <c r="L491" t="s">
        <v>10</v>
      </c>
      <c r="M491" t="str">
        <f>+VLOOKUP(C491,'[1]TIENDAS 2025'!$A$1:$C$143,3,0)</f>
        <v>prioridad</v>
      </c>
      <c r="O491">
        <v>1</v>
      </c>
    </row>
    <row r="492" spans="1:15" ht="15" customHeight="1" x14ac:dyDescent="0.3">
      <c r="A492" s="8">
        <v>209668236</v>
      </c>
      <c r="B492" s="4" t="s">
        <v>348</v>
      </c>
      <c r="C492" s="4" t="s">
        <v>349</v>
      </c>
      <c r="D492" s="6">
        <v>46308.833217592597</v>
      </c>
      <c r="E492" s="6">
        <v>46308.5831944444</v>
      </c>
      <c r="F492" s="6">
        <v>46308</v>
      </c>
      <c r="G492" s="5" t="s">
        <v>12</v>
      </c>
      <c r="H492" s="5" t="s">
        <v>16</v>
      </c>
      <c r="I492" s="5">
        <v>2</v>
      </c>
      <c r="J492" s="9" t="s">
        <v>17</v>
      </c>
      <c r="K492" s="1" t="s">
        <v>784</v>
      </c>
      <c r="L492" t="s">
        <v>10</v>
      </c>
      <c r="M492" t="str">
        <f>+VLOOKUP(C492,'[1]TIENDAS 2025'!$A$1:$C$143,3,0)</f>
        <v>local</v>
      </c>
      <c r="O492">
        <v>1</v>
      </c>
    </row>
    <row r="493" spans="1:15" ht="15" customHeight="1" x14ac:dyDescent="0.3">
      <c r="A493" s="8">
        <v>209668140</v>
      </c>
      <c r="B493" s="4" t="s">
        <v>403</v>
      </c>
      <c r="C493" s="4" t="s">
        <v>404</v>
      </c>
      <c r="D493" s="6">
        <v>46308.8332407407</v>
      </c>
      <c r="E493" s="6">
        <v>46308.583217592597</v>
      </c>
      <c r="F493" s="6">
        <v>46308</v>
      </c>
      <c r="G493" s="5" t="s">
        <v>12</v>
      </c>
      <c r="H493" s="5" t="s">
        <v>16</v>
      </c>
      <c r="I493" s="5">
        <v>6</v>
      </c>
      <c r="J493" s="9" t="s">
        <v>17</v>
      </c>
      <c r="K493" s="1" t="s">
        <v>785</v>
      </c>
      <c r="L493" t="s">
        <v>10</v>
      </c>
      <c r="M493" t="str">
        <f>+VLOOKUP(C493,'[1]TIENDAS 2025'!$A$1:$C$143,3,0)</f>
        <v>prioridad</v>
      </c>
      <c r="O493">
        <v>1</v>
      </c>
    </row>
    <row r="494" spans="1:15" ht="15" customHeight="1" x14ac:dyDescent="0.3">
      <c r="A494" s="8">
        <v>209668198</v>
      </c>
      <c r="B494" s="4" t="s">
        <v>217</v>
      </c>
      <c r="C494" s="4" t="s">
        <v>218</v>
      </c>
      <c r="D494" s="6">
        <v>46308.8332407407</v>
      </c>
      <c r="E494" s="6">
        <v>46308.583206018498</v>
      </c>
      <c r="F494" s="6">
        <v>46308</v>
      </c>
      <c r="G494" s="5" t="s">
        <v>12</v>
      </c>
      <c r="H494" s="5" t="s">
        <v>16</v>
      </c>
      <c r="I494" s="5">
        <v>19</v>
      </c>
      <c r="J494" s="9" t="s">
        <v>17</v>
      </c>
      <c r="K494" s="1" t="s">
        <v>786</v>
      </c>
      <c r="L494" t="s">
        <v>10</v>
      </c>
      <c r="M494" t="str">
        <f>+VLOOKUP(C494,'[1]TIENDAS 2025'!$A$1:$C$143,3,0)</f>
        <v>nocturna</v>
      </c>
      <c r="O494">
        <v>1</v>
      </c>
    </row>
    <row r="495" spans="1:15" ht="15" customHeight="1" x14ac:dyDescent="0.3">
      <c r="A495" s="8">
        <v>209668174</v>
      </c>
      <c r="B495" s="4" t="s">
        <v>478</v>
      </c>
      <c r="C495" s="4" t="s">
        <v>479</v>
      </c>
      <c r="D495" s="6">
        <v>46308.833263888897</v>
      </c>
      <c r="E495" s="6">
        <v>46308.583229166703</v>
      </c>
      <c r="F495" s="6">
        <v>46308</v>
      </c>
      <c r="G495" s="5" t="s">
        <v>12</v>
      </c>
      <c r="H495" s="5" t="s">
        <v>16</v>
      </c>
      <c r="I495" s="5">
        <v>12</v>
      </c>
      <c r="J495" s="9" t="s">
        <v>17</v>
      </c>
      <c r="K495" s="1" t="s">
        <v>787</v>
      </c>
      <c r="L495" t="s">
        <v>10</v>
      </c>
      <c r="M495" t="str">
        <f>+VLOOKUP(C495,'[1]TIENDAS 2025'!$A$1:$C$143,3,0)</f>
        <v>departamental</v>
      </c>
      <c r="O495">
        <v>1</v>
      </c>
    </row>
    <row r="496" spans="1:15" ht="15" customHeight="1" x14ac:dyDescent="0.3">
      <c r="A496" s="8">
        <v>209668144</v>
      </c>
      <c r="B496" s="4" t="s">
        <v>309</v>
      </c>
      <c r="C496" s="4" t="s">
        <v>310</v>
      </c>
      <c r="D496" s="6">
        <v>46308.833275463003</v>
      </c>
      <c r="E496" s="6">
        <v>46308.583252314798</v>
      </c>
      <c r="F496" s="6">
        <v>46308</v>
      </c>
      <c r="G496" s="5" t="s">
        <v>12</v>
      </c>
      <c r="H496" s="5" t="s">
        <v>16</v>
      </c>
      <c r="I496" s="5">
        <v>19</v>
      </c>
      <c r="J496" s="9" t="s">
        <v>17</v>
      </c>
      <c r="K496" s="1" t="s">
        <v>788</v>
      </c>
      <c r="L496" t="s">
        <v>10</v>
      </c>
      <c r="M496" t="str">
        <f>+VLOOKUP(C496,'[1]TIENDAS 2025'!$A$1:$C$143,3,0)</f>
        <v>departamental</v>
      </c>
      <c r="O496">
        <v>1</v>
      </c>
    </row>
    <row r="497" spans="1:15" ht="15" customHeight="1" x14ac:dyDescent="0.3">
      <c r="A497" s="8">
        <v>209668176</v>
      </c>
      <c r="B497" s="4" t="s">
        <v>247</v>
      </c>
      <c r="C497" s="4" t="s">
        <v>248</v>
      </c>
      <c r="D497" s="6">
        <v>46308.833298611098</v>
      </c>
      <c r="E497" s="6">
        <v>46308.583263888897</v>
      </c>
      <c r="F497" s="6">
        <v>46308</v>
      </c>
      <c r="G497" s="5" t="s">
        <v>12</v>
      </c>
      <c r="H497" s="5" t="s">
        <v>16</v>
      </c>
      <c r="I497" s="5">
        <v>28</v>
      </c>
      <c r="J497" s="9" t="s">
        <v>17</v>
      </c>
      <c r="K497" s="1" t="s">
        <v>789</v>
      </c>
      <c r="L497" t="s">
        <v>10</v>
      </c>
      <c r="M497" t="str">
        <f>+VLOOKUP(C497,'[1]TIENDAS 2025'!$A$1:$C$143,3,0)</f>
        <v>local</v>
      </c>
      <c r="O497">
        <v>1</v>
      </c>
    </row>
    <row r="498" spans="1:15" ht="15" customHeight="1" x14ac:dyDescent="0.3">
      <c r="A498" s="8">
        <v>209668158</v>
      </c>
      <c r="B498" s="4" t="s">
        <v>388</v>
      </c>
      <c r="C498" s="4" t="s">
        <v>389</v>
      </c>
      <c r="D498" s="6">
        <v>46308.833310185197</v>
      </c>
      <c r="E498" s="6">
        <v>46308.583275463003</v>
      </c>
      <c r="F498" s="6">
        <v>46308</v>
      </c>
      <c r="G498" s="5" t="s">
        <v>12</v>
      </c>
      <c r="H498" s="5" t="s">
        <v>16</v>
      </c>
      <c r="I498" s="5">
        <v>15</v>
      </c>
      <c r="J498" s="9" t="s">
        <v>17</v>
      </c>
      <c r="K498" s="1" t="s">
        <v>790</v>
      </c>
      <c r="L498" t="s">
        <v>10</v>
      </c>
      <c r="M498" t="str">
        <f>+VLOOKUP(C498,'[1]TIENDAS 2025'!$A$1:$C$143,3,0)</f>
        <v>departamental</v>
      </c>
      <c r="O498">
        <v>1</v>
      </c>
    </row>
    <row r="499" spans="1:15" ht="15" customHeight="1" x14ac:dyDescent="0.3">
      <c r="A499" s="8">
        <v>209668128</v>
      </c>
      <c r="B499" s="4" t="s">
        <v>253</v>
      </c>
      <c r="C499" s="4" t="s">
        <v>254</v>
      </c>
      <c r="D499" s="6">
        <v>46308.833321759303</v>
      </c>
      <c r="E499" s="6">
        <v>46308.583287037</v>
      </c>
      <c r="F499" s="6">
        <v>46308</v>
      </c>
      <c r="G499" s="5" t="s">
        <v>12</v>
      </c>
      <c r="H499" s="5" t="s">
        <v>29</v>
      </c>
      <c r="I499" s="5">
        <v>18</v>
      </c>
      <c r="J499" s="9" t="s">
        <v>17</v>
      </c>
      <c r="K499" s="1" t="s">
        <v>791</v>
      </c>
      <c r="L499" t="s">
        <v>10</v>
      </c>
      <c r="M499" t="str">
        <f>+VLOOKUP(C499,'[1]TIENDAS 2025'!$A$1:$C$143,3,0)</f>
        <v>departamental</v>
      </c>
      <c r="O499">
        <v>1</v>
      </c>
    </row>
    <row r="500" spans="1:15" ht="15" customHeight="1" x14ac:dyDescent="0.3">
      <c r="A500" s="8">
        <v>209668162</v>
      </c>
      <c r="B500" s="4" t="s">
        <v>235</v>
      </c>
      <c r="C500" s="4" t="s">
        <v>236</v>
      </c>
      <c r="D500" s="6">
        <v>46308.833333333299</v>
      </c>
      <c r="E500" s="6">
        <v>46308.583310185197</v>
      </c>
      <c r="F500" s="6">
        <v>46308</v>
      </c>
      <c r="G500" s="5" t="s">
        <v>12</v>
      </c>
      <c r="H500" s="5" t="s">
        <v>16</v>
      </c>
      <c r="I500" s="5">
        <v>6</v>
      </c>
      <c r="J500" s="9" t="s">
        <v>17</v>
      </c>
      <c r="K500" s="1" t="s">
        <v>792</v>
      </c>
      <c r="L500" t="s">
        <v>10</v>
      </c>
      <c r="M500" t="str">
        <f>+VLOOKUP(C500,'[1]TIENDAS 2025'!$A$1:$C$143,3,0)</f>
        <v>prioridad</v>
      </c>
      <c r="O500">
        <v>1</v>
      </c>
    </row>
    <row r="501" spans="1:15" ht="15" customHeight="1" x14ac:dyDescent="0.3">
      <c r="A501" s="8">
        <v>209668137</v>
      </c>
      <c r="B501" s="4" t="s">
        <v>512</v>
      </c>
      <c r="C501" s="4" t="s">
        <v>513</v>
      </c>
      <c r="D501" s="6">
        <v>46308.833344907398</v>
      </c>
      <c r="E501" s="6">
        <v>46308.583321759303</v>
      </c>
      <c r="F501" s="6">
        <v>46308</v>
      </c>
      <c r="G501" s="5" t="s">
        <v>12</v>
      </c>
      <c r="H501" s="5" t="s">
        <v>16</v>
      </c>
      <c r="I501" s="5">
        <v>5</v>
      </c>
      <c r="J501" s="9" t="s">
        <v>17</v>
      </c>
      <c r="K501" s="1" t="s">
        <v>793</v>
      </c>
      <c r="L501" t="s">
        <v>10</v>
      </c>
      <c r="M501" t="str">
        <f>+VLOOKUP(C501,'[1]TIENDAS 2025'!$A$1:$C$143,3,0)</f>
        <v>prioridad</v>
      </c>
      <c r="O501">
        <v>1</v>
      </c>
    </row>
    <row r="502" spans="1:15" ht="15" customHeight="1" x14ac:dyDescent="0.3">
      <c r="A502" s="8">
        <v>209668226</v>
      </c>
      <c r="B502" s="4" t="s">
        <v>539</v>
      </c>
      <c r="C502" s="4" t="s">
        <v>540</v>
      </c>
      <c r="D502" s="6">
        <v>46308.833368055602</v>
      </c>
      <c r="E502" s="6">
        <v>46308.583333333299</v>
      </c>
      <c r="F502" s="6">
        <v>46308</v>
      </c>
      <c r="G502" s="5" t="s">
        <v>12</v>
      </c>
      <c r="H502" s="5" t="s">
        <v>16</v>
      </c>
      <c r="I502" s="5">
        <v>9</v>
      </c>
      <c r="J502" s="9" t="s">
        <v>17</v>
      </c>
      <c r="K502" s="1" t="s">
        <v>794</v>
      </c>
      <c r="L502" t="s">
        <v>10</v>
      </c>
      <c r="M502" t="str">
        <f>+VLOOKUP(C502,'[1]TIENDAS 2025'!$A$1:$C$143,3,0)</f>
        <v>departamental</v>
      </c>
      <c r="O502">
        <v>1</v>
      </c>
    </row>
    <row r="503" spans="1:15" ht="15" customHeight="1" x14ac:dyDescent="0.3">
      <c r="A503" s="8">
        <v>209668189</v>
      </c>
      <c r="B503" s="4" t="s">
        <v>301</v>
      </c>
      <c r="C503" s="4" t="s">
        <v>302</v>
      </c>
      <c r="D503" s="6">
        <v>46308.833379629599</v>
      </c>
      <c r="E503" s="6">
        <v>46308.583344907398</v>
      </c>
      <c r="F503" s="6">
        <v>46308</v>
      </c>
      <c r="G503" s="5" t="s">
        <v>12</v>
      </c>
      <c r="H503" s="5" t="s">
        <v>16</v>
      </c>
      <c r="I503" s="5">
        <v>22</v>
      </c>
      <c r="J503" s="9" t="s">
        <v>17</v>
      </c>
      <c r="K503" s="1" t="s">
        <v>795</v>
      </c>
      <c r="L503" t="s">
        <v>10</v>
      </c>
      <c r="M503" t="str">
        <f>+VLOOKUP(C503,'[1]TIENDAS 2025'!$A$1:$C$143,3,0)</f>
        <v>departamental</v>
      </c>
      <c r="O503">
        <v>1</v>
      </c>
    </row>
    <row r="504" spans="1:15" ht="15" customHeight="1" x14ac:dyDescent="0.3">
      <c r="A504" s="8">
        <v>209668234</v>
      </c>
      <c r="B504" s="4" t="s">
        <v>548</v>
      </c>
      <c r="C504" s="4" t="s">
        <v>549</v>
      </c>
      <c r="D504" s="6">
        <v>46308.833391203698</v>
      </c>
      <c r="E504" s="6">
        <v>46308.583368055602</v>
      </c>
      <c r="F504" s="6">
        <v>46308</v>
      </c>
      <c r="G504" s="5" t="s">
        <v>12</v>
      </c>
      <c r="H504" s="5" t="s">
        <v>16</v>
      </c>
      <c r="I504" s="5">
        <v>17</v>
      </c>
      <c r="J504" s="9" t="s">
        <v>17</v>
      </c>
      <c r="K504" s="1" t="s">
        <v>796</v>
      </c>
      <c r="L504" t="s">
        <v>10</v>
      </c>
      <c r="M504" t="str">
        <f>+VLOOKUP(C504,'[1]TIENDAS 2025'!$A$1:$C$143,3,0)</f>
        <v>departamental</v>
      </c>
      <c r="O504">
        <v>1</v>
      </c>
    </row>
    <row r="505" spans="1:15" ht="15" customHeight="1" x14ac:dyDescent="0.3">
      <c r="A505" s="8">
        <v>209668199</v>
      </c>
      <c r="B505" s="4" t="s">
        <v>406</v>
      </c>
      <c r="C505" s="4" t="s">
        <v>407</v>
      </c>
      <c r="D505" s="6">
        <v>46308.833414351902</v>
      </c>
      <c r="E505" s="6">
        <v>46308.583379629599</v>
      </c>
      <c r="F505" s="6">
        <v>46308</v>
      </c>
      <c r="G505" s="5" t="s">
        <v>12</v>
      </c>
      <c r="H505" s="5" t="s">
        <v>16</v>
      </c>
      <c r="I505" s="5">
        <v>12</v>
      </c>
      <c r="J505" s="9" t="s">
        <v>17</v>
      </c>
      <c r="K505" s="1" t="s">
        <v>797</v>
      </c>
      <c r="L505" t="s">
        <v>10</v>
      </c>
      <c r="M505" t="str">
        <f>+VLOOKUP(C505,'[1]TIENDAS 2025'!$A$1:$C$143,3,0)</f>
        <v>nocturna</v>
      </c>
      <c r="O505">
        <v>1</v>
      </c>
    </row>
    <row r="506" spans="1:15" ht="15" customHeight="1" x14ac:dyDescent="0.3">
      <c r="A506" s="8">
        <v>209668208</v>
      </c>
      <c r="B506" s="4" t="s">
        <v>497</v>
      </c>
      <c r="C506" s="4" t="s">
        <v>498</v>
      </c>
      <c r="D506" s="6">
        <v>46308.833425925899</v>
      </c>
      <c r="E506" s="6">
        <v>46308.583391203698</v>
      </c>
      <c r="F506" s="6">
        <v>46308</v>
      </c>
      <c r="G506" s="5" t="s">
        <v>12</v>
      </c>
      <c r="H506" s="5" t="s">
        <v>16</v>
      </c>
      <c r="I506" s="5">
        <v>9</v>
      </c>
      <c r="J506" s="9" t="s">
        <v>17</v>
      </c>
      <c r="K506" s="1" t="s">
        <v>798</v>
      </c>
      <c r="L506" t="s">
        <v>10</v>
      </c>
      <c r="M506" t="str">
        <f>+VLOOKUP(C506,'[1]TIENDAS 2025'!$A$1:$C$143,3,0)</f>
        <v>prioridad</v>
      </c>
      <c r="O506">
        <v>1</v>
      </c>
    </row>
    <row r="507" spans="1:15" ht="15" customHeight="1" x14ac:dyDescent="0.3">
      <c r="A507" s="8">
        <v>209668135</v>
      </c>
      <c r="B507" s="4" t="s">
        <v>475</v>
      </c>
      <c r="C507" s="4" t="s">
        <v>476</v>
      </c>
      <c r="D507" s="6">
        <v>46308.833437499998</v>
      </c>
      <c r="E507" s="6">
        <v>46308.583402777796</v>
      </c>
      <c r="F507" s="6">
        <v>46308</v>
      </c>
      <c r="G507" s="5" t="s">
        <v>12</v>
      </c>
      <c r="H507" s="5" t="s">
        <v>16</v>
      </c>
      <c r="I507" s="5">
        <v>15</v>
      </c>
      <c r="J507" s="9" t="s">
        <v>17</v>
      </c>
      <c r="K507" s="1" t="s">
        <v>799</v>
      </c>
      <c r="L507" t="s">
        <v>10</v>
      </c>
      <c r="M507" t="str">
        <f>+VLOOKUP(C507,'[1]TIENDAS 2025'!$A$1:$C$143,3,0)</f>
        <v>prioridad</v>
      </c>
      <c r="O507">
        <v>1</v>
      </c>
    </row>
    <row r="508" spans="1:15" ht="15" customHeight="1" x14ac:dyDescent="0.3">
      <c r="A508" s="8">
        <v>209668166</v>
      </c>
      <c r="B508" s="4" t="s">
        <v>391</v>
      </c>
      <c r="C508" s="4" t="s">
        <v>392</v>
      </c>
      <c r="D508" s="6">
        <v>46308.833449074104</v>
      </c>
      <c r="E508" s="6">
        <v>46308.583425925899</v>
      </c>
      <c r="F508" s="6">
        <v>46308</v>
      </c>
      <c r="G508" s="5" t="s">
        <v>12</v>
      </c>
      <c r="H508" s="5" t="s">
        <v>16</v>
      </c>
      <c r="I508" s="5">
        <v>2</v>
      </c>
      <c r="J508" s="9" t="s">
        <v>17</v>
      </c>
      <c r="K508" s="1" t="s">
        <v>800</v>
      </c>
      <c r="L508" t="s">
        <v>10</v>
      </c>
      <c r="M508" t="str">
        <f>+VLOOKUP(C508,'[1]TIENDAS 2025'!$A$1:$C$143,3,0)</f>
        <v>local</v>
      </c>
      <c r="O508">
        <v>1</v>
      </c>
    </row>
    <row r="509" spans="1:15" ht="15" customHeight="1" x14ac:dyDescent="0.3">
      <c r="A509" s="8">
        <v>209668116</v>
      </c>
      <c r="B509" s="4" t="s">
        <v>418</v>
      </c>
      <c r="C509" s="4" t="s">
        <v>419</v>
      </c>
      <c r="D509" s="6">
        <v>46308.833460648202</v>
      </c>
      <c r="E509" s="6">
        <v>46308.583437499998</v>
      </c>
      <c r="F509" s="6">
        <v>46308</v>
      </c>
      <c r="G509" s="5" t="s">
        <v>12</v>
      </c>
      <c r="H509" s="5" t="s">
        <v>16</v>
      </c>
      <c r="I509" s="5">
        <v>21</v>
      </c>
      <c r="J509" s="9" t="s">
        <v>17</v>
      </c>
      <c r="K509" s="1" t="s">
        <v>801</v>
      </c>
      <c r="L509" t="s">
        <v>10</v>
      </c>
      <c r="M509" t="str">
        <f>+VLOOKUP(C509,'[1]TIENDAS 2025'!$A$1:$C$143,3,0)</f>
        <v>local</v>
      </c>
      <c r="O509">
        <v>1</v>
      </c>
    </row>
    <row r="510" spans="1:15" ht="15" customHeight="1" x14ac:dyDescent="0.3">
      <c r="A510" s="8">
        <v>209668118</v>
      </c>
      <c r="B510" s="4" t="s">
        <v>506</v>
      </c>
      <c r="C510" s="4" t="s">
        <v>507</v>
      </c>
      <c r="D510" s="6">
        <v>46308.833483796298</v>
      </c>
      <c r="E510" s="6">
        <v>46308.583449074104</v>
      </c>
      <c r="F510" s="6">
        <v>46308</v>
      </c>
      <c r="G510" s="5" t="s">
        <v>12</v>
      </c>
      <c r="H510" s="5" t="s">
        <v>16</v>
      </c>
      <c r="I510" s="5">
        <v>11</v>
      </c>
      <c r="J510" s="9" t="s">
        <v>17</v>
      </c>
      <c r="K510" s="1" t="s">
        <v>802</v>
      </c>
      <c r="L510" t="s">
        <v>10</v>
      </c>
      <c r="M510" t="str">
        <f>+VLOOKUP(C510,'[1]TIENDAS 2025'!$A$1:$C$143,3,0)</f>
        <v>departamental</v>
      </c>
      <c r="O510">
        <v>1</v>
      </c>
    </row>
    <row r="511" spans="1:15" ht="15" customHeight="1" x14ac:dyDescent="0.3">
      <c r="A511" s="8">
        <v>209668138</v>
      </c>
      <c r="B511" s="4" t="s">
        <v>268</v>
      </c>
      <c r="C511" s="4" t="s">
        <v>269</v>
      </c>
      <c r="D511" s="6">
        <v>46308.833495370403</v>
      </c>
      <c r="E511" s="6">
        <v>46308.583460648202</v>
      </c>
      <c r="F511" s="6">
        <v>46308</v>
      </c>
      <c r="G511" s="5" t="s">
        <v>12</v>
      </c>
      <c r="H511" s="5" t="s">
        <v>16</v>
      </c>
      <c r="I511" s="5">
        <v>19</v>
      </c>
      <c r="J511" s="9" t="s">
        <v>17</v>
      </c>
      <c r="K511" s="1" t="s">
        <v>803</v>
      </c>
      <c r="L511" t="s">
        <v>10</v>
      </c>
      <c r="M511" t="str">
        <f>+VLOOKUP(C511,'[1]TIENDAS 2025'!$A$1:$C$143,3,0)</f>
        <v>departamental</v>
      </c>
      <c r="O511">
        <v>1</v>
      </c>
    </row>
    <row r="512" spans="1:15" ht="15" customHeight="1" x14ac:dyDescent="0.3">
      <c r="A512" s="8">
        <v>209668142</v>
      </c>
      <c r="B512" s="4" t="s">
        <v>223</v>
      </c>
      <c r="C512" s="4" t="s">
        <v>224</v>
      </c>
      <c r="D512" s="6">
        <v>46308.833518518499</v>
      </c>
      <c r="E512" s="6">
        <v>46308.583483796298</v>
      </c>
      <c r="F512" s="6">
        <v>46308</v>
      </c>
      <c r="G512" s="5" t="s">
        <v>12</v>
      </c>
      <c r="H512" s="5" t="s">
        <v>16</v>
      </c>
      <c r="I512" s="5">
        <v>30</v>
      </c>
      <c r="J512" s="9" t="s">
        <v>17</v>
      </c>
      <c r="K512" s="1" t="s">
        <v>804</v>
      </c>
      <c r="L512" t="s">
        <v>10</v>
      </c>
      <c r="M512" t="str">
        <f>+VLOOKUP(C512,'[1]TIENDAS 2025'!$A$1:$C$143,3,0)</f>
        <v>departamental</v>
      </c>
      <c r="O512">
        <v>1</v>
      </c>
    </row>
    <row r="513" spans="1:15" ht="15" customHeight="1" x14ac:dyDescent="0.3">
      <c r="A513" s="8">
        <v>209668143</v>
      </c>
      <c r="B513" s="4" t="s">
        <v>494</v>
      </c>
      <c r="C513" s="4" t="s">
        <v>495</v>
      </c>
      <c r="D513" s="6">
        <v>46308.833530092597</v>
      </c>
      <c r="E513" s="6">
        <v>46308.583495370403</v>
      </c>
      <c r="F513" s="6">
        <v>46308</v>
      </c>
      <c r="G513" s="5" t="s">
        <v>12</v>
      </c>
      <c r="H513" s="5" t="s">
        <v>16</v>
      </c>
      <c r="I513" s="5">
        <v>22</v>
      </c>
      <c r="J513" s="9" t="s">
        <v>17</v>
      </c>
      <c r="K513" s="1" t="s">
        <v>805</v>
      </c>
      <c r="L513" t="s">
        <v>10</v>
      </c>
      <c r="M513" t="str">
        <f>+VLOOKUP(C513,'[1]TIENDAS 2025'!$A$1:$C$143,3,0)</f>
        <v>local</v>
      </c>
      <c r="O513">
        <v>1</v>
      </c>
    </row>
    <row r="514" spans="1:15" ht="15" customHeight="1" x14ac:dyDescent="0.3">
      <c r="A514" s="8">
        <v>209668183</v>
      </c>
      <c r="B514" s="4" t="s">
        <v>463</v>
      </c>
      <c r="C514" s="4" t="s">
        <v>464</v>
      </c>
      <c r="D514" s="6">
        <v>46308.8335532407</v>
      </c>
      <c r="E514" s="6">
        <v>46308.583518518499</v>
      </c>
      <c r="F514" s="6">
        <v>46308</v>
      </c>
      <c r="G514" s="5" t="s">
        <v>12</v>
      </c>
      <c r="H514" s="5" t="s">
        <v>16</v>
      </c>
      <c r="I514" s="5">
        <v>7</v>
      </c>
      <c r="J514" s="9" t="s">
        <v>17</v>
      </c>
      <c r="K514" s="1" t="s">
        <v>806</v>
      </c>
      <c r="L514" t="s">
        <v>10</v>
      </c>
      <c r="M514" t="str">
        <f>+VLOOKUP(C514,'[1]TIENDAS 2025'!$A$1:$C$143,3,0)</f>
        <v xml:space="preserve">departamental </v>
      </c>
      <c r="O514">
        <v>1</v>
      </c>
    </row>
    <row r="515" spans="1:15" ht="15" customHeight="1" x14ac:dyDescent="0.3">
      <c r="A515" s="8">
        <v>209668225</v>
      </c>
      <c r="B515" s="4" t="s">
        <v>397</v>
      </c>
      <c r="C515" s="4" t="s">
        <v>398</v>
      </c>
      <c r="D515" s="6">
        <v>46308.833564814799</v>
      </c>
      <c r="E515" s="6">
        <v>46308.583530092597</v>
      </c>
      <c r="F515" s="6">
        <v>46308</v>
      </c>
      <c r="G515" s="5" t="s">
        <v>12</v>
      </c>
      <c r="H515" s="5" t="s">
        <v>16</v>
      </c>
      <c r="I515" s="5">
        <v>14</v>
      </c>
      <c r="J515" s="9" t="s">
        <v>17</v>
      </c>
      <c r="K515" s="1" t="s">
        <v>807</v>
      </c>
      <c r="L515" t="s">
        <v>10</v>
      </c>
      <c r="M515" t="str">
        <f>+VLOOKUP(C515,'[1]TIENDAS 2025'!$A$1:$C$143,3,0)</f>
        <v>local</v>
      </c>
      <c r="O515">
        <v>1</v>
      </c>
    </row>
    <row r="516" spans="1:15" ht="15" customHeight="1" x14ac:dyDescent="0.3">
      <c r="A516" s="8">
        <v>209668188</v>
      </c>
      <c r="B516" s="4" t="s">
        <v>289</v>
      </c>
      <c r="C516" s="4" t="s">
        <v>290</v>
      </c>
      <c r="D516" s="6">
        <v>46308.833587963003</v>
      </c>
      <c r="E516" s="6">
        <v>46308.5835532407</v>
      </c>
      <c r="F516" s="6">
        <v>46308</v>
      </c>
      <c r="G516" s="5" t="s">
        <v>12</v>
      </c>
      <c r="H516" s="5" t="s">
        <v>16</v>
      </c>
      <c r="I516" s="5">
        <v>22</v>
      </c>
      <c r="J516" s="9" t="s">
        <v>17</v>
      </c>
      <c r="K516" s="1" t="s">
        <v>808</v>
      </c>
      <c r="L516" t="s">
        <v>10</v>
      </c>
      <c r="M516" t="str">
        <f>+VLOOKUP(C516,'[1]TIENDAS 2025'!$A$1:$C$143,3,0)</f>
        <v>departamental</v>
      </c>
      <c r="O516">
        <v>1</v>
      </c>
    </row>
    <row r="517" spans="1:15" ht="15" customHeight="1" x14ac:dyDescent="0.3">
      <c r="A517" s="8">
        <v>209668191</v>
      </c>
      <c r="B517" s="4" t="s">
        <v>521</v>
      </c>
      <c r="C517" s="4" t="s">
        <v>522</v>
      </c>
      <c r="D517" s="6">
        <v>46308.833599537</v>
      </c>
      <c r="E517" s="6">
        <v>46308.583564814799</v>
      </c>
      <c r="F517" s="6">
        <v>46308</v>
      </c>
      <c r="G517" s="5" t="s">
        <v>12</v>
      </c>
      <c r="H517" s="5" t="s">
        <v>16</v>
      </c>
      <c r="I517" s="5">
        <v>16</v>
      </c>
      <c r="J517" s="9" t="s">
        <v>17</v>
      </c>
      <c r="K517" s="1" t="s">
        <v>809</v>
      </c>
      <c r="L517" t="s">
        <v>10</v>
      </c>
      <c r="M517" t="str">
        <f>+VLOOKUP(C517,'[1]TIENDAS 2025'!$A$1:$C$143,3,0)</f>
        <v>local</v>
      </c>
      <c r="O517">
        <v>1</v>
      </c>
    </row>
    <row r="518" spans="1:15" ht="15" customHeight="1" x14ac:dyDescent="0.3">
      <c r="A518" s="8">
        <v>209668200</v>
      </c>
      <c r="B518" s="4" t="s">
        <v>482</v>
      </c>
      <c r="C518" s="4" t="s">
        <v>483</v>
      </c>
      <c r="D518" s="6">
        <v>46308.833611111098</v>
      </c>
      <c r="E518" s="6">
        <v>46308.583576388897</v>
      </c>
      <c r="F518" s="6">
        <v>46308</v>
      </c>
      <c r="G518" s="5" t="s">
        <v>12</v>
      </c>
      <c r="H518" s="5" t="s">
        <v>16</v>
      </c>
      <c r="I518" s="5">
        <v>22</v>
      </c>
      <c r="J518" s="9" t="s">
        <v>17</v>
      </c>
      <c r="K518" s="1" t="s">
        <v>810</v>
      </c>
      <c r="L518" t="s">
        <v>10</v>
      </c>
      <c r="M518" t="str">
        <f>+VLOOKUP(C518,'[1]TIENDAS 2025'!$A$1:$C$143,3,0)</f>
        <v>local</v>
      </c>
      <c r="O518">
        <v>1</v>
      </c>
    </row>
    <row r="519" spans="1:15" ht="15" customHeight="1" x14ac:dyDescent="0.3">
      <c r="A519" s="8">
        <v>209668220</v>
      </c>
      <c r="B519" s="4" t="s">
        <v>351</v>
      </c>
      <c r="C519" s="4" t="s">
        <v>352</v>
      </c>
      <c r="D519" s="6">
        <v>46308.833622685197</v>
      </c>
      <c r="E519" s="6">
        <v>46308.583599537</v>
      </c>
      <c r="F519" s="6">
        <v>46308</v>
      </c>
      <c r="G519" s="5" t="s">
        <v>12</v>
      </c>
      <c r="H519" s="5" t="s">
        <v>16</v>
      </c>
      <c r="I519" s="5">
        <v>14</v>
      </c>
      <c r="J519" s="9" t="s">
        <v>17</v>
      </c>
      <c r="K519" s="1" t="s">
        <v>811</v>
      </c>
      <c r="L519" t="s">
        <v>10</v>
      </c>
      <c r="M519" t="str">
        <f>+VLOOKUP(C519,'[1]TIENDAS 2025'!$A$1:$C$143,3,0)</f>
        <v>prioridad</v>
      </c>
      <c r="O519">
        <v>1</v>
      </c>
    </row>
    <row r="520" spans="1:15" ht="15" customHeight="1" x14ac:dyDescent="0.3">
      <c r="A520" s="8">
        <v>209668139</v>
      </c>
      <c r="B520" s="4" t="s">
        <v>19</v>
      </c>
      <c r="C520" s="4" t="s">
        <v>20</v>
      </c>
      <c r="D520" s="6">
        <v>46308.8336458333</v>
      </c>
      <c r="E520" s="6">
        <v>46308.583622685197</v>
      </c>
      <c r="F520" s="6">
        <v>46308</v>
      </c>
      <c r="G520" s="5" t="s">
        <v>12</v>
      </c>
      <c r="H520" s="5" t="s">
        <v>16</v>
      </c>
      <c r="I520" s="5">
        <v>11</v>
      </c>
      <c r="J520" s="9" t="s">
        <v>17</v>
      </c>
      <c r="K520" s="1" t="s">
        <v>812</v>
      </c>
      <c r="L520" t="s">
        <v>10</v>
      </c>
      <c r="M520" t="str">
        <f>+VLOOKUP(C520,'[1]TIENDAS 2025'!$A$1:$C$143,3,0)</f>
        <v>departamental</v>
      </c>
      <c r="O520">
        <v>1</v>
      </c>
    </row>
    <row r="521" spans="1:15" ht="15" customHeight="1" x14ac:dyDescent="0.3">
      <c r="A521" s="8">
        <v>209668148</v>
      </c>
      <c r="B521" s="4" t="s">
        <v>154</v>
      </c>
      <c r="C521" s="4" t="s">
        <v>155</v>
      </c>
      <c r="D521" s="6">
        <v>46308.8336458333</v>
      </c>
      <c r="E521" s="6">
        <v>46308.583611111098</v>
      </c>
      <c r="F521" s="6">
        <v>46308</v>
      </c>
      <c r="G521" s="5" t="s">
        <v>12</v>
      </c>
      <c r="H521" s="5" t="s">
        <v>16</v>
      </c>
      <c r="I521" s="5">
        <v>39</v>
      </c>
      <c r="J521" s="9" t="s">
        <v>17</v>
      </c>
      <c r="K521" s="1" t="s">
        <v>813</v>
      </c>
      <c r="L521" t="s">
        <v>10</v>
      </c>
      <c r="M521" t="str">
        <f>+VLOOKUP(C521,'[1]TIENDAS 2025'!$A$1:$C$143,3,0)</f>
        <v>nocturna</v>
      </c>
      <c r="O521">
        <v>1</v>
      </c>
    </row>
    <row r="522" spans="1:15" ht="15" customHeight="1" x14ac:dyDescent="0.3">
      <c r="A522" s="8">
        <v>209668165</v>
      </c>
      <c r="B522" s="4" t="s">
        <v>551</v>
      </c>
      <c r="C522" s="4" t="s">
        <v>552</v>
      </c>
      <c r="D522" s="6">
        <v>46308.833668981497</v>
      </c>
      <c r="E522" s="6">
        <v>46308.5836458333</v>
      </c>
      <c r="F522" s="6">
        <v>46308</v>
      </c>
      <c r="G522" s="5" t="s">
        <v>12</v>
      </c>
      <c r="H522" s="5" t="s">
        <v>16</v>
      </c>
      <c r="I522" s="5">
        <v>13</v>
      </c>
      <c r="J522" s="9" t="s">
        <v>17</v>
      </c>
      <c r="K522" s="1" t="s">
        <v>814</v>
      </c>
      <c r="L522" t="s">
        <v>10</v>
      </c>
      <c r="M522" t="str">
        <f>+VLOOKUP(C522,'[1]TIENDAS 2025'!$A$1:$C$143,3,0)</f>
        <v>nocturna</v>
      </c>
      <c r="O522">
        <v>1</v>
      </c>
    </row>
    <row r="523" spans="1:15" ht="15" customHeight="1" x14ac:dyDescent="0.3">
      <c r="A523" s="8">
        <v>209668121</v>
      </c>
      <c r="B523" s="4" t="s">
        <v>430</v>
      </c>
      <c r="C523" s="4" t="s">
        <v>431</v>
      </c>
      <c r="D523" s="6">
        <v>46308.833680555603</v>
      </c>
      <c r="E523" s="6">
        <v>46308.583657407398</v>
      </c>
      <c r="F523" s="6">
        <v>46308</v>
      </c>
      <c r="G523" s="5" t="s">
        <v>12</v>
      </c>
      <c r="H523" s="5" t="s">
        <v>16</v>
      </c>
      <c r="I523" s="5">
        <v>23</v>
      </c>
      <c r="J523" s="9" t="s">
        <v>17</v>
      </c>
      <c r="K523" s="1" t="s">
        <v>815</v>
      </c>
      <c r="L523" t="s">
        <v>10</v>
      </c>
      <c r="M523" t="str">
        <f>+VLOOKUP(C523,'[1]TIENDAS 2025'!$A$1:$C$143,3,0)</f>
        <v>prioridad</v>
      </c>
      <c r="O523">
        <v>1</v>
      </c>
    </row>
    <row r="524" spans="1:15" ht="15" customHeight="1" x14ac:dyDescent="0.3">
      <c r="A524" s="8">
        <v>209668122</v>
      </c>
      <c r="B524" s="4" t="s">
        <v>283</v>
      </c>
      <c r="C524" s="4" t="s">
        <v>284</v>
      </c>
      <c r="D524" s="6">
        <v>46308.833703703698</v>
      </c>
      <c r="E524" s="6">
        <v>46308.583668981497</v>
      </c>
      <c r="F524" s="6">
        <v>46308</v>
      </c>
      <c r="G524" s="5" t="s">
        <v>12</v>
      </c>
      <c r="H524" s="5" t="s">
        <v>16</v>
      </c>
      <c r="I524" s="5">
        <v>7</v>
      </c>
      <c r="J524" s="9" t="s">
        <v>17</v>
      </c>
      <c r="K524" s="1" t="s">
        <v>816</v>
      </c>
      <c r="L524" t="s">
        <v>10</v>
      </c>
      <c r="M524" t="str">
        <f>+VLOOKUP(C524,'[1]TIENDAS 2025'!$A$1:$C$143,3,0)</f>
        <v>prioridad</v>
      </c>
      <c r="O524">
        <v>1</v>
      </c>
    </row>
    <row r="525" spans="1:15" ht="15" customHeight="1" x14ac:dyDescent="0.3">
      <c r="A525" s="8">
        <v>209668131</v>
      </c>
      <c r="B525" s="4" t="s">
        <v>205</v>
      </c>
      <c r="C525" s="4" t="s">
        <v>206</v>
      </c>
      <c r="D525" s="6">
        <v>46308.833715277797</v>
      </c>
      <c r="E525" s="6">
        <v>46308.583680555603</v>
      </c>
      <c r="F525" s="6">
        <v>46308</v>
      </c>
      <c r="G525" s="5" t="s">
        <v>12</v>
      </c>
      <c r="H525" s="5" t="s">
        <v>29</v>
      </c>
      <c r="I525" s="5">
        <v>29</v>
      </c>
      <c r="J525" s="9" t="s">
        <v>17</v>
      </c>
      <c r="K525" s="1" t="s">
        <v>817</v>
      </c>
      <c r="L525" t="s">
        <v>10</v>
      </c>
      <c r="M525" t="str">
        <f>+VLOOKUP(C525,'[1]TIENDAS 2025'!$A$1:$C$143,3,0)</f>
        <v>prioridad</v>
      </c>
      <c r="O525">
        <v>1</v>
      </c>
    </row>
    <row r="526" spans="1:15" ht="15" customHeight="1" x14ac:dyDescent="0.3">
      <c r="A526" s="8">
        <v>209668184</v>
      </c>
      <c r="B526" s="4" t="s">
        <v>163</v>
      </c>
      <c r="C526" s="4" t="s">
        <v>164</v>
      </c>
      <c r="D526" s="6">
        <v>46308.833726851903</v>
      </c>
      <c r="E526" s="6">
        <v>46308.5836921296</v>
      </c>
      <c r="F526" s="6">
        <v>46308</v>
      </c>
      <c r="G526" s="5" t="s">
        <v>12</v>
      </c>
      <c r="H526" s="5" t="s">
        <v>16</v>
      </c>
      <c r="I526" s="5">
        <v>15</v>
      </c>
      <c r="J526" s="9" t="s">
        <v>17</v>
      </c>
      <c r="K526" s="1" t="s">
        <v>818</v>
      </c>
      <c r="L526" t="s">
        <v>10</v>
      </c>
      <c r="M526" t="str">
        <f>+VLOOKUP(C526,'[1]TIENDAS 2025'!$A$1:$C$143,3,0)</f>
        <v>departamental</v>
      </c>
      <c r="O526">
        <v>1</v>
      </c>
    </row>
    <row r="527" spans="1:15" ht="15" customHeight="1" x14ac:dyDescent="0.3">
      <c r="A527" s="8">
        <v>209668185</v>
      </c>
      <c r="B527" s="4" t="s">
        <v>485</v>
      </c>
      <c r="C527" s="4" t="s">
        <v>486</v>
      </c>
      <c r="D527" s="6">
        <v>46308.833738425899</v>
      </c>
      <c r="E527" s="6">
        <v>46308.583715277797</v>
      </c>
      <c r="F527" s="6">
        <v>46308</v>
      </c>
      <c r="G527" s="5" t="s">
        <v>12</v>
      </c>
      <c r="H527" s="5" t="s">
        <v>16</v>
      </c>
      <c r="I527" s="5">
        <v>9</v>
      </c>
      <c r="J527" s="9" t="s">
        <v>17</v>
      </c>
      <c r="K527" s="1" t="s">
        <v>819</v>
      </c>
      <c r="L527" t="s">
        <v>10</v>
      </c>
      <c r="M527" t="str">
        <f>+VLOOKUP(C527,'[1]TIENDAS 2025'!$A$1:$C$143,3,0)</f>
        <v>departamental</v>
      </c>
      <c r="O527">
        <v>1</v>
      </c>
    </row>
    <row r="528" spans="1:15" ht="15" customHeight="1" x14ac:dyDescent="0.3">
      <c r="A528" s="8">
        <v>209668227</v>
      </c>
      <c r="B528" s="4" t="s">
        <v>469</v>
      </c>
      <c r="C528" s="4" t="s">
        <v>470</v>
      </c>
      <c r="D528" s="6">
        <v>46308.833761574097</v>
      </c>
      <c r="E528" s="6">
        <v>46308.583726851903</v>
      </c>
      <c r="F528" s="6">
        <v>46308</v>
      </c>
      <c r="G528" s="5" t="s">
        <v>12</v>
      </c>
      <c r="H528" s="5" t="s">
        <v>16</v>
      </c>
      <c r="I528" s="5">
        <v>14</v>
      </c>
      <c r="J528" s="9" t="s">
        <v>17</v>
      </c>
      <c r="K528" s="1" t="s">
        <v>820</v>
      </c>
      <c r="L528" t="s">
        <v>10</v>
      </c>
      <c r="M528" t="str">
        <f>+VLOOKUP(C528,'[1]TIENDAS 2025'!$A$1:$C$143,3,0)</f>
        <v>departamental</v>
      </c>
      <c r="O528">
        <v>1</v>
      </c>
    </row>
    <row r="529" spans="1:15" ht="15" customHeight="1" x14ac:dyDescent="0.3">
      <c r="A529" s="8">
        <v>209668190</v>
      </c>
      <c r="B529" s="4" t="s">
        <v>339</v>
      </c>
      <c r="C529" s="4" t="s">
        <v>340</v>
      </c>
      <c r="D529" s="6">
        <v>46308.833784722199</v>
      </c>
      <c r="E529" s="6">
        <v>46308.583749999998</v>
      </c>
      <c r="F529" s="6">
        <v>46308</v>
      </c>
      <c r="G529" s="5" t="s">
        <v>12</v>
      </c>
      <c r="H529" s="5" t="s">
        <v>16</v>
      </c>
      <c r="I529" s="5">
        <v>16</v>
      </c>
      <c r="J529" s="9" t="s">
        <v>17</v>
      </c>
      <c r="K529" s="1" t="s">
        <v>821</v>
      </c>
      <c r="L529" t="s">
        <v>10</v>
      </c>
      <c r="M529" t="str">
        <f>+VLOOKUP(C529,'[1]TIENDAS 2025'!$A$1:$C$143,3,0)</f>
        <v>nocturna</v>
      </c>
      <c r="O529">
        <v>1</v>
      </c>
    </row>
    <row r="530" spans="1:15" ht="15" customHeight="1" x14ac:dyDescent="0.3">
      <c r="A530" s="8">
        <v>209668229</v>
      </c>
      <c r="B530" s="4" t="s">
        <v>14</v>
      </c>
      <c r="C530" s="4" t="s">
        <v>15</v>
      </c>
      <c r="D530" s="6">
        <v>46308.833796296298</v>
      </c>
      <c r="E530" s="6">
        <v>46308.583773148202</v>
      </c>
      <c r="F530" s="6">
        <v>46308</v>
      </c>
      <c r="G530" s="5" t="s">
        <v>12</v>
      </c>
      <c r="H530" s="5" t="s">
        <v>16</v>
      </c>
      <c r="I530" s="5">
        <v>8</v>
      </c>
      <c r="J530" s="9" t="s">
        <v>17</v>
      </c>
      <c r="K530" s="1" t="s">
        <v>822</v>
      </c>
      <c r="L530" t="s">
        <v>10</v>
      </c>
      <c r="M530" t="str">
        <f>+VLOOKUP(C530,'[1]TIENDAS 2025'!$A$1:$C$143,3,0)</f>
        <v>departamental</v>
      </c>
      <c r="O530">
        <v>1</v>
      </c>
    </row>
    <row r="531" spans="1:15" ht="15" customHeight="1" x14ac:dyDescent="0.3">
      <c r="A531" s="8">
        <v>209668231</v>
      </c>
      <c r="B531" s="4" t="s">
        <v>472</v>
      </c>
      <c r="C531" s="4" t="s">
        <v>473</v>
      </c>
      <c r="D531" s="6">
        <v>46308.8338194444</v>
      </c>
      <c r="E531" s="6">
        <v>46308.583784722199</v>
      </c>
      <c r="F531" s="6">
        <v>46308</v>
      </c>
      <c r="G531" s="5" t="s">
        <v>12</v>
      </c>
      <c r="H531" s="5" t="s">
        <v>16</v>
      </c>
      <c r="I531" s="5">
        <v>9</v>
      </c>
      <c r="J531" s="9" t="s">
        <v>17</v>
      </c>
      <c r="K531" s="1" t="s">
        <v>823</v>
      </c>
      <c r="L531" t="s">
        <v>10</v>
      </c>
      <c r="M531" t="str">
        <f>+VLOOKUP(C531,'[1]TIENDAS 2025'!$A$1:$C$143,3,0)</f>
        <v>departamental</v>
      </c>
      <c r="O531">
        <v>1</v>
      </c>
    </row>
    <row r="532" spans="1:15" ht="15" customHeight="1" x14ac:dyDescent="0.3">
      <c r="A532" s="8">
        <v>209668195</v>
      </c>
      <c r="B532" s="4" t="s">
        <v>265</v>
      </c>
      <c r="C532" s="4" t="s">
        <v>266</v>
      </c>
      <c r="D532" s="6">
        <v>46308.833831018499</v>
      </c>
      <c r="E532" s="6">
        <v>46308.583796296298</v>
      </c>
      <c r="F532" s="6">
        <v>46308</v>
      </c>
      <c r="G532" s="5" t="s">
        <v>12</v>
      </c>
      <c r="H532" s="5" t="s">
        <v>16</v>
      </c>
      <c r="I532" s="5">
        <v>35</v>
      </c>
      <c r="J532" s="9" t="s">
        <v>17</v>
      </c>
      <c r="K532" s="1" t="s">
        <v>824</v>
      </c>
      <c r="L532" t="s">
        <v>10</v>
      </c>
      <c r="M532" t="str">
        <f>+VLOOKUP(C532,'[1]TIENDAS 2025'!$A$1:$C$143,3,0)</f>
        <v>nocturna</v>
      </c>
      <c r="O532">
        <v>1</v>
      </c>
    </row>
    <row r="533" spans="1:15" ht="15" customHeight="1" x14ac:dyDescent="0.3">
      <c r="A533" s="8">
        <v>209668201</v>
      </c>
      <c r="B533" s="4" t="s">
        <v>412</v>
      </c>
      <c r="C533" s="4" t="s">
        <v>413</v>
      </c>
      <c r="D533" s="6">
        <v>46308.833842592598</v>
      </c>
      <c r="E533" s="6">
        <v>46308.5838194444</v>
      </c>
      <c r="F533" s="6">
        <v>46308</v>
      </c>
      <c r="G533" s="5" t="s">
        <v>12</v>
      </c>
      <c r="H533" s="5" t="s">
        <v>16</v>
      </c>
      <c r="I533" s="5">
        <v>21</v>
      </c>
      <c r="J533" s="9" t="s">
        <v>17</v>
      </c>
      <c r="K533" s="1" t="s">
        <v>825</v>
      </c>
      <c r="L533" t="s">
        <v>10</v>
      </c>
      <c r="M533" t="str">
        <f>+VLOOKUP(C533,'[1]TIENDAS 2025'!$A$1:$C$143,3,0)</f>
        <v>local</v>
      </c>
      <c r="O533">
        <v>1</v>
      </c>
    </row>
    <row r="534" spans="1:15" ht="15" customHeight="1" x14ac:dyDescent="0.3">
      <c r="A534" s="8">
        <v>209668215</v>
      </c>
      <c r="B534" s="4" t="s">
        <v>436</v>
      </c>
      <c r="C534" s="4" t="s">
        <v>437</v>
      </c>
      <c r="D534" s="6">
        <v>46308.833854166704</v>
      </c>
      <c r="E534" s="6">
        <v>46308.583831018499</v>
      </c>
      <c r="F534" s="6">
        <v>46308</v>
      </c>
      <c r="G534" s="5" t="s">
        <v>12</v>
      </c>
      <c r="H534" s="5" t="s">
        <v>16</v>
      </c>
      <c r="I534" s="5">
        <v>10</v>
      </c>
      <c r="J534" s="9" t="s">
        <v>17</v>
      </c>
      <c r="K534" s="1" t="s">
        <v>826</v>
      </c>
      <c r="L534" t="s">
        <v>10</v>
      </c>
      <c r="M534" t="str">
        <f>+VLOOKUP(C534,'[1]TIENDAS 2025'!$A$1:$C$143,3,0)</f>
        <v>departamental</v>
      </c>
      <c r="O534">
        <v>1</v>
      </c>
    </row>
    <row r="535" spans="1:15" ht="15" customHeight="1" x14ac:dyDescent="0.3">
      <c r="A535" s="8">
        <v>209668221</v>
      </c>
      <c r="B535" s="4" t="s">
        <v>457</v>
      </c>
      <c r="C535" s="4" t="s">
        <v>458</v>
      </c>
      <c r="D535" s="6">
        <v>46308.833877314799</v>
      </c>
      <c r="E535" s="6">
        <v>46308.583842592598</v>
      </c>
      <c r="F535" s="6">
        <v>46308</v>
      </c>
      <c r="G535" s="5" t="s">
        <v>12</v>
      </c>
      <c r="H535" s="5" t="s">
        <v>16</v>
      </c>
      <c r="I535" s="5">
        <v>15</v>
      </c>
      <c r="J535" s="9" t="s">
        <v>17</v>
      </c>
      <c r="K535" s="1" t="s">
        <v>827</v>
      </c>
      <c r="L535" t="s">
        <v>10</v>
      </c>
      <c r="M535" t="str">
        <f>+VLOOKUP(C535,'[1]TIENDAS 2025'!$A$1:$C$143,3,0)</f>
        <v>departamental</v>
      </c>
      <c r="O535">
        <v>1</v>
      </c>
    </row>
    <row r="536" spans="1:15" ht="15" customHeight="1" x14ac:dyDescent="0.3">
      <c r="A536" s="8">
        <v>209668222</v>
      </c>
      <c r="B536" s="4" t="s">
        <v>394</v>
      </c>
      <c r="C536" s="4" t="s">
        <v>395</v>
      </c>
      <c r="D536" s="6">
        <v>46308.833900463003</v>
      </c>
      <c r="E536" s="6">
        <v>46308.5838657407</v>
      </c>
      <c r="F536" s="6">
        <v>46308</v>
      </c>
      <c r="G536" s="5" t="s">
        <v>12</v>
      </c>
      <c r="H536" s="5" t="s">
        <v>16</v>
      </c>
      <c r="I536" s="5">
        <v>12</v>
      </c>
      <c r="J536" s="9" t="s">
        <v>17</v>
      </c>
      <c r="K536" s="1" t="s">
        <v>828</v>
      </c>
      <c r="L536" t="s">
        <v>10</v>
      </c>
      <c r="M536" t="str">
        <f>+VLOOKUP(C536,'[1]TIENDAS 2025'!$A$1:$C$143,3,0)</f>
        <v>local</v>
      </c>
      <c r="O536">
        <v>1</v>
      </c>
    </row>
    <row r="537" spans="1:15" ht="15" customHeight="1" x14ac:dyDescent="0.3">
      <c r="A537" s="8">
        <v>209668173</v>
      </c>
      <c r="B537" s="4" t="s">
        <v>304</v>
      </c>
      <c r="C537" s="4" t="s">
        <v>305</v>
      </c>
      <c r="D537" s="6">
        <v>46308.833912037</v>
      </c>
      <c r="E537" s="6">
        <v>46308.583888888897</v>
      </c>
      <c r="F537" s="6">
        <v>46308</v>
      </c>
      <c r="G537" s="5" t="s">
        <v>12</v>
      </c>
      <c r="H537" s="5" t="s">
        <v>16</v>
      </c>
      <c r="I537" s="5">
        <v>23</v>
      </c>
      <c r="J537" s="9" t="s">
        <v>17</v>
      </c>
      <c r="K537" s="1" t="s">
        <v>829</v>
      </c>
      <c r="L537" t="s">
        <v>10</v>
      </c>
      <c r="M537" t="str">
        <f>+VLOOKUP(C537,'[1]TIENDAS 2025'!$A$1:$C$143,3,0)</f>
        <v>departamental</v>
      </c>
      <c r="O537">
        <v>1</v>
      </c>
    </row>
    <row r="538" spans="1:15" ht="15" customHeight="1" x14ac:dyDescent="0.3">
      <c r="A538" s="8">
        <v>209668145</v>
      </c>
      <c r="B538" s="4" t="s">
        <v>554</v>
      </c>
      <c r="C538" s="4" t="s">
        <v>555</v>
      </c>
      <c r="D538" s="6">
        <v>46308.833935185197</v>
      </c>
      <c r="E538" s="6">
        <v>46308.583900463003</v>
      </c>
      <c r="F538" s="6">
        <v>46308</v>
      </c>
      <c r="G538" s="5" t="s">
        <v>12</v>
      </c>
      <c r="H538" s="5" t="s">
        <v>16</v>
      </c>
      <c r="I538" s="5">
        <v>15</v>
      </c>
      <c r="J538" s="9" t="s">
        <v>17</v>
      </c>
      <c r="K538" s="1" t="s">
        <v>830</v>
      </c>
      <c r="L538" t="s">
        <v>10</v>
      </c>
      <c r="M538" t="str">
        <f>+VLOOKUP(C538,'[1]TIENDAS 2025'!$A$1:$C$143,3,0)</f>
        <v>nocturna</v>
      </c>
      <c r="O538">
        <v>1</v>
      </c>
    </row>
    <row r="539" spans="1:15" ht="15" customHeight="1" x14ac:dyDescent="0.3">
      <c r="A539" s="8">
        <v>209668152</v>
      </c>
      <c r="B539" s="4" t="s">
        <v>232</v>
      </c>
      <c r="C539" s="4" t="s">
        <v>233</v>
      </c>
      <c r="D539" s="6">
        <v>46308.8339583333</v>
      </c>
      <c r="E539" s="6">
        <v>46308.583923611099</v>
      </c>
      <c r="F539" s="6">
        <v>46308</v>
      </c>
      <c r="G539" s="5" t="s">
        <v>12</v>
      </c>
      <c r="H539" s="5" t="s">
        <v>16</v>
      </c>
      <c r="I539" s="5">
        <v>29</v>
      </c>
      <c r="J539" s="9" t="s">
        <v>17</v>
      </c>
      <c r="K539" s="1" t="s">
        <v>831</v>
      </c>
      <c r="L539" t="s">
        <v>10</v>
      </c>
      <c r="M539" t="str">
        <f>+VLOOKUP(C539,'[1]TIENDAS 2025'!$A$1:$C$143,3,0)</f>
        <v>departamental</v>
      </c>
      <c r="O539">
        <v>1</v>
      </c>
    </row>
    <row r="540" spans="1:15" ht="15" customHeight="1" x14ac:dyDescent="0.3">
      <c r="A540" s="8">
        <v>209668115</v>
      </c>
      <c r="B540" s="4" t="s">
        <v>557</v>
      </c>
      <c r="C540" s="4" t="s">
        <v>558</v>
      </c>
      <c r="D540" s="6">
        <v>46308.833981481497</v>
      </c>
      <c r="E540" s="6">
        <v>46308.583946759303</v>
      </c>
      <c r="F540" s="6">
        <v>46308</v>
      </c>
      <c r="G540" s="5" t="s">
        <v>12</v>
      </c>
      <c r="H540" s="5" t="s">
        <v>16</v>
      </c>
      <c r="I540" s="5">
        <v>8</v>
      </c>
      <c r="J540" s="9" t="s">
        <v>17</v>
      </c>
      <c r="K540" s="1" t="s">
        <v>832</v>
      </c>
      <c r="L540" t="s">
        <v>10</v>
      </c>
      <c r="M540" t="str">
        <f>+VLOOKUP(C540,'[1]TIENDAS 2025'!$A$1:$C$143,3,0)</f>
        <v>local</v>
      </c>
      <c r="O540">
        <v>1</v>
      </c>
    </row>
    <row r="541" spans="1:15" ht="15" customHeight="1" x14ac:dyDescent="0.3">
      <c r="A541" s="8">
        <v>209668167</v>
      </c>
      <c r="B541" s="4" t="s">
        <v>229</v>
      </c>
      <c r="C541" s="4" t="s">
        <v>230</v>
      </c>
      <c r="D541" s="6">
        <v>46308.833993055603</v>
      </c>
      <c r="E541" s="6">
        <v>46308.5839583333</v>
      </c>
      <c r="F541" s="6">
        <v>46308</v>
      </c>
      <c r="G541" s="5" t="s">
        <v>12</v>
      </c>
      <c r="H541" s="5" t="s">
        <v>16</v>
      </c>
      <c r="I541" s="5">
        <v>23</v>
      </c>
      <c r="J541" s="9" t="s">
        <v>17</v>
      </c>
      <c r="K541" s="1" t="s">
        <v>833</v>
      </c>
      <c r="L541" t="s">
        <v>10</v>
      </c>
      <c r="M541" t="str">
        <f>+VLOOKUP(C541,'[1]TIENDAS 2025'!$A$1:$C$143,3,0)</f>
        <v>local</v>
      </c>
      <c r="O541">
        <v>1</v>
      </c>
    </row>
    <row r="542" spans="1:15" ht="15" customHeight="1" x14ac:dyDescent="0.3">
      <c r="A542" s="8">
        <v>209668170</v>
      </c>
      <c r="B542" s="4" t="s">
        <v>199</v>
      </c>
      <c r="C542" s="4" t="s">
        <v>200</v>
      </c>
      <c r="D542" s="6">
        <v>46308.834016203698</v>
      </c>
      <c r="E542" s="6">
        <v>46308.583981481497</v>
      </c>
      <c r="F542" s="6">
        <v>46308</v>
      </c>
      <c r="G542" s="5" t="s">
        <v>12</v>
      </c>
      <c r="H542" s="5" t="s">
        <v>16</v>
      </c>
      <c r="I542" s="5">
        <v>12</v>
      </c>
      <c r="J542" s="9" t="s">
        <v>17</v>
      </c>
      <c r="K542" s="1" t="s">
        <v>834</v>
      </c>
      <c r="L542" t="s">
        <v>10</v>
      </c>
      <c r="M542" t="str">
        <f>+VLOOKUP(C542,'[1]TIENDAS 2025'!$A$1:$C$143,3,0)</f>
        <v>departamental</v>
      </c>
      <c r="O542">
        <v>1</v>
      </c>
    </row>
    <row r="543" spans="1:15" ht="15" customHeight="1" x14ac:dyDescent="0.3">
      <c r="A543" s="8">
        <v>209668117</v>
      </c>
      <c r="B543" s="4" t="s">
        <v>187</v>
      </c>
      <c r="C543" s="4" t="s">
        <v>188</v>
      </c>
      <c r="D543" s="6">
        <v>46308.834039351903</v>
      </c>
      <c r="E543" s="6">
        <v>46308.5840046296</v>
      </c>
      <c r="F543" s="6">
        <v>46308</v>
      </c>
      <c r="G543" s="5" t="s">
        <v>12</v>
      </c>
      <c r="H543" s="5" t="s">
        <v>16</v>
      </c>
      <c r="I543" s="5">
        <v>13</v>
      </c>
      <c r="J543" s="9" t="s">
        <v>17</v>
      </c>
      <c r="K543" s="1" t="s">
        <v>835</v>
      </c>
      <c r="L543" t="s">
        <v>10</v>
      </c>
      <c r="M543" t="str">
        <f>+VLOOKUP(C543,'[1]TIENDAS 2025'!$A$1:$C$143,3,0)</f>
        <v>departamental</v>
      </c>
      <c r="O543">
        <v>1</v>
      </c>
    </row>
    <row r="544" spans="1:15" ht="15" customHeight="1" x14ac:dyDescent="0.3">
      <c r="A544" s="8">
        <v>209668132</v>
      </c>
      <c r="B544" s="4" t="s">
        <v>208</v>
      </c>
      <c r="C544" s="4" t="s">
        <v>209</v>
      </c>
      <c r="D544" s="6">
        <v>46308.834062499998</v>
      </c>
      <c r="E544" s="6">
        <v>46308.584027777797</v>
      </c>
      <c r="F544" s="6">
        <v>46308</v>
      </c>
      <c r="G544" s="5" t="s">
        <v>12</v>
      </c>
      <c r="H544" s="5" t="s">
        <v>29</v>
      </c>
      <c r="I544" s="5">
        <v>30</v>
      </c>
      <c r="J544" s="9" t="s">
        <v>17</v>
      </c>
      <c r="K544" s="1" t="s">
        <v>836</v>
      </c>
      <c r="L544" t="s">
        <v>10</v>
      </c>
      <c r="M544" t="str">
        <f>+VLOOKUP(C544,'[1]TIENDAS 2025'!$A$1:$C$143,3,0)</f>
        <v>local</v>
      </c>
      <c r="O544">
        <v>1</v>
      </c>
    </row>
    <row r="545" spans="1:15" ht="15" customHeight="1" x14ac:dyDescent="0.3">
      <c r="A545" s="8">
        <v>209668133</v>
      </c>
      <c r="B545" s="4" t="s">
        <v>211</v>
      </c>
      <c r="C545" s="4" t="s">
        <v>212</v>
      </c>
      <c r="D545" s="6">
        <v>46308.834074074097</v>
      </c>
      <c r="E545" s="6">
        <v>46308.584039351903</v>
      </c>
      <c r="F545" s="6">
        <v>46308</v>
      </c>
      <c r="G545" s="5" t="s">
        <v>12</v>
      </c>
      <c r="H545" s="5" t="s">
        <v>16</v>
      </c>
      <c r="I545" s="5">
        <v>11</v>
      </c>
      <c r="J545" s="9" t="s">
        <v>17</v>
      </c>
      <c r="K545" s="1" t="s">
        <v>837</v>
      </c>
      <c r="L545" t="s">
        <v>10</v>
      </c>
      <c r="M545" t="str">
        <f>+VLOOKUP(C545,'[1]TIENDAS 2025'!$A$1:$C$143,3,0)</f>
        <v>departamental</v>
      </c>
      <c r="O545">
        <v>1</v>
      </c>
    </row>
    <row r="546" spans="1:15" ht="15" customHeight="1" x14ac:dyDescent="0.3">
      <c r="A546" s="8">
        <v>209668182</v>
      </c>
      <c r="B546" s="4" t="s">
        <v>157</v>
      </c>
      <c r="C546" s="4" t="s">
        <v>158</v>
      </c>
      <c r="D546" s="6">
        <v>46308.834305555603</v>
      </c>
      <c r="E546" s="6">
        <v>46308.584259259304</v>
      </c>
      <c r="F546" s="6">
        <v>46308</v>
      </c>
      <c r="G546" s="5" t="s">
        <v>12</v>
      </c>
      <c r="H546" s="5" t="s">
        <v>16</v>
      </c>
      <c r="I546" s="5">
        <v>10</v>
      </c>
      <c r="J546" s="9" t="s">
        <v>17</v>
      </c>
      <c r="K546" s="1" t="s">
        <v>838</v>
      </c>
      <c r="L546" t="s">
        <v>10</v>
      </c>
      <c r="M546" t="str">
        <f>+VLOOKUP(C546,'[1]TIENDAS 2025'!$A$1:$C$143,3,0)</f>
        <v>departamental</v>
      </c>
      <c r="O546">
        <v>1</v>
      </c>
    </row>
    <row r="547" spans="1:15" ht="15" customHeight="1" x14ac:dyDescent="0.3">
      <c r="A547" s="8">
        <v>209668223</v>
      </c>
      <c r="B547" s="4" t="s">
        <v>466</v>
      </c>
      <c r="C547" s="4" t="s">
        <v>467</v>
      </c>
      <c r="D547" s="6">
        <v>46308.834328703699</v>
      </c>
      <c r="E547" s="6">
        <v>46308.584293981497</v>
      </c>
      <c r="F547" s="6">
        <v>46308</v>
      </c>
      <c r="G547" s="5" t="s">
        <v>12</v>
      </c>
      <c r="H547" s="5" t="s">
        <v>16</v>
      </c>
      <c r="I547" s="5">
        <v>13</v>
      </c>
      <c r="J547" s="9" t="s">
        <v>17</v>
      </c>
      <c r="K547" s="1" t="s">
        <v>839</v>
      </c>
      <c r="L547" t="s">
        <v>10</v>
      </c>
      <c r="M547" t="str">
        <f>+VLOOKUP(C547,'[1]TIENDAS 2025'!$A$1:$C$143,3,0)</f>
        <v>departamental</v>
      </c>
      <c r="O547">
        <v>1</v>
      </c>
    </row>
    <row r="548" spans="1:15" ht="15" customHeight="1" x14ac:dyDescent="0.3">
      <c r="A548" s="8">
        <v>209668232</v>
      </c>
      <c r="B548" s="4" t="s">
        <v>184</v>
      </c>
      <c r="C548" s="4" t="s">
        <v>185</v>
      </c>
      <c r="D548" s="6">
        <v>46308.834340277797</v>
      </c>
      <c r="E548" s="6">
        <v>46308.584305555603</v>
      </c>
      <c r="F548" s="6">
        <v>46308</v>
      </c>
      <c r="G548" s="5" t="s">
        <v>12</v>
      </c>
      <c r="H548" s="5" t="s">
        <v>16</v>
      </c>
      <c r="I548" s="5">
        <v>16</v>
      </c>
      <c r="J548" s="9" t="s">
        <v>17</v>
      </c>
      <c r="K548" s="1" t="s">
        <v>840</v>
      </c>
      <c r="L548" t="s">
        <v>10</v>
      </c>
      <c r="M548" t="str">
        <f>+VLOOKUP(C548,'[1]TIENDAS 2025'!$A$1:$C$143,3,0)</f>
        <v>nocturna</v>
      </c>
      <c r="O548">
        <v>1</v>
      </c>
    </row>
    <row r="549" spans="1:15" ht="15" customHeight="1" x14ac:dyDescent="0.3">
      <c r="A549" s="8">
        <v>209668233</v>
      </c>
      <c r="B549" s="4" t="s">
        <v>298</v>
      </c>
      <c r="C549" s="4" t="s">
        <v>299</v>
      </c>
      <c r="D549" s="6">
        <v>46308.834351851903</v>
      </c>
      <c r="E549" s="6">
        <v>46308.584328703699</v>
      </c>
      <c r="F549" s="6">
        <v>46308</v>
      </c>
      <c r="G549" s="5" t="s">
        <v>12</v>
      </c>
      <c r="H549" s="5" t="s">
        <v>16</v>
      </c>
      <c r="I549" s="5">
        <v>3</v>
      </c>
      <c r="J549" s="9" t="s">
        <v>17</v>
      </c>
      <c r="K549" s="1" t="s">
        <v>841</v>
      </c>
      <c r="L549" t="s">
        <v>10</v>
      </c>
      <c r="M549" t="str">
        <f>+VLOOKUP(C549,'[1]TIENDAS 2025'!$A$1:$C$143,3,0)</f>
        <v>local</v>
      </c>
      <c r="O549">
        <v>1</v>
      </c>
    </row>
    <row r="550" spans="1:15" ht="15" customHeight="1" x14ac:dyDescent="0.3">
      <c r="A550" s="8">
        <v>209668235</v>
      </c>
      <c r="B550" s="4" t="s">
        <v>271</v>
      </c>
      <c r="C550" s="4" t="s">
        <v>272</v>
      </c>
      <c r="D550" s="6">
        <v>46308.834374999999</v>
      </c>
      <c r="E550" s="6">
        <v>46308.584340277797</v>
      </c>
      <c r="F550" s="6">
        <v>46308</v>
      </c>
      <c r="G550" s="5" t="s">
        <v>12</v>
      </c>
      <c r="H550" s="5" t="s">
        <v>16</v>
      </c>
      <c r="I550" s="5">
        <v>15</v>
      </c>
      <c r="J550" s="9" t="s">
        <v>17</v>
      </c>
      <c r="K550" s="1" t="s">
        <v>842</v>
      </c>
      <c r="L550" t="s">
        <v>10</v>
      </c>
      <c r="M550" t="str">
        <f>+VLOOKUP(C550,'[1]TIENDAS 2025'!$A$1:$C$143,3,0)</f>
        <v>local</v>
      </c>
      <c r="O550">
        <v>1</v>
      </c>
    </row>
    <row r="551" spans="1:15" ht="15" customHeight="1" x14ac:dyDescent="0.3">
      <c r="A551" s="8">
        <v>209668203</v>
      </c>
      <c r="B551" s="4" t="s">
        <v>226</v>
      </c>
      <c r="C551" s="4" t="s">
        <v>227</v>
      </c>
      <c r="D551" s="6">
        <v>46308.834386574097</v>
      </c>
      <c r="E551" s="6">
        <v>46308.584351851903</v>
      </c>
      <c r="F551" s="6">
        <v>46308</v>
      </c>
      <c r="G551" s="5" t="s">
        <v>12</v>
      </c>
      <c r="H551" s="5" t="s">
        <v>16</v>
      </c>
      <c r="I551" s="5">
        <v>18</v>
      </c>
      <c r="J551" s="9" t="s">
        <v>17</v>
      </c>
      <c r="K551" s="1" t="s">
        <v>843</v>
      </c>
      <c r="L551" t="s">
        <v>10</v>
      </c>
      <c r="M551" t="str">
        <f>+VLOOKUP(C551,'[1]TIENDAS 2025'!$A$1:$C$143,3,0)</f>
        <v>departamental</v>
      </c>
      <c r="O551">
        <v>1</v>
      </c>
    </row>
    <row r="552" spans="1:15" ht="15" customHeight="1" x14ac:dyDescent="0.3">
      <c r="A552" s="8">
        <v>209668206</v>
      </c>
      <c r="B552" s="4" t="s">
        <v>500</v>
      </c>
      <c r="C552" s="4" t="s">
        <v>501</v>
      </c>
      <c r="D552" s="6">
        <v>46308.834398148101</v>
      </c>
      <c r="E552" s="6">
        <v>46308.584374999999</v>
      </c>
      <c r="F552" s="6">
        <v>46308</v>
      </c>
      <c r="G552" s="5" t="s">
        <v>12</v>
      </c>
      <c r="H552" s="5" t="s">
        <v>16</v>
      </c>
      <c r="I552" s="5">
        <v>25</v>
      </c>
      <c r="J552" s="9" t="s">
        <v>17</v>
      </c>
      <c r="K552" s="1" t="s">
        <v>844</v>
      </c>
      <c r="L552" t="s">
        <v>10</v>
      </c>
      <c r="M552" t="str">
        <f>+VLOOKUP(C552,'[1]TIENDAS 2025'!$A$1:$C$143,3,0)</f>
        <v>departamental</v>
      </c>
      <c r="O552">
        <v>1</v>
      </c>
    </row>
    <row r="553" spans="1:15" ht="15" customHeight="1" x14ac:dyDescent="0.3">
      <c r="A553" s="8">
        <v>209668207</v>
      </c>
      <c r="B553" s="4" t="s">
        <v>370</v>
      </c>
      <c r="C553" s="4" t="s">
        <v>371</v>
      </c>
      <c r="D553" s="6">
        <v>46308.8344097222</v>
      </c>
      <c r="E553" s="6">
        <v>46308.584386574097</v>
      </c>
      <c r="F553" s="6">
        <v>46308</v>
      </c>
      <c r="G553" s="5" t="s">
        <v>12</v>
      </c>
      <c r="H553" s="5" t="s">
        <v>16</v>
      </c>
      <c r="I553" s="5">
        <v>16</v>
      </c>
      <c r="J553" s="9" t="s">
        <v>17</v>
      </c>
      <c r="K553" s="1" t="s">
        <v>845</v>
      </c>
      <c r="L553" t="s">
        <v>10</v>
      </c>
      <c r="M553" t="str">
        <f>+VLOOKUP(C553,'[1]TIENDAS 2025'!$A$1:$C$143,3,0)</f>
        <v>nocturna</v>
      </c>
      <c r="O553">
        <v>1</v>
      </c>
    </row>
    <row r="554" spans="1:15" ht="15" customHeight="1" x14ac:dyDescent="0.3">
      <c r="A554" s="8">
        <v>209668212</v>
      </c>
      <c r="B554" s="4" t="s">
        <v>190</v>
      </c>
      <c r="C554" s="4" t="s">
        <v>191</v>
      </c>
      <c r="D554" s="6">
        <v>46308.834432870397</v>
      </c>
      <c r="E554" s="6">
        <v>46308.584398148101</v>
      </c>
      <c r="F554" s="6">
        <v>46308</v>
      </c>
      <c r="G554" s="5" t="s">
        <v>12</v>
      </c>
      <c r="H554" s="5" t="s">
        <v>16</v>
      </c>
      <c r="I554" s="5">
        <v>28</v>
      </c>
      <c r="J554" s="9" t="s">
        <v>17</v>
      </c>
      <c r="K554" s="1" t="s">
        <v>846</v>
      </c>
      <c r="L554" t="s">
        <v>10</v>
      </c>
      <c r="M554" t="str">
        <f>+VLOOKUP(C554,'[1]TIENDAS 2025'!$A$1:$C$143,3,0)</f>
        <v>departamental</v>
      </c>
      <c r="O554">
        <v>1</v>
      </c>
    </row>
    <row r="555" spans="1:15" ht="15" customHeight="1" x14ac:dyDescent="0.3">
      <c r="A555" s="8">
        <v>209668214</v>
      </c>
      <c r="B555" s="4" t="s">
        <v>385</v>
      </c>
      <c r="C555" s="4" t="s">
        <v>386</v>
      </c>
      <c r="D555" s="6">
        <v>46308.834444444401</v>
      </c>
      <c r="E555" s="6">
        <v>46308.5844097222</v>
      </c>
      <c r="F555" s="6">
        <v>46308</v>
      </c>
      <c r="G555" s="5" t="s">
        <v>12</v>
      </c>
      <c r="H555" s="5" t="s">
        <v>16</v>
      </c>
      <c r="I555" s="5">
        <v>17</v>
      </c>
      <c r="J555" s="9" t="s">
        <v>17</v>
      </c>
      <c r="K555" s="1" t="s">
        <v>847</v>
      </c>
      <c r="L555" t="s">
        <v>10</v>
      </c>
      <c r="M555" t="str">
        <f>+VLOOKUP(C555,'[1]TIENDAS 2025'!$A$1:$C$143,3,0)</f>
        <v>nocturna</v>
      </c>
      <c r="O555">
        <v>1</v>
      </c>
    </row>
    <row r="556" spans="1:15" ht="15" customHeight="1" x14ac:dyDescent="0.3">
      <c r="A556" s="8">
        <v>209668151</v>
      </c>
      <c r="B556" s="4" t="s">
        <v>274</v>
      </c>
      <c r="C556" s="4" t="s">
        <v>275</v>
      </c>
      <c r="D556" s="6">
        <v>46308.8344560185</v>
      </c>
      <c r="E556" s="6">
        <v>46308.584432870397</v>
      </c>
      <c r="F556" s="6">
        <v>46308</v>
      </c>
      <c r="G556" s="5" t="s">
        <v>12</v>
      </c>
      <c r="H556" s="5" t="s">
        <v>16</v>
      </c>
      <c r="I556" s="5">
        <v>29</v>
      </c>
      <c r="J556" s="9" t="s">
        <v>17</v>
      </c>
      <c r="K556" s="1" t="s">
        <v>848</v>
      </c>
      <c r="L556" t="s">
        <v>10</v>
      </c>
      <c r="M556" t="str">
        <f>+VLOOKUP(C556,'[1]TIENDAS 2025'!$A$1:$C$143,3,0)</f>
        <v>nocturna</v>
      </c>
      <c r="O556">
        <v>1</v>
      </c>
    </row>
    <row r="557" spans="1:15" ht="15" customHeight="1" x14ac:dyDescent="0.3">
      <c r="A557" s="8">
        <v>209668163</v>
      </c>
      <c r="B557" s="4" t="s">
        <v>415</v>
      </c>
      <c r="C557" s="4" t="s">
        <v>416</v>
      </c>
      <c r="D557" s="6">
        <v>46308.834479166697</v>
      </c>
      <c r="E557" s="6">
        <v>46308.584444444401</v>
      </c>
      <c r="F557" s="6">
        <v>46308</v>
      </c>
      <c r="G557" s="5" t="s">
        <v>12</v>
      </c>
      <c r="H557" s="5" t="s">
        <v>16</v>
      </c>
      <c r="I557" s="5">
        <v>3</v>
      </c>
      <c r="J557" s="9" t="s">
        <v>17</v>
      </c>
      <c r="K557" s="1" t="s">
        <v>849</v>
      </c>
      <c r="L557" t="s">
        <v>10</v>
      </c>
      <c r="M557" t="str">
        <f>+VLOOKUP(C557,'[1]TIENDAS 2025'!$A$1:$C$143,3,0)</f>
        <v>prioridad</v>
      </c>
      <c r="O557">
        <v>1</v>
      </c>
    </row>
    <row r="558" spans="1:15" ht="15" customHeight="1" x14ac:dyDescent="0.3">
      <c r="A558" s="8">
        <v>209668168</v>
      </c>
      <c r="B558" s="4" t="s">
        <v>433</v>
      </c>
      <c r="C558" s="4" t="s">
        <v>434</v>
      </c>
      <c r="D558" s="6">
        <v>46308.834490740701</v>
      </c>
      <c r="E558" s="6">
        <v>46308.584467592598</v>
      </c>
      <c r="F558" s="6">
        <v>46308</v>
      </c>
      <c r="G558" s="5" t="s">
        <v>12</v>
      </c>
      <c r="H558" s="5" t="s">
        <v>16</v>
      </c>
      <c r="I558" s="5">
        <v>6</v>
      </c>
      <c r="J558" s="9" t="s">
        <v>17</v>
      </c>
      <c r="K558" s="1" t="s">
        <v>850</v>
      </c>
      <c r="L558" t="s">
        <v>10</v>
      </c>
      <c r="M558" t="str">
        <f>+VLOOKUP(C558,'[1]TIENDAS 2025'!$A$1:$C$143,3,0)</f>
        <v>prioridad</v>
      </c>
      <c r="O558">
        <v>1</v>
      </c>
    </row>
    <row r="559" spans="1:15" ht="15" customHeight="1" x14ac:dyDescent="0.3">
      <c r="A559" s="8">
        <v>209668172</v>
      </c>
      <c r="B559" s="4" t="s">
        <v>214</v>
      </c>
      <c r="C559" s="4" t="s">
        <v>215</v>
      </c>
      <c r="D559" s="6">
        <v>46308.834513888898</v>
      </c>
      <c r="E559" s="6">
        <v>46308.584479166697</v>
      </c>
      <c r="F559" s="6">
        <v>46308</v>
      </c>
      <c r="G559" s="5" t="s">
        <v>12</v>
      </c>
      <c r="H559" s="5" t="s">
        <v>16</v>
      </c>
      <c r="I559" s="5">
        <v>29</v>
      </c>
      <c r="J559" s="9" t="s">
        <v>17</v>
      </c>
      <c r="K559" s="1" t="s">
        <v>851</v>
      </c>
      <c r="L559" t="s">
        <v>10</v>
      </c>
      <c r="M559" t="str">
        <f>+VLOOKUP(C559,'[1]TIENDAS 2025'!$A$1:$C$143,3,0)</f>
        <v>departamental</v>
      </c>
      <c r="O559">
        <v>1</v>
      </c>
    </row>
    <row r="560" spans="1:15" ht="15" customHeight="1" x14ac:dyDescent="0.3">
      <c r="A560" s="8">
        <v>209668119</v>
      </c>
      <c r="B560" s="4" t="s">
        <v>324</v>
      </c>
      <c r="C560" s="4" t="s">
        <v>325</v>
      </c>
      <c r="D560" s="6">
        <v>46308.834525462997</v>
      </c>
      <c r="E560" s="6">
        <v>46308.584490740701</v>
      </c>
      <c r="F560" s="6">
        <v>46308</v>
      </c>
      <c r="G560" s="5" t="s">
        <v>12</v>
      </c>
      <c r="H560" s="5" t="s">
        <v>16</v>
      </c>
      <c r="I560" s="5">
        <v>19</v>
      </c>
      <c r="J560" s="9" t="s">
        <v>17</v>
      </c>
      <c r="K560" s="1" t="s">
        <v>852</v>
      </c>
      <c r="L560" t="s">
        <v>10</v>
      </c>
      <c r="M560" t="str">
        <f>+VLOOKUP(C560,'[1]TIENDAS 2025'!$A$1:$C$143,3,0)</f>
        <v>local</v>
      </c>
      <c r="O560">
        <v>1</v>
      </c>
    </row>
    <row r="561" spans="1:15" ht="15" customHeight="1" x14ac:dyDescent="0.3">
      <c r="A561" s="8">
        <v>209668179</v>
      </c>
      <c r="B561" s="4" t="s">
        <v>509</v>
      </c>
      <c r="C561" s="4" t="s">
        <v>510</v>
      </c>
      <c r="D561" s="6">
        <v>46308.834537037001</v>
      </c>
      <c r="E561" s="6">
        <v>46308.584502314799</v>
      </c>
      <c r="F561" s="6">
        <v>46308</v>
      </c>
      <c r="G561" s="5" t="s">
        <v>12</v>
      </c>
      <c r="H561" s="5" t="s">
        <v>16</v>
      </c>
      <c r="I561" s="5">
        <v>25</v>
      </c>
      <c r="J561" s="9" t="s">
        <v>17</v>
      </c>
      <c r="K561" s="1" t="s">
        <v>853</v>
      </c>
      <c r="L561" t="s">
        <v>10</v>
      </c>
      <c r="M561" t="str">
        <f>+VLOOKUP(C561,'[1]TIENDAS 2025'!$A$1:$C$143,3,0)</f>
        <v>nocturna</v>
      </c>
      <c r="O561">
        <v>1</v>
      </c>
    </row>
    <row r="562" spans="1:15" ht="15" customHeight="1" x14ac:dyDescent="0.3">
      <c r="A562" s="8">
        <v>209668123</v>
      </c>
      <c r="B562" s="4" t="s">
        <v>427</v>
      </c>
      <c r="C562" s="4" t="s">
        <v>428</v>
      </c>
      <c r="D562" s="6">
        <v>46308.834560185198</v>
      </c>
      <c r="E562" s="6">
        <v>46308.584537037001</v>
      </c>
      <c r="F562" s="6">
        <v>46308</v>
      </c>
      <c r="G562" s="5" t="s">
        <v>12</v>
      </c>
      <c r="H562" s="5" t="s">
        <v>16</v>
      </c>
      <c r="I562" s="5">
        <v>19</v>
      </c>
      <c r="J562" s="9" t="s">
        <v>17</v>
      </c>
      <c r="K562" s="1" t="s">
        <v>854</v>
      </c>
      <c r="L562" t="s">
        <v>10</v>
      </c>
      <c r="M562" t="str">
        <f>+VLOOKUP(C562,'[1]TIENDAS 2025'!$A$1:$C$143,3,0)</f>
        <v>local</v>
      </c>
      <c r="O562">
        <v>1</v>
      </c>
    </row>
    <row r="563" spans="1:15" ht="15" customHeight="1" x14ac:dyDescent="0.3">
      <c r="A563" s="8">
        <v>209668156</v>
      </c>
      <c r="B563" s="4" t="s">
        <v>286</v>
      </c>
      <c r="C563" s="4" t="s">
        <v>287</v>
      </c>
      <c r="D563" s="6">
        <v>46308.834583333301</v>
      </c>
      <c r="E563" s="6">
        <v>46308.584548611099</v>
      </c>
      <c r="F563" s="6">
        <v>46308</v>
      </c>
      <c r="G563" s="5" t="s">
        <v>12</v>
      </c>
      <c r="H563" s="5" t="s">
        <v>16</v>
      </c>
      <c r="I563" s="5">
        <v>46</v>
      </c>
      <c r="J563" s="9" t="s">
        <v>17</v>
      </c>
      <c r="K563" s="1" t="s">
        <v>855</v>
      </c>
      <c r="L563" t="s">
        <v>10</v>
      </c>
      <c r="M563" t="str">
        <f>+VLOOKUP(C563,'[1]TIENDAS 2025'!$A$1:$C$143,3,0)</f>
        <v>nocturna</v>
      </c>
      <c r="O563">
        <v>1</v>
      </c>
    </row>
    <row r="564" spans="1:15" ht="15" customHeight="1" x14ac:dyDescent="0.3">
      <c r="A564" s="8">
        <v>209668125</v>
      </c>
      <c r="B564" s="4" t="s">
        <v>256</v>
      </c>
      <c r="C564" s="4" t="s">
        <v>257</v>
      </c>
      <c r="D564" s="6">
        <v>46308.834594907399</v>
      </c>
      <c r="E564" s="6">
        <v>46308.584560185198</v>
      </c>
      <c r="F564" s="6">
        <v>46308</v>
      </c>
      <c r="G564" s="5" t="s">
        <v>12</v>
      </c>
      <c r="H564" s="5" t="s">
        <v>16</v>
      </c>
      <c r="I564" s="5">
        <v>2</v>
      </c>
      <c r="J564" s="9" t="s">
        <v>17</v>
      </c>
      <c r="K564" s="1" t="s">
        <v>856</v>
      </c>
      <c r="L564" t="s">
        <v>10</v>
      </c>
      <c r="M564" t="str">
        <f>+VLOOKUP(C564,'[1]TIENDAS 2025'!$A$1:$C$143,3,0)</f>
        <v>prioridad</v>
      </c>
      <c r="O564">
        <v>1</v>
      </c>
    </row>
    <row r="565" spans="1:15" ht="15" customHeight="1" x14ac:dyDescent="0.3">
      <c r="A565" s="8">
        <v>209668129</v>
      </c>
      <c r="B565" s="4" t="s">
        <v>524</v>
      </c>
      <c r="C565" s="4" t="s">
        <v>525</v>
      </c>
      <c r="D565" s="6">
        <v>46308.834606481498</v>
      </c>
      <c r="E565" s="6">
        <v>46308.584583333301</v>
      </c>
      <c r="F565" s="6">
        <v>46308</v>
      </c>
      <c r="G565" s="5" t="s">
        <v>12</v>
      </c>
      <c r="H565" s="5" t="s">
        <v>16</v>
      </c>
      <c r="I565" s="5">
        <v>8</v>
      </c>
      <c r="J565" s="9" t="s">
        <v>17</v>
      </c>
      <c r="K565" s="1" t="s">
        <v>857</v>
      </c>
      <c r="L565" t="s">
        <v>10</v>
      </c>
      <c r="M565" t="str">
        <f>+VLOOKUP(C565,'[1]TIENDAS 2025'!$A$1:$C$143,3,0)</f>
        <v>local</v>
      </c>
      <c r="O565">
        <v>1</v>
      </c>
    </row>
    <row r="566" spans="1:15" ht="15" customHeight="1" x14ac:dyDescent="0.3">
      <c r="A566" s="8">
        <v>209668224</v>
      </c>
      <c r="B566" s="4" t="s">
        <v>536</v>
      </c>
      <c r="C566" s="4" t="s">
        <v>537</v>
      </c>
      <c r="D566" s="6">
        <v>46308.834618055596</v>
      </c>
      <c r="E566" s="6">
        <v>46308.584594907399</v>
      </c>
      <c r="F566" s="6">
        <v>46308</v>
      </c>
      <c r="G566" s="5" t="s">
        <v>12</v>
      </c>
      <c r="H566" s="5" t="s">
        <v>16</v>
      </c>
      <c r="I566" s="5">
        <v>9</v>
      </c>
      <c r="J566" s="9" t="s">
        <v>17</v>
      </c>
      <c r="K566" s="1" t="s">
        <v>858</v>
      </c>
      <c r="L566" t="s">
        <v>10</v>
      </c>
      <c r="M566" t="str">
        <f>+VLOOKUP(C566,'[1]TIENDAS 2025'!$A$1:$C$143,3,0)</f>
        <v>departamental</v>
      </c>
      <c r="O566">
        <v>1</v>
      </c>
    </row>
    <row r="567" spans="1:15" ht="15" customHeight="1" x14ac:dyDescent="0.3">
      <c r="A567" s="8">
        <v>209668202</v>
      </c>
      <c r="B567" s="4" t="s">
        <v>364</v>
      </c>
      <c r="C567" s="4" t="s">
        <v>365</v>
      </c>
      <c r="D567" s="6">
        <v>46308.834641203699</v>
      </c>
      <c r="E567" s="6">
        <v>46308.584606481498</v>
      </c>
      <c r="F567" s="6">
        <v>46308</v>
      </c>
      <c r="G567" s="5" t="s">
        <v>12</v>
      </c>
      <c r="H567" s="5" t="s">
        <v>16</v>
      </c>
      <c r="I567" s="5">
        <v>22</v>
      </c>
      <c r="J567" s="9" t="s">
        <v>17</v>
      </c>
      <c r="K567" s="1" t="s">
        <v>859</v>
      </c>
      <c r="L567" t="s">
        <v>10</v>
      </c>
      <c r="M567" t="str">
        <f>+VLOOKUP(C567,'[1]TIENDAS 2025'!$A$1:$C$143,3,0)</f>
        <v>local</v>
      </c>
      <c r="O567">
        <v>1</v>
      </c>
    </row>
    <row r="568" spans="1:15" ht="15" customHeight="1" x14ac:dyDescent="0.3">
      <c r="A568" s="8">
        <v>209668211</v>
      </c>
      <c r="B568" s="4" t="s">
        <v>318</v>
      </c>
      <c r="C568" s="4" t="s">
        <v>319</v>
      </c>
      <c r="D568" s="6">
        <v>46308.834652777798</v>
      </c>
      <c r="E568" s="6">
        <v>46308.584618055596</v>
      </c>
      <c r="F568" s="6">
        <v>46308</v>
      </c>
      <c r="G568" s="5" t="s">
        <v>12</v>
      </c>
      <c r="H568" s="5" t="s">
        <v>16</v>
      </c>
      <c r="I568" s="5">
        <v>15</v>
      </c>
      <c r="J568" s="9" t="s">
        <v>17</v>
      </c>
      <c r="K568" s="1" t="s">
        <v>860</v>
      </c>
      <c r="L568" t="s">
        <v>10</v>
      </c>
      <c r="M568" t="str">
        <f>+VLOOKUP(C568,'[1]TIENDAS 2025'!$A$1:$C$143,3,0)</f>
        <v>local</v>
      </c>
      <c r="O568">
        <v>1</v>
      </c>
    </row>
    <row r="569" spans="1:15" ht="15" customHeight="1" x14ac:dyDescent="0.3">
      <c r="A569" s="8">
        <v>209668213</v>
      </c>
      <c r="B569" s="4" t="s">
        <v>238</v>
      </c>
      <c r="C569" s="4" t="s">
        <v>239</v>
      </c>
      <c r="D569" s="6">
        <v>46308.834664351903</v>
      </c>
      <c r="E569" s="6">
        <v>46308.5846296296</v>
      </c>
      <c r="F569" s="6">
        <v>46308</v>
      </c>
      <c r="G569" s="5" t="s">
        <v>12</v>
      </c>
      <c r="H569" s="5" t="s">
        <v>16</v>
      </c>
      <c r="I569" s="5">
        <v>22</v>
      </c>
      <c r="J569" s="9" t="s">
        <v>17</v>
      </c>
      <c r="K569" s="1" t="s">
        <v>861</v>
      </c>
      <c r="L569" t="s">
        <v>10</v>
      </c>
      <c r="M569" t="str">
        <f>+VLOOKUP(C569,'[1]TIENDAS 2025'!$A$1:$C$143,3,0)</f>
        <v>nocturna</v>
      </c>
      <c r="O569">
        <v>1</v>
      </c>
    </row>
    <row r="570" spans="1:15" ht="15" customHeight="1" x14ac:dyDescent="0.3">
      <c r="A570" s="8">
        <v>209668216</v>
      </c>
      <c r="B570" s="4" t="s">
        <v>196</v>
      </c>
      <c r="C570" s="4" t="s">
        <v>197</v>
      </c>
      <c r="D570" s="6">
        <v>46308.8346759259</v>
      </c>
      <c r="E570" s="6">
        <v>46308.584652777798</v>
      </c>
      <c r="F570" s="6">
        <v>46308</v>
      </c>
      <c r="G570" s="5" t="s">
        <v>12</v>
      </c>
      <c r="H570" s="5" t="s">
        <v>16</v>
      </c>
      <c r="I570" s="5">
        <v>8</v>
      </c>
      <c r="J570" s="9" t="s">
        <v>17</v>
      </c>
      <c r="K570" s="1" t="s">
        <v>862</v>
      </c>
      <c r="L570" t="s">
        <v>10</v>
      </c>
      <c r="M570" t="str">
        <f>+VLOOKUP(C570,'[1]TIENDAS 2025'!$A$1:$C$143,3,0)</f>
        <v>departamental</v>
      </c>
      <c r="O570">
        <v>1</v>
      </c>
    </row>
    <row r="571" spans="1:15" ht="15" customHeight="1" x14ac:dyDescent="0.3">
      <c r="A571" s="8">
        <v>209668217</v>
      </c>
      <c r="B571" s="4" t="s">
        <v>292</v>
      </c>
      <c r="C571" s="4" t="s">
        <v>293</v>
      </c>
      <c r="D571" s="6">
        <v>46308.834687499999</v>
      </c>
      <c r="E571" s="6">
        <v>46308.584664351903</v>
      </c>
      <c r="F571" s="6">
        <v>46308</v>
      </c>
      <c r="G571" s="5" t="s">
        <v>12</v>
      </c>
      <c r="H571" s="5" t="s">
        <v>16</v>
      </c>
      <c r="I571" s="5">
        <v>11</v>
      </c>
      <c r="J571" s="9" t="s">
        <v>17</v>
      </c>
      <c r="K571" s="1" t="s">
        <v>863</v>
      </c>
      <c r="L571" t="s">
        <v>10</v>
      </c>
      <c r="M571" t="str">
        <f>+VLOOKUP(C571,'[1]TIENDAS 2025'!$A$1:$C$143,3,0)</f>
        <v>local</v>
      </c>
      <c r="O571">
        <v>1</v>
      </c>
    </row>
    <row r="572" spans="1:15" ht="15" customHeight="1" x14ac:dyDescent="0.3">
      <c r="A572" s="8">
        <v>209668218</v>
      </c>
      <c r="B572" s="4" t="s">
        <v>445</v>
      </c>
      <c r="C572" s="4" t="s">
        <v>446</v>
      </c>
      <c r="D572" s="6">
        <v>46308.834710648101</v>
      </c>
      <c r="E572" s="6">
        <v>46308.5846759259</v>
      </c>
      <c r="F572" s="6">
        <v>46308</v>
      </c>
      <c r="G572" s="5" t="s">
        <v>12</v>
      </c>
      <c r="H572" s="5" t="s">
        <v>16</v>
      </c>
      <c r="I572" s="5">
        <v>16</v>
      </c>
      <c r="J572" s="9" t="s">
        <v>17</v>
      </c>
      <c r="K572" s="1" t="s">
        <v>864</v>
      </c>
      <c r="L572" t="s">
        <v>10</v>
      </c>
      <c r="M572" t="str">
        <f>+VLOOKUP(C572,'[1]TIENDAS 2025'!$A$1:$C$143,3,0)</f>
        <v>departamental</v>
      </c>
      <c r="O572">
        <v>1</v>
      </c>
    </row>
    <row r="573" spans="1:15" ht="15" customHeight="1" x14ac:dyDescent="0.3">
      <c r="A573" s="8">
        <v>209668219</v>
      </c>
      <c r="B573" s="4" t="s">
        <v>518</v>
      </c>
      <c r="C573" s="4" t="s">
        <v>519</v>
      </c>
      <c r="D573" s="6">
        <v>46308.8347222222</v>
      </c>
      <c r="E573" s="6">
        <v>46308.584687499999</v>
      </c>
      <c r="F573" s="6">
        <v>46308</v>
      </c>
      <c r="G573" s="5" t="s">
        <v>12</v>
      </c>
      <c r="H573" s="5" t="s">
        <v>16</v>
      </c>
      <c r="I573" s="5">
        <v>9</v>
      </c>
      <c r="J573" s="9" t="s">
        <v>17</v>
      </c>
      <c r="K573" s="1" t="s">
        <v>865</v>
      </c>
      <c r="L573" t="s">
        <v>10</v>
      </c>
      <c r="M573" t="str">
        <f>+VLOOKUP(C573,'[1]TIENDAS 2025'!$A$1:$C$143,3,0)</f>
        <v>prioridad</v>
      </c>
      <c r="O573">
        <v>1</v>
      </c>
    </row>
    <row r="574" spans="1:15" ht="15" customHeight="1" x14ac:dyDescent="0.3">
      <c r="A574" s="8">
        <v>209668134</v>
      </c>
      <c r="B574" s="4" t="s">
        <v>400</v>
      </c>
      <c r="C574" s="4" t="s">
        <v>401</v>
      </c>
      <c r="D574" s="6">
        <v>46308.834733796299</v>
      </c>
      <c r="E574" s="6">
        <v>46308.584710648101</v>
      </c>
      <c r="F574" s="6">
        <v>46308</v>
      </c>
      <c r="G574" s="5" t="s">
        <v>12</v>
      </c>
      <c r="H574" s="5" t="s">
        <v>16</v>
      </c>
      <c r="I574" s="5">
        <v>22</v>
      </c>
      <c r="J574" s="9" t="s">
        <v>17</v>
      </c>
      <c r="K574" s="1" t="s">
        <v>866</v>
      </c>
      <c r="L574" t="s">
        <v>10</v>
      </c>
      <c r="M574" t="str">
        <f>+VLOOKUP(C574,'[1]TIENDAS 2025'!$A$1:$C$143,3,0)</f>
        <v>local</v>
      </c>
      <c r="O574">
        <v>1</v>
      </c>
    </row>
    <row r="575" spans="1:15" ht="15" customHeight="1" x14ac:dyDescent="0.3">
      <c r="A575" s="8">
        <v>209668147</v>
      </c>
      <c r="B575" s="4" t="s">
        <v>503</v>
      </c>
      <c r="C575" s="4" t="s">
        <v>504</v>
      </c>
      <c r="D575" s="6">
        <v>46308.834745370397</v>
      </c>
      <c r="E575" s="6">
        <v>46308.5847222222</v>
      </c>
      <c r="F575" s="6">
        <v>46308</v>
      </c>
      <c r="G575" s="5" t="s">
        <v>12</v>
      </c>
      <c r="H575" s="5" t="s">
        <v>16</v>
      </c>
      <c r="I575" s="5">
        <v>16</v>
      </c>
      <c r="J575" s="9" t="s">
        <v>17</v>
      </c>
      <c r="K575" s="1" t="s">
        <v>867</v>
      </c>
      <c r="L575" t="s">
        <v>10</v>
      </c>
      <c r="M575" t="str">
        <f>+VLOOKUP(C575,'[1]TIENDAS 2025'!$A$1:$C$143,3,0)</f>
        <v>departamental</v>
      </c>
      <c r="O575">
        <v>1</v>
      </c>
    </row>
    <row r="576" spans="1:15" ht="15" customHeight="1" x14ac:dyDescent="0.3">
      <c r="A576" s="8">
        <v>209668141</v>
      </c>
      <c r="B576" s="4" t="s">
        <v>488</v>
      </c>
      <c r="C576" s="4" t="s">
        <v>489</v>
      </c>
      <c r="D576" s="6">
        <v>46308.8347685185</v>
      </c>
      <c r="E576" s="6">
        <v>46308.584733796299</v>
      </c>
      <c r="F576" s="6">
        <v>46308</v>
      </c>
      <c r="G576" s="5" t="s">
        <v>12</v>
      </c>
      <c r="H576" s="5" t="s">
        <v>16</v>
      </c>
      <c r="I576" s="5">
        <v>20</v>
      </c>
      <c r="J576" s="9" t="s">
        <v>17</v>
      </c>
      <c r="K576" s="1" t="s">
        <v>868</v>
      </c>
      <c r="L576" t="s">
        <v>10</v>
      </c>
      <c r="M576" t="str">
        <f>+VLOOKUP(C576,'[1]TIENDAS 2025'!$A$1:$C$143,3,0)</f>
        <v>departamental</v>
      </c>
      <c r="O576">
        <v>1</v>
      </c>
    </row>
    <row r="577" spans="1:15" ht="15" customHeight="1" x14ac:dyDescent="0.3">
      <c r="A577" s="8">
        <v>209668155</v>
      </c>
      <c r="B577" s="4" t="s">
        <v>330</v>
      </c>
      <c r="C577" s="4" t="s">
        <v>331</v>
      </c>
      <c r="D577" s="6">
        <v>46308.834791666697</v>
      </c>
      <c r="E577" s="6">
        <v>46308.584756944401</v>
      </c>
      <c r="F577" s="6">
        <v>46308</v>
      </c>
      <c r="G577" s="5" t="s">
        <v>12</v>
      </c>
      <c r="H577" s="5" t="s">
        <v>16</v>
      </c>
      <c r="I577" s="5">
        <v>33</v>
      </c>
      <c r="J577" s="9" t="s">
        <v>17</v>
      </c>
      <c r="K577" s="1" t="s">
        <v>869</v>
      </c>
      <c r="L577" t="s">
        <v>10</v>
      </c>
      <c r="M577" t="str">
        <f>+VLOOKUP(C577,'[1]TIENDAS 2025'!$A$1:$C$143,3,0)</f>
        <v>departamental</v>
      </c>
      <c r="O577">
        <v>1</v>
      </c>
    </row>
    <row r="578" spans="1:15" ht="15" customHeight="1" x14ac:dyDescent="0.3">
      <c r="A578" s="8">
        <v>209668153</v>
      </c>
      <c r="B578" s="4" t="s">
        <v>321</v>
      </c>
      <c r="C578" s="4" t="s">
        <v>322</v>
      </c>
      <c r="D578" s="6">
        <v>46308.834803240701</v>
      </c>
      <c r="E578" s="6">
        <v>46308.584780092599</v>
      </c>
      <c r="F578" s="6">
        <v>46308</v>
      </c>
      <c r="G578" s="5" t="s">
        <v>12</v>
      </c>
      <c r="H578" s="5" t="s">
        <v>16</v>
      </c>
      <c r="I578" s="5">
        <v>10</v>
      </c>
      <c r="J578" s="9" t="s">
        <v>17</v>
      </c>
      <c r="K578" s="1" t="s">
        <v>870</v>
      </c>
      <c r="L578" t="s">
        <v>10</v>
      </c>
      <c r="M578" t="str">
        <f>+VLOOKUP(C578,'[1]TIENDAS 2025'!$A$1:$C$143,3,0)</f>
        <v>prioridad</v>
      </c>
      <c r="O578">
        <v>1</v>
      </c>
    </row>
    <row r="579" spans="1:15" ht="15" customHeight="1" x14ac:dyDescent="0.3">
      <c r="A579" s="8">
        <v>209668161</v>
      </c>
      <c r="B579" s="4" t="s">
        <v>166</v>
      </c>
      <c r="C579" s="4" t="s">
        <v>167</v>
      </c>
      <c r="D579" s="6">
        <v>46308.834826388898</v>
      </c>
      <c r="E579" s="6">
        <v>46308.584791666697</v>
      </c>
      <c r="F579" s="6">
        <v>46308</v>
      </c>
      <c r="G579" s="5" t="s">
        <v>12</v>
      </c>
      <c r="H579" s="5" t="s">
        <v>16</v>
      </c>
      <c r="I579" s="5">
        <v>34</v>
      </c>
      <c r="J579" s="9" t="s">
        <v>17</v>
      </c>
      <c r="K579" s="1" t="s">
        <v>871</v>
      </c>
      <c r="L579" t="s">
        <v>10</v>
      </c>
      <c r="M579" t="str">
        <f>+VLOOKUP(C579,'[1]TIENDAS 2025'!$A$1:$C$143,3,0)</f>
        <v>local</v>
      </c>
      <c r="O579">
        <v>1</v>
      </c>
    </row>
    <row r="580" spans="1:15" ht="15" customHeight="1" x14ac:dyDescent="0.3">
      <c r="A580" s="8">
        <v>209668159</v>
      </c>
      <c r="B580" s="4" t="s">
        <v>262</v>
      </c>
      <c r="C580" s="4" t="s">
        <v>263</v>
      </c>
      <c r="D580" s="6">
        <v>46308.834837962997</v>
      </c>
      <c r="E580" s="6">
        <v>46308.5848148148</v>
      </c>
      <c r="F580" s="6">
        <v>46308</v>
      </c>
      <c r="G580" s="5" t="s">
        <v>12</v>
      </c>
      <c r="H580" s="5" t="s">
        <v>16</v>
      </c>
      <c r="I580" s="5">
        <v>16</v>
      </c>
      <c r="J580" s="9" t="s">
        <v>17</v>
      </c>
      <c r="K580" s="1" t="s">
        <v>872</v>
      </c>
      <c r="L580" t="s">
        <v>10</v>
      </c>
      <c r="M580" t="str">
        <f>+VLOOKUP(C580,'[1]TIENDAS 2025'!$A$1:$C$143,3,0)</f>
        <v>departamental</v>
      </c>
      <c r="O580">
        <v>1</v>
      </c>
    </row>
    <row r="581" spans="1:15" ht="15" customHeight="1" x14ac:dyDescent="0.3">
      <c r="A581" s="8">
        <v>209668124</v>
      </c>
      <c r="B581" s="4" t="s">
        <v>193</v>
      </c>
      <c r="C581" s="4" t="s">
        <v>194</v>
      </c>
      <c r="D581" s="6">
        <v>46308.8348611111</v>
      </c>
      <c r="E581" s="6">
        <v>46308.584837962997</v>
      </c>
      <c r="F581" s="6">
        <v>46308</v>
      </c>
      <c r="G581" s="5" t="s">
        <v>12</v>
      </c>
      <c r="H581" s="5" t="s">
        <v>29</v>
      </c>
      <c r="I581" s="5">
        <v>29</v>
      </c>
      <c r="J581" s="9" t="s">
        <v>17</v>
      </c>
      <c r="K581" s="1" t="s">
        <v>873</v>
      </c>
      <c r="L581" t="s">
        <v>10</v>
      </c>
      <c r="M581" t="str">
        <f>+VLOOKUP(C581,'[1]TIENDAS 2025'!$A$1:$C$143,3,0)</f>
        <v>local</v>
      </c>
      <c r="O581">
        <v>1</v>
      </c>
    </row>
    <row r="582" spans="1:15" ht="15" customHeight="1" x14ac:dyDescent="0.3">
      <c r="A582" s="8">
        <v>209668164</v>
      </c>
      <c r="B582" s="4" t="s">
        <v>542</v>
      </c>
      <c r="C582" s="4" t="s">
        <v>543</v>
      </c>
      <c r="D582" s="6">
        <v>46308.8348611111</v>
      </c>
      <c r="E582" s="6">
        <v>46308.584826388898</v>
      </c>
      <c r="F582" s="6">
        <v>46308</v>
      </c>
      <c r="G582" s="5" t="s">
        <v>12</v>
      </c>
      <c r="H582" s="5" t="s">
        <v>16</v>
      </c>
      <c r="I582" s="5">
        <v>12</v>
      </c>
      <c r="J582" s="9" t="s">
        <v>17</v>
      </c>
      <c r="K582" s="1" t="s">
        <v>874</v>
      </c>
      <c r="L582" t="s">
        <v>10</v>
      </c>
      <c r="M582" t="str">
        <f>+VLOOKUP(C582,'[1]TIENDAS 2025'!$A$1:$C$143,3,0)</f>
        <v>prioridad</v>
      </c>
      <c r="O582">
        <v>1</v>
      </c>
    </row>
    <row r="583" spans="1:15" ht="15" customHeight="1" x14ac:dyDescent="0.3">
      <c r="A583" s="8">
        <v>209668126</v>
      </c>
      <c r="B583" s="4" t="s">
        <v>442</v>
      </c>
      <c r="C583" s="4" t="s">
        <v>443</v>
      </c>
      <c r="D583" s="6">
        <v>46308.834884259297</v>
      </c>
      <c r="E583" s="6">
        <v>46308.584849537001</v>
      </c>
      <c r="F583" s="6">
        <v>46308</v>
      </c>
      <c r="G583" s="5" t="s">
        <v>12</v>
      </c>
      <c r="H583" s="5" t="s">
        <v>16</v>
      </c>
      <c r="I583" s="5">
        <v>16</v>
      </c>
      <c r="J583" s="9" t="s">
        <v>17</v>
      </c>
      <c r="K583" s="1" t="s">
        <v>875</v>
      </c>
      <c r="L583" t="s">
        <v>10</v>
      </c>
      <c r="M583" t="str">
        <f>+VLOOKUP(C583,'[1]TIENDAS 2025'!$A$1:$C$143,3,0)</f>
        <v>local</v>
      </c>
      <c r="O583">
        <v>1</v>
      </c>
    </row>
    <row r="584" spans="1:15" ht="15" customHeight="1" x14ac:dyDescent="0.3">
      <c r="A584" s="8">
        <v>209668230</v>
      </c>
      <c r="B584" s="4" t="s">
        <v>220</v>
      </c>
      <c r="C584" s="4" t="s">
        <v>221</v>
      </c>
      <c r="D584" s="6">
        <v>46308.834895833301</v>
      </c>
      <c r="E584" s="6">
        <v>46308.5848611111</v>
      </c>
      <c r="F584" s="6">
        <v>46308</v>
      </c>
      <c r="G584" s="5" t="s">
        <v>12</v>
      </c>
      <c r="H584" s="5" t="s">
        <v>16</v>
      </c>
      <c r="I584" s="5">
        <v>11</v>
      </c>
      <c r="J584" s="9" t="s">
        <v>17</v>
      </c>
      <c r="K584" s="1" t="s">
        <v>876</v>
      </c>
      <c r="L584" t="s">
        <v>10</v>
      </c>
      <c r="M584" t="str">
        <f>+VLOOKUP(C584,'[1]TIENDAS 2025'!$A$1:$C$143,3,0)</f>
        <v>departamental</v>
      </c>
      <c r="O584">
        <v>1</v>
      </c>
    </row>
    <row r="585" spans="1:15" ht="15" customHeight="1" x14ac:dyDescent="0.3">
      <c r="A585" s="8">
        <v>209668192</v>
      </c>
      <c r="B585" s="4" t="s">
        <v>451</v>
      </c>
      <c r="C585" s="4" t="s">
        <v>452</v>
      </c>
      <c r="D585" s="6">
        <v>46308.834907407399</v>
      </c>
      <c r="E585" s="6">
        <v>46308.584884259297</v>
      </c>
      <c r="F585" s="6">
        <v>46308</v>
      </c>
      <c r="G585" s="5" t="s">
        <v>12</v>
      </c>
      <c r="H585" s="5" t="s">
        <v>16</v>
      </c>
      <c r="I585" s="5">
        <v>13</v>
      </c>
      <c r="J585" s="9" t="s">
        <v>17</v>
      </c>
      <c r="K585" s="1" t="s">
        <v>877</v>
      </c>
      <c r="L585" t="s">
        <v>10</v>
      </c>
      <c r="M585" t="str">
        <f>+VLOOKUP(C585,'[1]TIENDAS 2025'!$A$1:$C$143,3,0)</f>
        <v>departamental</v>
      </c>
      <c r="O585">
        <v>1</v>
      </c>
    </row>
    <row r="586" spans="1:15" ht="15" customHeight="1" x14ac:dyDescent="0.3">
      <c r="A586" s="8">
        <v>209668193</v>
      </c>
      <c r="B586" s="4" t="s">
        <v>160</v>
      </c>
      <c r="C586" s="4" t="s">
        <v>161</v>
      </c>
      <c r="D586" s="6">
        <v>46308.834930555597</v>
      </c>
      <c r="E586" s="6">
        <v>46308.584895833301</v>
      </c>
      <c r="F586" s="6">
        <v>46308</v>
      </c>
      <c r="G586" s="5" t="s">
        <v>12</v>
      </c>
      <c r="H586" s="5" t="s">
        <v>16</v>
      </c>
      <c r="I586" s="5">
        <v>10</v>
      </c>
      <c r="J586" s="9" t="s">
        <v>17</v>
      </c>
      <c r="K586" s="1" t="s">
        <v>878</v>
      </c>
      <c r="L586" t="s">
        <v>10</v>
      </c>
      <c r="M586" t="str">
        <f>+VLOOKUP(C586,'[1]TIENDAS 2025'!$A$1:$C$143,3,0)</f>
        <v>nocturna</v>
      </c>
      <c r="O586">
        <v>1</v>
      </c>
    </row>
    <row r="587" spans="1:15" ht="15" customHeight="1" x14ac:dyDescent="0.3">
      <c r="A587" s="8">
        <v>209668196</v>
      </c>
      <c r="B587" s="4" t="s">
        <v>169</v>
      </c>
      <c r="C587" s="4" t="s">
        <v>170</v>
      </c>
      <c r="D587" s="6">
        <v>46308.834942129601</v>
      </c>
      <c r="E587" s="6">
        <v>46308.584907407399</v>
      </c>
      <c r="F587" s="6">
        <v>46308</v>
      </c>
      <c r="G587" s="5" t="s">
        <v>12</v>
      </c>
      <c r="H587" s="5" t="s">
        <v>16</v>
      </c>
      <c r="I587" s="5">
        <v>12</v>
      </c>
      <c r="J587" s="9" t="s">
        <v>17</v>
      </c>
      <c r="K587" s="1" t="s">
        <v>879</v>
      </c>
      <c r="L587" t="s">
        <v>10</v>
      </c>
      <c r="M587" t="str">
        <f>+VLOOKUP(C587,'[1]TIENDAS 2025'!$A$1:$C$143,3,0)</f>
        <v>departamental</v>
      </c>
      <c r="O587">
        <v>1</v>
      </c>
    </row>
    <row r="588" spans="1:15" ht="15" customHeight="1" x14ac:dyDescent="0.3">
      <c r="A588" s="8">
        <v>209668209</v>
      </c>
      <c r="B588" s="4" t="s">
        <v>376</v>
      </c>
      <c r="C588" s="4" t="s">
        <v>377</v>
      </c>
      <c r="D588" s="6">
        <v>46308.834953703699</v>
      </c>
      <c r="E588" s="6">
        <v>46308.584918981498</v>
      </c>
      <c r="F588" s="6">
        <v>46308</v>
      </c>
      <c r="G588" s="5" t="s">
        <v>12</v>
      </c>
      <c r="H588" s="5" t="s">
        <v>16</v>
      </c>
      <c r="I588" s="5">
        <v>18</v>
      </c>
      <c r="J588" s="9" t="s">
        <v>17</v>
      </c>
      <c r="K588" s="1" t="s">
        <v>880</v>
      </c>
      <c r="L588" t="s">
        <v>10</v>
      </c>
      <c r="M588" t="str">
        <f>+VLOOKUP(C588,'[1]TIENDAS 2025'!$A$1:$C$143,3,0)</f>
        <v>nocturna</v>
      </c>
      <c r="O588">
        <v>1</v>
      </c>
    </row>
    <row r="589" spans="1:15" ht="15" customHeight="1" x14ac:dyDescent="0.3">
      <c r="A589" s="8">
        <v>209668210</v>
      </c>
      <c r="B589" s="4" t="s">
        <v>241</v>
      </c>
      <c r="C589" s="4" t="s">
        <v>242</v>
      </c>
      <c r="D589" s="6">
        <v>46308.834965277798</v>
      </c>
      <c r="E589" s="6">
        <v>46308.584942129601</v>
      </c>
      <c r="F589" s="6">
        <v>46308</v>
      </c>
      <c r="G589" s="5" t="s">
        <v>12</v>
      </c>
      <c r="H589" s="5" t="s">
        <v>16</v>
      </c>
      <c r="I589" s="5">
        <v>13</v>
      </c>
      <c r="J589" s="9" t="s">
        <v>17</v>
      </c>
      <c r="K589" s="1" t="s">
        <v>881</v>
      </c>
      <c r="L589" t="s">
        <v>10</v>
      </c>
      <c r="M589" t="str">
        <f>+VLOOKUP(C589,'[1]TIENDAS 2025'!$A$1:$C$143,3,0)</f>
        <v>local</v>
      </c>
      <c r="O589">
        <v>1</v>
      </c>
    </row>
    <row r="590" spans="1:15" ht="15" customHeight="1" x14ac:dyDescent="0.3">
      <c r="A590" s="8">
        <v>209668136</v>
      </c>
      <c r="B590" s="4" t="s">
        <v>175</v>
      </c>
      <c r="C590" s="4" t="s">
        <v>176</v>
      </c>
      <c r="D590" s="6">
        <v>46308.834988425901</v>
      </c>
      <c r="E590" s="6">
        <v>46308.584953703699</v>
      </c>
      <c r="F590" s="6">
        <v>46308</v>
      </c>
      <c r="G590" s="5" t="s">
        <v>12</v>
      </c>
      <c r="H590" s="5" t="s">
        <v>16</v>
      </c>
      <c r="I590" s="5">
        <v>19</v>
      </c>
      <c r="J590" s="9" t="s">
        <v>17</v>
      </c>
      <c r="K590" s="1" t="s">
        <v>882</v>
      </c>
      <c r="L590" t="s">
        <v>10</v>
      </c>
      <c r="M590" t="str">
        <f>+VLOOKUP(C590,'[1]TIENDAS 2025'!$A$1:$C$143,3,0)</f>
        <v>departamental</v>
      </c>
      <c r="O590">
        <v>1</v>
      </c>
    </row>
    <row r="591" spans="1:15" ht="15" customHeight="1" x14ac:dyDescent="0.3">
      <c r="A591" s="8">
        <v>209668149</v>
      </c>
      <c r="B591" s="4" t="s">
        <v>333</v>
      </c>
      <c r="C591" s="4" t="s">
        <v>334</v>
      </c>
      <c r="D591" s="6">
        <v>46308.834999999999</v>
      </c>
      <c r="E591" s="6">
        <v>46308.584965277798</v>
      </c>
      <c r="F591" s="6">
        <v>46308</v>
      </c>
      <c r="G591" s="5" t="s">
        <v>12</v>
      </c>
      <c r="H591" s="5" t="s">
        <v>16</v>
      </c>
      <c r="I591" s="5">
        <v>40</v>
      </c>
      <c r="J591" s="9" t="s">
        <v>17</v>
      </c>
      <c r="K591" s="1" t="s">
        <v>883</v>
      </c>
      <c r="L591" t="s">
        <v>10</v>
      </c>
      <c r="M591" t="str">
        <f>+VLOOKUP(C591,'[1]TIENDAS 2025'!$A$1:$C$143,3,0)</f>
        <v>nocturna</v>
      </c>
      <c r="O591">
        <v>1</v>
      </c>
    </row>
    <row r="592" spans="1:15" ht="15" customHeight="1" x14ac:dyDescent="0.3">
      <c r="A592" s="8">
        <v>209668175</v>
      </c>
      <c r="B592" s="4" t="s">
        <v>93</v>
      </c>
      <c r="C592" s="4" t="s">
        <v>94</v>
      </c>
      <c r="D592" s="6">
        <v>46308.834999999999</v>
      </c>
      <c r="E592" s="6">
        <v>46308.584976851896</v>
      </c>
      <c r="F592" s="6">
        <v>46308</v>
      </c>
      <c r="G592" s="5" t="s">
        <v>12</v>
      </c>
      <c r="H592" s="5" t="s">
        <v>16</v>
      </c>
      <c r="I592" s="5">
        <v>11</v>
      </c>
      <c r="J592" s="9" t="s">
        <v>17</v>
      </c>
      <c r="K592" s="1" t="s">
        <v>884</v>
      </c>
      <c r="L592" t="s">
        <v>10</v>
      </c>
      <c r="M592" t="str">
        <f>+VLOOKUP(C592,'[1]TIENDAS 2025'!$A$1:$C$143,3,0)</f>
        <v>departamental</v>
      </c>
      <c r="O592">
        <v>1</v>
      </c>
    </row>
    <row r="593" spans="1:15" ht="15" customHeight="1" x14ac:dyDescent="0.3">
      <c r="A593" s="8">
        <v>209668177</v>
      </c>
      <c r="B593" s="4" t="s">
        <v>336</v>
      </c>
      <c r="C593" s="4" t="s">
        <v>337</v>
      </c>
      <c r="D593" s="6">
        <v>46308.835023148102</v>
      </c>
      <c r="E593" s="6">
        <v>46308.584988425901</v>
      </c>
      <c r="F593" s="6">
        <v>46308</v>
      </c>
      <c r="G593" s="5" t="s">
        <v>12</v>
      </c>
      <c r="H593" s="5" t="s">
        <v>16</v>
      </c>
      <c r="I593" s="5">
        <v>19</v>
      </c>
      <c r="J593" s="9" t="s">
        <v>17</v>
      </c>
      <c r="K593" s="1" t="s">
        <v>885</v>
      </c>
      <c r="L593" t="s">
        <v>10</v>
      </c>
      <c r="M593" t="str">
        <f>+VLOOKUP(C593,'[1]TIENDAS 2025'!$A$1:$C$143,3,0)</f>
        <v xml:space="preserve">departamental </v>
      </c>
      <c r="O593">
        <v>1</v>
      </c>
    </row>
    <row r="594" spans="1:15" ht="15" customHeight="1" x14ac:dyDescent="0.3">
      <c r="A594" s="8">
        <v>209668154</v>
      </c>
      <c r="B594" s="4" t="s">
        <v>421</v>
      </c>
      <c r="C594" s="4" t="s">
        <v>422</v>
      </c>
      <c r="D594" s="6">
        <v>46308.8350347222</v>
      </c>
      <c r="E594" s="6">
        <v>46308.585011574098</v>
      </c>
      <c r="F594" s="6">
        <v>46308</v>
      </c>
      <c r="G594" s="5" t="s">
        <v>12</v>
      </c>
      <c r="H594" s="5" t="s">
        <v>16</v>
      </c>
      <c r="I594" s="5">
        <v>29</v>
      </c>
      <c r="J594" s="9" t="s">
        <v>17</v>
      </c>
      <c r="K594" s="1" t="s">
        <v>886</v>
      </c>
      <c r="L594" t="s">
        <v>10</v>
      </c>
      <c r="M594" t="str">
        <f>+VLOOKUP(C594,'[1]TIENDAS 2025'!$A$1:$C$143,3,0)</f>
        <v>departamental</v>
      </c>
      <c r="O594">
        <v>1</v>
      </c>
    </row>
    <row r="595" spans="1:15" ht="15" customHeight="1" x14ac:dyDescent="0.3">
      <c r="A595" s="8">
        <v>209668160</v>
      </c>
      <c r="B595" s="4" t="s">
        <v>454</v>
      </c>
      <c r="C595" s="4" t="s">
        <v>455</v>
      </c>
      <c r="D595" s="6">
        <v>46308.835057870398</v>
      </c>
      <c r="E595" s="6">
        <v>46308.585023148102</v>
      </c>
      <c r="F595" s="6">
        <v>46308</v>
      </c>
      <c r="G595" s="5" t="s">
        <v>12</v>
      </c>
      <c r="H595" s="5" t="s">
        <v>16</v>
      </c>
      <c r="I595" s="5">
        <v>24</v>
      </c>
      <c r="J595" s="9" t="s">
        <v>17</v>
      </c>
      <c r="K595" s="1" t="s">
        <v>887</v>
      </c>
      <c r="L595" t="s">
        <v>10</v>
      </c>
      <c r="M595" t="str">
        <f>+VLOOKUP(C595,'[1]TIENDAS 2025'!$A$1:$C$143,3,0)</f>
        <v>departamental</v>
      </c>
      <c r="O595">
        <v>1</v>
      </c>
    </row>
    <row r="596" spans="1:15" ht="15" customHeight="1" x14ac:dyDescent="0.3">
      <c r="A596" s="8">
        <v>209668157</v>
      </c>
      <c r="B596" s="4" t="s">
        <v>342</v>
      </c>
      <c r="C596" s="4" t="s">
        <v>343</v>
      </c>
      <c r="D596" s="6">
        <v>46308.835069444402</v>
      </c>
      <c r="E596" s="6">
        <v>46308.5850347222</v>
      </c>
      <c r="F596" s="6">
        <v>46308</v>
      </c>
      <c r="G596" s="5" t="s">
        <v>12</v>
      </c>
      <c r="H596" s="5" t="s">
        <v>16</v>
      </c>
      <c r="I596" s="5">
        <v>24</v>
      </c>
      <c r="J596" s="9" t="s">
        <v>17</v>
      </c>
      <c r="K596" s="1" t="s">
        <v>888</v>
      </c>
      <c r="L596" t="s">
        <v>10</v>
      </c>
      <c r="M596" t="str">
        <f>+VLOOKUP(C596,'[1]TIENDAS 2025'!$A$1:$C$143,3,0)</f>
        <v>local</v>
      </c>
      <c r="O596">
        <v>1</v>
      </c>
    </row>
    <row r="597" spans="1:15" ht="15" customHeight="1" x14ac:dyDescent="0.3">
      <c r="A597" s="8">
        <v>209668181</v>
      </c>
      <c r="B597" s="4" t="s">
        <v>345</v>
      </c>
      <c r="C597" s="4" t="s">
        <v>346</v>
      </c>
      <c r="D597" s="6">
        <v>46308.8350810185</v>
      </c>
      <c r="E597" s="6">
        <v>46308.585046296299</v>
      </c>
      <c r="F597" s="6">
        <v>46308</v>
      </c>
      <c r="G597" s="5" t="s">
        <v>12</v>
      </c>
      <c r="H597" s="5" t="s">
        <v>16</v>
      </c>
      <c r="I597" s="5">
        <v>17</v>
      </c>
      <c r="J597" s="9" t="s">
        <v>17</v>
      </c>
      <c r="K597" s="1" t="s">
        <v>889</v>
      </c>
      <c r="L597" t="s">
        <v>10</v>
      </c>
      <c r="M597" t="str">
        <f>+VLOOKUP(C597,'[1]TIENDAS 2025'!$A$1:$C$143,3,0)</f>
        <v>local</v>
      </c>
      <c r="O597">
        <v>1</v>
      </c>
    </row>
    <row r="598" spans="1:15" ht="15" customHeight="1" x14ac:dyDescent="0.3">
      <c r="A598" s="8">
        <v>209668228</v>
      </c>
      <c r="B598" s="4" t="s">
        <v>409</v>
      </c>
      <c r="C598" s="4" t="s">
        <v>410</v>
      </c>
      <c r="D598" s="6">
        <v>46308.835092592599</v>
      </c>
      <c r="E598" s="6">
        <v>46308.585057870398</v>
      </c>
      <c r="F598" s="6">
        <v>46308</v>
      </c>
      <c r="G598" s="5" t="s">
        <v>12</v>
      </c>
      <c r="H598" s="5" t="s">
        <v>16</v>
      </c>
      <c r="I598" s="5">
        <v>9</v>
      </c>
      <c r="J598" s="9" t="s">
        <v>17</v>
      </c>
      <c r="K598" s="1" t="s">
        <v>890</v>
      </c>
      <c r="L598" t="s">
        <v>10</v>
      </c>
      <c r="M598" t="str">
        <f>+VLOOKUP(C598,'[1]TIENDAS 2025'!$A$1:$C$143,3,0)</f>
        <v>departamental</v>
      </c>
      <c r="O598">
        <v>1</v>
      </c>
    </row>
    <row r="599" spans="1:15" ht="15" customHeight="1" x14ac:dyDescent="0.3">
      <c r="A599" s="8">
        <v>209668197</v>
      </c>
      <c r="B599" s="4" t="s">
        <v>545</v>
      </c>
      <c r="C599" s="4" t="s">
        <v>546</v>
      </c>
      <c r="D599" s="6">
        <v>46308.835104166697</v>
      </c>
      <c r="E599" s="6">
        <v>46308.5850810185</v>
      </c>
      <c r="F599" s="6">
        <v>46308</v>
      </c>
      <c r="G599" s="5" t="s">
        <v>12</v>
      </c>
      <c r="H599" s="5" t="s">
        <v>16</v>
      </c>
      <c r="I599" s="5">
        <v>29</v>
      </c>
      <c r="J599" s="9" t="s">
        <v>17</v>
      </c>
      <c r="K599" s="1" t="s">
        <v>891</v>
      </c>
      <c r="L599" t="s">
        <v>10</v>
      </c>
      <c r="M599" t="str">
        <f>+VLOOKUP(C599,'[1]TIENDAS 2025'!$A$1:$C$143,3,0)</f>
        <v>departamental</v>
      </c>
      <c r="O599">
        <v>1</v>
      </c>
    </row>
    <row r="600" spans="1:15" ht="15" customHeight="1" x14ac:dyDescent="0.3">
      <c r="A600" s="8">
        <v>209668204</v>
      </c>
      <c r="B600" s="4" t="s">
        <v>181</v>
      </c>
      <c r="C600" s="4" t="s">
        <v>182</v>
      </c>
      <c r="D600" s="6">
        <v>46308.8351273148</v>
      </c>
      <c r="E600" s="6">
        <v>46308.585092592599</v>
      </c>
      <c r="F600" s="6">
        <v>46308</v>
      </c>
      <c r="G600" s="5" t="s">
        <v>12</v>
      </c>
      <c r="H600" s="5" t="s">
        <v>16</v>
      </c>
      <c r="I600" s="5">
        <v>24</v>
      </c>
      <c r="J600" s="9" t="s">
        <v>17</v>
      </c>
      <c r="K600" s="1" t="s">
        <v>892</v>
      </c>
      <c r="L600" t="s">
        <v>10</v>
      </c>
      <c r="M600" t="str">
        <f>+VLOOKUP(C600,'[1]TIENDAS 2025'!$A$1:$C$143,3,0)</f>
        <v>departamental</v>
      </c>
      <c r="O600">
        <v>1</v>
      </c>
    </row>
    <row r="601" spans="1:15" ht="15" customHeight="1" x14ac:dyDescent="0.3">
      <c r="A601" s="8">
        <v>209668205</v>
      </c>
      <c r="B601" s="4" t="s">
        <v>280</v>
      </c>
      <c r="C601" s="4" t="s">
        <v>281</v>
      </c>
      <c r="D601" s="6">
        <v>46308.835138888899</v>
      </c>
      <c r="E601" s="6">
        <v>46308.585104166697</v>
      </c>
      <c r="F601" s="6">
        <v>46308</v>
      </c>
      <c r="G601" s="5" t="s">
        <v>12</v>
      </c>
      <c r="H601" s="5" t="s">
        <v>16</v>
      </c>
      <c r="I601" s="5">
        <v>18</v>
      </c>
      <c r="J601" s="9" t="s">
        <v>17</v>
      </c>
      <c r="K601" s="1" t="s">
        <v>893</v>
      </c>
      <c r="L601" t="s">
        <v>10</v>
      </c>
      <c r="M601" t="str">
        <f>+VLOOKUP(C601,'[1]TIENDAS 2025'!$A$1:$C$143,3,0)</f>
        <v>nocturna</v>
      </c>
      <c r="O601">
        <v>1</v>
      </c>
    </row>
    <row r="602" spans="1:15" ht="15" customHeight="1" x14ac:dyDescent="0.3">
      <c r="A602" s="8">
        <v>209668262</v>
      </c>
      <c r="B602" s="4" t="s">
        <v>339</v>
      </c>
      <c r="C602" s="4" t="s">
        <v>340</v>
      </c>
      <c r="D602" s="6">
        <v>46308.888402777797</v>
      </c>
      <c r="E602" s="6">
        <v>46308.6383333333</v>
      </c>
      <c r="F602" s="6">
        <v>46308</v>
      </c>
      <c r="G602" s="5" t="s">
        <v>12</v>
      </c>
      <c r="H602" s="5" t="s">
        <v>16</v>
      </c>
      <c r="I602" s="5">
        <v>5</v>
      </c>
      <c r="J602" s="9" t="s">
        <v>17</v>
      </c>
      <c r="K602" s="1" t="s">
        <v>894</v>
      </c>
      <c r="L602" t="s">
        <v>10</v>
      </c>
      <c r="M602" t="str">
        <f>+VLOOKUP(C602,'[1]TIENDAS 2025'!$A$1:$C$143,3,0)</f>
        <v>nocturna</v>
      </c>
      <c r="O602">
        <v>1</v>
      </c>
    </row>
    <row r="603" spans="1:15" ht="15" customHeight="1" x14ac:dyDescent="0.3">
      <c r="A603" s="8">
        <v>209668277</v>
      </c>
      <c r="B603" s="4" t="s">
        <v>497</v>
      </c>
      <c r="C603" s="4" t="s">
        <v>498</v>
      </c>
      <c r="D603" s="6">
        <v>46308.888425925899</v>
      </c>
      <c r="E603" s="6">
        <v>46308.638391203698</v>
      </c>
      <c r="F603" s="6">
        <v>46308</v>
      </c>
      <c r="G603" s="5" t="s">
        <v>12</v>
      </c>
      <c r="H603" s="5" t="s">
        <v>16</v>
      </c>
      <c r="I603" s="5">
        <v>4</v>
      </c>
      <c r="J603" s="9" t="s">
        <v>17</v>
      </c>
      <c r="K603" s="1" t="s">
        <v>895</v>
      </c>
      <c r="L603" t="s">
        <v>10</v>
      </c>
      <c r="M603" t="str">
        <f>+VLOOKUP(C603,'[1]TIENDAS 2025'!$A$1:$C$143,3,0)</f>
        <v>prioridad</v>
      </c>
      <c r="O603">
        <v>1</v>
      </c>
    </row>
    <row r="604" spans="1:15" ht="15" customHeight="1" x14ac:dyDescent="0.3">
      <c r="A604" s="8">
        <v>209668264</v>
      </c>
      <c r="B604" s="4" t="s">
        <v>253</v>
      </c>
      <c r="C604" s="4" t="s">
        <v>254</v>
      </c>
      <c r="D604" s="6">
        <v>46308.888425925899</v>
      </c>
      <c r="E604" s="6">
        <v>46308.638368055603</v>
      </c>
      <c r="F604" s="6">
        <v>46308</v>
      </c>
      <c r="G604" s="5" t="s">
        <v>12</v>
      </c>
      <c r="H604" s="5" t="s">
        <v>16</v>
      </c>
      <c r="I604" s="5">
        <v>4</v>
      </c>
      <c r="J604" s="9" t="s">
        <v>17</v>
      </c>
      <c r="K604" s="1" t="s">
        <v>896</v>
      </c>
      <c r="L604" t="s">
        <v>10</v>
      </c>
      <c r="M604" t="str">
        <f>+VLOOKUP(C604,'[1]TIENDAS 2025'!$A$1:$C$143,3,0)</f>
        <v>departamental</v>
      </c>
      <c r="O604">
        <v>1</v>
      </c>
    </row>
    <row r="605" spans="1:15" ht="15" customHeight="1" x14ac:dyDescent="0.3">
      <c r="A605" s="8">
        <v>209668274</v>
      </c>
      <c r="B605" s="4" t="s">
        <v>312</v>
      </c>
      <c r="C605" s="4" t="s">
        <v>313</v>
      </c>
      <c r="D605" s="6">
        <v>46308.888425925899</v>
      </c>
      <c r="E605" s="6">
        <v>46308.638356481497</v>
      </c>
      <c r="F605" s="6">
        <v>46308</v>
      </c>
      <c r="G605" s="5" t="s">
        <v>12</v>
      </c>
      <c r="H605" s="5" t="s">
        <v>16</v>
      </c>
      <c r="I605" s="5">
        <v>5</v>
      </c>
      <c r="J605" s="9" t="s">
        <v>17</v>
      </c>
      <c r="K605" s="1" t="s">
        <v>897</v>
      </c>
      <c r="L605" t="s">
        <v>10</v>
      </c>
      <c r="M605" t="str">
        <f>+VLOOKUP(C605,'[1]TIENDAS 2025'!$A$1:$C$143,3,0)</f>
        <v>prioridad</v>
      </c>
      <c r="O605">
        <v>1</v>
      </c>
    </row>
    <row r="606" spans="1:15" ht="15" customHeight="1" x14ac:dyDescent="0.3">
      <c r="A606" s="8">
        <v>209668353</v>
      </c>
      <c r="B606" s="4" t="s">
        <v>223</v>
      </c>
      <c r="C606" s="4" t="s">
        <v>224</v>
      </c>
      <c r="D606" s="6">
        <v>46308.888437499998</v>
      </c>
      <c r="E606" s="6">
        <v>46308.638402777797</v>
      </c>
      <c r="F606" s="6">
        <v>46308</v>
      </c>
      <c r="G606" s="5" t="s">
        <v>12</v>
      </c>
      <c r="H606" s="5" t="s">
        <v>16</v>
      </c>
      <c r="I606" s="5">
        <v>5</v>
      </c>
      <c r="J606" s="9" t="s">
        <v>17</v>
      </c>
      <c r="K606" s="1" t="s">
        <v>898</v>
      </c>
      <c r="L606" t="s">
        <v>10</v>
      </c>
      <c r="M606" t="str">
        <f>+VLOOKUP(C606,'[1]TIENDAS 2025'!$A$1:$C$143,3,0)</f>
        <v>departamental</v>
      </c>
      <c r="O606">
        <v>1</v>
      </c>
    </row>
    <row r="607" spans="1:15" ht="15" customHeight="1" x14ac:dyDescent="0.3">
      <c r="A607" s="8">
        <v>209668275</v>
      </c>
      <c r="B607" s="4" t="s">
        <v>482</v>
      </c>
      <c r="C607" s="4" t="s">
        <v>483</v>
      </c>
      <c r="D607" s="6">
        <v>46308.888437499998</v>
      </c>
      <c r="E607" s="6">
        <v>46308.6383796296</v>
      </c>
      <c r="F607" s="6">
        <v>46308</v>
      </c>
      <c r="G607" s="5" t="s">
        <v>12</v>
      </c>
      <c r="H607" s="5" t="s">
        <v>16</v>
      </c>
      <c r="I607" s="5">
        <v>4</v>
      </c>
      <c r="J607" s="9" t="s">
        <v>17</v>
      </c>
      <c r="K607" s="1" t="s">
        <v>899</v>
      </c>
      <c r="L607" t="s">
        <v>10</v>
      </c>
      <c r="M607" t="str">
        <f>+VLOOKUP(C607,'[1]TIENDAS 2025'!$A$1:$C$143,3,0)</f>
        <v>local</v>
      </c>
      <c r="O607">
        <v>1</v>
      </c>
    </row>
    <row r="608" spans="1:15" ht="15" customHeight="1" x14ac:dyDescent="0.3">
      <c r="A608" s="8">
        <v>209668281</v>
      </c>
      <c r="B608" s="4" t="s">
        <v>370</v>
      </c>
      <c r="C608" s="4" t="s">
        <v>371</v>
      </c>
      <c r="D608" s="6">
        <v>46308.888460648202</v>
      </c>
      <c r="E608" s="6">
        <v>46308.638425925899</v>
      </c>
      <c r="F608" s="6">
        <v>46308</v>
      </c>
      <c r="G608" s="5" t="s">
        <v>12</v>
      </c>
      <c r="H608" s="5" t="s">
        <v>16</v>
      </c>
      <c r="I608" s="5">
        <v>2</v>
      </c>
      <c r="J608" s="9" t="s">
        <v>17</v>
      </c>
      <c r="K608" s="1" t="s">
        <v>900</v>
      </c>
      <c r="L608" t="s">
        <v>10</v>
      </c>
      <c r="M608" t="str">
        <f>+VLOOKUP(C608,'[1]TIENDAS 2025'!$A$1:$C$143,3,0)</f>
        <v>nocturna</v>
      </c>
      <c r="O608">
        <v>1</v>
      </c>
    </row>
    <row r="609" spans="1:15" ht="15" customHeight="1" x14ac:dyDescent="0.3">
      <c r="A609" s="8">
        <v>209668340</v>
      </c>
      <c r="B609" s="4" t="s">
        <v>509</v>
      </c>
      <c r="C609" s="4" t="s">
        <v>510</v>
      </c>
      <c r="D609" s="6">
        <v>46308.888460648202</v>
      </c>
      <c r="E609" s="6">
        <v>46308.638437499998</v>
      </c>
      <c r="F609" s="6">
        <v>46308</v>
      </c>
      <c r="G609" s="5" t="s">
        <v>12</v>
      </c>
      <c r="H609" s="5" t="s">
        <v>16</v>
      </c>
      <c r="I609" s="5">
        <v>3</v>
      </c>
      <c r="J609" s="9" t="s">
        <v>17</v>
      </c>
      <c r="K609" s="1" t="s">
        <v>901</v>
      </c>
      <c r="L609" t="s">
        <v>10</v>
      </c>
      <c r="M609" t="str">
        <f>+VLOOKUP(C609,'[1]TIENDAS 2025'!$A$1:$C$143,3,0)</f>
        <v>nocturna</v>
      </c>
      <c r="O609">
        <v>1</v>
      </c>
    </row>
    <row r="610" spans="1:15" ht="15" customHeight="1" x14ac:dyDescent="0.3">
      <c r="A610" s="8">
        <v>209668341</v>
      </c>
      <c r="B610" s="4" t="s">
        <v>527</v>
      </c>
      <c r="C610" s="4" t="s">
        <v>528</v>
      </c>
      <c r="D610" s="6">
        <v>46308.888483796298</v>
      </c>
      <c r="E610" s="6">
        <v>46308.638449074097</v>
      </c>
      <c r="F610" s="6">
        <v>46308</v>
      </c>
      <c r="G610" s="5" t="s">
        <v>12</v>
      </c>
      <c r="H610" s="5" t="s">
        <v>16</v>
      </c>
      <c r="I610" s="5">
        <v>1</v>
      </c>
      <c r="J610" s="9" t="s">
        <v>17</v>
      </c>
      <c r="K610" s="1" t="s">
        <v>902</v>
      </c>
      <c r="L610" t="s">
        <v>10</v>
      </c>
      <c r="M610" t="str">
        <f>+VLOOKUP(C610,'[1]TIENDAS 2025'!$A$1:$C$143,3,0)</f>
        <v>prioridad</v>
      </c>
      <c r="O610">
        <v>1</v>
      </c>
    </row>
    <row r="611" spans="1:15" ht="15" customHeight="1" x14ac:dyDescent="0.3">
      <c r="A611" s="8">
        <v>209668342</v>
      </c>
      <c r="B611" s="4" t="s">
        <v>250</v>
      </c>
      <c r="C611" s="4" t="s">
        <v>251</v>
      </c>
      <c r="D611" s="6">
        <v>46308.888495370396</v>
      </c>
      <c r="E611" s="6">
        <v>46308.638460648202</v>
      </c>
      <c r="F611" s="6">
        <v>46308</v>
      </c>
      <c r="G611" s="5" t="s">
        <v>12</v>
      </c>
      <c r="H611" s="5" t="s">
        <v>16</v>
      </c>
      <c r="I611" s="5">
        <v>1</v>
      </c>
      <c r="J611" s="9" t="s">
        <v>17</v>
      </c>
      <c r="K611" s="1" t="s">
        <v>903</v>
      </c>
      <c r="L611" t="s">
        <v>10</v>
      </c>
      <c r="M611" t="str">
        <f>+VLOOKUP(C611,'[1]TIENDAS 2025'!$A$1:$C$143,3,0)</f>
        <v>prioridad</v>
      </c>
      <c r="O611">
        <v>1</v>
      </c>
    </row>
    <row r="612" spans="1:15" ht="15" customHeight="1" x14ac:dyDescent="0.3">
      <c r="A612" s="8">
        <v>209668250</v>
      </c>
      <c r="B612" s="4" t="s">
        <v>427</v>
      </c>
      <c r="C612" s="4" t="s">
        <v>428</v>
      </c>
      <c r="D612" s="6">
        <v>46308.8885069444</v>
      </c>
      <c r="E612" s="6">
        <v>46308.638483796298</v>
      </c>
      <c r="F612" s="6">
        <v>46308</v>
      </c>
      <c r="G612" s="5" t="s">
        <v>12</v>
      </c>
      <c r="H612" s="5" t="s">
        <v>16</v>
      </c>
      <c r="I612" s="5">
        <v>2</v>
      </c>
      <c r="J612" s="9" t="s">
        <v>17</v>
      </c>
      <c r="K612" s="1" t="s">
        <v>904</v>
      </c>
      <c r="L612" t="s">
        <v>10</v>
      </c>
      <c r="M612" t="str">
        <f>+VLOOKUP(C612,'[1]TIENDAS 2025'!$A$1:$C$143,3,0)</f>
        <v>local</v>
      </c>
      <c r="O612">
        <v>1</v>
      </c>
    </row>
    <row r="613" spans="1:15" ht="15" customHeight="1" x14ac:dyDescent="0.3">
      <c r="A613" s="8">
        <v>209668301</v>
      </c>
      <c r="B613" s="4" t="s">
        <v>385</v>
      </c>
      <c r="C613" s="4" t="s">
        <v>386</v>
      </c>
      <c r="D613" s="6">
        <v>46308.888530092598</v>
      </c>
      <c r="E613" s="6">
        <v>46308.6385069444</v>
      </c>
      <c r="F613" s="6">
        <v>46308</v>
      </c>
      <c r="G613" s="5" t="s">
        <v>12</v>
      </c>
      <c r="H613" s="5" t="s">
        <v>16</v>
      </c>
      <c r="I613" s="5">
        <v>5</v>
      </c>
      <c r="J613" s="9" t="s">
        <v>17</v>
      </c>
      <c r="K613" s="1" t="s">
        <v>905</v>
      </c>
      <c r="L613" t="s">
        <v>10</v>
      </c>
      <c r="M613" t="str">
        <f>+VLOOKUP(C613,'[1]TIENDAS 2025'!$A$1:$C$143,3,0)</f>
        <v>nocturna</v>
      </c>
      <c r="O613">
        <v>1</v>
      </c>
    </row>
    <row r="614" spans="1:15" ht="15" customHeight="1" x14ac:dyDescent="0.3">
      <c r="A614" s="8">
        <v>209668294</v>
      </c>
      <c r="B614" s="4" t="s">
        <v>229</v>
      </c>
      <c r="C614" s="4" t="s">
        <v>230</v>
      </c>
      <c r="D614" s="6">
        <v>46308.888530092598</v>
      </c>
      <c r="E614" s="6">
        <v>46308.638495370396</v>
      </c>
      <c r="F614" s="6">
        <v>46308</v>
      </c>
      <c r="G614" s="5" t="s">
        <v>12</v>
      </c>
      <c r="H614" s="5" t="s">
        <v>16</v>
      </c>
      <c r="I614" s="5">
        <v>4</v>
      </c>
      <c r="J614" s="9" t="s">
        <v>17</v>
      </c>
      <c r="K614" s="1" t="s">
        <v>906</v>
      </c>
      <c r="L614" t="s">
        <v>10</v>
      </c>
      <c r="M614" t="str">
        <f>+VLOOKUP(C614,'[1]TIENDAS 2025'!$A$1:$C$143,3,0)</f>
        <v>local</v>
      </c>
      <c r="O614">
        <v>1</v>
      </c>
    </row>
    <row r="615" spans="1:15" ht="15" customHeight="1" x14ac:dyDescent="0.3">
      <c r="A615" s="8">
        <v>209668302</v>
      </c>
      <c r="B615" s="4" t="s">
        <v>475</v>
      </c>
      <c r="C615" s="4" t="s">
        <v>476</v>
      </c>
      <c r="D615" s="6">
        <v>46308.8885532407</v>
      </c>
      <c r="E615" s="6">
        <v>46308.638518518499</v>
      </c>
      <c r="F615" s="6">
        <v>46308</v>
      </c>
      <c r="G615" s="5" t="s">
        <v>12</v>
      </c>
      <c r="H615" s="5" t="s">
        <v>16</v>
      </c>
      <c r="I615" s="5">
        <v>9</v>
      </c>
      <c r="J615" s="9" t="s">
        <v>17</v>
      </c>
      <c r="K615" s="1" t="s">
        <v>907</v>
      </c>
      <c r="L615" t="s">
        <v>10</v>
      </c>
      <c r="M615" t="str">
        <f>+VLOOKUP(C615,'[1]TIENDAS 2025'!$A$1:$C$143,3,0)</f>
        <v>prioridad</v>
      </c>
      <c r="O615">
        <v>1</v>
      </c>
    </row>
    <row r="616" spans="1:15" ht="15" customHeight="1" x14ac:dyDescent="0.3">
      <c r="A616" s="8">
        <v>209668303</v>
      </c>
      <c r="B616" s="4" t="s">
        <v>163</v>
      </c>
      <c r="C616" s="4" t="s">
        <v>164</v>
      </c>
      <c r="D616" s="6">
        <v>46308.888564814799</v>
      </c>
      <c r="E616" s="6">
        <v>46308.638530092598</v>
      </c>
      <c r="F616" s="6">
        <v>46308</v>
      </c>
      <c r="G616" s="5" t="s">
        <v>12</v>
      </c>
      <c r="H616" s="5" t="s">
        <v>16</v>
      </c>
      <c r="I616" s="5">
        <v>6</v>
      </c>
      <c r="J616" s="9" t="s">
        <v>17</v>
      </c>
      <c r="K616" s="1" t="s">
        <v>908</v>
      </c>
      <c r="L616" t="s">
        <v>10</v>
      </c>
      <c r="M616" t="str">
        <f>+VLOOKUP(C616,'[1]TIENDAS 2025'!$A$1:$C$143,3,0)</f>
        <v>departamental</v>
      </c>
      <c r="O616">
        <v>1</v>
      </c>
    </row>
    <row r="617" spans="1:15" ht="15" customHeight="1" x14ac:dyDescent="0.3">
      <c r="A617" s="8">
        <v>209668313</v>
      </c>
      <c r="B617" s="4" t="s">
        <v>415</v>
      </c>
      <c r="C617" s="4" t="s">
        <v>416</v>
      </c>
      <c r="D617" s="6">
        <v>46308.888576388897</v>
      </c>
      <c r="E617" s="6">
        <v>46308.6385532407</v>
      </c>
      <c r="F617" s="6">
        <v>46308</v>
      </c>
      <c r="G617" s="5" t="s">
        <v>12</v>
      </c>
      <c r="H617" s="5" t="s">
        <v>16</v>
      </c>
      <c r="I617" s="5">
        <v>4</v>
      </c>
      <c r="J617" s="9" t="s">
        <v>17</v>
      </c>
      <c r="K617" s="1" t="s">
        <v>909</v>
      </c>
      <c r="L617" t="s">
        <v>10</v>
      </c>
      <c r="M617" t="str">
        <f>+VLOOKUP(C617,'[1]TIENDAS 2025'!$A$1:$C$143,3,0)</f>
        <v>prioridad</v>
      </c>
      <c r="O617">
        <v>1</v>
      </c>
    </row>
    <row r="618" spans="1:15" ht="15" customHeight="1" x14ac:dyDescent="0.3">
      <c r="A618" s="8">
        <v>209668319</v>
      </c>
      <c r="B618" s="4" t="s">
        <v>403</v>
      </c>
      <c r="C618" s="4" t="s">
        <v>404</v>
      </c>
      <c r="D618" s="6">
        <v>46308.888599537</v>
      </c>
      <c r="E618" s="6">
        <v>46308.638564814799</v>
      </c>
      <c r="F618" s="6">
        <v>46308</v>
      </c>
      <c r="G618" s="5" t="s">
        <v>12</v>
      </c>
      <c r="H618" s="5" t="s">
        <v>16</v>
      </c>
      <c r="I618" s="5">
        <v>2</v>
      </c>
      <c r="J618" s="9" t="s">
        <v>17</v>
      </c>
      <c r="K618" s="1" t="s">
        <v>910</v>
      </c>
      <c r="L618" t="s">
        <v>10</v>
      </c>
      <c r="M618" t="str">
        <f>+VLOOKUP(C618,'[1]TIENDAS 2025'!$A$1:$C$143,3,0)</f>
        <v>prioridad</v>
      </c>
      <c r="O618">
        <v>1</v>
      </c>
    </row>
    <row r="619" spans="1:15" ht="15" customHeight="1" x14ac:dyDescent="0.3">
      <c r="A619" s="8">
        <v>209668366</v>
      </c>
      <c r="B619" s="4" t="s">
        <v>169</v>
      </c>
      <c r="C619" s="4" t="s">
        <v>170</v>
      </c>
      <c r="D619" s="6">
        <v>46308.888611111099</v>
      </c>
      <c r="E619" s="6">
        <v>46308.638576388897</v>
      </c>
      <c r="F619" s="6">
        <v>46308</v>
      </c>
      <c r="G619" s="5" t="s">
        <v>12</v>
      </c>
      <c r="H619" s="5" t="s">
        <v>16</v>
      </c>
      <c r="I619" s="5">
        <v>4</v>
      </c>
      <c r="J619" s="9" t="s">
        <v>17</v>
      </c>
      <c r="K619" s="1" t="s">
        <v>911</v>
      </c>
      <c r="L619" t="s">
        <v>10</v>
      </c>
      <c r="M619" t="str">
        <f>+VLOOKUP(C619,'[1]TIENDAS 2025'!$A$1:$C$143,3,0)</f>
        <v>departamental</v>
      </c>
      <c r="O619">
        <v>1</v>
      </c>
    </row>
    <row r="620" spans="1:15" ht="15" customHeight="1" x14ac:dyDescent="0.3">
      <c r="A620" s="8">
        <v>209668329</v>
      </c>
      <c r="B620" s="4" t="s">
        <v>202</v>
      </c>
      <c r="C620" s="4" t="s">
        <v>203</v>
      </c>
      <c r="D620" s="6">
        <v>46308.888622685197</v>
      </c>
      <c r="E620" s="6">
        <v>46308.638587963003</v>
      </c>
      <c r="F620" s="6">
        <v>46308</v>
      </c>
      <c r="G620" s="5" t="s">
        <v>12</v>
      </c>
      <c r="H620" s="5" t="s">
        <v>16</v>
      </c>
      <c r="I620" s="5">
        <v>2</v>
      </c>
      <c r="J620" s="9" t="s">
        <v>17</v>
      </c>
      <c r="K620" s="1" t="s">
        <v>912</v>
      </c>
      <c r="L620" t="s">
        <v>10</v>
      </c>
      <c r="M620" t="str">
        <f>+VLOOKUP(C620,'[1]TIENDAS 2025'!$A$1:$C$143,3,0)</f>
        <v>local</v>
      </c>
      <c r="O620">
        <v>1</v>
      </c>
    </row>
    <row r="621" spans="1:15" ht="15" customHeight="1" x14ac:dyDescent="0.3">
      <c r="A621" s="8">
        <v>209668272</v>
      </c>
      <c r="B621" s="4" t="s">
        <v>351</v>
      </c>
      <c r="C621" s="4" t="s">
        <v>352</v>
      </c>
      <c r="D621" s="6">
        <v>46308.8886458333</v>
      </c>
      <c r="E621" s="6">
        <v>46308.638611111099</v>
      </c>
      <c r="F621" s="6">
        <v>46308</v>
      </c>
      <c r="G621" s="5" t="s">
        <v>12</v>
      </c>
      <c r="H621" s="5" t="s">
        <v>16</v>
      </c>
      <c r="I621" s="5">
        <v>5</v>
      </c>
      <c r="J621" s="9" t="s">
        <v>17</v>
      </c>
      <c r="K621" s="1" t="s">
        <v>913</v>
      </c>
      <c r="L621" t="s">
        <v>10</v>
      </c>
      <c r="M621" t="str">
        <f>+VLOOKUP(C621,'[1]TIENDAS 2025'!$A$1:$C$143,3,0)</f>
        <v>prioridad</v>
      </c>
      <c r="O621">
        <v>1</v>
      </c>
    </row>
    <row r="622" spans="1:15" ht="15" customHeight="1" x14ac:dyDescent="0.3">
      <c r="A622" s="8">
        <v>209668330</v>
      </c>
      <c r="B622" s="4" t="s">
        <v>268</v>
      </c>
      <c r="C622" s="4" t="s">
        <v>269</v>
      </c>
      <c r="D622" s="6">
        <v>46308.888657407399</v>
      </c>
      <c r="E622" s="6">
        <v>46308.638622685197</v>
      </c>
      <c r="F622" s="6">
        <v>46308</v>
      </c>
      <c r="G622" s="5" t="s">
        <v>12</v>
      </c>
      <c r="H622" s="5" t="s">
        <v>16</v>
      </c>
      <c r="I622" s="5">
        <v>5</v>
      </c>
      <c r="J622" s="9" t="s">
        <v>17</v>
      </c>
      <c r="K622" s="1" t="s">
        <v>914</v>
      </c>
      <c r="L622" t="s">
        <v>10</v>
      </c>
      <c r="M622" t="str">
        <f>+VLOOKUP(C622,'[1]TIENDAS 2025'!$A$1:$C$143,3,0)</f>
        <v>departamental</v>
      </c>
      <c r="O622">
        <v>1</v>
      </c>
    </row>
    <row r="623" spans="1:15" ht="15" customHeight="1" x14ac:dyDescent="0.3">
      <c r="A623" s="8">
        <v>209668334</v>
      </c>
      <c r="B623" s="4" t="s">
        <v>545</v>
      </c>
      <c r="C623" s="4" t="s">
        <v>546</v>
      </c>
      <c r="D623" s="6">
        <v>46308.888657407399</v>
      </c>
      <c r="E623" s="6">
        <v>46308.638634259303</v>
      </c>
      <c r="F623" s="6">
        <v>46308</v>
      </c>
      <c r="G623" s="5" t="s">
        <v>12</v>
      </c>
      <c r="H623" s="5" t="s">
        <v>16</v>
      </c>
      <c r="I623" s="5">
        <v>6</v>
      </c>
      <c r="J623" s="9" t="s">
        <v>17</v>
      </c>
      <c r="K623" s="1" t="s">
        <v>915</v>
      </c>
      <c r="L623" t="s">
        <v>10</v>
      </c>
      <c r="M623" t="str">
        <f>+VLOOKUP(C623,'[1]TIENDAS 2025'!$A$1:$C$143,3,0)</f>
        <v>departamental</v>
      </c>
      <c r="O623">
        <v>1</v>
      </c>
    </row>
    <row r="624" spans="1:15" ht="15" customHeight="1" x14ac:dyDescent="0.3">
      <c r="A624" s="8">
        <v>209668276</v>
      </c>
      <c r="B624" s="4" t="s">
        <v>295</v>
      </c>
      <c r="C624" s="4" t="s">
        <v>296</v>
      </c>
      <c r="D624" s="6">
        <v>46308.888680555603</v>
      </c>
      <c r="E624" s="6">
        <v>46308.6386458333</v>
      </c>
      <c r="F624" s="6">
        <v>46308</v>
      </c>
      <c r="G624" s="5" t="s">
        <v>12</v>
      </c>
      <c r="H624" s="5" t="s">
        <v>16</v>
      </c>
      <c r="I624" s="5">
        <v>4</v>
      </c>
      <c r="J624" s="9" t="s">
        <v>17</v>
      </c>
      <c r="K624" s="1" t="s">
        <v>916</v>
      </c>
      <c r="L624" t="s">
        <v>10</v>
      </c>
      <c r="M624" t="str">
        <f>+VLOOKUP(C624,'[1]TIENDAS 2025'!$A$1:$C$143,3,0)</f>
        <v>local</v>
      </c>
      <c r="O624">
        <v>1</v>
      </c>
    </row>
    <row r="625" spans="1:15" ht="15" customHeight="1" x14ac:dyDescent="0.3">
      <c r="A625" s="8">
        <v>209668285</v>
      </c>
      <c r="B625" s="4" t="s">
        <v>557</v>
      </c>
      <c r="C625" s="4" t="s">
        <v>558</v>
      </c>
      <c r="D625" s="6">
        <v>46308.8886921296</v>
      </c>
      <c r="E625" s="6">
        <v>46308.638668981497</v>
      </c>
      <c r="F625" s="6">
        <v>46308</v>
      </c>
      <c r="G625" s="5" t="s">
        <v>12</v>
      </c>
      <c r="H625" s="5" t="s">
        <v>16</v>
      </c>
      <c r="I625" s="5">
        <v>3</v>
      </c>
      <c r="J625" s="9" t="s">
        <v>17</v>
      </c>
      <c r="K625" s="1" t="s">
        <v>917</v>
      </c>
      <c r="L625" t="s">
        <v>10</v>
      </c>
      <c r="M625" t="str">
        <f>+VLOOKUP(C625,'[1]TIENDAS 2025'!$A$1:$C$143,3,0)</f>
        <v>local</v>
      </c>
      <c r="O625">
        <v>1</v>
      </c>
    </row>
    <row r="626" spans="1:15" ht="15" customHeight="1" x14ac:dyDescent="0.3">
      <c r="A626" s="8">
        <v>209668249</v>
      </c>
      <c r="B626" s="4" t="s">
        <v>265</v>
      </c>
      <c r="C626" s="4" t="s">
        <v>266</v>
      </c>
      <c r="D626" s="6">
        <v>46308.888715277797</v>
      </c>
      <c r="E626" s="6">
        <v>46308.638680555603</v>
      </c>
      <c r="F626" s="6">
        <v>46308</v>
      </c>
      <c r="G626" s="5" t="s">
        <v>12</v>
      </c>
      <c r="H626" s="5" t="s">
        <v>16</v>
      </c>
      <c r="I626" s="5">
        <v>4</v>
      </c>
      <c r="J626" s="9" t="s">
        <v>17</v>
      </c>
      <c r="K626" s="1" t="s">
        <v>918</v>
      </c>
      <c r="L626" t="s">
        <v>10</v>
      </c>
      <c r="M626" t="str">
        <f>+VLOOKUP(C626,'[1]TIENDAS 2025'!$A$1:$C$143,3,0)</f>
        <v>nocturna</v>
      </c>
      <c r="O626">
        <v>1</v>
      </c>
    </row>
    <row r="627" spans="1:15" ht="15" customHeight="1" x14ac:dyDescent="0.3">
      <c r="A627" s="8">
        <v>209668253</v>
      </c>
      <c r="B627" s="4" t="s">
        <v>235</v>
      </c>
      <c r="C627" s="4" t="s">
        <v>236</v>
      </c>
      <c r="D627" s="6">
        <v>46308.888715277797</v>
      </c>
      <c r="E627" s="6">
        <v>46308.6386921296</v>
      </c>
      <c r="F627" s="6">
        <v>46308</v>
      </c>
      <c r="G627" s="5" t="s">
        <v>12</v>
      </c>
      <c r="H627" s="5" t="s">
        <v>16</v>
      </c>
      <c r="I627" s="5">
        <v>2</v>
      </c>
      <c r="J627" s="9" t="s">
        <v>17</v>
      </c>
      <c r="K627" s="1" t="s">
        <v>919</v>
      </c>
      <c r="L627" t="s">
        <v>10</v>
      </c>
      <c r="M627" t="str">
        <f>+VLOOKUP(C627,'[1]TIENDAS 2025'!$A$1:$C$143,3,0)</f>
        <v>prioridad</v>
      </c>
      <c r="O627">
        <v>1</v>
      </c>
    </row>
    <row r="628" spans="1:15" ht="15" customHeight="1" x14ac:dyDescent="0.3">
      <c r="A628" s="8">
        <v>209668296</v>
      </c>
      <c r="B628" s="4" t="s">
        <v>345</v>
      </c>
      <c r="C628" s="4" t="s">
        <v>346</v>
      </c>
      <c r="D628" s="6">
        <v>46308.8887384259</v>
      </c>
      <c r="E628" s="6">
        <v>46308.638703703698</v>
      </c>
      <c r="F628" s="6">
        <v>46308</v>
      </c>
      <c r="G628" s="5" t="s">
        <v>12</v>
      </c>
      <c r="H628" s="5" t="s">
        <v>16</v>
      </c>
      <c r="I628" s="5">
        <v>5</v>
      </c>
      <c r="J628" s="9" t="s">
        <v>17</v>
      </c>
      <c r="K628" s="1" t="s">
        <v>920</v>
      </c>
      <c r="L628" t="s">
        <v>10</v>
      </c>
      <c r="M628" t="str">
        <f>+VLOOKUP(C628,'[1]TIENDAS 2025'!$A$1:$C$143,3,0)</f>
        <v>local</v>
      </c>
      <c r="O628">
        <v>1</v>
      </c>
    </row>
    <row r="629" spans="1:15" ht="15" customHeight="1" x14ac:dyDescent="0.3">
      <c r="A629" s="8">
        <v>209668297</v>
      </c>
      <c r="B629" s="4" t="s">
        <v>379</v>
      </c>
      <c r="C629" s="4" t="s">
        <v>380</v>
      </c>
      <c r="D629" s="6">
        <v>46308.888749999998</v>
      </c>
      <c r="E629" s="6">
        <v>46308.638715277797</v>
      </c>
      <c r="F629" s="6">
        <v>46308</v>
      </c>
      <c r="G629" s="5" t="s">
        <v>12</v>
      </c>
      <c r="H629" s="5" t="s">
        <v>16</v>
      </c>
      <c r="I629" s="5">
        <v>3</v>
      </c>
      <c r="J629" s="9" t="s">
        <v>17</v>
      </c>
      <c r="K629" s="1" t="s">
        <v>921</v>
      </c>
      <c r="L629" t="s">
        <v>10</v>
      </c>
      <c r="M629" t="str">
        <f>+VLOOKUP(C629,'[1]TIENDAS 2025'!$A$1:$C$143,3,0)</f>
        <v>departamental</v>
      </c>
      <c r="O629">
        <v>1</v>
      </c>
    </row>
    <row r="630" spans="1:15" ht="15" customHeight="1" x14ac:dyDescent="0.3">
      <c r="A630" s="8">
        <v>209668306</v>
      </c>
      <c r="B630" s="4" t="s">
        <v>533</v>
      </c>
      <c r="C630" s="4" t="s">
        <v>534</v>
      </c>
      <c r="D630" s="6">
        <v>46308.888761574097</v>
      </c>
      <c r="E630" s="6">
        <v>46308.6387384259</v>
      </c>
      <c r="F630" s="6">
        <v>46308</v>
      </c>
      <c r="G630" s="5" t="s">
        <v>12</v>
      </c>
      <c r="H630" s="5" t="s">
        <v>16</v>
      </c>
      <c r="I630" s="5">
        <v>2</v>
      </c>
      <c r="J630" s="9" t="s">
        <v>17</v>
      </c>
      <c r="K630" s="1" t="s">
        <v>922</v>
      </c>
      <c r="L630" t="s">
        <v>10</v>
      </c>
      <c r="M630" t="str">
        <f>+VLOOKUP(C630,'[1]TIENDAS 2025'!$A$1:$C$143,3,0)</f>
        <v>local</v>
      </c>
      <c r="O630">
        <v>1</v>
      </c>
    </row>
    <row r="631" spans="1:15" ht="15" customHeight="1" x14ac:dyDescent="0.3">
      <c r="A631" s="8">
        <v>209668317</v>
      </c>
      <c r="B631" s="4" t="s">
        <v>457</v>
      </c>
      <c r="C631" s="4" t="s">
        <v>458</v>
      </c>
      <c r="D631" s="6">
        <v>46308.888784722199</v>
      </c>
      <c r="E631" s="6">
        <v>46308.638749999998</v>
      </c>
      <c r="F631" s="6">
        <v>46308</v>
      </c>
      <c r="G631" s="5" t="s">
        <v>12</v>
      </c>
      <c r="H631" s="5" t="s">
        <v>16</v>
      </c>
      <c r="I631" s="5">
        <v>4</v>
      </c>
      <c r="J631" s="9" t="s">
        <v>17</v>
      </c>
      <c r="K631" s="1" t="s">
        <v>923</v>
      </c>
      <c r="L631" t="s">
        <v>10</v>
      </c>
      <c r="M631" t="str">
        <f>+VLOOKUP(C631,'[1]TIENDAS 2025'!$A$1:$C$143,3,0)</f>
        <v>departamental</v>
      </c>
      <c r="O631">
        <v>1</v>
      </c>
    </row>
    <row r="632" spans="1:15" ht="15" customHeight="1" x14ac:dyDescent="0.3">
      <c r="A632" s="8">
        <v>209668323</v>
      </c>
      <c r="B632" s="4" t="s">
        <v>217</v>
      </c>
      <c r="C632" s="4" t="s">
        <v>218</v>
      </c>
      <c r="D632" s="6">
        <v>46308.888796296298</v>
      </c>
      <c r="E632" s="6">
        <v>46308.638761574097</v>
      </c>
      <c r="F632" s="6">
        <v>46308</v>
      </c>
      <c r="G632" s="5" t="s">
        <v>12</v>
      </c>
      <c r="H632" s="5" t="s">
        <v>16</v>
      </c>
      <c r="I632" s="5">
        <v>1</v>
      </c>
      <c r="J632" s="9" t="s">
        <v>17</v>
      </c>
      <c r="K632" s="1" t="s">
        <v>924</v>
      </c>
      <c r="L632" t="s">
        <v>10</v>
      </c>
      <c r="M632" t="str">
        <f>+VLOOKUP(C632,'[1]TIENDAS 2025'!$A$1:$C$143,3,0)</f>
        <v>nocturna</v>
      </c>
      <c r="O632">
        <v>1</v>
      </c>
    </row>
    <row r="633" spans="1:15" ht="15" customHeight="1" x14ac:dyDescent="0.3">
      <c r="A633" s="8">
        <v>209668363</v>
      </c>
      <c r="B633" s="4" t="s">
        <v>289</v>
      </c>
      <c r="C633" s="4" t="s">
        <v>290</v>
      </c>
      <c r="D633" s="6">
        <v>46308.888807870397</v>
      </c>
      <c r="E633" s="6">
        <v>46308.638773148101</v>
      </c>
      <c r="F633" s="6">
        <v>46308</v>
      </c>
      <c r="G633" s="5" t="s">
        <v>12</v>
      </c>
      <c r="H633" s="5" t="s">
        <v>16</v>
      </c>
      <c r="I633" s="5">
        <v>6</v>
      </c>
      <c r="J633" s="9" t="s">
        <v>17</v>
      </c>
      <c r="K633" s="1" t="s">
        <v>925</v>
      </c>
      <c r="L633" t="s">
        <v>10</v>
      </c>
      <c r="M633" t="str">
        <f>+VLOOKUP(C633,'[1]TIENDAS 2025'!$A$1:$C$143,3,0)</f>
        <v>departamental</v>
      </c>
      <c r="O633">
        <v>1</v>
      </c>
    </row>
    <row r="634" spans="1:15" ht="15" customHeight="1" x14ac:dyDescent="0.3">
      <c r="A634" s="8">
        <v>209668273</v>
      </c>
      <c r="B634" s="4" t="s">
        <v>274</v>
      </c>
      <c r="C634" s="4" t="s">
        <v>275</v>
      </c>
      <c r="D634" s="6">
        <v>46308.888819444401</v>
      </c>
      <c r="E634" s="6">
        <v>46308.638784722199</v>
      </c>
      <c r="F634" s="6">
        <v>46308</v>
      </c>
      <c r="G634" s="5" t="s">
        <v>12</v>
      </c>
      <c r="H634" s="5" t="s">
        <v>16</v>
      </c>
      <c r="I634" s="5">
        <v>15</v>
      </c>
      <c r="J634" s="9" t="s">
        <v>17</v>
      </c>
      <c r="K634" s="1" t="s">
        <v>926</v>
      </c>
      <c r="L634" t="s">
        <v>10</v>
      </c>
      <c r="M634" t="str">
        <f>+VLOOKUP(C634,'[1]TIENDAS 2025'!$A$1:$C$143,3,0)</f>
        <v>nocturna</v>
      </c>
      <c r="O634">
        <v>1</v>
      </c>
    </row>
    <row r="635" spans="1:15" ht="15" customHeight="1" x14ac:dyDescent="0.3">
      <c r="A635" s="8">
        <v>209668278</v>
      </c>
      <c r="B635" s="4" t="s">
        <v>469</v>
      </c>
      <c r="C635" s="4" t="s">
        <v>470</v>
      </c>
      <c r="D635" s="6">
        <v>46308.888831018499</v>
      </c>
      <c r="E635" s="6">
        <v>46308.638807870397</v>
      </c>
      <c r="F635" s="6">
        <v>46308</v>
      </c>
      <c r="G635" s="5" t="s">
        <v>12</v>
      </c>
      <c r="H635" s="5" t="s">
        <v>16</v>
      </c>
      <c r="I635" s="5">
        <v>4</v>
      </c>
      <c r="J635" s="9" t="s">
        <v>17</v>
      </c>
      <c r="K635" s="1" t="s">
        <v>927</v>
      </c>
      <c r="L635" t="s">
        <v>10</v>
      </c>
      <c r="M635" t="str">
        <f>+VLOOKUP(C635,'[1]TIENDAS 2025'!$A$1:$C$143,3,0)</f>
        <v>departamental</v>
      </c>
      <c r="O635">
        <v>1</v>
      </c>
    </row>
    <row r="636" spans="1:15" ht="15" customHeight="1" x14ac:dyDescent="0.3">
      <c r="A636" s="8">
        <v>209668354</v>
      </c>
      <c r="B636" s="4" t="s">
        <v>199</v>
      </c>
      <c r="C636" s="4" t="s">
        <v>200</v>
      </c>
      <c r="D636" s="6">
        <v>46308.888854166697</v>
      </c>
      <c r="E636" s="6">
        <v>46308.638819444401</v>
      </c>
      <c r="F636" s="6">
        <v>46308</v>
      </c>
      <c r="G636" s="5" t="s">
        <v>12</v>
      </c>
      <c r="H636" s="5" t="s">
        <v>16</v>
      </c>
      <c r="I636" s="5">
        <v>9</v>
      </c>
      <c r="J636" s="9" t="s">
        <v>17</v>
      </c>
      <c r="K636" s="1" t="s">
        <v>928</v>
      </c>
      <c r="L636" t="s">
        <v>10</v>
      </c>
      <c r="M636" t="str">
        <f>+VLOOKUP(C636,'[1]TIENDAS 2025'!$A$1:$C$143,3,0)</f>
        <v>departamental</v>
      </c>
      <c r="O636">
        <v>1</v>
      </c>
    </row>
    <row r="637" spans="1:15" ht="15" customHeight="1" x14ac:dyDescent="0.3">
      <c r="A637" s="8">
        <v>209668339</v>
      </c>
      <c r="B637" s="4" t="s">
        <v>506</v>
      </c>
      <c r="C637" s="4" t="s">
        <v>507</v>
      </c>
      <c r="D637" s="6">
        <v>46308.888865740701</v>
      </c>
      <c r="E637" s="6">
        <v>46308.638831018499</v>
      </c>
      <c r="F637" s="6">
        <v>46308</v>
      </c>
      <c r="G637" s="5" t="s">
        <v>12</v>
      </c>
      <c r="H637" s="5" t="s">
        <v>16</v>
      </c>
      <c r="I637" s="5">
        <v>4</v>
      </c>
      <c r="J637" s="9" t="s">
        <v>17</v>
      </c>
      <c r="K637" s="1" t="s">
        <v>929</v>
      </c>
      <c r="L637" t="s">
        <v>10</v>
      </c>
      <c r="M637" t="str">
        <f>+VLOOKUP(C637,'[1]TIENDAS 2025'!$A$1:$C$143,3,0)</f>
        <v>departamental</v>
      </c>
      <c r="O637">
        <v>1</v>
      </c>
    </row>
    <row r="638" spans="1:15" ht="15" customHeight="1" x14ac:dyDescent="0.3">
      <c r="A638" s="8">
        <v>209668346</v>
      </c>
      <c r="B638" s="4" t="s">
        <v>551</v>
      </c>
      <c r="C638" s="4" t="s">
        <v>552</v>
      </c>
      <c r="D638" s="6">
        <v>46308.888877314799</v>
      </c>
      <c r="E638" s="6">
        <v>46308.638842592598</v>
      </c>
      <c r="F638" s="6">
        <v>46308</v>
      </c>
      <c r="G638" s="5" t="s">
        <v>12</v>
      </c>
      <c r="H638" s="5" t="s">
        <v>16</v>
      </c>
      <c r="I638" s="5">
        <v>1</v>
      </c>
      <c r="J638" s="9" t="s">
        <v>17</v>
      </c>
      <c r="K638" s="1" t="s">
        <v>930</v>
      </c>
      <c r="L638" t="s">
        <v>10</v>
      </c>
      <c r="M638" t="str">
        <f>+VLOOKUP(C638,'[1]TIENDAS 2025'!$A$1:$C$143,3,0)</f>
        <v>nocturna</v>
      </c>
      <c r="O638">
        <v>1</v>
      </c>
    </row>
    <row r="639" spans="1:15" ht="15" customHeight="1" x14ac:dyDescent="0.3">
      <c r="A639" s="8">
        <v>209668348</v>
      </c>
      <c r="B639" s="4" t="s">
        <v>262</v>
      </c>
      <c r="C639" s="4" t="s">
        <v>263</v>
      </c>
      <c r="D639" s="6">
        <v>46308.888888888898</v>
      </c>
      <c r="E639" s="6">
        <v>46308.638865740701</v>
      </c>
      <c r="F639" s="6">
        <v>46308</v>
      </c>
      <c r="G639" s="5" t="s">
        <v>12</v>
      </c>
      <c r="H639" s="5" t="s">
        <v>16</v>
      </c>
      <c r="I639" s="5">
        <v>2</v>
      </c>
      <c r="J639" s="9" t="s">
        <v>17</v>
      </c>
      <c r="K639" s="1" t="s">
        <v>931</v>
      </c>
      <c r="L639" t="s">
        <v>10</v>
      </c>
      <c r="M639" t="str">
        <f>+VLOOKUP(C639,'[1]TIENDAS 2025'!$A$1:$C$143,3,0)</f>
        <v>departamental</v>
      </c>
      <c r="O639">
        <v>1</v>
      </c>
    </row>
    <row r="640" spans="1:15" ht="15" customHeight="1" x14ac:dyDescent="0.3">
      <c r="A640" s="8">
        <v>209668288</v>
      </c>
      <c r="B640" s="4" t="s">
        <v>409</v>
      </c>
      <c r="C640" s="4" t="s">
        <v>410</v>
      </c>
      <c r="D640" s="6">
        <v>46308.888912037</v>
      </c>
      <c r="E640" s="6">
        <v>46308.638877314799</v>
      </c>
      <c r="F640" s="6">
        <v>46308</v>
      </c>
      <c r="G640" s="5" t="s">
        <v>12</v>
      </c>
      <c r="H640" s="5" t="s">
        <v>16</v>
      </c>
      <c r="I640" s="5">
        <v>3</v>
      </c>
      <c r="J640" s="9" t="s">
        <v>17</v>
      </c>
      <c r="K640" s="1" t="s">
        <v>932</v>
      </c>
      <c r="L640" t="s">
        <v>10</v>
      </c>
      <c r="M640" t="str">
        <f>+VLOOKUP(C640,'[1]TIENDAS 2025'!$A$1:$C$143,3,0)</f>
        <v>departamental</v>
      </c>
      <c r="O640">
        <v>1</v>
      </c>
    </row>
    <row r="641" spans="1:15" ht="15" customHeight="1" x14ac:dyDescent="0.3">
      <c r="A641" s="8">
        <v>209668309</v>
      </c>
      <c r="B641" s="4" t="s">
        <v>460</v>
      </c>
      <c r="C641" s="4" t="s">
        <v>461</v>
      </c>
      <c r="D641" s="6">
        <v>46308.888923611099</v>
      </c>
      <c r="E641" s="6">
        <v>46308.638888888898</v>
      </c>
      <c r="F641" s="6">
        <v>46308</v>
      </c>
      <c r="G641" s="5" t="s">
        <v>12</v>
      </c>
      <c r="H641" s="5" t="s">
        <v>16</v>
      </c>
      <c r="I641" s="5">
        <v>4</v>
      </c>
      <c r="J641" s="9" t="s">
        <v>17</v>
      </c>
      <c r="K641" s="1" t="s">
        <v>933</v>
      </c>
      <c r="L641" t="s">
        <v>10</v>
      </c>
      <c r="M641" t="str">
        <f>+VLOOKUP(C641,'[1]TIENDAS 2025'!$A$1:$C$143,3,0)</f>
        <v>prioridad</v>
      </c>
      <c r="O641">
        <v>1</v>
      </c>
    </row>
    <row r="642" spans="1:15" ht="15" customHeight="1" x14ac:dyDescent="0.3">
      <c r="A642" s="8">
        <v>209668311</v>
      </c>
      <c r="B642" s="4" t="s">
        <v>430</v>
      </c>
      <c r="C642" s="4" t="s">
        <v>431</v>
      </c>
      <c r="D642" s="6">
        <v>46308.888935185198</v>
      </c>
      <c r="E642" s="6">
        <v>46308.638900462996</v>
      </c>
      <c r="F642" s="6">
        <v>46308</v>
      </c>
      <c r="G642" s="5" t="s">
        <v>12</v>
      </c>
      <c r="H642" s="5" t="s">
        <v>16</v>
      </c>
      <c r="I642" s="5">
        <v>3</v>
      </c>
      <c r="J642" s="9" t="s">
        <v>17</v>
      </c>
      <c r="K642" s="1" t="s">
        <v>934</v>
      </c>
      <c r="L642" t="s">
        <v>10</v>
      </c>
      <c r="M642" t="str">
        <f>+VLOOKUP(C642,'[1]TIENDAS 2025'!$A$1:$C$143,3,0)</f>
        <v>prioridad</v>
      </c>
      <c r="O642">
        <v>1</v>
      </c>
    </row>
    <row r="643" spans="1:15" ht="15" customHeight="1" x14ac:dyDescent="0.3">
      <c r="A643" s="8">
        <v>209668318</v>
      </c>
      <c r="B643" s="4" t="s">
        <v>406</v>
      </c>
      <c r="C643" s="4" t="s">
        <v>407</v>
      </c>
      <c r="D643" s="6">
        <v>46308.888946759304</v>
      </c>
      <c r="E643" s="6">
        <v>46308.638912037</v>
      </c>
      <c r="F643" s="6">
        <v>46308</v>
      </c>
      <c r="G643" s="5" t="s">
        <v>12</v>
      </c>
      <c r="H643" s="5" t="s">
        <v>16</v>
      </c>
      <c r="I643" s="5">
        <v>3</v>
      </c>
      <c r="J643" s="9" t="s">
        <v>17</v>
      </c>
      <c r="K643" s="1" t="s">
        <v>935</v>
      </c>
      <c r="L643" t="s">
        <v>10</v>
      </c>
      <c r="M643" t="str">
        <f>+VLOOKUP(C643,'[1]TIENDAS 2025'!$A$1:$C$143,3,0)</f>
        <v>nocturna</v>
      </c>
      <c r="O643">
        <v>1</v>
      </c>
    </row>
    <row r="644" spans="1:15" ht="15" customHeight="1" x14ac:dyDescent="0.3">
      <c r="A644" s="8">
        <v>209668362</v>
      </c>
      <c r="B644" s="4" t="s">
        <v>394</v>
      </c>
      <c r="C644" s="4" t="s">
        <v>395</v>
      </c>
      <c r="D644" s="6">
        <v>46308.8889583333</v>
      </c>
      <c r="E644" s="6">
        <v>46308.638935185198</v>
      </c>
      <c r="F644" s="6">
        <v>46308</v>
      </c>
      <c r="G644" s="5" t="s">
        <v>12</v>
      </c>
      <c r="H644" s="5" t="s">
        <v>16</v>
      </c>
      <c r="I644" s="5">
        <v>1</v>
      </c>
      <c r="J644" s="9" t="s">
        <v>17</v>
      </c>
      <c r="K644" s="1" t="s">
        <v>936</v>
      </c>
      <c r="L644" t="s">
        <v>10</v>
      </c>
      <c r="M644" t="str">
        <f>+VLOOKUP(C644,'[1]TIENDAS 2025'!$A$1:$C$143,3,0)</f>
        <v>local</v>
      </c>
      <c r="O644">
        <v>1</v>
      </c>
    </row>
    <row r="645" spans="1:15" ht="15" customHeight="1" x14ac:dyDescent="0.3">
      <c r="A645" s="8">
        <v>209668352</v>
      </c>
      <c r="B645" s="4" t="s">
        <v>512</v>
      </c>
      <c r="C645" s="4" t="s">
        <v>513</v>
      </c>
      <c r="D645" s="6">
        <v>46308.888981481497</v>
      </c>
      <c r="E645" s="6">
        <v>46308.638946759304</v>
      </c>
      <c r="F645" s="6">
        <v>46308</v>
      </c>
      <c r="G645" s="5" t="s">
        <v>12</v>
      </c>
      <c r="H645" s="5" t="s">
        <v>16</v>
      </c>
      <c r="I645" s="5">
        <v>1</v>
      </c>
      <c r="J645" s="9" t="s">
        <v>17</v>
      </c>
      <c r="K645" s="1" t="s">
        <v>937</v>
      </c>
      <c r="L645" t="s">
        <v>10</v>
      </c>
      <c r="M645" t="str">
        <f>+VLOOKUP(C645,'[1]TIENDAS 2025'!$A$1:$C$143,3,0)</f>
        <v>prioridad</v>
      </c>
      <c r="O645">
        <v>1</v>
      </c>
    </row>
    <row r="646" spans="1:15" ht="15" customHeight="1" x14ac:dyDescent="0.3">
      <c r="A646" s="8">
        <v>209668355</v>
      </c>
      <c r="B646" s="4" t="s">
        <v>348</v>
      </c>
      <c r="C646" s="4" t="s">
        <v>349</v>
      </c>
      <c r="D646" s="6">
        <v>46308.888993055603</v>
      </c>
      <c r="E646" s="6">
        <v>46308.638969907399</v>
      </c>
      <c r="F646" s="6">
        <v>46308</v>
      </c>
      <c r="G646" s="5" t="s">
        <v>12</v>
      </c>
      <c r="H646" s="5" t="s">
        <v>16</v>
      </c>
      <c r="I646" s="5">
        <v>1</v>
      </c>
      <c r="J646" s="9" t="s">
        <v>17</v>
      </c>
      <c r="K646" s="1" t="s">
        <v>938</v>
      </c>
      <c r="L646" t="s">
        <v>10</v>
      </c>
      <c r="M646" t="str">
        <f>+VLOOKUP(C646,'[1]TIENDAS 2025'!$A$1:$C$143,3,0)</f>
        <v>local</v>
      </c>
      <c r="O646">
        <v>1</v>
      </c>
    </row>
    <row r="647" spans="1:15" ht="15" customHeight="1" x14ac:dyDescent="0.3">
      <c r="A647" s="8">
        <v>209668280</v>
      </c>
      <c r="B647" s="4" t="s">
        <v>542</v>
      </c>
      <c r="C647" s="4" t="s">
        <v>543</v>
      </c>
      <c r="D647" s="6">
        <v>46308.888993055603</v>
      </c>
      <c r="E647" s="6">
        <v>46308.6389583333</v>
      </c>
      <c r="F647" s="6">
        <v>46308</v>
      </c>
      <c r="G647" s="5" t="s">
        <v>12</v>
      </c>
      <c r="H647" s="5" t="s">
        <v>16</v>
      </c>
      <c r="I647" s="5">
        <v>7</v>
      </c>
      <c r="J647" s="9" t="s">
        <v>17</v>
      </c>
      <c r="K647" s="1" t="s">
        <v>939</v>
      </c>
      <c r="L647" t="s">
        <v>10</v>
      </c>
      <c r="M647" t="str">
        <f>+VLOOKUP(C647,'[1]TIENDAS 2025'!$A$1:$C$143,3,0)</f>
        <v>prioridad</v>
      </c>
      <c r="O647">
        <v>1</v>
      </c>
    </row>
    <row r="648" spans="1:15" ht="15" customHeight="1" x14ac:dyDescent="0.3">
      <c r="A648" s="8">
        <v>209668357</v>
      </c>
      <c r="B648" s="4" t="s">
        <v>478</v>
      </c>
      <c r="C648" s="4" t="s">
        <v>479</v>
      </c>
      <c r="D648" s="6">
        <v>46308.889016203699</v>
      </c>
      <c r="E648" s="6">
        <v>46308.638981481497</v>
      </c>
      <c r="F648" s="6">
        <v>46308</v>
      </c>
      <c r="G648" s="5" t="s">
        <v>12</v>
      </c>
      <c r="H648" s="5" t="s">
        <v>16</v>
      </c>
      <c r="I648" s="5">
        <v>3</v>
      </c>
      <c r="J648" s="9" t="s">
        <v>17</v>
      </c>
      <c r="K648" s="1" t="s">
        <v>940</v>
      </c>
      <c r="L648" t="s">
        <v>10</v>
      </c>
      <c r="M648" t="str">
        <f>+VLOOKUP(C648,'[1]TIENDAS 2025'!$A$1:$C$143,3,0)</f>
        <v>departamental</v>
      </c>
      <c r="O648">
        <v>1</v>
      </c>
    </row>
    <row r="649" spans="1:15" ht="15" customHeight="1" x14ac:dyDescent="0.3">
      <c r="A649" s="8">
        <v>209668245</v>
      </c>
      <c r="B649" s="4" t="s">
        <v>515</v>
      </c>
      <c r="C649" s="4" t="s">
        <v>516</v>
      </c>
      <c r="D649" s="6">
        <v>46308.889027777797</v>
      </c>
      <c r="E649" s="6">
        <v>46308.6390046296</v>
      </c>
      <c r="F649" s="6">
        <v>46308</v>
      </c>
      <c r="G649" s="5" t="s">
        <v>12</v>
      </c>
      <c r="H649" s="5" t="s">
        <v>16</v>
      </c>
      <c r="I649" s="5">
        <v>2</v>
      </c>
      <c r="J649" s="9" t="s">
        <v>17</v>
      </c>
      <c r="K649" s="1" t="s">
        <v>941</v>
      </c>
      <c r="L649" t="s">
        <v>10</v>
      </c>
      <c r="M649" t="str">
        <f>+VLOOKUP(C649,'[1]TIENDAS 2025'!$A$1:$C$143,3,0)</f>
        <v>prioridad</v>
      </c>
      <c r="O649">
        <v>1</v>
      </c>
    </row>
    <row r="650" spans="1:15" ht="15" customHeight="1" x14ac:dyDescent="0.3">
      <c r="A650" s="8">
        <v>209668266</v>
      </c>
      <c r="B650" s="4" t="s">
        <v>354</v>
      </c>
      <c r="C650" s="4" t="s">
        <v>355</v>
      </c>
      <c r="D650" s="6">
        <v>46308.8890509259</v>
      </c>
      <c r="E650" s="6">
        <v>46308.639016203699</v>
      </c>
      <c r="F650" s="6">
        <v>46308</v>
      </c>
      <c r="G650" s="5" t="s">
        <v>12</v>
      </c>
      <c r="H650" s="5" t="s">
        <v>16</v>
      </c>
      <c r="I650" s="5">
        <v>11</v>
      </c>
      <c r="J650" s="9" t="s">
        <v>17</v>
      </c>
      <c r="K650" s="1" t="s">
        <v>942</v>
      </c>
      <c r="L650" t="s">
        <v>10</v>
      </c>
      <c r="M650" t="str">
        <f>+VLOOKUP(C650,'[1]TIENDAS 2025'!$A$1:$C$143,3,0)</f>
        <v>nocturna</v>
      </c>
      <c r="O650">
        <v>1</v>
      </c>
    </row>
    <row r="651" spans="1:15" ht="15" customHeight="1" x14ac:dyDescent="0.3">
      <c r="A651" s="8">
        <v>209668247</v>
      </c>
      <c r="B651" s="4" t="s">
        <v>196</v>
      </c>
      <c r="C651" s="4" t="s">
        <v>197</v>
      </c>
      <c r="D651" s="6">
        <v>46308.889062499999</v>
      </c>
      <c r="E651" s="6">
        <v>46308.639027777797</v>
      </c>
      <c r="F651" s="6">
        <v>46308</v>
      </c>
      <c r="G651" s="5" t="s">
        <v>12</v>
      </c>
      <c r="H651" s="5" t="s">
        <v>16</v>
      </c>
      <c r="I651" s="5">
        <v>2</v>
      </c>
      <c r="J651" s="9" t="s">
        <v>17</v>
      </c>
      <c r="K651" s="1" t="s">
        <v>943</v>
      </c>
      <c r="L651" t="s">
        <v>10</v>
      </c>
      <c r="M651" t="str">
        <f>+VLOOKUP(C651,'[1]TIENDAS 2025'!$A$1:$C$143,3,0)</f>
        <v>departamental</v>
      </c>
      <c r="O651">
        <v>1</v>
      </c>
    </row>
    <row r="652" spans="1:15" ht="15" customHeight="1" x14ac:dyDescent="0.3">
      <c r="A652" s="8">
        <v>209668251</v>
      </c>
      <c r="B652" s="4" t="s">
        <v>500</v>
      </c>
      <c r="C652" s="4" t="s">
        <v>501</v>
      </c>
      <c r="D652" s="6">
        <v>46308.889074074097</v>
      </c>
      <c r="E652" s="6">
        <v>46308.639039351903</v>
      </c>
      <c r="F652" s="6">
        <v>46308</v>
      </c>
      <c r="G652" s="5" t="s">
        <v>12</v>
      </c>
      <c r="H652" s="5" t="s">
        <v>16</v>
      </c>
      <c r="I652" s="5">
        <v>4</v>
      </c>
      <c r="J652" s="9" t="s">
        <v>17</v>
      </c>
      <c r="K652" s="1" t="s">
        <v>944</v>
      </c>
      <c r="L652" t="s">
        <v>10</v>
      </c>
      <c r="M652" t="str">
        <f>+VLOOKUP(C652,'[1]TIENDAS 2025'!$A$1:$C$143,3,0)</f>
        <v>departamental</v>
      </c>
      <c r="O652">
        <v>1</v>
      </c>
    </row>
    <row r="653" spans="1:15" ht="15" customHeight="1" x14ac:dyDescent="0.3">
      <c r="A653" s="8">
        <v>209668289</v>
      </c>
      <c r="B653" s="4" t="s">
        <v>548</v>
      </c>
      <c r="C653" s="4" t="s">
        <v>549</v>
      </c>
      <c r="D653" s="6">
        <v>46308.889108796298</v>
      </c>
      <c r="E653" s="6">
        <v>46308.639074074097</v>
      </c>
      <c r="F653" s="6">
        <v>46308</v>
      </c>
      <c r="G653" s="5" t="s">
        <v>12</v>
      </c>
      <c r="H653" s="5" t="s">
        <v>16</v>
      </c>
      <c r="I653" s="5">
        <v>1</v>
      </c>
      <c r="J653" s="9" t="s">
        <v>17</v>
      </c>
      <c r="K653" s="1" t="s">
        <v>945</v>
      </c>
      <c r="L653" t="s">
        <v>10</v>
      </c>
      <c r="M653" t="str">
        <f>+VLOOKUP(C653,'[1]TIENDAS 2025'!$A$1:$C$143,3,0)</f>
        <v>departamental</v>
      </c>
      <c r="O653">
        <v>1</v>
      </c>
    </row>
    <row r="654" spans="1:15" ht="15" customHeight="1" x14ac:dyDescent="0.3">
      <c r="A654" s="8">
        <v>209668290</v>
      </c>
      <c r="B654" s="4" t="s">
        <v>536</v>
      </c>
      <c r="C654" s="4" t="s">
        <v>537</v>
      </c>
      <c r="D654" s="6">
        <v>46308.889120370397</v>
      </c>
      <c r="E654" s="6">
        <v>46308.639085648101</v>
      </c>
      <c r="F654" s="6">
        <v>46308</v>
      </c>
      <c r="G654" s="5" t="s">
        <v>12</v>
      </c>
      <c r="H654" s="5" t="s">
        <v>16</v>
      </c>
      <c r="I654" s="5">
        <v>5</v>
      </c>
      <c r="J654" s="9" t="s">
        <v>17</v>
      </c>
      <c r="K654" s="1" t="s">
        <v>946</v>
      </c>
      <c r="L654" t="s">
        <v>10</v>
      </c>
      <c r="M654" t="str">
        <f>+VLOOKUP(C654,'[1]TIENDAS 2025'!$A$1:$C$143,3,0)</f>
        <v>departamental</v>
      </c>
      <c r="O654">
        <v>1</v>
      </c>
    </row>
    <row r="655" spans="1:15" ht="15" customHeight="1" x14ac:dyDescent="0.3">
      <c r="A655" s="8">
        <v>209668255</v>
      </c>
      <c r="B655" s="4" t="s">
        <v>530</v>
      </c>
      <c r="C655" s="4" t="s">
        <v>531</v>
      </c>
      <c r="D655" s="6">
        <v>46308.889131944401</v>
      </c>
      <c r="E655" s="6">
        <v>46308.6390972222</v>
      </c>
      <c r="F655" s="6">
        <v>46308</v>
      </c>
      <c r="G655" s="5" t="s">
        <v>12</v>
      </c>
      <c r="H655" s="5" t="s">
        <v>16</v>
      </c>
      <c r="I655" s="5">
        <v>2</v>
      </c>
      <c r="J655" s="9" t="s">
        <v>17</v>
      </c>
      <c r="K655" s="1" t="s">
        <v>947</v>
      </c>
      <c r="L655" t="s">
        <v>10</v>
      </c>
      <c r="M655" t="str">
        <f>+VLOOKUP(C655,'[1]TIENDAS 2025'!$A$1:$C$143,3,0)</f>
        <v>local</v>
      </c>
      <c r="O655">
        <v>1</v>
      </c>
    </row>
    <row r="656" spans="1:15" ht="15" customHeight="1" x14ac:dyDescent="0.3">
      <c r="A656" s="8">
        <v>209668291</v>
      </c>
      <c r="B656" s="4" t="s">
        <v>433</v>
      </c>
      <c r="C656" s="4" t="s">
        <v>434</v>
      </c>
      <c r="D656" s="6">
        <v>46308.8891435185</v>
      </c>
      <c r="E656" s="6">
        <v>46308.639120370397</v>
      </c>
      <c r="F656" s="6">
        <v>46308</v>
      </c>
      <c r="G656" s="5" t="s">
        <v>12</v>
      </c>
      <c r="H656" s="5" t="s">
        <v>16</v>
      </c>
      <c r="I656" s="5">
        <v>11</v>
      </c>
      <c r="J656" s="9" t="s">
        <v>17</v>
      </c>
      <c r="K656" s="1" t="s">
        <v>948</v>
      </c>
      <c r="L656" t="s">
        <v>10</v>
      </c>
      <c r="M656" t="str">
        <f>+VLOOKUP(C656,'[1]TIENDAS 2025'!$A$1:$C$143,3,0)</f>
        <v>prioridad</v>
      </c>
      <c r="O656">
        <v>1</v>
      </c>
    </row>
    <row r="657" spans="1:15" ht="15" customHeight="1" x14ac:dyDescent="0.3">
      <c r="A657" s="8">
        <v>209668259</v>
      </c>
      <c r="B657" s="4" t="s">
        <v>503</v>
      </c>
      <c r="C657" s="4" t="s">
        <v>504</v>
      </c>
      <c r="D657" s="6">
        <v>46308.889155092598</v>
      </c>
      <c r="E657" s="6">
        <v>46308.639131944401</v>
      </c>
      <c r="F657" s="6">
        <v>46308</v>
      </c>
      <c r="G657" s="5" t="s">
        <v>12</v>
      </c>
      <c r="H657" s="5" t="s">
        <v>16</v>
      </c>
      <c r="I657" s="5">
        <v>1</v>
      </c>
      <c r="J657" s="9" t="s">
        <v>17</v>
      </c>
      <c r="K657" s="1" t="s">
        <v>949</v>
      </c>
      <c r="L657" t="s">
        <v>10</v>
      </c>
      <c r="M657" t="str">
        <f>+VLOOKUP(C657,'[1]TIENDAS 2025'!$A$1:$C$143,3,0)</f>
        <v>departamental</v>
      </c>
      <c r="O657">
        <v>1</v>
      </c>
    </row>
    <row r="658" spans="1:15" ht="15" customHeight="1" x14ac:dyDescent="0.3">
      <c r="A658" s="8">
        <v>209668316</v>
      </c>
      <c r="B658" s="4" t="s">
        <v>157</v>
      </c>
      <c r="C658" s="4" t="s">
        <v>158</v>
      </c>
      <c r="D658" s="6">
        <v>46308.889178240701</v>
      </c>
      <c r="E658" s="6">
        <v>46308.6391435185</v>
      </c>
      <c r="F658" s="6">
        <v>46308</v>
      </c>
      <c r="G658" s="5" t="s">
        <v>12</v>
      </c>
      <c r="H658" s="5" t="s">
        <v>16</v>
      </c>
      <c r="I658" s="5">
        <v>6</v>
      </c>
      <c r="J658" s="9" t="s">
        <v>17</v>
      </c>
      <c r="K658" s="1" t="s">
        <v>950</v>
      </c>
      <c r="L658" t="s">
        <v>10</v>
      </c>
      <c r="M658" t="str">
        <f>+VLOOKUP(C658,'[1]TIENDAS 2025'!$A$1:$C$143,3,0)</f>
        <v>departamental</v>
      </c>
      <c r="O658">
        <v>1</v>
      </c>
    </row>
    <row r="659" spans="1:15" ht="15" customHeight="1" x14ac:dyDescent="0.3">
      <c r="A659" s="8">
        <v>209668326</v>
      </c>
      <c r="B659" s="4" t="s">
        <v>412</v>
      </c>
      <c r="C659" s="4" t="s">
        <v>413</v>
      </c>
      <c r="D659" s="6">
        <v>46308.889189814799</v>
      </c>
      <c r="E659" s="6">
        <v>46308.639155092598</v>
      </c>
      <c r="F659" s="6">
        <v>46308</v>
      </c>
      <c r="G659" s="5" t="s">
        <v>12</v>
      </c>
      <c r="H659" s="5" t="s">
        <v>16</v>
      </c>
      <c r="I659" s="5">
        <v>4</v>
      </c>
      <c r="J659" s="9" t="s">
        <v>17</v>
      </c>
      <c r="K659" s="1" t="s">
        <v>951</v>
      </c>
      <c r="L659" t="s">
        <v>10</v>
      </c>
      <c r="M659" t="str">
        <f>+VLOOKUP(C659,'[1]TIENDAS 2025'!$A$1:$C$143,3,0)</f>
        <v>local</v>
      </c>
      <c r="O659">
        <v>1</v>
      </c>
    </row>
    <row r="660" spans="1:15" ht="15" customHeight="1" x14ac:dyDescent="0.3">
      <c r="A660" s="8">
        <v>209668335</v>
      </c>
      <c r="B660" s="4" t="s">
        <v>292</v>
      </c>
      <c r="C660" s="4" t="s">
        <v>293</v>
      </c>
      <c r="D660" s="6">
        <v>46308.889201388898</v>
      </c>
      <c r="E660" s="6">
        <v>46308.639166666697</v>
      </c>
      <c r="F660" s="6">
        <v>46308</v>
      </c>
      <c r="G660" s="5" t="s">
        <v>12</v>
      </c>
      <c r="H660" s="5" t="s">
        <v>16</v>
      </c>
      <c r="I660" s="5">
        <v>3</v>
      </c>
      <c r="J660" s="9" t="s">
        <v>17</v>
      </c>
      <c r="K660" s="1" t="s">
        <v>952</v>
      </c>
      <c r="L660" t="s">
        <v>10</v>
      </c>
      <c r="M660" t="str">
        <f>+VLOOKUP(C660,'[1]TIENDAS 2025'!$A$1:$C$143,3,0)</f>
        <v>local</v>
      </c>
      <c r="O660">
        <v>1</v>
      </c>
    </row>
    <row r="661" spans="1:15" ht="15" customHeight="1" x14ac:dyDescent="0.3">
      <c r="A661" s="8">
        <v>209668350</v>
      </c>
      <c r="B661" s="4" t="s">
        <v>208</v>
      </c>
      <c r="C661" s="4" t="s">
        <v>209</v>
      </c>
      <c r="D661" s="6">
        <v>46308.889212962997</v>
      </c>
      <c r="E661" s="6">
        <v>46308.639189814799</v>
      </c>
      <c r="F661" s="6">
        <v>46308</v>
      </c>
      <c r="G661" s="5" t="s">
        <v>12</v>
      </c>
      <c r="H661" s="5" t="s">
        <v>16</v>
      </c>
      <c r="I661" s="5">
        <v>4</v>
      </c>
      <c r="J661" s="9" t="s">
        <v>17</v>
      </c>
      <c r="K661" s="1" t="s">
        <v>953</v>
      </c>
      <c r="L661" t="s">
        <v>10</v>
      </c>
      <c r="M661" t="str">
        <f>+VLOOKUP(C661,'[1]TIENDAS 2025'!$A$1:$C$143,3,0)</f>
        <v>local</v>
      </c>
      <c r="O661">
        <v>1</v>
      </c>
    </row>
    <row r="662" spans="1:15" ht="15" customHeight="1" x14ac:dyDescent="0.3">
      <c r="A662" s="8">
        <v>209668351</v>
      </c>
      <c r="B662" s="4" t="s">
        <v>190</v>
      </c>
      <c r="C662" s="4" t="s">
        <v>191</v>
      </c>
      <c r="D662" s="6">
        <v>46308.889236111099</v>
      </c>
      <c r="E662" s="6">
        <v>46308.639201388898</v>
      </c>
      <c r="F662" s="6">
        <v>46308</v>
      </c>
      <c r="G662" s="5" t="s">
        <v>12</v>
      </c>
      <c r="H662" s="5" t="s">
        <v>16</v>
      </c>
      <c r="I662" s="5">
        <v>1</v>
      </c>
      <c r="J662" s="9" t="s">
        <v>17</v>
      </c>
      <c r="K662" s="1" t="s">
        <v>954</v>
      </c>
      <c r="L662" t="s">
        <v>10</v>
      </c>
      <c r="M662" t="str">
        <f>+VLOOKUP(C662,'[1]TIENDAS 2025'!$A$1:$C$143,3,0)</f>
        <v>departamental</v>
      </c>
      <c r="O662">
        <v>1</v>
      </c>
    </row>
    <row r="663" spans="1:15" ht="15" customHeight="1" x14ac:dyDescent="0.3">
      <c r="A663" s="8">
        <v>209668267</v>
      </c>
      <c r="B663" s="4" t="s">
        <v>283</v>
      </c>
      <c r="C663" s="4" t="s">
        <v>284</v>
      </c>
      <c r="D663" s="6">
        <v>46308.889247685198</v>
      </c>
      <c r="E663" s="6">
        <v>46308.639212962997</v>
      </c>
      <c r="F663" s="6">
        <v>46308</v>
      </c>
      <c r="G663" s="5" t="s">
        <v>12</v>
      </c>
      <c r="H663" s="5" t="s">
        <v>16</v>
      </c>
      <c r="I663" s="5">
        <v>6</v>
      </c>
      <c r="J663" s="9" t="s">
        <v>17</v>
      </c>
      <c r="K663" s="1" t="s">
        <v>955</v>
      </c>
      <c r="L663" t="s">
        <v>10</v>
      </c>
      <c r="M663" t="str">
        <f>+VLOOKUP(C663,'[1]TIENDAS 2025'!$A$1:$C$143,3,0)</f>
        <v>prioridad</v>
      </c>
      <c r="O663">
        <v>1</v>
      </c>
    </row>
    <row r="664" spans="1:15" ht="15" customHeight="1" x14ac:dyDescent="0.3">
      <c r="A664" s="8">
        <v>209668268</v>
      </c>
      <c r="B664" s="4" t="s">
        <v>448</v>
      </c>
      <c r="C664" s="4" t="s">
        <v>449</v>
      </c>
      <c r="D664" s="6">
        <v>46308.889259259297</v>
      </c>
      <c r="E664" s="6">
        <v>46308.639224537001</v>
      </c>
      <c r="F664" s="6">
        <v>46308</v>
      </c>
      <c r="G664" s="5" t="s">
        <v>12</v>
      </c>
      <c r="H664" s="5" t="s">
        <v>16</v>
      </c>
      <c r="I664" s="5">
        <v>5</v>
      </c>
      <c r="J664" s="9" t="s">
        <v>17</v>
      </c>
      <c r="K664" s="1" t="s">
        <v>956</v>
      </c>
      <c r="L664" t="s">
        <v>10</v>
      </c>
      <c r="M664" t="str">
        <f>+VLOOKUP(C664,'[1]TIENDAS 2025'!$A$1:$C$143,3,0)</f>
        <v>local</v>
      </c>
      <c r="O664">
        <v>1</v>
      </c>
    </row>
    <row r="665" spans="1:15" ht="15" customHeight="1" x14ac:dyDescent="0.3">
      <c r="A665" s="8">
        <v>209668269</v>
      </c>
      <c r="B665" s="4" t="s">
        <v>193</v>
      </c>
      <c r="C665" s="4" t="s">
        <v>194</v>
      </c>
      <c r="D665" s="6">
        <v>46308.889270833301</v>
      </c>
      <c r="E665" s="6">
        <v>46308.639247685198</v>
      </c>
      <c r="F665" s="6">
        <v>46308</v>
      </c>
      <c r="G665" s="5" t="s">
        <v>12</v>
      </c>
      <c r="H665" s="5" t="s">
        <v>16</v>
      </c>
      <c r="I665" s="5">
        <v>1</v>
      </c>
      <c r="J665" s="9" t="s">
        <v>17</v>
      </c>
      <c r="K665" s="1" t="s">
        <v>957</v>
      </c>
      <c r="L665" t="s">
        <v>10</v>
      </c>
      <c r="M665" t="str">
        <f>+VLOOKUP(C665,'[1]TIENDAS 2025'!$A$1:$C$143,3,0)</f>
        <v>local</v>
      </c>
      <c r="O665">
        <v>1</v>
      </c>
    </row>
    <row r="666" spans="1:15" ht="15" customHeight="1" x14ac:dyDescent="0.3">
      <c r="A666" s="8">
        <v>209668284</v>
      </c>
      <c r="B666" s="4" t="s">
        <v>184</v>
      </c>
      <c r="C666" s="4" t="s">
        <v>185</v>
      </c>
      <c r="D666" s="6">
        <v>46308.889282407399</v>
      </c>
      <c r="E666" s="6">
        <v>46308.639259259297</v>
      </c>
      <c r="F666" s="6">
        <v>46308</v>
      </c>
      <c r="G666" s="5" t="s">
        <v>12</v>
      </c>
      <c r="H666" s="5" t="s">
        <v>16</v>
      </c>
      <c r="I666" s="5">
        <v>5</v>
      </c>
      <c r="J666" s="9" t="s">
        <v>17</v>
      </c>
      <c r="K666" s="1" t="s">
        <v>958</v>
      </c>
      <c r="L666" t="s">
        <v>10</v>
      </c>
      <c r="M666" t="str">
        <f>+VLOOKUP(C666,'[1]TIENDAS 2025'!$A$1:$C$143,3,0)</f>
        <v>nocturna</v>
      </c>
      <c r="O666">
        <v>1</v>
      </c>
    </row>
    <row r="667" spans="1:15" ht="15" customHeight="1" x14ac:dyDescent="0.3">
      <c r="A667" s="8">
        <v>209668286</v>
      </c>
      <c r="B667" s="4" t="s">
        <v>424</v>
      </c>
      <c r="C667" s="4" t="s">
        <v>425</v>
      </c>
      <c r="D667" s="6">
        <v>46308.889305555596</v>
      </c>
      <c r="E667" s="6">
        <v>46308.639270833301</v>
      </c>
      <c r="F667" s="6">
        <v>46308</v>
      </c>
      <c r="G667" s="5" t="s">
        <v>12</v>
      </c>
      <c r="H667" s="5" t="s">
        <v>16</v>
      </c>
      <c r="I667" s="5">
        <v>5</v>
      </c>
      <c r="J667" s="9" t="s">
        <v>17</v>
      </c>
      <c r="K667" s="1" t="s">
        <v>959</v>
      </c>
      <c r="L667" t="s">
        <v>10</v>
      </c>
      <c r="M667" t="str">
        <f>+VLOOKUP(C667,'[1]TIENDAS 2025'!$A$1:$C$143,3,0)</f>
        <v>prioridad</v>
      </c>
      <c r="O667">
        <v>1</v>
      </c>
    </row>
    <row r="668" spans="1:15" ht="15" customHeight="1" x14ac:dyDescent="0.3">
      <c r="A668" s="8">
        <v>209668293</v>
      </c>
      <c r="B668" s="4" t="s">
        <v>277</v>
      </c>
      <c r="C668" s="4" t="s">
        <v>278</v>
      </c>
      <c r="D668" s="6">
        <v>46308.8893171296</v>
      </c>
      <c r="E668" s="6">
        <v>46308.639282407399</v>
      </c>
      <c r="F668" s="6">
        <v>46308</v>
      </c>
      <c r="G668" s="5" t="s">
        <v>12</v>
      </c>
      <c r="H668" s="5" t="s">
        <v>16</v>
      </c>
      <c r="I668" s="5">
        <v>1</v>
      </c>
      <c r="J668" s="9" t="s">
        <v>17</v>
      </c>
      <c r="K668" s="1" t="s">
        <v>960</v>
      </c>
      <c r="L668" t="s">
        <v>10</v>
      </c>
      <c r="M668" t="str">
        <f>+VLOOKUP(C668,'[1]TIENDAS 2025'!$A$1:$C$143,3,0)</f>
        <v>local</v>
      </c>
      <c r="O668">
        <v>1</v>
      </c>
    </row>
    <row r="669" spans="1:15" ht="15" customHeight="1" x14ac:dyDescent="0.3">
      <c r="A669" s="8">
        <v>209668299</v>
      </c>
      <c r="B669" s="4" t="s">
        <v>327</v>
      </c>
      <c r="C669" s="4" t="s">
        <v>328</v>
      </c>
      <c r="D669" s="6">
        <v>46308.889340277798</v>
      </c>
      <c r="E669" s="6">
        <v>46308.639293981498</v>
      </c>
      <c r="F669" s="6">
        <v>46308</v>
      </c>
      <c r="G669" s="5" t="s">
        <v>12</v>
      </c>
      <c r="H669" s="5" t="s">
        <v>16</v>
      </c>
      <c r="I669" s="5">
        <v>1</v>
      </c>
      <c r="J669" s="9" t="s">
        <v>17</v>
      </c>
      <c r="K669" s="1" t="s">
        <v>961</v>
      </c>
      <c r="L669" t="s">
        <v>10</v>
      </c>
      <c r="M669" t="str">
        <f>+VLOOKUP(C669,'[1]TIENDAS 2025'!$A$1:$C$143,3,0)</f>
        <v>local</v>
      </c>
      <c r="O669">
        <v>1</v>
      </c>
    </row>
    <row r="670" spans="1:15" ht="15" customHeight="1" x14ac:dyDescent="0.3">
      <c r="A670" s="8">
        <v>209668307</v>
      </c>
      <c r="B670" s="4" t="s">
        <v>271</v>
      </c>
      <c r="C670" s="4" t="s">
        <v>272</v>
      </c>
      <c r="D670" s="6">
        <v>46308.889340277798</v>
      </c>
      <c r="E670" s="6">
        <v>46308.6393171296</v>
      </c>
      <c r="F670" s="6">
        <v>46308</v>
      </c>
      <c r="G670" s="5" t="s">
        <v>12</v>
      </c>
      <c r="H670" s="5" t="s">
        <v>16</v>
      </c>
      <c r="I670" s="5">
        <v>2</v>
      </c>
      <c r="J670" s="9" t="s">
        <v>17</v>
      </c>
      <c r="K670" s="1" t="s">
        <v>962</v>
      </c>
      <c r="L670" t="s">
        <v>10</v>
      </c>
      <c r="M670" t="str">
        <f>+VLOOKUP(C670,'[1]TIENDAS 2025'!$A$1:$C$143,3,0)</f>
        <v>local</v>
      </c>
      <c r="O670">
        <v>1</v>
      </c>
    </row>
    <row r="671" spans="1:15" ht="15" customHeight="1" x14ac:dyDescent="0.3">
      <c r="A671" s="8">
        <v>209668308</v>
      </c>
      <c r="B671" s="4" t="s">
        <v>494</v>
      </c>
      <c r="C671" s="4" t="s">
        <v>495</v>
      </c>
      <c r="D671" s="6">
        <v>46308.889351851903</v>
      </c>
      <c r="E671" s="6">
        <v>46308.639328703699</v>
      </c>
      <c r="F671" s="6">
        <v>46308</v>
      </c>
      <c r="G671" s="5" t="s">
        <v>12</v>
      </c>
      <c r="H671" s="5" t="s">
        <v>16</v>
      </c>
      <c r="I671" s="5">
        <v>6</v>
      </c>
      <c r="J671" s="9" t="s">
        <v>17</v>
      </c>
      <c r="K671" s="1" t="s">
        <v>963</v>
      </c>
      <c r="L671" t="s">
        <v>10</v>
      </c>
      <c r="M671" t="str">
        <f>+VLOOKUP(C671,'[1]TIENDAS 2025'!$A$1:$C$143,3,0)</f>
        <v>local</v>
      </c>
      <c r="O671">
        <v>1</v>
      </c>
    </row>
    <row r="672" spans="1:15" ht="15" customHeight="1" x14ac:dyDescent="0.3">
      <c r="A672" s="8">
        <v>209668359</v>
      </c>
      <c r="B672" s="4" t="s">
        <v>388</v>
      </c>
      <c r="C672" s="4" t="s">
        <v>389</v>
      </c>
      <c r="D672" s="6">
        <v>46308.889374999999</v>
      </c>
      <c r="E672" s="6">
        <v>46308.639340277798</v>
      </c>
      <c r="F672" s="6">
        <v>46308</v>
      </c>
      <c r="G672" s="5" t="s">
        <v>12</v>
      </c>
      <c r="H672" s="5" t="s">
        <v>16</v>
      </c>
      <c r="I672" s="5">
        <v>2</v>
      </c>
      <c r="J672" s="9" t="s">
        <v>17</v>
      </c>
      <c r="K672" s="1" t="s">
        <v>964</v>
      </c>
      <c r="L672" t="s">
        <v>10</v>
      </c>
      <c r="M672" t="str">
        <f>+VLOOKUP(C672,'[1]TIENDAS 2025'!$A$1:$C$143,3,0)</f>
        <v>departamental</v>
      </c>
      <c r="O672">
        <v>1</v>
      </c>
    </row>
    <row r="673" spans="1:15" ht="15" customHeight="1" x14ac:dyDescent="0.3">
      <c r="A673" s="8">
        <v>209668361</v>
      </c>
      <c r="B673" s="4" t="s">
        <v>336</v>
      </c>
      <c r="C673" s="4" t="s">
        <v>337</v>
      </c>
      <c r="D673" s="6">
        <v>46308.889386574097</v>
      </c>
      <c r="E673" s="6">
        <v>46308.639351851903</v>
      </c>
      <c r="F673" s="6">
        <v>46308</v>
      </c>
      <c r="G673" s="5" t="s">
        <v>12</v>
      </c>
      <c r="H673" s="5" t="s">
        <v>16</v>
      </c>
      <c r="I673" s="5">
        <v>1</v>
      </c>
      <c r="J673" s="9" t="s">
        <v>17</v>
      </c>
      <c r="K673" s="1" t="s">
        <v>965</v>
      </c>
      <c r="L673" t="s">
        <v>10</v>
      </c>
      <c r="M673" t="str">
        <f>+VLOOKUP(C673,'[1]TIENDAS 2025'!$A$1:$C$143,3,0)</f>
        <v xml:space="preserve">departamental </v>
      </c>
      <c r="O673">
        <v>1</v>
      </c>
    </row>
    <row r="674" spans="1:15" ht="15" customHeight="1" x14ac:dyDescent="0.3">
      <c r="A674" s="8">
        <v>209668328</v>
      </c>
      <c r="B674" s="4" t="s">
        <v>298</v>
      </c>
      <c r="C674" s="4" t="s">
        <v>299</v>
      </c>
      <c r="D674" s="6">
        <v>46308.8894097222</v>
      </c>
      <c r="E674" s="6">
        <v>46308.6393634259</v>
      </c>
      <c r="F674" s="6">
        <v>46308</v>
      </c>
      <c r="G674" s="5" t="s">
        <v>12</v>
      </c>
      <c r="H674" s="5" t="s">
        <v>16</v>
      </c>
      <c r="I674" s="5">
        <v>1</v>
      </c>
      <c r="J674" s="9" t="s">
        <v>17</v>
      </c>
      <c r="K674" s="1" t="s">
        <v>966</v>
      </c>
      <c r="L674" t="s">
        <v>10</v>
      </c>
      <c r="M674" t="str">
        <f>+VLOOKUP(C674,'[1]TIENDAS 2025'!$A$1:$C$143,3,0)</f>
        <v>local</v>
      </c>
      <c r="O674">
        <v>1</v>
      </c>
    </row>
    <row r="675" spans="1:15" ht="15" customHeight="1" x14ac:dyDescent="0.3">
      <c r="A675" s="8">
        <v>209668261</v>
      </c>
      <c r="B675" s="4" t="s">
        <v>485</v>
      </c>
      <c r="C675" s="4" t="s">
        <v>486</v>
      </c>
      <c r="D675" s="6">
        <v>46308.8894097222</v>
      </c>
      <c r="E675" s="6">
        <v>46308.639386574097</v>
      </c>
      <c r="F675" s="6">
        <v>46308</v>
      </c>
      <c r="G675" s="5" t="s">
        <v>12</v>
      </c>
      <c r="H675" s="5" t="s">
        <v>16</v>
      </c>
      <c r="I675" s="5">
        <v>3</v>
      </c>
      <c r="J675" s="9" t="s">
        <v>17</v>
      </c>
      <c r="K675" s="1" t="s">
        <v>967</v>
      </c>
      <c r="L675" t="s">
        <v>10</v>
      </c>
      <c r="M675" t="str">
        <f>+VLOOKUP(C675,'[1]TIENDAS 2025'!$A$1:$C$143,3,0)</f>
        <v>departamental</v>
      </c>
      <c r="O675">
        <v>1</v>
      </c>
    </row>
    <row r="676" spans="1:15" ht="15" customHeight="1" x14ac:dyDescent="0.3">
      <c r="A676" s="8">
        <v>209668331</v>
      </c>
      <c r="B676" s="4" t="s">
        <v>400</v>
      </c>
      <c r="C676" s="4" t="s">
        <v>401</v>
      </c>
      <c r="D676" s="6">
        <v>46308.889421296299</v>
      </c>
      <c r="E676" s="6">
        <v>46308.639398148101</v>
      </c>
      <c r="F676" s="6">
        <v>46308</v>
      </c>
      <c r="G676" s="5" t="s">
        <v>12</v>
      </c>
      <c r="H676" s="5" t="s">
        <v>16</v>
      </c>
      <c r="I676" s="5">
        <v>2</v>
      </c>
      <c r="J676" s="9" t="s">
        <v>17</v>
      </c>
      <c r="K676" s="1" t="s">
        <v>968</v>
      </c>
      <c r="L676" t="s">
        <v>10</v>
      </c>
      <c r="M676" t="str">
        <f>+VLOOKUP(C676,'[1]TIENDAS 2025'!$A$1:$C$143,3,0)</f>
        <v>local</v>
      </c>
      <c r="O676">
        <v>1</v>
      </c>
    </row>
    <row r="677" spans="1:15" ht="15" customHeight="1" x14ac:dyDescent="0.3">
      <c r="A677" s="8">
        <v>209668265</v>
      </c>
      <c r="B677" s="4" t="s">
        <v>321</v>
      </c>
      <c r="C677" s="4" t="s">
        <v>322</v>
      </c>
      <c r="D677" s="6">
        <v>46308.889444444401</v>
      </c>
      <c r="E677" s="6">
        <v>46308.6394097222</v>
      </c>
      <c r="F677" s="6">
        <v>46308</v>
      </c>
      <c r="G677" s="5" t="s">
        <v>12</v>
      </c>
      <c r="H677" s="5" t="s">
        <v>16</v>
      </c>
      <c r="I677" s="5">
        <v>6</v>
      </c>
      <c r="J677" s="9" t="s">
        <v>17</v>
      </c>
      <c r="K677" s="1" t="s">
        <v>969</v>
      </c>
      <c r="L677" t="s">
        <v>10</v>
      </c>
      <c r="M677" t="str">
        <f>+VLOOKUP(C677,'[1]TIENDAS 2025'!$A$1:$C$143,3,0)</f>
        <v>prioridad</v>
      </c>
      <c r="O677">
        <v>1</v>
      </c>
    </row>
    <row r="678" spans="1:15" ht="15" customHeight="1" x14ac:dyDescent="0.3">
      <c r="A678" s="8">
        <v>209668349</v>
      </c>
      <c r="B678" s="4" t="s">
        <v>220</v>
      </c>
      <c r="C678" s="4" t="s">
        <v>221</v>
      </c>
      <c r="D678" s="6">
        <v>46308.8894560185</v>
      </c>
      <c r="E678" s="6">
        <v>46308.639421296299</v>
      </c>
      <c r="F678" s="6">
        <v>46308</v>
      </c>
      <c r="G678" s="5" t="s">
        <v>12</v>
      </c>
      <c r="H678" s="5" t="s">
        <v>16</v>
      </c>
      <c r="I678" s="5">
        <v>4</v>
      </c>
      <c r="J678" s="9" t="s">
        <v>17</v>
      </c>
      <c r="K678" s="1" t="s">
        <v>970</v>
      </c>
      <c r="L678" t="s">
        <v>10</v>
      </c>
      <c r="M678" t="str">
        <f>+VLOOKUP(C678,'[1]TIENDAS 2025'!$A$1:$C$143,3,0)</f>
        <v>departamental</v>
      </c>
      <c r="O678">
        <v>1</v>
      </c>
    </row>
    <row r="679" spans="1:15" ht="15" customHeight="1" x14ac:dyDescent="0.3">
      <c r="A679" s="8">
        <v>209668279</v>
      </c>
      <c r="B679" s="4" t="s">
        <v>14</v>
      </c>
      <c r="C679" s="4" t="s">
        <v>15</v>
      </c>
      <c r="D679" s="6">
        <v>46308.889467592599</v>
      </c>
      <c r="E679" s="6">
        <v>46308.639444444401</v>
      </c>
      <c r="F679" s="6">
        <v>46308</v>
      </c>
      <c r="G679" s="5" t="s">
        <v>12</v>
      </c>
      <c r="H679" s="5" t="s">
        <v>16</v>
      </c>
      <c r="I679" s="5">
        <v>5</v>
      </c>
      <c r="J679" s="9" t="s">
        <v>17</v>
      </c>
      <c r="K679" s="1" t="s">
        <v>971</v>
      </c>
      <c r="L679" t="s">
        <v>10</v>
      </c>
      <c r="M679" t="str">
        <f>+VLOOKUP(C679,'[1]TIENDAS 2025'!$A$1:$C$143,3,0)</f>
        <v>departamental</v>
      </c>
      <c r="O679">
        <v>1</v>
      </c>
    </row>
    <row r="680" spans="1:15" ht="15" customHeight="1" x14ac:dyDescent="0.3">
      <c r="A680" s="8">
        <v>209668336</v>
      </c>
      <c r="B680" s="4" t="s">
        <v>539</v>
      </c>
      <c r="C680" s="4" t="s">
        <v>540</v>
      </c>
      <c r="D680" s="6">
        <v>46308.889479166697</v>
      </c>
      <c r="E680" s="6">
        <v>46308.6394560185</v>
      </c>
      <c r="F680" s="6">
        <v>46308</v>
      </c>
      <c r="G680" s="5" t="s">
        <v>12</v>
      </c>
      <c r="H680" s="5" t="s">
        <v>16</v>
      </c>
      <c r="I680" s="5">
        <v>3</v>
      </c>
      <c r="J680" s="9" t="s">
        <v>17</v>
      </c>
      <c r="K680" s="1" t="s">
        <v>972</v>
      </c>
      <c r="L680" t="s">
        <v>10</v>
      </c>
      <c r="M680" t="str">
        <f>+VLOOKUP(C680,'[1]TIENDAS 2025'!$A$1:$C$143,3,0)</f>
        <v>departamental</v>
      </c>
      <c r="O680">
        <v>1</v>
      </c>
    </row>
    <row r="681" spans="1:15" ht="15" customHeight="1" x14ac:dyDescent="0.3">
      <c r="A681" s="8">
        <v>209668246</v>
      </c>
      <c r="B681" s="4" t="s">
        <v>451</v>
      </c>
      <c r="C681" s="4" t="s">
        <v>452</v>
      </c>
      <c r="D681" s="6">
        <v>46308.8895023148</v>
      </c>
      <c r="E681" s="6">
        <v>46308.639467592599</v>
      </c>
      <c r="F681" s="6">
        <v>46308</v>
      </c>
      <c r="G681" s="5" t="s">
        <v>12</v>
      </c>
      <c r="H681" s="5" t="s">
        <v>16</v>
      </c>
      <c r="I681" s="5">
        <v>5</v>
      </c>
      <c r="J681" s="9" t="s">
        <v>17</v>
      </c>
      <c r="K681" s="1" t="s">
        <v>973</v>
      </c>
      <c r="L681" t="s">
        <v>10</v>
      </c>
      <c r="M681" t="str">
        <f>+VLOOKUP(C681,'[1]TIENDAS 2025'!$A$1:$C$143,3,0)</f>
        <v>departamental</v>
      </c>
      <c r="O681">
        <v>1</v>
      </c>
    </row>
    <row r="682" spans="1:15" ht="15" customHeight="1" x14ac:dyDescent="0.3">
      <c r="A682" s="8">
        <v>209668248</v>
      </c>
      <c r="B682" s="4" t="s">
        <v>454</v>
      </c>
      <c r="C682" s="4" t="s">
        <v>455</v>
      </c>
      <c r="D682" s="6">
        <v>46308.889513888898</v>
      </c>
      <c r="E682" s="6">
        <v>46308.639479166697</v>
      </c>
      <c r="F682" s="6">
        <v>46308</v>
      </c>
      <c r="G682" s="5" t="s">
        <v>12</v>
      </c>
      <c r="H682" s="5" t="s">
        <v>16</v>
      </c>
      <c r="I682" s="5">
        <v>6</v>
      </c>
      <c r="J682" s="9" t="s">
        <v>17</v>
      </c>
      <c r="K682" s="1" t="s">
        <v>974</v>
      </c>
      <c r="L682" t="s">
        <v>10</v>
      </c>
      <c r="M682" t="str">
        <f>+VLOOKUP(C682,'[1]TIENDAS 2025'!$A$1:$C$143,3,0)</f>
        <v>departamental</v>
      </c>
      <c r="O682">
        <v>1</v>
      </c>
    </row>
    <row r="683" spans="1:15" ht="15" customHeight="1" x14ac:dyDescent="0.3">
      <c r="A683" s="8">
        <v>209668345</v>
      </c>
      <c r="B683" s="4" t="s">
        <v>442</v>
      </c>
      <c r="C683" s="4" t="s">
        <v>443</v>
      </c>
      <c r="D683" s="6">
        <v>46308.889537037001</v>
      </c>
      <c r="E683" s="6">
        <v>46308.639513888898</v>
      </c>
      <c r="F683" s="6">
        <v>46308</v>
      </c>
      <c r="G683" s="5" t="s">
        <v>12</v>
      </c>
      <c r="H683" s="5" t="s">
        <v>16</v>
      </c>
      <c r="I683" s="5">
        <v>3</v>
      </c>
      <c r="J683" s="9" t="s">
        <v>17</v>
      </c>
      <c r="K683" s="1" t="s">
        <v>975</v>
      </c>
      <c r="L683" t="s">
        <v>10</v>
      </c>
      <c r="M683" t="str">
        <f>+VLOOKUP(C683,'[1]TIENDAS 2025'!$A$1:$C$143,3,0)</f>
        <v>local</v>
      </c>
      <c r="O683">
        <v>1</v>
      </c>
    </row>
    <row r="684" spans="1:15" ht="15" customHeight="1" x14ac:dyDescent="0.3">
      <c r="A684" s="8">
        <v>209668283</v>
      </c>
      <c r="B684" s="4" t="s">
        <v>330</v>
      </c>
      <c r="C684" s="4" t="s">
        <v>331</v>
      </c>
      <c r="D684" s="6">
        <v>46308.889537037001</v>
      </c>
      <c r="E684" s="6">
        <v>46308.639490740701</v>
      </c>
      <c r="F684" s="6">
        <v>46308</v>
      </c>
      <c r="G684" s="5" t="s">
        <v>12</v>
      </c>
      <c r="H684" s="5" t="s">
        <v>16</v>
      </c>
      <c r="I684" s="5">
        <v>10</v>
      </c>
      <c r="J684" s="9" t="s">
        <v>17</v>
      </c>
      <c r="K684" s="1" t="s">
        <v>976</v>
      </c>
      <c r="L684" t="s">
        <v>10</v>
      </c>
      <c r="M684" t="str">
        <f>+VLOOKUP(C684,'[1]TIENDAS 2025'!$A$1:$C$143,3,0)</f>
        <v>departamental</v>
      </c>
      <c r="O684">
        <v>1</v>
      </c>
    </row>
    <row r="685" spans="1:15" ht="15" customHeight="1" x14ac:dyDescent="0.3">
      <c r="A685" s="8">
        <v>209668347</v>
      </c>
      <c r="B685" s="4" t="s">
        <v>554</v>
      </c>
      <c r="C685" s="4" t="s">
        <v>555</v>
      </c>
      <c r="D685" s="6">
        <v>46308.8895486111</v>
      </c>
      <c r="E685" s="6">
        <v>46308.639525462997</v>
      </c>
      <c r="F685" s="6">
        <v>46308</v>
      </c>
      <c r="G685" s="5" t="s">
        <v>12</v>
      </c>
      <c r="H685" s="5" t="s">
        <v>16</v>
      </c>
      <c r="I685" s="5">
        <v>2</v>
      </c>
      <c r="J685" s="9" t="s">
        <v>17</v>
      </c>
      <c r="K685" s="1" t="s">
        <v>977</v>
      </c>
      <c r="L685" t="s">
        <v>10</v>
      </c>
      <c r="M685" t="str">
        <f>+VLOOKUP(C685,'[1]TIENDAS 2025'!$A$1:$C$143,3,0)</f>
        <v>nocturna</v>
      </c>
      <c r="O685">
        <v>1</v>
      </c>
    </row>
    <row r="686" spans="1:15" ht="15" customHeight="1" x14ac:dyDescent="0.3">
      <c r="A686" s="8">
        <v>209668258</v>
      </c>
      <c r="B686" s="4" t="s">
        <v>333</v>
      </c>
      <c r="C686" s="4" t="s">
        <v>334</v>
      </c>
      <c r="D686" s="6">
        <v>46308.889571759297</v>
      </c>
      <c r="E686" s="6">
        <v>46308.639537037001</v>
      </c>
      <c r="F686" s="6">
        <v>46308</v>
      </c>
      <c r="G686" s="5" t="s">
        <v>12</v>
      </c>
      <c r="H686" s="5" t="s">
        <v>16</v>
      </c>
      <c r="I686" s="5">
        <v>11</v>
      </c>
      <c r="J686" s="9" t="s">
        <v>17</v>
      </c>
      <c r="K686" s="1" t="s">
        <v>978</v>
      </c>
      <c r="L686" t="s">
        <v>10</v>
      </c>
      <c r="M686" t="str">
        <f>+VLOOKUP(C686,'[1]TIENDAS 2025'!$A$1:$C$143,3,0)</f>
        <v>nocturna</v>
      </c>
      <c r="O686">
        <v>1</v>
      </c>
    </row>
    <row r="687" spans="1:15" ht="15" customHeight="1" x14ac:dyDescent="0.3">
      <c r="A687" s="8">
        <v>209668298</v>
      </c>
      <c r="B687" s="4" t="s">
        <v>521</v>
      </c>
      <c r="C687" s="4" t="s">
        <v>522</v>
      </c>
      <c r="D687" s="6">
        <v>46308.889583333301</v>
      </c>
      <c r="E687" s="6">
        <v>46308.6395486111</v>
      </c>
      <c r="F687" s="6">
        <v>46308</v>
      </c>
      <c r="G687" s="5" t="s">
        <v>12</v>
      </c>
      <c r="H687" s="5" t="s">
        <v>16</v>
      </c>
      <c r="I687" s="5">
        <v>9</v>
      </c>
      <c r="J687" s="9" t="s">
        <v>17</v>
      </c>
      <c r="K687" s="1" t="s">
        <v>979</v>
      </c>
      <c r="L687" t="s">
        <v>10</v>
      </c>
      <c r="M687" t="str">
        <f>+VLOOKUP(C687,'[1]TIENDAS 2025'!$A$1:$C$143,3,0)</f>
        <v>local</v>
      </c>
      <c r="O687">
        <v>1</v>
      </c>
    </row>
    <row r="688" spans="1:15" ht="15" customHeight="1" x14ac:dyDescent="0.3">
      <c r="A688" s="8">
        <v>209668315</v>
      </c>
      <c r="B688" s="4" t="s">
        <v>187</v>
      </c>
      <c r="C688" s="4" t="s">
        <v>188</v>
      </c>
      <c r="D688" s="6">
        <v>46308.889594907399</v>
      </c>
      <c r="E688" s="6">
        <v>46308.639571759297</v>
      </c>
      <c r="F688" s="6">
        <v>46308</v>
      </c>
      <c r="G688" s="5" t="s">
        <v>12</v>
      </c>
      <c r="H688" s="5" t="s">
        <v>16</v>
      </c>
      <c r="I688" s="5">
        <v>4</v>
      </c>
      <c r="J688" s="9" t="s">
        <v>17</v>
      </c>
      <c r="K688" s="1" t="s">
        <v>980</v>
      </c>
      <c r="L688" t="s">
        <v>10</v>
      </c>
      <c r="M688" t="str">
        <f>+VLOOKUP(C688,'[1]TIENDAS 2025'!$A$1:$C$143,3,0)</f>
        <v>departamental</v>
      </c>
      <c r="O688">
        <v>1</v>
      </c>
    </row>
    <row r="689" spans="1:15" ht="15" customHeight="1" x14ac:dyDescent="0.3">
      <c r="A689" s="8">
        <v>209668320</v>
      </c>
      <c r="B689" s="4" t="s">
        <v>488</v>
      </c>
      <c r="C689" s="4" t="s">
        <v>489</v>
      </c>
      <c r="D689" s="6">
        <v>46308.889618055597</v>
      </c>
      <c r="E689" s="6">
        <v>46308.639583333301</v>
      </c>
      <c r="F689" s="6">
        <v>46308</v>
      </c>
      <c r="G689" s="5" t="s">
        <v>12</v>
      </c>
      <c r="H689" s="5" t="s">
        <v>16</v>
      </c>
      <c r="I689" s="5">
        <v>2</v>
      </c>
      <c r="J689" s="9" t="s">
        <v>17</v>
      </c>
      <c r="K689" s="1" t="s">
        <v>981</v>
      </c>
      <c r="L689" t="s">
        <v>10</v>
      </c>
      <c r="M689" t="str">
        <f>+VLOOKUP(C689,'[1]TIENDAS 2025'!$A$1:$C$143,3,0)</f>
        <v>departamental</v>
      </c>
      <c r="O689">
        <v>1</v>
      </c>
    </row>
    <row r="690" spans="1:15" ht="15" customHeight="1" x14ac:dyDescent="0.3">
      <c r="A690" s="8">
        <v>209668321</v>
      </c>
      <c r="B690" s="4" t="s">
        <v>160</v>
      </c>
      <c r="C690" s="4" t="s">
        <v>161</v>
      </c>
      <c r="D690" s="6">
        <v>46308.889629629601</v>
      </c>
      <c r="E690" s="6">
        <v>46308.639594907399</v>
      </c>
      <c r="F690" s="6">
        <v>46308</v>
      </c>
      <c r="G690" s="5" t="s">
        <v>12</v>
      </c>
      <c r="H690" s="5" t="s">
        <v>16</v>
      </c>
      <c r="I690" s="5">
        <v>7</v>
      </c>
      <c r="J690" s="9" t="s">
        <v>17</v>
      </c>
      <c r="K690" s="1" t="s">
        <v>982</v>
      </c>
      <c r="L690" t="s">
        <v>10</v>
      </c>
      <c r="M690" t="str">
        <f>+VLOOKUP(C690,'[1]TIENDAS 2025'!$A$1:$C$143,3,0)</f>
        <v>nocturna</v>
      </c>
      <c r="O690">
        <v>1</v>
      </c>
    </row>
    <row r="691" spans="1:15" ht="15" customHeight="1" x14ac:dyDescent="0.3">
      <c r="A691" s="8">
        <v>209668322</v>
      </c>
      <c r="B691" s="4" t="s">
        <v>472</v>
      </c>
      <c r="C691" s="4" t="s">
        <v>473</v>
      </c>
      <c r="D691" s="6">
        <v>46308.889641203699</v>
      </c>
      <c r="E691" s="6">
        <v>46308.639606481498</v>
      </c>
      <c r="F691" s="6">
        <v>46308</v>
      </c>
      <c r="G691" s="5" t="s">
        <v>12</v>
      </c>
      <c r="H691" s="5" t="s">
        <v>16</v>
      </c>
      <c r="I691" s="5">
        <v>2</v>
      </c>
      <c r="J691" s="9" t="s">
        <v>17</v>
      </c>
      <c r="K691" s="1" t="s">
        <v>983</v>
      </c>
      <c r="L691" t="s">
        <v>10</v>
      </c>
      <c r="M691" t="str">
        <f>+VLOOKUP(C691,'[1]TIENDAS 2025'!$A$1:$C$143,3,0)</f>
        <v>departamental</v>
      </c>
      <c r="O691">
        <v>1</v>
      </c>
    </row>
    <row r="692" spans="1:15" ht="15" customHeight="1" x14ac:dyDescent="0.3">
      <c r="A692" s="8">
        <v>209668324</v>
      </c>
      <c r="B692" s="4" t="s">
        <v>358</v>
      </c>
      <c r="C692" s="4" t="s">
        <v>359</v>
      </c>
      <c r="D692" s="6">
        <v>46308.889652777798</v>
      </c>
      <c r="E692" s="6">
        <v>46308.639629629601</v>
      </c>
      <c r="F692" s="6">
        <v>46308</v>
      </c>
      <c r="G692" s="5" t="s">
        <v>12</v>
      </c>
      <c r="H692" s="5" t="s">
        <v>16</v>
      </c>
      <c r="I692" s="5">
        <v>4</v>
      </c>
      <c r="J692" s="9" t="s">
        <v>17</v>
      </c>
      <c r="K692" s="1" t="s">
        <v>984</v>
      </c>
      <c r="L692" t="s">
        <v>10</v>
      </c>
      <c r="M692" t="str">
        <f>+VLOOKUP(C692,'[1]TIENDAS 2025'!$A$1:$C$143,3,0)</f>
        <v>prioridad</v>
      </c>
      <c r="O692">
        <v>1</v>
      </c>
    </row>
    <row r="693" spans="1:15" ht="15" customHeight="1" x14ac:dyDescent="0.3">
      <c r="A693" s="8">
        <v>209668327</v>
      </c>
      <c r="B693" s="4" t="s">
        <v>463</v>
      </c>
      <c r="C693" s="4" t="s">
        <v>464</v>
      </c>
      <c r="D693" s="6">
        <v>46308.889675925901</v>
      </c>
      <c r="E693" s="6">
        <v>46308.639652777798</v>
      </c>
      <c r="F693" s="6">
        <v>46308</v>
      </c>
      <c r="G693" s="5" t="s">
        <v>12</v>
      </c>
      <c r="H693" s="5" t="s">
        <v>16</v>
      </c>
      <c r="I693" s="5">
        <v>1</v>
      </c>
      <c r="J693" s="9" t="s">
        <v>17</v>
      </c>
      <c r="K693" s="1" t="s">
        <v>985</v>
      </c>
      <c r="L693" t="s">
        <v>10</v>
      </c>
      <c r="M693" t="str">
        <f>+VLOOKUP(C693,'[1]TIENDAS 2025'!$A$1:$C$143,3,0)</f>
        <v xml:space="preserve">departamental </v>
      </c>
      <c r="O693">
        <v>1</v>
      </c>
    </row>
    <row r="694" spans="1:15" ht="15" customHeight="1" x14ac:dyDescent="0.3">
      <c r="A694" s="8">
        <v>209668325</v>
      </c>
      <c r="B694" s="4" t="s">
        <v>93</v>
      </c>
      <c r="C694" s="4" t="s">
        <v>94</v>
      </c>
      <c r="D694" s="6">
        <v>46308.889675925901</v>
      </c>
      <c r="E694" s="6">
        <v>46308.639641203699</v>
      </c>
      <c r="F694" s="6">
        <v>46308</v>
      </c>
      <c r="G694" s="5" t="s">
        <v>12</v>
      </c>
      <c r="H694" s="5" t="s">
        <v>16</v>
      </c>
      <c r="I694" s="5">
        <v>2</v>
      </c>
      <c r="J694" s="9" t="s">
        <v>17</v>
      </c>
      <c r="K694" s="1" t="s">
        <v>986</v>
      </c>
      <c r="L694" t="s">
        <v>10</v>
      </c>
      <c r="M694" t="str">
        <f>+VLOOKUP(C694,'[1]TIENDAS 2025'!$A$1:$C$143,3,0)</f>
        <v>departamental</v>
      </c>
      <c r="O694">
        <v>1</v>
      </c>
    </row>
    <row r="695" spans="1:15" ht="15" customHeight="1" x14ac:dyDescent="0.3">
      <c r="A695" s="8">
        <v>209668356</v>
      </c>
      <c r="B695" s="4" t="s">
        <v>445</v>
      </c>
      <c r="C695" s="4" t="s">
        <v>446</v>
      </c>
      <c r="D695" s="6">
        <v>46308.889699074098</v>
      </c>
      <c r="E695" s="6">
        <v>46308.639664351896</v>
      </c>
      <c r="F695" s="6">
        <v>46308</v>
      </c>
      <c r="G695" s="5" t="s">
        <v>12</v>
      </c>
      <c r="H695" s="5" t="s">
        <v>16</v>
      </c>
      <c r="I695" s="5">
        <v>3</v>
      </c>
      <c r="J695" s="9" t="s">
        <v>17</v>
      </c>
      <c r="K695" s="1" t="s">
        <v>987</v>
      </c>
      <c r="L695" t="s">
        <v>10</v>
      </c>
      <c r="M695" t="str">
        <f>+VLOOKUP(C695,'[1]TIENDAS 2025'!$A$1:$C$143,3,0)</f>
        <v>departamental</v>
      </c>
      <c r="O695">
        <v>1</v>
      </c>
    </row>
    <row r="696" spans="1:15" ht="15" customHeight="1" x14ac:dyDescent="0.3">
      <c r="A696" s="8">
        <v>209668282</v>
      </c>
      <c r="B696" s="4" t="s">
        <v>397</v>
      </c>
      <c r="C696" s="4" t="s">
        <v>398</v>
      </c>
      <c r="D696" s="6">
        <v>46308.889710648102</v>
      </c>
      <c r="E696" s="6">
        <v>46308.639675925901</v>
      </c>
      <c r="F696" s="6">
        <v>46308</v>
      </c>
      <c r="G696" s="5" t="s">
        <v>12</v>
      </c>
      <c r="H696" s="5" t="s">
        <v>16</v>
      </c>
      <c r="I696" s="5">
        <v>8</v>
      </c>
      <c r="J696" s="9" t="s">
        <v>17</v>
      </c>
      <c r="K696" s="1" t="s">
        <v>988</v>
      </c>
      <c r="L696" t="s">
        <v>10</v>
      </c>
      <c r="M696" t="str">
        <f>+VLOOKUP(C696,'[1]TIENDAS 2025'!$A$1:$C$143,3,0)</f>
        <v>local</v>
      </c>
      <c r="O696">
        <v>1</v>
      </c>
    </row>
    <row r="697" spans="1:15" ht="15" customHeight="1" x14ac:dyDescent="0.3">
      <c r="A697" s="8">
        <v>209668337</v>
      </c>
      <c r="B697" s="4" t="s">
        <v>439</v>
      </c>
      <c r="C697" s="4" t="s">
        <v>440</v>
      </c>
      <c r="D697" s="6">
        <v>46308.8897222222</v>
      </c>
      <c r="E697" s="6">
        <v>46308.639699074098</v>
      </c>
      <c r="F697" s="6">
        <v>46308</v>
      </c>
      <c r="G697" s="5" t="s">
        <v>12</v>
      </c>
      <c r="H697" s="5" t="s">
        <v>16</v>
      </c>
      <c r="I697" s="5">
        <v>1</v>
      </c>
      <c r="J697" s="9" t="s">
        <v>17</v>
      </c>
      <c r="K697" s="1" t="s">
        <v>989</v>
      </c>
      <c r="L697" t="s">
        <v>10</v>
      </c>
      <c r="M697" t="str">
        <f>+VLOOKUP(C697,'[1]TIENDAS 2025'!$A$1:$C$143,3,0)</f>
        <v>prioridad</v>
      </c>
      <c r="O697">
        <v>1</v>
      </c>
    </row>
    <row r="698" spans="1:15" ht="15" customHeight="1" x14ac:dyDescent="0.3">
      <c r="A698" s="8">
        <v>209668271</v>
      </c>
      <c r="B698" s="4" t="s">
        <v>244</v>
      </c>
      <c r="C698" s="4" t="s">
        <v>245</v>
      </c>
      <c r="D698" s="6">
        <v>46308.889733796299</v>
      </c>
      <c r="E698" s="6">
        <v>46308.639710648102</v>
      </c>
      <c r="F698" s="6">
        <v>46308</v>
      </c>
      <c r="G698" s="5" t="s">
        <v>12</v>
      </c>
      <c r="H698" s="5" t="s">
        <v>16</v>
      </c>
      <c r="I698" s="5">
        <v>2</v>
      </c>
      <c r="J698" s="9" t="s">
        <v>17</v>
      </c>
      <c r="K698" s="1" t="s">
        <v>990</v>
      </c>
      <c r="L698" t="s">
        <v>10</v>
      </c>
      <c r="M698" t="str">
        <f>+VLOOKUP(C698,'[1]TIENDAS 2025'!$A$1:$C$143,3,0)</f>
        <v>nocturna</v>
      </c>
      <c r="O698">
        <v>1</v>
      </c>
    </row>
    <row r="699" spans="1:15" ht="15" customHeight="1" x14ac:dyDescent="0.3">
      <c r="A699" s="8">
        <v>209668254</v>
      </c>
      <c r="B699" s="4" t="s">
        <v>19</v>
      </c>
      <c r="C699" s="4" t="s">
        <v>20</v>
      </c>
      <c r="D699" s="6">
        <v>46308.889756944402</v>
      </c>
      <c r="E699" s="6">
        <v>46308.6397222222</v>
      </c>
      <c r="F699" s="6">
        <v>46308</v>
      </c>
      <c r="G699" s="5" t="s">
        <v>12</v>
      </c>
      <c r="H699" s="5" t="s">
        <v>16</v>
      </c>
      <c r="I699" s="5">
        <v>5</v>
      </c>
      <c r="J699" s="9" t="s">
        <v>17</v>
      </c>
      <c r="K699" s="1" t="s">
        <v>991</v>
      </c>
      <c r="L699" t="s">
        <v>10</v>
      </c>
      <c r="M699" t="str">
        <f>+VLOOKUP(C699,'[1]TIENDAS 2025'!$A$1:$C$143,3,0)</f>
        <v>departamental</v>
      </c>
      <c r="O699">
        <v>1</v>
      </c>
    </row>
    <row r="700" spans="1:15" ht="15" customHeight="1" x14ac:dyDescent="0.3">
      <c r="A700" s="8">
        <v>209668256</v>
      </c>
      <c r="B700" s="4" t="s">
        <v>211</v>
      </c>
      <c r="C700" s="4" t="s">
        <v>212</v>
      </c>
      <c r="D700" s="6">
        <v>46308.8897685185</v>
      </c>
      <c r="E700" s="6">
        <v>46308.639733796299</v>
      </c>
      <c r="F700" s="6">
        <v>46308</v>
      </c>
      <c r="G700" s="5" t="s">
        <v>12</v>
      </c>
      <c r="H700" s="5" t="s">
        <v>16</v>
      </c>
      <c r="I700" s="5">
        <v>9</v>
      </c>
      <c r="J700" s="9" t="s">
        <v>17</v>
      </c>
      <c r="K700" s="1" t="s">
        <v>992</v>
      </c>
      <c r="L700" t="s">
        <v>10</v>
      </c>
      <c r="M700" t="str">
        <f>+VLOOKUP(C700,'[1]TIENDAS 2025'!$A$1:$C$143,3,0)</f>
        <v>departamental</v>
      </c>
      <c r="O700">
        <v>1</v>
      </c>
    </row>
    <row r="701" spans="1:15" ht="15" customHeight="1" x14ac:dyDescent="0.3">
      <c r="A701" s="8">
        <v>209668292</v>
      </c>
      <c r="B701" s="4" t="s">
        <v>318</v>
      </c>
      <c r="C701" s="4" t="s">
        <v>319</v>
      </c>
      <c r="D701" s="6">
        <v>46308.889780092599</v>
      </c>
      <c r="E701" s="6">
        <v>46308.639756944402</v>
      </c>
      <c r="F701" s="6">
        <v>46308</v>
      </c>
      <c r="G701" s="5" t="s">
        <v>12</v>
      </c>
      <c r="H701" s="5" t="s">
        <v>16</v>
      </c>
      <c r="I701" s="5">
        <v>2</v>
      </c>
      <c r="J701" s="9" t="s">
        <v>17</v>
      </c>
      <c r="K701" s="1" t="s">
        <v>993</v>
      </c>
      <c r="L701" t="s">
        <v>10</v>
      </c>
      <c r="M701" t="str">
        <f>+VLOOKUP(C701,'[1]TIENDAS 2025'!$A$1:$C$143,3,0)</f>
        <v>local</v>
      </c>
      <c r="O701">
        <v>1</v>
      </c>
    </row>
    <row r="702" spans="1:15" ht="15" customHeight="1" x14ac:dyDescent="0.3">
      <c r="A702" s="8">
        <v>209668295</v>
      </c>
      <c r="B702" s="4" t="s">
        <v>154</v>
      </c>
      <c r="C702" s="4" t="s">
        <v>155</v>
      </c>
      <c r="D702" s="6">
        <v>46308.889803240701</v>
      </c>
      <c r="E702" s="6">
        <v>46308.6397685185</v>
      </c>
      <c r="F702" s="6">
        <v>46308</v>
      </c>
      <c r="G702" s="5" t="s">
        <v>12</v>
      </c>
      <c r="H702" s="5" t="s">
        <v>16</v>
      </c>
      <c r="I702" s="5">
        <v>3</v>
      </c>
      <c r="J702" s="9" t="s">
        <v>17</v>
      </c>
      <c r="K702" s="1" t="s">
        <v>994</v>
      </c>
      <c r="L702" t="s">
        <v>10</v>
      </c>
      <c r="M702" t="str">
        <f>+VLOOKUP(C702,'[1]TIENDAS 2025'!$A$1:$C$143,3,0)</f>
        <v>nocturna</v>
      </c>
      <c r="O702">
        <v>1</v>
      </c>
    </row>
    <row r="703" spans="1:15" ht="15" customHeight="1" x14ac:dyDescent="0.3">
      <c r="A703" s="8">
        <v>209668304</v>
      </c>
      <c r="B703" s="4" t="s">
        <v>324</v>
      </c>
      <c r="C703" s="4" t="s">
        <v>325</v>
      </c>
      <c r="D703" s="6">
        <v>46308.8898148148</v>
      </c>
      <c r="E703" s="6">
        <v>46308.639780092599</v>
      </c>
      <c r="F703" s="6">
        <v>46308</v>
      </c>
      <c r="G703" s="5" t="s">
        <v>12</v>
      </c>
      <c r="H703" s="5" t="s">
        <v>16</v>
      </c>
      <c r="I703" s="5">
        <v>3</v>
      </c>
      <c r="J703" s="9" t="s">
        <v>17</v>
      </c>
      <c r="K703" s="1" t="s">
        <v>995</v>
      </c>
      <c r="L703" t="s">
        <v>10</v>
      </c>
      <c r="M703" t="str">
        <f>+VLOOKUP(C703,'[1]TIENDAS 2025'!$A$1:$C$143,3,0)</f>
        <v>local</v>
      </c>
      <c r="O703">
        <v>1</v>
      </c>
    </row>
    <row r="704" spans="1:15" ht="15" customHeight="1" x14ac:dyDescent="0.3">
      <c r="A704" s="8">
        <v>209668314</v>
      </c>
      <c r="B704" s="4" t="s">
        <v>301</v>
      </c>
      <c r="C704" s="4" t="s">
        <v>302</v>
      </c>
      <c r="D704" s="6">
        <v>46308.889826388899</v>
      </c>
      <c r="E704" s="6">
        <v>46308.639791666697</v>
      </c>
      <c r="F704" s="6">
        <v>46308</v>
      </c>
      <c r="G704" s="5" t="s">
        <v>12</v>
      </c>
      <c r="H704" s="5" t="s">
        <v>16</v>
      </c>
      <c r="I704" s="5">
        <v>2</v>
      </c>
      <c r="J704" s="9" t="s">
        <v>17</v>
      </c>
      <c r="K704" s="1" t="s">
        <v>996</v>
      </c>
      <c r="L704" t="s">
        <v>10</v>
      </c>
      <c r="M704" t="str">
        <f>+VLOOKUP(C704,'[1]TIENDAS 2025'!$A$1:$C$143,3,0)</f>
        <v>departamental</v>
      </c>
      <c r="O704">
        <v>1</v>
      </c>
    </row>
    <row r="705" spans="1:15" ht="15" customHeight="1" x14ac:dyDescent="0.3">
      <c r="A705" s="8">
        <v>209668360</v>
      </c>
      <c r="B705" s="4" t="s">
        <v>181</v>
      </c>
      <c r="C705" s="4" t="s">
        <v>182</v>
      </c>
      <c r="D705" s="6">
        <v>46308.889837962997</v>
      </c>
      <c r="E705" s="6">
        <v>46308.6398148148</v>
      </c>
      <c r="F705" s="6">
        <v>46308</v>
      </c>
      <c r="G705" s="5" t="s">
        <v>12</v>
      </c>
      <c r="H705" s="5" t="s">
        <v>16</v>
      </c>
      <c r="I705" s="5">
        <v>6</v>
      </c>
      <c r="J705" s="9" t="s">
        <v>17</v>
      </c>
      <c r="K705" s="1" t="s">
        <v>997</v>
      </c>
      <c r="L705" t="s">
        <v>10</v>
      </c>
      <c r="M705" t="str">
        <f>+VLOOKUP(C705,'[1]TIENDAS 2025'!$A$1:$C$143,3,0)</f>
        <v>departamental</v>
      </c>
      <c r="O705">
        <v>1</v>
      </c>
    </row>
    <row r="706" spans="1:15" ht="15" customHeight="1" x14ac:dyDescent="0.3">
      <c r="A706" s="8">
        <v>209668364</v>
      </c>
      <c r="B706" s="4" t="s">
        <v>166</v>
      </c>
      <c r="C706" s="4" t="s">
        <v>167</v>
      </c>
      <c r="D706" s="6">
        <v>46308.8898611111</v>
      </c>
      <c r="E706" s="6">
        <v>46308.639826388899</v>
      </c>
      <c r="F706" s="6">
        <v>46308</v>
      </c>
      <c r="G706" s="5" t="s">
        <v>12</v>
      </c>
      <c r="H706" s="5" t="s">
        <v>16</v>
      </c>
      <c r="I706" s="5">
        <v>6</v>
      </c>
      <c r="J706" s="9" t="s">
        <v>17</v>
      </c>
      <c r="K706" s="1" t="s">
        <v>998</v>
      </c>
      <c r="L706" t="s">
        <v>10</v>
      </c>
      <c r="M706" t="str">
        <f>+VLOOKUP(C706,'[1]TIENDAS 2025'!$A$1:$C$143,3,0)</f>
        <v>local</v>
      </c>
      <c r="O706">
        <v>1</v>
      </c>
    </row>
    <row r="707" spans="1:15" ht="15" customHeight="1" x14ac:dyDescent="0.3">
      <c r="A707" s="8">
        <v>209668365</v>
      </c>
      <c r="B707" s="4" t="s">
        <v>418</v>
      </c>
      <c r="C707" s="4" t="s">
        <v>419</v>
      </c>
      <c r="D707" s="6">
        <v>46308.8898611111</v>
      </c>
      <c r="E707" s="6">
        <v>46308.639837962997</v>
      </c>
      <c r="F707" s="6">
        <v>46308</v>
      </c>
      <c r="G707" s="5" t="s">
        <v>12</v>
      </c>
      <c r="H707" s="5" t="s">
        <v>16</v>
      </c>
      <c r="I707" s="5">
        <v>2</v>
      </c>
      <c r="J707" s="9" t="s">
        <v>17</v>
      </c>
      <c r="K707" s="1" t="s">
        <v>999</v>
      </c>
      <c r="L707" t="s">
        <v>10</v>
      </c>
      <c r="M707" t="str">
        <f>+VLOOKUP(C707,'[1]TIENDAS 2025'!$A$1:$C$143,3,0)</f>
        <v>local</v>
      </c>
      <c r="O707">
        <v>1</v>
      </c>
    </row>
    <row r="708" spans="1:15" ht="15" customHeight="1" x14ac:dyDescent="0.3">
      <c r="A708" s="8">
        <v>209668368</v>
      </c>
      <c r="B708" s="4" t="s">
        <v>205</v>
      </c>
      <c r="C708" s="4" t="s">
        <v>206</v>
      </c>
      <c r="D708" s="6">
        <v>46308.889872685198</v>
      </c>
      <c r="E708" s="6">
        <v>46308.639849537001</v>
      </c>
      <c r="F708" s="6">
        <v>46308</v>
      </c>
      <c r="G708" s="5" t="s">
        <v>12</v>
      </c>
      <c r="H708" s="5" t="s">
        <v>16</v>
      </c>
      <c r="I708" s="5">
        <v>1</v>
      </c>
      <c r="J708" s="9" t="s">
        <v>17</v>
      </c>
      <c r="K708" s="1" t="s">
        <v>1000</v>
      </c>
      <c r="L708" t="s">
        <v>10</v>
      </c>
      <c r="M708" t="str">
        <f>+VLOOKUP(C708,'[1]TIENDAS 2025'!$A$1:$C$143,3,0)</f>
        <v>prioridad</v>
      </c>
      <c r="O708">
        <v>1</v>
      </c>
    </row>
    <row r="709" spans="1:15" ht="15" customHeight="1" x14ac:dyDescent="0.3">
      <c r="A709" s="8">
        <v>209668263</v>
      </c>
      <c r="B709" s="4" t="s">
        <v>232</v>
      </c>
      <c r="C709" s="4" t="s">
        <v>233</v>
      </c>
      <c r="D709" s="6">
        <v>46308.889895833301</v>
      </c>
      <c r="E709" s="6">
        <v>46308.6398611111</v>
      </c>
      <c r="F709" s="6">
        <v>46308</v>
      </c>
      <c r="G709" s="5" t="s">
        <v>12</v>
      </c>
      <c r="H709" s="5" t="s">
        <v>16</v>
      </c>
      <c r="I709" s="5">
        <v>7</v>
      </c>
      <c r="J709" s="9" t="s">
        <v>17</v>
      </c>
      <c r="K709" s="1" t="s">
        <v>1001</v>
      </c>
      <c r="L709" t="s">
        <v>10</v>
      </c>
      <c r="M709" t="str">
        <f>+VLOOKUP(C709,'[1]TIENDAS 2025'!$A$1:$C$143,3,0)</f>
        <v>departamental</v>
      </c>
      <c r="O709">
        <v>1</v>
      </c>
    </row>
    <row r="710" spans="1:15" ht="15" customHeight="1" x14ac:dyDescent="0.3">
      <c r="A710" s="8">
        <v>209668332</v>
      </c>
      <c r="B710" s="4" t="s">
        <v>421</v>
      </c>
      <c r="C710" s="4" t="s">
        <v>422</v>
      </c>
      <c r="D710" s="6">
        <v>46308.8899074074</v>
      </c>
      <c r="E710" s="6">
        <v>46308.639884259297</v>
      </c>
      <c r="F710" s="6">
        <v>46308</v>
      </c>
      <c r="G710" s="5" t="s">
        <v>12</v>
      </c>
      <c r="H710" s="5" t="s">
        <v>16</v>
      </c>
      <c r="I710" s="5">
        <v>1</v>
      </c>
      <c r="J710" s="9" t="s">
        <v>17</v>
      </c>
      <c r="K710" s="1" t="s">
        <v>1002</v>
      </c>
      <c r="L710" t="s">
        <v>10</v>
      </c>
      <c r="M710" t="str">
        <f>+VLOOKUP(C710,'[1]TIENDAS 2025'!$A$1:$C$143,3,0)</f>
        <v>departamental</v>
      </c>
      <c r="O710">
        <v>1</v>
      </c>
    </row>
    <row r="711" spans="1:15" ht="15" customHeight="1" x14ac:dyDescent="0.3">
      <c r="A711" s="8">
        <v>209668333</v>
      </c>
      <c r="B711" s="4" t="s">
        <v>342</v>
      </c>
      <c r="C711" s="4" t="s">
        <v>343</v>
      </c>
      <c r="D711" s="6">
        <v>46308.889930555597</v>
      </c>
      <c r="E711" s="6">
        <v>46308.639895833301</v>
      </c>
      <c r="F711" s="6">
        <v>46308</v>
      </c>
      <c r="G711" s="5" t="s">
        <v>12</v>
      </c>
      <c r="H711" s="5" t="s">
        <v>16</v>
      </c>
      <c r="I711" s="5">
        <v>1</v>
      </c>
      <c r="J711" s="9" t="s">
        <v>17</v>
      </c>
      <c r="K711" s="1" t="s">
        <v>1003</v>
      </c>
      <c r="L711" t="s">
        <v>10</v>
      </c>
      <c r="M711" t="str">
        <f>+VLOOKUP(C711,'[1]TIENDAS 2025'!$A$1:$C$143,3,0)</f>
        <v>local</v>
      </c>
      <c r="O711">
        <v>1</v>
      </c>
    </row>
    <row r="712" spans="1:15" ht="15" customHeight="1" x14ac:dyDescent="0.3">
      <c r="A712" s="8">
        <v>209668358</v>
      </c>
      <c r="B712" s="4" t="s">
        <v>382</v>
      </c>
      <c r="C712" s="4" t="s">
        <v>383</v>
      </c>
      <c r="D712" s="6">
        <v>46308.889942129601</v>
      </c>
      <c r="E712" s="6">
        <v>46308.6399074074</v>
      </c>
      <c r="F712" s="6">
        <v>46308</v>
      </c>
      <c r="G712" s="5" t="s">
        <v>12</v>
      </c>
      <c r="H712" s="5" t="s">
        <v>16</v>
      </c>
      <c r="I712" s="5">
        <v>2</v>
      </c>
      <c r="J712" s="9" t="s">
        <v>17</v>
      </c>
      <c r="K712" s="1" t="s">
        <v>1004</v>
      </c>
      <c r="L712" t="s">
        <v>10</v>
      </c>
      <c r="M712" t="str">
        <f>+VLOOKUP(C712,'[1]TIENDAS 2025'!$A$1:$C$143,3,0)</f>
        <v>local</v>
      </c>
      <c r="O712">
        <v>1</v>
      </c>
    </row>
    <row r="713" spans="1:15" ht="15" customHeight="1" x14ac:dyDescent="0.3">
      <c r="A713" s="8">
        <v>209668338</v>
      </c>
      <c r="B713" s="4" t="s">
        <v>373</v>
      </c>
      <c r="C713" s="4" t="s">
        <v>374</v>
      </c>
      <c r="D713" s="6">
        <v>46308.8899537037</v>
      </c>
      <c r="E713" s="6">
        <v>46308.639918981498</v>
      </c>
      <c r="F713" s="6">
        <v>46308</v>
      </c>
      <c r="G713" s="5" t="s">
        <v>12</v>
      </c>
      <c r="H713" s="5" t="s">
        <v>16</v>
      </c>
      <c r="I713" s="5">
        <v>1</v>
      </c>
      <c r="J713" s="9" t="s">
        <v>17</v>
      </c>
      <c r="K713" s="1" t="s">
        <v>1005</v>
      </c>
      <c r="L713" t="s">
        <v>10</v>
      </c>
      <c r="M713" t="str">
        <f>+VLOOKUP(C713,'[1]TIENDAS 2025'!$A$1:$C$143,3,0)</f>
        <v>departamental</v>
      </c>
      <c r="O713">
        <v>1</v>
      </c>
    </row>
    <row r="714" spans="1:15" ht="15" customHeight="1" x14ac:dyDescent="0.3">
      <c r="A714" s="8">
        <v>209668270</v>
      </c>
      <c r="B714" s="4" t="s">
        <v>466</v>
      </c>
      <c r="C714" s="4" t="s">
        <v>467</v>
      </c>
      <c r="D714" s="6">
        <v>46308.889965277798</v>
      </c>
      <c r="E714" s="6">
        <v>46308.639930555597</v>
      </c>
      <c r="F714" s="6">
        <v>46308</v>
      </c>
      <c r="G714" s="5" t="s">
        <v>12</v>
      </c>
      <c r="H714" s="5" t="s">
        <v>16</v>
      </c>
      <c r="I714" s="5">
        <v>5</v>
      </c>
      <c r="J714" s="9" t="s">
        <v>17</v>
      </c>
      <c r="K714" s="1" t="s">
        <v>1006</v>
      </c>
      <c r="L714" t="s">
        <v>10</v>
      </c>
      <c r="M714" t="str">
        <f>+VLOOKUP(C714,'[1]TIENDAS 2025'!$A$1:$C$143,3,0)</f>
        <v>departamental</v>
      </c>
      <c r="O714">
        <v>1</v>
      </c>
    </row>
    <row r="715" spans="1:15" ht="15" customHeight="1" x14ac:dyDescent="0.3">
      <c r="A715" s="8">
        <v>209668343</v>
      </c>
      <c r="B715" s="4" t="s">
        <v>214</v>
      </c>
      <c r="C715" s="4" t="s">
        <v>215</v>
      </c>
      <c r="D715" s="6">
        <v>46308.889976851897</v>
      </c>
      <c r="E715" s="6">
        <v>46308.6399537037</v>
      </c>
      <c r="F715" s="6">
        <v>46308</v>
      </c>
      <c r="G715" s="5" t="s">
        <v>12</v>
      </c>
      <c r="H715" s="5" t="s">
        <v>16</v>
      </c>
      <c r="I715" s="5">
        <v>4</v>
      </c>
      <c r="J715" s="9" t="s">
        <v>17</v>
      </c>
      <c r="K715" s="1" t="s">
        <v>1007</v>
      </c>
      <c r="L715" t="s">
        <v>10</v>
      </c>
      <c r="M715" t="str">
        <f>+VLOOKUP(C715,'[1]TIENDAS 2025'!$A$1:$C$143,3,0)</f>
        <v>departamental</v>
      </c>
      <c r="O715">
        <v>1</v>
      </c>
    </row>
    <row r="716" spans="1:15" ht="15" customHeight="1" x14ac:dyDescent="0.3">
      <c r="A716" s="8">
        <v>209668344</v>
      </c>
      <c r="B716" s="4" t="s">
        <v>376</v>
      </c>
      <c r="C716" s="4" t="s">
        <v>377</v>
      </c>
      <c r="D716" s="6">
        <v>46308.89</v>
      </c>
      <c r="E716" s="6">
        <v>46308.639965277798</v>
      </c>
      <c r="F716" s="6">
        <v>46308</v>
      </c>
      <c r="G716" s="5" t="s">
        <v>12</v>
      </c>
      <c r="H716" s="5" t="s">
        <v>16</v>
      </c>
      <c r="I716" s="5">
        <v>1</v>
      </c>
      <c r="J716" s="9" t="s">
        <v>17</v>
      </c>
      <c r="K716" s="1" t="s">
        <v>1008</v>
      </c>
      <c r="L716" t="s">
        <v>10</v>
      </c>
      <c r="M716" t="str">
        <f>+VLOOKUP(C716,'[1]TIENDAS 2025'!$A$1:$C$143,3,0)</f>
        <v>nocturna</v>
      </c>
      <c r="O716">
        <v>1</v>
      </c>
    </row>
    <row r="717" spans="1:15" ht="15" customHeight="1" x14ac:dyDescent="0.3">
      <c r="A717" s="8">
        <v>209668287</v>
      </c>
      <c r="B717" s="4" t="s">
        <v>238</v>
      </c>
      <c r="C717" s="4" t="s">
        <v>239</v>
      </c>
      <c r="D717" s="6">
        <v>46308.890011574098</v>
      </c>
      <c r="E717" s="6">
        <v>46308.639976851897</v>
      </c>
      <c r="F717" s="6">
        <v>46308</v>
      </c>
      <c r="G717" s="5" t="s">
        <v>12</v>
      </c>
      <c r="H717" s="5" t="s">
        <v>16</v>
      </c>
      <c r="I717" s="5">
        <v>6</v>
      </c>
      <c r="J717" s="9" t="s">
        <v>17</v>
      </c>
      <c r="K717" s="1" t="s">
        <v>1009</v>
      </c>
      <c r="L717" t="s">
        <v>10</v>
      </c>
      <c r="M717" t="str">
        <f>+VLOOKUP(C717,'[1]TIENDAS 2025'!$A$1:$C$143,3,0)</f>
        <v>nocturna</v>
      </c>
      <c r="O717">
        <v>1</v>
      </c>
    </row>
    <row r="718" spans="1:15" ht="15" customHeight="1" x14ac:dyDescent="0.3">
      <c r="A718" s="8">
        <v>209668257</v>
      </c>
      <c r="B718" s="4" t="s">
        <v>364</v>
      </c>
      <c r="C718" s="4" t="s">
        <v>365</v>
      </c>
      <c r="D718" s="6">
        <v>46308.890023148102</v>
      </c>
      <c r="E718" s="6">
        <v>46308.639999999999</v>
      </c>
      <c r="F718" s="6">
        <v>46308</v>
      </c>
      <c r="G718" s="5" t="s">
        <v>12</v>
      </c>
      <c r="H718" s="5" t="s">
        <v>16</v>
      </c>
      <c r="I718" s="5">
        <v>10</v>
      </c>
      <c r="J718" s="9" t="s">
        <v>17</v>
      </c>
      <c r="K718" s="1" t="s">
        <v>1010</v>
      </c>
      <c r="L718" t="s">
        <v>10</v>
      </c>
      <c r="M718" t="str">
        <f>+VLOOKUP(C718,'[1]TIENDAS 2025'!$A$1:$C$143,3,0)</f>
        <v>local</v>
      </c>
      <c r="O718">
        <v>1</v>
      </c>
    </row>
    <row r="719" spans="1:15" ht="15" customHeight="1" x14ac:dyDescent="0.3">
      <c r="A719" s="8">
        <v>209668260</v>
      </c>
      <c r="B719" s="4" t="s">
        <v>315</v>
      </c>
      <c r="C719" s="4" t="s">
        <v>316</v>
      </c>
      <c r="D719" s="6">
        <v>46308.890046296299</v>
      </c>
      <c r="E719" s="6">
        <v>46308.640011574098</v>
      </c>
      <c r="F719" s="6">
        <v>46308</v>
      </c>
      <c r="G719" s="5" t="s">
        <v>12</v>
      </c>
      <c r="H719" s="5" t="s">
        <v>16</v>
      </c>
      <c r="I719" s="5">
        <v>4</v>
      </c>
      <c r="J719" s="9" t="s">
        <v>17</v>
      </c>
      <c r="K719" s="1" t="s">
        <v>1011</v>
      </c>
      <c r="L719" t="s">
        <v>10</v>
      </c>
      <c r="M719" t="str">
        <f>+VLOOKUP(C719,'[1]TIENDAS 2025'!$A$1:$C$143,3,0)</f>
        <v>prioridad</v>
      </c>
      <c r="O719">
        <v>1</v>
      </c>
    </row>
    <row r="720" spans="1:15" ht="15" customHeight="1" x14ac:dyDescent="0.3">
      <c r="A720" s="8">
        <v>209668300</v>
      </c>
      <c r="B720" s="4" t="s">
        <v>247</v>
      </c>
      <c r="C720" s="4" t="s">
        <v>248</v>
      </c>
      <c r="D720" s="6">
        <v>46308.890057870398</v>
      </c>
      <c r="E720" s="6">
        <v>46308.640023148102</v>
      </c>
      <c r="F720" s="6">
        <v>46308</v>
      </c>
      <c r="G720" s="5" t="s">
        <v>12</v>
      </c>
      <c r="H720" s="5" t="s">
        <v>16</v>
      </c>
      <c r="I720" s="5">
        <v>4</v>
      </c>
      <c r="J720" s="9" t="s">
        <v>17</v>
      </c>
      <c r="K720" s="1" t="s">
        <v>1012</v>
      </c>
      <c r="L720" t="s">
        <v>10</v>
      </c>
      <c r="M720" t="str">
        <f>+VLOOKUP(C720,'[1]TIENDAS 2025'!$A$1:$C$143,3,0)</f>
        <v>local</v>
      </c>
      <c r="O720">
        <v>1</v>
      </c>
    </row>
    <row r="721" spans="1:15" ht="15" customHeight="1" x14ac:dyDescent="0.3">
      <c r="A721" s="8">
        <v>209668305</v>
      </c>
      <c r="B721" s="4" t="s">
        <v>367</v>
      </c>
      <c r="C721" s="4" t="s">
        <v>368</v>
      </c>
      <c r="D721" s="6">
        <v>46308.890069444402</v>
      </c>
      <c r="E721" s="6">
        <v>46308.640034722201</v>
      </c>
      <c r="F721" s="6">
        <v>46308</v>
      </c>
      <c r="G721" s="5" t="s">
        <v>12</v>
      </c>
      <c r="H721" s="5" t="s">
        <v>16</v>
      </c>
      <c r="I721" s="5">
        <v>2</v>
      </c>
      <c r="J721" s="9" t="s">
        <v>17</v>
      </c>
      <c r="K721" s="1" t="s">
        <v>1013</v>
      </c>
      <c r="L721" t="s">
        <v>10</v>
      </c>
      <c r="M721" t="str">
        <f>+VLOOKUP(C721,'[1]TIENDAS 2025'!$A$1:$C$143,3,0)</f>
        <v>local</v>
      </c>
      <c r="O721">
        <v>1</v>
      </c>
    </row>
    <row r="722" spans="1:15" ht="15" customHeight="1" x14ac:dyDescent="0.3">
      <c r="A722" s="8">
        <v>209668310</v>
      </c>
      <c r="B722" s="4" t="s">
        <v>518</v>
      </c>
      <c r="C722" s="4" t="s">
        <v>519</v>
      </c>
      <c r="D722" s="6">
        <v>46308.8900810185</v>
      </c>
      <c r="E722" s="6">
        <v>46308.640057870398</v>
      </c>
      <c r="F722" s="6">
        <v>46308</v>
      </c>
      <c r="G722" s="5" t="s">
        <v>12</v>
      </c>
      <c r="H722" s="5" t="s">
        <v>16</v>
      </c>
      <c r="I722" s="5">
        <v>4</v>
      </c>
      <c r="J722" s="9" t="s">
        <v>17</v>
      </c>
      <c r="K722" s="1" t="s">
        <v>1014</v>
      </c>
      <c r="L722" t="s">
        <v>10</v>
      </c>
      <c r="M722" t="str">
        <f>+VLOOKUP(C722,'[1]TIENDAS 2025'!$A$1:$C$143,3,0)</f>
        <v>prioridad</v>
      </c>
      <c r="O722">
        <v>1</v>
      </c>
    </row>
    <row r="723" spans="1:15" ht="15" customHeight="1" x14ac:dyDescent="0.3">
      <c r="A723" s="8">
        <v>209668312</v>
      </c>
      <c r="B723" s="4" t="s">
        <v>172</v>
      </c>
      <c r="C723" s="4" t="s">
        <v>173</v>
      </c>
      <c r="D723" s="6">
        <v>46308.890092592599</v>
      </c>
      <c r="E723" s="6">
        <v>46308.640069444402</v>
      </c>
      <c r="F723" s="6">
        <v>46308</v>
      </c>
      <c r="G723" s="5" t="s">
        <v>12</v>
      </c>
      <c r="H723" s="5" t="s">
        <v>16</v>
      </c>
      <c r="I723" s="5">
        <v>3</v>
      </c>
      <c r="J723" s="9" t="s">
        <v>17</v>
      </c>
      <c r="K723" s="1" t="s">
        <v>1015</v>
      </c>
      <c r="L723" t="s">
        <v>10</v>
      </c>
      <c r="M723" t="str">
        <f>+VLOOKUP(C723,'[1]TIENDAS 2025'!$A$1:$C$143,3,0)</f>
        <v>local</v>
      </c>
      <c r="O723">
        <v>1</v>
      </c>
    </row>
    <row r="724" spans="1:15" ht="15" customHeight="1" x14ac:dyDescent="0.3">
      <c r="A724" s="8">
        <v>209668367</v>
      </c>
      <c r="B724" s="4" t="s">
        <v>286</v>
      </c>
      <c r="C724" s="4" t="s">
        <v>287</v>
      </c>
      <c r="D724" s="6">
        <v>46308.890115740702</v>
      </c>
      <c r="E724" s="6">
        <v>46308.6400810185</v>
      </c>
      <c r="F724" s="6">
        <v>46308</v>
      </c>
      <c r="G724" s="5" t="s">
        <v>12</v>
      </c>
      <c r="H724" s="5" t="s">
        <v>16</v>
      </c>
      <c r="I724" s="5">
        <v>5</v>
      </c>
      <c r="J724" s="9" t="s">
        <v>17</v>
      </c>
      <c r="K724" s="1" t="s">
        <v>1016</v>
      </c>
      <c r="L724" t="s">
        <v>10</v>
      </c>
      <c r="M724" t="str">
        <f>+VLOOKUP(C724,'[1]TIENDAS 2025'!$A$1:$C$143,3,0)</f>
        <v>nocturna</v>
      </c>
      <c r="O724">
        <v>1</v>
      </c>
    </row>
    <row r="725" spans="1:15" ht="15" customHeight="1" x14ac:dyDescent="0.3">
      <c r="A725" s="7">
        <v>8209669181</v>
      </c>
      <c r="B725" s="4" t="s">
        <v>557</v>
      </c>
      <c r="C725" s="4" t="s">
        <v>558</v>
      </c>
      <c r="D725" s="6">
        <v>46309.416469907403</v>
      </c>
      <c r="E725" s="6">
        <v>46309.1664467593</v>
      </c>
      <c r="F725" s="6">
        <v>46309</v>
      </c>
      <c r="G725" s="5" t="s">
        <v>12</v>
      </c>
      <c r="H725" s="5" t="s">
        <v>27</v>
      </c>
      <c r="I725" s="5">
        <v>2</v>
      </c>
      <c r="J725" s="10" t="s">
        <v>17</v>
      </c>
      <c r="K725" s="1" t="s">
        <v>1017</v>
      </c>
      <c r="M725" t="str">
        <f>+VLOOKUP(C725,'[1]TIENDAS 2025'!$A$1:$C$143,3,0)</f>
        <v>local</v>
      </c>
      <c r="O725">
        <v>1</v>
      </c>
    </row>
    <row r="726" spans="1:15" ht="15" customHeight="1" x14ac:dyDescent="0.3">
      <c r="A726" s="7">
        <v>1209669186</v>
      </c>
      <c r="B726" s="4" t="s">
        <v>557</v>
      </c>
      <c r="C726" s="4" t="s">
        <v>558</v>
      </c>
      <c r="D726" s="6">
        <v>46309.4164930556</v>
      </c>
      <c r="E726" s="6">
        <v>46309.166458333297</v>
      </c>
      <c r="F726" s="6">
        <v>46309</v>
      </c>
      <c r="G726" s="5" t="s">
        <v>12</v>
      </c>
      <c r="H726" s="5" t="s">
        <v>16</v>
      </c>
      <c r="I726" s="5">
        <v>31</v>
      </c>
      <c r="J726" s="9" t="s">
        <v>17</v>
      </c>
      <c r="K726" s="1" t="s">
        <v>1018</v>
      </c>
      <c r="L726" t="s">
        <v>3284</v>
      </c>
      <c r="M726" t="str">
        <f>+VLOOKUP(C726,'[1]TIENDAS 2025'!$A$1:$C$143,3,0)</f>
        <v>local</v>
      </c>
      <c r="O726">
        <v>1</v>
      </c>
    </row>
    <row r="727" spans="1:15" ht="15" customHeight="1" x14ac:dyDescent="0.3">
      <c r="A727" s="7">
        <v>1209669253</v>
      </c>
      <c r="B727" s="4" t="s">
        <v>235</v>
      </c>
      <c r="C727" s="4" t="s">
        <v>236</v>
      </c>
      <c r="D727" s="6">
        <v>46309.416516203702</v>
      </c>
      <c r="E727" s="6">
        <v>46309.166481481501</v>
      </c>
      <c r="F727" s="6">
        <v>46309</v>
      </c>
      <c r="G727" s="5" t="s">
        <v>12</v>
      </c>
      <c r="H727" s="5" t="s">
        <v>16</v>
      </c>
      <c r="I727" s="5">
        <v>2</v>
      </c>
      <c r="J727" s="9" t="s">
        <v>17</v>
      </c>
      <c r="K727" s="1" t="s">
        <v>1019</v>
      </c>
      <c r="L727" t="s">
        <v>3284</v>
      </c>
      <c r="M727" t="str">
        <f>+VLOOKUP(C727,'[1]TIENDAS 2025'!$A$1:$C$143,3,0)</f>
        <v>prioridad</v>
      </c>
      <c r="O727">
        <v>1</v>
      </c>
    </row>
    <row r="728" spans="1:15" ht="15" customHeight="1" x14ac:dyDescent="0.3">
      <c r="A728" s="7">
        <v>8209669254</v>
      </c>
      <c r="B728" s="4" t="s">
        <v>235</v>
      </c>
      <c r="C728" s="4" t="s">
        <v>236</v>
      </c>
      <c r="D728" s="6">
        <v>46309.416527777801</v>
      </c>
      <c r="E728" s="6">
        <v>46309.1664930556</v>
      </c>
      <c r="F728" s="6">
        <v>46309</v>
      </c>
      <c r="G728" s="5" t="s">
        <v>12</v>
      </c>
      <c r="H728" s="5" t="s">
        <v>27</v>
      </c>
      <c r="I728" s="5">
        <v>1</v>
      </c>
      <c r="J728" s="10" t="s">
        <v>17</v>
      </c>
      <c r="K728" s="1" t="s">
        <v>1020</v>
      </c>
      <c r="M728" t="str">
        <f>+VLOOKUP(C728,'[1]TIENDAS 2025'!$A$1:$C$143,3,0)</f>
        <v>prioridad</v>
      </c>
      <c r="O728">
        <v>1</v>
      </c>
    </row>
    <row r="729" spans="1:15" ht="15" customHeight="1" x14ac:dyDescent="0.3">
      <c r="A729" s="7">
        <v>8209669237</v>
      </c>
      <c r="B729" s="4" t="s">
        <v>235</v>
      </c>
      <c r="C729" s="4" t="s">
        <v>236</v>
      </c>
      <c r="D729" s="6">
        <v>46309.416539351798</v>
      </c>
      <c r="E729" s="6">
        <v>46309.166504629597</v>
      </c>
      <c r="F729" s="6">
        <v>46309</v>
      </c>
      <c r="G729" s="5" t="s">
        <v>12</v>
      </c>
      <c r="H729" s="5" t="s">
        <v>27</v>
      </c>
      <c r="I729" s="5">
        <v>4</v>
      </c>
      <c r="J729" s="10" t="s">
        <v>17</v>
      </c>
      <c r="K729" s="1" t="s">
        <v>1021</v>
      </c>
      <c r="M729" t="str">
        <f>+VLOOKUP(C729,'[1]TIENDAS 2025'!$A$1:$C$143,3,0)</f>
        <v>prioridad</v>
      </c>
      <c r="O729">
        <v>1</v>
      </c>
    </row>
    <row r="730" spans="1:15" ht="15" customHeight="1" x14ac:dyDescent="0.3">
      <c r="A730" s="7">
        <v>8209669241</v>
      </c>
      <c r="B730" s="4" t="s">
        <v>235</v>
      </c>
      <c r="C730" s="4" t="s">
        <v>236</v>
      </c>
      <c r="D730" s="6">
        <v>46309.416550925896</v>
      </c>
      <c r="E730" s="6">
        <v>46309.166527777801</v>
      </c>
      <c r="F730" s="6">
        <v>46309</v>
      </c>
      <c r="G730" s="5" t="s">
        <v>12</v>
      </c>
      <c r="H730" s="5" t="s">
        <v>27</v>
      </c>
      <c r="I730" s="5">
        <v>3</v>
      </c>
      <c r="J730" s="10" t="s">
        <v>17</v>
      </c>
      <c r="K730" s="1" t="s">
        <v>1022</v>
      </c>
      <c r="M730" t="str">
        <f>+VLOOKUP(C730,'[1]TIENDAS 2025'!$A$1:$C$143,3,0)</f>
        <v>prioridad</v>
      </c>
      <c r="O730">
        <v>1</v>
      </c>
    </row>
    <row r="731" spans="1:15" ht="15" customHeight="1" x14ac:dyDescent="0.3">
      <c r="A731" s="7">
        <v>1209669170</v>
      </c>
      <c r="B731" s="4" t="s">
        <v>557</v>
      </c>
      <c r="C731" s="4" t="s">
        <v>558</v>
      </c>
      <c r="D731" s="6">
        <v>46309.416574074101</v>
      </c>
      <c r="E731" s="6">
        <v>46309.166539351798</v>
      </c>
      <c r="F731" s="6">
        <v>46309</v>
      </c>
      <c r="G731" s="5" t="s">
        <v>12</v>
      </c>
      <c r="H731" s="5" t="s">
        <v>16</v>
      </c>
      <c r="I731" s="5">
        <v>9</v>
      </c>
      <c r="J731" s="9" t="s">
        <v>17</v>
      </c>
      <c r="K731" s="1" t="s">
        <v>1023</v>
      </c>
      <c r="L731" t="s">
        <v>3284</v>
      </c>
      <c r="M731" t="str">
        <f>+VLOOKUP(C731,'[1]TIENDAS 2025'!$A$1:$C$143,3,0)</f>
        <v>local</v>
      </c>
      <c r="O731">
        <v>1</v>
      </c>
    </row>
    <row r="732" spans="1:15" ht="15" customHeight="1" x14ac:dyDescent="0.3">
      <c r="A732" s="7">
        <v>8209669177</v>
      </c>
      <c r="B732" s="4" t="s">
        <v>557</v>
      </c>
      <c r="C732" s="4" t="s">
        <v>558</v>
      </c>
      <c r="D732" s="6">
        <v>46309.416585648098</v>
      </c>
      <c r="E732" s="6">
        <v>46309.166550925896</v>
      </c>
      <c r="F732" s="6">
        <v>46309</v>
      </c>
      <c r="G732" s="5" t="s">
        <v>12</v>
      </c>
      <c r="H732" s="5" t="s">
        <v>27</v>
      </c>
      <c r="I732" s="5">
        <v>6</v>
      </c>
      <c r="J732" s="10" t="s">
        <v>17</v>
      </c>
      <c r="K732" s="1" t="s">
        <v>1024</v>
      </c>
      <c r="M732" t="str">
        <f>+VLOOKUP(C732,'[1]TIENDAS 2025'!$A$1:$C$143,3,0)</f>
        <v>local</v>
      </c>
      <c r="O732">
        <v>1</v>
      </c>
    </row>
    <row r="733" spans="1:15" ht="15" customHeight="1" x14ac:dyDescent="0.3">
      <c r="A733" s="7">
        <v>8209669255</v>
      </c>
      <c r="B733" s="4" t="s">
        <v>235</v>
      </c>
      <c r="C733" s="4" t="s">
        <v>236</v>
      </c>
      <c r="D733" s="6">
        <v>46309.416608796302</v>
      </c>
      <c r="E733" s="6">
        <v>46309.166574074101</v>
      </c>
      <c r="F733" s="6">
        <v>46309</v>
      </c>
      <c r="G733" s="5" t="s">
        <v>12</v>
      </c>
      <c r="H733" s="5" t="s">
        <v>27</v>
      </c>
      <c r="I733" s="5">
        <v>1</v>
      </c>
      <c r="J733" s="10" t="s">
        <v>17</v>
      </c>
      <c r="K733" s="1" t="s">
        <v>1025</v>
      </c>
      <c r="M733" t="str">
        <f>+VLOOKUP(C733,'[1]TIENDAS 2025'!$A$1:$C$143,3,0)</f>
        <v>prioridad</v>
      </c>
      <c r="O733">
        <v>1</v>
      </c>
    </row>
    <row r="734" spans="1:15" ht="15" customHeight="1" x14ac:dyDescent="0.3">
      <c r="A734" s="7">
        <v>1209669256</v>
      </c>
      <c r="B734" s="4" t="s">
        <v>235</v>
      </c>
      <c r="C734" s="4" t="s">
        <v>236</v>
      </c>
      <c r="D734" s="6">
        <v>46309.416620370401</v>
      </c>
      <c r="E734" s="6">
        <v>46309.166585648098</v>
      </c>
      <c r="F734" s="6">
        <v>46309</v>
      </c>
      <c r="G734" s="5" t="s">
        <v>12</v>
      </c>
      <c r="H734" s="5" t="s">
        <v>16</v>
      </c>
      <c r="I734" s="5">
        <v>5</v>
      </c>
      <c r="J734" s="9" t="s">
        <v>17</v>
      </c>
      <c r="K734" s="1" t="s">
        <v>1026</v>
      </c>
      <c r="L734" t="s">
        <v>3284</v>
      </c>
      <c r="M734" t="str">
        <f>+VLOOKUP(C734,'[1]TIENDAS 2025'!$A$1:$C$143,3,0)</f>
        <v>prioridad</v>
      </c>
      <c r="O734">
        <v>1</v>
      </c>
    </row>
    <row r="735" spans="1:15" ht="15" customHeight="1" x14ac:dyDescent="0.3">
      <c r="A735" s="7">
        <v>1209669210</v>
      </c>
      <c r="B735" s="4" t="s">
        <v>312</v>
      </c>
      <c r="C735" s="4" t="s">
        <v>313</v>
      </c>
      <c r="D735" s="6">
        <v>46309.416643518503</v>
      </c>
      <c r="E735" s="6">
        <v>46309.166608796302</v>
      </c>
      <c r="F735" s="6">
        <v>46309</v>
      </c>
      <c r="G735" s="5" t="s">
        <v>12</v>
      </c>
      <c r="H735" s="5" t="s">
        <v>16</v>
      </c>
      <c r="I735" s="5">
        <v>19</v>
      </c>
      <c r="J735" s="9" t="s">
        <v>17</v>
      </c>
      <c r="K735" s="1" t="s">
        <v>1027</v>
      </c>
      <c r="L735" t="s">
        <v>3284</v>
      </c>
      <c r="M735" t="str">
        <f>+VLOOKUP(C735,'[1]TIENDAS 2025'!$A$1:$C$143,3,0)</f>
        <v>prioridad</v>
      </c>
      <c r="O735">
        <v>1</v>
      </c>
    </row>
    <row r="736" spans="1:15" ht="15" customHeight="1" x14ac:dyDescent="0.3">
      <c r="A736" s="7">
        <v>1209669193</v>
      </c>
      <c r="B736" s="4" t="s">
        <v>557</v>
      </c>
      <c r="C736" s="4" t="s">
        <v>558</v>
      </c>
      <c r="D736" s="6">
        <v>46309.416666666701</v>
      </c>
      <c r="E736" s="6">
        <v>46309.166631944398</v>
      </c>
      <c r="F736" s="6">
        <v>46309</v>
      </c>
      <c r="G736" s="5" t="s">
        <v>12</v>
      </c>
      <c r="H736" s="5" t="s">
        <v>16</v>
      </c>
      <c r="I736" s="5">
        <v>40</v>
      </c>
      <c r="J736" s="9" t="s">
        <v>17</v>
      </c>
      <c r="K736" s="1" t="s">
        <v>1028</v>
      </c>
      <c r="L736" t="s">
        <v>3284</v>
      </c>
      <c r="M736" t="str">
        <f>+VLOOKUP(C736,'[1]TIENDAS 2025'!$A$1:$C$143,3,0)</f>
        <v>local</v>
      </c>
      <c r="O736">
        <v>1</v>
      </c>
    </row>
    <row r="737" spans="1:15" ht="15" customHeight="1" x14ac:dyDescent="0.3">
      <c r="A737" s="7">
        <v>8209669205</v>
      </c>
      <c r="B737" s="4" t="s">
        <v>312</v>
      </c>
      <c r="C737" s="4" t="s">
        <v>313</v>
      </c>
      <c r="D737" s="6">
        <v>46309.416678240697</v>
      </c>
      <c r="E737" s="6">
        <v>46309.166655092602</v>
      </c>
      <c r="F737" s="6">
        <v>46309</v>
      </c>
      <c r="G737" s="5" t="s">
        <v>12</v>
      </c>
      <c r="H737" s="5" t="s">
        <v>27</v>
      </c>
      <c r="I737" s="5">
        <v>11</v>
      </c>
      <c r="J737" s="10" t="s">
        <v>17</v>
      </c>
      <c r="K737" s="1" t="s">
        <v>1029</v>
      </c>
      <c r="M737" t="str">
        <f>+VLOOKUP(C737,'[1]TIENDAS 2025'!$A$1:$C$143,3,0)</f>
        <v>prioridad</v>
      </c>
      <c r="O737">
        <v>1</v>
      </c>
    </row>
    <row r="738" spans="1:15" ht="15" customHeight="1" x14ac:dyDescent="0.3">
      <c r="A738" s="7">
        <v>1209669222</v>
      </c>
      <c r="B738" s="4" t="s">
        <v>312</v>
      </c>
      <c r="C738" s="4" t="s">
        <v>313</v>
      </c>
      <c r="D738" s="6">
        <v>46309.416701388902</v>
      </c>
      <c r="E738" s="6">
        <v>46309.166678240697</v>
      </c>
      <c r="F738" s="6">
        <v>46309</v>
      </c>
      <c r="G738" s="5" t="s">
        <v>12</v>
      </c>
      <c r="H738" s="5" t="s">
        <v>29</v>
      </c>
      <c r="I738" s="5">
        <v>1</v>
      </c>
      <c r="J738" s="9" t="s">
        <v>17</v>
      </c>
      <c r="K738" s="1" t="s">
        <v>1030</v>
      </c>
      <c r="L738" t="s">
        <v>3284</v>
      </c>
      <c r="M738" t="str">
        <f>+VLOOKUP(C738,'[1]TIENDAS 2025'!$A$1:$C$143,3,0)</f>
        <v>prioridad</v>
      </c>
      <c r="O738">
        <v>1</v>
      </c>
    </row>
    <row r="739" spans="1:15" ht="15" customHeight="1" x14ac:dyDescent="0.3">
      <c r="A739" s="7">
        <v>1209669246</v>
      </c>
      <c r="B739" s="4" t="s">
        <v>235</v>
      </c>
      <c r="C739" s="4" t="s">
        <v>236</v>
      </c>
      <c r="D739" s="6">
        <v>46309.416724536997</v>
      </c>
      <c r="E739" s="6">
        <v>46309.166689814803</v>
      </c>
      <c r="F739" s="6">
        <v>46309</v>
      </c>
      <c r="G739" s="5" t="s">
        <v>12</v>
      </c>
      <c r="H739" s="5" t="s">
        <v>16</v>
      </c>
      <c r="I739" s="5">
        <v>13</v>
      </c>
      <c r="J739" s="9" t="s">
        <v>17</v>
      </c>
      <c r="K739" s="1" t="s">
        <v>1031</v>
      </c>
      <c r="L739" t="s">
        <v>3284</v>
      </c>
      <c r="M739" t="str">
        <f>+VLOOKUP(C739,'[1]TIENDAS 2025'!$A$1:$C$143,3,0)</f>
        <v>prioridad</v>
      </c>
      <c r="O739">
        <v>1</v>
      </c>
    </row>
    <row r="740" spans="1:15" ht="15" customHeight="1" x14ac:dyDescent="0.3">
      <c r="A740" s="7">
        <v>1209669226</v>
      </c>
      <c r="B740" s="4" t="s">
        <v>312</v>
      </c>
      <c r="C740" s="4" t="s">
        <v>313</v>
      </c>
      <c r="D740" s="6">
        <v>46309.416736111103</v>
      </c>
      <c r="E740" s="6">
        <v>46309.166701388902</v>
      </c>
      <c r="F740" s="6">
        <v>46309</v>
      </c>
      <c r="G740" s="5" t="s">
        <v>12</v>
      </c>
      <c r="H740" s="5" t="s">
        <v>16</v>
      </c>
      <c r="I740" s="5">
        <v>28</v>
      </c>
      <c r="J740" s="9" t="s">
        <v>17</v>
      </c>
      <c r="K740" s="1" t="s">
        <v>1032</v>
      </c>
      <c r="L740" t="s">
        <v>3284</v>
      </c>
      <c r="M740" t="str">
        <f>+VLOOKUP(C740,'[1]TIENDAS 2025'!$A$1:$C$143,3,0)</f>
        <v>prioridad</v>
      </c>
      <c r="O740">
        <v>1</v>
      </c>
    </row>
    <row r="741" spans="1:15" ht="15" customHeight="1" x14ac:dyDescent="0.3">
      <c r="A741" s="7">
        <v>8209669238</v>
      </c>
      <c r="B741" s="4" t="s">
        <v>235</v>
      </c>
      <c r="C741" s="4" t="s">
        <v>236</v>
      </c>
      <c r="D741" s="6">
        <v>46309.416747685202</v>
      </c>
      <c r="E741" s="6">
        <v>46309.166724536997</v>
      </c>
      <c r="F741" s="6">
        <v>46309</v>
      </c>
      <c r="G741" s="5" t="s">
        <v>12</v>
      </c>
      <c r="H741" s="5" t="s">
        <v>27</v>
      </c>
      <c r="I741" s="5">
        <v>17</v>
      </c>
      <c r="J741" s="10" t="s">
        <v>17</v>
      </c>
      <c r="K741" s="1" t="s">
        <v>1033</v>
      </c>
      <c r="M741" t="str">
        <f>+VLOOKUP(C741,'[1]TIENDAS 2025'!$A$1:$C$143,3,0)</f>
        <v>prioridad</v>
      </c>
      <c r="O741">
        <v>1</v>
      </c>
    </row>
    <row r="742" spans="1:15" ht="15" customHeight="1" x14ac:dyDescent="0.3">
      <c r="A742" s="7">
        <v>1209669172</v>
      </c>
      <c r="B742" s="4" t="s">
        <v>557</v>
      </c>
      <c r="C742" s="4" t="s">
        <v>558</v>
      </c>
      <c r="D742" s="6">
        <v>46309.416770833297</v>
      </c>
      <c r="E742" s="6">
        <v>46309.166747685202</v>
      </c>
      <c r="F742" s="6">
        <v>46309</v>
      </c>
      <c r="G742" s="5" t="s">
        <v>12</v>
      </c>
      <c r="H742" s="5" t="s">
        <v>16</v>
      </c>
      <c r="I742" s="5">
        <v>6</v>
      </c>
      <c r="J742" s="9" t="s">
        <v>17</v>
      </c>
      <c r="K742" s="1" t="s">
        <v>1034</v>
      </c>
      <c r="L742" t="s">
        <v>3284</v>
      </c>
      <c r="M742" t="str">
        <f>+VLOOKUP(C742,'[1]TIENDAS 2025'!$A$1:$C$143,3,0)</f>
        <v>local</v>
      </c>
      <c r="O742">
        <v>1</v>
      </c>
    </row>
    <row r="743" spans="1:15" ht="15" customHeight="1" x14ac:dyDescent="0.3">
      <c r="A743" s="7">
        <v>1209669213</v>
      </c>
      <c r="B743" s="4" t="s">
        <v>312</v>
      </c>
      <c r="C743" s="4" t="s">
        <v>313</v>
      </c>
      <c r="D743" s="6">
        <v>46309.416793981502</v>
      </c>
      <c r="E743" s="6">
        <v>46309.1667592593</v>
      </c>
      <c r="F743" s="6">
        <v>46309</v>
      </c>
      <c r="G743" s="5" t="s">
        <v>12</v>
      </c>
      <c r="H743" s="5" t="s">
        <v>16</v>
      </c>
      <c r="I743" s="5">
        <v>24</v>
      </c>
      <c r="J743" s="9" t="s">
        <v>17</v>
      </c>
      <c r="K743" s="1" t="s">
        <v>1035</v>
      </c>
      <c r="L743" t="s">
        <v>3284</v>
      </c>
      <c r="M743" t="str">
        <f>+VLOOKUP(C743,'[1]TIENDAS 2025'!$A$1:$C$143,3,0)</f>
        <v>prioridad</v>
      </c>
      <c r="O743">
        <v>1</v>
      </c>
    </row>
    <row r="744" spans="1:15" ht="15" customHeight="1" x14ac:dyDescent="0.3">
      <c r="A744" s="7">
        <v>1209669189</v>
      </c>
      <c r="B744" s="4" t="s">
        <v>557</v>
      </c>
      <c r="C744" s="4" t="s">
        <v>558</v>
      </c>
      <c r="D744" s="6">
        <v>46309.416817129597</v>
      </c>
      <c r="E744" s="6">
        <v>46309.166782407403</v>
      </c>
      <c r="F744" s="6">
        <v>46309</v>
      </c>
      <c r="G744" s="5" t="s">
        <v>12</v>
      </c>
      <c r="H744" s="5" t="s">
        <v>29</v>
      </c>
      <c r="I744" s="5">
        <v>45</v>
      </c>
      <c r="J744" s="9" t="s">
        <v>17</v>
      </c>
      <c r="K744" s="1" t="s">
        <v>1036</v>
      </c>
      <c r="L744" t="s">
        <v>3284</v>
      </c>
      <c r="M744" t="str">
        <f>+VLOOKUP(C744,'[1]TIENDAS 2025'!$A$1:$C$143,3,0)</f>
        <v>local</v>
      </c>
      <c r="O744">
        <v>1</v>
      </c>
    </row>
    <row r="745" spans="1:15" ht="15" customHeight="1" x14ac:dyDescent="0.3">
      <c r="A745" s="7">
        <v>8209669202</v>
      </c>
      <c r="B745" s="4" t="s">
        <v>312</v>
      </c>
      <c r="C745" s="4" t="s">
        <v>313</v>
      </c>
      <c r="D745" s="6">
        <v>46309.416840277801</v>
      </c>
      <c r="E745" s="6">
        <v>46309.1668055556</v>
      </c>
      <c r="F745" s="6">
        <v>46309</v>
      </c>
      <c r="G745" s="5" t="s">
        <v>12</v>
      </c>
      <c r="H745" s="5" t="s">
        <v>27</v>
      </c>
      <c r="I745" s="5">
        <v>10</v>
      </c>
      <c r="J745" s="10" t="s">
        <v>17</v>
      </c>
      <c r="K745" s="1" t="s">
        <v>1037</v>
      </c>
      <c r="M745" t="str">
        <f>+VLOOKUP(C745,'[1]TIENDAS 2025'!$A$1:$C$143,3,0)</f>
        <v>prioridad</v>
      </c>
      <c r="O745">
        <v>1</v>
      </c>
    </row>
    <row r="746" spans="1:15" ht="15" customHeight="1" x14ac:dyDescent="0.3">
      <c r="A746" s="7">
        <v>1209669252</v>
      </c>
      <c r="B746" s="4" t="s">
        <v>235</v>
      </c>
      <c r="C746" s="4" t="s">
        <v>236</v>
      </c>
      <c r="D746" s="6">
        <v>46309.416863425897</v>
      </c>
      <c r="E746" s="6">
        <v>46309.166828703703</v>
      </c>
      <c r="F746" s="6">
        <v>46309</v>
      </c>
      <c r="G746" s="5" t="s">
        <v>12</v>
      </c>
      <c r="H746" s="5" t="s">
        <v>29</v>
      </c>
      <c r="I746" s="5">
        <v>30</v>
      </c>
      <c r="J746" s="9" t="s">
        <v>17</v>
      </c>
      <c r="K746" s="1" t="s">
        <v>1038</v>
      </c>
      <c r="L746" t="s">
        <v>3284</v>
      </c>
      <c r="M746" t="str">
        <f>+VLOOKUP(C746,'[1]TIENDAS 2025'!$A$1:$C$143,3,0)</f>
        <v>prioridad</v>
      </c>
      <c r="O746">
        <v>1</v>
      </c>
    </row>
    <row r="747" spans="1:15" ht="15" customHeight="1" x14ac:dyDescent="0.3">
      <c r="A747" s="7">
        <v>1209669228</v>
      </c>
      <c r="B747" s="4" t="s">
        <v>312</v>
      </c>
      <c r="C747" s="4" t="s">
        <v>313</v>
      </c>
      <c r="D747" s="6">
        <v>46309.416875000003</v>
      </c>
      <c r="E747" s="6">
        <v>46309.166840277801</v>
      </c>
      <c r="F747" s="6">
        <v>46309</v>
      </c>
      <c r="G747" s="5" t="s">
        <v>12</v>
      </c>
      <c r="H747" s="5" t="s">
        <v>29</v>
      </c>
      <c r="I747" s="5">
        <v>37</v>
      </c>
      <c r="J747" s="9" t="s">
        <v>17</v>
      </c>
      <c r="K747" s="1" t="s">
        <v>1039</v>
      </c>
      <c r="L747" t="s">
        <v>3284</v>
      </c>
      <c r="M747" t="str">
        <f>+VLOOKUP(C747,'[1]TIENDAS 2025'!$A$1:$C$143,3,0)</f>
        <v>prioridad</v>
      </c>
      <c r="O747">
        <v>1</v>
      </c>
    </row>
    <row r="748" spans="1:15" ht="15" customHeight="1" x14ac:dyDescent="0.3">
      <c r="A748" s="7">
        <v>8209669240</v>
      </c>
      <c r="B748" s="4" t="s">
        <v>235</v>
      </c>
      <c r="C748" s="4" t="s">
        <v>236</v>
      </c>
      <c r="D748" s="6">
        <v>46309.416886574101</v>
      </c>
      <c r="E748" s="6">
        <v>46309.166863425897</v>
      </c>
      <c r="F748" s="6">
        <v>46309</v>
      </c>
      <c r="G748" s="5" t="s">
        <v>12</v>
      </c>
      <c r="H748" s="5" t="s">
        <v>27</v>
      </c>
      <c r="I748" s="5">
        <v>4</v>
      </c>
      <c r="J748" s="10" t="s">
        <v>17</v>
      </c>
      <c r="K748" s="1" t="s">
        <v>1040</v>
      </c>
      <c r="M748" t="str">
        <f>+VLOOKUP(C748,'[1]TIENDAS 2025'!$A$1:$C$143,3,0)</f>
        <v>prioridad</v>
      </c>
      <c r="O748">
        <v>1</v>
      </c>
    </row>
    <row r="749" spans="1:15" ht="15" customHeight="1" x14ac:dyDescent="0.3">
      <c r="A749" s="7">
        <v>1209669211</v>
      </c>
      <c r="B749" s="4" t="s">
        <v>312</v>
      </c>
      <c r="C749" s="4" t="s">
        <v>313</v>
      </c>
      <c r="D749" s="6">
        <v>46309.416898148098</v>
      </c>
      <c r="E749" s="6">
        <v>46309.166875000003</v>
      </c>
      <c r="F749" s="6">
        <v>46309</v>
      </c>
      <c r="G749" s="5" t="s">
        <v>12</v>
      </c>
      <c r="H749" s="5" t="s">
        <v>16</v>
      </c>
      <c r="I749" s="5">
        <v>21</v>
      </c>
      <c r="J749" s="9" t="s">
        <v>17</v>
      </c>
      <c r="K749" s="1" t="s">
        <v>1041</v>
      </c>
      <c r="L749" t="s">
        <v>3284</v>
      </c>
      <c r="M749" t="str">
        <f>+VLOOKUP(C749,'[1]TIENDAS 2025'!$A$1:$C$143,3,0)</f>
        <v>prioridad</v>
      </c>
      <c r="O749">
        <v>1</v>
      </c>
    </row>
    <row r="750" spans="1:15" ht="15" customHeight="1" x14ac:dyDescent="0.3">
      <c r="A750" s="7">
        <v>1209669174</v>
      </c>
      <c r="B750" s="4" t="s">
        <v>557</v>
      </c>
      <c r="C750" s="4" t="s">
        <v>558</v>
      </c>
      <c r="D750" s="6">
        <v>46309.416921296302</v>
      </c>
      <c r="E750" s="6">
        <v>46309.166886574101</v>
      </c>
      <c r="F750" s="6">
        <v>46309</v>
      </c>
      <c r="G750" s="5" t="s">
        <v>12</v>
      </c>
      <c r="H750" s="5" t="s">
        <v>16</v>
      </c>
      <c r="I750" s="5">
        <v>11</v>
      </c>
      <c r="J750" s="9" t="s">
        <v>17</v>
      </c>
      <c r="K750" s="1" t="s">
        <v>1042</v>
      </c>
      <c r="L750" t="s">
        <v>3284</v>
      </c>
      <c r="M750" t="str">
        <f>+VLOOKUP(C750,'[1]TIENDAS 2025'!$A$1:$C$143,3,0)</f>
        <v>local</v>
      </c>
      <c r="O750">
        <v>1</v>
      </c>
    </row>
    <row r="751" spans="1:15" ht="15" customHeight="1" x14ac:dyDescent="0.3">
      <c r="A751" s="7">
        <v>8209669203</v>
      </c>
      <c r="B751" s="4" t="s">
        <v>312</v>
      </c>
      <c r="C751" s="4" t="s">
        <v>313</v>
      </c>
      <c r="D751" s="6">
        <v>46309.416932870401</v>
      </c>
      <c r="E751" s="6">
        <v>46309.166898148098</v>
      </c>
      <c r="F751" s="6">
        <v>46309</v>
      </c>
      <c r="G751" s="5" t="s">
        <v>12</v>
      </c>
      <c r="H751" s="5" t="s">
        <v>27</v>
      </c>
      <c r="I751" s="5">
        <v>2</v>
      </c>
      <c r="J751" s="10" t="s">
        <v>17</v>
      </c>
      <c r="K751" s="1" t="s">
        <v>1043</v>
      </c>
      <c r="M751" t="str">
        <f>+VLOOKUP(C751,'[1]TIENDAS 2025'!$A$1:$C$143,3,0)</f>
        <v>prioridad</v>
      </c>
      <c r="O751">
        <v>1</v>
      </c>
    </row>
    <row r="752" spans="1:15" ht="15" customHeight="1" x14ac:dyDescent="0.3">
      <c r="A752" s="7">
        <v>8209669206</v>
      </c>
      <c r="B752" s="4" t="s">
        <v>312</v>
      </c>
      <c r="C752" s="4" t="s">
        <v>313</v>
      </c>
      <c r="D752" s="6">
        <v>46309.416944444398</v>
      </c>
      <c r="E752" s="6">
        <v>46309.166921296302</v>
      </c>
      <c r="F752" s="6">
        <v>46309</v>
      </c>
      <c r="G752" s="5" t="s">
        <v>12</v>
      </c>
      <c r="H752" s="5" t="s">
        <v>27</v>
      </c>
      <c r="I752" s="5">
        <v>1</v>
      </c>
      <c r="J752" s="10" t="s">
        <v>17</v>
      </c>
      <c r="K752" s="1" t="s">
        <v>1044</v>
      </c>
      <c r="M752" t="str">
        <f>+VLOOKUP(C752,'[1]TIENDAS 2025'!$A$1:$C$143,3,0)</f>
        <v>prioridad</v>
      </c>
      <c r="O752">
        <v>1</v>
      </c>
    </row>
    <row r="753" spans="1:15" ht="15" customHeight="1" x14ac:dyDescent="0.3">
      <c r="A753" s="7">
        <v>1209669260</v>
      </c>
      <c r="B753" s="4" t="s">
        <v>235</v>
      </c>
      <c r="C753" s="4" t="s">
        <v>236</v>
      </c>
      <c r="D753" s="6">
        <v>46309.416967592602</v>
      </c>
      <c r="E753" s="6">
        <v>46309.166932870401</v>
      </c>
      <c r="F753" s="6">
        <v>46309</v>
      </c>
      <c r="G753" s="5" t="s">
        <v>12</v>
      </c>
      <c r="H753" s="5" t="s">
        <v>16</v>
      </c>
      <c r="I753" s="5">
        <v>23</v>
      </c>
      <c r="J753" s="9" t="s">
        <v>17</v>
      </c>
      <c r="K753" s="1" t="s">
        <v>1045</v>
      </c>
      <c r="L753" t="s">
        <v>3284</v>
      </c>
      <c r="M753" t="str">
        <f>+VLOOKUP(C753,'[1]TIENDAS 2025'!$A$1:$C$143,3,0)</f>
        <v>prioridad</v>
      </c>
      <c r="O753">
        <v>1</v>
      </c>
    </row>
    <row r="754" spans="1:15" ht="15" customHeight="1" x14ac:dyDescent="0.3">
      <c r="A754" s="7">
        <v>1209669247</v>
      </c>
      <c r="B754" s="4" t="s">
        <v>235</v>
      </c>
      <c r="C754" s="4" t="s">
        <v>236</v>
      </c>
      <c r="D754" s="6">
        <v>46309.416979166701</v>
      </c>
      <c r="E754" s="6">
        <v>46309.166944444398</v>
      </c>
      <c r="F754" s="6">
        <v>46309</v>
      </c>
      <c r="G754" s="5" t="s">
        <v>12</v>
      </c>
      <c r="H754" s="5" t="s">
        <v>29</v>
      </c>
      <c r="I754" s="5">
        <v>15</v>
      </c>
      <c r="J754" s="9" t="s">
        <v>17</v>
      </c>
      <c r="K754" s="1" t="s">
        <v>1046</v>
      </c>
      <c r="L754" t="s">
        <v>3284</v>
      </c>
      <c r="M754" t="str">
        <f>+VLOOKUP(C754,'[1]TIENDAS 2025'!$A$1:$C$143,3,0)</f>
        <v>prioridad</v>
      </c>
      <c r="O754">
        <v>1</v>
      </c>
    </row>
    <row r="755" spans="1:15" ht="15" customHeight="1" x14ac:dyDescent="0.3">
      <c r="A755" s="7">
        <v>8209669221</v>
      </c>
      <c r="B755" s="4" t="s">
        <v>312</v>
      </c>
      <c r="C755" s="4" t="s">
        <v>313</v>
      </c>
      <c r="D755" s="6">
        <v>46309.417002314804</v>
      </c>
      <c r="E755" s="6">
        <v>46309.166967592602</v>
      </c>
      <c r="F755" s="6">
        <v>46309</v>
      </c>
      <c r="G755" s="5" t="s">
        <v>12</v>
      </c>
      <c r="H755" s="5" t="s">
        <v>27</v>
      </c>
      <c r="I755" s="5">
        <v>6</v>
      </c>
      <c r="J755" s="10" t="s">
        <v>17</v>
      </c>
      <c r="K755" s="1" t="s">
        <v>1047</v>
      </c>
      <c r="M755" t="str">
        <f>+VLOOKUP(C755,'[1]TIENDAS 2025'!$A$1:$C$143,3,0)</f>
        <v>prioridad</v>
      </c>
      <c r="O755">
        <v>1</v>
      </c>
    </row>
    <row r="756" spans="1:15" ht="15" customHeight="1" x14ac:dyDescent="0.3">
      <c r="A756" s="7">
        <v>1209669245</v>
      </c>
      <c r="B756" s="4" t="s">
        <v>235</v>
      </c>
      <c r="C756" s="4" t="s">
        <v>236</v>
      </c>
      <c r="D756" s="6">
        <v>46309.417025463001</v>
      </c>
      <c r="E756" s="6">
        <v>46309.166990740698</v>
      </c>
      <c r="F756" s="6">
        <v>46309</v>
      </c>
      <c r="G756" s="5" t="s">
        <v>12</v>
      </c>
      <c r="H756" s="5" t="s">
        <v>16</v>
      </c>
      <c r="I756" s="5">
        <v>12</v>
      </c>
      <c r="J756" s="9" t="s">
        <v>17</v>
      </c>
      <c r="K756" s="1" t="s">
        <v>1048</v>
      </c>
      <c r="L756" t="s">
        <v>3284</v>
      </c>
      <c r="M756" t="str">
        <f>+VLOOKUP(C756,'[1]TIENDAS 2025'!$A$1:$C$143,3,0)</f>
        <v>prioridad</v>
      </c>
      <c r="O756">
        <v>1</v>
      </c>
    </row>
    <row r="757" spans="1:15" ht="15" customHeight="1" x14ac:dyDescent="0.3">
      <c r="A757" s="7">
        <v>1209669224</v>
      </c>
      <c r="B757" s="4" t="s">
        <v>312</v>
      </c>
      <c r="C757" s="4" t="s">
        <v>313</v>
      </c>
      <c r="D757" s="6">
        <v>46309.417048611103</v>
      </c>
      <c r="E757" s="6">
        <v>46309.167013888902</v>
      </c>
      <c r="F757" s="6">
        <v>46309</v>
      </c>
      <c r="G757" s="5" t="s">
        <v>12</v>
      </c>
      <c r="H757" s="5" t="s">
        <v>29</v>
      </c>
      <c r="I757" s="5">
        <v>10</v>
      </c>
      <c r="J757" s="9" t="s">
        <v>17</v>
      </c>
      <c r="K757" s="1" t="s">
        <v>1049</v>
      </c>
      <c r="L757" t="s">
        <v>3284</v>
      </c>
      <c r="M757" t="str">
        <f>+VLOOKUP(C757,'[1]TIENDAS 2025'!$A$1:$C$143,3,0)</f>
        <v>prioridad</v>
      </c>
      <c r="O757">
        <v>1</v>
      </c>
    </row>
    <row r="758" spans="1:15" ht="15" customHeight="1" x14ac:dyDescent="0.3">
      <c r="A758" s="7">
        <v>8209669165</v>
      </c>
      <c r="B758" s="4" t="s">
        <v>557</v>
      </c>
      <c r="C758" s="4" t="s">
        <v>558</v>
      </c>
      <c r="D758" s="6">
        <v>46309.417060185202</v>
      </c>
      <c r="E758" s="6">
        <v>46309.167037036997</v>
      </c>
      <c r="F758" s="6">
        <v>46309</v>
      </c>
      <c r="G758" s="5" t="s">
        <v>12</v>
      </c>
      <c r="H758" s="5" t="s">
        <v>27</v>
      </c>
      <c r="I758" s="5">
        <v>5</v>
      </c>
      <c r="J758" s="10" t="s">
        <v>17</v>
      </c>
      <c r="K758" s="1" t="s">
        <v>1050</v>
      </c>
      <c r="M758" t="str">
        <f>+VLOOKUP(C758,'[1]TIENDAS 2025'!$A$1:$C$143,3,0)</f>
        <v>local</v>
      </c>
      <c r="O758">
        <v>1</v>
      </c>
    </row>
    <row r="759" spans="1:15" ht="15" customHeight="1" x14ac:dyDescent="0.3">
      <c r="A759" s="7">
        <v>1209669171</v>
      </c>
      <c r="B759" s="4" t="s">
        <v>557</v>
      </c>
      <c r="C759" s="4" t="s">
        <v>558</v>
      </c>
      <c r="D759" s="6">
        <v>46309.417083333297</v>
      </c>
      <c r="E759" s="6">
        <v>46309.167048611103</v>
      </c>
      <c r="F759" s="6">
        <v>46309</v>
      </c>
      <c r="G759" s="5" t="s">
        <v>12</v>
      </c>
      <c r="H759" s="5" t="s">
        <v>16</v>
      </c>
      <c r="I759" s="5">
        <v>11</v>
      </c>
      <c r="J759" s="9" t="s">
        <v>17</v>
      </c>
      <c r="K759" s="1" t="s">
        <v>1051</v>
      </c>
      <c r="L759" t="s">
        <v>3284</v>
      </c>
      <c r="M759" t="str">
        <f>+VLOOKUP(C759,'[1]TIENDAS 2025'!$A$1:$C$143,3,0)</f>
        <v>local</v>
      </c>
      <c r="O759">
        <v>1</v>
      </c>
    </row>
    <row r="760" spans="1:15" ht="15" customHeight="1" x14ac:dyDescent="0.3">
      <c r="A760" s="7">
        <v>8209669190</v>
      </c>
      <c r="B760" s="4" t="s">
        <v>557</v>
      </c>
      <c r="C760" s="4" t="s">
        <v>558</v>
      </c>
      <c r="D760" s="6">
        <v>46309.417094907403</v>
      </c>
      <c r="E760" s="6">
        <v>46309.167071759301</v>
      </c>
      <c r="F760" s="6">
        <v>46309</v>
      </c>
      <c r="G760" s="5" t="s">
        <v>12</v>
      </c>
      <c r="H760" s="5" t="s">
        <v>27</v>
      </c>
      <c r="I760" s="5">
        <v>1</v>
      </c>
      <c r="J760" s="10" t="s">
        <v>17</v>
      </c>
      <c r="K760" s="1" t="s">
        <v>1052</v>
      </c>
      <c r="M760" t="str">
        <f>+VLOOKUP(C760,'[1]TIENDAS 2025'!$A$1:$C$143,3,0)</f>
        <v>local</v>
      </c>
      <c r="O760">
        <v>1</v>
      </c>
    </row>
    <row r="761" spans="1:15" ht="15" customHeight="1" x14ac:dyDescent="0.3">
      <c r="A761" s="7">
        <v>1209669192</v>
      </c>
      <c r="B761" s="4" t="s">
        <v>557</v>
      </c>
      <c r="C761" s="4" t="s">
        <v>558</v>
      </c>
      <c r="D761" s="6">
        <v>46309.4171180556</v>
      </c>
      <c r="E761" s="6">
        <v>46309.167083333297</v>
      </c>
      <c r="F761" s="6">
        <v>46309</v>
      </c>
      <c r="G761" s="5" t="s">
        <v>12</v>
      </c>
      <c r="H761" s="5" t="s">
        <v>29</v>
      </c>
      <c r="I761" s="5">
        <v>5</v>
      </c>
      <c r="J761" s="9" t="s">
        <v>17</v>
      </c>
      <c r="K761" s="1" t="s">
        <v>1053</v>
      </c>
      <c r="L761" t="s">
        <v>3284</v>
      </c>
      <c r="M761" t="str">
        <f>+VLOOKUP(C761,'[1]TIENDAS 2025'!$A$1:$C$143,3,0)</f>
        <v>local</v>
      </c>
      <c r="O761">
        <v>1</v>
      </c>
    </row>
    <row r="762" spans="1:15" ht="15" customHeight="1" x14ac:dyDescent="0.3">
      <c r="A762" s="7">
        <v>1209669209</v>
      </c>
      <c r="B762" s="4" t="s">
        <v>312</v>
      </c>
      <c r="C762" s="4" t="s">
        <v>313</v>
      </c>
      <c r="D762" s="6">
        <v>46309.417141203703</v>
      </c>
      <c r="E762" s="6">
        <v>46309.1671180556</v>
      </c>
      <c r="F762" s="6">
        <v>46309</v>
      </c>
      <c r="G762" s="5" t="s">
        <v>12</v>
      </c>
      <c r="H762" s="5" t="s">
        <v>29</v>
      </c>
      <c r="I762" s="5">
        <v>10</v>
      </c>
      <c r="J762" s="9" t="s">
        <v>17</v>
      </c>
      <c r="K762" s="1" t="s">
        <v>1054</v>
      </c>
      <c r="L762" t="s">
        <v>3284</v>
      </c>
      <c r="M762" t="str">
        <f>+VLOOKUP(C762,'[1]TIENDAS 2025'!$A$1:$C$143,3,0)</f>
        <v>prioridad</v>
      </c>
      <c r="O762">
        <v>1</v>
      </c>
    </row>
    <row r="763" spans="1:15" ht="15" customHeight="1" x14ac:dyDescent="0.3">
      <c r="A763" s="7">
        <v>1209669182</v>
      </c>
      <c r="B763" s="4" t="s">
        <v>557</v>
      </c>
      <c r="C763" s="4" t="s">
        <v>558</v>
      </c>
      <c r="D763" s="6">
        <v>46309.417141203703</v>
      </c>
      <c r="E763" s="6">
        <v>46309.167094907403</v>
      </c>
      <c r="F763" s="6">
        <v>46309</v>
      </c>
      <c r="G763" s="5" t="s">
        <v>12</v>
      </c>
      <c r="H763" s="5" t="s">
        <v>16</v>
      </c>
      <c r="I763" s="5">
        <v>3</v>
      </c>
      <c r="J763" s="9" t="s">
        <v>17</v>
      </c>
      <c r="K763" s="1" t="s">
        <v>1055</v>
      </c>
      <c r="L763" t="s">
        <v>3284</v>
      </c>
      <c r="M763" t="str">
        <f>+VLOOKUP(C763,'[1]TIENDAS 2025'!$A$1:$C$143,3,0)</f>
        <v>local</v>
      </c>
      <c r="O763">
        <v>1</v>
      </c>
    </row>
    <row r="764" spans="1:15" ht="15" customHeight="1" x14ac:dyDescent="0.3">
      <c r="A764" s="7">
        <v>1209669249</v>
      </c>
      <c r="B764" s="4" t="s">
        <v>235</v>
      </c>
      <c r="C764" s="4" t="s">
        <v>236</v>
      </c>
      <c r="D764" s="6">
        <v>46309.417164351798</v>
      </c>
      <c r="E764" s="6">
        <v>46309.167129629597</v>
      </c>
      <c r="F764" s="6">
        <v>46309</v>
      </c>
      <c r="G764" s="5" t="s">
        <v>12</v>
      </c>
      <c r="H764" s="5" t="s">
        <v>29</v>
      </c>
      <c r="I764" s="5">
        <v>33</v>
      </c>
      <c r="J764" s="9" t="s">
        <v>17</v>
      </c>
      <c r="K764" s="1" t="s">
        <v>1056</v>
      </c>
      <c r="L764" t="s">
        <v>3284</v>
      </c>
      <c r="M764" t="str">
        <f>+VLOOKUP(C764,'[1]TIENDAS 2025'!$A$1:$C$143,3,0)</f>
        <v>prioridad</v>
      </c>
      <c r="O764">
        <v>1</v>
      </c>
    </row>
    <row r="765" spans="1:15" ht="15" customHeight="1" x14ac:dyDescent="0.3">
      <c r="A765" s="7">
        <v>8209669166</v>
      </c>
      <c r="B765" s="4" t="s">
        <v>557</v>
      </c>
      <c r="C765" s="4" t="s">
        <v>558</v>
      </c>
      <c r="D765" s="6">
        <v>46309.417175925897</v>
      </c>
      <c r="E765" s="6">
        <v>46309.167152777802</v>
      </c>
      <c r="F765" s="6">
        <v>46309</v>
      </c>
      <c r="G765" s="5" t="s">
        <v>12</v>
      </c>
      <c r="H765" s="5" t="s">
        <v>27</v>
      </c>
      <c r="I765" s="5">
        <v>9</v>
      </c>
      <c r="J765" s="10" t="s">
        <v>17</v>
      </c>
      <c r="K765" s="1" t="s">
        <v>1057</v>
      </c>
      <c r="M765" t="str">
        <f>+VLOOKUP(C765,'[1]TIENDAS 2025'!$A$1:$C$143,3,0)</f>
        <v>local</v>
      </c>
      <c r="O765">
        <v>1</v>
      </c>
    </row>
    <row r="766" spans="1:15" ht="15" customHeight="1" x14ac:dyDescent="0.3">
      <c r="A766" s="7">
        <v>1209669212</v>
      </c>
      <c r="B766" s="4" t="s">
        <v>312</v>
      </c>
      <c r="C766" s="4" t="s">
        <v>313</v>
      </c>
      <c r="D766" s="6">
        <v>46309.417199074102</v>
      </c>
      <c r="E766" s="6">
        <v>46309.167175925897</v>
      </c>
      <c r="F766" s="6">
        <v>46309</v>
      </c>
      <c r="G766" s="5" t="s">
        <v>12</v>
      </c>
      <c r="H766" s="5" t="s">
        <v>29</v>
      </c>
      <c r="I766" s="5">
        <v>26</v>
      </c>
      <c r="J766" s="9" t="s">
        <v>17</v>
      </c>
      <c r="K766" s="1" t="s">
        <v>1058</v>
      </c>
      <c r="L766" t="s">
        <v>3284</v>
      </c>
      <c r="M766" t="str">
        <f>+VLOOKUP(C766,'[1]TIENDAS 2025'!$A$1:$C$143,3,0)</f>
        <v>prioridad</v>
      </c>
      <c r="O766">
        <v>1</v>
      </c>
    </row>
    <row r="767" spans="1:15" ht="15" customHeight="1" x14ac:dyDescent="0.3">
      <c r="A767" s="7">
        <v>8209669167</v>
      </c>
      <c r="B767" s="4" t="s">
        <v>557</v>
      </c>
      <c r="C767" s="4" t="s">
        <v>558</v>
      </c>
      <c r="D767" s="6">
        <v>46309.417199074102</v>
      </c>
      <c r="E767" s="6">
        <v>46309.167164351798</v>
      </c>
      <c r="F767" s="6">
        <v>46309</v>
      </c>
      <c r="G767" s="5" t="s">
        <v>12</v>
      </c>
      <c r="H767" s="5" t="s">
        <v>27</v>
      </c>
      <c r="I767" s="5">
        <v>7</v>
      </c>
      <c r="J767" s="10" t="s">
        <v>17</v>
      </c>
      <c r="K767" s="1" t="s">
        <v>1059</v>
      </c>
      <c r="M767" t="str">
        <f>+VLOOKUP(C767,'[1]TIENDAS 2025'!$A$1:$C$143,3,0)</f>
        <v>local</v>
      </c>
      <c r="O767">
        <v>1</v>
      </c>
    </row>
    <row r="768" spans="1:15" ht="15" customHeight="1" x14ac:dyDescent="0.3">
      <c r="A768" s="7">
        <v>1209669184</v>
      </c>
      <c r="B768" s="4" t="s">
        <v>557</v>
      </c>
      <c r="C768" s="4" t="s">
        <v>558</v>
      </c>
      <c r="D768" s="6">
        <v>46309.417222222197</v>
      </c>
      <c r="E768" s="6">
        <v>46309.167199074102</v>
      </c>
      <c r="F768" s="6">
        <v>46309</v>
      </c>
      <c r="G768" s="5" t="s">
        <v>12</v>
      </c>
      <c r="H768" s="5" t="s">
        <v>16</v>
      </c>
      <c r="I768" s="5">
        <v>18</v>
      </c>
      <c r="J768" s="9" t="s">
        <v>17</v>
      </c>
      <c r="K768" s="1" t="s">
        <v>1060</v>
      </c>
      <c r="L768" t="s">
        <v>3284</v>
      </c>
      <c r="M768" t="str">
        <f>+VLOOKUP(C768,'[1]TIENDAS 2025'!$A$1:$C$143,3,0)</f>
        <v>local</v>
      </c>
      <c r="O768">
        <v>1</v>
      </c>
    </row>
    <row r="769" spans="1:15" ht="15" customHeight="1" x14ac:dyDescent="0.3">
      <c r="A769" s="7">
        <v>8209669204</v>
      </c>
      <c r="B769" s="4" t="s">
        <v>312</v>
      </c>
      <c r="C769" s="4" t="s">
        <v>313</v>
      </c>
      <c r="D769" s="6">
        <v>46309.417245370401</v>
      </c>
      <c r="E769" s="6">
        <v>46309.167210648098</v>
      </c>
      <c r="F769" s="6">
        <v>46309</v>
      </c>
      <c r="G769" s="5" t="s">
        <v>12</v>
      </c>
      <c r="H769" s="5" t="s">
        <v>27</v>
      </c>
      <c r="I769" s="5">
        <v>22</v>
      </c>
      <c r="J769" s="10" t="s">
        <v>17</v>
      </c>
      <c r="K769" s="1" t="s">
        <v>1061</v>
      </c>
      <c r="M769" t="str">
        <f>+VLOOKUP(C769,'[1]TIENDAS 2025'!$A$1:$C$143,3,0)</f>
        <v>prioridad</v>
      </c>
      <c r="O769">
        <v>1</v>
      </c>
    </row>
    <row r="770" spans="1:15" ht="15" customHeight="1" x14ac:dyDescent="0.3">
      <c r="A770" s="7">
        <v>1209669215</v>
      </c>
      <c r="B770" s="4" t="s">
        <v>312</v>
      </c>
      <c r="C770" s="4" t="s">
        <v>313</v>
      </c>
      <c r="D770" s="6">
        <v>46309.417256944398</v>
      </c>
      <c r="E770" s="6">
        <v>46309.167233796303</v>
      </c>
      <c r="F770" s="6">
        <v>46309</v>
      </c>
      <c r="G770" s="5" t="s">
        <v>12</v>
      </c>
      <c r="H770" s="5" t="s">
        <v>16</v>
      </c>
      <c r="I770" s="5">
        <v>2</v>
      </c>
      <c r="J770" s="9" t="s">
        <v>17</v>
      </c>
      <c r="K770" s="1" t="s">
        <v>1062</v>
      </c>
      <c r="L770" t="s">
        <v>3284</v>
      </c>
      <c r="M770" t="str">
        <f>+VLOOKUP(C770,'[1]TIENDAS 2025'!$A$1:$C$143,3,0)</f>
        <v>prioridad</v>
      </c>
      <c r="O770">
        <v>1</v>
      </c>
    </row>
    <row r="771" spans="1:15" ht="15" customHeight="1" x14ac:dyDescent="0.3">
      <c r="A771" s="7">
        <v>8209669220</v>
      </c>
      <c r="B771" s="4" t="s">
        <v>312</v>
      </c>
      <c r="C771" s="4" t="s">
        <v>313</v>
      </c>
      <c r="D771" s="6">
        <v>46309.417280092603</v>
      </c>
      <c r="E771" s="6">
        <v>46309.167256944398</v>
      </c>
      <c r="F771" s="6">
        <v>46309</v>
      </c>
      <c r="G771" s="5" t="s">
        <v>12</v>
      </c>
      <c r="H771" s="5" t="s">
        <v>27</v>
      </c>
      <c r="I771" s="5">
        <v>12</v>
      </c>
      <c r="J771" s="10" t="s">
        <v>17</v>
      </c>
      <c r="K771" s="1" t="s">
        <v>1063</v>
      </c>
      <c r="M771" t="str">
        <f>+VLOOKUP(C771,'[1]TIENDAS 2025'!$A$1:$C$143,3,0)</f>
        <v>prioridad</v>
      </c>
      <c r="O771">
        <v>1</v>
      </c>
    </row>
    <row r="772" spans="1:15" ht="15" customHeight="1" x14ac:dyDescent="0.3">
      <c r="A772" s="7">
        <v>1209669227</v>
      </c>
      <c r="B772" s="4" t="s">
        <v>312</v>
      </c>
      <c r="C772" s="4" t="s">
        <v>313</v>
      </c>
      <c r="D772" s="6">
        <v>46309.417303240698</v>
      </c>
      <c r="E772" s="6">
        <v>46309.167280092603</v>
      </c>
      <c r="F772" s="6">
        <v>46309</v>
      </c>
      <c r="G772" s="5" t="s">
        <v>12</v>
      </c>
      <c r="H772" s="5" t="s">
        <v>16</v>
      </c>
      <c r="I772" s="5">
        <v>44</v>
      </c>
      <c r="J772" s="9" t="s">
        <v>17</v>
      </c>
      <c r="K772" s="1" t="s">
        <v>1064</v>
      </c>
      <c r="L772" t="s">
        <v>3284</v>
      </c>
      <c r="M772" t="str">
        <f>+VLOOKUP(C772,'[1]TIENDAS 2025'!$A$1:$C$143,3,0)</f>
        <v>prioridad</v>
      </c>
      <c r="O772">
        <v>1</v>
      </c>
    </row>
    <row r="773" spans="1:15" ht="15" customHeight="1" x14ac:dyDescent="0.3">
      <c r="A773" s="7">
        <v>8209669239</v>
      </c>
      <c r="B773" s="4" t="s">
        <v>235</v>
      </c>
      <c r="C773" s="4" t="s">
        <v>236</v>
      </c>
      <c r="D773" s="6">
        <v>46309.417326388902</v>
      </c>
      <c r="E773" s="6">
        <v>46309.167291666701</v>
      </c>
      <c r="F773" s="6">
        <v>46309</v>
      </c>
      <c r="G773" s="5" t="s">
        <v>12</v>
      </c>
      <c r="H773" s="5" t="s">
        <v>27</v>
      </c>
      <c r="I773" s="5">
        <v>4</v>
      </c>
      <c r="J773" s="10" t="s">
        <v>17</v>
      </c>
      <c r="K773" s="1" t="s">
        <v>1065</v>
      </c>
      <c r="M773" t="str">
        <f>+VLOOKUP(C773,'[1]TIENDAS 2025'!$A$1:$C$143,3,0)</f>
        <v>prioridad</v>
      </c>
      <c r="O773">
        <v>1</v>
      </c>
    </row>
    <row r="774" spans="1:15" ht="15" customHeight="1" x14ac:dyDescent="0.3">
      <c r="A774" s="7">
        <v>1209669243</v>
      </c>
      <c r="B774" s="4" t="s">
        <v>235</v>
      </c>
      <c r="C774" s="4" t="s">
        <v>236</v>
      </c>
      <c r="D774" s="6">
        <v>46309.417349536998</v>
      </c>
      <c r="E774" s="6">
        <v>46309.167314814797</v>
      </c>
      <c r="F774" s="6">
        <v>46309</v>
      </c>
      <c r="G774" s="5" t="s">
        <v>12</v>
      </c>
      <c r="H774" s="5" t="s">
        <v>16</v>
      </c>
      <c r="I774" s="5">
        <v>6</v>
      </c>
      <c r="J774" s="9" t="s">
        <v>17</v>
      </c>
      <c r="K774" s="1" t="s">
        <v>1066</v>
      </c>
      <c r="L774" t="s">
        <v>3284</v>
      </c>
      <c r="M774" t="str">
        <f>+VLOOKUP(C774,'[1]TIENDAS 2025'!$A$1:$C$143,3,0)</f>
        <v>prioridad</v>
      </c>
      <c r="O774">
        <v>1</v>
      </c>
    </row>
    <row r="775" spans="1:15" ht="15" customHeight="1" x14ac:dyDescent="0.3">
      <c r="A775" s="7">
        <v>1209669244</v>
      </c>
      <c r="B775" s="4" t="s">
        <v>235</v>
      </c>
      <c r="C775" s="4" t="s">
        <v>236</v>
      </c>
      <c r="D775" s="6">
        <v>46309.417372685202</v>
      </c>
      <c r="E775" s="6">
        <v>46309.167337963001</v>
      </c>
      <c r="F775" s="6">
        <v>46309</v>
      </c>
      <c r="G775" s="5" t="s">
        <v>12</v>
      </c>
      <c r="H775" s="5" t="s">
        <v>29</v>
      </c>
      <c r="I775" s="5">
        <v>14</v>
      </c>
      <c r="J775" s="9" t="s">
        <v>17</v>
      </c>
      <c r="K775" s="1" t="s">
        <v>1067</v>
      </c>
      <c r="L775" t="s">
        <v>3284</v>
      </c>
      <c r="M775" t="str">
        <f>+VLOOKUP(C775,'[1]TIENDAS 2025'!$A$1:$C$143,3,0)</f>
        <v>prioridad</v>
      </c>
      <c r="O775">
        <v>1</v>
      </c>
    </row>
    <row r="776" spans="1:15" ht="15" customHeight="1" x14ac:dyDescent="0.3">
      <c r="A776" s="7">
        <v>8209669332</v>
      </c>
      <c r="B776" s="4" t="s">
        <v>187</v>
      </c>
      <c r="C776" s="4" t="s">
        <v>188</v>
      </c>
      <c r="D776" s="6">
        <v>46309.4195833333</v>
      </c>
      <c r="E776" s="6">
        <v>46309.169560185197</v>
      </c>
      <c r="F776" s="6">
        <v>46309</v>
      </c>
      <c r="G776" s="5" t="s">
        <v>12</v>
      </c>
      <c r="H776" s="5" t="s">
        <v>27</v>
      </c>
      <c r="I776" s="5">
        <v>9</v>
      </c>
      <c r="J776" s="10" t="s">
        <v>17</v>
      </c>
      <c r="K776" s="1" t="s">
        <v>1068</v>
      </c>
      <c r="M776" t="str">
        <f>+VLOOKUP(C776,'[1]TIENDAS 2025'!$A$1:$C$143,3,0)</f>
        <v>departamental</v>
      </c>
      <c r="O776">
        <v>1</v>
      </c>
    </row>
    <row r="777" spans="1:15" ht="15" customHeight="1" x14ac:dyDescent="0.3">
      <c r="A777" s="7">
        <v>1209669384</v>
      </c>
      <c r="B777" s="4" t="s">
        <v>506</v>
      </c>
      <c r="C777" s="4" t="s">
        <v>507</v>
      </c>
      <c r="D777" s="6">
        <v>46309.419606481497</v>
      </c>
      <c r="E777" s="6">
        <v>46309.169571759303</v>
      </c>
      <c r="F777" s="6">
        <v>46309</v>
      </c>
      <c r="G777" s="5" t="s">
        <v>12</v>
      </c>
      <c r="H777" s="5" t="s">
        <v>16</v>
      </c>
      <c r="I777" s="5">
        <v>23</v>
      </c>
      <c r="J777" s="9" t="s">
        <v>17</v>
      </c>
      <c r="K777" s="1" t="s">
        <v>1069</v>
      </c>
      <c r="L777" t="s">
        <v>3284</v>
      </c>
      <c r="M777" t="str">
        <f>+VLOOKUP(C777,'[1]TIENDAS 2025'!$A$1:$C$143,3,0)</f>
        <v>departamental</v>
      </c>
      <c r="O777">
        <v>1</v>
      </c>
    </row>
    <row r="778" spans="1:15" ht="15" customHeight="1" x14ac:dyDescent="0.3">
      <c r="A778" s="7">
        <v>1209669340</v>
      </c>
      <c r="B778" s="4" t="s">
        <v>187</v>
      </c>
      <c r="C778" s="4" t="s">
        <v>188</v>
      </c>
      <c r="D778" s="6">
        <v>46309.419618055603</v>
      </c>
      <c r="E778" s="6">
        <v>46309.169594907398</v>
      </c>
      <c r="F778" s="6">
        <v>46309</v>
      </c>
      <c r="G778" s="5" t="s">
        <v>12</v>
      </c>
      <c r="H778" s="5" t="s">
        <v>16</v>
      </c>
      <c r="I778" s="5">
        <v>11</v>
      </c>
      <c r="J778" s="9" t="s">
        <v>17</v>
      </c>
      <c r="K778" s="1" t="s">
        <v>1070</v>
      </c>
      <c r="L778" t="s">
        <v>3284</v>
      </c>
      <c r="M778" t="str">
        <f>+VLOOKUP(C778,'[1]TIENDAS 2025'!$A$1:$C$143,3,0)</f>
        <v>departamental</v>
      </c>
      <c r="O778">
        <v>1</v>
      </c>
    </row>
    <row r="779" spans="1:15" ht="15" customHeight="1" x14ac:dyDescent="0.3">
      <c r="A779" s="7">
        <v>8209669361</v>
      </c>
      <c r="B779" s="4" t="s">
        <v>506</v>
      </c>
      <c r="C779" s="4" t="s">
        <v>507</v>
      </c>
      <c r="D779" s="6">
        <v>46309.419641203698</v>
      </c>
      <c r="E779" s="6">
        <v>46309.169606481497</v>
      </c>
      <c r="F779" s="6">
        <v>46309</v>
      </c>
      <c r="G779" s="5" t="s">
        <v>12</v>
      </c>
      <c r="H779" s="5" t="s">
        <v>27</v>
      </c>
      <c r="I779" s="5">
        <v>2</v>
      </c>
      <c r="J779" s="10" t="s">
        <v>17</v>
      </c>
      <c r="K779" s="1" t="s">
        <v>1071</v>
      </c>
      <c r="M779" t="str">
        <f>+VLOOKUP(C779,'[1]TIENDAS 2025'!$A$1:$C$143,3,0)</f>
        <v>departamental</v>
      </c>
      <c r="O779">
        <v>1</v>
      </c>
    </row>
    <row r="780" spans="1:15" ht="15" customHeight="1" x14ac:dyDescent="0.3">
      <c r="A780" s="7">
        <v>1209669381</v>
      </c>
      <c r="B780" s="4" t="s">
        <v>506</v>
      </c>
      <c r="C780" s="4" t="s">
        <v>507</v>
      </c>
      <c r="D780" s="6">
        <v>46309.419652777797</v>
      </c>
      <c r="E780" s="6">
        <v>46309.169618055603</v>
      </c>
      <c r="F780" s="6">
        <v>46309</v>
      </c>
      <c r="G780" s="5" t="s">
        <v>12</v>
      </c>
      <c r="H780" s="5" t="s">
        <v>16</v>
      </c>
      <c r="I780" s="5">
        <v>14</v>
      </c>
      <c r="J780" s="9" t="s">
        <v>17</v>
      </c>
      <c r="K780" s="1" t="s">
        <v>1072</v>
      </c>
      <c r="L780" t="s">
        <v>3284</v>
      </c>
      <c r="M780" t="str">
        <f>+VLOOKUP(C780,'[1]TIENDAS 2025'!$A$1:$C$143,3,0)</f>
        <v>departamental</v>
      </c>
      <c r="O780">
        <v>1</v>
      </c>
    </row>
    <row r="781" spans="1:15" ht="15" customHeight="1" x14ac:dyDescent="0.3">
      <c r="A781" s="7">
        <v>8209669407</v>
      </c>
      <c r="B781" s="4" t="s">
        <v>324</v>
      </c>
      <c r="C781" s="4" t="s">
        <v>325</v>
      </c>
      <c r="D781" s="6">
        <v>46309.419664351903</v>
      </c>
      <c r="E781" s="6">
        <v>46309.1696296296</v>
      </c>
      <c r="F781" s="6">
        <v>46309</v>
      </c>
      <c r="G781" s="5" t="s">
        <v>12</v>
      </c>
      <c r="H781" s="5" t="s">
        <v>27</v>
      </c>
      <c r="I781" s="5">
        <v>13</v>
      </c>
      <c r="J781" s="10" t="s">
        <v>17</v>
      </c>
      <c r="K781" s="1" t="s">
        <v>1073</v>
      </c>
      <c r="M781" t="str">
        <f>+VLOOKUP(C781,'[1]TIENDAS 2025'!$A$1:$C$143,3,0)</f>
        <v>local</v>
      </c>
      <c r="O781">
        <v>1</v>
      </c>
    </row>
    <row r="782" spans="1:15" ht="15" customHeight="1" x14ac:dyDescent="0.3">
      <c r="A782" s="7">
        <v>1209669409</v>
      </c>
      <c r="B782" s="4" t="s">
        <v>324</v>
      </c>
      <c r="C782" s="4" t="s">
        <v>325</v>
      </c>
      <c r="D782" s="6">
        <v>46309.419675925899</v>
      </c>
      <c r="E782" s="6">
        <v>46309.169641203698</v>
      </c>
      <c r="F782" s="6">
        <v>46309</v>
      </c>
      <c r="G782" s="5" t="s">
        <v>12</v>
      </c>
      <c r="H782" s="5" t="s">
        <v>16</v>
      </c>
      <c r="I782" s="5">
        <v>7</v>
      </c>
      <c r="J782" s="9" t="s">
        <v>17</v>
      </c>
      <c r="K782" s="1" t="s">
        <v>1074</v>
      </c>
      <c r="L782" t="s">
        <v>3284</v>
      </c>
      <c r="M782" t="str">
        <f>+VLOOKUP(C782,'[1]TIENDAS 2025'!$A$1:$C$143,3,0)</f>
        <v>local</v>
      </c>
      <c r="O782">
        <v>1</v>
      </c>
    </row>
    <row r="783" spans="1:15" ht="15" customHeight="1" x14ac:dyDescent="0.3">
      <c r="A783" s="7">
        <v>1209669324</v>
      </c>
      <c r="B783" s="4" t="s">
        <v>283</v>
      </c>
      <c r="C783" s="4" t="s">
        <v>284</v>
      </c>
      <c r="D783" s="6">
        <v>46309.419687499998</v>
      </c>
      <c r="E783" s="6">
        <v>46309.169664351903</v>
      </c>
      <c r="F783" s="6">
        <v>46309</v>
      </c>
      <c r="G783" s="5" t="s">
        <v>12</v>
      </c>
      <c r="H783" s="5" t="s">
        <v>16</v>
      </c>
      <c r="I783" s="5">
        <v>34</v>
      </c>
      <c r="J783" s="9" t="s">
        <v>17</v>
      </c>
      <c r="K783" s="1" t="s">
        <v>1075</v>
      </c>
      <c r="L783" t="s">
        <v>3284</v>
      </c>
      <c r="M783" t="str">
        <f>+VLOOKUP(C783,'[1]TIENDAS 2025'!$A$1:$C$143,3,0)</f>
        <v>prioridad</v>
      </c>
      <c r="O783">
        <v>1</v>
      </c>
    </row>
    <row r="784" spans="1:15" ht="15" customHeight="1" x14ac:dyDescent="0.3">
      <c r="A784" s="7">
        <v>1209669335</v>
      </c>
      <c r="B784" s="4" t="s">
        <v>187</v>
      </c>
      <c r="C784" s="4" t="s">
        <v>188</v>
      </c>
      <c r="D784" s="6">
        <v>46309.419710648202</v>
      </c>
      <c r="E784" s="6">
        <v>46309.169675925899</v>
      </c>
      <c r="F784" s="6">
        <v>46309</v>
      </c>
      <c r="G784" s="5" t="s">
        <v>12</v>
      </c>
      <c r="H784" s="5" t="s">
        <v>16</v>
      </c>
      <c r="I784" s="5">
        <v>3</v>
      </c>
      <c r="J784" s="9" t="s">
        <v>17</v>
      </c>
      <c r="K784" s="1" t="s">
        <v>1076</v>
      </c>
      <c r="L784" t="s">
        <v>3284</v>
      </c>
      <c r="M784" t="str">
        <f>+VLOOKUP(C784,'[1]TIENDAS 2025'!$A$1:$C$143,3,0)</f>
        <v>departamental</v>
      </c>
      <c r="O784">
        <v>1</v>
      </c>
    </row>
    <row r="785" spans="1:15" ht="15" customHeight="1" x14ac:dyDescent="0.3">
      <c r="A785" s="7">
        <v>1209669339</v>
      </c>
      <c r="B785" s="4" t="s">
        <v>187</v>
      </c>
      <c r="C785" s="4" t="s">
        <v>188</v>
      </c>
      <c r="D785" s="6">
        <v>46309.419710648202</v>
      </c>
      <c r="E785" s="6">
        <v>46309.169687499998</v>
      </c>
      <c r="F785" s="6">
        <v>46309</v>
      </c>
      <c r="G785" s="5" t="s">
        <v>12</v>
      </c>
      <c r="H785" s="5" t="s">
        <v>16</v>
      </c>
      <c r="I785" s="5">
        <v>13</v>
      </c>
      <c r="J785" s="9" t="s">
        <v>17</v>
      </c>
      <c r="K785" s="1" t="s">
        <v>1077</v>
      </c>
      <c r="L785" t="s">
        <v>3284</v>
      </c>
      <c r="M785" t="str">
        <f>+VLOOKUP(C785,'[1]TIENDAS 2025'!$A$1:$C$143,3,0)</f>
        <v>departamental</v>
      </c>
      <c r="O785">
        <v>1</v>
      </c>
    </row>
    <row r="786" spans="1:15" ht="15" customHeight="1" x14ac:dyDescent="0.3">
      <c r="A786" s="7">
        <v>8209669366</v>
      </c>
      <c r="B786" s="4" t="s">
        <v>506</v>
      </c>
      <c r="C786" s="4" t="s">
        <v>507</v>
      </c>
      <c r="D786" s="6">
        <v>46309.419733796298</v>
      </c>
      <c r="E786" s="6">
        <v>46309.169699074097</v>
      </c>
      <c r="F786" s="6">
        <v>46309</v>
      </c>
      <c r="G786" s="5" t="s">
        <v>12</v>
      </c>
      <c r="H786" s="5" t="s">
        <v>27</v>
      </c>
      <c r="I786" s="5">
        <v>1</v>
      </c>
      <c r="J786" s="10" t="s">
        <v>17</v>
      </c>
      <c r="K786" s="1" t="s">
        <v>1078</v>
      </c>
      <c r="M786" t="str">
        <f>+VLOOKUP(C786,'[1]TIENDAS 2025'!$A$1:$C$143,3,0)</f>
        <v>departamental</v>
      </c>
      <c r="O786">
        <v>1</v>
      </c>
    </row>
    <row r="787" spans="1:15" ht="15" customHeight="1" x14ac:dyDescent="0.3">
      <c r="A787" s="7">
        <v>8209669376</v>
      </c>
      <c r="B787" s="4" t="s">
        <v>506</v>
      </c>
      <c r="C787" s="4" t="s">
        <v>507</v>
      </c>
      <c r="D787" s="6">
        <v>46309.419745370396</v>
      </c>
      <c r="E787" s="6">
        <v>46309.169722222199</v>
      </c>
      <c r="F787" s="6">
        <v>46309</v>
      </c>
      <c r="G787" s="5" t="s">
        <v>12</v>
      </c>
      <c r="H787" s="5" t="s">
        <v>27</v>
      </c>
      <c r="I787" s="5">
        <v>1</v>
      </c>
      <c r="J787" s="10" t="s">
        <v>17</v>
      </c>
      <c r="K787" s="1" t="s">
        <v>1079</v>
      </c>
      <c r="M787" t="str">
        <f>+VLOOKUP(C787,'[1]TIENDAS 2025'!$A$1:$C$143,3,0)</f>
        <v>departamental</v>
      </c>
      <c r="O787">
        <v>1</v>
      </c>
    </row>
    <row r="788" spans="1:15" ht="15" customHeight="1" x14ac:dyDescent="0.3">
      <c r="A788" s="7">
        <v>1209669408</v>
      </c>
      <c r="B788" s="4" t="s">
        <v>324</v>
      </c>
      <c r="C788" s="4" t="s">
        <v>325</v>
      </c>
      <c r="D788" s="6">
        <v>46309.419768518499</v>
      </c>
      <c r="E788" s="6">
        <v>46309.169733796298</v>
      </c>
      <c r="F788" s="6">
        <v>46309</v>
      </c>
      <c r="G788" s="5" t="s">
        <v>12</v>
      </c>
      <c r="H788" s="5" t="s">
        <v>16</v>
      </c>
      <c r="I788" s="5">
        <v>1</v>
      </c>
      <c r="J788" s="9" t="s">
        <v>17</v>
      </c>
      <c r="K788" s="1" t="s">
        <v>1080</v>
      </c>
      <c r="L788" t="s">
        <v>3284</v>
      </c>
      <c r="M788" t="str">
        <f>+VLOOKUP(C788,'[1]TIENDAS 2025'!$A$1:$C$143,3,0)</f>
        <v>local</v>
      </c>
      <c r="O788">
        <v>1</v>
      </c>
    </row>
    <row r="789" spans="1:15" ht="15" customHeight="1" x14ac:dyDescent="0.3">
      <c r="A789" s="7">
        <v>1209669276</v>
      </c>
      <c r="B789" s="4" t="s">
        <v>415</v>
      </c>
      <c r="C789" s="4" t="s">
        <v>416</v>
      </c>
      <c r="D789" s="6">
        <v>46309.419780092598</v>
      </c>
      <c r="E789" s="6">
        <v>46309.169745370396</v>
      </c>
      <c r="F789" s="6">
        <v>46309</v>
      </c>
      <c r="G789" s="5" t="s">
        <v>12</v>
      </c>
      <c r="H789" s="5" t="s">
        <v>29</v>
      </c>
      <c r="I789" s="5">
        <v>14</v>
      </c>
      <c r="J789" s="9" t="s">
        <v>17</v>
      </c>
      <c r="K789" s="1" t="s">
        <v>1081</v>
      </c>
      <c r="L789" t="s">
        <v>3284</v>
      </c>
      <c r="M789" t="str">
        <f>+VLOOKUP(C789,'[1]TIENDAS 2025'!$A$1:$C$143,3,0)</f>
        <v>prioridad</v>
      </c>
      <c r="O789">
        <v>1</v>
      </c>
    </row>
    <row r="790" spans="1:15" ht="15" customHeight="1" x14ac:dyDescent="0.3">
      <c r="A790" s="7">
        <v>1209669278</v>
      </c>
      <c r="B790" s="4" t="s">
        <v>415</v>
      </c>
      <c r="C790" s="4" t="s">
        <v>416</v>
      </c>
      <c r="D790" s="6">
        <v>46309.419780092598</v>
      </c>
      <c r="E790" s="6">
        <v>46309.1697569444</v>
      </c>
      <c r="F790" s="6">
        <v>46309</v>
      </c>
      <c r="G790" s="5" t="s">
        <v>12</v>
      </c>
      <c r="H790" s="5" t="s">
        <v>16</v>
      </c>
      <c r="I790" s="5">
        <v>13</v>
      </c>
      <c r="J790" s="9" t="s">
        <v>17</v>
      </c>
      <c r="K790" s="1" t="s">
        <v>1082</v>
      </c>
      <c r="L790" t="s">
        <v>3284</v>
      </c>
      <c r="M790" t="str">
        <f>+VLOOKUP(C790,'[1]TIENDAS 2025'!$A$1:$C$143,3,0)</f>
        <v>prioridad</v>
      </c>
      <c r="O790">
        <v>1</v>
      </c>
    </row>
    <row r="791" spans="1:15" ht="15" customHeight="1" x14ac:dyDescent="0.3">
      <c r="A791" s="7">
        <v>1209669282</v>
      </c>
      <c r="B791" s="4" t="s">
        <v>415</v>
      </c>
      <c r="C791" s="4" t="s">
        <v>416</v>
      </c>
      <c r="D791" s="6">
        <v>46309.4198032407</v>
      </c>
      <c r="E791" s="6">
        <v>46309.169768518499</v>
      </c>
      <c r="F791" s="6">
        <v>46309</v>
      </c>
      <c r="G791" s="5" t="s">
        <v>12</v>
      </c>
      <c r="H791" s="5" t="s">
        <v>16</v>
      </c>
      <c r="I791" s="5">
        <v>31</v>
      </c>
      <c r="J791" s="9" t="s">
        <v>17</v>
      </c>
      <c r="K791" s="1" t="s">
        <v>1083</v>
      </c>
      <c r="L791" t="s">
        <v>3284</v>
      </c>
      <c r="M791" t="str">
        <f>+VLOOKUP(C791,'[1]TIENDAS 2025'!$A$1:$C$143,3,0)</f>
        <v>prioridad</v>
      </c>
      <c r="O791">
        <v>1</v>
      </c>
    </row>
    <row r="792" spans="1:15" ht="15" customHeight="1" x14ac:dyDescent="0.3">
      <c r="A792" s="7">
        <v>1209669322</v>
      </c>
      <c r="B792" s="4" t="s">
        <v>283</v>
      </c>
      <c r="C792" s="4" t="s">
        <v>284</v>
      </c>
      <c r="D792" s="6">
        <v>46309.419814814799</v>
      </c>
      <c r="E792" s="6">
        <v>46309.169791666704</v>
      </c>
      <c r="F792" s="6">
        <v>46309</v>
      </c>
      <c r="G792" s="5" t="s">
        <v>12</v>
      </c>
      <c r="H792" s="5" t="s">
        <v>29</v>
      </c>
      <c r="I792" s="5">
        <v>26</v>
      </c>
      <c r="J792" s="9" t="s">
        <v>17</v>
      </c>
      <c r="K792" s="1" t="s">
        <v>1084</v>
      </c>
      <c r="L792" t="s">
        <v>3284</v>
      </c>
      <c r="M792" t="str">
        <f>+VLOOKUP(C792,'[1]TIENDAS 2025'!$A$1:$C$143,3,0)</f>
        <v>prioridad</v>
      </c>
      <c r="O792">
        <v>1</v>
      </c>
    </row>
    <row r="793" spans="1:15" ht="15" customHeight="1" x14ac:dyDescent="0.3">
      <c r="A793" s="7">
        <v>1209669323</v>
      </c>
      <c r="B793" s="4" t="s">
        <v>283</v>
      </c>
      <c r="C793" s="4" t="s">
        <v>284</v>
      </c>
      <c r="D793" s="6">
        <v>46309.419837963003</v>
      </c>
      <c r="E793" s="6">
        <v>46309.1698032407</v>
      </c>
      <c r="F793" s="6">
        <v>46309</v>
      </c>
      <c r="G793" s="5" t="s">
        <v>12</v>
      </c>
      <c r="H793" s="5" t="s">
        <v>29</v>
      </c>
      <c r="I793" s="5">
        <v>33</v>
      </c>
      <c r="J793" s="9" t="s">
        <v>17</v>
      </c>
      <c r="K793" s="1" t="s">
        <v>1085</v>
      </c>
      <c r="L793" t="s">
        <v>3284</v>
      </c>
      <c r="M793" t="str">
        <f>+VLOOKUP(C793,'[1]TIENDAS 2025'!$A$1:$C$143,3,0)</f>
        <v>prioridad</v>
      </c>
      <c r="O793">
        <v>1</v>
      </c>
    </row>
    <row r="794" spans="1:15" ht="15" customHeight="1" x14ac:dyDescent="0.3">
      <c r="A794" s="7">
        <v>8209669272</v>
      </c>
      <c r="B794" s="4" t="s">
        <v>415</v>
      </c>
      <c r="C794" s="4" t="s">
        <v>416</v>
      </c>
      <c r="D794" s="6">
        <v>46309.419849537</v>
      </c>
      <c r="E794" s="6">
        <v>46309.169814814799</v>
      </c>
      <c r="F794" s="6">
        <v>46309</v>
      </c>
      <c r="G794" s="5" t="s">
        <v>12</v>
      </c>
      <c r="H794" s="5" t="s">
        <v>27</v>
      </c>
      <c r="I794" s="5">
        <v>1</v>
      </c>
      <c r="J794" s="10" t="s">
        <v>17</v>
      </c>
      <c r="K794" s="1" t="s">
        <v>1086</v>
      </c>
      <c r="M794" t="str">
        <f>+VLOOKUP(C794,'[1]TIENDAS 2025'!$A$1:$C$143,3,0)</f>
        <v>prioridad</v>
      </c>
      <c r="O794">
        <v>1</v>
      </c>
    </row>
    <row r="795" spans="1:15" ht="15" customHeight="1" x14ac:dyDescent="0.3">
      <c r="A795" s="7">
        <v>8209669333</v>
      </c>
      <c r="B795" s="4" t="s">
        <v>187</v>
      </c>
      <c r="C795" s="4" t="s">
        <v>188</v>
      </c>
      <c r="D795" s="6">
        <v>46309.419861111099</v>
      </c>
      <c r="E795" s="6">
        <v>46309.169837963003</v>
      </c>
      <c r="F795" s="6">
        <v>46309</v>
      </c>
      <c r="G795" s="5" t="s">
        <v>12</v>
      </c>
      <c r="H795" s="5" t="s">
        <v>27</v>
      </c>
      <c r="I795" s="5">
        <v>23</v>
      </c>
      <c r="J795" s="10" t="s">
        <v>17</v>
      </c>
      <c r="K795" s="1" t="s">
        <v>1087</v>
      </c>
      <c r="M795" t="str">
        <f>+VLOOKUP(C795,'[1]TIENDAS 2025'!$A$1:$C$143,3,0)</f>
        <v>departamental</v>
      </c>
      <c r="O795">
        <v>1</v>
      </c>
    </row>
    <row r="796" spans="1:15" ht="15" customHeight="1" x14ac:dyDescent="0.3">
      <c r="A796" s="7">
        <v>8209669378</v>
      </c>
      <c r="B796" s="4" t="s">
        <v>506</v>
      </c>
      <c r="C796" s="4" t="s">
        <v>507</v>
      </c>
      <c r="D796" s="6">
        <v>46309.419884259303</v>
      </c>
      <c r="E796" s="6">
        <v>46309.169849537</v>
      </c>
      <c r="F796" s="6">
        <v>46309</v>
      </c>
      <c r="G796" s="5" t="s">
        <v>12</v>
      </c>
      <c r="H796" s="5" t="s">
        <v>27</v>
      </c>
      <c r="I796" s="5">
        <v>9</v>
      </c>
      <c r="J796" s="10" t="s">
        <v>17</v>
      </c>
      <c r="K796" s="1" t="s">
        <v>1088</v>
      </c>
      <c r="M796" t="str">
        <f>+VLOOKUP(C796,'[1]TIENDAS 2025'!$A$1:$C$143,3,0)</f>
        <v>departamental</v>
      </c>
      <c r="O796">
        <v>1</v>
      </c>
    </row>
    <row r="797" spans="1:15" ht="15" customHeight="1" x14ac:dyDescent="0.3">
      <c r="A797" s="7">
        <v>1209669411</v>
      </c>
      <c r="B797" s="4" t="s">
        <v>324</v>
      </c>
      <c r="C797" s="4" t="s">
        <v>325</v>
      </c>
      <c r="D797" s="6">
        <v>46309.419907407399</v>
      </c>
      <c r="E797" s="6">
        <v>46309.169872685197</v>
      </c>
      <c r="F797" s="6">
        <v>46309</v>
      </c>
      <c r="G797" s="5" t="s">
        <v>12</v>
      </c>
      <c r="H797" s="5" t="s">
        <v>29</v>
      </c>
      <c r="I797" s="5">
        <v>13</v>
      </c>
      <c r="J797" s="9" t="s">
        <v>17</v>
      </c>
      <c r="K797" s="1" t="s">
        <v>1089</v>
      </c>
      <c r="L797" t="s">
        <v>3284</v>
      </c>
      <c r="M797" t="str">
        <f>+VLOOKUP(C797,'[1]TIENDAS 2025'!$A$1:$C$143,3,0)</f>
        <v>local</v>
      </c>
      <c r="O797">
        <v>1</v>
      </c>
    </row>
    <row r="798" spans="1:15" ht="15" customHeight="1" x14ac:dyDescent="0.3">
      <c r="A798" s="7">
        <v>1209669415</v>
      </c>
      <c r="B798" s="4" t="s">
        <v>324</v>
      </c>
      <c r="C798" s="4" t="s">
        <v>325</v>
      </c>
      <c r="D798" s="6">
        <v>46309.419918981497</v>
      </c>
      <c r="E798" s="6">
        <v>46309.169884259303</v>
      </c>
      <c r="F798" s="6">
        <v>46309</v>
      </c>
      <c r="G798" s="5" t="s">
        <v>12</v>
      </c>
      <c r="H798" s="5" t="s">
        <v>16</v>
      </c>
      <c r="I798" s="5">
        <v>25</v>
      </c>
      <c r="J798" s="9" t="s">
        <v>17</v>
      </c>
      <c r="K798" s="1" t="s">
        <v>1090</v>
      </c>
      <c r="L798" t="s">
        <v>3284</v>
      </c>
      <c r="M798" t="str">
        <f>+VLOOKUP(C798,'[1]TIENDAS 2025'!$A$1:$C$143,3,0)</f>
        <v>local</v>
      </c>
      <c r="O798">
        <v>1</v>
      </c>
    </row>
    <row r="799" spans="1:15" ht="15" customHeight="1" x14ac:dyDescent="0.3">
      <c r="A799" s="7">
        <v>1209669277</v>
      </c>
      <c r="B799" s="4" t="s">
        <v>415</v>
      </c>
      <c r="C799" s="4" t="s">
        <v>416</v>
      </c>
      <c r="D799" s="6">
        <v>46309.419930555603</v>
      </c>
      <c r="E799" s="6">
        <v>46309.169907407399</v>
      </c>
      <c r="F799" s="6">
        <v>46309</v>
      </c>
      <c r="G799" s="5" t="s">
        <v>12</v>
      </c>
      <c r="H799" s="5" t="s">
        <v>16</v>
      </c>
      <c r="I799" s="5">
        <v>15</v>
      </c>
      <c r="J799" s="9" t="s">
        <v>17</v>
      </c>
      <c r="K799" s="1" t="s">
        <v>1091</v>
      </c>
      <c r="L799" t="s">
        <v>3284</v>
      </c>
      <c r="M799" t="str">
        <f>+VLOOKUP(C799,'[1]TIENDAS 2025'!$A$1:$C$143,3,0)</f>
        <v>prioridad</v>
      </c>
      <c r="O799">
        <v>1</v>
      </c>
    </row>
    <row r="800" spans="1:15" ht="15" customHeight="1" x14ac:dyDescent="0.3">
      <c r="A800" s="7">
        <v>8209669271</v>
      </c>
      <c r="B800" s="4" t="s">
        <v>415</v>
      </c>
      <c r="C800" s="4" t="s">
        <v>416</v>
      </c>
      <c r="D800" s="6">
        <v>46309.419953703698</v>
      </c>
      <c r="E800" s="6">
        <v>46309.169918981497</v>
      </c>
      <c r="F800" s="6">
        <v>46309</v>
      </c>
      <c r="G800" s="5" t="s">
        <v>12</v>
      </c>
      <c r="H800" s="5" t="s">
        <v>27</v>
      </c>
      <c r="I800" s="5">
        <v>6</v>
      </c>
      <c r="J800" s="10" t="s">
        <v>17</v>
      </c>
      <c r="K800" s="1" t="s">
        <v>1092</v>
      </c>
      <c r="M800" t="str">
        <f>+VLOOKUP(C800,'[1]TIENDAS 2025'!$A$1:$C$143,3,0)</f>
        <v>prioridad</v>
      </c>
      <c r="O800">
        <v>1</v>
      </c>
    </row>
    <row r="801" spans="1:15" ht="15" customHeight="1" x14ac:dyDescent="0.3">
      <c r="A801" s="7">
        <v>8209669331</v>
      </c>
      <c r="B801" s="4" t="s">
        <v>187</v>
      </c>
      <c r="C801" s="4" t="s">
        <v>188</v>
      </c>
      <c r="D801" s="6">
        <v>46309.419965277797</v>
      </c>
      <c r="E801" s="6">
        <v>46309.169930555603</v>
      </c>
      <c r="F801" s="6">
        <v>46309</v>
      </c>
      <c r="G801" s="5" t="s">
        <v>12</v>
      </c>
      <c r="H801" s="5" t="s">
        <v>27</v>
      </c>
      <c r="I801" s="5">
        <v>1</v>
      </c>
      <c r="J801" s="10" t="s">
        <v>17</v>
      </c>
      <c r="K801" s="1" t="s">
        <v>1093</v>
      </c>
      <c r="M801" t="str">
        <f>+VLOOKUP(C801,'[1]TIENDAS 2025'!$A$1:$C$143,3,0)</f>
        <v>departamental</v>
      </c>
      <c r="O801">
        <v>1</v>
      </c>
    </row>
    <row r="802" spans="1:15" ht="15" customHeight="1" x14ac:dyDescent="0.3">
      <c r="A802" s="7">
        <v>1209669338</v>
      </c>
      <c r="B802" s="4" t="s">
        <v>187</v>
      </c>
      <c r="C802" s="4" t="s">
        <v>188</v>
      </c>
      <c r="D802" s="6">
        <v>46309.419976851903</v>
      </c>
      <c r="E802" s="6">
        <v>46309.1699421296</v>
      </c>
      <c r="F802" s="6">
        <v>46309</v>
      </c>
      <c r="G802" s="5" t="s">
        <v>12</v>
      </c>
      <c r="H802" s="5" t="s">
        <v>29</v>
      </c>
      <c r="I802" s="5">
        <v>9</v>
      </c>
      <c r="J802" s="9" t="s">
        <v>17</v>
      </c>
      <c r="K802" s="1" t="s">
        <v>1094</v>
      </c>
      <c r="L802" t="s">
        <v>3284</v>
      </c>
      <c r="M802" t="str">
        <f>+VLOOKUP(C802,'[1]TIENDAS 2025'!$A$1:$C$143,3,0)</f>
        <v>departamental</v>
      </c>
      <c r="O802">
        <v>1</v>
      </c>
    </row>
    <row r="803" spans="1:15" ht="15" customHeight="1" x14ac:dyDescent="0.3">
      <c r="A803" s="7">
        <v>1209669343</v>
      </c>
      <c r="B803" s="4" t="s">
        <v>187</v>
      </c>
      <c r="C803" s="4" t="s">
        <v>188</v>
      </c>
      <c r="D803" s="6">
        <v>46309.4199884259</v>
      </c>
      <c r="E803" s="6">
        <v>46309.169965277797</v>
      </c>
      <c r="F803" s="6">
        <v>46309</v>
      </c>
      <c r="G803" s="5" t="s">
        <v>12</v>
      </c>
      <c r="H803" s="5" t="s">
        <v>29</v>
      </c>
      <c r="I803" s="5">
        <v>28</v>
      </c>
      <c r="J803" s="9" t="s">
        <v>17</v>
      </c>
      <c r="K803" s="1" t="s">
        <v>1095</v>
      </c>
      <c r="L803" t="s">
        <v>3284</v>
      </c>
      <c r="M803" t="str">
        <f>+VLOOKUP(C803,'[1]TIENDAS 2025'!$A$1:$C$143,3,0)</f>
        <v>departamental</v>
      </c>
      <c r="O803">
        <v>1</v>
      </c>
    </row>
    <row r="804" spans="1:15" ht="15" customHeight="1" x14ac:dyDescent="0.3">
      <c r="A804" s="7">
        <v>1209669327</v>
      </c>
      <c r="B804" s="4" t="s">
        <v>283</v>
      </c>
      <c r="C804" s="4" t="s">
        <v>284</v>
      </c>
      <c r="D804" s="6">
        <v>46309.420011574097</v>
      </c>
      <c r="E804" s="6">
        <v>46309.169976851903</v>
      </c>
      <c r="F804" s="6">
        <v>46309</v>
      </c>
      <c r="G804" s="5" t="s">
        <v>12</v>
      </c>
      <c r="H804" s="5" t="s">
        <v>16</v>
      </c>
      <c r="I804" s="5">
        <v>71</v>
      </c>
      <c r="J804" s="9" t="s">
        <v>17</v>
      </c>
      <c r="K804" s="1" t="s">
        <v>1096</v>
      </c>
      <c r="L804" t="s">
        <v>3284</v>
      </c>
      <c r="M804" t="str">
        <f>+VLOOKUP(C804,'[1]TIENDAS 2025'!$A$1:$C$143,3,0)</f>
        <v>prioridad</v>
      </c>
      <c r="O804">
        <v>1</v>
      </c>
    </row>
    <row r="805" spans="1:15" ht="15" customHeight="1" x14ac:dyDescent="0.3">
      <c r="A805" s="7">
        <v>1209669307</v>
      </c>
      <c r="B805" s="4" t="s">
        <v>283</v>
      </c>
      <c r="C805" s="4" t="s">
        <v>284</v>
      </c>
      <c r="D805" s="6">
        <v>46309.420034722199</v>
      </c>
      <c r="E805" s="6">
        <v>46309.17</v>
      </c>
      <c r="F805" s="6">
        <v>46309</v>
      </c>
      <c r="G805" s="5" t="s">
        <v>12</v>
      </c>
      <c r="H805" s="5" t="s">
        <v>27</v>
      </c>
      <c r="I805" s="5">
        <v>28</v>
      </c>
      <c r="J805" s="9" t="s">
        <v>17</v>
      </c>
      <c r="K805" s="1" t="s">
        <v>1097</v>
      </c>
      <c r="L805" t="s">
        <v>3284</v>
      </c>
      <c r="M805" t="str">
        <f>+VLOOKUP(C805,'[1]TIENDAS 2025'!$A$1:$C$143,3,0)</f>
        <v>prioridad</v>
      </c>
      <c r="O805">
        <v>1</v>
      </c>
    </row>
    <row r="806" spans="1:15" ht="15" customHeight="1" x14ac:dyDescent="0.3">
      <c r="A806" s="7">
        <v>1209669314</v>
      </c>
      <c r="B806" s="4" t="s">
        <v>283</v>
      </c>
      <c r="C806" s="4" t="s">
        <v>284</v>
      </c>
      <c r="D806" s="6">
        <v>46309.420046296298</v>
      </c>
      <c r="E806" s="6">
        <v>46309.170011574097</v>
      </c>
      <c r="F806" s="6">
        <v>46309</v>
      </c>
      <c r="G806" s="5" t="s">
        <v>12</v>
      </c>
      <c r="H806" s="5" t="s">
        <v>16</v>
      </c>
      <c r="I806" s="5">
        <v>12</v>
      </c>
      <c r="J806" s="9" t="s">
        <v>17</v>
      </c>
      <c r="K806" s="1" t="s">
        <v>1098</v>
      </c>
      <c r="L806" t="s">
        <v>3284</v>
      </c>
      <c r="M806" t="str">
        <f>+VLOOKUP(C806,'[1]TIENDAS 2025'!$A$1:$C$143,3,0)</f>
        <v>prioridad</v>
      </c>
      <c r="O806">
        <v>1</v>
      </c>
    </row>
    <row r="807" spans="1:15" ht="15" customHeight="1" x14ac:dyDescent="0.3">
      <c r="A807" s="7">
        <v>8209669303</v>
      </c>
      <c r="B807" s="4" t="s">
        <v>283</v>
      </c>
      <c r="C807" s="4" t="s">
        <v>284</v>
      </c>
      <c r="D807" s="6">
        <v>46309.420046296298</v>
      </c>
      <c r="E807" s="6">
        <v>46309.170023148101</v>
      </c>
      <c r="F807" s="6">
        <v>46309</v>
      </c>
      <c r="G807" s="5" t="s">
        <v>12</v>
      </c>
      <c r="H807" s="5" t="s">
        <v>27</v>
      </c>
      <c r="I807" s="5">
        <v>36</v>
      </c>
      <c r="J807" s="10" t="s">
        <v>17</v>
      </c>
      <c r="K807" s="1" t="s">
        <v>1099</v>
      </c>
      <c r="M807" t="str">
        <f>+VLOOKUP(C807,'[1]TIENDAS 2025'!$A$1:$C$143,3,0)</f>
        <v>prioridad</v>
      </c>
      <c r="O807">
        <v>1</v>
      </c>
    </row>
    <row r="808" spans="1:15" ht="15" customHeight="1" x14ac:dyDescent="0.3">
      <c r="A808" s="7">
        <v>8209669318</v>
      </c>
      <c r="B808" s="4" t="s">
        <v>283</v>
      </c>
      <c r="C808" s="4" t="s">
        <v>284</v>
      </c>
      <c r="D808" s="6">
        <v>46309.420069444401</v>
      </c>
      <c r="E808" s="6">
        <v>46309.170034722199</v>
      </c>
      <c r="F808" s="6">
        <v>46309</v>
      </c>
      <c r="G808" s="5" t="s">
        <v>12</v>
      </c>
      <c r="H808" s="5" t="s">
        <v>29</v>
      </c>
      <c r="I808" s="5">
        <v>28</v>
      </c>
      <c r="J808" s="10" t="s">
        <v>17</v>
      </c>
      <c r="K808" s="1" t="s">
        <v>1100</v>
      </c>
      <c r="M808" t="str">
        <f>+VLOOKUP(C808,'[1]TIENDAS 2025'!$A$1:$C$143,3,0)</f>
        <v>prioridad</v>
      </c>
      <c r="O808">
        <v>1</v>
      </c>
    </row>
    <row r="809" spans="1:15" ht="15" customHeight="1" x14ac:dyDescent="0.3">
      <c r="A809" s="7">
        <v>1209669285</v>
      </c>
      <c r="B809" s="4" t="s">
        <v>415</v>
      </c>
      <c r="C809" s="4" t="s">
        <v>416</v>
      </c>
      <c r="D809" s="6">
        <v>46309.420081018499</v>
      </c>
      <c r="E809" s="6">
        <v>46309.170057870397</v>
      </c>
      <c r="F809" s="6">
        <v>46309</v>
      </c>
      <c r="G809" s="5" t="s">
        <v>12</v>
      </c>
      <c r="H809" s="5" t="s">
        <v>29</v>
      </c>
      <c r="I809" s="5">
        <v>41</v>
      </c>
      <c r="J809" s="9" t="s">
        <v>17</v>
      </c>
      <c r="K809" s="1" t="s">
        <v>1101</v>
      </c>
      <c r="L809" t="s">
        <v>3284</v>
      </c>
      <c r="M809" t="str">
        <f>+VLOOKUP(C809,'[1]TIENDAS 2025'!$A$1:$C$143,3,0)</f>
        <v>prioridad</v>
      </c>
      <c r="O809">
        <v>1</v>
      </c>
    </row>
    <row r="810" spans="1:15" ht="15" customHeight="1" x14ac:dyDescent="0.3">
      <c r="A810" s="7">
        <v>1209669289</v>
      </c>
      <c r="B810" s="4" t="s">
        <v>415</v>
      </c>
      <c r="C810" s="4" t="s">
        <v>416</v>
      </c>
      <c r="D810" s="6">
        <v>46309.420104166697</v>
      </c>
      <c r="E810" s="6">
        <v>46309.170069444401</v>
      </c>
      <c r="F810" s="6">
        <v>46309</v>
      </c>
      <c r="G810" s="5" t="s">
        <v>12</v>
      </c>
      <c r="H810" s="5" t="s">
        <v>27</v>
      </c>
      <c r="I810" s="5">
        <v>32</v>
      </c>
      <c r="J810" s="9" t="s">
        <v>17</v>
      </c>
      <c r="K810" s="1" t="s">
        <v>1102</v>
      </c>
      <c r="L810" t="s">
        <v>3284</v>
      </c>
      <c r="M810" t="str">
        <f>+VLOOKUP(C810,'[1]TIENDAS 2025'!$A$1:$C$143,3,0)</f>
        <v>prioridad</v>
      </c>
      <c r="O810">
        <v>1</v>
      </c>
    </row>
    <row r="811" spans="1:15" ht="15" customHeight="1" x14ac:dyDescent="0.3">
      <c r="A811" s="7">
        <v>8209669404</v>
      </c>
      <c r="B811" s="4" t="s">
        <v>324</v>
      </c>
      <c r="C811" s="4" t="s">
        <v>325</v>
      </c>
      <c r="D811" s="6">
        <v>46309.420115740701</v>
      </c>
      <c r="E811" s="6">
        <v>46309.170081018499</v>
      </c>
      <c r="F811" s="6">
        <v>46309</v>
      </c>
      <c r="G811" s="5" t="s">
        <v>12</v>
      </c>
      <c r="H811" s="5" t="s">
        <v>27</v>
      </c>
      <c r="I811" s="5">
        <v>1</v>
      </c>
      <c r="J811" s="10" t="s">
        <v>17</v>
      </c>
      <c r="K811" s="1" t="s">
        <v>1103</v>
      </c>
      <c r="M811" t="str">
        <f>+VLOOKUP(C811,'[1]TIENDAS 2025'!$A$1:$C$143,3,0)</f>
        <v>local</v>
      </c>
      <c r="O811">
        <v>1</v>
      </c>
    </row>
    <row r="812" spans="1:15" ht="15" customHeight="1" x14ac:dyDescent="0.3">
      <c r="A812" s="7">
        <v>1209669385</v>
      </c>
      <c r="B812" s="4" t="s">
        <v>506</v>
      </c>
      <c r="C812" s="4" t="s">
        <v>507</v>
      </c>
      <c r="D812" s="6">
        <v>46309.420138888898</v>
      </c>
      <c r="E812" s="6">
        <v>46309.170104166697</v>
      </c>
      <c r="F812" s="6">
        <v>46309</v>
      </c>
      <c r="G812" s="5" t="s">
        <v>12</v>
      </c>
      <c r="H812" s="5" t="s">
        <v>16</v>
      </c>
      <c r="I812" s="5">
        <v>81</v>
      </c>
      <c r="J812" s="9" t="s">
        <v>17</v>
      </c>
      <c r="K812" s="1" t="s">
        <v>1104</v>
      </c>
      <c r="L812" t="s">
        <v>3284</v>
      </c>
      <c r="M812" t="str">
        <f>+VLOOKUP(C812,'[1]TIENDAS 2025'!$A$1:$C$143,3,0)</f>
        <v>departamental</v>
      </c>
      <c r="O812">
        <v>1</v>
      </c>
    </row>
    <row r="813" spans="1:15" ht="15" customHeight="1" x14ac:dyDescent="0.3">
      <c r="A813" s="7">
        <v>1209669341</v>
      </c>
      <c r="B813" s="4" t="s">
        <v>187</v>
      </c>
      <c r="C813" s="4" t="s">
        <v>188</v>
      </c>
      <c r="D813" s="6">
        <v>46309.420162037</v>
      </c>
      <c r="E813" s="6">
        <v>46309.170127314799</v>
      </c>
      <c r="F813" s="6">
        <v>46309</v>
      </c>
      <c r="G813" s="5" t="s">
        <v>12</v>
      </c>
      <c r="H813" s="5" t="s">
        <v>16</v>
      </c>
      <c r="I813" s="5">
        <v>29</v>
      </c>
      <c r="J813" s="9" t="s">
        <v>17</v>
      </c>
      <c r="K813" s="1" t="s">
        <v>1105</v>
      </c>
      <c r="L813" t="s">
        <v>3284</v>
      </c>
      <c r="M813" t="str">
        <f>+VLOOKUP(C813,'[1]TIENDAS 2025'!$A$1:$C$143,3,0)</f>
        <v>departamental</v>
      </c>
      <c r="O813">
        <v>1</v>
      </c>
    </row>
    <row r="814" spans="1:15" ht="15" customHeight="1" x14ac:dyDescent="0.3">
      <c r="A814" s="7">
        <v>1209669383</v>
      </c>
      <c r="B814" s="4" t="s">
        <v>506</v>
      </c>
      <c r="C814" s="4" t="s">
        <v>507</v>
      </c>
      <c r="D814" s="6">
        <v>46309.420173611099</v>
      </c>
      <c r="E814" s="6">
        <v>46309.170138888898</v>
      </c>
      <c r="F814" s="6">
        <v>46309</v>
      </c>
      <c r="G814" s="5" t="s">
        <v>12</v>
      </c>
      <c r="H814" s="5" t="s">
        <v>16</v>
      </c>
      <c r="I814" s="5">
        <v>17</v>
      </c>
      <c r="J814" s="9" t="s">
        <v>17</v>
      </c>
      <c r="K814" s="1" t="s">
        <v>1106</v>
      </c>
      <c r="L814" t="s">
        <v>3284</v>
      </c>
      <c r="M814" t="str">
        <f>+VLOOKUP(C814,'[1]TIENDAS 2025'!$A$1:$C$143,3,0)</f>
        <v>departamental</v>
      </c>
      <c r="O814">
        <v>1</v>
      </c>
    </row>
    <row r="815" spans="1:15" ht="15" customHeight="1" x14ac:dyDescent="0.3">
      <c r="A815" s="7">
        <v>1209669326</v>
      </c>
      <c r="B815" s="4" t="s">
        <v>283</v>
      </c>
      <c r="C815" s="4" t="s">
        <v>284</v>
      </c>
      <c r="D815" s="6">
        <v>46309.420185185198</v>
      </c>
      <c r="E815" s="6">
        <v>46309.170162037</v>
      </c>
      <c r="F815" s="6">
        <v>46309</v>
      </c>
      <c r="G815" s="5" t="s">
        <v>12</v>
      </c>
      <c r="H815" s="5" t="s">
        <v>16</v>
      </c>
      <c r="I815" s="5">
        <v>67</v>
      </c>
      <c r="J815" s="9" t="s">
        <v>17</v>
      </c>
      <c r="K815" s="1" t="s">
        <v>1107</v>
      </c>
      <c r="L815" t="s">
        <v>3284</v>
      </c>
      <c r="M815" t="str">
        <f>+VLOOKUP(C815,'[1]TIENDAS 2025'!$A$1:$C$143,3,0)</f>
        <v>prioridad</v>
      </c>
      <c r="O815">
        <v>1</v>
      </c>
    </row>
    <row r="816" spans="1:15" ht="15" customHeight="1" x14ac:dyDescent="0.3">
      <c r="A816" s="7">
        <v>1209669412</v>
      </c>
      <c r="B816" s="4" t="s">
        <v>324</v>
      </c>
      <c r="C816" s="4" t="s">
        <v>325</v>
      </c>
      <c r="D816" s="6">
        <v>46309.420196759304</v>
      </c>
      <c r="E816" s="6">
        <v>46309.170173611099</v>
      </c>
      <c r="F816" s="6">
        <v>46309</v>
      </c>
      <c r="G816" s="5" t="s">
        <v>12</v>
      </c>
      <c r="H816" s="5" t="s">
        <v>16</v>
      </c>
      <c r="I816" s="5">
        <v>11</v>
      </c>
      <c r="J816" s="9" t="s">
        <v>17</v>
      </c>
      <c r="K816" s="1" t="s">
        <v>1108</v>
      </c>
      <c r="L816" t="s">
        <v>3284</v>
      </c>
      <c r="M816" t="str">
        <f>+VLOOKUP(C816,'[1]TIENDAS 2025'!$A$1:$C$143,3,0)</f>
        <v>local</v>
      </c>
      <c r="O816">
        <v>1</v>
      </c>
    </row>
    <row r="817" spans="1:15" ht="15" customHeight="1" x14ac:dyDescent="0.3">
      <c r="A817" s="7">
        <v>1209669280</v>
      </c>
      <c r="B817" s="4" t="s">
        <v>415</v>
      </c>
      <c r="C817" s="4" t="s">
        <v>416</v>
      </c>
      <c r="D817" s="6">
        <v>46309.420219907399</v>
      </c>
      <c r="E817" s="6">
        <v>46309.170185185198</v>
      </c>
      <c r="F817" s="6">
        <v>46309</v>
      </c>
      <c r="G817" s="5" t="s">
        <v>12</v>
      </c>
      <c r="H817" s="5" t="s">
        <v>16</v>
      </c>
      <c r="I817" s="5">
        <v>19</v>
      </c>
      <c r="J817" s="9" t="s">
        <v>17</v>
      </c>
      <c r="K817" s="1" t="s">
        <v>1109</v>
      </c>
      <c r="L817" t="s">
        <v>3284</v>
      </c>
      <c r="M817" t="str">
        <f>+VLOOKUP(C817,'[1]TIENDAS 2025'!$A$1:$C$143,3,0)</f>
        <v>prioridad</v>
      </c>
      <c r="O817">
        <v>1</v>
      </c>
    </row>
    <row r="818" spans="1:15" ht="15" customHeight="1" x14ac:dyDescent="0.3">
      <c r="A818" s="7">
        <v>8209669319</v>
      </c>
      <c r="B818" s="4" t="s">
        <v>283</v>
      </c>
      <c r="C818" s="4" t="s">
        <v>284</v>
      </c>
      <c r="D818" s="6">
        <v>46309.420231481497</v>
      </c>
      <c r="E818" s="6">
        <v>46309.170196759304</v>
      </c>
      <c r="F818" s="6">
        <v>46309</v>
      </c>
      <c r="G818" s="5" t="s">
        <v>12</v>
      </c>
      <c r="H818" s="5" t="s">
        <v>27</v>
      </c>
      <c r="I818" s="5">
        <v>13</v>
      </c>
      <c r="J818" s="10" t="s">
        <v>17</v>
      </c>
      <c r="K818" s="1" t="s">
        <v>1110</v>
      </c>
      <c r="M818" t="str">
        <f>+VLOOKUP(C818,'[1]TIENDAS 2025'!$A$1:$C$143,3,0)</f>
        <v>prioridad</v>
      </c>
      <c r="O818">
        <v>1</v>
      </c>
    </row>
    <row r="819" spans="1:15" ht="15" customHeight="1" x14ac:dyDescent="0.3">
      <c r="A819" s="7">
        <v>1209669328</v>
      </c>
      <c r="B819" s="4" t="s">
        <v>283</v>
      </c>
      <c r="C819" s="4" t="s">
        <v>284</v>
      </c>
      <c r="D819" s="6">
        <v>46309.420243055603</v>
      </c>
      <c r="E819" s="6">
        <v>46309.170219907399</v>
      </c>
      <c r="F819" s="6">
        <v>46309</v>
      </c>
      <c r="G819" s="5" t="s">
        <v>12</v>
      </c>
      <c r="H819" s="5" t="s">
        <v>29</v>
      </c>
      <c r="I819" s="5">
        <v>58</v>
      </c>
      <c r="J819" s="9" t="s">
        <v>17</v>
      </c>
      <c r="K819" s="1" t="s">
        <v>1111</v>
      </c>
      <c r="L819" t="s">
        <v>3284</v>
      </c>
      <c r="M819" t="str">
        <f>+VLOOKUP(C819,'[1]TIENDAS 2025'!$A$1:$C$143,3,0)</f>
        <v>prioridad</v>
      </c>
      <c r="O819">
        <v>1</v>
      </c>
    </row>
    <row r="820" spans="1:15" ht="15" customHeight="1" x14ac:dyDescent="0.3">
      <c r="A820" s="7">
        <v>1209669382</v>
      </c>
      <c r="B820" s="4" t="s">
        <v>506</v>
      </c>
      <c r="C820" s="4" t="s">
        <v>507</v>
      </c>
      <c r="D820" s="6">
        <v>46309.4202546296</v>
      </c>
      <c r="E820" s="6">
        <v>46309.170231481497</v>
      </c>
      <c r="F820" s="6">
        <v>46309</v>
      </c>
      <c r="G820" s="5" t="s">
        <v>12</v>
      </c>
      <c r="H820" s="5" t="s">
        <v>16</v>
      </c>
      <c r="I820" s="5">
        <v>28</v>
      </c>
      <c r="J820" s="9" t="s">
        <v>17</v>
      </c>
      <c r="K820" s="1" t="s">
        <v>1112</v>
      </c>
      <c r="L820" t="s">
        <v>3284</v>
      </c>
      <c r="M820" t="str">
        <f>+VLOOKUP(C820,'[1]TIENDAS 2025'!$A$1:$C$143,3,0)</f>
        <v>departamental</v>
      </c>
      <c r="O820">
        <v>1</v>
      </c>
    </row>
    <row r="821" spans="1:15" ht="15" customHeight="1" x14ac:dyDescent="0.3">
      <c r="A821" s="7">
        <v>1209669374</v>
      </c>
      <c r="B821" s="4" t="s">
        <v>506</v>
      </c>
      <c r="C821" s="4" t="s">
        <v>507</v>
      </c>
      <c r="D821" s="6">
        <v>46309.420277777797</v>
      </c>
      <c r="E821" s="6">
        <v>46309.170243055603</v>
      </c>
      <c r="F821" s="6">
        <v>46309</v>
      </c>
      <c r="G821" s="5" t="s">
        <v>12</v>
      </c>
      <c r="H821" s="5" t="s">
        <v>29</v>
      </c>
      <c r="I821" s="5">
        <v>30</v>
      </c>
      <c r="J821" s="9" t="s">
        <v>17</v>
      </c>
      <c r="K821" s="1" t="s">
        <v>1113</v>
      </c>
      <c r="L821" t="s">
        <v>3284</v>
      </c>
      <c r="M821" t="str">
        <f>+VLOOKUP(C821,'[1]TIENDAS 2025'!$A$1:$C$143,3,0)</f>
        <v>departamental</v>
      </c>
      <c r="O821">
        <v>1</v>
      </c>
    </row>
    <row r="822" spans="1:15" ht="15" customHeight="1" x14ac:dyDescent="0.3">
      <c r="A822" s="7">
        <v>8209669406</v>
      </c>
      <c r="B822" s="4" t="s">
        <v>324</v>
      </c>
      <c r="C822" s="4" t="s">
        <v>325</v>
      </c>
      <c r="D822" s="6">
        <v>46309.420289351903</v>
      </c>
      <c r="E822" s="6">
        <v>46309.170266203699</v>
      </c>
      <c r="F822" s="6">
        <v>46309</v>
      </c>
      <c r="G822" s="5" t="s">
        <v>12</v>
      </c>
      <c r="H822" s="5" t="s">
        <v>27</v>
      </c>
      <c r="I822" s="5">
        <v>24</v>
      </c>
      <c r="J822" s="10" t="s">
        <v>17</v>
      </c>
      <c r="K822" s="1" t="s">
        <v>1114</v>
      </c>
      <c r="M822" t="str">
        <f>+VLOOKUP(C822,'[1]TIENDAS 2025'!$A$1:$C$143,3,0)</f>
        <v>local</v>
      </c>
      <c r="O822">
        <v>1</v>
      </c>
    </row>
    <row r="823" spans="1:15" ht="15" customHeight="1" x14ac:dyDescent="0.3">
      <c r="A823" s="7">
        <v>1209669416</v>
      </c>
      <c r="B823" s="4" t="s">
        <v>324</v>
      </c>
      <c r="C823" s="4" t="s">
        <v>325</v>
      </c>
      <c r="D823" s="6">
        <v>46309.420312499999</v>
      </c>
      <c r="E823" s="6">
        <v>46309.170277777797</v>
      </c>
      <c r="F823" s="6">
        <v>46309</v>
      </c>
      <c r="G823" s="5" t="s">
        <v>12</v>
      </c>
      <c r="H823" s="5" t="s">
        <v>16</v>
      </c>
      <c r="I823" s="5">
        <v>27</v>
      </c>
      <c r="J823" s="9" t="s">
        <v>17</v>
      </c>
      <c r="K823" s="1" t="s">
        <v>1115</v>
      </c>
      <c r="L823" t="s">
        <v>3284</v>
      </c>
      <c r="M823" t="str">
        <f>+VLOOKUP(C823,'[1]TIENDAS 2025'!$A$1:$C$143,3,0)</f>
        <v>local</v>
      </c>
      <c r="O823">
        <v>1</v>
      </c>
    </row>
    <row r="824" spans="1:15" ht="15" customHeight="1" x14ac:dyDescent="0.3">
      <c r="A824" s="7">
        <v>1209669279</v>
      </c>
      <c r="B824" s="4" t="s">
        <v>415</v>
      </c>
      <c r="C824" s="4" t="s">
        <v>416</v>
      </c>
      <c r="D824" s="6">
        <v>46309.420324074097</v>
      </c>
      <c r="E824" s="6">
        <v>46309.170289351903</v>
      </c>
      <c r="F824" s="6">
        <v>46309</v>
      </c>
      <c r="G824" s="5" t="s">
        <v>12</v>
      </c>
      <c r="H824" s="5" t="s">
        <v>29</v>
      </c>
      <c r="I824" s="5">
        <v>15</v>
      </c>
      <c r="J824" s="9" t="s">
        <v>17</v>
      </c>
      <c r="K824" s="1" t="s">
        <v>1116</v>
      </c>
      <c r="L824" t="s">
        <v>3284</v>
      </c>
      <c r="M824" t="str">
        <f>+VLOOKUP(C824,'[1]TIENDAS 2025'!$A$1:$C$143,3,0)</f>
        <v>prioridad</v>
      </c>
      <c r="O824">
        <v>1</v>
      </c>
    </row>
    <row r="825" spans="1:15" ht="15" customHeight="1" x14ac:dyDescent="0.3">
      <c r="A825" s="7">
        <v>8209669316</v>
      </c>
      <c r="B825" s="4" t="s">
        <v>283</v>
      </c>
      <c r="C825" s="4" t="s">
        <v>284</v>
      </c>
      <c r="D825" s="6">
        <v>46309.420335648101</v>
      </c>
      <c r="E825" s="6">
        <v>46309.170312499999</v>
      </c>
      <c r="F825" s="6">
        <v>46309</v>
      </c>
      <c r="G825" s="5" t="s">
        <v>12</v>
      </c>
      <c r="H825" s="5" t="s">
        <v>27</v>
      </c>
      <c r="I825" s="5">
        <v>2</v>
      </c>
      <c r="J825" s="10" t="s">
        <v>17</v>
      </c>
      <c r="K825" s="1" t="s">
        <v>1117</v>
      </c>
      <c r="M825" t="str">
        <f>+VLOOKUP(C825,'[1]TIENDAS 2025'!$A$1:$C$143,3,0)</f>
        <v>prioridad</v>
      </c>
      <c r="O825">
        <v>1</v>
      </c>
    </row>
    <row r="826" spans="1:15" ht="15" customHeight="1" x14ac:dyDescent="0.3">
      <c r="A826" s="7">
        <v>8209669317</v>
      </c>
      <c r="B826" s="4" t="s">
        <v>283</v>
      </c>
      <c r="C826" s="4" t="s">
        <v>284</v>
      </c>
      <c r="D826" s="6">
        <v>46309.4203472222</v>
      </c>
      <c r="E826" s="6">
        <v>46309.170324074097</v>
      </c>
      <c r="F826" s="6">
        <v>46309</v>
      </c>
      <c r="G826" s="5" t="s">
        <v>12</v>
      </c>
      <c r="H826" s="5" t="s">
        <v>27</v>
      </c>
      <c r="I826" s="5">
        <v>1</v>
      </c>
      <c r="J826" s="10" t="s">
        <v>17</v>
      </c>
      <c r="K826" s="1" t="s">
        <v>1118</v>
      </c>
      <c r="M826" t="str">
        <f>+VLOOKUP(C826,'[1]TIENDAS 2025'!$A$1:$C$143,3,0)</f>
        <v>prioridad</v>
      </c>
      <c r="O826">
        <v>1</v>
      </c>
    </row>
    <row r="827" spans="1:15" ht="15" customHeight="1" x14ac:dyDescent="0.3">
      <c r="A827" s="7">
        <v>1209669336</v>
      </c>
      <c r="B827" s="4" t="s">
        <v>187</v>
      </c>
      <c r="C827" s="4" t="s">
        <v>188</v>
      </c>
      <c r="D827" s="6">
        <v>46309.420370370397</v>
      </c>
      <c r="E827" s="6">
        <v>46309.170335648101</v>
      </c>
      <c r="F827" s="6">
        <v>46309</v>
      </c>
      <c r="G827" s="5" t="s">
        <v>12</v>
      </c>
      <c r="H827" s="5" t="s">
        <v>16</v>
      </c>
      <c r="I827" s="5">
        <v>7</v>
      </c>
      <c r="J827" s="9" t="s">
        <v>17</v>
      </c>
      <c r="K827" s="1" t="s">
        <v>1119</v>
      </c>
      <c r="L827" t="s">
        <v>3284</v>
      </c>
      <c r="M827" t="str">
        <f>+VLOOKUP(C827,'[1]TIENDAS 2025'!$A$1:$C$143,3,0)</f>
        <v>departamental</v>
      </c>
      <c r="O827">
        <v>1</v>
      </c>
    </row>
    <row r="828" spans="1:15" ht="15" customHeight="1" x14ac:dyDescent="0.3">
      <c r="A828" s="7">
        <v>1209669399</v>
      </c>
      <c r="B828" s="4" t="s">
        <v>324</v>
      </c>
      <c r="C828" s="4" t="s">
        <v>325</v>
      </c>
      <c r="D828" s="6">
        <v>46309.420381944401</v>
      </c>
      <c r="E828" s="6">
        <v>46309.1703472222</v>
      </c>
      <c r="F828" s="6">
        <v>46309</v>
      </c>
      <c r="G828" s="5" t="s">
        <v>12</v>
      </c>
      <c r="H828" s="5" t="s">
        <v>16</v>
      </c>
      <c r="I828" s="5">
        <v>11</v>
      </c>
      <c r="J828" s="9" t="s">
        <v>17</v>
      </c>
      <c r="K828" s="1" t="s">
        <v>1120</v>
      </c>
      <c r="L828" t="s">
        <v>3284</v>
      </c>
      <c r="M828" t="str">
        <f>+VLOOKUP(C828,'[1]TIENDAS 2025'!$A$1:$C$143,3,0)</f>
        <v>local</v>
      </c>
      <c r="O828">
        <v>1</v>
      </c>
    </row>
    <row r="829" spans="1:15" ht="15" customHeight="1" x14ac:dyDescent="0.3">
      <c r="A829" s="7">
        <v>8209669375</v>
      </c>
      <c r="B829" s="4" t="s">
        <v>506</v>
      </c>
      <c r="C829" s="4" t="s">
        <v>507</v>
      </c>
      <c r="D829" s="6">
        <v>46309.4203935185</v>
      </c>
      <c r="E829" s="6">
        <v>46309.170370370397</v>
      </c>
      <c r="F829" s="6">
        <v>46309</v>
      </c>
      <c r="G829" s="5" t="s">
        <v>12</v>
      </c>
      <c r="H829" s="5" t="s">
        <v>27</v>
      </c>
      <c r="I829" s="5">
        <v>3</v>
      </c>
      <c r="J829" s="10" t="s">
        <v>17</v>
      </c>
      <c r="K829" s="1" t="s">
        <v>1121</v>
      </c>
      <c r="M829" t="str">
        <f>+VLOOKUP(C829,'[1]TIENDAS 2025'!$A$1:$C$143,3,0)</f>
        <v>departamental</v>
      </c>
      <c r="O829">
        <v>1</v>
      </c>
    </row>
    <row r="830" spans="1:15" ht="15" customHeight="1" x14ac:dyDescent="0.3">
      <c r="A830" s="7">
        <v>8209669377</v>
      </c>
      <c r="B830" s="4" t="s">
        <v>506</v>
      </c>
      <c r="C830" s="4" t="s">
        <v>507</v>
      </c>
      <c r="D830" s="6">
        <v>46309.420405092598</v>
      </c>
      <c r="E830" s="6">
        <v>46309.170381944401</v>
      </c>
      <c r="F830" s="6">
        <v>46309</v>
      </c>
      <c r="G830" s="5" t="s">
        <v>12</v>
      </c>
      <c r="H830" s="5" t="s">
        <v>27</v>
      </c>
      <c r="I830" s="5">
        <v>10</v>
      </c>
      <c r="J830" s="10" t="s">
        <v>17</v>
      </c>
      <c r="K830" s="1" t="s">
        <v>1122</v>
      </c>
      <c r="M830" t="str">
        <f>+VLOOKUP(C830,'[1]TIENDAS 2025'!$A$1:$C$143,3,0)</f>
        <v>departamental</v>
      </c>
      <c r="O830">
        <v>1</v>
      </c>
    </row>
    <row r="831" spans="1:15" ht="15" customHeight="1" x14ac:dyDescent="0.3">
      <c r="A831" s="7">
        <v>1209669379</v>
      </c>
      <c r="B831" s="4" t="s">
        <v>506</v>
      </c>
      <c r="C831" s="4" t="s">
        <v>507</v>
      </c>
      <c r="D831" s="6">
        <v>46309.420428240701</v>
      </c>
      <c r="E831" s="6">
        <v>46309.1703935185</v>
      </c>
      <c r="F831" s="6">
        <v>46309</v>
      </c>
      <c r="G831" s="5" t="s">
        <v>12</v>
      </c>
      <c r="H831" s="5" t="s">
        <v>16</v>
      </c>
      <c r="I831" s="5">
        <v>5</v>
      </c>
      <c r="J831" s="9" t="s">
        <v>17</v>
      </c>
      <c r="K831" s="1" t="s">
        <v>1123</v>
      </c>
      <c r="L831" t="s">
        <v>3284</v>
      </c>
      <c r="M831" t="str">
        <f>+VLOOKUP(C831,'[1]TIENDAS 2025'!$A$1:$C$143,3,0)</f>
        <v>departamental</v>
      </c>
      <c r="O831">
        <v>1</v>
      </c>
    </row>
    <row r="832" spans="1:15" ht="15" customHeight="1" x14ac:dyDescent="0.3">
      <c r="A832" s="7">
        <v>1209669417</v>
      </c>
      <c r="B832" s="4" t="s">
        <v>324</v>
      </c>
      <c r="C832" s="4" t="s">
        <v>325</v>
      </c>
      <c r="D832" s="6">
        <v>46309.420439814799</v>
      </c>
      <c r="E832" s="6">
        <v>46309.170405092598</v>
      </c>
      <c r="F832" s="6">
        <v>46309</v>
      </c>
      <c r="G832" s="5" t="s">
        <v>12</v>
      </c>
      <c r="H832" s="5" t="s">
        <v>29</v>
      </c>
      <c r="I832" s="5">
        <v>54</v>
      </c>
      <c r="J832" s="9" t="s">
        <v>17</v>
      </c>
      <c r="K832" s="1" t="s">
        <v>1124</v>
      </c>
      <c r="L832" t="s">
        <v>3284</v>
      </c>
      <c r="M832" t="str">
        <f>+VLOOKUP(C832,'[1]TIENDAS 2025'!$A$1:$C$143,3,0)</f>
        <v>local</v>
      </c>
      <c r="O832">
        <v>1</v>
      </c>
    </row>
    <row r="833" spans="1:15" ht="15" customHeight="1" x14ac:dyDescent="0.3">
      <c r="A833" s="7">
        <v>1209669413</v>
      </c>
      <c r="B833" s="4" t="s">
        <v>324</v>
      </c>
      <c r="C833" s="4" t="s">
        <v>325</v>
      </c>
      <c r="D833" s="6">
        <v>46309.420451388898</v>
      </c>
      <c r="E833" s="6">
        <v>46309.170416666697</v>
      </c>
      <c r="F833" s="6">
        <v>46309</v>
      </c>
      <c r="G833" s="5" t="s">
        <v>12</v>
      </c>
      <c r="H833" s="5" t="s">
        <v>29</v>
      </c>
      <c r="I833" s="5">
        <v>25</v>
      </c>
      <c r="J833" s="9" t="s">
        <v>17</v>
      </c>
      <c r="K833" s="1" t="s">
        <v>1125</v>
      </c>
      <c r="L833" t="s">
        <v>3284</v>
      </c>
      <c r="M833" t="str">
        <f>+VLOOKUP(C833,'[1]TIENDAS 2025'!$A$1:$C$143,3,0)</f>
        <v>local</v>
      </c>
      <c r="O833">
        <v>1</v>
      </c>
    </row>
    <row r="834" spans="1:15" ht="15" customHeight="1" x14ac:dyDescent="0.3">
      <c r="A834" s="7">
        <v>1209669414</v>
      </c>
      <c r="B834" s="4" t="s">
        <v>324</v>
      </c>
      <c r="C834" s="4" t="s">
        <v>325</v>
      </c>
      <c r="D834" s="6">
        <v>46309.420462962997</v>
      </c>
      <c r="E834" s="6">
        <v>46309.170439814799</v>
      </c>
      <c r="F834" s="6">
        <v>46309</v>
      </c>
      <c r="G834" s="5" t="s">
        <v>12</v>
      </c>
      <c r="H834" s="5" t="s">
        <v>16</v>
      </c>
      <c r="I834" s="5">
        <v>20</v>
      </c>
      <c r="J834" s="9" t="s">
        <v>17</v>
      </c>
      <c r="K834" s="1" t="s">
        <v>1126</v>
      </c>
      <c r="L834" t="s">
        <v>3284</v>
      </c>
      <c r="M834" t="str">
        <f>+VLOOKUP(C834,'[1]TIENDAS 2025'!$A$1:$C$143,3,0)</f>
        <v>local</v>
      </c>
      <c r="O834">
        <v>1</v>
      </c>
    </row>
    <row r="835" spans="1:15" ht="15" customHeight="1" x14ac:dyDescent="0.3">
      <c r="A835" s="7">
        <v>8209669275</v>
      </c>
      <c r="B835" s="4" t="s">
        <v>415</v>
      </c>
      <c r="C835" s="4" t="s">
        <v>416</v>
      </c>
      <c r="D835" s="6">
        <v>46309.420486111099</v>
      </c>
      <c r="E835" s="6">
        <v>46309.170451388898</v>
      </c>
      <c r="F835" s="6">
        <v>46309</v>
      </c>
      <c r="G835" s="5" t="s">
        <v>12</v>
      </c>
      <c r="H835" s="5" t="s">
        <v>27</v>
      </c>
      <c r="I835" s="5">
        <v>26</v>
      </c>
      <c r="J835" s="10" t="s">
        <v>17</v>
      </c>
      <c r="K835" s="1" t="s">
        <v>1127</v>
      </c>
      <c r="M835" t="str">
        <f>+VLOOKUP(C835,'[1]TIENDAS 2025'!$A$1:$C$143,3,0)</f>
        <v>prioridad</v>
      </c>
      <c r="O835">
        <v>1</v>
      </c>
    </row>
    <row r="836" spans="1:15" ht="15" customHeight="1" x14ac:dyDescent="0.3">
      <c r="A836" s="7">
        <v>8209669301</v>
      </c>
      <c r="B836" s="4" t="s">
        <v>283</v>
      </c>
      <c r="C836" s="4" t="s">
        <v>284</v>
      </c>
      <c r="D836" s="6">
        <v>46309.420509259297</v>
      </c>
      <c r="E836" s="6">
        <v>46309.170474537001</v>
      </c>
      <c r="F836" s="6">
        <v>46309</v>
      </c>
      <c r="G836" s="5" t="s">
        <v>12</v>
      </c>
      <c r="H836" s="5" t="s">
        <v>27</v>
      </c>
      <c r="I836" s="5">
        <v>25</v>
      </c>
      <c r="J836" s="10" t="s">
        <v>17</v>
      </c>
      <c r="K836" s="1" t="s">
        <v>1128</v>
      </c>
      <c r="M836" t="str">
        <f>+VLOOKUP(C836,'[1]TIENDAS 2025'!$A$1:$C$143,3,0)</f>
        <v>prioridad</v>
      </c>
      <c r="O836">
        <v>1</v>
      </c>
    </row>
    <row r="837" spans="1:15" ht="15" customHeight="1" x14ac:dyDescent="0.3">
      <c r="A837" s="7">
        <v>1209669320</v>
      </c>
      <c r="B837" s="4" t="s">
        <v>283</v>
      </c>
      <c r="C837" s="4" t="s">
        <v>284</v>
      </c>
      <c r="D837" s="6">
        <v>46309.420520833301</v>
      </c>
      <c r="E837" s="6">
        <v>46309.170486111099</v>
      </c>
      <c r="F837" s="6">
        <v>46309</v>
      </c>
      <c r="G837" s="5" t="s">
        <v>12</v>
      </c>
      <c r="H837" s="5" t="s">
        <v>16</v>
      </c>
      <c r="I837" s="5">
        <v>1</v>
      </c>
      <c r="J837" s="9" t="s">
        <v>17</v>
      </c>
      <c r="K837" s="1" t="s">
        <v>1129</v>
      </c>
      <c r="L837" t="s">
        <v>3284</v>
      </c>
      <c r="M837" t="str">
        <f>+VLOOKUP(C837,'[1]TIENDAS 2025'!$A$1:$C$143,3,0)</f>
        <v>prioridad</v>
      </c>
      <c r="O837">
        <v>1</v>
      </c>
    </row>
    <row r="838" spans="1:15" ht="15" customHeight="1" x14ac:dyDescent="0.3">
      <c r="A838" s="7">
        <v>1209669284</v>
      </c>
      <c r="B838" s="4" t="s">
        <v>415</v>
      </c>
      <c r="C838" s="4" t="s">
        <v>416</v>
      </c>
      <c r="D838" s="6">
        <v>46309.420532407399</v>
      </c>
      <c r="E838" s="6">
        <v>46309.170509259297</v>
      </c>
      <c r="F838" s="6">
        <v>46309</v>
      </c>
      <c r="G838" s="5" t="s">
        <v>12</v>
      </c>
      <c r="H838" s="5" t="s">
        <v>29</v>
      </c>
      <c r="I838" s="5">
        <v>54</v>
      </c>
      <c r="J838" s="9" t="s">
        <v>17</v>
      </c>
      <c r="K838" s="1" t="s">
        <v>1130</v>
      </c>
      <c r="L838" t="s">
        <v>3284</v>
      </c>
      <c r="M838" t="str">
        <f>+VLOOKUP(C838,'[1]TIENDAS 2025'!$A$1:$C$143,3,0)</f>
        <v>prioridad</v>
      </c>
      <c r="O838">
        <v>1</v>
      </c>
    </row>
    <row r="839" spans="1:15" ht="15" customHeight="1" x14ac:dyDescent="0.3">
      <c r="A839" s="7">
        <v>1209669286</v>
      </c>
      <c r="B839" s="4" t="s">
        <v>415</v>
      </c>
      <c r="C839" s="4" t="s">
        <v>416</v>
      </c>
      <c r="D839" s="6">
        <v>46309.420555555596</v>
      </c>
      <c r="E839" s="6">
        <v>46309.170520833301</v>
      </c>
      <c r="F839" s="6">
        <v>46309</v>
      </c>
      <c r="G839" s="5" t="s">
        <v>12</v>
      </c>
      <c r="H839" s="5" t="s">
        <v>16</v>
      </c>
      <c r="I839" s="5">
        <v>4</v>
      </c>
      <c r="J839" s="9" t="s">
        <v>17</v>
      </c>
      <c r="K839" s="1" t="s">
        <v>1131</v>
      </c>
      <c r="L839" t="s">
        <v>3284</v>
      </c>
      <c r="M839" t="str">
        <f>+VLOOKUP(C839,'[1]TIENDAS 2025'!$A$1:$C$143,3,0)</f>
        <v>prioridad</v>
      </c>
      <c r="O839">
        <v>1</v>
      </c>
    </row>
    <row r="840" spans="1:15" ht="15" customHeight="1" x14ac:dyDescent="0.3">
      <c r="A840" s="7">
        <v>8209669273</v>
      </c>
      <c r="B840" s="4" t="s">
        <v>415</v>
      </c>
      <c r="C840" s="4" t="s">
        <v>416</v>
      </c>
      <c r="D840" s="6">
        <v>46309.4205671296</v>
      </c>
      <c r="E840" s="6">
        <v>46309.170532407399</v>
      </c>
      <c r="F840" s="6">
        <v>46309</v>
      </c>
      <c r="G840" s="5" t="s">
        <v>12</v>
      </c>
      <c r="H840" s="5" t="s">
        <v>27</v>
      </c>
      <c r="I840" s="5">
        <v>11</v>
      </c>
      <c r="J840" s="10" t="s">
        <v>17</v>
      </c>
      <c r="K840" s="1" t="s">
        <v>1132</v>
      </c>
      <c r="M840" t="str">
        <f>+VLOOKUP(C840,'[1]TIENDAS 2025'!$A$1:$C$143,3,0)</f>
        <v>prioridad</v>
      </c>
      <c r="O840">
        <v>1</v>
      </c>
    </row>
    <row r="841" spans="1:15" ht="15" customHeight="1" x14ac:dyDescent="0.3">
      <c r="A841" s="7">
        <v>1209669334</v>
      </c>
      <c r="B841" s="4" t="s">
        <v>187</v>
      </c>
      <c r="C841" s="4" t="s">
        <v>188</v>
      </c>
      <c r="D841" s="6">
        <v>46309.420590277798</v>
      </c>
      <c r="E841" s="6">
        <v>46309.1705671296</v>
      </c>
      <c r="F841" s="6">
        <v>46309</v>
      </c>
      <c r="G841" s="5" t="s">
        <v>12</v>
      </c>
      <c r="H841" s="5" t="s">
        <v>16</v>
      </c>
      <c r="I841" s="5">
        <v>2</v>
      </c>
      <c r="J841" s="9" t="s">
        <v>17</v>
      </c>
      <c r="K841" s="1" t="s">
        <v>1133</v>
      </c>
      <c r="L841" t="s">
        <v>3284</v>
      </c>
      <c r="M841" t="str">
        <f>+VLOOKUP(C841,'[1]TIENDAS 2025'!$A$1:$C$143,3,0)</f>
        <v>departamental</v>
      </c>
      <c r="O841">
        <v>1</v>
      </c>
    </row>
    <row r="842" spans="1:15" ht="15" customHeight="1" x14ac:dyDescent="0.3">
      <c r="A842" s="7">
        <v>8209669274</v>
      </c>
      <c r="B842" s="4" t="s">
        <v>415</v>
      </c>
      <c r="C842" s="4" t="s">
        <v>416</v>
      </c>
      <c r="D842" s="6">
        <v>46309.420590277798</v>
      </c>
      <c r="E842" s="6">
        <v>46309.170555555596</v>
      </c>
      <c r="F842" s="6">
        <v>46309</v>
      </c>
      <c r="G842" s="5" t="s">
        <v>12</v>
      </c>
      <c r="H842" s="5" t="s">
        <v>27</v>
      </c>
      <c r="I842" s="5">
        <v>8</v>
      </c>
      <c r="J842" s="10" t="s">
        <v>17</v>
      </c>
      <c r="K842" s="1" t="s">
        <v>1134</v>
      </c>
      <c r="M842" t="str">
        <f>+VLOOKUP(C842,'[1]TIENDAS 2025'!$A$1:$C$143,3,0)</f>
        <v>prioridad</v>
      </c>
      <c r="O842">
        <v>1</v>
      </c>
    </row>
    <row r="843" spans="1:15" ht="15" customHeight="1" x14ac:dyDescent="0.3">
      <c r="A843" s="7">
        <v>1209669337</v>
      </c>
      <c r="B843" s="4" t="s">
        <v>187</v>
      </c>
      <c r="C843" s="4" t="s">
        <v>188</v>
      </c>
      <c r="D843" s="6">
        <v>46309.4206134259</v>
      </c>
      <c r="E843" s="6">
        <v>46309.170578703699</v>
      </c>
      <c r="F843" s="6">
        <v>46309</v>
      </c>
      <c r="G843" s="5" t="s">
        <v>12</v>
      </c>
      <c r="H843" s="5" t="s">
        <v>16</v>
      </c>
      <c r="I843" s="5">
        <v>24</v>
      </c>
      <c r="J843" s="9" t="s">
        <v>17</v>
      </c>
      <c r="K843" s="1" t="s">
        <v>1135</v>
      </c>
      <c r="L843" t="s">
        <v>3284</v>
      </c>
      <c r="M843" t="str">
        <f>+VLOOKUP(C843,'[1]TIENDAS 2025'!$A$1:$C$143,3,0)</f>
        <v>departamental</v>
      </c>
      <c r="O843">
        <v>1</v>
      </c>
    </row>
    <row r="844" spans="1:15" ht="15" customHeight="1" x14ac:dyDescent="0.3">
      <c r="A844" s="7">
        <v>8209669403</v>
      </c>
      <c r="B844" s="4" t="s">
        <v>324</v>
      </c>
      <c r="C844" s="4" t="s">
        <v>325</v>
      </c>
      <c r="D844" s="6">
        <v>46309.420636574097</v>
      </c>
      <c r="E844" s="6">
        <v>46309.170601851903</v>
      </c>
      <c r="F844" s="6">
        <v>46309</v>
      </c>
      <c r="G844" s="5" t="s">
        <v>12</v>
      </c>
      <c r="H844" s="5" t="s">
        <v>27</v>
      </c>
      <c r="I844" s="5">
        <v>6</v>
      </c>
      <c r="J844" s="10" t="s">
        <v>17</v>
      </c>
      <c r="K844" s="1" t="s">
        <v>1136</v>
      </c>
      <c r="M844" t="str">
        <f>+VLOOKUP(C844,'[1]TIENDAS 2025'!$A$1:$C$143,3,0)</f>
        <v>local</v>
      </c>
      <c r="O844">
        <v>1</v>
      </c>
    </row>
    <row r="845" spans="1:15" ht="15" customHeight="1" x14ac:dyDescent="0.3">
      <c r="A845" s="7">
        <v>1209669342</v>
      </c>
      <c r="B845" s="4" t="s">
        <v>187</v>
      </c>
      <c r="C845" s="4" t="s">
        <v>188</v>
      </c>
      <c r="D845" s="6">
        <v>46309.420648148101</v>
      </c>
      <c r="E845" s="6">
        <v>46309.1706134259</v>
      </c>
      <c r="F845" s="6">
        <v>46309</v>
      </c>
      <c r="G845" s="5" t="s">
        <v>12</v>
      </c>
      <c r="H845" s="5" t="s">
        <v>29</v>
      </c>
      <c r="I845" s="5">
        <v>15</v>
      </c>
      <c r="J845" s="9" t="s">
        <v>17</v>
      </c>
      <c r="K845" s="1" t="s">
        <v>1137</v>
      </c>
      <c r="L845" t="s">
        <v>3284</v>
      </c>
      <c r="M845" t="str">
        <f>+VLOOKUP(C845,'[1]TIENDAS 2025'!$A$1:$C$143,3,0)</f>
        <v>departamental</v>
      </c>
      <c r="O845">
        <v>1</v>
      </c>
    </row>
    <row r="846" spans="1:15" ht="15" customHeight="1" x14ac:dyDescent="0.3">
      <c r="A846" s="7">
        <v>1209669367</v>
      </c>
      <c r="B846" s="4" t="s">
        <v>506</v>
      </c>
      <c r="C846" s="4" t="s">
        <v>507</v>
      </c>
      <c r="D846" s="6">
        <v>46309.420671296299</v>
      </c>
      <c r="E846" s="6">
        <v>46309.170636574097</v>
      </c>
      <c r="F846" s="6">
        <v>46309</v>
      </c>
      <c r="G846" s="5" t="s">
        <v>12</v>
      </c>
      <c r="H846" s="5" t="s">
        <v>16</v>
      </c>
      <c r="I846" s="5">
        <v>9</v>
      </c>
      <c r="J846" s="9" t="s">
        <v>17</v>
      </c>
      <c r="K846" s="1" t="s">
        <v>1138</v>
      </c>
      <c r="L846" t="s">
        <v>3284</v>
      </c>
      <c r="M846" t="str">
        <f>+VLOOKUP(C846,'[1]TIENDAS 2025'!$A$1:$C$143,3,0)</f>
        <v>departamental</v>
      </c>
      <c r="O846">
        <v>1</v>
      </c>
    </row>
    <row r="847" spans="1:15" ht="15" customHeight="1" x14ac:dyDescent="0.3">
      <c r="A847" s="7">
        <v>1209669346</v>
      </c>
      <c r="B847" s="4" t="s">
        <v>187</v>
      </c>
      <c r="C847" s="4" t="s">
        <v>188</v>
      </c>
      <c r="D847" s="6">
        <v>46309.420694444401</v>
      </c>
      <c r="E847" s="6">
        <v>46309.1706597222</v>
      </c>
      <c r="F847" s="6">
        <v>46309</v>
      </c>
      <c r="G847" s="5" t="s">
        <v>12</v>
      </c>
      <c r="H847" s="5" t="s">
        <v>16</v>
      </c>
      <c r="I847" s="5">
        <v>1</v>
      </c>
      <c r="J847" s="9" t="s">
        <v>17</v>
      </c>
      <c r="K847" s="1" t="s">
        <v>1139</v>
      </c>
      <c r="L847" t="s">
        <v>3284</v>
      </c>
      <c r="M847" t="str">
        <f>+VLOOKUP(C847,'[1]TIENDAS 2025'!$A$1:$C$143,3,0)</f>
        <v>departamental</v>
      </c>
      <c r="O847">
        <v>1</v>
      </c>
    </row>
    <row r="848" spans="1:15" ht="15" customHeight="1" x14ac:dyDescent="0.3">
      <c r="A848" s="7">
        <v>1209669386</v>
      </c>
      <c r="B848" s="4" t="s">
        <v>506</v>
      </c>
      <c r="C848" s="4" t="s">
        <v>507</v>
      </c>
      <c r="D848" s="6">
        <v>46309.4207060185</v>
      </c>
      <c r="E848" s="6">
        <v>46309.170671296299</v>
      </c>
      <c r="F848" s="6">
        <v>46309</v>
      </c>
      <c r="G848" s="5" t="s">
        <v>12</v>
      </c>
      <c r="H848" s="5" t="s">
        <v>29</v>
      </c>
      <c r="I848" s="5">
        <v>43</v>
      </c>
      <c r="J848" s="9" t="s">
        <v>17</v>
      </c>
      <c r="K848" s="1" t="s">
        <v>1140</v>
      </c>
      <c r="L848" t="s">
        <v>3284</v>
      </c>
      <c r="M848" t="str">
        <f>+VLOOKUP(C848,'[1]TIENDAS 2025'!$A$1:$C$143,3,0)</f>
        <v>departamental</v>
      </c>
      <c r="O848">
        <v>1</v>
      </c>
    </row>
    <row r="849" spans="1:15" ht="15" customHeight="1" x14ac:dyDescent="0.3">
      <c r="A849" s="7">
        <v>8209669405</v>
      </c>
      <c r="B849" s="4" t="s">
        <v>324</v>
      </c>
      <c r="C849" s="4" t="s">
        <v>325</v>
      </c>
      <c r="D849" s="6">
        <v>46309.420717592599</v>
      </c>
      <c r="E849" s="6">
        <v>46309.170694444401</v>
      </c>
      <c r="F849" s="6">
        <v>46309</v>
      </c>
      <c r="G849" s="5" t="s">
        <v>12</v>
      </c>
      <c r="H849" s="5" t="s">
        <v>27</v>
      </c>
      <c r="I849" s="5">
        <v>7</v>
      </c>
      <c r="J849" s="10" t="s">
        <v>17</v>
      </c>
      <c r="K849" s="1" t="s">
        <v>1141</v>
      </c>
      <c r="M849" t="str">
        <f>+VLOOKUP(C849,'[1]TIENDAS 2025'!$A$1:$C$143,3,0)</f>
        <v>local</v>
      </c>
      <c r="O849">
        <v>1</v>
      </c>
    </row>
    <row r="850" spans="1:15" ht="15" customHeight="1" x14ac:dyDescent="0.3">
      <c r="A850" s="7">
        <v>1209669310</v>
      </c>
      <c r="B850" s="4" t="s">
        <v>283</v>
      </c>
      <c r="C850" s="4" t="s">
        <v>284</v>
      </c>
      <c r="D850" s="6">
        <v>46309.420729166697</v>
      </c>
      <c r="E850" s="6">
        <v>46309.1707060185</v>
      </c>
      <c r="F850" s="6">
        <v>46309</v>
      </c>
      <c r="G850" s="5" t="s">
        <v>12</v>
      </c>
      <c r="H850" s="5" t="s">
        <v>29</v>
      </c>
      <c r="I850" s="5">
        <v>43</v>
      </c>
      <c r="J850" s="9" t="s">
        <v>17</v>
      </c>
      <c r="K850" s="1" t="s">
        <v>1142</v>
      </c>
      <c r="L850" t="s">
        <v>3284</v>
      </c>
      <c r="M850" t="str">
        <f>+VLOOKUP(C850,'[1]TIENDAS 2025'!$A$1:$C$143,3,0)</f>
        <v>prioridad</v>
      </c>
      <c r="O850">
        <v>1</v>
      </c>
    </row>
    <row r="851" spans="1:15" ht="15" customHeight="1" x14ac:dyDescent="0.3">
      <c r="A851" s="7">
        <v>8209669315</v>
      </c>
      <c r="B851" s="4" t="s">
        <v>283</v>
      </c>
      <c r="C851" s="4" t="s">
        <v>284</v>
      </c>
      <c r="D851" s="6">
        <v>46309.4207523148</v>
      </c>
      <c r="E851" s="6">
        <v>46309.170717592599</v>
      </c>
      <c r="F851" s="6">
        <v>46309</v>
      </c>
      <c r="G851" s="5" t="s">
        <v>12</v>
      </c>
      <c r="H851" s="5" t="s">
        <v>27</v>
      </c>
      <c r="I851" s="5">
        <v>2</v>
      </c>
      <c r="J851" s="10" t="s">
        <v>17</v>
      </c>
      <c r="K851" s="1" t="s">
        <v>1143</v>
      </c>
      <c r="M851" t="str">
        <f>+VLOOKUP(C851,'[1]TIENDAS 2025'!$A$1:$C$143,3,0)</f>
        <v>prioridad</v>
      </c>
      <c r="O851">
        <v>1</v>
      </c>
    </row>
    <row r="852" spans="1:15" ht="15" customHeight="1" x14ac:dyDescent="0.3">
      <c r="A852" s="7">
        <v>1209669321</v>
      </c>
      <c r="B852" s="4" t="s">
        <v>283</v>
      </c>
      <c r="C852" s="4" t="s">
        <v>284</v>
      </c>
      <c r="D852" s="6">
        <v>46309.420775462997</v>
      </c>
      <c r="E852" s="6">
        <v>46309.170740740701</v>
      </c>
      <c r="F852" s="6">
        <v>46309</v>
      </c>
      <c r="G852" s="5" t="s">
        <v>12</v>
      </c>
      <c r="H852" s="5" t="s">
        <v>16</v>
      </c>
      <c r="I852" s="5">
        <v>28</v>
      </c>
      <c r="J852" s="9" t="s">
        <v>17</v>
      </c>
      <c r="K852" s="1" t="s">
        <v>1144</v>
      </c>
      <c r="L852" t="s">
        <v>3284</v>
      </c>
      <c r="M852" t="str">
        <f>+VLOOKUP(C852,'[1]TIENDAS 2025'!$A$1:$C$143,3,0)</f>
        <v>prioridad</v>
      </c>
      <c r="O852">
        <v>1</v>
      </c>
    </row>
    <row r="853" spans="1:15" ht="15" customHeight="1" x14ac:dyDescent="0.3">
      <c r="A853" s="7">
        <v>1209669535</v>
      </c>
      <c r="B853" s="4" t="s">
        <v>193</v>
      </c>
      <c r="C853" s="4" t="s">
        <v>194</v>
      </c>
      <c r="D853" s="6">
        <v>46309.4230439815</v>
      </c>
      <c r="E853" s="6">
        <v>46309.173020833303</v>
      </c>
      <c r="F853" s="6">
        <v>46309</v>
      </c>
      <c r="G853" s="5" t="s">
        <v>12</v>
      </c>
      <c r="H853" s="5" t="s">
        <v>16</v>
      </c>
      <c r="I853" s="5">
        <v>5</v>
      </c>
      <c r="J853" s="9" t="s">
        <v>17</v>
      </c>
      <c r="K853" s="1" t="s">
        <v>1145</v>
      </c>
      <c r="L853" t="s">
        <v>3284</v>
      </c>
      <c r="M853" t="str">
        <f>+VLOOKUP(C853,'[1]TIENDAS 2025'!$A$1:$C$143,3,0)</f>
        <v>local</v>
      </c>
      <c r="O853">
        <v>1</v>
      </c>
    </row>
    <row r="854" spans="1:15" ht="15" customHeight="1" x14ac:dyDescent="0.3">
      <c r="A854" s="7">
        <v>8209669479</v>
      </c>
      <c r="B854" s="4" t="s">
        <v>427</v>
      </c>
      <c r="C854" s="4" t="s">
        <v>428</v>
      </c>
      <c r="D854" s="6">
        <v>46309.423067129603</v>
      </c>
      <c r="E854" s="6">
        <v>46309.173032407401</v>
      </c>
      <c r="F854" s="6">
        <v>46309</v>
      </c>
      <c r="G854" s="5" t="s">
        <v>12</v>
      </c>
      <c r="H854" s="5" t="s">
        <v>27</v>
      </c>
      <c r="I854" s="5">
        <v>1</v>
      </c>
      <c r="J854" s="10" t="s">
        <v>17</v>
      </c>
      <c r="K854" s="1" t="s">
        <v>1146</v>
      </c>
      <c r="M854" t="str">
        <f>+VLOOKUP(C854,'[1]TIENDAS 2025'!$A$1:$C$143,3,0)</f>
        <v>local</v>
      </c>
      <c r="O854">
        <v>1</v>
      </c>
    </row>
    <row r="855" spans="1:15" ht="15" customHeight="1" x14ac:dyDescent="0.3">
      <c r="A855" s="7">
        <v>1209669486</v>
      </c>
      <c r="B855" s="4" t="s">
        <v>427</v>
      </c>
      <c r="C855" s="4" t="s">
        <v>428</v>
      </c>
      <c r="D855" s="6">
        <v>46309.423078703701</v>
      </c>
      <c r="E855" s="6">
        <v>46309.1730439815</v>
      </c>
      <c r="F855" s="6">
        <v>46309</v>
      </c>
      <c r="G855" s="5" t="s">
        <v>12</v>
      </c>
      <c r="H855" s="5" t="s">
        <v>16</v>
      </c>
      <c r="I855" s="5">
        <v>23</v>
      </c>
      <c r="J855" s="9" t="s">
        <v>17</v>
      </c>
      <c r="K855" s="1" t="s">
        <v>1147</v>
      </c>
      <c r="L855" t="s">
        <v>3284</v>
      </c>
      <c r="M855" t="str">
        <f>+VLOOKUP(C855,'[1]TIENDAS 2025'!$A$1:$C$143,3,0)</f>
        <v>local</v>
      </c>
      <c r="O855">
        <v>1</v>
      </c>
    </row>
    <row r="856" spans="1:15" ht="15" customHeight="1" x14ac:dyDescent="0.3">
      <c r="A856" s="7">
        <v>1209669547</v>
      </c>
      <c r="B856" s="4" t="s">
        <v>193</v>
      </c>
      <c r="C856" s="4" t="s">
        <v>194</v>
      </c>
      <c r="D856" s="6">
        <v>46309.4230902778</v>
      </c>
      <c r="E856" s="6">
        <v>46309.173067129603</v>
      </c>
      <c r="F856" s="6">
        <v>46309</v>
      </c>
      <c r="G856" s="5" t="s">
        <v>12</v>
      </c>
      <c r="H856" s="5" t="s">
        <v>16</v>
      </c>
      <c r="I856" s="5">
        <v>12</v>
      </c>
      <c r="J856" s="9" t="s">
        <v>17</v>
      </c>
      <c r="K856" s="1" t="s">
        <v>1148</v>
      </c>
      <c r="L856" t="s">
        <v>3284</v>
      </c>
      <c r="M856" t="str">
        <f>+VLOOKUP(C856,'[1]TIENDAS 2025'!$A$1:$C$143,3,0)</f>
        <v>local</v>
      </c>
      <c r="O856">
        <v>1</v>
      </c>
    </row>
    <row r="857" spans="1:15" ht="15" customHeight="1" x14ac:dyDescent="0.3">
      <c r="A857" s="7">
        <v>8209669490</v>
      </c>
      <c r="B857" s="4" t="s">
        <v>430</v>
      </c>
      <c r="C857" s="4" t="s">
        <v>431</v>
      </c>
      <c r="D857" s="6">
        <v>46309.423101851899</v>
      </c>
      <c r="E857" s="6">
        <v>46309.173078703701</v>
      </c>
      <c r="F857" s="6">
        <v>46309</v>
      </c>
      <c r="G857" s="5" t="s">
        <v>12</v>
      </c>
      <c r="H857" s="5" t="s">
        <v>27</v>
      </c>
      <c r="I857" s="5">
        <v>4</v>
      </c>
      <c r="J857" s="10" t="s">
        <v>17</v>
      </c>
      <c r="K857" s="1" t="s">
        <v>1149</v>
      </c>
      <c r="M857" t="str">
        <f>+VLOOKUP(C857,'[1]TIENDAS 2025'!$A$1:$C$143,3,0)</f>
        <v>prioridad</v>
      </c>
      <c r="O857">
        <v>1</v>
      </c>
    </row>
    <row r="858" spans="1:15" ht="15" customHeight="1" x14ac:dyDescent="0.3">
      <c r="A858" s="7">
        <v>8209669481</v>
      </c>
      <c r="B858" s="4" t="s">
        <v>427</v>
      </c>
      <c r="C858" s="4" t="s">
        <v>428</v>
      </c>
      <c r="D858" s="6">
        <v>46309.423125000001</v>
      </c>
      <c r="E858" s="6">
        <v>46309.1730902778</v>
      </c>
      <c r="F858" s="6">
        <v>46309</v>
      </c>
      <c r="G858" s="5" t="s">
        <v>12</v>
      </c>
      <c r="H858" s="5" t="s">
        <v>27</v>
      </c>
      <c r="I858" s="5">
        <v>36</v>
      </c>
      <c r="J858" s="10" t="s">
        <v>17</v>
      </c>
      <c r="K858" s="1" t="s">
        <v>1150</v>
      </c>
      <c r="M858" t="str">
        <f>+VLOOKUP(C858,'[1]TIENDAS 2025'!$A$1:$C$143,3,0)</f>
        <v>local</v>
      </c>
      <c r="O858">
        <v>1</v>
      </c>
    </row>
    <row r="859" spans="1:15" ht="15" customHeight="1" x14ac:dyDescent="0.3">
      <c r="A859" s="7">
        <v>1209669499</v>
      </c>
      <c r="B859" s="4" t="s">
        <v>430</v>
      </c>
      <c r="C859" s="4" t="s">
        <v>431</v>
      </c>
      <c r="D859" s="6">
        <v>46309.4231365741</v>
      </c>
      <c r="E859" s="6">
        <v>46309.173101851899</v>
      </c>
      <c r="F859" s="6">
        <v>46309</v>
      </c>
      <c r="G859" s="5" t="s">
        <v>12</v>
      </c>
      <c r="H859" s="5" t="s">
        <v>16</v>
      </c>
      <c r="I859" s="5">
        <v>10</v>
      </c>
      <c r="J859" s="9" t="s">
        <v>17</v>
      </c>
      <c r="K859" s="1" t="s">
        <v>1151</v>
      </c>
      <c r="L859" t="s">
        <v>3284</v>
      </c>
      <c r="M859" t="str">
        <f>+VLOOKUP(C859,'[1]TIENDAS 2025'!$A$1:$C$143,3,0)</f>
        <v>prioridad</v>
      </c>
      <c r="O859">
        <v>1</v>
      </c>
    </row>
    <row r="860" spans="1:15" ht="15" customHeight="1" x14ac:dyDescent="0.3">
      <c r="A860" s="7">
        <v>1209669429</v>
      </c>
      <c r="B860" s="4" t="s">
        <v>327</v>
      </c>
      <c r="C860" s="4" t="s">
        <v>328</v>
      </c>
      <c r="D860" s="6">
        <v>46309.423148148097</v>
      </c>
      <c r="E860" s="6">
        <v>46309.173125000001</v>
      </c>
      <c r="F860" s="6">
        <v>46309</v>
      </c>
      <c r="G860" s="5" t="s">
        <v>12</v>
      </c>
      <c r="H860" s="5" t="s">
        <v>29</v>
      </c>
      <c r="I860" s="5">
        <v>8</v>
      </c>
      <c r="J860" s="9" t="s">
        <v>17</v>
      </c>
      <c r="K860" s="1" t="s">
        <v>1152</v>
      </c>
      <c r="L860" t="s">
        <v>3284</v>
      </c>
      <c r="M860" t="str">
        <f>+VLOOKUP(C860,'[1]TIENDAS 2025'!$A$1:$C$143,3,0)</f>
        <v>local</v>
      </c>
      <c r="O860">
        <v>1</v>
      </c>
    </row>
    <row r="861" spans="1:15" ht="15" customHeight="1" x14ac:dyDescent="0.3">
      <c r="A861" s="7">
        <v>1209669485</v>
      </c>
      <c r="B861" s="4" t="s">
        <v>427</v>
      </c>
      <c r="C861" s="4" t="s">
        <v>428</v>
      </c>
      <c r="D861" s="6">
        <v>46309.423159722202</v>
      </c>
      <c r="E861" s="6">
        <v>46309.1731365741</v>
      </c>
      <c r="F861" s="6">
        <v>46309</v>
      </c>
      <c r="G861" s="5" t="s">
        <v>12</v>
      </c>
      <c r="H861" s="5" t="s">
        <v>16</v>
      </c>
      <c r="I861" s="5">
        <v>21</v>
      </c>
      <c r="J861" s="9" t="s">
        <v>17</v>
      </c>
      <c r="K861" s="1" t="s">
        <v>1153</v>
      </c>
      <c r="L861" t="s">
        <v>3284</v>
      </c>
      <c r="M861" t="str">
        <f>+VLOOKUP(C861,'[1]TIENDAS 2025'!$A$1:$C$143,3,0)</f>
        <v>local</v>
      </c>
      <c r="O861">
        <v>1</v>
      </c>
    </row>
    <row r="862" spans="1:15" ht="15" customHeight="1" x14ac:dyDescent="0.3">
      <c r="A862" s="7">
        <v>1209669501</v>
      </c>
      <c r="B862" s="4" t="s">
        <v>430</v>
      </c>
      <c r="C862" s="4" t="s">
        <v>431</v>
      </c>
      <c r="D862" s="6">
        <v>46309.4231828704</v>
      </c>
      <c r="E862" s="6">
        <v>46309.173148148097</v>
      </c>
      <c r="F862" s="6">
        <v>46309</v>
      </c>
      <c r="G862" s="5" t="s">
        <v>12</v>
      </c>
      <c r="H862" s="5" t="s">
        <v>16</v>
      </c>
      <c r="I862" s="5">
        <v>19</v>
      </c>
      <c r="J862" s="9" t="s">
        <v>17</v>
      </c>
      <c r="K862" s="1" t="s">
        <v>1154</v>
      </c>
      <c r="L862" t="s">
        <v>3284</v>
      </c>
      <c r="M862" t="str">
        <f>+VLOOKUP(C862,'[1]TIENDAS 2025'!$A$1:$C$143,3,0)</f>
        <v>prioridad</v>
      </c>
      <c r="O862">
        <v>1</v>
      </c>
    </row>
    <row r="863" spans="1:15" ht="15" customHeight="1" x14ac:dyDescent="0.3">
      <c r="A863" s="7">
        <v>1209669487</v>
      </c>
      <c r="B863" s="4" t="s">
        <v>427</v>
      </c>
      <c r="C863" s="4" t="s">
        <v>428</v>
      </c>
      <c r="D863" s="6">
        <v>46309.423194444404</v>
      </c>
      <c r="E863" s="6">
        <v>46309.173171296301</v>
      </c>
      <c r="F863" s="6">
        <v>46309</v>
      </c>
      <c r="G863" s="5" t="s">
        <v>12</v>
      </c>
      <c r="H863" s="5" t="s">
        <v>27</v>
      </c>
      <c r="I863" s="5">
        <v>34</v>
      </c>
      <c r="J863" s="9" t="s">
        <v>17</v>
      </c>
      <c r="K863" s="1" t="s">
        <v>1155</v>
      </c>
      <c r="L863" t="s">
        <v>3284</v>
      </c>
      <c r="M863" t="str">
        <f>+VLOOKUP(C863,'[1]TIENDAS 2025'!$A$1:$C$143,3,0)</f>
        <v>local</v>
      </c>
      <c r="O863">
        <v>1</v>
      </c>
    </row>
    <row r="864" spans="1:15" ht="15" customHeight="1" x14ac:dyDescent="0.3">
      <c r="A864" s="7">
        <v>1209669503</v>
      </c>
      <c r="B864" s="4" t="s">
        <v>430</v>
      </c>
      <c r="C864" s="4" t="s">
        <v>431</v>
      </c>
      <c r="D864" s="6">
        <v>46309.423217592601</v>
      </c>
      <c r="E864" s="6">
        <v>46309.1731828704</v>
      </c>
      <c r="F864" s="6">
        <v>46309</v>
      </c>
      <c r="G864" s="5" t="s">
        <v>12</v>
      </c>
      <c r="H864" s="5" t="s">
        <v>16</v>
      </c>
      <c r="I864" s="5">
        <v>28</v>
      </c>
      <c r="J864" s="9" t="s">
        <v>17</v>
      </c>
      <c r="K864" s="1" t="s">
        <v>1156</v>
      </c>
      <c r="L864" t="s">
        <v>3284</v>
      </c>
      <c r="M864" t="str">
        <f>+VLOOKUP(C864,'[1]TIENDAS 2025'!$A$1:$C$143,3,0)</f>
        <v>prioridad</v>
      </c>
      <c r="O864">
        <v>1</v>
      </c>
    </row>
    <row r="865" spans="1:15" ht="15" customHeight="1" x14ac:dyDescent="0.3">
      <c r="A865" s="7">
        <v>1209669432</v>
      </c>
      <c r="B865" s="4" t="s">
        <v>327</v>
      </c>
      <c r="C865" s="4" t="s">
        <v>328</v>
      </c>
      <c r="D865" s="6">
        <v>46309.423229166699</v>
      </c>
      <c r="E865" s="6">
        <v>46309.173194444404</v>
      </c>
      <c r="F865" s="6">
        <v>46309</v>
      </c>
      <c r="G865" s="5" t="s">
        <v>12</v>
      </c>
      <c r="H865" s="5" t="s">
        <v>29</v>
      </c>
      <c r="I865" s="5">
        <v>12</v>
      </c>
      <c r="J865" s="9" t="s">
        <v>17</v>
      </c>
      <c r="K865" s="1" t="s">
        <v>1157</v>
      </c>
      <c r="L865" t="s">
        <v>3284</v>
      </c>
      <c r="M865" t="str">
        <f>+VLOOKUP(C865,'[1]TIENDAS 2025'!$A$1:$C$143,3,0)</f>
        <v>local</v>
      </c>
      <c r="O865">
        <v>1</v>
      </c>
    </row>
    <row r="866" spans="1:15" ht="15" customHeight="1" x14ac:dyDescent="0.3">
      <c r="A866" s="7">
        <v>8209669544</v>
      </c>
      <c r="B866" s="4" t="s">
        <v>193</v>
      </c>
      <c r="C866" s="4" t="s">
        <v>194</v>
      </c>
      <c r="D866" s="6">
        <v>46309.423240740703</v>
      </c>
      <c r="E866" s="6">
        <v>46309.173217592601</v>
      </c>
      <c r="F866" s="6">
        <v>46309</v>
      </c>
      <c r="G866" s="5" t="s">
        <v>12</v>
      </c>
      <c r="H866" s="5" t="s">
        <v>27</v>
      </c>
      <c r="I866" s="5">
        <v>2</v>
      </c>
      <c r="J866" s="10" t="s">
        <v>17</v>
      </c>
      <c r="K866" s="1" t="s">
        <v>1158</v>
      </c>
      <c r="M866" t="str">
        <f>+VLOOKUP(C866,'[1]TIENDAS 2025'!$A$1:$C$143,3,0)</f>
        <v>local</v>
      </c>
      <c r="O866">
        <v>1</v>
      </c>
    </row>
    <row r="867" spans="1:15" ht="15" customHeight="1" x14ac:dyDescent="0.3">
      <c r="A867" s="7">
        <v>1209669505</v>
      </c>
      <c r="B867" s="4" t="s">
        <v>430</v>
      </c>
      <c r="C867" s="4" t="s">
        <v>431</v>
      </c>
      <c r="D867" s="6">
        <v>46309.423263888901</v>
      </c>
      <c r="E867" s="6">
        <v>46309.173240740703</v>
      </c>
      <c r="F867" s="6">
        <v>46309</v>
      </c>
      <c r="G867" s="5" t="s">
        <v>12</v>
      </c>
      <c r="H867" s="5" t="s">
        <v>29</v>
      </c>
      <c r="I867" s="5">
        <v>27</v>
      </c>
      <c r="J867" s="9" t="s">
        <v>17</v>
      </c>
      <c r="K867" s="1" t="s">
        <v>1159</v>
      </c>
      <c r="L867" t="s">
        <v>3284</v>
      </c>
      <c r="M867" t="str">
        <f>+VLOOKUP(C867,'[1]TIENDAS 2025'!$A$1:$C$143,3,0)</f>
        <v>prioridad</v>
      </c>
      <c r="O867">
        <v>1</v>
      </c>
    </row>
    <row r="868" spans="1:15" ht="15" customHeight="1" x14ac:dyDescent="0.3">
      <c r="A868" s="7">
        <v>1209669551</v>
      </c>
      <c r="B868" s="4" t="s">
        <v>193</v>
      </c>
      <c r="C868" s="4" t="s">
        <v>194</v>
      </c>
      <c r="D868" s="6">
        <v>46309.423287037003</v>
      </c>
      <c r="E868" s="6">
        <v>46309.173252314802</v>
      </c>
      <c r="F868" s="6">
        <v>46309</v>
      </c>
      <c r="G868" s="5" t="s">
        <v>12</v>
      </c>
      <c r="H868" s="5" t="s">
        <v>16</v>
      </c>
      <c r="I868" s="5">
        <v>34</v>
      </c>
      <c r="J868" s="9" t="s">
        <v>17</v>
      </c>
      <c r="K868" s="1" t="s">
        <v>1160</v>
      </c>
      <c r="L868" t="s">
        <v>3284</v>
      </c>
      <c r="M868" t="str">
        <f>+VLOOKUP(C868,'[1]TIENDAS 2025'!$A$1:$C$143,3,0)</f>
        <v>local</v>
      </c>
      <c r="O868">
        <v>1</v>
      </c>
    </row>
    <row r="869" spans="1:15" ht="15" customHeight="1" x14ac:dyDescent="0.3">
      <c r="A869" s="7">
        <v>1209669507</v>
      </c>
      <c r="B869" s="4" t="s">
        <v>430</v>
      </c>
      <c r="C869" s="4" t="s">
        <v>431</v>
      </c>
      <c r="D869" s="6">
        <v>46309.423298611102</v>
      </c>
      <c r="E869" s="6">
        <v>46309.173275462999</v>
      </c>
      <c r="F869" s="6">
        <v>46309</v>
      </c>
      <c r="G869" s="5" t="s">
        <v>12</v>
      </c>
      <c r="H869" s="5" t="s">
        <v>29</v>
      </c>
      <c r="I869" s="5">
        <v>46</v>
      </c>
      <c r="J869" s="9" t="s">
        <v>17</v>
      </c>
      <c r="K869" s="1" t="s">
        <v>1161</v>
      </c>
      <c r="L869" t="s">
        <v>3284</v>
      </c>
      <c r="M869" t="str">
        <f>+VLOOKUP(C869,'[1]TIENDAS 2025'!$A$1:$C$143,3,0)</f>
        <v>prioridad</v>
      </c>
      <c r="O869">
        <v>1</v>
      </c>
    </row>
    <row r="870" spans="1:15" ht="15" customHeight="1" x14ac:dyDescent="0.3">
      <c r="A870" s="7">
        <v>8209669493</v>
      </c>
      <c r="B870" s="4" t="s">
        <v>430</v>
      </c>
      <c r="C870" s="4" t="s">
        <v>431</v>
      </c>
      <c r="D870" s="6">
        <v>46309.423321759299</v>
      </c>
      <c r="E870" s="6">
        <v>46309.173298611102</v>
      </c>
      <c r="F870" s="6">
        <v>46309</v>
      </c>
      <c r="G870" s="5" t="s">
        <v>12</v>
      </c>
      <c r="H870" s="5" t="s">
        <v>27</v>
      </c>
      <c r="I870" s="5">
        <v>1</v>
      </c>
      <c r="J870" s="10" t="s">
        <v>17</v>
      </c>
      <c r="K870" s="1" t="s">
        <v>1162</v>
      </c>
      <c r="M870" t="str">
        <f>+VLOOKUP(C870,'[1]TIENDAS 2025'!$A$1:$C$143,3,0)</f>
        <v>prioridad</v>
      </c>
      <c r="O870">
        <v>1</v>
      </c>
    </row>
    <row r="871" spans="1:15" ht="15" customHeight="1" x14ac:dyDescent="0.3">
      <c r="A871" s="7">
        <v>8209669530</v>
      </c>
      <c r="B871" s="4" t="s">
        <v>193</v>
      </c>
      <c r="C871" s="4" t="s">
        <v>194</v>
      </c>
      <c r="D871" s="6">
        <v>46309.4233564815</v>
      </c>
      <c r="E871" s="6">
        <v>46309.173321759299</v>
      </c>
      <c r="F871" s="6">
        <v>46309</v>
      </c>
      <c r="G871" s="5" t="s">
        <v>12</v>
      </c>
      <c r="H871" s="5" t="s">
        <v>27</v>
      </c>
      <c r="I871" s="5">
        <v>2</v>
      </c>
      <c r="J871" s="10" t="s">
        <v>17</v>
      </c>
      <c r="K871" s="1" t="s">
        <v>1163</v>
      </c>
      <c r="M871" t="str">
        <f>+VLOOKUP(C871,'[1]TIENDAS 2025'!$A$1:$C$143,3,0)</f>
        <v>local</v>
      </c>
      <c r="O871">
        <v>1</v>
      </c>
    </row>
    <row r="872" spans="1:15" ht="15" customHeight="1" x14ac:dyDescent="0.3">
      <c r="A872" s="7">
        <v>8209669418</v>
      </c>
      <c r="B872" s="4" t="s">
        <v>327</v>
      </c>
      <c r="C872" s="4" t="s">
        <v>328</v>
      </c>
      <c r="D872" s="6">
        <v>46309.423368055599</v>
      </c>
      <c r="E872" s="6">
        <v>46309.173333333303</v>
      </c>
      <c r="F872" s="6">
        <v>46309</v>
      </c>
      <c r="G872" s="5" t="s">
        <v>12</v>
      </c>
      <c r="H872" s="5" t="s">
        <v>27</v>
      </c>
      <c r="I872" s="5">
        <v>2</v>
      </c>
      <c r="J872" s="10" t="s">
        <v>17</v>
      </c>
      <c r="K872" s="1" t="s">
        <v>1164</v>
      </c>
      <c r="M872" t="str">
        <f>+VLOOKUP(C872,'[1]TIENDAS 2025'!$A$1:$C$143,3,0)</f>
        <v>local</v>
      </c>
      <c r="O872">
        <v>1</v>
      </c>
    </row>
    <row r="873" spans="1:15" ht="15" customHeight="1" x14ac:dyDescent="0.3">
      <c r="A873" s="7">
        <v>1209669502</v>
      </c>
      <c r="B873" s="4" t="s">
        <v>430</v>
      </c>
      <c r="C873" s="4" t="s">
        <v>431</v>
      </c>
      <c r="D873" s="6">
        <v>46309.423379629603</v>
      </c>
      <c r="E873" s="6">
        <v>46309.1733564815</v>
      </c>
      <c r="F873" s="6">
        <v>46309</v>
      </c>
      <c r="G873" s="5" t="s">
        <v>12</v>
      </c>
      <c r="H873" s="5" t="s">
        <v>16</v>
      </c>
      <c r="I873" s="5">
        <v>17</v>
      </c>
      <c r="J873" s="9" t="s">
        <v>17</v>
      </c>
      <c r="K873" s="1" t="s">
        <v>1165</v>
      </c>
      <c r="L873" t="s">
        <v>3284</v>
      </c>
      <c r="M873" t="str">
        <f>+VLOOKUP(C873,'[1]TIENDAS 2025'!$A$1:$C$143,3,0)</f>
        <v>prioridad</v>
      </c>
      <c r="O873">
        <v>1</v>
      </c>
    </row>
    <row r="874" spans="1:15" ht="15" customHeight="1" x14ac:dyDescent="0.3">
      <c r="A874" s="7">
        <v>1209669431</v>
      </c>
      <c r="B874" s="4" t="s">
        <v>327</v>
      </c>
      <c r="C874" s="4" t="s">
        <v>328</v>
      </c>
      <c r="D874" s="6">
        <v>46309.4234027778</v>
      </c>
      <c r="E874" s="6">
        <v>46309.173368055599</v>
      </c>
      <c r="F874" s="6">
        <v>46309</v>
      </c>
      <c r="G874" s="5" t="s">
        <v>12</v>
      </c>
      <c r="H874" s="5" t="s">
        <v>16</v>
      </c>
      <c r="I874" s="5">
        <v>27</v>
      </c>
      <c r="J874" s="9" t="s">
        <v>17</v>
      </c>
      <c r="K874" s="1" t="s">
        <v>1166</v>
      </c>
      <c r="L874" t="s">
        <v>3284</v>
      </c>
      <c r="M874" t="str">
        <f>+VLOOKUP(C874,'[1]TIENDAS 2025'!$A$1:$C$143,3,0)</f>
        <v>local</v>
      </c>
      <c r="O874">
        <v>1</v>
      </c>
    </row>
    <row r="875" spans="1:15" ht="15" customHeight="1" x14ac:dyDescent="0.3">
      <c r="A875" s="7">
        <v>1209669488</v>
      </c>
      <c r="B875" s="4" t="s">
        <v>427</v>
      </c>
      <c r="C875" s="4" t="s">
        <v>428</v>
      </c>
      <c r="D875" s="6">
        <v>46309.423414351899</v>
      </c>
      <c r="E875" s="6">
        <v>46309.173379629603</v>
      </c>
      <c r="F875" s="6">
        <v>46309</v>
      </c>
      <c r="G875" s="5" t="s">
        <v>12</v>
      </c>
      <c r="H875" s="5" t="s">
        <v>16</v>
      </c>
      <c r="I875" s="5">
        <v>39</v>
      </c>
      <c r="J875" s="9" t="s">
        <v>17</v>
      </c>
      <c r="K875" s="1" t="s">
        <v>1167</v>
      </c>
      <c r="L875" t="s">
        <v>3284</v>
      </c>
      <c r="M875" t="str">
        <f>+VLOOKUP(C875,'[1]TIENDAS 2025'!$A$1:$C$143,3,0)</f>
        <v>local</v>
      </c>
      <c r="O875">
        <v>1</v>
      </c>
    </row>
    <row r="876" spans="1:15" ht="15" customHeight="1" x14ac:dyDescent="0.3">
      <c r="A876" s="7">
        <v>8209669421</v>
      </c>
      <c r="B876" s="4" t="s">
        <v>327</v>
      </c>
      <c r="C876" s="4" t="s">
        <v>328</v>
      </c>
      <c r="D876" s="6">
        <v>46309.423437500001</v>
      </c>
      <c r="E876" s="6">
        <v>46309.173414351899</v>
      </c>
      <c r="F876" s="6">
        <v>46309</v>
      </c>
      <c r="G876" s="5" t="s">
        <v>12</v>
      </c>
      <c r="H876" s="5" t="s">
        <v>27</v>
      </c>
      <c r="I876" s="5">
        <v>11</v>
      </c>
      <c r="J876" s="10" t="s">
        <v>17</v>
      </c>
      <c r="K876" s="1" t="s">
        <v>1168</v>
      </c>
      <c r="M876" t="str">
        <f>+VLOOKUP(C876,'[1]TIENDAS 2025'!$A$1:$C$143,3,0)</f>
        <v>local</v>
      </c>
      <c r="O876">
        <v>1</v>
      </c>
    </row>
    <row r="877" spans="1:15" ht="15" customHeight="1" x14ac:dyDescent="0.3">
      <c r="A877" s="7">
        <v>1209669534</v>
      </c>
      <c r="B877" s="4" t="s">
        <v>193</v>
      </c>
      <c r="C877" s="4" t="s">
        <v>194</v>
      </c>
      <c r="D877" s="6">
        <v>46309.423437500001</v>
      </c>
      <c r="E877" s="6">
        <v>46309.1734027778</v>
      </c>
      <c r="F877" s="6">
        <v>46309</v>
      </c>
      <c r="G877" s="5" t="s">
        <v>12</v>
      </c>
      <c r="H877" s="5" t="s">
        <v>16</v>
      </c>
      <c r="I877" s="5">
        <v>3</v>
      </c>
      <c r="J877" s="9" t="s">
        <v>17</v>
      </c>
      <c r="K877" s="1" t="s">
        <v>1169</v>
      </c>
      <c r="L877" t="s">
        <v>3284</v>
      </c>
      <c r="M877" t="str">
        <f>+VLOOKUP(C877,'[1]TIENDAS 2025'!$A$1:$C$143,3,0)</f>
        <v>local</v>
      </c>
      <c r="O877">
        <v>1</v>
      </c>
    </row>
    <row r="878" spans="1:15" ht="15" customHeight="1" x14ac:dyDescent="0.3">
      <c r="A878" s="7">
        <v>1209669428</v>
      </c>
      <c r="B878" s="4" t="s">
        <v>327</v>
      </c>
      <c r="C878" s="4" t="s">
        <v>328</v>
      </c>
      <c r="D878" s="6">
        <v>46309.4234490741</v>
      </c>
      <c r="E878" s="6">
        <v>46309.173425925903</v>
      </c>
      <c r="F878" s="6">
        <v>46309</v>
      </c>
      <c r="G878" s="5" t="s">
        <v>12</v>
      </c>
      <c r="H878" s="5" t="s">
        <v>16</v>
      </c>
      <c r="I878" s="5">
        <v>8</v>
      </c>
      <c r="J878" s="9" t="s">
        <v>17</v>
      </c>
      <c r="K878" s="1" t="s">
        <v>1170</v>
      </c>
      <c r="L878" t="s">
        <v>3284</v>
      </c>
      <c r="M878" t="str">
        <f>+VLOOKUP(C878,'[1]TIENDAS 2025'!$A$1:$C$143,3,0)</f>
        <v>local</v>
      </c>
      <c r="O878">
        <v>1</v>
      </c>
    </row>
    <row r="879" spans="1:15" ht="15" customHeight="1" x14ac:dyDescent="0.3">
      <c r="A879" s="7">
        <v>1209669500</v>
      </c>
      <c r="B879" s="4" t="s">
        <v>430</v>
      </c>
      <c r="C879" s="4" t="s">
        <v>431</v>
      </c>
      <c r="D879" s="6">
        <v>46309.423472222203</v>
      </c>
      <c r="E879" s="6">
        <v>46309.173437500001</v>
      </c>
      <c r="F879" s="6">
        <v>46309</v>
      </c>
      <c r="G879" s="5" t="s">
        <v>12</v>
      </c>
      <c r="H879" s="5" t="s">
        <v>16</v>
      </c>
      <c r="I879" s="5">
        <v>12</v>
      </c>
      <c r="J879" s="9" t="s">
        <v>17</v>
      </c>
      <c r="K879" s="1" t="s">
        <v>1171</v>
      </c>
      <c r="L879" t="s">
        <v>3284</v>
      </c>
      <c r="M879" t="str">
        <f>+VLOOKUP(C879,'[1]TIENDAS 2025'!$A$1:$C$143,3,0)</f>
        <v>prioridad</v>
      </c>
      <c r="O879">
        <v>1</v>
      </c>
    </row>
    <row r="880" spans="1:15" ht="15" customHeight="1" x14ac:dyDescent="0.3">
      <c r="A880" s="7">
        <v>8209669491</v>
      </c>
      <c r="B880" s="4" t="s">
        <v>430</v>
      </c>
      <c r="C880" s="4" t="s">
        <v>431</v>
      </c>
      <c r="D880" s="6">
        <v>46309.423483796301</v>
      </c>
      <c r="E880" s="6">
        <v>46309.1734490741</v>
      </c>
      <c r="F880" s="6">
        <v>46309</v>
      </c>
      <c r="G880" s="5" t="s">
        <v>12</v>
      </c>
      <c r="H880" s="5" t="s">
        <v>27</v>
      </c>
      <c r="I880" s="5">
        <v>1</v>
      </c>
      <c r="J880" s="10" t="s">
        <v>17</v>
      </c>
      <c r="K880" s="1" t="s">
        <v>1172</v>
      </c>
      <c r="M880" t="str">
        <f>+VLOOKUP(C880,'[1]TIENDAS 2025'!$A$1:$C$143,3,0)</f>
        <v>prioridad</v>
      </c>
      <c r="O880">
        <v>1</v>
      </c>
    </row>
    <row r="881" spans="1:15" ht="15" customHeight="1" x14ac:dyDescent="0.3">
      <c r="A881" s="7">
        <v>8209669492</v>
      </c>
      <c r="B881" s="4" t="s">
        <v>430</v>
      </c>
      <c r="C881" s="4" t="s">
        <v>431</v>
      </c>
      <c r="D881" s="6">
        <v>46309.4234953704</v>
      </c>
      <c r="E881" s="6">
        <v>46309.173472222203</v>
      </c>
      <c r="F881" s="6">
        <v>46309</v>
      </c>
      <c r="G881" s="5" t="s">
        <v>12</v>
      </c>
      <c r="H881" s="5" t="s">
        <v>27</v>
      </c>
      <c r="I881" s="5">
        <v>24</v>
      </c>
      <c r="J881" s="10" t="s">
        <v>17</v>
      </c>
      <c r="K881" s="1" t="s">
        <v>1173</v>
      </c>
      <c r="M881" t="str">
        <f>+VLOOKUP(C881,'[1]TIENDAS 2025'!$A$1:$C$143,3,0)</f>
        <v>prioridad</v>
      </c>
      <c r="O881">
        <v>1</v>
      </c>
    </row>
    <row r="882" spans="1:15" ht="15" customHeight="1" x14ac:dyDescent="0.3">
      <c r="A882" s="7">
        <v>8209669494</v>
      </c>
      <c r="B882" s="4" t="s">
        <v>430</v>
      </c>
      <c r="C882" s="4" t="s">
        <v>431</v>
      </c>
      <c r="D882" s="6">
        <v>46309.423506944397</v>
      </c>
      <c r="E882" s="6">
        <v>46309.173483796301</v>
      </c>
      <c r="F882" s="6">
        <v>46309</v>
      </c>
      <c r="G882" s="5" t="s">
        <v>12</v>
      </c>
      <c r="H882" s="5" t="s">
        <v>27</v>
      </c>
      <c r="I882" s="5">
        <v>2</v>
      </c>
      <c r="J882" s="10" t="s">
        <v>17</v>
      </c>
      <c r="K882" s="1" t="s">
        <v>1174</v>
      </c>
      <c r="M882" t="str">
        <f>+VLOOKUP(C882,'[1]TIENDAS 2025'!$A$1:$C$143,3,0)</f>
        <v>prioridad</v>
      </c>
      <c r="O882">
        <v>1</v>
      </c>
    </row>
    <row r="883" spans="1:15" ht="15" customHeight="1" x14ac:dyDescent="0.3">
      <c r="A883" s="7">
        <v>8209669495</v>
      </c>
      <c r="B883" s="4" t="s">
        <v>430</v>
      </c>
      <c r="C883" s="4" t="s">
        <v>431</v>
      </c>
      <c r="D883" s="6">
        <v>46309.423530092601</v>
      </c>
      <c r="E883" s="6">
        <v>46309.1734953704</v>
      </c>
      <c r="F883" s="6">
        <v>46309</v>
      </c>
      <c r="G883" s="5" t="s">
        <v>12</v>
      </c>
      <c r="H883" s="5" t="s">
        <v>27</v>
      </c>
      <c r="I883" s="5">
        <v>5</v>
      </c>
      <c r="J883" s="10" t="s">
        <v>17</v>
      </c>
      <c r="K883" s="1" t="s">
        <v>1175</v>
      </c>
      <c r="M883" t="str">
        <f>+VLOOKUP(C883,'[1]TIENDAS 2025'!$A$1:$C$143,3,0)</f>
        <v>prioridad</v>
      </c>
      <c r="O883">
        <v>1</v>
      </c>
    </row>
    <row r="884" spans="1:15" ht="15" customHeight="1" x14ac:dyDescent="0.3">
      <c r="A884" s="7">
        <v>1209669496</v>
      </c>
      <c r="B884" s="4" t="s">
        <v>430</v>
      </c>
      <c r="C884" s="4" t="s">
        <v>431</v>
      </c>
      <c r="D884" s="6">
        <v>46309.4235416667</v>
      </c>
      <c r="E884" s="6">
        <v>46309.173506944397</v>
      </c>
      <c r="F884" s="6">
        <v>46309</v>
      </c>
      <c r="G884" s="5" t="s">
        <v>12</v>
      </c>
      <c r="H884" s="5" t="s">
        <v>16</v>
      </c>
      <c r="I884" s="5">
        <v>1</v>
      </c>
      <c r="J884" s="9" t="s">
        <v>17</v>
      </c>
      <c r="K884" s="1" t="s">
        <v>1176</v>
      </c>
      <c r="L884" t="s">
        <v>3284</v>
      </c>
      <c r="M884" t="str">
        <f>+VLOOKUP(C884,'[1]TIENDAS 2025'!$A$1:$C$143,3,0)</f>
        <v>prioridad</v>
      </c>
      <c r="O884">
        <v>1</v>
      </c>
    </row>
    <row r="885" spans="1:15" ht="15" customHeight="1" x14ac:dyDescent="0.3">
      <c r="A885" s="7">
        <v>8209669532</v>
      </c>
      <c r="B885" s="4" t="s">
        <v>193</v>
      </c>
      <c r="C885" s="4" t="s">
        <v>194</v>
      </c>
      <c r="D885" s="6">
        <v>46309.423553240696</v>
      </c>
      <c r="E885" s="6">
        <v>46309.173530092601</v>
      </c>
      <c r="F885" s="6">
        <v>46309</v>
      </c>
      <c r="G885" s="5" t="s">
        <v>12</v>
      </c>
      <c r="H885" s="5" t="s">
        <v>27</v>
      </c>
      <c r="I885" s="5">
        <v>12</v>
      </c>
      <c r="J885" s="10" t="s">
        <v>17</v>
      </c>
      <c r="K885" s="1" t="s">
        <v>1177</v>
      </c>
      <c r="M885" t="str">
        <f>+VLOOKUP(C885,'[1]TIENDAS 2025'!$A$1:$C$143,3,0)</f>
        <v>local</v>
      </c>
      <c r="O885">
        <v>1</v>
      </c>
    </row>
    <row r="886" spans="1:15" ht="15" customHeight="1" x14ac:dyDescent="0.3">
      <c r="A886" s="7">
        <v>8209669423</v>
      </c>
      <c r="B886" s="4" t="s">
        <v>327</v>
      </c>
      <c r="C886" s="4" t="s">
        <v>328</v>
      </c>
      <c r="D886" s="6">
        <v>46309.423564814802</v>
      </c>
      <c r="E886" s="6">
        <v>46309.1735416667</v>
      </c>
      <c r="F886" s="6">
        <v>46309</v>
      </c>
      <c r="G886" s="5" t="s">
        <v>12</v>
      </c>
      <c r="H886" s="5" t="s">
        <v>27</v>
      </c>
      <c r="I886" s="5">
        <v>1</v>
      </c>
      <c r="J886" s="10" t="s">
        <v>17</v>
      </c>
      <c r="K886" s="1" t="s">
        <v>1178</v>
      </c>
      <c r="M886" t="str">
        <f>+VLOOKUP(C886,'[1]TIENDAS 2025'!$A$1:$C$143,3,0)</f>
        <v>local</v>
      </c>
      <c r="O886">
        <v>1</v>
      </c>
    </row>
    <row r="887" spans="1:15" ht="15" customHeight="1" x14ac:dyDescent="0.3">
      <c r="A887" s="7">
        <v>1209669424</v>
      </c>
      <c r="B887" s="4" t="s">
        <v>327</v>
      </c>
      <c r="C887" s="4" t="s">
        <v>328</v>
      </c>
      <c r="D887" s="6">
        <v>46309.423576388901</v>
      </c>
      <c r="E887" s="6">
        <v>46309.173553240696</v>
      </c>
      <c r="F887" s="6">
        <v>46309</v>
      </c>
      <c r="G887" s="5" t="s">
        <v>12</v>
      </c>
      <c r="H887" s="5" t="s">
        <v>16</v>
      </c>
      <c r="I887" s="5">
        <v>1</v>
      </c>
      <c r="J887" s="9" t="s">
        <v>17</v>
      </c>
      <c r="K887" s="1" t="s">
        <v>1179</v>
      </c>
      <c r="L887" t="s">
        <v>3284</v>
      </c>
      <c r="M887" t="str">
        <f>+VLOOKUP(C887,'[1]TIENDAS 2025'!$A$1:$C$143,3,0)</f>
        <v>local</v>
      </c>
      <c r="O887">
        <v>1</v>
      </c>
    </row>
    <row r="888" spans="1:15" ht="15" customHeight="1" x14ac:dyDescent="0.3">
      <c r="A888" s="7">
        <v>1209669536</v>
      </c>
      <c r="B888" s="4" t="s">
        <v>193</v>
      </c>
      <c r="C888" s="4" t="s">
        <v>194</v>
      </c>
      <c r="D888" s="6">
        <v>46309.423599537004</v>
      </c>
      <c r="E888" s="6">
        <v>46309.173564814802</v>
      </c>
      <c r="F888" s="6">
        <v>46309</v>
      </c>
      <c r="G888" s="5" t="s">
        <v>12</v>
      </c>
      <c r="H888" s="5" t="s">
        <v>16</v>
      </c>
      <c r="I888" s="5">
        <v>12</v>
      </c>
      <c r="J888" s="9" t="s">
        <v>17</v>
      </c>
      <c r="K888" s="1" t="s">
        <v>1180</v>
      </c>
      <c r="L888" t="s">
        <v>3284</v>
      </c>
      <c r="M888" t="str">
        <f>+VLOOKUP(C888,'[1]TIENDAS 2025'!$A$1:$C$143,3,0)</f>
        <v>local</v>
      </c>
      <c r="O888">
        <v>1</v>
      </c>
    </row>
    <row r="889" spans="1:15" ht="15" customHeight="1" x14ac:dyDescent="0.3">
      <c r="A889" s="7">
        <v>1209669482</v>
      </c>
      <c r="B889" s="4" t="s">
        <v>427</v>
      </c>
      <c r="C889" s="4" t="s">
        <v>428</v>
      </c>
      <c r="D889" s="6">
        <v>46309.423611111102</v>
      </c>
      <c r="E889" s="6">
        <v>46309.173576388901</v>
      </c>
      <c r="F889" s="6">
        <v>46309</v>
      </c>
      <c r="G889" s="5" t="s">
        <v>12</v>
      </c>
      <c r="H889" s="5" t="s">
        <v>29</v>
      </c>
      <c r="I889" s="5">
        <v>1</v>
      </c>
      <c r="J889" s="9" t="s">
        <v>17</v>
      </c>
      <c r="K889" s="1" t="s">
        <v>1181</v>
      </c>
      <c r="L889" t="s">
        <v>3284</v>
      </c>
      <c r="M889" t="str">
        <f>+VLOOKUP(C889,'[1]TIENDAS 2025'!$A$1:$C$143,3,0)</f>
        <v>local</v>
      </c>
      <c r="O889">
        <v>1</v>
      </c>
    </row>
    <row r="890" spans="1:15" ht="15" customHeight="1" x14ac:dyDescent="0.3">
      <c r="A890" s="7">
        <v>1209669473</v>
      </c>
      <c r="B890" s="4" t="s">
        <v>427</v>
      </c>
      <c r="C890" s="4" t="s">
        <v>428</v>
      </c>
      <c r="D890" s="6">
        <v>46309.423634259299</v>
      </c>
      <c r="E890" s="6">
        <v>46309.173611111102</v>
      </c>
      <c r="F890" s="6">
        <v>46309</v>
      </c>
      <c r="G890" s="5" t="s">
        <v>12</v>
      </c>
      <c r="H890" s="5" t="s">
        <v>16</v>
      </c>
      <c r="I890" s="5">
        <v>2</v>
      </c>
      <c r="J890" s="9" t="s">
        <v>17</v>
      </c>
      <c r="K890" s="1" t="s">
        <v>1182</v>
      </c>
      <c r="L890" t="s">
        <v>3284</v>
      </c>
      <c r="M890" t="str">
        <f>+VLOOKUP(C890,'[1]TIENDAS 2025'!$A$1:$C$143,3,0)</f>
        <v>local</v>
      </c>
      <c r="O890">
        <v>1</v>
      </c>
    </row>
    <row r="891" spans="1:15" ht="15" customHeight="1" x14ac:dyDescent="0.3">
      <c r="A891" s="7">
        <v>1209669430</v>
      </c>
      <c r="B891" s="4" t="s">
        <v>327</v>
      </c>
      <c r="C891" s="4" t="s">
        <v>328</v>
      </c>
      <c r="D891" s="6">
        <v>46309.423634259299</v>
      </c>
      <c r="E891" s="6">
        <v>46309.173599537004</v>
      </c>
      <c r="F891" s="6">
        <v>46309</v>
      </c>
      <c r="G891" s="5" t="s">
        <v>12</v>
      </c>
      <c r="H891" s="5" t="s">
        <v>16</v>
      </c>
      <c r="I891" s="5">
        <v>8</v>
      </c>
      <c r="J891" s="9" t="s">
        <v>17</v>
      </c>
      <c r="K891" s="1" t="s">
        <v>1183</v>
      </c>
      <c r="L891" t="s">
        <v>3284</v>
      </c>
      <c r="M891" t="str">
        <f>+VLOOKUP(C891,'[1]TIENDAS 2025'!$A$1:$C$143,3,0)</f>
        <v>local</v>
      </c>
      <c r="O891">
        <v>1</v>
      </c>
    </row>
    <row r="892" spans="1:15" ht="15" customHeight="1" x14ac:dyDescent="0.3">
      <c r="A892" s="7">
        <v>1209669484</v>
      </c>
      <c r="B892" s="4" t="s">
        <v>427</v>
      </c>
      <c r="C892" s="4" t="s">
        <v>428</v>
      </c>
      <c r="D892" s="6">
        <v>46309.423645833303</v>
      </c>
      <c r="E892" s="6">
        <v>46309.173622685201</v>
      </c>
      <c r="F892" s="6">
        <v>46309</v>
      </c>
      <c r="G892" s="5" t="s">
        <v>12</v>
      </c>
      <c r="H892" s="5" t="s">
        <v>16</v>
      </c>
      <c r="I892" s="5">
        <v>12</v>
      </c>
      <c r="J892" s="9" t="s">
        <v>17</v>
      </c>
      <c r="K892" s="1" t="s">
        <v>1184</v>
      </c>
      <c r="L892" t="s">
        <v>3284</v>
      </c>
      <c r="M892" t="str">
        <f>+VLOOKUP(C892,'[1]TIENDAS 2025'!$A$1:$C$143,3,0)</f>
        <v>local</v>
      </c>
      <c r="O892">
        <v>1</v>
      </c>
    </row>
    <row r="893" spans="1:15" ht="15" customHeight="1" x14ac:dyDescent="0.3">
      <c r="A893" s="7">
        <v>1209669546</v>
      </c>
      <c r="B893" s="4" t="s">
        <v>193</v>
      </c>
      <c r="C893" s="4" t="s">
        <v>194</v>
      </c>
      <c r="D893" s="6">
        <v>46309.423668981501</v>
      </c>
      <c r="E893" s="6">
        <v>46309.173634259299</v>
      </c>
      <c r="F893" s="6">
        <v>46309</v>
      </c>
      <c r="G893" s="5" t="s">
        <v>12</v>
      </c>
      <c r="H893" s="5" t="s">
        <v>16</v>
      </c>
      <c r="I893" s="5">
        <v>2</v>
      </c>
      <c r="J893" s="9" t="s">
        <v>17</v>
      </c>
      <c r="K893" s="1" t="s">
        <v>1185</v>
      </c>
      <c r="L893" t="s">
        <v>3284</v>
      </c>
      <c r="M893" t="str">
        <f>+VLOOKUP(C893,'[1]TIENDAS 2025'!$A$1:$C$143,3,0)</f>
        <v>local</v>
      </c>
      <c r="O893">
        <v>1</v>
      </c>
    </row>
    <row r="894" spans="1:15" ht="15" customHeight="1" x14ac:dyDescent="0.3">
      <c r="A894" s="7">
        <v>8209669497</v>
      </c>
      <c r="B894" s="4" t="s">
        <v>430</v>
      </c>
      <c r="C894" s="4" t="s">
        <v>431</v>
      </c>
      <c r="D894" s="6">
        <v>46309.423680555599</v>
      </c>
      <c r="E894" s="6">
        <v>46309.173645833303</v>
      </c>
      <c r="F894" s="6">
        <v>46309</v>
      </c>
      <c r="G894" s="5" t="s">
        <v>12</v>
      </c>
      <c r="H894" s="5" t="s">
        <v>27</v>
      </c>
      <c r="I894" s="5">
        <v>7</v>
      </c>
      <c r="J894" s="10" t="s">
        <v>17</v>
      </c>
      <c r="K894" s="1" t="s">
        <v>1186</v>
      </c>
      <c r="M894" t="str">
        <f>+VLOOKUP(C894,'[1]TIENDAS 2025'!$A$1:$C$143,3,0)</f>
        <v>prioridad</v>
      </c>
      <c r="O894">
        <v>1</v>
      </c>
    </row>
    <row r="895" spans="1:15" ht="15" customHeight="1" x14ac:dyDescent="0.3">
      <c r="A895" s="7">
        <v>1209669472</v>
      </c>
      <c r="B895" s="4" t="s">
        <v>427</v>
      </c>
      <c r="C895" s="4" t="s">
        <v>428</v>
      </c>
      <c r="D895" s="6">
        <v>46309.423703703702</v>
      </c>
      <c r="E895" s="6">
        <v>46309.173668981501</v>
      </c>
      <c r="F895" s="6">
        <v>46309</v>
      </c>
      <c r="G895" s="5" t="s">
        <v>12</v>
      </c>
      <c r="H895" s="5" t="s">
        <v>29</v>
      </c>
      <c r="I895" s="5">
        <v>17</v>
      </c>
      <c r="J895" s="9" t="s">
        <v>17</v>
      </c>
      <c r="K895" s="1" t="s">
        <v>1187</v>
      </c>
      <c r="L895" t="s">
        <v>3284</v>
      </c>
      <c r="M895" t="str">
        <f>+VLOOKUP(C895,'[1]TIENDAS 2025'!$A$1:$C$143,3,0)</f>
        <v>local</v>
      </c>
      <c r="O895">
        <v>1</v>
      </c>
    </row>
    <row r="896" spans="1:15" ht="15" customHeight="1" x14ac:dyDescent="0.3">
      <c r="A896" s="7">
        <v>1209669498</v>
      </c>
      <c r="B896" s="4" t="s">
        <v>430</v>
      </c>
      <c r="C896" s="4" t="s">
        <v>431</v>
      </c>
      <c r="D896" s="6">
        <v>46309.423703703702</v>
      </c>
      <c r="E896" s="6">
        <v>46309.173680555599</v>
      </c>
      <c r="F896" s="6">
        <v>46309</v>
      </c>
      <c r="G896" s="5" t="s">
        <v>12</v>
      </c>
      <c r="H896" s="5" t="s">
        <v>16</v>
      </c>
      <c r="I896" s="5">
        <v>6</v>
      </c>
      <c r="J896" s="9" t="s">
        <v>17</v>
      </c>
      <c r="K896" s="1" t="s">
        <v>1188</v>
      </c>
      <c r="L896" t="s">
        <v>3284</v>
      </c>
      <c r="M896" t="str">
        <f>+VLOOKUP(C896,'[1]TIENDAS 2025'!$A$1:$C$143,3,0)</f>
        <v>prioridad</v>
      </c>
      <c r="O896">
        <v>1</v>
      </c>
    </row>
    <row r="897" spans="1:15" ht="15" customHeight="1" x14ac:dyDescent="0.3">
      <c r="A897" s="7">
        <v>1209669433</v>
      </c>
      <c r="B897" s="4" t="s">
        <v>327</v>
      </c>
      <c r="C897" s="4" t="s">
        <v>328</v>
      </c>
      <c r="D897" s="6">
        <v>46309.423726851899</v>
      </c>
      <c r="E897" s="6">
        <v>46309.173692129603</v>
      </c>
      <c r="F897" s="6">
        <v>46309</v>
      </c>
      <c r="G897" s="5" t="s">
        <v>12</v>
      </c>
      <c r="H897" s="5" t="s">
        <v>16</v>
      </c>
      <c r="I897" s="5">
        <v>11</v>
      </c>
      <c r="J897" s="9" t="s">
        <v>17</v>
      </c>
      <c r="K897" s="1" t="s">
        <v>1189</v>
      </c>
      <c r="L897" t="s">
        <v>3284</v>
      </c>
      <c r="M897" t="str">
        <f>+VLOOKUP(C897,'[1]TIENDAS 2025'!$A$1:$C$143,3,0)</f>
        <v>local</v>
      </c>
      <c r="O897">
        <v>1</v>
      </c>
    </row>
    <row r="898" spans="1:15" ht="15" customHeight="1" x14ac:dyDescent="0.3">
      <c r="A898" s="7">
        <v>8209669533</v>
      </c>
      <c r="B898" s="4" t="s">
        <v>193</v>
      </c>
      <c r="C898" s="4" t="s">
        <v>194</v>
      </c>
      <c r="D898" s="6">
        <v>46309.423738425903</v>
      </c>
      <c r="E898" s="6">
        <v>46309.173703703702</v>
      </c>
      <c r="F898" s="6">
        <v>46309</v>
      </c>
      <c r="G898" s="5" t="s">
        <v>12</v>
      </c>
      <c r="H898" s="5" t="s">
        <v>27</v>
      </c>
      <c r="I898" s="5">
        <v>3</v>
      </c>
      <c r="J898" s="10" t="s">
        <v>17</v>
      </c>
      <c r="K898" s="1" t="s">
        <v>1190</v>
      </c>
      <c r="M898" t="str">
        <f>+VLOOKUP(C898,'[1]TIENDAS 2025'!$A$1:$C$143,3,0)</f>
        <v>local</v>
      </c>
      <c r="O898">
        <v>1</v>
      </c>
    </row>
    <row r="899" spans="1:15" ht="15" customHeight="1" x14ac:dyDescent="0.3">
      <c r="A899" s="7">
        <v>1209669425</v>
      </c>
      <c r="B899" s="4" t="s">
        <v>327</v>
      </c>
      <c r="C899" s="4" t="s">
        <v>328</v>
      </c>
      <c r="D899" s="6">
        <v>46309.423750000002</v>
      </c>
      <c r="E899" s="6">
        <v>46309.173726851899</v>
      </c>
      <c r="F899" s="6">
        <v>46309</v>
      </c>
      <c r="G899" s="5" t="s">
        <v>12</v>
      </c>
      <c r="H899" s="5" t="s">
        <v>16</v>
      </c>
      <c r="I899" s="5">
        <v>2</v>
      </c>
      <c r="J899" s="9" t="s">
        <v>17</v>
      </c>
      <c r="K899" s="1" t="s">
        <v>1191</v>
      </c>
      <c r="L899" t="s">
        <v>3284</v>
      </c>
      <c r="M899" t="str">
        <f>+VLOOKUP(C899,'[1]TIENDAS 2025'!$A$1:$C$143,3,0)</f>
        <v>local</v>
      </c>
      <c r="O899">
        <v>1</v>
      </c>
    </row>
    <row r="900" spans="1:15" ht="15" customHeight="1" x14ac:dyDescent="0.3">
      <c r="A900" s="7">
        <v>1209669427</v>
      </c>
      <c r="B900" s="4" t="s">
        <v>327</v>
      </c>
      <c r="C900" s="4" t="s">
        <v>328</v>
      </c>
      <c r="D900" s="6">
        <v>46309.4237615741</v>
      </c>
      <c r="E900" s="6">
        <v>46309.173738425903</v>
      </c>
      <c r="F900" s="6">
        <v>46309</v>
      </c>
      <c r="G900" s="5" t="s">
        <v>12</v>
      </c>
      <c r="H900" s="5" t="s">
        <v>16</v>
      </c>
      <c r="I900" s="5">
        <v>8</v>
      </c>
      <c r="J900" s="9" t="s">
        <v>17</v>
      </c>
      <c r="K900" s="1" t="s">
        <v>1192</v>
      </c>
      <c r="L900" t="s">
        <v>3284</v>
      </c>
      <c r="M900" t="str">
        <f>+VLOOKUP(C900,'[1]TIENDAS 2025'!$A$1:$C$143,3,0)</f>
        <v>local</v>
      </c>
      <c r="O900">
        <v>1</v>
      </c>
    </row>
    <row r="901" spans="1:15" ht="15" customHeight="1" x14ac:dyDescent="0.3">
      <c r="A901" s="7">
        <v>8209669480</v>
      </c>
      <c r="B901" s="4" t="s">
        <v>427</v>
      </c>
      <c r="C901" s="4" t="s">
        <v>428</v>
      </c>
      <c r="D901" s="6">
        <v>46309.423773148097</v>
      </c>
      <c r="E901" s="6">
        <v>46309.173750000002</v>
      </c>
      <c r="F901" s="6">
        <v>46309</v>
      </c>
      <c r="G901" s="5" t="s">
        <v>12</v>
      </c>
      <c r="H901" s="5" t="s">
        <v>27</v>
      </c>
      <c r="I901" s="5">
        <v>10</v>
      </c>
      <c r="J901" s="10" t="s">
        <v>17</v>
      </c>
      <c r="K901" s="1" t="s">
        <v>1193</v>
      </c>
      <c r="M901" t="str">
        <f>+VLOOKUP(C901,'[1]TIENDAS 2025'!$A$1:$C$143,3,0)</f>
        <v>local</v>
      </c>
      <c r="O901">
        <v>1</v>
      </c>
    </row>
    <row r="902" spans="1:15" ht="15" customHeight="1" x14ac:dyDescent="0.3">
      <c r="A902" s="7">
        <v>1209669483</v>
      </c>
      <c r="B902" s="4" t="s">
        <v>427</v>
      </c>
      <c r="C902" s="4" t="s">
        <v>428</v>
      </c>
      <c r="D902" s="6">
        <v>46309.423796296302</v>
      </c>
      <c r="E902" s="6">
        <v>46309.1737615741</v>
      </c>
      <c r="F902" s="6">
        <v>46309</v>
      </c>
      <c r="G902" s="5" t="s">
        <v>12</v>
      </c>
      <c r="H902" s="5" t="s">
        <v>16</v>
      </c>
      <c r="I902" s="5">
        <v>3</v>
      </c>
      <c r="J902" s="9" t="s">
        <v>17</v>
      </c>
      <c r="K902" s="1" t="s">
        <v>1194</v>
      </c>
      <c r="L902" t="s">
        <v>3284</v>
      </c>
      <c r="M902" t="str">
        <f>+VLOOKUP(C902,'[1]TIENDAS 2025'!$A$1:$C$143,3,0)</f>
        <v>local</v>
      </c>
      <c r="O902">
        <v>1</v>
      </c>
    </row>
    <row r="903" spans="1:15" ht="15" customHeight="1" x14ac:dyDescent="0.3">
      <c r="A903" s="7">
        <v>1209669543</v>
      </c>
      <c r="B903" s="4" t="s">
        <v>193</v>
      </c>
      <c r="C903" s="4" t="s">
        <v>194</v>
      </c>
      <c r="D903" s="6">
        <v>46309.4238078704</v>
      </c>
      <c r="E903" s="6">
        <v>46309.173773148097</v>
      </c>
      <c r="F903" s="6">
        <v>46309</v>
      </c>
      <c r="G903" s="5" t="s">
        <v>12</v>
      </c>
      <c r="H903" s="5" t="s">
        <v>16</v>
      </c>
      <c r="I903" s="5">
        <v>14</v>
      </c>
      <c r="J903" s="9" t="s">
        <v>17</v>
      </c>
      <c r="K903" s="1" t="s">
        <v>1195</v>
      </c>
      <c r="L903" t="s">
        <v>3284</v>
      </c>
      <c r="M903" t="str">
        <f>+VLOOKUP(C903,'[1]TIENDAS 2025'!$A$1:$C$143,3,0)</f>
        <v>local</v>
      </c>
      <c r="O903">
        <v>1</v>
      </c>
    </row>
    <row r="904" spans="1:15" ht="15" customHeight="1" x14ac:dyDescent="0.3">
      <c r="A904" s="7">
        <v>1209669504</v>
      </c>
      <c r="B904" s="4" t="s">
        <v>430</v>
      </c>
      <c r="C904" s="4" t="s">
        <v>431</v>
      </c>
      <c r="D904" s="6">
        <v>46309.423831018503</v>
      </c>
      <c r="E904" s="6">
        <v>46309.1738078704</v>
      </c>
      <c r="F904" s="6">
        <v>46309</v>
      </c>
      <c r="G904" s="5" t="s">
        <v>12</v>
      </c>
      <c r="H904" s="5" t="s">
        <v>29</v>
      </c>
      <c r="I904" s="5">
        <v>18</v>
      </c>
      <c r="J904" s="9" t="s">
        <v>17</v>
      </c>
      <c r="K904" s="1" t="s">
        <v>1196</v>
      </c>
      <c r="L904" t="s">
        <v>3284</v>
      </c>
      <c r="M904" t="str">
        <f>+VLOOKUP(C904,'[1]TIENDAS 2025'!$A$1:$C$143,3,0)</f>
        <v>prioridad</v>
      </c>
      <c r="O904">
        <v>1</v>
      </c>
    </row>
    <row r="905" spans="1:15" ht="15" customHeight="1" x14ac:dyDescent="0.3">
      <c r="A905" s="7">
        <v>8209669545</v>
      </c>
      <c r="B905" s="4" t="s">
        <v>193</v>
      </c>
      <c r="C905" s="4" t="s">
        <v>194</v>
      </c>
      <c r="D905" s="6">
        <v>46309.423831018503</v>
      </c>
      <c r="E905" s="6">
        <v>46309.173796296302</v>
      </c>
      <c r="F905" s="6">
        <v>46309</v>
      </c>
      <c r="G905" s="5" t="s">
        <v>12</v>
      </c>
      <c r="H905" s="5" t="s">
        <v>27</v>
      </c>
      <c r="I905" s="5">
        <v>2</v>
      </c>
      <c r="J905" s="10" t="s">
        <v>17</v>
      </c>
      <c r="K905" s="1" t="s">
        <v>1197</v>
      </c>
      <c r="M905" t="str">
        <f>+VLOOKUP(C905,'[1]TIENDAS 2025'!$A$1:$C$143,3,0)</f>
        <v>local</v>
      </c>
      <c r="O905">
        <v>1</v>
      </c>
    </row>
    <row r="906" spans="1:15" ht="15" customHeight="1" x14ac:dyDescent="0.3">
      <c r="A906" s="7">
        <v>1209669489</v>
      </c>
      <c r="B906" s="4" t="s">
        <v>427</v>
      </c>
      <c r="C906" s="4" t="s">
        <v>428</v>
      </c>
      <c r="D906" s="6">
        <v>46309.4238541667</v>
      </c>
      <c r="E906" s="6">
        <v>46309.173819444397</v>
      </c>
      <c r="F906" s="6">
        <v>46309</v>
      </c>
      <c r="G906" s="5" t="s">
        <v>12</v>
      </c>
      <c r="H906" s="5" t="s">
        <v>29</v>
      </c>
      <c r="I906" s="5">
        <v>43</v>
      </c>
      <c r="J906" s="9" t="s">
        <v>17</v>
      </c>
      <c r="K906" s="1" t="s">
        <v>1198</v>
      </c>
      <c r="L906" t="s">
        <v>3284</v>
      </c>
      <c r="M906" t="str">
        <f>+VLOOKUP(C906,'[1]TIENDAS 2025'!$A$1:$C$143,3,0)</f>
        <v>local</v>
      </c>
      <c r="O906">
        <v>1</v>
      </c>
    </row>
    <row r="907" spans="1:15" ht="15" customHeight="1" x14ac:dyDescent="0.3">
      <c r="A907" s="7">
        <v>8209669467</v>
      </c>
      <c r="B907" s="4" t="s">
        <v>427</v>
      </c>
      <c r="C907" s="4" t="s">
        <v>428</v>
      </c>
      <c r="D907" s="6">
        <v>46309.423865740697</v>
      </c>
      <c r="E907" s="6">
        <v>46309.173831018503</v>
      </c>
      <c r="F907" s="6">
        <v>46309</v>
      </c>
      <c r="G907" s="5" t="s">
        <v>12</v>
      </c>
      <c r="H907" s="5" t="s">
        <v>27</v>
      </c>
      <c r="I907" s="5">
        <v>21</v>
      </c>
      <c r="J907" s="10" t="s">
        <v>17</v>
      </c>
      <c r="K907" s="1" t="s">
        <v>1199</v>
      </c>
      <c r="M907" t="str">
        <f>+VLOOKUP(C907,'[1]TIENDAS 2025'!$A$1:$C$143,3,0)</f>
        <v>local</v>
      </c>
      <c r="O907">
        <v>1</v>
      </c>
    </row>
    <row r="908" spans="1:15" ht="15" customHeight="1" x14ac:dyDescent="0.3">
      <c r="A908" s="7">
        <v>1209669508</v>
      </c>
      <c r="B908" s="4" t="s">
        <v>430</v>
      </c>
      <c r="C908" s="4" t="s">
        <v>431</v>
      </c>
      <c r="D908" s="6">
        <v>46309.423888888901</v>
      </c>
      <c r="E908" s="6">
        <v>46309.1738541667</v>
      </c>
      <c r="F908" s="6">
        <v>46309</v>
      </c>
      <c r="G908" s="5" t="s">
        <v>12</v>
      </c>
      <c r="H908" s="5" t="s">
        <v>16</v>
      </c>
      <c r="I908" s="5">
        <v>1</v>
      </c>
      <c r="J908" s="9" t="s">
        <v>17</v>
      </c>
      <c r="K908" s="1" t="s">
        <v>1200</v>
      </c>
      <c r="L908" t="s">
        <v>3284</v>
      </c>
      <c r="M908" t="str">
        <f>+VLOOKUP(C908,'[1]TIENDAS 2025'!$A$1:$C$143,3,0)</f>
        <v>prioridad</v>
      </c>
      <c r="O908">
        <v>1</v>
      </c>
    </row>
    <row r="909" spans="1:15" ht="15" customHeight="1" x14ac:dyDescent="0.3">
      <c r="A909" s="7">
        <v>8209669531</v>
      </c>
      <c r="B909" s="4" t="s">
        <v>193</v>
      </c>
      <c r="C909" s="4" t="s">
        <v>194</v>
      </c>
      <c r="D909" s="6">
        <v>46309.423888888901</v>
      </c>
      <c r="E909" s="6">
        <v>46309.173865740697</v>
      </c>
      <c r="F909" s="6">
        <v>46309</v>
      </c>
      <c r="G909" s="5" t="s">
        <v>12</v>
      </c>
      <c r="H909" s="5" t="s">
        <v>27</v>
      </c>
      <c r="I909" s="5">
        <v>2</v>
      </c>
      <c r="J909" s="10" t="s">
        <v>17</v>
      </c>
      <c r="K909" s="1" t="s">
        <v>1201</v>
      </c>
      <c r="M909" t="str">
        <f>+VLOOKUP(C909,'[1]TIENDAS 2025'!$A$1:$C$143,3,0)</f>
        <v>local</v>
      </c>
      <c r="O909">
        <v>1</v>
      </c>
    </row>
    <row r="910" spans="1:15" ht="15" customHeight="1" x14ac:dyDescent="0.3">
      <c r="A910" s="7">
        <v>8209669419</v>
      </c>
      <c r="B910" s="4" t="s">
        <v>327</v>
      </c>
      <c r="C910" s="4" t="s">
        <v>328</v>
      </c>
      <c r="D910" s="6">
        <v>46309.423900463</v>
      </c>
      <c r="E910" s="6">
        <v>46309.173877314803</v>
      </c>
      <c r="F910" s="6">
        <v>46309</v>
      </c>
      <c r="G910" s="5" t="s">
        <v>12</v>
      </c>
      <c r="H910" s="5" t="s">
        <v>27</v>
      </c>
      <c r="I910" s="5">
        <v>1</v>
      </c>
      <c r="J910" s="10" t="s">
        <v>17</v>
      </c>
      <c r="K910" s="1" t="s">
        <v>1202</v>
      </c>
      <c r="M910" t="str">
        <f>+VLOOKUP(C910,'[1]TIENDAS 2025'!$A$1:$C$143,3,0)</f>
        <v>local</v>
      </c>
      <c r="O910">
        <v>1</v>
      </c>
    </row>
    <row r="911" spans="1:15" ht="15" customHeight="1" x14ac:dyDescent="0.3">
      <c r="A911" s="7">
        <v>1209669426</v>
      </c>
      <c r="B911" s="4" t="s">
        <v>327</v>
      </c>
      <c r="C911" s="4" t="s">
        <v>328</v>
      </c>
      <c r="D911" s="6">
        <v>46309.423923611103</v>
      </c>
      <c r="E911" s="6">
        <v>46309.173888888901</v>
      </c>
      <c r="F911" s="6">
        <v>46309</v>
      </c>
      <c r="G911" s="5" t="s">
        <v>12</v>
      </c>
      <c r="H911" s="5" t="s">
        <v>29</v>
      </c>
      <c r="I911" s="5">
        <v>1</v>
      </c>
      <c r="J911" s="9" t="s">
        <v>17</v>
      </c>
      <c r="K911" s="1" t="s">
        <v>1203</v>
      </c>
      <c r="L911" t="s">
        <v>3284</v>
      </c>
      <c r="M911" t="str">
        <f>+VLOOKUP(C911,'[1]TIENDAS 2025'!$A$1:$C$143,3,0)</f>
        <v>local</v>
      </c>
      <c r="O911">
        <v>1</v>
      </c>
    </row>
    <row r="912" spans="1:15" ht="15" customHeight="1" x14ac:dyDescent="0.3">
      <c r="A912" s="7">
        <v>1209669471</v>
      </c>
      <c r="B912" s="4" t="s">
        <v>427</v>
      </c>
      <c r="C912" s="4" t="s">
        <v>428</v>
      </c>
      <c r="D912" s="6">
        <v>46309.423935185201</v>
      </c>
      <c r="E912" s="6">
        <v>46309.173912036997</v>
      </c>
      <c r="F912" s="6">
        <v>46309</v>
      </c>
      <c r="G912" s="5" t="s">
        <v>12</v>
      </c>
      <c r="H912" s="5" t="s">
        <v>16</v>
      </c>
      <c r="I912" s="5">
        <v>10</v>
      </c>
      <c r="J912" s="9" t="s">
        <v>17</v>
      </c>
      <c r="K912" s="1" t="s">
        <v>1204</v>
      </c>
      <c r="L912" t="s">
        <v>3284</v>
      </c>
      <c r="M912" t="str">
        <f>+VLOOKUP(C912,'[1]TIENDAS 2025'!$A$1:$C$143,3,0)</f>
        <v>local</v>
      </c>
      <c r="O912">
        <v>1</v>
      </c>
    </row>
    <row r="913" spans="1:15" ht="15" customHeight="1" x14ac:dyDescent="0.3">
      <c r="A913" s="7">
        <v>8209669478</v>
      </c>
      <c r="B913" s="4" t="s">
        <v>427</v>
      </c>
      <c r="C913" s="4" t="s">
        <v>428</v>
      </c>
      <c r="D913" s="6">
        <v>46309.423958333296</v>
      </c>
      <c r="E913" s="6">
        <v>46309.173923611103</v>
      </c>
      <c r="F913" s="6">
        <v>46309</v>
      </c>
      <c r="G913" s="5" t="s">
        <v>12</v>
      </c>
      <c r="H913" s="5" t="s">
        <v>27</v>
      </c>
      <c r="I913" s="5">
        <v>6</v>
      </c>
      <c r="J913" s="10" t="s">
        <v>17</v>
      </c>
      <c r="K913" s="1" t="s">
        <v>1205</v>
      </c>
      <c r="M913" t="str">
        <f>+VLOOKUP(C913,'[1]TIENDAS 2025'!$A$1:$C$143,3,0)</f>
        <v>local</v>
      </c>
      <c r="O913">
        <v>1</v>
      </c>
    </row>
    <row r="914" spans="1:15" ht="15" customHeight="1" x14ac:dyDescent="0.3">
      <c r="A914" s="7">
        <v>1209669537</v>
      </c>
      <c r="B914" s="4" t="s">
        <v>193</v>
      </c>
      <c r="C914" s="4" t="s">
        <v>194</v>
      </c>
      <c r="D914" s="6">
        <v>46309.423958333296</v>
      </c>
      <c r="E914" s="6">
        <v>46309.173935185201</v>
      </c>
      <c r="F914" s="6">
        <v>46309</v>
      </c>
      <c r="G914" s="5" t="s">
        <v>12</v>
      </c>
      <c r="H914" s="5" t="s">
        <v>16</v>
      </c>
      <c r="I914" s="5">
        <v>8</v>
      </c>
      <c r="J914" s="9" t="s">
        <v>17</v>
      </c>
      <c r="K914" s="1" t="s">
        <v>1206</v>
      </c>
      <c r="L914" t="s">
        <v>3284</v>
      </c>
      <c r="M914" t="str">
        <f>+VLOOKUP(C914,'[1]TIENDAS 2025'!$A$1:$C$143,3,0)</f>
        <v>local</v>
      </c>
      <c r="O914">
        <v>1</v>
      </c>
    </row>
    <row r="915" spans="1:15" ht="15" customHeight="1" x14ac:dyDescent="0.3">
      <c r="A915" s="7">
        <v>1209669548</v>
      </c>
      <c r="B915" s="4" t="s">
        <v>193</v>
      </c>
      <c r="C915" s="4" t="s">
        <v>194</v>
      </c>
      <c r="D915" s="6">
        <v>46309.423969907402</v>
      </c>
      <c r="E915" s="6">
        <v>46309.1739467593</v>
      </c>
      <c r="F915" s="6">
        <v>46309</v>
      </c>
      <c r="G915" s="5" t="s">
        <v>12</v>
      </c>
      <c r="H915" s="5" t="s">
        <v>16</v>
      </c>
      <c r="I915" s="5">
        <v>14</v>
      </c>
      <c r="J915" s="9" t="s">
        <v>17</v>
      </c>
      <c r="K915" s="1" t="s">
        <v>1207</v>
      </c>
      <c r="L915" t="s">
        <v>3284</v>
      </c>
      <c r="M915" t="str">
        <f>+VLOOKUP(C915,'[1]TIENDAS 2025'!$A$1:$C$143,3,0)</f>
        <v>local</v>
      </c>
      <c r="O915">
        <v>1</v>
      </c>
    </row>
    <row r="916" spans="1:15" ht="15" customHeight="1" x14ac:dyDescent="0.3">
      <c r="A916" s="7">
        <v>8209669466</v>
      </c>
      <c r="B916" s="4" t="s">
        <v>427</v>
      </c>
      <c r="C916" s="4" t="s">
        <v>428</v>
      </c>
      <c r="D916" s="6">
        <v>46309.4239930556</v>
      </c>
      <c r="E916" s="6">
        <v>46309.173958333296</v>
      </c>
      <c r="F916" s="6">
        <v>46309</v>
      </c>
      <c r="G916" s="5" t="s">
        <v>12</v>
      </c>
      <c r="H916" s="5" t="s">
        <v>27</v>
      </c>
      <c r="I916" s="5">
        <v>9</v>
      </c>
      <c r="J916" s="10" t="s">
        <v>17</v>
      </c>
      <c r="K916" s="1" t="s">
        <v>1208</v>
      </c>
      <c r="M916" t="str">
        <f>+VLOOKUP(C916,'[1]TIENDAS 2025'!$A$1:$C$143,3,0)</f>
        <v>local</v>
      </c>
      <c r="O916">
        <v>1</v>
      </c>
    </row>
    <row r="917" spans="1:15" ht="15" customHeight="1" x14ac:dyDescent="0.3">
      <c r="A917" s="7">
        <v>8209669420</v>
      </c>
      <c r="B917" s="4" t="s">
        <v>327</v>
      </c>
      <c r="C917" s="4" t="s">
        <v>328</v>
      </c>
      <c r="D917" s="6">
        <v>46309.424004629604</v>
      </c>
      <c r="E917" s="6">
        <v>46309.173981481501</v>
      </c>
      <c r="F917" s="6">
        <v>46309</v>
      </c>
      <c r="G917" s="5" t="s">
        <v>12</v>
      </c>
      <c r="H917" s="5" t="s">
        <v>27</v>
      </c>
      <c r="I917" s="5">
        <v>4</v>
      </c>
      <c r="J917" s="10" t="s">
        <v>17</v>
      </c>
      <c r="K917" s="1" t="s">
        <v>1209</v>
      </c>
      <c r="M917" t="str">
        <f>+VLOOKUP(C917,'[1]TIENDAS 2025'!$A$1:$C$143,3,0)</f>
        <v>local</v>
      </c>
      <c r="O917">
        <v>1</v>
      </c>
    </row>
    <row r="918" spans="1:15" ht="15" customHeight="1" x14ac:dyDescent="0.3">
      <c r="A918" s="7">
        <v>8209669422</v>
      </c>
      <c r="B918" s="4" t="s">
        <v>327</v>
      </c>
      <c r="C918" s="4" t="s">
        <v>328</v>
      </c>
      <c r="D918" s="6">
        <v>46309.424027777801</v>
      </c>
      <c r="E918" s="6">
        <v>46309.1739930556</v>
      </c>
      <c r="F918" s="6">
        <v>46309</v>
      </c>
      <c r="G918" s="5" t="s">
        <v>12</v>
      </c>
      <c r="H918" s="5" t="s">
        <v>27</v>
      </c>
      <c r="I918" s="5">
        <v>5</v>
      </c>
      <c r="J918" s="10" t="s">
        <v>17</v>
      </c>
      <c r="K918" s="1" t="s">
        <v>1210</v>
      </c>
      <c r="M918" t="str">
        <f>+VLOOKUP(C918,'[1]TIENDAS 2025'!$A$1:$C$143,3,0)</f>
        <v>local</v>
      </c>
      <c r="O918">
        <v>1</v>
      </c>
    </row>
    <row r="919" spans="1:15" ht="15" customHeight="1" x14ac:dyDescent="0.3">
      <c r="A919" s="7">
        <v>1209669632</v>
      </c>
      <c r="B919" s="4" t="s">
        <v>512</v>
      </c>
      <c r="C919" s="4" t="s">
        <v>513</v>
      </c>
      <c r="D919" s="6">
        <v>46309.426527777803</v>
      </c>
      <c r="E919" s="6">
        <v>46309.176493055602</v>
      </c>
      <c r="F919" s="6">
        <v>46309</v>
      </c>
      <c r="G919" s="5" t="s">
        <v>12</v>
      </c>
      <c r="H919" s="5" t="s">
        <v>27</v>
      </c>
      <c r="I919" s="5">
        <v>28</v>
      </c>
      <c r="J919" s="9" t="s">
        <v>17</v>
      </c>
      <c r="K919" s="1" t="s">
        <v>1211</v>
      </c>
      <c r="L919" t="s">
        <v>3284</v>
      </c>
      <c r="M919" t="str">
        <f>+VLOOKUP(C919,'[1]TIENDAS 2025'!$A$1:$C$143,3,0)</f>
        <v>prioridad</v>
      </c>
      <c r="O919">
        <v>1</v>
      </c>
    </row>
    <row r="920" spans="1:15" ht="15" customHeight="1" x14ac:dyDescent="0.3">
      <c r="A920" s="7">
        <v>1209669566</v>
      </c>
      <c r="B920" s="4" t="s">
        <v>439</v>
      </c>
      <c r="C920" s="4" t="s">
        <v>440</v>
      </c>
      <c r="D920" s="6">
        <v>46309.426539351902</v>
      </c>
      <c r="E920" s="6">
        <v>46309.176504629599</v>
      </c>
      <c r="F920" s="6">
        <v>46309</v>
      </c>
      <c r="G920" s="5" t="s">
        <v>12</v>
      </c>
      <c r="H920" s="5" t="s">
        <v>16</v>
      </c>
      <c r="I920" s="5">
        <v>10</v>
      </c>
      <c r="J920" s="9" t="s">
        <v>17</v>
      </c>
      <c r="K920" s="1" t="s">
        <v>1212</v>
      </c>
      <c r="L920" t="s">
        <v>3284</v>
      </c>
      <c r="M920" t="str">
        <f>+VLOOKUP(C920,'[1]TIENDAS 2025'!$A$1:$C$143,3,0)</f>
        <v>prioridad</v>
      </c>
      <c r="O920">
        <v>1</v>
      </c>
    </row>
    <row r="921" spans="1:15" ht="15" customHeight="1" x14ac:dyDescent="0.3">
      <c r="A921" s="7">
        <v>1209669568</v>
      </c>
      <c r="B921" s="4" t="s">
        <v>439</v>
      </c>
      <c r="C921" s="4" t="s">
        <v>440</v>
      </c>
      <c r="D921" s="6">
        <v>46309.426550925898</v>
      </c>
      <c r="E921" s="6">
        <v>46309.176516203697</v>
      </c>
      <c r="F921" s="6">
        <v>46309</v>
      </c>
      <c r="G921" s="5" t="s">
        <v>12</v>
      </c>
      <c r="H921" s="5" t="s">
        <v>16</v>
      </c>
      <c r="I921" s="5">
        <v>14</v>
      </c>
      <c r="J921" s="9" t="s">
        <v>17</v>
      </c>
      <c r="K921" s="1" t="s">
        <v>1213</v>
      </c>
      <c r="L921" t="s">
        <v>3284</v>
      </c>
      <c r="M921" t="str">
        <f>+VLOOKUP(C921,'[1]TIENDAS 2025'!$A$1:$C$143,3,0)</f>
        <v>prioridad</v>
      </c>
      <c r="O921">
        <v>1</v>
      </c>
    </row>
    <row r="922" spans="1:15" ht="15" customHeight="1" x14ac:dyDescent="0.3">
      <c r="A922" s="7">
        <v>1209669569</v>
      </c>
      <c r="B922" s="4" t="s">
        <v>439</v>
      </c>
      <c r="C922" s="4" t="s">
        <v>440</v>
      </c>
      <c r="D922" s="6">
        <v>46309.426562499997</v>
      </c>
      <c r="E922" s="6">
        <v>46309.176539351902</v>
      </c>
      <c r="F922" s="6">
        <v>46309</v>
      </c>
      <c r="G922" s="5" t="s">
        <v>12</v>
      </c>
      <c r="H922" s="5" t="s">
        <v>29</v>
      </c>
      <c r="I922" s="5">
        <v>18</v>
      </c>
      <c r="J922" s="9" t="s">
        <v>17</v>
      </c>
      <c r="K922" s="1" t="s">
        <v>1214</v>
      </c>
      <c r="L922" t="s">
        <v>3284</v>
      </c>
      <c r="M922" t="str">
        <f>+VLOOKUP(C922,'[1]TIENDAS 2025'!$A$1:$C$143,3,0)</f>
        <v>prioridad</v>
      </c>
      <c r="O922">
        <v>1</v>
      </c>
    </row>
    <row r="923" spans="1:15" ht="15" customHeight="1" x14ac:dyDescent="0.3">
      <c r="A923" s="7">
        <v>1209669571</v>
      </c>
      <c r="B923" s="4" t="s">
        <v>439</v>
      </c>
      <c r="C923" s="4" t="s">
        <v>440</v>
      </c>
      <c r="D923" s="6">
        <v>46309.426585648202</v>
      </c>
      <c r="E923" s="6">
        <v>46309.176550925898</v>
      </c>
      <c r="F923" s="6">
        <v>46309</v>
      </c>
      <c r="G923" s="5" t="s">
        <v>12</v>
      </c>
      <c r="H923" s="5" t="s">
        <v>16</v>
      </c>
      <c r="I923" s="5">
        <v>1</v>
      </c>
      <c r="J923" s="9" t="s">
        <v>17</v>
      </c>
      <c r="K923" s="1" t="s">
        <v>1215</v>
      </c>
      <c r="L923" t="s">
        <v>3284</v>
      </c>
      <c r="M923" t="str">
        <f>+VLOOKUP(C923,'[1]TIENDAS 2025'!$A$1:$C$143,3,0)</f>
        <v>prioridad</v>
      </c>
      <c r="O923">
        <v>1</v>
      </c>
    </row>
    <row r="924" spans="1:15" ht="15" customHeight="1" x14ac:dyDescent="0.3">
      <c r="A924" s="7">
        <v>1209669574</v>
      </c>
      <c r="B924" s="4" t="s">
        <v>439</v>
      </c>
      <c r="C924" s="4" t="s">
        <v>440</v>
      </c>
      <c r="D924" s="6">
        <v>46309.426597222198</v>
      </c>
      <c r="E924" s="6">
        <v>46309.176562499997</v>
      </c>
      <c r="F924" s="6">
        <v>46309</v>
      </c>
      <c r="G924" s="5" t="s">
        <v>12</v>
      </c>
      <c r="H924" s="5" t="s">
        <v>16</v>
      </c>
      <c r="I924" s="5">
        <v>6</v>
      </c>
      <c r="J924" s="9" t="s">
        <v>17</v>
      </c>
      <c r="K924" s="1" t="s">
        <v>1216</v>
      </c>
      <c r="L924" t="s">
        <v>3284</v>
      </c>
      <c r="M924" t="str">
        <f>+VLOOKUP(C924,'[1]TIENDAS 2025'!$A$1:$C$143,3,0)</f>
        <v>prioridad</v>
      </c>
      <c r="O924">
        <v>1</v>
      </c>
    </row>
    <row r="925" spans="1:15" ht="15" customHeight="1" x14ac:dyDescent="0.3">
      <c r="A925" s="7">
        <v>1209669621</v>
      </c>
      <c r="B925" s="4" t="s">
        <v>512</v>
      </c>
      <c r="C925" s="4" t="s">
        <v>513</v>
      </c>
      <c r="D925" s="6">
        <v>46309.426620370403</v>
      </c>
      <c r="E925" s="6">
        <v>46309.176585648202</v>
      </c>
      <c r="F925" s="6">
        <v>46309</v>
      </c>
      <c r="G925" s="5" t="s">
        <v>12</v>
      </c>
      <c r="H925" s="5" t="s">
        <v>16</v>
      </c>
      <c r="I925" s="5">
        <v>26</v>
      </c>
      <c r="J925" s="9" t="s">
        <v>17</v>
      </c>
      <c r="K925" s="1" t="s">
        <v>1217</v>
      </c>
      <c r="L925" t="s">
        <v>3284</v>
      </c>
      <c r="M925" t="str">
        <f>+VLOOKUP(C925,'[1]TIENDAS 2025'!$A$1:$C$143,3,0)</f>
        <v>prioridad</v>
      </c>
      <c r="O925">
        <v>1</v>
      </c>
    </row>
    <row r="926" spans="1:15" ht="15" customHeight="1" x14ac:dyDescent="0.3">
      <c r="A926" s="7">
        <v>8209669558</v>
      </c>
      <c r="B926" s="4" t="s">
        <v>439</v>
      </c>
      <c r="C926" s="4" t="s">
        <v>440</v>
      </c>
      <c r="D926" s="6">
        <v>46309.426620370403</v>
      </c>
      <c r="E926" s="6">
        <v>46309.176597222198</v>
      </c>
      <c r="F926" s="6">
        <v>46309</v>
      </c>
      <c r="G926" s="5" t="s">
        <v>12</v>
      </c>
      <c r="H926" s="5" t="s">
        <v>27</v>
      </c>
      <c r="I926" s="5">
        <v>1</v>
      </c>
      <c r="J926" s="10" t="s">
        <v>17</v>
      </c>
      <c r="K926" s="1" t="s">
        <v>1218</v>
      </c>
      <c r="M926" t="str">
        <f>+VLOOKUP(C926,'[1]TIENDAS 2025'!$A$1:$C$143,3,0)</f>
        <v>prioridad</v>
      </c>
      <c r="O926">
        <v>1</v>
      </c>
    </row>
    <row r="927" spans="1:15" ht="15" customHeight="1" x14ac:dyDescent="0.3">
      <c r="A927" s="7">
        <v>8209669583</v>
      </c>
      <c r="B927" s="4" t="s">
        <v>515</v>
      </c>
      <c r="C927" s="4" t="s">
        <v>516</v>
      </c>
      <c r="D927" s="6">
        <v>46309.426643518498</v>
      </c>
      <c r="E927" s="6">
        <v>46309.176608796297</v>
      </c>
      <c r="F927" s="6">
        <v>46309</v>
      </c>
      <c r="G927" s="5" t="s">
        <v>12</v>
      </c>
      <c r="H927" s="5" t="s">
        <v>27</v>
      </c>
      <c r="I927" s="5">
        <v>3</v>
      </c>
      <c r="J927" s="10" t="s">
        <v>17</v>
      </c>
      <c r="K927" s="1" t="s">
        <v>1219</v>
      </c>
      <c r="M927" t="str">
        <f>+VLOOKUP(C927,'[1]TIENDAS 2025'!$A$1:$C$143,3,0)</f>
        <v>prioridad</v>
      </c>
      <c r="O927">
        <v>1</v>
      </c>
    </row>
    <row r="928" spans="1:15" ht="15" customHeight="1" x14ac:dyDescent="0.3">
      <c r="A928" s="7">
        <v>8209669585</v>
      </c>
      <c r="B928" s="4" t="s">
        <v>515</v>
      </c>
      <c r="C928" s="4" t="s">
        <v>516</v>
      </c>
      <c r="D928" s="6">
        <v>46309.426655092597</v>
      </c>
      <c r="E928" s="6">
        <v>46309.176620370403</v>
      </c>
      <c r="F928" s="6">
        <v>46309</v>
      </c>
      <c r="G928" s="5" t="s">
        <v>12</v>
      </c>
      <c r="H928" s="5" t="s">
        <v>27</v>
      </c>
      <c r="I928" s="5">
        <v>7</v>
      </c>
      <c r="J928" s="10" t="s">
        <v>17</v>
      </c>
      <c r="K928" s="1" t="s">
        <v>1220</v>
      </c>
      <c r="M928" t="str">
        <f>+VLOOKUP(C928,'[1]TIENDAS 2025'!$A$1:$C$143,3,0)</f>
        <v>prioridad</v>
      </c>
      <c r="O928">
        <v>1</v>
      </c>
    </row>
    <row r="929" spans="1:15" ht="15" customHeight="1" x14ac:dyDescent="0.3">
      <c r="A929" s="7">
        <v>8209669586</v>
      </c>
      <c r="B929" s="4" t="s">
        <v>515</v>
      </c>
      <c r="C929" s="4" t="s">
        <v>516</v>
      </c>
      <c r="D929" s="6">
        <v>46309.426666666703</v>
      </c>
      <c r="E929" s="6">
        <v>46309.1766319444</v>
      </c>
      <c r="F929" s="6">
        <v>46309</v>
      </c>
      <c r="G929" s="5" t="s">
        <v>12</v>
      </c>
      <c r="H929" s="5" t="s">
        <v>27</v>
      </c>
      <c r="I929" s="5">
        <v>4</v>
      </c>
      <c r="J929" s="10" t="s">
        <v>17</v>
      </c>
      <c r="K929" s="1" t="s">
        <v>1221</v>
      </c>
      <c r="M929" t="str">
        <f>+VLOOKUP(C929,'[1]TIENDAS 2025'!$A$1:$C$143,3,0)</f>
        <v>prioridad</v>
      </c>
      <c r="O929">
        <v>1</v>
      </c>
    </row>
    <row r="930" spans="1:15" ht="15" customHeight="1" x14ac:dyDescent="0.3">
      <c r="A930" s="7">
        <v>1209669597</v>
      </c>
      <c r="B930" s="4" t="s">
        <v>515</v>
      </c>
      <c r="C930" s="4" t="s">
        <v>516</v>
      </c>
      <c r="D930" s="6">
        <v>46309.426678240699</v>
      </c>
      <c r="E930" s="6">
        <v>46309.176655092597</v>
      </c>
      <c r="F930" s="6">
        <v>46309</v>
      </c>
      <c r="G930" s="5" t="s">
        <v>12</v>
      </c>
      <c r="H930" s="5" t="s">
        <v>16</v>
      </c>
      <c r="I930" s="5">
        <v>17</v>
      </c>
      <c r="J930" s="9" t="s">
        <v>17</v>
      </c>
      <c r="K930" s="1" t="s">
        <v>1222</v>
      </c>
      <c r="L930" t="s">
        <v>3284</v>
      </c>
      <c r="M930" t="str">
        <f>+VLOOKUP(C930,'[1]TIENDAS 2025'!$A$1:$C$143,3,0)</f>
        <v>prioridad</v>
      </c>
      <c r="O930">
        <v>1</v>
      </c>
    </row>
    <row r="931" spans="1:15" ht="15" customHeight="1" x14ac:dyDescent="0.3">
      <c r="A931" s="7">
        <v>1209669591</v>
      </c>
      <c r="B931" s="4" t="s">
        <v>515</v>
      </c>
      <c r="C931" s="4" t="s">
        <v>516</v>
      </c>
      <c r="D931" s="6">
        <v>46309.426689814798</v>
      </c>
      <c r="E931" s="6">
        <v>46309.176666666703</v>
      </c>
      <c r="F931" s="6">
        <v>46309</v>
      </c>
      <c r="G931" s="5" t="s">
        <v>12</v>
      </c>
      <c r="H931" s="5" t="s">
        <v>16</v>
      </c>
      <c r="I931" s="5">
        <v>14</v>
      </c>
      <c r="J931" s="9" t="s">
        <v>17</v>
      </c>
      <c r="K931" s="1" t="s">
        <v>1223</v>
      </c>
      <c r="L931" t="s">
        <v>3284</v>
      </c>
      <c r="M931" t="str">
        <f>+VLOOKUP(C931,'[1]TIENDAS 2025'!$A$1:$C$143,3,0)</f>
        <v>prioridad</v>
      </c>
      <c r="O931">
        <v>1</v>
      </c>
    </row>
    <row r="932" spans="1:15" ht="15" customHeight="1" x14ac:dyDescent="0.3">
      <c r="A932" s="7">
        <v>1209669622</v>
      </c>
      <c r="B932" s="4" t="s">
        <v>512</v>
      </c>
      <c r="C932" s="4" t="s">
        <v>513</v>
      </c>
      <c r="D932" s="6">
        <v>46309.426712963003</v>
      </c>
      <c r="E932" s="6">
        <v>46309.176678240699</v>
      </c>
      <c r="F932" s="6">
        <v>46309</v>
      </c>
      <c r="G932" s="5" t="s">
        <v>12</v>
      </c>
      <c r="H932" s="5" t="s">
        <v>16</v>
      </c>
      <c r="I932" s="5">
        <v>12</v>
      </c>
      <c r="J932" s="9" t="s">
        <v>17</v>
      </c>
      <c r="K932" s="1" t="s">
        <v>1224</v>
      </c>
      <c r="L932" t="s">
        <v>3284</v>
      </c>
      <c r="M932" t="str">
        <f>+VLOOKUP(C932,'[1]TIENDAS 2025'!$A$1:$C$143,3,0)</f>
        <v>prioridad</v>
      </c>
      <c r="O932">
        <v>1</v>
      </c>
    </row>
    <row r="933" spans="1:15" ht="15" customHeight="1" x14ac:dyDescent="0.3">
      <c r="A933" s="7">
        <v>1209669598</v>
      </c>
      <c r="B933" s="4" t="s">
        <v>515</v>
      </c>
      <c r="C933" s="4" t="s">
        <v>516</v>
      </c>
      <c r="D933" s="6">
        <v>46309.426736111098</v>
      </c>
      <c r="E933" s="6">
        <v>46309.176701388897</v>
      </c>
      <c r="F933" s="6">
        <v>46309</v>
      </c>
      <c r="G933" s="5" t="s">
        <v>12</v>
      </c>
      <c r="H933" s="5" t="s">
        <v>29</v>
      </c>
      <c r="I933" s="5">
        <v>29</v>
      </c>
      <c r="J933" s="9" t="s">
        <v>17</v>
      </c>
      <c r="K933" s="1" t="s">
        <v>1225</v>
      </c>
      <c r="L933" t="s">
        <v>3284</v>
      </c>
      <c r="M933" t="str">
        <f>+VLOOKUP(C933,'[1]TIENDAS 2025'!$A$1:$C$143,3,0)</f>
        <v>prioridad</v>
      </c>
      <c r="O933">
        <v>1</v>
      </c>
    </row>
    <row r="934" spans="1:15" ht="15" customHeight="1" x14ac:dyDescent="0.3">
      <c r="A934" s="7">
        <v>8209669618</v>
      </c>
      <c r="B934" s="4" t="s">
        <v>512</v>
      </c>
      <c r="C934" s="4" t="s">
        <v>513</v>
      </c>
      <c r="D934" s="6">
        <v>46309.426747685196</v>
      </c>
      <c r="E934" s="6">
        <v>46309.176712963003</v>
      </c>
      <c r="F934" s="6">
        <v>46309</v>
      </c>
      <c r="G934" s="5" t="s">
        <v>12</v>
      </c>
      <c r="H934" s="5" t="s">
        <v>27</v>
      </c>
      <c r="I934" s="5">
        <v>7</v>
      </c>
      <c r="J934" s="10" t="s">
        <v>17</v>
      </c>
      <c r="K934" s="1" t="s">
        <v>1226</v>
      </c>
      <c r="M934" t="str">
        <f>+VLOOKUP(C934,'[1]TIENDAS 2025'!$A$1:$C$143,3,0)</f>
        <v>prioridad</v>
      </c>
      <c r="O934">
        <v>1</v>
      </c>
    </row>
    <row r="935" spans="1:15" ht="15" customHeight="1" x14ac:dyDescent="0.3">
      <c r="A935" s="7">
        <v>8209669562</v>
      </c>
      <c r="B935" s="4" t="s">
        <v>439</v>
      </c>
      <c r="C935" s="4" t="s">
        <v>440</v>
      </c>
      <c r="D935" s="6">
        <v>46309.426747685196</v>
      </c>
      <c r="E935" s="6">
        <v>46309.176724536999</v>
      </c>
      <c r="F935" s="6">
        <v>46309</v>
      </c>
      <c r="G935" s="5" t="s">
        <v>12</v>
      </c>
      <c r="H935" s="5" t="s">
        <v>27</v>
      </c>
      <c r="I935" s="5">
        <v>2</v>
      </c>
      <c r="J935" s="10" t="s">
        <v>17</v>
      </c>
      <c r="K935" s="1" t="s">
        <v>1227</v>
      </c>
      <c r="M935" t="str">
        <f>+VLOOKUP(C935,'[1]TIENDAS 2025'!$A$1:$C$143,3,0)</f>
        <v>prioridad</v>
      </c>
      <c r="O935">
        <v>1</v>
      </c>
    </row>
    <row r="936" spans="1:15" ht="15" customHeight="1" x14ac:dyDescent="0.3">
      <c r="A936" s="7">
        <v>1209669589</v>
      </c>
      <c r="B936" s="4" t="s">
        <v>515</v>
      </c>
      <c r="C936" s="4" t="s">
        <v>516</v>
      </c>
      <c r="D936" s="6">
        <v>46309.426770833299</v>
      </c>
      <c r="E936" s="6">
        <v>46309.176736111098</v>
      </c>
      <c r="F936" s="6">
        <v>46309</v>
      </c>
      <c r="G936" s="5" t="s">
        <v>12</v>
      </c>
      <c r="H936" s="5" t="s">
        <v>16</v>
      </c>
      <c r="I936" s="5">
        <v>1</v>
      </c>
      <c r="J936" s="9" t="s">
        <v>17</v>
      </c>
      <c r="K936" s="1" t="s">
        <v>1228</v>
      </c>
      <c r="L936" t="s">
        <v>3284</v>
      </c>
      <c r="M936" t="str">
        <f>+VLOOKUP(C936,'[1]TIENDAS 2025'!$A$1:$C$143,3,0)</f>
        <v>prioridad</v>
      </c>
      <c r="O936">
        <v>1</v>
      </c>
    </row>
    <row r="937" spans="1:15" ht="15" customHeight="1" x14ac:dyDescent="0.3">
      <c r="A937" s="7">
        <v>8209669616</v>
      </c>
      <c r="B937" s="4" t="s">
        <v>512</v>
      </c>
      <c r="C937" s="4" t="s">
        <v>513</v>
      </c>
      <c r="D937" s="6">
        <v>46309.426782407398</v>
      </c>
      <c r="E937" s="6">
        <v>46309.176759259302</v>
      </c>
      <c r="F937" s="6">
        <v>46309</v>
      </c>
      <c r="G937" s="5" t="s">
        <v>12</v>
      </c>
      <c r="H937" s="5" t="s">
        <v>27</v>
      </c>
      <c r="I937" s="5">
        <v>2</v>
      </c>
      <c r="J937" s="10" t="s">
        <v>17</v>
      </c>
      <c r="K937" s="1" t="s">
        <v>1229</v>
      </c>
      <c r="M937" t="str">
        <f>+VLOOKUP(C937,'[1]TIENDAS 2025'!$A$1:$C$143,3,0)</f>
        <v>prioridad</v>
      </c>
      <c r="O937">
        <v>1</v>
      </c>
    </row>
    <row r="938" spans="1:15" ht="15" customHeight="1" x14ac:dyDescent="0.3">
      <c r="A938" s="7">
        <v>1209669578</v>
      </c>
      <c r="B938" s="4" t="s">
        <v>439</v>
      </c>
      <c r="C938" s="4" t="s">
        <v>440</v>
      </c>
      <c r="D938" s="6">
        <v>46309.426805555602</v>
      </c>
      <c r="E938" s="6">
        <v>46309.176770833299</v>
      </c>
      <c r="F938" s="6">
        <v>46309</v>
      </c>
      <c r="G938" s="5" t="s">
        <v>12</v>
      </c>
      <c r="H938" s="5" t="s">
        <v>16</v>
      </c>
      <c r="I938" s="5">
        <v>15</v>
      </c>
      <c r="J938" s="9" t="s">
        <v>17</v>
      </c>
      <c r="K938" s="1" t="s">
        <v>1230</v>
      </c>
      <c r="L938" t="s">
        <v>3284</v>
      </c>
      <c r="M938" t="str">
        <f>+VLOOKUP(C938,'[1]TIENDAS 2025'!$A$1:$C$143,3,0)</f>
        <v>prioridad</v>
      </c>
      <c r="O938">
        <v>1</v>
      </c>
    </row>
    <row r="939" spans="1:15" ht="15" customHeight="1" x14ac:dyDescent="0.3">
      <c r="A939" s="7">
        <v>1209669579</v>
      </c>
      <c r="B939" s="4" t="s">
        <v>439</v>
      </c>
      <c r="C939" s="4" t="s">
        <v>440</v>
      </c>
      <c r="D939" s="6">
        <v>46309.426805555602</v>
      </c>
      <c r="E939" s="6">
        <v>46309.176782407398</v>
      </c>
      <c r="F939" s="6">
        <v>46309</v>
      </c>
      <c r="G939" s="5" t="s">
        <v>12</v>
      </c>
      <c r="H939" s="5" t="s">
        <v>29</v>
      </c>
      <c r="I939" s="5">
        <v>20</v>
      </c>
      <c r="J939" s="9" t="s">
        <v>17</v>
      </c>
      <c r="K939" s="1" t="s">
        <v>1231</v>
      </c>
      <c r="L939" t="s">
        <v>3284</v>
      </c>
      <c r="M939" t="str">
        <f>+VLOOKUP(C939,'[1]TIENDAS 2025'!$A$1:$C$143,3,0)</f>
        <v>prioridad</v>
      </c>
      <c r="O939">
        <v>1</v>
      </c>
    </row>
    <row r="940" spans="1:15" ht="15" customHeight="1" x14ac:dyDescent="0.3">
      <c r="A940" s="7">
        <v>1209669596</v>
      </c>
      <c r="B940" s="4" t="s">
        <v>515</v>
      </c>
      <c r="C940" s="4" t="s">
        <v>516</v>
      </c>
      <c r="D940" s="6">
        <v>46309.426817129599</v>
      </c>
      <c r="E940" s="6">
        <v>46309.176793981504</v>
      </c>
      <c r="F940" s="6">
        <v>46309</v>
      </c>
      <c r="G940" s="5" t="s">
        <v>12</v>
      </c>
      <c r="H940" s="5" t="s">
        <v>16</v>
      </c>
      <c r="I940" s="5">
        <v>18</v>
      </c>
      <c r="J940" s="9" t="s">
        <v>17</v>
      </c>
      <c r="K940" s="1" t="s">
        <v>1232</v>
      </c>
      <c r="L940" t="s">
        <v>3284</v>
      </c>
      <c r="M940" t="str">
        <f>+VLOOKUP(C940,'[1]TIENDAS 2025'!$A$1:$C$143,3,0)</f>
        <v>prioridad</v>
      </c>
      <c r="O940">
        <v>1</v>
      </c>
    </row>
    <row r="941" spans="1:15" ht="15" customHeight="1" x14ac:dyDescent="0.3">
      <c r="A941" s="7">
        <v>8209669584</v>
      </c>
      <c r="B941" s="4" t="s">
        <v>515</v>
      </c>
      <c r="C941" s="4" t="s">
        <v>516</v>
      </c>
      <c r="D941" s="6">
        <v>46309.426840277803</v>
      </c>
      <c r="E941" s="6">
        <v>46309.176805555602</v>
      </c>
      <c r="F941" s="6">
        <v>46309</v>
      </c>
      <c r="G941" s="5" t="s">
        <v>12</v>
      </c>
      <c r="H941" s="5" t="s">
        <v>27</v>
      </c>
      <c r="I941" s="5">
        <v>1</v>
      </c>
      <c r="J941" s="10" t="s">
        <v>17</v>
      </c>
      <c r="K941" s="1" t="s">
        <v>1233</v>
      </c>
      <c r="M941" t="str">
        <f>+VLOOKUP(C941,'[1]TIENDAS 2025'!$A$1:$C$143,3,0)</f>
        <v>prioridad</v>
      </c>
      <c r="O941">
        <v>1</v>
      </c>
    </row>
    <row r="942" spans="1:15" ht="15" customHeight="1" x14ac:dyDescent="0.3">
      <c r="A942" s="7">
        <v>8209669587</v>
      </c>
      <c r="B942" s="4" t="s">
        <v>515</v>
      </c>
      <c r="C942" s="4" t="s">
        <v>516</v>
      </c>
      <c r="D942" s="6">
        <v>46309.426851851902</v>
      </c>
      <c r="E942" s="6">
        <v>46309.176828703698</v>
      </c>
      <c r="F942" s="6">
        <v>46309</v>
      </c>
      <c r="G942" s="5" t="s">
        <v>12</v>
      </c>
      <c r="H942" s="5" t="s">
        <v>27</v>
      </c>
      <c r="I942" s="5">
        <v>6</v>
      </c>
      <c r="J942" s="10" t="s">
        <v>17</v>
      </c>
      <c r="K942" s="1" t="s">
        <v>1234</v>
      </c>
      <c r="M942" t="str">
        <f>+VLOOKUP(C942,'[1]TIENDAS 2025'!$A$1:$C$143,3,0)</f>
        <v>prioridad</v>
      </c>
      <c r="O942">
        <v>1</v>
      </c>
    </row>
    <row r="943" spans="1:15" ht="15" customHeight="1" x14ac:dyDescent="0.3">
      <c r="A943" s="7">
        <v>8209669588</v>
      </c>
      <c r="B943" s="4" t="s">
        <v>515</v>
      </c>
      <c r="C943" s="4" t="s">
        <v>516</v>
      </c>
      <c r="D943" s="6">
        <v>46309.426874999997</v>
      </c>
      <c r="E943" s="6">
        <v>46309.176840277803</v>
      </c>
      <c r="F943" s="6">
        <v>46309</v>
      </c>
      <c r="G943" s="5" t="s">
        <v>12</v>
      </c>
      <c r="H943" s="5" t="s">
        <v>27</v>
      </c>
      <c r="I943" s="5">
        <v>1</v>
      </c>
      <c r="J943" s="10" t="s">
        <v>17</v>
      </c>
      <c r="K943" s="1" t="s">
        <v>1235</v>
      </c>
      <c r="M943" t="str">
        <f>+VLOOKUP(C943,'[1]TIENDAS 2025'!$A$1:$C$143,3,0)</f>
        <v>prioridad</v>
      </c>
      <c r="O943">
        <v>1</v>
      </c>
    </row>
    <row r="944" spans="1:15" ht="15" customHeight="1" x14ac:dyDescent="0.3">
      <c r="A944" s="7">
        <v>8209669628</v>
      </c>
      <c r="B944" s="4" t="s">
        <v>512</v>
      </c>
      <c r="C944" s="4" t="s">
        <v>513</v>
      </c>
      <c r="D944" s="6">
        <v>46309.426886574103</v>
      </c>
      <c r="E944" s="6">
        <v>46309.176851851902</v>
      </c>
      <c r="F944" s="6">
        <v>46309</v>
      </c>
      <c r="G944" s="5" t="s">
        <v>12</v>
      </c>
      <c r="H944" s="5" t="s">
        <v>27</v>
      </c>
      <c r="I944" s="5">
        <v>7</v>
      </c>
      <c r="J944" s="10" t="s">
        <v>17</v>
      </c>
      <c r="K944" s="1" t="s">
        <v>1236</v>
      </c>
      <c r="M944" t="str">
        <f>+VLOOKUP(C944,'[1]TIENDAS 2025'!$A$1:$C$143,3,0)</f>
        <v>prioridad</v>
      </c>
      <c r="O944">
        <v>1</v>
      </c>
    </row>
    <row r="945" spans="1:15" ht="15" customHeight="1" x14ac:dyDescent="0.3">
      <c r="A945" s="7">
        <v>8209669629</v>
      </c>
      <c r="B945" s="4" t="s">
        <v>512</v>
      </c>
      <c r="C945" s="4" t="s">
        <v>513</v>
      </c>
      <c r="D945" s="6">
        <v>46309.426898148202</v>
      </c>
      <c r="E945" s="6">
        <v>46309.176863425899</v>
      </c>
      <c r="F945" s="6">
        <v>46309</v>
      </c>
      <c r="G945" s="5" t="s">
        <v>12</v>
      </c>
      <c r="H945" s="5" t="s">
        <v>27</v>
      </c>
      <c r="I945" s="5">
        <v>1</v>
      </c>
      <c r="J945" s="10" t="s">
        <v>17</v>
      </c>
      <c r="K945" s="1" t="s">
        <v>1237</v>
      </c>
      <c r="M945" t="str">
        <f>+VLOOKUP(C945,'[1]TIENDAS 2025'!$A$1:$C$143,3,0)</f>
        <v>prioridad</v>
      </c>
      <c r="O945">
        <v>1</v>
      </c>
    </row>
    <row r="946" spans="1:15" ht="15" customHeight="1" x14ac:dyDescent="0.3">
      <c r="A946" s="7">
        <v>1209669580</v>
      </c>
      <c r="B946" s="4" t="s">
        <v>439</v>
      </c>
      <c r="C946" s="4" t="s">
        <v>440</v>
      </c>
      <c r="D946" s="6">
        <v>46309.426909722199</v>
      </c>
      <c r="E946" s="6">
        <v>46309.176874999997</v>
      </c>
      <c r="F946" s="6">
        <v>46309</v>
      </c>
      <c r="G946" s="5" t="s">
        <v>12</v>
      </c>
      <c r="H946" s="5" t="s">
        <v>29</v>
      </c>
      <c r="I946" s="5">
        <v>21</v>
      </c>
      <c r="J946" s="9" t="s">
        <v>17</v>
      </c>
      <c r="K946" s="1" t="s">
        <v>1238</v>
      </c>
      <c r="L946" t="s">
        <v>3284</v>
      </c>
      <c r="M946" t="str">
        <f>+VLOOKUP(C946,'[1]TIENDAS 2025'!$A$1:$C$143,3,0)</f>
        <v>prioridad</v>
      </c>
      <c r="O946">
        <v>1</v>
      </c>
    </row>
    <row r="947" spans="1:15" ht="15" customHeight="1" x14ac:dyDescent="0.3">
      <c r="A947" s="7">
        <v>1209669563</v>
      </c>
      <c r="B947" s="4" t="s">
        <v>439</v>
      </c>
      <c r="C947" s="4" t="s">
        <v>440</v>
      </c>
      <c r="D947" s="6">
        <v>46309.426921296297</v>
      </c>
      <c r="E947" s="6">
        <v>46309.176898148202</v>
      </c>
      <c r="F947" s="6">
        <v>46309</v>
      </c>
      <c r="G947" s="5" t="s">
        <v>12</v>
      </c>
      <c r="H947" s="5" t="s">
        <v>16</v>
      </c>
      <c r="I947" s="5">
        <v>3</v>
      </c>
      <c r="J947" s="9" t="s">
        <v>17</v>
      </c>
      <c r="K947" s="1" t="s">
        <v>1239</v>
      </c>
      <c r="L947" t="s">
        <v>3284</v>
      </c>
      <c r="M947" t="str">
        <f>+VLOOKUP(C947,'[1]TIENDAS 2025'!$A$1:$C$143,3,0)</f>
        <v>prioridad</v>
      </c>
      <c r="O947">
        <v>1</v>
      </c>
    </row>
    <row r="948" spans="1:15" ht="15" customHeight="1" x14ac:dyDescent="0.3">
      <c r="A948" s="7">
        <v>1209669592</v>
      </c>
      <c r="B948" s="4" t="s">
        <v>515</v>
      </c>
      <c r="C948" s="4" t="s">
        <v>516</v>
      </c>
      <c r="D948" s="6">
        <v>46309.426932870403</v>
      </c>
      <c r="E948" s="6">
        <v>46309.176909722199</v>
      </c>
      <c r="F948" s="6">
        <v>46309</v>
      </c>
      <c r="G948" s="5" t="s">
        <v>12</v>
      </c>
      <c r="H948" s="5" t="s">
        <v>16</v>
      </c>
      <c r="I948" s="5">
        <v>10</v>
      </c>
      <c r="J948" s="9" t="s">
        <v>17</v>
      </c>
      <c r="K948" s="1" t="s">
        <v>1240</v>
      </c>
      <c r="L948" t="s">
        <v>3284</v>
      </c>
      <c r="M948" t="str">
        <f>+VLOOKUP(C948,'[1]TIENDAS 2025'!$A$1:$C$143,3,0)</f>
        <v>prioridad</v>
      </c>
      <c r="O948">
        <v>1</v>
      </c>
    </row>
    <row r="949" spans="1:15" ht="15" customHeight="1" x14ac:dyDescent="0.3">
      <c r="A949" s="7">
        <v>1209669626</v>
      </c>
      <c r="B949" s="4" t="s">
        <v>512</v>
      </c>
      <c r="C949" s="4" t="s">
        <v>513</v>
      </c>
      <c r="D949" s="6">
        <v>46309.4269444444</v>
      </c>
      <c r="E949" s="6">
        <v>46309.176921296297</v>
      </c>
      <c r="F949" s="6">
        <v>46309</v>
      </c>
      <c r="G949" s="5" t="s">
        <v>12</v>
      </c>
      <c r="H949" s="5" t="s">
        <v>16</v>
      </c>
      <c r="I949" s="5">
        <v>35</v>
      </c>
      <c r="J949" s="9" t="s">
        <v>17</v>
      </c>
      <c r="K949" s="1" t="s">
        <v>1241</v>
      </c>
      <c r="L949" t="s">
        <v>3284</v>
      </c>
      <c r="M949" t="str">
        <f>+VLOOKUP(C949,'[1]TIENDAS 2025'!$A$1:$C$143,3,0)</f>
        <v>prioridad</v>
      </c>
      <c r="O949">
        <v>1</v>
      </c>
    </row>
    <row r="950" spans="1:15" ht="15" customHeight="1" x14ac:dyDescent="0.3">
      <c r="A950" s="7">
        <v>1209669633</v>
      </c>
      <c r="B950" s="4" t="s">
        <v>512</v>
      </c>
      <c r="C950" s="4" t="s">
        <v>513</v>
      </c>
      <c r="D950" s="6">
        <v>46309.426967592597</v>
      </c>
      <c r="E950" s="6">
        <v>46309.176932870403</v>
      </c>
      <c r="F950" s="6">
        <v>46309</v>
      </c>
      <c r="G950" s="5" t="s">
        <v>12</v>
      </c>
      <c r="H950" s="5" t="s">
        <v>16</v>
      </c>
      <c r="I950" s="5">
        <v>24</v>
      </c>
      <c r="J950" s="9" t="s">
        <v>17</v>
      </c>
      <c r="K950" s="1" t="s">
        <v>1242</v>
      </c>
      <c r="L950" t="s">
        <v>3284</v>
      </c>
      <c r="M950" t="str">
        <f>+VLOOKUP(C950,'[1]TIENDAS 2025'!$A$1:$C$143,3,0)</f>
        <v>prioridad</v>
      </c>
      <c r="O950">
        <v>1</v>
      </c>
    </row>
    <row r="951" spans="1:15" ht="15" customHeight="1" x14ac:dyDescent="0.3">
      <c r="A951" s="7">
        <v>1209669595</v>
      </c>
      <c r="B951" s="4" t="s">
        <v>515</v>
      </c>
      <c r="C951" s="4" t="s">
        <v>516</v>
      </c>
      <c r="D951" s="6">
        <v>46309.426979166703</v>
      </c>
      <c r="E951" s="6">
        <v>46309.176956018498</v>
      </c>
      <c r="F951" s="6">
        <v>46309</v>
      </c>
      <c r="G951" s="5" t="s">
        <v>12</v>
      </c>
      <c r="H951" s="5" t="s">
        <v>16</v>
      </c>
      <c r="I951" s="5">
        <v>11</v>
      </c>
      <c r="J951" s="9" t="s">
        <v>17</v>
      </c>
      <c r="K951" s="1" t="s">
        <v>1243</v>
      </c>
      <c r="L951" t="s">
        <v>3284</v>
      </c>
      <c r="M951" t="str">
        <f>+VLOOKUP(C951,'[1]TIENDAS 2025'!$A$1:$C$143,3,0)</f>
        <v>prioridad</v>
      </c>
      <c r="O951">
        <v>1</v>
      </c>
    </row>
    <row r="952" spans="1:15" ht="15" customHeight="1" x14ac:dyDescent="0.3">
      <c r="A952" s="7">
        <v>8209669573</v>
      </c>
      <c r="B952" s="4" t="s">
        <v>439</v>
      </c>
      <c r="C952" s="4" t="s">
        <v>440</v>
      </c>
      <c r="D952" s="6">
        <v>46309.427002314798</v>
      </c>
      <c r="E952" s="6">
        <v>46309.176967592597</v>
      </c>
      <c r="F952" s="6">
        <v>46309</v>
      </c>
      <c r="G952" s="5" t="s">
        <v>12</v>
      </c>
      <c r="H952" s="5" t="s">
        <v>27</v>
      </c>
      <c r="I952" s="5">
        <v>2</v>
      </c>
      <c r="J952" s="10" t="s">
        <v>17</v>
      </c>
      <c r="K952" s="1" t="s">
        <v>1244</v>
      </c>
      <c r="M952" t="str">
        <f>+VLOOKUP(C952,'[1]TIENDAS 2025'!$A$1:$C$143,3,0)</f>
        <v>prioridad</v>
      </c>
      <c r="O952">
        <v>1</v>
      </c>
    </row>
    <row r="953" spans="1:15" ht="15" customHeight="1" x14ac:dyDescent="0.3">
      <c r="A953" s="7">
        <v>1209669620</v>
      </c>
      <c r="B953" s="4" t="s">
        <v>512</v>
      </c>
      <c r="C953" s="4" t="s">
        <v>513</v>
      </c>
      <c r="D953" s="6">
        <v>46309.427013888897</v>
      </c>
      <c r="E953" s="6">
        <v>46309.1769907407</v>
      </c>
      <c r="F953" s="6">
        <v>46309</v>
      </c>
      <c r="G953" s="5" t="s">
        <v>12</v>
      </c>
      <c r="H953" s="5" t="s">
        <v>16</v>
      </c>
      <c r="I953" s="5">
        <v>8</v>
      </c>
      <c r="J953" s="9" t="s">
        <v>17</v>
      </c>
      <c r="K953" s="1" t="s">
        <v>1245</v>
      </c>
      <c r="L953" t="s">
        <v>3284</v>
      </c>
      <c r="M953" t="str">
        <f>+VLOOKUP(C953,'[1]TIENDAS 2025'!$A$1:$C$143,3,0)</f>
        <v>prioridad</v>
      </c>
      <c r="O953">
        <v>1</v>
      </c>
    </row>
    <row r="954" spans="1:15" ht="15" customHeight="1" x14ac:dyDescent="0.3">
      <c r="A954" s="7">
        <v>1209669590</v>
      </c>
      <c r="B954" s="4" t="s">
        <v>515</v>
      </c>
      <c r="C954" s="4" t="s">
        <v>516</v>
      </c>
      <c r="D954" s="6">
        <v>46309.427037037</v>
      </c>
      <c r="E954" s="6">
        <v>46309.177002314798</v>
      </c>
      <c r="F954" s="6">
        <v>46309</v>
      </c>
      <c r="G954" s="5" t="s">
        <v>12</v>
      </c>
      <c r="H954" s="5" t="s">
        <v>16</v>
      </c>
      <c r="I954" s="5">
        <v>6</v>
      </c>
      <c r="J954" s="9" t="s">
        <v>17</v>
      </c>
      <c r="K954" s="1" t="s">
        <v>1246</v>
      </c>
      <c r="L954" t="s">
        <v>3284</v>
      </c>
      <c r="M954" t="str">
        <f>+VLOOKUP(C954,'[1]TIENDAS 2025'!$A$1:$C$143,3,0)</f>
        <v>prioridad</v>
      </c>
      <c r="O954">
        <v>1</v>
      </c>
    </row>
    <row r="955" spans="1:15" ht="15" customHeight="1" x14ac:dyDescent="0.3">
      <c r="A955" s="7">
        <v>1209669594</v>
      </c>
      <c r="B955" s="4" t="s">
        <v>515</v>
      </c>
      <c r="C955" s="4" t="s">
        <v>516</v>
      </c>
      <c r="D955" s="6">
        <v>46309.427048611098</v>
      </c>
      <c r="E955" s="6">
        <v>46309.177025463003</v>
      </c>
      <c r="F955" s="6">
        <v>46309</v>
      </c>
      <c r="G955" s="5" t="s">
        <v>12</v>
      </c>
      <c r="H955" s="5" t="s">
        <v>16</v>
      </c>
      <c r="I955" s="5">
        <v>12</v>
      </c>
      <c r="J955" s="9" t="s">
        <v>17</v>
      </c>
      <c r="K955" s="1" t="s">
        <v>1247</v>
      </c>
      <c r="L955" t="s">
        <v>3284</v>
      </c>
      <c r="M955" t="str">
        <f>+VLOOKUP(C955,'[1]TIENDAS 2025'!$A$1:$C$143,3,0)</f>
        <v>prioridad</v>
      </c>
      <c r="O955">
        <v>1</v>
      </c>
    </row>
    <row r="956" spans="1:15" ht="15" customHeight="1" x14ac:dyDescent="0.3">
      <c r="A956" s="7">
        <v>8209669560</v>
      </c>
      <c r="B956" s="4" t="s">
        <v>439</v>
      </c>
      <c r="C956" s="4" t="s">
        <v>440</v>
      </c>
      <c r="D956" s="6">
        <v>46309.427060185197</v>
      </c>
      <c r="E956" s="6">
        <v>46309.177037037</v>
      </c>
      <c r="F956" s="6">
        <v>46309</v>
      </c>
      <c r="G956" s="5" t="s">
        <v>12</v>
      </c>
      <c r="H956" s="5" t="s">
        <v>27</v>
      </c>
      <c r="I956" s="5">
        <v>4</v>
      </c>
      <c r="J956" s="10" t="s">
        <v>17</v>
      </c>
      <c r="K956" s="1" t="s">
        <v>1248</v>
      </c>
      <c r="M956" t="str">
        <f>+VLOOKUP(C956,'[1]TIENDAS 2025'!$A$1:$C$143,3,0)</f>
        <v>prioridad</v>
      </c>
      <c r="O956">
        <v>1</v>
      </c>
    </row>
    <row r="957" spans="1:15" ht="15" customHeight="1" x14ac:dyDescent="0.3">
      <c r="A957" s="7">
        <v>8209669561</v>
      </c>
      <c r="B957" s="4" t="s">
        <v>439</v>
      </c>
      <c r="C957" s="4" t="s">
        <v>440</v>
      </c>
      <c r="D957" s="6">
        <v>46309.427083333299</v>
      </c>
      <c r="E957" s="6">
        <v>46309.177060185197</v>
      </c>
      <c r="F957" s="6">
        <v>46309</v>
      </c>
      <c r="G957" s="5" t="s">
        <v>12</v>
      </c>
      <c r="H957" s="5" t="s">
        <v>27</v>
      </c>
      <c r="I957" s="5">
        <v>4</v>
      </c>
      <c r="J957" s="10" t="s">
        <v>17</v>
      </c>
      <c r="K957" s="1" t="s">
        <v>1249</v>
      </c>
      <c r="M957" t="str">
        <f>+VLOOKUP(C957,'[1]TIENDAS 2025'!$A$1:$C$143,3,0)</f>
        <v>prioridad</v>
      </c>
      <c r="O957">
        <v>1</v>
      </c>
    </row>
    <row r="958" spans="1:15" ht="15" customHeight="1" x14ac:dyDescent="0.3">
      <c r="A958" s="7">
        <v>1209669593</v>
      </c>
      <c r="B958" s="4" t="s">
        <v>515</v>
      </c>
      <c r="C958" s="4" t="s">
        <v>516</v>
      </c>
      <c r="D958" s="6">
        <v>46309.427094907398</v>
      </c>
      <c r="E958" s="6">
        <v>46309.177071759303</v>
      </c>
      <c r="F958" s="6">
        <v>46309</v>
      </c>
      <c r="G958" s="5" t="s">
        <v>12</v>
      </c>
      <c r="H958" s="5" t="s">
        <v>16</v>
      </c>
      <c r="I958" s="5">
        <v>12</v>
      </c>
      <c r="J958" s="9" t="s">
        <v>17</v>
      </c>
      <c r="K958" s="1" t="s">
        <v>1250</v>
      </c>
      <c r="L958" t="s">
        <v>3284</v>
      </c>
      <c r="M958" t="str">
        <f>+VLOOKUP(C958,'[1]TIENDAS 2025'!$A$1:$C$143,3,0)</f>
        <v>prioridad</v>
      </c>
      <c r="O958">
        <v>1</v>
      </c>
    </row>
    <row r="959" spans="1:15" ht="15" customHeight="1" x14ac:dyDescent="0.3">
      <c r="A959" s="7">
        <v>1209669631</v>
      </c>
      <c r="B959" s="4" t="s">
        <v>512</v>
      </c>
      <c r="C959" s="4" t="s">
        <v>513</v>
      </c>
      <c r="D959" s="6">
        <v>46309.427118055602</v>
      </c>
      <c r="E959" s="6">
        <v>46309.177083333299</v>
      </c>
      <c r="F959" s="6">
        <v>46309</v>
      </c>
      <c r="G959" s="5" t="s">
        <v>12</v>
      </c>
      <c r="H959" s="5" t="s">
        <v>16</v>
      </c>
      <c r="I959" s="5">
        <v>10</v>
      </c>
      <c r="J959" s="9" t="s">
        <v>17</v>
      </c>
      <c r="K959" s="1" t="s">
        <v>1251</v>
      </c>
      <c r="L959" t="s">
        <v>3284</v>
      </c>
      <c r="M959" t="str">
        <f>+VLOOKUP(C959,'[1]TIENDAS 2025'!$A$1:$C$143,3,0)</f>
        <v>prioridad</v>
      </c>
      <c r="O959">
        <v>1</v>
      </c>
    </row>
    <row r="960" spans="1:15" ht="15" customHeight="1" x14ac:dyDescent="0.3">
      <c r="A960" s="7">
        <v>1209669567</v>
      </c>
      <c r="B960" s="4" t="s">
        <v>439</v>
      </c>
      <c r="C960" s="4" t="s">
        <v>440</v>
      </c>
      <c r="D960" s="6">
        <v>46309.427129629599</v>
      </c>
      <c r="E960" s="6">
        <v>46309.177094907398</v>
      </c>
      <c r="F960" s="6">
        <v>46309</v>
      </c>
      <c r="G960" s="5" t="s">
        <v>12</v>
      </c>
      <c r="H960" s="5" t="s">
        <v>16</v>
      </c>
      <c r="I960" s="5">
        <v>10</v>
      </c>
      <c r="J960" s="9" t="s">
        <v>17</v>
      </c>
      <c r="K960" s="1" t="s">
        <v>1252</v>
      </c>
      <c r="L960" t="s">
        <v>3284</v>
      </c>
      <c r="M960" t="str">
        <f>+VLOOKUP(C960,'[1]TIENDAS 2025'!$A$1:$C$143,3,0)</f>
        <v>prioridad</v>
      </c>
      <c r="O960">
        <v>1</v>
      </c>
    </row>
    <row r="961" spans="1:15" ht="15" customHeight="1" x14ac:dyDescent="0.3">
      <c r="A961" s="7">
        <v>1209669624</v>
      </c>
      <c r="B961" s="4" t="s">
        <v>512</v>
      </c>
      <c r="C961" s="4" t="s">
        <v>513</v>
      </c>
      <c r="D961" s="6">
        <v>46309.427141203698</v>
      </c>
      <c r="E961" s="6">
        <v>46309.177106481497</v>
      </c>
      <c r="F961" s="6">
        <v>46309</v>
      </c>
      <c r="G961" s="5" t="s">
        <v>12</v>
      </c>
      <c r="H961" s="5" t="s">
        <v>29</v>
      </c>
      <c r="I961" s="5">
        <v>8</v>
      </c>
      <c r="J961" s="9" t="s">
        <v>17</v>
      </c>
      <c r="K961" s="1" t="s">
        <v>1253</v>
      </c>
      <c r="L961" t="s">
        <v>3284</v>
      </c>
      <c r="M961" t="str">
        <f>+VLOOKUP(C961,'[1]TIENDAS 2025'!$A$1:$C$143,3,0)</f>
        <v>prioridad</v>
      </c>
      <c r="O961">
        <v>1</v>
      </c>
    </row>
    <row r="962" spans="1:15" ht="15" customHeight="1" x14ac:dyDescent="0.3">
      <c r="A962" s="7">
        <v>8209669572</v>
      </c>
      <c r="B962" s="4" t="s">
        <v>439</v>
      </c>
      <c r="C962" s="4" t="s">
        <v>440</v>
      </c>
      <c r="D962" s="6">
        <v>46309.427152777796</v>
      </c>
      <c r="E962" s="6">
        <v>46309.177129629599</v>
      </c>
      <c r="F962" s="6">
        <v>46309</v>
      </c>
      <c r="G962" s="5" t="s">
        <v>12</v>
      </c>
      <c r="H962" s="5" t="s">
        <v>27</v>
      </c>
      <c r="I962" s="5">
        <v>1</v>
      </c>
      <c r="J962" s="10" t="s">
        <v>17</v>
      </c>
      <c r="K962" s="1" t="s">
        <v>1254</v>
      </c>
      <c r="M962" t="str">
        <f>+VLOOKUP(C962,'[1]TIENDAS 2025'!$A$1:$C$143,3,0)</f>
        <v>prioridad</v>
      </c>
      <c r="O962">
        <v>1</v>
      </c>
    </row>
    <row r="963" spans="1:15" ht="15" customHeight="1" x14ac:dyDescent="0.3">
      <c r="A963" s="7">
        <v>1209669623</v>
      </c>
      <c r="B963" s="4" t="s">
        <v>512</v>
      </c>
      <c r="C963" s="4" t="s">
        <v>513</v>
      </c>
      <c r="D963" s="6">
        <v>46309.427164351902</v>
      </c>
      <c r="E963" s="6">
        <v>46309.177141203698</v>
      </c>
      <c r="F963" s="6">
        <v>46309</v>
      </c>
      <c r="G963" s="5" t="s">
        <v>12</v>
      </c>
      <c r="H963" s="5" t="s">
        <v>16</v>
      </c>
      <c r="I963" s="5">
        <v>21</v>
      </c>
      <c r="J963" s="9" t="s">
        <v>17</v>
      </c>
      <c r="K963" s="1" t="s">
        <v>1255</v>
      </c>
      <c r="L963" t="s">
        <v>3284</v>
      </c>
      <c r="M963" t="str">
        <f>+VLOOKUP(C963,'[1]TIENDAS 2025'!$A$1:$C$143,3,0)</f>
        <v>prioridad</v>
      </c>
      <c r="O963">
        <v>1</v>
      </c>
    </row>
    <row r="964" spans="1:15" ht="15" customHeight="1" x14ac:dyDescent="0.3">
      <c r="A964" s="7">
        <v>1209669649</v>
      </c>
      <c r="B964" s="4" t="s">
        <v>256</v>
      </c>
      <c r="C964" s="4" t="s">
        <v>257</v>
      </c>
      <c r="D964" s="6">
        <v>46309.436944444402</v>
      </c>
      <c r="E964" s="6">
        <v>46309.186909722201</v>
      </c>
      <c r="F964" s="6">
        <v>46309</v>
      </c>
      <c r="G964" s="5" t="s">
        <v>12</v>
      </c>
      <c r="H964" s="5" t="s">
        <v>29</v>
      </c>
      <c r="I964" s="5">
        <v>5</v>
      </c>
      <c r="J964" s="9" t="s">
        <v>17</v>
      </c>
      <c r="K964" s="1" t="s">
        <v>1256</v>
      </c>
      <c r="L964" t="s">
        <v>3284</v>
      </c>
      <c r="M964" t="str">
        <f>+VLOOKUP(C964,'[1]TIENDAS 2025'!$A$1:$C$143,3,0)</f>
        <v>prioridad</v>
      </c>
      <c r="O964">
        <v>1</v>
      </c>
    </row>
    <row r="965" spans="1:15" ht="15" customHeight="1" x14ac:dyDescent="0.3">
      <c r="A965" s="7">
        <v>8209669738</v>
      </c>
      <c r="B965" s="4" t="s">
        <v>295</v>
      </c>
      <c r="C965" s="4" t="s">
        <v>296</v>
      </c>
      <c r="D965" s="6">
        <v>46309.4369560185</v>
      </c>
      <c r="E965" s="6">
        <v>46309.186921296299</v>
      </c>
      <c r="F965" s="6">
        <v>46309</v>
      </c>
      <c r="G965" s="5" t="s">
        <v>12</v>
      </c>
      <c r="H965" s="5" t="s">
        <v>27</v>
      </c>
      <c r="I965" s="5">
        <v>1</v>
      </c>
      <c r="J965" s="10" t="s">
        <v>17</v>
      </c>
      <c r="K965" s="1" t="s">
        <v>1257</v>
      </c>
      <c r="M965" t="str">
        <f>+VLOOKUP(C965,'[1]TIENDAS 2025'!$A$1:$C$143,3,0)</f>
        <v>local</v>
      </c>
      <c r="O965">
        <v>1</v>
      </c>
    </row>
    <row r="966" spans="1:15" ht="15" customHeight="1" x14ac:dyDescent="0.3">
      <c r="A966" s="7">
        <v>1209669745</v>
      </c>
      <c r="B966" s="4" t="s">
        <v>295</v>
      </c>
      <c r="C966" s="4" t="s">
        <v>296</v>
      </c>
      <c r="D966" s="6">
        <v>46309.436967592599</v>
      </c>
      <c r="E966" s="6">
        <v>46309.186944444402</v>
      </c>
      <c r="F966" s="6">
        <v>46309</v>
      </c>
      <c r="G966" s="5" t="s">
        <v>12</v>
      </c>
      <c r="H966" s="5" t="s">
        <v>16</v>
      </c>
      <c r="I966" s="5">
        <v>1</v>
      </c>
      <c r="J966" s="9" t="s">
        <v>17</v>
      </c>
      <c r="K966" s="1" t="s">
        <v>1258</v>
      </c>
      <c r="L966" t="s">
        <v>3284</v>
      </c>
      <c r="M966" t="str">
        <f>+VLOOKUP(C966,'[1]TIENDAS 2025'!$A$1:$C$143,3,0)</f>
        <v>local</v>
      </c>
      <c r="O966">
        <v>1</v>
      </c>
    </row>
    <row r="967" spans="1:15" ht="15" customHeight="1" x14ac:dyDescent="0.3">
      <c r="A967" s="7">
        <v>1209669746</v>
      </c>
      <c r="B967" s="4" t="s">
        <v>295</v>
      </c>
      <c r="C967" s="4" t="s">
        <v>296</v>
      </c>
      <c r="D967" s="6">
        <v>46309.436979166698</v>
      </c>
      <c r="E967" s="6">
        <v>46309.1869560185</v>
      </c>
      <c r="F967" s="6">
        <v>46309</v>
      </c>
      <c r="G967" s="5" t="s">
        <v>12</v>
      </c>
      <c r="H967" s="5" t="s">
        <v>16</v>
      </c>
      <c r="I967" s="5">
        <v>5</v>
      </c>
      <c r="J967" s="9" t="s">
        <v>17</v>
      </c>
      <c r="K967" s="1" t="s">
        <v>1259</v>
      </c>
      <c r="L967" t="s">
        <v>3284</v>
      </c>
      <c r="M967" t="str">
        <f>+VLOOKUP(C967,'[1]TIENDAS 2025'!$A$1:$C$143,3,0)</f>
        <v>local</v>
      </c>
      <c r="O967">
        <v>1</v>
      </c>
    </row>
    <row r="968" spans="1:15" ht="15" customHeight="1" x14ac:dyDescent="0.3">
      <c r="A968" s="7">
        <v>1209669701</v>
      </c>
      <c r="B968" s="4" t="s">
        <v>442</v>
      </c>
      <c r="C968" s="4" t="s">
        <v>443</v>
      </c>
      <c r="D968" s="6">
        <v>46309.436990740702</v>
      </c>
      <c r="E968" s="6">
        <v>46309.186967592599</v>
      </c>
      <c r="F968" s="6">
        <v>46309</v>
      </c>
      <c r="G968" s="5" t="s">
        <v>12</v>
      </c>
      <c r="H968" s="5" t="s">
        <v>29</v>
      </c>
      <c r="I968" s="5">
        <v>33</v>
      </c>
      <c r="J968" s="9" t="s">
        <v>17</v>
      </c>
      <c r="K968" s="1" t="s">
        <v>1260</v>
      </c>
      <c r="L968" t="s">
        <v>3284</v>
      </c>
      <c r="M968" t="str">
        <f>+VLOOKUP(C968,'[1]TIENDAS 2025'!$A$1:$C$143,3,0)</f>
        <v>local</v>
      </c>
      <c r="O968">
        <v>1</v>
      </c>
    </row>
    <row r="969" spans="1:15" ht="15" customHeight="1" x14ac:dyDescent="0.3">
      <c r="A969" s="7">
        <v>1209669661</v>
      </c>
      <c r="B969" s="4" t="s">
        <v>256</v>
      </c>
      <c r="C969" s="4" t="s">
        <v>257</v>
      </c>
      <c r="D969" s="6">
        <v>46309.437013888899</v>
      </c>
      <c r="E969" s="6">
        <v>46309.186979166698</v>
      </c>
      <c r="F969" s="6">
        <v>46309</v>
      </c>
      <c r="G969" s="5" t="s">
        <v>12</v>
      </c>
      <c r="H969" s="5" t="s">
        <v>16</v>
      </c>
      <c r="I969" s="5">
        <v>10</v>
      </c>
      <c r="J969" s="9" t="s">
        <v>17</v>
      </c>
      <c r="K969" s="1" t="s">
        <v>1261</v>
      </c>
      <c r="L969" t="s">
        <v>3284</v>
      </c>
      <c r="M969" t="str">
        <f>+VLOOKUP(C969,'[1]TIENDAS 2025'!$A$1:$C$143,3,0)</f>
        <v>prioridad</v>
      </c>
      <c r="O969">
        <v>1</v>
      </c>
    </row>
    <row r="970" spans="1:15" ht="15" customHeight="1" x14ac:dyDescent="0.3">
      <c r="A970" s="7">
        <v>8209669680</v>
      </c>
      <c r="B970" s="4" t="s">
        <v>442</v>
      </c>
      <c r="C970" s="4" t="s">
        <v>443</v>
      </c>
      <c r="D970" s="6">
        <v>46309.437025462998</v>
      </c>
      <c r="E970" s="6">
        <v>46309.1870023148</v>
      </c>
      <c r="F970" s="6">
        <v>46309</v>
      </c>
      <c r="G970" s="5" t="s">
        <v>12</v>
      </c>
      <c r="H970" s="5" t="s">
        <v>27</v>
      </c>
      <c r="I970" s="5">
        <v>15</v>
      </c>
      <c r="J970" s="10" t="s">
        <v>17</v>
      </c>
      <c r="K970" s="1" t="s">
        <v>1262</v>
      </c>
      <c r="M970" t="str">
        <f>+VLOOKUP(C970,'[1]TIENDAS 2025'!$A$1:$C$143,3,0)</f>
        <v>local</v>
      </c>
      <c r="O970">
        <v>1</v>
      </c>
    </row>
    <row r="971" spans="1:15" ht="15" customHeight="1" x14ac:dyDescent="0.3">
      <c r="A971" s="7">
        <v>1209669752</v>
      </c>
      <c r="B971" s="4" t="s">
        <v>295</v>
      </c>
      <c r="C971" s="4" t="s">
        <v>296</v>
      </c>
      <c r="D971" s="6">
        <v>46309.437037037002</v>
      </c>
      <c r="E971" s="6">
        <v>46309.187013888899</v>
      </c>
      <c r="F971" s="6">
        <v>46309</v>
      </c>
      <c r="G971" s="5" t="s">
        <v>12</v>
      </c>
      <c r="H971" s="5" t="s">
        <v>16</v>
      </c>
      <c r="I971" s="5">
        <v>30</v>
      </c>
      <c r="J971" s="9" t="s">
        <v>17</v>
      </c>
      <c r="K971" s="1" t="s">
        <v>1263</v>
      </c>
      <c r="L971" t="s">
        <v>3284</v>
      </c>
      <c r="M971" t="str">
        <f>+VLOOKUP(C971,'[1]TIENDAS 2025'!$A$1:$C$143,3,0)</f>
        <v>local</v>
      </c>
      <c r="O971">
        <v>1</v>
      </c>
    </row>
    <row r="972" spans="1:15" ht="15" customHeight="1" x14ac:dyDescent="0.3">
      <c r="A972" s="7">
        <v>8209669643</v>
      </c>
      <c r="B972" s="4" t="s">
        <v>256</v>
      </c>
      <c r="C972" s="4" t="s">
        <v>257</v>
      </c>
      <c r="D972" s="6">
        <v>46309.4370486111</v>
      </c>
      <c r="E972" s="6">
        <v>46309.187025462998</v>
      </c>
      <c r="F972" s="6">
        <v>46309</v>
      </c>
      <c r="G972" s="5" t="s">
        <v>12</v>
      </c>
      <c r="H972" s="5" t="s">
        <v>27</v>
      </c>
      <c r="I972" s="5">
        <v>2</v>
      </c>
      <c r="J972" s="10" t="s">
        <v>17</v>
      </c>
      <c r="K972" s="1" t="s">
        <v>1264</v>
      </c>
      <c r="M972" t="str">
        <f>+VLOOKUP(C972,'[1]TIENDAS 2025'!$A$1:$C$143,3,0)</f>
        <v>prioridad</v>
      </c>
      <c r="O972">
        <v>1</v>
      </c>
    </row>
    <row r="973" spans="1:15" ht="15" customHeight="1" x14ac:dyDescent="0.3">
      <c r="A973" s="7">
        <v>8209669741</v>
      </c>
      <c r="B973" s="4" t="s">
        <v>295</v>
      </c>
      <c r="C973" s="4" t="s">
        <v>296</v>
      </c>
      <c r="D973" s="6">
        <v>46309.437071759297</v>
      </c>
      <c r="E973" s="6">
        <v>46309.187037037002</v>
      </c>
      <c r="F973" s="6">
        <v>46309</v>
      </c>
      <c r="G973" s="5" t="s">
        <v>12</v>
      </c>
      <c r="H973" s="5" t="s">
        <v>27</v>
      </c>
      <c r="I973" s="5">
        <v>18</v>
      </c>
      <c r="J973" s="10" t="s">
        <v>17</v>
      </c>
      <c r="K973" s="1" t="s">
        <v>1265</v>
      </c>
      <c r="M973" t="str">
        <f>+VLOOKUP(C973,'[1]TIENDAS 2025'!$A$1:$C$143,3,0)</f>
        <v>local</v>
      </c>
      <c r="O973">
        <v>1</v>
      </c>
    </row>
    <row r="974" spans="1:15" ht="15" customHeight="1" x14ac:dyDescent="0.3">
      <c r="A974" s="7">
        <v>1209669653</v>
      </c>
      <c r="B974" s="4" t="s">
        <v>256</v>
      </c>
      <c r="C974" s="4" t="s">
        <v>257</v>
      </c>
      <c r="D974" s="6">
        <v>46309.437083333301</v>
      </c>
      <c r="E974" s="6">
        <v>46309.1870486111</v>
      </c>
      <c r="F974" s="6">
        <v>46309</v>
      </c>
      <c r="G974" s="5" t="s">
        <v>12</v>
      </c>
      <c r="H974" s="5" t="s">
        <v>16</v>
      </c>
      <c r="I974" s="5">
        <v>10</v>
      </c>
      <c r="J974" s="9" t="s">
        <v>17</v>
      </c>
      <c r="K974" s="1" t="s">
        <v>1266</v>
      </c>
      <c r="L974" t="s">
        <v>3284</v>
      </c>
      <c r="M974" t="str">
        <f>+VLOOKUP(C974,'[1]TIENDAS 2025'!$A$1:$C$143,3,0)</f>
        <v>prioridad</v>
      </c>
      <c r="O974">
        <v>1</v>
      </c>
    </row>
    <row r="975" spans="1:15" ht="15" customHeight="1" x14ac:dyDescent="0.3">
      <c r="A975" s="7">
        <v>8209669713</v>
      </c>
      <c r="B975" s="4" t="s">
        <v>298</v>
      </c>
      <c r="C975" s="4" t="s">
        <v>299</v>
      </c>
      <c r="D975" s="6">
        <v>46309.437106481499</v>
      </c>
      <c r="E975" s="6">
        <v>46309.187083333301</v>
      </c>
      <c r="F975" s="6">
        <v>46309</v>
      </c>
      <c r="G975" s="5" t="s">
        <v>12</v>
      </c>
      <c r="H975" s="5" t="s">
        <v>27</v>
      </c>
      <c r="I975" s="5">
        <v>1</v>
      </c>
      <c r="J975" s="10" t="s">
        <v>17</v>
      </c>
      <c r="K975" s="1" t="s">
        <v>1267</v>
      </c>
      <c r="M975" t="str">
        <f>+VLOOKUP(C975,'[1]TIENDAS 2025'!$A$1:$C$143,3,0)</f>
        <v>local</v>
      </c>
      <c r="O975">
        <v>1</v>
      </c>
    </row>
    <row r="976" spans="1:15" ht="15" customHeight="1" x14ac:dyDescent="0.3">
      <c r="A976" s="7">
        <v>1209669748</v>
      </c>
      <c r="B976" s="4" t="s">
        <v>295</v>
      </c>
      <c r="C976" s="4" t="s">
        <v>296</v>
      </c>
      <c r="D976" s="6">
        <v>46309.437106481499</v>
      </c>
      <c r="E976" s="6">
        <v>46309.187071759297</v>
      </c>
      <c r="F976" s="6">
        <v>46309</v>
      </c>
      <c r="G976" s="5" t="s">
        <v>12</v>
      </c>
      <c r="H976" s="5" t="s">
        <v>16</v>
      </c>
      <c r="I976" s="5">
        <v>12</v>
      </c>
      <c r="J976" s="9" t="s">
        <v>17</v>
      </c>
      <c r="K976" s="1" t="s">
        <v>1268</v>
      </c>
      <c r="L976" t="s">
        <v>3284</v>
      </c>
      <c r="M976" t="str">
        <f>+VLOOKUP(C976,'[1]TIENDAS 2025'!$A$1:$C$143,3,0)</f>
        <v>local</v>
      </c>
      <c r="O976">
        <v>1</v>
      </c>
    </row>
    <row r="977" spans="1:15" ht="15" customHeight="1" x14ac:dyDescent="0.3">
      <c r="A977" s="7">
        <v>1209669695</v>
      </c>
      <c r="B977" s="4" t="s">
        <v>442</v>
      </c>
      <c r="C977" s="4" t="s">
        <v>443</v>
      </c>
      <c r="D977" s="6">
        <v>46309.437118055597</v>
      </c>
      <c r="E977" s="6">
        <v>46309.1870949074</v>
      </c>
      <c r="F977" s="6">
        <v>46309</v>
      </c>
      <c r="G977" s="5" t="s">
        <v>12</v>
      </c>
      <c r="H977" s="5" t="s">
        <v>16</v>
      </c>
      <c r="I977" s="5">
        <v>13</v>
      </c>
      <c r="J977" s="9" t="s">
        <v>17</v>
      </c>
      <c r="K977" s="1" t="s">
        <v>1269</v>
      </c>
      <c r="L977" t="s">
        <v>3284</v>
      </c>
      <c r="M977" t="str">
        <f>+VLOOKUP(C977,'[1]TIENDAS 2025'!$A$1:$C$143,3,0)</f>
        <v>local</v>
      </c>
      <c r="O977">
        <v>1</v>
      </c>
    </row>
    <row r="978" spans="1:15" ht="15" customHeight="1" x14ac:dyDescent="0.3">
      <c r="A978" s="7">
        <v>8209669739</v>
      </c>
      <c r="B978" s="4" t="s">
        <v>295</v>
      </c>
      <c r="C978" s="4" t="s">
        <v>296</v>
      </c>
      <c r="D978" s="6">
        <v>46309.4371412037</v>
      </c>
      <c r="E978" s="6">
        <v>46309.187106481499</v>
      </c>
      <c r="F978" s="6">
        <v>46309</v>
      </c>
      <c r="G978" s="5" t="s">
        <v>12</v>
      </c>
      <c r="H978" s="5" t="s">
        <v>27</v>
      </c>
      <c r="I978" s="5">
        <v>14</v>
      </c>
      <c r="J978" s="10" t="s">
        <v>17</v>
      </c>
      <c r="K978" s="1" t="s">
        <v>1270</v>
      </c>
      <c r="M978" t="str">
        <f>+VLOOKUP(C978,'[1]TIENDAS 2025'!$A$1:$C$143,3,0)</f>
        <v>local</v>
      </c>
      <c r="O978">
        <v>1</v>
      </c>
    </row>
    <row r="979" spans="1:15" ht="15" customHeight="1" x14ac:dyDescent="0.3">
      <c r="A979" s="7">
        <v>8209669743</v>
      </c>
      <c r="B979" s="4" t="s">
        <v>295</v>
      </c>
      <c r="C979" s="4" t="s">
        <v>296</v>
      </c>
      <c r="D979" s="6">
        <v>46309.437152777798</v>
      </c>
      <c r="E979" s="6">
        <v>46309.187118055597</v>
      </c>
      <c r="F979" s="6">
        <v>46309</v>
      </c>
      <c r="G979" s="5" t="s">
        <v>12</v>
      </c>
      <c r="H979" s="5" t="s">
        <v>27</v>
      </c>
      <c r="I979" s="5">
        <v>3</v>
      </c>
      <c r="J979" s="10" t="s">
        <v>17</v>
      </c>
      <c r="K979" s="1" t="s">
        <v>1271</v>
      </c>
      <c r="M979" t="str">
        <f>+VLOOKUP(C979,'[1]TIENDAS 2025'!$A$1:$C$143,3,0)</f>
        <v>local</v>
      </c>
      <c r="O979">
        <v>1</v>
      </c>
    </row>
    <row r="980" spans="1:15" ht="15" customHeight="1" x14ac:dyDescent="0.3">
      <c r="A980" s="7">
        <v>8209669656</v>
      </c>
      <c r="B980" s="4" t="s">
        <v>256</v>
      </c>
      <c r="C980" s="4" t="s">
        <v>257</v>
      </c>
      <c r="D980" s="6">
        <v>46309.437164351897</v>
      </c>
      <c r="E980" s="6">
        <v>46309.1871412037</v>
      </c>
      <c r="F980" s="6">
        <v>46309</v>
      </c>
      <c r="G980" s="5" t="s">
        <v>12</v>
      </c>
      <c r="H980" s="5" t="s">
        <v>27</v>
      </c>
      <c r="I980" s="5">
        <v>2</v>
      </c>
      <c r="J980" s="10" t="s">
        <v>17</v>
      </c>
      <c r="K980" s="1" t="s">
        <v>1272</v>
      </c>
      <c r="M980" t="str">
        <f>+VLOOKUP(C980,'[1]TIENDAS 2025'!$A$1:$C$143,3,0)</f>
        <v>prioridad</v>
      </c>
      <c r="O980">
        <v>1</v>
      </c>
    </row>
    <row r="981" spans="1:15" ht="15" customHeight="1" x14ac:dyDescent="0.3">
      <c r="A981" s="7">
        <v>1209669669</v>
      </c>
      <c r="B981" s="4" t="s">
        <v>256</v>
      </c>
      <c r="C981" s="4" t="s">
        <v>257</v>
      </c>
      <c r="D981" s="6">
        <v>46309.437175925901</v>
      </c>
      <c r="E981" s="6">
        <v>46309.187152777798</v>
      </c>
      <c r="F981" s="6">
        <v>46309</v>
      </c>
      <c r="G981" s="5" t="s">
        <v>12</v>
      </c>
      <c r="H981" s="5" t="s">
        <v>16</v>
      </c>
      <c r="I981" s="5">
        <v>9</v>
      </c>
      <c r="J981" s="9" t="s">
        <v>17</v>
      </c>
      <c r="K981" s="1" t="s">
        <v>1273</v>
      </c>
      <c r="L981" t="s">
        <v>3284</v>
      </c>
      <c r="M981" t="str">
        <f>+VLOOKUP(C981,'[1]TIENDAS 2025'!$A$1:$C$143,3,0)</f>
        <v>prioridad</v>
      </c>
      <c r="O981">
        <v>1</v>
      </c>
    </row>
    <row r="982" spans="1:15" ht="15" customHeight="1" x14ac:dyDescent="0.3">
      <c r="A982" s="7">
        <v>1209669694</v>
      </c>
      <c r="B982" s="4" t="s">
        <v>442</v>
      </c>
      <c r="C982" s="4" t="s">
        <v>443</v>
      </c>
      <c r="D982" s="6">
        <v>46309.4371875</v>
      </c>
      <c r="E982" s="6">
        <v>46309.187164351897</v>
      </c>
      <c r="F982" s="6">
        <v>46309</v>
      </c>
      <c r="G982" s="5" t="s">
        <v>12</v>
      </c>
      <c r="H982" s="5" t="s">
        <v>16</v>
      </c>
      <c r="I982" s="5">
        <v>3</v>
      </c>
      <c r="J982" s="9" t="s">
        <v>17</v>
      </c>
      <c r="K982" s="1" t="s">
        <v>1274</v>
      </c>
      <c r="L982" t="s">
        <v>3284</v>
      </c>
      <c r="M982" t="str">
        <f>+VLOOKUP(C982,'[1]TIENDAS 2025'!$A$1:$C$143,3,0)</f>
        <v>local</v>
      </c>
      <c r="O982">
        <v>1</v>
      </c>
    </row>
    <row r="983" spans="1:15" ht="15" customHeight="1" x14ac:dyDescent="0.3">
      <c r="A983" s="7">
        <v>8209669714</v>
      </c>
      <c r="B983" s="4" t="s">
        <v>298</v>
      </c>
      <c r="C983" s="4" t="s">
        <v>299</v>
      </c>
      <c r="D983" s="6">
        <v>46309.437210648102</v>
      </c>
      <c r="E983" s="6">
        <v>46309.187175925901</v>
      </c>
      <c r="F983" s="6">
        <v>46309</v>
      </c>
      <c r="G983" s="5" t="s">
        <v>12</v>
      </c>
      <c r="H983" s="5" t="s">
        <v>27</v>
      </c>
      <c r="I983" s="5">
        <v>1</v>
      </c>
      <c r="J983" s="10" t="s">
        <v>17</v>
      </c>
      <c r="K983" s="1" t="s">
        <v>1275</v>
      </c>
      <c r="M983" t="str">
        <f>+VLOOKUP(C983,'[1]TIENDAS 2025'!$A$1:$C$143,3,0)</f>
        <v>local</v>
      </c>
      <c r="O983">
        <v>1</v>
      </c>
    </row>
    <row r="984" spans="1:15" ht="15" customHeight="1" x14ac:dyDescent="0.3">
      <c r="A984" s="7">
        <v>1209669716</v>
      </c>
      <c r="B984" s="4" t="s">
        <v>298</v>
      </c>
      <c r="C984" s="4" t="s">
        <v>299</v>
      </c>
      <c r="D984" s="6">
        <v>46309.437222222201</v>
      </c>
      <c r="E984" s="6">
        <v>46309.1871875</v>
      </c>
      <c r="F984" s="6">
        <v>46309</v>
      </c>
      <c r="G984" s="5" t="s">
        <v>12</v>
      </c>
      <c r="H984" s="5" t="s">
        <v>29</v>
      </c>
      <c r="I984" s="5">
        <v>4</v>
      </c>
      <c r="J984" s="9" t="s">
        <v>17</v>
      </c>
      <c r="K984" s="1" t="s">
        <v>1276</v>
      </c>
      <c r="L984" t="s">
        <v>3284</v>
      </c>
      <c r="M984" t="str">
        <f>+VLOOKUP(C984,'[1]TIENDAS 2025'!$A$1:$C$143,3,0)</f>
        <v>local</v>
      </c>
      <c r="O984">
        <v>1</v>
      </c>
    </row>
    <row r="985" spans="1:15" ht="15" customHeight="1" x14ac:dyDescent="0.3">
      <c r="A985" s="7">
        <v>1209669717</v>
      </c>
      <c r="B985" s="4" t="s">
        <v>298</v>
      </c>
      <c r="C985" s="4" t="s">
        <v>299</v>
      </c>
      <c r="D985" s="6">
        <v>46309.4372337963</v>
      </c>
      <c r="E985" s="6">
        <v>46309.187210648102</v>
      </c>
      <c r="F985" s="6">
        <v>46309</v>
      </c>
      <c r="G985" s="5" t="s">
        <v>12</v>
      </c>
      <c r="H985" s="5" t="s">
        <v>16</v>
      </c>
      <c r="I985" s="5">
        <v>5</v>
      </c>
      <c r="J985" s="9" t="s">
        <v>17</v>
      </c>
      <c r="K985" s="1" t="s">
        <v>1277</v>
      </c>
      <c r="L985" t="s">
        <v>3284</v>
      </c>
      <c r="M985" t="str">
        <f>+VLOOKUP(C985,'[1]TIENDAS 2025'!$A$1:$C$143,3,0)</f>
        <v>local</v>
      </c>
      <c r="O985">
        <v>1</v>
      </c>
    </row>
    <row r="986" spans="1:15" ht="15" customHeight="1" x14ac:dyDescent="0.3">
      <c r="A986" s="7">
        <v>8209669742</v>
      </c>
      <c r="B986" s="4" t="s">
        <v>295</v>
      </c>
      <c r="C986" s="4" t="s">
        <v>296</v>
      </c>
      <c r="D986" s="6">
        <v>46309.437245370398</v>
      </c>
      <c r="E986" s="6">
        <v>46309.187222222201</v>
      </c>
      <c r="F986" s="6">
        <v>46309</v>
      </c>
      <c r="G986" s="5" t="s">
        <v>12</v>
      </c>
      <c r="H986" s="5" t="s">
        <v>27</v>
      </c>
      <c r="I986" s="5">
        <v>1</v>
      </c>
      <c r="J986" s="10" t="s">
        <v>17</v>
      </c>
      <c r="K986" s="1" t="s">
        <v>1278</v>
      </c>
      <c r="M986" t="str">
        <f>+VLOOKUP(C986,'[1]TIENDAS 2025'!$A$1:$C$143,3,0)</f>
        <v>local</v>
      </c>
      <c r="O986">
        <v>1</v>
      </c>
    </row>
    <row r="987" spans="1:15" ht="15" customHeight="1" x14ac:dyDescent="0.3">
      <c r="A987" s="7">
        <v>8209669677</v>
      </c>
      <c r="B987" s="4" t="s">
        <v>442</v>
      </c>
      <c r="C987" s="4" t="s">
        <v>443</v>
      </c>
      <c r="D987" s="6">
        <v>46309.437268518501</v>
      </c>
      <c r="E987" s="6">
        <v>46309.1872337963</v>
      </c>
      <c r="F987" s="6">
        <v>46309</v>
      </c>
      <c r="G987" s="5" t="s">
        <v>12</v>
      </c>
      <c r="H987" s="5" t="s">
        <v>27</v>
      </c>
      <c r="I987" s="5">
        <v>3</v>
      </c>
      <c r="J987" s="10" t="s">
        <v>17</v>
      </c>
      <c r="K987" s="1" t="s">
        <v>1279</v>
      </c>
      <c r="M987" t="str">
        <f>+VLOOKUP(C987,'[1]TIENDAS 2025'!$A$1:$C$143,3,0)</f>
        <v>local</v>
      </c>
      <c r="O987">
        <v>1</v>
      </c>
    </row>
    <row r="988" spans="1:15" ht="15" customHeight="1" x14ac:dyDescent="0.3">
      <c r="A988" s="7">
        <v>8209669678</v>
      </c>
      <c r="B988" s="4" t="s">
        <v>442</v>
      </c>
      <c r="C988" s="4" t="s">
        <v>443</v>
      </c>
      <c r="D988" s="6">
        <v>46309.437280092599</v>
      </c>
      <c r="E988" s="6">
        <v>46309.187245370398</v>
      </c>
      <c r="F988" s="6">
        <v>46309</v>
      </c>
      <c r="G988" s="5" t="s">
        <v>12</v>
      </c>
      <c r="H988" s="5" t="s">
        <v>27</v>
      </c>
      <c r="I988" s="5">
        <v>15</v>
      </c>
      <c r="J988" s="10" t="s">
        <v>17</v>
      </c>
      <c r="K988" s="1" t="s">
        <v>1280</v>
      </c>
      <c r="M988" t="str">
        <f>+VLOOKUP(C988,'[1]TIENDAS 2025'!$A$1:$C$143,3,0)</f>
        <v>local</v>
      </c>
      <c r="O988">
        <v>1</v>
      </c>
    </row>
    <row r="989" spans="1:15" ht="15" customHeight="1" x14ac:dyDescent="0.3">
      <c r="A989" s="7">
        <v>8209669744</v>
      </c>
      <c r="B989" s="4" t="s">
        <v>295</v>
      </c>
      <c r="C989" s="4" t="s">
        <v>296</v>
      </c>
      <c r="D989" s="6">
        <v>46309.437291666698</v>
      </c>
      <c r="E989" s="6">
        <v>46309.187256944402</v>
      </c>
      <c r="F989" s="6">
        <v>46309</v>
      </c>
      <c r="G989" s="5" t="s">
        <v>12</v>
      </c>
      <c r="H989" s="5" t="s">
        <v>27</v>
      </c>
      <c r="I989" s="5">
        <v>23</v>
      </c>
      <c r="J989" s="10" t="s">
        <v>17</v>
      </c>
      <c r="K989" s="1" t="s">
        <v>1281</v>
      </c>
      <c r="M989" t="str">
        <f>+VLOOKUP(C989,'[1]TIENDAS 2025'!$A$1:$C$143,3,0)</f>
        <v>local</v>
      </c>
      <c r="O989">
        <v>1</v>
      </c>
    </row>
    <row r="990" spans="1:15" ht="15" customHeight="1" x14ac:dyDescent="0.3">
      <c r="A990" s="7">
        <v>1209669747</v>
      </c>
      <c r="B990" s="4" t="s">
        <v>295</v>
      </c>
      <c r="C990" s="4" t="s">
        <v>296</v>
      </c>
      <c r="D990" s="6">
        <v>46309.437303240702</v>
      </c>
      <c r="E990" s="6">
        <v>46309.187280092599</v>
      </c>
      <c r="F990" s="6">
        <v>46309</v>
      </c>
      <c r="G990" s="5" t="s">
        <v>12</v>
      </c>
      <c r="H990" s="5" t="s">
        <v>16</v>
      </c>
      <c r="I990" s="5">
        <v>10</v>
      </c>
      <c r="J990" s="9" t="s">
        <v>17</v>
      </c>
      <c r="K990" s="1" t="s">
        <v>1282</v>
      </c>
      <c r="L990" t="s">
        <v>3284</v>
      </c>
      <c r="M990" t="str">
        <f>+VLOOKUP(C990,'[1]TIENDAS 2025'!$A$1:$C$143,3,0)</f>
        <v>local</v>
      </c>
      <c r="O990">
        <v>1</v>
      </c>
    </row>
    <row r="991" spans="1:15" ht="15" customHeight="1" x14ac:dyDescent="0.3">
      <c r="A991" s="7">
        <v>1209669662</v>
      </c>
      <c r="B991" s="4" t="s">
        <v>256</v>
      </c>
      <c r="C991" s="4" t="s">
        <v>257</v>
      </c>
      <c r="D991" s="6">
        <v>46309.437314814801</v>
      </c>
      <c r="E991" s="6">
        <v>46309.187291666698</v>
      </c>
      <c r="F991" s="6">
        <v>46309</v>
      </c>
      <c r="G991" s="5" t="s">
        <v>12</v>
      </c>
      <c r="H991" s="5" t="s">
        <v>16</v>
      </c>
      <c r="I991" s="5">
        <v>24</v>
      </c>
      <c r="J991" s="9" t="s">
        <v>17</v>
      </c>
      <c r="K991" s="1" t="s">
        <v>1283</v>
      </c>
      <c r="L991" t="s">
        <v>3284</v>
      </c>
      <c r="M991" t="str">
        <f>+VLOOKUP(C991,'[1]TIENDAS 2025'!$A$1:$C$143,3,0)</f>
        <v>prioridad</v>
      </c>
      <c r="O991">
        <v>1</v>
      </c>
    </row>
    <row r="992" spans="1:15" ht="15" customHeight="1" x14ac:dyDescent="0.3">
      <c r="A992" s="7">
        <v>1209669751</v>
      </c>
      <c r="B992" s="4" t="s">
        <v>295</v>
      </c>
      <c r="C992" s="4" t="s">
        <v>296</v>
      </c>
      <c r="D992" s="6">
        <v>46309.437337962998</v>
      </c>
      <c r="E992" s="6">
        <v>46309.187303240702</v>
      </c>
      <c r="F992" s="6">
        <v>46309</v>
      </c>
      <c r="G992" s="5" t="s">
        <v>12</v>
      </c>
      <c r="H992" s="5" t="s">
        <v>16</v>
      </c>
      <c r="I992" s="5">
        <v>27</v>
      </c>
      <c r="J992" s="9" t="s">
        <v>17</v>
      </c>
      <c r="K992" s="1" t="s">
        <v>1284</v>
      </c>
      <c r="L992" t="s">
        <v>3284</v>
      </c>
      <c r="M992" t="str">
        <f>+VLOOKUP(C992,'[1]TIENDAS 2025'!$A$1:$C$143,3,0)</f>
        <v>local</v>
      </c>
      <c r="O992">
        <v>1</v>
      </c>
    </row>
    <row r="993" spans="1:15" ht="15" customHeight="1" x14ac:dyDescent="0.3">
      <c r="A993" s="7">
        <v>1209669687</v>
      </c>
      <c r="B993" s="4" t="s">
        <v>442</v>
      </c>
      <c r="C993" s="4" t="s">
        <v>443</v>
      </c>
      <c r="D993" s="6">
        <v>46309.437349537002</v>
      </c>
      <c r="E993" s="6">
        <v>46309.187314814801</v>
      </c>
      <c r="F993" s="6">
        <v>46309</v>
      </c>
      <c r="G993" s="5" t="s">
        <v>12</v>
      </c>
      <c r="H993" s="5" t="s">
        <v>16</v>
      </c>
      <c r="I993" s="5">
        <v>15</v>
      </c>
      <c r="J993" s="9" t="s">
        <v>17</v>
      </c>
      <c r="K993" s="1" t="s">
        <v>1285</v>
      </c>
      <c r="L993" t="s">
        <v>3284</v>
      </c>
      <c r="M993" t="str">
        <f>+VLOOKUP(C993,'[1]TIENDAS 2025'!$A$1:$C$143,3,0)</f>
        <v>local</v>
      </c>
      <c r="O993">
        <v>1</v>
      </c>
    </row>
    <row r="994" spans="1:15" ht="15" customHeight="1" x14ac:dyDescent="0.3">
      <c r="A994" s="7">
        <v>1209669753</v>
      </c>
      <c r="B994" s="4" t="s">
        <v>295</v>
      </c>
      <c r="C994" s="4" t="s">
        <v>296</v>
      </c>
      <c r="D994" s="6">
        <v>46309.4373611111</v>
      </c>
      <c r="E994" s="6">
        <v>46309.187337962998</v>
      </c>
      <c r="F994" s="6">
        <v>46309</v>
      </c>
      <c r="G994" s="5" t="s">
        <v>12</v>
      </c>
      <c r="H994" s="5" t="s">
        <v>16</v>
      </c>
      <c r="I994" s="5">
        <v>68</v>
      </c>
      <c r="J994" s="9" t="s">
        <v>17</v>
      </c>
      <c r="K994" s="1" t="s">
        <v>1286</v>
      </c>
      <c r="L994" t="s">
        <v>3284</v>
      </c>
      <c r="M994" t="str">
        <f>+VLOOKUP(C994,'[1]TIENDAS 2025'!$A$1:$C$143,3,0)</f>
        <v>local</v>
      </c>
      <c r="O994">
        <v>1</v>
      </c>
    </row>
    <row r="995" spans="1:15" ht="15" customHeight="1" x14ac:dyDescent="0.3">
      <c r="A995" s="7">
        <v>8209669693</v>
      </c>
      <c r="B995" s="4" t="s">
        <v>442</v>
      </c>
      <c r="C995" s="4" t="s">
        <v>443</v>
      </c>
      <c r="D995" s="6">
        <v>46309.437372685199</v>
      </c>
      <c r="E995" s="6">
        <v>46309.187349537002</v>
      </c>
      <c r="F995" s="6">
        <v>46309</v>
      </c>
      <c r="G995" s="5" t="s">
        <v>12</v>
      </c>
      <c r="H995" s="5" t="s">
        <v>27</v>
      </c>
      <c r="I995" s="5">
        <v>2</v>
      </c>
      <c r="J995" s="10" t="s">
        <v>17</v>
      </c>
      <c r="K995" s="1" t="s">
        <v>1287</v>
      </c>
      <c r="M995" t="str">
        <f>+VLOOKUP(C995,'[1]TIENDAS 2025'!$A$1:$C$143,3,0)</f>
        <v>local</v>
      </c>
      <c r="O995">
        <v>1</v>
      </c>
    </row>
    <row r="996" spans="1:15" ht="15" customHeight="1" x14ac:dyDescent="0.3">
      <c r="A996" s="7">
        <v>8209669711</v>
      </c>
      <c r="B996" s="4" t="s">
        <v>298</v>
      </c>
      <c r="C996" s="4" t="s">
        <v>299</v>
      </c>
      <c r="D996" s="6">
        <v>46309.437384259298</v>
      </c>
      <c r="E996" s="6">
        <v>46309.1873611111</v>
      </c>
      <c r="F996" s="6">
        <v>46309</v>
      </c>
      <c r="G996" s="5" t="s">
        <v>12</v>
      </c>
      <c r="H996" s="5" t="s">
        <v>27</v>
      </c>
      <c r="I996" s="5">
        <v>4</v>
      </c>
      <c r="J996" s="10" t="s">
        <v>17</v>
      </c>
      <c r="K996" s="1" t="s">
        <v>1288</v>
      </c>
      <c r="M996" t="str">
        <f>+VLOOKUP(C996,'[1]TIENDAS 2025'!$A$1:$C$143,3,0)</f>
        <v>local</v>
      </c>
      <c r="O996">
        <v>1</v>
      </c>
    </row>
    <row r="997" spans="1:15" ht="15" customHeight="1" x14ac:dyDescent="0.3">
      <c r="A997" s="7">
        <v>1209669720</v>
      </c>
      <c r="B997" s="4" t="s">
        <v>298</v>
      </c>
      <c r="C997" s="4" t="s">
        <v>299</v>
      </c>
      <c r="D997" s="6">
        <v>46309.4374074074</v>
      </c>
      <c r="E997" s="6">
        <v>46309.187372685199</v>
      </c>
      <c r="F997" s="6">
        <v>46309</v>
      </c>
      <c r="G997" s="5" t="s">
        <v>12</v>
      </c>
      <c r="H997" s="5" t="s">
        <v>16</v>
      </c>
      <c r="I997" s="5">
        <v>9</v>
      </c>
      <c r="J997" s="9" t="s">
        <v>17</v>
      </c>
      <c r="K997" s="1" t="s">
        <v>1289</v>
      </c>
      <c r="L997" t="s">
        <v>3284</v>
      </c>
      <c r="M997" t="str">
        <f>+VLOOKUP(C997,'[1]TIENDAS 2025'!$A$1:$C$143,3,0)</f>
        <v>local</v>
      </c>
      <c r="O997">
        <v>1</v>
      </c>
    </row>
    <row r="998" spans="1:15" ht="15" customHeight="1" x14ac:dyDescent="0.3">
      <c r="A998" s="7">
        <v>1209669721</v>
      </c>
      <c r="B998" s="4" t="s">
        <v>298</v>
      </c>
      <c r="C998" s="4" t="s">
        <v>299</v>
      </c>
      <c r="D998" s="6">
        <v>46309.437418981499</v>
      </c>
      <c r="E998" s="6">
        <v>46309.187384259298</v>
      </c>
      <c r="F998" s="6">
        <v>46309</v>
      </c>
      <c r="G998" s="5" t="s">
        <v>12</v>
      </c>
      <c r="H998" s="5" t="s">
        <v>16</v>
      </c>
      <c r="I998" s="5">
        <v>9</v>
      </c>
      <c r="J998" s="9" t="s">
        <v>17</v>
      </c>
      <c r="K998" s="1" t="s">
        <v>1290</v>
      </c>
      <c r="L998" t="s">
        <v>3284</v>
      </c>
      <c r="M998" t="str">
        <f>+VLOOKUP(C998,'[1]TIENDAS 2025'!$A$1:$C$143,3,0)</f>
        <v>local</v>
      </c>
      <c r="O998">
        <v>1</v>
      </c>
    </row>
    <row r="999" spans="1:15" ht="15" customHeight="1" x14ac:dyDescent="0.3">
      <c r="A999" s="7">
        <v>1209669685</v>
      </c>
      <c r="B999" s="4" t="s">
        <v>442</v>
      </c>
      <c r="C999" s="4" t="s">
        <v>443</v>
      </c>
      <c r="D999" s="6">
        <v>46309.437430555598</v>
      </c>
      <c r="E999" s="6">
        <v>46309.187395833302</v>
      </c>
      <c r="F999" s="6">
        <v>46309</v>
      </c>
      <c r="G999" s="5" t="s">
        <v>12</v>
      </c>
      <c r="H999" s="5" t="s">
        <v>16</v>
      </c>
      <c r="I999" s="5">
        <v>8</v>
      </c>
      <c r="J999" s="9" t="s">
        <v>17</v>
      </c>
      <c r="K999" s="1" t="s">
        <v>1291</v>
      </c>
      <c r="L999" t="s">
        <v>3284</v>
      </c>
      <c r="M999" t="str">
        <f>+VLOOKUP(C999,'[1]TIENDAS 2025'!$A$1:$C$143,3,0)</f>
        <v>local</v>
      </c>
      <c r="O999">
        <v>1</v>
      </c>
    </row>
    <row r="1000" spans="1:15" ht="15" customHeight="1" x14ac:dyDescent="0.3">
      <c r="A1000" s="7">
        <v>1209669691</v>
      </c>
      <c r="B1000" s="4" t="s">
        <v>442</v>
      </c>
      <c r="C1000" s="4" t="s">
        <v>443</v>
      </c>
      <c r="D1000" s="6">
        <v>46309.437442129602</v>
      </c>
      <c r="E1000" s="6">
        <v>46309.187418981499</v>
      </c>
      <c r="F1000" s="6">
        <v>46309</v>
      </c>
      <c r="G1000" s="5" t="s">
        <v>12</v>
      </c>
      <c r="H1000" s="5" t="s">
        <v>16</v>
      </c>
      <c r="I1000" s="5">
        <v>22</v>
      </c>
      <c r="J1000" s="9" t="s">
        <v>17</v>
      </c>
      <c r="K1000" s="1" t="s">
        <v>1292</v>
      </c>
      <c r="L1000" t="s">
        <v>3284</v>
      </c>
      <c r="M1000" t="str">
        <f>+VLOOKUP(C1000,'[1]TIENDAS 2025'!$A$1:$C$143,3,0)</f>
        <v>local</v>
      </c>
      <c r="O1000">
        <v>1</v>
      </c>
    </row>
    <row r="1001" spans="1:15" ht="15" customHeight="1" x14ac:dyDescent="0.3">
      <c r="A1001" s="7">
        <v>1209669692</v>
      </c>
      <c r="B1001" s="4" t="s">
        <v>442</v>
      </c>
      <c r="C1001" s="4" t="s">
        <v>443</v>
      </c>
      <c r="D1001" s="6">
        <v>46309.4374537037</v>
      </c>
      <c r="E1001" s="6">
        <v>46309.187430555598</v>
      </c>
      <c r="F1001" s="6">
        <v>46309</v>
      </c>
      <c r="G1001" s="5" t="s">
        <v>12</v>
      </c>
      <c r="H1001" s="5" t="s">
        <v>16</v>
      </c>
      <c r="I1001" s="5">
        <v>2</v>
      </c>
      <c r="J1001" s="9" t="s">
        <v>17</v>
      </c>
      <c r="K1001" s="1" t="s">
        <v>1293</v>
      </c>
      <c r="L1001" t="s">
        <v>3284</v>
      </c>
      <c r="M1001" t="str">
        <f>+VLOOKUP(C1001,'[1]TIENDAS 2025'!$A$1:$C$143,3,0)</f>
        <v>local</v>
      </c>
      <c r="O1001">
        <v>1</v>
      </c>
    </row>
    <row r="1002" spans="1:15" ht="15" customHeight="1" x14ac:dyDescent="0.3">
      <c r="A1002" s="7">
        <v>8209669710</v>
      </c>
      <c r="B1002" s="4" t="s">
        <v>298</v>
      </c>
      <c r="C1002" s="4" t="s">
        <v>299</v>
      </c>
      <c r="D1002" s="6">
        <v>46309.437476851897</v>
      </c>
      <c r="E1002" s="6">
        <v>46309.187442129602</v>
      </c>
      <c r="F1002" s="6">
        <v>46309</v>
      </c>
      <c r="G1002" s="5" t="s">
        <v>12</v>
      </c>
      <c r="H1002" s="5" t="s">
        <v>27</v>
      </c>
      <c r="I1002" s="5">
        <v>2</v>
      </c>
      <c r="J1002" s="10" t="s">
        <v>17</v>
      </c>
      <c r="K1002" s="1" t="s">
        <v>1294</v>
      </c>
      <c r="M1002" t="str">
        <f>+VLOOKUP(C1002,'[1]TIENDAS 2025'!$A$1:$C$143,3,0)</f>
        <v>local</v>
      </c>
      <c r="O1002">
        <v>1</v>
      </c>
    </row>
    <row r="1003" spans="1:15" ht="15" customHeight="1" x14ac:dyDescent="0.3">
      <c r="A1003" s="7">
        <v>1209669650</v>
      </c>
      <c r="B1003" s="4" t="s">
        <v>256</v>
      </c>
      <c r="C1003" s="4" t="s">
        <v>257</v>
      </c>
      <c r="D1003" s="6">
        <v>46309.437488425901</v>
      </c>
      <c r="E1003" s="6">
        <v>46309.1874537037</v>
      </c>
      <c r="F1003" s="6">
        <v>46309</v>
      </c>
      <c r="G1003" s="5" t="s">
        <v>12</v>
      </c>
      <c r="H1003" s="5" t="s">
        <v>16</v>
      </c>
      <c r="I1003" s="5">
        <v>6</v>
      </c>
      <c r="J1003" s="9" t="s">
        <v>17</v>
      </c>
      <c r="K1003" s="1" t="s">
        <v>1295</v>
      </c>
      <c r="L1003" t="s">
        <v>3284</v>
      </c>
      <c r="M1003" t="str">
        <f>+VLOOKUP(C1003,'[1]TIENDAS 2025'!$A$1:$C$143,3,0)</f>
        <v>prioridad</v>
      </c>
      <c r="O1003">
        <v>1</v>
      </c>
    </row>
    <row r="1004" spans="1:15" ht="15" customHeight="1" x14ac:dyDescent="0.3">
      <c r="A1004" s="7">
        <v>1209669697</v>
      </c>
      <c r="B1004" s="4" t="s">
        <v>442</v>
      </c>
      <c r="C1004" s="4" t="s">
        <v>443</v>
      </c>
      <c r="D1004" s="6">
        <v>46309.4375</v>
      </c>
      <c r="E1004" s="6">
        <v>46309.187476851897</v>
      </c>
      <c r="F1004" s="6">
        <v>46309</v>
      </c>
      <c r="G1004" s="5" t="s">
        <v>12</v>
      </c>
      <c r="H1004" s="5" t="s">
        <v>16</v>
      </c>
      <c r="I1004" s="5">
        <v>18</v>
      </c>
      <c r="J1004" s="9" t="s">
        <v>17</v>
      </c>
      <c r="K1004" s="1" t="s">
        <v>1296</v>
      </c>
      <c r="L1004" t="s">
        <v>3284</v>
      </c>
      <c r="M1004" t="str">
        <f>+VLOOKUP(C1004,'[1]TIENDAS 2025'!$A$1:$C$143,3,0)</f>
        <v>local</v>
      </c>
      <c r="O1004">
        <v>1</v>
      </c>
    </row>
    <row r="1005" spans="1:15" ht="15" customHeight="1" x14ac:dyDescent="0.3">
      <c r="A1005" s="7">
        <v>1209669665</v>
      </c>
      <c r="B1005" s="4" t="s">
        <v>256</v>
      </c>
      <c r="C1005" s="4" t="s">
        <v>257</v>
      </c>
      <c r="D1005" s="6">
        <v>46309.437511574099</v>
      </c>
      <c r="E1005" s="6">
        <v>46309.187488425901</v>
      </c>
      <c r="F1005" s="6">
        <v>46309</v>
      </c>
      <c r="G1005" s="5" t="s">
        <v>12</v>
      </c>
      <c r="H1005" s="5" t="s">
        <v>29</v>
      </c>
      <c r="I1005" s="5">
        <v>32</v>
      </c>
      <c r="J1005" s="9" t="s">
        <v>17</v>
      </c>
      <c r="K1005" s="1" t="s">
        <v>1297</v>
      </c>
      <c r="L1005" t="s">
        <v>3284</v>
      </c>
      <c r="M1005" t="str">
        <f>+VLOOKUP(C1005,'[1]TIENDAS 2025'!$A$1:$C$143,3,0)</f>
        <v>prioridad</v>
      </c>
      <c r="O1005">
        <v>1</v>
      </c>
    </row>
    <row r="1006" spans="1:15" ht="15" customHeight="1" x14ac:dyDescent="0.3">
      <c r="A1006" s="7">
        <v>1209669718</v>
      </c>
      <c r="B1006" s="4" t="s">
        <v>298</v>
      </c>
      <c r="C1006" s="4" t="s">
        <v>299</v>
      </c>
      <c r="D1006" s="6">
        <v>46309.437523148103</v>
      </c>
      <c r="E1006" s="6">
        <v>46309.1875</v>
      </c>
      <c r="F1006" s="6">
        <v>46309</v>
      </c>
      <c r="G1006" s="5" t="s">
        <v>12</v>
      </c>
      <c r="H1006" s="5" t="s">
        <v>29</v>
      </c>
      <c r="I1006" s="5">
        <v>5</v>
      </c>
      <c r="J1006" s="9" t="s">
        <v>17</v>
      </c>
      <c r="K1006" s="1" t="s">
        <v>1298</v>
      </c>
      <c r="L1006" t="s">
        <v>3284</v>
      </c>
      <c r="M1006" t="str">
        <f>+VLOOKUP(C1006,'[1]TIENDAS 2025'!$A$1:$C$143,3,0)</f>
        <v>local</v>
      </c>
      <c r="O1006">
        <v>1</v>
      </c>
    </row>
    <row r="1007" spans="1:15" ht="15" customHeight="1" x14ac:dyDescent="0.3">
      <c r="A1007" s="7">
        <v>1209669719</v>
      </c>
      <c r="B1007" s="4" t="s">
        <v>298</v>
      </c>
      <c r="C1007" s="4" t="s">
        <v>299</v>
      </c>
      <c r="D1007" s="6">
        <v>46309.4375462963</v>
      </c>
      <c r="E1007" s="6">
        <v>46309.187511574099</v>
      </c>
      <c r="F1007" s="6">
        <v>46309</v>
      </c>
      <c r="G1007" s="5" t="s">
        <v>12</v>
      </c>
      <c r="H1007" s="5" t="s">
        <v>16</v>
      </c>
      <c r="I1007" s="5">
        <v>5</v>
      </c>
      <c r="J1007" s="9" t="s">
        <v>17</v>
      </c>
      <c r="K1007" s="1" t="s">
        <v>1299</v>
      </c>
      <c r="L1007" t="s">
        <v>3284</v>
      </c>
      <c r="M1007" t="str">
        <f>+VLOOKUP(C1007,'[1]TIENDAS 2025'!$A$1:$C$143,3,0)</f>
        <v>local</v>
      </c>
      <c r="O1007">
        <v>1</v>
      </c>
    </row>
    <row r="1008" spans="1:15" ht="15" customHeight="1" x14ac:dyDescent="0.3">
      <c r="A1008" s="7">
        <v>1209669755</v>
      </c>
      <c r="B1008" s="4" t="s">
        <v>295</v>
      </c>
      <c r="C1008" s="4" t="s">
        <v>296</v>
      </c>
      <c r="D1008" s="6">
        <v>46309.437557870398</v>
      </c>
      <c r="E1008" s="6">
        <v>46309.187534722201</v>
      </c>
      <c r="F1008" s="6">
        <v>46309</v>
      </c>
      <c r="G1008" s="5" t="s">
        <v>12</v>
      </c>
      <c r="H1008" s="5" t="s">
        <v>29</v>
      </c>
      <c r="I1008" s="5">
        <v>50</v>
      </c>
      <c r="J1008" s="9" t="s">
        <v>17</v>
      </c>
      <c r="K1008" s="1" t="s">
        <v>1300</v>
      </c>
      <c r="L1008" t="s">
        <v>3284</v>
      </c>
      <c r="M1008" t="str">
        <f>+VLOOKUP(C1008,'[1]TIENDAS 2025'!$A$1:$C$143,3,0)</f>
        <v>local</v>
      </c>
      <c r="O1008">
        <v>1</v>
      </c>
    </row>
    <row r="1009" spans="1:15" ht="15" customHeight="1" x14ac:dyDescent="0.3">
      <c r="A1009" s="7">
        <v>8209669681</v>
      </c>
      <c r="B1009" s="4" t="s">
        <v>442</v>
      </c>
      <c r="C1009" s="4" t="s">
        <v>443</v>
      </c>
      <c r="D1009" s="6">
        <v>46309.437569444402</v>
      </c>
      <c r="E1009" s="6">
        <v>46309.1875462963</v>
      </c>
      <c r="F1009" s="6">
        <v>46309</v>
      </c>
      <c r="G1009" s="5" t="s">
        <v>12</v>
      </c>
      <c r="H1009" s="5" t="s">
        <v>27</v>
      </c>
      <c r="I1009" s="5">
        <v>2</v>
      </c>
      <c r="J1009" s="10" t="s">
        <v>17</v>
      </c>
      <c r="K1009" s="1" t="s">
        <v>1301</v>
      </c>
      <c r="M1009" t="str">
        <f>+VLOOKUP(C1009,'[1]TIENDAS 2025'!$A$1:$C$143,3,0)</f>
        <v>local</v>
      </c>
      <c r="O1009">
        <v>1</v>
      </c>
    </row>
    <row r="1010" spans="1:15" ht="15" customHeight="1" x14ac:dyDescent="0.3">
      <c r="A1010" s="7">
        <v>1209669749</v>
      </c>
      <c r="B1010" s="4" t="s">
        <v>295</v>
      </c>
      <c r="C1010" s="4" t="s">
        <v>296</v>
      </c>
      <c r="D1010" s="6">
        <v>46309.437581018501</v>
      </c>
      <c r="E1010" s="6">
        <v>46309.187557870398</v>
      </c>
      <c r="F1010" s="6">
        <v>46309</v>
      </c>
      <c r="G1010" s="5" t="s">
        <v>12</v>
      </c>
      <c r="H1010" s="5" t="s">
        <v>16</v>
      </c>
      <c r="I1010" s="5">
        <v>21</v>
      </c>
      <c r="J1010" s="9" t="s">
        <v>17</v>
      </c>
      <c r="K1010" s="1" t="s">
        <v>1302</v>
      </c>
      <c r="L1010" t="s">
        <v>3284</v>
      </c>
      <c r="M1010" t="str">
        <f>+VLOOKUP(C1010,'[1]TIENDAS 2025'!$A$1:$C$143,3,0)</f>
        <v>local</v>
      </c>
      <c r="O1010">
        <v>1</v>
      </c>
    </row>
    <row r="1011" spans="1:15" ht="15" customHeight="1" x14ac:dyDescent="0.3">
      <c r="A1011" s="7">
        <v>1209669750</v>
      </c>
      <c r="B1011" s="4" t="s">
        <v>295</v>
      </c>
      <c r="C1011" s="4" t="s">
        <v>296</v>
      </c>
      <c r="D1011" s="6">
        <v>46309.437604166698</v>
      </c>
      <c r="E1011" s="6">
        <v>46309.187569444402</v>
      </c>
      <c r="F1011" s="6">
        <v>46309</v>
      </c>
      <c r="G1011" s="5" t="s">
        <v>12</v>
      </c>
      <c r="H1011" s="5" t="s">
        <v>29</v>
      </c>
      <c r="I1011" s="5">
        <v>20</v>
      </c>
      <c r="J1011" s="9" t="s">
        <v>17</v>
      </c>
      <c r="K1011" s="1" t="s">
        <v>1303</v>
      </c>
      <c r="L1011" t="s">
        <v>3284</v>
      </c>
      <c r="M1011" t="str">
        <f>+VLOOKUP(C1011,'[1]TIENDAS 2025'!$A$1:$C$143,3,0)</f>
        <v>local</v>
      </c>
      <c r="O1011">
        <v>1</v>
      </c>
    </row>
    <row r="1012" spans="1:15" ht="15" customHeight="1" x14ac:dyDescent="0.3">
      <c r="A1012" s="7">
        <v>1209669683</v>
      </c>
      <c r="B1012" s="4" t="s">
        <v>442</v>
      </c>
      <c r="C1012" s="4" t="s">
        <v>443</v>
      </c>
      <c r="D1012" s="6">
        <v>46309.437615740702</v>
      </c>
      <c r="E1012" s="6">
        <v>46309.187581018501</v>
      </c>
      <c r="F1012" s="6">
        <v>46309</v>
      </c>
      <c r="G1012" s="5" t="s">
        <v>12</v>
      </c>
      <c r="H1012" s="5" t="s">
        <v>16</v>
      </c>
      <c r="I1012" s="5">
        <v>6</v>
      </c>
      <c r="J1012" s="9" t="s">
        <v>17</v>
      </c>
      <c r="K1012" s="1" t="s">
        <v>1304</v>
      </c>
      <c r="L1012" t="s">
        <v>3284</v>
      </c>
      <c r="M1012" t="str">
        <f>+VLOOKUP(C1012,'[1]TIENDAS 2025'!$A$1:$C$143,3,0)</f>
        <v>local</v>
      </c>
      <c r="O1012">
        <v>1</v>
      </c>
    </row>
    <row r="1013" spans="1:15" ht="15" customHeight="1" x14ac:dyDescent="0.3">
      <c r="A1013" s="7">
        <v>1209669686</v>
      </c>
      <c r="B1013" s="4" t="s">
        <v>442</v>
      </c>
      <c r="C1013" s="4" t="s">
        <v>443</v>
      </c>
      <c r="D1013" s="6">
        <v>46309.437627314801</v>
      </c>
      <c r="E1013" s="6">
        <v>46309.187604166698</v>
      </c>
      <c r="F1013" s="6">
        <v>46309</v>
      </c>
      <c r="G1013" s="5" t="s">
        <v>12</v>
      </c>
      <c r="H1013" s="5" t="s">
        <v>16</v>
      </c>
      <c r="I1013" s="5">
        <v>10</v>
      </c>
      <c r="J1013" s="9" t="s">
        <v>17</v>
      </c>
      <c r="K1013" s="1" t="s">
        <v>1305</v>
      </c>
      <c r="L1013" t="s">
        <v>3284</v>
      </c>
      <c r="M1013" t="str">
        <f>+VLOOKUP(C1013,'[1]TIENDAS 2025'!$A$1:$C$143,3,0)</f>
        <v>local</v>
      </c>
      <c r="O1013">
        <v>1</v>
      </c>
    </row>
    <row r="1014" spans="1:15" ht="15" customHeight="1" x14ac:dyDescent="0.3">
      <c r="A1014" s="7">
        <v>8209669712</v>
      </c>
      <c r="B1014" s="4" t="s">
        <v>298</v>
      </c>
      <c r="C1014" s="4" t="s">
        <v>299</v>
      </c>
      <c r="D1014" s="6">
        <v>46309.4376388889</v>
      </c>
      <c r="E1014" s="6">
        <v>46309.187615740702</v>
      </c>
      <c r="F1014" s="6">
        <v>46309</v>
      </c>
      <c r="G1014" s="5" t="s">
        <v>12</v>
      </c>
      <c r="H1014" s="5" t="s">
        <v>27</v>
      </c>
      <c r="I1014" s="5">
        <v>4</v>
      </c>
      <c r="J1014" s="10" t="s">
        <v>17</v>
      </c>
      <c r="K1014" s="1" t="s">
        <v>1306</v>
      </c>
      <c r="M1014" t="str">
        <f>+VLOOKUP(C1014,'[1]TIENDAS 2025'!$A$1:$C$143,3,0)</f>
        <v>local</v>
      </c>
      <c r="O1014">
        <v>1</v>
      </c>
    </row>
    <row r="1015" spans="1:15" ht="15" customHeight="1" x14ac:dyDescent="0.3">
      <c r="A1015" s="7">
        <v>1209669715</v>
      </c>
      <c r="B1015" s="4" t="s">
        <v>298</v>
      </c>
      <c r="C1015" s="4" t="s">
        <v>299</v>
      </c>
      <c r="D1015" s="6">
        <v>46309.437662037002</v>
      </c>
      <c r="E1015" s="6">
        <v>46309.187627314801</v>
      </c>
      <c r="F1015" s="6">
        <v>46309</v>
      </c>
      <c r="G1015" s="5" t="s">
        <v>12</v>
      </c>
      <c r="H1015" s="5" t="s">
        <v>16</v>
      </c>
      <c r="I1015" s="5">
        <v>3</v>
      </c>
      <c r="J1015" s="9" t="s">
        <v>17</v>
      </c>
      <c r="K1015" s="1" t="s">
        <v>1307</v>
      </c>
      <c r="L1015" t="s">
        <v>3284</v>
      </c>
      <c r="M1015" t="str">
        <f>+VLOOKUP(C1015,'[1]TIENDAS 2025'!$A$1:$C$143,3,0)</f>
        <v>local</v>
      </c>
      <c r="O1015">
        <v>1</v>
      </c>
    </row>
    <row r="1016" spans="1:15" ht="15" customHeight="1" x14ac:dyDescent="0.3">
      <c r="A1016" s="7">
        <v>8209669740</v>
      </c>
      <c r="B1016" s="4" t="s">
        <v>295</v>
      </c>
      <c r="C1016" s="4" t="s">
        <v>296</v>
      </c>
      <c r="D1016" s="6">
        <v>46309.437673611101</v>
      </c>
      <c r="E1016" s="6">
        <v>46309.1876388889</v>
      </c>
      <c r="F1016" s="6">
        <v>46309</v>
      </c>
      <c r="G1016" s="5" t="s">
        <v>12</v>
      </c>
      <c r="H1016" s="5" t="s">
        <v>27</v>
      </c>
      <c r="I1016" s="5">
        <v>10</v>
      </c>
      <c r="J1016" s="10" t="s">
        <v>17</v>
      </c>
      <c r="K1016" s="1" t="s">
        <v>1308</v>
      </c>
      <c r="M1016" t="str">
        <f>+VLOOKUP(C1016,'[1]TIENDAS 2025'!$A$1:$C$143,3,0)</f>
        <v>local</v>
      </c>
      <c r="O1016">
        <v>1</v>
      </c>
    </row>
    <row r="1017" spans="1:15" ht="15" customHeight="1" x14ac:dyDescent="0.3">
      <c r="A1017" s="7">
        <v>1209669652</v>
      </c>
      <c r="B1017" s="4" t="s">
        <v>256</v>
      </c>
      <c r="C1017" s="4" t="s">
        <v>257</v>
      </c>
      <c r="D1017" s="6">
        <v>46309.437685185199</v>
      </c>
      <c r="E1017" s="6">
        <v>46309.187662037002</v>
      </c>
      <c r="F1017" s="6">
        <v>46309</v>
      </c>
      <c r="G1017" s="5" t="s">
        <v>12</v>
      </c>
      <c r="H1017" s="5" t="s">
        <v>16</v>
      </c>
      <c r="I1017" s="5">
        <v>7</v>
      </c>
      <c r="J1017" s="9" t="s">
        <v>17</v>
      </c>
      <c r="K1017" s="1" t="s">
        <v>1309</v>
      </c>
      <c r="L1017" t="s">
        <v>3284</v>
      </c>
      <c r="M1017" t="str">
        <f>+VLOOKUP(C1017,'[1]TIENDAS 2025'!$A$1:$C$143,3,0)</f>
        <v>prioridad</v>
      </c>
      <c r="O1017">
        <v>1</v>
      </c>
    </row>
    <row r="1018" spans="1:15" ht="15" customHeight="1" x14ac:dyDescent="0.3">
      <c r="A1018" s="7">
        <v>1209669722</v>
      </c>
      <c r="B1018" s="4" t="s">
        <v>298</v>
      </c>
      <c r="C1018" s="4" t="s">
        <v>299</v>
      </c>
      <c r="D1018" s="6">
        <v>46309.437696759298</v>
      </c>
      <c r="E1018" s="6">
        <v>46309.187673611101</v>
      </c>
      <c r="F1018" s="6">
        <v>46309</v>
      </c>
      <c r="G1018" s="5" t="s">
        <v>12</v>
      </c>
      <c r="H1018" s="5" t="s">
        <v>16</v>
      </c>
      <c r="I1018" s="5">
        <v>16</v>
      </c>
      <c r="J1018" s="9" t="s">
        <v>17</v>
      </c>
      <c r="K1018" s="1" t="s">
        <v>1310</v>
      </c>
      <c r="L1018" t="s">
        <v>3284</v>
      </c>
      <c r="M1018" t="str">
        <f>+VLOOKUP(C1018,'[1]TIENDAS 2025'!$A$1:$C$143,3,0)</f>
        <v>local</v>
      </c>
      <c r="O1018">
        <v>1</v>
      </c>
    </row>
    <row r="1019" spans="1:15" ht="15" customHeight="1" x14ac:dyDescent="0.3">
      <c r="A1019" s="7">
        <v>8209669655</v>
      </c>
      <c r="B1019" s="4" t="s">
        <v>256</v>
      </c>
      <c r="C1019" s="4" t="s">
        <v>257</v>
      </c>
      <c r="D1019" s="6">
        <v>46309.437708333302</v>
      </c>
      <c r="E1019" s="6">
        <v>46309.187685185199</v>
      </c>
      <c r="F1019" s="6">
        <v>46309</v>
      </c>
      <c r="G1019" s="5" t="s">
        <v>12</v>
      </c>
      <c r="H1019" s="5" t="s">
        <v>27</v>
      </c>
      <c r="I1019" s="5">
        <v>1</v>
      </c>
      <c r="J1019" s="10" t="s">
        <v>17</v>
      </c>
      <c r="K1019" s="1" t="s">
        <v>1311</v>
      </c>
      <c r="M1019" t="str">
        <f>+VLOOKUP(C1019,'[1]TIENDAS 2025'!$A$1:$C$143,3,0)</f>
        <v>prioridad</v>
      </c>
      <c r="O1019">
        <v>1</v>
      </c>
    </row>
    <row r="1020" spans="1:15" ht="15" customHeight="1" x14ac:dyDescent="0.3">
      <c r="A1020" s="7">
        <v>1209669725</v>
      </c>
      <c r="B1020" s="4" t="s">
        <v>298</v>
      </c>
      <c r="C1020" s="4" t="s">
        <v>299</v>
      </c>
      <c r="D1020" s="6">
        <v>46309.437731481499</v>
      </c>
      <c r="E1020" s="6">
        <v>46309.187696759298</v>
      </c>
      <c r="F1020" s="6">
        <v>46309</v>
      </c>
      <c r="G1020" s="5" t="s">
        <v>12</v>
      </c>
      <c r="H1020" s="5" t="s">
        <v>29</v>
      </c>
      <c r="I1020" s="5">
        <v>20</v>
      </c>
      <c r="J1020" s="9" t="s">
        <v>17</v>
      </c>
      <c r="K1020" s="1" t="s">
        <v>1312</v>
      </c>
      <c r="L1020" t="s">
        <v>3284</v>
      </c>
      <c r="M1020" t="str">
        <f>+VLOOKUP(C1020,'[1]TIENDAS 2025'!$A$1:$C$143,3,0)</f>
        <v>local</v>
      </c>
      <c r="O1020">
        <v>1</v>
      </c>
    </row>
    <row r="1021" spans="1:15" ht="15" customHeight="1" x14ac:dyDescent="0.3">
      <c r="A1021" s="7">
        <v>1209669934</v>
      </c>
      <c r="B1021" s="4" t="s">
        <v>205</v>
      </c>
      <c r="C1021" s="4" t="s">
        <v>206</v>
      </c>
      <c r="D1021" s="6">
        <v>46309.440416666701</v>
      </c>
      <c r="E1021" s="6">
        <v>46309.190381944398</v>
      </c>
      <c r="F1021" s="6">
        <v>46309</v>
      </c>
      <c r="G1021" s="5" t="s">
        <v>12</v>
      </c>
      <c r="H1021" s="5" t="s">
        <v>29</v>
      </c>
      <c r="I1021" s="5">
        <v>27</v>
      </c>
      <c r="J1021" s="9" t="s">
        <v>17</v>
      </c>
      <c r="K1021" s="1" t="s">
        <v>1313</v>
      </c>
      <c r="L1021" t="s">
        <v>3284</v>
      </c>
      <c r="M1021" t="str">
        <f>+VLOOKUP(C1021,'[1]TIENDAS 2025'!$A$1:$C$143,3,0)</f>
        <v>prioridad</v>
      </c>
      <c r="O1021">
        <v>1</v>
      </c>
    </row>
    <row r="1022" spans="1:15" ht="15" customHeight="1" x14ac:dyDescent="0.3">
      <c r="A1022" s="7">
        <v>1209669813</v>
      </c>
      <c r="B1022" s="4" t="s">
        <v>259</v>
      </c>
      <c r="C1022" s="4" t="s">
        <v>260</v>
      </c>
      <c r="D1022" s="6">
        <v>46309.440428240698</v>
      </c>
      <c r="E1022" s="6">
        <v>46309.190393518496</v>
      </c>
      <c r="F1022" s="6">
        <v>46309</v>
      </c>
      <c r="G1022" s="5" t="s">
        <v>12</v>
      </c>
      <c r="H1022" s="5" t="s">
        <v>16</v>
      </c>
      <c r="I1022" s="5">
        <v>14</v>
      </c>
      <c r="J1022" s="9" t="s">
        <v>17</v>
      </c>
      <c r="K1022" s="1" t="s">
        <v>1314</v>
      </c>
      <c r="L1022" t="s">
        <v>3284</v>
      </c>
      <c r="M1022" t="str">
        <f>+VLOOKUP(C1022,'[1]TIENDAS 2025'!$A$1:$C$143,3,0)</f>
        <v>local</v>
      </c>
      <c r="O1022">
        <v>1</v>
      </c>
    </row>
    <row r="1023" spans="1:15" ht="15" customHeight="1" x14ac:dyDescent="0.3">
      <c r="A1023" s="7">
        <v>1209669816</v>
      </c>
      <c r="B1023" s="4" t="s">
        <v>259</v>
      </c>
      <c r="C1023" s="4" t="s">
        <v>260</v>
      </c>
      <c r="D1023" s="6">
        <v>46309.440439814804</v>
      </c>
      <c r="E1023" s="6">
        <v>46309.190416666701</v>
      </c>
      <c r="F1023" s="6">
        <v>46309</v>
      </c>
      <c r="G1023" s="5" t="s">
        <v>12</v>
      </c>
      <c r="H1023" s="5" t="s">
        <v>16</v>
      </c>
      <c r="I1023" s="5">
        <v>18</v>
      </c>
      <c r="J1023" s="9" t="s">
        <v>17</v>
      </c>
      <c r="K1023" s="1" t="s">
        <v>1315</v>
      </c>
      <c r="L1023" t="s">
        <v>3284</v>
      </c>
      <c r="M1023" t="str">
        <f>+VLOOKUP(C1023,'[1]TIENDAS 2025'!$A$1:$C$143,3,0)</f>
        <v>local</v>
      </c>
      <c r="O1023">
        <v>1</v>
      </c>
    </row>
    <row r="1024" spans="1:15" ht="15" customHeight="1" x14ac:dyDescent="0.3">
      <c r="A1024" s="7">
        <v>1209669823</v>
      </c>
      <c r="B1024" s="4" t="s">
        <v>202</v>
      </c>
      <c r="C1024" s="4" t="s">
        <v>203</v>
      </c>
      <c r="D1024" s="6">
        <v>46309.440451388902</v>
      </c>
      <c r="E1024" s="6">
        <v>46309.190428240698</v>
      </c>
      <c r="F1024" s="6">
        <v>46309</v>
      </c>
      <c r="G1024" s="5" t="s">
        <v>12</v>
      </c>
      <c r="H1024" s="5" t="s">
        <v>16</v>
      </c>
      <c r="I1024" s="5">
        <v>4</v>
      </c>
      <c r="J1024" s="9" t="s">
        <v>17</v>
      </c>
      <c r="K1024" s="1" t="s">
        <v>1316</v>
      </c>
      <c r="L1024" t="s">
        <v>3284</v>
      </c>
      <c r="M1024" t="str">
        <f>+VLOOKUP(C1024,'[1]TIENDAS 2025'!$A$1:$C$143,3,0)</f>
        <v>local</v>
      </c>
      <c r="O1024">
        <v>1</v>
      </c>
    </row>
    <row r="1025" spans="1:15" ht="15" customHeight="1" x14ac:dyDescent="0.3">
      <c r="A1025" s="7">
        <v>8209669795</v>
      </c>
      <c r="B1025" s="4" t="s">
        <v>253</v>
      </c>
      <c r="C1025" s="4" t="s">
        <v>254</v>
      </c>
      <c r="D1025" s="6">
        <v>46309.440474536997</v>
      </c>
      <c r="E1025" s="6">
        <v>46309.190439814804</v>
      </c>
      <c r="F1025" s="6">
        <v>46309</v>
      </c>
      <c r="G1025" s="5" t="s">
        <v>12</v>
      </c>
      <c r="H1025" s="5" t="s">
        <v>27</v>
      </c>
      <c r="I1025" s="5">
        <v>17</v>
      </c>
      <c r="J1025" s="10" t="s">
        <v>17</v>
      </c>
      <c r="K1025" s="1" t="s">
        <v>1317</v>
      </c>
      <c r="M1025" t="str">
        <f>+VLOOKUP(C1025,'[1]TIENDAS 2025'!$A$1:$C$143,3,0)</f>
        <v>departamental</v>
      </c>
      <c r="O1025">
        <v>1</v>
      </c>
    </row>
    <row r="1026" spans="1:15" ht="15" customHeight="1" x14ac:dyDescent="0.3">
      <c r="A1026" s="7">
        <v>8209669928</v>
      </c>
      <c r="B1026" s="4" t="s">
        <v>205</v>
      </c>
      <c r="C1026" s="4" t="s">
        <v>206</v>
      </c>
      <c r="D1026" s="6">
        <v>46309.440486111103</v>
      </c>
      <c r="E1026" s="6">
        <v>46309.190451388902</v>
      </c>
      <c r="F1026" s="6">
        <v>46309</v>
      </c>
      <c r="G1026" s="5" t="s">
        <v>12</v>
      </c>
      <c r="H1026" s="5" t="s">
        <v>27</v>
      </c>
      <c r="I1026" s="5">
        <v>20</v>
      </c>
      <c r="J1026" s="10" t="s">
        <v>17</v>
      </c>
      <c r="K1026" s="1" t="s">
        <v>1318</v>
      </c>
      <c r="M1026" t="str">
        <f>+VLOOKUP(C1026,'[1]TIENDAS 2025'!$A$1:$C$143,3,0)</f>
        <v>prioridad</v>
      </c>
      <c r="O1026">
        <v>1</v>
      </c>
    </row>
    <row r="1027" spans="1:15" ht="15" customHeight="1" x14ac:dyDescent="0.3">
      <c r="A1027" s="7">
        <v>8209669929</v>
      </c>
      <c r="B1027" s="4" t="s">
        <v>205</v>
      </c>
      <c r="C1027" s="4" t="s">
        <v>206</v>
      </c>
      <c r="D1027" s="6">
        <v>46309.440497685202</v>
      </c>
      <c r="E1027" s="6">
        <v>46309.190462963001</v>
      </c>
      <c r="F1027" s="6">
        <v>46309</v>
      </c>
      <c r="G1027" s="5" t="s">
        <v>12</v>
      </c>
      <c r="H1027" s="5" t="s">
        <v>27</v>
      </c>
      <c r="I1027" s="5">
        <v>35</v>
      </c>
      <c r="J1027" s="10" t="s">
        <v>17</v>
      </c>
      <c r="K1027" s="1" t="s">
        <v>1319</v>
      </c>
      <c r="M1027" t="str">
        <f>+VLOOKUP(C1027,'[1]TIENDAS 2025'!$A$1:$C$143,3,0)</f>
        <v>prioridad</v>
      </c>
      <c r="O1027">
        <v>1</v>
      </c>
    </row>
    <row r="1028" spans="1:15" ht="15" customHeight="1" x14ac:dyDescent="0.3">
      <c r="A1028" s="7">
        <v>1209669855</v>
      </c>
      <c r="B1028" s="4" t="s">
        <v>524</v>
      </c>
      <c r="C1028" s="4" t="s">
        <v>525</v>
      </c>
      <c r="D1028" s="6">
        <v>46309.440509259301</v>
      </c>
      <c r="E1028" s="6">
        <v>46309.190486111103</v>
      </c>
      <c r="F1028" s="6">
        <v>46309</v>
      </c>
      <c r="G1028" s="5" t="s">
        <v>12</v>
      </c>
      <c r="H1028" s="5" t="s">
        <v>29</v>
      </c>
      <c r="I1028" s="5">
        <v>33</v>
      </c>
      <c r="J1028" s="9" t="s">
        <v>17</v>
      </c>
      <c r="K1028" s="1" t="s">
        <v>1320</v>
      </c>
      <c r="L1028" t="s">
        <v>3284</v>
      </c>
      <c r="M1028" t="str">
        <f>+VLOOKUP(C1028,'[1]TIENDAS 2025'!$A$1:$C$143,3,0)</f>
        <v>local</v>
      </c>
      <c r="O1028">
        <v>1</v>
      </c>
    </row>
    <row r="1029" spans="1:15" ht="15" customHeight="1" x14ac:dyDescent="0.3">
      <c r="A1029" s="7">
        <v>1209669910</v>
      </c>
      <c r="B1029" s="4" t="s">
        <v>533</v>
      </c>
      <c r="C1029" s="4" t="s">
        <v>534</v>
      </c>
      <c r="D1029" s="6">
        <v>46309.440532407403</v>
      </c>
      <c r="E1029" s="6">
        <v>46309.190497685202</v>
      </c>
      <c r="F1029" s="6">
        <v>46309</v>
      </c>
      <c r="G1029" s="5" t="s">
        <v>12</v>
      </c>
      <c r="H1029" s="5" t="s">
        <v>29</v>
      </c>
      <c r="I1029" s="5">
        <v>52</v>
      </c>
      <c r="J1029" s="9" t="s">
        <v>17</v>
      </c>
      <c r="K1029" s="1" t="s">
        <v>1321</v>
      </c>
      <c r="L1029" t="s">
        <v>3284</v>
      </c>
      <c r="M1029" t="str">
        <f>+VLOOKUP(C1029,'[1]TIENDAS 2025'!$A$1:$C$143,3,0)</f>
        <v>local</v>
      </c>
      <c r="O1029">
        <v>1</v>
      </c>
    </row>
    <row r="1030" spans="1:15" ht="15" customHeight="1" x14ac:dyDescent="0.3">
      <c r="A1030" s="7">
        <v>1209669913</v>
      </c>
      <c r="B1030" s="4" t="s">
        <v>533</v>
      </c>
      <c r="C1030" s="4" t="s">
        <v>534</v>
      </c>
      <c r="D1030" s="6">
        <v>46309.440543981502</v>
      </c>
      <c r="E1030" s="6">
        <v>46309.190509259301</v>
      </c>
      <c r="F1030" s="6">
        <v>46309</v>
      </c>
      <c r="G1030" s="5" t="s">
        <v>12</v>
      </c>
      <c r="H1030" s="5" t="s">
        <v>16</v>
      </c>
      <c r="I1030" s="5">
        <v>3</v>
      </c>
      <c r="J1030" s="9" t="s">
        <v>17</v>
      </c>
      <c r="K1030" s="1" t="s">
        <v>1322</v>
      </c>
      <c r="L1030" t="s">
        <v>3284</v>
      </c>
      <c r="M1030" t="str">
        <f>+VLOOKUP(C1030,'[1]TIENDAS 2025'!$A$1:$C$143,3,0)</f>
        <v>local</v>
      </c>
      <c r="O1030">
        <v>1</v>
      </c>
    </row>
    <row r="1031" spans="1:15" ht="15" customHeight="1" x14ac:dyDescent="0.3">
      <c r="A1031" s="7">
        <v>8209669926</v>
      </c>
      <c r="B1031" s="4" t="s">
        <v>205</v>
      </c>
      <c r="C1031" s="4" t="s">
        <v>206</v>
      </c>
      <c r="D1031" s="6">
        <v>46309.4405555556</v>
      </c>
      <c r="E1031" s="6">
        <v>46309.190520833297</v>
      </c>
      <c r="F1031" s="6">
        <v>46309</v>
      </c>
      <c r="G1031" s="5" t="s">
        <v>12</v>
      </c>
      <c r="H1031" s="5" t="s">
        <v>27</v>
      </c>
      <c r="I1031" s="5">
        <v>18</v>
      </c>
      <c r="J1031" s="10" t="s">
        <v>17</v>
      </c>
      <c r="K1031" s="1" t="s">
        <v>1323</v>
      </c>
      <c r="M1031" t="str">
        <f>+VLOOKUP(C1031,'[1]TIENDAS 2025'!$A$1:$C$143,3,0)</f>
        <v>prioridad</v>
      </c>
      <c r="O1031">
        <v>1</v>
      </c>
    </row>
    <row r="1032" spans="1:15" ht="15" customHeight="1" x14ac:dyDescent="0.3">
      <c r="A1032" s="7">
        <v>1209669879</v>
      </c>
      <c r="B1032" s="4" t="s">
        <v>530</v>
      </c>
      <c r="C1032" s="4" t="s">
        <v>531</v>
      </c>
      <c r="D1032" s="6">
        <v>46309.440567129597</v>
      </c>
      <c r="E1032" s="6">
        <v>46309.190543981502</v>
      </c>
      <c r="F1032" s="6">
        <v>46309</v>
      </c>
      <c r="G1032" s="5" t="s">
        <v>12</v>
      </c>
      <c r="H1032" s="5" t="s">
        <v>16</v>
      </c>
      <c r="I1032" s="5">
        <v>10</v>
      </c>
      <c r="J1032" s="9" t="s">
        <v>17</v>
      </c>
      <c r="K1032" s="1" t="s">
        <v>1324</v>
      </c>
      <c r="L1032" t="s">
        <v>3284</v>
      </c>
      <c r="M1032" t="str">
        <f>+VLOOKUP(C1032,'[1]TIENDAS 2025'!$A$1:$C$143,3,0)</f>
        <v>local</v>
      </c>
      <c r="O1032">
        <v>1</v>
      </c>
    </row>
    <row r="1033" spans="1:15" ht="15" customHeight="1" x14ac:dyDescent="0.3">
      <c r="A1033" s="7">
        <v>8209669845</v>
      </c>
      <c r="B1033" s="4" t="s">
        <v>524</v>
      </c>
      <c r="C1033" s="4" t="s">
        <v>525</v>
      </c>
      <c r="D1033" s="6">
        <v>46309.440578703703</v>
      </c>
      <c r="E1033" s="6">
        <v>46309.1905555556</v>
      </c>
      <c r="F1033" s="6">
        <v>46309</v>
      </c>
      <c r="G1033" s="5" t="s">
        <v>12</v>
      </c>
      <c r="H1033" s="5" t="s">
        <v>27</v>
      </c>
      <c r="I1033" s="5">
        <v>2</v>
      </c>
      <c r="J1033" s="10" t="s">
        <v>17</v>
      </c>
      <c r="K1033" s="1" t="s">
        <v>1325</v>
      </c>
      <c r="M1033" t="str">
        <f>+VLOOKUP(C1033,'[1]TIENDAS 2025'!$A$1:$C$143,3,0)</f>
        <v>local</v>
      </c>
      <c r="O1033">
        <v>1</v>
      </c>
    </row>
    <row r="1034" spans="1:15" ht="15" customHeight="1" x14ac:dyDescent="0.3">
      <c r="A1034" s="7">
        <v>1209669791</v>
      </c>
      <c r="B1034" s="4" t="s">
        <v>253</v>
      </c>
      <c r="C1034" s="4" t="s">
        <v>254</v>
      </c>
      <c r="D1034" s="6">
        <v>46309.440601851798</v>
      </c>
      <c r="E1034" s="6">
        <v>46309.190567129597</v>
      </c>
      <c r="F1034" s="6">
        <v>46309</v>
      </c>
      <c r="G1034" s="5" t="s">
        <v>12</v>
      </c>
      <c r="H1034" s="5" t="s">
        <v>29</v>
      </c>
      <c r="I1034" s="5">
        <v>60</v>
      </c>
      <c r="J1034" s="9" t="s">
        <v>17</v>
      </c>
      <c r="K1034" s="1" t="s">
        <v>1326</v>
      </c>
      <c r="L1034" t="s">
        <v>3284</v>
      </c>
      <c r="M1034" t="str">
        <f>+VLOOKUP(C1034,'[1]TIENDAS 2025'!$A$1:$C$143,3,0)</f>
        <v>departamental</v>
      </c>
      <c r="O1034">
        <v>1</v>
      </c>
    </row>
    <row r="1035" spans="1:15" ht="15" customHeight="1" x14ac:dyDescent="0.3">
      <c r="A1035" s="7">
        <v>8209669786</v>
      </c>
      <c r="B1035" s="4" t="s">
        <v>253</v>
      </c>
      <c r="C1035" s="4" t="s">
        <v>254</v>
      </c>
      <c r="D1035" s="6">
        <v>46309.440601851798</v>
      </c>
      <c r="E1035" s="6">
        <v>46309.190578703703</v>
      </c>
      <c r="F1035" s="6">
        <v>46309</v>
      </c>
      <c r="G1035" s="5" t="s">
        <v>12</v>
      </c>
      <c r="H1035" s="5" t="s">
        <v>27</v>
      </c>
      <c r="I1035" s="5">
        <v>19</v>
      </c>
      <c r="J1035" s="10" t="s">
        <v>17</v>
      </c>
      <c r="K1035" s="1" t="s">
        <v>1327</v>
      </c>
      <c r="M1035" t="str">
        <f>+VLOOKUP(C1035,'[1]TIENDAS 2025'!$A$1:$C$143,3,0)</f>
        <v>departamental</v>
      </c>
      <c r="O1035">
        <v>1</v>
      </c>
    </row>
    <row r="1036" spans="1:15" ht="15" customHeight="1" x14ac:dyDescent="0.3">
      <c r="A1036" s="7">
        <v>1209669799</v>
      </c>
      <c r="B1036" s="4" t="s">
        <v>253</v>
      </c>
      <c r="C1036" s="4" t="s">
        <v>254</v>
      </c>
      <c r="D1036" s="6">
        <v>46309.440625000003</v>
      </c>
      <c r="E1036" s="6">
        <v>46309.190590277802</v>
      </c>
      <c r="F1036" s="6">
        <v>46309</v>
      </c>
      <c r="G1036" s="5" t="s">
        <v>12</v>
      </c>
      <c r="H1036" s="5" t="s">
        <v>16</v>
      </c>
      <c r="I1036" s="5">
        <v>5</v>
      </c>
      <c r="J1036" s="9" t="s">
        <v>17</v>
      </c>
      <c r="K1036" s="1" t="s">
        <v>1328</v>
      </c>
      <c r="L1036" t="s">
        <v>3284</v>
      </c>
      <c r="M1036" t="str">
        <f>+VLOOKUP(C1036,'[1]TIENDAS 2025'!$A$1:$C$143,3,0)</f>
        <v>departamental</v>
      </c>
      <c r="O1036">
        <v>1</v>
      </c>
    </row>
    <row r="1037" spans="1:15" ht="15" customHeight="1" x14ac:dyDescent="0.3">
      <c r="A1037" s="7">
        <v>1209669854</v>
      </c>
      <c r="B1037" s="4" t="s">
        <v>524</v>
      </c>
      <c r="C1037" s="4" t="s">
        <v>525</v>
      </c>
      <c r="D1037" s="6">
        <v>46309.440636574102</v>
      </c>
      <c r="E1037" s="6">
        <v>46309.190613425897</v>
      </c>
      <c r="F1037" s="6">
        <v>46309</v>
      </c>
      <c r="G1037" s="5" t="s">
        <v>12</v>
      </c>
      <c r="H1037" s="5" t="s">
        <v>16</v>
      </c>
      <c r="I1037" s="5">
        <v>27</v>
      </c>
      <c r="J1037" s="9" t="s">
        <v>17</v>
      </c>
      <c r="K1037" s="1" t="s">
        <v>1329</v>
      </c>
      <c r="L1037" t="s">
        <v>3284</v>
      </c>
      <c r="M1037" t="str">
        <f>+VLOOKUP(C1037,'[1]TIENDAS 2025'!$A$1:$C$143,3,0)</f>
        <v>local</v>
      </c>
      <c r="O1037">
        <v>1</v>
      </c>
    </row>
    <row r="1038" spans="1:15" ht="15" customHeight="1" x14ac:dyDescent="0.3">
      <c r="A1038" s="7">
        <v>8209669899</v>
      </c>
      <c r="B1038" s="4" t="s">
        <v>533</v>
      </c>
      <c r="C1038" s="4" t="s">
        <v>534</v>
      </c>
      <c r="D1038" s="6">
        <v>46309.440659722197</v>
      </c>
      <c r="E1038" s="6">
        <v>46309.190625000003</v>
      </c>
      <c r="F1038" s="6">
        <v>46309</v>
      </c>
      <c r="G1038" s="5" t="s">
        <v>12</v>
      </c>
      <c r="H1038" s="5" t="s">
        <v>27</v>
      </c>
      <c r="I1038" s="5">
        <v>24</v>
      </c>
      <c r="J1038" s="10" t="s">
        <v>17</v>
      </c>
      <c r="K1038" s="1" t="s">
        <v>1330</v>
      </c>
      <c r="M1038" t="str">
        <f>+VLOOKUP(C1038,'[1]TIENDAS 2025'!$A$1:$C$143,3,0)</f>
        <v>local</v>
      </c>
      <c r="O1038">
        <v>1</v>
      </c>
    </row>
    <row r="1039" spans="1:15" ht="15" customHeight="1" x14ac:dyDescent="0.3">
      <c r="A1039" s="7">
        <v>8209669872</v>
      </c>
      <c r="B1039" s="4" t="s">
        <v>530</v>
      </c>
      <c r="C1039" s="4" t="s">
        <v>531</v>
      </c>
      <c r="D1039" s="6">
        <v>46309.440671296303</v>
      </c>
      <c r="E1039" s="6">
        <v>46309.190636574102</v>
      </c>
      <c r="F1039" s="6">
        <v>46309</v>
      </c>
      <c r="G1039" s="5" t="s">
        <v>12</v>
      </c>
      <c r="H1039" s="5" t="s">
        <v>27</v>
      </c>
      <c r="I1039" s="5">
        <v>6</v>
      </c>
      <c r="J1039" s="10" t="s">
        <v>17</v>
      </c>
      <c r="K1039" s="1" t="s">
        <v>1331</v>
      </c>
      <c r="M1039" t="str">
        <f>+VLOOKUP(C1039,'[1]TIENDAS 2025'!$A$1:$C$143,3,0)</f>
        <v>local</v>
      </c>
      <c r="O1039">
        <v>1</v>
      </c>
    </row>
    <row r="1040" spans="1:15" ht="15" customHeight="1" x14ac:dyDescent="0.3">
      <c r="A1040" s="7">
        <v>8209669874</v>
      </c>
      <c r="B1040" s="4" t="s">
        <v>530</v>
      </c>
      <c r="C1040" s="4" t="s">
        <v>531</v>
      </c>
      <c r="D1040" s="6">
        <v>46309.440682870401</v>
      </c>
      <c r="E1040" s="6">
        <v>46309.190659722197</v>
      </c>
      <c r="F1040" s="6">
        <v>46309</v>
      </c>
      <c r="G1040" s="5" t="s">
        <v>12</v>
      </c>
      <c r="H1040" s="5" t="s">
        <v>27</v>
      </c>
      <c r="I1040" s="5">
        <v>4</v>
      </c>
      <c r="J1040" s="10" t="s">
        <v>17</v>
      </c>
      <c r="K1040" s="1" t="s">
        <v>1332</v>
      </c>
      <c r="M1040" t="str">
        <f>+VLOOKUP(C1040,'[1]TIENDAS 2025'!$A$1:$C$143,3,0)</f>
        <v>local</v>
      </c>
      <c r="O1040">
        <v>1</v>
      </c>
    </row>
    <row r="1041" spans="1:15" ht="15" customHeight="1" x14ac:dyDescent="0.3">
      <c r="A1041" s="7">
        <v>1209669877</v>
      </c>
      <c r="B1041" s="4" t="s">
        <v>530</v>
      </c>
      <c r="C1041" s="4" t="s">
        <v>531</v>
      </c>
      <c r="D1041" s="6">
        <v>46309.440694444398</v>
      </c>
      <c r="E1041" s="6">
        <v>46309.190671296303</v>
      </c>
      <c r="F1041" s="6">
        <v>46309</v>
      </c>
      <c r="G1041" s="5" t="s">
        <v>12</v>
      </c>
      <c r="H1041" s="5" t="s">
        <v>16</v>
      </c>
      <c r="I1041" s="5">
        <v>4</v>
      </c>
      <c r="J1041" s="9" t="s">
        <v>17</v>
      </c>
      <c r="K1041" s="1" t="s">
        <v>1333</v>
      </c>
      <c r="L1041" t="s">
        <v>3284</v>
      </c>
      <c r="M1041" t="str">
        <f>+VLOOKUP(C1041,'[1]TIENDAS 2025'!$A$1:$C$143,3,0)</f>
        <v>local</v>
      </c>
      <c r="O1041">
        <v>1</v>
      </c>
    </row>
    <row r="1042" spans="1:15" ht="15" customHeight="1" x14ac:dyDescent="0.3">
      <c r="A1042" s="7">
        <v>1209669889</v>
      </c>
      <c r="B1042" s="4" t="s">
        <v>530</v>
      </c>
      <c r="C1042" s="4" t="s">
        <v>531</v>
      </c>
      <c r="D1042" s="6">
        <v>46309.440706018497</v>
      </c>
      <c r="E1042" s="6">
        <v>46309.190682870401</v>
      </c>
      <c r="F1042" s="6">
        <v>46309</v>
      </c>
      <c r="G1042" s="5" t="s">
        <v>12</v>
      </c>
      <c r="H1042" s="5" t="s">
        <v>16</v>
      </c>
      <c r="I1042" s="5">
        <v>12</v>
      </c>
      <c r="J1042" s="9" t="s">
        <v>17</v>
      </c>
      <c r="K1042" s="1" t="s">
        <v>1334</v>
      </c>
      <c r="L1042" t="s">
        <v>3284</v>
      </c>
      <c r="M1042" t="str">
        <f>+VLOOKUP(C1042,'[1]TIENDAS 2025'!$A$1:$C$143,3,0)</f>
        <v>local</v>
      </c>
      <c r="O1042">
        <v>1</v>
      </c>
    </row>
    <row r="1043" spans="1:15" ht="15" customHeight="1" x14ac:dyDescent="0.3">
      <c r="A1043" s="7">
        <v>1209669938</v>
      </c>
      <c r="B1043" s="4" t="s">
        <v>205</v>
      </c>
      <c r="C1043" s="4" t="s">
        <v>206</v>
      </c>
      <c r="D1043" s="6">
        <v>46309.440729166701</v>
      </c>
      <c r="E1043" s="6">
        <v>46309.190694444398</v>
      </c>
      <c r="F1043" s="6">
        <v>46309</v>
      </c>
      <c r="G1043" s="5" t="s">
        <v>12</v>
      </c>
      <c r="H1043" s="5" t="s">
        <v>16</v>
      </c>
      <c r="I1043" s="5">
        <v>58</v>
      </c>
      <c r="J1043" s="9" t="s">
        <v>17</v>
      </c>
      <c r="K1043" s="1" t="s">
        <v>1335</v>
      </c>
      <c r="L1043" t="s">
        <v>3284</v>
      </c>
      <c r="M1043" t="str">
        <f>+VLOOKUP(C1043,'[1]TIENDAS 2025'!$A$1:$C$143,3,0)</f>
        <v>prioridad</v>
      </c>
      <c r="O1043">
        <v>1</v>
      </c>
    </row>
    <row r="1044" spans="1:15" ht="15" customHeight="1" x14ac:dyDescent="0.3">
      <c r="A1044" s="7">
        <v>8209669941</v>
      </c>
      <c r="B1044" s="4" t="s">
        <v>205</v>
      </c>
      <c r="C1044" s="4" t="s">
        <v>206</v>
      </c>
      <c r="D1044" s="6">
        <v>46309.440740740698</v>
      </c>
      <c r="E1044" s="6">
        <v>46309.190706018497</v>
      </c>
      <c r="F1044" s="6">
        <v>46309</v>
      </c>
      <c r="G1044" s="5" t="s">
        <v>12</v>
      </c>
      <c r="H1044" s="5" t="s">
        <v>27</v>
      </c>
      <c r="I1044" s="5">
        <v>24</v>
      </c>
      <c r="J1044" s="10" t="s">
        <v>17</v>
      </c>
      <c r="K1044" s="1" t="s">
        <v>1336</v>
      </c>
      <c r="M1044" t="str">
        <f>+VLOOKUP(C1044,'[1]TIENDAS 2025'!$A$1:$C$143,3,0)</f>
        <v>prioridad</v>
      </c>
      <c r="O1044">
        <v>1</v>
      </c>
    </row>
    <row r="1045" spans="1:15" ht="15" customHeight="1" x14ac:dyDescent="0.3">
      <c r="A1045" s="7">
        <v>1209669812</v>
      </c>
      <c r="B1045" s="4" t="s">
        <v>259</v>
      </c>
      <c r="C1045" s="4" t="s">
        <v>260</v>
      </c>
      <c r="D1045" s="6">
        <v>46309.440752314797</v>
      </c>
      <c r="E1045" s="6">
        <v>46309.190729166701</v>
      </c>
      <c r="F1045" s="6">
        <v>46309</v>
      </c>
      <c r="G1045" s="5" t="s">
        <v>12</v>
      </c>
      <c r="H1045" s="5" t="s">
        <v>16</v>
      </c>
      <c r="I1045" s="5">
        <v>13</v>
      </c>
      <c r="J1045" s="9" t="s">
        <v>17</v>
      </c>
      <c r="K1045" s="1" t="s">
        <v>1337</v>
      </c>
      <c r="L1045" t="s">
        <v>3284</v>
      </c>
      <c r="M1045" t="str">
        <f>+VLOOKUP(C1045,'[1]TIENDAS 2025'!$A$1:$C$143,3,0)</f>
        <v>local</v>
      </c>
      <c r="O1045">
        <v>1</v>
      </c>
    </row>
    <row r="1046" spans="1:15" ht="15" customHeight="1" x14ac:dyDescent="0.3">
      <c r="A1046" s="7">
        <v>8209669844</v>
      </c>
      <c r="B1046" s="4" t="s">
        <v>524</v>
      </c>
      <c r="C1046" s="4" t="s">
        <v>525</v>
      </c>
      <c r="D1046" s="6">
        <v>46309.440775463001</v>
      </c>
      <c r="E1046" s="6">
        <v>46309.190740740698</v>
      </c>
      <c r="F1046" s="6">
        <v>46309</v>
      </c>
      <c r="G1046" s="5" t="s">
        <v>12</v>
      </c>
      <c r="H1046" s="5" t="s">
        <v>27</v>
      </c>
      <c r="I1046" s="5">
        <v>1</v>
      </c>
      <c r="J1046" s="10" t="s">
        <v>17</v>
      </c>
      <c r="K1046" s="1" t="s">
        <v>1338</v>
      </c>
      <c r="M1046" t="str">
        <f>+VLOOKUP(C1046,'[1]TIENDAS 2025'!$A$1:$C$143,3,0)</f>
        <v>local</v>
      </c>
      <c r="O1046">
        <v>1</v>
      </c>
    </row>
    <row r="1047" spans="1:15" ht="15" customHeight="1" x14ac:dyDescent="0.3">
      <c r="A1047" s="7">
        <v>1209669804</v>
      </c>
      <c r="B1047" s="4" t="s">
        <v>253</v>
      </c>
      <c r="C1047" s="4" t="s">
        <v>254</v>
      </c>
      <c r="D1047" s="6">
        <v>46309.440787036998</v>
      </c>
      <c r="E1047" s="6">
        <v>46309.190752314797</v>
      </c>
      <c r="F1047" s="6">
        <v>46309</v>
      </c>
      <c r="G1047" s="5" t="s">
        <v>12</v>
      </c>
      <c r="H1047" s="5" t="s">
        <v>29</v>
      </c>
      <c r="I1047" s="5">
        <v>131</v>
      </c>
      <c r="J1047" s="9" t="s">
        <v>17</v>
      </c>
      <c r="K1047" s="1" t="s">
        <v>1339</v>
      </c>
      <c r="L1047" t="s">
        <v>3284</v>
      </c>
      <c r="M1047" t="str">
        <f>+VLOOKUP(C1047,'[1]TIENDAS 2025'!$A$1:$C$143,3,0)</f>
        <v>departamental</v>
      </c>
      <c r="O1047">
        <v>1</v>
      </c>
    </row>
    <row r="1048" spans="1:15" ht="15" customHeight="1" x14ac:dyDescent="0.3">
      <c r="A1048" s="7">
        <v>1209669815</v>
      </c>
      <c r="B1048" s="4" t="s">
        <v>259</v>
      </c>
      <c r="C1048" s="4" t="s">
        <v>260</v>
      </c>
      <c r="D1048" s="6">
        <v>46309.440798611096</v>
      </c>
      <c r="E1048" s="6">
        <v>46309.190763888902</v>
      </c>
      <c r="F1048" s="6">
        <v>46309</v>
      </c>
      <c r="G1048" s="5" t="s">
        <v>12</v>
      </c>
      <c r="H1048" s="5" t="s">
        <v>16</v>
      </c>
      <c r="I1048" s="5">
        <v>24</v>
      </c>
      <c r="J1048" s="9" t="s">
        <v>17</v>
      </c>
      <c r="K1048" s="1" t="s">
        <v>1340</v>
      </c>
      <c r="L1048" t="s">
        <v>3284</v>
      </c>
      <c r="M1048" t="str">
        <f>+VLOOKUP(C1048,'[1]TIENDAS 2025'!$A$1:$C$143,3,0)</f>
        <v>local</v>
      </c>
      <c r="O1048">
        <v>1</v>
      </c>
    </row>
    <row r="1049" spans="1:15" ht="15" customHeight="1" x14ac:dyDescent="0.3">
      <c r="A1049" s="7">
        <v>8209669784</v>
      </c>
      <c r="B1049" s="4" t="s">
        <v>253</v>
      </c>
      <c r="C1049" s="4" t="s">
        <v>254</v>
      </c>
      <c r="D1049" s="6">
        <v>46309.440810185202</v>
      </c>
      <c r="E1049" s="6">
        <v>46309.190775463001</v>
      </c>
      <c r="F1049" s="6">
        <v>46309</v>
      </c>
      <c r="G1049" s="5" t="s">
        <v>12</v>
      </c>
      <c r="H1049" s="5" t="s">
        <v>27</v>
      </c>
      <c r="I1049" s="5">
        <v>8</v>
      </c>
      <c r="J1049" s="10" t="s">
        <v>17</v>
      </c>
      <c r="K1049" s="1" t="s">
        <v>1341</v>
      </c>
      <c r="M1049" t="str">
        <f>+VLOOKUP(C1049,'[1]TIENDAS 2025'!$A$1:$C$143,3,0)</f>
        <v>departamental</v>
      </c>
      <c r="O1049">
        <v>1</v>
      </c>
    </row>
    <row r="1050" spans="1:15" ht="15" customHeight="1" x14ac:dyDescent="0.3">
      <c r="A1050" s="7">
        <v>1209669792</v>
      </c>
      <c r="B1050" s="4" t="s">
        <v>253</v>
      </c>
      <c r="C1050" s="4" t="s">
        <v>254</v>
      </c>
      <c r="D1050" s="6">
        <v>46309.440821759301</v>
      </c>
      <c r="E1050" s="6">
        <v>46309.190798611096</v>
      </c>
      <c r="F1050" s="6">
        <v>46309</v>
      </c>
      <c r="G1050" s="5" t="s">
        <v>12</v>
      </c>
      <c r="H1050" s="5" t="s">
        <v>16</v>
      </c>
      <c r="I1050" s="5">
        <v>46</v>
      </c>
      <c r="J1050" s="9" t="s">
        <v>17</v>
      </c>
      <c r="K1050" s="1" t="s">
        <v>1342</v>
      </c>
      <c r="L1050" t="s">
        <v>3284</v>
      </c>
      <c r="M1050" t="str">
        <f>+VLOOKUP(C1050,'[1]TIENDAS 2025'!$A$1:$C$143,3,0)</f>
        <v>departamental</v>
      </c>
      <c r="O1050">
        <v>1</v>
      </c>
    </row>
    <row r="1051" spans="1:15" ht="15" customHeight="1" x14ac:dyDescent="0.3">
      <c r="A1051" s="7">
        <v>8209669794</v>
      </c>
      <c r="B1051" s="4" t="s">
        <v>253</v>
      </c>
      <c r="C1051" s="4" t="s">
        <v>254</v>
      </c>
      <c r="D1051" s="6">
        <v>46309.440833333298</v>
      </c>
      <c r="E1051" s="6">
        <v>46309.190810185202</v>
      </c>
      <c r="F1051" s="6">
        <v>46309</v>
      </c>
      <c r="G1051" s="5" t="s">
        <v>12</v>
      </c>
      <c r="H1051" s="5" t="s">
        <v>27</v>
      </c>
      <c r="I1051" s="5">
        <v>2</v>
      </c>
      <c r="J1051" s="10" t="s">
        <v>17</v>
      </c>
      <c r="K1051" s="1" t="s">
        <v>1343</v>
      </c>
      <c r="M1051" t="str">
        <f>+VLOOKUP(C1051,'[1]TIENDAS 2025'!$A$1:$C$143,3,0)</f>
        <v>departamental</v>
      </c>
      <c r="O1051">
        <v>1</v>
      </c>
    </row>
    <row r="1052" spans="1:15" ht="15" customHeight="1" x14ac:dyDescent="0.3">
      <c r="A1052" s="7">
        <v>1209669802</v>
      </c>
      <c r="B1052" s="4" t="s">
        <v>253</v>
      </c>
      <c r="C1052" s="4" t="s">
        <v>254</v>
      </c>
      <c r="D1052" s="6">
        <v>46309.440856481502</v>
      </c>
      <c r="E1052" s="6">
        <v>46309.190821759301</v>
      </c>
      <c r="F1052" s="6">
        <v>46309</v>
      </c>
      <c r="G1052" s="5" t="s">
        <v>12</v>
      </c>
      <c r="H1052" s="5" t="s">
        <v>16</v>
      </c>
      <c r="I1052" s="5">
        <v>46</v>
      </c>
      <c r="J1052" s="9" t="s">
        <v>17</v>
      </c>
      <c r="K1052" s="1" t="s">
        <v>1344</v>
      </c>
      <c r="L1052" t="s">
        <v>3284</v>
      </c>
      <c r="M1052" t="str">
        <f>+VLOOKUP(C1052,'[1]TIENDAS 2025'!$A$1:$C$143,3,0)</f>
        <v>departamental</v>
      </c>
      <c r="O1052">
        <v>1</v>
      </c>
    </row>
    <row r="1053" spans="1:15" ht="15" customHeight="1" x14ac:dyDescent="0.3">
      <c r="A1053" s="7">
        <v>1209669850</v>
      </c>
      <c r="B1053" s="4" t="s">
        <v>524</v>
      </c>
      <c r="C1053" s="4" t="s">
        <v>525</v>
      </c>
      <c r="D1053" s="6">
        <v>46309.440868055601</v>
      </c>
      <c r="E1053" s="6">
        <v>46309.190833333298</v>
      </c>
      <c r="F1053" s="6">
        <v>46309</v>
      </c>
      <c r="G1053" s="5" t="s">
        <v>12</v>
      </c>
      <c r="H1053" s="5" t="s">
        <v>29</v>
      </c>
      <c r="I1053" s="5">
        <v>7</v>
      </c>
      <c r="J1053" s="9" t="s">
        <v>17</v>
      </c>
      <c r="K1053" s="1" t="s">
        <v>1345</v>
      </c>
      <c r="L1053" t="s">
        <v>3284</v>
      </c>
      <c r="M1053" t="str">
        <f>+VLOOKUP(C1053,'[1]TIENDAS 2025'!$A$1:$C$143,3,0)</f>
        <v>local</v>
      </c>
      <c r="O1053">
        <v>1</v>
      </c>
    </row>
    <row r="1054" spans="1:15" ht="15" customHeight="1" x14ac:dyDescent="0.3">
      <c r="A1054" s="7">
        <v>1209669852</v>
      </c>
      <c r="B1054" s="4" t="s">
        <v>524</v>
      </c>
      <c r="C1054" s="4" t="s">
        <v>525</v>
      </c>
      <c r="D1054" s="6">
        <v>46309.440879629597</v>
      </c>
      <c r="E1054" s="6">
        <v>46309.190856481502</v>
      </c>
      <c r="F1054" s="6">
        <v>46309</v>
      </c>
      <c r="G1054" s="5" t="s">
        <v>12</v>
      </c>
      <c r="H1054" s="5" t="s">
        <v>16</v>
      </c>
      <c r="I1054" s="5">
        <v>11</v>
      </c>
      <c r="J1054" s="9" t="s">
        <v>17</v>
      </c>
      <c r="K1054" s="1" t="s">
        <v>1346</v>
      </c>
      <c r="L1054" t="s">
        <v>3284</v>
      </c>
      <c r="M1054" t="str">
        <f>+VLOOKUP(C1054,'[1]TIENDAS 2025'!$A$1:$C$143,3,0)</f>
        <v>local</v>
      </c>
      <c r="O1054">
        <v>1</v>
      </c>
    </row>
    <row r="1055" spans="1:15" ht="15" customHeight="1" x14ac:dyDescent="0.3">
      <c r="A1055" s="7">
        <v>1209669853</v>
      </c>
      <c r="B1055" s="4" t="s">
        <v>524</v>
      </c>
      <c r="C1055" s="4" t="s">
        <v>525</v>
      </c>
      <c r="D1055" s="6">
        <v>46309.440891203703</v>
      </c>
      <c r="E1055" s="6">
        <v>46309.190868055601</v>
      </c>
      <c r="F1055" s="6">
        <v>46309</v>
      </c>
      <c r="G1055" s="5" t="s">
        <v>12</v>
      </c>
      <c r="H1055" s="5" t="s">
        <v>16</v>
      </c>
      <c r="I1055" s="5">
        <v>16</v>
      </c>
      <c r="J1055" s="9" t="s">
        <v>17</v>
      </c>
      <c r="K1055" s="1" t="s">
        <v>1347</v>
      </c>
      <c r="L1055" t="s">
        <v>3284</v>
      </c>
      <c r="M1055" t="str">
        <f>+VLOOKUP(C1055,'[1]TIENDAS 2025'!$A$1:$C$143,3,0)</f>
        <v>local</v>
      </c>
      <c r="O1055">
        <v>1</v>
      </c>
    </row>
    <row r="1056" spans="1:15" ht="15" customHeight="1" x14ac:dyDescent="0.3">
      <c r="A1056" s="7">
        <v>1209669880</v>
      </c>
      <c r="B1056" s="4" t="s">
        <v>530</v>
      </c>
      <c r="C1056" s="4" t="s">
        <v>531</v>
      </c>
      <c r="D1056" s="6">
        <v>46309.440914351799</v>
      </c>
      <c r="E1056" s="6">
        <v>46309.190879629597</v>
      </c>
      <c r="F1056" s="6">
        <v>46309</v>
      </c>
      <c r="G1056" s="5" t="s">
        <v>12</v>
      </c>
      <c r="H1056" s="5" t="s">
        <v>16</v>
      </c>
      <c r="I1056" s="5">
        <v>12</v>
      </c>
      <c r="J1056" s="9" t="s">
        <v>17</v>
      </c>
      <c r="K1056" s="1" t="s">
        <v>1348</v>
      </c>
      <c r="L1056" t="s">
        <v>3284</v>
      </c>
      <c r="M1056" t="str">
        <f>+VLOOKUP(C1056,'[1]TIENDAS 2025'!$A$1:$C$143,3,0)</f>
        <v>local</v>
      </c>
      <c r="O1056">
        <v>1</v>
      </c>
    </row>
    <row r="1057" spans="1:15" ht="15" customHeight="1" x14ac:dyDescent="0.3">
      <c r="A1057" s="7">
        <v>1209669936</v>
      </c>
      <c r="B1057" s="4" t="s">
        <v>205</v>
      </c>
      <c r="C1057" s="4" t="s">
        <v>206</v>
      </c>
      <c r="D1057" s="6">
        <v>46309.440925925897</v>
      </c>
      <c r="E1057" s="6">
        <v>46309.190891203703</v>
      </c>
      <c r="F1057" s="6">
        <v>46309</v>
      </c>
      <c r="G1057" s="5" t="s">
        <v>12</v>
      </c>
      <c r="H1057" s="5" t="s">
        <v>16</v>
      </c>
      <c r="I1057" s="5">
        <v>37</v>
      </c>
      <c r="J1057" s="9" t="s">
        <v>17</v>
      </c>
      <c r="K1057" s="1" t="s">
        <v>1349</v>
      </c>
      <c r="L1057" t="s">
        <v>3284</v>
      </c>
      <c r="M1057" t="str">
        <f>+VLOOKUP(C1057,'[1]TIENDAS 2025'!$A$1:$C$143,3,0)</f>
        <v>prioridad</v>
      </c>
      <c r="O1057">
        <v>1</v>
      </c>
    </row>
    <row r="1058" spans="1:15" ht="15" customHeight="1" x14ac:dyDescent="0.3">
      <c r="A1058" s="7">
        <v>1209669935</v>
      </c>
      <c r="B1058" s="4" t="s">
        <v>205</v>
      </c>
      <c r="C1058" s="4" t="s">
        <v>206</v>
      </c>
      <c r="D1058" s="6">
        <v>46309.440937500003</v>
      </c>
      <c r="E1058" s="6">
        <v>46309.190914351799</v>
      </c>
      <c r="F1058" s="6">
        <v>46309</v>
      </c>
      <c r="G1058" s="5" t="s">
        <v>12</v>
      </c>
      <c r="H1058" s="5" t="s">
        <v>16</v>
      </c>
      <c r="I1058" s="5">
        <v>33</v>
      </c>
      <c r="J1058" s="9" t="s">
        <v>17</v>
      </c>
      <c r="K1058" s="1" t="s">
        <v>1350</v>
      </c>
      <c r="L1058" t="s">
        <v>3284</v>
      </c>
      <c r="M1058" t="str">
        <f>+VLOOKUP(C1058,'[1]TIENDAS 2025'!$A$1:$C$143,3,0)</f>
        <v>prioridad</v>
      </c>
      <c r="O1058">
        <v>1</v>
      </c>
    </row>
    <row r="1059" spans="1:15" ht="15" customHeight="1" x14ac:dyDescent="0.3">
      <c r="A1059" s="7">
        <v>8209669942</v>
      </c>
      <c r="B1059" s="4" t="s">
        <v>205</v>
      </c>
      <c r="C1059" s="4" t="s">
        <v>206</v>
      </c>
      <c r="D1059" s="6">
        <v>46309.440949074102</v>
      </c>
      <c r="E1059" s="6">
        <v>46309.190925925897</v>
      </c>
      <c r="F1059" s="6">
        <v>46309</v>
      </c>
      <c r="G1059" s="5" t="s">
        <v>12</v>
      </c>
      <c r="H1059" s="5" t="s">
        <v>27</v>
      </c>
      <c r="I1059" s="5">
        <v>5</v>
      </c>
      <c r="J1059" s="10" t="s">
        <v>17</v>
      </c>
      <c r="K1059" s="1" t="s">
        <v>1351</v>
      </c>
      <c r="M1059" t="str">
        <f>+VLOOKUP(C1059,'[1]TIENDAS 2025'!$A$1:$C$143,3,0)</f>
        <v>prioridad</v>
      </c>
      <c r="O1059">
        <v>1</v>
      </c>
    </row>
    <row r="1060" spans="1:15" ht="15" customHeight="1" x14ac:dyDescent="0.3">
      <c r="A1060" s="7">
        <v>1209669811</v>
      </c>
      <c r="B1060" s="4" t="s">
        <v>259</v>
      </c>
      <c r="C1060" s="4" t="s">
        <v>260</v>
      </c>
      <c r="D1060" s="6">
        <v>46309.440960648099</v>
      </c>
      <c r="E1060" s="6">
        <v>46309.190937500003</v>
      </c>
      <c r="F1060" s="6">
        <v>46309</v>
      </c>
      <c r="G1060" s="5" t="s">
        <v>12</v>
      </c>
      <c r="H1060" s="5" t="s">
        <v>16</v>
      </c>
      <c r="I1060" s="5">
        <v>9</v>
      </c>
      <c r="J1060" s="9" t="s">
        <v>17</v>
      </c>
      <c r="K1060" s="1" t="s">
        <v>1352</v>
      </c>
      <c r="L1060" t="s">
        <v>3284</v>
      </c>
      <c r="M1060" t="str">
        <f>+VLOOKUP(C1060,'[1]TIENDAS 2025'!$A$1:$C$143,3,0)</f>
        <v>local</v>
      </c>
      <c r="O1060">
        <v>1</v>
      </c>
    </row>
    <row r="1061" spans="1:15" ht="15" customHeight="1" x14ac:dyDescent="0.3">
      <c r="A1061" s="7">
        <v>8209669819</v>
      </c>
      <c r="B1061" s="4" t="s">
        <v>202</v>
      </c>
      <c r="C1061" s="4" t="s">
        <v>203</v>
      </c>
      <c r="D1061" s="6">
        <v>46309.440983796303</v>
      </c>
      <c r="E1061" s="6">
        <v>46309.190949074102</v>
      </c>
      <c r="F1061" s="6">
        <v>46309</v>
      </c>
      <c r="G1061" s="5" t="s">
        <v>12</v>
      </c>
      <c r="H1061" s="5" t="s">
        <v>27</v>
      </c>
      <c r="I1061" s="5">
        <v>1</v>
      </c>
      <c r="J1061" s="10" t="s">
        <v>17</v>
      </c>
      <c r="K1061" s="1" t="s">
        <v>1353</v>
      </c>
      <c r="M1061" t="str">
        <f>+VLOOKUP(C1061,'[1]TIENDAS 2025'!$A$1:$C$143,3,0)</f>
        <v>local</v>
      </c>
      <c r="O1061">
        <v>1</v>
      </c>
    </row>
    <row r="1062" spans="1:15" ht="15" customHeight="1" x14ac:dyDescent="0.3">
      <c r="A1062" s="7">
        <v>8209669820</v>
      </c>
      <c r="B1062" s="4" t="s">
        <v>202</v>
      </c>
      <c r="C1062" s="4" t="s">
        <v>203</v>
      </c>
      <c r="D1062" s="6">
        <v>46309.440995370402</v>
      </c>
      <c r="E1062" s="6">
        <v>46309.190960648099</v>
      </c>
      <c r="F1062" s="6">
        <v>46309</v>
      </c>
      <c r="G1062" s="5" t="s">
        <v>12</v>
      </c>
      <c r="H1062" s="5" t="s">
        <v>27</v>
      </c>
      <c r="I1062" s="5">
        <v>1</v>
      </c>
      <c r="J1062" s="10" t="s">
        <v>17</v>
      </c>
      <c r="K1062" s="1" t="s">
        <v>1354</v>
      </c>
      <c r="M1062" t="str">
        <f>+VLOOKUP(C1062,'[1]TIENDAS 2025'!$A$1:$C$143,3,0)</f>
        <v>local</v>
      </c>
      <c r="O1062">
        <v>1</v>
      </c>
    </row>
    <row r="1063" spans="1:15" ht="15" customHeight="1" x14ac:dyDescent="0.3">
      <c r="A1063" s="7">
        <v>1209669824</v>
      </c>
      <c r="B1063" s="4" t="s">
        <v>202</v>
      </c>
      <c r="C1063" s="4" t="s">
        <v>203</v>
      </c>
      <c r="D1063" s="6">
        <v>46309.441006944398</v>
      </c>
      <c r="E1063" s="6">
        <v>46309.190983796303</v>
      </c>
      <c r="F1063" s="6">
        <v>46309</v>
      </c>
      <c r="G1063" s="5" t="s">
        <v>12</v>
      </c>
      <c r="H1063" s="5" t="s">
        <v>16</v>
      </c>
      <c r="I1063" s="5">
        <v>3</v>
      </c>
      <c r="J1063" s="9" t="s">
        <v>17</v>
      </c>
      <c r="K1063" s="1" t="s">
        <v>1355</v>
      </c>
      <c r="L1063" t="s">
        <v>3284</v>
      </c>
      <c r="M1063" t="str">
        <f>+VLOOKUP(C1063,'[1]TIENDAS 2025'!$A$1:$C$143,3,0)</f>
        <v>local</v>
      </c>
      <c r="O1063">
        <v>1</v>
      </c>
    </row>
    <row r="1064" spans="1:15" ht="15" customHeight="1" x14ac:dyDescent="0.3">
      <c r="A1064" s="7">
        <v>1209669826</v>
      </c>
      <c r="B1064" s="4" t="s">
        <v>202</v>
      </c>
      <c r="C1064" s="4" t="s">
        <v>203</v>
      </c>
      <c r="D1064" s="6">
        <v>46309.441018518497</v>
      </c>
      <c r="E1064" s="6">
        <v>46309.190995370402</v>
      </c>
      <c r="F1064" s="6">
        <v>46309</v>
      </c>
      <c r="G1064" s="5" t="s">
        <v>12</v>
      </c>
      <c r="H1064" s="5" t="s">
        <v>16</v>
      </c>
      <c r="I1064" s="5">
        <v>10</v>
      </c>
      <c r="J1064" s="9" t="s">
        <v>17</v>
      </c>
      <c r="K1064" s="1" t="s">
        <v>1356</v>
      </c>
      <c r="L1064" t="s">
        <v>3284</v>
      </c>
      <c r="M1064" t="str">
        <f>+VLOOKUP(C1064,'[1]TIENDAS 2025'!$A$1:$C$143,3,0)</f>
        <v>local</v>
      </c>
      <c r="O1064">
        <v>1</v>
      </c>
    </row>
    <row r="1065" spans="1:15" ht="15" customHeight="1" x14ac:dyDescent="0.3">
      <c r="A1065" s="7">
        <v>8209669796</v>
      </c>
      <c r="B1065" s="4" t="s">
        <v>253</v>
      </c>
      <c r="C1065" s="4" t="s">
        <v>254</v>
      </c>
      <c r="D1065" s="6">
        <v>46309.441041666701</v>
      </c>
      <c r="E1065" s="6">
        <v>46309.191006944398</v>
      </c>
      <c r="F1065" s="6">
        <v>46309</v>
      </c>
      <c r="G1065" s="5" t="s">
        <v>12</v>
      </c>
      <c r="H1065" s="5" t="s">
        <v>27</v>
      </c>
      <c r="I1065" s="5">
        <v>12</v>
      </c>
      <c r="J1065" s="10" t="s">
        <v>17</v>
      </c>
      <c r="K1065" s="1" t="s">
        <v>1357</v>
      </c>
      <c r="M1065" t="str">
        <f>+VLOOKUP(C1065,'[1]TIENDAS 2025'!$A$1:$C$143,3,0)</f>
        <v>departamental</v>
      </c>
      <c r="O1065">
        <v>1</v>
      </c>
    </row>
    <row r="1066" spans="1:15" ht="15" customHeight="1" x14ac:dyDescent="0.3">
      <c r="A1066" s="7">
        <v>1209669809</v>
      </c>
      <c r="B1066" s="4" t="s">
        <v>259</v>
      </c>
      <c r="C1066" s="4" t="s">
        <v>260</v>
      </c>
      <c r="D1066" s="6">
        <v>46309.441053240698</v>
      </c>
      <c r="E1066" s="6">
        <v>46309.191018518497</v>
      </c>
      <c r="F1066" s="6">
        <v>46309</v>
      </c>
      <c r="G1066" s="5" t="s">
        <v>12</v>
      </c>
      <c r="H1066" s="5" t="s">
        <v>16</v>
      </c>
      <c r="I1066" s="5">
        <v>4</v>
      </c>
      <c r="J1066" s="9" t="s">
        <v>17</v>
      </c>
      <c r="K1066" s="1" t="s">
        <v>1358</v>
      </c>
      <c r="L1066" t="s">
        <v>3284</v>
      </c>
      <c r="M1066" t="str">
        <f>+VLOOKUP(C1066,'[1]TIENDAS 2025'!$A$1:$C$143,3,0)</f>
        <v>local</v>
      </c>
      <c r="O1066">
        <v>1</v>
      </c>
    </row>
    <row r="1067" spans="1:15" ht="15" customHeight="1" x14ac:dyDescent="0.3">
      <c r="A1067" s="7">
        <v>1209669848</v>
      </c>
      <c r="B1067" s="4" t="s">
        <v>524</v>
      </c>
      <c r="C1067" s="4" t="s">
        <v>525</v>
      </c>
      <c r="D1067" s="6">
        <v>46309.441064814797</v>
      </c>
      <c r="E1067" s="6">
        <v>46309.191041666701</v>
      </c>
      <c r="F1067" s="6">
        <v>46309</v>
      </c>
      <c r="G1067" s="5" t="s">
        <v>12</v>
      </c>
      <c r="H1067" s="5" t="s">
        <v>16</v>
      </c>
      <c r="I1067" s="5">
        <v>3</v>
      </c>
      <c r="J1067" s="9" t="s">
        <v>17</v>
      </c>
      <c r="K1067" s="1" t="s">
        <v>1359</v>
      </c>
      <c r="L1067" t="s">
        <v>3284</v>
      </c>
      <c r="M1067" t="str">
        <f>+VLOOKUP(C1067,'[1]TIENDAS 2025'!$A$1:$C$143,3,0)</f>
        <v>local</v>
      </c>
      <c r="O1067">
        <v>1</v>
      </c>
    </row>
    <row r="1068" spans="1:15" ht="15" customHeight="1" x14ac:dyDescent="0.3">
      <c r="A1068" s="7">
        <v>8209669897</v>
      </c>
      <c r="B1068" s="4" t="s">
        <v>533</v>
      </c>
      <c r="C1068" s="4" t="s">
        <v>534</v>
      </c>
      <c r="D1068" s="6">
        <v>46309.441076388903</v>
      </c>
      <c r="E1068" s="6">
        <v>46309.191053240698</v>
      </c>
      <c r="F1068" s="6">
        <v>46309</v>
      </c>
      <c r="G1068" s="5" t="s">
        <v>12</v>
      </c>
      <c r="H1068" s="5" t="s">
        <v>27</v>
      </c>
      <c r="I1068" s="5">
        <v>10</v>
      </c>
      <c r="J1068" s="10" t="s">
        <v>17</v>
      </c>
      <c r="K1068" s="1" t="s">
        <v>1360</v>
      </c>
      <c r="M1068" t="str">
        <f>+VLOOKUP(C1068,'[1]TIENDAS 2025'!$A$1:$C$143,3,0)</f>
        <v>local</v>
      </c>
      <c r="O1068">
        <v>1</v>
      </c>
    </row>
    <row r="1069" spans="1:15" ht="15" customHeight="1" x14ac:dyDescent="0.3">
      <c r="A1069" s="7">
        <v>1209669904</v>
      </c>
      <c r="B1069" s="4" t="s">
        <v>533</v>
      </c>
      <c r="C1069" s="4" t="s">
        <v>534</v>
      </c>
      <c r="D1069" s="6">
        <v>46309.441087963001</v>
      </c>
      <c r="E1069" s="6">
        <v>46309.191064814797</v>
      </c>
      <c r="F1069" s="6">
        <v>46309</v>
      </c>
      <c r="G1069" s="5" t="s">
        <v>12</v>
      </c>
      <c r="H1069" s="5" t="s">
        <v>16</v>
      </c>
      <c r="I1069" s="5">
        <v>19</v>
      </c>
      <c r="J1069" s="9" t="s">
        <v>17</v>
      </c>
      <c r="K1069" s="1" t="s">
        <v>1361</v>
      </c>
      <c r="L1069" t="s">
        <v>3284</v>
      </c>
      <c r="M1069" t="str">
        <f>+VLOOKUP(C1069,'[1]TIENDAS 2025'!$A$1:$C$143,3,0)</f>
        <v>local</v>
      </c>
      <c r="O1069">
        <v>1</v>
      </c>
    </row>
    <row r="1070" spans="1:15" ht="15" customHeight="1" x14ac:dyDescent="0.3">
      <c r="A1070" s="7">
        <v>1209669949</v>
      </c>
      <c r="B1070" s="4" t="s">
        <v>205</v>
      </c>
      <c r="C1070" s="4" t="s">
        <v>206</v>
      </c>
      <c r="D1070" s="6">
        <v>46309.441111111097</v>
      </c>
      <c r="E1070" s="6">
        <v>46309.191076388903</v>
      </c>
      <c r="F1070" s="6">
        <v>46309</v>
      </c>
      <c r="G1070" s="5" t="s">
        <v>12</v>
      </c>
      <c r="H1070" s="5" t="s">
        <v>16</v>
      </c>
      <c r="I1070" s="5">
        <v>45</v>
      </c>
      <c r="J1070" s="9" t="s">
        <v>17</v>
      </c>
      <c r="K1070" s="1" t="s">
        <v>1362</v>
      </c>
      <c r="L1070" t="s">
        <v>3284</v>
      </c>
      <c r="M1070" t="str">
        <f>+VLOOKUP(C1070,'[1]TIENDAS 2025'!$A$1:$C$143,3,0)</f>
        <v>prioridad</v>
      </c>
      <c r="O1070">
        <v>1</v>
      </c>
    </row>
    <row r="1071" spans="1:15" ht="15" customHeight="1" x14ac:dyDescent="0.3">
      <c r="A1071" s="7">
        <v>8209669846</v>
      </c>
      <c r="B1071" s="4" t="s">
        <v>524</v>
      </c>
      <c r="C1071" s="4" t="s">
        <v>525</v>
      </c>
      <c r="D1071" s="6">
        <v>46309.441122685203</v>
      </c>
      <c r="E1071" s="6">
        <v>46309.191099536998</v>
      </c>
      <c r="F1071" s="6">
        <v>46309</v>
      </c>
      <c r="G1071" s="5" t="s">
        <v>12</v>
      </c>
      <c r="H1071" s="5" t="s">
        <v>27</v>
      </c>
      <c r="I1071" s="5">
        <v>1</v>
      </c>
      <c r="J1071" s="10" t="s">
        <v>17</v>
      </c>
      <c r="K1071" s="1" t="s">
        <v>1363</v>
      </c>
      <c r="M1071" t="str">
        <f>+VLOOKUP(C1071,'[1]TIENDAS 2025'!$A$1:$C$143,3,0)</f>
        <v>local</v>
      </c>
      <c r="O1071">
        <v>1</v>
      </c>
    </row>
    <row r="1072" spans="1:15" ht="15" customHeight="1" x14ac:dyDescent="0.3">
      <c r="A1072" s="7">
        <v>1209669822</v>
      </c>
      <c r="B1072" s="4" t="s">
        <v>202</v>
      </c>
      <c r="C1072" s="4" t="s">
        <v>203</v>
      </c>
      <c r="D1072" s="6">
        <v>46309.441145833298</v>
      </c>
      <c r="E1072" s="6">
        <v>46309.191111111097</v>
      </c>
      <c r="F1072" s="6">
        <v>46309</v>
      </c>
      <c r="G1072" s="5" t="s">
        <v>12</v>
      </c>
      <c r="H1072" s="5" t="s">
        <v>16</v>
      </c>
      <c r="I1072" s="5">
        <v>4</v>
      </c>
      <c r="J1072" s="9" t="s">
        <v>17</v>
      </c>
      <c r="K1072" s="1" t="s">
        <v>1364</v>
      </c>
      <c r="L1072" t="s">
        <v>3284</v>
      </c>
      <c r="M1072" t="str">
        <f>+VLOOKUP(C1072,'[1]TIENDAS 2025'!$A$1:$C$143,3,0)</f>
        <v>local</v>
      </c>
      <c r="O1072">
        <v>1</v>
      </c>
    </row>
    <row r="1073" spans="1:15" ht="15" customHeight="1" x14ac:dyDescent="0.3">
      <c r="A1073" s="7">
        <v>1209669825</v>
      </c>
      <c r="B1073" s="4" t="s">
        <v>202</v>
      </c>
      <c r="C1073" s="4" t="s">
        <v>203</v>
      </c>
      <c r="D1073" s="6">
        <v>46309.441145833298</v>
      </c>
      <c r="E1073" s="6">
        <v>46309.191122685203</v>
      </c>
      <c r="F1073" s="6">
        <v>46309</v>
      </c>
      <c r="G1073" s="5" t="s">
        <v>12</v>
      </c>
      <c r="H1073" s="5" t="s">
        <v>16</v>
      </c>
      <c r="I1073" s="5">
        <v>5</v>
      </c>
      <c r="J1073" s="9" t="s">
        <v>17</v>
      </c>
      <c r="K1073" s="1" t="s">
        <v>1365</v>
      </c>
      <c r="L1073" t="s">
        <v>3284</v>
      </c>
      <c r="M1073" t="str">
        <f>+VLOOKUP(C1073,'[1]TIENDAS 2025'!$A$1:$C$143,3,0)</f>
        <v>local</v>
      </c>
      <c r="O1073">
        <v>1</v>
      </c>
    </row>
    <row r="1074" spans="1:15" ht="15" customHeight="1" x14ac:dyDescent="0.3">
      <c r="A1074" s="7">
        <v>1209669801</v>
      </c>
      <c r="B1074" s="4" t="s">
        <v>253</v>
      </c>
      <c r="C1074" s="4" t="s">
        <v>254</v>
      </c>
      <c r="D1074" s="6">
        <v>46309.441168981502</v>
      </c>
      <c r="E1074" s="6">
        <v>46309.191134259301</v>
      </c>
      <c r="F1074" s="6">
        <v>46309</v>
      </c>
      <c r="G1074" s="5" t="s">
        <v>12</v>
      </c>
      <c r="H1074" s="5" t="s">
        <v>29</v>
      </c>
      <c r="I1074" s="5">
        <v>36</v>
      </c>
      <c r="J1074" s="9" t="s">
        <v>17</v>
      </c>
      <c r="K1074" s="1" t="s">
        <v>1366</v>
      </c>
      <c r="L1074" t="s">
        <v>3284</v>
      </c>
      <c r="M1074" t="str">
        <f>+VLOOKUP(C1074,'[1]TIENDAS 2025'!$A$1:$C$143,3,0)</f>
        <v>departamental</v>
      </c>
      <c r="O1074">
        <v>1</v>
      </c>
    </row>
    <row r="1075" spans="1:15" ht="15" customHeight="1" x14ac:dyDescent="0.3">
      <c r="A1075" s="7">
        <v>1209669858</v>
      </c>
      <c r="B1075" s="4" t="s">
        <v>524</v>
      </c>
      <c r="C1075" s="4" t="s">
        <v>525</v>
      </c>
      <c r="D1075" s="6">
        <v>46309.441180555601</v>
      </c>
      <c r="E1075" s="6">
        <v>46309.191145833298</v>
      </c>
      <c r="F1075" s="6">
        <v>46309</v>
      </c>
      <c r="G1075" s="5" t="s">
        <v>12</v>
      </c>
      <c r="H1075" s="5" t="s">
        <v>16</v>
      </c>
      <c r="I1075" s="5">
        <v>13</v>
      </c>
      <c r="J1075" s="9" t="s">
        <v>17</v>
      </c>
      <c r="K1075" s="1" t="s">
        <v>1367</v>
      </c>
      <c r="L1075" t="s">
        <v>3284</v>
      </c>
      <c r="M1075" t="str">
        <f>+VLOOKUP(C1075,'[1]TIENDAS 2025'!$A$1:$C$143,3,0)</f>
        <v>local</v>
      </c>
      <c r="O1075">
        <v>1</v>
      </c>
    </row>
    <row r="1076" spans="1:15" ht="15" customHeight="1" x14ac:dyDescent="0.3">
      <c r="A1076" s="7">
        <v>8209669912</v>
      </c>
      <c r="B1076" s="4" t="s">
        <v>533</v>
      </c>
      <c r="C1076" s="4" t="s">
        <v>534</v>
      </c>
      <c r="D1076" s="6">
        <v>46309.441203703696</v>
      </c>
      <c r="E1076" s="6">
        <v>46309.191168981502</v>
      </c>
      <c r="F1076" s="6">
        <v>46309</v>
      </c>
      <c r="G1076" s="5" t="s">
        <v>12</v>
      </c>
      <c r="H1076" s="5" t="s">
        <v>27</v>
      </c>
      <c r="I1076" s="5">
        <v>10</v>
      </c>
      <c r="J1076" s="10" t="s">
        <v>17</v>
      </c>
      <c r="K1076" s="1" t="s">
        <v>1368</v>
      </c>
      <c r="M1076" t="str">
        <f>+VLOOKUP(C1076,'[1]TIENDAS 2025'!$A$1:$C$143,3,0)</f>
        <v>local</v>
      </c>
      <c r="O1076">
        <v>1</v>
      </c>
    </row>
    <row r="1077" spans="1:15" ht="15" customHeight="1" x14ac:dyDescent="0.3">
      <c r="A1077" s="7">
        <v>1209669878</v>
      </c>
      <c r="B1077" s="4" t="s">
        <v>530</v>
      </c>
      <c r="C1077" s="4" t="s">
        <v>531</v>
      </c>
      <c r="D1077" s="6">
        <v>46309.441215277802</v>
      </c>
      <c r="E1077" s="6">
        <v>46309.191180555601</v>
      </c>
      <c r="F1077" s="6">
        <v>46309</v>
      </c>
      <c r="G1077" s="5" t="s">
        <v>12</v>
      </c>
      <c r="H1077" s="5" t="s">
        <v>29</v>
      </c>
      <c r="I1077" s="5">
        <v>7</v>
      </c>
      <c r="J1077" s="9" t="s">
        <v>17</v>
      </c>
      <c r="K1077" s="1" t="s">
        <v>1369</v>
      </c>
      <c r="L1077" t="s">
        <v>3284</v>
      </c>
      <c r="M1077" t="str">
        <f>+VLOOKUP(C1077,'[1]TIENDAS 2025'!$A$1:$C$143,3,0)</f>
        <v>local</v>
      </c>
      <c r="O1077">
        <v>1</v>
      </c>
    </row>
    <row r="1078" spans="1:15" ht="15" customHeight="1" x14ac:dyDescent="0.3">
      <c r="A1078" s="7">
        <v>1209669939</v>
      </c>
      <c r="B1078" s="4" t="s">
        <v>205</v>
      </c>
      <c r="C1078" s="4" t="s">
        <v>206</v>
      </c>
      <c r="D1078" s="6">
        <v>46309.441215277802</v>
      </c>
      <c r="E1078" s="6">
        <v>46309.191192129598</v>
      </c>
      <c r="F1078" s="6">
        <v>46309</v>
      </c>
      <c r="G1078" s="5" t="s">
        <v>12</v>
      </c>
      <c r="H1078" s="5" t="s">
        <v>16</v>
      </c>
      <c r="I1078" s="5">
        <v>4</v>
      </c>
      <c r="J1078" s="9" t="s">
        <v>17</v>
      </c>
      <c r="K1078" s="1" t="s">
        <v>1370</v>
      </c>
      <c r="L1078" t="s">
        <v>3284</v>
      </c>
      <c r="M1078" t="str">
        <f>+VLOOKUP(C1078,'[1]TIENDAS 2025'!$A$1:$C$143,3,0)</f>
        <v>prioridad</v>
      </c>
      <c r="O1078">
        <v>1</v>
      </c>
    </row>
    <row r="1079" spans="1:15" ht="15" customHeight="1" x14ac:dyDescent="0.3">
      <c r="A1079" s="7">
        <v>1209669803</v>
      </c>
      <c r="B1079" s="4" t="s">
        <v>253</v>
      </c>
      <c r="C1079" s="4" t="s">
        <v>254</v>
      </c>
      <c r="D1079" s="6">
        <v>46309.441238425898</v>
      </c>
      <c r="E1079" s="6">
        <v>46309.191215277802</v>
      </c>
      <c r="F1079" s="6">
        <v>46309</v>
      </c>
      <c r="G1079" s="5" t="s">
        <v>12</v>
      </c>
      <c r="H1079" s="5" t="s">
        <v>29</v>
      </c>
      <c r="I1079" s="5">
        <v>28</v>
      </c>
      <c r="J1079" s="9" t="s">
        <v>17</v>
      </c>
      <c r="K1079" s="1" t="s">
        <v>1371</v>
      </c>
      <c r="L1079" t="s">
        <v>3284</v>
      </c>
      <c r="M1079" t="str">
        <f>+VLOOKUP(C1079,'[1]TIENDAS 2025'!$A$1:$C$143,3,0)</f>
        <v>departamental</v>
      </c>
      <c r="O1079">
        <v>1</v>
      </c>
    </row>
    <row r="1080" spans="1:15" ht="15" customHeight="1" x14ac:dyDescent="0.3">
      <c r="A1080" s="7">
        <v>1209669814</v>
      </c>
      <c r="B1080" s="4" t="s">
        <v>259</v>
      </c>
      <c r="C1080" s="4" t="s">
        <v>260</v>
      </c>
      <c r="D1080" s="6">
        <v>46309.441250000003</v>
      </c>
      <c r="E1080" s="6">
        <v>46309.191226851799</v>
      </c>
      <c r="F1080" s="6">
        <v>46309</v>
      </c>
      <c r="G1080" s="5" t="s">
        <v>12</v>
      </c>
      <c r="H1080" s="5" t="s">
        <v>16</v>
      </c>
      <c r="I1080" s="5">
        <v>12</v>
      </c>
      <c r="J1080" s="9" t="s">
        <v>17</v>
      </c>
      <c r="K1080" s="1" t="s">
        <v>1372</v>
      </c>
      <c r="L1080" t="s">
        <v>3284</v>
      </c>
      <c r="M1080" t="str">
        <f>+VLOOKUP(C1080,'[1]TIENDAS 2025'!$A$1:$C$143,3,0)</f>
        <v>local</v>
      </c>
      <c r="O1080">
        <v>1</v>
      </c>
    </row>
    <row r="1081" spans="1:15" ht="15" customHeight="1" x14ac:dyDescent="0.3">
      <c r="A1081" s="7">
        <v>8209669806</v>
      </c>
      <c r="B1081" s="4" t="s">
        <v>259</v>
      </c>
      <c r="C1081" s="4" t="s">
        <v>260</v>
      </c>
      <c r="D1081" s="6">
        <v>46309.441273148099</v>
      </c>
      <c r="E1081" s="6">
        <v>46309.191238425898</v>
      </c>
      <c r="F1081" s="6">
        <v>46309</v>
      </c>
      <c r="G1081" s="5" t="s">
        <v>12</v>
      </c>
      <c r="H1081" s="5" t="s">
        <v>27</v>
      </c>
      <c r="I1081" s="5">
        <v>1</v>
      </c>
      <c r="J1081" s="10" t="s">
        <v>17</v>
      </c>
      <c r="K1081" s="1" t="s">
        <v>1373</v>
      </c>
      <c r="M1081" t="str">
        <f>+VLOOKUP(C1081,'[1]TIENDAS 2025'!$A$1:$C$143,3,0)</f>
        <v>local</v>
      </c>
      <c r="O1081">
        <v>1</v>
      </c>
    </row>
    <row r="1082" spans="1:15" ht="15" customHeight="1" x14ac:dyDescent="0.3">
      <c r="A1082" s="7">
        <v>1209669821</v>
      </c>
      <c r="B1082" s="4" t="s">
        <v>202</v>
      </c>
      <c r="C1082" s="4" t="s">
        <v>203</v>
      </c>
      <c r="D1082" s="6">
        <v>46309.441284722197</v>
      </c>
      <c r="E1082" s="6">
        <v>46309.191250000003</v>
      </c>
      <c r="F1082" s="6">
        <v>46309</v>
      </c>
      <c r="G1082" s="5" t="s">
        <v>12</v>
      </c>
      <c r="H1082" s="5" t="s">
        <v>16</v>
      </c>
      <c r="I1082" s="5">
        <v>1</v>
      </c>
      <c r="J1082" s="9" t="s">
        <v>17</v>
      </c>
      <c r="K1082" s="1" t="s">
        <v>1374</v>
      </c>
      <c r="L1082" t="s">
        <v>3284</v>
      </c>
      <c r="M1082" t="str">
        <f>+VLOOKUP(C1082,'[1]TIENDAS 2025'!$A$1:$C$143,3,0)</f>
        <v>local</v>
      </c>
      <c r="O1082">
        <v>1</v>
      </c>
    </row>
    <row r="1083" spans="1:15" ht="15" customHeight="1" x14ac:dyDescent="0.3">
      <c r="A1083" s="7">
        <v>8209669797</v>
      </c>
      <c r="B1083" s="4" t="s">
        <v>253</v>
      </c>
      <c r="C1083" s="4" t="s">
        <v>254</v>
      </c>
      <c r="D1083" s="6">
        <v>46309.441296296303</v>
      </c>
      <c r="E1083" s="6">
        <v>46309.191261574102</v>
      </c>
      <c r="F1083" s="6">
        <v>46309</v>
      </c>
      <c r="G1083" s="5" t="s">
        <v>12</v>
      </c>
      <c r="H1083" s="5" t="s">
        <v>27</v>
      </c>
      <c r="I1083" s="5">
        <v>13</v>
      </c>
      <c r="J1083" s="10" t="s">
        <v>17</v>
      </c>
      <c r="K1083" s="1" t="s">
        <v>1375</v>
      </c>
      <c r="M1083" t="str">
        <f>+VLOOKUP(C1083,'[1]TIENDAS 2025'!$A$1:$C$143,3,0)</f>
        <v>departamental</v>
      </c>
      <c r="O1083">
        <v>1</v>
      </c>
    </row>
    <row r="1084" spans="1:15" ht="15" customHeight="1" x14ac:dyDescent="0.3">
      <c r="A1084" s="7">
        <v>1209669788</v>
      </c>
      <c r="B1084" s="4" t="s">
        <v>253</v>
      </c>
      <c r="C1084" s="4" t="s">
        <v>254</v>
      </c>
      <c r="D1084" s="6">
        <v>46309.441307870402</v>
      </c>
      <c r="E1084" s="6">
        <v>46309.191284722197</v>
      </c>
      <c r="F1084" s="6">
        <v>46309</v>
      </c>
      <c r="G1084" s="5" t="s">
        <v>12</v>
      </c>
      <c r="H1084" s="5" t="s">
        <v>29</v>
      </c>
      <c r="I1084" s="5">
        <v>37</v>
      </c>
      <c r="J1084" s="9" t="s">
        <v>17</v>
      </c>
      <c r="K1084" s="1" t="s">
        <v>1376</v>
      </c>
      <c r="L1084" t="s">
        <v>3284</v>
      </c>
      <c r="M1084" t="str">
        <f>+VLOOKUP(C1084,'[1]TIENDAS 2025'!$A$1:$C$143,3,0)</f>
        <v>departamental</v>
      </c>
      <c r="O1084">
        <v>1</v>
      </c>
    </row>
    <row r="1085" spans="1:15" ht="15" customHeight="1" x14ac:dyDescent="0.3">
      <c r="A1085" s="7">
        <v>1209669800</v>
      </c>
      <c r="B1085" s="4" t="s">
        <v>253</v>
      </c>
      <c r="C1085" s="4" t="s">
        <v>254</v>
      </c>
      <c r="D1085" s="6">
        <v>46309.441331018497</v>
      </c>
      <c r="E1085" s="6">
        <v>46309.191296296303</v>
      </c>
      <c r="F1085" s="6">
        <v>46309</v>
      </c>
      <c r="G1085" s="5" t="s">
        <v>12</v>
      </c>
      <c r="H1085" s="5" t="s">
        <v>29</v>
      </c>
      <c r="I1085" s="5">
        <v>6</v>
      </c>
      <c r="J1085" s="9" t="s">
        <v>17</v>
      </c>
      <c r="K1085" s="1" t="s">
        <v>1377</v>
      </c>
      <c r="L1085" t="s">
        <v>3284</v>
      </c>
      <c r="M1085" t="str">
        <f>+VLOOKUP(C1085,'[1]TIENDAS 2025'!$A$1:$C$143,3,0)</f>
        <v>departamental</v>
      </c>
      <c r="O1085">
        <v>1</v>
      </c>
    </row>
    <row r="1086" spans="1:15" ht="15" customHeight="1" x14ac:dyDescent="0.3">
      <c r="A1086" s="7">
        <v>1209669831</v>
      </c>
      <c r="B1086" s="4" t="s">
        <v>202</v>
      </c>
      <c r="C1086" s="4" t="s">
        <v>203</v>
      </c>
      <c r="D1086" s="6">
        <v>46309.441342592603</v>
      </c>
      <c r="E1086" s="6">
        <v>46309.191307870402</v>
      </c>
      <c r="F1086" s="6">
        <v>46309</v>
      </c>
      <c r="G1086" s="5" t="s">
        <v>12</v>
      </c>
      <c r="H1086" s="5" t="s">
        <v>16</v>
      </c>
      <c r="I1086" s="5">
        <v>1</v>
      </c>
      <c r="J1086" s="9" t="s">
        <v>17</v>
      </c>
      <c r="K1086" s="1" t="s">
        <v>1378</v>
      </c>
      <c r="L1086" t="s">
        <v>3284</v>
      </c>
      <c r="M1086" t="str">
        <f>+VLOOKUP(C1086,'[1]TIENDAS 2025'!$A$1:$C$143,3,0)</f>
        <v>local</v>
      </c>
      <c r="O1086">
        <v>1</v>
      </c>
    </row>
    <row r="1087" spans="1:15" ht="15" customHeight="1" x14ac:dyDescent="0.3">
      <c r="A1087" s="7">
        <v>8209669808</v>
      </c>
      <c r="B1087" s="4" t="s">
        <v>259</v>
      </c>
      <c r="C1087" s="4" t="s">
        <v>260</v>
      </c>
      <c r="D1087" s="6">
        <v>46309.441354166702</v>
      </c>
      <c r="E1087" s="6">
        <v>46309.191319444399</v>
      </c>
      <c r="F1087" s="6">
        <v>46309</v>
      </c>
      <c r="G1087" s="5" t="s">
        <v>12</v>
      </c>
      <c r="H1087" s="5" t="s">
        <v>27</v>
      </c>
      <c r="I1087" s="5">
        <v>1</v>
      </c>
      <c r="J1087" s="10" t="s">
        <v>17</v>
      </c>
      <c r="K1087" s="1" t="s">
        <v>1379</v>
      </c>
      <c r="M1087" t="str">
        <f>+VLOOKUP(C1087,'[1]TIENDAS 2025'!$A$1:$C$143,3,0)</f>
        <v>local</v>
      </c>
      <c r="O1087">
        <v>1</v>
      </c>
    </row>
    <row r="1088" spans="1:15" ht="15" customHeight="1" x14ac:dyDescent="0.3">
      <c r="A1088" s="7">
        <v>1209669810</v>
      </c>
      <c r="B1088" s="4" t="s">
        <v>259</v>
      </c>
      <c r="C1088" s="4" t="s">
        <v>260</v>
      </c>
      <c r="D1088" s="6">
        <v>46309.441365740699</v>
      </c>
      <c r="E1088" s="6">
        <v>46309.191342592603</v>
      </c>
      <c r="F1088" s="6">
        <v>46309</v>
      </c>
      <c r="G1088" s="5" t="s">
        <v>12</v>
      </c>
      <c r="H1088" s="5" t="s">
        <v>16</v>
      </c>
      <c r="I1088" s="5">
        <v>6</v>
      </c>
      <c r="J1088" s="9" t="s">
        <v>17</v>
      </c>
      <c r="K1088" s="1" t="s">
        <v>1380</v>
      </c>
      <c r="L1088" t="s">
        <v>3284</v>
      </c>
      <c r="M1088" t="str">
        <f>+VLOOKUP(C1088,'[1]TIENDAS 2025'!$A$1:$C$143,3,0)</f>
        <v>local</v>
      </c>
      <c r="O1088">
        <v>1</v>
      </c>
    </row>
    <row r="1089" spans="1:15" ht="15" customHeight="1" x14ac:dyDescent="0.3">
      <c r="A1089" s="7">
        <v>1209669882</v>
      </c>
      <c r="B1089" s="4" t="s">
        <v>530</v>
      </c>
      <c r="C1089" s="4" t="s">
        <v>531</v>
      </c>
      <c r="D1089" s="6">
        <v>46309.441388888903</v>
      </c>
      <c r="E1089" s="6">
        <v>46309.191354166702</v>
      </c>
      <c r="F1089" s="6">
        <v>46309</v>
      </c>
      <c r="G1089" s="5" t="s">
        <v>12</v>
      </c>
      <c r="H1089" s="5" t="s">
        <v>16</v>
      </c>
      <c r="I1089" s="5">
        <v>20</v>
      </c>
      <c r="J1089" s="9" t="s">
        <v>17</v>
      </c>
      <c r="K1089" s="1" t="s">
        <v>1381</v>
      </c>
      <c r="L1089" t="s">
        <v>3284</v>
      </c>
      <c r="M1089" t="str">
        <f>+VLOOKUP(C1089,'[1]TIENDAS 2025'!$A$1:$C$143,3,0)</f>
        <v>local</v>
      </c>
      <c r="O1089">
        <v>1</v>
      </c>
    </row>
    <row r="1090" spans="1:15" ht="15" customHeight="1" x14ac:dyDescent="0.3">
      <c r="A1090" s="7">
        <v>1209669907</v>
      </c>
      <c r="B1090" s="4" t="s">
        <v>533</v>
      </c>
      <c r="C1090" s="4" t="s">
        <v>534</v>
      </c>
      <c r="D1090" s="6">
        <v>46309.441400463002</v>
      </c>
      <c r="E1090" s="6">
        <v>46309.191365740699</v>
      </c>
      <c r="F1090" s="6">
        <v>46309</v>
      </c>
      <c r="G1090" s="5" t="s">
        <v>12</v>
      </c>
      <c r="H1090" s="5" t="s">
        <v>16</v>
      </c>
      <c r="I1090" s="5">
        <v>52</v>
      </c>
      <c r="J1090" s="9" t="s">
        <v>17</v>
      </c>
      <c r="K1090" s="1" t="s">
        <v>1382</v>
      </c>
      <c r="L1090" t="s">
        <v>3284</v>
      </c>
      <c r="M1090" t="str">
        <f>+VLOOKUP(C1090,'[1]TIENDAS 2025'!$A$1:$C$143,3,0)</f>
        <v>local</v>
      </c>
      <c r="O1090">
        <v>1</v>
      </c>
    </row>
    <row r="1091" spans="1:15" ht="15" customHeight="1" x14ac:dyDescent="0.3">
      <c r="A1091" s="7">
        <v>1209669909</v>
      </c>
      <c r="B1091" s="4" t="s">
        <v>533</v>
      </c>
      <c r="C1091" s="4" t="s">
        <v>534</v>
      </c>
      <c r="D1091" s="6">
        <v>46309.441412036998</v>
      </c>
      <c r="E1091" s="6">
        <v>46309.191377314797</v>
      </c>
      <c r="F1091" s="6">
        <v>46309</v>
      </c>
      <c r="G1091" s="5" t="s">
        <v>12</v>
      </c>
      <c r="H1091" s="5" t="s">
        <v>16</v>
      </c>
      <c r="I1091" s="5">
        <v>1</v>
      </c>
      <c r="J1091" s="9" t="s">
        <v>17</v>
      </c>
      <c r="K1091" s="1" t="s">
        <v>1383</v>
      </c>
      <c r="L1091" t="s">
        <v>3284</v>
      </c>
      <c r="M1091" t="str">
        <f>+VLOOKUP(C1091,'[1]TIENDAS 2025'!$A$1:$C$143,3,0)</f>
        <v>local</v>
      </c>
      <c r="O1091">
        <v>1</v>
      </c>
    </row>
    <row r="1092" spans="1:15" ht="15" customHeight="1" x14ac:dyDescent="0.3">
      <c r="A1092" s="7">
        <v>1209669884</v>
      </c>
      <c r="B1092" s="4" t="s">
        <v>530</v>
      </c>
      <c r="C1092" s="4" t="s">
        <v>531</v>
      </c>
      <c r="D1092" s="6">
        <v>46309.441423611097</v>
      </c>
      <c r="E1092" s="6">
        <v>46309.191400463002</v>
      </c>
      <c r="F1092" s="6">
        <v>46309</v>
      </c>
      <c r="G1092" s="5" t="s">
        <v>12</v>
      </c>
      <c r="H1092" s="5" t="s">
        <v>29</v>
      </c>
      <c r="I1092" s="5">
        <v>28</v>
      </c>
      <c r="J1092" s="9" t="s">
        <v>17</v>
      </c>
      <c r="K1092" s="1" t="s">
        <v>1384</v>
      </c>
      <c r="L1092" t="s">
        <v>3284</v>
      </c>
      <c r="M1092" t="str">
        <f>+VLOOKUP(C1092,'[1]TIENDAS 2025'!$A$1:$C$143,3,0)</f>
        <v>local</v>
      </c>
      <c r="O1092">
        <v>1</v>
      </c>
    </row>
    <row r="1093" spans="1:15" ht="15" customHeight="1" x14ac:dyDescent="0.3">
      <c r="A1093" s="7">
        <v>1209669915</v>
      </c>
      <c r="B1093" s="4" t="s">
        <v>533</v>
      </c>
      <c r="C1093" s="4" t="s">
        <v>534</v>
      </c>
      <c r="D1093" s="6">
        <v>46309.441435185203</v>
      </c>
      <c r="E1093" s="6">
        <v>46309.191412036998</v>
      </c>
      <c r="F1093" s="6">
        <v>46309</v>
      </c>
      <c r="G1093" s="5" t="s">
        <v>12</v>
      </c>
      <c r="H1093" s="5" t="s">
        <v>16</v>
      </c>
      <c r="I1093" s="5">
        <v>29</v>
      </c>
      <c r="J1093" s="9" t="s">
        <v>17</v>
      </c>
      <c r="K1093" s="1" t="s">
        <v>1385</v>
      </c>
      <c r="L1093" t="s">
        <v>3284</v>
      </c>
      <c r="M1093" t="str">
        <f>+VLOOKUP(C1093,'[1]TIENDAS 2025'!$A$1:$C$143,3,0)</f>
        <v>local</v>
      </c>
      <c r="O1093">
        <v>1</v>
      </c>
    </row>
    <row r="1094" spans="1:15" ht="15" customHeight="1" x14ac:dyDescent="0.3">
      <c r="A1094" s="7">
        <v>1209669914</v>
      </c>
      <c r="B1094" s="4" t="s">
        <v>533</v>
      </c>
      <c r="C1094" s="4" t="s">
        <v>534</v>
      </c>
      <c r="D1094" s="6">
        <v>46309.441458333298</v>
      </c>
      <c r="E1094" s="6">
        <v>46309.191423611097</v>
      </c>
      <c r="F1094" s="6">
        <v>46309</v>
      </c>
      <c r="G1094" s="5" t="s">
        <v>12</v>
      </c>
      <c r="H1094" s="5" t="s">
        <v>29</v>
      </c>
      <c r="I1094" s="5">
        <v>3</v>
      </c>
      <c r="J1094" s="9" t="s">
        <v>17</v>
      </c>
      <c r="K1094" s="1" t="s">
        <v>1386</v>
      </c>
      <c r="L1094" t="s">
        <v>3284</v>
      </c>
      <c r="M1094" t="str">
        <f>+VLOOKUP(C1094,'[1]TIENDAS 2025'!$A$1:$C$143,3,0)</f>
        <v>local</v>
      </c>
      <c r="O1094">
        <v>1</v>
      </c>
    </row>
    <row r="1095" spans="1:15" ht="15" customHeight="1" x14ac:dyDescent="0.3">
      <c r="A1095" s="7">
        <v>8209669900</v>
      </c>
      <c r="B1095" s="4" t="s">
        <v>533</v>
      </c>
      <c r="C1095" s="4" t="s">
        <v>534</v>
      </c>
      <c r="D1095" s="6">
        <v>46309.441469907397</v>
      </c>
      <c r="E1095" s="6">
        <v>46309.191435185203</v>
      </c>
      <c r="F1095" s="6">
        <v>46309</v>
      </c>
      <c r="G1095" s="5" t="s">
        <v>12</v>
      </c>
      <c r="H1095" s="5" t="s">
        <v>27</v>
      </c>
      <c r="I1095" s="5">
        <v>10</v>
      </c>
      <c r="J1095" s="10" t="s">
        <v>17</v>
      </c>
      <c r="K1095" s="1" t="s">
        <v>1387</v>
      </c>
      <c r="M1095" t="str">
        <f>+VLOOKUP(C1095,'[1]TIENDAS 2025'!$A$1:$C$143,3,0)</f>
        <v>local</v>
      </c>
      <c r="O1095">
        <v>1</v>
      </c>
    </row>
    <row r="1096" spans="1:15" ht="15" customHeight="1" x14ac:dyDescent="0.3">
      <c r="A1096" s="7">
        <v>1209669943</v>
      </c>
      <c r="B1096" s="4" t="s">
        <v>205</v>
      </c>
      <c r="C1096" s="4" t="s">
        <v>206</v>
      </c>
      <c r="D1096" s="6">
        <v>46309.441481481503</v>
      </c>
      <c r="E1096" s="6">
        <v>46309.191446759301</v>
      </c>
      <c r="F1096" s="6">
        <v>46309</v>
      </c>
      <c r="G1096" s="5" t="s">
        <v>12</v>
      </c>
      <c r="H1096" s="5" t="s">
        <v>29</v>
      </c>
      <c r="I1096" s="5">
        <v>4</v>
      </c>
      <c r="J1096" s="9" t="s">
        <v>17</v>
      </c>
      <c r="K1096" s="1" t="s">
        <v>1388</v>
      </c>
      <c r="L1096" t="s">
        <v>3284</v>
      </c>
      <c r="M1096" t="str">
        <f>+VLOOKUP(C1096,'[1]TIENDAS 2025'!$A$1:$C$143,3,0)</f>
        <v>prioridad</v>
      </c>
      <c r="O1096">
        <v>1</v>
      </c>
    </row>
    <row r="1097" spans="1:15" ht="15" customHeight="1" x14ac:dyDescent="0.3">
      <c r="A1097" s="7">
        <v>8209669843</v>
      </c>
      <c r="B1097" s="4" t="s">
        <v>524</v>
      </c>
      <c r="C1097" s="4" t="s">
        <v>525</v>
      </c>
      <c r="D1097" s="6">
        <v>46309.441493055601</v>
      </c>
      <c r="E1097" s="6">
        <v>46309.191469907397</v>
      </c>
      <c r="F1097" s="6">
        <v>46309</v>
      </c>
      <c r="G1097" s="5" t="s">
        <v>12</v>
      </c>
      <c r="H1097" s="5" t="s">
        <v>27</v>
      </c>
      <c r="I1097" s="5">
        <v>1</v>
      </c>
      <c r="J1097" s="10" t="s">
        <v>17</v>
      </c>
      <c r="K1097" s="1" t="s">
        <v>1389</v>
      </c>
      <c r="M1097" t="str">
        <f>+VLOOKUP(C1097,'[1]TIENDAS 2025'!$A$1:$C$143,3,0)</f>
        <v>local</v>
      </c>
      <c r="O1097">
        <v>1</v>
      </c>
    </row>
    <row r="1098" spans="1:15" ht="15" customHeight="1" x14ac:dyDescent="0.3">
      <c r="A1098" s="7">
        <v>8209669817</v>
      </c>
      <c r="B1098" s="4" t="s">
        <v>202</v>
      </c>
      <c r="C1098" s="4" t="s">
        <v>203</v>
      </c>
      <c r="D1098" s="6">
        <v>46309.441504629598</v>
      </c>
      <c r="E1098" s="6">
        <v>46309.191481481503</v>
      </c>
      <c r="F1098" s="6">
        <v>46309</v>
      </c>
      <c r="G1098" s="5" t="s">
        <v>12</v>
      </c>
      <c r="H1098" s="5" t="s">
        <v>27</v>
      </c>
      <c r="I1098" s="5">
        <v>1</v>
      </c>
      <c r="J1098" s="10" t="s">
        <v>17</v>
      </c>
      <c r="K1098" s="1" t="s">
        <v>1390</v>
      </c>
      <c r="M1098" t="str">
        <f>+VLOOKUP(C1098,'[1]TIENDAS 2025'!$A$1:$C$143,3,0)</f>
        <v>local</v>
      </c>
      <c r="O1098">
        <v>1</v>
      </c>
    </row>
    <row r="1099" spans="1:15" ht="15" customHeight="1" x14ac:dyDescent="0.3">
      <c r="A1099" s="7">
        <v>1209669798</v>
      </c>
      <c r="B1099" s="4" t="s">
        <v>253</v>
      </c>
      <c r="C1099" s="4" t="s">
        <v>254</v>
      </c>
      <c r="D1099" s="6">
        <v>46309.441527777803</v>
      </c>
      <c r="E1099" s="6">
        <v>46309.191493055601</v>
      </c>
      <c r="F1099" s="6">
        <v>46309</v>
      </c>
      <c r="G1099" s="5" t="s">
        <v>12</v>
      </c>
      <c r="H1099" s="5" t="s">
        <v>29</v>
      </c>
      <c r="I1099" s="5">
        <v>4</v>
      </c>
      <c r="J1099" s="9" t="s">
        <v>17</v>
      </c>
      <c r="K1099" s="1" t="s">
        <v>1391</v>
      </c>
      <c r="L1099" t="s">
        <v>3284</v>
      </c>
      <c r="M1099" t="str">
        <f>+VLOOKUP(C1099,'[1]TIENDAS 2025'!$A$1:$C$143,3,0)</f>
        <v>departamental</v>
      </c>
      <c r="O1099">
        <v>1</v>
      </c>
    </row>
    <row r="1100" spans="1:15" ht="15" customHeight="1" x14ac:dyDescent="0.3">
      <c r="A1100" s="7">
        <v>1209669883</v>
      </c>
      <c r="B1100" s="4" t="s">
        <v>530</v>
      </c>
      <c r="C1100" s="4" t="s">
        <v>531</v>
      </c>
      <c r="D1100" s="6">
        <v>46309.441539351901</v>
      </c>
      <c r="E1100" s="6">
        <v>46309.191504629598</v>
      </c>
      <c r="F1100" s="6">
        <v>46309</v>
      </c>
      <c r="G1100" s="5" t="s">
        <v>12</v>
      </c>
      <c r="H1100" s="5" t="s">
        <v>29</v>
      </c>
      <c r="I1100" s="5">
        <v>17</v>
      </c>
      <c r="J1100" s="9" t="s">
        <v>17</v>
      </c>
      <c r="K1100" s="1" t="s">
        <v>1392</v>
      </c>
      <c r="L1100" t="s">
        <v>3284</v>
      </c>
      <c r="M1100" t="str">
        <f>+VLOOKUP(C1100,'[1]TIENDAS 2025'!$A$1:$C$143,3,0)</f>
        <v>local</v>
      </c>
      <c r="O1100">
        <v>1</v>
      </c>
    </row>
    <row r="1101" spans="1:15" ht="15" customHeight="1" x14ac:dyDescent="0.3">
      <c r="A1101" s="7">
        <v>1209669849</v>
      </c>
      <c r="B1101" s="4" t="s">
        <v>524</v>
      </c>
      <c r="C1101" s="4" t="s">
        <v>525</v>
      </c>
      <c r="D1101" s="6">
        <v>46309.441550925898</v>
      </c>
      <c r="E1101" s="6">
        <v>46309.191527777803</v>
      </c>
      <c r="F1101" s="6">
        <v>46309</v>
      </c>
      <c r="G1101" s="5" t="s">
        <v>12</v>
      </c>
      <c r="H1101" s="5" t="s">
        <v>16</v>
      </c>
      <c r="I1101" s="5">
        <v>6</v>
      </c>
      <c r="J1101" s="9" t="s">
        <v>17</v>
      </c>
      <c r="K1101" s="1" t="s">
        <v>1393</v>
      </c>
      <c r="L1101" t="s">
        <v>3284</v>
      </c>
      <c r="M1101" t="str">
        <f>+VLOOKUP(C1101,'[1]TIENDAS 2025'!$A$1:$C$143,3,0)</f>
        <v>local</v>
      </c>
      <c r="O1101">
        <v>1</v>
      </c>
    </row>
    <row r="1102" spans="1:15" ht="15" customHeight="1" x14ac:dyDescent="0.3">
      <c r="A1102" s="7">
        <v>1209669851</v>
      </c>
      <c r="B1102" s="4" t="s">
        <v>524</v>
      </c>
      <c r="C1102" s="4" t="s">
        <v>525</v>
      </c>
      <c r="D1102" s="6">
        <v>46309.441562499997</v>
      </c>
      <c r="E1102" s="6">
        <v>46309.191539351901</v>
      </c>
      <c r="F1102" s="6">
        <v>46309</v>
      </c>
      <c r="G1102" s="5" t="s">
        <v>12</v>
      </c>
      <c r="H1102" s="5" t="s">
        <v>16</v>
      </c>
      <c r="I1102" s="5">
        <v>10</v>
      </c>
      <c r="J1102" s="9" t="s">
        <v>17</v>
      </c>
      <c r="K1102" s="1" t="s">
        <v>1394</v>
      </c>
      <c r="L1102" t="s">
        <v>3284</v>
      </c>
      <c r="M1102" t="str">
        <f>+VLOOKUP(C1102,'[1]TIENDAS 2025'!$A$1:$C$143,3,0)</f>
        <v>local</v>
      </c>
      <c r="O1102">
        <v>1</v>
      </c>
    </row>
    <row r="1103" spans="1:15" ht="15" customHeight="1" x14ac:dyDescent="0.3">
      <c r="A1103" s="7">
        <v>1209669885</v>
      </c>
      <c r="B1103" s="4" t="s">
        <v>530</v>
      </c>
      <c r="C1103" s="4" t="s">
        <v>531</v>
      </c>
      <c r="D1103" s="6">
        <v>46309.441585648201</v>
      </c>
      <c r="E1103" s="6">
        <v>46309.191550925898</v>
      </c>
      <c r="F1103" s="6">
        <v>46309</v>
      </c>
      <c r="G1103" s="5" t="s">
        <v>12</v>
      </c>
      <c r="H1103" s="5" t="s">
        <v>16</v>
      </c>
      <c r="I1103" s="5">
        <v>3</v>
      </c>
      <c r="J1103" s="9" t="s">
        <v>17</v>
      </c>
      <c r="K1103" s="1" t="s">
        <v>1395</v>
      </c>
      <c r="L1103" t="s">
        <v>3284</v>
      </c>
      <c r="M1103" t="str">
        <f>+VLOOKUP(C1103,'[1]TIENDAS 2025'!$A$1:$C$143,3,0)</f>
        <v>local</v>
      </c>
      <c r="O1103">
        <v>1</v>
      </c>
    </row>
    <row r="1104" spans="1:15" ht="15" customHeight="1" x14ac:dyDescent="0.3">
      <c r="A1104" s="7">
        <v>8209669911</v>
      </c>
      <c r="B1104" s="4" t="s">
        <v>533</v>
      </c>
      <c r="C1104" s="4" t="s">
        <v>534</v>
      </c>
      <c r="D1104" s="6">
        <v>46309.441597222198</v>
      </c>
      <c r="E1104" s="6">
        <v>46309.191562499997</v>
      </c>
      <c r="F1104" s="6">
        <v>46309</v>
      </c>
      <c r="G1104" s="5" t="s">
        <v>12</v>
      </c>
      <c r="H1104" s="5" t="s">
        <v>27</v>
      </c>
      <c r="I1104" s="5">
        <v>2</v>
      </c>
      <c r="J1104" s="10" t="s">
        <v>17</v>
      </c>
      <c r="K1104" s="1" t="s">
        <v>1396</v>
      </c>
      <c r="M1104" t="str">
        <f>+VLOOKUP(C1104,'[1]TIENDAS 2025'!$A$1:$C$143,3,0)</f>
        <v>local</v>
      </c>
      <c r="O1104">
        <v>1</v>
      </c>
    </row>
    <row r="1105" spans="1:15" ht="15" customHeight="1" x14ac:dyDescent="0.3">
      <c r="A1105" s="7">
        <v>8209669875</v>
      </c>
      <c r="B1105" s="4" t="s">
        <v>530</v>
      </c>
      <c r="C1105" s="4" t="s">
        <v>531</v>
      </c>
      <c r="D1105" s="6">
        <v>46309.441608796304</v>
      </c>
      <c r="E1105" s="6">
        <v>46309.191574074102</v>
      </c>
      <c r="F1105" s="6">
        <v>46309</v>
      </c>
      <c r="G1105" s="5" t="s">
        <v>12</v>
      </c>
      <c r="H1105" s="5" t="s">
        <v>27</v>
      </c>
      <c r="I1105" s="5">
        <v>2</v>
      </c>
      <c r="J1105" s="10" t="s">
        <v>17</v>
      </c>
      <c r="K1105" s="1" t="s">
        <v>1397</v>
      </c>
      <c r="M1105" t="str">
        <f>+VLOOKUP(C1105,'[1]TIENDAS 2025'!$A$1:$C$143,3,0)</f>
        <v>local</v>
      </c>
      <c r="O1105">
        <v>1</v>
      </c>
    </row>
    <row r="1106" spans="1:15" ht="15" customHeight="1" x14ac:dyDescent="0.3">
      <c r="A1106" s="7">
        <v>1209669937</v>
      </c>
      <c r="B1106" s="4" t="s">
        <v>205</v>
      </c>
      <c r="C1106" s="4" t="s">
        <v>206</v>
      </c>
      <c r="D1106" s="6">
        <v>46309.441620370402</v>
      </c>
      <c r="E1106" s="6">
        <v>46309.191597222198</v>
      </c>
      <c r="F1106" s="6">
        <v>46309</v>
      </c>
      <c r="G1106" s="5" t="s">
        <v>12</v>
      </c>
      <c r="H1106" s="5" t="s">
        <v>29</v>
      </c>
      <c r="I1106" s="5">
        <v>48</v>
      </c>
      <c r="J1106" s="9" t="s">
        <v>17</v>
      </c>
      <c r="K1106" s="1" t="s">
        <v>1398</v>
      </c>
      <c r="L1106" t="s">
        <v>3284</v>
      </c>
      <c r="M1106" t="str">
        <f>+VLOOKUP(C1106,'[1]TIENDAS 2025'!$A$1:$C$143,3,0)</f>
        <v>prioridad</v>
      </c>
      <c r="O1106">
        <v>1</v>
      </c>
    </row>
    <row r="1107" spans="1:15" ht="15" customHeight="1" x14ac:dyDescent="0.3">
      <c r="A1107" s="7">
        <v>1209669940</v>
      </c>
      <c r="B1107" s="4" t="s">
        <v>205</v>
      </c>
      <c r="C1107" s="4" t="s">
        <v>206</v>
      </c>
      <c r="D1107" s="6">
        <v>46309.441631944399</v>
      </c>
      <c r="E1107" s="6">
        <v>46309.191608796304</v>
      </c>
      <c r="F1107" s="6">
        <v>46309</v>
      </c>
      <c r="G1107" s="5" t="s">
        <v>12</v>
      </c>
      <c r="H1107" s="5" t="s">
        <v>29</v>
      </c>
      <c r="I1107" s="5">
        <v>78</v>
      </c>
      <c r="J1107" s="9" t="s">
        <v>17</v>
      </c>
      <c r="K1107" s="1" t="s">
        <v>1399</v>
      </c>
      <c r="L1107" t="s">
        <v>3284</v>
      </c>
      <c r="M1107" t="str">
        <f>+VLOOKUP(C1107,'[1]TIENDAS 2025'!$A$1:$C$143,3,0)</f>
        <v>prioridad</v>
      </c>
      <c r="O1107">
        <v>1</v>
      </c>
    </row>
    <row r="1108" spans="1:15" ht="15" customHeight="1" x14ac:dyDescent="0.3">
      <c r="A1108" s="7">
        <v>1209669947</v>
      </c>
      <c r="B1108" s="4" t="s">
        <v>205</v>
      </c>
      <c r="C1108" s="4" t="s">
        <v>206</v>
      </c>
      <c r="D1108" s="6">
        <v>46309.441655092603</v>
      </c>
      <c r="E1108" s="6">
        <v>46309.191620370402</v>
      </c>
      <c r="F1108" s="6">
        <v>46309</v>
      </c>
      <c r="G1108" s="5" t="s">
        <v>12</v>
      </c>
      <c r="H1108" s="5" t="s">
        <v>29</v>
      </c>
      <c r="I1108" s="5">
        <v>20</v>
      </c>
      <c r="J1108" s="9" t="s">
        <v>17</v>
      </c>
      <c r="K1108" s="1" t="s">
        <v>1400</v>
      </c>
      <c r="L1108" t="s">
        <v>3284</v>
      </c>
      <c r="M1108" t="str">
        <f>+VLOOKUP(C1108,'[1]TIENDAS 2025'!$A$1:$C$143,3,0)</f>
        <v>prioridad</v>
      </c>
      <c r="O1108">
        <v>1</v>
      </c>
    </row>
    <row r="1109" spans="1:15" ht="15" customHeight="1" x14ac:dyDescent="0.3">
      <c r="A1109" s="7">
        <v>8209669805</v>
      </c>
      <c r="B1109" s="4" t="s">
        <v>259</v>
      </c>
      <c r="C1109" s="4" t="s">
        <v>260</v>
      </c>
      <c r="D1109" s="6">
        <v>46309.441666666702</v>
      </c>
      <c r="E1109" s="6">
        <v>46309.191631944399</v>
      </c>
      <c r="F1109" s="6">
        <v>46309</v>
      </c>
      <c r="G1109" s="5" t="s">
        <v>12</v>
      </c>
      <c r="H1109" s="5" t="s">
        <v>27</v>
      </c>
      <c r="I1109" s="5">
        <v>3</v>
      </c>
      <c r="J1109" s="10" t="s">
        <v>17</v>
      </c>
      <c r="K1109" s="1" t="s">
        <v>1401</v>
      </c>
      <c r="M1109" t="str">
        <f>+VLOOKUP(C1109,'[1]TIENDAS 2025'!$A$1:$C$143,3,0)</f>
        <v>local</v>
      </c>
      <c r="O1109">
        <v>1</v>
      </c>
    </row>
    <row r="1110" spans="1:15" ht="15" customHeight="1" x14ac:dyDescent="0.3">
      <c r="A1110" s="7">
        <v>1209669827</v>
      </c>
      <c r="B1110" s="4" t="s">
        <v>202</v>
      </c>
      <c r="C1110" s="4" t="s">
        <v>203</v>
      </c>
      <c r="D1110" s="6">
        <v>46309.441689814797</v>
      </c>
      <c r="E1110" s="6">
        <v>46309.191666666702</v>
      </c>
      <c r="F1110" s="6">
        <v>46309</v>
      </c>
      <c r="G1110" s="5" t="s">
        <v>12</v>
      </c>
      <c r="H1110" s="5" t="s">
        <v>29</v>
      </c>
      <c r="I1110" s="5">
        <v>3</v>
      </c>
      <c r="J1110" s="9" t="s">
        <v>17</v>
      </c>
      <c r="K1110" s="1" t="s">
        <v>1402</v>
      </c>
      <c r="L1110" t="s">
        <v>3284</v>
      </c>
      <c r="M1110" t="str">
        <f>+VLOOKUP(C1110,'[1]TIENDAS 2025'!$A$1:$C$143,3,0)</f>
        <v>local</v>
      </c>
      <c r="O1110">
        <v>1</v>
      </c>
    </row>
    <row r="1111" spans="1:15" ht="15" customHeight="1" x14ac:dyDescent="0.3">
      <c r="A1111" s="7">
        <v>8209669818</v>
      </c>
      <c r="B1111" s="4" t="s">
        <v>202</v>
      </c>
      <c r="C1111" s="4" t="s">
        <v>203</v>
      </c>
      <c r="D1111" s="6">
        <v>46309.441689814797</v>
      </c>
      <c r="E1111" s="6">
        <v>46309.191655092603</v>
      </c>
      <c r="F1111" s="6">
        <v>46309</v>
      </c>
      <c r="G1111" s="5" t="s">
        <v>12</v>
      </c>
      <c r="H1111" s="5" t="s">
        <v>27</v>
      </c>
      <c r="I1111" s="5">
        <v>2</v>
      </c>
      <c r="J1111" s="10" t="s">
        <v>17</v>
      </c>
      <c r="K1111" s="1" t="s">
        <v>1403</v>
      </c>
      <c r="M1111" t="str">
        <f>+VLOOKUP(C1111,'[1]TIENDAS 2025'!$A$1:$C$143,3,0)</f>
        <v>local</v>
      </c>
      <c r="O1111">
        <v>1</v>
      </c>
    </row>
    <row r="1112" spans="1:15" ht="15" customHeight="1" x14ac:dyDescent="0.3">
      <c r="A1112" s="7">
        <v>1209669829</v>
      </c>
      <c r="B1112" s="4" t="s">
        <v>202</v>
      </c>
      <c r="C1112" s="4" t="s">
        <v>203</v>
      </c>
      <c r="D1112" s="6">
        <v>46309.441712963002</v>
      </c>
      <c r="E1112" s="6">
        <v>46309.191678240699</v>
      </c>
      <c r="F1112" s="6">
        <v>46309</v>
      </c>
      <c r="G1112" s="5" t="s">
        <v>12</v>
      </c>
      <c r="H1112" s="5" t="s">
        <v>29</v>
      </c>
      <c r="I1112" s="5">
        <v>14</v>
      </c>
      <c r="J1112" s="9" t="s">
        <v>17</v>
      </c>
      <c r="K1112" s="1" t="s">
        <v>1404</v>
      </c>
      <c r="L1112" t="s">
        <v>3284</v>
      </c>
      <c r="M1112" t="str">
        <f>+VLOOKUP(C1112,'[1]TIENDAS 2025'!$A$1:$C$143,3,0)</f>
        <v>local</v>
      </c>
      <c r="O1112">
        <v>1</v>
      </c>
    </row>
    <row r="1113" spans="1:15" ht="15" customHeight="1" x14ac:dyDescent="0.3">
      <c r="A1113" s="7">
        <v>1209669807</v>
      </c>
      <c r="B1113" s="4" t="s">
        <v>259</v>
      </c>
      <c r="C1113" s="4" t="s">
        <v>260</v>
      </c>
      <c r="D1113" s="6">
        <v>46309.441724536999</v>
      </c>
      <c r="E1113" s="6">
        <v>46309.191689814797</v>
      </c>
      <c r="F1113" s="6">
        <v>46309</v>
      </c>
      <c r="G1113" s="5" t="s">
        <v>12</v>
      </c>
      <c r="H1113" s="5" t="s">
        <v>29</v>
      </c>
      <c r="I1113" s="5">
        <v>2</v>
      </c>
      <c r="J1113" s="9" t="s">
        <v>17</v>
      </c>
      <c r="K1113" s="1" t="s">
        <v>1405</v>
      </c>
      <c r="L1113" t="s">
        <v>3284</v>
      </c>
      <c r="M1113" t="str">
        <f>+VLOOKUP(C1113,'[1]TIENDAS 2025'!$A$1:$C$143,3,0)</f>
        <v>local</v>
      </c>
      <c r="O1113">
        <v>1</v>
      </c>
    </row>
    <row r="1114" spans="1:15" ht="15" customHeight="1" x14ac:dyDescent="0.3">
      <c r="A1114" s="7">
        <v>1209669906</v>
      </c>
      <c r="B1114" s="4" t="s">
        <v>533</v>
      </c>
      <c r="C1114" s="4" t="s">
        <v>534</v>
      </c>
      <c r="D1114" s="6">
        <v>46309.441736111097</v>
      </c>
      <c r="E1114" s="6">
        <v>46309.191712963002</v>
      </c>
      <c r="F1114" s="6">
        <v>46309</v>
      </c>
      <c r="G1114" s="5" t="s">
        <v>12</v>
      </c>
      <c r="H1114" s="5" t="s">
        <v>29</v>
      </c>
      <c r="I1114" s="5">
        <v>23</v>
      </c>
      <c r="J1114" s="9" t="s">
        <v>17</v>
      </c>
      <c r="K1114" s="1" t="s">
        <v>1406</v>
      </c>
      <c r="L1114" t="s">
        <v>3284</v>
      </c>
      <c r="M1114" t="str">
        <f>+VLOOKUP(C1114,'[1]TIENDAS 2025'!$A$1:$C$143,3,0)</f>
        <v>local</v>
      </c>
      <c r="O1114">
        <v>1</v>
      </c>
    </row>
    <row r="1115" spans="1:15" ht="15" customHeight="1" x14ac:dyDescent="0.3">
      <c r="A1115" s="7">
        <v>1209669881</v>
      </c>
      <c r="B1115" s="4" t="s">
        <v>530</v>
      </c>
      <c r="C1115" s="4" t="s">
        <v>531</v>
      </c>
      <c r="D1115" s="6">
        <v>46309.441747685203</v>
      </c>
      <c r="E1115" s="6">
        <v>46309.191724536999</v>
      </c>
      <c r="F1115" s="6">
        <v>46309</v>
      </c>
      <c r="G1115" s="5" t="s">
        <v>12</v>
      </c>
      <c r="H1115" s="5" t="s">
        <v>16</v>
      </c>
      <c r="I1115" s="5">
        <v>10</v>
      </c>
      <c r="J1115" s="9" t="s">
        <v>17</v>
      </c>
      <c r="K1115" s="1" t="s">
        <v>1407</v>
      </c>
      <c r="L1115" t="s">
        <v>3284</v>
      </c>
      <c r="M1115" t="str">
        <f>+VLOOKUP(C1115,'[1]TIENDAS 2025'!$A$1:$C$143,3,0)</f>
        <v>local</v>
      </c>
      <c r="O1115">
        <v>1</v>
      </c>
    </row>
    <row r="1116" spans="1:15" ht="15" customHeight="1" x14ac:dyDescent="0.3">
      <c r="A1116" s="7">
        <v>1209669916</v>
      </c>
      <c r="B1116" s="4" t="s">
        <v>533</v>
      </c>
      <c r="C1116" s="4" t="s">
        <v>534</v>
      </c>
      <c r="D1116" s="6">
        <v>46309.441770833299</v>
      </c>
      <c r="E1116" s="6">
        <v>46309.191736111097</v>
      </c>
      <c r="F1116" s="6">
        <v>46309</v>
      </c>
      <c r="G1116" s="5" t="s">
        <v>12</v>
      </c>
      <c r="H1116" s="5" t="s">
        <v>16</v>
      </c>
      <c r="I1116" s="5">
        <v>29</v>
      </c>
      <c r="J1116" s="9" t="s">
        <v>17</v>
      </c>
      <c r="K1116" s="1" t="s">
        <v>1408</v>
      </c>
      <c r="L1116" t="s">
        <v>3284</v>
      </c>
      <c r="M1116" t="str">
        <f>+VLOOKUP(C1116,'[1]TIENDAS 2025'!$A$1:$C$143,3,0)</f>
        <v>local</v>
      </c>
      <c r="O1116">
        <v>1</v>
      </c>
    </row>
    <row r="1117" spans="1:15" ht="15" customHeight="1" x14ac:dyDescent="0.3">
      <c r="A1117" s="7">
        <v>1209669902</v>
      </c>
      <c r="B1117" s="4" t="s">
        <v>533</v>
      </c>
      <c r="C1117" s="4" t="s">
        <v>534</v>
      </c>
      <c r="D1117" s="6">
        <v>46309.441782407397</v>
      </c>
      <c r="E1117" s="6">
        <v>46309.191759259302</v>
      </c>
      <c r="F1117" s="6">
        <v>46309</v>
      </c>
      <c r="G1117" s="5" t="s">
        <v>12</v>
      </c>
      <c r="H1117" s="5" t="s">
        <v>16</v>
      </c>
      <c r="I1117" s="5">
        <v>15</v>
      </c>
      <c r="J1117" s="9" t="s">
        <v>17</v>
      </c>
      <c r="K1117" s="1" t="s">
        <v>1409</v>
      </c>
      <c r="L1117" t="s">
        <v>3284</v>
      </c>
      <c r="M1117" t="str">
        <f>+VLOOKUP(C1117,'[1]TIENDAS 2025'!$A$1:$C$143,3,0)</f>
        <v>local</v>
      </c>
      <c r="O1117">
        <v>1</v>
      </c>
    </row>
    <row r="1118" spans="1:15" ht="15" customHeight="1" x14ac:dyDescent="0.3">
      <c r="A1118" s="7">
        <v>8209669898</v>
      </c>
      <c r="B1118" s="4" t="s">
        <v>533</v>
      </c>
      <c r="C1118" s="4" t="s">
        <v>534</v>
      </c>
      <c r="D1118" s="6">
        <v>46309.441793981503</v>
      </c>
      <c r="E1118" s="6">
        <v>46309.191770833299</v>
      </c>
      <c r="F1118" s="6">
        <v>46309</v>
      </c>
      <c r="G1118" s="5" t="s">
        <v>12</v>
      </c>
      <c r="H1118" s="5" t="s">
        <v>27</v>
      </c>
      <c r="I1118" s="5">
        <v>4</v>
      </c>
      <c r="J1118" s="10" t="s">
        <v>17</v>
      </c>
      <c r="K1118" s="1" t="s">
        <v>1410</v>
      </c>
      <c r="M1118" t="str">
        <f>+VLOOKUP(C1118,'[1]TIENDAS 2025'!$A$1:$C$143,3,0)</f>
        <v>local</v>
      </c>
      <c r="O1118">
        <v>1</v>
      </c>
    </row>
    <row r="1119" spans="1:15" ht="15" customHeight="1" x14ac:dyDescent="0.3">
      <c r="A1119" s="7">
        <v>8209669925</v>
      </c>
      <c r="B1119" s="4" t="s">
        <v>205</v>
      </c>
      <c r="C1119" s="4" t="s">
        <v>206</v>
      </c>
      <c r="D1119" s="6">
        <v>46309.441817129598</v>
      </c>
      <c r="E1119" s="6">
        <v>46309.191782407397</v>
      </c>
      <c r="F1119" s="6">
        <v>46309</v>
      </c>
      <c r="G1119" s="5" t="s">
        <v>12</v>
      </c>
      <c r="H1119" s="5" t="s">
        <v>27</v>
      </c>
      <c r="I1119" s="5">
        <v>6</v>
      </c>
      <c r="J1119" s="10" t="s">
        <v>17</v>
      </c>
      <c r="K1119" s="1" t="s">
        <v>1411</v>
      </c>
      <c r="M1119" t="str">
        <f>+VLOOKUP(C1119,'[1]TIENDAS 2025'!$A$1:$C$143,3,0)</f>
        <v>prioridad</v>
      </c>
      <c r="O1119">
        <v>1</v>
      </c>
    </row>
    <row r="1120" spans="1:15" ht="15" customHeight="1" x14ac:dyDescent="0.3">
      <c r="A1120" s="7">
        <v>8209669873</v>
      </c>
      <c r="B1120" s="4" t="s">
        <v>530</v>
      </c>
      <c r="C1120" s="4" t="s">
        <v>531</v>
      </c>
      <c r="D1120" s="6">
        <v>46309.441828703697</v>
      </c>
      <c r="E1120" s="6">
        <v>46309.191793981503</v>
      </c>
      <c r="F1120" s="6">
        <v>46309</v>
      </c>
      <c r="G1120" s="5" t="s">
        <v>12</v>
      </c>
      <c r="H1120" s="5" t="s">
        <v>27</v>
      </c>
      <c r="I1120" s="5">
        <v>4</v>
      </c>
      <c r="J1120" s="10" t="s">
        <v>17</v>
      </c>
      <c r="K1120" s="1" t="s">
        <v>1412</v>
      </c>
      <c r="M1120" t="str">
        <f>+VLOOKUP(C1120,'[1]TIENDAS 2025'!$A$1:$C$143,3,0)</f>
        <v>local</v>
      </c>
      <c r="O1120">
        <v>1</v>
      </c>
    </row>
    <row r="1121" spans="1:15" ht="15" customHeight="1" x14ac:dyDescent="0.3">
      <c r="A1121" s="7">
        <v>8209669876</v>
      </c>
      <c r="B1121" s="4" t="s">
        <v>530</v>
      </c>
      <c r="C1121" s="4" t="s">
        <v>531</v>
      </c>
      <c r="D1121" s="6">
        <v>46309.441840277803</v>
      </c>
      <c r="E1121" s="6">
        <v>46309.191817129598</v>
      </c>
      <c r="F1121" s="6">
        <v>46309</v>
      </c>
      <c r="G1121" s="5" t="s">
        <v>12</v>
      </c>
      <c r="H1121" s="5" t="s">
        <v>27</v>
      </c>
      <c r="I1121" s="5">
        <v>7</v>
      </c>
      <c r="J1121" s="10" t="s">
        <v>17</v>
      </c>
      <c r="K1121" s="1" t="s">
        <v>1413</v>
      </c>
      <c r="M1121" t="str">
        <f>+VLOOKUP(C1121,'[1]TIENDAS 2025'!$A$1:$C$143,3,0)</f>
        <v>local</v>
      </c>
      <c r="O1121">
        <v>1</v>
      </c>
    </row>
    <row r="1122" spans="1:15" ht="15" customHeight="1" x14ac:dyDescent="0.3">
      <c r="A1122" s="7">
        <v>1209669905</v>
      </c>
      <c r="B1122" s="4" t="s">
        <v>533</v>
      </c>
      <c r="C1122" s="4" t="s">
        <v>534</v>
      </c>
      <c r="D1122" s="6">
        <v>46309.441863425898</v>
      </c>
      <c r="E1122" s="6">
        <v>46309.191828703697</v>
      </c>
      <c r="F1122" s="6">
        <v>46309</v>
      </c>
      <c r="G1122" s="5" t="s">
        <v>12</v>
      </c>
      <c r="H1122" s="5" t="s">
        <v>16</v>
      </c>
      <c r="I1122" s="5">
        <v>14</v>
      </c>
      <c r="J1122" s="9" t="s">
        <v>17</v>
      </c>
      <c r="K1122" s="1" t="s">
        <v>1414</v>
      </c>
      <c r="L1122" t="s">
        <v>3284</v>
      </c>
      <c r="M1122" t="str">
        <f>+VLOOKUP(C1122,'[1]TIENDAS 2025'!$A$1:$C$143,3,0)</f>
        <v>local</v>
      </c>
      <c r="O1122">
        <v>1</v>
      </c>
    </row>
    <row r="1123" spans="1:15" ht="15" customHeight="1" x14ac:dyDescent="0.3">
      <c r="A1123" s="7">
        <v>1209669933</v>
      </c>
      <c r="B1123" s="4" t="s">
        <v>205</v>
      </c>
      <c r="C1123" s="4" t="s">
        <v>206</v>
      </c>
      <c r="D1123" s="6">
        <v>46309.441874999997</v>
      </c>
      <c r="E1123" s="6">
        <v>46309.191840277803</v>
      </c>
      <c r="F1123" s="6">
        <v>46309</v>
      </c>
      <c r="G1123" s="5" t="s">
        <v>12</v>
      </c>
      <c r="H1123" s="5" t="s">
        <v>29</v>
      </c>
      <c r="I1123" s="5">
        <v>27</v>
      </c>
      <c r="J1123" s="9" t="s">
        <v>17</v>
      </c>
      <c r="K1123" s="1" t="s">
        <v>1415</v>
      </c>
      <c r="L1123" t="s">
        <v>3284</v>
      </c>
      <c r="M1123" t="str">
        <f>+VLOOKUP(C1123,'[1]TIENDAS 2025'!$A$1:$C$143,3,0)</f>
        <v>prioridad</v>
      </c>
      <c r="O1123">
        <v>1</v>
      </c>
    </row>
    <row r="1124" spans="1:15" ht="15" customHeight="1" x14ac:dyDescent="0.3">
      <c r="A1124" s="7">
        <v>1209670039</v>
      </c>
      <c r="B1124" s="4" t="s">
        <v>542</v>
      </c>
      <c r="C1124" s="4" t="s">
        <v>543</v>
      </c>
      <c r="D1124" s="6">
        <v>46309.443877314799</v>
      </c>
      <c r="E1124" s="6">
        <v>46309.193854166697</v>
      </c>
      <c r="F1124" s="6">
        <v>46309</v>
      </c>
      <c r="G1124" s="5" t="s">
        <v>12</v>
      </c>
      <c r="H1124" s="5" t="s">
        <v>29</v>
      </c>
      <c r="I1124" s="5">
        <v>64</v>
      </c>
      <c r="J1124" s="9" t="s">
        <v>17</v>
      </c>
      <c r="K1124" s="1" t="s">
        <v>1416</v>
      </c>
      <c r="L1124" t="s">
        <v>3284</v>
      </c>
      <c r="M1124" t="str">
        <f>+VLOOKUP(C1124,'[1]TIENDAS 2025'!$A$1:$C$143,3,0)</f>
        <v>prioridad</v>
      </c>
      <c r="O1124">
        <v>1</v>
      </c>
    </row>
    <row r="1125" spans="1:15" ht="15" customHeight="1" x14ac:dyDescent="0.3">
      <c r="A1125" s="7">
        <v>8209669989</v>
      </c>
      <c r="B1125" s="4" t="s">
        <v>211</v>
      </c>
      <c r="C1125" s="4" t="s">
        <v>212</v>
      </c>
      <c r="D1125" s="6">
        <v>46309.443900462997</v>
      </c>
      <c r="E1125" s="6">
        <v>46309.193865740701</v>
      </c>
      <c r="F1125" s="6">
        <v>46309</v>
      </c>
      <c r="G1125" s="5" t="s">
        <v>12</v>
      </c>
      <c r="H1125" s="5" t="s">
        <v>27</v>
      </c>
      <c r="I1125" s="5">
        <v>20</v>
      </c>
      <c r="J1125" s="10" t="s">
        <v>17</v>
      </c>
      <c r="K1125" s="1" t="s">
        <v>1417</v>
      </c>
      <c r="M1125" t="str">
        <f>+VLOOKUP(C1125,'[1]TIENDAS 2025'!$A$1:$C$143,3,0)</f>
        <v>departamental</v>
      </c>
      <c r="O1125">
        <v>1</v>
      </c>
    </row>
    <row r="1126" spans="1:15" ht="15" customHeight="1" x14ac:dyDescent="0.3">
      <c r="A1126" s="7">
        <v>8209670063</v>
      </c>
      <c r="B1126" s="4" t="s">
        <v>400</v>
      </c>
      <c r="C1126" s="4" t="s">
        <v>401</v>
      </c>
      <c r="D1126" s="6">
        <v>46309.443923611099</v>
      </c>
      <c r="E1126" s="6">
        <v>46309.193888888898</v>
      </c>
      <c r="F1126" s="6">
        <v>46309</v>
      </c>
      <c r="G1126" s="5" t="s">
        <v>12</v>
      </c>
      <c r="H1126" s="5" t="s">
        <v>27</v>
      </c>
      <c r="I1126" s="5">
        <v>26</v>
      </c>
      <c r="J1126" s="10" t="s">
        <v>17</v>
      </c>
      <c r="K1126" s="1" t="s">
        <v>1418</v>
      </c>
      <c r="M1126" t="str">
        <f>+VLOOKUP(C1126,'[1]TIENDAS 2025'!$A$1:$C$143,3,0)</f>
        <v>local</v>
      </c>
      <c r="O1126">
        <v>1</v>
      </c>
    </row>
    <row r="1127" spans="1:15" ht="15" customHeight="1" x14ac:dyDescent="0.3">
      <c r="A1127" s="7">
        <v>1209670001</v>
      </c>
      <c r="B1127" s="4" t="s">
        <v>211</v>
      </c>
      <c r="C1127" s="4" t="s">
        <v>212</v>
      </c>
      <c r="D1127" s="6">
        <v>46309.443923611099</v>
      </c>
      <c r="E1127" s="6">
        <v>46309.193900462997</v>
      </c>
      <c r="F1127" s="6">
        <v>46309</v>
      </c>
      <c r="G1127" s="5" t="s">
        <v>12</v>
      </c>
      <c r="H1127" s="5" t="s">
        <v>29</v>
      </c>
      <c r="I1127" s="5">
        <v>81</v>
      </c>
      <c r="J1127" s="9" t="s">
        <v>17</v>
      </c>
      <c r="K1127" s="1" t="s">
        <v>1419</v>
      </c>
      <c r="L1127" t="s">
        <v>3284</v>
      </c>
      <c r="M1127" t="str">
        <f>+VLOOKUP(C1127,'[1]TIENDAS 2025'!$A$1:$C$143,3,0)</f>
        <v>departamental</v>
      </c>
      <c r="O1127">
        <v>1</v>
      </c>
    </row>
    <row r="1128" spans="1:15" ht="15" customHeight="1" x14ac:dyDescent="0.3">
      <c r="A1128" s="7">
        <v>1209670066</v>
      </c>
      <c r="B1128" s="4" t="s">
        <v>400</v>
      </c>
      <c r="C1128" s="4" t="s">
        <v>401</v>
      </c>
      <c r="D1128" s="6">
        <v>46309.443946759297</v>
      </c>
      <c r="E1128" s="6">
        <v>46309.193912037001</v>
      </c>
      <c r="F1128" s="6">
        <v>46309</v>
      </c>
      <c r="G1128" s="5" t="s">
        <v>12</v>
      </c>
      <c r="H1128" s="5" t="s">
        <v>29</v>
      </c>
      <c r="I1128" s="5">
        <v>7</v>
      </c>
      <c r="J1128" s="9" t="s">
        <v>17</v>
      </c>
      <c r="K1128" s="1" t="s">
        <v>1420</v>
      </c>
      <c r="L1128" t="s">
        <v>3284</v>
      </c>
      <c r="M1128" t="str">
        <f>+VLOOKUP(C1128,'[1]TIENDAS 2025'!$A$1:$C$143,3,0)</f>
        <v>local</v>
      </c>
      <c r="O1128">
        <v>1</v>
      </c>
    </row>
    <row r="1129" spans="1:15" ht="15" customHeight="1" x14ac:dyDescent="0.3">
      <c r="A1129" s="7">
        <v>1209670080</v>
      </c>
      <c r="B1129" s="4" t="s">
        <v>400</v>
      </c>
      <c r="C1129" s="4" t="s">
        <v>401</v>
      </c>
      <c r="D1129" s="6">
        <v>46309.443958333301</v>
      </c>
      <c r="E1129" s="6">
        <v>46309.193935185198</v>
      </c>
      <c r="F1129" s="6">
        <v>46309</v>
      </c>
      <c r="G1129" s="5" t="s">
        <v>12</v>
      </c>
      <c r="H1129" s="5" t="s">
        <v>16</v>
      </c>
      <c r="I1129" s="5">
        <v>19</v>
      </c>
      <c r="J1129" s="9" t="s">
        <v>17</v>
      </c>
      <c r="K1129" s="1" t="s">
        <v>1421</v>
      </c>
      <c r="L1129" t="s">
        <v>3284</v>
      </c>
      <c r="M1129" t="str">
        <f>+VLOOKUP(C1129,'[1]TIENDAS 2025'!$A$1:$C$143,3,0)</f>
        <v>local</v>
      </c>
      <c r="O1129">
        <v>1</v>
      </c>
    </row>
    <row r="1130" spans="1:15" ht="15" customHeight="1" x14ac:dyDescent="0.3">
      <c r="A1130" s="7">
        <v>1209669972</v>
      </c>
      <c r="B1130" s="4" t="s">
        <v>208</v>
      </c>
      <c r="C1130" s="4" t="s">
        <v>209</v>
      </c>
      <c r="D1130" s="6">
        <v>46309.443981481498</v>
      </c>
      <c r="E1130" s="6">
        <v>46309.193946759297</v>
      </c>
      <c r="F1130" s="6">
        <v>46309</v>
      </c>
      <c r="G1130" s="5" t="s">
        <v>12</v>
      </c>
      <c r="H1130" s="5" t="s">
        <v>16</v>
      </c>
      <c r="I1130" s="5">
        <v>4</v>
      </c>
      <c r="J1130" s="9" t="s">
        <v>17</v>
      </c>
      <c r="K1130" s="1" t="s">
        <v>1422</v>
      </c>
      <c r="L1130" t="s">
        <v>3284</v>
      </c>
      <c r="M1130" t="str">
        <f>+VLOOKUP(C1130,'[1]TIENDAS 2025'!$A$1:$C$143,3,0)</f>
        <v>local</v>
      </c>
      <c r="O1130">
        <v>1</v>
      </c>
    </row>
    <row r="1131" spans="1:15" ht="15" customHeight="1" x14ac:dyDescent="0.3">
      <c r="A1131" s="7">
        <v>1209669976</v>
      </c>
      <c r="B1131" s="4" t="s">
        <v>208</v>
      </c>
      <c r="C1131" s="4" t="s">
        <v>209</v>
      </c>
      <c r="D1131" s="6">
        <v>46309.443993055596</v>
      </c>
      <c r="E1131" s="6">
        <v>46309.193958333301</v>
      </c>
      <c r="F1131" s="6">
        <v>46309</v>
      </c>
      <c r="G1131" s="5" t="s">
        <v>12</v>
      </c>
      <c r="H1131" s="5" t="s">
        <v>29</v>
      </c>
      <c r="I1131" s="5">
        <v>3</v>
      </c>
      <c r="J1131" s="9" t="s">
        <v>17</v>
      </c>
      <c r="K1131" s="1" t="s">
        <v>1423</v>
      </c>
      <c r="L1131" t="s">
        <v>3284</v>
      </c>
      <c r="M1131" t="str">
        <f>+VLOOKUP(C1131,'[1]TIENDAS 2025'!$A$1:$C$143,3,0)</f>
        <v>local</v>
      </c>
      <c r="O1131">
        <v>1</v>
      </c>
    </row>
    <row r="1132" spans="1:15" ht="15" customHeight="1" x14ac:dyDescent="0.3">
      <c r="A1132" s="7">
        <v>1209670070</v>
      </c>
      <c r="B1132" s="4" t="s">
        <v>400</v>
      </c>
      <c r="C1132" s="4" t="s">
        <v>401</v>
      </c>
      <c r="D1132" s="6">
        <v>46309.4440046296</v>
      </c>
      <c r="E1132" s="6">
        <v>46309.193969907399</v>
      </c>
      <c r="F1132" s="6">
        <v>46309</v>
      </c>
      <c r="G1132" s="5" t="s">
        <v>12</v>
      </c>
      <c r="H1132" s="5" t="s">
        <v>16</v>
      </c>
      <c r="I1132" s="5">
        <v>8</v>
      </c>
      <c r="J1132" s="9" t="s">
        <v>17</v>
      </c>
      <c r="K1132" s="1" t="s">
        <v>1424</v>
      </c>
      <c r="L1132" t="s">
        <v>3284</v>
      </c>
      <c r="M1132" t="str">
        <f>+VLOOKUP(C1132,'[1]TIENDAS 2025'!$A$1:$C$143,3,0)</f>
        <v>local</v>
      </c>
      <c r="O1132">
        <v>1</v>
      </c>
    </row>
    <row r="1133" spans="1:15" ht="15" customHeight="1" x14ac:dyDescent="0.3">
      <c r="A1133" s="7">
        <v>8209670090</v>
      </c>
      <c r="B1133" s="4" t="s">
        <v>19</v>
      </c>
      <c r="C1133" s="4" t="s">
        <v>20</v>
      </c>
      <c r="D1133" s="6">
        <v>46309.444016203699</v>
      </c>
      <c r="E1133" s="6">
        <v>46309.193993055596</v>
      </c>
      <c r="F1133" s="6">
        <v>46309</v>
      </c>
      <c r="G1133" s="5" t="s">
        <v>12</v>
      </c>
      <c r="H1133" s="5" t="s">
        <v>27</v>
      </c>
      <c r="I1133" s="5">
        <v>7</v>
      </c>
      <c r="J1133" s="10" t="s">
        <v>17</v>
      </c>
      <c r="K1133" s="1" t="s">
        <v>1425</v>
      </c>
      <c r="M1133" t="str">
        <f>+VLOOKUP(C1133,'[1]TIENDAS 2025'!$A$1:$C$143,3,0)</f>
        <v>departamental</v>
      </c>
      <c r="O1133">
        <v>1</v>
      </c>
    </row>
    <row r="1134" spans="1:15" ht="15" customHeight="1" x14ac:dyDescent="0.3">
      <c r="A1134" s="7">
        <v>8209670092</v>
      </c>
      <c r="B1134" s="4" t="s">
        <v>19</v>
      </c>
      <c r="C1134" s="4" t="s">
        <v>20</v>
      </c>
      <c r="D1134" s="6">
        <v>46309.444039351903</v>
      </c>
      <c r="E1134" s="6">
        <v>46309.1940046296</v>
      </c>
      <c r="F1134" s="6">
        <v>46309</v>
      </c>
      <c r="G1134" s="5" t="s">
        <v>12</v>
      </c>
      <c r="H1134" s="5" t="s">
        <v>27</v>
      </c>
      <c r="I1134" s="5">
        <v>1</v>
      </c>
      <c r="J1134" s="10" t="s">
        <v>17</v>
      </c>
      <c r="K1134" s="1" t="s">
        <v>1426</v>
      </c>
      <c r="M1134" t="str">
        <f>+VLOOKUP(C1134,'[1]TIENDAS 2025'!$A$1:$C$143,3,0)</f>
        <v>departamental</v>
      </c>
      <c r="O1134">
        <v>1</v>
      </c>
    </row>
    <row r="1135" spans="1:15" ht="15" customHeight="1" x14ac:dyDescent="0.3">
      <c r="A1135" s="7">
        <v>8209670060</v>
      </c>
      <c r="B1135" s="4" t="s">
        <v>400</v>
      </c>
      <c r="C1135" s="4" t="s">
        <v>401</v>
      </c>
      <c r="D1135" s="6">
        <v>46309.4440509259</v>
      </c>
      <c r="E1135" s="6">
        <v>46309.194016203699</v>
      </c>
      <c r="F1135" s="6">
        <v>46309</v>
      </c>
      <c r="G1135" s="5" t="s">
        <v>12</v>
      </c>
      <c r="H1135" s="5" t="s">
        <v>27</v>
      </c>
      <c r="I1135" s="5">
        <v>2</v>
      </c>
      <c r="J1135" s="10" t="s">
        <v>17</v>
      </c>
      <c r="K1135" s="1" t="s">
        <v>1427</v>
      </c>
      <c r="M1135" t="str">
        <f>+VLOOKUP(C1135,'[1]TIENDAS 2025'!$A$1:$C$143,3,0)</f>
        <v>local</v>
      </c>
      <c r="O1135">
        <v>1</v>
      </c>
    </row>
    <row r="1136" spans="1:15" ht="15" customHeight="1" x14ac:dyDescent="0.3">
      <c r="A1136" s="7">
        <v>8209670062</v>
      </c>
      <c r="B1136" s="4" t="s">
        <v>400</v>
      </c>
      <c r="C1136" s="4" t="s">
        <v>401</v>
      </c>
      <c r="D1136" s="6">
        <v>46309.444062499999</v>
      </c>
      <c r="E1136" s="6">
        <v>46309.194027777798</v>
      </c>
      <c r="F1136" s="6">
        <v>46309</v>
      </c>
      <c r="G1136" s="5" t="s">
        <v>12</v>
      </c>
      <c r="H1136" s="5" t="s">
        <v>27</v>
      </c>
      <c r="I1136" s="5">
        <v>1</v>
      </c>
      <c r="J1136" s="10" t="s">
        <v>17</v>
      </c>
      <c r="K1136" s="1" t="s">
        <v>1428</v>
      </c>
      <c r="M1136" t="str">
        <f>+VLOOKUP(C1136,'[1]TIENDAS 2025'!$A$1:$C$143,3,0)</f>
        <v>local</v>
      </c>
      <c r="O1136">
        <v>1</v>
      </c>
    </row>
    <row r="1137" spans="1:15" ht="15" customHeight="1" x14ac:dyDescent="0.3">
      <c r="A1137" s="7">
        <v>8209670017</v>
      </c>
      <c r="B1137" s="4" t="s">
        <v>542</v>
      </c>
      <c r="C1137" s="4" t="s">
        <v>543</v>
      </c>
      <c r="D1137" s="6">
        <v>46309.444074074097</v>
      </c>
      <c r="E1137" s="6">
        <v>46309.1940509259</v>
      </c>
      <c r="F1137" s="6">
        <v>46309</v>
      </c>
      <c r="G1137" s="5" t="s">
        <v>12</v>
      </c>
      <c r="H1137" s="5" t="s">
        <v>27</v>
      </c>
      <c r="I1137" s="5">
        <v>1</v>
      </c>
      <c r="J1137" s="10" t="s">
        <v>17</v>
      </c>
      <c r="K1137" s="1" t="s">
        <v>1429</v>
      </c>
      <c r="M1137" t="str">
        <f>+VLOOKUP(C1137,'[1]TIENDAS 2025'!$A$1:$C$143,3,0)</f>
        <v>prioridad</v>
      </c>
      <c r="O1137">
        <v>1</v>
      </c>
    </row>
    <row r="1138" spans="1:15" ht="15" customHeight="1" x14ac:dyDescent="0.3">
      <c r="A1138" s="7">
        <v>1209669990</v>
      </c>
      <c r="B1138" s="4" t="s">
        <v>211</v>
      </c>
      <c r="C1138" s="4" t="s">
        <v>212</v>
      </c>
      <c r="D1138" s="6">
        <v>46309.4440972222</v>
      </c>
      <c r="E1138" s="6">
        <v>46309.194062499999</v>
      </c>
      <c r="F1138" s="6">
        <v>46309</v>
      </c>
      <c r="G1138" s="5" t="s">
        <v>12</v>
      </c>
      <c r="H1138" s="5" t="s">
        <v>16</v>
      </c>
      <c r="I1138" s="5">
        <v>10</v>
      </c>
      <c r="J1138" s="9" t="s">
        <v>17</v>
      </c>
      <c r="K1138" s="1" t="s">
        <v>1430</v>
      </c>
      <c r="L1138" t="s">
        <v>3284</v>
      </c>
      <c r="M1138" t="str">
        <f>+VLOOKUP(C1138,'[1]TIENDAS 2025'!$A$1:$C$143,3,0)</f>
        <v>departamental</v>
      </c>
      <c r="O1138">
        <v>1</v>
      </c>
    </row>
    <row r="1139" spans="1:15" ht="15" customHeight="1" x14ac:dyDescent="0.3">
      <c r="A1139" s="7">
        <v>1209670109</v>
      </c>
      <c r="B1139" s="4" t="s">
        <v>19</v>
      </c>
      <c r="C1139" s="4" t="s">
        <v>20</v>
      </c>
      <c r="D1139" s="6">
        <v>46309.444120370397</v>
      </c>
      <c r="E1139" s="6">
        <v>46309.194085648101</v>
      </c>
      <c r="F1139" s="6">
        <v>46309</v>
      </c>
      <c r="G1139" s="5" t="s">
        <v>12</v>
      </c>
      <c r="H1139" s="5" t="s">
        <v>29</v>
      </c>
      <c r="I1139" s="5">
        <v>6</v>
      </c>
      <c r="J1139" s="9" t="s">
        <v>17</v>
      </c>
      <c r="K1139" s="1" t="s">
        <v>1431</v>
      </c>
      <c r="L1139" t="s">
        <v>3284</v>
      </c>
      <c r="M1139" t="str">
        <f>+VLOOKUP(C1139,'[1]TIENDAS 2025'!$A$1:$C$143,3,0)</f>
        <v>departamental</v>
      </c>
      <c r="O1139">
        <v>1</v>
      </c>
    </row>
    <row r="1140" spans="1:15" ht="15" customHeight="1" x14ac:dyDescent="0.3">
      <c r="A1140" s="7">
        <v>1209670078</v>
      </c>
      <c r="B1140" s="4" t="s">
        <v>400</v>
      </c>
      <c r="C1140" s="4" t="s">
        <v>401</v>
      </c>
      <c r="D1140" s="6">
        <v>46309.444120370397</v>
      </c>
      <c r="E1140" s="6">
        <v>46309.1940972222</v>
      </c>
      <c r="F1140" s="6">
        <v>46309</v>
      </c>
      <c r="G1140" s="5" t="s">
        <v>12</v>
      </c>
      <c r="H1140" s="5" t="s">
        <v>16</v>
      </c>
      <c r="I1140" s="5">
        <v>4</v>
      </c>
      <c r="J1140" s="9" t="s">
        <v>17</v>
      </c>
      <c r="K1140" s="1" t="s">
        <v>1432</v>
      </c>
      <c r="L1140" t="s">
        <v>3284</v>
      </c>
      <c r="M1140" t="str">
        <f>+VLOOKUP(C1140,'[1]TIENDAS 2025'!$A$1:$C$143,3,0)</f>
        <v>local</v>
      </c>
      <c r="O1140">
        <v>1</v>
      </c>
    </row>
    <row r="1141" spans="1:15" ht="15" customHeight="1" x14ac:dyDescent="0.3">
      <c r="A1141" s="7">
        <v>1209670031</v>
      </c>
      <c r="B1141" s="4" t="s">
        <v>542</v>
      </c>
      <c r="C1141" s="4" t="s">
        <v>543</v>
      </c>
      <c r="D1141" s="6">
        <v>46309.444131944401</v>
      </c>
      <c r="E1141" s="6">
        <v>46309.194108796299</v>
      </c>
      <c r="F1141" s="6">
        <v>46309</v>
      </c>
      <c r="G1141" s="5" t="s">
        <v>12</v>
      </c>
      <c r="H1141" s="5" t="s">
        <v>16</v>
      </c>
      <c r="I1141" s="5">
        <v>25</v>
      </c>
      <c r="J1141" s="9" t="s">
        <v>17</v>
      </c>
      <c r="K1141" s="1" t="s">
        <v>1433</v>
      </c>
      <c r="L1141" t="s">
        <v>3284</v>
      </c>
      <c r="M1141" t="str">
        <f>+VLOOKUP(C1141,'[1]TIENDAS 2025'!$A$1:$C$143,3,0)</f>
        <v>prioridad</v>
      </c>
      <c r="O1141">
        <v>1</v>
      </c>
    </row>
    <row r="1142" spans="1:15" ht="15" customHeight="1" x14ac:dyDescent="0.3">
      <c r="A1142" s="7">
        <v>1209669967</v>
      </c>
      <c r="B1142" s="4" t="s">
        <v>208</v>
      </c>
      <c r="C1142" s="4" t="s">
        <v>209</v>
      </c>
      <c r="D1142" s="6">
        <v>46309.444155092599</v>
      </c>
      <c r="E1142" s="6">
        <v>46309.194120370397</v>
      </c>
      <c r="F1142" s="6">
        <v>46309</v>
      </c>
      <c r="G1142" s="5" t="s">
        <v>12</v>
      </c>
      <c r="H1142" s="5" t="s">
        <v>16</v>
      </c>
      <c r="I1142" s="5">
        <v>21</v>
      </c>
      <c r="J1142" s="9" t="s">
        <v>17</v>
      </c>
      <c r="K1142" s="1" t="s">
        <v>1434</v>
      </c>
      <c r="L1142" t="s">
        <v>3284</v>
      </c>
      <c r="M1142" t="str">
        <f>+VLOOKUP(C1142,'[1]TIENDAS 2025'!$A$1:$C$143,3,0)</f>
        <v>local</v>
      </c>
      <c r="O1142">
        <v>1</v>
      </c>
    </row>
    <row r="1143" spans="1:15" ht="15" customHeight="1" x14ac:dyDescent="0.3">
      <c r="A1143" s="7">
        <v>1209669998</v>
      </c>
      <c r="B1143" s="4" t="s">
        <v>211</v>
      </c>
      <c r="C1143" s="4" t="s">
        <v>212</v>
      </c>
      <c r="D1143" s="6">
        <v>46309.444166666697</v>
      </c>
      <c r="E1143" s="6">
        <v>46309.1941435185</v>
      </c>
      <c r="F1143" s="6">
        <v>46309</v>
      </c>
      <c r="G1143" s="5" t="s">
        <v>12</v>
      </c>
      <c r="H1143" s="5" t="s">
        <v>16</v>
      </c>
      <c r="I1143" s="5">
        <v>34</v>
      </c>
      <c r="J1143" s="9" t="s">
        <v>17</v>
      </c>
      <c r="K1143" s="1" t="s">
        <v>1435</v>
      </c>
      <c r="L1143" t="s">
        <v>3284</v>
      </c>
      <c r="M1143" t="str">
        <f>+VLOOKUP(C1143,'[1]TIENDAS 2025'!$A$1:$C$143,3,0)</f>
        <v>departamental</v>
      </c>
      <c r="O1143">
        <v>1</v>
      </c>
    </row>
    <row r="1144" spans="1:15" ht="15" customHeight="1" x14ac:dyDescent="0.3">
      <c r="A1144" s="7">
        <v>1209669968</v>
      </c>
      <c r="B1144" s="4" t="s">
        <v>208</v>
      </c>
      <c r="C1144" s="4" t="s">
        <v>209</v>
      </c>
      <c r="D1144" s="6">
        <v>46309.4441898148</v>
      </c>
      <c r="E1144" s="6">
        <v>46309.194155092599</v>
      </c>
      <c r="F1144" s="6">
        <v>46309</v>
      </c>
      <c r="G1144" s="5" t="s">
        <v>12</v>
      </c>
      <c r="H1144" s="5" t="s">
        <v>29</v>
      </c>
      <c r="I1144" s="5">
        <v>37</v>
      </c>
      <c r="J1144" s="9" t="s">
        <v>17</v>
      </c>
      <c r="K1144" s="1" t="s">
        <v>1436</v>
      </c>
      <c r="L1144" t="s">
        <v>3284</v>
      </c>
      <c r="M1144" t="str">
        <f>+VLOOKUP(C1144,'[1]TIENDAS 2025'!$A$1:$C$143,3,0)</f>
        <v>local</v>
      </c>
      <c r="O1144">
        <v>1</v>
      </c>
    </row>
    <row r="1145" spans="1:15" ht="15" customHeight="1" x14ac:dyDescent="0.3">
      <c r="A1145" s="7">
        <v>1209669999</v>
      </c>
      <c r="B1145" s="4" t="s">
        <v>211</v>
      </c>
      <c r="C1145" s="4" t="s">
        <v>212</v>
      </c>
      <c r="D1145" s="6">
        <v>46309.4441898148</v>
      </c>
      <c r="E1145" s="6">
        <v>46309.194166666697</v>
      </c>
      <c r="F1145" s="6">
        <v>46309</v>
      </c>
      <c r="G1145" s="5" t="s">
        <v>12</v>
      </c>
      <c r="H1145" s="5" t="s">
        <v>29</v>
      </c>
      <c r="I1145" s="5">
        <v>41</v>
      </c>
      <c r="J1145" s="9" t="s">
        <v>17</v>
      </c>
      <c r="K1145" s="1" t="s">
        <v>1437</v>
      </c>
      <c r="L1145" t="s">
        <v>3284</v>
      </c>
      <c r="M1145" t="str">
        <f>+VLOOKUP(C1145,'[1]TIENDAS 2025'!$A$1:$C$143,3,0)</f>
        <v>departamental</v>
      </c>
      <c r="O1145">
        <v>1</v>
      </c>
    </row>
    <row r="1146" spans="1:15" ht="15" customHeight="1" x14ac:dyDescent="0.3">
      <c r="A1146" s="7">
        <v>1209670103</v>
      </c>
      <c r="B1146" s="4" t="s">
        <v>19</v>
      </c>
      <c r="C1146" s="4" t="s">
        <v>20</v>
      </c>
      <c r="D1146" s="6">
        <v>46309.444212962997</v>
      </c>
      <c r="E1146" s="6">
        <v>46309.194178240701</v>
      </c>
      <c r="F1146" s="6">
        <v>46309</v>
      </c>
      <c r="G1146" s="5" t="s">
        <v>12</v>
      </c>
      <c r="H1146" s="5" t="s">
        <v>29</v>
      </c>
      <c r="I1146" s="5">
        <v>42</v>
      </c>
      <c r="J1146" s="9" t="s">
        <v>17</v>
      </c>
      <c r="K1146" s="1" t="s">
        <v>1438</v>
      </c>
      <c r="L1146" t="s">
        <v>3284</v>
      </c>
      <c r="M1146" t="str">
        <f>+VLOOKUP(C1146,'[1]TIENDAS 2025'!$A$1:$C$143,3,0)</f>
        <v>departamental</v>
      </c>
      <c r="O1146">
        <v>1</v>
      </c>
    </row>
    <row r="1147" spans="1:15" ht="15" customHeight="1" x14ac:dyDescent="0.3">
      <c r="A1147" s="7">
        <v>1209669970</v>
      </c>
      <c r="B1147" s="4" t="s">
        <v>208</v>
      </c>
      <c r="C1147" s="4" t="s">
        <v>209</v>
      </c>
      <c r="D1147" s="6">
        <v>46309.444224537001</v>
      </c>
      <c r="E1147" s="6">
        <v>46309.194201388898</v>
      </c>
      <c r="F1147" s="6">
        <v>46309</v>
      </c>
      <c r="G1147" s="5" t="s">
        <v>12</v>
      </c>
      <c r="H1147" s="5" t="s">
        <v>29</v>
      </c>
      <c r="I1147" s="5">
        <v>47</v>
      </c>
      <c r="J1147" s="9" t="s">
        <v>17</v>
      </c>
      <c r="K1147" s="1" t="s">
        <v>1439</v>
      </c>
      <c r="L1147" t="s">
        <v>3284</v>
      </c>
      <c r="M1147" t="str">
        <f>+VLOOKUP(C1147,'[1]TIENDAS 2025'!$A$1:$C$143,3,0)</f>
        <v>local</v>
      </c>
      <c r="O1147">
        <v>1</v>
      </c>
    </row>
    <row r="1148" spans="1:15" ht="15" customHeight="1" x14ac:dyDescent="0.3">
      <c r="A1148" s="7">
        <v>1209669988</v>
      </c>
      <c r="B1148" s="4" t="s">
        <v>211</v>
      </c>
      <c r="C1148" s="4" t="s">
        <v>212</v>
      </c>
      <c r="D1148" s="6">
        <v>46309.444247685198</v>
      </c>
      <c r="E1148" s="6">
        <v>46309.194212962997</v>
      </c>
      <c r="F1148" s="6">
        <v>46309</v>
      </c>
      <c r="G1148" s="5" t="s">
        <v>12</v>
      </c>
      <c r="H1148" s="5" t="s">
        <v>16</v>
      </c>
      <c r="I1148" s="5">
        <v>4</v>
      </c>
      <c r="J1148" s="9" t="s">
        <v>17</v>
      </c>
      <c r="K1148" s="1" t="s">
        <v>1440</v>
      </c>
      <c r="L1148" t="s">
        <v>3284</v>
      </c>
      <c r="M1148" t="str">
        <f>+VLOOKUP(C1148,'[1]TIENDAS 2025'!$A$1:$C$143,3,0)</f>
        <v>departamental</v>
      </c>
      <c r="O1148">
        <v>1</v>
      </c>
    </row>
    <row r="1149" spans="1:15" ht="15" customHeight="1" x14ac:dyDescent="0.3">
      <c r="A1149" s="7">
        <v>8209670019</v>
      </c>
      <c r="B1149" s="4" t="s">
        <v>542</v>
      </c>
      <c r="C1149" s="4" t="s">
        <v>543</v>
      </c>
      <c r="D1149" s="6">
        <v>46309.444259259297</v>
      </c>
      <c r="E1149" s="6">
        <v>46309.194224537001</v>
      </c>
      <c r="F1149" s="6">
        <v>46309</v>
      </c>
      <c r="G1149" s="5" t="s">
        <v>12</v>
      </c>
      <c r="H1149" s="5" t="s">
        <v>27</v>
      </c>
      <c r="I1149" s="5">
        <v>15</v>
      </c>
      <c r="J1149" s="10" t="s">
        <v>17</v>
      </c>
      <c r="K1149" s="1" t="s">
        <v>1441</v>
      </c>
      <c r="M1149" t="str">
        <f>+VLOOKUP(C1149,'[1]TIENDAS 2025'!$A$1:$C$143,3,0)</f>
        <v>prioridad</v>
      </c>
      <c r="O1149">
        <v>1</v>
      </c>
    </row>
    <row r="1150" spans="1:15" ht="15" customHeight="1" x14ac:dyDescent="0.3">
      <c r="A1150" s="7">
        <v>8209670020</v>
      </c>
      <c r="B1150" s="4" t="s">
        <v>542</v>
      </c>
      <c r="C1150" s="4" t="s">
        <v>543</v>
      </c>
      <c r="D1150" s="6">
        <v>46309.444270833301</v>
      </c>
      <c r="E1150" s="6">
        <v>46309.1942361111</v>
      </c>
      <c r="F1150" s="6">
        <v>46309</v>
      </c>
      <c r="G1150" s="5" t="s">
        <v>12</v>
      </c>
      <c r="H1150" s="5" t="s">
        <v>27</v>
      </c>
      <c r="I1150" s="5">
        <v>1</v>
      </c>
      <c r="J1150" s="10" t="s">
        <v>17</v>
      </c>
      <c r="K1150" s="1" t="s">
        <v>1442</v>
      </c>
      <c r="M1150" t="str">
        <f>+VLOOKUP(C1150,'[1]TIENDAS 2025'!$A$1:$C$143,3,0)</f>
        <v>prioridad</v>
      </c>
      <c r="O1150">
        <v>1</v>
      </c>
    </row>
    <row r="1151" spans="1:15" ht="15" customHeight="1" x14ac:dyDescent="0.3">
      <c r="A1151" s="7">
        <v>1209669991</v>
      </c>
      <c r="B1151" s="4" t="s">
        <v>211</v>
      </c>
      <c r="C1151" s="4" t="s">
        <v>212</v>
      </c>
      <c r="D1151" s="6">
        <v>46309.444293981498</v>
      </c>
      <c r="E1151" s="6">
        <v>46309.194259259297</v>
      </c>
      <c r="F1151" s="6">
        <v>46309</v>
      </c>
      <c r="G1151" s="5" t="s">
        <v>12</v>
      </c>
      <c r="H1151" s="5" t="s">
        <v>16</v>
      </c>
      <c r="I1151" s="5">
        <v>17</v>
      </c>
      <c r="J1151" s="9" t="s">
        <v>17</v>
      </c>
      <c r="K1151" s="1" t="s">
        <v>1443</v>
      </c>
      <c r="L1151" t="s">
        <v>3284</v>
      </c>
      <c r="M1151" t="str">
        <f>+VLOOKUP(C1151,'[1]TIENDAS 2025'!$A$1:$C$143,3,0)</f>
        <v>departamental</v>
      </c>
      <c r="O1151">
        <v>1</v>
      </c>
    </row>
    <row r="1152" spans="1:15" ht="15" customHeight="1" x14ac:dyDescent="0.3">
      <c r="A1152" s="7">
        <v>1209670097</v>
      </c>
      <c r="B1152" s="4" t="s">
        <v>19</v>
      </c>
      <c r="C1152" s="4" t="s">
        <v>20</v>
      </c>
      <c r="D1152" s="6">
        <v>46309.444305555597</v>
      </c>
      <c r="E1152" s="6">
        <v>46309.194270833301</v>
      </c>
      <c r="F1152" s="6">
        <v>46309</v>
      </c>
      <c r="G1152" s="5" t="s">
        <v>12</v>
      </c>
      <c r="H1152" s="5" t="s">
        <v>29</v>
      </c>
      <c r="I1152" s="5">
        <v>8</v>
      </c>
      <c r="J1152" s="9" t="s">
        <v>17</v>
      </c>
      <c r="K1152" s="1" t="s">
        <v>1444</v>
      </c>
      <c r="L1152" t="s">
        <v>3284</v>
      </c>
      <c r="M1152" t="str">
        <f>+VLOOKUP(C1152,'[1]TIENDAS 2025'!$A$1:$C$143,3,0)</f>
        <v>departamental</v>
      </c>
      <c r="O1152">
        <v>1</v>
      </c>
    </row>
    <row r="1153" spans="1:15" ht="15" customHeight="1" x14ac:dyDescent="0.3">
      <c r="A1153" s="7">
        <v>1209669975</v>
      </c>
      <c r="B1153" s="4" t="s">
        <v>208</v>
      </c>
      <c r="C1153" s="4" t="s">
        <v>209</v>
      </c>
      <c r="D1153" s="6">
        <v>46309.444317129601</v>
      </c>
      <c r="E1153" s="6">
        <v>46309.194282407399</v>
      </c>
      <c r="F1153" s="6">
        <v>46309</v>
      </c>
      <c r="G1153" s="5" t="s">
        <v>12</v>
      </c>
      <c r="H1153" s="5" t="s">
        <v>16</v>
      </c>
      <c r="I1153" s="5">
        <v>1</v>
      </c>
      <c r="J1153" s="9" t="s">
        <v>17</v>
      </c>
      <c r="K1153" s="1" t="s">
        <v>1445</v>
      </c>
      <c r="L1153" t="s">
        <v>3284</v>
      </c>
      <c r="M1153" t="str">
        <f>+VLOOKUP(C1153,'[1]TIENDAS 2025'!$A$1:$C$143,3,0)</f>
        <v>local</v>
      </c>
      <c r="O1153">
        <v>1</v>
      </c>
    </row>
    <row r="1154" spans="1:15" ht="15" customHeight="1" x14ac:dyDescent="0.3">
      <c r="A1154" s="7">
        <v>1209670030</v>
      </c>
      <c r="B1154" s="4" t="s">
        <v>542</v>
      </c>
      <c r="C1154" s="4" t="s">
        <v>543</v>
      </c>
      <c r="D1154" s="6">
        <v>46309.444328703699</v>
      </c>
      <c r="E1154" s="6">
        <v>46309.194305555597</v>
      </c>
      <c r="F1154" s="6">
        <v>46309</v>
      </c>
      <c r="G1154" s="5" t="s">
        <v>12</v>
      </c>
      <c r="H1154" s="5" t="s">
        <v>16</v>
      </c>
      <c r="I1154" s="5">
        <v>28</v>
      </c>
      <c r="J1154" s="9" t="s">
        <v>17</v>
      </c>
      <c r="K1154" s="1" t="s">
        <v>1446</v>
      </c>
      <c r="L1154" t="s">
        <v>3284</v>
      </c>
      <c r="M1154" t="str">
        <f>+VLOOKUP(C1154,'[1]TIENDAS 2025'!$A$1:$C$143,3,0)</f>
        <v>prioridad</v>
      </c>
      <c r="O1154">
        <v>1</v>
      </c>
    </row>
    <row r="1155" spans="1:15" ht="15" customHeight="1" x14ac:dyDescent="0.3">
      <c r="A1155" s="7">
        <v>1209670100</v>
      </c>
      <c r="B1155" s="4" t="s">
        <v>19</v>
      </c>
      <c r="C1155" s="4" t="s">
        <v>20</v>
      </c>
      <c r="D1155" s="6">
        <v>46309.444340277798</v>
      </c>
      <c r="E1155" s="6">
        <v>46309.194317129601</v>
      </c>
      <c r="F1155" s="6">
        <v>46309</v>
      </c>
      <c r="G1155" s="5" t="s">
        <v>12</v>
      </c>
      <c r="H1155" s="5" t="s">
        <v>16</v>
      </c>
      <c r="I1155" s="5">
        <v>15</v>
      </c>
      <c r="J1155" s="9" t="s">
        <v>17</v>
      </c>
      <c r="K1155" s="1" t="s">
        <v>1447</v>
      </c>
      <c r="L1155" t="s">
        <v>3284</v>
      </c>
      <c r="M1155" t="str">
        <f>+VLOOKUP(C1155,'[1]TIENDAS 2025'!$A$1:$C$143,3,0)</f>
        <v>departamental</v>
      </c>
      <c r="O1155">
        <v>1</v>
      </c>
    </row>
    <row r="1156" spans="1:15" ht="15" customHeight="1" x14ac:dyDescent="0.3">
      <c r="A1156" s="7">
        <v>8209670018</v>
      </c>
      <c r="B1156" s="4" t="s">
        <v>542</v>
      </c>
      <c r="C1156" s="4" t="s">
        <v>543</v>
      </c>
      <c r="D1156" s="6">
        <v>46309.444363425901</v>
      </c>
      <c r="E1156" s="6">
        <v>46309.194328703699</v>
      </c>
      <c r="F1156" s="6">
        <v>46309</v>
      </c>
      <c r="G1156" s="5" t="s">
        <v>12</v>
      </c>
      <c r="H1156" s="5" t="s">
        <v>27</v>
      </c>
      <c r="I1156" s="5">
        <v>13</v>
      </c>
      <c r="J1156" s="10" t="s">
        <v>17</v>
      </c>
      <c r="K1156" s="1" t="s">
        <v>1448</v>
      </c>
      <c r="M1156" t="str">
        <f>+VLOOKUP(C1156,'[1]TIENDAS 2025'!$A$1:$C$143,3,0)</f>
        <v>prioridad</v>
      </c>
      <c r="O1156">
        <v>1</v>
      </c>
    </row>
    <row r="1157" spans="1:15" ht="15" customHeight="1" x14ac:dyDescent="0.3">
      <c r="A1157" s="7">
        <v>8209669983</v>
      </c>
      <c r="B1157" s="4" t="s">
        <v>211</v>
      </c>
      <c r="C1157" s="4" t="s">
        <v>212</v>
      </c>
      <c r="D1157" s="6">
        <v>46309.444374999999</v>
      </c>
      <c r="E1157" s="6">
        <v>46309.194351851896</v>
      </c>
      <c r="F1157" s="6">
        <v>46309</v>
      </c>
      <c r="G1157" s="5" t="s">
        <v>12</v>
      </c>
      <c r="H1157" s="5" t="s">
        <v>27</v>
      </c>
      <c r="I1157" s="5">
        <v>2</v>
      </c>
      <c r="J1157" s="10" t="s">
        <v>17</v>
      </c>
      <c r="K1157" s="1" t="s">
        <v>1449</v>
      </c>
      <c r="M1157" t="str">
        <f>+VLOOKUP(C1157,'[1]TIENDAS 2025'!$A$1:$C$143,3,0)</f>
        <v>departamental</v>
      </c>
      <c r="O1157">
        <v>1</v>
      </c>
    </row>
    <row r="1158" spans="1:15" ht="15" customHeight="1" x14ac:dyDescent="0.3">
      <c r="A1158" s="7">
        <v>8209670064</v>
      </c>
      <c r="B1158" s="4" t="s">
        <v>400</v>
      </c>
      <c r="C1158" s="4" t="s">
        <v>401</v>
      </c>
      <c r="D1158" s="6">
        <v>46309.444398148102</v>
      </c>
      <c r="E1158" s="6">
        <v>46309.194374999999</v>
      </c>
      <c r="F1158" s="6">
        <v>46309</v>
      </c>
      <c r="G1158" s="5" t="s">
        <v>12</v>
      </c>
      <c r="H1158" s="5" t="s">
        <v>27</v>
      </c>
      <c r="I1158" s="5">
        <v>14</v>
      </c>
      <c r="J1158" s="10" t="s">
        <v>17</v>
      </c>
      <c r="K1158" s="1" t="s">
        <v>1450</v>
      </c>
      <c r="M1158" t="str">
        <f>+VLOOKUP(C1158,'[1]TIENDAS 2025'!$A$1:$C$143,3,0)</f>
        <v>local</v>
      </c>
      <c r="O1158">
        <v>1</v>
      </c>
    </row>
    <row r="1159" spans="1:15" ht="15" customHeight="1" x14ac:dyDescent="0.3">
      <c r="A1159" s="7">
        <v>8209670021</v>
      </c>
      <c r="B1159" s="4" t="s">
        <v>542</v>
      </c>
      <c r="C1159" s="4" t="s">
        <v>543</v>
      </c>
      <c r="D1159" s="6">
        <v>46309.444398148102</v>
      </c>
      <c r="E1159" s="6">
        <v>46309.194363425901</v>
      </c>
      <c r="F1159" s="6">
        <v>46309</v>
      </c>
      <c r="G1159" s="5" t="s">
        <v>12</v>
      </c>
      <c r="H1159" s="5" t="s">
        <v>27</v>
      </c>
      <c r="I1159" s="5">
        <v>12</v>
      </c>
      <c r="J1159" s="10" t="s">
        <v>17</v>
      </c>
      <c r="K1159" s="1" t="s">
        <v>1451</v>
      </c>
      <c r="M1159" t="str">
        <f>+VLOOKUP(C1159,'[1]TIENDAS 2025'!$A$1:$C$143,3,0)</f>
        <v>prioridad</v>
      </c>
      <c r="O1159">
        <v>1</v>
      </c>
    </row>
    <row r="1160" spans="1:15" ht="15" customHeight="1" x14ac:dyDescent="0.3">
      <c r="A1160" s="7">
        <v>1209670110</v>
      </c>
      <c r="B1160" s="4" t="s">
        <v>19</v>
      </c>
      <c r="C1160" s="4" t="s">
        <v>20</v>
      </c>
      <c r="D1160" s="6">
        <v>46309.444421296299</v>
      </c>
      <c r="E1160" s="6">
        <v>46309.194386574098</v>
      </c>
      <c r="F1160" s="6">
        <v>46309</v>
      </c>
      <c r="G1160" s="5" t="s">
        <v>12</v>
      </c>
      <c r="H1160" s="5" t="s">
        <v>16</v>
      </c>
      <c r="I1160" s="5">
        <v>27</v>
      </c>
      <c r="J1160" s="9" t="s">
        <v>17</v>
      </c>
      <c r="K1160" s="1" t="s">
        <v>1452</v>
      </c>
      <c r="L1160" t="s">
        <v>3284</v>
      </c>
      <c r="M1160" t="str">
        <f>+VLOOKUP(C1160,'[1]TIENDAS 2025'!$A$1:$C$143,3,0)</f>
        <v>departamental</v>
      </c>
      <c r="O1160">
        <v>1</v>
      </c>
    </row>
    <row r="1161" spans="1:15" ht="15" customHeight="1" x14ac:dyDescent="0.3">
      <c r="A1161" s="7">
        <v>1209669992</v>
      </c>
      <c r="B1161" s="4" t="s">
        <v>211</v>
      </c>
      <c r="C1161" s="4" t="s">
        <v>212</v>
      </c>
      <c r="D1161" s="6">
        <v>46309.444432870398</v>
      </c>
      <c r="E1161" s="6">
        <v>46309.1944097222</v>
      </c>
      <c r="F1161" s="6">
        <v>46309</v>
      </c>
      <c r="G1161" s="5" t="s">
        <v>12</v>
      </c>
      <c r="H1161" s="5" t="s">
        <v>29</v>
      </c>
      <c r="I1161" s="5">
        <v>18</v>
      </c>
      <c r="J1161" s="9" t="s">
        <v>17</v>
      </c>
      <c r="K1161" s="1" t="s">
        <v>1453</v>
      </c>
      <c r="L1161" t="s">
        <v>3284</v>
      </c>
      <c r="M1161" t="str">
        <f>+VLOOKUP(C1161,'[1]TIENDAS 2025'!$A$1:$C$143,3,0)</f>
        <v>departamental</v>
      </c>
      <c r="O1161">
        <v>1</v>
      </c>
    </row>
    <row r="1162" spans="1:15" ht="15" customHeight="1" x14ac:dyDescent="0.3">
      <c r="A1162" s="7">
        <v>1209670025</v>
      </c>
      <c r="B1162" s="4" t="s">
        <v>542</v>
      </c>
      <c r="C1162" s="4" t="s">
        <v>543</v>
      </c>
      <c r="D1162" s="6">
        <v>46309.4444560185</v>
      </c>
      <c r="E1162" s="6">
        <v>46309.194421296299</v>
      </c>
      <c r="F1162" s="6">
        <v>46309</v>
      </c>
      <c r="G1162" s="5" t="s">
        <v>12</v>
      </c>
      <c r="H1162" s="5" t="s">
        <v>29</v>
      </c>
      <c r="I1162" s="5">
        <v>14</v>
      </c>
      <c r="J1162" s="9" t="s">
        <v>17</v>
      </c>
      <c r="K1162" s="1" t="s">
        <v>1454</v>
      </c>
      <c r="L1162" t="s">
        <v>3284</v>
      </c>
      <c r="M1162" t="str">
        <f>+VLOOKUP(C1162,'[1]TIENDAS 2025'!$A$1:$C$143,3,0)</f>
        <v>prioridad</v>
      </c>
      <c r="O1162">
        <v>1</v>
      </c>
    </row>
    <row r="1163" spans="1:15" ht="15" customHeight="1" x14ac:dyDescent="0.3">
      <c r="A1163" s="7">
        <v>8209670096</v>
      </c>
      <c r="B1163" s="4" t="s">
        <v>19</v>
      </c>
      <c r="C1163" s="4" t="s">
        <v>20</v>
      </c>
      <c r="D1163" s="6">
        <v>46309.444467592599</v>
      </c>
      <c r="E1163" s="6">
        <v>46309.194432870398</v>
      </c>
      <c r="F1163" s="6">
        <v>46309</v>
      </c>
      <c r="G1163" s="5" t="s">
        <v>12</v>
      </c>
      <c r="H1163" s="5" t="s">
        <v>27</v>
      </c>
      <c r="I1163" s="5">
        <v>25</v>
      </c>
      <c r="J1163" s="10" t="s">
        <v>17</v>
      </c>
      <c r="K1163" s="1" t="s">
        <v>1455</v>
      </c>
      <c r="M1163" t="str">
        <f>+VLOOKUP(C1163,'[1]TIENDAS 2025'!$A$1:$C$143,3,0)</f>
        <v>departamental</v>
      </c>
      <c r="O1163">
        <v>1</v>
      </c>
    </row>
    <row r="1164" spans="1:15" ht="15" customHeight="1" x14ac:dyDescent="0.3">
      <c r="A1164" s="7">
        <v>1209670026</v>
      </c>
      <c r="B1164" s="4" t="s">
        <v>542</v>
      </c>
      <c r="C1164" s="4" t="s">
        <v>543</v>
      </c>
      <c r="D1164" s="6">
        <v>46309.444479166697</v>
      </c>
      <c r="E1164" s="6">
        <v>46309.194444444402</v>
      </c>
      <c r="F1164" s="6">
        <v>46309</v>
      </c>
      <c r="G1164" s="5" t="s">
        <v>12</v>
      </c>
      <c r="H1164" s="5" t="s">
        <v>29</v>
      </c>
      <c r="I1164" s="5">
        <v>19</v>
      </c>
      <c r="J1164" s="9" t="s">
        <v>17</v>
      </c>
      <c r="K1164" s="1" t="s">
        <v>1456</v>
      </c>
      <c r="L1164" t="s">
        <v>3284</v>
      </c>
      <c r="M1164" t="str">
        <f>+VLOOKUP(C1164,'[1]TIENDAS 2025'!$A$1:$C$143,3,0)</f>
        <v>prioridad</v>
      </c>
      <c r="O1164">
        <v>1</v>
      </c>
    </row>
    <row r="1165" spans="1:15" ht="15" customHeight="1" x14ac:dyDescent="0.3">
      <c r="A1165" s="7">
        <v>1209670027</v>
      </c>
      <c r="B1165" s="4" t="s">
        <v>542</v>
      </c>
      <c r="C1165" s="4" t="s">
        <v>543</v>
      </c>
      <c r="D1165" s="6">
        <v>46309.444490740701</v>
      </c>
      <c r="E1165" s="6">
        <v>46309.194467592599</v>
      </c>
      <c r="F1165" s="6">
        <v>46309</v>
      </c>
      <c r="G1165" s="5" t="s">
        <v>12</v>
      </c>
      <c r="H1165" s="5" t="s">
        <v>16</v>
      </c>
      <c r="I1165" s="5">
        <v>20</v>
      </c>
      <c r="J1165" s="9" t="s">
        <v>17</v>
      </c>
      <c r="K1165" s="1" t="s">
        <v>1457</v>
      </c>
      <c r="L1165" t="s">
        <v>3284</v>
      </c>
      <c r="M1165" t="str">
        <f>+VLOOKUP(C1165,'[1]TIENDAS 2025'!$A$1:$C$143,3,0)</f>
        <v>prioridad</v>
      </c>
      <c r="O1165">
        <v>1</v>
      </c>
    </row>
    <row r="1166" spans="1:15" ht="15" customHeight="1" x14ac:dyDescent="0.3">
      <c r="A1166" s="7">
        <v>8209669960</v>
      </c>
      <c r="B1166" s="4" t="s">
        <v>208</v>
      </c>
      <c r="C1166" s="4" t="s">
        <v>209</v>
      </c>
      <c r="D1166" s="6">
        <v>46309.4445023148</v>
      </c>
      <c r="E1166" s="6">
        <v>46309.194479166697</v>
      </c>
      <c r="F1166" s="6">
        <v>46309</v>
      </c>
      <c r="G1166" s="5" t="s">
        <v>12</v>
      </c>
      <c r="H1166" s="5" t="s">
        <v>27</v>
      </c>
      <c r="I1166" s="5">
        <v>2</v>
      </c>
      <c r="J1166" s="10" t="s">
        <v>17</v>
      </c>
      <c r="K1166" s="1" t="s">
        <v>1458</v>
      </c>
      <c r="M1166" t="str">
        <f>+VLOOKUP(C1166,'[1]TIENDAS 2025'!$A$1:$C$143,3,0)</f>
        <v>local</v>
      </c>
      <c r="O1166">
        <v>1</v>
      </c>
    </row>
    <row r="1167" spans="1:15" ht="15" customHeight="1" x14ac:dyDescent="0.3">
      <c r="A1167" s="7">
        <v>8209669961</v>
      </c>
      <c r="B1167" s="4" t="s">
        <v>208</v>
      </c>
      <c r="C1167" s="4" t="s">
        <v>209</v>
      </c>
      <c r="D1167" s="6">
        <v>46309.444513888899</v>
      </c>
      <c r="E1167" s="6">
        <v>46309.194490740701</v>
      </c>
      <c r="F1167" s="6">
        <v>46309</v>
      </c>
      <c r="G1167" s="5" t="s">
        <v>12</v>
      </c>
      <c r="H1167" s="5" t="s">
        <v>27</v>
      </c>
      <c r="I1167" s="5">
        <v>1</v>
      </c>
      <c r="J1167" s="10" t="s">
        <v>17</v>
      </c>
      <c r="K1167" s="1" t="s">
        <v>1459</v>
      </c>
      <c r="M1167" t="str">
        <f>+VLOOKUP(C1167,'[1]TIENDAS 2025'!$A$1:$C$143,3,0)</f>
        <v>local</v>
      </c>
      <c r="O1167">
        <v>1</v>
      </c>
    </row>
    <row r="1168" spans="1:15" ht="15" customHeight="1" x14ac:dyDescent="0.3">
      <c r="A1168" s="7">
        <v>1209670028</v>
      </c>
      <c r="B1168" s="4" t="s">
        <v>542</v>
      </c>
      <c r="C1168" s="4" t="s">
        <v>543</v>
      </c>
      <c r="D1168" s="6">
        <v>46309.444537037001</v>
      </c>
      <c r="E1168" s="6">
        <v>46309.1945023148</v>
      </c>
      <c r="F1168" s="6">
        <v>46309</v>
      </c>
      <c r="G1168" s="5" t="s">
        <v>12</v>
      </c>
      <c r="H1168" s="5" t="s">
        <v>27</v>
      </c>
      <c r="I1168" s="5">
        <v>34</v>
      </c>
      <c r="J1168" s="9" t="s">
        <v>17</v>
      </c>
      <c r="K1168" s="1" t="s">
        <v>1460</v>
      </c>
      <c r="L1168" t="s">
        <v>3284</v>
      </c>
      <c r="M1168" t="str">
        <f>+VLOOKUP(C1168,'[1]TIENDAS 2025'!$A$1:$C$143,3,0)</f>
        <v>prioridad</v>
      </c>
      <c r="O1168">
        <v>1</v>
      </c>
    </row>
    <row r="1169" spans="1:15" ht="15" customHeight="1" x14ac:dyDescent="0.3">
      <c r="A1169" s="7">
        <v>8209669962</v>
      </c>
      <c r="B1169" s="4" t="s">
        <v>208</v>
      </c>
      <c r="C1169" s="4" t="s">
        <v>209</v>
      </c>
      <c r="D1169" s="6">
        <v>46309.4445486111</v>
      </c>
      <c r="E1169" s="6">
        <v>46309.194513888899</v>
      </c>
      <c r="F1169" s="6">
        <v>46309</v>
      </c>
      <c r="G1169" s="5" t="s">
        <v>12</v>
      </c>
      <c r="H1169" s="5" t="s">
        <v>27</v>
      </c>
      <c r="I1169" s="5">
        <v>51</v>
      </c>
      <c r="J1169" s="10" t="s">
        <v>17</v>
      </c>
      <c r="K1169" s="1" t="s">
        <v>1461</v>
      </c>
      <c r="M1169" t="str">
        <f>+VLOOKUP(C1169,'[1]TIENDAS 2025'!$A$1:$C$143,3,0)</f>
        <v>local</v>
      </c>
      <c r="O1169">
        <v>1</v>
      </c>
    </row>
    <row r="1170" spans="1:15" ht="15" customHeight="1" x14ac:dyDescent="0.3">
      <c r="A1170" s="7">
        <v>8209669974</v>
      </c>
      <c r="B1170" s="4" t="s">
        <v>208</v>
      </c>
      <c r="C1170" s="4" t="s">
        <v>209</v>
      </c>
      <c r="D1170" s="6">
        <v>46309.444560185198</v>
      </c>
      <c r="E1170" s="6">
        <v>46309.194537037001</v>
      </c>
      <c r="F1170" s="6">
        <v>46309</v>
      </c>
      <c r="G1170" s="5" t="s">
        <v>12</v>
      </c>
      <c r="H1170" s="5" t="s">
        <v>27</v>
      </c>
      <c r="I1170" s="5">
        <v>5</v>
      </c>
      <c r="J1170" s="10" t="s">
        <v>17</v>
      </c>
      <c r="K1170" s="1" t="s">
        <v>1462</v>
      </c>
      <c r="M1170" t="str">
        <f>+VLOOKUP(C1170,'[1]TIENDAS 2025'!$A$1:$C$143,3,0)</f>
        <v>local</v>
      </c>
      <c r="O1170">
        <v>1</v>
      </c>
    </row>
    <row r="1171" spans="1:15" ht="15" customHeight="1" x14ac:dyDescent="0.3">
      <c r="A1171" s="7">
        <v>1209669965</v>
      </c>
      <c r="B1171" s="4" t="s">
        <v>208</v>
      </c>
      <c r="C1171" s="4" t="s">
        <v>209</v>
      </c>
      <c r="D1171" s="6">
        <v>46309.444583333301</v>
      </c>
      <c r="E1171" s="6">
        <v>46309.1945486111</v>
      </c>
      <c r="F1171" s="6">
        <v>46309</v>
      </c>
      <c r="G1171" s="5" t="s">
        <v>12</v>
      </c>
      <c r="H1171" s="5" t="s">
        <v>16</v>
      </c>
      <c r="I1171" s="5">
        <v>10</v>
      </c>
      <c r="J1171" s="9" t="s">
        <v>17</v>
      </c>
      <c r="K1171" s="1" t="s">
        <v>1463</v>
      </c>
      <c r="L1171" t="s">
        <v>3284</v>
      </c>
      <c r="M1171" t="str">
        <f>+VLOOKUP(C1171,'[1]TIENDAS 2025'!$A$1:$C$143,3,0)</f>
        <v>local</v>
      </c>
      <c r="O1171">
        <v>1</v>
      </c>
    </row>
    <row r="1172" spans="1:15" ht="15" customHeight="1" x14ac:dyDescent="0.3">
      <c r="A1172" s="7">
        <v>1209669997</v>
      </c>
      <c r="B1172" s="4" t="s">
        <v>211</v>
      </c>
      <c r="C1172" s="4" t="s">
        <v>212</v>
      </c>
      <c r="D1172" s="6">
        <v>46309.4445949074</v>
      </c>
      <c r="E1172" s="6">
        <v>46309.194571759297</v>
      </c>
      <c r="F1172" s="6">
        <v>46309</v>
      </c>
      <c r="G1172" s="5" t="s">
        <v>12</v>
      </c>
      <c r="H1172" s="5" t="s">
        <v>16</v>
      </c>
      <c r="I1172" s="5">
        <v>34</v>
      </c>
      <c r="J1172" s="9" t="s">
        <v>17</v>
      </c>
      <c r="K1172" s="1" t="s">
        <v>1464</v>
      </c>
      <c r="L1172" t="s">
        <v>3284</v>
      </c>
      <c r="M1172" t="str">
        <f>+VLOOKUP(C1172,'[1]TIENDAS 2025'!$A$1:$C$143,3,0)</f>
        <v>departamental</v>
      </c>
      <c r="O1172">
        <v>1</v>
      </c>
    </row>
    <row r="1173" spans="1:15" ht="15" customHeight="1" x14ac:dyDescent="0.3">
      <c r="A1173" s="7">
        <v>1209669969</v>
      </c>
      <c r="B1173" s="4" t="s">
        <v>208</v>
      </c>
      <c r="C1173" s="4" t="s">
        <v>209</v>
      </c>
      <c r="D1173" s="6">
        <v>46309.444618055597</v>
      </c>
      <c r="E1173" s="6">
        <v>46309.1945949074</v>
      </c>
      <c r="F1173" s="6">
        <v>46309</v>
      </c>
      <c r="G1173" s="5" t="s">
        <v>12</v>
      </c>
      <c r="H1173" s="5" t="s">
        <v>16</v>
      </c>
      <c r="I1173" s="5">
        <v>34</v>
      </c>
      <c r="J1173" s="9" t="s">
        <v>17</v>
      </c>
      <c r="K1173" s="1" t="s">
        <v>1465</v>
      </c>
      <c r="L1173" t="s">
        <v>3284</v>
      </c>
      <c r="M1173" t="str">
        <f>+VLOOKUP(C1173,'[1]TIENDAS 2025'!$A$1:$C$143,3,0)</f>
        <v>local</v>
      </c>
      <c r="O1173">
        <v>1</v>
      </c>
    </row>
    <row r="1174" spans="1:15" ht="15" customHeight="1" x14ac:dyDescent="0.3">
      <c r="A1174" s="7">
        <v>8209669987</v>
      </c>
      <c r="B1174" s="4" t="s">
        <v>211</v>
      </c>
      <c r="C1174" s="4" t="s">
        <v>212</v>
      </c>
      <c r="D1174" s="6">
        <v>46309.4446412037</v>
      </c>
      <c r="E1174" s="6">
        <v>46309.194606481498</v>
      </c>
      <c r="F1174" s="6">
        <v>46309</v>
      </c>
      <c r="G1174" s="5" t="s">
        <v>12</v>
      </c>
      <c r="H1174" s="5" t="s">
        <v>27</v>
      </c>
      <c r="I1174" s="5">
        <v>11</v>
      </c>
      <c r="J1174" s="10" t="s">
        <v>17</v>
      </c>
      <c r="K1174" s="1" t="s">
        <v>1466</v>
      </c>
      <c r="M1174" t="str">
        <f>+VLOOKUP(C1174,'[1]TIENDAS 2025'!$A$1:$C$143,3,0)</f>
        <v>departamental</v>
      </c>
      <c r="O1174">
        <v>1</v>
      </c>
    </row>
    <row r="1175" spans="1:15" ht="15" customHeight="1" x14ac:dyDescent="0.3">
      <c r="A1175" s="7">
        <v>8209670022</v>
      </c>
      <c r="B1175" s="4" t="s">
        <v>542</v>
      </c>
      <c r="C1175" s="4" t="s">
        <v>543</v>
      </c>
      <c r="D1175" s="6">
        <v>46309.444652777798</v>
      </c>
      <c r="E1175" s="6">
        <v>46309.194618055597</v>
      </c>
      <c r="F1175" s="6">
        <v>46309</v>
      </c>
      <c r="G1175" s="5" t="s">
        <v>12</v>
      </c>
      <c r="H1175" s="5" t="s">
        <v>27</v>
      </c>
      <c r="I1175" s="5">
        <v>4</v>
      </c>
      <c r="J1175" s="10" t="s">
        <v>17</v>
      </c>
      <c r="K1175" s="1" t="s">
        <v>1467</v>
      </c>
      <c r="M1175" t="str">
        <f>+VLOOKUP(C1175,'[1]TIENDAS 2025'!$A$1:$C$143,3,0)</f>
        <v>prioridad</v>
      </c>
      <c r="O1175">
        <v>1</v>
      </c>
    </row>
    <row r="1176" spans="1:15" ht="15" customHeight="1" x14ac:dyDescent="0.3">
      <c r="A1176" s="7">
        <v>1209670108</v>
      </c>
      <c r="B1176" s="4" t="s">
        <v>19</v>
      </c>
      <c r="C1176" s="4" t="s">
        <v>20</v>
      </c>
      <c r="D1176" s="6">
        <v>46309.444664351897</v>
      </c>
      <c r="E1176" s="6">
        <v>46309.1946412037</v>
      </c>
      <c r="F1176" s="6">
        <v>46309</v>
      </c>
      <c r="G1176" s="5" t="s">
        <v>12</v>
      </c>
      <c r="H1176" s="5" t="s">
        <v>16</v>
      </c>
      <c r="I1176" s="5">
        <v>4</v>
      </c>
      <c r="J1176" s="9" t="s">
        <v>17</v>
      </c>
      <c r="K1176" s="1" t="s">
        <v>1468</v>
      </c>
      <c r="L1176" t="s">
        <v>3284</v>
      </c>
      <c r="M1176" t="str">
        <f>+VLOOKUP(C1176,'[1]TIENDAS 2025'!$A$1:$C$143,3,0)</f>
        <v>departamental</v>
      </c>
      <c r="O1176">
        <v>1</v>
      </c>
    </row>
    <row r="1177" spans="1:15" ht="15" customHeight="1" x14ac:dyDescent="0.3">
      <c r="A1177" s="7">
        <v>1209670112</v>
      </c>
      <c r="B1177" s="4" t="s">
        <v>19</v>
      </c>
      <c r="C1177" s="4" t="s">
        <v>20</v>
      </c>
      <c r="D1177" s="6">
        <v>46309.444675925901</v>
      </c>
      <c r="E1177" s="6">
        <v>46309.194652777798</v>
      </c>
      <c r="F1177" s="6">
        <v>46309</v>
      </c>
      <c r="G1177" s="5" t="s">
        <v>12</v>
      </c>
      <c r="H1177" s="5" t="s">
        <v>29</v>
      </c>
      <c r="I1177" s="5">
        <v>49</v>
      </c>
      <c r="J1177" s="9" t="s">
        <v>17</v>
      </c>
      <c r="K1177" s="1" t="s">
        <v>1469</v>
      </c>
      <c r="L1177" t="s">
        <v>3284</v>
      </c>
      <c r="M1177" t="str">
        <f>+VLOOKUP(C1177,'[1]TIENDAS 2025'!$A$1:$C$143,3,0)</f>
        <v>departamental</v>
      </c>
      <c r="O1177">
        <v>1</v>
      </c>
    </row>
    <row r="1178" spans="1:15" ht="15" customHeight="1" x14ac:dyDescent="0.3">
      <c r="A1178" s="7">
        <v>8209669963</v>
      </c>
      <c r="B1178" s="4" t="s">
        <v>208</v>
      </c>
      <c r="C1178" s="4" t="s">
        <v>209</v>
      </c>
      <c r="D1178" s="6">
        <v>46309.444699074098</v>
      </c>
      <c r="E1178" s="6">
        <v>46309.194664351897</v>
      </c>
      <c r="F1178" s="6">
        <v>46309</v>
      </c>
      <c r="G1178" s="5" t="s">
        <v>12</v>
      </c>
      <c r="H1178" s="5" t="s">
        <v>27</v>
      </c>
      <c r="I1178" s="5">
        <v>35</v>
      </c>
      <c r="J1178" s="10" t="s">
        <v>17</v>
      </c>
      <c r="K1178" s="1" t="s">
        <v>1470</v>
      </c>
      <c r="M1178" t="str">
        <f>+VLOOKUP(C1178,'[1]TIENDAS 2025'!$A$1:$C$143,3,0)</f>
        <v>local</v>
      </c>
      <c r="O1178">
        <v>1</v>
      </c>
    </row>
    <row r="1179" spans="1:15" ht="15" customHeight="1" x14ac:dyDescent="0.3">
      <c r="A1179" s="7">
        <v>1209669993</v>
      </c>
      <c r="B1179" s="4" t="s">
        <v>211</v>
      </c>
      <c r="C1179" s="4" t="s">
        <v>212</v>
      </c>
      <c r="D1179" s="6">
        <v>46309.444710648102</v>
      </c>
      <c r="E1179" s="6">
        <v>46309.194675925901</v>
      </c>
      <c r="F1179" s="6">
        <v>46309</v>
      </c>
      <c r="G1179" s="5" t="s">
        <v>12</v>
      </c>
      <c r="H1179" s="5" t="s">
        <v>29</v>
      </c>
      <c r="I1179" s="5">
        <v>21</v>
      </c>
      <c r="J1179" s="9" t="s">
        <v>17</v>
      </c>
      <c r="K1179" s="1" t="s">
        <v>1471</v>
      </c>
      <c r="L1179" t="s">
        <v>3284</v>
      </c>
      <c r="M1179" t="str">
        <f>+VLOOKUP(C1179,'[1]TIENDAS 2025'!$A$1:$C$143,3,0)</f>
        <v>departamental</v>
      </c>
      <c r="O1179">
        <v>1</v>
      </c>
    </row>
    <row r="1180" spans="1:15" ht="15" customHeight="1" x14ac:dyDescent="0.3">
      <c r="A1180" s="7">
        <v>1209669979</v>
      </c>
      <c r="B1180" s="4" t="s">
        <v>208</v>
      </c>
      <c r="C1180" s="4" t="s">
        <v>209</v>
      </c>
      <c r="D1180" s="6">
        <v>46309.444722222201</v>
      </c>
      <c r="E1180" s="6">
        <v>46309.194699074098</v>
      </c>
      <c r="F1180" s="6">
        <v>46309</v>
      </c>
      <c r="G1180" s="5" t="s">
        <v>12</v>
      </c>
      <c r="H1180" s="5" t="s">
        <v>27</v>
      </c>
      <c r="I1180" s="5">
        <v>25</v>
      </c>
      <c r="J1180" s="9" t="s">
        <v>17</v>
      </c>
      <c r="K1180" s="1" t="s">
        <v>1472</v>
      </c>
      <c r="L1180" t="s">
        <v>3284</v>
      </c>
      <c r="M1180" t="str">
        <f>+VLOOKUP(C1180,'[1]TIENDAS 2025'!$A$1:$C$143,3,0)</f>
        <v>local</v>
      </c>
      <c r="O1180">
        <v>1</v>
      </c>
    </row>
    <row r="1181" spans="1:15" ht="15" customHeight="1" x14ac:dyDescent="0.3">
      <c r="A1181" s="7">
        <v>8209669982</v>
      </c>
      <c r="B1181" s="4" t="s">
        <v>211</v>
      </c>
      <c r="C1181" s="4" t="s">
        <v>212</v>
      </c>
      <c r="D1181" s="6">
        <v>46309.444733796299</v>
      </c>
      <c r="E1181" s="6">
        <v>46309.194710648102</v>
      </c>
      <c r="F1181" s="6">
        <v>46309</v>
      </c>
      <c r="G1181" s="5" t="s">
        <v>12</v>
      </c>
      <c r="H1181" s="5" t="s">
        <v>27</v>
      </c>
      <c r="I1181" s="5">
        <v>6</v>
      </c>
      <c r="J1181" s="10" t="s">
        <v>17</v>
      </c>
      <c r="K1181" s="1" t="s">
        <v>1473</v>
      </c>
      <c r="M1181" t="str">
        <f>+VLOOKUP(C1181,'[1]TIENDAS 2025'!$A$1:$C$143,3,0)</f>
        <v>departamental</v>
      </c>
      <c r="O1181">
        <v>1</v>
      </c>
    </row>
    <row r="1182" spans="1:15" ht="15" customHeight="1" x14ac:dyDescent="0.3">
      <c r="A1182" s="7">
        <v>8209669984</v>
      </c>
      <c r="B1182" s="4" t="s">
        <v>211</v>
      </c>
      <c r="C1182" s="4" t="s">
        <v>212</v>
      </c>
      <c r="D1182" s="6">
        <v>46309.444756944402</v>
      </c>
      <c r="E1182" s="6">
        <v>46309.194722222201</v>
      </c>
      <c r="F1182" s="6">
        <v>46309</v>
      </c>
      <c r="G1182" s="5" t="s">
        <v>12</v>
      </c>
      <c r="H1182" s="5" t="s">
        <v>27</v>
      </c>
      <c r="I1182" s="5">
        <v>2</v>
      </c>
      <c r="J1182" s="10" t="s">
        <v>17</v>
      </c>
      <c r="K1182" s="1" t="s">
        <v>1474</v>
      </c>
      <c r="M1182" t="str">
        <f>+VLOOKUP(C1182,'[1]TIENDAS 2025'!$A$1:$C$143,3,0)</f>
        <v>departamental</v>
      </c>
      <c r="O1182">
        <v>1</v>
      </c>
    </row>
    <row r="1183" spans="1:15" ht="15" customHeight="1" x14ac:dyDescent="0.3">
      <c r="A1183" s="7">
        <v>8209669985</v>
      </c>
      <c r="B1183" s="4" t="s">
        <v>211</v>
      </c>
      <c r="C1183" s="4" t="s">
        <v>212</v>
      </c>
      <c r="D1183" s="6">
        <v>46309.4447685185</v>
      </c>
      <c r="E1183" s="6">
        <v>46309.194733796299</v>
      </c>
      <c r="F1183" s="6">
        <v>46309</v>
      </c>
      <c r="G1183" s="5" t="s">
        <v>12</v>
      </c>
      <c r="H1183" s="5" t="s">
        <v>27</v>
      </c>
      <c r="I1183" s="5">
        <v>2</v>
      </c>
      <c r="J1183" s="10" t="s">
        <v>17</v>
      </c>
      <c r="K1183" s="1" t="s">
        <v>1475</v>
      </c>
      <c r="M1183" t="str">
        <f>+VLOOKUP(C1183,'[1]TIENDAS 2025'!$A$1:$C$143,3,0)</f>
        <v>departamental</v>
      </c>
      <c r="O1183">
        <v>1</v>
      </c>
    </row>
    <row r="1184" spans="1:15" ht="15" customHeight="1" x14ac:dyDescent="0.3">
      <c r="A1184" s="7">
        <v>8209669986</v>
      </c>
      <c r="B1184" s="4" t="s">
        <v>211</v>
      </c>
      <c r="C1184" s="4" t="s">
        <v>212</v>
      </c>
      <c r="D1184" s="6">
        <v>46309.444780092599</v>
      </c>
      <c r="E1184" s="6">
        <v>46309.194756944402</v>
      </c>
      <c r="F1184" s="6">
        <v>46309</v>
      </c>
      <c r="G1184" s="5" t="s">
        <v>12</v>
      </c>
      <c r="H1184" s="5" t="s">
        <v>27</v>
      </c>
      <c r="I1184" s="5">
        <v>1</v>
      </c>
      <c r="J1184" s="10" t="s">
        <v>17</v>
      </c>
      <c r="K1184" s="1" t="s">
        <v>1476</v>
      </c>
      <c r="M1184" t="str">
        <f>+VLOOKUP(C1184,'[1]TIENDAS 2025'!$A$1:$C$143,3,0)</f>
        <v>departamental</v>
      </c>
      <c r="O1184">
        <v>1</v>
      </c>
    </row>
    <row r="1185" spans="1:15" ht="15" customHeight="1" x14ac:dyDescent="0.3">
      <c r="A1185" s="7">
        <v>8209670095</v>
      </c>
      <c r="B1185" s="4" t="s">
        <v>19</v>
      </c>
      <c r="C1185" s="4" t="s">
        <v>20</v>
      </c>
      <c r="D1185" s="6">
        <v>46309.444791666698</v>
      </c>
      <c r="E1185" s="6">
        <v>46309.1947685185</v>
      </c>
      <c r="F1185" s="6">
        <v>46309</v>
      </c>
      <c r="G1185" s="5" t="s">
        <v>12</v>
      </c>
      <c r="H1185" s="5" t="s">
        <v>27</v>
      </c>
      <c r="I1185" s="5">
        <v>9</v>
      </c>
      <c r="J1185" s="10" t="s">
        <v>17</v>
      </c>
      <c r="K1185" s="1" t="s">
        <v>1477</v>
      </c>
      <c r="M1185" t="str">
        <f>+VLOOKUP(C1185,'[1]TIENDAS 2025'!$A$1:$C$143,3,0)</f>
        <v>departamental</v>
      </c>
      <c r="O1185">
        <v>1</v>
      </c>
    </row>
    <row r="1186" spans="1:15" ht="15" customHeight="1" x14ac:dyDescent="0.3">
      <c r="A1186" s="7">
        <v>1209670077</v>
      </c>
      <c r="B1186" s="4" t="s">
        <v>400</v>
      </c>
      <c r="C1186" s="4" t="s">
        <v>401</v>
      </c>
      <c r="D1186" s="6">
        <v>46309.444803240702</v>
      </c>
      <c r="E1186" s="6">
        <v>46309.194780092599</v>
      </c>
      <c r="F1186" s="6">
        <v>46309</v>
      </c>
      <c r="G1186" s="5" t="s">
        <v>12</v>
      </c>
      <c r="H1186" s="5" t="s">
        <v>29</v>
      </c>
      <c r="I1186" s="5">
        <v>3</v>
      </c>
      <c r="J1186" s="9" t="s">
        <v>17</v>
      </c>
      <c r="K1186" s="1" t="s">
        <v>1478</v>
      </c>
      <c r="L1186" t="s">
        <v>3284</v>
      </c>
      <c r="M1186" t="str">
        <f>+VLOOKUP(C1186,'[1]TIENDAS 2025'!$A$1:$C$143,3,0)</f>
        <v>local</v>
      </c>
      <c r="O1186">
        <v>1</v>
      </c>
    </row>
    <row r="1187" spans="1:15" ht="15" customHeight="1" x14ac:dyDescent="0.3">
      <c r="A1187" s="7">
        <v>1209669964</v>
      </c>
      <c r="B1187" s="4" t="s">
        <v>208</v>
      </c>
      <c r="C1187" s="4" t="s">
        <v>209</v>
      </c>
      <c r="D1187" s="6">
        <v>46309.444826388899</v>
      </c>
      <c r="E1187" s="6">
        <v>46309.194791666698</v>
      </c>
      <c r="F1187" s="6">
        <v>46309</v>
      </c>
      <c r="G1187" s="5" t="s">
        <v>12</v>
      </c>
      <c r="H1187" s="5" t="s">
        <v>29</v>
      </c>
      <c r="I1187" s="5">
        <v>14</v>
      </c>
      <c r="J1187" s="9" t="s">
        <v>17</v>
      </c>
      <c r="K1187" s="1" t="s">
        <v>1479</v>
      </c>
      <c r="L1187" t="s">
        <v>3284</v>
      </c>
      <c r="M1187" t="str">
        <f>+VLOOKUP(C1187,'[1]TIENDAS 2025'!$A$1:$C$143,3,0)</f>
        <v>local</v>
      </c>
      <c r="O1187">
        <v>1</v>
      </c>
    </row>
    <row r="1188" spans="1:15" ht="15" customHeight="1" x14ac:dyDescent="0.3">
      <c r="A1188" s="7">
        <v>1209669996</v>
      </c>
      <c r="B1188" s="4" t="s">
        <v>211</v>
      </c>
      <c r="C1188" s="4" t="s">
        <v>212</v>
      </c>
      <c r="D1188" s="6">
        <v>46309.444837962998</v>
      </c>
      <c r="E1188" s="6">
        <v>46309.1948148148</v>
      </c>
      <c r="F1188" s="6">
        <v>46309</v>
      </c>
      <c r="G1188" s="5" t="s">
        <v>12</v>
      </c>
      <c r="H1188" s="5" t="s">
        <v>16</v>
      </c>
      <c r="I1188" s="5">
        <v>2</v>
      </c>
      <c r="J1188" s="9" t="s">
        <v>17</v>
      </c>
      <c r="K1188" s="1" t="s">
        <v>1480</v>
      </c>
      <c r="L1188" t="s">
        <v>3284</v>
      </c>
      <c r="M1188" t="str">
        <f>+VLOOKUP(C1188,'[1]TIENDAS 2025'!$A$1:$C$143,3,0)</f>
        <v>departamental</v>
      </c>
      <c r="O1188">
        <v>1</v>
      </c>
    </row>
    <row r="1189" spans="1:15" ht="15" customHeight="1" x14ac:dyDescent="0.3">
      <c r="A1189" s="7">
        <v>1209669966</v>
      </c>
      <c r="B1189" s="4" t="s">
        <v>208</v>
      </c>
      <c r="C1189" s="4" t="s">
        <v>209</v>
      </c>
      <c r="D1189" s="6">
        <v>46309.4448611111</v>
      </c>
      <c r="E1189" s="6">
        <v>46309.194837962998</v>
      </c>
      <c r="F1189" s="6">
        <v>46309</v>
      </c>
      <c r="G1189" s="5" t="s">
        <v>12</v>
      </c>
      <c r="H1189" s="5" t="s">
        <v>16</v>
      </c>
      <c r="I1189" s="5">
        <v>22</v>
      </c>
      <c r="J1189" s="9" t="s">
        <v>17</v>
      </c>
      <c r="K1189" s="1" t="s">
        <v>1481</v>
      </c>
      <c r="L1189" t="s">
        <v>3284</v>
      </c>
      <c r="M1189" t="str">
        <f>+VLOOKUP(C1189,'[1]TIENDAS 2025'!$A$1:$C$143,3,0)</f>
        <v>local</v>
      </c>
      <c r="O1189">
        <v>1</v>
      </c>
    </row>
    <row r="1190" spans="1:15" ht="15" customHeight="1" x14ac:dyDescent="0.3">
      <c r="A1190" s="7">
        <v>1209670071</v>
      </c>
      <c r="B1190" s="4" t="s">
        <v>400</v>
      </c>
      <c r="C1190" s="4" t="s">
        <v>401</v>
      </c>
      <c r="D1190" s="6">
        <v>46309.4448611111</v>
      </c>
      <c r="E1190" s="6">
        <v>46309.194826388899</v>
      </c>
      <c r="F1190" s="6">
        <v>46309</v>
      </c>
      <c r="G1190" s="5" t="s">
        <v>12</v>
      </c>
      <c r="H1190" s="5" t="s">
        <v>16</v>
      </c>
      <c r="I1190" s="5">
        <v>13</v>
      </c>
      <c r="J1190" s="9" t="s">
        <v>17</v>
      </c>
      <c r="K1190" s="1" t="s">
        <v>1482</v>
      </c>
      <c r="L1190" t="s">
        <v>3284</v>
      </c>
      <c r="M1190" t="str">
        <f>+VLOOKUP(C1190,'[1]TIENDAS 2025'!$A$1:$C$143,3,0)</f>
        <v>local</v>
      </c>
      <c r="O1190">
        <v>1</v>
      </c>
    </row>
    <row r="1191" spans="1:15" ht="15" customHeight="1" x14ac:dyDescent="0.3">
      <c r="A1191" s="7">
        <v>1209670072</v>
      </c>
      <c r="B1191" s="4" t="s">
        <v>400</v>
      </c>
      <c r="C1191" s="4" t="s">
        <v>401</v>
      </c>
      <c r="D1191" s="6">
        <v>46309.444884259297</v>
      </c>
      <c r="E1191" s="6">
        <v>46309.194849537002</v>
      </c>
      <c r="F1191" s="6">
        <v>46309</v>
      </c>
      <c r="G1191" s="5" t="s">
        <v>12</v>
      </c>
      <c r="H1191" s="5" t="s">
        <v>16</v>
      </c>
      <c r="I1191" s="5">
        <v>11</v>
      </c>
      <c r="J1191" s="9" t="s">
        <v>17</v>
      </c>
      <c r="K1191" s="1" t="s">
        <v>1483</v>
      </c>
      <c r="L1191" t="s">
        <v>3284</v>
      </c>
      <c r="M1191" t="str">
        <f>+VLOOKUP(C1191,'[1]TIENDAS 2025'!$A$1:$C$143,3,0)</f>
        <v>local</v>
      </c>
      <c r="O1191">
        <v>1</v>
      </c>
    </row>
    <row r="1192" spans="1:15" ht="15" customHeight="1" x14ac:dyDescent="0.3">
      <c r="A1192" s="7">
        <v>8209670091</v>
      </c>
      <c r="B1192" s="4" t="s">
        <v>19</v>
      </c>
      <c r="C1192" s="4" t="s">
        <v>20</v>
      </c>
      <c r="D1192" s="6">
        <v>46309.444895833301</v>
      </c>
      <c r="E1192" s="6">
        <v>46309.194872685199</v>
      </c>
      <c r="F1192" s="6">
        <v>46309</v>
      </c>
      <c r="G1192" s="5" t="s">
        <v>12</v>
      </c>
      <c r="H1192" s="5" t="s">
        <v>27</v>
      </c>
      <c r="I1192" s="5">
        <v>25</v>
      </c>
      <c r="J1192" s="10" t="s">
        <v>17</v>
      </c>
      <c r="K1192" s="1" t="s">
        <v>1484</v>
      </c>
      <c r="M1192" t="str">
        <f>+VLOOKUP(C1192,'[1]TIENDAS 2025'!$A$1:$C$143,3,0)</f>
        <v>departamental</v>
      </c>
      <c r="O1192">
        <v>1</v>
      </c>
    </row>
    <row r="1193" spans="1:15" ht="15" customHeight="1" x14ac:dyDescent="0.3">
      <c r="A1193" s="7">
        <v>1209670102</v>
      </c>
      <c r="B1193" s="4" t="s">
        <v>19</v>
      </c>
      <c r="C1193" s="4" t="s">
        <v>20</v>
      </c>
      <c r="D1193" s="6">
        <v>46309.444918981499</v>
      </c>
      <c r="E1193" s="6">
        <v>46309.194884259297</v>
      </c>
      <c r="F1193" s="6">
        <v>46309</v>
      </c>
      <c r="G1193" s="5" t="s">
        <v>12</v>
      </c>
      <c r="H1193" s="5" t="s">
        <v>16</v>
      </c>
      <c r="I1193" s="5">
        <v>37</v>
      </c>
      <c r="J1193" s="9" t="s">
        <v>17</v>
      </c>
      <c r="K1193" s="1" t="s">
        <v>1485</v>
      </c>
      <c r="L1193" t="s">
        <v>3284</v>
      </c>
      <c r="M1193" t="str">
        <f>+VLOOKUP(C1193,'[1]TIENDAS 2025'!$A$1:$C$143,3,0)</f>
        <v>departamental</v>
      </c>
      <c r="O1193">
        <v>1</v>
      </c>
    </row>
    <row r="1194" spans="1:15" ht="15" customHeight="1" x14ac:dyDescent="0.3">
      <c r="A1194" s="7">
        <v>8209670016</v>
      </c>
      <c r="B1194" s="4" t="s">
        <v>542</v>
      </c>
      <c r="C1194" s="4" t="s">
        <v>543</v>
      </c>
      <c r="D1194" s="6">
        <v>46309.444918981499</v>
      </c>
      <c r="E1194" s="6">
        <v>46309.194895833301</v>
      </c>
      <c r="F1194" s="6">
        <v>46309</v>
      </c>
      <c r="G1194" s="5" t="s">
        <v>12</v>
      </c>
      <c r="H1194" s="5" t="s">
        <v>27</v>
      </c>
      <c r="I1194" s="5">
        <v>3</v>
      </c>
      <c r="J1194" s="10" t="s">
        <v>17</v>
      </c>
      <c r="K1194" s="1" t="s">
        <v>1486</v>
      </c>
      <c r="M1194" t="str">
        <f>+VLOOKUP(C1194,'[1]TIENDAS 2025'!$A$1:$C$143,3,0)</f>
        <v>prioridad</v>
      </c>
      <c r="O1194">
        <v>1</v>
      </c>
    </row>
    <row r="1195" spans="1:15" ht="15" customHeight="1" x14ac:dyDescent="0.3">
      <c r="A1195" s="7">
        <v>8209670107</v>
      </c>
      <c r="B1195" s="4" t="s">
        <v>19</v>
      </c>
      <c r="C1195" s="4" t="s">
        <v>20</v>
      </c>
      <c r="D1195" s="6">
        <v>46309.444930555597</v>
      </c>
      <c r="E1195" s="6">
        <v>46309.1949074074</v>
      </c>
      <c r="F1195" s="6">
        <v>46309</v>
      </c>
      <c r="G1195" s="5" t="s">
        <v>12</v>
      </c>
      <c r="H1195" s="5" t="s">
        <v>27</v>
      </c>
      <c r="I1195" s="5">
        <v>9</v>
      </c>
      <c r="J1195" s="10" t="s">
        <v>17</v>
      </c>
      <c r="K1195" s="1" t="s">
        <v>1487</v>
      </c>
      <c r="M1195" t="str">
        <f>+VLOOKUP(C1195,'[1]TIENDAS 2025'!$A$1:$C$143,3,0)</f>
        <v>departamental</v>
      </c>
      <c r="O1195">
        <v>1</v>
      </c>
    </row>
    <row r="1196" spans="1:15" ht="15" customHeight="1" x14ac:dyDescent="0.3">
      <c r="A1196" s="7">
        <v>1209670024</v>
      </c>
      <c r="B1196" s="4" t="s">
        <v>542</v>
      </c>
      <c r="C1196" s="4" t="s">
        <v>543</v>
      </c>
      <c r="D1196" s="6">
        <v>46309.4449537037</v>
      </c>
      <c r="E1196" s="6">
        <v>46309.194918981499</v>
      </c>
      <c r="F1196" s="6">
        <v>46309</v>
      </c>
      <c r="G1196" s="5" t="s">
        <v>12</v>
      </c>
      <c r="H1196" s="5" t="s">
        <v>16</v>
      </c>
      <c r="I1196" s="5">
        <v>7</v>
      </c>
      <c r="J1196" s="9" t="s">
        <v>17</v>
      </c>
      <c r="K1196" s="1" t="s">
        <v>1488</v>
      </c>
      <c r="L1196" t="s">
        <v>3284</v>
      </c>
      <c r="M1196" t="str">
        <f>+VLOOKUP(C1196,'[1]TIENDAS 2025'!$A$1:$C$143,3,0)</f>
        <v>prioridad</v>
      </c>
      <c r="O1196">
        <v>1</v>
      </c>
    </row>
    <row r="1197" spans="1:15" ht="15" customHeight="1" x14ac:dyDescent="0.3">
      <c r="A1197" s="7">
        <v>8209670075</v>
      </c>
      <c r="B1197" s="4" t="s">
        <v>400</v>
      </c>
      <c r="C1197" s="4" t="s">
        <v>401</v>
      </c>
      <c r="D1197" s="6">
        <v>46309.444965277798</v>
      </c>
      <c r="E1197" s="6">
        <v>46309.194942129601</v>
      </c>
      <c r="F1197" s="6">
        <v>46309</v>
      </c>
      <c r="G1197" s="5" t="s">
        <v>12</v>
      </c>
      <c r="H1197" s="5" t="s">
        <v>27</v>
      </c>
      <c r="I1197" s="5">
        <v>1</v>
      </c>
      <c r="J1197" s="10" t="s">
        <v>17</v>
      </c>
      <c r="K1197" s="1" t="s">
        <v>1489</v>
      </c>
      <c r="M1197" t="str">
        <f>+VLOOKUP(C1197,'[1]TIENDAS 2025'!$A$1:$C$143,3,0)</f>
        <v>local</v>
      </c>
      <c r="O1197">
        <v>1</v>
      </c>
    </row>
    <row r="1198" spans="1:15" ht="15" customHeight="1" x14ac:dyDescent="0.3">
      <c r="A1198" s="7">
        <v>1209670098</v>
      </c>
      <c r="B1198" s="4" t="s">
        <v>19</v>
      </c>
      <c r="C1198" s="4" t="s">
        <v>20</v>
      </c>
      <c r="D1198" s="6">
        <v>46309.444988425901</v>
      </c>
      <c r="E1198" s="6">
        <v>46309.1949537037</v>
      </c>
      <c r="F1198" s="6">
        <v>46309</v>
      </c>
      <c r="G1198" s="5" t="s">
        <v>12</v>
      </c>
      <c r="H1198" s="5" t="s">
        <v>16</v>
      </c>
      <c r="I1198" s="5">
        <v>14</v>
      </c>
      <c r="J1198" s="9" t="s">
        <v>17</v>
      </c>
      <c r="K1198" s="1" t="s">
        <v>1490</v>
      </c>
      <c r="L1198" t="s">
        <v>3284</v>
      </c>
      <c r="M1198" t="str">
        <f>+VLOOKUP(C1198,'[1]TIENDAS 2025'!$A$1:$C$143,3,0)</f>
        <v>departamental</v>
      </c>
      <c r="O1198">
        <v>1</v>
      </c>
    </row>
    <row r="1199" spans="1:15" ht="15" customHeight="1" x14ac:dyDescent="0.3">
      <c r="A1199" s="7">
        <v>8209669973</v>
      </c>
      <c r="B1199" s="4" t="s">
        <v>208</v>
      </c>
      <c r="C1199" s="4" t="s">
        <v>209</v>
      </c>
      <c r="D1199" s="6">
        <v>46309.444988425901</v>
      </c>
      <c r="E1199" s="6">
        <v>46309.194965277798</v>
      </c>
      <c r="F1199" s="6">
        <v>46309</v>
      </c>
      <c r="G1199" s="5" t="s">
        <v>12</v>
      </c>
      <c r="H1199" s="5" t="s">
        <v>27</v>
      </c>
      <c r="I1199" s="5">
        <v>2</v>
      </c>
      <c r="J1199" s="10" t="s">
        <v>17</v>
      </c>
      <c r="K1199" s="1" t="s">
        <v>1491</v>
      </c>
      <c r="M1199" t="str">
        <f>+VLOOKUP(C1199,'[1]TIENDAS 2025'!$A$1:$C$143,3,0)</f>
        <v>local</v>
      </c>
      <c r="O1199">
        <v>1</v>
      </c>
    </row>
    <row r="1200" spans="1:15" ht="15" customHeight="1" x14ac:dyDescent="0.3">
      <c r="A1200" s="7">
        <v>1209670083</v>
      </c>
      <c r="B1200" s="4" t="s">
        <v>400</v>
      </c>
      <c r="C1200" s="4" t="s">
        <v>401</v>
      </c>
      <c r="D1200" s="6">
        <v>46309.445</v>
      </c>
      <c r="E1200" s="6">
        <v>46309.194976851897</v>
      </c>
      <c r="F1200" s="6">
        <v>46309</v>
      </c>
      <c r="G1200" s="5" t="s">
        <v>12</v>
      </c>
      <c r="H1200" s="5" t="s">
        <v>29</v>
      </c>
      <c r="I1200" s="5">
        <v>35</v>
      </c>
      <c r="J1200" s="9" t="s">
        <v>17</v>
      </c>
      <c r="K1200" s="1" t="s">
        <v>1492</v>
      </c>
      <c r="L1200" t="s">
        <v>3284</v>
      </c>
      <c r="M1200" t="str">
        <f>+VLOOKUP(C1200,'[1]TIENDAS 2025'!$A$1:$C$143,3,0)</f>
        <v>local</v>
      </c>
      <c r="O1200">
        <v>1</v>
      </c>
    </row>
    <row r="1201" spans="1:15" ht="15" customHeight="1" x14ac:dyDescent="0.3">
      <c r="A1201" s="7">
        <v>1209670023</v>
      </c>
      <c r="B1201" s="4" t="s">
        <v>542</v>
      </c>
      <c r="C1201" s="4" t="s">
        <v>543</v>
      </c>
      <c r="D1201" s="6">
        <v>46309.445023148102</v>
      </c>
      <c r="E1201" s="6">
        <v>46309.194988425901</v>
      </c>
      <c r="F1201" s="6">
        <v>46309</v>
      </c>
      <c r="G1201" s="5" t="s">
        <v>12</v>
      </c>
      <c r="H1201" s="5" t="s">
        <v>16</v>
      </c>
      <c r="I1201" s="5">
        <v>3</v>
      </c>
      <c r="J1201" s="9" t="s">
        <v>17</v>
      </c>
      <c r="K1201" s="1" t="s">
        <v>1493</v>
      </c>
      <c r="L1201" t="s">
        <v>3284</v>
      </c>
      <c r="M1201" t="str">
        <f>+VLOOKUP(C1201,'[1]TIENDAS 2025'!$A$1:$C$143,3,0)</f>
        <v>prioridad</v>
      </c>
      <c r="O1201">
        <v>1</v>
      </c>
    </row>
    <row r="1202" spans="1:15" ht="15" customHeight="1" x14ac:dyDescent="0.3">
      <c r="A1202" s="7">
        <v>1209670065</v>
      </c>
      <c r="B1202" s="4" t="s">
        <v>400</v>
      </c>
      <c r="C1202" s="4" t="s">
        <v>401</v>
      </c>
      <c r="D1202" s="6">
        <v>46309.445034722201</v>
      </c>
      <c r="E1202" s="6">
        <v>46309.195011574098</v>
      </c>
      <c r="F1202" s="6">
        <v>46309</v>
      </c>
      <c r="G1202" s="5" t="s">
        <v>12</v>
      </c>
      <c r="H1202" s="5" t="s">
        <v>16</v>
      </c>
      <c r="I1202" s="5">
        <v>10</v>
      </c>
      <c r="J1202" s="9" t="s">
        <v>17</v>
      </c>
      <c r="K1202" s="1" t="s">
        <v>1494</v>
      </c>
      <c r="L1202" t="s">
        <v>3284</v>
      </c>
      <c r="M1202" t="str">
        <f>+VLOOKUP(C1202,'[1]TIENDAS 2025'!$A$1:$C$143,3,0)</f>
        <v>local</v>
      </c>
      <c r="O1202">
        <v>1</v>
      </c>
    </row>
    <row r="1203" spans="1:15" ht="15" customHeight="1" x14ac:dyDescent="0.3">
      <c r="A1203" s="7">
        <v>1209670111</v>
      </c>
      <c r="B1203" s="4" t="s">
        <v>19</v>
      </c>
      <c r="C1203" s="4" t="s">
        <v>20</v>
      </c>
      <c r="D1203" s="6">
        <v>46309.445057870398</v>
      </c>
      <c r="E1203" s="6">
        <v>46309.195034722201</v>
      </c>
      <c r="F1203" s="6">
        <v>46309</v>
      </c>
      <c r="G1203" s="5" t="s">
        <v>12</v>
      </c>
      <c r="H1203" s="5" t="s">
        <v>16</v>
      </c>
      <c r="I1203" s="5">
        <v>30</v>
      </c>
      <c r="J1203" s="9" t="s">
        <v>17</v>
      </c>
      <c r="K1203" s="1" t="s">
        <v>1495</v>
      </c>
      <c r="L1203" t="s">
        <v>3284</v>
      </c>
      <c r="M1203" t="str">
        <f>+VLOOKUP(C1203,'[1]TIENDAS 2025'!$A$1:$C$143,3,0)</f>
        <v>departamental</v>
      </c>
      <c r="O1203">
        <v>1</v>
      </c>
    </row>
    <row r="1204" spans="1:15" ht="15" customHeight="1" x14ac:dyDescent="0.3">
      <c r="A1204" s="7">
        <v>8209670076</v>
      </c>
      <c r="B1204" s="4" t="s">
        <v>400</v>
      </c>
      <c r="C1204" s="4" t="s">
        <v>401</v>
      </c>
      <c r="D1204" s="6">
        <v>46309.445057870398</v>
      </c>
      <c r="E1204" s="6">
        <v>46309.195023148102</v>
      </c>
      <c r="F1204" s="6">
        <v>46309</v>
      </c>
      <c r="G1204" s="5" t="s">
        <v>12</v>
      </c>
      <c r="H1204" s="5" t="s">
        <v>27</v>
      </c>
      <c r="I1204" s="5">
        <v>3</v>
      </c>
      <c r="J1204" s="10" t="s">
        <v>17</v>
      </c>
      <c r="K1204" s="1" t="s">
        <v>1496</v>
      </c>
      <c r="M1204" t="str">
        <f>+VLOOKUP(C1204,'[1]TIENDAS 2025'!$A$1:$C$143,3,0)</f>
        <v>local</v>
      </c>
      <c r="O1204">
        <v>1</v>
      </c>
    </row>
    <row r="1205" spans="1:15" ht="15" customHeight="1" x14ac:dyDescent="0.3">
      <c r="A1205" s="7">
        <v>1209670082</v>
      </c>
      <c r="B1205" s="4" t="s">
        <v>400</v>
      </c>
      <c r="C1205" s="4" t="s">
        <v>401</v>
      </c>
      <c r="D1205" s="6">
        <v>46309.445081018501</v>
      </c>
      <c r="E1205" s="6">
        <v>46309.1950462963</v>
      </c>
      <c r="F1205" s="6">
        <v>46309</v>
      </c>
      <c r="G1205" s="5" t="s">
        <v>12</v>
      </c>
      <c r="H1205" s="5" t="s">
        <v>16</v>
      </c>
      <c r="I1205" s="5">
        <v>23</v>
      </c>
      <c r="J1205" s="9" t="s">
        <v>17</v>
      </c>
      <c r="K1205" s="1" t="s">
        <v>1497</v>
      </c>
      <c r="L1205" t="s">
        <v>3284</v>
      </c>
      <c r="M1205" t="str">
        <f>+VLOOKUP(C1205,'[1]TIENDAS 2025'!$A$1:$C$143,3,0)</f>
        <v>local</v>
      </c>
      <c r="O1205">
        <v>1</v>
      </c>
    </row>
    <row r="1206" spans="1:15" ht="15" customHeight="1" x14ac:dyDescent="0.3">
      <c r="A1206" s="7">
        <v>1209669995</v>
      </c>
      <c r="B1206" s="4" t="s">
        <v>211</v>
      </c>
      <c r="C1206" s="4" t="s">
        <v>212</v>
      </c>
      <c r="D1206" s="6">
        <v>46309.445092592599</v>
      </c>
      <c r="E1206" s="6">
        <v>46309.195069444402</v>
      </c>
      <c r="F1206" s="6">
        <v>46309</v>
      </c>
      <c r="G1206" s="5" t="s">
        <v>12</v>
      </c>
      <c r="H1206" s="5" t="s">
        <v>16</v>
      </c>
      <c r="I1206" s="5">
        <v>23</v>
      </c>
      <c r="J1206" s="9" t="s">
        <v>17</v>
      </c>
      <c r="K1206" s="1" t="s">
        <v>1498</v>
      </c>
      <c r="L1206" t="s">
        <v>3284</v>
      </c>
      <c r="M1206" t="str">
        <f>+VLOOKUP(C1206,'[1]TIENDAS 2025'!$A$1:$C$143,3,0)</f>
        <v>departamental</v>
      </c>
      <c r="O1206">
        <v>1</v>
      </c>
    </row>
    <row r="1207" spans="1:15" ht="15" customHeight="1" x14ac:dyDescent="0.3">
      <c r="A1207" s="7">
        <v>1209670032</v>
      </c>
      <c r="B1207" s="4" t="s">
        <v>542</v>
      </c>
      <c r="C1207" s="4" t="s">
        <v>543</v>
      </c>
      <c r="D1207" s="6">
        <v>46309.445115740702</v>
      </c>
      <c r="E1207" s="6">
        <v>46309.195081018501</v>
      </c>
      <c r="F1207" s="6">
        <v>46309</v>
      </c>
      <c r="G1207" s="5" t="s">
        <v>12</v>
      </c>
      <c r="H1207" s="5" t="s">
        <v>16</v>
      </c>
      <c r="I1207" s="5">
        <v>32</v>
      </c>
      <c r="J1207" s="9" t="s">
        <v>17</v>
      </c>
      <c r="K1207" s="1" t="s">
        <v>1499</v>
      </c>
      <c r="L1207" t="s">
        <v>3284</v>
      </c>
      <c r="M1207" t="str">
        <f>+VLOOKUP(C1207,'[1]TIENDAS 2025'!$A$1:$C$143,3,0)</f>
        <v>prioridad</v>
      </c>
      <c r="O1207">
        <v>1</v>
      </c>
    </row>
    <row r="1208" spans="1:15" ht="15" customHeight="1" x14ac:dyDescent="0.3">
      <c r="A1208" s="7">
        <v>8209670061</v>
      </c>
      <c r="B1208" s="4" t="s">
        <v>400</v>
      </c>
      <c r="C1208" s="4" t="s">
        <v>401</v>
      </c>
      <c r="D1208" s="6">
        <v>46309.445127314801</v>
      </c>
      <c r="E1208" s="6">
        <v>46309.195092592599</v>
      </c>
      <c r="F1208" s="6">
        <v>46309</v>
      </c>
      <c r="G1208" s="5" t="s">
        <v>12</v>
      </c>
      <c r="H1208" s="5" t="s">
        <v>27</v>
      </c>
      <c r="I1208" s="5">
        <v>5</v>
      </c>
      <c r="J1208" s="10" t="s">
        <v>17</v>
      </c>
      <c r="K1208" s="1" t="s">
        <v>1500</v>
      </c>
      <c r="M1208" t="str">
        <f>+VLOOKUP(C1208,'[1]TIENDAS 2025'!$A$1:$C$143,3,0)</f>
        <v>local</v>
      </c>
      <c r="O1208">
        <v>1</v>
      </c>
    </row>
    <row r="1209" spans="1:15" ht="15" customHeight="1" x14ac:dyDescent="0.3">
      <c r="A1209" s="7">
        <v>8209670184</v>
      </c>
      <c r="B1209" s="4" t="s">
        <v>548</v>
      </c>
      <c r="C1209" s="4" t="s">
        <v>549</v>
      </c>
      <c r="D1209" s="6">
        <v>46309.447361111103</v>
      </c>
      <c r="E1209" s="6">
        <v>46309.197326388901</v>
      </c>
      <c r="F1209" s="6">
        <v>46309</v>
      </c>
      <c r="G1209" s="5" t="s">
        <v>12</v>
      </c>
      <c r="H1209" s="5" t="s">
        <v>27</v>
      </c>
      <c r="I1209" s="5">
        <v>5</v>
      </c>
      <c r="J1209" s="10" t="s">
        <v>17</v>
      </c>
      <c r="K1209" s="1" t="s">
        <v>1501</v>
      </c>
      <c r="M1209" t="str">
        <f>+VLOOKUP(C1209,'[1]TIENDAS 2025'!$A$1:$C$143,3,0)</f>
        <v>departamental</v>
      </c>
      <c r="O1209">
        <v>1</v>
      </c>
    </row>
    <row r="1210" spans="1:15" ht="15" customHeight="1" x14ac:dyDescent="0.3">
      <c r="A1210" s="7">
        <v>8209670115</v>
      </c>
      <c r="B1210" s="4" t="s">
        <v>403</v>
      </c>
      <c r="C1210" s="4" t="s">
        <v>404</v>
      </c>
      <c r="D1210" s="6">
        <v>46309.447372685201</v>
      </c>
      <c r="E1210" s="6">
        <v>46309.197337963</v>
      </c>
      <c r="F1210" s="6">
        <v>46309</v>
      </c>
      <c r="G1210" s="5" t="s">
        <v>12</v>
      </c>
      <c r="H1210" s="5" t="s">
        <v>27</v>
      </c>
      <c r="I1210" s="5">
        <v>1</v>
      </c>
      <c r="J1210" s="10" t="s">
        <v>17</v>
      </c>
      <c r="K1210" s="1" t="s">
        <v>1502</v>
      </c>
      <c r="M1210" t="str">
        <f>+VLOOKUP(C1210,'[1]TIENDAS 2025'!$A$1:$C$143,3,0)</f>
        <v>prioridad</v>
      </c>
      <c r="O1210">
        <v>1</v>
      </c>
    </row>
    <row r="1211" spans="1:15" ht="15" customHeight="1" x14ac:dyDescent="0.3">
      <c r="A1211" s="7">
        <v>1209670122</v>
      </c>
      <c r="B1211" s="4" t="s">
        <v>403</v>
      </c>
      <c r="C1211" s="4" t="s">
        <v>404</v>
      </c>
      <c r="D1211" s="6">
        <v>46309.4473842593</v>
      </c>
      <c r="E1211" s="6">
        <v>46309.197349536997</v>
      </c>
      <c r="F1211" s="6">
        <v>46309</v>
      </c>
      <c r="G1211" s="5" t="s">
        <v>12</v>
      </c>
      <c r="H1211" s="5" t="s">
        <v>16</v>
      </c>
      <c r="I1211" s="5">
        <v>16</v>
      </c>
      <c r="J1211" s="9" t="s">
        <v>17</v>
      </c>
      <c r="K1211" s="1" t="s">
        <v>1503</v>
      </c>
      <c r="L1211" t="s">
        <v>3284</v>
      </c>
      <c r="M1211" t="str">
        <f>+VLOOKUP(C1211,'[1]TIENDAS 2025'!$A$1:$C$143,3,0)</f>
        <v>prioridad</v>
      </c>
      <c r="O1211">
        <v>1</v>
      </c>
    </row>
    <row r="1212" spans="1:15" ht="15" customHeight="1" x14ac:dyDescent="0.3">
      <c r="A1212" s="7">
        <v>1209670171</v>
      </c>
      <c r="B1212" s="4" t="s">
        <v>475</v>
      </c>
      <c r="C1212" s="4" t="s">
        <v>476</v>
      </c>
      <c r="D1212" s="6">
        <v>46309.447395833296</v>
      </c>
      <c r="E1212" s="6">
        <v>46309.197372685201</v>
      </c>
      <c r="F1212" s="6">
        <v>46309</v>
      </c>
      <c r="G1212" s="5" t="s">
        <v>12</v>
      </c>
      <c r="H1212" s="5" t="s">
        <v>16</v>
      </c>
      <c r="I1212" s="5">
        <v>1</v>
      </c>
      <c r="J1212" s="9" t="s">
        <v>17</v>
      </c>
      <c r="K1212" s="1" t="s">
        <v>1504</v>
      </c>
      <c r="L1212" t="s">
        <v>3284</v>
      </c>
      <c r="M1212" t="str">
        <f>+VLOOKUP(C1212,'[1]TIENDAS 2025'!$A$1:$C$143,3,0)</f>
        <v>prioridad</v>
      </c>
      <c r="O1212">
        <v>1</v>
      </c>
    </row>
    <row r="1213" spans="1:15" ht="15" customHeight="1" x14ac:dyDescent="0.3">
      <c r="A1213" s="7">
        <v>8209670152</v>
      </c>
      <c r="B1213" s="4" t="s">
        <v>475</v>
      </c>
      <c r="C1213" s="4" t="s">
        <v>476</v>
      </c>
      <c r="D1213" s="6">
        <v>46309.447407407402</v>
      </c>
      <c r="E1213" s="6">
        <v>46309.1973842593</v>
      </c>
      <c r="F1213" s="6">
        <v>46309</v>
      </c>
      <c r="G1213" s="5" t="s">
        <v>12</v>
      </c>
      <c r="H1213" s="5" t="s">
        <v>27</v>
      </c>
      <c r="I1213" s="5">
        <v>1</v>
      </c>
      <c r="J1213" s="10" t="s">
        <v>17</v>
      </c>
      <c r="K1213" s="1" t="s">
        <v>1505</v>
      </c>
      <c r="M1213" t="str">
        <f>+VLOOKUP(C1213,'[1]TIENDAS 2025'!$A$1:$C$143,3,0)</f>
        <v>prioridad</v>
      </c>
      <c r="O1213">
        <v>1</v>
      </c>
    </row>
    <row r="1214" spans="1:15" ht="15" customHeight="1" x14ac:dyDescent="0.3">
      <c r="A1214" s="7">
        <v>1209670164</v>
      </c>
      <c r="B1214" s="4" t="s">
        <v>475</v>
      </c>
      <c r="C1214" s="4" t="s">
        <v>476</v>
      </c>
      <c r="D1214" s="6">
        <v>46309.4474305556</v>
      </c>
      <c r="E1214" s="6">
        <v>46309.197395833296</v>
      </c>
      <c r="F1214" s="6">
        <v>46309</v>
      </c>
      <c r="G1214" s="5" t="s">
        <v>12</v>
      </c>
      <c r="H1214" s="5" t="s">
        <v>29</v>
      </c>
      <c r="I1214" s="5">
        <v>28</v>
      </c>
      <c r="J1214" s="9" t="s">
        <v>17</v>
      </c>
      <c r="K1214" s="1" t="s">
        <v>1506</v>
      </c>
      <c r="L1214" t="s">
        <v>3284</v>
      </c>
      <c r="M1214" t="str">
        <f>+VLOOKUP(C1214,'[1]TIENDAS 2025'!$A$1:$C$143,3,0)</f>
        <v>prioridad</v>
      </c>
      <c r="O1214">
        <v>1</v>
      </c>
    </row>
    <row r="1215" spans="1:15" ht="15" customHeight="1" x14ac:dyDescent="0.3">
      <c r="A1215" s="7">
        <v>8209670156</v>
      </c>
      <c r="B1215" s="4" t="s">
        <v>475</v>
      </c>
      <c r="C1215" s="4" t="s">
        <v>476</v>
      </c>
      <c r="D1215" s="6">
        <v>46309.447442129604</v>
      </c>
      <c r="E1215" s="6">
        <v>46309.197407407402</v>
      </c>
      <c r="F1215" s="6">
        <v>46309</v>
      </c>
      <c r="G1215" s="5" t="s">
        <v>12</v>
      </c>
      <c r="H1215" s="5" t="s">
        <v>27</v>
      </c>
      <c r="I1215" s="5">
        <v>37</v>
      </c>
      <c r="J1215" s="10" t="s">
        <v>17</v>
      </c>
      <c r="K1215" s="1" t="s">
        <v>1507</v>
      </c>
      <c r="M1215" t="str">
        <f>+VLOOKUP(C1215,'[1]TIENDAS 2025'!$A$1:$C$143,3,0)</f>
        <v>prioridad</v>
      </c>
      <c r="O1215">
        <v>1</v>
      </c>
    </row>
    <row r="1216" spans="1:15" ht="15" customHeight="1" x14ac:dyDescent="0.3">
      <c r="A1216" s="7">
        <v>1209670179</v>
      </c>
      <c r="B1216" s="4" t="s">
        <v>475</v>
      </c>
      <c r="C1216" s="4" t="s">
        <v>476</v>
      </c>
      <c r="D1216" s="6">
        <v>46309.447453703702</v>
      </c>
      <c r="E1216" s="6">
        <v>46309.1974305556</v>
      </c>
      <c r="F1216" s="6">
        <v>46309</v>
      </c>
      <c r="G1216" s="5" t="s">
        <v>12</v>
      </c>
      <c r="H1216" s="5" t="s">
        <v>16</v>
      </c>
      <c r="I1216" s="5">
        <v>57</v>
      </c>
      <c r="J1216" s="9" t="s">
        <v>17</v>
      </c>
      <c r="K1216" s="1" t="s">
        <v>1508</v>
      </c>
      <c r="L1216" t="s">
        <v>3284</v>
      </c>
      <c r="M1216" t="str">
        <f>+VLOOKUP(C1216,'[1]TIENDAS 2025'!$A$1:$C$143,3,0)</f>
        <v>prioridad</v>
      </c>
      <c r="O1216">
        <v>1</v>
      </c>
    </row>
    <row r="1217" spans="1:15" ht="15" customHeight="1" x14ac:dyDescent="0.3">
      <c r="A1217" s="7">
        <v>1209670127</v>
      </c>
      <c r="B1217" s="4" t="s">
        <v>403</v>
      </c>
      <c r="C1217" s="4" t="s">
        <v>404</v>
      </c>
      <c r="D1217" s="6">
        <v>46309.447465277801</v>
      </c>
      <c r="E1217" s="6">
        <v>46309.197442129604</v>
      </c>
      <c r="F1217" s="6">
        <v>46309</v>
      </c>
      <c r="G1217" s="5" t="s">
        <v>12</v>
      </c>
      <c r="H1217" s="5" t="s">
        <v>29</v>
      </c>
      <c r="I1217" s="5">
        <v>34</v>
      </c>
      <c r="J1217" s="9" t="s">
        <v>17</v>
      </c>
      <c r="K1217" s="1" t="s">
        <v>1509</v>
      </c>
      <c r="L1217" t="s">
        <v>3284</v>
      </c>
      <c r="M1217" t="str">
        <f>+VLOOKUP(C1217,'[1]TIENDAS 2025'!$A$1:$C$143,3,0)</f>
        <v>prioridad</v>
      </c>
      <c r="O1217">
        <v>1</v>
      </c>
    </row>
    <row r="1218" spans="1:15" ht="15" customHeight="1" x14ac:dyDescent="0.3">
      <c r="A1218" s="7">
        <v>1209670273</v>
      </c>
      <c r="B1218" s="4" t="s">
        <v>488</v>
      </c>
      <c r="C1218" s="4" t="s">
        <v>489</v>
      </c>
      <c r="D1218" s="6">
        <v>46309.447488425903</v>
      </c>
      <c r="E1218" s="6">
        <v>46309.197453703702</v>
      </c>
      <c r="F1218" s="6">
        <v>46309</v>
      </c>
      <c r="G1218" s="5" t="s">
        <v>12</v>
      </c>
      <c r="H1218" s="5" t="s">
        <v>16</v>
      </c>
      <c r="I1218" s="5">
        <v>8</v>
      </c>
      <c r="J1218" s="9" t="s">
        <v>17</v>
      </c>
      <c r="K1218" s="1" t="s">
        <v>1510</v>
      </c>
      <c r="L1218" t="s">
        <v>3284</v>
      </c>
      <c r="M1218" t="str">
        <f>+VLOOKUP(C1218,'[1]TIENDAS 2025'!$A$1:$C$143,3,0)</f>
        <v>departamental</v>
      </c>
      <c r="O1218">
        <v>1</v>
      </c>
    </row>
    <row r="1219" spans="1:15" ht="15" customHeight="1" x14ac:dyDescent="0.3">
      <c r="A1219" s="7">
        <v>1209670225</v>
      </c>
      <c r="B1219" s="4" t="s">
        <v>271</v>
      </c>
      <c r="C1219" s="4" t="s">
        <v>272</v>
      </c>
      <c r="D1219" s="6">
        <v>46309.447500000002</v>
      </c>
      <c r="E1219" s="6">
        <v>46309.197465277801</v>
      </c>
      <c r="F1219" s="6">
        <v>46309</v>
      </c>
      <c r="G1219" s="5" t="s">
        <v>12</v>
      </c>
      <c r="H1219" s="5" t="s">
        <v>16</v>
      </c>
      <c r="I1219" s="5">
        <v>18</v>
      </c>
      <c r="J1219" s="9" t="s">
        <v>17</v>
      </c>
      <c r="K1219" s="1" t="s">
        <v>1511</v>
      </c>
      <c r="L1219" t="s">
        <v>3284</v>
      </c>
      <c r="M1219" t="str">
        <f>+VLOOKUP(C1219,'[1]TIENDAS 2025'!$A$1:$C$143,3,0)</f>
        <v>local</v>
      </c>
      <c r="O1219">
        <v>1</v>
      </c>
    </row>
    <row r="1220" spans="1:15" ht="15" customHeight="1" x14ac:dyDescent="0.3">
      <c r="A1220" s="7">
        <v>8209670241</v>
      </c>
      <c r="B1220" s="4" t="s">
        <v>551</v>
      </c>
      <c r="C1220" s="4" t="s">
        <v>552</v>
      </c>
      <c r="D1220" s="6">
        <v>46309.447511574101</v>
      </c>
      <c r="E1220" s="6">
        <v>46309.197488425903</v>
      </c>
      <c r="F1220" s="6">
        <v>46309</v>
      </c>
      <c r="G1220" s="5" t="s">
        <v>12</v>
      </c>
      <c r="H1220" s="5" t="s">
        <v>27</v>
      </c>
      <c r="I1220" s="5">
        <v>3</v>
      </c>
      <c r="J1220" s="10" t="s">
        <v>17</v>
      </c>
      <c r="K1220" s="1" t="s">
        <v>1512</v>
      </c>
      <c r="M1220" t="str">
        <f>+VLOOKUP(C1220,'[1]TIENDAS 2025'!$A$1:$C$143,3,0)</f>
        <v>nocturna</v>
      </c>
      <c r="O1220">
        <v>1</v>
      </c>
    </row>
    <row r="1221" spans="1:15" ht="15" customHeight="1" x14ac:dyDescent="0.3">
      <c r="A1221" s="7">
        <v>8209670244</v>
      </c>
      <c r="B1221" s="4" t="s">
        <v>551</v>
      </c>
      <c r="C1221" s="4" t="s">
        <v>552</v>
      </c>
      <c r="D1221" s="6">
        <v>46309.447523148097</v>
      </c>
      <c r="E1221" s="6">
        <v>46309.197500000002</v>
      </c>
      <c r="F1221" s="6">
        <v>46309</v>
      </c>
      <c r="G1221" s="5" t="s">
        <v>12</v>
      </c>
      <c r="H1221" s="5" t="s">
        <v>27</v>
      </c>
      <c r="I1221" s="5">
        <v>17</v>
      </c>
      <c r="J1221" s="10" t="s">
        <v>17</v>
      </c>
      <c r="K1221" s="1" t="s">
        <v>1513</v>
      </c>
      <c r="M1221" t="str">
        <f>+VLOOKUP(C1221,'[1]TIENDAS 2025'!$A$1:$C$143,3,0)</f>
        <v>nocturna</v>
      </c>
      <c r="O1221">
        <v>1</v>
      </c>
    </row>
    <row r="1222" spans="1:15" ht="15" customHeight="1" x14ac:dyDescent="0.3">
      <c r="A1222" s="7">
        <v>8209670113</v>
      </c>
      <c r="B1222" s="4" t="s">
        <v>403</v>
      </c>
      <c r="C1222" s="4" t="s">
        <v>404</v>
      </c>
      <c r="D1222" s="6">
        <v>46309.447534722203</v>
      </c>
      <c r="E1222" s="6">
        <v>46309.197511574101</v>
      </c>
      <c r="F1222" s="6">
        <v>46309</v>
      </c>
      <c r="G1222" s="5" t="s">
        <v>12</v>
      </c>
      <c r="H1222" s="5" t="s">
        <v>27</v>
      </c>
      <c r="I1222" s="5">
        <v>8</v>
      </c>
      <c r="J1222" s="10" t="s">
        <v>17</v>
      </c>
      <c r="K1222" s="1" t="s">
        <v>1514</v>
      </c>
      <c r="M1222" t="str">
        <f>+VLOOKUP(C1222,'[1]TIENDAS 2025'!$A$1:$C$143,3,0)</f>
        <v>prioridad</v>
      </c>
      <c r="O1222">
        <v>1</v>
      </c>
    </row>
    <row r="1223" spans="1:15" ht="15" customHeight="1" x14ac:dyDescent="0.3">
      <c r="A1223" s="7">
        <v>8209670116</v>
      </c>
      <c r="B1223" s="4" t="s">
        <v>403</v>
      </c>
      <c r="C1223" s="4" t="s">
        <v>404</v>
      </c>
      <c r="D1223" s="6">
        <v>46309.4475578704</v>
      </c>
      <c r="E1223" s="6">
        <v>46309.197523148097</v>
      </c>
      <c r="F1223" s="6">
        <v>46309</v>
      </c>
      <c r="G1223" s="5" t="s">
        <v>12</v>
      </c>
      <c r="H1223" s="5" t="s">
        <v>27</v>
      </c>
      <c r="I1223" s="5">
        <v>3</v>
      </c>
      <c r="J1223" s="10" t="s">
        <v>17</v>
      </c>
      <c r="K1223" s="1" t="s">
        <v>1515</v>
      </c>
      <c r="M1223" t="str">
        <f>+VLOOKUP(C1223,'[1]TIENDAS 2025'!$A$1:$C$143,3,0)</f>
        <v>prioridad</v>
      </c>
      <c r="O1223">
        <v>1</v>
      </c>
    </row>
    <row r="1224" spans="1:15" ht="15" customHeight="1" x14ac:dyDescent="0.3">
      <c r="A1224" s="7">
        <v>8209670118</v>
      </c>
      <c r="B1224" s="4" t="s">
        <v>403</v>
      </c>
      <c r="C1224" s="4" t="s">
        <v>404</v>
      </c>
      <c r="D1224" s="6">
        <v>46309.447569444397</v>
      </c>
      <c r="E1224" s="6">
        <v>46309.197534722203</v>
      </c>
      <c r="F1224" s="6">
        <v>46309</v>
      </c>
      <c r="G1224" s="5" t="s">
        <v>12</v>
      </c>
      <c r="H1224" s="5" t="s">
        <v>27</v>
      </c>
      <c r="I1224" s="5">
        <v>14</v>
      </c>
      <c r="J1224" s="10" t="s">
        <v>17</v>
      </c>
      <c r="K1224" s="1" t="s">
        <v>1516</v>
      </c>
      <c r="M1224" t="str">
        <f>+VLOOKUP(C1224,'[1]TIENDAS 2025'!$A$1:$C$143,3,0)</f>
        <v>prioridad</v>
      </c>
      <c r="O1224">
        <v>1</v>
      </c>
    </row>
    <row r="1225" spans="1:15" ht="15" customHeight="1" x14ac:dyDescent="0.3">
      <c r="A1225" s="7">
        <v>1209670168</v>
      </c>
      <c r="B1225" s="4" t="s">
        <v>475</v>
      </c>
      <c r="C1225" s="4" t="s">
        <v>476</v>
      </c>
      <c r="D1225" s="6">
        <v>46309.447581018503</v>
      </c>
      <c r="E1225" s="6">
        <v>46309.1975578704</v>
      </c>
      <c r="F1225" s="6">
        <v>46309</v>
      </c>
      <c r="G1225" s="5" t="s">
        <v>12</v>
      </c>
      <c r="H1225" s="5" t="s">
        <v>16</v>
      </c>
      <c r="I1225" s="5">
        <v>3</v>
      </c>
      <c r="J1225" s="9" t="s">
        <v>17</v>
      </c>
      <c r="K1225" s="1" t="s">
        <v>1517</v>
      </c>
      <c r="L1225" t="s">
        <v>3284</v>
      </c>
      <c r="M1225" t="str">
        <f>+VLOOKUP(C1225,'[1]TIENDAS 2025'!$A$1:$C$143,3,0)</f>
        <v>prioridad</v>
      </c>
      <c r="O1225">
        <v>1</v>
      </c>
    </row>
    <row r="1226" spans="1:15" ht="15" customHeight="1" x14ac:dyDescent="0.3">
      <c r="A1226" s="7">
        <v>8209670271</v>
      </c>
      <c r="B1226" s="4" t="s">
        <v>488</v>
      </c>
      <c r="C1226" s="4" t="s">
        <v>489</v>
      </c>
      <c r="D1226" s="6">
        <v>46309.447592592602</v>
      </c>
      <c r="E1226" s="6">
        <v>46309.197569444397</v>
      </c>
      <c r="F1226" s="6">
        <v>46309</v>
      </c>
      <c r="G1226" s="5" t="s">
        <v>12</v>
      </c>
      <c r="H1226" s="5" t="s">
        <v>27</v>
      </c>
      <c r="I1226" s="5">
        <v>22</v>
      </c>
      <c r="J1226" s="10" t="s">
        <v>17</v>
      </c>
      <c r="K1226" s="1" t="s">
        <v>1518</v>
      </c>
      <c r="M1226" t="str">
        <f>+VLOOKUP(C1226,'[1]TIENDAS 2025'!$A$1:$C$143,3,0)</f>
        <v>departamental</v>
      </c>
      <c r="O1226">
        <v>1</v>
      </c>
    </row>
    <row r="1227" spans="1:15" ht="15" customHeight="1" x14ac:dyDescent="0.3">
      <c r="A1227" s="7">
        <v>1209670232</v>
      </c>
      <c r="B1227" s="4" t="s">
        <v>271</v>
      </c>
      <c r="C1227" s="4" t="s">
        <v>272</v>
      </c>
      <c r="D1227" s="6">
        <v>46309.447615740697</v>
      </c>
      <c r="E1227" s="6">
        <v>46309.197581018503</v>
      </c>
      <c r="F1227" s="6">
        <v>46309</v>
      </c>
      <c r="G1227" s="5" t="s">
        <v>12</v>
      </c>
      <c r="H1227" s="5" t="s">
        <v>16</v>
      </c>
      <c r="I1227" s="5">
        <v>9</v>
      </c>
      <c r="J1227" s="9" t="s">
        <v>17</v>
      </c>
      <c r="K1227" s="1" t="s">
        <v>1519</v>
      </c>
      <c r="L1227" t="s">
        <v>3284</v>
      </c>
      <c r="M1227" t="str">
        <f>+VLOOKUP(C1227,'[1]TIENDAS 2025'!$A$1:$C$143,3,0)</f>
        <v>local</v>
      </c>
      <c r="O1227">
        <v>1</v>
      </c>
    </row>
    <row r="1228" spans="1:15" ht="15" customHeight="1" x14ac:dyDescent="0.3">
      <c r="A1228" s="7">
        <v>1209670250</v>
      </c>
      <c r="B1228" s="4" t="s">
        <v>551</v>
      </c>
      <c r="C1228" s="4" t="s">
        <v>552</v>
      </c>
      <c r="D1228" s="6">
        <v>46309.447627314803</v>
      </c>
      <c r="E1228" s="6">
        <v>46309.197592592602</v>
      </c>
      <c r="F1228" s="6">
        <v>46309</v>
      </c>
      <c r="G1228" s="5" t="s">
        <v>12</v>
      </c>
      <c r="H1228" s="5" t="s">
        <v>16</v>
      </c>
      <c r="I1228" s="5">
        <v>9</v>
      </c>
      <c r="J1228" s="9" t="s">
        <v>17</v>
      </c>
      <c r="K1228" s="1" t="s">
        <v>1520</v>
      </c>
      <c r="L1228" t="s">
        <v>3284</v>
      </c>
      <c r="M1228" t="str">
        <f>+VLOOKUP(C1228,'[1]TIENDAS 2025'!$A$1:$C$143,3,0)</f>
        <v>nocturna</v>
      </c>
      <c r="O1228">
        <v>1</v>
      </c>
    </row>
    <row r="1229" spans="1:15" ht="15" customHeight="1" x14ac:dyDescent="0.3">
      <c r="A1229" s="7">
        <v>8209670221</v>
      </c>
      <c r="B1229" s="4" t="s">
        <v>271</v>
      </c>
      <c r="C1229" s="4" t="s">
        <v>272</v>
      </c>
      <c r="D1229" s="6">
        <v>46309.447638888902</v>
      </c>
      <c r="E1229" s="6">
        <v>46309.197615740697</v>
      </c>
      <c r="F1229" s="6">
        <v>46309</v>
      </c>
      <c r="G1229" s="5" t="s">
        <v>12</v>
      </c>
      <c r="H1229" s="5" t="s">
        <v>27</v>
      </c>
      <c r="I1229" s="5">
        <v>12</v>
      </c>
      <c r="J1229" s="10" t="s">
        <v>17</v>
      </c>
      <c r="K1229" s="1" t="s">
        <v>1521</v>
      </c>
      <c r="M1229" t="str">
        <f>+VLOOKUP(C1229,'[1]TIENDAS 2025'!$A$1:$C$143,3,0)</f>
        <v>local</v>
      </c>
      <c r="O1229">
        <v>1</v>
      </c>
    </row>
    <row r="1230" spans="1:15" ht="15" customHeight="1" x14ac:dyDescent="0.3">
      <c r="A1230" s="7">
        <v>1209670252</v>
      </c>
      <c r="B1230" s="4" t="s">
        <v>551</v>
      </c>
      <c r="C1230" s="4" t="s">
        <v>552</v>
      </c>
      <c r="D1230" s="6">
        <v>46309.447650463</v>
      </c>
      <c r="E1230" s="6">
        <v>46309.197627314803</v>
      </c>
      <c r="F1230" s="6">
        <v>46309</v>
      </c>
      <c r="G1230" s="5" t="s">
        <v>12</v>
      </c>
      <c r="H1230" s="5" t="s">
        <v>27</v>
      </c>
      <c r="I1230" s="5">
        <v>38</v>
      </c>
      <c r="J1230" s="9" t="s">
        <v>17</v>
      </c>
      <c r="K1230" s="1" t="s">
        <v>1522</v>
      </c>
      <c r="L1230" t="s">
        <v>3284</v>
      </c>
      <c r="M1230" t="str">
        <f>+VLOOKUP(C1230,'[1]TIENDAS 2025'!$A$1:$C$143,3,0)</f>
        <v>nocturna</v>
      </c>
      <c r="O1230">
        <v>1</v>
      </c>
    </row>
    <row r="1231" spans="1:15" ht="15" customHeight="1" x14ac:dyDescent="0.3">
      <c r="A1231" s="7">
        <v>1209670228</v>
      </c>
      <c r="B1231" s="4" t="s">
        <v>271</v>
      </c>
      <c r="C1231" s="4" t="s">
        <v>272</v>
      </c>
      <c r="D1231" s="6">
        <v>46309.447673611103</v>
      </c>
      <c r="E1231" s="6">
        <v>46309.197638888902</v>
      </c>
      <c r="F1231" s="6">
        <v>46309</v>
      </c>
      <c r="G1231" s="5" t="s">
        <v>12</v>
      </c>
      <c r="H1231" s="5" t="s">
        <v>16</v>
      </c>
      <c r="I1231" s="5">
        <v>15</v>
      </c>
      <c r="J1231" s="9" t="s">
        <v>17</v>
      </c>
      <c r="K1231" s="1" t="s">
        <v>1523</v>
      </c>
      <c r="L1231" t="s">
        <v>3284</v>
      </c>
      <c r="M1231" t="str">
        <f>+VLOOKUP(C1231,'[1]TIENDAS 2025'!$A$1:$C$143,3,0)</f>
        <v>local</v>
      </c>
      <c r="O1231">
        <v>1</v>
      </c>
    </row>
    <row r="1232" spans="1:15" ht="15" customHeight="1" x14ac:dyDescent="0.3">
      <c r="A1232" s="7">
        <v>8209670170</v>
      </c>
      <c r="B1232" s="4" t="s">
        <v>475</v>
      </c>
      <c r="C1232" s="4" t="s">
        <v>476</v>
      </c>
      <c r="D1232" s="6">
        <v>46309.447685185201</v>
      </c>
      <c r="E1232" s="6">
        <v>46309.197650463</v>
      </c>
      <c r="F1232" s="6">
        <v>46309</v>
      </c>
      <c r="G1232" s="5" t="s">
        <v>12</v>
      </c>
      <c r="H1232" s="5" t="s">
        <v>27</v>
      </c>
      <c r="I1232" s="5">
        <v>6</v>
      </c>
      <c r="J1232" s="10" t="s">
        <v>17</v>
      </c>
      <c r="K1232" s="1" t="s">
        <v>1524</v>
      </c>
      <c r="M1232" t="str">
        <f>+VLOOKUP(C1232,'[1]TIENDAS 2025'!$A$1:$C$143,3,0)</f>
        <v>prioridad</v>
      </c>
      <c r="O1232">
        <v>1</v>
      </c>
    </row>
    <row r="1233" spans="1:15" ht="15" customHeight="1" x14ac:dyDescent="0.3">
      <c r="A1233" s="7">
        <v>1209670125</v>
      </c>
      <c r="B1233" s="4" t="s">
        <v>403</v>
      </c>
      <c r="C1233" s="4" t="s">
        <v>404</v>
      </c>
      <c r="D1233" s="6">
        <v>46309.4476967593</v>
      </c>
      <c r="E1233" s="6">
        <v>46309.197673611103</v>
      </c>
      <c r="F1233" s="6">
        <v>46309</v>
      </c>
      <c r="G1233" s="5" t="s">
        <v>12</v>
      </c>
      <c r="H1233" s="5" t="s">
        <v>16</v>
      </c>
      <c r="I1233" s="5">
        <v>34</v>
      </c>
      <c r="J1233" s="9" t="s">
        <v>17</v>
      </c>
      <c r="K1233" s="1" t="s">
        <v>1525</v>
      </c>
      <c r="L1233" t="s">
        <v>3284</v>
      </c>
      <c r="M1233" t="str">
        <f>+VLOOKUP(C1233,'[1]TIENDAS 2025'!$A$1:$C$143,3,0)</f>
        <v>prioridad</v>
      </c>
      <c r="O1233">
        <v>1</v>
      </c>
    </row>
    <row r="1234" spans="1:15" ht="15" customHeight="1" x14ac:dyDescent="0.3">
      <c r="A1234" s="7">
        <v>8209670180</v>
      </c>
      <c r="B1234" s="4" t="s">
        <v>548</v>
      </c>
      <c r="C1234" s="4" t="s">
        <v>549</v>
      </c>
      <c r="D1234" s="6">
        <v>46309.447708333297</v>
      </c>
      <c r="E1234" s="6">
        <v>46309.197685185201</v>
      </c>
      <c r="F1234" s="6">
        <v>46309</v>
      </c>
      <c r="G1234" s="5" t="s">
        <v>12</v>
      </c>
      <c r="H1234" s="5" t="s">
        <v>27</v>
      </c>
      <c r="I1234" s="5">
        <v>1</v>
      </c>
      <c r="J1234" s="10" t="s">
        <v>17</v>
      </c>
      <c r="K1234" s="1" t="s">
        <v>1526</v>
      </c>
      <c r="M1234" t="str">
        <f>+VLOOKUP(C1234,'[1]TIENDAS 2025'!$A$1:$C$143,3,0)</f>
        <v>departamental</v>
      </c>
      <c r="O1234">
        <v>1</v>
      </c>
    </row>
    <row r="1235" spans="1:15" ht="15" customHeight="1" x14ac:dyDescent="0.3">
      <c r="A1235" s="7">
        <v>1209670277</v>
      </c>
      <c r="B1235" s="4" t="s">
        <v>488</v>
      </c>
      <c r="C1235" s="4" t="s">
        <v>489</v>
      </c>
      <c r="D1235" s="6">
        <v>46309.447719907403</v>
      </c>
      <c r="E1235" s="6">
        <v>46309.1976967593</v>
      </c>
      <c r="F1235" s="6">
        <v>46309</v>
      </c>
      <c r="G1235" s="5" t="s">
        <v>12</v>
      </c>
      <c r="H1235" s="5" t="s">
        <v>29</v>
      </c>
      <c r="I1235" s="5">
        <v>19</v>
      </c>
      <c r="J1235" s="9" t="s">
        <v>17</v>
      </c>
      <c r="K1235" s="1" t="s">
        <v>1527</v>
      </c>
      <c r="L1235" t="s">
        <v>3284</v>
      </c>
      <c r="M1235" t="str">
        <f>+VLOOKUP(C1235,'[1]TIENDAS 2025'!$A$1:$C$143,3,0)</f>
        <v>departamental</v>
      </c>
      <c r="O1235">
        <v>1</v>
      </c>
    </row>
    <row r="1236" spans="1:15" ht="15" customHeight="1" x14ac:dyDescent="0.3">
      <c r="A1236" s="7">
        <v>1209670227</v>
      </c>
      <c r="B1236" s="4" t="s">
        <v>271</v>
      </c>
      <c r="C1236" s="4" t="s">
        <v>272</v>
      </c>
      <c r="D1236" s="6">
        <v>46309.4477430556</v>
      </c>
      <c r="E1236" s="6">
        <v>46309.197708333297</v>
      </c>
      <c r="F1236" s="6">
        <v>46309</v>
      </c>
      <c r="G1236" s="5" t="s">
        <v>12</v>
      </c>
      <c r="H1236" s="5" t="s">
        <v>16</v>
      </c>
      <c r="I1236" s="5">
        <v>16</v>
      </c>
      <c r="J1236" s="9" t="s">
        <v>17</v>
      </c>
      <c r="K1236" s="1" t="s">
        <v>1528</v>
      </c>
      <c r="L1236" t="s">
        <v>3284</v>
      </c>
      <c r="M1236" t="str">
        <f>+VLOOKUP(C1236,'[1]TIENDAS 2025'!$A$1:$C$143,3,0)</f>
        <v>local</v>
      </c>
      <c r="O1236">
        <v>1</v>
      </c>
    </row>
    <row r="1237" spans="1:15" ht="15" customHeight="1" x14ac:dyDescent="0.3">
      <c r="A1237" s="7">
        <v>8209670183</v>
      </c>
      <c r="B1237" s="4" t="s">
        <v>548</v>
      </c>
      <c r="C1237" s="4" t="s">
        <v>549</v>
      </c>
      <c r="D1237" s="6">
        <v>46309.447754629597</v>
      </c>
      <c r="E1237" s="6">
        <v>46309.197731481501</v>
      </c>
      <c r="F1237" s="6">
        <v>46309</v>
      </c>
      <c r="G1237" s="5" t="s">
        <v>12</v>
      </c>
      <c r="H1237" s="5" t="s">
        <v>27</v>
      </c>
      <c r="I1237" s="5">
        <v>46</v>
      </c>
      <c r="J1237" s="10" t="s">
        <v>17</v>
      </c>
      <c r="K1237" s="1" t="s">
        <v>1529</v>
      </c>
      <c r="M1237" t="str">
        <f>+VLOOKUP(C1237,'[1]TIENDAS 2025'!$A$1:$C$143,3,0)</f>
        <v>departamental</v>
      </c>
      <c r="O1237">
        <v>1</v>
      </c>
    </row>
    <row r="1238" spans="1:15" ht="15" customHeight="1" x14ac:dyDescent="0.3">
      <c r="A1238" s="7">
        <v>1209670187</v>
      </c>
      <c r="B1238" s="4" t="s">
        <v>548</v>
      </c>
      <c r="C1238" s="4" t="s">
        <v>549</v>
      </c>
      <c r="D1238" s="6">
        <v>46309.447766203702</v>
      </c>
      <c r="E1238" s="6">
        <v>46309.1977430556</v>
      </c>
      <c r="F1238" s="6">
        <v>46309</v>
      </c>
      <c r="G1238" s="5" t="s">
        <v>12</v>
      </c>
      <c r="H1238" s="5" t="s">
        <v>16</v>
      </c>
      <c r="I1238" s="5">
        <v>15</v>
      </c>
      <c r="J1238" s="9" t="s">
        <v>17</v>
      </c>
      <c r="K1238" s="1" t="s">
        <v>1530</v>
      </c>
      <c r="L1238" t="s">
        <v>3284</v>
      </c>
      <c r="M1238" t="str">
        <f>+VLOOKUP(C1238,'[1]TIENDAS 2025'!$A$1:$C$143,3,0)</f>
        <v>departamental</v>
      </c>
      <c r="O1238">
        <v>1</v>
      </c>
    </row>
    <row r="1239" spans="1:15" ht="15" customHeight="1" x14ac:dyDescent="0.3">
      <c r="A1239" s="7">
        <v>1209670172</v>
      </c>
      <c r="B1239" s="4" t="s">
        <v>475</v>
      </c>
      <c r="C1239" s="4" t="s">
        <v>476</v>
      </c>
      <c r="D1239" s="6">
        <v>46309.447777777801</v>
      </c>
      <c r="E1239" s="6">
        <v>46309.197754629597</v>
      </c>
      <c r="F1239" s="6">
        <v>46309</v>
      </c>
      <c r="G1239" s="5" t="s">
        <v>12</v>
      </c>
      <c r="H1239" s="5" t="s">
        <v>29</v>
      </c>
      <c r="I1239" s="5">
        <v>8</v>
      </c>
      <c r="J1239" s="9" t="s">
        <v>17</v>
      </c>
      <c r="K1239" s="1" t="s">
        <v>1531</v>
      </c>
      <c r="L1239" t="s">
        <v>3284</v>
      </c>
      <c r="M1239" t="str">
        <f>+VLOOKUP(C1239,'[1]TIENDAS 2025'!$A$1:$C$143,3,0)</f>
        <v>prioridad</v>
      </c>
      <c r="O1239">
        <v>1</v>
      </c>
    </row>
    <row r="1240" spans="1:15" ht="15" customHeight="1" x14ac:dyDescent="0.3">
      <c r="A1240" s="7">
        <v>8209670157</v>
      </c>
      <c r="B1240" s="4" t="s">
        <v>475</v>
      </c>
      <c r="C1240" s="4" t="s">
        <v>476</v>
      </c>
      <c r="D1240" s="6">
        <v>46309.447800925896</v>
      </c>
      <c r="E1240" s="6">
        <v>46309.197766203702</v>
      </c>
      <c r="F1240" s="6">
        <v>46309</v>
      </c>
      <c r="G1240" s="5" t="s">
        <v>12</v>
      </c>
      <c r="H1240" s="5" t="s">
        <v>27</v>
      </c>
      <c r="I1240" s="5">
        <v>28</v>
      </c>
      <c r="J1240" s="10" t="s">
        <v>17</v>
      </c>
      <c r="K1240" s="1" t="s">
        <v>1532</v>
      </c>
      <c r="M1240" t="str">
        <f>+VLOOKUP(C1240,'[1]TIENDAS 2025'!$A$1:$C$143,3,0)</f>
        <v>prioridad</v>
      </c>
      <c r="O1240">
        <v>1</v>
      </c>
    </row>
    <row r="1241" spans="1:15" ht="15" customHeight="1" x14ac:dyDescent="0.3">
      <c r="A1241" s="7">
        <v>1209670159</v>
      </c>
      <c r="B1241" s="4" t="s">
        <v>475</v>
      </c>
      <c r="C1241" s="4" t="s">
        <v>476</v>
      </c>
      <c r="D1241" s="6">
        <v>46309.447812500002</v>
      </c>
      <c r="E1241" s="6">
        <v>46309.197789351798</v>
      </c>
      <c r="F1241" s="6">
        <v>46309</v>
      </c>
      <c r="G1241" s="5" t="s">
        <v>12</v>
      </c>
      <c r="H1241" s="5" t="s">
        <v>29</v>
      </c>
      <c r="I1241" s="5">
        <v>66</v>
      </c>
      <c r="J1241" s="9" t="s">
        <v>17</v>
      </c>
      <c r="K1241" s="1" t="s">
        <v>1533</v>
      </c>
      <c r="L1241" t="s">
        <v>3284</v>
      </c>
      <c r="M1241" t="str">
        <f>+VLOOKUP(C1241,'[1]TIENDAS 2025'!$A$1:$C$143,3,0)</f>
        <v>prioridad</v>
      </c>
      <c r="O1241">
        <v>1</v>
      </c>
    </row>
    <row r="1242" spans="1:15" ht="15" customHeight="1" x14ac:dyDescent="0.3">
      <c r="A1242" s="7">
        <v>8209670269</v>
      </c>
      <c r="B1242" s="4" t="s">
        <v>488</v>
      </c>
      <c r="C1242" s="4" t="s">
        <v>489</v>
      </c>
      <c r="D1242" s="6">
        <v>46309.447835648098</v>
      </c>
      <c r="E1242" s="6">
        <v>46309.197812500002</v>
      </c>
      <c r="F1242" s="6">
        <v>46309</v>
      </c>
      <c r="G1242" s="5" t="s">
        <v>12</v>
      </c>
      <c r="H1242" s="5" t="s">
        <v>27</v>
      </c>
      <c r="I1242" s="5">
        <v>10</v>
      </c>
      <c r="J1242" s="10" t="s">
        <v>17</v>
      </c>
      <c r="K1242" s="1" t="s">
        <v>1534</v>
      </c>
      <c r="M1242" t="str">
        <f>+VLOOKUP(C1242,'[1]TIENDAS 2025'!$A$1:$C$143,3,0)</f>
        <v>departamental</v>
      </c>
      <c r="O1242">
        <v>1</v>
      </c>
    </row>
    <row r="1243" spans="1:15" ht="15" customHeight="1" x14ac:dyDescent="0.3">
      <c r="A1243" s="7">
        <v>8209670181</v>
      </c>
      <c r="B1243" s="4" t="s">
        <v>548</v>
      </c>
      <c r="C1243" s="4" t="s">
        <v>549</v>
      </c>
      <c r="D1243" s="6">
        <v>46309.447835648098</v>
      </c>
      <c r="E1243" s="6">
        <v>46309.197800925896</v>
      </c>
      <c r="F1243" s="6">
        <v>46309</v>
      </c>
      <c r="G1243" s="5" t="s">
        <v>12</v>
      </c>
      <c r="H1243" s="5" t="s">
        <v>27</v>
      </c>
      <c r="I1243" s="5">
        <v>5</v>
      </c>
      <c r="J1243" s="10" t="s">
        <v>17</v>
      </c>
      <c r="K1243" s="1" t="s">
        <v>1535</v>
      </c>
      <c r="M1243" t="str">
        <f>+VLOOKUP(C1243,'[1]TIENDAS 2025'!$A$1:$C$143,3,0)</f>
        <v>departamental</v>
      </c>
      <c r="O1243">
        <v>1</v>
      </c>
    </row>
    <row r="1244" spans="1:15" ht="15" customHeight="1" x14ac:dyDescent="0.3">
      <c r="A1244" s="7">
        <v>1209670283</v>
      </c>
      <c r="B1244" s="4" t="s">
        <v>488</v>
      </c>
      <c r="C1244" s="4" t="s">
        <v>489</v>
      </c>
      <c r="D1244" s="6">
        <v>46309.447858796302</v>
      </c>
      <c r="E1244" s="6">
        <v>46309.197824074101</v>
      </c>
      <c r="F1244" s="6">
        <v>46309</v>
      </c>
      <c r="G1244" s="5" t="s">
        <v>12</v>
      </c>
      <c r="H1244" s="5" t="s">
        <v>27</v>
      </c>
      <c r="I1244" s="5">
        <v>17</v>
      </c>
      <c r="J1244" s="9" t="s">
        <v>17</v>
      </c>
      <c r="K1244" s="1" t="s">
        <v>1536</v>
      </c>
      <c r="L1244" t="s">
        <v>3284</v>
      </c>
      <c r="M1244" t="str">
        <f>+VLOOKUP(C1244,'[1]TIENDAS 2025'!$A$1:$C$143,3,0)</f>
        <v>departamental</v>
      </c>
      <c r="O1244">
        <v>1</v>
      </c>
    </row>
    <row r="1245" spans="1:15" ht="15" customHeight="1" x14ac:dyDescent="0.3">
      <c r="A1245" s="7">
        <v>1209670274</v>
      </c>
      <c r="B1245" s="4" t="s">
        <v>488</v>
      </c>
      <c r="C1245" s="4" t="s">
        <v>489</v>
      </c>
      <c r="D1245" s="6">
        <v>46309.447870370401</v>
      </c>
      <c r="E1245" s="6">
        <v>46309.197847222204</v>
      </c>
      <c r="F1245" s="6">
        <v>46309</v>
      </c>
      <c r="G1245" s="5" t="s">
        <v>12</v>
      </c>
      <c r="H1245" s="5" t="s">
        <v>16</v>
      </c>
      <c r="I1245" s="5">
        <v>8</v>
      </c>
      <c r="J1245" s="9" t="s">
        <v>17</v>
      </c>
      <c r="K1245" s="1" t="s">
        <v>1537</v>
      </c>
      <c r="L1245" t="s">
        <v>3284</v>
      </c>
      <c r="M1245" t="str">
        <f>+VLOOKUP(C1245,'[1]TIENDAS 2025'!$A$1:$C$143,3,0)</f>
        <v>departamental</v>
      </c>
      <c r="O1245">
        <v>1</v>
      </c>
    </row>
    <row r="1246" spans="1:15" ht="15" customHeight="1" x14ac:dyDescent="0.3">
      <c r="A1246" s="7">
        <v>8209670231</v>
      </c>
      <c r="B1246" s="4" t="s">
        <v>271</v>
      </c>
      <c r="C1246" s="4" t="s">
        <v>272</v>
      </c>
      <c r="D1246" s="6">
        <v>46309.447893518503</v>
      </c>
      <c r="E1246" s="6">
        <v>46309.197858796302</v>
      </c>
      <c r="F1246" s="6">
        <v>46309</v>
      </c>
      <c r="G1246" s="5" t="s">
        <v>12</v>
      </c>
      <c r="H1246" s="5" t="s">
        <v>27</v>
      </c>
      <c r="I1246" s="5">
        <v>3</v>
      </c>
      <c r="J1246" s="10" t="s">
        <v>17</v>
      </c>
      <c r="K1246" s="1" t="s">
        <v>1538</v>
      </c>
      <c r="M1246" t="str">
        <f>+VLOOKUP(C1246,'[1]TIENDAS 2025'!$A$1:$C$143,3,0)</f>
        <v>local</v>
      </c>
      <c r="O1246">
        <v>1</v>
      </c>
    </row>
    <row r="1247" spans="1:15" ht="15" customHeight="1" x14ac:dyDescent="0.3">
      <c r="A1247" s="7">
        <v>1209670190</v>
      </c>
      <c r="B1247" s="4" t="s">
        <v>548</v>
      </c>
      <c r="C1247" s="4" t="s">
        <v>549</v>
      </c>
      <c r="D1247" s="6">
        <v>46309.447905092602</v>
      </c>
      <c r="E1247" s="6">
        <v>46309.197870370401</v>
      </c>
      <c r="F1247" s="6">
        <v>46309</v>
      </c>
      <c r="G1247" s="5" t="s">
        <v>12</v>
      </c>
      <c r="H1247" s="5" t="s">
        <v>16</v>
      </c>
      <c r="I1247" s="5">
        <v>27</v>
      </c>
      <c r="J1247" s="9" t="s">
        <v>17</v>
      </c>
      <c r="K1247" s="1" t="s">
        <v>1539</v>
      </c>
      <c r="L1247" t="s">
        <v>3284</v>
      </c>
      <c r="M1247" t="str">
        <f>+VLOOKUP(C1247,'[1]TIENDAS 2025'!$A$1:$C$143,3,0)</f>
        <v>departamental</v>
      </c>
      <c r="O1247">
        <v>1</v>
      </c>
    </row>
    <row r="1248" spans="1:15" ht="15" customHeight="1" x14ac:dyDescent="0.3">
      <c r="A1248" s="7">
        <v>1209670192</v>
      </c>
      <c r="B1248" s="4" t="s">
        <v>548</v>
      </c>
      <c r="C1248" s="4" t="s">
        <v>549</v>
      </c>
      <c r="D1248" s="6">
        <v>46309.447916666701</v>
      </c>
      <c r="E1248" s="6">
        <v>46309.197881944398</v>
      </c>
      <c r="F1248" s="6">
        <v>46309</v>
      </c>
      <c r="G1248" s="5" t="s">
        <v>12</v>
      </c>
      <c r="H1248" s="5" t="s">
        <v>16</v>
      </c>
      <c r="I1248" s="5">
        <v>29</v>
      </c>
      <c r="J1248" s="9" t="s">
        <v>17</v>
      </c>
      <c r="K1248" s="1" t="s">
        <v>1540</v>
      </c>
      <c r="L1248" t="s">
        <v>3284</v>
      </c>
      <c r="M1248" t="str">
        <f>+VLOOKUP(C1248,'[1]TIENDAS 2025'!$A$1:$C$143,3,0)</f>
        <v>departamental</v>
      </c>
      <c r="O1248">
        <v>1</v>
      </c>
    </row>
    <row r="1249" spans="1:15" ht="15" customHeight="1" x14ac:dyDescent="0.3">
      <c r="A1249" s="7">
        <v>8209670240</v>
      </c>
      <c r="B1249" s="4" t="s">
        <v>551</v>
      </c>
      <c r="C1249" s="4" t="s">
        <v>552</v>
      </c>
      <c r="D1249" s="6">
        <v>46309.447928240697</v>
      </c>
      <c r="E1249" s="6">
        <v>46309.197905092602</v>
      </c>
      <c r="F1249" s="6">
        <v>46309</v>
      </c>
      <c r="G1249" s="5" t="s">
        <v>12</v>
      </c>
      <c r="H1249" s="5" t="s">
        <v>27</v>
      </c>
      <c r="I1249" s="5">
        <v>4</v>
      </c>
      <c r="J1249" s="10" t="s">
        <v>17</v>
      </c>
      <c r="K1249" s="1" t="s">
        <v>1541</v>
      </c>
      <c r="M1249" t="str">
        <f>+VLOOKUP(C1249,'[1]TIENDAS 2025'!$A$1:$C$143,3,0)</f>
        <v>nocturna</v>
      </c>
      <c r="O1249">
        <v>1</v>
      </c>
    </row>
    <row r="1250" spans="1:15" ht="15" customHeight="1" x14ac:dyDescent="0.3">
      <c r="A1250" s="7">
        <v>1209670193</v>
      </c>
      <c r="B1250" s="4" t="s">
        <v>548</v>
      </c>
      <c r="C1250" s="4" t="s">
        <v>549</v>
      </c>
      <c r="D1250" s="6">
        <v>46309.447939814803</v>
      </c>
      <c r="E1250" s="6">
        <v>46309.197916666701</v>
      </c>
      <c r="F1250" s="6">
        <v>46309</v>
      </c>
      <c r="G1250" s="5" t="s">
        <v>12</v>
      </c>
      <c r="H1250" s="5" t="s">
        <v>27</v>
      </c>
      <c r="I1250" s="5">
        <v>40</v>
      </c>
      <c r="J1250" s="9" t="s">
        <v>17</v>
      </c>
      <c r="K1250" s="1" t="s">
        <v>1542</v>
      </c>
      <c r="L1250" t="s">
        <v>3284</v>
      </c>
      <c r="M1250" t="str">
        <f>+VLOOKUP(C1250,'[1]TIENDAS 2025'!$A$1:$C$143,3,0)</f>
        <v>departamental</v>
      </c>
      <c r="O1250">
        <v>1</v>
      </c>
    </row>
    <row r="1251" spans="1:15" ht="15" customHeight="1" x14ac:dyDescent="0.3">
      <c r="A1251" s="7">
        <v>8209670268</v>
      </c>
      <c r="B1251" s="4" t="s">
        <v>488</v>
      </c>
      <c r="C1251" s="4" t="s">
        <v>489</v>
      </c>
      <c r="D1251" s="6">
        <v>46309.447962963</v>
      </c>
      <c r="E1251" s="6">
        <v>46309.197928240697</v>
      </c>
      <c r="F1251" s="6">
        <v>46309</v>
      </c>
      <c r="G1251" s="5" t="s">
        <v>12</v>
      </c>
      <c r="H1251" s="5" t="s">
        <v>27</v>
      </c>
      <c r="I1251" s="5">
        <v>3</v>
      </c>
      <c r="J1251" s="10" t="s">
        <v>17</v>
      </c>
      <c r="K1251" s="1" t="s">
        <v>1543</v>
      </c>
      <c r="M1251" t="str">
        <f>+VLOOKUP(C1251,'[1]TIENDAS 2025'!$A$1:$C$143,3,0)</f>
        <v>departamental</v>
      </c>
      <c r="O1251">
        <v>1</v>
      </c>
    </row>
    <row r="1252" spans="1:15" ht="15" customHeight="1" x14ac:dyDescent="0.3">
      <c r="A1252" s="7">
        <v>1209670185</v>
      </c>
      <c r="B1252" s="4" t="s">
        <v>548</v>
      </c>
      <c r="C1252" s="4" t="s">
        <v>549</v>
      </c>
      <c r="D1252" s="6">
        <v>46309.447974536997</v>
      </c>
      <c r="E1252" s="6">
        <v>46309.197939814803</v>
      </c>
      <c r="F1252" s="6">
        <v>46309</v>
      </c>
      <c r="G1252" s="5" t="s">
        <v>12</v>
      </c>
      <c r="H1252" s="5" t="s">
        <v>29</v>
      </c>
      <c r="I1252" s="5">
        <v>10</v>
      </c>
      <c r="J1252" s="9" t="s">
        <v>17</v>
      </c>
      <c r="K1252" s="1" t="s">
        <v>1544</v>
      </c>
      <c r="L1252" t="s">
        <v>3284</v>
      </c>
      <c r="M1252" t="str">
        <f>+VLOOKUP(C1252,'[1]TIENDAS 2025'!$A$1:$C$143,3,0)</f>
        <v>departamental</v>
      </c>
      <c r="O1252">
        <v>1</v>
      </c>
    </row>
    <row r="1253" spans="1:15" ht="15" customHeight="1" x14ac:dyDescent="0.3">
      <c r="A1253" s="7">
        <v>8209670114</v>
      </c>
      <c r="B1253" s="4" t="s">
        <v>403</v>
      </c>
      <c r="C1253" s="4" t="s">
        <v>404</v>
      </c>
      <c r="D1253" s="6">
        <v>46309.447986111103</v>
      </c>
      <c r="E1253" s="6">
        <v>46309.197962963</v>
      </c>
      <c r="F1253" s="6">
        <v>46309</v>
      </c>
      <c r="G1253" s="5" t="s">
        <v>12</v>
      </c>
      <c r="H1253" s="5" t="s">
        <v>27</v>
      </c>
      <c r="I1253" s="5">
        <v>9</v>
      </c>
      <c r="J1253" s="10" t="s">
        <v>17</v>
      </c>
      <c r="K1253" s="1" t="s">
        <v>1545</v>
      </c>
      <c r="M1253" t="str">
        <f>+VLOOKUP(C1253,'[1]TIENDAS 2025'!$A$1:$C$143,3,0)</f>
        <v>prioridad</v>
      </c>
      <c r="O1253">
        <v>1</v>
      </c>
    </row>
    <row r="1254" spans="1:15" ht="15" customHeight="1" x14ac:dyDescent="0.3">
      <c r="A1254" s="7">
        <v>8209670117</v>
      </c>
      <c r="B1254" s="4" t="s">
        <v>403</v>
      </c>
      <c r="C1254" s="4" t="s">
        <v>404</v>
      </c>
      <c r="D1254" s="6">
        <v>46309.447997685202</v>
      </c>
      <c r="E1254" s="6">
        <v>46309.197974536997</v>
      </c>
      <c r="F1254" s="6">
        <v>46309</v>
      </c>
      <c r="G1254" s="5" t="s">
        <v>12</v>
      </c>
      <c r="H1254" s="5" t="s">
        <v>27</v>
      </c>
      <c r="I1254" s="5">
        <v>6</v>
      </c>
      <c r="J1254" s="10" t="s">
        <v>17</v>
      </c>
      <c r="K1254" s="1" t="s">
        <v>1546</v>
      </c>
      <c r="M1254" t="str">
        <f>+VLOOKUP(C1254,'[1]TIENDAS 2025'!$A$1:$C$143,3,0)</f>
        <v>prioridad</v>
      </c>
      <c r="O1254">
        <v>1</v>
      </c>
    </row>
    <row r="1255" spans="1:15" ht="15" customHeight="1" x14ac:dyDescent="0.3">
      <c r="A1255" s="7">
        <v>1209670188</v>
      </c>
      <c r="B1255" s="4" t="s">
        <v>548</v>
      </c>
      <c r="C1255" s="4" t="s">
        <v>549</v>
      </c>
      <c r="D1255" s="6">
        <v>46309.448020833297</v>
      </c>
      <c r="E1255" s="6">
        <v>46309.197986111103</v>
      </c>
      <c r="F1255" s="6">
        <v>46309</v>
      </c>
      <c r="G1255" s="5" t="s">
        <v>12</v>
      </c>
      <c r="H1255" s="5" t="s">
        <v>16</v>
      </c>
      <c r="I1255" s="5">
        <v>10</v>
      </c>
      <c r="J1255" s="9" t="s">
        <v>17</v>
      </c>
      <c r="K1255" s="1" t="s">
        <v>1547</v>
      </c>
      <c r="L1255" t="s">
        <v>3284</v>
      </c>
      <c r="M1255" t="str">
        <f>+VLOOKUP(C1255,'[1]TIENDAS 2025'!$A$1:$C$143,3,0)</f>
        <v>departamental</v>
      </c>
      <c r="O1255">
        <v>1</v>
      </c>
    </row>
    <row r="1256" spans="1:15" ht="15" customHeight="1" x14ac:dyDescent="0.3">
      <c r="A1256" s="7">
        <v>1209670121</v>
      </c>
      <c r="B1256" s="4" t="s">
        <v>403</v>
      </c>
      <c r="C1256" s="4" t="s">
        <v>404</v>
      </c>
      <c r="D1256" s="6">
        <v>46309.448032407403</v>
      </c>
      <c r="E1256" s="6">
        <v>46309.197997685202</v>
      </c>
      <c r="F1256" s="6">
        <v>46309</v>
      </c>
      <c r="G1256" s="5" t="s">
        <v>12</v>
      </c>
      <c r="H1256" s="5" t="s">
        <v>29</v>
      </c>
      <c r="I1256" s="5">
        <v>12</v>
      </c>
      <c r="J1256" s="9" t="s">
        <v>17</v>
      </c>
      <c r="K1256" s="1" t="s">
        <v>1548</v>
      </c>
      <c r="L1256" t="s">
        <v>3284</v>
      </c>
      <c r="M1256" t="str">
        <f>+VLOOKUP(C1256,'[1]TIENDAS 2025'!$A$1:$C$143,3,0)</f>
        <v>prioridad</v>
      </c>
      <c r="O1256">
        <v>1</v>
      </c>
    </row>
    <row r="1257" spans="1:15" ht="15" customHeight="1" x14ac:dyDescent="0.3">
      <c r="A1257" s="7">
        <v>1209670123</v>
      </c>
      <c r="B1257" s="4" t="s">
        <v>403</v>
      </c>
      <c r="C1257" s="4" t="s">
        <v>404</v>
      </c>
      <c r="D1257" s="6">
        <v>46309.4480555556</v>
      </c>
      <c r="E1257" s="6">
        <v>46309.198020833297</v>
      </c>
      <c r="F1257" s="6">
        <v>46309</v>
      </c>
      <c r="G1257" s="5" t="s">
        <v>12</v>
      </c>
      <c r="H1257" s="5" t="s">
        <v>29</v>
      </c>
      <c r="I1257" s="5">
        <v>13</v>
      </c>
      <c r="J1257" s="9" t="s">
        <v>17</v>
      </c>
      <c r="K1257" s="1" t="s">
        <v>1549</v>
      </c>
      <c r="L1257" t="s">
        <v>3284</v>
      </c>
      <c r="M1257" t="str">
        <f>+VLOOKUP(C1257,'[1]TIENDAS 2025'!$A$1:$C$143,3,0)</f>
        <v>prioridad</v>
      </c>
      <c r="O1257">
        <v>1</v>
      </c>
    </row>
    <row r="1258" spans="1:15" ht="15" customHeight="1" x14ac:dyDescent="0.3">
      <c r="A1258" s="7">
        <v>8209670153</v>
      </c>
      <c r="B1258" s="4" t="s">
        <v>475</v>
      </c>
      <c r="C1258" s="4" t="s">
        <v>476</v>
      </c>
      <c r="D1258" s="6">
        <v>46309.4480555556</v>
      </c>
      <c r="E1258" s="6">
        <v>46309.198032407403</v>
      </c>
      <c r="F1258" s="6">
        <v>46309</v>
      </c>
      <c r="G1258" s="5" t="s">
        <v>12</v>
      </c>
      <c r="H1258" s="5" t="s">
        <v>27</v>
      </c>
      <c r="I1258" s="5">
        <v>1</v>
      </c>
      <c r="J1258" s="10" t="s">
        <v>17</v>
      </c>
      <c r="K1258" s="1" t="s">
        <v>1550</v>
      </c>
      <c r="M1258" t="str">
        <f>+VLOOKUP(C1258,'[1]TIENDAS 2025'!$A$1:$C$143,3,0)</f>
        <v>prioridad</v>
      </c>
      <c r="O1258">
        <v>1</v>
      </c>
    </row>
    <row r="1259" spans="1:15" ht="15" customHeight="1" x14ac:dyDescent="0.3">
      <c r="A1259" s="7">
        <v>1209670196</v>
      </c>
      <c r="B1259" s="4" t="s">
        <v>548</v>
      </c>
      <c r="C1259" s="4" t="s">
        <v>549</v>
      </c>
      <c r="D1259" s="6">
        <v>46309.448078703703</v>
      </c>
      <c r="E1259" s="6">
        <v>46309.198043981502</v>
      </c>
      <c r="F1259" s="6">
        <v>46309</v>
      </c>
      <c r="G1259" s="5" t="s">
        <v>12</v>
      </c>
      <c r="H1259" s="5" t="s">
        <v>29</v>
      </c>
      <c r="I1259" s="5">
        <v>52</v>
      </c>
      <c r="J1259" s="9" t="s">
        <v>17</v>
      </c>
      <c r="K1259" s="1" t="s">
        <v>1551</v>
      </c>
      <c r="L1259" t="s">
        <v>3284</v>
      </c>
      <c r="M1259" t="str">
        <f>+VLOOKUP(C1259,'[1]TIENDAS 2025'!$A$1:$C$143,3,0)</f>
        <v>departamental</v>
      </c>
      <c r="O1259">
        <v>1</v>
      </c>
    </row>
    <row r="1260" spans="1:15" ht="15" customHeight="1" x14ac:dyDescent="0.3">
      <c r="A1260" s="7">
        <v>1209670275</v>
      </c>
      <c r="B1260" s="4" t="s">
        <v>488</v>
      </c>
      <c r="C1260" s="4" t="s">
        <v>489</v>
      </c>
      <c r="D1260" s="6">
        <v>46309.448090277801</v>
      </c>
      <c r="E1260" s="6">
        <v>46309.198067129597</v>
      </c>
      <c r="F1260" s="6">
        <v>46309</v>
      </c>
      <c r="G1260" s="5" t="s">
        <v>12</v>
      </c>
      <c r="H1260" s="5" t="s">
        <v>16</v>
      </c>
      <c r="I1260" s="5">
        <v>8</v>
      </c>
      <c r="J1260" s="9" t="s">
        <v>17</v>
      </c>
      <c r="K1260" s="1" t="s">
        <v>1552</v>
      </c>
      <c r="L1260" t="s">
        <v>3284</v>
      </c>
      <c r="M1260" t="str">
        <f>+VLOOKUP(C1260,'[1]TIENDAS 2025'!$A$1:$C$143,3,0)</f>
        <v>departamental</v>
      </c>
      <c r="O1260">
        <v>1</v>
      </c>
    </row>
    <row r="1261" spans="1:15" ht="15" customHeight="1" x14ac:dyDescent="0.3">
      <c r="A1261" s="7">
        <v>1209670224</v>
      </c>
      <c r="B1261" s="4" t="s">
        <v>271</v>
      </c>
      <c r="C1261" s="4" t="s">
        <v>272</v>
      </c>
      <c r="D1261" s="6">
        <v>46309.448101851798</v>
      </c>
      <c r="E1261" s="6">
        <v>46309.198078703703</v>
      </c>
      <c r="F1261" s="6">
        <v>46309</v>
      </c>
      <c r="G1261" s="5" t="s">
        <v>12</v>
      </c>
      <c r="H1261" s="5" t="s">
        <v>16</v>
      </c>
      <c r="I1261" s="5">
        <v>3</v>
      </c>
      <c r="J1261" s="9" t="s">
        <v>17</v>
      </c>
      <c r="K1261" s="1" t="s">
        <v>1553</v>
      </c>
      <c r="L1261" t="s">
        <v>3284</v>
      </c>
      <c r="M1261" t="str">
        <f>+VLOOKUP(C1261,'[1]TIENDAS 2025'!$A$1:$C$143,3,0)</f>
        <v>local</v>
      </c>
      <c r="O1261">
        <v>1</v>
      </c>
    </row>
    <row r="1262" spans="1:15" ht="15" customHeight="1" x14ac:dyDescent="0.3">
      <c r="A1262" s="7">
        <v>1209670278</v>
      </c>
      <c r="B1262" s="4" t="s">
        <v>488</v>
      </c>
      <c r="C1262" s="4" t="s">
        <v>489</v>
      </c>
      <c r="D1262" s="6">
        <v>46309.448113425897</v>
      </c>
      <c r="E1262" s="6">
        <v>46309.198090277801</v>
      </c>
      <c r="F1262" s="6">
        <v>46309</v>
      </c>
      <c r="G1262" s="5" t="s">
        <v>12</v>
      </c>
      <c r="H1262" s="5" t="s">
        <v>29</v>
      </c>
      <c r="I1262" s="5">
        <v>26</v>
      </c>
      <c r="J1262" s="9" t="s">
        <v>17</v>
      </c>
      <c r="K1262" s="1" t="s">
        <v>1554</v>
      </c>
      <c r="L1262" t="s">
        <v>3284</v>
      </c>
      <c r="M1262" t="str">
        <f>+VLOOKUP(C1262,'[1]TIENDAS 2025'!$A$1:$C$143,3,0)</f>
        <v>departamental</v>
      </c>
      <c r="O1262">
        <v>1</v>
      </c>
    </row>
    <row r="1263" spans="1:15" ht="15" customHeight="1" x14ac:dyDescent="0.3">
      <c r="A1263" s="7">
        <v>1209670162</v>
      </c>
      <c r="B1263" s="4" t="s">
        <v>475</v>
      </c>
      <c r="C1263" s="4" t="s">
        <v>476</v>
      </c>
      <c r="D1263" s="6">
        <v>46309.448136574101</v>
      </c>
      <c r="E1263" s="6">
        <v>46309.198101851798</v>
      </c>
      <c r="F1263" s="6">
        <v>46309</v>
      </c>
      <c r="G1263" s="5" t="s">
        <v>12</v>
      </c>
      <c r="H1263" s="5" t="s">
        <v>29</v>
      </c>
      <c r="I1263" s="5">
        <v>77</v>
      </c>
      <c r="J1263" s="9" t="s">
        <v>17</v>
      </c>
      <c r="K1263" s="1" t="s">
        <v>1555</v>
      </c>
      <c r="L1263" t="s">
        <v>3284</v>
      </c>
      <c r="M1263" t="str">
        <f>+VLOOKUP(C1263,'[1]TIENDAS 2025'!$A$1:$C$143,3,0)</f>
        <v>prioridad</v>
      </c>
      <c r="O1263">
        <v>1</v>
      </c>
    </row>
    <row r="1264" spans="1:15" ht="15" customHeight="1" x14ac:dyDescent="0.3">
      <c r="A1264" s="7">
        <v>1209670119</v>
      </c>
      <c r="B1264" s="4" t="s">
        <v>403</v>
      </c>
      <c r="C1264" s="4" t="s">
        <v>404</v>
      </c>
      <c r="D1264" s="6">
        <v>46309.448148148098</v>
      </c>
      <c r="E1264" s="6">
        <v>46309.198113425897</v>
      </c>
      <c r="F1264" s="6">
        <v>46309</v>
      </c>
      <c r="G1264" s="5" t="s">
        <v>12</v>
      </c>
      <c r="H1264" s="5" t="s">
        <v>16</v>
      </c>
      <c r="I1264" s="5">
        <v>8</v>
      </c>
      <c r="J1264" s="9" t="s">
        <v>17</v>
      </c>
      <c r="K1264" s="1" t="s">
        <v>1556</v>
      </c>
      <c r="L1264" t="s">
        <v>3284</v>
      </c>
      <c r="M1264" t="str">
        <f>+VLOOKUP(C1264,'[1]TIENDAS 2025'!$A$1:$C$143,3,0)</f>
        <v>prioridad</v>
      </c>
      <c r="O1264">
        <v>1</v>
      </c>
    </row>
    <row r="1265" spans="1:15" ht="15" customHeight="1" x14ac:dyDescent="0.3">
      <c r="A1265" s="7">
        <v>1209670120</v>
      </c>
      <c r="B1265" s="4" t="s">
        <v>403</v>
      </c>
      <c r="C1265" s="4" t="s">
        <v>404</v>
      </c>
      <c r="D1265" s="6">
        <v>46309.448171296302</v>
      </c>
      <c r="E1265" s="6">
        <v>46309.198136574101</v>
      </c>
      <c r="F1265" s="6">
        <v>46309</v>
      </c>
      <c r="G1265" s="5" t="s">
        <v>12</v>
      </c>
      <c r="H1265" s="5" t="s">
        <v>16</v>
      </c>
      <c r="I1265" s="5">
        <v>11</v>
      </c>
      <c r="J1265" s="9" t="s">
        <v>17</v>
      </c>
      <c r="K1265" s="1" t="s">
        <v>1557</v>
      </c>
      <c r="L1265" t="s">
        <v>3284</v>
      </c>
      <c r="M1265" t="str">
        <f>+VLOOKUP(C1265,'[1]TIENDAS 2025'!$A$1:$C$143,3,0)</f>
        <v>prioridad</v>
      </c>
      <c r="O1265">
        <v>1</v>
      </c>
    </row>
    <row r="1266" spans="1:15" ht="15" customHeight="1" x14ac:dyDescent="0.3">
      <c r="A1266" s="7">
        <v>8209670154</v>
      </c>
      <c r="B1266" s="4" t="s">
        <v>475</v>
      </c>
      <c r="C1266" s="4" t="s">
        <v>476</v>
      </c>
      <c r="D1266" s="6">
        <v>46309.448171296302</v>
      </c>
      <c r="E1266" s="6">
        <v>46309.198148148098</v>
      </c>
      <c r="F1266" s="6">
        <v>46309</v>
      </c>
      <c r="G1266" s="5" t="s">
        <v>12</v>
      </c>
      <c r="H1266" s="5" t="s">
        <v>27</v>
      </c>
      <c r="I1266" s="5">
        <v>14</v>
      </c>
      <c r="J1266" s="10" t="s">
        <v>17</v>
      </c>
      <c r="K1266" s="1" t="s">
        <v>1558</v>
      </c>
      <c r="M1266" t="str">
        <f>+VLOOKUP(C1266,'[1]TIENDAS 2025'!$A$1:$C$143,3,0)</f>
        <v>prioridad</v>
      </c>
      <c r="O1266">
        <v>1</v>
      </c>
    </row>
    <row r="1267" spans="1:15" ht="15" customHeight="1" x14ac:dyDescent="0.3">
      <c r="A1267" s="7">
        <v>1209670177</v>
      </c>
      <c r="B1267" s="4" t="s">
        <v>475</v>
      </c>
      <c r="C1267" s="4" t="s">
        <v>476</v>
      </c>
      <c r="D1267" s="6">
        <v>46309.448182870401</v>
      </c>
      <c r="E1267" s="6">
        <v>46309.198159722197</v>
      </c>
      <c r="F1267" s="6">
        <v>46309</v>
      </c>
      <c r="G1267" s="5" t="s">
        <v>12</v>
      </c>
      <c r="H1267" s="5" t="s">
        <v>27</v>
      </c>
      <c r="I1267" s="5">
        <v>47</v>
      </c>
      <c r="J1267" s="9" t="s">
        <v>17</v>
      </c>
      <c r="K1267" s="1" t="s">
        <v>1559</v>
      </c>
      <c r="L1267" t="s">
        <v>3284</v>
      </c>
      <c r="M1267" t="str">
        <f>+VLOOKUP(C1267,'[1]TIENDAS 2025'!$A$1:$C$143,3,0)</f>
        <v>prioridad</v>
      </c>
      <c r="O1267">
        <v>1</v>
      </c>
    </row>
    <row r="1268" spans="1:15" ht="15" customHeight="1" x14ac:dyDescent="0.3">
      <c r="A1268" s="7">
        <v>1209670126</v>
      </c>
      <c r="B1268" s="4" t="s">
        <v>403</v>
      </c>
      <c r="C1268" s="4" t="s">
        <v>404</v>
      </c>
      <c r="D1268" s="6">
        <v>46309.448206018496</v>
      </c>
      <c r="E1268" s="6">
        <v>46309.198171296302</v>
      </c>
      <c r="F1268" s="6">
        <v>46309</v>
      </c>
      <c r="G1268" s="5" t="s">
        <v>12</v>
      </c>
      <c r="H1268" s="5" t="s">
        <v>29</v>
      </c>
      <c r="I1268" s="5">
        <v>37</v>
      </c>
      <c r="J1268" s="9" t="s">
        <v>17</v>
      </c>
      <c r="K1268" s="1" t="s">
        <v>1560</v>
      </c>
      <c r="L1268" t="s">
        <v>3284</v>
      </c>
      <c r="M1268" t="str">
        <f>+VLOOKUP(C1268,'[1]TIENDAS 2025'!$A$1:$C$143,3,0)</f>
        <v>prioridad</v>
      </c>
      <c r="O1268">
        <v>1</v>
      </c>
    </row>
    <row r="1269" spans="1:15" ht="15" customHeight="1" x14ac:dyDescent="0.3">
      <c r="A1269" s="7">
        <v>1209670165</v>
      </c>
      <c r="B1269" s="4" t="s">
        <v>475</v>
      </c>
      <c r="C1269" s="4" t="s">
        <v>476</v>
      </c>
      <c r="D1269" s="6">
        <v>46309.448217592602</v>
      </c>
      <c r="E1269" s="6">
        <v>46309.198194444398</v>
      </c>
      <c r="F1269" s="6">
        <v>46309</v>
      </c>
      <c r="G1269" s="5" t="s">
        <v>12</v>
      </c>
      <c r="H1269" s="5" t="s">
        <v>27</v>
      </c>
      <c r="I1269" s="5">
        <v>41</v>
      </c>
      <c r="J1269" s="9" t="s">
        <v>17</v>
      </c>
      <c r="K1269" s="1" t="s">
        <v>1561</v>
      </c>
      <c r="L1269" t="s">
        <v>3284</v>
      </c>
      <c r="M1269" t="str">
        <f>+VLOOKUP(C1269,'[1]TIENDAS 2025'!$A$1:$C$143,3,0)</f>
        <v>prioridad</v>
      </c>
      <c r="O1269">
        <v>1</v>
      </c>
    </row>
    <row r="1270" spans="1:15" ht="15" customHeight="1" x14ac:dyDescent="0.3">
      <c r="A1270" s="7">
        <v>1209670254</v>
      </c>
      <c r="B1270" s="4" t="s">
        <v>551</v>
      </c>
      <c r="C1270" s="4" t="s">
        <v>552</v>
      </c>
      <c r="D1270" s="6">
        <v>46309.448240740698</v>
      </c>
      <c r="E1270" s="6">
        <v>46309.198217592602</v>
      </c>
      <c r="F1270" s="6">
        <v>46309</v>
      </c>
      <c r="G1270" s="5" t="s">
        <v>12</v>
      </c>
      <c r="H1270" s="5" t="s">
        <v>29</v>
      </c>
      <c r="I1270" s="5">
        <v>37</v>
      </c>
      <c r="J1270" s="9" t="s">
        <v>17</v>
      </c>
      <c r="K1270" s="1" t="s">
        <v>1562</v>
      </c>
      <c r="L1270" t="s">
        <v>3284</v>
      </c>
      <c r="M1270" t="str">
        <f>+VLOOKUP(C1270,'[1]TIENDAS 2025'!$A$1:$C$143,3,0)</f>
        <v>nocturna</v>
      </c>
      <c r="O1270">
        <v>1</v>
      </c>
    </row>
    <row r="1271" spans="1:15" ht="15" customHeight="1" x14ac:dyDescent="0.3">
      <c r="A1271" s="7">
        <v>1209670282</v>
      </c>
      <c r="B1271" s="4" t="s">
        <v>488</v>
      </c>
      <c r="C1271" s="4" t="s">
        <v>489</v>
      </c>
      <c r="D1271" s="6">
        <v>46309.448240740698</v>
      </c>
      <c r="E1271" s="6">
        <v>46309.198206018496</v>
      </c>
      <c r="F1271" s="6">
        <v>46309</v>
      </c>
      <c r="G1271" s="5" t="s">
        <v>12</v>
      </c>
      <c r="H1271" s="5" t="s">
        <v>16</v>
      </c>
      <c r="I1271" s="5">
        <v>4</v>
      </c>
      <c r="J1271" s="9" t="s">
        <v>17</v>
      </c>
      <c r="K1271" s="1" t="s">
        <v>1563</v>
      </c>
      <c r="L1271" t="s">
        <v>3284</v>
      </c>
      <c r="M1271" t="str">
        <f>+VLOOKUP(C1271,'[1]TIENDAS 2025'!$A$1:$C$143,3,0)</f>
        <v>departamental</v>
      </c>
      <c r="O1271">
        <v>1</v>
      </c>
    </row>
    <row r="1272" spans="1:15" ht="15" customHeight="1" x14ac:dyDescent="0.3">
      <c r="A1272" s="7">
        <v>8209670245</v>
      </c>
      <c r="B1272" s="4" t="s">
        <v>551</v>
      </c>
      <c r="C1272" s="4" t="s">
        <v>552</v>
      </c>
      <c r="D1272" s="6">
        <v>46309.448263888902</v>
      </c>
      <c r="E1272" s="6">
        <v>46309.198229166701</v>
      </c>
      <c r="F1272" s="6">
        <v>46309</v>
      </c>
      <c r="G1272" s="5" t="s">
        <v>12</v>
      </c>
      <c r="H1272" s="5" t="s">
        <v>27</v>
      </c>
      <c r="I1272" s="5">
        <v>9</v>
      </c>
      <c r="J1272" s="10" t="s">
        <v>17</v>
      </c>
      <c r="K1272" s="1" t="s">
        <v>1564</v>
      </c>
      <c r="M1272" t="str">
        <f>+VLOOKUP(C1272,'[1]TIENDAS 2025'!$A$1:$C$143,3,0)</f>
        <v>nocturna</v>
      </c>
      <c r="O1272">
        <v>1</v>
      </c>
    </row>
    <row r="1273" spans="1:15" ht="15" customHeight="1" x14ac:dyDescent="0.3">
      <c r="A1273" s="7">
        <v>1209670255</v>
      </c>
      <c r="B1273" s="4" t="s">
        <v>551</v>
      </c>
      <c r="C1273" s="4" t="s">
        <v>552</v>
      </c>
      <c r="D1273" s="6">
        <v>46309.448275463001</v>
      </c>
      <c r="E1273" s="6">
        <v>46309.198252314804</v>
      </c>
      <c r="F1273" s="6">
        <v>46309</v>
      </c>
      <c r="G1273" s="5" t="s">
        <v>12</v>
      </c>
      <c r="H1273" s="5" t="s">
        <v>16</v>
      </c>
      <c r="I1273" s="5">
        <v>14</v>
      </c>
      <c r="J1273" s="9" t="s">
        <v>17</v>
      </c>
      <c r="K1273" s="1" t="s">
        <v>1565</v>
      </c>
      <c r="L1273" t="s">
        <v>3284</v>
      </c>
      <c r="M1273" t="str">
        <f>+VLOOKUP(C1273,'[1]TIENDAS 2025'!$A$1:$C$143,3,0)</f>
        <v>nocturna</v>
      </c>
      <c r="O1273">
        <v>1</v>
      </c>
    </row>
    <row r="1274" spans="1:15" ht="15" customHeight="1" x14ac:dyDescent="0.3">
      <c r="A1274" s="7">
        <v>1209670130</v>
      </c>
      <c r="B1274" s="4" t="s">
        <v>403</v>
      </c>
      <c r="C1274" s="4" t="s">
        <v>404</v>
      </c>
      <c r="D1274" s="6">
        <v>46309.448298611103</v>
      </c>
      <c r="E1274" s="6">
        <v>46309.198275463001</v>
      </c>
      <c r="F1274" s="6">
        <v>46309</v>
      </c>
      <c r="G1274" s="5" t="s">
        <v>12</v>
      </c>
      <c r="H1274" s="5" t="s">
        <v>16</v>
      </c>
      <c r="I1274" s="5">
        <v>84</v>
      </c>
      <c r="J1274" s="9" t="s">
        <v>17</v>
      </c>
      <c r="K1274" s="1" t="s">
        <v>1566</v>
      </c>
      <c r="L1274" t="s">
        <v>3284</v>
      </c>
      <c r="M1274" t="str">
        <f>+VLOOKUP(C1274,'[1]TIENDAS 2025'!$A$1:$C$143,3,0)</f>
        <v>prioridad</v>
      </c>
      <c r="O1274">
        <v>1</v>
      </c>
    </row>
    <row r="1275" spans="1:15" ht="15" customHeight="1" x14ac:dyDescent="0.3">
      <c r="A1275" s="7">
        <v>1209670186</v>
      </c>
      <c r="B1275" s="4" t="s">
        <v>548</v>
      </c>
      <c r="C1275" s="4" t="s">
        <v>549</v>
      </c>
      <c r="D1275" s="6">
        <v>46309.448298611103</v>
      </c>
      <c r="E1275" s="6">
        <v>46309.198263888902</v>
      </c>
      <c r="F1275" s="6">
        <v>46309</v>
      </c>
      <c r="G1275" s="5" t="s">
        <v>12</v>
      </c>
      <c r="H1275" s="5" t="s">
        <v>29</v>
      </c>
      <c r="I1275" s="5">
        <v>11</v>
      </c>
      <c r="J1275" s="9" t="s">
        <v>17</v>
      </c>
      <c r="K1275" s="1" t="s">
        <v>1567</v>
      </c>
      <c r="L1275" t="s">
        <v>3284</v>
      </c>
      <c r="M1275" t="str">
        <f>+VLOOKUP(C1275,'[1]TIENDAS 2025'!$A$1:$C$143,3,0)</f>
        <v>departamental</v>
      </c>
      <c r="O1275">
        <v>1</v>
      </c>
    </row>
    <row r="1276" spans="1:15" ht="15" customHeight="1" x14ac:dyDescent="0.3">
      <c r="A1276" s="7">
        <v>1209670167</v>
      </c>
      <c r="B1276" s="4" t="s">
        <v>475</v>
      </c>
      <c r="C1276" s="4" t="s">
        <v>476</v>
      </c>
      <c r="D1276" s="6">
        <v>46309.448321759301</v>
      </c>
      <c r="E1276" s="6">
        <v>46309.198287036997</v>
      </c>
      <c r="F1276" s="6">
        <v>46309</v>
      </c>
      <c r="G1276" s="5" t="s">
        <v>12</v>
      </c>
      <c r="H1276" s="5" t="s">
        <v>29</v>
      </c>
      <c r="I1276" s="5">
        <v>45</v>
      </c>
      <c r="J1276" s="9" t="s">
        <v>17</v>
      </c>
      <c r="K1276" s="1" t="s">
        <v>1568</v>
      </c>
      <c r="L1276" t="s">
        <v>3284</v>
      </c>
      <c r="M1276" t="str">
        <f>+VLOOKUP(C1276,'[1]TIENDAS 2025'!$A$1:$C$143,3,0)</f>
        <v>prioridad</v>
      </c>
      <c r="O1276">
        <v>1</v>
      </c>
    </row>
    <row r="1277" spans="1:15" ht="15" customHeight="1" x14ac:dyDescent="0.3">
      <c r="A1277" s="7">
        <v>1209670189</v>
      </c>
      <c r="B1277" s="4" t="s">
        <v>548</v>
      </c>
      <c r="C1277" s="4" t="s">
        <v>549</v>
      </c>
      <c r="D1277" s="6">
        <v>46309.448333333297</v>
      </c>
      <c r="E1277" s="6">
        <v>46309.198310185202</v>
      </c>
      <c r="F1277" s="6">
        <v>46309</v>
      </c>
      <c r="G1277" s="5" t="s">
        <v>12</v>
      </c>
      <c r="H1277" s="5" t="s">
        <v>16</v>
      </c>
      <c r="I1277" s="5">
        <v>27</v>
      </c>
      <c r="J1277" s="9" t="s">
        <v>17</v>
      </c>
      <c r="K1277" s="1" t="s">
        <v>1569</v>
      </c>
      <c r="L1277" t="s">
        <v>3284</v>
      </c>
      <c r="M1277" t="str">
        <f>+VLOOKUP(C1277,'[1]TIENDAS 2025'!$A$1:$C$143,3,0)</f>
        <v>departamental</v>
      </c>
      <c r="O1277">
        <v>1</v>
      </c>
    </row>
    <row r="1278" spans="1:15" ht="15" customHeight="1" x14ac:dyDescent="0.3">
      <c r="A1278" s="7">
        <v>8209670169</v>
      </c>
      <c r="B1278" s="4" t="s">
        <v>475</v>
      </c>
      <c r="C1278" s="4" t="s">
        <v>476</v>
      </c>
      <c r="D1278" s="6">
        <v>46309.448356481502</v>
      </c>
      <c r="E1278" s="6">
        <v>46309.198321759301</v>
      </c>
      <c r="F1278" s="6">
        <v>46309</v>
      </c>
      <c r="G1278" s="5" t="s">
        <v>12</v>
      </c>
      <c r="H1278" s="5" t="s">
        <v>27</v>
      </c>
      <c r="I1278" s="5">
        <v>7</v>
      </c>
      <c r="J1278" s="10" t="s">
        <v>17</v>
      </c>
      <c r="K1278" s="1" t="s">
        <v>1570</v>
      </c>
      <c r="M1278" t="str">
        <f>+VLOOKUP(C1278,'[1]TIENDAS 2025'!$A$1:$C$143,3,0)</f>
        <v>prioridad</v>
      </c>
      <c r="O1278">
        <v>1</v>
      </c>
    </row>
    <row r="1279" spans="1:15" ht="15" customHeight="1" x14ac:dyDescent="0.3">
      <c r="A1279" s="7">
        <v>8209670182</v>
      </c>
      <c r="B1279" s="4" t="s">
        <v>548</v>
      </c>
      <c r="C1279" s="4" t="s">
        <v>549</v>
      </c>
      <c r="D1279" s="6">
        <v>46309.4483680556</v>
      </c>
      <c r="E1279" s="6">
        <v>46309.198333333297</v>
      </c>
      <c r="F1279" s="6">
        <v>46309</v>
      </c>
      <c r="G1279" s="5" t="s">
        <v>12</v>
      </c>
      <c r="H1279" s="5" t="s">
        <v>27</v>
      </c>
      <c r="I1279" s="5">
        <v>23</v>
      </c>
      <c r="J1279" s="10" t="s">
        <v>17</v>
      </c>
      <c r="K1279" s="1" t="s">
        <v>1571</v>
      </c>
      <c r="M1279" t="str">
        <f>+VLOOKUP(C1279,'[1]TIENDAS 2025'!$A$1:$C$143,3,0)</f>
        <v>departamental</v>
      </c>
      <c r="O1279">
        <v>1</v>
      </c>
    </row>
    <row r="1280" spans="1:15" ht="15" customHeight="1" x14ac:dyDescent="0.3">
      <c r="A1280" s="7">
        <v>1209670160</v>
      </c>
      <c r="B1280" s="4" t="s">
        <v>475</v>
      </c>
      <c r="C1280" s="4" t="s">
        <v>476</v>
      </c>
      <c r="D1280" s="6">
        <v>46309.448379629597</v>
      </c>
      <c r="E1280" s="6">
        <v>46309.198344907403</v>
      </c>
      <c r="F1280" s="6">
        <v>46309</v>
      </c>
      <c r="G1280" s="5" t="s">
        <v>12</v>
      </c>
      <c r="H1280" s="5" t="s">
        <v>16</v>
      </c>
      <c r="I1280" s="5">
        <v>21</v>
      </c>
      <c r="J1280" s="9" t="s">
        <v>17</v>
      </c>
      <c r="K1280" s="1" t="s">
        <v>1572</v>
      </c>
      <c r="L1280" t="s">
        <v>3284</v>
      </c>
      <c r="M1280" t="str">
        <f>+VLOOKUP(C1280,'[1]TIENDAS 2025'!$A$1:$C$143,3,0)</f>
        <v>prioridad</v>
      </c>
      <c r="O1280">
        <v>1</v>
      </c>
    </row>
    <row r="1281" spans="1:15" ht="15" customHeight="1" x14ac:dyDescent="0.3">
      <c r="A1281" s="7">
        <v>1209670281</v>
      </c>
      <c r="B1281" s="4" t="s">
        <v>488</v>
      </c>
      <c r="C1281" s="4" t="s">
        <v>489</v>
      </c>
      <c r="D1281" s="6">
        <v>46309.448391203703</v>
      </c>
      <c r="E1281" s="6">
        <v>46309.1983680556</v>
      </c>
      <c r="F1281" s="6">
        <v>46309</v>
      </c>
      <c r="G1281" s="5" t="s">
        <v>12</v>
      </c>
      <c r="H1281" s="5" t="s">
        <v>29</v>
      </c>
      <c r="I1281" s="5">
        <v>24</v>
      </c>
      <c r="J1281" s="9" t="s">
        <v>17</v>
      </c>
      <c r="K1281" s="1" t="s">
        <v>1573</v>
      </c>
      <c r="L1281" t="s">
        <v>3284</v>
      </c>
      <c r="M1281" t="str">
        <f>+VLOOKUP(C1281,'[1]TIENDAS 2025'!$A$1:$C$143,3,0)</f>
        <v>departamental</v>
      </c>
      <c r="O1281">
        <v>1</v>
      </c>
    </row>
    <row r="1282" spans="1:15" ht="15" customHeight="1" x14ac:dyDescent="0.3">
      <c r="A1282" s="7">
        <v>1209670249</v>
      </c>
      <c r="B1282" s="4" t="s">
        <v>551</v>
      </c>
      <c r="C1282" s="4" t="s">
        <v>552</v>
      </c>
      <c r="D1282" s="6">
        <v>46309.448402777802</v>
      </c>
      <c r="E1282" s="6">
        <v>46309.198379629597</v>
      </c>
      <c r="F1282" s="6">
        <v>46309</v>
      </c>
      <c r="G1282" s="5" t="s">
        <v>12</v>
      </c>
      <c r="H1282" s="5" t="s">
        <v>16</v>
      </c>
      <c r="I1282" s="5">
        <v>14</v>
      </c>
      <c r="J1282" s="9" t="s">
        <v>17</v>
      </c>
      <c r="K1282" s="1" t="s">
        <v>1574</v>
      </c>
      <c r="L1282" t="s">
        <v>3284</v>
      </c>
      <c r="M1282" t="str">
        <f>+VLOOKUP(C1282,'[1]TIENDAS 2025'!$A$1:$C$143,3,0)</f>
        <v>nocturna</v>
      </c>
      <c r="O1282">
        <v>1</v>
      </c>
    </row>
    <row r="1283" spans="1:15" ht="15" customHeight="1" x14ac:dyDescent="0.3">
      <c r="A1283" s="7">
        <v>8209670219</v>
      </c>
      <c r="B1283" s="4" t="s">
        <v>271</v>
      </c>
      <c r="C1283" s="4" t="s">
        <v>272</v>
      </c>
      <c r="D1283" s="6">
        <v>46309.448425925897</v>
      </c>
      <c r="E1283" s="6">
        <v>46309.198391203703</v>
      </c>
      <c r="F1283" s="6">
        <v>46309</v>
      </c>
      <c r="G1283" s="5" t="s">
        <v>12</v>
      </c>
      <c r="H1283" s="5" t="s">
        <v>27</v>
      </c>
      <c r="I1283" s="5">
        <v>1</v>
      </c>
      <c r="J1283" s="10" t="s">
        <v>17</v>
      </c>
      <c r="K1283" s="1" t="s">
        <v>1575</v>
      </c>
      <c r="M1283" t="str">
        <f>+VLOOKUP(C1283,'[1]TIENDAS 2025'!$A$1:$C$143,3,0)</f>
        <v>local</v>
      </c>
      <c r="O1283">
        <v>1</v>
      </c>
    </row>
    <row r="1284" spans="1:15" ht="15" customHeight="1" x14ac:dyDescent="0.3">
      <c r="A1284" s="7">
        <v>1209670251</v>
      </c>
      <c r="B1284" s="4" t="s">
        <v>551</v>
      </c>
      <c r="C1284" s="4" t="s">
        <v>552</v>
      </c>
      <c r="D1284" s="6">
        <v>46309.448437500003</v>
      </c>
      <c r="E1284" s="6">
        <v>46309.198402777802</v>
      </c>
      <c r="F1284" s="6">
        <v>46309</v>
      </c>
      <c r="G1284" s="5" t="s">
        <v>12</v>
      </c>
      <c r="H1284" s="5" t="s">
        <v>29</v>
      </c>
      <c r="I1284" s="5">
        <v>20</v>
      </c>
      <c r="J1284" s="9" t="s">
        <v>17</v>
      </c>
      <c r="K1284" s="1" t="s">
        <v>1576</v>
      </c>
      <c r="L1284" t="s">
        <v>3284</v>
      </c>
      <c r="M1284" t="str">
        <f>+VLOOKUP(C1284,'[1]TIENDAS 2025'!$A$1:$C$143,3,0)</f>
        <v>nocturna</v>
      </c>
      <c r="O1284">
        <v>1</v>
      </c>
    </row>
    <row r="1285" spans="1:15" ht="15" customHeight="1" x14ac:dyDescent="0.3">
      <c r="A1285" s="7">
        <v>8209670220</v>
      </c>
      <c r="B1285" s="4" t="s">
        <v>271</v>
      </c>
      <c r="C1285" s="4" t="s">
        <v>272</v>
      </c>
      <c r="D1285" s="6">
        <v>46309.448449074102</v>
      </c>
      <c r="E1285" s="6">
        <v>46309.198425925897</v>
      </c>
      <c r="F1285" s="6">
        <v>46309</v>
      </c>
      <c r="G1285" s="5" t="s">
        <v>12</v>
      </c>
      <c r="H1285" s="5" t="s">
        <v>27</v>
      </c>
      <c r="I1285" s="5">
        <v>3</v>
      </c>
      <c r="J1285" s="10" t="s">
        <v>17</v>
      </c>
      <c r="K1285" s="1" t="s">
        <v>1577</v>
      </c>
      <c r="M1285" t="str">
        <f>+VLOOKUP(C1285,'[1]TIENDAS 2025'!$A$1:$C$143,3,0)</f>
        <v>local</v>
      </c>
      <c r="O1285">
        <v>1</v>
      </c>
    </row>
    <row r="1286" spans="1:15" ht="15" customHeight="1" x14ac:dyDescent="0.3">
      <c r="A1286" s="7">
        <v>8209670242</v>
      </c>
      <c r="B1286" s="4" t="s">
        <v>551</v>
      </c>
      <c r="C1286" s="4" t="s">
        <v>552</v>
      </c>
      <c r="D1286" s="6">
        <v>46309.448460648098</v>
      </c>
      <c r="E1286" s="6">
        <v>46309.198437500003</v>
      </c>
      <c r="F1286" s="6">
        <v>46309</v>
      </c>
      <c r="G1286" s="5" t="s">
        <v>12</v>
      </c>
      <c r="H1286" s="5" t="s">
        <v>27</v>
      </c>
      <c r="I1286" s="5">
        <v>1</v>
      </c>
      <c r="J1286" s="10" t="s">
        <v>17</v>
      </c>
      <c r="K1286" s="1" t="s">
        <v>1578</v>
      </c>
      <c r="M1286" t="str">
        <f>+VLOOKUP(C1286,'[1]TIENDAS 2025'!$A$1:$C$143,3,0)</f>
        <v>nocturna</v>
      </c>
      <c r="O1286">
        <v>1</v>
      </c>
    </row>
    <row r="1287" spans="1:15" ht="15" customHeight="1" x14ac:dyDescent="0.3">
      <c r="A1287" s="7">
        <v>1209670280</v>
      </c>
      <c r="B1287" s="4" t="s">
        <v>488</v>
      </c>
      <c r="C1287" s="4" t="s">
        <v>489</v>
      </c>
      <c r="D1287" s="6">
        <v>46309.448483796303</v>
      </c>
      <c r="E1287" s="6">
        <v>46309.198449074102</v>
      </c>
      <c r="F1287" s="6">
        <v>46309</v>
      </c>
      <c r="G1287" s="5" t="s">
        <v>12</v>
      </c>
      <c r="H1287" s="5" t="s">
        <v>16</v>
      </c>
      <c r="I1287" s="5">
        <v>25</v>
      </c>
      <c r="J1287" s="9" t="s">
        <v>17</v>
      </c>
      <c r="K1287" s="1" t="s">
        <v>1579</v>
      </c>
      <c r="L1287" t="s">
        <v>3284</v>
      </c>
      <c r="M1287" t="str">
        <f>+VLOOKUP(C1287,'[1]TIENDAS 2025'!$A$1:$C$143,3,0)</f>
        <v>departamental</v>
      </c>
      <c r="O1287">
        <v>1</v>
      </c>
    </row>
    <row r="1288" spans="1:15" ht="15" customHeight="1" x14ac:dyDescent="0.3">
      <c r="A1288" s="7">
        <v>1209670128</v>
      </c>
      <c r="B1288" s="4" t="s">
        <v>403</v>
      </c>
      <c r="C1288" s="4" t="s">
        <v>404</v>
      </c>
      <c r="D1288" s="6">
        <v>46309.448495370401</v>
      </c>
      <c r="E1288" s="6">
        <v>46309.198460648098</v>
      </c>
      <c r="F1288" s="6">
        <v>46309</v>
      </c>
      <c r="G1288" s="5" t="s">
        <v>12</v>
      </c>
      <c r="H1288" s="5" t="s">
        <v>16</v>
      </c>
      <c r="I1288" s="5">
        <v>1</v>
      </c>
      <c r="J1288" s="9" t="s">
        <v>17</v>
      </c>
      <c r="K1288" s="1" t="s">
        <v>1580</v>
      </c>
      <c r="L1288" t="s">
        <v>3284</v>
      </c>
      <c r="M1288" t="str">
        <f>+VLOOKUP(C1288,'[1]TIENDAS 2025'!$A$1:$C$143,3,0)</f>
        <v>prioridad</v>
      </c>
      <c r="O1288">
        <v>1</v>
      </c>
    </row>
    <row r="1289" spans="1:15" ht="15" customHeight="1" x14ac:dyDescent="0.3">
      <c r="A1289" s="7">
        <v>1209670247</v>
      </c>
      <c r="B1289" s="4" t="s">
        <v>551</v>
      </c>
      <c r="C1289" s="4" t="s">
        <v>552</v>
      </c>
      <c r="D1289" s="6">
        <v>46309.448506944398</v>
      </c>
      <c r="E1289" s="6">
        <v>46309.198483796303</v>
      </c>
      <c r="F1289" s="6">
        <v>46309</v>
      </c>
      <c r="G1289" s="5" t="s">
        <v>12</v>
      </c>
      <c r="H1289" s="5" t="s">
        <v>29</v>
      </c>
      <c r="I1289" s="5">
        <v>6</v>
      </c>
      <c r="J1289" s="9" t="s">
        <v>17</v>
      </c>
      <c r="K1289" s="1" t="s">
        <v>1581</v>
      </c>
      <c r="L1289" t="s">
        <v>3284</v>
      </c>
      <c r="M1289" t="str">
        <f>+VLOOKUP(C1289,'[1]TIENDAS 2025'!$A$1:$C$143,3,0)</f>
        <v>nocturna</v>
      </c>
      <c r="O1289">
        <v>1</v>
      </c>
    </row>
    <row r="1290" spans="1:15" ht="15" customHeight="1" x14ac:dyDescent="0.3">
      <c r="A1290" s="7">
        <v>1209670248</v>
      </c>
      <c r="B1290" s="4" t="s">
        <v>551</v>
      </c>
      <c r="C1290" s="4" t="s">
        <v>552</v>
      </c>
      <c r="D1290" s="6">
        <v>46309.448518518497</v>
      </c>
      <c r="E1290" s="6">
        <v>46309.198495370401</v>
      </c>
      <c r="F1290" s="6">
        <v>46309</v>
      </c>
      <c r="G1290" s="5" t="s">
        <v>12</v>
      </c>
      <c r="H1290" s="5" t="s">
        <v>16</v>
      </c>
      <c r="I1290" s="5">
        <v>6</v>
      </c>
      <c r="J1290" s="9" t="s">
        <v>17</v>
      </c>
      <c r="K1290" s="1" t="s">
        <v>1582</v>
      </c>
      <c r="L1290" t="s">
        <v>3284</v>
      </c>
      <c r="M1290" t="str">
        <f>+VLOOKUP(C1290,'[1]TIENDAS 2025'!$A$1:$C$143,3,0)</f>
        <v>nocturna</v>
      </c>
      <c r="O1290">
        <v>1</v>
      </c>
    </row>
    <row r="1291" spans="1:15" ht="15" customHeight="1" x14ac:dyDescent="0.3">
      <c r="A1291" s="7">
        <v>8209670270</v>
      </c>
      <c r="B1291" s="4" t="s">
        <v>488</v>
      </c>
      <c r="C1291" s="4" t="s">
        <v>489</v>
      </c>
      <c r="D1291" s="6">
        <v>46309.448541666701</v>
      </c>
      <c r="E1291" s="6">
        <v>46309.198506944398</v>
      </c>
      <c r="F1291" s="6">
        <v>46309</v>
      </c>
      <c r="G1291" s="5" t="s">
        <v>12</v>
      </c>
      <c r="H1291" s="5" t="s">
        <v>27</v>
      </c>
      <c r="I1291" s="5">
        <v>20</v>
      </c>
      <c r="J1291" s="10" t="s">
        <v>17</v>
      </c>
      <c r="K1291" s="1" t="s">
        <v>1583</v>
      </c>
      <c r="M1291" t="str">
        <f>+VLOOKUP(C1291,'[1]TIENDAS 2025'!$A$1:$C$143,3,0)</f>
        <v>departamental</v>
      </c>
      <c r="O1291">
        <v>1</v>
      </c>
    </row>
    <row r="1292" spans="1:15" ht="15" customHeight="1" x14ac:dyDescent="0.3">
      <c r="A1292" s="7">
        <v>1209670272</v>
      </c>
      <c r="B1292" s="4" t="s">
        <v>488</v>
      </c>
      <c r="C1292" s="4" t="s">
        <v>489</v>
      </c>
      <c r="D1292" s="6">
        <v>46309.448553240698</v>
      </c>
      <c r="E1292" s="6">
        <v>46309.198518518497</v>
      </c>
      <c r="F1292" s="6">
        <v>46309</v>
      </c>
      <c r="G1292" s="5" t="s">
        <v>12</v>
      </c>
      <c r="H1292" s="5" t="s">
        <v>16</v>
      </c>
      <c r="I1292" s="5">
        <v>2</v>
      </c>
      <c r="J1292" s="9" t="s">
        <v>17</v>
      </c>
      <c r="K1292" s="1" t="s">
        <v>1584</v>
      </c>
      <c r="L1292" t="s">
        <v>3284</v>
      </c>
      <c r="M1292" t="str">
        <f>+VLOOKUP(C1292,'[1]TIENDAS 2025'!$A$1:$C$143,3,0)</f>
        <v>departamental</v>
      </c>
      <c r="O1292">
        <v>1</v>
      </c>
    </row>
    <row r="1293" spans="1:15" ht="15" customHeight="1" x14ac:dyDescent="0.3">
      <c r="A1293" s="7">
        <v>1209670230</v>
      </c>
      <c r="B1293" s="4" t="s">
        <v>271</v>
      </c>
      <c r="C1293" s="4" t="s">
        <v>272</v>
      </c>
      <c r="D1293" s="6">
        <v>46309.448564814797</v>
      </c>
      <c r="E1293" s="6">
        <v>46309.198530092603</v>
      </c>
      <c r="F1293" s="6">
        <v>46309</v>
      </c>
      <c r="G1293" s="5" t="s">
        <v>12</v>
      </c>
      <c r="H1293" s="5" t="s">
        <v>29</v>
      </c>
      <c r="I1293" s="5">
        <v>44</v>
      </c>
      <c r="J1293" s="9" t="s">
        <v>17</v>
      </c>
      <c r="K1293" s="1" t="s">
        <v>1585</v>
      </c>
      <c r="L1293" t="s">
        <v>3284</v>
      </c>
      <c r="M1293" t="str">
        <f>+VLOOKUP(C1293,'[1]TIENDAS 2025'!$A$1:$C$143,3,0)</f>
        <v>local</v>
      </c>
      <c r="O1293">
        <v>1</v>
      </c>
    </row>
    <row r="1294" spans="1:15" ht="15" customHeight="1" x14ac:dyDescent="0.3">
      <c r="A1294" s="7">
        <v>1209670191</v>
      </c>
      <c r="B1294" s="4" t="s">
        <v>548</v>
      </c>
      <c r="C1294" s="4" t="s">
        <v>549</v>
      </c>
      <c r="D1294" s="6">
        <v>46309.448576388902</v>
      </c>
      <c r="E1294" s="6">
        <v>46309.198553240698</v>
      </c>
      <c r="F1294" s="6">
        <v>46309</v>
      </c>
      <c r="G1294" s="5" t="s">
        <v>12</v>
      </c>
      <c r="H1294" s="5" t="s">
        <v>16</v>
      </c>
      <c r="I1294" s="5">
        <v>38</v>
      </c>
      <c r="J1294" s="9" t="s">
        <v>17</v>
      </c>
      <c r="K1294" s="1" t="s">
        <v>1586</v>
      </c>
      <c r="L1294" t="s">
        <v>3284</v>
      </c>
      <c r="M1294" t="str">
        <f>+VLOOKUP(C1294,'[1]TIENDAS 2025'!$A$1:$C$143,3,0)</f>
        <v>departamental</v>
      </c>
      <c r="O1294">
        <v>1</v>
      </c>
    </row>
    <row r="1295" spans="1:15" ht="15" customHeight="1" x14ac:dyDescent="0.3">
      <c r="A1295" s="7">
        <v>8209670222</v>
      </c>
      <c r="B1295" s="4" t="s">
        <v>271</v>
      </c>
      <c r="C1295" s="4" t="s">
        <v>272</v>
      </c>
      <c r="D1295" s="6">
        <v>46309.448599536998</v>
      </c>
      <c r="E1295" s="6">
        <v>46309.198564814797</v>
      </c>
      <c r="F1295" s="6">
        <v>46309</v>
      </c>
      <c r="G1295" s="5" t="s">
        <v>12</v>
      </c>
      <c r="H1295" s="5" t="s">
        <v>27</v>
      </c>
      <c r="I1295" s="5">
        <v>6</v>
      </c>
      <c r="J1295" s="10" t="s">
        <v>17</v>
      </c>
      <c r="K1295" s="1" t="s">
        <v>1587</v>
      </c>
      <c r="M1295" t="str">
        <f>+VLOOKUP(C1295,'[1]TIENDAS 2025'!$A$1:$C$143,3,0)</f>
        <v>local</v>
      </c>
      <c r="O1295">
        <v>1</v>
      </c>
    </row>
    <row r="1296" spans="1:15" ht="15" customHeight="1" x14ac:dyDescent="0.3">
      <c r="A1296" s="7">
        <v>1209670223</v>
      </c>
      <c r="B1296" s="4" t="s">
        <v>271</v>
      </c>
      <c r="C1296" s="4" t="s">
        <v>272</v>
      </c>
      <c r="D1296" s="6">
        <v>46309.448611111096</v>
      </c>
      <c r="E1296" s="6">
        <v>46309.198576388902</v>
      </c>
      <c r="F1296" s="6">
        <v>46309</v>
      </c>
      <c r="G1296" s="5" t="s">
        <v>12</v>
      </c>
      <c r="H1296" s="5" t="s">
        <v>29</v>
      </c>
      <c r="I1296" s="5">
        <v>4</v>
      </c>
      <c r="J1296" s="9" t="s">
        <v>17</v>
      </c>
      <c r="K1296" s="1" t="s">
        <v>1588</v>
      </c>
      <c r="L1296" t="s">
        <v>3284</v>
      </c>
      <c r="M1296" t="str">
        <f>+VLOOKUP(C1296,'[1]TIENDAS 2025'!$A$1:$C$143,3,0)</f>
        <v>local</v>
      </c>
      <c r="O1296">
        <v>1</v>
      </c>
    </row>
    <row r="1297" spans="1:15" ht="15" customHeight="1" x14ac:dyDescent="0.3">
      <c r="A1297" s="7">
        <v>1209670226</v>
      </c>
      <c r="B1297" s="4" t="s">
        <v>271</v>
      </c>
      <c r="C1297" s="4" t="s">
        <v>272</v>
      </c>
      <c r="D1297" s="6">
        <v>46309.448622685202</v>
      </c>
      <c r="E1297" s="6">
        <v>46309.198599536998</v>
      </c>
      <c r="F1297" s="6">
        <v>46309</v>
      </c>
      <c r="G1297" s="5" t="s">
        <v>12</v>
      </c>
      <c r="H1297" s="5" t="s">
        <v>16</v>
      </c>
      <c r="I1297" s="5">
        <v>11</v>
      </c>
      <c r="J1297" s="9" t="s">
        <v>17</v>
      </c>
      <c r="K1297" s="1" t="s">
        <v>1589</v>
      </c>
      <c r="L1297" t="s">
        <v>3284</v>
      </c>
      <c r="M1297" t="str">
        <f>+VLOOKUP(C1297,'[1]TIENDAS 2025'!$A$1:$C$143,3,0)</f>
        <v>local</v>
      </c>
      <c r="O1297">
        <v>1</v>
      </c>
    </row>
    <row r="1298" spans="1:15" ht="15" customHeight="1" x14ac:dyDescent="0.3">
      <c r="A1298" s="7">
        <v>1209670253</v>
      </c>
      <c r="B1298" s="4" t="s">
        <v>551</v>
      </c>
      <c r="C1298" s="4" t="s">
        <v>552</v>
      </c>
      <c r="D1298" s="6">
        <v>46309.448634259301</v>
      </c>
      <c r="E1298" s="6">
        <v>46309.198611111096</v>
      </c>
      <c r="F1298" s="6">
        <v>46309</v>
      </c>
      <c r="G1298" s="5" t="s">
        <v>12</v>
      </c>
      <c r="H1298" s="5" t="s">
        <v>16</v>
      </c>
      <c r="I1298" s="5">
        <v>21</v>
      </c>
      <c r="J1298" s="9" t="s">
        <v>17</v>
      </c>
      <c r="K1298" s="1" t="s">
        <v>1590</v>
      </c>
      <c r="L1298" t="s">
        <v>3284</v>
      </c>
      <c r="M1298" t="str">
        <f>+VLOOKUP(C1298,'[1]TIENDAS 2025'!$A$1:$C$143,3,0)</f>
        <v>nocturna</v>
      </c>
      <c r="O1298">
        <v>1</v>
      </c>
    </row>
    <row r="1299" spans="1:15" ht="15" customHeight="1" x14ac:dyDescent="0.3">
      <c r="A1299" s="7">
        <v>1209670279</v>
      </c>
      <c r="B1299" s="4" t="s">
        <v>488</v>
      </c>
      <c r="C1299" s="4" t="s">
        <v>489</v>
      </c>
      <c r="D1299" s="6">
        <v>46309.448645833298</v>
      </c>
      <c r="E1299" s="6">
        <v>46309.198622685202</v>
      </c>
      <c r="F1299" s="6">
        <v>46309</v>
      </c>
      <c r="G1299" s="5" t="s">
        <v>12</v>
      </c>
      <c r="H1299" s="5" t="s">
        <v>16</v>
      </c>
      <c r="I1299" s="5">
        <v>12</v>
      </c>
      <c r="J1299" s="9" t="s">
        <v>17</v>
      </c>
      <c r="K1299" s="1" t="s">
        <v>1591</v>
      </c>
      <c r="L1299" t="s">
        <v>3284</v>
      </c>
      <c r="M1299" t="str">
        <f>+VLOOKUP(C1299,'[1]TIENDAS 2025'!$A$1:$C$143,3,0)</f>
        <v>departamental</v>
      </c>
      <c r="O1299">
        <v>1</v>
      </c>
    </row>
    <row r="1300" spans="1:15" ht="15" customHeight="1" x14ac:dyDescent="0.3">
      <c r="A1300" s="7">
        <v>1209670246</v>
      </c>
      <c r="B1300" s="4" t="s">
        <v>551</v>
      </c>
      <c r="C1300" s="4" t="s">
        <v>552</v>
      </c>
      <c r="D1300" s="6">
        <v>46309.448668981502</v>
      </c>
      <c r="E1300" s="6">
        <v>46309.198634259301</v>
      </c>
      <c r="F1300" s="6">
        <v>46309</v>
      </c>
      <c r="G1300" s="5" t="s">
        <v>12</v>
      </c>
      <c r="H1300" s="5" t="s">
        <v>16</v>
      </c>
      <c r="I1300" s="5">
        <v>1</v>
      </c>
      <c r="J1300" s="9" t="s">
        <v>17</v>
      </c>
      <c r="K1300" s="1" t="s">
        <v>1592</v>
      </c>
      <c r="L1300" t="s">
        <v>3284</v>
      </c>
      <c r="M1300" t="str">
        <f>+VLOOKUP(C1300,'[1]TIENDAS 2025'!$A$1:$C$143,3,0)</f>
        <v>nocturna</v>
      </c>
      <c r="O1300">
        <v>1</v>
      </c>
    </row>
    <row r="1301" spans="1:15" ht="15" customHeight="1" x14ac:dyDescent="0.3">
      <c r="A1301" s="7">
        <v>8209670267</v>
      </c>
      <c r="B1301" s="4" t="s">
        <v>488</v>
      </c>
      <c r="C1301" s="4" t="s">
        <v>489</v>
      </c>
      <c r="D1301" s="6">
        <v>46309.448680555601</v>
      </c>
      <c r="E1301" s="6">
        <v>46309.198657407404</v>
      </c>
      <c r="F1301" s="6">
        <v>46309</v>
      </c>
      <c r="G1301" s="5" t="s">
        <v>12</v>
      </c>
      <c r="H1301" s="5" t="s">
        <v>27</v>
      </c>
      <c r="I1301" s="5">
        <v>2</v>
      </c>
      <c r="J1301" s="10" t="s">
        <v>17</v>
      </c>
      <c r="K1301" s="1" t="s">
        <v>1593</v>
      </c>
      <c r="M1301" t="str">
        <f>+VLOOKUP(C1301,'[1]TIENDAS 2025'!$A$1:$C$143,3,0)</f>
        <v>departamental</v>
      </c>
      <c r="O1301">
        <v>1</v>
      </c>
    </row>
    <row r="1302" spans="1:15" ht="15" customHeight="1" x14ac:dyDescent="0.3">
      <c r="A1302" s="7">
        <v>8209670303</v>
      </c>
      <c r="B1302" s="4" t="s">
        <v>391</v>
      </c>
      <c r="C1302" s="4" t="s">
        <v>392</v>
      </c>
      <c r="D1302" s="6">
        <v>46309.4508333333</v>
      </c>
      <c r="E1302" s="6">
        <v>46309.200798611098</v>
      </c>
      <c r="F1302" s="6">
        <v>46309</v>
      </c>
      <c r="G1302" s="5" t="s">
        <v>12</v>
      </c>
      <c r="H1302" s="5" t="s">
        <v>27</v>
      </c>
      <c r="I1302" s="5">
        <v>1</v>
      </c>
      <c r="J1302" s="10" t="s">
        <v>17</v>
      </c>
      <c r="K1302" s="1" t="s">
        <v>1594</v>
      </c>
      <c r="M1302" t="str">
        <f>+VLOOKUP(C1302,'[1]TIENDAS 2025'!$A$1:$C$143,3,0)</f>
        <v>local</v>
      </c>
      <c r="O1302">
        <v>1</v>
      </c>
    </row>
    <row r="1303" spans="1:15" ht="15" customHeight="1" x14ac:dyDescent="0.3">
      <c r="A1303" s="7">
        <v>1209670405</v>
      </c>
      <c r="B1303" s="4" t="s">
        <v>554</v>
      </c>
      <c r="C1303" s="4" t="s">
        <v>555</v>
      </c>
      <c r="D1303" s="6">
        <v>46309.450844907398</v>
      </c>
      <c r="E1303" s="6">
        <v>46309.200810185197</v>
      </c>
      <c r="F1303" s="6">
        <v>46309</v>
      </c>
      <c r="G1303" s="5" t="s">
        <v>12</v>
      </c>
      <c r="H1303" s="5" t="s">
        <v>29</v>
      </c>
      <c r="I1303" s="5">
        <v>18</v>
      </c>
      <c r="J1303" s="9" t="s">
        <v>17</v>
      </c>
      <c r="K1303" s="1" t="s">
        <v>1595</v>
      </c>
      <c r="L1303" t="s">
        <v>3284</v>
      </c>
      <c r="M1303" t="str">
        <f>+VLOOKUP(C1303,'[1]TIENDAS 2025'!$A$1:$C$143,3,0)</f>
        <v>nocturna</v>
      </c>
      <c r="O1303">
        <v>1</v>
      </c>
    </row>
    <row r="1304" spans="1:15" ht="15" customHeight="1" x14ac:dyDescent="0.3">
      <c r="A1304" s="7">
        <v>8209670395</v>
      </c>
      <c r="B1304" s="4" t="s">
        <v>554</v>
      </c>
      <c r="C1304" s="4" t="s">
        <v>555</v>
      </c>
      <c r="D1304" s="6">
        <v>46309.450856481497</v>
      </c>
      <c r="E1304" s="6">
        <v>46309.2008333333</v>
      </c>
      <c r="F1304" s="6">
        <v>46309</v>
      </c>
      <c r="G1304" s="5" t="s">
        <v>12</v>
      </c>
      <c r="H1304" s="5" t="s">
        <v>27</v>
      </c>
      <c r="I1304" s="5">
        <v>6</v>
      </c>
      <c r="J1304" s="10" t="s">
        <v>17</v>
      </c>
      <c r="K1304" s="1" t="s">
        <v>1596</v>
      </c>
      <c r="M1304" t="str">
        <f>+VLOOKUP(C1304,'[1]TIENDAS 2025'!$A$1:$C$143,3,0)</f>
        <v>nocturna</v>
      </c>
      <c r="O1304">
        <v>1</v>
      </c>
    </row>
    <row r="1305" spans="1:15" ht="15" customHeight="1" x14ac:dyDescent="0.3">
      <c r="A1305" s="7">
        <v>1209670306</v>
      </c>
      <c r="B1305" s="4" t="s">
        <v>391</v>
      </c>
      <c r="C1305" s="4" t="s">
        <v>392</v>
      </c>
      <c r="D1305" s="6">
        <v>46309.4508796296</v>
      </c>
      <c r="E1305" s="6">
        <v>46309.200844907398</v>
      </c>
      <c r="F1305" s="6">
        <v>46309</v>
      </c>
      <c r="G1305" s="5" t="s">
        <v>12</v>
      </c>
      <c r="H1305" s="5" t="s">
        <v>16</v>
      </c>
      <c r="I1305" s="5">
        <v>4</v>
      </c>
      <c r="J1305" s="9" t="s">
        <v>17</v>
      </c>
      <c r="K1305" s="1" t="s">
        <v>1597</v>
      </c>
      <c r="L1305" t="s">
        <v>3284</v>
      </c>
      <c r="M1305" t="str">
        <f>+VLOOKUP(C1305,'[1]TIENDAS 2025'!$A$1:$C$143,3,0)</f>
        <v>local</v>
      </c>
      <c r="O1305">
        <v>1</v>
      </c>
    </row>
    <row r="1306" spans="1:15" ht="15" customHeight="1" x14ac:dyDescent="0.3">
      <c r="A1306" s="7">
        <v>1209670340</v>
      </c>
      <c r="B1306" s="4" t="s">
        <v>229</v>
      </c>
      <c r="C1306" s="4" t="s">
        <v>230</v>
      </c>
      <c r="D1306" s="6">
        <v>46309.450891203698</v>
      </c>
      <c r="E1306" s="6">
        <v>46309.200868055603</v>
      </c>
      <c r="F1306" s="6">
        <v>46309</v>
      </c>
      <c r="G1306" s="5" t="s">
        <v>12</v>
      </c>
      <c r="H1306" s="5" t="s">
        <v>16</v>
      </c>
      <c r="I1306" s="5">
        <v>17</v>
      </c>
      <c r="J1306" s="9" t="s">
        <v>17</v>
      </c>
      <c r="K1306" s="1" t="s">
        <v>1598</v>
      </c>
      <c r="L1306" t="s">
        <v>3284</v>
      </c>
      <c r="M1306" t="str">
        <f>+VLOOKUP(C1306,'[1]TIENDAS 2025'!$A$1:$C$143,3,0)</f>
        <v>local</v>
      </c>
      <c r="O1306">
        <v>1</v>
      </c>
    </row>
    <row r="1307" spans="1:15" ht="15" customHeight="1" x14ac:dyDescent="0.3">
      <c r="A1307" s="7">
        <v>1209670437</v>
      </c>
      <c r="B1307" s="4" t="s">
        <v>373</v>
      </c>
      <c r="C1307" s="4" t="s">
        <v>374</v>
      </c>
      <c r="D1307" s="6">
        <v>46309.450914351903</v>
      </c>
      <c r="E1307" s="6">
        <v>46309.200891203698</v>
      </c>
      <c r="F1307" s="6">
        <v>46309</v>
      </c>
      <c r="G1307" s="5" t="s">
        <v>12</v>
      </c>
      <c r="H1307" s="5" t="s">
        <v>29</v>
      </c>
      <c r="I1307" s="5">
        <v>13</v>
      </c>
      <c r="J1307" s="9" t="s">
        <v>17</v>
      </c>
      <c r="K1307" s="1" t="s">
        <v>1599</v>
      </c>
      <c r="L1307" t="s">
        <v>3284</v>
      </c>
      <c r="M1307" t="str">
        <f>+VLOOKUP(C1307,'[1]TIENDAS 2025'!$A$1:$C$143,3,0)</f>
        <v>departamental</v>
      </c>
      <c r="O1307">
        <v>1</v>
      </c>
    </row>
    <row r="1308" spans="1:15" ht="15" customHeight="1" x14ac:dyDescent="0.3">
      <c r="A1308" s="7">
        <v>1209670394</v>
      </c>
      <c r="B1308" s="4" t="s">
        <v>309</v>
      </c>
      <c r="C1308" s="4" t="s">
        <v>310</v>
      </c>
      <c r="D1308" s="6">
        <v>46309.450937499998</v>
      </c>
      <c r="E1308" s="6">
        <v>46309.200902777797</v>
      </c>
      <c r="F1308" s="6">
        <v>46309</v>
      </c>
      <c r="G1308" s="5" t="s">
        <v>12</v>
      </c>
      <c r="H1308" s="5" t="s">
        <v>29</v>
      </c>
      <c r="I1308" s="5">
        <v>68</v>
      </c>
      <c r="J1308" s="9" t="s">
        <v>17</v>
      </c>
      <c r="K1308" s="1" t="s">
        <v>1600</v>
      </c>
      <c r="L1308" t="s">
        <v>3284</v>
      </c>
      <c r="M1308" t="str">
        <f>+VLOOKUP(C1308,'[1]TIENDAS 2025'!$A$1:$C$143,3,0)</f>
        <v>departamental</v>
      </c>
      <c r="O1308">
        <v>1</v>
      </c>
    </row>
    <row r="1309" spans="1:15" ht="15" customHeight="1" x14ac:dyDescent="0.3">
      <c r="A1309" s="7">
        <v>8209670396</v>
      </c>
      <c r="B1309" s="4" t="s">
        <v>554</v>
      </c>
      <c r="C1309" s="4" t="s">
        <v>555</v>
      </c>
      <c r="D1309" s="6">
        <v>46309.450949074097</v>
      </c>
      <c r="E1309" s="6">
        <v>46309.200925925899</v>
      </c>
      <c r="F1309" s="6">
        <v>46309</v>
      </c>
      <c r="G1309" s="5" t="s">
        <v>12</v>
      </c>
      <c r="H1309" s="5" t="s">
        <v>27</v>
      </c>
      <c r="I1309" s="5">
        <v>3</v>
      </c>
      <c r="J1309" s="10" t="s">
        <v>17</v>
      </c>
      <c r="K1309" s="1" t="s">
        <v>1601</v>
      </c>
      <c r="M1309" t="str">
        <f>+VLOOKUP(C1309,'[1]TIENDAS 2025'!$A$1:$C$143,3,0)</f>
        <v>nocturna</v>
      </c>
      <c r="O1309">
        <v>1</v>
      </c>
    </row>
    <row r="1310" spans="1:15" ht="15" customHeight="1" x14ac:dyDescent="0.3">
      <c r="A1310" s="7">
        <v>8209670302</v>
      </c>
      <c r="B1310" s="4" t="s">
        <v>391</v>
      </c>
      <c r="C1310" s="4" t="s">
        <v>392</v>
      </c>
      <c r="D1310" s="6">
        <v>46309.450972222199</v>
      </c>
      <c r="E1310" s="6">
        <v>46309.200949074097</v>
      </c>
      <c r="F1310" s="6">
        <v>46309</v>
      </c>
      <c r="G1310" s="5" t="s">
        <v>12</v>
      </c>
      <c r="H1310" s="5" t="s">
        <v>27</v>
      </c>
      <c r="I1310" s="5">
        <v>2</v>
      </c>
      <c r="J1310" s="10" t="s">
        <v>17</v>
      </c>
      <c r="K1310" s="1" t="s">
        <v>1602</v>
      </c>
      <c r="M1310" t="str">
        <f>+VLOOKUP(C1310,'[1]TIENDAS 2025'!$A$1:$C$143,3,0)</f>
        <v>local</v>
      </c>
      <c r="O1310">
        <v>1</v>
      </c>
    </row>
    <row r="1311" spans="1:15" ht="15" customHeight="1" x14ac:dyDescent="0.3">
      <c r="A1311" s="7">
        <v>1209670312</v>
      </c>
      <c r="B1311" s="4" t="s">
        <v>391</v>
      </c>
      <c r="C1311" s="4" t="s">
        <v>392</v>
      </c>
      <c r="D1311" s="6">
        <v>46309.450995370396</v>
      </c>
      <c r="E1311" s="6">
        <v>46309.200960648202</v>
      </c>
      <c r="F1311" s="6">
        <v>46309</v>
      </c>
      <c r="G1311" s="5" t="s">
        <v>12</v>
      </c>
      <c r="H1311" s="5" t="s">
        <v>16</v>
      </c>
      <c r="I1311" s="5">
        <v>19</v>
      </c>
      <c r="J1311" s="9" t="s">
        <v>17</v>
      </c>
      <c r="K1311" s="1" t="s">
        <v>1603</v>
      </c>
      <c r="L1311" t="s">
        <v>3284</v>
      </c>
      <c r="M1311" t="str">
        <f>+VLOOKUP(C1311,'[1]TIENDAS 2025'!$A$1:$C$143,3,0)</f>
        <v>local</v>
      </c>
      <c r="O1311">
        <v>1</v>
      </c>
    </row>
    <row r="1312" spans="1:15" ht="15" customHeight="1" x14ac:dyDescent="0.3">
      <c r="A1312" s="7">
        <v>8209670317</v>
      </c>
      <c r="B1312" s="4" t="s">
        <v>391</v>
      </c>
      <c r="C1312" s="4" t="s">
        <v>392</v>
      </c>
      <c r="D1312" s="6">
        <v>46309.451018518499</v>
      </c>
      <c r="E1312" s="6">
        <v>46309.200983796298</v>
      </c>
      <c r="F1312" s="6">
        <v>46309</v>
      </c>
      <c r="G1312" s="5" t="s">
        <v>12</v>
      </c>
      <c r="H1312" s="5" t="s">
        <v>27</v>
      </c>
      <c r="I1312" s="5">
        <v>1</v>
      </c>
      <c r="J1312" s="10" t="s">
        <v>17</v>
      </c>
      <c r="K1312" s="1" t="s">
        <v>1604</v>
      </c>
      <c r="M1312" t="str">
        <f>+VLOOKUP(C1312,'[1]TIENDAS 2025'!$A$1:$C$143,3,0)</f>
        <v>local</v>
      </c>
      <c r="O1312">
        <v>1</v>
      </c>
    </row>
    <row r="1313" spans="1:15" ht="15" customHeight="1" x14ac:dyDescent="0.3">
      <c r="A1313" s="7">
        <v>1209670390</v>
      </c>
      <c r="B1313" s="4" t="s">
        <v>309</v>
      </c>
      <c r="C1313" s="4" t="s">
        <v>310</v>
      </c>
      <c r="D1313" s="6">
        <v>46309.451018518499</v>
      </c>
      <c r="E1313" s="6">
        <v>46309.200995370396</v>
      </c>
      <c r="F1313" s="6">
        <v>46309</v>
      </c>
      <c r="G1313" s="5" t="s">
        <v>12</v>
      </c>
      <c r="H1313" s="5" t="s">
        <v>16</v>
      </c>
      <c r="I1313" s="5">
        <v>40</v>
      </c>
      <c r="J1313" s="9" t="s">
        <v>17</v>
      </c>
      <c r="K1313" s="1" t="s">
        <v>1605</v>
      </c>
      <c r="L1313" t="s">
        <v>3284</v>
      </c>
      <c r="M1313" t="str">
        <f>+VLOOKUP(C1313,'[1]TIENDAS 2025'!$A$1:$C$143,3,0)</f>
        <v>departamental</v>
      </c>
      <c r="O1313">
        <v>1</v>
      </c>
    </row>
    <row r="1314" spans="1:15" ht="15" customHeight="1" x14ac:dyDescent="0.3">
      <c r="A1314" s="7">
        <v>1209670404</v>
      </c>
      <c r="B1314" s="4" t="s">
        <v>554</v>
      </c>
      <c r="C1314" s="4" t="s">
        <v>555</v>
      </c>
      <c r="D1314" s="6">
        <v>46309.451041666704</v>
      </c>
      <c r="E1314" s="6">
        <v>46309.2010069444</v>
      </c>
      <c r="F1314" s="6">
        <v>46309</v>
      </c>
      <c r="G1314" s="5" t="s">
        <v>12</v>
      </c>
      <c r="H1314" s="5" t="s">
        <v>16</v>
      </c>
      <c r="I1314" s="5">
        <v>7</v>
      </c>
      <c r="J1314" s="9" t="s">
        <v>17</v>
      </c>
      <c r="K1314" s="1" t="s">
        <v>1606</v>
      </c>
      <c r="L1314" t="s">
        <v>3284</v>
      </c>
      <c r="M1314" t="str">
        <f>+VLOOKUP(C1314,'[1]TIENDAS 2025'!$A$1:$C$143,3,0)</f>
        <v>nocturna</v>
      </c>
      <c r="O1314">
        <v>1</v>
      </c>
    </row>
    <row r="1315" spans="1:15" ht="15" customHeight="1" x14ac:dyDescent="0.3">
      <c r="A1315" s="7">
        <v>8209670369</v>
      </c>
      <c r="B1315" s="4" t="s">
        <v>309</v>
      </c>
      <c r="C1315" s="4" t="s">
        <v>310</v>
      </c>
      <c r="D1315" s="6">
        <v>46309.4510532407</v>
      </c>
      <c r="E1315" s="6">
        <v>46309.201030092598</v>
      </c>
      <c r="F1315" s="6">
        <v>46309</v>
      </c>
      <c r="G1315" s="5" t="s">
        <v>12</v>
      </c>
      <c r="H1315" s="5" t="s">
        <v>27</v>
      </c>
      <c r="I1315" s="5">
        <v>10</v>
      </c>
      <c r="J1315" s="10" t="s">
        <v>17</v>
      </c>
      <c r="K1315" s="1" t="s">
        <v>1607</v>
      </c>
      <c r="M1315" t="str">
        <f>+VLOOKUP(C1315,'[1]TIENDAS 2025'!$A$1:$C$143,3,0)</f>
        <v>departamental</v>
      </c>
      <c r="O1315">
        <v>1</v>
      </c>
    </row>
    <row r="1316" spans="1:15" ht="15" customHeight="1" x14ac:dyDescent="0.3">
      <c r="A1316" s="7">
        <v>1209670408</v>
      </c>
      <c r="B1316" s="4" t="s">
        <v>554</v>
      </c>
      <c r="C1316" s="4" t="s">
        <v>555</v>
      </c>
      <c r="D1316" s="6">
        <v>46309.451076388897</v>
      </c>
      <c r="E1316" s="6">
        <v>46309.201041666704</v>
      </c>
      <c r="F1316" s="6">
        <v>46309</v>
      </c>
      <c r="G1316" s="5" t="s">
        <v>12</v>
      </c>
      <c r="H1316" s="5" t="s">
        <v>29</v>
      </c>
      <c r="I1316" s="5">
        <v>28</v>
      </c>
      <c r="J1316" s="9" t="s">
        <v>17</v>
      </c>
      <c r="K1316" s="1" t="s">
        <v>1608</v>
      </c>
      <c r="L1316" t="s">
        <v>3284</v>
      </c>
      <c r="M1316" t="str">
        <f>+VLOOKUP(C1316,'[1]TIENDAS 2025'!$A$1:$C$143,3,0)</f>
        <v>nocturna</v>
      </c>
      <c r="O1316">
        <v>1</v>
      </c>
    </row>
    <row r="1317" spans="1:15" ht="15" customHeight="1" x14ac:dyDescent="0.3">
      <c r="A1317" s="7">
        <v>8209670397</v>
      </c>
      <c r="B1317" s="4" t="s">
        <v>554</v>
      </c>
      <c r="C1317" s="4" t="s">
        <v>555</v>
      </c>
      <c r="D1317" s="6">
        <v>46309.451087963003</v>
      </c>
      <c r="E1317" s="6">
        <v>46309.2010532407</v>
      </c>
      <c r="F1317" s="6">
        <v>46309</v>
      </c>
      <c r="G1317" s="5" t="s">
        <v>12</v>
      </c>
      <c r="H1317" s="5" t="s">
        <v>27</v>
      </c>
      <c r="I1317" s="5">
        <v>1</v>
      </c>
      <c r="J1317" s="10" t="s">
        <v>17</v>
      </c>
      <c r="K1317" s="1" t="s">
        <v>1609</v>
      </c>
      <c r="M1317" t="str">
        <f>+VLOOKUP(C1317,'[1]TIENDAS 2025'!$A$1:$C$143,3,0)</f>
        <v>nocturna</v>
      </c>
      <c r="O1317">
        <v>1</v>
      </c>
    </row>
    <row r="1318" spans="1:15" ht="15" customHeight="1" x14ac:dyDescent="0.3">
      <c r="A1318" s="7">
        <v>1209670310</v>
      </c>
      <c r="B1318" s="4" t="s">
        <v>391</v>
      </c>
      <c r="C1318" s="4" t="s">
        <v>392</v>
      </c>
      <c r="D1318" s="6">
        <v>46309.451099537</v>
      </c>
      <c r="E1318" s="6">
        <v>46309.201064814799</v>
      </c>
      <c r="F1318" s="6">
        <v>46309</v>
      </c>
      <c r="G1318" s="5" t="s">
        <v>12</v>
      </c>
      <c r="H1318" s="5" t="s">
        <v>16</v>
      </c>
      <c r="I1318" s="5">
        <v>15</v>
      </c>
      <c r="J1318" s="9" t="s">
        <v>17</v>
      </c>
      <c r="K1318" s="1" t="s">
        <v>1610</v>
      </c>
      <c r="L1318" t="s">
        <v>3284</v>
      </c>
      <c r="M1318" t="str">
        <f>+VLOOKUP(C1318,'[1]TIENDAS 2025'!$A$1:$C$143,3,0)</f>
        <v>local</v>
      </c>
      <c r="O1318">
        <v>1</v>
      </c>
    </row>
    <row r="1319" spans="1:15" ht="15" customHeight="1" x14ac:dyDescent="0.3">
      <c r="A1319" s="7">
        <v>8209670333</v>
      </c>
      <c r="B1319" s="4" t="s">
        <v>229</v>
      </c>
      <c r="C1319" s="4" t="s">
        <v>230</v>
      </c>
      <c r="D1319" s="6">
        <v>46309.451111111099</v>
      </c>
      <c r="E1319" s="6">
        <v>46309.201087963003</v>
      </c>
      <c r="F1319" s="6">
        <v>46309</v>
      </c>
      <c r="G1319" s="5" t="s">
        <v>12</v>
      </c>
      <c r="H1319" s="5" t="s">
        <v>27</v>
      </c>
      <c r="I1319" s="5">
        <v>1</v>
      </c>
      <c r="J1319" s="10" t="s">
        <v>17</v>
      </c>
      <c r="K1319" s="1" t="s">
        <v>1611</v>
      </c>
      <c r="M1319" t="str">
        <f>+VLOOKUP(C1319,'[1]TIENDAS 2025'!$A$1:$C$143,3,0)</f>
        <v>local</v>
      </c>
      <c r="O1319">
        <v>1</v>
      </c>
    </row>
    <row r="1320" spans="1:15" ht="15" customHeight="1" x14ac:dyDescent="0.3">
      <c r="A1320" s="7">
        <v>1209670337</v>
      </c>
      <c r="B1320" s="4" t="s">
        <v>229</v>
      </c>
      <c r="C1320" s="4" t="s">
        <v>230</v>
      </c>
      <c r="D1320" s="6">
        <v>46309.451134259303</v>
      </c>
      <c r="E1320" s="6">
        <v>46309.201099537</v>
      </c>
      <c r="F1320" s="6">
        <v>46309</v>
      </c>
      <c r="G1320" s="5" t="s">
        <v>12</v>
      </c>
      <c r="H1320" s="5" t="s">
        <v>16</v>
      </c>
      <c r="I1320" s="5">
        <v>1</v>
      </c>
      <c r="J1320" s="9" t="s">
        <v>17</v>
      </c>
      <c r="K1320" s="1" t="s">
        <v>1612</v>
      </c>
      <c r="L1320" t="s">
        <v>3284</v>
      </c>
      <c r="M1320" t="str">
        <f>+VLOOKUP(C1320,'[1]TIENDAS 2025'!$A$1:$C$143,3,0)</f>
        <v>local</v>
      </c>
      <c r="O1320">
        <v>1</v>
      </c>
    </row>
    <row r="1321" spans="1:15" ht="15" customHeight="1" x14ac:dyDescent="0.3">
      <c r="A1321" s="7">
        <v>1209670339</v>
      </c>
      <c r="B1321" s="4" t="s">
        <v>229</v>
      </c>
      <c r="C1321" s="4" t="s">
        <v>230</v>
      </c>
      <c r="D1321" s="6">
        <v>46309.4511458333</v>
      </c>
      <c r="E1321" s="6">
        <v>46309.201111111099</v>
      </c>
      <c r="F1321" s="6">
        <v>46309</v>
      </c>
      <c r="G1321" s="5" t="s">
        <v>12</v>
      </c>
      <c r="H1321" s="5" t="s">
        <v>16</v>
      </c>
      <c r="I1321" s="5">
        <v>13</v>
      </c>
      <c r="J1321" s="9" t="s">
        <v>17</v>
      </c>
      <c r="K1321" s="1" t="s">
        <v>1613</v>
      </c>
      <c r="L1321" t="s">
        <v>3284</v>
      </c>
      <c r="M1321" t="str">
        <f>+VLOOKUP(C1321,'[1]TIENDAS 2025'!$A$1:$C$143,3,0)</f>
        <v>local</v>
      </c>
      <c r="O1321">
        <v>1</v>
      </c>
    </row>
    <row r="1322" spans="1:15" ht="15" customHeight="1" x14ac:dyDescent="0.3">
      <c r="A1322" s="7">
        <v>1209670318</v>
      </c>
      <c r="B1322" s="4" t="s">
        <v>391</v>
      </c>
      <c r="C1322" s="4" t="s">
        <v>392</v>
      </c>
      <c r="D1322" s="6">
        <v>46309.451168981497</v>
      </c>
      <c r="E1322" s="6">
        <v>46309.2011458333</v>
      </c>
      <c r="F1322" s="6">
        <v>46309</v>
      </c>
      <c r="G1322" s="5" t="s">
        <v>12</v>
      </c>
      <c r="H1322" s="5" t="s">
        <v>16</v>
      </c>
      <c r="I1322" s="5">
        <v>2</v>
      </c>
      <c r="J1322" s="9" t="s">
        <v>17</v>
      </c>
      <c r="K1322" s="1" t="s">
        <v>1614</v>
      </c>
      <c r="L1322" t="s">
        <v>3284</v>
      </c>
      <c r="M1322" t="str">
        <f>+VLOOKUP(C1322,'[1]TIENDAS 2025'!$A$1:$C$143,3,0)</f>
        <v>local</v>
      </c>
      <c r="O1322">
        <v>1</v>
      </c>
    </row>
    <row r="1323" spans="1:15" ht="15" customHeight="1" x14ac:dyDescent="0.3">
      <c r="A1323" s="7">
        <v>8209670316</v>
      </c>
      <c r="B1323" s="4" t="s">
        <v>391</v>
      </c>
      <c r="C1323" s="4" t="s">
        <v>392</v>
      </c>
      <c r="D1323" s="6">
        <v>46309.451168981497</v>
      </c>
      <c r="E1323" s="6">
        <v>46309.201122685197</v>
      </c>
      <c r="F1323" s="6">
        <v>46309</v>
      </c>
      <c r="G1323" s="5" t="s">
        <v>12</v>
      </c>
      <c r="H1323" s="5" t="s">
        <v>27</v>
      </c>
      <c r="I1323" s="5">
        <v>1</v>
      </c>
      <c r="J1323" s="10" t="s">
        <v>17</v>
      </c>
      <c r="K1323" s="1" t="s">
        <v>1615</v>
      </c>
      <c r="M1323" t="str">
        <f>+VLOOKUP(C1323,'[1]TIENDAS 2025'!$A$1:$C$143,3,0)</f>
        <v>local</v>
      </c>
      <c r="O1323">
        <v>1</v>
      </c>
    </row>
    <row r="1324" spans="1:15" ht="15" customHeight="1" x14ac:dyDescent="0.3">
      <c r="A1324" s="7">
        <v>1209670320</v>
      </c>
      <c r="B1324" s="4" t="s">
        <v>391</v>
      </c>
      <c r="C1324" s="4" t="s">
        <v>392</v>
      </c>
      <c r="D1324" s="6">
        <v>46309.451180555603</v>
      </c>
      <c r="E1324" s="6">
        <v>46309.201157407399</v>
      </c>
      <c r="F1324" s="6">
        <v>46309</v>
      </c>
      <c r="G1324" s="5" t="s">
        <v>12</v>
      </c>
      <c r="H1324" s="5" t="s">
        <v>16</v>
      </c>
      <c r="I1324" s="5">
        <v>14</v>
      </c>
      <c r="J1324" s="9" t="s">
        <v>17</v>
      </c>
      <c r="K1324" s="1" t="s">
        <v>1616</v>
      </c>
      <c r="L1324" t="s">
        <v>3284</v>
      </c>
      <c r="M1324" t="str">
        <f>+VLOOKUP(C1324,'[1]TIENDAS 2025'!$A$1:$C$143,3,0)</f>
        <v>local</v>
      </c>
      <c r="O1324">
        <v>1</v>
      </c>
    </row>
    <row r="1325" spans="1:15" ht="15" customHeight="1" x14ac:dyDescent="0.3">
      <c r="A1325" s="7">
        <v>1209670401</v>
      </c>
      <c r="B1325" s="4" t="s">
        <v>554</v>
      </c>
      <c r="C1325" s="4" t="s">
        <v>555</v>
      </c>
      <c r="D1325" s="6">
        <v>46309.451203703698</v>
      </c>
      <c r="E1325" s="6">
        <v>46309.201168981497</v>
      </c>
      <c r="F1325" s="6">
        <v>46309</v>
      </c>
      <c r="G1325" s="5" t="s">
        <v>12</v>
      </c>
      <c r="H1325" s="5" t="s">
        <v>16</v>
      </c>
      <c r="I1325" s="5">
        <v>3</v>
      </c>
      <c r="J1325" s="9" t="s">
        <v>17</v>
      </c>
      <c r="K1325" s="1" t="s">
        <v>1617</v>
      </c>
      <c r="L1325" t="s">
        <v>3284</v>
      </c>
      <c r="M1325" t="str">
        <f>+VLOOKUP(C1325,'[1]TIENDAS 2025'!$A$1:$C$143,3,0)</f>
        <v>nocturna</v>
      </c>
      <c r="O1325">
        <v>1</v>
      </c>
    </row>
    <row r="1326" spans="1:15" ht="15" customHeight="1" x14ac:dyDescent="0.3">
      <c r="A1326" s="7">
        <v>1209670446</v>
      </c>
      <c r="B1326" s="4" t="s">
        <v>373</v>
      </c>
      <c r="C1326" s="4" t="s">
        <v>374</v>
      </c>
      <c r="D1326" s="6">
        <v>46309.451215277797</v>
      </c>
      <c r="E1326" s="6">
        <v>46309.201180555603</v>
      </c>
      <c r="F1326" s="6">
        <v>46309</v>
      </c>
      <c r="G1326" s="5" t="s">
        <v>12</v>
      </c>
      <c r="H1326" s="5" t="s">
        <v>16</v>
      </c>
      <c r="I1326" s="5">
        <v>3</v>
      </c>
      <c r="J1326" s="9" t="s">
        <v>17</v>
      </c>
      <c r="K1326" s="1" t="s">
        <v>1618</v>
      </c>
      <c r="L1326" t="s">
        <v>3284</v>
      </c>
      <c r="M1326" t="str">
        <f>+VLOOKUP(C1326,'[1]TIENDAS 2025'!$A$1:$C$143,3,0)</f>
        <v>departamental</v>
      </c>
      <c r="O1326">
        <v>1</v>
      </c>
    </row>
    <row r="1327" spans="1:15" ht="15" customHeight="1" x14ac:dyDescent="0.3">
      <c r="A1327" s="7">
        <v>1209670391</v>
      </c>
      <c r="B1327" s="4" t="s">
        <v>309</v>
      </c>
      <c r="C1327" s="4" t="s">
        <v>310</v>
      </c>
      <c r="D1327" s="6">
        <v>46309.451226851903</v>
      </c>
      <c r="E1327" s="6">
        <v>46309.201203703698</v>
      </c>
      <c r="F1327" s="6">
        <v>46309</v>
      </c>
      <c r="G1327" s="5" t="s">
        <v>12</v>
      </c>
      <c r="H1327" s="5" t="s">
        <v>16</v>
      </c>
      <c r="I1327" s="5">
        <v>40</v>
      </c>
      <c r="J1327" s="9" t="s">
        <v>17</v>
      </c>
      <c r="K1327" s="1" t="s">
        <v>1619</v>
      </c>
      <c r="L1327" t="s">
        <v>3284</v>
      </c>
      <c r="M1327" t="str">
        <f>+VLOOKUP(C1327,'[1]TIENDAS 2025'!$A$1:$C$143,3,0)</f>
        <v>departamental</v>
      </c>
      <c r="O1327">
        <v>1</v>
      </c>
    </row>
    <row r="1328" spans="1:15" ht="15" customHeight="1" x14ac:dyDescent="0.3">
      <c r="A1328" s="7">
        <v>1209670407</v>
      </c>
      <c r="B1328" s="4" t="s">
        <v>554</v>
      </c>
      <c r="C1328" s="4" t="s">
        <v>555</v>
      </c>
      <c r="D1328" s="6">
        <v>46309.4512384259</v>
      </c>
      <c r="E1328" s="6">
        <v>46309.201215277797</v>
      </c>
      <c r="F1328" s="6">
        <v>46309</v>
      </c>
      <c r="G1328" s="5" t="s">
        <v>12</v>
      </c>
      <c r="H1328" s="5" t="s">
        <v>16</v>
      </c>
      <c r="I1328" s="5">
        <v>27</v>
      </c>
      <c r="J1328" s="9" t="s">
        <v>17</v>
      </c>
      <c r="K1328" s="1" t="s">
        <v>1620</v>
      </c>
      <c r="L1328" t="s">
        <v>3284</v>
      </c>
      <c r="M1328" t="str">
        <f>+VLOOKUP(C1328,'[1]TIENDAS 2025'!$A$1:$C$143,3,0)</f>
        <v>nocturna</v>
      </c>
      <c r="O1328">
        <v>1</v>
      </c>
    </row>
    <row r="1329" spans="1:15" ht="15" customHeight="1" x14ac:dyDescent="0.3">
      <c r="A1329" s="7">
        <v>8209670371</v>
      </c>
      <c r="B1329" s="4" t="s">
        <v>309</v>
      </c>
      <c r="C1329" s="4" t="s">
        <v>310</v>
      </c>
      <c r="D1329" s="6">
        <v>46309.451261574097</v>
      </c>
      <c r="E1329" s="6">
        <v>46309.201226851903</v>
      </c>
      <c r="F1329" s="6">
        <v>46309</v>
      </c>
      <c r="G1329" s="5" t="s">
        <v>12</v>
      </c>
      <c r="H1329" s="5" t="s">
        <v>27</v>
      </c>
      <c r="I1329" s="5">
        <v>27</v>
      </c>
      <c r="J1329" s="10" t="s">
        <v>17</v>
      </c>
      <c r="K1329" s="1" t="s">
        <v>1621</v>
      </c>
      <c r="M1329" t="str">
        <f>+VLOOKUP(C1329,'[1]TIENDAS 2025'!$A$1:$C$143,3,0)</f>
        <v>departamental</v>
      </c>
      <c r="O1329">
        <v>1</v>
      </c>
    </row>
    <row r="1330" spans="1:15" ht="15" customHeight="1" x14ac:dyDescent="0.3">
      <c r="A1330" s="7">
        <v>8209670445</v>
      </c>
      <c r="B1330" s="4" t="s">
        <v>373</v>
      </c>
      <c r="C1330" s="4" t="s">
        <v>374</v>
      </c>
      <c r="D1330" s="6">
        <v>46309.451273148101</v>
      </c>
      <c r="E1330" s="6">
        <v>46309.2012384259</v>
      </c>
      <c r="F1330" s="6">
        <v>46309</v>
      </c>
      <c r="G1330" s="5" t="s">
        <v>12</v>
      </c>
      <c r="H1330" s="5" t="s">
        <v>27</v>
      </c>
      <c r="I1330" s="5">
        <v>3</v>
      </c>
      <c r="J1330" s="10" t="s">
        <v>17</v>
      </c>
      <c r="K1330" s="1" t="s">
        <v>1622</v>
      </c>
      <c r="M1330" t="str">
        <f>+VLOOKUP(C1330,'[1]TIENDAS 2025'!$A$1:$C$143,3,0)</f>
        <v>departamental</v>
      </c>
      <c r="O1330">
        <v>1</v>
      </c>
    </row>
    <row r="1331" spans="1:15" ht="15" customHeight="1" x14ac:dyDescent="0.3">
      <c r="A1331" s="7">
        <v>1209670309</v>
      </c>
      <c r="B1331" s="4" t="s">
        <v>391</v>
      </c>
      <c r="C1331" s="4" t="s">
        <v>392</v>
      </c>
      <c r="D1331" s="6">
        <v>46309.451284722199</v>
      </c>
      <c r="E1331" s="6">
        <v>46309.201261574097</v>
      </c>
      <c r="F1331" s="6">
        <v>46309</v>
      </c>
      <c r="G1331" s="5" t="s">
        <v>12</v>
      </c>
      <c r="H1331" s="5" t="s">
        <v>16</v>
      </c>
      <c r="I1331" s="5">
        <v>6</v>
      </c>
      <c r="J1331" s="9" t="s">
        <v>17</v>
      </c>
      <c r="K1331" s="1" t="s">
        <v>1623</v>
      </c>
      <c r="L1331" t="s">
        <v>3284</v>
      </c>
      <c r="M1331" t="str">
        <f>+VLOOKUP(C1331,'[1]TIENDAS 2025'!$A$1:$C$143,3,0)</f>
        <v>local</v>
      </c>
      <c r="O1331">
        <v>1</v>
      </c>
    </row>
    <row r="1332" spans="1:15" ht="15" customHeight="1" x14ac:dyDescent="0.3">
      <c r="A1332" s="7">
        <v>8209670332</v>
      </c>
      <c r="B1332" s="4" t="s">
        <v>229</v>
      </c>
      <c r="C1332" s="4" t="s">
        <v>230</v>
      </c>
      <c r="D1332" s="6">
        <v>46309.451296296298</v>
      </c>
      <c r="E1332" s="6">
        <v>46309.201273148101</v>
      </c>
      <c r="F1332" s="6">
        <v>46309</v>
      </c>
      <c r="G1332" s="5" t="s">
        <v>12</v>
      </c>
      <c r="H1332" s="5" t="s">
        <v>27</v>
      </c>
      <c r="I1332" s="5">
        <v>6</v>
      </c>
      <c r="J1332" s="10" t="s">
        <v>17</v>
      </c>
      <c r="K1332" s="1" t="s">
        <v>1624</v>
      </c>
      <c r="M1332" t="str">
        <f>+VLOOKUP(C1332,'[1]TIENDAS 2025'!$A$1:$C$143,3,0)</f>
        <v>local</v>
      </c>
      <c r="O1332">
        <v>1</v>
      </c>
    </row>
    <row r="1333" spans="1:15" ht="15" customHeight="1" x14ac:dyDescent="0.3">
      <c r="A1333" s="7">
        <v>8209670334</v>
      </c>
      <c r="B1333" s="4" t="s">
        <v>229</v>
      </c>
      <c r="C1333" s="4" t="s">
        <v>230</v>
      </c>
      <c r="D1333" s="6">
        <v>46309.451307870397</v>
      </c>
      <c r="E1333" s="6">
        <v>46309.201284722199</v>
      </c>
      <c r="F1333" s="6">
        <v>46309</v>
      </c>
      <c r="G1333" s="5" t="s">
        <v>12</v>
      </c>
      <c r="H1333" s="5" t="s">
        <v>27</v>
      </c>
      <c r="I1333" s="5">
        <v>22</v>
      </c>
      <c r="J1333" s="10" t="s">
        <v>17</v>
      </c>
      <c r="K1333" s="1" t="s">
        <v>1625</v>
      </c>
      <c r="M1333" t="str">
        <f>+VLOOKUP(C1333,'[1]TIENDAS 2025'!$A$1:$C$143,3,0)</f>
        <v>local</v>
      </c>
      <c r="O1333">
        <v>1</v>
      </c>
    </row>
    <row r="1334" spans="1:15" ht="15" customHeight="1" x14ac:dyDescent="0.3">
      <c r="A1334" s="7">
        <v>1209670347</v>
      </c>
      <c r="B1334" s="4" t="s">
        <v>229</v>
      </c>
      <c r="C1334" s="4" t="s">
        <v>230</v>
      </c>
      <c r="D1334" s="6">
        <v>46309.451331018499</v>
      </c>
      <c r="E1334" s="6">
        <v>46309.201296296298</v>
      </c>
      <c r="F1334" s="6">
        <v>46309</v>
      </c>
      <c r="G1334" s="5" t="s">
        <v>12</v>
      </c>
      <c r="H1334" s="5" t="s">
        <v>29</v>
      </c>
      <c r="I1334" s="5">
        <v>35</v>
      </c>
      <c r="J1334" s="9" t="s">
        <v>17</v>
      </c>
      <c r="K1334" s="1" t="s">
        <v>1626</v>
      </c>
      <c r="L1334" t="s">
        <v>3284</v>
      </c>
      <c r="M1334" t="str">
        <f>+VLOOKUP(C1334,'[1]TIENDAS 2025'!$A$1:$C$143,3,0)</f>
        <v>local</v>
      </c>
      <c r="O1334">
        <v>1</v>
      </c>
    </row>
    <row r="1335" spans="1:15" ht="15" customHeight="1" x14ac:dyDescent="0.3">
      <c r="A1335" s="7">
        <v>8209670335</v>
      </c>
      <c r="B1335" s="4" t="s">
        <v>229</v>
      </c>
      <c r="C1335" s="4" t="s">
        <v>230</v>
      </c>
      <c r="D1335" s="6">
        <v>46309.451342592598</v>
      </c>
      <c r="E1335" s="6">
        <v>46309.201307870397</v>
      </c>
      <c r="F1335" s="6">
        <v>46309</v>
      </c>
      <c r="G1335" s="5" t="s">
        <v>12</v>
      </c>
      <c r="H1335" s="5" t="s">
        <v>27</v>
      </c>
      <c r="I1335" s="5">
        <v>10</v>
      </c>
      <c r="J1335" s="10" t="s">
        <v>17</v>
      </c>
      <c r="K1335" s="1" t="s">
        <v>1627</v>
      </c>
      <c r="M1335" t="str">
        <f>+VLOOKUP(C1335,'[1]TIENDAS 2025'!$A$1:$C$143,3,0)</f>
        <v>local</v>
      </c>
      <c r="O1335">
        <v>1</v>
      </c>
    </row>
    <row r="1336" spans="1:15" ht="15" customHeight="1" x14ac:dyDescent="0.3">
      <c r="A1336" s="7">
        <v>1209670338</v>
      </c>
      <c r="B1336" s="4" t="s">
        <v>229</v>
      </c>
      <c r="C1336" s="4" t="s">
        <v>230</v>
      </c>
      <c r="D1336" s="6">
        <v>46309.451354166697</v>
      </c>
      <c r="E1336" s="6">
        <v>46309.201331018499</v>
      </c>
      <c r="F1336" s="6">
        <v>46309</v>
      </c>
      <c r="G1336" s="5" t="s">
        <v>12</v>
      </c>
      <c r="H1336" s="5" t="s">
        <v>16</v>
      </c>
      <c r="I1336" s="5">
        <v>8</v>
      </c>
      <c r="J1336" s="9" t="s">
        <v>17</v>
      </c>
      <c r="K1336" s="1" t="s">
        <v>1628</v>
      </c>
      <c r="L1336" t="s">
        <v>3284</v>
      </c>
      <c r="M1336" t="str">
        <f>+VLOOKUP(C1336,'[1]TIENDAS 2025'!$A$1:$C$143,3,0)</f>
        <v>local</v>
      </c>
      <c r="O1336">
        <v>1</v>
      </c>
    </row>
    <row r="1337" spans="1:15" ht="15" customHeight="1" x14ac:dyDescent="0.3">
      <c r="A1337" s="7">
        <v>1209670436</v>
      </c>
      <c r="B1337" s="4" t="s">
        <v>373</v>
      </c>
      <c r="C1337" s="4" t="s">
        <v>374</v>
      </c>
      <c r="D1337" s="6">
        <v>46309.451365740701</v>
      </c>
      <c r="E1337" s="6">
        <v>46309.201342592598</v>
      </c>
      <c r="F1337" s="6">
        <v>46309</v>
      </c>
      <c r="G1337" s="5" t="s">
        <v>12</v>
      </c>
      <c r="H1337" s="5" t="s">
        <v>16</v>
      </c>
      <c r="I1337" s="5">
        <v>6</v>
      </c>
      <c r="J1337" s="9" t="s">
        <v>17</v>
      </c>
      <c r="K1337" s="1" t="s">
        <v>1629</v>
      </c>
      <c r="L1337" t="s">
        <v>3284</v>
      </c>
      <c r="M1337" t="str">
        <f>+VLOOKUP(C1337,'[1]TIENDAS 2025'!$A$1:$C$143,3,0)</f>
        <v>departamental</v>
      </c>
      <c r="O1337">
        <v>1</v>
      </c>
    </row>
    <row r="1338" spans="1:15" ht="15" customHeight="1" x14ac:dyDescent="0.3">
      <c r="A1338" s="7">
        <v>1209670448</v>
      </c>
      <c r="B1338" s="4" t="s">
        <v>373</v>
      </c>
      <c r="C1338" s="4" t="s">
        <v>374</v>
      </c>
      <c r="D1338" s="6">
        <v>46309.451377314799</v>
      </c>
      <c r="E1338" s="6">
        <v>46309.201354166697</v>
      </c>
      <c r="F1338" s="6">
        <v>46309</v>
      </c>
      <c r="G1338" s="5" t="s">
        <v>12</v>
      </c>
      <c r="H1338" s="5" t="s">
        <v>16</v>
      </c>
      <c r="I1338" s="5">
        <v>14</v>
      </c>
      <c r="J1338" s="9" t="s">
        <v>17</v>
      </c>
      <c r="K1338" s="1" t="s">
        <v>1630</v>
      </c>
      <c r="L1338" t="s">
        <v>3284</v>
      </c>
      <c r="M1338" t="str">
        <f>+VLOOKUP(C1338,'[1]TIENDAS 2025'!$A$1:$C$143,3,0)</f>
        <v>departamental</v>
      </c>
      <c r="O1338">
        <v>1</v>
      </c>
    </row>
    <row r="1339" spans="1:15" ht="15" customHeight="1" x14ac:dyDescent="0.3">
      <c r="A1339" s="7">
        <v>8209670430</v>
      </c>
      <c r="B1339" s="4" t="s">
        <v>373</v>
      </c>
      <c r="C1339" s="4" t="s">
        <v>374</v>
      </c>
      <c r="D1339" s="6">
        <v>46309.451400462996</v>
      </c>
      <c r="E1339" s="6">
        <v>46309.201365740701</v>
      </c>
      <c r="F1339" s="6">
        <v>46309</v>
      </c>
      <c r="G1339" s="5" t="s">
        <v>12</v>
      </c>
      <c r="H1339" s="5" t="s">
        <v>27</v>
      </c>
      <c r="I1339" s="5">
        <v>4</v>
      </c>
      <c r="J1339" s="10" t="s">
        <v>17</v>
      </c>
      <c r="K1339" s="1" t="s">
        <v>1631</v>
      </c>
      <c r="M1339" t="str">
        <f>+VLOOKUP(C1339,'[1]TIENDAS 2025'!$A$1:$C$143,3,0)</f>
        <v>departamental</v>
      </c>
      <c r="O1339">
        <v>1</v>
      </c>
    </row>
    <row r="1340" spans="1:15" ht="15" customHeight="1" x14ac:dyDescent="0.3">
      <c r="A1340" s="7">
        <v>8209670398</v>
      </c>
      <c r="B1340" s="4" t="s">
        <v>554</v>
      </c>
      <c r="C1340" s="4" t="s">
        <v>555</v>
      </c>
      <c r="D1340" s="6">
        <v>46309.451412037</v>
      </c>
      <c r="E1340" s="6">
        <v>46309.201377314799</v>
      </c>
      <c r="F1340" s="6">
        <v>46309</v>
      </c>
      <c r="G1340" s="5" t="s">
        <v>12</v>
      </c>
      <c r="H1340" s="5" t="s">
        <v>27</v>
      </c>
      <c r="I1340" s="5">
        <v>15</v>
      </c>
      <c r="J1340" s="10" t="s">
        <v>17</v>
      </c>
      <c r="K1340" s="1" t="s">
        <v>1632</v>
      </c>
      <c r="M1340" t="str">
        <f>+VLOOKUP(C1340,'[1]TIENDAS 2025'!$A$1:$C$143,3,0)</f>
        <v>nocturna</v>
      </c>
      <c r="O1340">
        <v>1</v>
      </c>
    </row>
    <row r="1341" spans="1:15" ht="15" customHeight="1" x14ac:dyDescent="0.3">
      <c r="A1341" s="7">
        <v>1209670452</v>
      </c>
      <c r="B1341" s="4" t="s">
        <v>373</v>
      </c>
      <c r="C1341" s="4" t="s">
        <v>374</v>
      </c>
      <c r="D1341" s="6">
        <v>46309.451423611099</v>
      </c>
      <c r="E1341" s="6">
        <v>46309.201400462996</v>
      </c>
      <c r="F1341" s="6">
        <v>46309</v>
      </c>
      <c r="G1341" s="5" t="s">
        <v>12</v>
      </c>
      <c r="H1341" s="5" t="s">
        <v>29</v>
      </c>
      <c r="I1341" s="5">
        <v>29</v>
      </c>
      <c r="J1341" s="9" t="s">
        <v>17</v>
      </c>
      <c r="K1341" s="1" t="s">
        <v>1633</v>
      </c>
      <c r="L1341" t="s">
        <v>3284</v>
      </c>
      <c r="M1341" t="str">
        <f>+VLOOKUP(C1341,'[1]TIENDAS 2025'!$A$1:$C$143,3,0)</f>
        <v>departamental</v>
      </c>
      <c r="O1341">
        <v>1</v>
      </c>
    </row>
    <row r="1342" spans="1:15" ht="15" customHeight="1" x14ac:dyDescent="0.3">
      <c r="A1342" s="7">
        <v>1209670311</v>
      </c>
      <c r="B1342" s="4" t="s">
        <v>391</v>
      </c>
      <c r="C1342" s="4" t="s">
        <v>392</v>
      </c>
      <c r="D1342" s="6">
        <v>46309.451435185198</v>
      </c>
      <c r="E1342" s="6">
        <v>46309.201412037</v>
      </c>
      <c r="F1342" s="6">
        <v>46309</v>
      </c>
      <c r="G1342" s="5" t="s">
        <v>12</v>
      </c>
      <c r="H1342" s="5" t="s">
        <v>16</v>
      </c>
      <c r="I1342" s="5">
        <v>17</v>
      </c>
      <c r="J1342" s="9" t="s">
        <v>17</v>
      </c>
      <c r="K1342" s="1" t="s">
        <v>1634</v>
      </c>
      <c r="L1342" t="s">
        <v>3284</v>
      </c>
      <c r="M1342" t="str">
        <f>+VLOOKUP(C1342,'[1]TIENDAS 2025'!$A$1:$C$143,3,0)</f>
        <v>local</v>
      </c>
      <c r="O1342">
        <v>1</v>
      </c>
    </row>
    <row r="1343" spans="1:15" ht="15" customHeight="1" x14ac:dyDescent="0.3">
      <c r="A1343" s="7">
        <v>1209670342</v>
      </c>
      <c r="B1343" s="4" t="s">
        <v>229</v>
      </c>
      <c r="C1343" s="4" t="s">
        <v>230</v>
      </c>
      <c r="D1343" s="6">
        <v>46309.4514583333</v>
      </c>
      <c r="E1343" s="6">
        <v>46309.201423611099</v>
      </c>
      <c r="F1343" s="6">
        <v>46309</v>
      </c>
      <c r="G1343" s="5" t="s">
        <v>12</v>
      </c>
      <c r="H1343" s="5" t="s">
        <v>29</v>
      </c>
      <c r="I1343" s="5">
        <v>28</v>
      </c>
      <c r="J1343" s="9" t="s">
        <v>17</v>
      </c>
      <c r="K1343" s="1" t="s">
        <v>1635</v>
      </c>
      <c r="L1343" t="s">
        <v>3284</v>
      </c>
      <c r="M1343" t="str">
        <f>+VLOOKUP(C1343,'[1]TIENDAS 2025'!$A$1:$C$143,3,0)</f>
        <v>local</v>
      </c>
      <c r="O1343">
        <v>1</v>
      </c>
    </row>
    <row r="1344" spans="1:15" ht="15" customHeight="1" x14ac:dyDescent="0.3">
      <c r="A1344" s="7">
        <v>1209670343</v>
      </c>
      <c r="B1344" s="4" t="s">
        <v>229</v>
      </c>
      <c r="C1344" s="4" t="s">
        <v>230</v>
      </c>
      <c r="D1344" s="6">
        <v>46309.451469907399</v>
      </c>
      <c r="E1344" s="6">
        <v>46309.201435185198</v>
      </c>
      <c r="F1344" s="6">
        <v>46309</v>
      </c>
      <c r="G1344" s="5" t="s">
        <v>12</v>
      </c>
      <c r="H1344" s="5" t="s">
        <v>16</v>
      </c>
      <c r="I1344" s="5">
        <v>20</v>
      </c>
      <c r="J1344" s="9" t="s">
        <v>17</v>
      </c>
      <c r="K1344" s="1" t="s">
        <v>1636</v>
      </c>
      <c r="L1344" t="s">
        <v>3284</v>
      </c>
      <c r="M1344" t="str">
        <f>+VLOOKUP(C1344,'[1]TIENDAS 2025'!$A$1:$C$143,3,0)</f>
        <v>local</v>
      </c>
      <c r="O1344">
        <v>1</v>
      </c>
    </row>
    <row r="1345" spans="1:15" ht="15" customHeight="1" x14ac:dyDescent="0.3">
      <c r="A1345" s="7">
        <v>1209670345</v>
      </c>
      <c r="B1345" s="4" t="s">
        <v>229</v>
      </c>
      <c r="C1345" s="4" t="s">
        <v>230</v>
      </c>
      <c r="D1345" s="6">
        <v>46309.451481481497</v>
      </c>
      <c r="E1345" s="6">
        <v>46309.2014583333</v>
      </c>
      <c r="F1345" s="6">
        <v>46309</v>
      </c>
      <c r="G1345" s="5" t="s">
        <v>12</v>
      </c>
      <c r="H1345" s="5" t="s">
        <v>16</v>
      </c>
      <c r="I1345" s="5">
        <v>33</v>
      </c>
      <c r="J1345" s="9" t="s">
        <v>17</v>
      </c>
      <c r="K1345" s="1" t="s">
        <v>1637</v>
      </c>
      <c r="L1345" t="s">
        <v>3284</v>
      </c>
      <c r="M1345" t="str">
        <f>+VLOOKUP(C1345,'[1]TIENDAS 2025'!$A$1:$C$143,3,0)</f>
        <v>local</v>
      </c>
      <c r="O1345">
        <v>1</v>
      </c>
    </row>
    <row r="1346" spans="1:15" ht="15" customHeight="1" x14ac:dyDescent="0.3">
      <c r="A1346" s="7">
        <v>1209670346</v>
      </c>
      <c r="B1346" s="4" t="s">
        <v>229</v>
      </c>
      <c r="C1346" s="4" t="s">
        <v>230</v>
      </c>
      <c r="D1346" s="6">
        <v>46309.451493055603</v>
      </c>
      <c r="E1346" s="6">
        <v>46309.201469907399</v>
      </c>
      <c r="F1346" s="6">
        <v>46309</v>
      </c>
      <c r="G1346" s="5" t="s">
        <v>12</v>
      </c>
      <c r="H1346" s="5" t="s">
        <v>16</v>
      </c>
      <c r="I1346" s="5">
        <v>39</v>
      </c>
      <c r="J1346" s="9" t="s">
        <v>17</v>
      </c>
      <c r="K1346" s="1" t="s">
        <v>1638</v>
      </c>
      <c r="L1346" t="s">
        <v>3284</v>
      </c>
      <c r="M1346" t="str">
        <f>+VLOOKUP(C1346,'[1]TIENDAS 2025'!$A$1:$C$143,3,0)</f>
        <v>local</v>
      </c>
      <c r="O1346">
        <v>1</v>
      </c>
    </row>
    <row r="1347" spans="1:15" ht="15" customHeight="1" x14ac:dyDescent="0.3">
      <c r="A1347" s="7">
        <v>1209670447</v>
      </c>
      <c r="B1347" s="4" t="s">
        <v>373</v>
      </c>
      <c r="C1347" s="4" t="s">
        <v>374</v>
      </c>
      <c r="D1347" s="6">
        <v>46309.451516203699</v>
      </c>
      <c r="E1347" s="6">
        <v>46309.201481481497</v>
      </c>
      <c r="F1347" s="6">
        <v>46309</v>
      </c>
      <c r="G1347" s="5" t="s">
        <v>12</v>
      </c>
      <c r="H1347" s="5" t="s">
        <v>16</v>
      </c>
      <c r="I1347" s="5">
        <v>14</v>
      </c>
      <c r="J1347" s="9" t="s">
        <v>17</v>
      </c>
      <c r="K1347" s="1" t="s">
        <v>1639</v>
      </c>
      <c r="L1347" t="s">
        <v>3284</v>
      </c>
      <c r="M1347" t="str">
        <f>+VLOOKUP(C1347,'[1]TIENDAS 2025'!$A$1:$C$143,3,0)</f>
        <v>departamental</v>
      </c>
      <c r="O1347">
        <v>1</v>
      </c>
    </row>
    <row r="1348" spans="1:15" ht="15" customHeight="1" x14ac:dyDescent="0.3">
      <c r="A1348" s="7">
        <v>1209670381</v>
      </c>
      <c r="B1348" s="4" t="s">
        <v>309</v>
      </c>
      <c r="C1348" s="4" t="s">
        <v>310</v>
      </c>
      <c r="D1348" s="6">
        <v>46309.451527777797</v>
      </c>
      <c r="E1348" s="6">
        <v>46309.201493055603</v>
      </c>
      <c r="F1348" s="6">
        <v>46309</v>
      </c>
      <c r="G1348" s="5" t="s">
        <v>12</v>
      </c>
      <c r="H1348" s="5" t="s">
        <v>29</v>
      </c>
      <c r="I1348" s="5">
        <v>33</v>
      </c>
      <c r="J1348" s="9" t="s">
        <v>17</v>
      </c>
      <c r="K1348" s="1" t="s">
        <v>1640</v>
      </c>
      <c r="L1348" t="s">
        <v>3284</v>
      </c>
      <c r="M1348" t="str">
        <f>+VLOOKUP(C1348,'[1]TIENDAS 2025'!$A$1:$C$143,3,0)</f>
        <v>departamental</v>
      </c>
      <c r="O1348">
        <v>1</v>
      </c>
    </row>
    <row r="1349" spans="1:15" ht="15" customHeight="1" x14ac:dyDescent="0.3">
      <c r="A1349" s="7">
        <v>8209670368</v>
      </c>
      <c r="B1349" s="4" t="s">
        <v>309</v>
      </c>
      <c r="C1349" s="4" t="s">
        <v>310</v>
      </c>
      <c r="D1349" s="6">
        <v>46309.451539351903</v>
      </c>
      <c r="E1349" s="6">
        <v>46309.201516203699</v>
      </c>
      <c r="F1349" s="6">
        <v>46309</v>
      </c>
      <c r="G1349" s="5" t="s">
        <v>12</v>
      </c>
      <c r="H1349" s="5" t="s">
        <v>27</v>
      </c>
      <c r="I1349" s="5">
        <v>22</v>
      </c>
      <c r="J1349" s="10" t="s">
        <v>17</v>
      </c>
      <c r="K1349" s="1" t="s">
        <v>1641</v>
      </c>
      <c r="M1349" t="str">
        <f>+VLOOKUP(C1349,'[1]TIENDAS 2025'!$A$1:$C$143,3,0)</f>
        <v>departamental</v>
      </c>
      <c r="O1349">
        <v>1</v>
      </c>
    </row>
    <row r="1350" spans="1:15" ht="15" customHeight="1" x14ac:dyDescent="0.3">
      <c r="A1350" s="7">
        <v>8209670370</v>
      </c>
      <c r="B1350" s="4" t="s">
        <v>309</v>
      </c>
      <c r="C1350" s="4" t="s">
        <v>310</v>
      </c>
      <c r="D1350" s="6">
        <v>46309.451562499999</v>
      </c>
      <c r="E1350" s="6">
        <v>46309.201527777797</v>
      </c>
      <c r="F1350" s="6">
        <v>46309</v>
      </c>
      <c r="G1350" s="5" t="s">
        <v>12</v>
      </c>
      <c r="H1350" s="5" t="s">
        <v>27</v>
      </c>
      <c r="I1350" s="5">
        <v>6</v>
      </c>
      <c r="J1350" s="10" t="s">
        <v>17</v>
      </c>
      <c r="K1350" s="1" t="s">
        <v>1642</v>
      </c>
      <c r="M1350" t="str">
        <f>+VLOOKUP(C1350,'[1]TIENDAS 2025'!$A$1:$C$143,3,0)</f>
        <v>departamental</v>
      </c>
      <c r="O1350">
        <v>1</v>
      </c>
    </row>
    <row r="1351" spans="1:15" ht="15" customHeight="1" x14ac:dyDescent="0.3">
      <c r="A1351" s="7">
        <v>8209670428</v>
      </c>
      <c r="B1351" s="4" t="s">
        <v>373</v>
      </c>
      <c r="C1351" s="4" t="s">
        <v>374</v>
      </c>
      <c r="D1351" s="6">
        <v>46309.451562499999</v>
      </c>
      <c r="E1351" s="6">
        <v>46309.201539351903</v>
      </c>
      <c r="F1351" s="6">
        <v>46309</v>
      </c>
      <c r="G1351" s="5" t="s">
        <v>12</v>
      </c>
      <c r="H1351" s="5" t="s">
        <v>27</v>
      </c>
      <c r="I1351" s="5">
        <v>1</v>
      </c>
      <c r="J1351" s="10" t="s">
        <v>17</v>
      </c>
      <c r="K1351" s="1" t="s">
        <v>1643</v>
      </c>
      <c r="M1351" t="str">
        <f>+VLOOKUP(C1351,'[1]TIENDAS 2025'!$A$1:$C$143,3,0)</f>
        <v>departamental</v>
      </c>
      <c r="O1351">
        <v>1</v>
      </c>
    </row>
    <row r="1352" spans="1:15" ht="15" customHeight="1" x14ac:dyDescent="0.3">
      <c r="A1352" s="7">
        <v>1209670372</v>
      </c>
      <c r="B1352" s="4" t="s">
        <v>309</v>
      </c>
      <c r="C1352" s="4" t="s">
        <v>310</v>
      </c>
      <c r="D1352" s="6">
        <v>46309.451585648101</v>
      </c>
      <c r="E1352" s="6">
        <v>46309.2015509259</v>
      </c>
      <c r="F1352" s="6">
        <v>46309</v>
      </c>
      <c r="G1352" s="5" t="s">
        <v>12</v>
      </c>
      <c r="H1352" s="5" t="s">
        <v>16</v>
      </c>
      <c r="I1352" s="5">
        <v>13</v>
      </c>
      <c r="J1352" s="9" t="s">
        <v>17</v>
      </c>
      <c r="K1352" s="1" t="s">
        <v>1644</v>
      </c>
      <c r="L1352" t="s">
        <v>3284</v>
      </c>
      <c r="M1352" t="str">
        <f>+VLOOKUP(C1352,'[1]TIENDAS 2025'!$A$1:$C$143,3,0)</f>
        <v>departamental</v>
      </c>
      <c r="O1352">
        <v>1</v>
      </c>
    </row>
    <row r="1353" spans="1:15" ht="15" customHeight="1" x14ac:dyDescent="0.3">
      <c r="A1353" s="7">
        <v>1209670410</v>
      </c>
      <c r="B1353" s="4" t="s">
        <v>554</v>
      </c>
      <c r="C1353" s="4" t="s">
        <v>555</v>
      </c>
      <c r="D1353" s="6">
        <v>46309.4515972222</v>
      </c>
      <c r="E1353" s="6">
        <v>46309.201562499999</v>
      </c>
      <c r="F1353" s="6">
        <v>46309</v>
      </c>
      <c r="G1353" s="5" t="s">
        <v>12</v>
      </c>
      <c r="H1353" s="5" t="s">
        <v>29</v>
      </c>
      <c r="I1353" s="5">
        <v>33</v>
      </c>
      <c r="J1353" s="9" t="s">
        <v>17</v>
      </c>
      <c r="K1353" s="1" t="s">
        <v>1645</v>
      </c>
      <c r="L1353" t="s">
        <v>3284</v>
      </c>
      <c r="M1353" t="str">
        <f>+VLOOKUP(C1353,'[1]TIENDAS 2025'!$A$1:$C$143,3,0)</f>
        <v>nocturna</v>
      </c>
      <c r="O1353">
        <v>1</v>
      </c>
    </row>
    <row r="1354" spans="1:15" ht="15" customHeight="1" x14ac:dyDescent="0.3">
      <c r="A1354" s="7">
        <v>8209670431</v>
      </c>
      <c r="B1354" s="4" t="s">
        <v>373</v>
      </c>
      <c r="C1354" s="4" t="s">
        <v>374</v>
      </c>
      <c r="D1354" s="6">
        <v>46309.451620370397</v>
      </c>
      <c r="E1354" s="6">
        <v>46309.2015972222</v>
      </c>
      <c r="F1354" s="6">
        <v>46309</v>
      </c>
      <c r="G1354" s="5" t="s">
        <v>12</v>
      </c>
      <c r="H1354" s="5" t="s">
        <v>27</v>
      </c>
      <c r="I1354" s="5">
        <v>12</v>
      </c>
      <c r="J1354" s="10" t="s">
        <v>17</v>
      </c>
      <c r="K1354" s="1" t="s">
        <v>1646</v>
      </c>
      <c r="M1354" t="str">
        <f>+VLOOKUP(C1354,'[1]TIENDAS 2025'!$A$1:$C$143,3,0)</f>
        <v>departamental</v>
      </c>
      <c r="O1354">
        <v>1</v>
      </c>
    </row>
    <row r="1355" spans="1:15" ht="15" customHeight="1" x14ac:dyDescent="0.3">
      <c r="A1355" s="7">
        <v>8209670443</v>
      </c>
      <c r="B1355" s="4" t="s">
        <v>373</v>
      </c>
      <c r="C1355" s="4" t="s">
        <v>374</v>
      </c>
      <c r="D1355" s="6">
        <v>46309.451620370397</v>
      </c>
      <c r="E1355" s="6">
        <v>46309.201585648101</v>
      </c>
      <c r="F1355" s="6">
        <v>46309</v>
      </c>
      <c r="G1355" s="5" t="s">
        <v>12</v>
      </c>
      <c r="H1355" s="5" t="s">
        <v>27</v>
      </c>
      <c r="I1355" s="5">
        <v>1</v>
      </c>
      <c r="J1355" s="10" t="s">
        <v>17</v>
      </c>
      <c r="K1355" s="1" t="s">
        <v>1647</v>
      </c>
      <c r="M1355" t="str">
        <f>+VLOOKUP(C1355,'[1]TIENDAS 2025'!$A$1:$C$143,3,0)</f>
        <v>departamental</v>
      </c>
      <c r="O1355">
        <v>1</v>
      </c>
    </row>
    <row r="1356" spans="1:15" ht="15" customHeight="1" x14ac:dyDescent="0.3">
      <c r="A1356" s="7">
        <v>1209670400</v>
      </c>
      <c r="B1356" s="4" t="s">
        <v>554</v>
      </c>
      <c r="C1356" s="4" t="s">
        <v>555</v>
      </c>
      <c r="D1356" s="6">
        <v>46309.4516435185</v>
      </c>
      <c r="E1356" s="6">
        <v>46309.201608796298</v>
      </c>
      <c r="F1356" s="6">
        <v>46309</v>
      </c>
      <c r="G1356" s="5" t="s">
        <v>12</v>
      </c>
      <c r="H1356" s="5" t="s">
        <v>16</v>
      </c>
      <c r="I1356" s="5">
        <v>1</v>
      </c>
      <c r="J1356" s="9" t="s">
        <v>17</v>
      </c>
      <c r="K1356" s="1" t="s">
        <v>1648</v>
      </c>
      <c r="L1356" t="s">
        <v>3284</v>
      </c>
      <c r="M1356" t="str">
        <f>+VLOOKUP(C1356,'[1]TIENDAS 2025'!$A$1:$C$143,3,0)</f>
        <v>nocturna</v>
      </c>
      <c r="O1356">
        <v>1</v>
      </c>
    </row>
    <row r="1357" spans="1:15" ht="15" customHeight="1" x14ac:dyDescent="0.3">
      <c r="A1357" s="7">
        <v>1209670435</v>
      </c>
      <c r="B1357" s="4" t="s">
        <v>373</v>
      </c>
      <c r="C1357" s="4" t="s">
        <v>374</v>
      </c>
      <c r="D1357" s="6">
        <v>46309.451655092598</v>
      </c>
      <c r="E1357" s="6">
        <v>46309.201631944401</v>
      </c>
      <c r="F1357" s="6">
        <v>46309</v>
      </c>
      <c r="G1357" s="5" t="s">
        <v>12</v>
      </c>
      <c r="H1357" s="5" t="s">
        <v>16</v>
      </c>
      <c r="I1357" s="5">
        <v>9</v>
      </c>
      <c r="J1357" s="9" t="s">
        <v>17</v>
      </c>
      <c r="K1357" s="1" t="s">
        <v>1649</v>
      </c>
      <c r="L1357" t="s">
        <v>3284</v>
      </c>
      <c r="M1357" t="str">
        <f>+VLOOKUP(C1357,'[1]TIENDAS 2025'!$A$1:$C$143,3,0)</f>
        <v>departamental</v>
      </c>
      <c r="O1357">
        <v>1</v>
      </c>
    </row>
    <row r="1358" spans="1:15" ht="15" customHeight="1" x14ac:dyDescent="0.3">
      <c r="A1358" s="7">
        <v>8209670305</v>
      </c>
      <c r="B1358" s="4" t="s">
        <v>391</v>
      </c>
      <c r="C1358" s="4" t="s">
        <v>392</v>
      </c>
      <c r="D1358" s="6">
        <v>46309.451678240701</v>
      </c>
      <c r="E1358" s="6">
        <v>46309.2016435185</v>
      </c>
      <c r="F1358" s="6">
        <v>46309</v>
      </c>
      <c r="G1358" s="5" t="s">
        <v>12</v>
      </c>
      <c r="H1358" s="5" t="s">
        <v>27</v>
      </c>
      <c r="I1358" s="5">
        <v>4</v>
      </c>
      <c r="J1358" s="10" t="s">
        <v>17</v>
      </c>
      <c r="K1358" s="1" t="s">
        <v>1650</v>
      </c>
      <c r="M1358" t="str">
        <f>+VLOOKUP(C1358,'[1]TIENDAS 2025'!$A$1:$C$143,3,0)</f>
        <v>local</v>
      </c>
      <c r="O1358">
        <v>1</v>
      </c>
    </row>
    <row r="1359" spans="1:15" ht="15" customHeight="1" x14ac:dyDescent="0.3">
      <c r="A1359" s="7">
        <v>1209670307</v>
      </c>
      <c r="B1359" s="4" t="s">
        <v>391</v>
      </c>
      <c r="C1359" s="4" t="s">
        <v>392</v>
      </c>
      <c r="D1359" s="6">
        <v>46309.451689814799</v>
      </c>
      <c r="E1359" s="6">
        <v>46309.201655092598</v>
      </c>
      <c r="F1359" s="6">
        <v>46309</v>
      </c>
      <c r="G1359" s="5" t="s">
        <v>12</v>
      </c>
      <c r="H1359" s="5" t="s">
        <v>29</v>
      </c>
      <c r="I1359" s="5">
        <v>6</v>
      </c>
      <c r="J1359" s="9" t="s">
        <v>17</v>
      </c>
      <c r="K1359" s="1" t="s">
        <v>1651</v>
      </c>
      <c r="L1359" t="s">
        <v>3284</v>
      </c>
      <c r="M1359" t="str">
        <f>+VLOOKUP(C1359,'[1]TIENDAS 2025'!$A$1:$C$143,3,0)</f>
        <v>local</v>
      </c>
      <c r="O1359">
        <v>1</v>
      </c>
    </row>
    <row r="1360" spans="1:15" ht="15" customHeight="1" x14ac:dyDescent="0.3">
      <c r="A1360" s="7">
        <v>8209670336</v>
      </c>
      <c r="B1360" s="4" t="s">
        <v>229</v>
      </c>
      <c r="C1360" s="4" t="s">
        <v>230</v>
      </c>
      <c r="D1360" s="6">
        <v>46309.451689814799</v>
      </c>
      <c r="E1360" s="6">
        <v>46309.201666666697</v>
      </c>
      <c r="F1360" s="6">
        <v>46309</v>
      </c>
      <c r="G1360" s="5" t="s">
        <v>12</v>
      </c>
      <c r="H1360" s="5" t="s">
        <v>27</v>
      </c>
      <c r="I1360" s="5">
        <v>2</v>
      </c>
      <c r="J1360" s="10" t="s">
        <v>17</v>
      </c>
      <c r="K1360" s="1" t="s">
        <v>1652</v>
      </c>
      <c r="M1360" t="str">
        <f>+VLOOKUP(C1360,'[1]TIENDAS 2025'!$A$1:$C$143,3,0)</f>
        <v>local</v>
      </c>
      <c r="O1360">
        <v>1</v>
      </c>
    </row>
    <row r="1361" spans="1:15" ht="15" customHeight="1" x14ac:dyDescent="0.3">
      <c r="A1361" s="7">
        <v>1209670353</v>
      </c>
      <c r="B1361" s="4" t="s">
        <v>229</v>
      </c>
      <c r="C1361" s="4" t="s">
        <v>230</v>
      </c>
      <c r="D1361" s="6">
        <v>46309.451712962997</v>
      </c>
      <c r="E1361" s="6">
        <v>46309.201678240701</v>
      </c>
      <c r="F1361" s="6">
        <v>46309</v>
      </c>
      <c r="G1361" s="5" t="s">
        <v>12</v>
      </c>
      <c r="H1361" s="5" t="s">
        <v>16</v>
      </c>
      <c r="I1361" s="5">
        <v>4</v>
      </c>
      <c r="J1361" s="9" t="s">
        <v>17</v>
      </c>
      <c r="K1361" s="1" t="s">
        <v>1653</v>
      </c>
      <c r="L1361" t="s">
        <v>3284</v>
      </c>
      <c r="M1361" t="str">
        <f>+VLOOKUP(C1361,'[1]TIENDAS 2025'!$A$1:$C$143,3,0)</f>
        <v>local</v>
      </c>
      <c r="O1361">
        <v>1</v>
      </c>
    </row>
    <row r="1362" spans="1:15" ht="15" customHeight="1" x14ac:dyDescent="0.3">
      <c r="A1362" s="7">
        <v>1209670321</v>
      </c>
      <c r="B1362" s="4" t="s">
        <v>391</v>
      </c>
      <c r="C1362" s="4" t="s">
        <v>392</v>
      </c>
      <c r="D1362" s="6">
        <v>46309.451736111099</v>
      </c>
      <c r="E1362" s="6">
        <v>46309.201701388898</v>
      </c>
      <c r="F1362" s="6">
        <v>46309</v>
      </c>
      <c r="G1362" s="5" t="s">
        <v>12</v>
      </c>
      <c r="H1362" s="5" t="s">
        <v>16</v>
      </c>
      <c r="I1362" s="5">
        <v>17</v>
      </c>
      <c r="J1362" s="9" t="s">
        <v>17</v>
      </c>
      <c r="K1362" s="1" t="s">
        <v>1654</v>
      </c>
      <c r="L1362" t="s">
        <v>3284</v>
      </c>
      <c r="M1362" t="str">
        <f>+VLOOKUP(C1362,'[1]TIENDAS 2025'!$A$1:$C$143,3,0)</f>
        <v>local</v>
      </c>
      <c r="O1362">
        <v>1</v>
      </c>
    </row>
    <row r="1363" spans="1:15" ht="15" customHeight="1" x14ac:dyDescent="0.3">
      <c r="A1363" s="7">
        <v>8209670331</v>
      </c>
      <c r="B1363" s="4" t="s">
        <v>229</v>
      </c>
      <c r="C1363" s="4" t="s">
        <v>230</v>
      </c>
      <c r="D1363" s="6">
        <v>46309.451747685198</v>
      </c>
      <c r="E1363" s="6">
        <v>46309.201724537001</v>
      </c>
      <c r="F1363" s="6">
        <v>46309</v>
      </c>
      <c r="G1363" s="5" t="s">
        <v>12</v>
      </c>
      <c r="H1363" s="5" t="s">
        <v>27</v>
      </c>
      <c r="I1363" s="5">
        <v>6</v>
      </c>
      <c r="J1363" s="10" t="s">
        <v>17</v>
      </c>
      <c r="K1363" s="1" t="s">
        <v>1655</v>
      </c>
      <c r="M1363" t="str">
        <f>+VLOOKUP(C1363,'[1]TIENDAS 2025'!$A$1:$C$143,3,0)</f>
        <v>local</v>
      </c>
      <c r="O1363">
        <v>1</v>
      </c>
    </row>
    <row r="1364" spans="1:15" ht="15" customHeight="1" x14ac:dyDescent="0.3">
      <c r="A1364" s="7">
        <v>1209670402</v>
      </c>
      <c r="B1364" s="4" t="s">
        <v>554</v>
      </c>
      <c r="C1364" s="4" t="s">
        <v>555</v>
      </c>
      <c r="D1364" s="6">
        <v>46309.451770833301</v>
      </c>
      <c r="E1364" s="6">
        <v>46309.201736111099</v>
      </c>
      <c r="F1364" s="6">
        <v>46309</v>
      </c>
      <c r="G1364" s="5" t="s">
        <v>12</v>
      </c>
      <c r="H1364" s="5" t="s">
        <v>16</v>
      </c>
      <c r="I1364" s="5">
        <v>8</v>
      </c>
      <c r="J1364" s="9" t="s">
        <v>17</v>
      </c>
      <c r="K1364" s="1" t="s">
        <v>1656</v>
      </c>
      <c r="L1364" t="s">
        <v>3284</v>
      </c>
      <c r="M1364" t="str">
        <f>+VLOOKUP(C1364,'[1]TIENDAS 2025'!$A$1:$C$143,3,0)</f>
        <v>nocturna</v>
      </c>
      <c r="O1364">
        <v>1</v>
      </c>
    </row>
    <row r="1365" spans="1:15" ht="15" customHeight="1" x14ac:dyDescent="0.3">
      <c r="A1365" s="7">
        <v>1209670380</v>
      </c>
      <c r="B1365" s="4" t="s">
        <v>309</v>
      </c>
      <c r="C1365" s="4" t="s">
        <v>310</v>
      </c>
      <c r="D1365" s="6">
        <v>46309.451793981498</v>
      </c>
      <c r="E1365" s="6">
        <v>46309.201759259297</v>
      </c>
      <c r="F1365" s="6">
        <v>46309</v>
      </c>
      <c r="G1365" s="5" t="s">
        <v>12</v>
      </c>
      <c r="H1365" s="5" t="s">
        <v>16</v>
      </c>
      <c r="I1365" s="5">
        <v>3</v>
      </c>
      <c r="J1365" s="9" t="s">
        <v>17</v>
      </c>
      <c r="K1365" s="1" t="s">
        <v>1657</v>
      </c>
      <c r="L1365" t="s">
        <v>3284</v>
      </c>
      <c r="M1365" t="str">
        <f>+VLOOKUP(C1365,'[1]TIENDAS 2025'!$A$1:$C$143,3,0)</f>
        <v>departamental</v>
      </c>
      <c r="O1365">
        <v>1</v>
      </c>
    </row>
    <row r="1366" spans="1:15" ht="15" customHeight="1" x14ac:dyDescent="0.3">
      <c r="A1366" s="7">
        <v>8209670383</v>
      </c>
      <c r="B1366" s="4" t="s">
        <v>309</v>
      </c>
      <c r="C1366" s="4" t="s">
        <v>310</v>
      </c>
      <c r="D1366" s="6">
        <v>46309.4518171296</v>
      </c>
      <c r="E1366" s="6">
        <v>46309.201782407399</v>
      </c>
      <c r="F1366" s="6">
        <v>46309</v>
      </c>
      <c r="G1366" s="5" t="s">
        <v>12</v>
      </c>
      <c r="H1366" s="5" t="s">
        <v>27</v>
      </c>
      <c r="I1366" s="5">
        <v>30</v>
      </c>
      <c r="J1366" s="10" t="s">
        <v>17</v>
      </c>
      <c r="K1366" s="1" t="s">
        <v>1658</v>
      </c>
      <c r="M1366" t="str">
        <f>+VLOOKUP(C1366,'[1]TIENDAS 2025'!$A$1:$C$143,3,0)</f>
        <v>departamental</v>
      </c>
      <c r="O1366">
        <v>1</v>
      </c>
    </row>
    <row r="1367" spans="1:15" ht="15" customHeight="1" x14ac:dyDescent="0.3">
      <c r="A1367" s="7">
        <v>8209670444</v>
      </c>
      <c r="B1367" s="4" t="s">
        <v>373</v>
      </c>
      <c r="C1367" s="4" t="s">
        <v>374</v>
      </c>
      <c r="D1367" s="6">
        <v>46309.4518171296</v>
      </c>
      <c r="E1367" s="6">
        <v>46309.201793981498</v>
      </c>
      <c r="F1367" s="6">
        <v>46309</v>
      </c>
      <c r="G1367" s="5" t="s">
        <v>12</v>
      </c>
      <c r="H1367" s="5" t="s">
        <v>27</v>
      </c>
      <c r="I1367" s="5">
        <v>7</v>
      </c>
      <c r="J1367" s="10" t="s">
        <v>17</v>
      </c>
      <c r="K1367" s="1" t="s">
        <v>1659</v>
      </c>
      <c r="M1367" t="str">
        <f>+VLOOKUP(C1367,'[1]TIENDAS 2025'!$A$1:$C$143,3,0)</f>
        <v>departamental</v>
      </c>
      <c r="O1367">
        <v>1</v>
      </c>
    </row>
    <row r="1368" spans="1:15" ht="15" customHeight="1" x14ac:dyDescent="0.3">
      <c r="A1368" s="7">
        <v>1209670411</v>
      </c>
      <c r="B1368" s="4" t="s">
        <v>554</v>
      </c>
      <c r="C1368" s="4" t="s">
        <v>555</v>
      </c>
      <c r="D1368" s="6">
        <v>46309.451840277798</v>
      </c>
      <c r="E1368" s="6">
        <v>46309.201805555596</v>
      </c>
      <c r="F1368" s="6">
        <v>46309</v>
      </c>
      <c r="G1368" s="5" t="s">
        <v>12</v>
      </c>
      <c r="H1368" s="5" t="s">
        <v>16</v>
      </c>
      <c r="I1368" s="5">
        <v>2</v>
      </c>
      <c r="J1368" s="9" t="s">
        <v>17</v>
      </c>
      <c r="K1368" s="1" t="s">
        <v>1660</v>
      </c>
      <c r="L1368" t="s">
        <v>3284</v>
      </c>
      <c r="M1368" t="str">
        <f>+VLOOKUP(C1368,'[1]TIENDAS 2025'!$A$1:$C$143,3,0)</f>
        <v>nocturna</v>
      </c>
      <c r="O1368">
        <v>1</v>
      </c>
    </row>
    <row r="1369" spans="1:15" ht="15" customHeight="1" x14ac:dyDescent="0.3">
      <c r="A1369" s="7">
        <v>1209670376</v>
      </c>
      <c r="B1369" s="4" t="s">
        <v>309</v>
      </c>
      <c r="C1369" s="4" t="s">
        <v>310</v>
      </c>
      <c r="D1369" s="6">
        <v>46309.451851851903</v>
      </c>
      <c r="E1369" s="6">
        <v>46309.201828703699</v>
      </c>
      <c r="F1369" s="6">
        <v>46309</v>
      </c>
      <c r="G1369" s="5" t="s">
        <v>12</v>
      </c>
      <c r="H1369" s="5" t="s">
        <v>29</v>
      </c>
      <c r="I1369" s="5">
        <v>21</v>
      </c>
      <c r="J1369" s="9" t="s">
        <v>17</v>
      </c>
      <c r="K1369" s="1" t="s">
        <v>1661</v>
      </c>
      <c r="L1369" t="s">
        <v>3284</v>
      </c>
      <c r="M1369" t="str">
        <f>+VLOOKUP(C1369,'[1]TIENDAS 2025'!$A$1:$C$143,3,0)</f>
        <v>departamental</v>
      </c>
      <c r="O1369">
        <v>1</v>
      </c>
    </row>
    <row r="1370" spans="1:15" ht="15" customHeight="1" x14ac:dyDescent="0.3">
      <c r="A1370" s="7">
        <v>8209670399</v>
      </c>
      <c r="B1370" s="4" t="s">
        <v>554</v>
      </c>
      <c r="C1370" s="4" t="s">
        <v>555</v>
      </c>
      <c r="D1370" s="6">
        <v>46309.451874999999</v>
      </c>
      <c r="E1370" s="6">
        <v>46309.201851851903</v>
      </c>
      <c r="F1370" s="6">
        <v>46309</v>
      </c>
      <c r="G1370" s="5" t="s">
        <v>12</v>
      </c>
      <c r="H1370" s="5" t="s">
        <v>27</v>
      </c>
      <c r="I1370" s="5">
        <v>4</v>
      </c>
      <c r="J1370" s="10" t="s">
        <v>17</v>
      </c>
      <c r="K1370" s="1" t="s">
        <v>1662</v>
      </c>
      <c r="M1370" t="str">
        <f>+VLOOKUP(C1370,'[1]TIENDAS 2025'!$A$1:$C$143,3,0)</f>
        <v>nocturna</v>
      </c>
      <c r="O1370">
        <v>1</v>
      </c>
    </row>
    <row r="1371" spans="1:15" ht="15" customHeight="1" x14ac:dyDescent="0.3">
      <c r="A1371" s="7">
        <v>1209670385</v>
      </c>
      <c r="B1371" s="4" t="s">
        <v>309</v>
      </c>
      <c r="C1371" s="4" t="s">
        <v>310</v>
      </c>
      <c r="D1371" s="6">
        <v>46309.451874999999</v>
      </c>
      <c r="E1371" s="6">
        <v>46309.201840277798</v>
      </c>
      <c r="F1371" s="6">
        <v>46309</v>
      </c>
      <c r="G1371" s="5" t="s">
        <v>12</v>
      </c>
      <c r="H1371" s="5" t="s">
        <v>16</v>
      </c>
      <c r="I1371" s="5">
        <v>8</v>
      </c>
      <c r="J1371" s="9" t="s">
        <v>17</v>
      </c>
      <c r="K1371" s="1" t="s">
        <v>1663</v>
      </c>
      <c r="L1371" t="s">
        <v>3284</v>
      </c>
      <c r="M1371" t="str">
        <f>+VLOOKUP(C1371,'[1]TIENDAS 2025'!$A$1:$C$143,3,0)</f>
        <v>departamental</v>
      </c>
      <c r="O1371">
        <v>1</v>
      </c>
    </row>
    <row r="1372" spans="1:15" ht="15" customHeight="1" x14ac:dyDescent="0.3">
      <c r="A1372" s="7">
        <v>1209670341</v>
      </c>
      <c r="B1372" s="4" t="s">
        <v>229</v>
      </c>
      <c r="C1372" s="4" t="s">
        <v>230</v>
      </c>
      <c r="D1372" s="6">
        <v>46309.451886574097</v>
      </c>
      <c r="E1372" s="6">
        <v>46309.2018634259</v>
      </c>
      <c r="F1372" s="6">
        <v>46309</v>
      </c>
      <c r="G1372" s="5" t="s">
        <v>12</v>
      </c>
      <c r="H1372" s="5" t="s">
        <v>16</v>
      </c>
      <c r="I1372" s="5">
        <v>10</v>
      </c>
      <c r="J1372" s="9" t="s">
        <v>17</v>
      </c>
      <c r="K1372" s="1" t="s">
        <v>1664</v>
      </c>
      <c r="L1372" t="s">
        <v>3284</v>
      </c>
      <c r="M1372" t="str">
        <f>+VLOOKUP(C1372,'[1]TIENDAS 2025'!$A$1:$C$143,3,0)</f>
        <v>local</v>
      </c>
      <c r="O1372">
        <v>1</v>
      </c>
    </row>
    <row r="1373" spans="1:15" ht="15" customHeight="1" x14ac:dyDescent="0.3">
      <c r="A1373" s="7">
        <v>1209670377</v>
      </c>
      <c r="B1373" s="4" t="s">
        <v>309</v>
      </c>
      <c r="C1373" s="4" t="s">
        <v>310</v>
      </c>
      <c r="D1373" s="6">
        <v>46309.4519097222</v>
      </c>
      <c r="E1373" s="6">
        <v>46309.201874999999</v>
      </c>
      <c r="F1373" s="6">
        <v>46309</v>
      </c>
      <c r="G1373" s="5" t="s">
        <v>12</v>
      </c>
      <c r="H1373" s="5" t="s">
        <v>29</v>
      </c>
      <c r="I1373" s="5">
        <v>38</v>
      </c>
      <c r="J1373" s="9" t="s">
        <v>17</v>
      </c>
      <c r="K1373" s="1" t="s">
        <v>1665</v>
      </c>
      <c r="L1373" t="s">
        <v>3284</v>
      </c>
      <c r="M1373" t="str">
        <f>+VLOOKUP(C1373,'[1]TIENDAS 2025'!$A$1:$C$143,3,0)</f>
        <v>departamental</v>
      </c>
      <c r="O1373">
        <v>1</v>
      </c>
    </row>
    <row r="1374" spans="1:15" ht="15" customHeight="1" x14ac:dyDescent="0.3">
      <c r="A1374" s="7">
        <v>1209670403</v>
      </c>
      <c r="B1374" s="4" t="s">
        <v>554</v>
      </c>
      <c r="C1374" s="4" t="s">
        <v>555</v>
      </c>
      <c r="D1374" s="6">
        <v>46309.451921296299</v>
      </c>
      <c r="E1374" s="6">
        <v>46309.201898148101</v>
      </c>
      <c r="F1374" s="6">
        <v>46309</v>
      </c>
      <c r="G1374" s="5" t="s">
        <v>12</v>
      </c>
      <c r="H1374" s="5" t="s">
        <v>16</v>
      </c>
      <c r="I1374" s="5">
        <v>16</v>
      </c>
      <c r="J1374" s="9" t="s">
        <v>17</v>
      </c>
      <c r="K1374" s="1" t="s">
        <v>1666</v>
      </c>
      <c r="L1374" t="s">
        <v>3284</v>
      </c>
      <c r="M1374" t="str">
        <f>+VLOOKUP(C1374,'[1]TIENDAS 2025'!$A$1:$C$143,3,0)</f>
        <v>nocturna</v>
      </c>
      <c r="O1374">
        <v>1</v>
      </c>
    </row>
    <row r="1375" spans="1:15" ht="15" customHeight="1" x14ac:dyDescent="0.3">
      <c r="A1375" s="7">
        <v>1209670406</v>
      </c>
      <c r="B1375" s="4" t="s">
        <v>554</v>
      </c>
      <c r="C1375" s="4" t="s">
        <v>555</v>
      </c>
      <c r="D1375" s="6">
        <v>46309.451944444401</v>
      </c>
      <c r="E1375" s="6">
        <v>46309.201921296299</v>
      </c>
      <c r="F1375" s="6">
        <v>46309</v>
      </c>
      <c r="G1375" s="5" t="s">
        <v>12</v>
      </c>
      <c r="H1375" s="5" t="s">
        <v>29</v>
      </c>
      <c r="I1375" s="5">
        <v>35</v>
      </c>
      <c r="J1375" s="9" t="s">
        <v>17</v>
      </c>
      <c r="K1375" s="1" t="s">
        <v>1667</v>
      </c>
      <c r="L1375" t="s">
        <v>3284</v>
      </c>
      <c r="M1375" t="str">
        <f>+VLOOKUP(C1375,'[1]TIENDAS 2025'!$A$1:$C$143,3,0)</f>
        <v>nocturna</v>
      </c>
      <c r="O1375">
        <v>1</v>
      </c>
    </row>
    <row r="1376" spans="1:15" ht="15" customHeight="1" x14ac:dyDescent="0.3">
      <c r="A1376" s="7">
        <v>1209670449</v>
      </c>
      <c r="B1376" s="4" t="s">
        <v>373</v>
      </c>
      <c r="C1376" s="4" t="s">
        <v>374</v>
      </c>
      <c r="D1376" s="6">
        <v>46309.451944444401</v>
      </c>
      <c r="E1376" s="6">
        <v>46309.2019097222</v>
      </c>
      <c r="F1376" s="6">
        <v>46309</v>
      </c>
      <c r="G1376" s="5" t="s">
        <v>12</v>
      </c>
      <c r="H1376" s="5" t="s">
        <v>16</v>
      </c>
      <c r="I1376" s="5">
        <v>13</v>
      </c>
      <c r="J1376" s="9" t="s">
        <v>17</v>
      </c>
      <c r="K1376" s="1" t="s">
        <v>1668</v>
      </c>
      <c r="L1376" t="s">
        <v>3284</v>
      </c>
      <c r="M1376" t="str">
        <f>+VLOOKUP(C1376,'[1]TIENDAS 2025'!$A$1:$C$143,3,0)</f>
        <v>departamental</v>
      </c>
      <c r="O1376">
        <v>1</v>
      </c>
    </row>
    <row r="1377" spans="1:15" ht="15" customHeight="1" x14ac:dyDescent="0.3">
      <c r="A1377" s="7">
        <v>8209670382</v>
      </c>
      <c r="B1377" s="4" t="s">
        <v>309</v>
      </c>
      <c r="C1377" s="4" t="s">
        <v>310</v>
      </c>
      <c r="D1377" s="6">
        <v>46309.451967592599</v>
      </c>
      <c r="E1377" s="6">
        <v>46309.201932870397</v>
      </c>
      <c r="F1377" s="6">
        <v>46309</v>
      </c>
      <c r="G1377" s="5" t="s">
        <v>12</v>
      </c>
      <c r="H1377" s="5" t="s">
        <v>27</v>
      </c>
      <c r="I1377" s="5">
        <v>4</v>
      </c>
      <c r="J1377" s="10" t="s">
        <v>17</v>
      </c>
      <c r="K1377" s="1" t="s">
        <v>1669</v>
      </c>
      <c r="M1377" t="str">
        <f>+VLOOKUP(C1377,'[1]TIENDAS 2025'!$A$1:$C$143,3,0)</f>
        <v>departamental</v>
      </c>
      <c r="O1377">
        <v>1</v>
      </c>
    </row>
    <row r="1378" spans="1:15" ht="15" customHeight="1" x14ac:dyDescent="0.3">
      <c r="A1378" s="7">
        <v>1209670375</v>
      </c>
      <c r="B1378" s="4" t="s">
        <v>309</v>
      </c>
      <c r="C1378" s="4" t="s">
        <v>310</v>
      </c>
      <c r="D1378" s="6">
        <v>46309.451979166697</v>
      </c>
      <c r="E1378" s="6">
        <v>46309.2019560185</v>
      </c>
      <c r="F1378" s="6">
        <v>46309</v>
      </c>
      <c r="G1378" s="5" t="s">
        <v>12</v>
      </c>
      <c r="H1378" s="5" t="s">
        <v>16</v>
      </c>
      <c r="I1378" s="5">
        <v>15</v>
      </c>
      <c r="J1378" s="9" t="s">
        <v>17</v>
      </c>
      <c r="K1378" s="1" t="s">
        <v>1670</v>
      </c>
      <c r="L1378" t="s">
        <v>3284</v>
      </c>
      <c r="M1378" t="str">
        <f>+VLOOKUP(C1378,'[1]TIENDAS 2025'!$A$1:$C$143,3,0)</f>
        <v>departamental</v>
      </c>
      <c r="O1378">
        <v>1</v>
      </c>
    </row>
    <row r="1379" spans="1:15" ht="15" customHeight="1" x14ac:dyDescent="0.3">
      <c r="A1379" s="7">
        <v>1209670433</v>
      </c>
      <c r="B1379" s="4" t="s">
        <v>373</v>
      </c>
      <c r="C1379" s="4" t="s">
        <v>374</v>
      </c>
      <c r="D1379" s="6">
        <v>46309.4520023148</v>
      </c>
      <c r="E1379" s="6">
        <v>46309.201967592599</v>
      </c>
      <c r="F1379" s="6">
        <v>46309</v>
      </c>
      <c r="G1379" s="5" t="s">
        <v>12</v>
      </c>
      <c r="H1379" s="5" t="s">
        <v>16</v>
      </c>
      <c r="I1379" s="5">
        <v>2</v>
      </c>
      <c r="J1379" s="9" t="s">
        <v>17</v>
      </c>
      <c r="K1379" s="1" t="s">
        <v>1671</v>
      </c>
      <c r="L1379" t="s">
        <v>3284</v>
      </c>
      <c r="M1379" t="str">
        <f>+VLOOKUP(C1379,'[1]TIENDAS 2025'!$A$1:$C$143,3,0)</f>
        <v>departamental</v>
      </c>
      <c r="O1379">
        <v>1</v>
      </c>
    </row>
    <row r="1380" spans="1:15" ht="15" customHeight="1" x14ac:dyDescent="0.3">
      <c r="A1380" s="7">
        <v>1209670386</v>
      </c>
      <c r="B1380" s="4" t="s">
        <v>309</v>
      </c>
      <c r="C1380" s="4" t="s">
        <v>310</v>
      </c>
      <c r="D1380" s="6">
        <v>46309.452013888898</v>
      </c>
      <c r="E1380" s="6">
        <v>46309.201979166697</v>
      </c>
      <c r="F1380" s="6">
        <v>46309</v>
      </c>
      <c r="G1380" s="5" t="s">
        <v>12</v>
      </c>
      <c r="H1380" s="5" t="s">
        <v>29</v>
      </c>
      <c r="I1380" s="5">
        <v>8</v>
      </c>
      <c r="J1380" s="9" t="s">
        <v>17</v>
      </c>
      <c r="K1380" s="1" t="s">
        <v>1672</v>
      </c>
      <c r="L1380" t="s">
        <v>3284</v>
      </c>
      <c r="M1380" t="str">
        <f>+VLOOKUP(C1380,'[1]TIENDAS 2025'!$A$1:$C$143,3,0)</f>
        <v>departamental</v>
      </c>
      <c r="O1380">
        <v>1</v>
      </c>
    </row>
    <row r="1381" spans="1:15" ht="15" customHeight="1" x14ac:dyDescent="0.3">
      <c r="A1381" s="7">
        <v>8209670464</v>
      </c>
      <c r="B1381" s="4" t="s">
        <v>315</v>
      </c>
      <c r="C1381" s="4" t="s">
        <v>316</v>
      </c>
      <c r="D1381" s="6">
        <v>46309.454305555599</v>
      </c>
      <c r="E1381" s="6">
        <v>46309.204270833303</v>
      </c>
      <c r="F1381" s="6">
        <v>46309</v>
      </c>
      <c r="G1381" s="5" t="s">
        <v>12</v>
      </c>
      <c r="H1381" s="5" t="s">
        <v>27</v>
      </c>
      <c r="I1381" s="5">
        <v>3</v>
      </c>
      <c r="J1381" s="10" t="s">
        <v>17</v>
      </c>
      <c r="K1381" s="1" t="s">
        <v>1673</v>
      </c>
      <c r="M1381" t="str">
        <f>+VLOOKUP(C1381,'[1]TIENDAS 2025'!$A$1:$C$143,3,0)</f>
        <v>prioridad</v>
      </c>
      <c r="O1381">
        <v>1</v>
      </c>
    </row>
    <row r="1382" spans="1:15" ht="15" customHeight="1" x14ac:dyDescent="0.3">
      <c r="A1382" s="7">
        <v>8209670465</v>
      </c>
      <c r="B1382" s="4" t="s">
        <v>315</v>
      </c>
      <c r="C1382" s="4" t="s">
        <v>316</v>
      </c>
      <c r="D1382" s="6">
        <v>46309.454317129603</v>
      </c>
      <c r="E1382" s="6">
        <v>46309.204282407401</v>
      </c>
      <c r="F1382" s="6">
        <v>46309</v>
      </c>
      <c r="G1382" s="5" t="s">
        <v>12</v>
      </c>
      <c r="H1382" s="5" t="s">
        <v>27</v>
      </c>
      <c r="I1382" s="5">
        <v>8</v>
      </c>
      <c r="J1382" s="10" t="s">
        <v>17</v>
      </c>
      <c r="K1382" s="1" t="s">
        <v>1674</v>
      </c>
      <c r="M1382" t="str">
        <f>+VLOOKUP(C1382,'[1]TIENDAS 2025'!$A$1:$C$143,3,0)</f>
        <v>prioridad</v>
      </c>
      <c r="O1382">
        <v>1</v>
      </c>
    </row>
    <row r="1383" spans="1:15" ht="15" customHeight="1" x14ac:dyDescent="0.3">
      <c r="A1383" s="7">
        <v>1209670545</v>
      </c>
      <c r="B1383" s="4" t="s">
        <v>184</v>
      </c>
      <c r="C1383" s="4" t="s">
        <v>185</v>
      </c>
      <c r="D1383" s="6">
        <v>46309.4543402778</v>
      </c>
      <c r="E1383" s="6">
        <v>46309.204305555599</v>
      </c>
      <c r="F1383" s="6">
        <v>46309</v>
      </c>
      <c r="G1383" s="5" t="s">
        <v>12</v>
      </c>
      <c r="H1383" s="5" t="s">
        <v>16</v>
      </c>
      <c r="I1383" s="5">
        <v>29</v>
      </c>
      <c r="J1383" s="9" t="s">
        <v>17</v>
      </c>
      <c r="K1383" s="1" t="s">
        <v>1675</v>
      </c>
      <c r="L1383" t="s">
        <v>3284</v>
      </c>
      <c r="M1383" t="str">
        <f>+VLOOKUP(C1383,'[1]TIENDAS 2025'!$A$1:$C$143,3,0)</f>
        <v>nocturna</v>
      </c>
      <c r="O1383">
        <v>1</v>
      </c>
    </row>
    <row r="1384" spans="1:15" ht="15" customHeight="1" x14ac:dyDescent="0.3">
      <c r="A1384" s="7">
        <v>1209670501</v>
      </c>
      <c r="B1384" s="4" t="s">
        <v>503</v>
      </c>
      <c r="C1384" s="4" t="s">
        <v>504</v>
      </c>
      <c r="D1384" s="6">
        <v>46309.4543402778</v>
      </c>
      <c r="E1384" s="6">
        <v>46309.204317129603</v>
      </c>
      <c r="F1384" s="6">
        <v>46309</v>
      </c>
      <c r="G1384" s="5" t="s">
        <v>12</v>
      </c>
      <c r="H1384" s="5" t="s">
        <v>29</v>
      </c>
      <c r="I1384" s="5">
        <v>11</v>
      </c>
      <c r="J1384" s="9" t="s">
        <v>17</v>
      </c>
      <c r="K1384" s="1" t="s">
        <v>1676</v>
      </c>
      <c r="L1384" t="s">
        <v>3284</v>
      </c>
      <c r="M1384" t="str">
        <f>+VLOOKUP(C1384,'[1]TIENDAS 2025'!$A$1:$C$143,3,0)</f>
        <v>departamental</v>
      </c>
      <c r="O1384">
        <v>1</v>
      </c>
    </row>
    <row r="1385" spans="1:15" ht="15" customHeight="1" x14ac:dyDescent="0.3">
      <c r="A1385" s="7">
        <v>1209670503</v>
      </c>
      <c r="B1385" s="4" t="s">
        <v>503</v>
      </c>
      <c r="C1385" s="4" t="s">
        <v>504</v>
      </c>
      <c r="D1385" s="6">
        <v>46309.454375000001</v>
      </c>
      <c r="E1385" s="6">
        <v>46309.2043402778</v>
      </c>
      <c r="F1385" s="6">
        <v>46309</v>
      </c>
      <c r="G1385" s="5" t="s">
        <v>12</v>
      </c>
      <c r="H1385" s="5" t="s">
        <v>27</v>
      </c>
      <c r="I1385" s="5">
        <v>29</v>
      </c>
      <c r="J1385" s="9" t="s">
        <v>17</v>
      </c>
      <c r="K1385" s="1" t="s">
        <v>1677</v>
      </c>
      <c r="L1385" t="s">
        <v>3284</v>
      </c>
      <c r="M1385" t="str">
        <f>+VLOOKUP(C1385,'[1]TIENDAS 2025'!$A$1:$C$143,3,0)</f>
        <v>departamental</v>
      </c>
      <c r="O1385">
        <v>1</v>
      </c>
    </row>
    <row r="1386" spans="1:15" ht="15" customHeight="1" x14ac:dyDescent="0.3">
      <c r="A1386" s="7">
        <v>8209670579</v>
      </c>
      <c r="B1386" s="4" t="s">
        <v>154</v>
      </c>
      <c r="C1386" s="4" t="s">
        <v>155</v>
      </c>
      <c r="D1386" s="6">
        <v>46309.4543865741</v>
      </c>
      <c r="E1386" s="6">
        <v>46309.204351851899</v>
      </c>
      <c r="F1386" s="6">
        <v>46309</v>
      </c>
      <c r="G1386" s="5" t="s">
        <v>12</v>
      </c>
      <c r="H1386" s="5" t="s">
        <v>27</v>
      </c>
      <c r="I1386" s="5">
        <v>1</v>
      </c>
      <c r="J1386" s="10" t="s">
        <v>17</v>
      </c>
      <c r="K1386" s="1" t="s">
        <v>1678</v>
      </c>
      <c r="M1386" t="str">
        <f>+VLOOKUP(C1386,'[1]TIENDAS 2025'!$A$1:$C$143,3,0)</f>
        <v>nocturna</v>
      </c>
      <c r="O1386">
        <v>1</v>
      </c>
    </row>
    <row r="1387" spans="1:15" ht="15" customHeight="1" x14ac:dyDescent="0.3">
      <c r="A1387" s="7">
        <v>1209670547</v>
      </c>
      <c r="B1387" s="4" t="s">
        <v>184</v>
      </c>
      <c r="C1387" s="4" t="s">
        <v>185</v>
      </c>
      <c r="D1387" s="6">
        <v>46309.454409722202</v>
      </c>
      <c r="E1387" s="6">
        <v>46309.204375000001</v>
      </c>
      <c r="F1387" s="6">
        <v>46309</v>
      </c>
      <c r="G1387" s="5" t="s">
        <v>12</v>
      </c>
      <c r="H1387" s="5" t="s">
        <v>29</v>
      </c>
      <c r="I1387" s="5">
        <v>50</v>
      </c>
      <c r="J1387" s="9" t="s">
        <v>17</v>
      </c>
      <c r="K1387" s="1" t="s">
        <v>1679</v>
      </c>
      <c r="L1387" t="s">
        <v>3284</v>
      </c>
      <c r="M1387" t="str">
        <f>+VLOOKUP(C1387,'[1]TIENDAS 2025'!$A$1:$C$143,3,0)</f>
        <v>nocturna</v>
      </c>
      <c r="O1387">
        <v>1</v>
      </c>
    </row>
    <row r="1388" spans="1:15" ht="15" customHeight="1" x14ac:dyDescent="0.3">
      <c r="A1388" s="7">
        <v>1209670560</v>
      </c>
      <c r="B1388" s="4" t="s">
        <v>379</v>
      </c>
      <c r="C1388" s="4" t="s">
        <v>380</v>
      </c>
      <c r="D1388" s="6">
        <v>46309.454409722202</v>
      </c>
      <c r="E1388" s="6">
        <v>46309.2043865741</v>
      </c>
      <c r="F1388" s="6">
        <v>46309</v>
      </c>
      <c r="G1388" s="5" t="s">
        <v>12</v>
      </c>
      <c r="H1388" s="5" t="s">
        <v>16</v>
      </c>
      <c r="I1388" s="5">
        <v>1</v>
      </c>
      <c r="J1388" s="9" t="s">
        <v>17</v>
      </c>
      <c r="K1388" s="1" t="s">
        <v>1680</v>
      </c>
      <c r="L1388" t="s">
        <v>3284</v>
      </c>
      <c r="M1388" t="str">
        <f>+VLOOKUP(C1388,'[1]TIENDAS 2025'!$A$1:$C$143,3,0)</f>
        <v>departamental</v>
      </c>
      <c r="O1388">
        <v>1</v>
      </c>
    </row>
    <row r="1389" spans="1:15" ht="15" customHeight="1" x14ac:dyDescent="0.3">
      <c r="A1389" s="7">
        <v>1209670498</v>
      </c>
      <c r="B1389" s="4" t="s">
        <v>503</v>
      </c>
      <c r="C1389" s="4" t="s">
        <v>504</v>
      </c>
      <c r="D1389" s="6">
        <v>46309.454421296301</v>
      </c>
      <c r="E1389" s="6">
        <v>46309.204398148097</v>
      </c>
      <c r="F1389" s="6">
        <v>46309</v>
      </c>
      <c r="G1389" s="5" t="s">
        <v>12</v>
      </c>
      <c r="H1389" s="5" t="s">
        <v>29</v>
      </c>
      <c r="I1389" s="5">
        <v>8</v>
      </c>
      <c r="J1389" s="9" t="s">
        <v>17</v>
      </c>
      <c r="K1389" s="1" t="s">
        <v>1681</v>
      </c>
      <c r="L1389" t="s">
        <v>3284</v>
      </c>
      <c r="M1389" t="str">
        <f>+VLOOKUP(C1389,'[1]TIENDAS 2025'!$A$1:$C$143,3,0)</f>
        <v>departamental</v>
      </c>
      <c r="O1389">
        <v>1</v>
      </c>
    </row>
    <row r="1390" spans="1:15" ht="15" customHeight="1" x14ac:dyDescent="0.3">
      <c r="A1390" s="7">
        <v>1209670534</v>
      </c>
      <c r="B1390" s="4" t="s">
        <v>184</v>
      </c>
      <c r="C1390" s="4" t="s">
        <v>185</v>
      </c>
      <c r="D1390" s="6">
        <v>46309.454444444404</v>
      </c>
      <c r="E1390" s="6">
        <v>46309.204409722202</v>
      </c>
      <c r="F1390" s="6">
        <v>46309</v>
      </c>
      <c r="G1390" s="5" t="s">
        <v>12</v>
      </c>
      <c r="H1390" s="5" t="s">
        <v>16</v>
      </c>
      <c r="I1390" s="5">
        <v>17</v>
      </c>
      <c r="J1390" s="9" t="s">
        <v>17</v>
      </c>
      <c r="K1390" s="1" t="s">
        <v>1682</v>
      </c>
      <c r="L1390" t="s">
        <v>3284</v>
      </c>
      <c r="M1390" t="str">
        <f>+VLOOKUP(C1390,'[1]TIENDAS 2025'!$A$1:$C$143,3,0)</f>
        <v>nocturna</v>
      </c>
      <c r="O1390">
        <v>1</v>
      </c>
    </row>
    <row r="1391" spans="1:15" ht="15" customHeight="1" x14ac:dyDescent="0.3">
      <c r="A1391" s="7">
        <v>1209670562</v>
      </c>
      <c r="B1391" s="4" t="s">
        <v>379</v>
      </c>
      <c r="C1391" s="4" t="s">
        <v>380</v>
      </c>
      <c r="D1391" s="6">
        <v>46309.454456018502</v>
      </c>
      <c r="E1391" s="6">
        <v>46309.2044328704</v>
      </c>
      <c r="F1391" s="6">
        <v>46309</v>
      </c>
      <c r="G1391" s="5" t="s">
        <v>12</v>
      </c>
      <c r="H1391" s="5" t="s">
        <v>16</v>
      </c>
      <c r="I1391" s="5">
        <v>9</v>
      </c>
      <c r="J1391" s="9" t="s">
        <v>17</v>
      </c>
      <c r="K1391" s="1" t="s">
        <v>1683</v>
      </c>
      <c r="L1391" t="s">
        <v>3284</v>
      </c>
      <c r="M1391" t="str">
        <f>+VLOOKUP(C1391,'[1]TIENDAS 2025'!$A$1:$C$143,3,0)</f>
        <v>departamental</v>
      </c>
      <c r="O1391">
        <v>1</v>
      </c>
    </row>
    <row r="1392" spans="1:15" ht="15" customHeight="1" x14ac:dyDescent="0.3">
      <c r="A1392" s="7">
        <v>1209670509</v>
      </c>
      <c r="B1392" s="4" t="s">
        <v>503</v>
      </c>
      <c r="C1392" s="4" t="s">
        <v>504</v>
      </c>
      <c r="D1392" s="6">
        <v>46309.454467592601</v>
      </c>
      <c r="E1392" s="6">
        <v>46309.204444444404</v>
      </c>
      <c r="F1392" s="6">
        <v>46309</v>
      </c>
      <c r="G1392" s="5" t="s">
        <v>12</v>
      </c>
      <c r="H1392" s="5" t="s">
        <v>16</v>
      </c>
      <c r="I1392" s="5">
        <v>1</v>
      </c>
      <c r="J1392" s="9" t="s">
        <v>17</v>
      </c>
      <c r="K1392" s="1" t="s">
        <v>1684</v>
      </c>
      <c r="L1392" t="s">
        <v>3284</v>
      </c>
      <c r="M1392" t="str">
        <f>+VLOOKUP(C1392,'[1]TIENDAS 2025'!$A$1:$C$143,3,0)</f>
        <v>departamental</v>
      </c>
      <c r="O1392">
        <v>1</v>
      </c>
    </row>
    <row r="1393" spans="1:15" ht="15" customHeight="1" x14ac:dyDescent="0.3">
      <c r="A1393" s="7">
        <v>8209670463</v>
      </c>
      <c r="B1393" s="4" t="s">
        <v>315</v>
      </c>
      <c r="C1393" s="4" t="s">
        <v>316</v>
      </c>
      <c r="D1393" s="6">
        <v>46309.454479166699</v>
      </c>
      <c r="E1393" s="6">
        <v>46309.204456018502</v>
      </c>
      <c r="F1393" s="6">
        <v>46309</v>
      </c>
      <c r="G1393" s="5" t="s">
        <v>12</v>
      </c>
      <c r="H1393" s="5" t="s">
        <v>27</v>
      </c>
      <c r="I1393" s="5">
        <v>6</v>
      </c>
      <c r="J1393" s="10" t="s">
        <v>17</v>
      </c>
      <c r="K1393" s="1" t="s">
        <v>1685</v>
      </c>
      <c r="M1393" t="str">
        <f>+VLOOKUP(C1393,'[1]TIENDAS 2025'!$A$1:$C$143,3,0)</f>
        <v>prioridad</v>
      </c>
      <c r="O1393">
        <v>1</v>
      </c>
    </row>
    <row r="1394" spans="1:15" ht="15" customHeight="1" x14ac:dyDescent="0.3">
      <c r="A1394" s="7">
        <v>1209670597</v>
      </c>
      <c r="B1394" s="4" t="s">
        <v>154</v>
      </c>
      <c r="C1394" s="4" t="s">
        <v>155</v>
      </c>
      <c r="D1394" s="6">
        <v>46309.454502314802</v>
      </c>
      <c r="E1394" s="6">
        <v>46309.204467592601</v>
      </c>
      <c r="F1394" s="6">
        <v>46309</v>
      </c>
      <c r="G1394" s="5" t="s">
        <v>12</v>
      </c>
      <c r="H1394" s="5" t="s">
        <v>29</v>
      </c>
      <c r="I1394" s="5">
        <v>52</v>
      </c>
      <c r="J1394" s="9" t="s">
        <v>17</v>
      </c>
      <c r="K1394" s="1" t="s">
        <v>1686</v>
      </c>
      <c r="L1394" t="s">
        <v>3284</v>
      </c>
      <c r="M1394" t="str">
        <f>+VLOOKUP(C1394,'[1]TIENDAS 2025'!$A$1:$C$143,3,0)</f>
        <v>nocturna</v>
      </c>
      <c r="O1394">
        <v>1</v>
      </c>
    </row>
    <row r="1395" spans="1:15" ht="15" customHeight="1" x14ac:dyDescent="0.3">
      <c r="A1395" s="7">
        <v>8209670524</v>
      </c>
      <c r="B1395" s="4" t="s">
        <v>184</v>
      </c>
      <c r="C1395" s="4" t="s">
        <v>185</v>
      </c>
      <c r="D1395" s="6">
        <v>46309.454513888901</v>
      </c>
      <c r="E1395" s="6">
        <v>46309.204490740703</v>
      </c>
      <c r="F1395" s="6">
        <v>46309</v>
      </c>
      <c r="G1395" s="5" t="s">
        <v>12</v>
      </c>
      <c r="H1395" s="5" t="s">
        <v>27</v>
      </c>
      <c r="I1395" s="5">
        <v>2</v>
      </c>
      <c r="J1395" s="10" t="s">
        <v>17</v>
      </c>
      <c r="K1395" s="1" t="s">
        <v>1687</v>
      </c>
      <c r="M1395" t="str">
        <f>+VLOOKUP(C1395,'[1]TIENDAS 2025'!$A$1:$C$143,3,0)</f>
        <v>nocturna</v>
      </c>
      <c r="O1395">
        <v>1</v>
      </c>
    </row>
    <row r="1396" spans="1:15" ht="15" customHeight="1" x14ac:dyDescent="0.3">
      <c r="A1396" s="7">
        <v>1209670585</v>
      </c>
      <c r="B1396" s="4" t="s">
        <v>154</v>
      </c>
      <c r="C1396" s="4" t="s">
        <v>155</v>
      </c>
      <c r="D1396" s="6">
        <v>46309.454537037003</v>
      </c>
      <c r="E1396" s="6">
        <v>46309.204513888901</v>
      </c>
      <c r="F1396" s="6">
        <v>46309</v>
      </c>
      <c r="G1396" s="5" t="s">
        <v>12</v>
      </c>
      <c r="H1396" s="5" t="s">
        <v>16</v>
      </c>
      <c r="I1396" s="5">
        <v>2</v>
      </c>
      <c r="J1396" s="9" t="s">
        <v>17</v>
      </c>
      <c r="K1396" s="1" t="s">
        <v>1688</v>
      </c>
      <c r="L1396" t="s">
        <v>3284</v>
      </c>
      <c r="M1396" t="str">
        <f>+VLOOKUP(C1396,'[1]TIENDAS 2025'!$A$1:$C$143,3,0)</f>
        <v>nocturna</v>
      </c>
      <c r="O1396">
        <v>1</v>
      </c>
    </row>
    <row r="1397" spans="1:15" ht="15" customHeight="1" x14ac:dyDescent="0.3">
      <c r="A1397" s="7">
        <v>8209670582</v>
      </c>
      <c r="B1397" s="4" t="s">
        <v>154</v>
      </c>
      <c r="C1397" s="4" t="s">
        <v>155</v>
      </c>
      <c r="D1397" s="6">
        <v>46309.454537037003</v>
      </c>
      <c r="E1397" s="6">
        <v>46309.204502314802</v>
      </c>
      <c r="F1397" s="6">
        <v>46309</v>
      </c>
      <c r="G1397" s="5" t="s">
        <v>12</v>
      </c>
      <c r="H1397" s="5" t="s">
        <v>27</v>
      </c>
      <c r="I1397" s="5">
        <v>18</v>
      </c>
      <c r="J1397" s="10" t="s">
        <v>17</v>
      </c>
      <c r="K1397" s="1" t="s">
        <v>1689</v>
      </c>
      <c r="M1397" t="str">
        <f>+VLOOKUP(C1397,'[1]TIENDAS 2025'!$A$1:$C$143,3,0)</f>
        <v>nocturna</v>
      </c>
      <c r="O1397">
        <v>1</v>
      </c>
    </row>
    <row r="1398" spans="1:15" ht="15" customHeight="1" x14ac:dyDescent="0.3">
      <c r="A1398" s="7">
        <v>1209670473</v>
      </c>
      <c r="B1398" s="4" t="s">
        <v>315</v>
      </c>
      <c r="C1398" s="4" t="s">
        <v>316</v>
      </c>
      <c r="D1398" s="6">
        <v>46309.454560185201</v>
      </c>
      <c r="E1398" s="6">
        <v>46309.204537037003</v>
      </c>
      <c r="F1398" s="6">
        <v>46309</v>
      </c>
      <c r="G1398" s="5" t="s">
        <v>12</v>
      </c>
      <c r="H1398" s="5" t="s">
        <v>29</v>
      </c>
      <c r="I1398" s="5">
        <v>31</v>
      </c>
      <c r="J1398" s="9" t="s">
        <v>17</v>
      </c>
      <c r="K1398" s="1" t="s">
        <v>1690</v>
      </c>
      <c r="L1398" t="s">
        <v>3284</v>
      </c>
      <c r="M1398" t="str">
        <f>+VLOOKUP(C1398,'[1]TIENDAS 2025'!$A$1:$C$143,3,0)</f>
        <v>prioridad</v>
      </c>
      <c r="O1398">
        <v>1</v>
      </c>
    </row>
    <row r="1399" spans="1:15" ht="15" customHeight="1" x14ac:dyDescent="0.3">
      <c r="A1399" s="7">
        <v>1209670569</v>
      </c>
      <c r="B1399" s="4" t="s">
        <v>379</v>
      </c>
      <c r="C1399" s="4" t="s">
        <v>380</v>
      </c>
      <c r="D1399" s="6">
        <v>46309.454583333303</v>
      </c>
      <c r="E1399" s="6">
        <v>46309.204548611102</v>
      </c>
      <c r="F1399" s="6">
        <v>46309</v>
      </c>
      <c r="G1399" s="5" t="s">
        <v>12</v>
      </c>
      <c r="H1399" s="5" t="s">
        <v>29</v>
      </c>
      <c r="I1399" s="5">
        <v>44</v>
      </c>
      <c r="J1399" s="9" t="s">
        <v>17</v>
      </c>
      <c r="K1399" s="1" t="s">
        <v>1691</v>
      </c>
      <c r="L1399" t="s">
        <v>3284</v>
      </c>
      <c r="M1399" t="str">
        <f>+VLOOKUP(C1399,'[1]TIENDAS 2025'!$A$1:$C$143,3,0)</f>
        <v>departamental</v>
      </c>
      <c r="O1399">
        <v>1</v>
      </c>
    </row>
    <row r="1400" spans="1:15" ht="15" customHeight="1" x14ac:dyDescent="0.3">
      <c r="A1400" s="7">
        <v>8209670555</v>
      </c>
      <c r="B1400" s="4" t="s">
        <v>379</v>
      </c>
      <c r="C1400" s="4" t="s">
        <v>380</v>
      </c>
      <c r="D1400" s="6">
        <v>46309.454594907402</v>
      </c>
      <c r="E1400" s="6">
        <v>46309.204571759299</v>
      </c>
      <c r="F1400" s="6">
        <v>46309</v>
      </c>
      <c r="G1400" s="5" t="s">
        <v>12</v>
      </c>
      <c r="H1400" s="5" t="s">
        <v>27</v>
      </c>
      <c r="I1400" s="5">
        <v>1</v>
      </c>
      <c r="J1400" s="10" t="s">
        <v>17</v>
      </c>
      <c r="K1400" s="1" t="s">
        <v>1692</v>
      </c>
      <c r="M1400" t="str">
        <f>+VLOOKUP(C1400,'[1]TIENDAS 2025'!$A$1:$C$143,3,0)</f>
        <v>departamental</v>
      </c>
      <c r="O1400">
        <v>1</v>
      </c>
    </row>
    <row r="1401" spans="1:15" ht="15" customHeight="1" x14ac:dyDescent="0.3">
      <c r="A1401" s="7">
        <v>8209670557</v>
      </c>
      <c r="B1401" s="4" t="s">
        <v>379</v>
      </c>
      <c r="C1401" s="4" t="s">
        <v>380</v>
      </c>
      <c r="D1401" s="6">
        <v>46309.454618055599</v>
      </c>
      <c r="E1401" s="6">
        <v>46309.204594907402</v>
      </c>
      <c r="F1401" s="6">
        <v>46309</v>
      </c>
      <c r="G1401" s="5" t="s">
        <v>12</v>
      </c>
      <c r="H1401" s="5" t="s">
        <v>27</v>
      </c>
      <c r="I1401" s="5">
        <v>6</v>
      </c>
      <c r="J1401" s="10" t="s">
        <v>17</v>
      </c>
      <c r="K1401" s="1" t="s">
        <v>1693</v>
      </c>
      <c r="M1401" t="str">
        <f>+VLOOKUP(C1401,'[1]TIENDAS 2025'!$A$1:$C$143,3,0)</f>
        <v>departamental</v>
      </c>
      <c r="O1401">
        <v>1</v>
      </c>
    </row>
    <row r="1402" spans="1:15" ht="15" customHeight="1" x14ac:dyDescent="0.3">
      <c r="A1402" s="7">
        <v>1209670595</v>
      </c>
      <c r="B1402" s="4" t="s">
        <v>154</v>
      </c>
      <c r="C1402" s="4" t="s">
        <v>155</v>
      </c>
      <c r="D1402" s="6">
        <v>46309.454629629603</v>
      </c>
      <c r="E1402" s="6">
        <v>46309.2046064815</v>
      </c>
      <c r="F1402" s="6">
        <v>46309</v>
      </c>
      <c r="G1402" s="5" t="s">
        <v>12</v>
      </c>
      <c r="H1402" s="5" t="s">
        <v>27</v>
      </c>
      <c r="I1402" s="5">
        <v>38</v>
      </c>
      <c r="J1402" s="9" t="s">
        <v>17</v>
      </c>
      <c r="K1402" s="1" t="s">
        <v>1694</v>
      </c>
      <c r="L1402" t="s">
        <v>3284</v>
      </c>
      <c r="M1402" t="str">
        <f>+VLOOKUP(C1402,'[1]TIENDAS 2025'!$A$1:$C$143,3,0)</f>
        <v>nocturna</v>
      </c>
      <c r="O1402">
        <v>1</v>
      </c>
    </row>
    <row r="1403" spans="1:15" ht="15" customHeight="1" x14ac:dyDescent="0.3">
      <c r="A1403" s="7">
        <v>8209670462</v>
      </c>
      <c r="B1403" s="4" t="s">
        <v>315</v>
      </c>
      <c r="C1403" s="4" t="s">
        <v>316</v>
      </c>
      <c r="D1403" s="6">
        <v>46309.4546527778</v>
      </c>
      <c r="E1403" s="6">
        <v>46309.204618055599</v>
      </c>
      <c r="F1403" s="6">
        <v>46309</v>
      </c>
      <c r="G1403" s="5" t="s">
        <v>12</v>
      </c>
      <c r="H1403" s="5" t="s">
        <v>27</v>
      </c>
      <c r="I1403" s="5">
        <v>10</v>
      </c>
      <c r="J1403" s="10" t="s">
        <v>17</v>
      </c>
      <c r="K1403" s="1" t="s">
        <v>1695</v>
      </c>
      <c r="M1403" t="str">
        <f>+VLOOKUP(C1403,'[1]TIENDAS 2025'!$A$1:$C$143,3,0)</f>
        <v>prioridad</v>
      </c>
      <c r="O1403">
        <v>1</v>
      </c>
    </row>
    <row r="1404" spans="1:15" ht="15" customHeight="1" x14ac:dyDescent="0.3">
      <c r="A1404" s="7">
        <v>1209670471</v>
      </c>
      <c r="B1404" s="4" t="s">
        <v>315</v>
      </c>
      <c r="C1404" s="4" t="s">
        <v>316</v>
      </c>
      <c r="D1404" s="6">
        <v>46309.454664351899</v>
      </c>
      <c r="E1404" s="6">
        <v>46309.204629629603</v>
      </c>
      <c r="F1404" s="6">
        <v>46309</v>
      </c>
      <c r="G1404" s="5" t="s">
        <v>12</v>
      </c>
      <c r="H1404" s="5" t="s">
        <v>29</v>
      </c>
      <c r="I1404" s="5">
        <v>14</v>
      </c>
      <c r="J1404" s="9" t="s">
        <v>17</v>
      </c>
      <c r="K1404" s="1" t="s">
        <v>1696</v>
      </c>
      <c r="L1404" t="s">
        <v>3284</v>
      </c>
      <c r="M1404" t="str">
        <f>+VLOOKUP(C1404,'[1]TIENDAS 2025'!$A$1:$C$143,3,0)</f>
        <v>prioridad</v>
      </c>
      <c r="O1404">
        <v>1</v>
      </c>
    </row>
    <row r="1405" spans="1:15" ht="15" customHeight="1" x14ac:dyDescent="0.3">
      <c r="A1405" s="7">
        <v>8209670580</v>
      </c>
      <c r="B1405" s="4" t="s">
        <v>154</v>
      </c>
      <c r="C1405" s="4" t="s">
        <v>155</v>
      </c>
      <c r="D1405" s="6">
        <v>46309.454675925903</v>
      </c>
      <c r="E1405" s="6">
        <v>46309.2046527778</v>
      </c>
      <c r="F1405" s="6">
        <v>46309</v>
      </c>
      <c r="G1405" s="5" t="s">
        <v>12</v>
      </c>
      <c r="H1405" s="5" t="s">
        <v>27</v>
      </c>
      <c r="I1405" s="5">
        <v>3</v>
      </c>
      <c r="J1405" s="10" t="s">
        <v>17</v>
      </c>
      <c r="K1405" s="1" t="s">
        <v>1697</v>
      </c>
      <c r="M1405" t="str">
        <f>+VLOOKUP(C1405,'[1]TIENDAS 2025'!$A$1:$C$143,3,0)</f>
        <v>nocturna</v>
      </c>
      <c r="O1405">
        <v>1</v>
      </c>
    </row>
    <row r="1406" spans="1:15" ht="15" customHeight="1" x14ac:dyDescent="0.3">
      <c r="A1406" s="7">
        <v>8209670530</v>
      </c>
      <c r="B1406" s="4" t="s">
        <v>184</v>
      </c>
      <c r="C1406" s="4" t="s">
        <v>185</v>
      </c>
      <c r="D1406" s="6">
        <v>46309.454687500001</v>
      </c>
      <c r="E1406" s="6">
        <v>46309.204664351899</v>
      </c>
      <c r="F1406" s="6">
        <v>46309</v>
      </c>
      <c r="G1406" s="5" t="s">
        <v>12</v>
      </c>
      <c r="H1406" s="5" t="s">
        <v>27</v>
      </c>
      <c r="I1406" s="5">
        <v>37</v>
      </c>
      <c r="J1406" s="10" t="s">
        <v>17</v>
      </c>
      <c r="K1406" s="1" t="s">
        <v>1698</v>
      </c>
      <c r="M1406" t="str">
        <f>+VLOOKUP(C1406,'[1]TIENDAS 2025'!$A$1:$C$143,3,0)</f>
        <v>nocturna</v>
      </c>
      <c r="O1406">
        <v>1</v>
      </c>
    </row>
    <row r="1407" spans="1:15" ht="15" customHeight="1" x14ac:dyDescent="0.3">
      <c r="A1407" s="7">
        <v>1209670505</v>
      </c>
      <c r="B1407" s="4" t="s">
        <v>503</v>
      </c>
      <c r="C1407" s="4" t="s">
        <v>504</v>
      </c>
      <c r="D1407" s="6">
        <v>46309.454710648097</v>
      </c>
      <c r="E1407" s="6">
        <v>46309.204675925903</v>
      </c>
      <c r="F1407" s="6">
        <v>46309</v>
      </c>
      <c r="G1407" s="5" t="s">
        <v>12</v>
      </c>
      <c r="H1407" s="5" t="s">
        <v>16</v>
      </c>
      <c r="I1407" s="5">
        <v>22</v>
      </c>
      <c r="J1407" s="9" t="s">
        <v>17</v>
      </c>
      <c r="K1407" s="1" t="s">
        <v>1699</v>
      </c>
      <c r="L1407" t="s">
        <v>3284</v>
      </c>
      <c r="M1407" t="str">
        <f>+VLOOKUP(C1407,'[1]TIENDAS 2025'!$A$1:$C$143,3,0)</f>
        <v>departamental</v>
      </c>
      <c r="O1407">
        <v>1</v>
      </c>
    </row>
    <row r="1408" spans="1:15" ht="15" customHeight="1" x14ac:dyDescent="0.3">
      <c r="A1408" s="7">
        <v>1209670563</v>
      </c>
      <c r="B1408" s="4" t="s">
        <v>379</v>
      </c>
      <c r="C1408" s="4" t="s">
        <v>380</v>
      </c>
      <c r="D1408" s="6">
        <v>46309.454722222203</v>
      </c>
      <c r="E1408" s="6">
        <v>46309.204687500001</v>
      </c>
      <c r="F1408" s="6">
        <v>46309</v>
      </c>
      <c r="G1408" s="5" t="s">
        <v>12</v>
      </c>
      <c r="H1408" s="5" t="s">
        <v>16</v>
      </c>
      <c r="I1408" s="5">
        <v>11</v>
      </c>
      <c r="J1408" s="9" t="s">
        <v>17</v>
      </c>
      <c r="K1408" s="1" t="s">
        <v>1700</v>
      </c>
      <c r="L1408" t="s">
        <v>3284</v>
      </c>
      <c r="M1408" t="str">
        <f>+VLOOKUP(C1408,'[1]TIENDAS 2025'!$A$1:$C$143,3,0)</f>
        <v>departamental</v>
      </c>
      <c r="O1408">
        <v>1</v>
      </c>
    </row>
    <row r="1409" spans="1:15" ht="15" customHeight="1" x14ac:dyDescent="0.3">
      <c r="A1409" s="7">
        <v>1209670564</v>
      </c>
      <c r="B1409" s="4" t="s">
        <v>379</v>
      </c>
      <c r="C1409" s="4" t="s">
        <v>380</v>
      </c>
      <c r="D1409" s="6">
        <v>46309.454733796301</v>
      </c>
      <c r="E1409" s="6">
        <v>46309.204710648097</v>
      </c>
      <c r="F1409" s="6">
        <v>46309</v>
      </c>
      <c r="G1409" s="5" t="s">
        <v>12</v>
      </c>
      <c r="H1409" s="5" t="s">
        <v>16</v>
      </c>
      <c r="I1409" s="5">
        <v>18</v>
      </c>
      <c r="J1409" s="9" t="s">
        <v>17</v>
      </c>
      <c r="K1409" s="1" t="s">
        <v>1701</v>
      </c>
      <c r="L1409" t="s">
        <v>3284</v>
      </c>
      <c r="M1409" t="str">
        <f>+VLOOKUP(C1409,'[1]TIENDAS 2025'!$A$1:$C$143,3,0)</f>
        <v>departamental</v>
      </c>
      <c r="O1409">
        <v>1</v>
      </c>
    </row>
    <row r="1410" spans="1:15" ht="15" customHeight="1" x14ac:dyDescent="0.3">
      <c r="A1410" s="7">
        <v>1209670510</v>
      </c>
      <c r="B1410" s="4" t="s">
        <v>503</v>
      </c>
      <c r="C1410" s="4" t="s">
        <v>504</v>
      </c>
      <c r="D1410" s="6">
        <v>46309.4547453704</v>
      </c>
      <c r="E1410" s="6">
        <v>46309.204722222203</v>
      </c>
      <c r="F1410" s="6">
        <v>46309</v>
      </c>
      <c r="G1410" s="5" t="s">
        <v>12</v>
      </c>
      <c r="H1410" s="5" t="s">
        <v>16</v>
      </c>
      <c r="I1410" s="5">
        <v>2</v>
      </c>
      <c r="J1410" s="9" t="s">
        <v>17</v>
      </c>
      <c r="K1410" s="1" t="s">
        <v>1702</v>
      </c>
      <c r="L1410" t="s">
        <v>3284</v>
      </c>
      <c r="M1410" t="str">
        <f>+VLOOKUP(C1410,'[1]TIENDAS 2025'!$A$1:$C$143,3,0)</f>
        <v>departamental</v>
      </c>
      <c r="O1410">
        <v>1</v>
      </c>
    </row>
    <row r="1411" spans="1:15" ht="15" customHeight="1" x14ac:dyDescent="0.3">
      <c r="A1411" s="7">
        <v>1209670517</v>
      </c>
      <c r="B1411" s="4" t="s">
        <v>503</v>
      </c>
      <c r="C1411" s="4" t="s">
        <v>504</v>
      </c>
      <c r="D1411" s="6">
        <v>46309.454768518503</v>
      </c>
      <c r="E1411" s="6">
        <v>46309.204733796301</v>
      </c>
      <c r="F1411" s="6">
        <v>46309</v>
      </c>
      <c r="G1411" s="5" t="s">
        <v>12</v>
      </c>
      <c r="H1411" s="5" t="s">
        <v>16</v>
      </c>
      <c r="I1411" s="5">
        <v>21</v>
      </c>
      <c r="J1411" s="9" t="s">
        <v>17</v>
      </c>
      <c r="K1411" s="1" t="s">
        <v>1703</v>
      </c>
      <c r="L1411" t="s">
        <v>3284</v>
      </c>
      <c r="M1411" t="str">
        <f>+VLOOKUP(C1411,'[1]TIENDAS 2025'!$A$1:$C$143,3,0)</f>
        <v>departamental</v>
      </c>
      <c r="O1411">
        <v>1</v>
      </c>
    </row>
    <row r="1412" spans="1:15" ht="15" customHeight="1" x14ac:dyDescent="0.3">
      <c r="A1412" s="7">
        <v>1209670542</v>
      </c>
      <c r="B1412" s="4" t="s">
        <v>184</v>
      </c>
      <c r="C1412" s="4" t="s">
        <v>185</v>
      </c>
      <c r="D1412" s="6">
        <v>46309.454780092601</v>
      </c>
      <c r="E1412" s="6">
        <v>46309.2047453704</v>
      </c>
      <c r="F1412" s="6">
        <v>46309</v>
      </c>
      <c r="G1412" s="5" t="s">
        <v>12</v>
      </c>
      <c r="H1412" s="5" t="s">
        <v>29</v>
      </c>
      <c r="I1412" s="5">
        <v>16</v>
      </c>
      <c r="J1412" s="9" t="s">
        <v>17</v>
      </c>
      <c r="K1412" s="1" t="s">
        <v>1704</v>
      </c>
      <c r="L1412" t="s">
        <v>3284</v>
      </c>
      <c r="M1412" t="str">
        <f>+VLOOKUP(C1412,'[1]TIENDAS 2025'!$A$1:$C$143,3,0)</f>
        <v>nocturna</v>
      </c>
      <c r="O1412">
        <v>1</v>
      </c>
    </row>
    <row r="1413" spans="1:15" ht="15" customHeight="1" x14ac:dyDescent="0.3">
      <c r="A1413" s="7">
        <v>1209670477</v>
      </c>
      <c r="B1413" s="4" t="s">
        <v>315</v>
      </c>
      <c r="C1413" s="4" t="s">
        <v>316</v>
      </c>
      <c r="D1413" s="6">
        <v>46309.4547916667</v>
      </c>
      <c r="E1413" s="6">
        <v>46309.204768518503</v>
      </c>
      <c r="F1413" s="6">
        <v>46309</v>
      </c>
      <c r="G1413" s="5" t="s">
        <v>12</v>
      </c>
      <c r="H1413" s="5" t="s">
        <v>16</v>
      </c>
      <c r="I1413" s="5">
        <v>49</v>
      </c>
      <c r="J1413" s="9" t="s">
        <v>17</v>
      </c>
      <c r="K1413" s="1" t="s">
        <v>1705</v>
      </c>
      <c r="L1413" t="s">
        <v>3284</v>
      </c>
      <c r="M1413" t="str">
        <f>+VLOOKUP(C1413,'[1]TIENDAS 2025'!$A$1:$C$143,3,0)</f>
        <v>prioridad</v>
      </c>
      <c r="O1413">
        <v>1</v>
      </c>
    </row>
    <row r="1414" spans="1:15" ht="15" customHeight="1" x14ac:dyDescent="0.3">
      <c r="A1414" s="7">
        <v>8209670525</v>
      </c>
      <c r="B1414" s="4" t="s">
        <v>184</v>
      </c>
      <c r="C1414" s="4" t="s">
        <v>185</v>
      </c>
      <c r="D1414" s="6">
        <v>46309.454803240696</v>
      </c>
      <c r="E1414" s="6">
        <v>46309.204780092601</v>
      </c>
      <c r="F1414" s="6">
        <v>46309</v>
      </c>
      <c r="G1414" s="5" t="s">
        <v>12</v>
      </c>
      <c r="H1414" s="5" t="s">
        <v>27</v>
      </c>
      <c r="I1414" s="5">
        <v>19</v>
      </c>
      <c r="J1414" s="10" t="s">
        <v>17</v>
      </c>
      <c r="K1414" s="1" t="s">
        <v>1706</v>
      </c>
      <c r="M1414" t="str">
        <f>+VLOOKUP(C1414,'[1]TIENDAS 2025'!$A$1:$C$143,3,0)</f>
        <v>nocturna</v>
      </c>
      <c r="O1414">
        <v>1</v>
      </c>
    </row>
    <row r="1415" spans="1:15" ht="15" customHeight="1" x14ac:dyDescent="0.3">
      <c r="A1415" s="7">
        <v>8209670526</v>
      </c>
      <c r="B1415" s="4" t="s">
        <v>184</v>
      </c>
      <c r="C1415" s="4" t="s">
        <v>185</v>
      </c>
      <c r="D1415" s="6">
        <v>46309.454814814802</v>
      </c>
      <c r="E1415" s="6">
        <v>46309.2047916667</v>
      </c>
      <c r="F1415" s="6">
        <v>46309</v>
      </c>
      <c r="G1415" s="5" t="s">
        <v>12</v>
      </c>
      <c r="H1415" s="5" t="s">
        <v>27</v>
      </c>
      <c r="I1415" s="5">
        <v>10</v>
      </c>
      <c r="J1415" s="10" t="s">
        <v>17</v>
      </c>
      <c r="K1415" s="1" t="s">
        <v>1707</v>
      </c>
      <c r="M1415" t="str">
        <f>+VLOOKUP(C1415,'[1]TIENDAS 2025'!$A$1:$C$143,3,0)</f>
        <v>nocturna</v>
      </c>
      <c r="O1415">
        <v>1</v>
      </c>
    </row>
    <row r="1416" spans="1:15" ht="15" customHeight="1" x14ac:dyDescent="0.3">
      <c r="A1416" s="7">
        <v>1209670589</v>
      </c>
      <c r="B1416" s="4" t="s">
        <v>154</v>
      </c>
      <c r="C1416" s="4" t="s">
        <v>155</v>
      </c>
      <c r="D1416" s="6">
        <v>46309.454837963</v>
      </c>
      <c r="E1416" s="6">
        <v>46309.204803240696</v>
      </c>
      <c r="F1416" s="6">
        <v>46309</v>
      </c>
      <c r="G1416" s="5" t="s">
        <v>12</v>
      </c>
      <c r="H1416" s="5" t="s">
        <v>29</v>
      </c>
      <c r="I1416" s="5">
        <v>15</v>
      </c>
      <c r="J1416" s="9" t="s">
        <v>17</v>
      </c>
      <c r="K1416" s="1" t="s">
        <v>1708</v>
      </c>
      <c r="L1416" t="s">
        <v>3284</v>
      </c>
      <c r="M1416" t="str">
        <f>+VLOOKUP(C1416,'[1]TIENDAS 2025'!$A$1:$C$143,3,0)</f>
        <v>nocturna</v>
      </c>
      <c r="O1416">
        <v>1</v>
      </c>
    </row>
    <row r="1417" spans="1:15" ht="15" customHeight="1" x14ac:dyDescent="0.3">
      <c r="A1417" s="7">
        <v>1209670502</v>
      </c>
      <c r="B1417" s="4" t="s">
        <v>503</v>
      </c>
      <c r="C1417" s="4" t="s">
        <v>504</v>
      </c>
      <c r="D1417" s="6">
        <v>46309.454849537004</v>
      </c>
      <c r="E1417" s="6">
        <v>46309.204814814802</v>
      </c>
      <c r="F1417" s="6">
        <v>46309</v>
      </c>
      <c r="G1417" s="5" t="s">
        <v>12</v>
      </c>
      <c r="H1417" s="5" t="s">
        <v>29</v>
      </c>
      <c r="I1417" s="5">
        <v>18</v>
      </c>
      <c r="J1417" s="9" t="s">
        <v>17</v>
      </c>
      <c r="K1417" s="1" t="s">
        <v>1709</v>
      </c>
      <c r="L1417" t="s">
        <v>3284</v>
      </c>
      <c r="M1417" t="str">
        <f>+VLOOKUP(C1417,'[1]TIENDAS 2025'!$A$1:$C$143,3,0)</f>
        <v>departamental</v>
      </c>
      <c r="O1417">
        <v>1</v>
      </c>
    </row>
    <row r="1418" spans="1:15" ht="15" customHeight="1" x14ac:dyDescent="0.3">
      <c r="A1418" s="7">
        <v>1209670586</v>
      </c>
      <c r="B1418" s="4" t="s">
        <v>154</v>
      </c>
      <c r="C1418" s="4" t="s">
        <v>155</v>
      </c>
      <c r="D1418" s="6">
        <v>46309.454861111102</v>
      </c>
      <c r="E1418" s="6">
        <v>46309.204837963</v>
      </c>
      <c r="F1418" s="6">
        <v>46309</v>
      </c>
      <c r="G1418" s="5" t="s">
        <v>12</v>
      </c>
      <c r="H1418" s="5" t="s">
        <v>29</v>
      </c>
      <c r="I1418" s="5">
        <v>6</v>
      </c>
      <c r="J1418" s="9" t="s">
        <v>17</v>
      </c>
      <c r="K1418" s="1" t="s">
        <v>1710</v>
      </c>
      <c r="L1418" t="s">
        <v>3284</v>
      </c>
      <c r="M1418" t="str">
        <f>+VLOOKUP(C1418,'[1]TIENDAS 2025'!$A$1:$C$143,3,0)</f>
        <v>nocturna</v>
      </c>
      <c r="O1418">
        <v>1</v>
      </c>
    </row>
    <row r="1419" spans="1:15" ht="15" customHeight="1" x14ac:dyDescent="0.3">
      <c r="A1419" s="7">
        <v>1209670474</v>
      </c>
      <c r="B1419" s="4" t="s">
        <v>315</v>
      </c>
      <c r="C1419" s="4" t="s">
        <v>316</v>
      </c>
      <c r="D1419" s="6">
        <v>46309.454872685201</v>
      </c>
      <c r="E1419" s="6">
        <v>46309.204849537004</v>
      </c>
      <c r="F1419" s="6">
        <v>46309</v>
      </c>
      <c r="G1419" s="5" t="s">
        <v>12</v>
      </c>
      <c r="H1419" s="5" t="s">
        <v>29</v>
      </c>
      <c r="I1419" s="5">
        <v>37</v>
      </c>
      <c r="J1419" s="9" t="s">
        <v>17</v>
      </c>
      <c r="K1419" s="1" t="s">
        <v>1711</v>
      </c>
      <c r="L1419" t="s">
        <v>3284</v>
      </c>
      <c r="M1419" t="str">
        <f>+VLOOKUP(C1419,'[1]TIENDAS 2025'!$A$1:$C$143,3,0)</f>
        <v>prioridad</v>
      </c>
      <c r="O1419">
        <v>1</v>
      </c>
    </row>
    <row r="1420" spans="1:15" ht="15" customHeight="1" x14ac:dyDescent="0.3">
      <c r="A1420" s="7">
        <v>1209670538</v>
      </c>
      <c r="B1420" s="4" t="s">
        <v>184</v>
      </c>
      <c r="C1420" s="4" t="s">
        <v>185</v>
      </c>
      <c r="D1420" s="6">
        <v>46309.454895833303</v>
      </c>
      <c r="E1420" s="6">
        <v>46309.204861111102</v>
      </c>
      <c r="F1420" s="6">
        <v>46309</v>
      </c>
      <c r="G1420" s="5" t="s">
        <v>12</v>
      </c>
      <c r="H1420" s="5" t="s">
        <v>29</v>
      </c>
      <c r="I1420" s="5">
        <v>31</v>
      </c>
      <c r="J1420" s="9" t="s">
        <v>17</v>
      </c>
      <c r="K1420" s="1" t="s">
        <v>1712</v>
      </c>
      <c r="L1420" t="s">
        <v>3284</v>
      </c>
      <c r="M1420" t="str">
        <f>+VLOOKUP(C1420,'[1]TIENDAS 2025'!$A$1:$C$143,3,0)</f>
        <v>nocturna</v>
      </c>
      <c r="O1420">
        <v>1</v>
      </c>
    </row>
    <row r="1421" spans="1:15" ht="15" customHeight="1" x14ac:dyDescent="0.3">
      <c r="A1421" s="7">
        <v>8209670581</v>
      </c>
      <c r="B1421" s="4" t="s">
        <v>154</v>
      </c>
      <c r="C1421" s="4" t="s">
        <v>155</v>
      </c>
      <c r="D1421" s="6">
        <v>46309.454907407402</v>
      </c>
      <c r="E1421" s="6">
        <v>46309.204884259299</v>
      </c>
      <c r="F1421" s="6">
        <v>46309</v>
      </c>
      <c r="G1421" s="5" t="s">
        <v>12</v>
      </c>
      <c r="H1421" s="5" t="s">
        <v>27</v>
      </c>
      <c r="I1421" s="5">
        <v>29</v>
      </c>
      <c r="J1421" s="10" t="s">
        <v>17</v>
      </c>
      <c r="K1421" s="1" t="s">
        <v>1713</v>
      </c>
      <c r="M1421" t="str">
        <f>+VLOOKUP(C1421,'[1]TIENDAS 2025'!$A$1:$C$143,3,0)</f>
        <v>nocturna</v>
      </c>
      <c r="O1421">
        <v>1</v>
      </c>
    </row>
    <row r="1422" spans="1:15" ht="15" customHeight="1" x14ac:dyDescent="0.3">
      <c r="A1422" s="7">
        <v>8209670583</v>
      </c>
      <c r="B1422" s="4" t="s">
        <v>154</v>
      </c>
      <c r="C1422" s="4" t="s">
        <v>155</v>
      </c>
      <c r="D1422" s="6">
        <v>46309.454930555599</v>
      </c>
      <c r="E1422" s="6">
        <v>46309.204895833303</v>
      </c>
      <c r="F1422" s="6">
        <v>46309</v>
      </c>
      <c r="G1422" s="5" t="s">
        <v>12</v>
      </c>
      <c r="H1422" s="5" t="s">
        <v>27</v>
      </c>
      <c r="I1422" s="5">
        <v>15</v>
      </c>
      <c r="J1422" s="10" t="s">
        <v>17</v>
      </c>
      <c r="K1422" s="1" t="s">
        <v>1714</v>
      </c>
      <c r="M1422" t="str">
        <f>+VLOOKUP(C1422,'[1]TIENDAS 2025'!$A$1:$C$143,3,0)</f>
        <v>nocturna</v>
      </c>
      <c r="O1422">
        <v>1</v>
      </c>
    </row>
    <row r="1423" spans="1:15" ht="15" customHeight="1" x14ac:dyDescent="0.3">
      <c r="A1423" s="7">
        <v>1209670591</v>
      </c>
      <c r="B1423" s="4" t="s">
        <v>154</v>
      </c>
      <c r="C1423" s="4" t="s">
        <v>155</v>
      </c>
      <c r="D1423" s="6">
        <v>46309.454942129603</v>
      </c>
      <c r="E1423" s="6">
        <v>46309.204907407402</v>
      </c>
      <c r="F1423" s="6">
        <v>46309</v>
      </c>
      <c r="G1423" s="5" t="s">
        <v>12</v>
      </c>
      <c r="H1423" s="5" t="s">
        <v>16</v>
      </c>
      <c r="I1423" s="5">
        <v>3</v>
      </c>
      <c r="J1423" s="9" t="s">
        <v>17</v>
      </c>
      <c r="K1423" s="1" t="s">
        <v>1715</v>
      </c>
      <c r="L1423" t="s">
        <v>3284</v>
      </c>
      <c r="M1423" t="str">
        <f>+VLOOKUP(C1423,'[1]TIENDAS 2025'!$A$1:$C$143,3,0)</f>
        <v>nocturna</v>
      </c>
      <c r="O1423">
        <v>1</v>
      </c>
    </row>
    <row r="1424" spans="1:15" ht="15" customHeight="1" x14ac:dyDescent="0.3">
      <c r="A1424" s="7">
        <v>1209670587</v>
      </c>
      <c r="B1424" s="4" t="s">
        <v>154</v>
      </c>
      <c r="C1424" s="4" t="s">
        <v>155</v>
      </c>
      <c r="D1424" s="6">
        <v>46309.454953703702</v>
      </c>
      <c r="E1424" s="6">
        <v>46309.204930555599</v>
      </c>
      <c r="F1424" s="6">
        <v>46309</v>
      </c>
      <c r="G1424" s="5" t="s">
        <v>12</v>
      </c>
      <c r="H1424" s="5" t="s">
        <v>16</v>
      </c>
      <c r="I1424" s="5">
        <v>16</v>
      </c>
      <c r="J1424" s="9" t="s">
        <v>17</v>
      </c>
      <c r="K1424" s="1" t="s">
        <v>1716</v>
      </c>
      <c r="L1424" t="s">
        <v>3284</v>
      </c>
      <c r="M1424" t="str">
        <f>+VLOOKUP(C1424,'[1]TIENDAS 2025'!$A$1:$C$143,3,0)</f>
        <v>nocturna</v>
      </c>
      <c r="O1424">
        <v>1</v>
      </c>
    </row>
    <row r="1425" spans="1:15" ht="15" customHeight="1" x14ac:dyDescent="0.3">
      <c r="A1425" s="7">
        <v>1209670593</v>
      </c>
      <c r="B1425" s="4" t="s">
        <v>154</v>
      </c>
      <c r="C1425" s="4" t="s">
        <v>155</v>
      </c>
      <c r="D1425" s="6">
        <v>46309.454976851899</v>
      </c>
      <c r="E1425" s="6">
        <v>46309.204942129603</v>
      </c>
      <c r="F1425" s="6">
        <v>46309</v>
      </c>
      <c r="G1425" s="5" t="s">
        <v>12</v>
      </c>
      <c r="H1425" s="5" t="s">
        <v>29</v>
      </c>
      <c r="I1425" s="5">
        <v>46</v>
      </c>
      <c r="J1425" s="9" t="s">
        <v>17</v>
      </c>
      <c r="K1425" s="1" t="s">
        <v>1717</v>
      </c>
      <c r="L1425" t="s">
        <v>3284</v>
      </c>
      <c r="M1425" t="str">
        <f>+VLOOKUP(C1425,'[1]TIENDAS 2025'!$A$1:$C$143,3,0)</f>
        <v>nocturna</v>
      </c>
      <c r="O1425">
        <v>1</v>
      </c>
    </row>
    <row r="1426" spans="1:15" ht="15" customHeight="1" x14ac:dyDescent="0.3">
      <c r="A1426" s="7">
        <v>8209670496</v>
      </c>
      <c r="B1426" s="4" t="s">
        <v>503</v>
      </c>
      <c r="C1426" s="4" t="s">
        <v>504</v>
      </c>
      <c r="D1426" s="6">
        <v>46309.454988425903</v>
      </c>
      <c r="E1426" s="6">
        <v>46309.204953703702</v>
      </c>
      <c r="F1426" s="6">
        <v>46309</v>
      </c>
      <c r="G1426" s="5" t="s">
        <v>12</v>
      </c>
      <c r="H1426" s="5" t="s">
        <v>27</v>
      </c>
      <c r="I1426" s="5">
        <v>3</v>
      </c>
      <c r="J1426" s="10" t="s">
        <v>17</v>
      </c>
      <c r="K1426" s="1" t="s">
        <v>1718</v>
      </c>
      <c r="M1426" t="str">
        <f>+VLOOKUP(C1426,'[1]TIENDAS 2025'!$A$1:$C$143,3,0)</f>
        <v>departamental</v>
      </c>
      <c r="O1426">
        <v>1</v>
      </c>
    </row>
    <row r="1427" spans="1:15" ht="15" customHeight="1" x14ac:dyDescent="0.3">
      <c r="A1427" s="7">
        <v>8209670554</v>
      </c>
      <c r="B1427" s="4" t="s">
        <v>379</v>
      </c>
      <c r="C1427" s="4" t="s">
        <v>380</v>
      </c>
      <c r="D1427" s="6">
        <v>46309.455000000002</v>
      </c>
      <c r="E1427" s="6">
        <v>46309.204976851899</v>
      </c>
      <c r="F1427" s="6">
        <v>46309</v>
      </c>
      <c r="G1427" s="5" t="s">
        <v>12</v>
      </c>
      <c r="H1427" s="5" t="s">
        <v>27</v>
      </c>
      <c r="I1427" s="5">
        <v>1</v>
      </c>
      <c r="J1427" s="10" t="s">
        <v>17</v>
      </c>
      <c r="K1427" s="1" t="s">
        <v>1719</v>
      </c>
      <c r="M1427" t="str">
        <f>+VLOOKUP(C1427,'[1]TIENDAS 2025'!$A$1:$C$143,3,0)</f>
        <v>departamental</v>
      </c>
      <c r="O1427">
        <v>1</v>
      </c>
    </row>
    <row r="1428" spans="1:15" ht="15" customHeight="1" x14ac:dyDescent="0.3">
      <c r="A1428" s="7">
        <v>8209670558</v>
      </c>
      <c r="B1428" s="4" t="s">
        <v>379</v>
      </c>
      <c r="C1428" s="4" t="s">
        <v>380</v>
      </c>
      <c r="D1428" s="6">
        <v>46309.4550115741</v>
      </c>
      <c r="E1428" s="6">
        <v>46309.204988425903</v>
      </c>
      <c r="F1428" s="6">
        <v>46309</v>
      </c>
      <c r="G1428" s="5" t="s">
        <v>12</v>
      </c>
      <c r="H1428" s="5" t="s">
        <v>27</v>
      </c>
      <c r="I1428" s="5">
        <v>4</v>
      </c>
      <c r="J1428" s="10" t="s">
        <v>17</v>
      </c>
      <c r="K1428" s="1" t="s">
        <v>1720</v>
      </c>
      <c r="M1428" t="str">
        <f>+VLOOKUP(C1428,'[1]TIENDAS 2025'!$A$1:$C$143,3,0)</f>
        <v>departamental</v>
      </c>
      <c r="O1428">
        <v>1</v>
      </c>
    </row>
    <row r="1429" spans="1:15" ht="15" customHeight="1" x14ac:dyDescent="0.3">
      <c r="A1429" s="7">
        <v>8209670529</v>
      </c>
      <c r="B1429" s="4" t="s">
        <v>184</v>
      </c>
      <c r="C1429" s="4" t="s">
        <v>185</v>
      </c>
      <c r="D1429" s="6">
        <v>46309.455023148097</v>
      </c>
      <c r="E1429" s="6">
        <v>46309.205000000002</v>
      </c>
      <c r="F1429" s="6">
        <v>46309</v>
      </c>
      <c r="G1429" s="5" t="s">
        <v>12</v>
      </c>
      <c r="H1429" s="5" t="s">
        <v>27</v>
      </c>
      <c r="I1429" s="5">
        <v>2</v>
      </c>
      <c r="J1429" s="10" t="s">
        <v>17</v>
      </c>
      <c r="K1429" s="1" t="s">
        <v>1721</v>
      </c>
      <c r="M1429" t="str">
        <f>+VLOOKUP(C1429,'[1]TIENDAS 2025'!$A$1:$C$143,3,0)</f>
        <v>nocturna</v>
      </c>
      <c r="O1429">
        <v>1</v>
      </c>
    </row>
    <row r="1430" spans="1:15" ht="15" customHeight="1" x14ac:dyDescent="0.3">
      <c r="A1430" s="7">
        <v>8209670494</v>
      </c>
      <c r="B1430" s="4" t="s">
        <v>503</v>
      </c>
      <c r="C1430" s="4" t="s">
        <v>504</v>
      </c>
      <c r="D1430" s="6">
        <v>46309.455046296302</v>
      </c>
      <c r="E1430" s="6">
        <v>46309.2050115741</v>
      </c>
      <c r="F1430" s="6">
        <v>46309</v>
      </c>
      <c r="G1430" s="5" t="s">
        <v>12</v>
      </c>
      <c r="H1430" s="5" t="s">
        <v>27</v>
      </c>
      <c r="I1430" s="5">
        <v>2</v>
      </c>
      <c r="J1430" s="10" t="s">
        <v>17</v>
      </c>
      <c r="K1430" s="1" t="s">
        <v>1722</v>
      </c>
      <c r="M1430" t="str">
        <f>+VLOOKUP(C1430,'[1]TIENDAS 2025'!$A$1:$C$143,3,0)</f>
        <v>departamental</v>
      </c>
      <c r="O1430">
        <v>1</v>
      </c>
    </row>
    <row r="1431" spans="1:15" ht="15" customHeight="1" x14ac:dyDescent="0.3">
      <c r="A1431" s="7">
        <v>1209670561</v>
      </c>
      <c r="B1431" s="4" t="s">
        <v>379</v>
      </c>
      <c r="C1431" s="4" t="s">
        <v>380</v>
      </c>
      <c r="D1431" s="6">
        <v>46309.4550578704</v>
      </c>
      <c r="E1431" s="6">
        <v>46309.205023148097</v>
      </c>
      <c r="F1431" s="6">
        <v>46309</v>
      </c>
      <c r="G1431" s="5" t="s">
        <v>12</v>
      </c>
      <c r="H1431" s="5" t="s">
        <v>29</v>
      </c>
      <c r="I1431" s="5">
        <v>2</v>
      </c>
      <c r="J1431" s="9" t="s">
        <v>17</v>
      </c>
      <c r="K1431" s="1" t="s">
        <v>1723</v>
      </c>
      <c r="L1431" t="s">
        <v>3284</v>
      </c>
      <c r="M1431" t="str">
        <f>+VLOOKUP(C1431,'[1]TIENDAS 2025'!$A$1:$C$143,3,0)</f>
        <v>departamental</v>
      </c>
      <c r="O1431">
        <v>1</v>
      </c>
    </row>
    <row r="1432" spans="1:15" ht="15" customHeight="1" x14ac:dyDescent="0.3">
      <c r="A1432" s="7">
        <v>1209670565</v>
      </c>
      <c r="B1432" s="4" t="s">
        <v>379</v>
      </c>
      <c r="C1432" s="4" t="s">
        <v>380</v>
      </c>
      <c r="D1432" s="6">
        <v>46309.455069444397</v>
      </c>
      <c r="E1432" s="6">
        <v>46309.205046296302</v>
      </c>
      <c r="F1432" s="6">
        <v>46309</v>
      </c>
      <c r="G1432" s="5" t="s">
        <v>12</v>
      </c>
      <c r="H1432" s="5" t="s">
        <v>16</v>
      </c>
      <c r="I1432" s="5">
        <v>24</v>
      </c>
      <c r="J1432" s="9" t="s">
        <v>17</v>
      </c>
      <c r="K1432" s="1" t="s">
        <v>1724</v>
      </c>
      <c r="L1432" t="s">
        <v>3284</v>
      </c>
      <c r="M1432" t="str">
        <f>+VLOOKUP(C1432,'[1]TIENDAS 2025'!$A$1:$C$143,3,0)</f>
        <v>departamental</v>
      </c>
      <c r="O1432">
        <v>1</v>
      </c>
    </row>
    <row r="1433" spans="1:15" ht="15" customHeight="1" x14ac:dyDescent="0.3">
      <c r="A1433" s="7">
        <v>8209670466</v>
      </c>
      <c r="B1433" s="4" t="s">
        <v>315</v>
      </c>
      <c r="C1433" s="4" t="s">
        <v>316</v>
      </c>
      <c r="D1433" s="6">
        <v>46309.455081018503</v>
      </c>
      <c r="E1433" s="6">
        <v>46309.2050578704</v>
      </c>
      <c r="F1433" s="6">
        <v>46309</v>
      </c>
      <c r="G1433" s="5" t="s">
        <v>12</v>
      </c>
      <c r="H1433" s="5" t="s">
        <v>27</v>
      </c>
      <c r="I1433" s="5">
        <v>2</v>
      </c>
      <c r="J1433" s="10" t="s">
        <v>17</v>
      </c>
      <c r="K1433" s="1" t="s">
        <v>1725</v>
      </c>
      <c r="M1433" t="str">
        <f>+VLOOKUP(C1433,'[1]TIENDAS 2025'!$A$1:$C$143,3,0)</f>
        <v>prioridad</v>
      </c>
      <c r="O1433">
        <v>1</v>
      </c>
    </row>
    <row r="1434" spans="1:15" ht="15" customHeight="1" x14ac:dyDescent="0.3">
      <c r="A1434" s="7">
        <v>8209670468</v>
      </c>
      <c r="B1434" s="4" t="s">
        <v>315</v>
      </c>
      <c r="C1434" s="4" t="s">
        <v>316</v>
      </c>
      <c r="D1434" s="6">
        <v>46309.4551041667</v>
      </c>
      <c r="E1434" s="6">
        <v>46309.205069444397</v>
      </c>
      <c r="F1434" s="6">
        <v>46309</v>
      </c>
      <c r="G1434" s="5" t="s">
        <v>12</v>
      </c>
      <c r="H1434" s="5" t="s">
        <v>27</v>
      </c>
      <c r="I1434" s="5">
        <v>16</v>
      </c>
      <c r="J1434" s="10" t="s">
        <v>17</v>
      </c>
      <c r="K1434" s="1" t="s">
        <v>1726</v>
      </c>
      <c r="M1434" t="str">
        <f>+VLOOKUP(C1434,'[1]TIENDAS 2025'!$A$1:$C$143,3,0)</f>
        <v>prioridad</v>
      </c>
      <c r="O1434">
        <v>1</v>
      </c>
    </row>
    <row r="1435" spans="1:15" ht="15" customHeight="1" x14ac:dyDescent="0.3">
      <c r="A1435" s="7">
        <v>1209670476</v>
      </c>
      <c r="B1435" s="4" t="s">
        <v>315</v>
      </c>
      <c r="C1435" s="4" t="s">
        <v>316</v>
      </c>
      <c r="D1435" s="6">
        <v>46309.455115740697</v>
      </c>
      <c r="E1435" s="6">
        <v>46309.205081018503</v>
      </c>
      <c r="F1435" s="6">
        <v>46309</v>
      </c>
      <c r="G1435" s="5" t="s">
        <v>12</v>
      </c>
      <c r="H1435" s="5" t="s">
        <v>27</v>
      </c>
      <c r="I1435" s="5">
        <v>40</v>
      </c>
      <c r="J1435" s="9" t="s">
        <v>17</v>
      </c>
      <c r="K1435" s="1" t="s">
        <v>1727</v>
      </c>
      <c r="L1435" t="s">
        <v>3284</v>
      </c>
      <c r="M1435" t="str">
        <f>+VLOOKUP(C1435,'[1]TIENDAS 2025'!$A$1:$C$143,3,0)</f>
        <v>prioridad</v>
      </c>
      <c r="O1435">
        <v>1</v>
      </c>
    </row>
    <row r="1436" spans="1:15" ht="15" customHeight="1" x14ac:dyDescent="0.3">
      <c r="A1436" s="7">
        <v>1209670566</v>
      </c>
      <c r="B1436" s="4" t="s">
        <v>379</v>
      </c>
      <c r="C1436" s="4" t="s">
        <v>380</v>
      </c>
      <c r="D1436" s="6">
        <v>46309.455127314803</v>
      </c>
      <c r="E1436" s="6">
        <v>46309.2051041667</v>
      </c>
      <c r="F1436" s="6">
        <v>46309</v>
      </c>
      <c r="G1436" s="5" t="s">
        <v>12</v>
      </c>
      <c r="H1436" s="5" t="s">
        <v>16</v>
      </c>
      <c r="I1436" s="5">
        <v>48</v>
      </c>
      <c r="J1436" s="9" t="s">
        <v>17</v>
      </c>
      <c r="K1436" s="1" t="s">
        <v>1728</v>
      </c>
      <c r="L1436" t="s">
        <v>3284</v>
      </c>
      <c r="M1436" t="str">
        <f>+VLOOKUP(C1436,'[1]TIENDAS 2025'!$A$1:$C$143,3,0)</f>
        <v>departamental</v>
      </c>
      <c r="O1436">
        <v>1</v>
      </c>
    </row>
    <row r="1437" spans="1:15" ht="15" customHeight="1" x14ac:dyDescent="0.3">
      <c r="A1437" s="7">
        <v>1209670469</v>
      </c>
      <c r="B1437" s="4" t="s">
        <v>315</v>
      </c>
      <c r="C1437" s="4" t="s">
        <v>316</v>
      </c>
      <c r="D1437" s="6">
        <v>46309.455138888901</v>
      </c>
      <c r="E1437" s="6">
        <v>46309.205115740697</v>
      </c>
      <c r="F1437" s="6">
        <v>46309</v>
      </c>
      <c r="G1437" s="5" t="s">
        <v>12</v>
      </c>
      <c r="H1437" s="5" t="s">
        <v>16</v>
      </c>
      <c r="I1437" s="5">
        <v>18</v>
      </c>
      <c r="J1437" s="9" t="s">
        <v>17</v>
      </c>
      <c r="K1437" s="1" t="s">
        <v>1729</v>
      </c>
      <c r="L1437" t="s">
        <v>3284</v>
      </c>
      <c r="M1437" t="str">
        <f>+VLOOKUP(C1437,'[1]TIENDAS 2025'!$A$1:$C$143,3,0)</f>
        <v>prioridad</v>
      </c>
      <c r="O1437">
        <v>1</v>
      </c>
    </row>
    <row r="1438" spans="1:15" ht="15" customHeight="1" x14ac:dyDescent="0.3">
      <c r="A1438" s="7">
        <v>1209670478</v>
      </c>
      <c r="B1438" s="4" t="s">
        <v>315</v>
      </c>
      <c r="C1438" s="4" t="s">
        <v>316</v>
      </c>
      <c r="D1438" s="6">
        <v>46309.455162036997</v>
      </c>
      <c r="E1438" s="6">
        <v>46309.205127314803</v>
      </c>
      <c r="F1438" s="6">
        <v>46309</v>
      </c>
      <c r="G1438" s="5" t="s">
        <v>12</v>
      </c>
      <c r="H1438" s="5" t="s">
        <v>16</v>
      </c>
      <c r="I1438" s="5">
        <v>3</v>
      </c>
      <c r="J1438" s="9" t="s">
        <v>17</v>
      </c>
      <c r="K1438" s="1" t="s">
        <v>1730</v>
      </c>
      <c r="L1438" t="s">
        <v>3284</v>
      </c>
      <c r="M1438" t="str">
        <f>+VLOOKUP(C1438,'[1]TIENDAS 2025'!$A$1:$C$143,3,0)</f>
        <v>prioridad</v>
      </c>
      <c r="O1438">
        <v>1</v>
      </c>
    </row>
    <row r="1439" spans="1:15" ht="15" customHeight="1" x14ac:dyDescent="0.3">
      <c r="A1439" s="7">
        <v>1209670567</v>
      </c>
      <c r="B1439" s="4" t="s">
        <v>379</v>
      </c>
      <c r="C1439" s="4" t="s">
        <v>380</v>
      </c>
      <c r="D1439" s="6">
        <v>46309.455173611103</v>
      </c>
      <c r="E1439" s="6">
        <v>46309.205138888901</v>
      </c>
      <c r="F1439" s="6">
        <v>46309</v>
      </c>
      <c r="G1439" s="5" t="s">
        <v>12</v>
      </c>
      <c r="H1439" s="5" t="s">
        <v>29</v>
      </c>
      <c r="I1439" s="5">
        <v>25</v>
      </c>
      <c r="J1439" s="9" t="s">
        <v>17</v>
      </c>
      <c r="K1439" s="1" t="s">
        <v>1731</v>
      </c>
      <c r="L1439" t="s">
        <v>3284</v>
      </c>
      <c r="M1439" t="str">
        <f>+VLOOKUP(C1439,'[1]TIENDAS 2025'!$A$1:$C$143,3,0)</f>
        <v>departamental</v>
      </c>
      <c r="O1439">
        <v>1</v>
      </c>
    </row>
    <row r="1440" spans="1:15" ht="15" customHeight="1" x14ac:dyDescent="0.3">
      <c r="A1440" s="7">
        <v>1209670588</v>
      </c>
      <c r="B1440" s="4" t="s">
        <v>154</v>
      </c>
      <c r="C1440" s="4" t="s">
        <v>155</v>
      </c>
      <c r="D1440" s="6">
        <v>46309.455185185201</v>
      </c>
      <c r="E1440" s="6">
        <v>46309.205162036997</v>
      </c>
      <c r="F1440" s="6">
        <v>46309</v>
      </c>
      <c r="G1440" s="5" t="s">
        <v>12</v>
      </c>
      <c r="H1440" s="5" t="s">
        <v>16</v>
      </c>
      <c r="I1440" s="5">
        <v>22</v>
      </c>
      <c r="J1440" s="9" t="s">
        <v>17</v>
      </c>
      <c r="K1440" s="1" t="s">
        <v>1732</v>
      </c>
      <c r="L1440" t="s">
        <v>3284</v>
      </c>
      <c r="M1440" t="str">
        <f>+VLOOKUP(C1440,'[1]TIENDAS 2025'!$A$1:$C$143,3,0)</f>
        <v>nocturna</v>
      </c>
      <c r="O1440">
        <v>1</v>
      </c>
    </row>
    <row r="1441" spans="1:15" ht="15" customHeight="1" x14ac:dyDescent="0.3">
      <c r="A1441" s="7">
        <v>1209670472</v>
      </c>
      <c r="B1441" s="4" t="s">
        <v>315</v>
      </c>
      <c r="C1441" s="4" t="s">
        <v>316</v>
      </c>
      <c r="D1441" s="6">
        <v>46309.4551967593</v>
      </c>
      <c r="E1441" s="6">
        <v>46309.205173611103</v>
      </c>
      <c r="F1441" s="6">
        <v>46309</v>
      </c>
      <c r="G1441" s="5" t="s">
        <v>12</v>
      </c>
      <c r="H1441" s="5" t="s">
        <v>16</v>
      </c>
      <c r="I1441" s="5">
        <v>23</v>
      </c>
      <c r="J1441" s="9" t="s">
        <v>17</v>
      </c>
      <c r="K1441" s="1" t="s">
        <v>1733</v>
      </c>
      <c r="L1441" t="s">
        <v>3284</v>
      </c>
      <c r="M1441" t="str">
        <f>+VLOOKUP(C1441,'[1]TIENDAS 2025'!$A$1:$C$143,3,0)</f>
        <v>prioridad</v>
      </c>
      <c r="O1441">
        <v>1</v>
      </c>
    </row>
    <row r="1442" spans="1:15" ht="15" customHeight="1" x14ac:dyDescent="0.3">
      <c r="A1442" s="7">
        <v>1209670546</v>
      </c>
      <c r="B1442" s="4" t="s">
        <v>184</v>
      </c>
      <c r="C1442" s="4" t="s">
        <v>185</v>
      </c>
      <c r="D1442" s="6">
        <v>46309.455219907402</v>
      </c>
      <c r="E1442" s="6">
        <v>46309.205185185201</v>
      </c>
      <c r="F1442" s="6">
        <v>46309</v>
      </c>
      <c r="G1442" s="5" t="s">
        <v>12</v>
      </c>
      <c r="H1442" s="5" t="s">
        <v>16</v>
      </c>
      <c r="I1442" s="5">
        <v>39</v>
      </c>
      <c r="J1442" s="9" t="s">
        <v>17</v>
      </c>
      <c r="K1442" s="1" t="s">
        <v>1734</v>
      </c>
      <c r="L1442" t="s">
        <v>3284</v>
      </c>
      <c r="M1442" t="str">
        <f>+VLOOKUP(C1442,'[1]TIENDAS 2025'!$A$1:$C$143,3,0)</f>
        <v>nocturna</v>
      </c>
      <c r="O1442">
        <v>1</v>
      </c>
    </row>
    <row r="1443" spans="1:15" ht="15" customHeight="1" x14ac:dyDescent="0.3">
      <c r="A1443" s="7">
        <v>8209670584</v>
      </c>
      <c r="B1443" s="4" t="s">
        <v>154</v>
      </c>
      <c r="C1443" s="4" t="s">
        <v>155</v>
      </c>
      <c r="D1443" s="6">
        <v>46309.455231481501</v>
      </c>
      <c r="E1443" s="6">
        <v>46309.2051967593</v>
      </c>
      <c r="F1443" s="6">
        <v>46309</v>
      </c>
      <c r="G1443" s="5" t="s">
        <v>12</v>
      </c>
      <c r="H1443" s="5" t="s">
        <v>27</v>
      </c>
      <c r="I1443" s="5">
        <v>9</v>
      </c>
      <c r="J1443" s="10" t="s">
        <v>17</v>
      </c>
      <c r="K1443" s="1" t="s">
        <v>1735</v>
      </c>
      <c r="M1443" t="str">
        <f>+VLOOKUP(C1443,'[1]TIENDAS 2025'!$A$1:$C$143,3,0)</f>
        <v>nocturna</v>
      </c>
      <c r="O1443">
        <v>1</v>
      </c>
    </row>
    <row r="1444" spans="1:15" ht="15" customHeight="1" x14ac:dyDescent="0.3">
      <c r="A1444" s="7">
        <v>1209670592</v>
      </c>
      <c r="B1444" s="4" t="s">
        <v>154</v>
      </c>
      <c r="C1444" s="4" t="s">
        <v>155</v>
      </c>
      <c r="D1444" s="6">
        <v>46309.4552430556</v>
      </c>
      <c r="E1444" s="6">
        <v>46309.205219907402</v>
      </c>
      <c r="F1444" s="6">
        <v>46309</v>
      </c>
      <c r="G1444" s="5" t="s">
        <v>12</v>
      </c>
      <c r="H1444" s="5" t="s">
        <v>16</v>
      </c>
      <c r="I1444" s="5">
        <v>43</v>
      </c>
      <c r="J1444" s="9" t="s">
        <v>17</v>
      </c>
      <c r="K1444" s="1" t="s">
        <v>1736</v>
      </c>
      <c r="L1444" t="s">
        <v>3284</v>
      </c>
      <c r="M1444" t="str">
        <f>+VLOOKUP(C1444,'[1]TIENDAS 2025'!$A$1:$C$143,3,0)</f>
        <v>nocturna</v>
      </c>
      <c r="O1444">
        <v>1</v>
      </c>
    </row>
    <row r="1445" spans="1:15" ht="15" customHeight="1" x14ac:dyDescent="0.3">
      <c r="A1445" s="7">
        <v>8209670493</v>
      </c>
      <c r="B1445" s="4" t="s">
        <v>503</v>
      </c>
      <c r="C1445" s="4" t="s">
        <v>504</v>
      </c>
      <c r="D1445" s="6">
        <v>46309.455266203702</v>
      </c>
      <c r="E1445" s="6">
        <v>46309.205231481501</v>
      </c>
      <c r="F1445" s="6">
        <v>46309</v>
      </c>
      <c r="G1445" s="5" t="s">
        <v>12</v>
      </c>
      <c r="H1445" s="5" t="s">
        <v>27</v>
      </c>
      <c r="I1445" s="5">
        <v>10</v>
      </c>
      <c r="J1445" s="10" t="s">
        <v>17</v>
      </c>
      <c r="K1445" s="1" t="s">
        <v>1737</v>
      </c>
      <c r="M1445" t="str">
        <f>+VLOOKUP(C1445,'[1]TIENDAS 2025'!$A$1:$C$143,3,0)</f>
        <v>departamental</v>
      </c>
      <c r="O1445">
        <v>1</v>
      </c>
    </row>
    <row r="1446" spans="1:15" ht="15" customHeight="1" x14ac:dyDescent="0.3">
      <c r="A1446" s="7">
        <v>8209670495</v>
      </c>
      <c r="B1446" s="4" t="s">
        <v>503</v>
      </c>
      <c r="C1446" s="4" t="s">
        <v>504</v>
      </c>
      <c r="D1446" s="6">
        <v>46309.455266203702</v>
      </c>
      <c r="E1446" s="6">
        <v>46309.2052430556</v>
      </c>
      <c r="F1446" s="6">
        <v>46309</v>
      </c>
      <c r="G1446" s="5" t="s">
        <v>12</v>
      </c>
      <c r="H1446" s="5" t="s">
        <v>27</v>
      </c>
      <c r="I1446" s="5">
        <v>9</v>
      </c>
      <c r="J1446" s="10" t="s">
        <v>17</v>
      </c>
      <c r="K1446" s="1" t="s">
        <v>1738</v>
      </c>
      <c r="M1446" t="str">
        <f>+VLOOKUP(C1446,'[1]TIENDAS 2025'!$A$1:$C$143,3,0)</f>
        <v>departamental</v>
      </c>
      <c r="O1446">
        <v>1</v>
      </c>
    </row>
    <row r="1447" spans="1:15" ht="15" customHeight="1" x14ac:dyDescent="0.3">
      <c r="A1447" s="7">
        <v>1209670594</v>
      </c>
      <c r="B1447" s="4" t="s">
        <v>154</v>
      </c>
      <c r="C1447" s="4" t="s">
        <v>155</v>
      </c>
      <c r="D1447" s="6">
        <v>46309.455289351798</v>
      </c>
      <c r="E1447" s="6">
        <v>46309.205254629604</v>
      </c>
      <c r="F1447" s="6">
        <v>46309</v>
      </c>
      <c r="G1447" s="5" t="s">
        <v>12</v>
      </c>
      <c r="H1447" s="5" t="s">
        <v>29</v>
      </c>
      <c r="I1447" s="5">
        <v>52</v>
      </c>
      <c r="J1447" s="9" t="s">
        <v>17</v>
      </c>
      <c r="K1447" s="1" t="s">
        <v>1739</v>
      </c>
      <c r="L1447" t="s">
        <v>3284</v>
      </c>
      <c r="M1447" t="str">
        <f>+VLOOKUP(C1447,'[1]TIENDAS 2025'!$A$1:$C$143,3,0)</f>
        <v>nocturna</v>
      </c>
      <c r="O1447">
        <v>1</v>
      </c>
    </row>
    <row r="1448" spans="1:15" ht="15" customHeight="1" x14ac:dyDescent="0.3">
      <c r="A1448" s="7">
        <v>1209670507</v>
      </c>
      <c r="B1448" s="4" t="s">
        <v>503</v>
      </c>
      <c r="C1448" s="4" t="s">
        <v>504</v>
      </c>
      <c r="D1448" s="6">
        <v>46309.455300925903</v>
      </c>
      <c r="E1448" s="6">
        <v>46309.205277777801</v>
      </c>
      <c r="F1448" s="6">
        <v>46309</v>
      </c>
      <c r="G1448" s="5" t="s">
        <v>12</v>
      </c>
      <c r="H1448" s="5" t="s">
        <v>29</v>
      </c>
      <c r="I1448" s="5">
        <v>42</v>
      </c>
      <c r="J1448" s="9" t="s">
        <v>17</v>
      </c>
      <c r="K1448" s="1" t="s">
        <v>1740</v>
      </c>
      <c r="L1448" t="s">
        <v>3284</v>
      </c>
      <c r="M1448" t="str">
        <f>+VLOOKUP(C1448,'[1]TIENDAS 2025'!$A$1:$C$143,3,0)</f>
        <v>departamental</v>
      </c>
      <c r="O1448">
        <v>1</v>
      </c>
    </row>
    <row r="1449" spans="1:15" ht="15" customHeight="1" x14ac:dyDescent="0.3">
      <c r="A1449" s="7">
        <v>1209670535</v>
      </c>
      <c r="B1449" s="4" t="s">
        <v>184</v>
      </c>
      <c r="C1449" s="4" t="s">
        <v>185</v>
      </c>
      <c r="D1449" s="6">
        <v>46309.455324074101</v>
      </c>
      <c r="E1449" s="6">
        <v>46309.205289351798</v>
      </c>
      <c r="F1449" s="6">
        <v>46309</v>
      </c>
      <c r="G1449" s="5" t="s">
        <v>12</v>
      </c>
      <c r="H1449" s="5" t="s">
        <v>16</v>
      </c>
      <c r="I1449" s="5">
        <v>22</v>
      </c>
      <c r="J1449" s="9" t="s">
        <v>17</v>
      </c>
      <c r="K1449" s="1" t="s">
        <v>1741</v>
      </c>
      <c r="L1449" t="s">
        <v>3284</v>
      </c>
      <c r="M1449" t="str">
        <f>+VLOOKUP(C1449,'[1]TIENDAS 2025'!$A$1:$C$143,3,0)</f>
        <v>nocturna</v>
      </c>
      <c r="O1449">
        <v>1</v>
      </c>
    </row>
    <row r="1450" spans="1:15" ht="15" customHeight="1" x14ac:dyDescent="0.3">
      <c r="A1450" s="7">
        <v>1209670537</v>
      </c>
      <c r="B1450" s="4" t="s">
        <v>184</v>
      </c>
      <c r="C1450" s="4" t="s">
        <v>185</v>
      </c>
      <c r="D1450" s="6">
        <v>46309.455324074101</v>
      </c>
      <c r="E1450" s="6">
        <v>46309.205300925903</v>
      </c>
      <c r="F1450" s="6">
        <v>46309</v>
      </c>
      <c r="G1450" s="5" t="s">
        <v>12</v>
      </c>
      <c r="H1450" s="5" t="s">
        <v>16</v>
      </c>
      <c r="I1450" s="5">
        <v>29</v>
      </c>
      <c r="J1450" s="9" t="s">
        <v>17</v>
      </c>
      <c r="K1450" s="1" t="s">
        <v>1742</v>
      </c>
      <c r="L1450" t="s">
        <v>3284</v>
      </c>
      <c r="M1450" t="str">
        <f>+VLOOKUP(C1450,'[1]TIENDAS 2025'!$A$1:$C$143,3,0)</f>
        <v>nocturna</v>
      </c>
      <c r="O1450">
        <v>1</v>
      </c>
    </row>
    <row r="1451" spans="1:15" ht="15" customHeight="1" x14ac:dyDescent="0.3">
      <c r="A1451" s="7">
        <v>8209670467</v>
      </c>
      <c r="B1451" s="4" t="s">
        <v>315</v>
      </c>
      <c r="C1451" s="4" t="s">
        <v>316</v>
      </c>
      <c r="D1451" s="6">
        <v>46309.455347222203</v>
      </c>
      <c r="E1451" s="6">
        <v>46309.205312500002</v>
      </c>
      <c r="F1451" s="6">
        <v>46309</v>
      </c>
      <c r="G1451" s="5" t="s">
        <v>12</v>
      </c>
      <c r="H1451" s="5" t="s">
        <v>27</v>
      </c>
      <c r="I1451" s="5">
        <v>5</v>
      </c>
      <c r="J1451" s="10" t="s">
        <v>17</v>
      </c>
      <c r="K1451" s="1" t="s">
        <v>1743</v>
      </c>
      <c r="M1451" t="str">
        <f>+VLOOKUP(C1451,'[1]TIENDAS 2025'!$A$1:$C$143,3,0)</f>
        <v>prioridad</v>
      </c>
      <c r="O1451">
        <v>1</v>
      </c>
    </row>
    <row r="1452" spans="1:15" ht="15" customHeight="1" x14ac:dyDescent="0.3">
      <c r="A1452" s="7">
        <v>1209670470</v>
      </c>
      <c r="B1452" s="4" t="s">
        <v>315</v>
      </c>
      <c r="C1452" s="4" t="s">
        <v>316</v>
      </c>
      <c r="D1452" s="6">
        <v>46309.455358796302</v>
      </c>
      <c r="E1452" s="6">
        <v>46309.205335648097</v>
      </c>
      <c r="F1452" s="6">
        <v>46309</v>
      </c>
      <c r="G1452" s="5" t="s">
        <v>12</v>
      </c>
      <c r="H1452" s="5" t="s">
        <v>16</v>
      </c>
      <c r="I1452" s="5">
        <v>16</v>
      </c>
      <c r="J1452" s="9" t="s">
        <v>17</v>
      </c>
      <c r="K1452" s="1" t="s">
        <v>1744</v>
      </c>
      <c r="L1452" t="s">
        <v>3284</v>
      </c>
      <c r="M1452" t="str">
        <f>+VLOOKUP(C1452,'[1]TIENDAS 2025'!$A$1:$C$143,3,0)</f>
        <v>prioridad</v>
      </c>
      <c r="O1452">
        <v>1</v>
      </c>
    </row>
    <row r="1453" spans="1:15" ht="15" customHeight="1" x14ac:dyDescent="0.3">
      <c r="A1453" s="7">
        <v>1209670500</v>
      </c>
      <c r="B1453" s="4" t="s">
        <v>503</v>
      </c>
      <c r="C1453" s="4" t="s">
        <v>504</v>
      </c>
      <c r="D1453" s="6">
        <v>46309.4553703704</v>
      </c>
      <c r="E1453" s="6">
        <v>46309.205347222203</v>
      </c>
      <c r="F1453" s="6">
        <v>46309</v>
      </c>
      <c r="G1453" s="5" t="s">
        <v>12</v>
      </c>
      <c r="H1453" s="5" t="s">
        <v>16</v>
      </c>
      <c r="I1453" s="5">
        <v>11</v>
      </c>
      <c r="J1453" s="9" t="s">
        <v>17</v>
      </c>
      <c r="K1453" s="1" t="s">
        <v>1745</v>
      </c>
      <c r="L1453" t="s">
        <v>3284</v>
      </c>
      <c r="M1453" t="str">
        <f>+VLOOKUP(C1453,'[1]TIENDAS 2025'!$A$1:$C$143,3,0)</f>
        <v>departamental</v>
      </c>
      <c r="O1453">
        <v>1</v>
      </c>
    </row>
    <row r="1454" spans="1:15" ht="15" customHeight="1" x14ac:dyDescent="0.3">
      <c r="A1454" s="7">
        <v>1209670568</v>
      </c>
      <c r="B1454" s="4" t="s">
        <v>379</v>
      </c>
      <c r="C1454" s="4" t="s">
        <v>380</v>
      </c>
      <c r="D1454" s="6">
        <v>46309.455393518503</v>
      </c>
      <c r="E1454" s="6">
        <v>46309.205358796302</v>
      </c>
      <c r="F1454" s="6">
        <v>46309</v>
      </c>
      <c r="G1454" s="5" t="s">
        <v>12</v>
      </c>
      <c r="H1454" s="5" t="s">
        <v>29</v>
      </c>
      <c r="I1454" s="5">
        <v>31</v>
      </c>
      <c r="J1454" s="9" t="s">
        <v>17</v>
      </c>
      <c r="K1454" s="1" t="s">
        <v>1746</v>
      </c>
      <c r="L1454" t="s">
        <v>3284</v>
      </c>
      <c r="M1454" t="str">
        <f>+VLOOKUP(C1454,'[1]TIENDAS 2025'!$A$1:$C$143,3,0)</f>
        <v>departamental</v>
      </c>
      <c r="O1454">
        <v>1</v>
      </c>
    </row>
    <row r="1455" spans="1:15" ht="15" customHeight="1" x14ac:dyDescent="0.3">
      <c r="A1455" s="7">
        <v>1209670540</v>
      </c>
      <c r="B1455" s="4" t="s">
        <v>184</v>
      </c>
      <c r="C1455" s="4" t="s">
        <v>185</v>
      </c>
      <c r="D1455" s="6">
        <v>46309.455405092602</v>
      </c>
      <c r="E1455" s="6">
        <v>46309.2053703704</v>
      </c>
      <c r="F1455" s="6">
        <v>46309</v>
      </c>
      <c r="G1455" s="5" t="s">
        <v>12</v>
      </c>
      <c r="H1455" s="5" t="s">
        <v>16</v>
      </c>
      <c r="I1455" s="5">
        <v>3</v>
      </c>
      <c r="J1455" s="9" t="s">
        <v>17</v>
      </c>
      <c r="K1455" s="1" t="s">
        <v>1747</v>
      </c>
      <c r="L1455" t="s">
        <v>3284</v>
      </c>
      <c r="M1455" t="str">
        <f>+VLOOKUP(C1455,'[1]TIENDAS 2025'!$A$1:$C$143,3,0)</f>
        <v>nocturna</v>
      </c>
      <c r="O1455">
        <v>1</v>
      </c>
    </row>
    <row r="1456" spans="1:15" ht="15" customHeight="1" x14ac:dyDescent="0.3">
      <c r="A1456" s="7">
        <v>8209670556</v>
      </c>
      <c r="B1456" s="4" t="s">
        <v>379</v>
      </c>
      <c r="C1456" s="4" t="s">
        <v>380</v>
      </c>
      <c r="D1456" s="6">
        <v>46309.4554166667</v>
      </c>
      <c r="E1456" s="6">
        <v>46309.205381944397</v>
      </c>
      <c r="F1456" s="6">
        <v>46309</v>
      </c>
      <c r="G1456" s="5" t="s">
        <v>12</v>
      </c>
      <c r="H1456" s="5" t="s">
        <v>27</v>
      </c>
      <c r="I1456" s="5">
        <v>5</v>
      </c>
      <c r="J1456" s="10" t="s">
        <v>17</v>
      </c>
      <c r="K1456" s="1" t="s">
        <v>1748</v>
      </c>
      <c r="M1456" t="str">
        <f>+VLOOKUP(C1456,'[1]TIENDAS 2025'!$A$1:$C$143,3,0)</f>
        <v>departamental</v>
      </c>
      <c r="O1456">
        <v>1</v>
      </c>
    </row>
    <row r="1457" spans="1:15" ht="15" customHeight="1" x14ac:dyDescent="0.3">
      <c r="A1457" s="7">
        <v>1209670506</v>
      </c>
      <c r="B1457" s="4" t="s">
        <v>503</v>
      </c>
      <c r="C1457" s="4" t="s">
        <v>504</v>
      </c>
      <c r="D1457" s="6">
        <v>46309.455428240697</v>
      </c>
      <c r="E1457" s="6">
        <v>46309.205405092602</v>
      </c>
      <c r="F1457" s="6">
        <v>46309</v>
      </c>
      <c r="G1457" s="5" t="s">
        <v>12</v>
      </c>
      <c r="H1457" s="5" t="s">
        <v>16</v>
      </c>
      <c r="I1457" s="5">
        <v>1</v>
      </c>
      <c r="J1457" s="9" t="s">
        <v>17</v>
      </c>
      <c r="K1457" s="1" t="s">
        <v>1749</v>
      </c>
      <c r="L1457" t="s">
        <v>3284</v>
      </c>
      <c r="M1457" t="str">
        <f>+VLOOKUP(C1457,'[1]TIENDAS 2025'!$A$1:$C$143,3,0)</f>
        <v>departamental</v>
      </c>
      <c r="O1457">
        <v>1</v>
      </c>
    </row>
    <row r="1458" spans="1:15" ht="15" customHeight="1" x14ac:dyDescent="0.3">
      <c r="A1458" s="7">
        <v>8209670559</v>
      </c>
      <c r="B1458" s="4" t="s">
        <v>379</v>
      </c>
      <c r="C1458" s="4" t="s">
        <v>380</v>
      </c>
      <c r="D1458" s="6">
        <v>46309.455451388902</v>
      </c>
      <c r="E1458" s="6">
        <v>46309.2054166667</v>
      </c>
      <c r="F1458" s="6">
        <v>46309</v>
      </c>
      <c r="G1458" s="5" t="s">
        <v>12</v>
      </c>
      <c r="H1458" s="5" t="s">
        <v>27</v>
      </c>
      <c r="I1458" s="5">
        <v>9</v>
      </c>
      <c r="J1458" s="10" t="s">
        <v>17</v>
      </c>
      <c r="K1458" s="1" t="s">
        <v>1750</v>
      </c>
      <c r="M1458" t="str">
        <f>+VLOOKUP(C1458,'[1]TIENDAS 2025'!$A$1:$C$143,3,0)</f>
        <v>departamental</v>
      </c>
      <c r="O1458">
        <v>1</v>
      </c>
    </row>
    <row r="1459" spans="1:15" ht="15" customHeight="1" x14ac:dyDescent="0.3">
      <c r="A1459" s="7">
        <v>1209670475</v>
      </c>
      <c r="B1459" s="4" t="s">
        <v>315</v>
      </c>
      <c r="C1459" s="4" t="s">
        <v>316</v>
      </c>
      <c r="D1459" s="6">
        <v>46309.455462963</v>
      </c>
      <c r="E1459" s="6">
        <v>46309.205428240697</v>
      </c>
      <c r="F1459" s="6">
        <v>46309</v>
      </c>
      <c r="G1459" s="5" t="s">
        <v>12</v>
      </c>
      <c r="H1459" s="5" t="s">
        <v>16</v>
      </c>
      <c r="I1459" s="5">
        <v>29</v>
      </c>
      <c r="J1459" s="9" t="s">
        <v>17</v>
      </c>
      <c r="K1459" s="1" t="s">
        <v>1751</v>
      </c>
      <c r="L1459" t="s">
        <v>3284</v>
      </c>
      <c r="M1459" t="str">
        <f>+VLOOKUP(C1459,'[1]TIENDAS 2025'!$A$1:$C$143,3,0)</f>
        <v>prioridad</v>
      </c>
      <c r="O1459">
        <v>1</v>
      </c>
    </row>
    <row r="1460" spans="1:15" ht="15" customHeight="1" x14ac:dyDescent="0.3">
      <c r="A1460" s="7">
        <v>8209670508</v>
      </c>
      <c r="B1460" s="4" t="s">
        <v>503</v>
      </c>
      <c r="C1460" s="4" t="s">
        <v>504</v>
      </c>
      <c r="D1460" s="6">
        <v>46309.455474536997</v>
      </c>
      <c r="E1460" s="6">
        <v>46309.205451388902</v>
      </c>
      <c r="F1460" s="6">
        <v>46309</v>
      </c>
      <c r="G1460" s="5" t="s">
        <v>12</v>
      </c>
      <c r="H1460" s="5" t="s">
        <v>27</v>
      </c>
      <c r="I1460" s="5">
        <v>5</v>
      </c>
      <c r="J1460" s="10" t="s">
        <v>17</v>
      </c>
      <c r="K1460" s="1" t="s">
        <v>1752</v>
      </c>
      <c r="M1460" t="str">
        <f>+VLOOKUP(C1460,'[1]TIENDAS 2025'!$A$1:$C$143,3,0)</f>
        <v>departamental</v>
      </c>
      <c r="O1460">
        <v>1</v>
      </c>
    </row>
    <row r="1461" spans="1:15" ht="15" customHeight="1" x14ac:dyDescent="0.3">
      <c r="A1461" s="7">
        <v>1209670541</v>
      </c>
      <c r="B1461" s="4" t="s">
        <v>184</v>
      </c>
      <c r="C1461" s="4" t="s">
        <v>185</v>
      </c>
      <c r="D1461" s="6">
        <v>46309.455497685201</v>
      </c>
      <c r="E1461" s="6">
        <v>46309.205462963</v>
      </c>
      <c r="F1461" s="6">
        <v>46309</v>
      </c>
      <c r="G1461" s="5" t="s">
        <v>12</v>
      </c>
      <c r="H1461" s="5" t="s">
        <v>29</v>
      </c>
      <c r="I1461" s="5">
        <v>82</v>
      </c>
      <c r="J1461" s="9" t="s">
        <v>17</v>
      </c>
      <c r="K1461" s="1" t="s">
        <v>1753</v>
      </c>
      <c r="L1461" t="s">
        <v>3284</v>
      </c>
      <c r="M1461" t="str">
        <f>+VLOOKUP(C1461,'[1]TIENDAS 2025'!$A$1:$C$143,3,0)</f>
        <v>nocturna</v>
      </c>
      <c r="O1461">
        <v>1</v>
      </c>
    </row>
    <row r="1462" spans="1:15" ht="15" customHeight="1" x14ac:dyDescent="0.3">
      <c r="A1462" s="7">
        <v>1209670622</v>
      </c>
      <c r="B1462" s="4" t="s">
        <v>333</v>
      </c>
      <c r="C1462" s="4" t="s">
        <v>334</v>
      </c>
      <c r="D1462" s="6">
        <v>46309.457777777803</v>
      </c>
      <c r="E1462" s="6">
        <v>46309.207743055602</v>
      </c>
      <c r="F1462" s="6">
        <v>46309</v>
      </c>
      <c r="G1462" s="5" t="s">
        <v>12</v>
      </c>
      <c r="H1462" s="5" t="s">
        <v>16</v>
      </c>
      <c r="I1462" s="5">
        <v>36</v>
      </c>
      <c r="J1462" s="9" t="s">
        <v>17</v>
      </c>
      <c r="K1462" s="1" t="s">
        <v>1754</v>
      </c>
      <c r="L1462" t="s">
        <v>3284</v>
      </c>
      <c r="M1462" t="str">
        <f>+VLOOKUP(C1462,'[1]TIENDAS 2025'!$A$1:$C$143,3,0)</f>
        <v>nocturna</v>
      </c>
      <c r="O1462">
        <v>1</v>
      </c>
    </row>
    <row r="1463" spans="1:15" ht="15" customHeight="1" x14ac:dyDescent="0.3">
      <c r="A1463" s="7">
        <v>8209670642</v>
      </c>
      <c r="B1463" s="4" t="s">
        <v>433</v>
      </c>
      <c r="C1463" s="4" t="s">
        <v>434</v>
      </c>
      <c r="D1463" s="6">
        <v>46309.457789351902</v>
      </c>
      <c r="E1463" s="6">
        <v>46309.207766203697</v>
      </c>
      <c r="F1463" s="6">
        <v>46309</v>
      </c>
      <c r="G1463" s="5" t="s">
        <v>12</v>
      </c>
      <c r="H1463" s="5" t="s">
        <v>27</v>
      </c>
      <c r="I1463" s="5">
        <v>30</v>
      </c>
      <c r="J1463" s="10" t="s">
        <v>17</v>
      </c>
      <c r="K1463" s="1" t="s">
        <v>1755</v>
      </c>
      <c r="M1463" t="str">
        <f>+VLOOKUP(C1463,'[1]TIENDAS 2025'!$A$1:$C$143,3,0)</f>
        <v>prioridad</v>
      </c>
      <c r="O1463">
        <v>1</v>
      </c>
    </row>
    <row r="1464" spans="1:15" ht="15" customHeight="1" x14ac:dyDescent="0.3">
      <c r="A1464" s="7">
        <v>8209670644</v>
      </c>
      <c r="B1464" s="4" t="s">
        <v>433</v>
      </c>
      <c r="C1464" s="4" t="s">
        <v>434</v>
      </c>
      <c r="D1464" s="6">
        <v>46309.457800925898</v>
      </c>
      <c r="E1464" s="6">
        <v>46309.207777777803</v>
      </c>
      <c r="F1464" s="6">
        <v>46309</v>
      </c>
      <c r="G1464" s="5" t="s">
        <v>12</v>
      </c>
      <c r="H1464" s="5" t="s">
        <v>27</v>
      </c>
      <c r="I1464" s="5">
        <v>12</v>
      </c>
      <c r="J1464" s="10" t="s">
        <v>17</v>
      </c>
      <c r="K1464" s="1" t="s">
        <v>1756</v>
      </c>
      <c r="M1464" t="str">
        <f>+VLOOKUP(C1464,'[1]TIENDAS 2025'!$A$1:$C$143,3,0)</f>
        <v>prioridad</v>
      </c>
      <c r="O1464">
        <v>1</v>
      </c>
    </row>
    <row r="1465" spans="1:15" ht="15" customHeight="1" x14ac:dyDescent="0.3">
      <c r="A1465" s="7">
        <v>8209670691</v>
      </c>
      <c r="B1465" s="4" t="s">
        <v>382</v>
      </c>
      <c r="C1465" s="4" t="s">
        <v>383</v>
      </c>
      <c r="D1465" s="6">
        <v>46309.457824074103</v>
      </c>
      <c r="E1465" s="6">
        <v>46309.207789351902</v>
      </c>
      <c r="F1465" s="6">
        <v>46309</v>
      </c>
      <c r="G1465" s="5" t="s">
        <v>12</v>
      </c>
      <c r="H1465" s="5" t="s">
        <v>27</v>
      </c>
      <c r="I1465" s="5">
        <v>4</v>
      </c>
      <c r="J1465" s="10" t="s">
        <v>17</v>
      </c>
      <c r="K1465" s="1" t="s">
        <v>1757</v>
      </c>
      <c r="M1465" t="str">
        <f>+VLOOKUP(C1465,'[1]TIENDAS 2025'!$A$1:$C$143,3,0)</f>
        <v>local</v>
      </c>
      <c r="O1465">
        <v>1</v>
      </c>
    </row>
    <row r="1466" spans="1:15" ht="15" customHeight="1" x14ac:dyDescent="0.3">
      <c r="A1466" s="7">
        <v>8209670693</v>
      </c>
      <c r="B1466" s="4" t="s">
        <v>382</v>
      </c>
      <c r="C1466" s="4" t="s">
        <v>383</v>
      </c>
      <c r="D1466" s="6">
        <v>46309.457847222198</v>
      </c>
      <c r="E1466" s="6">
        <v>46309.207812499997</v>
      </c>
      <c r="F1466" s="6">
        <v>46309</v>
      </c>
      <c r="G1466" s="5" t="s">
        <v>12</v>
      </c>
      <c r="H1466" s="5" t="s">
        <v>27</v>
      </c>
      <c r="I1466" s="5">
        <v>1</v>
      </c>
      <c r="J1466" s="10" t="s">
        <v>17</v>
      </c>
      <c r="K1466" s="1" t="s">
        <v>1758</v>
      </c>
      <c r="M1466" t="str">
        <f>+VLOOKUP(C1466,'[1]TIENDAS 2025'!$A$1:$C$143,3,0)</f>
        <v>local</v>
      </c>
      <c r="O1466">
        <v>1</v>
      </c>
    </row>
    <row r="1467" spans="1:15" ht="15" customHeight="1" x14ac:dyDescent="0.3">
      <c r="A1467" s="7">
        <v>1209670649</v>
      </c>
      <c r="B1467" s="4" t="s">
        <v>433</v>
      </c>
      <c r="C1467" s="4" t="s">
        <v>434</v>
      </c>
      <c r="D1467" s="6">
        <v>46309.457858796297</v>
      </c>
      <c r="E1467" s="6">
        <v>46309.207835648202</v>
      </c>
      <c r="F1467" s="6">
        <v>46309</v>
      </c>
      <c r="G1467" s="5" t="s">
        <v>12</v>
      </c>
      <c r="H1467" s="5" t="s">
        <v>29</v>
      </c>
      <c r="I1467" s="5">
        <v>41</v>
      </c>
      <c r="J1467" s="9" t="s">
        <v>17</v>
      </c>
      <c r="K1467" s="1" t="s">
        <v>1759</v>
      </c>
      <c r="L1467" t="s">
        <v>3284</v>
      </c>
      <c r="M1467" t="str">
        <f>+VLOOKUP(C1467,'[1]TIENDAS 2025'!$A$1:$C$143,3,0)</f>
        <v>prioridad</v>
      </c>
      <c r="O1467">
        <v>1</v>
      </c>
    </row>
    <row r="1468" spans="1:15" ht="15" customHeight="1" x14ac:dyDescent="0.3">
      <c r="A1468" s="7">
        <v>8209670611</v>
      </c>
      <c r="B1468" s="4" t="s">
        <v>333</v>
      </c>
      <c r="C1468" s="4" t="s">
        <v>334</v>
      </c>
      <c r="D1468" s="6">
        <v>46309.4578819444</v>
      </c>
      <c r="E1468" s="6">
        <v>46309.207847222198</v>
      </c>
      <c r="F1468" s="6">
        <v>46309</v>
      </c>
      <c r="G1468" s="5" t="s">
        <v>12</v>
      </c>
      <c r="H1468" s="5" t="s">
        <v>27</v>
      </c>
      <c r="I1468" s="5">
        <v>8</v>
      </c>
      <c r="J1468" s="10" t="s">
        <v>17</v>
      </c>
      <c r="K1468" s="1" t="s">
        <v>1760</v>
      </c>
      <c r="M1468" t="str">
        <f>+VLOOKUP(C1468,'[1]TIENDAS 2025'!$A$1:$C$143,3,0)</f>
        <v>nocturna</v>
      </c>
      <c r="O1468">
        <v>1</v>
      </c>
    </row>
    <row r="1469" spans="1:15" ht="15" customHeight="1" x14ac:dyDescent="0.3">
      <c r="A1469" s="7">
        <v>1209670650</v>
      </c>
      <c r="B1469" s="4" t="s">
        <v>433</v>
      </c>
      <c r="C1469" s="4" t="s">
        <v>434</v>
      </c>
      <c r="D1469" s="6">
        <v>46309.457893518498</v>
      </c>
      <c r="E1469" s="6">
        <v>46309.207870370403</v>
      </c>
      <c r="F1469" s="6">
        <v>46309</v>
      </c>
      <c r="G1469" s="5" t="s">
        <v>12</v>
      </c>
      <c r="H1469" s="5" t="s">
        <v>16</v>
      </c>
      <c r="I1469" s="5">
        <v>42</v>
      </c>
      <c r="J1469" s="9" t="s">
        <v>17</v>
      </c>
      <c r="K1469" s="1" t="s">
        <v>1761</v>
      </c>
      <c r="L1469" t="s">
        <v>3284</v>
      </c>
      <c r="M1469" t="str">
        <f>+VLOOKUP(C1469,'[1]TIENDAS 2025'!$A$1:$C$143,3,0)</f>
        <v>prioridad</v>
      </c>
      <c r="O1469">
        <v>1</v>
      </c>
    </row>
    <row r="1470" spans="1:15" ht="15" customHeight="1" x14ac:dyDescent="0.3">
      <c r="A1470" s="7">
        <v>8209670614</v>
      </c>
      <c r="B1470" s="4" t="s">
        <v>333</v>
      </c>
      <c r="C1470" s="4" t="s">
        <v>334</v>
      </c>
      <c r="D1470" s="6">
        <v>46309.457905092597</v>
      </c>
      <c r="E1470" s="6">
        <v>46309.2078819444</v>
      </c>
      <c r="F1470" s="6">
        <v>46309</v>
      </c>
      <c r="G1470" s="5" t="s">
        <v>12</v>
      </c>
      <c r="H1470" s="5" t="s">
        <v>27</v>
      </c>
      <c r="I1470" s="5">
        <v>19</v>
      </c>
      <c r="J1470" s="10" t="s">
        <v>17</v>
      </c>
      <c r="K1470" s="1" t="s">
        <v>1762</v>
      </c>
      <c r="M1470" t="str">
        <f>+VLOOKUP(C1470,'[1]TIENDAS 2025'!$A$1:$C$143,3,0)</f>
        <v>nocturna</v>
      </c>
      <c r="O1470">
        <v>1</v>
      </c>
    </row>
    <row r="1471" spans="1:15" ht="15" customHeight="1" x14ac:dyDescent="0.3">
      <c r="A1471" s="7">
        <v>8209670626</v>
      </c>
      <c r="B1471" s="4" t="s">
        <v>333</v>
      </c>
      <c r="C1471" s="4" t="s">
        <v>334</v>
      </c>
      <c r="D1471" s="6">
        <v>46309.457916666703</v>
      </c>
      <c r="E1471" s="6">
        <v>46309.207893518498</v>
      </c>
      <c r="F1471" s="6">
        <v>46309</v>
      </c>
      <c r="G1471" s="5" t="s">
        <v>12</v>
      </c>
      <c r="H1471" s="5" t="s">
        <v>27</v>
      </c>
      <c r="I1471" s="5">
        <v>4</v>
      </c>
      <c r="J1471" s="10" t="s">
        <v>17</v>
      </c>
      <c r="K1471" s="1" t="s">
        <v>1763</v>
      </c>
      <c r="M1471" t="str">
        <f>+VLOOKUP(C1471,'[1]TIENDAS 2025'!$A$1:$C$143,3,0)</f>
        <v>nocturna</v>
      </c>
      <c r="O1471">
        <v>1</v>
      </c>
    </row>
    <row r="1472" spans="1:15" ht="15" customHeight="1" x14ac:dyDescent="0.3">
      <c r="A1472" s="7">
        <v>1209670646</v>
      </c>
      <c r="B1472" s="4" t="s">
        <v>433</v>
      </c>
      <c r="C1472" s="4" t="s">
        <v>434</v>
      </c>
      <c r="D1472" s="6">
        <v>46309.457939814798</v>
      </c>
      <c r="E1472" s="6">
        <v>46309.207905092597</v>
      </c>
      <c r="F1472" s="6">
        <v>46309</v>
      </c>
      <c r="G1472" s="5" t="s">
        <v>12</v>
      </c>
      <c r="H1472" s="5" t="s">
        <v>27</v>
      </c>
      <c r="I1472" s="5">
        <v>32</v>
      </c>
      <c r="J1472" s="9" t="s">
        <v>17</v>
      </c>
      <c r="K1472" s="1" t="s">
        <v>1764</v>
      </c>
      <c r="L1472" t="s">
        <v>3284</v>
      </c>
      <c r="M1472" t="str">
        <f>+VLOOKUP(C1472,'[1]TIENDAS 2025'!$A$1:$C$143,3,0)</f>
        <v>prioridad</v>
      </c>
      <c r="O1472">
        <v>1</v>
      </c>
    </row>
    <row r="1473" spans="1:15" ht="15" customHeight="1" x14ac:dyDescent="0.3">
      <c r="A1473" s="7">
        <v>1209670764</v>
      </c>
      <c r="B1473" s="4" t="s">
        <v>274</v>
      </c>
      <c r="C1473" s="4" t="s">
        <v>275</v>
      </c>
      <c r="D1473" s="6">
        <v>46309.457951388897</v>
      </c>
      <c r="E1473" s="6">
        <v>46309.207928240699</v>
      </c>
      <c r="F1473" s="6">
        <v>46309</v>
      </c>
      <c r="G1473" s="5" t="s">
        <v>12</v>
      </c>
      <c r="H1473" s="5" t="s">
        <v>29</v>
      </c>
      <c r="I1473" s="5">
        <v>57</v>
      </c>
      <c r="J1473" s="9" t="s">
        <v>17</v>
      </c>
      <c r="K1473" s="1" t="s">
        <v>1765</v>
      </c>
      <c r="L1473" t="s">
        <v>3284</v>
      </c>
      <c r="M1473" t="str">
        <f>+VLOOKUP(C1473,'[1]TIENDAS 2025'!$A$1:$C$143,3,0)</f>
        <v>nocturna</v>
      </c>
      <c r="O1473">
        <v>1</v>
      </c>
    </row>
    <row r="1474" spans="1:15" ht="15" customHeight="1" x14ac:dyDescent="0.3">
      <c r="A1474" s="7">
        <v>1209670698</v>
      </c>
      <c r="B1474" s="4" t="s">
        <v>382</v>
      </c>
      <c r="C1474" s="4" t="s">
        <v>383</v>
      </c>
      <c r="D1474" s="6">
        <v>46309.457974536999</v>
      </c>
      <c r="E1474" s="6">
        <v>46309.207939814798</v>
      </c>
      <c r="F1474" s="6">
        <v>46309</v>
      </c>
      <c r="G1474" s="5" t="s">
        <v>12</v>
      </c>
      <c r="H1474" s="5" t="s">
        <v>16</v>
      </c>
      <c r="I1474" s="5">
        <v>15</v>
      </c>
      <c r="J1474" s="9" t="s">
        <v>17</v>
      </c>
      <c r="K1474" s="1" t="s">
        <v>1766</v>
      </c>
      <c r="L1474" t="s">
        <v>3284</v>
      </c>
      <c r="M1474" t="str">
        <f>+VLOOKUP(C1474,'[1]TIENDAS 2025'!$A$1:$C$143,3,0)</f>
        <v>local</v>
      </c>
      <c r="O1474">
        <v>1</v>
      </c>
    </row>
    <row r="1475" spans="1:15" ht="15" customHeight="1" x14ac:dyDescent="0.3">
      <c r="A1475" s="7">
        <v>1209670701</v>
      </c>
      <c r="B1475" s="4" t="s">
        <v>382</v>
      </c>
      <c r="C1475" s="4" t="s">
        <v>383</v>
      </c>
      <c r="D1475" s="6">
        <v>46309.457986111098</v>
      </c>
      <c r="E1475" s="6">
        <v>46309.207951388897</v>
      </c>
      <c r="F1475" s="6">
        <v>46309</v>
      </c>
      <c r="G1475" s="5" t="s">
        <v>12</v>
      </c>
      <c r="H1475" s="5" t="s">
        <v>16</v>
      </c>
      <c r="I1475" s="5">
        <v>15</v>
      </c>
      <c r="J1475" s="9" t="s">
        <v>17</v>
      </c>
      <c r="K1475" s="1" t="s">
        <v>1767</v>
      </c>
      <c r="L1475" t="s">
        <v>3284</v>
      </c>
      <c r="M1475" t="str">
        <f>+VLOOKUP(C1475,'[1]TIENDAS 2025'!$A$1:$C$143,3,0)</f>
        <v>local</v>
      </c>
      <c r="O1475">
        <v>1</v>
      </c>
    </row>
    <row r="1476" spans="1:15" ht="15" customHeight="1" x14ac:dyDescent="0.3">
      <c r="A1476" s="7">
        <v>8209670610</v>
      </c>
      <c r="B1476" s="4" t="s">
        <v>333</v>
      </c>
      <c r="C1476" s="4" t="s">
        <v>334</v>
      </c>
      <c r="D1476" s="6">
        <v>46309.457997685196</v>
      </c>
      <c r="E1476" s="6">
        <v>46309.207974536999</v>
      </c>
      <c r="F1476" s="6">
        <v>46309</v>
      </c>
      <c r="G1476" s="5" t="s">
        <v>12</v>
      </c>
      <c r="H1476" s="5" t="s">
        <v>27</v>
      </c>
      <c r="I1476" s="5">
        <v>4</v>
      </c>
      <c r="J1476" s="10" t="s">
        <v>17</v>
      </c>
      <c r="K1476" s="1" t="s">
        <v>1768</v>
      </c>
      <c r="M1476" t="str">
        <f>+VLOOKUP(C1476,'[1]TIENDAS 2025'!$A$1:$C$143,3,0)</f>
        <v>nocturna</v>
      </c>
      <c r="O1476">
        <v>1</v>
      </c>
    </row>
    <row r="1477" spans="1:15" ht="15" customHeight="1" x14ac:dyDescent="0.3">
      <c r="A1477" s="7">
        <v>8209670637</v>
      </c>
      <c r="B1477" s="4" t="s">
        <v>433</v>
      </c>
      <c r="C1477" s="4" t="s">
        <v>434</v>
      </c>
      <c r="D1477" s="6">
        <v>46309.458020833299</v>
      </c>
      <c r="E1477" s="6">
        <v>46309.207986111098</v>
      </c>
      <c r="F1477" s="6">
        <v>46309</v>
      </c>
      <c r="G1477" s="5" t="s">
        <v>12</v>
      </c>
      <c r="H1477" s="5" t="s">
        <v>27</v>
      </c>
      <c r="I1477" s="5">
        <v>6</v>
      </c>
      <c r="J1477" s="10" t="s">
        <v>17</v>
      </c>
      <c r="K1477" s="1" t="s">
        <v>1769</v>
      </c>
      <c r="M1477" t="str">
        <f>+VLOOKUP(C1477,'[1]TIENDAS 2025'!$A$1:$C$143,3,0)</f>
        <v>prioridad</v>
      </c>
      <c r="O1477">
        <v>1</v>
      </c>
    </row>
    <row r="1478" spans="1:15" ht="15" customHeight="1" x14ac:dyDescent="0.3">
      <c r="A1478" s="7">
        <v>1209670618</v>
      </c>
      <c r="B1478" s="4" t="s">
        <v>333</v>
      </c>
      <c r="C1478" s="4" t="s">
        <v>334</v>
      </c>
      <c r="D1478" s="6">
        <v>46309.458032407398</v>
      </c>
      <c r="E1478" s="6">
        <v>46309.207997685196</v>
      </c>
      <c r="F1478" s="6">
        <v>46309</v>
      </c>
      <c r="G1478" s="5" t="s">
        <v>12</v>
      </c>
      <c r="H1478" s="5" t="s">
        <v>29</v>
      </c>
      <c r="I1478" s="5">
        <v>18</v>
      </c>
      <c r="J1478" s="9" t="s">
        <v>17</v>
      </c>
      <c r="K1478" s="1" t="s">
        <v>1770</v>
      </c>
      <c r="L1478" t="s">
        <v>3284</v>
      </c>
      <c r="M1478" t="str">
        <f>+VLOOKUP(C1478,'[1]TIENDAS 2025'!$A$1:$C$143,3,0)</f>
        <v>nocturna</v>
      </c>
      <c r="O1478">
        <v>1</v>
      </c>
    </row>
    <row r="1479" spans="1:15" ht="15" customHeight="1" x14ac:dyDescent="0.3">
      <c r="A1479" s="7">
        <v>8209670640</v>
      </c>
      <c r="B1479" s="4" t="s">
        <v>433</v>
      </c>
      <c r="C1479" s="4" t="s">
        <v>434</v>
      </c>
      <c r="D1479" s="6">
        <v>46309.458043981504</v>
      </c>
      <c r="E1479" s="6">
        <v>46309.208020833299</v>
      </c>
      <c r="F1479" s="6">
        <v>46309</v>
      </c>
      <c r="G1479" s="5" t="s">
        <v>12</v>
      </c>
      <c r="H1479" s="5" t="s">
        <v>27</v>
      </c>
      <c r="I1479" s="5">
        <v>4</v>
      </c>
      <c r="J1479" s="10" t="s">
        <v>17</v>
      </c>
      <c r="K1479" s="1" t="s">
        <v>1771</v>
      </c>
      <c r="M1479" t="str">
        <f>+VLOOKUP(C1479,'[1]TIENDAS 2025'!$A$1:$C$143,3,0)</f>
        <v>prioridad</v>
      </c>
      <c r="O1479">
        <v>1</v>
      </c>
    </row>
    <row r="1480" spans="1:15" ht="15" customHeight="1" x14ac:dyDescent="0.3">
      <c r="A1480" s="7">
        <v>1209670620</v>
      </c>
      <c r="B1480" s="4" t="s">
        <v>333</v>
      </c>
      <c r="C1480" s="4" t="s">
        <v>334</v>
      </c>
      <c r="D1480" s="6">
        <v>46309.458055555602</v>
      </c>
      <c r="E1480" s="6">
        <v>46309.208032407398</v>
      </c>
      <c r="F1480" s="6">
        <v>46309</v>
      </c>
      <c r="G1480" s="5" t="s">
        <v>12</v>
      </c>
      <c r="H1480" s="5" t="s">
        <v>16</v>
      </c>
      <c r="I1480" s="5">
        <v>35</v>
      </c>
      <c r="J1480" s="9" t="s">
        <v>17</v>
      </c>
      <c r="K1480" s="1" t="s">
        <v>1772</v>
      </c>
      <c r="L1480" t="s">
        <v>3284</v>
      </c>
      <c r="M1480" t="str">
        <f>+VLOOKUP(C1480,'[1]TIENDAS 2025'!$A$1:$C$143,3,0)</f>
        <v>nocturna</v>
      </c>
      <c r="O1480">
        <v>1</v>
      </c>
    </row>
    <row r="1481" spans="1:15" ht="15" customHeight="1" x14ac:dyDescent="0.3">
      <c r="A1481" s="7">
        <v>1209670645</v>
      </c>
      <c r="B1481" s="4" t="s">
        <v>433</v>
      </c>
      <c r="C1481" s="4" t="s">
        <v>434</v>
      </c>
      <c r="D1481" s="6">
        <v>46309.458078703698</v>
      </c>
      <c r="E1481" s="6">
        <v>46309.208043981504</v>
      </c>
      <c r="F1481" s="6">
        <v>46309</v>
      </c>
      <c r="G1481" s="5" t="s">
        <v>12</v>
      </c>
      <c r="H1481" s="5" t="s">
        <v>29</v>
      </c>
      <c r="I1481" s="5">
        <v>21</v>
      </c>
      <c r="J1481" s="9" t="s">
        <v>17</v>
      </c>
      <c r="K1481" s="1" t="s">
        <v>1773</v>
      </c>
      <c r="L1481" t="s">
        <v>3284</v>
      </c>
      <c r="M1481" t="str">
        <f>+VLOOKUP(C1481,'[1]TIENDAS 2025'!$A$1:$C$143,3,0)</f>
        <v>prioridad</v>
      </c>
      <c r="O1481">
        <v>1</v>
      </c>
    </row>
    <row r="1482" spans="1:15" ht="15" customHeight="1" x14ac:dyDescent="0.3">
      <c r="A1482" s="7">
        <v>8209670729</v>
      </c>
      <c r="B1482" s="4" t="s">
        <v>274</v>
      </c>
      <c r="C1482" s="4" t="s">
        <v>275</v>
      </c>
      <c r="D1482" s="6">
        <v>46309.458090277803</v>
      </c>
      <c r="E1482" s="6">
        <v>46309.208055555602</v>
      </c>
      <c r="F1482" s="6">
        <v>46309</v>
      </c>
      <c r="G1482" s="5" t="s">
        <v>12</v>
      </c>
      <c r="H1482" s="5" t="s">
        <v>27</v>
      </c>
      <c r="I1482" s="5">
        <v>7</v>
      </c>
      <c r="J1482" s="10" t="s">
        <v>17</v>
      </c>
      <c r="K1482" s="1" t="s">
        <v>1774</v>
      </c>
      <c r="M1482" t="str">
        <f>+VLOOKUP(C1482,'[1]TIENDAS 2025'!$A$1:$C$143,3,0)</f>
        <v>nocturna</v>
      </c>
      <c r="O1482">
        <v>1</v>
      </c>
    </row>
    <row r="1483" spans="1:15" ht="15" customHeight="1" x14ac:dyDescent="0.3">
      <c r="A1483" s="7">
        <v>8209670743</v>
      </c>
      <c r="B1483" s="4" t="s">
        <v>274</v>
      </c>
      <c r="C1483" s="4" t="s">
        <v>275</v>
      </c>
      <c r="D1483" s="6">
        <v>46309.458101851902</v>
      </c>
      <c r="E1483" s="6">
        <v>46309.208078703698</v>
      </c>
      <c r="F1483" s="6">
        <v>46309</v>
      </c>
      <c r="G1483" s="5" t="s">
        <v>12</v>
      </c>
      <c r="H1483" s="5" t="s">
        <v>27</v>
      </c>
      <c r="I1483" s="5">
        <v>12</v>
      </c>
      <c r="J1483" s="10" t="s">
        <v>17</v>
      </c>
      <c r="K1483" s="1" t="s">
        <v>1775</v>
      </c>
      <c r="M1483" t="str">
        <f>+VLOOKUP(C1483,'[1]TIENDAS 2025'!$A$1:$C$143,3,0)</f>
        <v>nocturna</v>
      </c>
      <c r="O1483">
        <v>1</v>
      </c>
    </row>
    <row r="1484" spans="1:15" ht="15" customHeight="1" x14ac:dyDescent="0.3">
      <c r="A1484" s="7">
        <v>8209670733</v>
      </c>
      <c r="B1484" s="4" t="s">
        <v>274</v>
      </c>
      <c r="C1484" s="4" t="s">
        <v>275</v>
      </c>
      <c r="D1484" s="6">
        <v>46309.458113425899</v>
      </c>
      <c r="E1484" s="6">
        <v>46309.208090277803</v>
      </c>
      <c r="F1484" s="6">
        <v>46309</v>
      </c>
      <c r="G1484" s="5" t="s">
        <v>12</v>
      </c>
      <c r="H1484" s="5" t="s">
        <v>27</v>
      </c>
      <c r="I1484" s="5">
        <v>18</v>
      </c>
      <c r="J1484" s="10" t="s">
        <v>17</v>
      </c>
      <c r="K1484" s="1" t="s">
        <v>1776</v>
      </c>
      <c r="M1484" t="str">
        <f>+VLOOKUP(C1484,'[1]TIENDAS 2025'!$A$1:$C$143,3,0)</f>
        <v>nocturna</v>
      </c>
      <c r="O1484">
        <v>1</v>
      </c>
    </row>
    <row r="1485" spans="1:15" ht="15" customHeight="1" x14ac:dyDescent="0.3">
      <c r="A1485" s="7">
        <v>1209670695</v>
      </c>
      <c r="B1485" s="4" t="s">
        <v>382</v>
      </c>
      <c r="C1485" s="4" t="s">
        <v>383</v>
      </c>
      <c r="D1485" s="6">
        <v>46309.458124999997</v>
      </c>
      <c r="E1485" s="6">
        <v>46309.208101851902</v>
      </c>
      <c r="F1485" s="6">
        <v>46309</v>
      </c>
      <c r="G1485" s="5" t="s">
        <v>12</v>
      </c>
      <c r="H1485" s="5" t="s">
        <v>16</v>
      </c>
      <c r="I1485" s="5">
        <v>1</v>
      </c>
      <c r="J1485" s="9" t="s">
        <v>17</v>
      </c>
      <c r="K1485" s="1" t="s">
        <v>1777</v>
      </c>
      <c r="L1485" t="s">
        <v>3284</v>
      </c>
      <c r="M1485" t="str">
        <f>+VLOOKUP(C1485,'[1]TIENDAS 2025'!$A$1:$C$143,3,0)</f>
        <v>local</v>
      </c>
      <c r="O1485">
        <v>1</v>
      </c>
    </row>
    <row r="1486" spans="1:15" ht="15" customHeight="1" x14ac:dyDescent="0.3">
      <c r="A1486" s="7">
        <v>1209670697</v>
      </c>
      <c r="B1486" s="4" t="s">
        <v>382</v>
      </c>
      <c r="C1486" s="4" t="s">
        <v>383</v>
      </c>
      <c r="D1486" s="6">
        <v>46309.458148148202</v>
      </c>
      <c r="E1486" s="6">
        <v>46309.208113425899</v>
      </c>
      <c r="F1486" s="6">
        <v>46309</v>
      </c>
      <c r="G1486" s="5" t="s">
        <v>12</v>
      </c>
      <c r="H1486" s="5" t="s">
        <v>29</v>
      </c>
      <c r="I1486" s="5">
        <v>13</v>
      </c>
      <c r="J1486" s="9" t="s">
        <v>17</v>
      </c>
      <c r="K1486" s="1" t="s">
        <v>1778</v>
      </c>
      <c r="L1486" t="s">
        <v>3284</v>
      </c>
      <c r="M1486" t="str">
        <f>+VLOOKUP(C1486,'[1]TIENDAS 2025'!$A$1:$C$143,3,0)</f>
        <v>local</v>
      </c>
      <c r="O1486">
        <v>1</v>
      </c>
    </row>
    <row r="1487" spans="1:15" ht="15" customHeight="1" x14ac:dyDescent="0.3">
      <c r="A1487" s="7">
        <v>1209670702</v>
      </c>
      <c r="B1487" s="4" t="s">
        <v>382</v>
      </c>
      <c r="C1487" s="4" t="s">
        <v>383</v>
      </c>
      <c r="D1487" s="6">
        <v>46309.458159722199</v>
      </c>
      <c r="E1487" s="6">
        <v>46309.208136574103</v>
      </c>
      <c r="F1487" s="6">
        <v>46309</v>
      </c>
      <c r="G1487" s="5" t="s">
        <v>12</v>
      </c>
      <c r="H1487" s="5" t="s">
        <v>16</v>
      </c>
      <c r="I1487" s="5">
        <v>17</v>
      </c>
      <c r="J1487" s="9" t="s">
        <v>17</v>
      </c>
      <c r="K1487" s="1" t="s">
        <v>1779</v>
      </c>
      <c r="L1487" t="s">
        <v>3284</v>
      </c>
      <c r="M1487" t="str">
        <f>+VLOOKUP(C1487,'[1]TIENDAS 2025'!$A$1:$C$143,3,0)</f>
        <v>local</v>
      </c>
      <c r="O1487">
        <v>1</v>
      </c>
    </row>
    <row r="1488" spans="1:15" ht="15" customHeight="1" x14ac:dyDescent="0.3">
      <c r="A1488" s="7">
        <v>1209670653</v>
      </c>
      <c r="B1488" s="4" t="s">
        <v>433</v>
      </c>
      <c r="C1488" s="4" t="s">
        <v>434</v>
      </c>
      <c r="D1488" s="6">
        <v>46309.458171296297</v>
      </c>
      <c r="E1488" s="6">
        <v>46309.208148148202</v>
      </c>
      <c r="F1488" s="6">
        <v>46309</v>
      </c>
      <c r="G1488" s="5" t="s">
        <v>12</v>
      </c>
      <c r="H1488" s="5" t="s">
        <v>16</v>
      </c>
      <c r="I1488" s="5">
        <v>6</v>
      </c>
      <c r="J1488" s="9" t="s">
        <v>17</v>
      </c>
      <c r="K1488" s="1" t="s">
        <v>1780</v>
      </c>
      <c r="L1488" t="s">
        <v>3284</v>
      </c>
      <c r="M1488" t="str">
        <f>+VLOOKUP(C1488,'[1]TIENDAS 2025'!$A$1:$C$143,3,0)</f>
        <v>prioridad</v>
      </c>
      <c r="O1488">
        <v>1</v>
      </c>
    </row>
    <row r="1489" spans="1:15" ht="15" customHeight="1" x14ac:dyDescent="0.3">
      <c r="A1489" s="7">
        <v>1209670624</v>
      </c>
      <c r="B1489" s="4" t="s">
        <v>333</v>
      </c>
      <c r="C1489" s="4" t="s">
        <v>334</v>
      </c>
      <c r="D1489" s="6">
        <v>46309.458182870403</v>
      </c>
      <c r="E1489" s="6">
        <v>46309.208159722199</v>
      </c>
      <c r="F1489" s="6">
        <v>46309</v>
      </c>
      <c r="G1489" s="5" t="s">
        <v>12</v>
      </c>
      <c r="H1489" s="5" t="s">
        <v>29</v>
      </c>
      <c r="I1489" s="5">
        <v>65</v>
      </c>
      <c r="J1489" s="9" t="s">
        <v>17</v>
      </c>
      <c r="K1489" s="1" t="s">
        <v>1781</v>
      </c>
      <c r="L1489" t="s">
        <v>3284</v>
      </c>
      <c r="M1489" t="str">
        <f>+VLOOKUP(C1489,'[1]TIENDAS 2025'!$A$1:$C$143,3,0)</f>
        <v>nocturna</v>
      </c>
      <c r="O1489">
        <v>1</v>
      </c>
    </row>
    <row r="1490" spans="1:15" ht="15" customHeight="1" x14ac:dyDescent="0.3">
      <c r="A1490" s="7">
        <v>1209670643</v>
      </c>
      <c r="B1490" s="4" t="s">
        <v>433</v>
      </c>
      <c r="C1490" s="4" t="s">
        <v>434</v>
      </c>
      <c r="D1490" s="6">
        <v>46309.458206018498</v>
      </c>
      <c r="E1490" s="6">
        <v>46309.208182870403</v>
      </c>
      <c r="F1490" s="6">
        <v>46309</v>
      </c>
      <c r="G1490" s="5" t="s">
        <v>12</v>
      </c>
      <c r="H1490" s="5" t="s">
        <v>16</v>
      </c>
      <c r="I1490" s="5">
        <v>1</v>
      </c>
      <c r="J1490" s="9" t="s">
        <v>17</v>
      </c>
      <c r="K1490" s="1" t="s">
        <v>1782</v>
      </c>
      <c r="L1490" t="s">
        <v>3284</v>
      </c>
      <c r="M1490" t="str">
        <f>+VLOOKUP(C1490,'[1]TIENDAS 2025'!$A$1:$C$143,3,0)</f>
        <v>prioridad</v>
      </c>
      <c r="O1490">
        <v>1</v>
      </c>
    </row>
    <row r="1491" spans="1:15" ht="15" customHeight="1" x14ac:dyDescent="0.3">
      <c r="A1491" s="7">
        <v>1209670711</v>
      </c>
      <c r="B1491" s="4" t="s">
        <v>382</v>
      </c>
      <c r="C1491" s="4" t="s">
        <v>383</v>
      </c>
      <c r="D1491" s="6">
        <v>46309.458229166703</v>
      </c>
      <c r="E1491" s="6">
        <v>46309.2081944444</v>
      </c>
      <c r="F1491" s="6">
        <v>46309</v>
      </c>
      <c r="G1491" s="5" t="s">
        <v>12</v>
      </c>
      <c r="H1491" s="5" t="s">
        <v>29</v>
      </c>
      <c r="I1491" s="5">
        <v>46</v>
      </c>
      <c r="J1491" s="9" t="s">
        <v>17</v>
      </c>
      <c r="K1491" s="1" t="s">
        <v>1783</v>
      </c>
      <c r="L1491" t="s">
        <v>3284</v>
      </c>
      <c r="M1491" t="str">
        <f>+VLOOKUP(C1491,'[1]TIENDAS 2025'!$A$1:$C$143,3,0)</f>
        <v>local</v>
      </c>
      <c r="O1491">
        <v>1</v>
      </c>
    </row>
    <row r="1492" spans="1:15" ht="15" customHeight="1" x14ac:dyDescent="0.3">
      <c r="A1492" s="7">
        <v>8209670759</v>
      </c>
      <c r="B1492" s="4" t="s">
        <v>274</v>
      </c>
      <c r="C1492" s="4" t="s">
        <v>275</v>
      </c>
      <c r="D1492" s="6">
        <v>46309.4582407407</v>
      </c>
      <c r="E1492" s="6">
        <v>46309.208206018498</v>
      </c>
      <c r="F1492" s="6">
        <v>46309</v>
      </c>
      <c r="G1492" s="5" t="s">
        <v>12</v>
      </c>
      <c r="H1492" s="5" t="s">
        <v>27</v>
      </c>
      <c r="I1492" s="5">
        <v>1</v>
      </c>
      <c r="J1492" s="10" t="s">
        <v>17</v>
      </c>
      <c r="K1492" s="1" t="s">
        <v>1784</v>
      </c>
      <c r="M1492" t="str">
        <f>+VLOOKUP(C1492,'[1]TIENDAS 2025'!$A$1:$C$143,3,0)</f>
        <v>nocturna</v>
      </c>
      <c r="O1492">
        <v>1</v>
      </c>
    </row>
    <row r="1493" spans="1:15" ht="15" customHeight="1" x14ac:dyDescent="0.3">
      <c r="A1493" s="7">
        <v>1209670737</v>
      </c>
      <c r="B1493" s="4" t="s">
        <v>274</v>
      </c>
      <c r="C1493" s="4" t="s">
        <v>275</v>
      </c>
      <c r="D1493" s="6">
        <v>46309.458252314798</v>
      </c>
      <c r="E1493" s="6">
        <v>46309.208217592597</v>
      </c>
      <c r="F1493" s="6">
        <v>46309</v>
      </c>
      <c r="G1493" s="5" t="s">
        <v>12</v>
      </c>
      <c r="H1493" s="5" t="s">
        <v>16</v>
      </c>
      <c r="I1493" s="5">
        <v>19</v>
      </c>
      <c r="J1493" s="9" t="s">
        <v>17</v>
      </c>
      <c r="K1493" s="1" t="s">
        <v>1785</v>
      </c>
      <c r="L1493" t="s">
        <v>3284</v>
      </c>
      <c r="M1493" t="str">
        <f>+VLOOKUP(C1493,'[1]TIENDAS 2025'!$A$1:$C$143,3,0)</f>
        <v>nocturna</v>
      </c>
      <c r="O1493">
        <v>1</v>
      </c>
    </row>
    <row r="1494" spans="1:15" ht="15" customHeight="1" x14ac:dyDescent="0.3">
      <c r="A1494" s="7">
        <v>1209670619</v>
      </c>
      <c r="B1494" s="4" t="s">
        <v>333</v>
      </c>
      <c r="C1494" s="4" t="s">
        <v>334</v>
      </c>
      <c r="D1494" s="6">
        <v>46309.458263888897</v>
      </c>
      <c r="E1494" s="6">
        <v>46309.2082407407</v>
      </c>
      <c r="F1494" s="6">
        <v>46309</v>
      </c>
      <c r="G1494" s="5" t="s">
        <v>12</v>
      </c>
      <c r="H1494" s="5" t="s">
        <v>16</v>
      </c>
      <c r="I1494" s="5">
        <v>22</v>
      </c>
      <c r="J1494" s="9" t="s">
        <v>17</v>
      </c>
      <c r="K1494" s="1" t="s">
        <v>1786</v>
      </c>
      <c r="L1494" t="s">
        <v>3284</v>
      </c>
      <c r="M1494" t="str">
        <f>+VLOOKUP(C1494,'[1]TIENDAS 2025'!$A$1:$C$143,3,0)</f>
        <v>nocturna</v>
      </c>
      <c r="O1494">
        <v>1</v>
      </c>
    </row>
    <row r="1495" spans="1:15" ht="15" customHeight="1" x14ac:dyDescent="0.3">
      <c r="A1495" s="7">
        <v>1209670621</v>
      </c>
      <c r="B1495" s="4" t="s">
        <v>333</v>
      </c>
      <c r="C1495" s="4" t="s">
        <v>334</v>
      </c>
      <c r="D1495" s="6">
        <v>46309.458275463003</v>
      </c>
      <c r="E1495" s="6">
        <v>46309.208252314798</v>
      </c>
      <c r="F1495" s="6">
        <v>46309</v>
      </c>
      <c r="G1495" s="5" t="s">
        <v>12</v>
      </c>
      <c r="H1495" s="5" t="s">
        <v>29</v>
      </c>
      <c r="I1495" s="5">
        <v>32</v>
      </c>
      <c r="J1495" s="9" t="s">
        <v>17</v>
      </c>
      <c r="K1495" s="1" t="s">
        <v>1787</v>
      </c>
      <c r="L1495" t="s">
        <v>3284</v>
      </c>
      <c r="M1495" t="str">
        <f>+VLOOKUP(C1495,'[1]TIENDAS 2025'!$A$1:$C$143,3,0)</f>
        <v>nocturna</v>
      </c>
      <c r="O1495">
        <v>1</v>
      </c>
    </row>
    <row r="1496" spans="1:15" ht="15" customHeight="1" x14ac:dyDescent="0.3">
      <c r="A1496" s="7">
        <v>8209670728</v>
      </c>
      <c r="B1496" s="4" t="s">
        <v>274</v>
      </c>
      <c r="C1496" s="4" t="s">
        <v>275</v>
      </c>
      <c r="D1496" s="6">
        <v>46309.458298611098</v>
      </c>
      <c r="E1496" s="6">
        <v>46309.208263888897</v>
      </c>
      <c r="F1496" s="6">
        <v>46309</v>
      </c>
      <c r="G1496" s="5" t="s">
        <v>12</v>
      </c>
      <c r="H1496" s="5" t="s">
        <v>27</v>
      </c>
      <c r="I1496" s="5">
        <v>1</v>
      </c>
      <c r="J1496" s="10" t="s">
        <v>17</v>
      </c>
      <c r="K1496" s="1" t="s">
        <v>1788</v>
      </c>
      <c r="M1496" t="str">
        <f>+VLOOKUP(C1496,'[1]TIENDAS 2025'!$A$1:$C$143,3,0)</f>
        <v>nocturna</v>
      </c>
      <c r="O1496">
        <v>1</v>
      </c>
    </row>
    <row r="1497" spans="1:15" ht="15" customHeight="1" x14ac:dyDescent="0.3">
      <c r="A1497" s="7">
        <v>1209670755</v>
      </c>
      <c r="B1497" s="4" t="s">
        <v>274</v>
      </c>
      <c r="C1497" s="4" t="s">
        <v>275</v>
      </c>
      <c r="D1497" s="6">
        <v>46309.458310185197</v>
      </c>
      <c r="E1497" s="6">
        <v>46309.208275463003</v>
      </c>
      <c r="F1497" s="6">
        <v>46309</v>
      </c>
      <c r="G1497" s="5" t="s">
        <v>12</v>
      </c>
      <c r="H1497" s="5" t="s">
        <v>29</v>
      </c>
      <c r="I1497" s="5">
        <v>47</v>
      </c>
      <c r="J1497" s="9" t="s">
        <v>17</v>
      </c>
      <c r="K1497" s="1" t="s">
        <v>1789</v>
      </c>
      <c r="L1497" t="s">
        <v>3284</v>
      </c>
      <c r="M1497" t="str">
        <f>+VLOOKUP(C1497,'[1]TIENDAS 2025'!$A$1:$C$143,3,0)</f>
        <v>nocturna</v>
      </c>
      <c r="O1497">
        <v>1</v>
      </c>
    </row>
    <row r="1498" spans="1:15" ht="15" customHeight="1" x14ac:dyDescent="0.3">
      <c r="A1498" s="7">
        <v>1209670748</v>
      </c>
      <c r="B1498" s="4" t="s">
        <v>274</v>
      </c>
      <c r="C1498" s="4" t="s">
        <v>275</v>
      </c>
      <c r="D1498" s="6">
        <v>46309.458321759303</v>
      </c>
      <c r="E1498" s="6">
        <v>46309.208298611098</v>
      </c>
      <c r="F1498" s="6">
        <v>46309</v>
      </c>
      <c r="G1498" s="5" t="s">
        <v>12</v>
      </c>
      <c r="H1498" s="5" t="s">
        <v>29</v>
      </c>
      <c r="I1498" s="5">
        <v>5</v>
      </c>
      <c r="J1498" s="9" t="s">
        <v>17</v>
      </c>
      <c r="K1498" s="1" t="s">
        <v>1790</v>
      </c>
      <c r="L1498" t="s">
        <v>3284</v>
      </c>
      <c r="M1498" t="str">
        <f>+VLOOKUP(C1498,'[1]TIENDAS 2025'!$A$1:$C$143,3,0)</f>
        <v>nocturna</v>
      </c>
      <c r="O1498">
        <v>1</v>
      </c>
    </row>
    <row r="1499" spans="1:15" ht="15" customHeight="1" x14ac:dyDescent="0.3">
      <c r="A1499" s="7">
        <v>8209670694</v>
      </c>
      <c r="B1499" s="4" t="s">
        <v>382</v>
      </c>
      <c r="C1499" s="4" t="s">
        <v>383</v>
      </c>
      <c r="D1499" s="6">
        <v>46309.458344907398</v>
      </c>
      <c r="E1499" s="6">
        <v>46309.208321759303</v>
      </c>
      <c r="F1499" s="6">
        <v>46309</v>
      </c>
      <c r="G1499" s="5" t="s">
        <v>12</v>
      </c>
      <c r="H1499" s="5" t="s">
        <v>27</v>
      </c>
      <c r="I1499" s="5">
        <v>14</v>
      </c>
      <c r="J1499" s="10" t="s">
        <v>17</v>
      </c>
      <c r="K1499" s="1" t="s">
        <v>1791</v>
      </c>
      <c r="M1499" t="str">
        <f>+VLOOKUP(C1499,'[1]TIENDAS 2025'!$A$1:$C$143,3,0)</f>
        <v>local</v>
      </c>
      <c r="O1499">
        <v>1</v>
      </c>
    </row>
    <row r="1500" spans="1:15" ht="15" customHeight="1" x14ac:dyDescent="0.3">
      <c r="A1500" s="7">
        <v>1209670696</v>
      </c>
      <c r="B1500" s="4" t="s">
        <v>382</v>
      </c>
      <c r="C1500" s="4" t="s">
        <v>383</v>
      </c>
      <c r="D1500" s="6">
        <v>46309.458368055602</v>
      </c>
      <c r="E1500" s="6">
        <v>46309.208333333299</v>
      </c>
      <c r="F1500" s="6">
        <v>46309</v>
      </c>
      <c r="G1500" s="5" t="s">
        <v>12</v>
      </c>
      <c r="H1500" s="5" t="s">
        <v>16</v>
      </c>
      <c r="I1500" s="5">
        <v>3</v>
      </c>
      <c r="J1500" s="9" t="s">
        <v>17</v>
      </c>
      <c r="K1500" s="1" t="s">
        <v>1792</v>
      </c>
      <c r="L1500" t="s">
        <v>3284</v>
      </c>
      <c r="M1500" t="str">
        <f>+VLOOKUP(C1500,'[1]TIENDAS 2025'!$A$1:$C$143,3,0)</f>
        <v>local</v>
      </c>
      <c r="O1500">
        <v>1</v>
      </c>
    </row>
    <row r="1501" spans="1:15" ht="15" customHeight="1" x14ac:dyDescent="0.3">
      <c r="A1501" s="7">
        <v>1209670750</v>
      </c>
      <c r="B1501" s="4" t="s">
        <v>274</v>
      </c>
      <c r="C1501" s="4" t="s">
        <v>275</v>
      </c>
      <c r="D1501" s="6">
        <v>46309.458379629599</v>
      </c>
      <c r="E1501" s="6">
        <v>46309.208356481497</v>
      </c>
      <c r="F1501" s="6">
        <v>46309</v>
      </c>
      <c r="G1501" s="5" t="s">
        <v>12</v>
      </c>
      <c r="H1501" s="5" t="s">
        <v>16</v>
      </c>
      <c r="I1501" s="5">
        <v>33</v>
      </c>
      <c r="J1501" s="9" t="s">
        <v>17</v>
      </c>
      <c r="K1501" s="1" t="s">
        <v>1793</v>
      </c>
      <c r="L1501" t="s">
        <v>3284</v>
      </c>
      <c r="M1501" t="str">
        <f>+VLOOKUP(C1501,'[1]TIENDAS 2025'!$A$1:$C$143,3,0)</f>
        <v>nocturna</v>
      </c>
      <c r="O1501">
        <v>1</v>
      </c>
    </row>
    <row r="1502" spans="1:15" ht="15" customHeight="1" x14ac:dyDescent="0.3">
      <c r="A1502" s="7">
        <v>1209670736</v>
      </c>
      <c r="B1502" s="4" t="s">
        <v>274</v>
      </c>
      <c r="C1502" s="4" t="s">
        <v>275</v>
      </c>
      <c r="D1502" s="6">
        <v>46309.458402777796</v>
      </c>
      <c r="E1502" s="6">
        <v>46309.208379629599</v>
      </c>
      <c r="F1502" s="6">
        <v>46309</v>
      </c>
      <c r="G1502" s="5" t="s">
        <v>12</v>
      </c>
      <c r="H1502" s="5" t="s">
        <v>29</v>
      </c>
      <c r="I1502" s="5">
        <v>21</v>
      </c>
      <c r="J1502" s="9" t="s">
        <v>17</v>
      </c>
      <c r="K1502" s="1" t="s">
        <v>1794</v>
      </c>
      <c r="L1502" t="s">
        <v>3284</v>
      </c>
      <c r="M1502" t="str">
        <f>+VLOOKUP(C1502,'[1]TIENDAS 2025'!$A$1:$C$143,3,0)</f>
        <v>nocturna</v>
      </c>
      <c r="O1502">
        <v>1</v>
      </c>
    </row>
    <row r="1503" spans="1:15" ht="15" customHeight="1" x14ac:dyDescent="0.3">
      <c r="A1503" s="7">
        <v>1209670753</v>
      </c>
      <c r="B1503" s="4" t="s">
        <v>274</v>
      </c>
      <c r="C1503" s="4" t="s">
        <v>275</v>
      </c>
      <c r="D1503" s="6">
        <v>46309.458425925899</v>
      </c>
      <c r="E1503" s="6">
        <v>46309.208391203698</v>
      </c>
      <c r="F1503" s="6">
        <v>46309</v>
      </c>
      <c r="G1503" s="5" t="s">
        <v>12</v>
      </c>
      <c r="H1503" s="5" t="s">
        <v>16</v>
      </c>
      <c r="I1503" s="5">
        <v>44</v>
      </c>
      <c r="J1503" s="9" t="s">
        <v>17</v>
      </c>
      <c r="K1503" s="1" t="s">
        <v>1795</v>
      </c>
      <c r="L1503" t="s">
        <v>3284</v>
      </c>
      <c r="M1503" t="str">
        <f>+VLOOKUP(C1503,'[1]TIENDAS 2025'!$A$1:$C$143,3,0)</f>
        <v>nocturna</v>
      </c>
      <c r="O1503">
        <v>1</v>
      </c>
    </row>
    <row r="1504" spans="1:15" ht="15" customHeight="1" x14ac:dyDescent="0.3">
      <c r="A1504" s="7">
        <v>1209670761</v>
      </c>
      <c r="B1504" s="4" t="s">
        <v>274</v>
      </c>
      <c r="C1504" s="4" t="s">
        <v>275</v>
      </c>
      <c r="D1504" s="6">
        <v>46309.458437499998</v>
      </c>
      <c r="E1504" s="6">
        <v>46309.208402777796</v>
      </c>
      <c r="F1504" s="6">
        <v>46309</v>
      </c>
      <c r="G1504" s="5" t="s">
        <v>12</v>
      </c>
      <c r="H1504" s="5" t="s">
        <v>29</v>
      </c>
      <c r="I1504" s="5">
        <v>12</v>
      </c>
      <c r="J1504" s="9" t="s">
        <v>17</v>
      </c>
      <c r="K1504" s="1" t="s">
        <v>1796</v>
      </c>
      <c r="L1504" t="s">
        <v>3284</v>
      </c>
      <c r="M1504" t="str">
        <f>+VLOOKUP(C1504,'[1]TIENDAS 2025'!$A$1:$C$143,3,0)</f>
        <v>nocturna</v>
      </c>
      <c r="O1504">
        <v>1</v>
      </c>
    </row>
    <row r="1505" spans="1:15" ht="15" customHeight="1" x14ac:dyDescent="0.3">
      <c r="A1505" s="7">
        <v>1209670648</v>
      </c>
      <c r="B1505" s="4" t="s">
        <v>433</v>
      </c>
      <c r="C1505" s="4" t="s">
        <v>434</v>
      </c>
      <c r="D1505" s="6">
        <v>46309.458460648202</v>
      </c>
      <c r="E1505" s="6">
        <v>46309.208437499998</v>
      </c>
      <c r="F1505" s="6">
        <v>46309</v>
      </c>
      <c r="G1505" s="5" t="s">
        <v>12</v>
      </c>
      <c r="H1505" s="5" t="s">
        <v>29</v>
      </c>
      <c r="I1505" s="5">
        <v>36</v>
      </c>
      <c r="J1505" s="9" t="s">
        <v>17</v>
      </c>
      <c r="K1505" s="1" t="s">
        <v>1797</v>
      </c>
      <c r="L1505" t="s">
        <v>3284</v>
      </c>
      <c r="M1505" t="str">
        <f>+VLOOKUP(C1505,'[1]TIENDAS 2025'!$A$1:$C$143,3,0)</f>
        <v>prioridad</v>
      </c>
      <c r="O1505">
        <v>1</v>
      </c>
    </row>
    <row r="1506" spans="1:15" ht="15" customHeight="1" x14ac:dyDescent="0.3">
      <c r="A1506" s="7">
        <v>1209670652</v>
      </c>
      <c r="B1506" s="4" t="s">
        <v>433</v>
      </c>
      <c r="C1506" s="4" t="s">
        <v>434</v>
      </c>
      <c r="D1506" s="6">
        <v>46309.458460648202</v>
      </c>
      <c r="E1506" s="6">
        <v>46309.208425925899</v>
      </c>
      <c r="F1506" s="6">
        <v>46309</v>
      </c>
      <c r="G1506" s="5" t="s">
        <v>12</v>
      </c>
      <c r="H1506" s="5" t="s">
        <v>27</v>
      </c>
      <c r="I1506" s="5">
        <v>71</v>
      </c>
      <c r="J1506" s="9" t="s">
        <v>17</v>
      </c>
      <c r="K1506" s="1" t="s">
        <v>1798</v>
      </c>
      <c r="L1506" t="s">
        <v>3284</v>
      </c>
      <c r="M1506" t="str">
        <f>+VLOOKUP(C1506,'[1]TIENDAS 2025'!$A$1:$C$143,3,0)</f>
        <v>prioridad</v>
      </c>
      <c r="O1506">
        <v>1</v>
      </c>
    </row>
    <row r="1507" spans="1:15" ht="15" customHeight="1" x14ac:dyDescent="0.3">
      <c r="A1507" s="7">
        <v>8209670638</v>
      </c>
      <c r="B1507" s="4" t="s">
        <v>433</v>
      </c>
      <c r="C1507" s="4" t="s">
        <v>434</v>
      </c>
      <c r="D1507" s="6">
        <v>46309.458483796298</v>
      </c>
      <c r="E1507" s="6">
        <v>46309.208449074104</v>
      </c>
      <c r="F1507" s="6">
        <v>46309</v>
      </c>
      <c r="G1507" s="5" t="s">
        <v>12</v>
      </c>
      <c r="H1507" s="5" t="s">
        <v>27</v>
      </c>
      <c r="I1507" s="5">
        <v>1</v>
      </c>
      <c r="J1507" s="10" t="s">
        <v>17</v>
      </c>
      <c r="K1507" s="1" t="s">
        <v>1799</v>
      </c>
      <c r="M1507" t="str">
        <f>+VLOOKUP(C1507,'[1]TIENDAS 2025'!$A$1:$C$143,3,0)</f>
        <v>prioridad</v>
      </c>
      <c r="O1507">
        <v>1</v>
      </c>
    </row>
    <row r="1508" spans="1:15" ht="15" customHeight="1" x14ac:dyDescent="0.3">
      <c r="A1508" s="7">
        <v>8209670641</v>
      </c>
      <c r="B1508" s="4" t="s">
        <v>433</v>
      </c>
      <c r="C1508" s="4" t="s">
        <v>434</v>
      </c>
      <c r="D1508" s="6">
        <v>46309.458495370403</v>
      </c>
      <c r="E1508" s="6">
        <v>46309.208472222199</v>
      </c>
      <c r="F1508" s="6">
        <v>46309</v>
      </c>
      <c r="G1508" s="5" t="s">
        <v>12</v>
      </c>
      <c r="H1508" s="5" t="s">
        <v>27</v>
      </c>
      <c r="I1508" s="5">
        <v>59</v>
      </c>
      <c r="J1508" s="10" t="s">
        <v>17</v>
      </c>
      <c r="K1508" s="1" t="s">
        <v>1800</v>
      </c>
      <c r="M1508" t="str">
        <f>+VLOOKUP(C1508,'[1]TIENDAS 2025'!$A$1:$C$143,3,0)</f>
        <v>prioridad</v>
      </c>
      <c r="O1508">
        <v>1</v>
      </c>
    </row>
    <row r="1509" spans="1:15" ht="15" customHeight="1" x14ac:dyDescent="0.3">
      <c r="A1509" s="7">
        <v>8209670625</v>
      </c>
      <c r="B1509" s="4" t="s">
        <v>333</v>
      </c>
      <c r="C1509" s="4" t="s">
        <v>334</v>
      </c>
      <c r="D1509" s="6">
        <v>46309.4585069444</v>
      </c>
      <c r="E1509" s="6">
        <v>46309.208483796298</v>
      </c>
      <c r="F1509" s="6">
        <v>46309</v>
      </c>
      <c r="G1509" s="5" t="s">
        <v>12</v>
      </c>
      <c r="H1509" s="5" t="s">
        <v>27</v>
      </c>
      <c r="I1509" s="5">
        <v>3</v>
      </c>
      <c r="J1509" s="10" t="s">
        <v>17</v>
      </c>
      <c r="K1509" s="1" t="s">
        <v>1801</v>
      </c>
      <c r="M1509" t="str">
        <f>+VLOOKUP(C1509,'[1]TIENDAS 2025'!$A$1:$C$143,3,0)</f>
        <v>nocturna</v>
      </c>
      <c r="O1509">
        <v>1</v>
      </c>
    </row>
    <row r="1510" spans="1:15" ht="15" customHeight="1" x14ac:dyDescent="0.3">
      <c r="A1510" s="7">
        <v>1209670617</v>
      </c>
      <c r="B1510" s="4" t="s">
        <v>333</v>
      </c>
      <c r="C1510" s="4" t="s">
        <v>334</v>
      </c>
      <c r="D1510" s="6">
        <v>46309.458530092597</v>
      </c>
      <c r="E1510" s="6">
        <v>46309.208495370403</v>
      </c>
      <c r="F1510" s="6">
        <v>46309</v>
      </c>
      <c r="G1510" s="5" t="s">
        <v>12</v>
      </c>
      <c r="H1510" s="5" t="s">
        <v>29</v>
      </c>
      <c r="I1510" s="5">
        <v>12</v>
      </c>
      <c r="J1510" s="9" t="s">
        <v>17</v>
      </c>
      <c r="K1510" s="1" t="s">
        <v>1802</v>
      </c>
      <c r="L1510" t="s">
        <v>3284</v>
      </c>
      <c r="M1510" t="str">
        <f>+VLOOKUP(C1510,'[1]TIENDAS 2025'!$A$1:$C$143,3,0)</f>
        <v>nocturna</v>
      </c>
      <c r="O1510">
        <v>1</v>
      </c>
    </row>
    <row r="1511" spans="1:15" ht="15" customHeight="1" x14ac:dyDescent="0.3">
      <c r="A1511" s="7">
        <v>1209670700</v>
      </c>
      <c r="B1511" s="4" t="s">
        <v>382</v>
      </c>
      <c r="C1511" s="4" t="s">
        <v>383</v>
      </c>
      <c r="D1511" s="6">
        <v>46309.4585532407</v>
      </c>
      <c r="E1511" s="6">
        <v>46309.208518518499</v>
      </c>
      <c r="F1511" s="6">
        <v>46309</v>
      </c>
      <c r="G1511" s="5" t="s">
        <v>12</v>
      </c>
      <c r="H1511" s="5" t="s">
        <v>16</v>
      </c>
      <c r="I1511" s="5">
        <v>20</v>
      </c>
      <c r="J1511" s="9" t="s">
        <v>17</v>
      </c>
      <c r="K1511" s="1" t="s">
        <v>1803</v>
      </c>
      <c r="L1511" t="s">
        <v>3284</v>
      </c>
      <c r="M1511" t="str">
        <f>+VLOOKUP(C1511,'[1]TIENDAS 2025'!$A$1:$C$143,3,0)</f>
        <v>local</v>
      </c>
      <c r="O1511">
        <v>1</v>
      </c>
    </row>
    <row r="1512" spans="1:15" ht="15" customHeight="1" x14ac:dyDescent="0.3">
      <c r="A1512" s="7">
        <v>1209670623</v>
      </c>
      <c r="B1512" s="4" t="s">
        <v>333</v>
      </c>
      <c r="C1512" s="4" t="s">
        <v>334</v>
      </c>
      <c r="D1512" s="6">
        <v>46309.458576388897</v>
      </c>
      <c r="E1512" s="6">
        <v>46309.208541666703</v>
      </c>
      <c r="F1512" s="6">
        <v>46309</v>
      </c>
      <c r="G1512" s="5" t="s">
        <v>12</v>
      </c>
      <c r="H1512" s="5" t="s">
        <v>16</v>
      </c>
      <c r="I1512" s="5">
        <v>2</v>
      </c>
      <c r="J1512" s="9" t="s">
        <v>17</v>
      </c>
      <c r="K1512" s="1" t="s">
        <v>1804</v>
      </c>
      <c r="L1512" t="s">
        <v>3284</v>
      </c>
      <c r="M1512" t="str">
        <f>+VLOOKUP(C1512,'[1]TIENDAS 2025'!$A$1:$C$143,3,0)</f>
        <v>nocturna</v>
      </c>
      <c r="O1512">
        <v>1</v>
      </c>
    </row>
    <row r="1513" spans="1:15" ht="15" customHeight="1" x14ac:dyDescent="0.3">
      <c r="A1513" s="7">
        <v>1209670647</v>
      </c>
      <c r="B1513" s="4" t="s">
        <v>433</v>
      </c>
      <c r="C1513" s="4" t="s">
        <v>434</v>
      </c>
      <c r="D1513" s="6">
        <v>46309.458587963003</v>
      </c>
      <c r="E1513" s="6">
        <v>46309.2085532407</v>
      </c>
      <c r="F1513" s="6">
        <v>46309</v>
      </c>
      <c r="G1513" s="5" t="s">
        <v>12</v>
      </c>
      <c r="H1513" s="5" t="s">
        <v>16</v>
      </c>
      <c r="I1513" s="5">
        <v>28</v>
      </c>
      <c r="J1513" s="9" t="s">
        <v>17</v>
      </c>
      <c r="K1513" s="1" t="s">
        <v>1805</v>
      </c>
      <c r="L1513" t="s">
        <v>3284</v>
      </c>
      <c r="M1513" t="str">
        <f>+VLOOKUP(C1513,'[1]TIENDAS 2025'!$A$1:$C$143,3,0)</f>
        <v>prioridad</v>
      </c>
      <c r="O1513">
        <v>1</v>
      </c>
    </row>
    <row r="1514" spans="1:15" ht="15" customHeight="1" x14ac:dyDescent="0.3">
      <c r="A1514" s="7">
        <v>8209670639</v>
      </c>
      <c r="B1514" s="4" t="s">
        <v>433</v>
      </c>
      <c r="C1514" s="4" t="s">
        <v>434</v>
      </c>
      <c r="D1514" s="6">
        <v>46309.458611111098</v>
      </c>
      <c r="E1514" s="6">
        <v>46309.208576388897</v>
      </c>
      <c r="F1514" s="6">
        <v>46309</v>
      </c>
      <c r="G1514" s="5" t="s">
        <v>12</v>
      </c>
      <c r="H1514" s="5" t="s">
        <v>27</v>
      </c>
      <c r="I1514" s="5">
        <v>5</v>
      </c>
      <c r="J1514" s="10" t="s">
        <v>17</v>
      </c>
      <c r="K1514" s="1" t="s">
        <v>1806</v>
      </c>
      <c r="M1514" t="str">
        <f>+VLOOKUP(C1514,'[1]TIENDAS 2025'!$A$1:$C$143,3,0)</f>
        <v>prioridad</v>
      </c>
      <c r="O1514">
        <v>1</v>
      </c>
    </row>
    <row r="1515" spans="1:15" ht="15" customHeight="1" x14ac:dyDescent="0.3">
      <c r="A1515" s="7">
        <v>1209670651</v>
      </c>
      <c r="B1515" s="4" t="s">
        <v>433</v>
      </c>
      <c r="C1515" s="4" t="s">
        <v>434</v>
      </c>
      <c r="D1515" s="6">
        <v>46309.458622685197</v>
      </c>
      <c r="E1515" s="6">
        <v>46309.208599537</v>
      </c>
      <c r="F1515" s="6">
        <v>46309</v>
      </c>
      <c r="G1515" s="5" t="s">
        <v>12</v>
      </c>
      <c r="H1515" s="5" t="s">
        <v>16</v>
      </c>
      <c r="I1515" s="5">
        <v>53</v>
      </c>
      <c r="J1515" s="9" t="s">
        <v>17</v>
      </c>
      <c r="K1515" s="1" t="s">
        <v>1807</v>
      </c>
      <c r="L1515" t="s">
        <v>3284</v>
      </c>
      <c r="M1515" t="str">
        <f>+VLOOKUP(C1515,'[1]TIENDAS 2025'!$A$1:$C$143,3,0)</f>
        <v>prioridad</v>
      </c>
      <c r="O1515">
        <v>1</v>
      </c>
    </row>
    <row r="1516" spans="1:15" ht="15" customHeight="1" x14ac:dyDescent="0.3">
      <c r="A1516" s="7">
        <v>1209670654</v>
      </c>
      <c r="B1516" s="4" t="s">
        <v>433</v>
      </c>
      <c r="C1516" s="4" t="s">
        <v>434</v>
      </c>
      <c r="D1516" s="6">
        <v>46309.4586458333</v>
      </c>
      <c r="E1516" s="6">
        <v>46309.208611111098</v>
      </c>
      <c r="F1516" s="6">
        <v>46309</v>
      </c>
      <c r="G1516" s="5" t="s">
        <v>12</v>
      </c>
      <c r="H1516" s="5" t="s">
        <v>29</v>
      </c>
      <c r="I1516" s="5">
        <v>77</v>
      </c>
      <c r="J1516" s="9" t="s">
        <v>17</v>
      </c>
      <c r="K1516" s="1" t="s">
        <v>1808</v>
      </c>
      <c r="L1516" t="s">
        <v>3284</v>
      </c>
      <c r="M1516" t="str">
        <f>+VLOOKUP(C1516,'[1]TIENDAS 2025'!$A$1:$C$143,3,0)</f>
        <v>prioridad</v>
      </c>
      <c r="O1516">
        <v>1</v>
      </c>
    </row>
    <row r="1517" spans="1:15" ht="15" customHeight="1" x14ac:dyDescent="0.3">
      <c r="A1517" s="7">
        <v>1209670739</v>
      </c>
      <c r="B1517" s="4" t="s">
        <v>274</v>
      </c>
      <c r="C1517" s="4" t="s">
        <v>275</v>
      </c>
      <c r="D1517" s="6">
        <v>46309.458657407398</v>
      </c>
      <c r="E1517" s="6">
        <v>46309.208622685197</v>
      </c>
      <c r="F1517" s="6">
        <v>46309</v>
      </c>
      <c r="G1517" s="5" t="s">
        <v>12</v>
      </c>
      <c r="H1517" s="5" t="s">
        <v>29</v>
      </c>
      <c r="I1517" s="5">
        <v>46</v>
      </c>
      <c r="J1517" s="9" t="s">
        <v>17</v>
      </c>
      <c r="K1517" s="1" t="s">
        <v>1809</v>
      </c>
      <c r="L1517" t="s">
        <v>3284</v>
      </c>
      <c r="M1517" t="str">
        <f>+VLOOKUP(C1517,'[1]TIENDAS 2025'!$A$1:$C$143,3,0)</f>
        <v>nocturna</v>
      </c>
      <c r="O1517">
        <v>1</v>
      </c>
    </row>
    <row r="1518" spans="1:15" ht="15" customHeight="1" x14ac:dyDescent="0.3">
      <c r="A1518" s="7">
        <v>1209670735</v>
      </c>
      <c r="B1518" s="4" t="s">
        <v>274</v>
      </c>
      <c r="C1518" s="4" t="s">
        <v>275</v>
      </c>
      <c r="D1518" s="6">
        <v>46309.458668981497</v>
      </c>
      <c r="E1518" s="6">
        <v>46309.2086458333</v>
      </c>
      <c r="F1518" s="6">
        <v>46309</v>
      </c>
      <c r="G1518" s="5" t="s">
        <v>12</v>
      </c>
      <c r="H1518" s="5" t="s">
        <v>16</v>
      </c>
      <c r="I1518" s="5">
        <v>19</v>
      </c>
      <c r="J1518" s="9" t="s">
        <v>17</v>
      </c>
      <c r="K1518" s="1" t="s">
        <v>1810</v>
      </c>
      <c r="L1518" t="s">
        <v>3284</v>
      </c>
      <c r="M1518" t="str">
        <f>+VLOOKUP(C1518,'[1]TIENDAS 2025'!$A$1:$C$143,3,0)</f>
        <v>nocturna</v>
      </c>
      <c r="O1518">
        <v>1</v>
      </c>
    </row>
    <row r="1519" spans="1:15" ht="15" customHeight="1" x14ac:dyDescent="0.3">
      <c r="A1519" s="7">
        <v>1209670628</v>
      </c>
      <c r="B1519" s="4" t="s">
        <v>333</v>
      </c>
      <c r="C1519" s="4" t="s">
        <v>334</v>
      </c>
      <c r="D1519" s="6">
        <v>46309.4586921296</v>
      </c>
      <c r="E1519" s="6">
        <v>46309.208657407398</v>
      </c>
      <c r="F1519" s="6">
        <v>46309</v>
      </c>
      <c r="G1519" s="5" t="s">
        <v>12</v>
      </c>
      <c r="H1519" s="5" t="s">
        <v>16</v>
      </c>
      <c r="I1519" s="5">
        <v>1</v>
      </c>
      <c r="J1519" s="9" t="s">
        <v>17</v>
      </c>
      <c r="K1519" s="1" t="s">
        <v>1811</v>
      </c>
      <c r="L1519" t="s">
        <v>3284</v>
      </c>
      <c r="M1519" t="str">
        <f>+VLOOKUP(C1519,'[1]TIENDAS 2025'!$A$1:$C$143,3,0)</f>
        <v>nocturna</v>
      </c>
      <c r="O1519">
        <v>1</v>
      </c>
    </row>
    <row r="1520" spans="1:15" ht="15" customHeight="1" x14ac:dyDescent="0.3">
      <c r="A1520" s="7">
        <v>1209670629</v>
      </c>
      <c r="B1520" s="4" t="s">
        <v>333</v>
      </c>
      <c r="C1520" s="4" t="s">
        <v>334</v>
      </c>
      <c r="D1520" s="6">
        <v>46309.458715277797</v>
      </c>
      <c r="E1520" s="6">
        <v>46309.208680555603</v>
      </c>
      <c r="F1520" s="6">
        <v>46309</v>
      </c>
      <c r="G1520" s="5" t="s">
        <v>12</v>
      </c>
      <c r="H1520" s="5" t="s">
        <v>29</v>
      </c>
      <c r="I1520" s="5">
        <v>16</v>
      </c>
      <c r="J1520" s="9" t="s">
        <v>17</v>
      </c>
      <c r="K1520" s="1" t="s">
        <v>1812</v>
      </c>
      <c r="L1520" t="s">
        <v>3284</v>
      </c>
      <c r="M1520" t="str">
        <f>+VLOOKUP(C1520,'[1]TIENDAS 2025'!$A$1:$C$143,3,0)</f>
        <v>nocturna</v>
      </c>
      <c r="O1520">
        <v>1</v>
      </c>
    </row>
    <row r="1521" spans="1:15" ht="15" customHeight="1" x14ac:dyDescent="0.3">
      <c r="A1521" s="7">
        <v>1209670635</v>
      </c>
      <c r="B1521" s="4" t="s">
        <v>333</v>
      </c>
      <c r="C1521" s="4" t="s">
        <v>334</v>
      </c>
      <c r="D1521" s="6">
        <v>46309.458726851903</v>
      </c>
      <c r="E1521" s="6">
        <v>46309.208703703698</v>
      </c>
      <c r="F1521" s="6">
        <v>46309</v>
      </c>
      <c r="G1521" s="5" t="s">
        <v>12</v>
      </c>
      <c r="H1521" s="5" t="s">
        <v>16</v>
      </c>
      <c r="I1521" s="5">
        <v>35</v>
      </c>
      <c r="J1521" s="9" t="s">
        <v>17</v>
      </c>
      <c r="K1521" s="1" t="s">
        <v>1813</v>
      </c>
      <c r="L1521" t="s">
        <v>3284</v>
      </c>
      <c r="M1521" t="str">
        <f>+VLOOKUP(C1521,'[1]TIENDAS 2025'!$A$1:$C$143,3,0)</f>
        <v>nocturna</v>
      </c>
      <c r="O1521">
        <v>1</v>
      </c>
    </row>
    <row r="1522" spans="1:15" ht="15" customHeight="1" x14ac:dyDescent="0.3">
      <c r="A1522" s="7">
        <v>8209670613</v>
      </c>
      <c r="B1522" s="4" t="s">
        <v>333</v>
      </c>
      <c r="C1522" s="4" t="s">
        <v>334</v>
      </c>
      <c r="D1522" s="6">
        <v>46309.458761574097</v>
      </c>
      <c r="E1522" s="6">
        <v>46309.208726851903</v>
      </c>
      <c r="F1522" s="6">
        <v>46309</v>
      </c>
      <c r="G1522" s="5" t="s">
        <v>12</v>
      </c>
      <c r="H1522" s="5" t="s">
        <v>27</v>
      </c>
      <c r="I1522" s="5">
        <v>4</v>
      </c>
      <c r="J1522" s="10" t="s">
        <v>17</v>
      </c>
      <c r="K1522" s="1" t="s">
        <v>1814</v>
      </c>
      <c r="M1522" t="str">
        <f>+VLOOKUP(C1522,'[1]TIENDAS 2025'!$A$1:$C$143,3,0)</f>
        <v>nocturna</v>
      </c>
      <c r="O1522">
        <v>1</v>
      </c>
    </row>
    <row r="1523" spans="1:15" ht="15" customHeight="1" x14ac:dyDescent="0.3">
      <c r="A1523" s="7">
        <v>8209670615</v>
      </c>
      <c r="B1523" s="4" t="s">
        <v>333</v>
      </c>
      <c r="C1523" s="4" t="s">
        <v>334</v>
      </c>
      <c r="D1523" s="6">
        <v>46309.458773148202</v>
      </c>
      <c r="E1523" s="6">
        <v>46309.208749999998</v>
      </c>
      <c r="F1523" s="6">
        <v>46309</v>
      </c>
      <c r="G1523" s="5" t="s">
        <v>12</v>
      </c>
      <c r="H1523" s="5" t="s">
        <v>27</v>
      </c>
      <c r="I1523" s="5">
        <v>26</v>
      </c>
      <c r="J1523" s="10" t="s">
        <v>17</v>
      </c>
      <c r="K1523" s="1" t="s">
        <v>1815</v>
      </c>
      <c r="M1523" t="str">
        <f>+VLOOKUP(C1523,'[1]TIENDAS 2025'!$A$1:$C$143,3,0)</f>
        <v>nocturna</v>
      </c>
      <c r="O1523">
        <v>1</v>
      </c>
    </row>
    <row r="1524" spans="1:15" ht="15" customHeight="1" x14ac:dyDescent="0.3">
      <c r="A1524" s="7">
        <v>1209670707</v>
      </c>
      <c r="B1524" s="4" t="s">
        <v>382</v>
      </c>
      <c r="C1524" s="4" t="s">
        <v>383</v>
      </c>
      <c r="D1524" s="6">
        <v>46309.458796296298</v>
      </c>
      <c r="E1524" s="6">
        <v>46309.208761574097</v>
      </c>
      <c r="F1524" s="6">
        <v>46309</v>
      </c>
      <c r="G1524" s="5" t="s">
        <v>12</v>
      </c>
      <c r="H1524" s="5" t="s">
        <v>16</v>
      </c>
      <c r="I1524" s="5">
        <v>52</v>
      </c>
      <c r="J1524" s="9" t="s">
        <v>17</v>
      </c>
      <c r="K1524" s="1" t="s">
        <v>1816</v>
      </c>
      <c r="L1524" t="s">
        <v>3284</v>
      </c>
      <c r="M1524" t="str">
        <f>+VLOOKUP(C1524,'[1]TIENDAS 2025'!$A$1:$C$143,3,0)</f>
        <v>local</v>
      </c>
      <c r="O1524">
        <v>1</v>
      </c>
    </row>
    <row r="1525" spans="1:15" ht="15" customHeight="1" x14ac:dyDescent="0.3">
      <c r="A1525" s="7">
        <v>8209670730</v>
      </c>
      <c r="B1525" s="4" t="s">
        <v>274</v>
      </c>
      <c r="C1525" s="4" t="s">
        <v>275</v>
      </c>
      <c r="D1525" s="6">
        <v>46309.4588194444</v>
      </c>
      <c r="E1525" s="6">
        <v>46309.208784722199</v>
      </c>
      <c r="F1525" s="6">
        <v>46309</v>
      </c>
      <c r="G1525" s="5" t="s">
        <v>12</v>
      </c>
      <c r="H1525" s="5" t="s">
        <v>27</v>
      </c>
      <c r="I1525" s="5">
        <v>1</v>
      </c>
      <c r="J1525" s="10" t="s">
        <v>17</v>
      </c>
      <c r="K1525" s="1" t="s">
        <v>1817</v>
      </c>
      <c r="M1525" t="str">
        <f>+VLOOKUP(C1525,'[1]TIENDAS 2025'!$A$1:$C$143,3,0)</f>
        <v>nocturna</v>
      </c>
      <c r="O1525">
        <v>1</v>
      </c>
    </row>
    <row r="1526" spans="1:15" ht="15" customHeight="1" x14ac:dyDescent="0.3">
      <c r="A1526" s="7">
        <v>8209670744</v>
      </c>
      <c r="B1526" s="4" t="s">
        <v>274</v>
      </c>
      <c r="C1526" s="4" t="s">
        <v>275</v>
      </c>
      <c r="D1526" s="6">
        <v>46309.458842592598</v>
      </c>
      <c r="E1526" s="6">
        <v>46309.208807870396</v>
      </c>
      <c r="F1526" s="6">
        <v>46309</v>
      </c>
      <c r="G1526" s="5" t="s">
        <v>12</v>
      </c>
      <c r="H1526" s="5" t="s">
        <v>27</v>
      </c>
      <c r="I1526" s="5">
        <v>34</v>
      </c>
      <c r="J1526" s="10" t="s">
        <v>17</v>
      </c>
      <c r="K1526" s="1" t="s">
        <v>1818</v>
      </c>
      <c r="M1526" t="str">
        <f>+VLOOKUP(C1526,'[1]TIENDAS 2025'!$A$1:$C$143,3,0)</f>
        <v>nocturna</v>
      </c>
      <c r="O1526">
        <v>1</v>
      </c>
    </row>
    <row r="1527" spans="1:15" ht="15" customHeight="1" x14ac:dyDescent="0.3">
      <c r="A1527" s="7">
        <v>8209670690</v>
      </c>
      <c r="B1527" s="4" t="s">
        <v>382</v>
      </c>
      <c r="C1527" s="4" t="s">
        <v>383</v>
      </c>
      <c r="D1527" s="6">
        <v>46309.458854166704</v>
      </c>
      <c r="E1527" s="6">
        <v>46309.2088194444</v>
      </c>
      <c r="F1527" s="6">
        <v>46309</v>
      </c>
      <c r="G1527" s="5" t="s">
        <v>12</v>
      </c>
      <c r="H1527" s="5" t="s">
        <v>27</v>
      </c>
      <c r="I1527" s="5">
        <v>1</v>
      </c>
      <c r="J1527" s="10" t="s">
        <v>17</v>
      </c>
      <c r="K1527" s="1" t="s">
        <v>1819</v>
      </c>
      <c r="M1527" t="str">
        <f>+VLOOKUP(C1527,'[1]TIENDAS 2025'!$A$1:$C$143,3,0)</f>
        <v>local</v>
      </c>
      <c r="O1527">
        <v>1</v>
      </c>
    </row>
    <row r="1528" spans="1:15" ht="15" customHeight="1" x14ac:dyDescent="0.3">
      <c r="A1528" s="7">
        <v>8209670692</v>
      </c>
      <c r="B1528" s="4" t="s">
        <v>382</v>
      </c>
      <c r="C1528" s="4" t="s">
        <v>383</v>
      </c>
      <c r="D1528" s="6">
        <v>46309.4588657407</v>
      </c>
      <c r="E1528" s="6">
        <v>46309.208842592598</v>
      </c>
      <c r="F1528" s="6">
        <v>46309</v>
      </c>
      <c r="G1528" s="5" t="s">
        <v>12</v>
      </c>
      <c r="H1528" s="5" t="s">
        <v>27</v>
      </c>
      <c r="I1528" s="5">
        <v>2</v>
      </c>
      <c r="J1528" s="10" t="s">
        <v>17</v>
      </c>
      <c r="K1528" s="1" t="s">
        <v>1820</v>
      </c>
      <c r="M1528" t="str">
        <f>+VLOOKUP(C1528,'[1]TIENDAS 2025'!$A$1:$C$143,3,0)</f>
        <v>local</v>
      </c>
      <c r="O1528">
        <v>1</v>
      </c>
    </row>
    <row r="1529" spans="1:15" ht="15" customHeight="1" x14ac:dyDescent="0.3">
      <c r="A1529" s="7">
        <v>1209670699</v>
      </c>
      <c r="B1529" s="4" t="s">
        <v>382</v>
      </c>
      <c r="C1529" s="4" t="s">
        <v>383</v>
      </c>
      <c r="D1529" s="6">
        <v>46309.458888888897</v>
      </c>
      <c r="E1529" s="6">
        <v>46309.208854166704</v>
      </c>
      <c r="F1529" s="6">
        <v>46309</v>
      </c>
      <c r="G1529" s="5" t="s">
        <v>12</v>
      </c>
      <c r="H1529" s="5" t="s">
        <v>16</v>
      </c>
      <c r="I1529" s="5">
        <v>13</v>
      </c>
      <c r="J1529" s="9" t="s">
        <v>17</v>
      </c>
      <c r="K1529" s="1" t="s">
        <v>1821</v>
      </c>
      <c r="L1529" t="s">
        <v>3284</v>
      </c>
      <c r="M1529" t="str">
        <f>+VLOOKUP(C1529,'[1]TIENDAS 2025'!$A$1:$C$143,3,0)</f>
        <v>local</v>
      </c>
      <c r="O1529">
        <v>1</v>
      </c>
    </row>
    <row r="1530" spans="1:15" ht="15" customHeight="1" x14ac:dyDescent="0.3">
      <c r="A1530" s="7">
        <v>8209670874</v>
      </c>
      <c r="B1530" s="4" t="s">
        <v>250</v>
      </c>
      <c r="C1530" s="4" t="s">
        <v>251</v>
      </c>
      <c r="D1530" s="6">
        <v>46309.461261574099</v>
      </c>
      <c r="E1530" s="6">
        <v>46309.211226851898</v>
      </c>
      <c r="F1530" s="6">
        <v>46309</v>
      </c>
      <c r="G1530" s="5" t="s">
        <v>12</v>
      </c>
      <c r="H1530" s="5" t="s">
        <v>27</v>
      </c>
      <c r="I1530" s="5">
        <v>1</v>
      </c>
      <c r="J1530" s="10" t="s">
        <v>17</v>
      </c>
      <c r="K1530" s="1" t="s">
        <v>1822</v>
      </c>
      <c r="M1530" t="str">
        <f>+VLOOKUP(C1530,'[1]TIENDAS 2025'!$A$1:$C$143,3,0)</f>
        <v>prioridad</v>
      </c>
      <c r="O1530">
        <v>1</v>
      </c>
    </row>
    <row r="1531" spans="1:15" ht="15" customHeight="1" x14ac:dyDescent="0.3">
      <c r="A1531" s="7">
        <v>1209670782</v>
      </c>
      <c r="B1531" s="4" t="s">
        <v>321</v>
      </c>
      <c r="C1531" s="4" t="s">
        <v>322</v>
      </c>
      <c r="D1531" s="6">
        <v>46309.461284722202</v>
      </c>
      <c r="E1531" s="6">
        <v>46309.21125</v>
      </c>
      <c r="F1531" s="6">
        <v>46309</v>
      </c>
      <c r="G1531" s="5" t="s">
        <v>12</v>
      </c>
      <c r="H1531" s="5" t="s">
        <v>29</v>
      </c>
      <c r="I1531" s="5">
        <v>33</v>
      </c>
      <c r="J1531" s="9" t="s">
        <v>17</v>
      </c>
      <c r="K1531" s="1" t="s">
        <v>1823</v>
      </c>
      <c r="L1531" t="s">
        <v>3284</v>
      </c>
      <c r="M1531" t="str">
        <f>+VLOOKUP(C1531,'[1]TIENDAS 2025'!$A$1:$C$143,3,0)</f>
        <v>prioridad</v>
      </c>
      <c r="O1531">
        <v>1</v>
      </c>
    </row>
    <row r="1532" spans="1:15" ht="15" customHeight="1" x14ac:dyDescent="0.3">
      <c r="A1532" s="7">
        <v>1209670854</v>
      </c>
      <c r="B1532" s="4" t="s">
        <v>330</v>
      </c>
      <c r="C1532" s="4" t="s">
        <v>331</v>
      </c>
      <c r="D1532" s="6">
        <v>46309.4612962963</v>
      </c>
      <c r="E1532" s="6">
        <v>46309.211261574099</v>
      </c>
      <c r="F1532" s="6">
        <v>46309</v>
      </c>
      <c r="G1532" s="5" t="s">
        <v>12</v>
      </c>
      <c r="H1532" s="5" t="s">
        <v>16</v>
      </c>
      <c r="I1532" s="5">
        <v>35</v>
      </c>
      <c r="J1532" s="9" t="s">
        <v>17</v>
      </c>
      <c r="K1532" s="1" t="s">
        <v>1824</v>
      </c>
      <c r="L1532" t="s">
        <v>3284</v>
      </c>
      <c r="M1532" t="str">
        <f>+VLOOKUP(C1532,'[1]TIENDAS 2025'!$A$1:$C$143,3,0)</f>
        <v>departamental</v>
      </c>
      <c r="O1532">
        <v>1</v>
      </c>
    </row>
    <row r="1533" spans="1:15" ht="15" customHeight="1" x14ac:dyDescent="0.3">
      <c r="A1533" s="7">
        <v>8209670803</v>
      </c>
      <c r="B1533" s="4" t="s">
        <v>421</v>
      </c>
      <c r="C1533" s="4" t="s">
        <v>422</v>
      </c>
      <c r="D1533" s="6">
        <v>46309.461307870399</v>
      </c>
      <c r="E1533" s="6">
        <v>46309.211284722202</v>
      </c>
      <c r="F1533" s="6">
        <v>46309</v>
      </c>
      <c r="G1533" s="5" t="s">
        <v>12</v>
      </c>
      <c r="H1533" s="5" t="s">
        <v>27</v>
      </c>
      <c r="I1533" s="5">
        <v>4</v>
      </c>
      <c r="J1533" s="10" t="s">
        <v>17</v>
      </c>
      <c r="K1533" s="1" t="s">
        <v>1825</v>
      </c>
      <c r="M1533" t="str">
        <f>+VLOOKUP(C1533,'[1]TIENDAS 2025'!$A$1:$C$143,3,0)</f>
        <v>departamental</v>
      </c>
      <c r="O1533">
        <v>1</v>
      </c>
    </row>
    <row r="1534" spans="1:15" ht="15" customHeight="1" x14ac:dyDescent="0.3">
      <c r="A1534" s="7">
        <v>1209670808</v>
      </c>
      <c r="B1534" s="4" t="s">
        <v>421</v>
      </c>
      <c r="C1534" s="4" t="s">
        <v>422</v>
      </c>
      <c r="D1534" s="6">
        <v>46309.461331018501</v>
      </c>
      <c r="E1534" s="6">
        <v>46309.2112962963</v>
      </c>
      <c r="F1534" s="6">
        <v>46309</v>
      </c>
      <c r="G1534" s="5" t="s">
        <v>12</v>
      </c>
      <c r="H1534" s="5" t="s">
        <v>16</v>
      </c>
      <c r="I1534" s="5">
        <v>3</v>
      </c>
      <c r="J1534" s="9" t="s">
        <v>17</v>
      </c>
      <c r="K1534" s="1" t="s">
        <v>1826</v>
      </c>
      <c r="L1534" t="s">
        <v>3284</v>
      </c>
      <c r="M1534" t="str">
        <f>+VLOOKUP(C1534,'[1]TIENDAS 2025'!$A$1:$C$143,3,0)</f>
        <v>departamental</v>
      </c>
      <c r="O1534">
        <v>1</v>
      </c>
    </row>
    <row r="1535" spans="1:15" ht="15" customHeight="1" x14ac:dyDescent="0.3">
      <c r="A1535" s="7">
        <v>1209670882</v>
      </c>
      <c r="B1535" s="4" t="s">
        <v>250</v>
      </c>
      <c r="C1535" s="4" t="s">
        <v>251</v>
      </c>
      <c r="D1535" s="6">
        <v>46309.4613425926</v>
      </c>
      <c r="E1535" s="6">
        <v>46309.211307870399</v>
      </c>
      <c r="F1535" s="6">
        <v>46309</v>
      </c>
      <c r="G1535" s="5" t="s">
        <v>12</v>
      </c>
      <c r="H1535" s="5" t="s">
        <v>16</v>
      </c>
      <c r="I1535" s="5">
        <v>16</v>
      </c>
      <c r="J1535" s="9" t="s">
        <v>17</v>
      </c>
      <c r="K1535" s="1" t="s">
        <v>1827</v>
      </c>
      <c r="L1535" t="s">
        <v>3284</v>
      </c>
      <c r="M1535" t="str">
        <f>+VLOOKUP(C1535,'[1]TIENDAS 2025'!$A$1:$C$143,3,0)</f>
        <v>prioridad</v>
      </c>
      <c r="O1535">
        <v>1</v>
      </c>
    </row>
    <row r="1536" spans="1:15" ht="15" customHeight="1" x14ac:dyDescent="0.3">
      <c r="A1536" s="7">
        <v>1209670897</v>
      </c>
      <c r="B1536" s="4" t="s">
        <v>250</v>
      </c>
      <c r="C1536" s="4" t="s">
        <v>251</v>
      </c>
      <c r="D1536" s="6">
        <v>46309.461365740703</v>
      </c>
      <c r="E1536" s="6">
        <v>46309.2113425926</v>
      </c>
      <c r="F1536" s="6">
        <v>46309</v>
      </c>
      <c r="G1536" s="5" t="s">
        <v>12</v>
      </c>
      <c r="H1536" s="5" t="s">
        <v>16</v>
      </c>
      <c r="I1536" s="5">
        <v>10</v>
      </c>
      <c r="J1536" s="9" t="s">
        <v>17</v>
      </c>
      <c r="K1536" s="1" t="s">
        <v>1828</v>
      </c>
      <c r="L1536" t="s">
        <v>3284</v>
      </c>
      <c r="M1536" t="str">
        <f>+VLOOKUP(C1536,'[1]TIENDAS 2025'!$A$1:$C$143,3,0)</f>
        <v>prioridad</v>
      </c>
      <c r="O1536">
        <v>1</v>
      </c>
    </row>
    <row r="1537" spans="1:15" ht="15" customHeight="1" x14ac:dyDescent="0.3">
      <c r="A1537" s="7">
        <v>8209670895</v>
      </c>
      <c r="B1537" s="4" t="s">
        <v>250</v>
      </c>
      <c r="C1537" s="4" t="s">
        <v>251</v>
      </c>
      <c r="D1537" s="6">
        <v>46309.461365740703</v>
      </c>
      <c r="E1537" s="6">
        <v>46309.211331018501</v>
      </c>
      <c r="F1537" s="6">
        <v>46309</v>
      </c>
      <c r="G1537" s="5" t="s">
        <v>12</v>
      </c>
      <c r="H1537" s="5" t="s">
        <v>27</v>
      </c>
      <c r="I1537" s="5">
        <v>8</v>
      </c>
      <c r="J1537" s="10" t="s">
        <v>17</v>
      </c>
      <c r="K1537" s="1" t="s">
        <v>1829</v>
      </c>
      <c r="M1537" t="str">
        <f>+VLOOKUP(C1537,'[1]TIENDAS 2025'!$A$1:$C$143,3,0)</f>
        <v>prioridad</v>
      </c>
      <c r="O1537">
        <v>1</v>
      </c>
    </row>
    <row r="1538" spans="1:15" ht="15" customHeight="1" x14ac:dyDescent="0.3">
      <c r="A1538" s="7">
        <v>8209670772</v>
      </c>
      <c r="B1538" s="4" t="s">
        <v>321</v>
      </c>
      <c r="C1538" s="4" t="s">
        <v>322</v>
      </c>
      <c r="D1538" s="6">
        <v>46309.4613888889</v>
      </c>
      <c r="E1538" s="6">
        <v>46309.211365740703</v>
      </c>
      <c r="F1538" s="6">
        <v>46309</v>
      </c>
      <c r="G1538" s="5" t="s">
        <v>12</v>
      </c>
      <c r="H1538" s="5" t="s">
        <v>27</v>
      </c>
      <c r="I1538" s="5">
        <v>2</v>
      </c>
      <c r="J1538" s="10" t="s">
        <v>17</v>
      </c>
      <c r="K1538" s="1" t="s">
        <v>1830</v>
      </c>
      <c r="M1538" t="str">
        <f>+VLOOKUP(C1538,'[1]TIENDAS 2025'!$A$1:$C$143,3,0)</f>
        <v>prioridad</v>
      </c>
      <c r="O1538">
        <v>1</v>
      </c>
    </row>
    <row r="1539" spans="1:15" ht="15" customHeight="1" x14ac:dyDescent="0.3">
      <c r="A1539" s="7">
        <v>1209670811</v>
      </c>
      <c r="B1539" s="4" t="s">
        <v>421</v>
      </c>
      <c r="C1539" s="4" t="s">
        <v>422</v>
      </c>
      <c r="D1539" s="6">
        <v>46309.461400462998</v>
      </c>
      <c r="E1539" s="6">
        <v>46309.211377314801</v>
      </c>
      <c r="F1539" s="6">
        <v>46309</v>
      </c>
      <c r="G1539" s="5" t="s">
        <v>12</v>
      </c>
      <c r="H1539" s="5" t="s">
        <v>16</v>
      </c>
      <c r="I1539" s="5">
        <v>15</v>
      </c>
      <c r="J1539" s="9" t="s">
        <v>17</v>
      </c>
      <c r="K1539" s="1" t="s">
        <v>1831</v>
      </c>
      <c r="L1539" t="s">
        <v>3284</v>
      </c>
      <c r="M1539" t="str">
        <f>+VLOOKUP(C1539,'[1]TIENDAS 2025'!$A$1:$C$143,3,0)</f>
        <v>departamental</v>
      </c>
      <c r="O1539">
        <v>1</v>
      </c>
    </row>
    <row r="1540" spans="1:15" ht="15" customHeight="1" x14ac:dyDescent="0.3">
      <c r="A1540" s="7">
        <v>1209670853</v>
      </c>
      <c r="B1540" s="4" t="s">
        <v>330</v>
      </c>
      <c r="C1540" s="4" t="s">
        <v>331</v>
      </c>
      <c r="D1540" s="6">
        <v>46309.461423611101</v>
      </c>
      <c r="E1540" s="6">
        <v>46309.211400462998</v>
      </c>
      <c r="F1540" s="6">
        <v>46309</v>
      </c>
      <c r="G1540" s="5" t="s">
        <v>12</v>
      </c>
      <c r="H1540" s="5" t="s">
        <v>16</v>
      </c>
      <c r="I1540" s="5">
        <v>3</v>
      </c>
      <c r="J1540" s="9" t="s">
        <v>17</v>
      </c>
      <c r="K1540" s="1" t="s">
        <v>1832</v>
      </c>
      <c r="L1540" t="s">
        <v>3284</v>
      </c>
      <c r="M1540" t="str">
        <f>+VLOOKUP(C1540,'[1]TIENDAS 2025'!$A$1:$C$143,3,0)</f>
        <v>departamental</v>
      </c>
      <c r="O1540">
        <v>1</v>
      </c>
    </row>
    <row r="1541" spans="1:15" ht="15" customHeight="1" x14ac:dyDescent="0.3">
      <c r="A1541" s="7">
        <v>8209670861</v>
      </c>
      <c r="B1541" s="4" t="s">
        <v>330</v>
      </c>
      <c r="C1541" s="4" t="s">
        <v>331</v>
      </c>
      <c r="D1541" s="6">
        <v>46309.461423611101</v>
      </c>
      <c r="E1541" s="6">
        <v>46309.2113888889</v>
      </c>
      <c r="F1541" s="6">
        <v>46309</v>
      </c>
      <c r="G1541" s="5" t="s">
        <v>12</v>
      </c>
      <c r="H1541" s="5" t="s">
        <v>27</v>
      </c>
      <c r="I1541" s="5">
        <v>1</v>
      </c>
      <c r="J1541" s="10" t="s">
        <v>17</v>
      </c>
      <c r="K1541" s="1" t="s">
        <v>1833</v>
      </c>
      <c r="M1541" t="str">
        <f>+VLOOKUP(C1541,'[1]TIENDAS 2025'!$A$1:$C$143,3,0)</f>
        <v>departamental</v>
      </c>
      <c r="O1541">
        <v>1</v>
      </c>
    </row>
    <row r="1542" spans="1:15" ht="15" customHeight="1" x14ac:dyDescent="0.3">
      <c r="A1542" s="7">
        <v>8209670846</v>
      </c>
      <c r="B1542" s="4" t="s">
        <v>330</v>
      </c>
      <c r="C1542" s="4" t="s">
        <v>331</v>
      </c>
      <c r="D1542" s="6">
        <v>46309.461446759298</v>
      </c>
      <c r="E1542" s="6">
        <v>46309.211423611101</v>
      </c>
      <c r="F1542" s="6">
        <v>46309</v>
      </c>
      <c r="G1542" s="5" t="s">
        <v>12</v>
      </c>
      <c r="H1542" s="5" t="s">
        <v>27</v>
      </c>
      <c r="I1542" s="5">
        <v>13</v>
      </c>
      <c r="J1542" s="10" t="s">
        <v>17</v>
      </c>
      <c r="K1542" s="1" t="s">
        <v>1834</v>
      </c>
      <c r="M1542" t="str">
        <f>+VLOOKUP(C1542,'[1]TIENDAS 2025'!$A$1:$C$143,3,0)</f>
        <v>departamental</v>
      </c>
      <c r="O1542">
        <v>1</v>
      </c>
    </row>
    <row r="1543" spans="1:15" ht="15" customHeight="1" x14ac:dyDescent="0.3">
      <c r="A1543" s="7">
        <v>1209670855</v>
      </c>
      <c r="B1543" s="4" t="s">
        <v>330</v>
      </c>
      <c r="C1543" s="4" t="s">
        <v>331</v>
      </c>
      <c r="D1543" s="6">
        <v>46309.461458333302</v>
      </c>
      <c r="E1543" s="6">
        <v>46309.2114351852</v>
      </c>
      <c r="F1543" s="6">
        <v>46309</v>
      </c>
      <c r="G1543" s="5" t="s">
        <v>12</v>
      </c>
      <c r="H1543" s="5" t="s">
        <v>29</v>
      </c>
      <c r="I1543" s="5">
        <v>45</v>
      </c>
      <c r="J1543" s="9" t="s">
        <v>17</v>
      </c>
      <c r="K1543" s="1" t="s">
        <v>1835</v>
      </c>
      <c r="L1543" t="s">
        <v>3284</v>
      </c>
      <c r="M1543" t="str">
        <f>+VLOOKUP(C1543,'[1]TIENDAS 2025'!$A$1:$C$143,3,0)</f>
        <v>departamental</v>
      </c>
      <c r="O1543">
        <v>1</v>
      </c>
    </row>
    <row r="1544" spans="1:15" ht="15" customHeight="1" x14ac:dyDescent="0.3">
      <c r="A1544" s="7">
        <v>8209670789</v>
      </c>
      <c r="B1544" s="4" t="s">
        <v>321</v>
      </c>
      <c r="C1544" s="4" t="s">
        <v>322</v>
      </c>
      <c r="D1544" s="6">
        <v>46309.4614814815</v>
      </c>
      <c r="E1544" s="6">
        <v>46309.211446759298</v>
      </c>
      <c r="F1544" s="6">
        <v>46309</v>
      </c>
      <c r="G1544" s="5" t="s">
        <v>12</v>
      </c>
      <c r="H1544" s="5" t="s">
        <v>27</v>
      </c>
      <c r="I1544" s="5">
        <v>28</v>
      </c>
      <c r="J1544" s="10" t="s">
        <v>17</v>
      </c>
      <c r="K1544" s="1" t="s">
        <v>1836</v>
      </c>
      <c r="M1544" t="str">
        <f>+VLOOKUP(C1544,'[1]TIENDAS 2025'!$A$1:$C$143,3,0)</f>
        <v>prioridad</v>
      </c>
      <c r="O1544">
        <v>1</v>
      </c>
    </row>
    <row r="1545" spans="1:15" ht="15" customHeight="1" x14ac:dyDescent="0.3">
      <c r="A1545" s="7">
        <v>8209670804</v>
      </c>
      <c r="B1545" s="4" t="s">
        <v>421</v>
      </c>
      <c r="C1545" s="4" t="s">
        <v>422</v>
      </c>
      <c r="D1545" s="6">
        <v>46309.461493055598</v>
      </c>
      <c r="E1545" s="6">
        <v>46309.211458333302</v>
      </c>
      <c r="F1545" s="6">
        <v>46309</v>
      </c>
      <c r="G1545" s="5" t="s">
        <v>12</v>
      </c>
      <c r="H1545" s="5" t="s">
        <v>27</v>
      </c>
      <c r="I1545" s="5">
        <v>12</v>
      </c>
      <c r="J1545" s="10" t="s">
        <v>17</v>
      </c>
      <c r="K1545" s="1" t="s">
        <v>1837</v>
      </c>
      <c r="M1545" t="str">
        <f>+VLOOKUP(C1545,'[1]TIENDAS 2025'!$A$1:$C$143,3,0)</f>
        <v>departamental</v>
      </c>
      <c r="O1545">
        <v>1</v>
      </c>
    </row>
    <row r="1546" spans="1:15" ht="15" customHeight="1" x14ac:dyDescent="0.3">
      <c r="A1546" s="7">
        <v>1209670805</v>
      </c>
      <c r="B1546" s="4" t="s">
        <v>421</v>
      </c>
      <c r="C1546" s="4" t="s">
        <v>422</v>
      </c>
      <c r="D1546" s="6">
        <v>46309.461504629602</v>
      </c>
      <c r="E1546" s="6">
        <v>46309.2114814815</v>
      </c>
      <c r="F1546" s="6">
        <v>46309</v>
      </c>
      <c r="G1546" s="5" t="s">
        <v>12</v>
      </c>
      <c r="H1546" s="5" t="s">
        <v>16</v>
      </c>
      <c r="I1546" s="5">
        <v>1</v>
      </c>
      <c r="J1546" s="9" t="s">
        <v>17</v>
      </c>
      <c r="K1546" s="1" t="s">
        <v>1838</v>
      </c>
      <c r="L1546" t="s">
        <v>3284</v>
      </c>
      <c r="M1546" t="str">
        <f>+VLOOKUP(C1546,'[1]TIENDAS 2025'!$A$1:$C$143,3,0)</f>
        <v>departamental</v>
      </c>
      <c r="O1546">
        <v>1</v>
      </c>
    </row>
    <row r="1547" spans="1:15" ht="15" customHeight="1" x14ac:dyDescent="0.3">
      <c r="A1547" s="7">
        <v>1209670885</v>
      </c>
      <c r="B1547" s="4" t="s">
        <v>250</v>
      </c>
      <c r="C1547" s="4" t="s">
        <v>251</v>
      </c>
      <c r="D1547" s="6">
        <v>46309.461527777799</v>
      </c>
      <c r="E1547" s="6">
        <v>46309.211493055598</v>
      </c>
      <c r="F1547" s="6">
        <v>46309</v>
      </c>
      <c r="G1547" s="5" t="s">
        <v>12</v>
      </c>
      <c r="H1547" s="5" t="s">
        <v>16</v>
      </c>
      <c r="I1547" s="5">
        <v>31</v>
      </c>
      <c r="J1547" s="9" t="s">
        <v>17</v>
      </c>
      <c r="K1547" s="1" t="s">
        <v>1839</v>
      </c>
      <c r="L1547" t="s">
        <v>3284</v>
      </c>
      <c r="M1547" t="str">
        <f>+VLOOKUP(C1547,'[1]TIENDAS 2025'!$A$1:$C$143,3,0)</f>
        <v>prioridad</v>
      </c>
      <c r="O1547">
        <v>1</v>
      </c>
    </row>
    <row r="1548" spans="1:15" ht="15" customHeight="1" x14ac:dyDescent="0.3">
      <c r="A1548" s="7">
        <v>1209670898</v>
      </c>
      <c r="B1548" s="4" t="s">
        <v>250</v>
      </c>
      <c r="C1548" s="4" t="s">
        <v>251</v>
      </c>
      <c r="D1548" s="6">
        <v>46309.461539351898</v>
      </c>
      <c r="E1548" s="6">
        <v>46309.211516203701</v>
      </c>
      <c r="F1548" s="6">
        <v>46309</v>
      </c>
      <c r="G1548" s="5" t="s">
        <v>12</v>
      </c>
      <c r="H1548" s="5" t="s">
        <v>29</v>
      </c>
      <c r="I1548" s="5">
        <v>39</v>
      </c>
      <c r="J1548" s="9" t="s">
        <v>17</v>
      </c>
      <c r="K1548" s="1" t="s">
        <v>1840</v>
      </c>
      <c r="L1548" t="s">
        <v>3284</v>
      </c>
      <c r="M1548" t="str">
        <f>+VLOOKUP(C1548,'[1]TIENDAS 2025'!$A$1:$C$143,3,0)</f>
        <v>prioridad</v>
      </c>
      <c r="O1548">
        <v>1</v>
      </c>
    </row>
    <row r="1549" spans="1:15" ht="15" customHeight="1" x14ac:dyDescent="0.3">
      <c r="A1549" s="7">
        <v>8209670776</v>
      </c>
      <c r="B1549" s="4" t="s">
        <v>321</v>
      </c>
      <c r="C1549" s="4" t="s">
        <v>322</v>
      </c>
      <c r="D1549" s="6">
        <v>46309.461550925902</v>
      </c>
      <c r="E1549" s="6">
        <v>46309.211527777799</v>
      </c>
      <c r="F1549" s="6">
        <v>46309</v>
      </c>
      <c r="G1549" s="5" t="s">
        <v>12</v>
      </c>
      <c r="H1549" s="5" t="s">
        <v>27</v>
      </c>
      <c r="I1549" s="5">
        <v>27</v>
      </c>
      <c r="J1549" s="10" t="s">
        <v>17</v>
      </c>
      <c r="K1549" s="1" t="s">
        <v>1841</v>
      </c>
      <c r="M1549" t="str">
        <f>+VLOOKUP(C1549,'[1]TIENDAS 2025'!$A$1:$C$143,3,0)</f>
        <v>prioridad</v>
      </c>
      <c r="O1549">
        <v>1</v>
      </c>
    </row>
    <row r="1550" spans="1:15" ht="15" customHeight="1" x14ac:dyDescent="0.3">
      <c r="A1550" s="7">
        <v>1209670813</v>
      </c>
      <c r="B1550" s="4" t="s">
        <v>421</v>
      </c>
      <c r="C1550" s="4" t="s">
        <v>422</v>
      </c>
      <c r="D1550" s="6">
        <v>46309.461562500001</v>
      </c>
      <c r="E1550" s="6">
        <v>46309.211539351898</v>
      </c>
      <c r="F1550" s="6">
        <v>46309</v>
      </c>
      <c r="G1550" s="5" t="s">
        <v>12</v>
      </c>
      <c r="H1550" s="5" t="s">
        <v>29</v>
      </c>
      <c r="I1550" s="5">
        <v>13</v>
      </c>
      <c r="J1550" s="9" t="s">
        <v>17</v>
      </c>
      <c r="K1550" s="1" t="s">
        <v>1842</v>
      </c>
      <c r="L1550" t="s">
        <v>3284</v>
      </c>
      <c r="M1550" t="str">
        <f>+VLOOKUP(C1550,'[1]TIENDAS 2025'!$A$1:$C$143,3,0)</f>
        <v>departamental</v>
      </c>
      <c r="O1550">
        <v>1</v>
      </c>
    </row>
    <row r="1551" spans="1:15" ht="15" customHeight="1" x14ac:dyDescent="0.3">
      <c r="A1551" s="7">
        <v>1209670817</v>
      </c>
      <c r="B1551" s="4" t="s">
        <v>421</v>
      </c>
      <c r="C1551" s="4" t="s">
        <v>422</v>
      </c>
      <c r="D1551" s="6">
        <v>46309.461585648103</v>
      </c>
      <c r="E1551" s="6">
        <v>46309.211550925902</v>
      </c>
      <c r="F1551" s="6">
        <v>46309</v>
      </c>
      <c r="G1551" s="5" t="s">
        <v>12</v>
      </c>
      <c r="H1551" s="5" t="s">
        <v>16</v>
      </c>
      <c r="I1551" s="5">
        <v>2</v>
      </c>
      <c r="J1551" s="9" t="s">
        <v>17</v>
      </c>
      <c r="K1551" s="1" t="s">
        <v>1843</v>
      </c>
      <c r="L1551" t="s">
        <v>3284</v>
      </c>
      <c r="M1551" t="str">
        <f>+VLOOKUP(C1551,'[1]TIENDAS 2025'!$A$1:$C$143,3,0)</f>
        <v>departamental</v>
      </c>
      <c r="O1551">
        <v>1</v>
      </c>
    </row>
    <row r="1552" spans="1:15" ht="15" customHeight="1" x14ac:dyDescent="0.3">
      <c r="A1552" s="7">
        <v>1209670799</v>
      </c>
      <c r="B1552" s="4" t="s">
        <v>321</v>
      </c>
      <c r="C1552" s="4" t="s">
        <v>322</v>
      </c>
      <c r="D1552" s="6">
        <v>46309.461597222202</v>
      </c>
      <c r="E1552" s="6">
        <v>46309.211574074099</v>
      </c>
      <c r="F1552" s="6">
        <v>46309</v>
      </c>
      <c r="G1552" s="5" t="s">
        <v>12</v>
      </c>
      <c r="H1552" s="5" t="s">
        <v>29</v>
      </c>
      <c r="I1552" s="5">
        <v>56</v>
      </c>
      <c r="J1552" s="9" t="s">
        <v>17</v>
      </c>
      <c r="K1552" s="1" t="s">
        <v>1844</v>
      </c>
      <c r="L1552" t="s">
        <v>3284</v>
      </c>
      <c r="M1552" t="str">
        <f>+VLOOKUP(C1552,'[1]TIENDAS 2025'!$A$1:$C$143,3,0)</f>
        <v>prioridad</v>
      </c>
      <c r="O1552">
        <v>1</v>
      </c>
    </row>
    <row r="1553" spans="1:15" ht="15" customHeight="1" x14ac:dyDescent="0.3">
      <c r="A1553" s="7">
        <v>8209670800</v>
      </c>
      <c r="B1553" s="4" t="s">
        <v>421</v>
      </c>
      <c r="C1553" s="4" t="s">
        <v>422</v>
      </c>
      <c r="D1553" s="6">
        <v>46309.461620370399</v>
      </c>
      <c r="E1553" s="6">
        <v>46309.211585648103</v>
      </c>
      <c r="F1553" s="6">
        <v>46309</v>
      </c>
      <c r="G1553" s="5" t="s">
        <v>12</v>
      </c>
      <c r="H1553" s="5" t="s">
        <v>27</v>
      </c>
      <c r="I1553" s="5">
        <v>4</v>
      </c>
      <c r="J1553" s="10" t="s">
        <v>17</v>
      </c>
      <c r="K1553" s="1" t="s">
        <v>1845</v>
      </c>
      <c r="M1553" t="str">
        <f>+VLOOKUP(C1553,'[1]TIENDAS 2025'!$A$1:$C$143,3,0)</f>
        <v>departamental</v>
      </c>
      <c r="O1553">
        <v>1</v>
      </c>
    </row>
    <row r="1554" spans="1:15" ht="15" customHeight="1" x14ac:dyDescent="0.3">
      <c r="A1554" s="7">
        <v>8209670802</v>
      </c>
      <c r="B1554" s="4" t="s">
        <v>421</v>
      </c>
      <c r="C1554" s="4" t="s">
        <v>422</v>
      </c>
      <c r="D1554" s="6">
        <v>46309.461631944403</v>
      </c>
      <c r="E1554" s="6">
        <v>46309.211597222202</v>
      </c>
      <c r="F1554" s="6">
        <v>46309</v>
      </c>
      <c r="G1554" s="5" t="s">
        <v>12</v>
      </c>
      <c r="H1554" s="5" t="s">
        <v>27</v>
      </c>
      <c r="I1554" s="5">
        <v>5</v>
      </c>
      <c r="J1554" s="10" t="s">
        <v>17</v>
      </c>
      <c r="K1554" s="1" t="s">
        <v>1846</v>
      </c>
      <c r="M1554" t="str">
        <f>+VLOOKUP(C1554,'[1]TIENDAS 2025'!$A$1:$C$143,3,0)</f>
        <v>departamental</v>
      </c>
      <c r="O1554">
        <v>1</v>
      </c>
    </row>
    <row r="1555" spans="1:15" ht="15" customHeight="1" x14ac:dyDescent="0.3">
      <c r="A1555" s="7">
        <v>8209670788</v>
      </c>
      <c r="B1555" s="4" t="s">
        <v>321</v>
      </c>
      <c r="C1555" s="4" t="s">
        <v>322</v>
      </c>
      <c r="D1555" s="6">
        <v>46309.461643518502</v>
      </c>
      <c r="E1555" s="6">
        <v>46309.2116087963</v>
      </c>
      <c r="F1555" s="6">
        <v>46309</v>
      </c>
      <c r="G1555" s="5" t="s">
        <v>12</v>
      </c>
      <c r="H1555" s="5" t="s">
        <v>27</v>
      </c>
      <c r="I1555" s="5">
        <v>5</v>
      </c>
      <c r="J1555" s="10" t="s">
        <v>17</v>
      </c>
      <c r="K1555" s="1" t="s">
        <v>1847</v>
      </c>
      <c r="M1555" t="str">
        <f>+VLOOKUP(C1555,'[1]TIENDAS 2025'!$A$1:$C$143,3,0)</f>
        <v>prioridad</v>
      </c>
      <c r="O1555">
        <v>1</v>
      </c>
    </row>
    <row r="1556" spans="1:15" ht="15" customHeight="1" x14ac:dyDescent="0.3">
      <c r="A1556" s="7">
        <v>1209670809</v>
      </c>
      <c r="B1556" s="4" t="s">
        <v>421</v>
      </c>
      <c r="C1556" s="4" t="s">
        <v>422</v>
      </c>
      <c r="D1556" s="6">
        <v>46309.461666666699</v>
      </c>
      <c r="E1556" s="6">
        <v>46309.211631944403</v>
      </c>
      <c r="F1556" s="6">
        <v>46309</v>
      </c>
      <c r="G1556" s="5" t="s">
        <v>12</v>
      </c>
      <c r="H1556" s="5" t="s">
        <v>16</v>
      </c>
      <c r="I1556" s="5">
        <v>9</v>
      </c>
      <c r="J1556" s="9" t="s">
        <v>17</v>
      </c>
      <c r="K1556" s="1" t="s">
        <v>1848</v>
      </c>
      <c r="L1556" t="s">
        <v>3284</v>
      </c>
      <c r="M1556" t="str">
        <f>+VLOOKUP(C1556,'[1]TIENDAS 2025'!$A$1:$C$143,3,0)</f>
        <v>departamental</v>
      </c>
      <c r="O1556">
        <v>1</v>
      </c>
    </row>
    <row r="1557" spans="1:15" ht="15" customHeight="1" x14ac:dyDescent="0.3">
      <c r="A1557" s="7">
        <v>8209670903</v>
      </c>
      <c r="B1557" s="4" t="s">
        <v>286</v>
      </c>
      <c r="C1557" s="4" t="s">
        <v>287</v>
      </c>
      <c r="D1557" s="6">
        <v>46309.461678240703</v>
      </c>
      <c r="E1557" s="6">
        <v>46309.211643518502</v>
      </c>
      <c r="F1557" s="6">
        <v>46309</v>
      </c>
      <c r="G1557" s="5" t="s">
        <v>12</v>
      </c>
      <c r="H1557" s="5" t="s">
        <v>27</v>
      </c>
      <c r="I1557" s="5">
        <v>31</v>
      </c>
      <c r="J1557" s="10" t="s">
        <v>17</v>
      </c>
      <c r="K1557" s="1" t="s">
        <v>1849</v>
      </c>
      <c r="M1557" t="str">
        <f>+VLOOKUP(C1557,'[1]TIENDAS 2025'!$A$1:$C$143,3,0)</f>
        <v>nocturna</v>
      </c>
      <c r="O1557">
        <v>1</v>
      </c>
    </row>
    <row r="1558" spans="1:15" ht="15" customHeight="1" x14ac:dyDescent="0.3">
      <c r="A1558" s="7">
        <v>1209670905</v>
      </c>
      <c r="B1558" s="4" t="s">
        <v>286</v>
      </c>
      <c r="C1558" s="4" t="s">
        <v>287</v>
      </c>
      <c r="D1558" s="6">
        <v>46309.461689814802</v>
      </c>
      <c r="E1558" s="6">
        <v>46309.211666666699</v>
      </c>
      <c r="F1558" s="6">
        <v>46309</v>
      </c>
      <c r="G1558" s="5" t="s">
        <v>12</v>
      </c>
      <c r="H1558" s="5" t="s">
        <v>29</v>
      </c>
      <c r="I1558" s="5">
        <v>6</v>
      </c>
      <c r="J1558" s="9" t="s">
        <v>17</v>
      </c>
      <c r="K1558" s="1" t="s">
        <v>1850</v>
      </c>
      <c r="L1558" t="s">
        <v>3284</v>
      </c>
      <c r="M1558" t="str">
        <f>+VLOOKUP(C1558,'[1]TIENDAS 2025'!$A$1:$C$143,3,0)</f>
        <v>nocturna</v>
      </c>
      <c r="O1558">
        <v>1</v>
      </c>
    </row>
    <row r="1559" spans="1:15" ht="15" customHeight="1" x14ac:dyDescent="0.3">
      <c r="A1559" s="7">
        <v>8209670774</v>
      </c>
      <c r="B1559" s="4" t="s">
        <v>321</v>
      </c>
      <c r="C1559" s="4" t="s">
        <v>322</v>
      </c>
      <c r="D1559" s="6">
        <v>46309.4617013889</v>
      </c>
      <c r="E1559" s="6">
        <v>46309.211678240703</v>
      </c>
      <c r="F1559" s="6">
        <v>46309</v>
      </c>
      <c r="G1559" s="5" t="s">
        <v>12</v>
      </c>
      <c r="H1559" s="5" t="s">
        <v>27</v>
      </c>
      <c r="I1559" s="5">
        <v>29</v>
      </c>
      <c r="J1559" s="10" t="s">
        <v>17</v>
      </c>
      <c r="K1559" s="1" t="s">
        <v>1851</v>
      </c>
      <c r="M1559" t="str">
        <f>+VLOOKUP(C1559,'[1]TIENDAS 2025'!$A$1:$C$143,3,0)</f>
        <v>prioridad</v>
      </c>
      <c r="O1559">
        <v>1</v>
      </c>
    </row>
    <row r="1560" spans="1:15" ht="15" customHeight="1" x14ac:dyDescent="0.3">
      <c r="A1560" s="7">
        <v>1209670851</v>
      </c>
      <c r="B1560" s="4" t="s">
        <v>330</v>
      </c>
      <c r="C1560" s="4" t="s">
        <v>331</v>
      </c>
      <c r="D1560" s="6">
        <v>46309.461724537003</v>
      </c>
      <c r="E1560" s="6">
        <v>46309.2117013889</v>
      </c>
      <c r="F1560" s="6">
        <v>46309</v>
      </c>
      <c r="G1560" s="5" t="s">
        <v>12</v>
      </c>
      <c r="H1560" s="5" t="s">
        <v>29</v>
      </c>
      <c r="I1560" s="5">
        <v>20</v>
      </c>
      <c r="J1560" s="9" t="s">
        <v>17</v>
      </c>
      <c r="K1560" s="1" t="s">
        <v>1852</v>
      </c>
      <c r="L1560" t="s">
        <v>3284</v>
      </c>
      <c r="M1560" t="str">
        <f>+VLOOKUP(C1560,'[1]TIENDAS 2025'!$A$1:$C$143,3,0)</f>
        <v>departamental</v>
      </c>
      <c r="O1560">
        <v>1</v>
      </c>
    </row>
    <row r="1561" spans="1:15" ht="15" customHeight="1" x14ac:dyDescent="0.3">
      <c r="A1561" s="7">
        <v>1209670862</v>
      </c>
      <c r="B1561" s="4" t="s">
        <v>330</v>
      </c>
      <c r="C1561" s="4" t="s">
        <v>331</v>
      </c>
      <c r="D1561" s="6">
        <v>46309.4617476852</v>
      </c>
      <c r="E1561" s="6">
        <v>46309.211712962999</v>
      </c>
      <c r="F1561" s="6">
        <v>46309</v>
      </c>
      <c r="G1561" s="5" t="s">
        <v>12</v>
      </c>
      <c r="H1561" s="5" t="s">
        <v>16</v>
      </c>
      <c r="I1561" s="5">
        <v>8</v>
      </c>
      <c r="J1561" s="9" t="s">
        <v>17</v>
      </c>
      <c r="K1561" s="1" t="s">
        <v>1853</v>
      </c>
      <c r="L1561" t="s">
        <v>3284</v>
      </c>
      <c r="M1561" t="str">
        <f>+VLOOKUP(C1561,'[1]TIENDAS 2025'!$A$1:$C$143,3,0)</f>
        <v>departamental</v>
      </c>
      <c r="O1561">
        <v>1</v>
      </c>
    </row>
    <row r="1562" spans="1:15" ht="15" customHeight="1" x14ac:dyDescent="0.3">
      <c r="A1562" s="7">
        <v>1209670848</v>
      </c>
      <c r="B1562" s="4" t="s">
        <v>330</v>
      </c>
      <c r="C1562" s="4" t="s">
        <v>331</v>
      </c>
      <c r="D1562" s="6">
        <v>46309.461759259299</v>
      </c>
      <c r="E1562" s="6">
        <v>46309.211736111101</v>
      </c>
      <c r="F1562" s="6">
        <v>46309</v>
      </c>
      <c r="G1562" s="5" t="s">
        <v>12</v>
      </c>
      <c r="H1562" s="5" t="s">
        <v>16</v>
      </c>
      <c r="I1562" s="5">
        <v>15</v>
      </c>
      <c r="J1562" s="9" t="s">
        <v>17</v>
      </c>
      <c r="K1562" s="1" t="s">
        <v>1854</v>
      </c>
      <c r="L1562" t="s">
        <v>3284</v>
      </c>
      <c r="M1562" t="str">
        <f>+VLOOKUP(C1562,'[1]TIENDAS 2025'!$A$1:$C$143,3,0)</f>
        <v>departamental</v>
      </c>
      <c r="O1562">
        <v>1</v>
      </c>
    </row>
    <row r="1563" spans="1:15" ht="15" customHeight="1" x14ac:dyDescent="0.3">
      <c r="A1563" s="7">
        <v>8209670787</v>
      </c>
      <c r="B1563" s="4" t="s">
        <v>321</v>
      </c>
      <c r="C1563" s="4" t="s">
        <v>322</v>
      </c>
      <c r="D1563" s="6">
        <v>46309.461770833303</v>
      </c>
      <c r="E1563" s="6">
        <v>46309.2117476852</v>
      </c>
      <c r="F1563" s="6">
        <v>46309</v>
      </c>
      <c r="G1563" s="5" t="s">
        <v>12</v>
      </c>
      <c r="H1563" s="5" t="s">
        <v>27</v>
      </c>
      <c r="I1563" s="5">
        <v>11</v>
      </c>
      <c r="J1563" s="10" t="s">
        <v>17</v>
      </c>
      <c r="K1563" s="1" t="s">
        <v>1855</v>
      </c>
      <c r="M1563" t="str">
        <f>+VLOOKUP(C1563,'[1]TIENDAS 2025'!$A$1:$C$143,3,0)</f>
        <v>prioridad</v>
      </c>
      <c r="O1563">
        <v>1</v>
      </c>
    </row>
    <row r="1564" spans="1:15" ht="15" customHeight="1" x14ac:dyDescent="0.3">
      <c r="A1564" s="7">
        <v>1209670849</v>
      </c>
      <c r="B1564" s="4" t="s">
        <v>330</v>
      </c>
      <c r="C1564" s="4" t="s">
        <v>331</v>
      </c>
      <c r="D1564" s="6">
        <v>46309.4617939815</v>
      </c>
      <c r="E1564" s="6">
        <v>46309.211759259299</v>
      </c>
      <c r="F1564" s="6">
        <v>46309</v>
      </c>
      <c r="G1564" s="5" t="s">
        <v>12</v>
      </c>
      <c r="H1564" s="5" t="s">
        <v>29</v>
      </c>
      <c r="I1564" s="5">
        <v>21</v>
      </c>
      <c r="J1564" s="9" t="s">
        <v>17</v>
      </c>
      <c r="K1564" s="1" t="s">
        <v>1856</v>
      </c>
      <c r="L1564" t="s">
        <v>3284</v>
      </c>
      <c r="M1564" t="str">
        <f>+VLOOKUP(C1564,'[1]TIENDAS 2025'!$A$1:$C$143,3,0)</f>
        <v>departamental</v>
      </c>
      <c r="O1564">
        <v>1</v>
      </c>
    </row>
    <row r="1565" spans="1:15" ht="15" customHeight="1" x14ac:dyDescent="0.3">
      <c r="A1565" s="7">
        <v>1209670807</v>
      </c>
      <c r="B1565" s="4" t="s">
        <v>421</v>
      </c>
      <c r="C1565" s="4" t="s">
        <v>422</v>
      </c>
      <c r="D1565" s="6">
        <v>46309.461805555598</v>
      </c>
      <c r="E1565" s="6">
        <v>46309.211782407401</v>
      </c>
      <c r="F1565" s="6">
        <v>46309</v>
      </c>
      <c r="G1565" s="5" t="s">
        <v>12</v>
      </c>
      <c r="H1565" s="5" t="s">
        <v>16</v>
      </c>
      <c r="I1565" s="5">
        <v>8</v>
      </c>
      <c r="J1565" s="9" t="s">
        <v>17</v>
      </c>
      <c r="K1565" s="1" t="s">
        <v>1857</v>
      </c>
      <c r="L1565" t="s">
        <v>3284</v>
      </c>
      <c r="M1565" t="str">
        <f>+VLOOKUP(C1565,'[1]TIENDAS 2025'!$A$1:$C$143,3,0)</f>
        <v>departamental</v>
      </c>
      <c r="O1565">
        <v>1</v>
      </c>
    </row>
    <row r="1566" spans="1:15" ht="15" customHeight="1" x14ac:dyDescent="0.3">
      <c r="A1566" s="7">
        <v>1209670906</v>
      </c>
      <c r="B1566" s="4" t="s">
        <v>286</v>
      </c>
      <c r="C1566" s="4" t="s">
        <v>287</v>
      </c>
      <c r="D1566" s="6">
        <v>46309.461828703701</v>
      </c>
      <c r="E1566" s="6">
        <v>46309.2117939815</v>
      </c>
      <c r="F1566" s="6">
        <v>46309</v>
      </c>
      <c r="G1566" s="5" t="s">
        <v>12</v>
      </c>
      <c r="H1566" s="5" t="s">
        <v>16</v>
      </c>
      <c r="I1566" s="5">
        <v>18</v>
      </c>
      <c r="J1566" s="9" t="s">
        <v>17</v>
      </c>
      <c r="K1566" s="1" t="s">
        <v>1858</v>
      </c>
      <c r="L1566" t="s">
        <v>3284</v>
      </c>
      <c r="M1566" t="str">
        <f>+VLOOKUP(C1566,'[1]TIENDAS 2025'!$A$1:$C$143,3,0)</f>
        <v>nocturna</v>
      </c>
      <c r="O1566">
        <v>1</v>
      </c>
    </row>
    <row r="1567" spans="1:15" ht="15" customHeight="1" x14ac:dyDescent="0.3">
      <c r="A1567" s="7">
        <v>1209670880</v>
      </c>
      <c r="B1567" s="4" t="s">
        <v>250</v>
      </c>
      <c r="C1567" s="4" t="s">
        <v>251</v>
      </c>
      <c r="D1567" s="6">
        <v>46309.4618402778</v>
      </c>
      <c r="E1567" s="6">
        <v>46309.211817129602</v>
      </c>
      <c r="F1567" s="6">
        <v>46309</v>
      </c>
      <c r="G1567" s="5" t="s">
        <v>12</v>
      </c>
      <c r="H1567" s="5" t="s">
        <v>16</v>
      </c>
      <c r="I1567" s="5">
        <v>13</v>
      </c>
      <c r="J1567" s="9" t="s">
        <v>17</v>
      </c>
      <c r="K1567" s="1" t="s">
        <v>1859</v>
      </c>
      <c r="L1567" t="s">
        <v>3284</v>
      </c>
      <c r="M1567" t="str">
        <f>+VLOOKUP(C1567,'[1]TIENDAS 2025'!$A$1:$C$143,3,0)</f>
        <v>prioridad</v>
      </c>
      <c r="O1567">
        <v>1</v>
      </c>
    </row>
    <row r="1568" spans="1:15" ht="15" customHeight="1" x14ac:dyDescent="0.3">
      <c r="A1568" s="7">
        <v>1209670887</v>
      </c>
      <c r="B1568" s="4" t="s">
        <v>250</v>
      </c>
      <c r="C1568" s="4" t="s">
        <v>251</v>
      </c>
      <c r="D1568" s="6">
        <v>46309.461863425902</v>
      </c>
      <c r="E1568" s="6">
        <v>46309.211828703701</v>
      </c>
      <c r="F1568" s="6">
        <v>46309</v>
      </c>
      <c r="G1568" s="5" t="s">
        <v>12</v>
      </c>
      <c r="H1568" s="5" t="s">
        <v>16</v>
      </c>
      <c r="I1568" s="5">
        <v>3</v>
      </c>
      <c r="J1568" s="9" t="s">
        <v>17</v>
      </c>
      <c r="K1568" s="1" t="s">
        <v>1860</v>
      </c>
      <c r="L1568" t="s">
        <v>3284</v>
      </c>
      <c r="M1568" t="str">
        <f>+VLOOKUP(C1568,'[1]TIENDAS 2025'!$A$1:$C$143,3,0)</f>
        <v>prioridad</v>
      </c>
      <c r="O1568">
        <v>1</v>
      </c>
    </row>
    <row r="1569" spans="1:15" ht="15" customHeight="1" x14ac:dyDescent="0.3">
      <c r="A1569" s="7">
        <v>8209670894</v>
      </c>
      <c r="B1569" s="4" t="s">
        <v>250</v>
      </c>
      <c r="C1569" s="4" t="s">
        <v>251</v>
      </c>
      <c r="D1569" s="6">
        <v>46309.461875000001</v>
      </c>
      <c r="E1569" s="6">
        <v>46309.2118402778</v>
      </c>
      <c r="F1569" s="6">
        <v>46309</v>
      </c>
      <c r="G1569" s="5" t="s">
        <v>12</v>
      </c>
      <c r="H1569" s="5" t="s">
        <v>27</v>
      </c>
      <c r="I1569" s="5">
        <v>1</v>
      </c>
      <c r="J1569" s="10" t="s">
        <v>17</v>
      </c>
      <c r="K1569" s="1" t="s">
        <v>1861</v>
      </c>
      <c r="M1569" t="str">
        <f>+VLOOKUP(C1569,'[1]TIENDAS 2025'!$A$1:$C$143,3,0)</f>
        <v>prioridad</v>
      </c>
      <c r="O1569">
        <v>1</v>
      </c>
    </row>
    <row r="1570" spans="1:15" ht="15" customHeight="1" x14ac:dyDescent="0.3">
      <c r="A1570" s="7">
        <v>1209670913</v>
      </c>
      <c r="B1570" s="4" t="s">
        <v>286</v>
      </c>
      <c r="C1570" s="4" t="s">
        <v>287</v>
      </c>
      <c r="D1570" s="6">
        <v>46309.461898148104</v>
      </c>
      <c r="E1570" s="6">
        <v>46309.211875000001</v>
      </c>
      <c r="F1570" s="6">
        <v>46309</v>
      </c>
      <c r="G1570" s="5" t="s">
        <v>12</v>
      </c>
      <c r="H1570" s="5" t="s">
        <v>16</v>
      </c>
      <c r="I1570" s="5">
        <v>2</v>
      </c>
      <c r="J1570" s="9" t="s">
        <v>17</v>
      </c>
      <c r="K1570" s="1" t="s">
        <v>1862</v>
      </c>
      <c r="L1570" t="s">
        <v>3284</v>
      </c>
      <c r="M1570" t="str">
        <f>+VLOOKUP(C1570,'[1]TIENDAS 2025'!$A$1:$C$143,3,0)</f>
        <v>nocturna</v>
      </c>
      <c r="O1570">
        <v>1</v>
      </c>
    </row>
    <row r="1571" spans="1:15" ht="15" customHeight="1" x14ac:dyDescent="0.3">
      <c r="A1571" s="7">
        <v>8209670902</v>
      </c>
      <c r="B1571" s="4" t="s">
        <v>286</v>
      </c>
      <c r="C1571" s="4" t="s">
        <v>287</v>
      </c>
      <c r="D1571" s="6">
        <v>46309.461898148104</v>
      </c>
      <c r="E1571" s="6">
        <v>46309.211863425902</v>
      </c>
      <c r="F1571" s="6">
        <v>46309</v>
      </c>
      <c r="G1571" s="5" t="s">
        <v>12</v>
      </c>
      <c r="H1571" s="5" t="s">
        <v>27</v>
      </c>
      <c r="I1571" s="5">
        <v>5</v>
      </c>
      <c r="J1571" s="10" t="s">
        <v>17</v>
      </c>
      <c r="K1571" s="1" t="s">
        <v>1863</v>
      </c>
      <c r="M1571" t="str">
        <f>+VLOOKUP(C1571,'[1]TIENDAS 2025'!$A$1:$C$143,3,0)</f>
        <v>nocturna</v>
      </c>
      <c r="O1571">
        <v>1</v>
      </c>
    </row>
    <row r="1572" spans="1:15" ht="15" customHeight="1" x14ac:dyDescent="0.3">
      <c r="A1572" s="7">
        <v>1209670815</v>
      </c>
      <c r="B1572" s="4" t="s">
        <v>421</v>
      </c>
      <c r="C1572" s="4" t="s">
        <v>422</v>
      </c>
      <c r="D1572" s="6">
        <v>46309.461921296301</v>
      </c>
      <c r="E1572" s="6">
        <v>46309.211886574099</v>
      </c>
      <c r="F1572" s="6">
        <v>46309</v>
      </c>
      <c r="G1572" s="5" t="s">
        <v>12</v>
      </c>
      <c r="H1572" s="5" t="s">
        <v>29</v>
      </c>
      <c r="I1572" s="5">
        <v>27</v>
      </c>
      <c r="J1572" s="9" t="s">
        <v>17</v>
      </c>
      <c r="K1572" s="1" t="s">
        <v>1864</v>
      </c>
      <c r="L1572" t="s">
        <v>3284</v>
      </c>
      <c r="M1572" t="str">
        <f>+VLOOKUP(C1572,'[1]TIENDAS 2025'!$A$1:$C$143,3,0)</f>
        <v>departamental</v>
      </c>
      <c r="O1572">
        <v>1</v>
      </c>
    </row>
    <row r="1573" spans="1:15" ht="15" customHeight="1" x14ac:dyDescent="0.3">
      <c r="A1573" s="7">
        <v>1209670863</v>
      </c>
      <c r="B1573" s="4" t="s">
        <v>330</v>
      </c>
      <c r="C1573" s="4" t="s">
        <v>331</v>
      </c>
      <c r="D1573" s="6">
        <v>46309.461932870399</v>
      </c>
      <c r="E1573" s="6">
        <v>46309.211898148104</v>
      </c>
      <c r="F1573" s="6">
        <v>46309</v>
      </c>
      <c r="G1573" s="5" t="s">
        <v>12</v>
      </c>
      <c r="H1573" s="5" t="s">
        <v>16</v>
      </c>
      <c r="I1573" s="5">
        <v>43</v>
      </c>
      <c r="J1573" s="9" t="s">
        <v>17</v>
      </c>
      <c r="K1573" s="1" t="s">
        <v>1865</v>
      </c>
      <c r="L1573" t="s">
        <v>3284</v>
      </c>
      <c r="M1573" t="str">
        <f>+VLOOKUP(C1573,'[1]TIENDAS 2025'!$A$1:$C$143,3,0)</f>
        <v>departamental</v>
      </c>
      <c r="O1573">
        <v>1</v>
      </c>
    </row>
    <row r="1574" spans="1:15" ht="15" customHeight="1" x14ac:dyDescent="0.3">
      <c r="A1574" s="7">
        <v>8209670842</v>
      </c>
      <c r="B1574" s="4" t="s">
        <v>330</v>
      </c>
      <c r="C1574" s="4" t="s">
        <v>331</v>
      </c>
      <c r="D1574" s="6">
        <v>46309.461944444403</v>
      </c>
      <c r="E1574" s="6">
        <v>46309.211921296301</v>
      </c>
      <c r="F1574" s="6">
        <v>46309</v>
      </c>
      <c r="G1574" s="5" t="s">
        <v>12</v>
      </c>
      <c r="H1574" s="5" t="s">
        <v>27</v>
      </c>
      <c r="I1574" s="5">
        <v>8</v>
      </c>
      <c r="J1574" s="10" t="s">
        <v>17</v>
      </c>
      <c r="K1574" s="1" t="s">
        <v>1866</v>
      </c>
      <c r="M1574" t="str">
        <f>+VLOOKUP(C1574,'[1]TIENDAS 2025'!$A$1:$C$143,3,0)</f>
        <v>departamental</v>
      </c>
      <c r="O1574">
        <v>1</v>
      </c>
    </row>
    <row r="1575" spans="1:15" ht="15" customHeight="1" x14ac:dyDescent="0.3">
      <c r="A1575" s="7">
        <v>1209670914</v>
      </c>
      <c r="B1575" s="4" t="s">
        <v>286</v>
      </c>
      <c r="C1575" s="4" t="s">
        <v>287</v>
      </c>
      <c r="D1575" s="6">
        <v>46309.461967592601</v>
      </c>
      <c r="E1575" s="6">
        <v>46309.211944444403</v>
      </c>
      <c r="F1575" s="6">
        <v>46309</v>
      </c>
      <c r="G1575" s="5" t="s">
        <v>12</v>
      </c>
      <c r="H1575" s="5" t="s">
        <v>29</v>
      </c>
      <c r="I1575" s="5">
        <v>68</v>
      </c>
      <c r="J1575" s="9" t="s">
        <v>17</v>
      </c>
      <c r="K1575" s="1" t="s">
        <v>1867</v>
      </c>
      <c r="L1575" t="s">
        <v>3284</v>
      </c>
      <c r="M1575" t="str">
        <f>+VLOOKUP(C1575,'[1]TIENDAS 2025'!$A$1:$C$143,3,0)</f>
        <v>nocturna</v>
      </c>
      <c r="O1575">
        <v>1</v>
      </c>
    </row>
    <row r="1576" spans="1:15" ht="15" customHeight="1" x14ac:dyDescent="0.3">
      <c r="A1576" s="7">
        <v>8209670843</v>
      </c>
      <c r="B1576" s="4" t="s">
        <v>330</v>
      </c>
      <c r="C1576" s="4" t="s">
        <v>331</v>
      </c>
      <c r="D1576" s="6">
        <v>46309.461967592601</v>
      </c>
      <c r="E1576" s="6">
        <v>46309.211932870399</v>
      </c>
      <c r="F1576" s="6">
        <v>46309</v>
      </c>
      <c r="G1576" s="5" t="s">
        <v>12</v>
      </c>
      <c r="H1576" s="5" t="s">
        <v>27</v>
      </c>
      <c r="I1576" s="5">
        <v>7</v>
      </c>
      <c r="J1576" s="10" t="s">
        <v>17</v>
      </c>
      <c r="K1576" s="1" t="s">
        <v>1868</v>
      </c>
      <c r="M1576" t="str">
        <f>+VLOOKUP(C1576,'[1]TIENDAS 2025'!$A$1:$C$143,3,0)</f>
        <v>departamental</v>
      </c>
      <c r="O1576">
        <v>1</v>
      </c>
    </row>
    <row r="1577" spans="1:15" ht="15" customHeight="1" x14ac:dyDescent="0.3">
      <c r="A1577" s="7">
        <v>8209670878</v>
      </c>
      <c r="B1577" s="4" t="s">
        <v>250</v>
      </c>
      <c r="C1577" s="4" t="s">
        <v>251</v>
      </c>
      <c r="D1577" s="6">
        <v>46309.461990740703</v>
      </c>
      <c r="E1577" s="6">
        <v>46309.211967592601</v>
      </c>
      <c r="F1577" s="6">
        <v>46309</v>
      </c>
      <c r="G1577" s="5" t="s">
        <v>12</v>
      </c>
      <c r="H1577" s="5" t="s">
        <v>27</v>
      </c>
      <c r="I1577" s="5">
        <v>13</v>
      </c>
      <c r="J1577" s="10" t="s">
        <v>17</v>
      </c>
      <c r="K1577" s="1" t="s">
        <v>1869</v>
      </c>
      <c r="M1577" t="str">
        <f>+VLOOKUP(C1577,'[1]TIENDAS 2025'!$A$1:$C$143,3,0)</f>
        <v>prioridad</v>
      </c>
      <c r="O1577">
        <v>1</v>
      </c>
    </row>
    <row r="1578" spans="1:15" ht="15" customHeight="1" x14ac:dyDescent="0.3">
      <c r="A1578" s="7">
        <v>1209670911</v>
      </c>
      <c r="B1578" s="4" t="s">
        <v>286</v>
      </c>
      <c r="C1578" s="4" t="s">
        <v>287</v>
      </c>
      <c r="D1578" s="6">
        <v>46309.4620138889</v>
      </c>
      <c r="E1578" s="6">
        <v>46309.211990740703</v>
      </c>
      <c r="F1578" s="6">
        <v>46309</v>
      </c>
      <c r="G1578" s="5" t="s">
        <v>12</v>
      </c>
      <c r="H1578" s="5" t="s">
        <v>16</v>
      </c>
      <c r="I1578" s="5">
        <v>37</v>
      </c>
      <c r="J1578" s="9" t="s">
        <v>17</v>
      </c>
      <c r="K1578" s="1" t="s">
        <v>1870</v>
      </c>
      <c r="L1578" t="s">
        <v>3284</v>
      </c>
      <c r="M1578" t="str">
        <f>+VLOOKUP(C1578,'[1]TIENDAS 2025'!$A$1:$C$143,3,0)</f>
        <v>nocturna</v>
      </c>
      <c r="O1578">
        <v>1</v>
      </c>
    </row>
    <row r="1579" spans="1:15" ht="15" customHeight="1" x14ac:dyDescent="0.3">
      <c r="A1579" s="7">
        <v>1209670879</v>
      </c>
      <c r="B1579" s="4" t="s">
        <v>250</v>
      </c>
      <c r="C1579" s="4" t="s">
        <v>251</v>
      </c>
      <c r="D1579" s="6">
        <v>46309.4620138889</v>
      </c>
      <c r="E1579" s="6">
        <v>46309.211979166699</v>
      </c>
      <c r="F1579" s="6">
        <v>46309</v>
      </c>
      <c r="G1579" s="5" t="s">
        <v>12</v>
      </c>
      <c r="H1579" s="5" t="s">
        <v>16</v>
      </c>
      <c r="I1579" s="5">
        <v>13</v>
      </c>
      <c r="J1579" s="9" t="s">
        <v>17</v>
      </c>
      <c r="K1579" s="1" t="s">
        <v>1871</v>
      </c>
      <c r="L1579" t="s">
        <v>3284</v>
      </c>
      <c r="M1579" t="str">
        <f>+VLOOKUP(C1579,'[1]TIENDAS 2025'!$A$1:$C$143,3,0)</f>
        <v>prioridad</v>
      </c>
      <c r="O1579">
        <v>1</v>
      </c>
    </row>
    <row r="1580" spans="1:15" ht="15" customHeight="1" x14ac:dyDescent="0.3">
      <c r="A1580" s="7">
        <v>1209670883</v>
      </c>
      <c r="B1580" s="4" t="s">
        <v>250</v>
      </c>
      <c r="C1580" s="4" t="s">
        <v>251</v>
      </c>
      <c r="D1580" s="6">
        <v>46309.462037037003</v>
      </c>
      <c r="E1580" s="6">
        <v>46309.212002314802</v>
      </c>
      <c r="F1580" s="6">
        <v>46309</v>
      </c>
      <c r="G1580" s="5" t="s">
        <v>12</v>
      </c>
      <c r="H1580" s="5" t="s">
        <v>27</v>
      </c>
      <c r="I1580" s="5">
        <v>44</v>
      </c>
      <c r="J1580" s="9" t="s">
        <v>17</v>
      </c>
      <c r="K1580" s="1" t="s">
        <v>1872</v>
      </c>
      <c r="L1580" t="s">
        <v>3284</v>
      </c>
      <c r="M1580" t="str">
        <f>+VLOOKUP(C1580,'[1]TIENDAS 2025'!$A$1:$C$143,3,0)</f>
        <v>prioridad</v>
      </c>
      <c r="O1580">
        <v>1</v>
      </c>
    </row>
    <row r="1581" spans="1:15" ht="15" customHeight="1" x14ac:dyDescent="0.3">
      <c r="A1581" s="7">
        <v>1209670912</v>
      </c>
      <c r="B1581" s="4" t="s">
        <v>286</v>
      </c>
      <c r="C1581" s="4" t="s">
        <v>287</v>
      </c>
      <c r="D1581" s="6">
        <v>46309.462048611102</v>
      </c>
      <c r="E1581" s="6">
        <v>46309.212025462999</v>
      </c>
      <c r="F1581" s="6">
        <v>46309</v>
      </c>
      <c r="G1581" s="5" t="s">
        <v>12</v>
      </c>
      <c r="H1581" s="5" t="s">
        <v>29</v>
      </c>
      <c r="I1581" s="5">
        <v>71</v>
      </c>
      <c r="J1581" s="9" t="s">
        <v>17</v>
      </c>
      <c r="K1581" s="1" t="s">
        <v>1873</v>
      </c>
      <c r="L1581" t="s">
        <v>3284</v>
      </c>
      <c r="M1581" t="str">
        <f>+VLOOKUP(C1581,'[1]TIENDAS 2025'!$A$1:$C$143,3,0)</f>
        <v>nocturna</v>
      </c>
      <c r="O1581">
        <v>1</v>
      </c>
    </row>
    <row r="1582" spans="1:15" ht="15" customHeight="1" x14ac:dyDescent="0.3">
      <c r="A1582" s="7">
        <v>8209670873</v>
      </c>
      <c r="B1582" s="4" t="s">
        <v>250</v>
      </c>
      <c r="C1582" s="4" t="s">
        <v>251</v>
      </c>
      <c r="D1582" s="6">
        <v>46309.462071759299</v>
      </c>
      <c r="E1582" s="6">
        <v>46309.212037037003</v>
      </c>
      <c r="F1582" s="6">
        <v>46309</v>
      </c>
      <c r="G1582" s="5" t="s">
        <v>12</v>
      </c>
      <c r="H1582" s="5" t="s">
        <v>27</v>
      </c>
      <c r="I1582" s="5">
        <v>2</v>
      </c>
      <c r="J1582" s="10" t="s">
        <v>17</v>
      </c>
      <c r="K1582" s="1" t="s">
        <v>1874</v>
      </c>
      <c r="M1582" t="str">
        <f>+VLOOKUP(C1582,'[1]TIENDAS 2025'!$A$1:$C$143,3,0)</f>
        <v>prioridad</v>
      </c>
      <c r="O1582">
        <v>1</v>
      </c>
    </row>
    <row r="1583" spans="1:15" ht="15" customHeight="1" x14ac:dyDescent="0.3">
      <c r="A1583" s="7">
        <v>1209670812</v>
      </c>
      <c r="B1583" s="4" t="s">
        <v>421</v>
      </c>
      <c r="C1583" s="4" t="s">
        <v>422</v>
      </c>
      <c r="D1583" s="6">
        <v>46309.462083333303</v>
      </c>
      <c r="E1583" s="6">
        <v>46309.212048611102</v>
      </c>
      <c r="F1583" s="6">
        <v>46309</v>
      </c>
      <c r="G1583" s="5" t="s">
        <v>12</v>
      </c>
      <c r="H1583" s="5" t="s">
        <v>16</v>
      </c>
      <c r="I1583" s="5">
        <v>13</v>
      </c>
      <c r="J1583" s="9" t="s">
        <v>17</v>
      </c>
      <c r="K1583" s="1" t="s">
        <v>1875</v>
      </c>
      <c r="L1583" t="s">
        <v>3284</v>
      </c>
      <c r="M1583" t="str">
        <f>+VLOOKUP(C1583,'[1]TIENDAS 2025'!$A$1:$C$143,3,0)</f>
        <v>departamental</v>
      </c>
      <c r="O1583">
        <v>1</v>
      </c>
    </row>
    <row r="1584" spans="1:15" ht="15" customHeight="1" x14ac:dyDescent="0.3">
      <c r="A1584" s="7">
        <v>1209670860</v>
      </c>
      <c r="B1584" s="4" t="s">
        <v>330</v>
      </c>
      <c r="C1584" s="4" t="s">
        <v>331</v>
      </c>
      <c r="D1584" s="6">
        <v>46309.462094907401</v>
      </c>
      <c r="E1584" s="6">
        <v>46309.212071759299</v>
      </c>
      <c r="F1584" s="6">
        <v>46309</v>
      </c>
      <c r="G1584" s="5" t="s">
        <v>12</v>
      </c>
      <c r="H1584" s="5" t="s">
        <v>29</v>
      </c>
      <c r="I1584" s="5">
        <v>84</v>
      </c>
      <c r="J1584" s="9" t="s">
        <v>17</v>
      </c>
      <c r="K1584" s="1" t="s">
        <v>1876</v>
      </c>
      <c r="L1584" t="s">
        <v>3284</v>
      </c>
      <c r="M1584" t="str">
        <f>+VLOOKUP(C1584,'[1]TIENDAS 2025'!$A$1:$C$143,3,0)</f>
        <v>departamental</v>
      </c>
      <c r="O1584">
        <v>1</v>
      </c>
    </row>
    <row r="1585" spans="1:15" ht="15" customHeight="1" x14ac:dyDescent="0.3">
      <c r="A1585" s="7">
        <v>8209670844</v>
      </c>
      <c r="B1585" s="4" t="s">
        <v>330</v>
      </c>
      <c r="C1585" s="4" t="s">
        <v>331</v>
      </c>
      <c r="D1585" s="6">
        <v>46309.462118055599</v>
      </c>
      <c r="E1585" s="6">
        <v>46309.212083333303</v>
      </c>
      <c r="F1585" s="6">
        <v>46309</v>
      </c>
      <c r="G1585" s="5" t="s">
        <v>12</v>
      </c>
      <c r="H1585" s="5" t="s">
        <v>27</v>
      </c>
      <c r="I1585" s="5">
        <v>15</v>
      </c>
      <c r="J1585" s="10" t="s">
        <v>17</v>
      </c>
      <c r="K1585" s="1" t="s">
        <v>1877</v>
      </c>
      <c r="M1585" t="str">
        <f>+VLOOKUP(C1585,'[1]TIENDAS 2025'!$A$1:$C$143,3,0)</f>
        <v>departamental</v>
      </c>
      <c r="O1585">
        <v>1</v>
      </c>
    </row>
    <row r="1586" spans="1:15" ht="15" customHeight="1" x14ac:dyDescent="0.3">
      <c r="A1586" s="7">
        <v>1209670847</v>
      </c>
      <c r="B1586" s="4" t="s">
        <v>330</v>
      </c>
      <c r="C1586" s="4" t="s">
        <v>331</v>
      </c>
      <c r="D1586" s="6">
        <v>46309.462141203701</v>
      </c>
      <c r="E1586" s="6">
        <v>46309.2121064815</v>
      </c>
      <c r="F1586" s="6">
        <v>46309</v>
      </c>
      <c r="G1586" s="5" t="s">
        <v>12</v>
      </c>
      <c r="H1586" s="5" t="s">
        <v>29</v>
      </c>
      <c r="I1586" s="5">
        <v>7</v>
      </c>
      <c r="J1586" s="9" t="s">
        <v>17</v>
      </c>
      <c r="K1586" s="1" t="s">
        <v>1878</v>
      </c>
      <c r="L1586" t="s">
        <v>3284</v>
      </c>
      <c r="M1586" t="str">
        <f>+VLOOKUP(C1586,'[1]TIENDAS 2025'!$A$1:$C$143,3,0)</f>
        <v>departamental</v>
      </c>
      <c r="O1586">
        <v>1</v>
      </c>
    </row>
    <row r="1587" spans="1:15" ht="15" customHeight="1" x14ac:dyDescent="0.3">
      <c r="A1587" s="7">
        <v>1209670785</v>
      </c>
      <c r="B1587" s="4" t="s">
        <v>321</v>
      </c>
      <c r="C1587" s="4" t="s">
        <v>322</v>
      </c>
      <c r="D1587" s="6">
        <v>46309.462164351899</v>
      </c>
      <c r="E1587" s="6">
        <v>46309.212129629603</v>
      </c>
      <c r="F1587" s="6">
        <v>46309</v>
      </c>
      <c r="G1587" s="5" t="s">
        <v>12</v>
      </c>
      <c r="H1587" s="5" t="s">
        <v>27</v>
      </c>
      <c r="I1587" s="5">
        <v>48</v>
      </c>
      <c r="J1587" s="9" t="s">
        <v>17</v>
      </c>
      <c r="K1587" s="1" t="s">
        <v>1879</v>
      </c>
      <c r="L1587" t="s">
        <v>3284</v>
      </c>
      <c r="M1587" t="str">
        <f>+VLOOKUP(C1587,'[1]TIENDAS 2025'!$A$1:$C$143,3,0)</f>
        <v>prioridad</v>
      </c>
      <c r="O1587">
        <v>1</v>
      </c>
    </row>
    <row r="1588" spans="1:15" ht="15" customHeight="1" x14ac:dyDescent="0.3">
      <c r="A1588" s="7">
        <v>1209670786</v>
      </c>
      <c r="B1588" s="4" t="s">
        <v>321</v>
      </c>
      <c r="C1588" s="4" t="s">
        <v>322</v>
      </c>
      <c r="D1588" s="6">
        <v>46309.462175925903</v>
      </c>
      <c r="E1588" s="6">
        <v>46309.2121527778</v>
      </c>
      <c r="F1588" s="6">
        <v>46309</v>
      </c>
      <c r="G1588" s="5" t="s">
        <v>12</v>
      </c>
      <c r="H1588" s="5" t="s">
        <v>16</v>
      </c>
      <c r="I1588" s="5">
        <v>6</v>
      </c>
      <c r="J1588" s="9" t="s">
        <v>17</v>
      </c>
      <c r="K1588" s="1" t="s">
        <v>1880</v>
      </c>
      <c r="L1588" t="s">
        <v>3284</v>
      </c>
      <c r="M1588" t="str">
        <f>+VLOOKUP(C1588,'[1]TIENDAS 2025'!$A$1:$C$143,3,0)</f>
        <v>prioridad</v>
      </c>
      <c r="O1588">
        <v>1</v>
      </c>
    </row>
    <row r="1589" spans="1:15" ht="15" customHeight="1" x14ac:dyDescent="0.3">
      <c r="A1589" s="7">
        <v>8209670801</v>
      </c>
      <c r="B1589" s="4" t="s">
        <v>421</v>
      </c>
      <c r="C1589" s="4" t="s">
        <v>422</v>
      </c>
      <c r="D1589" s="6">
        <v>46309.4621990741</v>
      </c>
      <c r="E1589" s="6">
        <v>46309.212164351899</v>
      </c>
      <c r="F1589" s="6">
        <v>46309</v>
      </c>
      <c r="G1589" s="5" t="s">
        <v>12</v>
      </c>
      <c r="H1589" s="5" t="s">
        <v>27</v>
      </c>
      <c r="I1589" s="5">
        <v>2</v>
      </c>
      <c r="J1589" s="10" t="s">
        <v>17</v>
      </c>
      <c r="K1589" s="1" t="s">
        <v>1881</v>
      </c>
      <c r="M1589" t="str">
        <f>+VLOOKUP(C1589,'[1]TIENDAS 2025'!$A$1:$C$143,3,0)</f>
        <v>departamental</v>
      </c>
      <c r="O1589">
        <v>1</v>
      </c>
    </row>
    <row r="1590" spans="1:15" ht="15" customHeight="1" x14ac:dyDescent="0.3">
      <c r="A1590" s="7">
        <v>1209670806</v>
      </c>
      <c r="B1590" s="4" t="s">
        <v>421</v>
      </c>
      <c r="C1590" s="4" t="s">
        <v>422</v>
      </c>
      <c r="D1590" s="6">
        <v>46309.462222222202</v>
      </c>
      <c r="E1590" s="6">
        <v>46309.2121990741</v>
      </c>
      <c r="F1590" s="6">
        <v>46309</v>
      </c>
      <c r="G1590" s="5" t="s">
        <v>12</v>
      </c>
      <c r="H1590" s="5" t="s">
        <v>16</v>
      </c>
      <c r="I1590" s="5">
        <v>2</v>
      </c>
      <c r="J1590" s="9" t="s">
        <v>17</v>
      </c>
      <c r="K1590" s="1" t="s">
        <v>1882</v>
      </c>
      <c r="L1590" t="s">
        <v>3284</v>
      </c>
      <c r="M1590" t="str">
        <f>+VLOOKUP(C1590,'[1]TIENDAS 2025'!$A$1:$C$143,3,0)</f>
        <v>departamental</v>
      </c>
      <c r="O1590">
        <v>1</v>
      </c>
    </row>
    <row r="1591" spans="1:15" ht="15" customHeight="1" x14ac:dyDescent="0.3">
      <c r="A1591" s="7">
        <v>1209670790</v>
      </c>
      <c r="B1591" s="4" t="s">
        <v>321</v>
      </c>
      <c r="C1591" s="4" t="s">
        <v>322</v>
      </c>
      <c r="D1591" s="6">
        <v>46309.462222222202</v>
      </c>
      <c r="E1591" s="6">
        <v>46309.212187500001</v>
      </c>
      <c r="F1591" s="6">
        <v>46309</v>
      </c>
      <c r="G1591" s="5" t="s">
        <v>12</v>
      </c>
      <c r="H1591" s="5" t="s">
        <v>29</v>
      </c>
      <c r="I1591" s="5">
        <v>4</v>
      </c>
      <c r="J1591" s="9" t="s">
        <v>17</v>
      </c>
      <c r="K1591" s="1" t="s">
        <v>1883</v>
      </c>
      <c r="L1591" t="s">
        <v>3284</v>
      </c>
      <c r="M1591" t="str">
        <f>+VLOOKUP(C1591,'[1]TIENDAS 2025'!$A$1:$C$143,3,0)</f>
        <v>prioridad</v>
      </c>
      <c r="O1591">
        <v>1</v>
      </c>
    </row>
    <row r="1592" spans="1:15" ht="15" customHeight="1" x14ac:dyDescent="0.3">
      <c r="A1592" s="7">
        <v>8209670876</v>
      </c>
      <c r="B1592" s="4" t="s">
        <v>250</v>
      </c>
      <c r="C1592" s="4" t="s">
        <v>251</v>
      </c>
      <c r="D1592" s="6">
        <v>46309.4622453704</v>
      </c>
      <c r="E1592" s="6">
        <v>46309.212222222202</v>
      </c>
      <c r="F1592" s="6">
        <v>46309</v>
      </c>
      <c r="G1592" s="5" t="s">
        <v>12</v>
      </c>
      <c r="H1592" s="5" t="s">
        <v>27</v>
      </c>
      <c r="I1592" s="5">
        <v>14</v>
      </c>
      <c r="J1592" s="10" t="s">
        <v>17</v>
      </c>
      <c r="K1592" s="1" t="s">
        <v>1884</v>
      </c>
      <c r="M1592" t="str">
        <f>+VLOOKUP(C1592,'[1]TIENDAS 2025'!$A$1:$C$143,3,0)</f>
        <v>prioridad</v>
      </c>
      <c r="O1592">
        <v>1</v>
      </c>
    </row>
    <row r="1593" spans="1:15" ht="15" customHeight="1" x14ac:dyDescent="0.3">
      <c r="A1593" s="7">
        <v>8209670877</v>
      </c>
      <c r="B1593" s="4" t="s">
        <v>250</v>
      </c>
      <c r="C1593" s="4" t="s">
        <v>251</v>
      </c>
      <c r="D1593" s="6">
        <v>46309.462268518502</v>
      </c>
      <c r="E1593" s="6">
        <v>46309.212233796301</v>
      </c>
      <c r="F1593" s="6">
        <v>46309</v>
      </c>
      <c r="G1593" s="5" t="s">
        <v>12</v>
      </c>
      <c r="H1593" s="5" t="s">
        <v>27</v>
      </c>
      <c r="I1593" s="5">
        <v>24</v>
      </c>
      <c r="J1593" s="10" t="s">
        <v>17</v>
      </c>
      <c r="K1593" s="1" t="s">
        <v>1885</v>
      </c>
      <c r="M1593" t="str">
        <f>+VLOOKUP(C1593,'[1]TIENDAS 2025'!$A$1:$C$143,3,0)</f>
        <v>prioridad</v>
      </c>
      <c r="O1593">
        <v>1</v>
      </c>
    </row>
    <row r="1594" spans="1:15" ht="15" customHeight="1" x14ac:dyDescent="0.3">
      <c r="A1594" s="7">
        <v>1209670896</v>
      </c>
      <c r="B1594" s="4" t="s">
        <v>250</v>
      </c>
      <c r="C1594" s="4" t="s">
        <v>251</v>
      </c>
      <c r="D1594" s="6">
        <v>46309.462280092601</v>
      </c>
      <c r="E1594" s="6">
        <v>46309.2122453704</v>
      </c>
      <c r="F1594" s="6">
        <v>46309</v>
      </c>
      <c r="G1594" s="5" t="s">
        <v>12</v>
      </c>
      <c r="H1594" s="5" t="s">
        <v>16</v>
      </c>
      <c r="I1594" s="5">
        <v>2</v>
      </c>
      <c r="J1594" s="9" t="s">
        <v>17</v>
      </c>
      <c r="K1594" s="1" t="s">
        <v>1886</v>
      </c>
      <c r="L1594" t="s">
        <v>3284</v>
      </c>
      <c r="M1594" t="str">
        <f>+VLOOKUP(C1594,'[1]TIENDAS 2025'!$A$1:$C$143,3,0)</f>
        <v>prioridad</v>
      </c>
      <c r="O1594">
        <v>1</v>
      </c>
    </row>
    <row r="1595" spans="1:15" ht="15" customHeight="1" x14ac:dyDescent="0.3">
      <c r="A1595" s="7">
        <v>8209670899</v>
      </c>
      <c r="B1595" s="4" t="s">
        <v>286</v>
      </c>
      <c r="C1595" s="4" t="s">
        <v>287</v>
      </c>
      <c r="D1595" s="6">
        <v>46309.462291666699</v>
      </c>
      <c r="E1595" s="6">
        <v>46309.212268518502</v>
      </c>
      <c r="F1595" s="6">
        <v>46309</v>
      </c>
      <c r="G1595" s="5" t="s">
        <v>12</v>
      </c>
      <c r="H1595" s="5" t="s">
        <v>27</v>
      </c>
      <c r="I1595" s="5">
        <v>6</v>
      </c>
      <c r="J1595" s="10" t="s">
        <v>17</v>
      </c>
      <c r="K1595" s="1" t="s">
        <v>1887</v>
      </c>
      <c r="M1595" t="str">
        <f>+VLOOKUP(C1595,'[1]TIENDAS 2025'!$A$1:$C$143,3,0)</f>
        <v>nocturna</v>
      </c>
      <c r="O1595">
        <v>1</v>
      </c>
    </row>
    <row r="1596" spans="1:15" ht="15" customHeight="1" x14ac:dyDescent="0.3">
      <c r="A1596" s="7">
        <v>8209670900</v>
      </c>
      <c r="B1596" s="4" t="s">
        <v>286</v>
      </c>
      <c r="C1596" s="4" t="s">
        <v>287</v>
      </c>
      <c r="D1596" s="6">
        <v>46309.462303240703</v>
      </c>
      <c r="E1596" s="6">
        <v>46309.212280092601</v>
      </c>
      <c r="F1596" s="6">
        <v>46309</v>
      </c>
      <c r="G1596" s="5" t="s">
        <v>12</v>
      </c>
      <c r="H1596" s="5" t="s">
        <v>27</v>
      </c>
      <c r="I1596" s="5">
        <v>6</v>
      </c>
      <c r="J1596" s="10" t="s">
        <v>17</v>
      </c>
      <c r="K1596" s="1" t="s">
        <v>1888</v>
      </c>
      <c r="M1596" t="str">
        <f>+VLOOKUP(C1596,'[1]TIENDAS 2025'!$A$1:$C$143,3,0)</f>
        <v>nocturna</v>
      </c>
      <c r="O1596">
        <v>1</v>
      </c>
    </row>
    <row r="1597" spans="1:15" ht="15" customHeight="1" x14ac:dyDescent="0.3">
      <c r="A1597" s="7">
        <v>1209670796</v>
      </c>
      <c r="B1597" s="4" t="s">
        <v>321</v>
      </c>
      <c r="C1597" s="4" t="s">
        <v>322</v>
      </c>
      <c r="D1597" s="6">
        <v>46309.462326388901</v>
      </c>
      <c r="E1597" s="6">
        <v>46309.212291666699</v>
      </c>
      <c r="F1597" s="6">
        <v>46309</v>
      </c>
      <c r="G1597" s="5" t="s">
        <v>12</v>
      </c>
      <c r="H1597" s="5" t="s">
        <v>16</v>
      </c>
      <c r="I1597" s="5">
        <v>35</v>
      </c>
      <c r="J1597" s="9" t="s">
        <v>17</v>
      </c>
      <c r="K1597" s="1" t="s">
        <v>1889</v>
      </c>
      <c r="L1597" t="s">
        <v>3284</v>
      </c>
      <c r="M1597" t="str">
        <f>+VLOOKUP(C1597,'[1]TIENDAS 2025'!$A$1:$C$143,3,0)</f>
        <v>prioridad</v>
      </c>
      <c r="O1597">
        <v>1</v>
      </c>
    </row>
    <row r="1598" spans="1:15" ht="15" customHeight="1" x14ac:dyDescent="0.3">
      <c r="A1598" s="7">
        <v>1209670781</v>
      </c>
      <c r="B1598" s="4" t="s">
        <v>321</v>
      </c>
      <c r="C1598" s="4" t="s">
        <v>322</v>
      </c>
      <c r="D1598" s="6">
        <v>46309.462337962999</v>
      </c>
      <c r="E1598" s="6">
        <v>46309.212314814802</v>
      </c>
      <c r="F1598" s="6">
        <v>46309</v>
      </c>
      <c r="G1598" s="5" t="s">
        <v>12</v>
      </c>
      <c r="H1598" s="5" t="s">
        <v>29</v>
      </c>
      <c r="I1598" s="5">
        <v>27</v>
      </c>
      <c r="J1598" s="9" t="s">
        <v>17</v>
      </c>
      <c r="K1598" s="1" t="s">
        <v>1890</v>
      </c>
      <c r="L1598" t="s">
        <v>3284</v>
      </c>
      <c r="M1598" t="str">
        <f>+VLOOKUP(C1598,'[1]TIENDAS 2025'!$A$1:$C$143,3,0)</f>
        <v>prioridad</v>
      </c>
      <c r="O1598">
        <v>1</v>
      </c>
    </row>
    <row r="1599" spans="1:15" ht="15" customHeight="1" x14ac:dyDescent="0.3">
      <c r="A1599" s="7">
        <v>1209670798</v>
      </c>
      <c r="B1599" s="4" t="s">
        <v>321</v>
      </c>
      <c r="C1599" s="4" t="s">
        <v>322</v>
      </c>
      <c r="D1599" s="6">
        <v>46309.462361111102</v>
      </c>
      <c r="E1599" s="6">
        <v>46309.212326388901</v>
      </c>
      <c r="F1599" s="6">
        <v>46309</v>
      </c>
      <c r="G1599" s="5" t="s">
        <v>12</v>
      </c>
      <c r="H1599" s="5" t="s">
        <v>16</v>
      </c>
      <c r="I1599" s="5">
        <v>49</v>
      </c>
      <c r="J1599" s="9" t="s">
        <v>17</v>
      </c>
      <c r="K1599" s="1" t="s">
        <v>1891</v>
      </c>
      <c r="L1599" t="s">
        <v>3284</v>
      </c>
      <c r="M1599" t="str">
        <f>+VLOOKUP(C1599,'[1]TIENDAS 2025'!$A$1:$C$143,3,0)</f>
        <v>prioridad</v>
      </c>
      <c r="O1599">
        <v>1</v>
      </c>
    </row>
    <row r="1600" spans="1:15" ht="15" customHeight="1" x14ac:dyDescent="0.3">
      <c r="A1600" s="7">
        <v>8209670845</v>
      </c>
      <c r="B1600" s="4" t="s">
        <v>330</v>
      </c>
      <c r="C1600" s="4" t="s">
        <v>331</v>
      </c>
      <c r="D1600" s="6">
        <v>46309.462372685201</v>
      </c>
      <c r="E1600" s="6">
        <v>46309.212337962999</v>
      </c>
      <c r="F1600" s="6">
        <v>46309</v>
      </c>
      <c r="G1600" s="5" t="s">
        <v>12</v>
      </c>
      <c r="H1600" s="5" t="s">
        <v>27</v>
      </c>
      <c r="I1600" s="5">
        <v>3</v>
      </c>
      <c r="J1600" s="10" t="s">
        <v>17</v>
      </c>
      <c r="K1600" s="1" t="s">
        <v>1892</v>
      </c>
      <c r="M1600" t="str">
        <f>+VLOOKUP(C1600,'[1]TIENDAS 2025'!$A$1:$C$143,3,0)</f>
        <v>departamental</v>
      </c>
      <c r="O1600">
        <v>1</v>
      </c>
    </row>
    <row r="1601" spans="1:15" ht="15" customHeight="1" x14ac:dyDescent="0.3">
      <c r="A1601" s="7">
        <v>1209670793</v>
      </c>
      <c r="B1601" s="4" t="s">
        <v>321</v>
      </c>
      <c r="C1601" s="4" t="s">
        <v>322</v>
      </c>
      <c r="D1601" s="6">
        <v>46309.462384259299</v>
      </c>
      <c r="E1601" s="6">
        <v>46309.212361111102</v>
      </c>
      <c r="F1601" s="6">
        <v>46309</v>
      </c>
      <c r="G1601" s="5" t="s">
        <v>12</v>
      </c>
      <c r="H1601" s="5" t="s">
        <v>29</v>
      </c>
      <c r="I1601" s="5">
        <v>15</v>
      </c>
      <c r="J1601" s="9" t="s">
        <v>17</v>
      </c>
      <c r="K1601" s="1" t="s">
        <v>1893</v>
      </c>
      <c r="L1601" t="s">
        <v>3284</v>
      </c>
      <c r="M1601" t="str">
        <f>+VLOOKUP(C1601,'[1]TIENDAS 2025'!$A$1:$C$143,3,0)</f>
        <v>prioridad</v>
      </c>
      <c r="O1601">
        <v>1</v>
      </c>
    </row>
    <row r="1602" spans="1:15" ht="15" customHeight="1" x14ac:dyDescent="0.3">
      <c r="A1602" s="7">
        <v>1209670907</v>
      </c>
      <c r="B1602" s="4" t="s">
        <v>286</v>
      </c>
      <c r="C1602" s="4" t="s">
        <v>287</v>
      </c>
      <c r="D1602" s="6">
        <v>46309.462407407402</v>
      </c>
      <c r="E1602" s="6">
        <v>46309.212372685201</v>
      </c>
      <c r="F1602" s="6">
        <v>46309</v>
      </c>
      <c r="G1602" s="5" t="s">
        <v>12</v>
      </c>
      <c r="H1602" s="5" t="s">
        <v>29</v>
      </c>
      <c r="I1602" s="5">
        <v>16</v>
      </c>
      <c r="J1602" s="9" t="s">
        <v>17</v>
      </c>
      <c r="K1602" s="1" t="s">
        <v>1894</v>
      </c>
      <c r="L1602" t="s">
        <v>3284</v>
      </c>
      <c r="M1602" t="str">
        <f>+VLOOKUP(C1602,'[1]TIENDAS 2025'!$A$1:$C$143,3,0)</f>
        <v>nocturna</v>
      </c>
      <c r="O1602">
        <v>1</v>
      </c>
    </row>
    <row r="1603" spans="1:15" ht="15" customHeight="1" x14ac:dyDescent="0.3">
      <c r="A1603" s="7">
        <v>1209670886</v>
      </c>
      <c r="B1603" s="4" t="s">
        <v>250</v>
      </c>
      <c r="C1603" s="4" t="s">
        <v>251</v>
      </c>
      <c r="D1603" s="6">
        <v>46309.4624189815</v>
      </c>
      <c r="E1603" s="6">
        <v>46309.212384259299</v>
      </c>
      <c r="F1603" s="6">
        <v>46309</v>
      </c>
      <c r="G1603" s="5" t="s">
        <v>12</v>
      </c>
      <c r="H1603" s="5" t="s">
        <v>29</v>
      </c>
      <c r="I1603" s="5">
        <v>43</v>
      </c>
      <c r="J1603" s="9" t="s">
        <v>17</v>
      </c>
      <c r="K1603" s="1" t="s">
        <v>1895</v>
      </c>
      <c r="L1603" t="s">
        <v>3284</v>
      </c>
      <c r="M1603" t="str">
        <f>+VLOOKUP(C1603,'[1]TIENDAS 2025'!$A$1:$C$143,3,0)</f>
        <v>prioridad</v>
      </c>
      <c r="O1603">
        <v>1</v>
      </c>
    </row>
    <row r="1604" spans="1:15" ht="15" customHeight="1" x14ac:dyDescent="0.3">
      <c r="A1604" s="7">
        <v>1209670910</v>
      </c>
      <c r="B1604" s="4" t="s">
        <v>286</v>
      </c>
      <c r="C1604" s="4" t="s">
        <v>287</v>
      </c>
      <c r="D1604" s="6">
        <v>46309.462430555599</v>
      </c>
      <c r="E1604" s="6">
        <v>46309.212407407402</v>
      </c>
      <c r="F1604" s="6">
        <v>46309</v>
      </c>
      <c r="G1604" s="5" t="s">
        <v>12</v>
      </c>
      <c r="H1604" s="5" t="s">
        <v>29</v>
      </c>
      <c r="I1604" s="5">
        <v>42</v>
      </c>
      <c r="J1604" s="9" t="s">
        <v>17</v>
      </c>
      <c r="K1604" s="1" t="s">
        <v>1896</v>
      </c>
      <c r="L1604" t="s">
        <v>3284</v>
      </c>
      <c r="M1604" t="str">
        <f>+VLOOKUP(C1604,'[1]TIENDAS 2025'!$A$1:$C$143,3,0)</f>
        <v>nocturna</v>
      </c>
      <c r="O1604">
        <v>1</v>
      </c>
    </row>
    <row r="1605" spans="1:15" ht="15" customHeight="1" x14ac:dyDescent="0.3">
      <c r="A1605" s="7">
        <v>1209670881</v>
      </c>
      <c r="B1605" s="4" t="s">
        <v>250</v>
      </c>
      <c r="C1605" s="4" t="s">
        <v>251</v>
      </c>
      <c r="D1605" s="6">
        <v>46309.462442129603</v>
      </c>
      <c r="E1605" s="6">
        <v>46309.2124189815</v>
      </c>
      <c r="F1605" s="6">
        <v>46309</v>
      </c>
      <c r="G1605" s="5" t="s">
        <v>12</v>
      </c>
      <c r="H1605" s="5" t="s">
        <v>16</v>
      </c>
      <c r="I1605" s="5">
        <v>17</v>
      </c>
      <c r="J1605" s="9" t="s">
        <v>17</v>
      </c>
      <c r="K1605" s="1" t="s">
        <v>1897</v>
      </c>
      <c r="L1605" t="s">
        <v>3284</v>
      </c>
      <c r="M1605" t="str">
        <f>+VLOOKUP(C1605,'[1]TIENDAS 2025'!$A$1:$C$143,3,0)</f>
        <v>prioridad</v>
      </c>
      <c r="O1605">
        <v>1</v>
      </c>
    </row>
    <row r="1606" spans="1:15" ht="15" customHeight="1" x14ac:dyDescent="0.3">
      <c r="A1606" s="7">
        <v>8209670901</v>
      </c>
      <c r="B1606" s="4" t="s">
        <v>286</v>
      </c>
      <c r="C1606" s="4" t="s">
        <v>287</v>
      </c>
      <c r="D1606" s="6">
        <v>46309.4624652778</v>
      </c>
      <c r="E1606" s="6">
        <v>46309.212430555599</v>
      </c>
      <c r="F1606" s="6">
        <v>46309</v>
      </c>
      <c r="G1606" s="5" t="s">
        <v>12</v>
      </c>
      <c r="H1606" s="5" t="s">
        <v>27</v>
      </c>
      <c r="I1606" s="5">
        <v>13</v>
      </c>
      <c r="J1606" s="10" t="s">
        <v>17</v>
      </c>
      <c r="K1606" s="1" t="s">
        <v>1898</v>
      </c>
      <c r="M1606" t="str">
        <f>+VLOOKUP(C1606,'[1]TIENDAS 2025'!$A$1:$C$143,3,0)</f>
        <v>nocturna</v>
      </c>
      <c r="O1606">
        <v>1</v>
      </c>
    </row>
    <row r="1607" spans="1:15" ht="15" customHeight="1" x14ac:dyDescent="0.3">
      <c r="A1607" s="7">
        <v>8209670773</v>
      </c>
      <c r="B1607" s="4" t="s">
        <v>321</v>
      </c>
      <c r="C1607" s="4" t="s">
        <v>322</v>
      </c>
      <c r="D1607" s="6">
        <v>46309.462476851899</v>
      </c>
      <c r="E1607" s="6">
        <v>46309.212442129603</v>
      </c>
      <c r="F1607" s="6">
        <v>46309</v>
      </c>
      <c r="G1607" s="5" t="s">
        <v>12</v>
      </c>
      <c r="H1607" s="5" t="s">
        <v>27</v>
      </c>
      <c r="I1607" s="5">
        <v>3</v>
      </c>
      <c r="J1607" s="10" t="s">
        <v>17</v>
      </c>
      <c r="K1607" s="1" t="s">
        <v>1899</v>
      </c>
      <c r="M1607" t="str">
        <f>+VLOOKUP(C1607,'[1]TIENDAS 2025'!$A$1:$C$143,3,0)</f>
        <v>prioridad</v>
      </c>
      <c r="O1607">
        <v>1</v>
      </c>
    </row>
    <row r="1608" spans="1:15" ht="15" customHeight="1" x14ac:dyDescent="0.3">
      <c r="A1608" s="7">
        <v>1209670795</v>
      </c>
      <c r="B1608" s="4" t="s">
        <v>321</v>
      </c>
      <c r="C1608" s="4" t="s">
        <v>322</v>
      </c>
      <c r="D1608" s="6">
        <v>46309.462488425903</v>
      </c>
      <c r="E1608" s="6">
        <v>46309.2124652778</v>
      </c>
      <c r="F1608" s="6">
        <v>46309</v>
      </c>
      <c r="G1608" s="5" t="s">
        <v>12</v>
      </c>
      <c r="H1608" s="5" t="s">
        <v>29</v>
      </c>
      <c r="I1608" s="5">
        <v>26</v>
      </c>
      <c r="J1608" s="9" t="s">
        <v>17</v>
      </c>
      <c r="K1608" s="1" t="s">
        <v>1900</v>
      </c>
      <c r="L1608" t="s">
        <v>3284</v>
      </c>
      <c r="M1608" t="str">
        <f>+VLOOKUP(C1608,'[1]TIENDAS 2025'!$A$1:$C$143,3,0)</f>
        <v>prioridad</v>
      </c>
      <c r="O1608">
        <v>1</v>
      </c>
    </row>
    <row r="1609" spans="1:15" ht="15" customHeight="1" x14ac:dyDescent="0.3">
      <c r="A1609" s="7">
        <v>1209670810</v>
      </c>
      <c r="B1609" s="4" t="s">
        <v>421</v>
      </c>
      <c r="C1609" s="4" t="s">
        <v>422</v>
      </c>
      <c r="D1609" s="6">
        <v>46309.462500000001</v>
      </c>
      <c r="E1609" s="6">
        <v>46309.212476851899</v>
      </c>
      <c r="F1609" s="6">
        <v>46309</v>
      </c>
      <c r="G1609" s="5" t="s">
        <v>12</v>
      </c>
      <c r="H1609" s="5" t="s">
        <v>16</v>
      </c>
      <c r="I1609" s="5">
        <v>12</v>
      </c>
      <c r="J1609" s="9" t="s">
        <v>17</v>
      </c>
      <c r="K1609" s="1" t="s">
        <v>1901</v>
      </c>
      <c r="L1609" t="s">
        <v>3284</v>
      </c>
      <c r="M1609" t="str">
        <f>+VLOOKUP(C1609,'[1]TIENDAS 2025'!$A$1:$C$143,3,0)</f>
        <v>departamental</v>
      </c>
      <c r="O1609">
        <v>1</v>
      </c>
    </row>
    <row r="1610" spans="1:15" ht="15" customHeight="1" x14ac:dyDescent="0.3">
      <c r="A1610" s="7">
        <v>1209670783</v>
      </c>
      <c r="B1610" s="4" t="s">
        <v>321</v>
      </c>
      <c r="C1610" s="4" t="s">
        <v>322</v>
      </c>
      <c r="D1610" s="6">
        <v>46309.462523148097</v>
      </c>
      <c r="E1610" s="6">
        <v>46309.212488425903</v>
      </c>
      <c r="F1610" s="6">
        <v>46309</v>
      </c>
      <c r="G1610" s="5" t="s">
        <v>12</v>
      </c>
      <c r="H1610" s="5" t="s">
        <v>16</v>
      </c>
      <c r="I1610" s="5">
        <v>27</v>
      </c>
      <c r="J1610" s="9" t="s">
        <v>17</v>
      </c>
      <c r="K1610" s="1" t="s">
        <v>1902</v>
      </c>
      <c r="L1610" t="s">
        <v>3284</v>
      </c>
      <c r="M1610" t="str">
        <f>+VLOOKUP(C1610,'[1]TIENDAS 2025'!$A$1:$C$143,3,0)</f>
        <v>prioridad</v>
      </c>
      <c r="O1610">
        <v>1</v>
      </c>
    </row>
    <row r="1611" spans="1:15" ht="15" customHeight="1" x14ac:dyDescent="0.3">
      <c r="A1611" s="7">
        <v>8209670841</v>
      </c>
      <c r="B1611" s="4" t="s">
        <v>330</v>
      </c>
      <c r="C1611" s="4" t="s">
        <v>331</v>
      </c>
      <c r="D1611" s="6">
        <v>46309.462534722203</v>
      </c>
      <c r="E1611" s="6">
        <v>46309.2125115741</v>
      </c>
      <c r="F1611" s="6">
        <v>46309</v>
      </c>
      <c r="G1611" s="5" t="s">
        <v>12</v>
      </c>
      <c r="H1611" s="5" t="s">
        <v>27</v>
      </c>
      <c r="I1611" s="5">
        <v>12</v>
      </c>
      <c r="J1611" s="10" t="s">
        <v>17</v>
      </c>
      <c r="K1611" s="1" t="s">
        <v>1903</v>
      </c>
      <c r="M1611" t="str">
        <f>+VLOOKUP(C1611,'[1]TIENDAS 2025'!$A$1:$C$143,3,0)</f>
        <v>departamental</v>
      </c>
      <c r="O1611">
        <v>1</v>
      </c>
    </row>
    <row r="1612" spans="1:15" ht="15" customHeight="1" x14ac:dyDescent="0.3">
      <c r="A1612" s="7">
        <v>1209670850</v>
      </c>
      <c r="B1612" s="4" t="s">
        <v>330</v>
      </c>
      <c r="C1612" s="4" t="s">
        <v>331</v>
      </c>
      <c r="D1612" s="6">
        <v>46309.462546296301</v>
      </c>
      <c r="E1612" s="6">
        <v>46309.212523148097</v>
      </c>
      <c r="F1612" s="6">
        <v>46309</v>
      </c>
      <c r="G1612" s="5" t="s">
        <v>12</v>
      </c>
      <c r="H1612" s="5" t="s">
        <v>29</v>
      </c>
      <c r="I1612" s="5">
        <v>26</v>
      </c>
      <c r="J1612" s="9" t="s">
        <v>17</v>
      </c>
      <c r="K1612" s="1" t="s">
        <v>1904</v>
      </c>
      <c r="L1612" t="s">
        <v>3284</v>
      </c>
      <c r="M1612" t="str">
        <f>+VLOOKUP(C1612,'[1]TIENDAS 2025'!$A$1:$C$143,3,0)</f>
        <v>departamental</v>
      </c>
      <c r="O1612">
        <v>1</v>
      </c>
    </row>
    <row r="1613" spans="1:15" ht="15" customHeight="1" x14ac:dyDescent="0.3">
      <c r="A1613" s="7">
        <v>1209670908</v>
      </c>
      <c r="B1613" s="4" t="s">
        <v>286</v>
      </c>
      <c r="C1613" s="4" t="s">
        <v>287</v>
      </c>
      <c r="D1613" s="6">
        <v>46309.462569444397</v>
      </c>
      <c r="E1613" s="6">
        <v>46309.212534722203</v>
      </c>
      <c r="F1613" s="6">
        <v>46309</v>
      </c>
      <c r="G1613" s="5" t="s">
        <v>12</v>
      </c>
      <c r="H1613" s="5" t="s">
        <v>16</v>
      </c>
      <c r="I1613" s="5">
        <v>16</v>
      </c>
      <c r="J1613" s="9" t="s">
        <v>17</v>
      </c>
      <c r="K1613" s="1" t="s">
        <v>1905</v>
      </c>
      <c r="L1613" t="s">
        <v>3284</v>
      </c>
      <c r="M1613" t="str">
        <f>+VLOOKUP(C1613,'[1]TIENDAS 2025'!$A$1:$C$143,3,0)</f>
        <v>nocturna</v>
      </c>
      <c r="O1613">
        <v>1</v>
      </c>
    </row>
    <row r="1614" spans="1:15" ht="15" customHeight="1" x14ac:dyDescent="0.3">
      <c r="A1614" s="7">
        <v>1209670909</v>
      </c>
      <c r="B1614" s="4" t="s">
        <v>286</v>
      </c>
      <c r="C1614" s="4" t="s">
        <v>287</v>
      </c>
      <c r="D1614" s="6">
        <v>46309.462581018503</v>
      </c>
      <c r="E1614" s="6">
        <v>46309.212546296301</v>
      </c>
      <c r="F1614" s="6">
        <v>46309</v>
      </c>
      <c r="G1614" s="5" t="s">
        <v>12</v>
      </c>
      <c r="H1614" s="5" t="s">
        <v>16</v>
      </c>
      <c r="I1614" s="5">
        <v>28</v>
      </c>
      <c r="J1614" s="9" t="s">
        <v>17</v>
      </c>
      <c r="K1614" s="1" t="s">
        <v>1906</v>
      </c>
      <c r="L1614" t="s">
        <v>3284</v>
      </c>
      <c r="M1614" t="str">
        <f>+VLOOKUP(C1614,'[1]TIENDAS 2025'!$A$1:$C$143,3,0)</f>
        <v>nocturna</v>
      </c>
      <c r="O1614">
        <v>1</v>
      </c>
    </row>
    <row r="1615" spans="1:15" ht="15" customHeight="1" x14ac:dyDescent="0.3">
      <c r="A1615" s="7">
        <v>1209670904</v>
      </c>
      <c r="B1615" s="4" t="s">
        <v>286</v>
      </c>
      <c r="C1615" s="4" t="s">
        <v>287</v>
      </c>
      <c r="D1615" s="6">
        <v>46309.462592592601</v>
      </c>
      <c r="E1615" s="6">
        <v>46309.212569444397</v>
      </c>
      <c r="F1615" s="6">
        <v>46309</v>
      </c>
      <c r="G1615" s="5" t="s">
        <v>12</v>
      </c>
      <c r="H1615" s="5" t="s">
        <v>29</v>
      </c>
      <c r="I1615" s="5">
        <v>4</v>
      </c>
      <c r="J1615" s="9" t="s">
        <v>17</v>
      </c>
      <c r="K1615" s="1" t="s">
        <v>1907</v>
      </c>
      <c r="L1615" t="s">
        <v>3284</v>
      </c>
      <c r="M1615" t="str">
        <f>+VLOOKUP(C1615,'[1]TIENDAS 2025'!$A$1:$C$143,3,0)</f>
        <v>nocturna</v>
      </c>
      <c r="O1615">
        <v>1</v>
      </c>
    </row>
    <row r="1616" spans="1:15" ht="15" customHeight="1" x14ac:dyDescent="0.3">
      <c r="A1616" s="7">
        <v>1209670956</v>
      </c>
      <c r="B1616" s="4" t="s">
        <v>289</v>
      </c>
      <c r="C1616" s="4" t="s">
        <v>290</v>
      </c>
      <c r="D1616" s="6">
        <v>46309.464710648099</v>
      </c>
      <c r="E1616" s="6">
        <v>46309.214687500003</v>
      </c>
      <c r="F1616" s="6">
        <v>46309</v>
      </c>
      <c r="G1616" s="5" t="s">
        <v>12</v>
      </c>
      <c r="H1616" s="5" t="s">
        <v>29</v>
      </c>
      <c r="I1616" s="5">
        <v>34</v>
      </c>
      <c r="J1616" s="9" t="s">
        <v>17</v>
      </c>
      <c r="K1616" s="1" t="s">
        <v>1908</v>
      </c>
      <c r="L1616" t="s">
        <v>3284</v>
      </c>
      <c r="M1616" t="str">
        <f>+VLOOKUP(C1616,'[1]TIENDAS 2025'!$A$1:$C$143,3,0)</f>
        <v>departamental</v>
      </c>
      <c r="O1616">
        <v>1</v>
      </c>
    </row>
    <row r="1617" spans="1:15" ht="15" customHeight="1" x14ac:dyDescent="0.3">
      <c r="A1617" s="7">
        <v>1209671074</v>
      </c>
      <c r="B1617" s="4" t="s">
        <v>339</v>
      </c>
      <c r="C1617" s="4" t="s">
        <v>340</v>
      </c>
      <c r="D1617" s="6">
        <v>46309.464733796303</v>
      </c>
      <c r="E1617" s="6">
        <v>46309.214699074102</v>
      </c>
      <c r="F1617" s="6">
        <v>46309</v>
      </c>
      <c r="G1617" s="5" t="s">
        <v>12</v>
      </c>
      <c r="H1617" s="5" t="s">
        <v>29</v>
      </c>
      <c r="I1617" s="5">
        <v>41</v>
      </c>
      <c r="J1617" s="9" t="s">
        <v>17</v>
      </c>
      <c r="K1617" s="1" t="s">
        <v>1909</v>
      </c>
      <c r="L1617" t="s">
        <v>3284</v>
      </c>
      <c r="M1617" t="str">
        <f>+VLOOKUP(C1617,'[1]TIENDAS 2025'!$A$1:$C$143,3,0)</f>
        <v>nocturna</v>
      </c>
      <c r="O1617">
        <v>1</v>
      </c>
    </row>
    <row r="1618" spans="1:15" ht="15" customHeight="1" x14ac:dyDescent="0.3">
      <c r="A1618" s="7">
        <v>1209670996</v>
      </c>
      <c r="B1618" s="4" t="s">
        <v>301</v>
      </c>
      <c r="C1618" s="4" t="s">
        <v>302</v>
      </c>
      <c r="D1618" s="6">
        <v>46309.464745370402</v>
      </c>
      <c r="E1618" s="6">
        <v>46309.214710648099</v>
      </c>
      <c r="F1618" s="6">
        <v>46309</v>
      </c>
      <c r="G1618" s="5" t="s">
        <v>12</v>
      </c>
      <c r="H1618" s="5" t="s">
        <v>29</v>
      </c>
      <c r="I1618" s="5">
        <v>2</v>
      </c>
      <c r="J1618" s="9" t="s">
        <v>17</v>
      </c>
      <c r="K1618" s="1" t="s">
        <v>1910</v>
      </c>
      <c r="L1618" t="s">
        <v>3284</v>
      </c>
      <c r="M1618" t="str">
        <f>+VLOOKUP(C1618,'[1]TIENDAS 2025'!$A$1:$C$143,3,0)</f>
        <v>departamental</v>
      </c>
      <c r="O1618">
        <v>1</v>
      </c>
    </row>
    <row r="1619" spans="1:15" ht="15" customHeight="1" x14ac:dyDescent="0.3">
      <c r="A1619" s="7">
        <v>8209670943</v>
      </c>
      <c r="B1619" s="4" t="s">
        <v>289</v>
      </c>
      <c r="C1619" s="4" t="s">
        <v>290</v>
      </c>
      <c r="D1619" s="6">
        <v>46309.464756944399</v>
      </c>
      <c r="E1619" s="6">
        <v>46309.214733796303</v>
      </c>
      <c r="F1619" s="6">
        <v>46309</v>
      </c>
      <c r="G1619" s="5" t="s">
        <v>12</v>
      </c>
      <c r="H1619" s="5" t="s">
        <v>27</v>
      </c>
      <c r="I1619" s="5">
        <v>11</v>
      </c>
      <c r="J1619" s="10" t="s">
        <v>17</v>
      </c>
      <c r="K1619" s="1" t="s">
        <v>1911</v>
      </c>
      <c r="M1619" t="str">
        <f>+VLOOKUP(C1619,'[1]TIENDAS 2025'!$A$1:$C$143,3,0)</f>
        <v>departamental</v>
      </c>
      <c r="O1619">
        <v>1</v>
      </c>
    </row>
    <row r="1620" spans="1:15" ht="15" customHeight="1" x14ac:dyDescent="0.3">
      <c r="A1620" s="7">
        <v>8209670991</v>
      </c>
      <c r="B1620" s="4" t="s">
        <v>301</v>
      </c>
      <c r="C1620" s="4" t="s">
        <v>302</v>
      </c>
      <c r="D1620" s="6">
        <v>46309.464768518497</v>
      </c>
      <c r="E1620" s="6">
        <v>46309.214745370402</v>
      </c>
      <c r="F1620" s="6">
        <v>46309</v>
      </c>
      <c r="G1620" s="5" t="s">
        <v>12</v>
      </c>
      <c r="H1620" s="5" t="s">
        <v>27</v>
      </c>
      <c r="I1620" s="5">
        <v>3</v>
      </c>
      <c r="J1620" s="10" t="s">
        <v>17</v>
      </c>
      <c r="K1620" s="1" t="s">
        <v>1912</v>
      </c>
      <c r="M1620" t="str">
        <f>+VLOOKUP(C1620,'[1]TIENDAS 2025'!$A$1:$C$143,3,0)</f>
        <v>departamental</v>
      </c>
      <c r="O1620">
        <v>1</v>
      </c>
    </row>
    <row r="1621" spans="1:15" ht="15" customHeight="1" x14ac:dyDescent="0.3">
      <c r="A1621" s="7">
        <v>1209671005</v>
      </c>
      <c r="B1621" s="4" t="s">
        <v>301</v>
      </c>
      <c r="C1621" s="4" t="s">
        <v>302</v>
      </c>
      <c r="D1621" s="6">
        <v>46309.464791666702</v>
      </c>
      <c r="E1621" s="6">
        <v>46309.214756944399</v>
      </c>
      <c r="F1621" s="6">
        <v>46309</v>
      </c>
      <c r="G1621" s="5" t="s">
        <v>12</v>
      </c>
      <c r="H1621" s="5" t="s">
        <v>16</v>
      </c>
      <c r="I1621" s="5">
        <v>1</v>
      </c>
      <c r="J1621" s="9" t="s">
        <v>17</v>
      </c>
      <c r="K1621" s="1" t="s">
        <v>1913</v>
      </c>
      <c r="L1621" t="s">
        <v>3284</v>
      </c>
      <c r="M1621" t="str">
        <f>+VLOOKUP(C1621,'[1]TIENDAS 2025'!$A$1:$C$143,3,0)</f>
        <v>departamental</v>
      </c>
      <c r="O1621">
        <v>1</v>
      </c>
    </row>
    <row r="1622" spans="1:15" ht="15" customHeight="1" x14ac:dyDescent="0.3">
      <c r="A1622" s="7">
        <v>1209671147</v>
      </c>
      <c r="B1622" s="4" t="s">
        <v>199</v>
      </c>
      <c r="C1622" s="4" t="s">
        <v>200</v>
      </c>
      <c r="D1622" s="6">
        <v>46309.464803240699</v>
      </c>
      <c r="E1622" s="6">
        <v>46309.214768518497</v>
      </c>
      <c r="F1622" s="6">
        <v>46309</v>
      </c>
      <c r="G1622" s="5" t="s">
        <v>12</v>
      </c>
      <c r="H1622" s="5" t="s">
        <v>29</v>
      </c>
      <c r="I1622" s="5">
        <v>44</v>
      </c>
      <c r="J1622" s="9" t="s">
        <v>17</v>
      </c>
      <c r="K1622" s="1" t="s">
        <v>1914</v>
      </c>
      <c r="L1622" t="s">
        <v>3284</v>
      </c>
      <c r="M1622" t="str">
        <f>+VLOOKUP(C1622,'[1]TIENDAS 2025'!$A$1:$C$143,3,0)</f>
        <v>departamental</v>
      </c>
      <c r="O1622">
        <v>1</v>
      </c>
    </row>
    <row r="1623" spans="1:15" ht="15" customHeight="1" x14ac:dyDescent="0.3">
      <c r="A1623" s="7">
        <v>1209671138</v>
      </c>
      <c r="B1623" s="4" t="s">
        <v>199</v>
      </c>
      <c r="C1623" s="4" t="s">
        <v>200</v>
      </c>
      <c r="D1623" s="6">
        <v>46309.464814814797</v>
      </c>
      <c r="E1623" s="6">
        <v>46309.214791666702</v>
      </c>
      <c r="F1623" s="6">
        <v>46309</v>
      </c>
      <c r="G1623" s="5" t="s">
        <v>12</v>
      </c>
      <c r="H1623" s="5" t="s">
        <v>29</v>
      </c>
      <c r="I1623" s="5">
        <v>3</v>
      </c>
      <c r="J1623" s="9" t="s">
        <v>17</v>
      </c>
      <c r="K1623" s="1" t="s">
        <v>1915</v>
      </c>
      <c r="L1623" t="s">
        <v>3284</v>
      </c>
      <c r="M1623" t="str">
        <f>+VLOOKUP(C1623,'[1]TIENDAS 2025'!$A$1:$C$143,3,0)</f>
        <v>departamental</v>
      </c>
      <c r="O1623">
        <v>1</v>
      </c>
    </row>
    <row r="1624" spans="1:15" ht="15" customHeight="1" x14ac:dyDescent="0.3">
      <c r="A1624" s="7">
        <v>8209671130</v>
      </c>
      <c r="B1624" s="4" t="s">
        <v>199</v>
      </c>
      <c r="C1624" s="4" t="s">
        <v>200</v>
      </c>
      <c r="D1624" s="6">
        <v>46309.464826388903</v>
      </c>
      <c r="E1624" s="6">
        <v>46309.214803240699</v>
      </c>
      <c r="F1624" s="6">
        <v>46309</v>
      </c>
      <c r="G1624" s="5" t="s">
        <v>12</v>
      </c>
      <c r="H1624" s="5" t="s">
        <v>27</v>
      </c>
      <c r="I1624" s="5">
        <v>6</v>
      </c>
      <c r="J1624" s="10" t="s">
        <v>17</v>
      </c>
      <c r="K1624" s="1" t="s">
        <v>1916</v>
      </c>
      <c r="M1624" t="str">
        <f>+VLOOKUP(C1624,'[1]TIENDAS 2025'!$A$1:$C$143,3,0)</f>
        <v>departamental</v>
      </c>
      <c r="O1624">
        <v>1</v>
      </c>
    </row>
    <row r="1625" spans="1:15" ht="15" customHeight="1" x14ac:dyDescent="0.3">
      <c r="A1625" s="7">
        <v>1209670955</v>
      </c>
      <c r="B1625" s="4" t="s">
        <v>289</v>
      </c>
      <c r="C1625" s="4" t="s">
        <v>290</v>
      </c>
      <c r="D1625" s="6">
        <v>46309.464849536998</v>
      </c>
      <c r="E1625" s="6">
        <v>46309.214814814797</v>
      </c>
      <c r="F1625" s="6">
        <v>46309</v>
      </c>
      <c r="G1625" s="5" t="s">
        <v>12</v>
      </c>
      <c r="H1625" s="5" t="s">
        <v>27</v>
      </c>
      <c r="I1625" s="5">
        <v>30</v>
      </c>
      <c r="J1625" s="9" t="s">
        <v>17</v>
      </c>
      <c r="K1625" s="1" t="s">
        <v>1917</v>
      </c>
      <c r="L1625" t="s">
        <v>3284</v>
      </c>
      <c r="M1625" t="str">
        <f>+VLOOKUP(C1625,'[1]TIENDAS 2025'!$A$1:$C$143,3,0)</f>
        <v>departamental</v>
      </c>
      <c r="O1625">
        <v>1</v>
      </c>
    </row>
    <row r="1626" spans="1:15" ht="15" customHeight="1" x14ac:dyDescent="0.3">
      <c r="A1626" s="7">
        <v>8209671057</v>
      </c>
      <c r="B1626" s="4" t="s">
        <v>339</v>
      </c>
      <c r="C1626" s="4" t="s">
        <v>340</v>
      </c>
      <c r="D1626" s="6">
        <v>46309.464872685203</v>
      </c>
      <c r="E1626" s="6">
        <v>46309.214837963002</v>
      </c>
      <c r="F1626" s="6">
        <v>46309</v>
      </c>
      <c r="G1626" s="5" t="s">
        <v>12</v>
      </c>
      <c r="H1626" s="5" t="s">
        <v>27</v>
      </c>
      <c r="I1626" s="5">
        <v>7</v>
      </c>
      <c r="J1626" s="10" t="s">
        <v>17</v>
      </c>
      <c r="K1626" s="1" t="s">
        <v>1918</v>
      </c>
      <c r="M1626" t="str">
        <f>+VLOOKUP(C1626,'[1]TIENDAS 2025'!$A$1:$C$143,3,0)</f>
        <v>nocturna</v>
      </c>
      <c r="O1626">
        <v>1</v>
      </c>
    </row>
    <row r="1627" spans="1:15" ht="15" customHeight="1" x14ac:dyDescent="0.3">
      <c r="A1627" s="7">
        <v>1209670999</v>
      </c>
      <c r="B1627" s="4" t="s">
        <v>301</v>
      </c>
      <c r="C1627" s="4" t="s">
        <v>302</v>
      </c>
      <c r="D1627" s="6">
        <v>46309.464884259301</v>
      </c>
      <c r="E1627" s="6">
        <v>46309.214849536998</v>
      </c>
      <c r="F1627" s="6">
        <v>46309</v>
      </c>
      <c r="G1627" s="5" t="s">
        <v>12</v>
      </c>
      <c r="H1627" s="5" t="s">
        <v>16</v>
      </c>
      <c r="I1627" s="5">
        <v>10</v>
      </c>
      <c r="J1627" s="9" t="s">
        <v>17</v>
      </c>
      <c r="K1627" s="1" t="s">
        <v>1919</v>
      </c>
      <c r="L1627" t="s">
        <v>3284</v>
      </c>
      <c r="M1627" t="str">
        <f>+VLOOKUP(C1627,'[1]TIENDAS 2025'!$A$1:$C$143,3,0)</f>
        <v>departamental</v>
      </c>
      <c r="O1627">
        <v>1</v>
      </c>
    </row>
    <row r="1628" spans="1:15" ht="15" customHeight="1" x14ac:dyDescent="0.3">
      <c r="A1628" s="7">
        <v>1209671086</v>
      </c>
      <c r="B1628" s="4" t="s">
        <v>339</v>
      </c>
      <c r="C1628" s="4" t="s">
        <v>340</v>
      </c>
      <c r="D1628" s="6">
        <v>46309.464895833298</v>
      </c>
      <c r="E1628" s="6">
        <v>46309.214861111097</v>
      </c>
      <c r="F1628" s="6">
        <v>46309</v>
      </c>
      <c r="G1628" s="5" t="s">
        <v>12</v>
      </c>
      <c r="H1628" s="5" t="s">
        <v>16</v>
      </c>
      <c r="I1628" s="5">
        <v>23</v>
      </c>
      <c r="J1628" s="9" t="s">
        <v>17</v>
      </c>
      <c r="K1628" s="1" t="s">
        <v>1920</v>
      </c>
      <c r="L1628" t="s">
        <v>3284</v>
      </c>
      <c r="M1628" t="str">
        <f>+VLOOKUP(C1628,'[1]TIENDAS 2025'!$A$1:$C$143,3,0)</f>
        <v>nocturna</v>
      </c>
      <c r="O1628">
        <v>1</v>
      </c>
    </row>
    <row r="1629" spans="1:15" ht="15" customHeight="1" x14ac:dyDescent="0.3">
      <c r="A1629" s="7">
        <v>1209671067</v>
      </c>
      <c r="B1629" s="4" t="s">
        <v>339</v>
      </c>
      <c r="C1629" s="4" t="s">
        <v>340</v>
      </c>
      <c r="D1629" s="6">
        <v>46309.464907407397</v>
      </c>
      <c r="E1629" s="6">
        <v>46309.214884259301</v>
      </c>
      <c r="F1629" s="6">
        <v>46309</v>
      </c>
      <c r="G1629" s="5" t="s">
        <v>12</v>
      </c>
      <c r="H1629" s="5" t="s">
        <v>16</v>
      </c>
      <c r="I1629" s="5">
        <v>12</v>
      </c>
      <c r="J1629" s="9" t="s">
        <v>17</v>
      </c>
      <c r="K1629" s="1" t="s">
        <v>1921</v>
      </c>
      <c r="L1629" t="s">
        <v>3284</v>
      </c>
      <c r="M1629" t="str">
        <f>+VLOOKUP(C1629,'[1]TIENDAS 2025'!$A$1:$C$143,3,0)</f>
        <v>nocturna</v>
      </c>
      <c r="O1629">
        <v>1</v>
      </c>
    </row>
    <row r="1630" spans="1:15" ht="15" customHeight="1" x14ac:dyDescent="0.3">
      <c r="A1630" s="7">
        <v>1209671000</v>
      </c>
      <c r="B1630" s="4" t="s">
        <v>301</v>
      </c>
      <c r="C1630" s="4" t="s">
        <v>302</v>
      </c>
      <c r="D1630" s="6">
        <v>46309.464930555601</v>
      </c>
      <c r="E1630" s="6">
        <v>46309.214895833298</v>
      </c>
      <c r="F1630" s="6">
        <v>46309</v>
      </c>
      <c r="G1630" s="5" t="s">
        <v>12</v>
      </c>
      <c r="H1630" s="5" t="s">
        <v>16</v>
      </c>
      <c r="I1630" s="5">
        <v>10</v>
      </c>
      <c r="J1630" s="9" t="s">
        <v>17</v>
      </c>
      <c r="K1630" s="1" t="s">
        <v>1922</v>
      </c>
      <c r="L1630" t="s">
        <v>3284</v>
      </c>
      <c r="M1630" t="str">
        <f>+VLOOKUP(C1630,'[1]TIENDAS 2025'!$A$1:$C$143,3,0)</f>
        <v>departamental</v>
      </c>
      <c r="O1630">
        <v>1</v>
      </c>
    </row>
    <row r="1631" spans="1:15" ht="15" customHeight="1" x14ac:dyDescent="0.3">
      <c r="A1631" s="7">
        <v>8209670942</v>
      </c>
      <c r="B1631" s="4" t="s">
        <v>289</v>
      </c>
      <c r="C1631" s="4" t="s">
        <v>290</v>
      </c>
      <c r="D1631" s="6">
        <v>46309.464942129598</v>
      </c>
      <c r="E1631" s="6">
        <v>46309.214907407397</v>
      </c>
      <c r="F1631" s="6">
        <v>46309</v>
      </c>
      <c r="G1631" s="5" t="s">
        <v>12</v>
      </c>
      <c r="H1631" s="5" t="s">
        <v>27</v>
      </c>
      <c r="I1631" s="5">
        <v>29</v>
      </c>
      <c r="J1631" s="10" t="s">
        <v>17</v>
      </c>
      <c r="K1631" s="1" t="s">
        <v>1923</v>
      </c>
      <c r="M1631" t="str">
        <f>+VLOOKUP(C1631,'[1]TIENDAS 2025'!$A$1:$C$143,3,0)</f>
        <v>departamental</v>
      </c>
      <c r="O1631">
        <v>1</v>
      </c>
    </row>
    <row r="1632" spans="1:15" ht="15" customHeight="1" x14ac:dyDescent="0.3">
      <c r="A1632" s="7">
        <v>1209671141</v>
      </c>
      <c r="B1632" s="4" t="s">
        <v>199</v>
      </c>
      <c r="C1632" s="4" t="s">
        <v>200</v>
      </c>
      <c r="D1632" s="6">
        <v>46309.464953703697</v>
      </c>
      <c r="E1632" s="6">
        <v>46309.214918981503</v>
      </c>
      <c r="F1632" s="6">
        <v>46309</v>
      </c>
      <c r="G1632" s="5" t="s">
        <v>12</v>
      </c>
      <c r="H1632" s="5" t="s">
        <v>16</v>
      </c>
      <c r="I1632" s="5">
        <v>9</v>
      </c>
      <c r="J1632" s="9" t="s">
        <v>17</v>
      </c>
      <c r="K1632" s="1" t="s">
        <v>1924</v>
      </c>
      <c r="L1632" t="s">
        <v>3284</v>
      </c>
      <c r="M1632" t="str">
        <f>+VLOOKUP(C1632,'[1]TIENDAS 2025'!$A$1:$C$143,3,0)</f>
        <v>departamental</v>
      </c>
      <c r="O1632">
        <v>1</v>
      </c>
    </row>
    <row r="1633" spans="1:15" ht="15" customHeight="1" x14ac:dyDescent="0.3">
      <c r="A1633" s="7">
        <v>8209671131</v>
      </c>
      <c r="B1633" s="4" t="s">
        <v>199</v>
      </c>
      <c r="C1633" s="4" t="s">
        <v>200</v>
      </c>
      <c r="D1633" s="6">
        <v>46309.464965277803</v>
      </c>
      <c r="E1633" s="6">
        <v>46309.214942129598</v>
      </c>
      <c r="F1633" s="6">
        <v>46309</v>
      </c>
      <c r="G1633" s="5" t="s">
        <v>12</v>
      </c>
      <c r="H1633" s="5" t="s">
        <v>27</v>
      </c>
      <c r="I1633" s="5">
        <v>15</v>
      </c>
      <c r="J1633" s="10" t="s">
        <v>17</v>
      </c>
      <c r="K1633" s="1" t="s">
        <v>1925</v>
      </c>
      <c r="M1633" t="str">
        <f>+VLOOKUP(C1633,'[1]TIENDAS 2025'!$A$1:$C$143,3,0)</f>
        <v>departamental</v>
      </c>
      <c r="O1633">
        <v>1</v>
      </c>
    </row>
    <row r="1634" spans="1:15" ht="15" customHeight="1" x14ac:dyDescent="0.3">
      <c r="A1634" s="7">
        <v>1209671071</v>
      </c>
      <c r="B1634" s="4" t="s">
        <v>339</v>
      </c>
      <c r="C1634" s="4" t="s">
        <v>340</v>
      </c>
      <c r="D1634" s="6">
        <v>46309.464976851901</v>
      </c>
      <c r="E1634" s="6">
        <v>46309.214953703697</v>
      </c>
      <c r="F1634" s="6">
        <v>46309</v>
      </c>
      <c r="G1634" s="5" t="s">
        <v>12</v>
      </c>
      <c r="H1634" s="5" t="s">
        <v>16</v>
      </c>
      <c r="I1634" s="5">
        <v>25</v>
      </c>
      <c r="J1634" s="9" t="s">
        <v>17</v>
      </c>
      <c r="K1634" s="1" t="s">
        <v>1926</v>
      </c>
      <c r="L1634" t="s">
        <v>3284</v>
      </c>
      <c r="M1634" t="str">
        <f>+VLOOKUP(C1634,'[1]TIENDAS 2025'!$A$1:$C$143,3,0)</f>
        <v>nocturna</v>
      </c>
      <c r="O1634">
        <v>1</v>
      </c>
    </row>
    <row r="1635" spans="1:15" ht="15" customHeight="1" x14ac:dyDescent="0.3">
      <c r="A1635" s="7">
        <v>1209670952</v>
      </c>
      <c r="B1635" s="4" t="s">
        <v>289</v>
      </c>
      <c r="C1635" s="4" t="s">
        <v>290</v>
      </c>
      <c r="D1635" s="6">
        <v>46309.464999999997</v>
      </c>
      <c r="E1635" s="6">
        <v>46309.214965277803</v>
      </c>
      <c r="F1635" s="6">
        <v>46309</v>
      </c>
      <c r="G1635" s="5" t="s">
        <v>12</v>
      </c>
      <c r="H1635" s="5" t="s">
        <v>29</v>
      </c>
      <c r="I1635" s="5">
        <v>36</v>
      </c>
      <c r="J1635" s="9" t="s">
        <v>17</v>
      </c>
      <c r="K1635" s="1" t="s">
        <v>1927</v>
      </c>
      <c r="L1635" t="s">
        <v>3284</v>
      </c>
      <c r="M1635" t="str">
        <f>+VLOOKUP(C1635,'[1]TIENDAS 2025'!$A$1:$C$143,3,0)</f>
        <v>departamental</v>
      </c>
      <c r="O1635">
        <v>1</v>
      </c>
    </row>
    <row r="1636" spans="1:15" ht="15" customHeight="1" x14ac:dyDescent="0.3">
      <c r="A1636" s="7">
        <v>8209671058</v>
      </c>
      <c r="B1636" s="4" t="s">
        <v>339</v>
      </c>
      <c r="C1636" s="4" t="s">
        <v>340</v>
      </c>
      <c r="D1636" s="6">
        <v>46309.465011574102</v>
      </c>
      <c r="E1636" s="6">
        <v>46309.214976851901</v>
      </c>
      <c r="F1636" s="6">
        <v>46309</v>
      </c>
      <c r="G1636" s="5" t="s">
        <v>12</v>
      </c>
      <c r="H1636" s="5" t="s">
        <v>27</v>
      </c>
      <c r="I1636" s="5">
        <v>5</v>
      </c>
      <c r="J1636" s="10" t="s">
        <v>17</v>
      </c>
      <c r="K1636" s="1" t="s">
        <v>1928</v>
      </c>
      <c r="M1636" t="str">
        <f>+VLOOKUP(C1636,'[1]TIENDAS 2025'!$A$1:$C$143,3,0)</f>
        <v>nocturna</v>
      </c>
      <c r="O1636">
        <v>1</v>
      </c>
    </row>
    <row r="1637" spans="1:15" ht="15" customHeight="1" x14ac:dyDescent="0.3">
      <c r="A1637" s="7">
        <v>1209670995</v>
      </c>
      <c r="B1637" s="4" t="s">
        <v>301</v>
      </c>
      <c r="C1637" s="4" t="s">
        <v>302</v>
      </c>
      <c r="D1637" s="6">
        <v>46309.465023148201</v>
      </c>
      <c r="E1637" s="6">
        <v>46309.214988425898</v>
      </c>
      <c r="F1637" s="6">
        <v>46309</v>
      </c>
      <c r="G1637" s="5" t="s">
        <v>12</v>
      </c>
      <c r="H1637" s="5" t="s">
        <v>16</v>
      </c>
      <c r="I1637" s="5">
        <v>2</v>
      </c>
      <c r="J1637" s="9" t="s">
        <v>17</v>
      </c>
      <c r="K1637" s="1" t="s">
        <v>1929</v>
      </c>
      <c r="L1637" t="s">
        <v>3284</v>
      </c>
      <c r="M1637" t="str">
        <f>+VLOOKUP(C1637,'[1]TIENDAS 2025'!$A$1:$C$143,3,0)</f>
        <v>departamental</v>
      </c>
      <c r="O1637">
        <v>1</v>
      </c>
    </row>
    <row r="1638" spans="1:15" ht="15" customHeight="1" x14ac:dyDescent="0.3">
      <c r="A1638" s="7">
        <v>1209670997</v>
      </c>
      <c r="B1638" s="4" t="s">
        <v>301</v>
      </c>
      <c r="C1638" s="4" t="s">
        <v>302</v>
      </c>
      <c r="D1638" s="6">
        <v>46309.465034722198</v>
      </c>
      <c r="E1638" s="6">
        <v>46309.215011574102</v>
      </c>
      <c r="F1638" s="6">
        <v>46309</v>
      </c>
      <c r="G1638" s="5" t="s">
        <v>12</v>
      </c>
      <c r="H1638" s="5" t="s">
        <v>16</v>
      </c>
      <c r="I1638" s="5">
        <v>5</v>
      </c>
      <c r="J1638" s="9" t="s">
        <v>17</v>
      </c>
      <c r="K1638" s="1" t="s">
        <v>1930</v>
      </c>
      <c r="L1638" t="s">
        <v>3284</v>
      </c>
      <c r="M1638" t="str">
        <f>+VLOOKUP(C1638,'[1]TIENDAS 2025'!$A$1:$C$143,3,0)</f>
        <v>departamental</v>
      </c>
      <c r="O1638">
        <v>1</v>
      </c>
    </row>
    <row r="1639" spans="1:15" ht="15" customHeight="1" x14ac:dyDescent="0.3">
      <c r="A1639" s="7">
        <v>1209671062</v>
      </c>
      <c r="B1639" s="4" t="s">
        <v>339</v>
      </c>
      <c r="C1639" s="4" t="s">
        <v>340</v>
      </c>
      <c r="D1639" s="6">
        <v>46309.465057870402</v>
      </c>
      <c r="E1639" s="6">
        <v>46309.215023148201</v>
      </c>
      <c r="F1639" s="6">
        <v>46309</v>
      </c>
      <c r="G1639" s="5" t="s">
        <v>12</v>
      </c>
      <c r="H1639" s="5" t="s">
        <v>29</v>
      </c>
      <c r="I1639" s="5">
        <v>2</v>
      </c>
      <c r="J1639" s="9" t="s">
        <v>17</v>
      </c>
      <c r="K1639" s="1" t="s">
        <v>1931</v>
      </c>
      <c r="L1639" t="s">
        <v>3284</v>
      </c>
      <c r="M1639" t="str">
        <f>+VLOOKUP(C1639,'[1]TIENDAS 2025'!$A$1:$C$143,3,0)</f>
        <v>nocturna</v>
      </c>
      <c r="O1639">
        <v>1</v>
      </c>
    </row>
    <row r="1640" spans="1:15" ht="15" customHeight="1" x14ac:dyDescent="0.3">
      <c r="A1640" s="7">
        <v>1209671064</v>
      </c>
      <c r="B1640" s="4" t="s">
        <v>339</v>
      </c>
      <c r="C1640" s="4" t="s">
        <v>340</v>
      </c>
      <c r="D1640" s="6">
        <v>46309.465069444399</v>
      </c>
      <c r="E1640" s="6">
        <v>46309.215046296304</v>
      </c>
      <c r="F1640" s="6">
        <v>46309</v>
      </c>
      <c r="G1640" s="5" t="s">
        <v>12</v>
      </c>
      <c r="H1640" s="5" t="s">
        <v>16</v>
      </c>
      <c r="I1640" s="5">
        <v>9</v>
      </c>
      <c r="J1640" s="9" t="s">
        <v>17</v>
      </c>
      <c r="K1640" s="1" t="s">
        <v>1932</v>
      </c>
      <c r="L1640" t="s">
        <v>3284</v>
      </c>
      <c r="M1640" t="str">
        <f>+VLOOKUP(C1640,'[1]TIENDAS 2025'!$A$1:$C$143,3,0)</f>
        <v>nocturna</v>
      </c>
      <c r="O1640">
        <v>1</v>
      </c>
    </row>
    <row r="1641" spans="1:15" ht="15" customHeight="1" x14ac:dyDescent="0.3">
      <c r="A1641" s="7">
        <v>1209670946</v>
      </c>
      <c r="B1641" s="4" t="s">
        <v>289</v>
      </c>
      <c r="C1641" s="4" t="s">
        <v>290</v>
      </c>
      <c r="D1641" s="6">
        <v>46309.465081018498</v>
      </c>
      <c r="E1641" s="6">
        <v>46309.215057870402</v>
      </c>
      <c r="F1641" s="6">
        <v>46309</v>
      </c>
      <c r="G1641" s="5" t="s">
        <v>12</v>
      </c>
      <c r="H1641" s="5" t="s">
        <v>16</v>
      </c>
      <c r="I1641" s="5">
        <v>4</v>
      </c>
      <c r="J1641" s="9" t="s">
        <v>17</v>
      </c>
      <c r="K1641" s="1" t="s">
        <v>1933</v>
      </c>
      <c r="L1641" t="s">
        <v>3284</v>
      </c>
      <c r="M1641" t="str">
        <f>+VLOOKUP(C1641,'[1]TIENDAS 2025'!$A$1:$C$143,3,0)</f>
        <v>departamental</v>
      </c>
      <c r="O1641">
        <v>1</v>
      </c>
    </row>
    <row r="1642" spans="1:15" ht="15" customHeight="1" x14ac:dyDescent="0.3">
      <c r="A1642" s="7">
        <v>1209671136</v>
      </c>
      <c r="B1642" s="4" t="s">
        <v>199</v>
      </c>
      <c r="C1642" s="4" t="s">
        <v>200</v>
      </c>
      <c r="D1642" s="6">
        <v>46309.465104166702</v>
      </c>
      <c r="E1642" s="6">
        <v>46309.215069444399</v>
      </c>
      <c r="F1642" s="6">
        <v>46309</v>
      </c>
      <c r="G1642" s="5" t="s">
        <v>12</v>
      </c>
      <c r="H1642" s="5" t="s">
        <v>16</v>
      </c>
      <c r="I1642" s="5">
        <v>2</v>
      </c>
      <c r="J1642" s="9" t="s">
        <v>17</v>
      </c>
      <c r="K1642" s="1" t="s">
        <v>1934</v>
      </c>
      <c r="L1642" t="s">
        <v>3284</v>
      </c>
      <c r="M1642" t="str">
        <f>+VLOOKUP(C1642,'[1]TIENDAS 2025'!$A$1:$C$143,3,0)</f>
        <v>departamental</v>
      </c>
      <c r="O1642">
        <v>1</v>
      </c>
    </row>
    <row r="1643" spans="1:15" ht="15" customHeight="1" x14ac:dyDescent="0.3">
      <c r="A1643" s="7">
        <v>1209670954</v>
      </c>
      <c r="B1643" s="4" t="s">
        <v>289</v>
      </c>
      <c r="C1643" s="4" t="s">
        <v>290</v>
      </c>
      <c r="D1643" s="6">
        <v>46309.465115740699</v>
      </c>
      <c r="E1643" s="6">
        <v>46309.215092592603</v>
      </c>
      <c r="F1643" s="6">
        <v>46309</v>
      </c>
      <c r="G1643" s="5" t="s">
        <v>12</v>
      </c>
      <c r="H1643" s="5" t="s">
        <v>16</v>
      </c>
      <c r="I1643" s="5">
        <v>33</v>
      </c>
      <c r="J1643" s="9" t="s">
        <v>17</v>
      </c>
      <c r="K1643" s="1" t="s">
        <v>1935</v>
      </c>
      <c r="L1643" t="s">
        <v>3284</v>
      </c>
      <c r="M1643" t="str">
        <f>+VLOOKUP(C1643,'[1]TIENDAS 2025'!$A$1:$C$143,3,0)</f>
        <v>departamental</v>
      </c>
      <c r="O1643">
        <v>1</v>
      </c>
    </row>
    <row r="1644" spans="1:15" ht="15" customHeight="1" x14ac:dyDescent="0.3">
      <c r="A1644" s="7">
        <v>1209671063</v>
      </c>
      <c r="B1644" s="4" t="s">
        <v>339</v>
      </c>
      <c r="C1644" s="4" t="s">
        <v>340</v>
      </c>
      <c r="D1644" s="6">
        <v>46309.465138888903</v>
      </c>
      <c r="E1644" s="6">
        <v>46309.215115740699</v>
      </c>
      <c r="F1644" s="6">
        <v>46309</v>
      </c>
      <c r="G1644" s="5" t="s">
        <v>12</v>
      </c>
      <c r="H1644" s="5" t="s">
        <v>16</v>
      </c>
      <c r="I1644" s="5">
        <v>6</v>
      </c>
      <c r="J1644" s="9" t="s">
        <v>17</v>
      </c>
      <c r="K1644" s="1" t="s">
        <v>1936</v>
      </c>
      <c r="L1644" t="s">
        <v>3284</v>
      </c>
      <c r="M1644" t="str">
        <f>+VLOOKUP(C1644,'[1]TIENDAS 2025'!$A$1:$C$143,3,0)</f>
        <v>nocturna</v>
      </c>
      <c r="O1644">
        <v>1</v>
      </c>
    </row>
    <row r="1645" spans="1:15" ht="15" customHeight="1" x14ac:dyDescent="0.3">
      <c r="A1645" s="7">
        <v>8209671059</v>
      </c>
      <c r="B1645" s="4" t="s">
        <v>339</v>
      </c>
      <c r="C1645" s="4" t="s">
        <v>340</v>
      </c>
      <c r="D1645" s="6">
        <v>46309.465138888903</v>
      </c>
      <c r="E1645" s="6">
        <v>46309.215104166702</v>
      </c>
      <c r="F1645" s="6">
        <v>46309</v>
      </c>
      <c r="G1645" s="5" t="s">
        <v>12</v>
      </c>
      <c r="H1645" s="5" t="s">
        <v>27</v>
      </c>
      <c r="I1645" s="5">
        <v>8</v>
      </c>
      <c r="J1645" s="10" t="s">
        <v>17</v>
      </c>
      <c r="K1645" s="1" t="s">
        <v>1937</v>
      </c>
      <c r="M1645" t="str">
        <f>+VLOOKUP(C1645,'[1]TIENDAS 2025'!$A$1:$C$143,3,0)</f>
        <v>nocturna</v>
      </c>
      <c r="O1645">
        <v>1</v>
      </c>
    </row>
    <row r="1646" spans="1:15" ht="15" customHeight="1" x14ac:dyDescent="0.3">
      <c r="A1646" s="7">
        <v>1209671003</v>
      </c>
      <c r="B1646" s="4" t="s">
        <v>301</v>
      </c>
      <c r="C1646" s="4" t="s">
        <v>302</v>
      </c>
      <c r="D1646" s="6">
        <v>46309.465162036999</v>
      </c>
      <c r="E1646" s="6">
        <v>46309.215138888903</v>
      </c>
      <c r="F1646" s="6">
        <v>46309</v>
      </c>
      <c r="G1646" s="5" t="s">
        <v>12</v>
      </c>
      <c r="H1646" s="5" t="s">
        <v>29</v>
      </c>
      <c r="I1646" s="5">
        <v>26</v>
      </c>
      <c r="J1646" s="9" t="s">
        <v>17</v>
      </c>
      <c r="K1646" s="1" t="s">
        <v>1938</v>
      </c>
      <c r="L1646" t="s">
        <v>3284</v>
      </c>
      <c r="M1646" t="str">
        <f>+VLOOKUP(C1646,'[1]TIENDAS 2025'!$A$1:$C$143,3,0)</f>
        <v>departamental</v>
      </c>
      <c r="O1646">
        <v>1</v>
      </c>
    </row>
    <row r="1647" spans="1:15" ht="15" customHeight="1" x14ac:dyDescent="0.3">
      <c r="A1647" s="7">
        <v>8209670941</v>
      </c>
      <c r="B1647" s="4" t="s">
        <v>289</v>
      </c>
      <c r="C1647" s="4" t="s">
        <v>290</v>
      </c>
      <c r="D1647" s="6">
        <v>46309.465185185203</v>
      </c>
      <c r="E1647" s="6">
        <v>46309.215150463002</v>
      </c>
      <c r="F1647" s="6">
        <v>46309</v>
      </c>
      <c r="G1647" s="5" t="s">
        <v>12</v>
      </c>
      <c r="H1647" s="5" t="s">
        <v>27</v>
      </c>
      <c r="I1647" s="5">
        <v>5</v>
      </c>
      <c r="J1647" s="10" t="s">
        <v>17</v>
      </c>
      <c r="K1647" s="1" t="s">
        <v>1939</v>
      </c>
      <c r="M1647" t="str">
        <f>+VLOOKUP(C1647,'[1]TIENDAS 2025'!$A$1:$C$143,3,0)</f>
        <v>departamental</v>
      </c>
      <c r="O1647">
        <v>1</v>
      </c>
    </row>
    <row r="1648" spans="1:15" ht="15" customHeight="1" x14ac:dyDescent="0.3">
      <c r="A1648" s="7">
        <v>8209670993</v>
      </c>
      <c r="B1648" s="4" t="s">
        <v>301</v>
      </c>
      <c r="C1648" s="4" t="s">
        <v>302</v>
      </c>
      <c r="D1648" s="6">
        <v>46309.465196759302</v>
      </c>
      <c r="E1648" s="6">
        <v>46309.215162036999</v>
      </c>
      <c r="F1648" s="6">
        <v>46309</v>
      </c>
      <c r="G1648" s="5" t="s">
        <v>12</v>
      </c>
      <c r="H1648" s="5" t="s">
        <v>27</v>
      </c>
      <c r="I1648" s="5">
        <v>5</v>
      </c>
      <c r="J1648" s="10" t="s">
        <v>17</v>
      </c>
      <c r="K1648" s="1" t="s">
        <v>1940</v>
      </c>
      <c r="M1648" t="str">
        <f>+VLOOKUP(C1648,'[1]TIENDAS 2025'!$A$1:$C$143,3,0)</f>
        <v>departamental</v>
      </c>
      <c r="O1648">
        <v>1</v>
      </c>
    </row>
    <row r="1649" spans="1:15" ht="15" customHeight="1" x14ac:dyDescent="0.3">
      <c r="A1649" s="7">
        <v>8209671055</v>
      </c>
      <c r="B1649" s="4" t="s">
        <v>339</v>
      </c>
      <c r="C1649" s="4" t="s">
        <v>340</v>
      </c>
      <c r="D1649" s="6">
        <v>46309.465208333299</v>
      </c>
      <c r="E1649" s="6">
        <v>46309.215173611097</v>
      </c>
      <c r="F1649" s="6">
        <v>46309</v>
      </c>
      <c r="G1649" s="5" t="s">
        <v>12</v>
      </c>
      <c r="H1649" s="5" t="s">
        <v>27</v>
      </c>
      <c r="I1649" s="5">
        <v>1</v>
      </c>
      <c r="J1649" s="10" t="s">
        <v>17</v>
      </c>
      <c r="K1649" s="1" t="s">
        <v>1941</v>
      </c>
      <c r="M1649" t="str">
        <f>+VLOOKUP(C1649,'[1]TIENDAS 2025'!$A$1:$C$143,3,0)</f>
        <v>nocturna</v>
      </c>
      <c r="O1649">
        <v>1</v>
      </c>
    </row>
    <row r="1650" spans="1:15" ht="15" customHeight="1" x14ac:dyDescent="0.3">
      <c r="A1650" s="7">
        <v>8209671056</v>
      </c>
      <c r="B1650" s="4" t="s">
        <v>339</v>
      </c>
      <c r="C1650" s="4" t="s">
        <v>340</v>
      </c>
      <c r="D1650" s="6">
        <v>46309.465219907397</v>
      </c>
      <c r="E1650" s="6">
        <v>46309.215196759302</v>
      </c>
      <c r="F1650" s="6">
        <v>46309</v>
      </c>
      <c r="G1650" s="5" t="s">
        <v>12</v>
      </c>
      <c r="H1650" s="5" t="s">
        <v>27</v>
      </c>
      <c r="I1650" s="5">
        <v>3</v>
      </c>
      <c r="J1650" s="10" t="s">
        <v>17</v>
      </c>
      <c r="K1650" s="1" t="s">
        <v>1942</v>
      </c>
      <c r="M1650" t="str">
        <f>+VLOOKUP(C1650,'[1]TIENDAS 2025'!$A$1:$C$143,3,0)</f>
        <v>nocturna</v>
      </c>
      <c r="O1650">
        <v>1</v>
      </c>
    </row>
    <row r="1651" spans="1:15" ht="15" customHeight="1" x14ac:dyDescent="0.3">
      <c r="A1651" s="7">
        <v>1209671002</v>
      </c>
      <c r="B1651" s="4" t="s">
        <v>301</v>
      </c>
      <c r="C1651" s="4" t="s">
        <v>302</v>
      </c>
      <c r="D1651" s="6">
        <v>46309.465231481503</v>
      </c>
      <c r="E1651" s="6">
        <v>46309.215208333299</v>
      </c>
      <c r="F1651" s="6">
        <v>46309</v>
      </c>
      <c r="G1651" s="5" t="s">
        <v>12</v>
      </c>
      <c r="H1651" s="5" t="s">
        <v>16</v>
      </c>
      <c r="I1651" s="5">
        <v>19</v>
      </c>
      <c r="J1651" s="9" t="s">
        <v>17</v>
      </c>
      <c r="K1651" s="1" t="s">
        <v>1943</v>
      </c>
      <c r="L1651" t="s">
        <v>3284</v>
      </c>
      <c r="M1651" t="str">
        <f>+VLOOKUP(C1651,'[1]TIENDAS 2025'!$A$1:$C$143,3,0)</f>
        <v>departamental</v>
      </c>
      <c r="O1651">
        <v>1</v>
      </c>
    </row>
    <row r="1652" spans="1:15" ht="15" customHeight="1" x14ac:dyDescent="0.3">
      <c r="A1652" s="7">
        <v>8209670945</v>
      </c>
      <c r="B1652" s="4" t="s">
        <v>289</v>
      </c>
      <c r="C1652" s="4" t="s">
        <v>290</v>
      </c>
      <c r="D1652" s="6">
        <v>46309.465254629598</v>
      </c>
      <c r="E1652" s="6">
        <v>46309.215219907397</v>
      </c>
      <c r="F1652" s="6">
        <v>46309</v>
      </c>
      <c r="G1652" s="5" t="s">
        <v>12</v>
      </c>
      <c r="H1652" s="5" t="s">
        <v>27</v>
      </c>
      <c r="I1652" s="5">
        <v>4</v>
      </c>
      <c r="J1652" s="10" t="s">
        <v>17</v>
      </c>
      <c r="K1652" s="1" t="s">
        <v>1944</v>
      </c>
      <c r="M1652" t="str">
        <f>+VLOOKUP(C1652,'[1]TIENDAS 2025'!$A$1:$C$143,3,0)</f>
        <v>departamental</v>
      </c>
      <c r="O1652">
        <v>1</v>
      </c>
    </row>
    <row r="1653" spans="1:15" ht="15" customHeight="1" x14ac:dyDescent="0.3">
      <c r="A1653" s="7">
        <v>1209671009</v>
      </c>
      <c r="B1653" s="4" t="s">
        <v>301</v>
      </c>
      <c r="C1653" s="4" t="s">
        <v>302</v>
      </c>
      <c r="D1653" s="6">
        <v>46309.465266203697</v>
      </c>
      <c r="E1653" s="6">
        <v>46309.215231481503</v>
      </c>
      <c r="F1653" s="6">
        <v>46309</v>
      </c>
      <c r="G1653" s="5" t="s">
        <v>12</v>
      </c>
      <c r="H1653" s="5" t="s">
        <v>16</v>
      </c>
      <c r="I1653" s="5">
        <v>9</v>
      </c>
      <c r="J1653" s="9" t="s">
        <v>17</v>
      </c>
      <c r="K1653" s="1" t="s">
        <v>1945</v>
      </c>
      <c r="L1653" t="s">
        <v>3284</v>
      </c>
      <c r="M1653" t="str">
        <f>+VLOOKUP(C1653,'[1]TIENDAS 2025'!$A$1:$C$143,3,0)</f>
        <v>departamental</v>
      </c>
      <c r="O1653">
        <v>1</v>
      </c>
    </row>
    <row r="1654" spans="1:15" ht="15" customHeight="1" x14ac:dyDescent="0.3">
      <c r="A1654" s="7">
        <v>1209670949</v>
      </c>
      <c r="B1654" s="4" t="s">
        <v>289</v>
      </c>
      <c r="C1654" s="4" t="s">
        <v>290</v>
      </c>
      <c r="D1654" s="6">
        <v>46309.465277777803</v>
      </c>
      <c r="E1654" s="6">
        <v>46309.215254629598</v>
      </c>
      <c r="F1654" s="6">
        <v>46309</v>
      </c>
      <c r="G1654" s="5" t="s">
        <v>12</v>
      </c>
      <c r="H1654" s="5" t="s">
        <v>29</v>
      </c>
      <c r="I1654" s="5">
        <v>18</v>
      </c>
      <c r="J1654" s="9" t="s">
        <v>17</v>
      </c>
      <c r="K1654" s="1" t="s">
        <v>1946</v>
      </c>
      <c r="L1654" t="s">
        <v>3284</v>
      </c>
      <c r="M1654" t="str">
        <f>+VLOOKUP(C1654,'[1]TIENDAS 2025'!$A$1:$C$143,3,0)</f>
        <v>departamental</v>
      </c>
      <c r="O1654">
        <v>1</v>
      </c>
    </row>
    <row r="1655" spans="1:15" ht="15" customHeight="1" x14ac:dyDescent="0.3">
      <c r="A1655" s="7">
        <v>8209670992</v>
      </c>
      <c r="B1655" s="4" t="s">
        <v>301</v>
      </c>
      <c r="C1655" s="4" t="s">
        <v>302</v>
      </c>
      <c r="D1655" s="6">
        <v>46309.465289351901</v>
      </c>
      <c r="E1655" s="6">
        <v>46309.215266203697</v>
      </c>
      <c r="F1655" s="6">
        <v>46309</v>
      </c>
      <c r="G1655" s="5" t="s">
        <v>12</v>
      </c>
      <c r="H1655" s="5" t="s">
        <v>27</v>
      </c>
      <c r="I1655" s="5">
        <v>3</v>
      </c>
      <c r="J1655" s="10" t="s">
        <v>17</v>
      </c>
      <c r="K1655" s="1" t="s">
        <v>1947</v>
      </c>
      <c r="M1655" t="str">
        <f>+VLOOKUP(C1655,'[1]TIENDAS 2025'!$A$1:$C$143,3,0)</f>
        <v>departamental</v>
      </c>
      <c r="O1655">
        <v>1</v>
      </c>
    </row>
    <row r="1656" spans="1:15" ht="15" customHeight="1" x14ac:dyDescent="0.3">
      <c r="A1656" s="7">
        <v>8209671135</v>
      </c>
      <c r="B1656" s="4" t="s">
        <v>199</v>
      </c>
      <c r="C1656" s="4" t="s">
        <v>200</v>
      </c>
      <c r="D1656" s="6">
        <v>46309.465312499997</v>
      </c>
      <c r="E1656" s="6">
        <v>46309.215277777803</v>
      </c>
      <c r="F1656" s="6">
        <v>46309</v>
      </c>
      <c r="G1656" s="5" t="s">
        <v>12</v>
      </c>
      <c r="H1656" s="5" t="s">
        <v>27</v>
      </c>
      <c r="I1656" s="5">
        <v>12</v>
      </c>
      <c r="J1656" s="10" t="s">
        <v>17</v>
      </c>
      <c r="K1656" s="1" t="s">
        <v>1948</v>
      </c>
      <c r="M1656" t="str">
        <f>+VLOOKUP(C1656,'[1]TIENDAS 2025'!$A$1:$C$143,3,0)</f>
        <v>departamental</v>
      </c>
      <c r="O1656">
        <v>1</v>
      </c>
    </row>
    <row r="1657" spans="1:15" ht="15" customHeight="1" x14ac:dyDescent="0.3">
      <c r="A1657" s="7">
        <v>1209671073</v>
      </c>
      <c r="B1657" s="4" t="s">
        <v>339</v>
      </c>
      <c r="C1657" s="4" t="s">
        <v>340</v>
      </c>
      <c r="D1657" s="6">
        <v>46309.465324074103</v>
      </c>
      <c r="E1657" s="6">
        <v>46309.215289351901</v>
      </c>
      <c r="F1657" s="6">
        <v>46309</v>
      </c>
      <c r="G1657" s="5" t="s">
        <v>12</v>
      </c>
      <c r="H1657" s="5" t="s">
        <v>29</v>
      </c>
      <c r="I1657" s="5">
        <v>38</v>
      </c>
      <c r="J1657" s="9" t="s">
        <v>17</v>
      </c>
      <c r="K1657" s="1" t="s">
        <v>1949</v>
      </c>
      <c r="L1657" t="s">
        <v>3284</v>
      </c>
      <c r="M1657" t="str">
        <f>+VLOOKUP(C1657,'[1]TIENDAS 2025'!$A$1:$C$143,3,0)</f>
        <v>nocturna</v>
      </c>
      <c r="O1657">
        <v>1</v>
      </c>
    </row>
    <row r="1658" spans="1:15" ht="15" customHeight="1" x14ac:dyDescent="0.3">
      <c r="A1658" s="7">
        <v>1209670951</v>
      </c>
      <c r="B1658" s="4" t="s">
        <v>289</v>
      </c>
      <c r="C1658" s="4" t="s">
        <v>290</v>
      </c>
      <c r="D1658" s="6">
        <v>46309.465335648201</v>
      </c>
      <c r="E1658" s="6">
        <v>46309.215312499997</v>
      </c>
      <c r="F1658" s="6">
        <v>46309</v>
      </c>
      <c r="G1658" s="5" t="s">
        <v>12</v>
      </c>
      <c r="H1658" s="5" t="s">
        <v>29</v>
      </c>
      <c r="I1658" s="5">
        <v>26</v>
      </c>
      <c r="J1658" s="9" t="s">
        <v>17</v>
      </c>
      <c r="K1658" s="1" t="s">
        <v>1950</v>
      </c>
      <c r="L1658" t="s">
        <v>3284</v>
      </c>
      <c r="M1658" t="str">
        <f>+VLOOKUP(C1658,'[1]TIENDAS 2025'!$A$1:$C$143,3,0)</f>
        <v>departamental</v>
      </c>
      <c r="O1658">
        <v>1</v>
      </c>
    </row>
    <row r="1659" spans="1:15" ht="15" customHeight="1" x14ac:dyDescent="0.3">
      <c r="A1659" s="7">
        <v>8209671060</v>
      </c>
      <c r="B1659" s="4" t="s">
        <v>339</v>
      </c>
      <c r="C1659" s="4" t="s">
        <v>340</v>
      </c>
      <c r="D1659" s="6">
        <v>46309.465358796297</v>
      </c>
      <c r="E1659" s="6">
        <v>46309.215335648201</v>
      </c>
      <c r="F1659" s="6">
        <v>46309</v>
      </c>
      <c r="G1659" s="5" t="s">
        <v>12</v>
      </c>
      <c r="H1659" s="5" t="s">
        <v>27</v>
      </c>
      <c r="I1659" s="5">
        <v>6</v>
      </c>
      <c r="J1659" s="10" t="s">
        <v>17</v>
      </c>
      <c r="K1659" s="1" t="s">
        <v>1951</v>
      </c>
      <c r="M1659" t="str">
        <f>+VLOOKUP(C1659,'[1]TIENDAS 2025'!$A$1:$C$143,3,0)</f>
        <v>nocturna</v>
      </c>
      <c r="O1659">
        <v>1</v>
      </c>
    </row>
    <row r="1660" spans="1:15" ht="15" customHeight="1" x14ac:dyDescent="0.3">
      <c r="A1660" s="7">
        <v>1209671070</v>
      </c>
      <c r="B1660" s="4" t="s">
        <v>339</v>
      </c>
      <c r="C1660" s="4" t="s">
        <v>340</v>
      </c>
      <c r="D1660" s="6">
        <v>46309.465381944399</v>
      </c>
      <c r="E1660" s="6">
        <v>46309.215347222198</v>
      </c>
      <c r="F1660" s="6">
        <v>46309</v>
      </c>
      <c r="G1660" s="5" t="s">
        <v>12</v>
      </c>
      <c r="H1660" s="5" t="s">
        <v>29</v>
      </c>
      <c r="I1660" s="5">
        <v>14</v>
      </c>
      <c r="J1660" s="9" t="s">
        <v>17</v>
      </c>
      <c r="K1660" s="1" t="s">
        <v>1952</v>
      </c>
      <c r="L1660" t="s">
        <v>3284</v>
      </c>
      <c r="M1660" t="str">
        <f>+VLOOKUP(C1660,'[1]TIENDAS 2025'!$A$1:$C$143,3,0)</f>
        <v>nocturna</v>
      </c>
      <c r="O1660">
        <v>1</v>
      </c>
    </row>
    <row r="1661" spans="1:15" ht="15" customHeight="1" x14ac:dyDescent="0.3">
      <c r="A1661" s="7">
        <v>1209670998</v>
      </c>
      <c r="B1661" s="4" t="s">
        <v>301</v>
      </c>
      <c r="C1661" s="4" t="s">
        <v>302</v>
      </c>
      <c r="D1661" s="6">
        <v>46309.465405092596</v>
      </c>
      <c r="E1661" s="6">
        <v>46309.215370370403</v>
      </c>
      <c r="F1661" s="6">
        <v>46309</v>
      </c>
      <c r="G1661" s="5" t="s">
        <v>12</v>
      </c>
      <c r="H1661" s="5" t="s">
        <v>16</v>
      </c>
      <c r="I1661" s="5">
        <v>5</v>
      </c>
      <c r="J1661" s="9" t="s">
        <v>17</v>
      </c>
      <c r="K1661" s="1" t="s">
        <v>1953</v>
      </c>
      <c r="L1661" t="s">
        <v>3284</v>
      </c>
      <c r="M1661" t="str">
        <f>+VLOOKUP(C1661,'[1]TIENDAS 2025'!$A$1:$C$143,3,0)</f>
        <v>departamental</v>
      </c>
      <c r="O1661">
        <v>1</v>
      </c>
    </row>
    <row r="1662" spans="1:15" ht="15" customHeight="1" x14ac:dyDescent="0.3">
      <c r="A1662" s="7">
        <v>1209671001</v>
      </c>
      <c r="B1662" s="4" t="s">
        <v>301</v>
      </c>
      <c r="C1662" s="4" t="s">
        <v>302</v>
      </c>
      <c r="D1662" s="6">
        <v>46309.465405092596</v>
      </c>
      <c r="E1662" s="6">
        <v>46309.215381944399</v>
      </c>
      <c r="F1662" s="6">
        <v>46309</v>
      </c>
      <c r="G1662" s="5" t="s">
        <v>12</v>
      </c>
      <c r="H1662" s="5" t="s">
        <v>16</v>
      </c>
      <c r="I1662" s="5">
        <v>13</v>
      </c>
      <c r="J1662" s="9" t="s">
        <v>17</v>
      </c>
      <c r="K1662" s="1" t="s">
        <v>1954</v>
      </c>
      <c r="L1662" t="s">
        <v>3284</v>
      </c>
      <c r="M1662" t="str">
        <f>+VLOOKUP(C1662,'[1]TIENDAS 2025'!$A$1:$C$143,3,0)</f>
        <v>departamental</v>
      </c>
      <c r="O1662">
        <v>1</v>
      </c>
    </row>
    <row r="1663" spans="1:15" ht="15" customHeight="1" x14ac:dyDescent="0.3">
      <c r="A1663" s="7">
        <v>1209670948</v>
      </c>
      <c r="B1663" s="4" t="s">
        <v>289</v>
      </c>
      <c r="C1663" s="4" t="s">
        <v>290</v>
      </c>
      <c r="D1663" s="6">
        <v>46309.465428240699</v>
      </c>
      <c r="E1663" s="6">
        <v>46309.215393518498</v>
      </c>
      <c r="F1663" s="6">
        <v>46309</v>
      </c>
      <c r="G1663" s="5" t="s">
        <v>12</v>
      </c>
      <c r="H1663" s="5" t="s">
        <v>29</v>
      </c>
      <c r="I1663" s="5">
        <v>15</v>
      </c>
      <c r="J1663" s="9" t="s">
        <v>17</v>
      </c>
      <c r="K1663" s="1" t="s">
        <v>1955</v>
      </c>
      <c r="L1663" t="s">
        <v>3284</v>
      </c>
      <c r="M1663" t="str">
        <f>+VLOOKUP(C1663,'[1]TIENDAS 2025'!$A$1:$C$143,3,0)</f>
        <v>departamental</v>
      </c>
      <c r="O1663">
        <v>1</v>
      </c>
    </row>
    <row r="1664" spans="1:15" ht="15" customHeight="1" x14ac:dyDescent="0.3">
      <c r="A1664" s="7">
        <v>8209670990</v>
      </c>
      <c r="B1664" s="4" t="s">
        <v>301</v>
      </c>
      <c r="C1664" s="4" t="s">
        <v>302</v>
      </c>
      <c r="D1664" s="6">
        <v>46309.465439814798</v>
      </c>
      <c r="E1664" s="6">
        <v>46309.215416666702</v>
      </c>
      <c r="F1664" s="6">
        <v>46309</v>
      </c>
      <c r="G1664" s="5" t="s">
        <v>12</v>
      </c>
      <c r="H1664" s="5" t="s">
        <v>27</v>
      </c>
      <c r="I1664" s="5">
        <v>1</v>
      </c>
      <c r="J1664" s="10" t="s">
        <v>17</v>
      </c>
      <c r="K1664" s="1" t="s">
        <v>1956</v>
      </c>
      <c r="M1664" t="str">
        <f>+VLOOKUP(C1664,'[1]TIENDAS 2025'!$A$1:$C$143,3,0)</f>
        <v>departamental</v>
      </c>
      <c r="O1664">
        <v>1</v>
      </c>
    </row>
    <row r="1665" spans="1:15" ht="15" customHeight="1" x14ac:dyDescent="0.3">
      <c r="A1665" s="7">
        <v>1209670950</v>
      </c>
      <c r="B1665" s="4" t="s">
        <v>289</v>
      </c>
      <c r="C1665" s="4" t="s">
        <v>290</v>
      </c>
      <c r="D1665" s="6">
        <v>46309.465462963002</v>
      </c>
      <c r="E1665" s="6">
        <v>46309.215428240699</v>
      </c>
      <c r="F1665" s="6">
        <v>46309</v>
      </c>
      <c r="G1665" s="5" t="s">
        <v>12</v>
      </c>
      <c r="H1665" s="5" t="s">
        <v>16</v>
      </c>
      <c r="I1665" s="5">
        <v>15</v>
      </c>
      <c r="J1665" s="9" t="s">
        <v>17</v>
      </c>
      <c r="K1665" s="1" t="s">
        <v>1957</v>
      </c>
      <c r="L1665" t="s">
        <v>3284</v>
      </c>
      <c r="M1665" t="str">
        <f>+VLOOKUP(C1665,'[1]TIENDAS 2025'!$A$1:$C$143,3,0)</f>
        <v>departamental</v>
      </c>
      <c r="O1665">
        <v>1</v>
      </c>
    </row>
    <row r="1666" spans="1:15" ht="15" customHeight="1" x14ac:dyDescent="0.3">
      <c r="A1666" s="7">
        <v>1209671065</v>
      </c>
      <c r="B1666" s="4" t="s">
        <v>339</v>
      </c>
      <c r="C1666" s="4" t="s">
        <v>340</v>
      </c>
      <c r="D1666" s="6">
        <v>46309.465486111098</v>
      </c>
      <c r="E1666" s="6">
        <v>46309.215439814798</v>
      </c>
      <c r="F1666" s="6">
        <v>46309</v>
      </c>
      <c r="G1666" s="5" t="s">
        <v>12</v>
      </c>
      <c r="H1666" s="5" t="s">
        <v>16</v>
      </c>
      <c r="I1666" s="5">
        <v>10</v>
      </c>
      <c r="J1666" s="9" t="s">
        <v>17</v>
      </c>
      <c r="K1666" s="1" t="s">
        <v>1958</v>
      </c>
      <c r="L1666" t="s">
        <v>3284</v>
      </c>
      <c r="M1666" t="str">
        <f>+VLOOKUP(C1666,'[1]TIENDAS 2025'!$A$1:$C$143,3,0)</f>
        <v>nocturna</v>
      </c>
      <c r="O1666">
        <v>1</v>
      </c>
    </row>
    <row r="1667" spans="1:15" ht="15" customHeight="1" x14ac:dyDescent="0.3">
      <c r="A1667" s="7">
        <v>8209670944</v>
      </c>
      <c r="B1667" s="4" t="s">
        <v>289</v>
      </c>
      <c r="C1667" s="4" t="s">
        <v>290</v>
      </c>
      <c r="D1667" s="6">
        <v>46309.465497685203</v>
      </c>
      <c r="E1667" s="6">
        <v>46309.215462963002</v>
      </c>
      <c r="F1667" s="6">
        <v>46309</v>
      </c>
      <c r="G1667" s="5" t="s">
        <v>12</v>
      </c>
      <c r="H1667" s="5" t="s">
        <v>27</v>
      </c>
      <c r="I1667" s="5">
        <v>7</v>
      </c>
      <c r="J1667" s="10" t="s">
        <v>17</v>
      </c>
      <c r="K1667" s="1" t="s">
        <v>1959</v>
      </c>
      <c r="M1667" t="str">
        <f>+VLOOKUP(C1667,'[1]TIENDAS 2025'!$A$1:$C$143,3,0)</f>
        <v>departamental</v>
      </c>
      <c r="O1667">
        <v>1</v>
      </c>
    </row>
    <row r="1668" spans="1:15" ht="15" customHeight="1" x14ac:dyDescent="0.3">
      <c r="A1668" s="7">
        <v>1209670947</v>
      </c>
      <c r="B1668" s="4" t="s">
        <v>289</v>
      </c>
      <c r="C1668" s="4" t="s">
        <v>290</v>
      </c>
      <c r="D1668" s="6">
        <v>46309.465520833299</v>
      </c>
      <c r="E1668" s="6">
        <v>46309.215486111098</v>
      </c>
      <c r="F1668" s="6">
        <v>46309</v>
      </c>
      <c r="G1668" s="5" t="s">
        <v>12</v>
      </c>
      <c r="H1668" s="5" t="s">
        <v>16</v>
      </c>
      <c r="I1668" s="5">
        <v>9</v>
      </c>
      <c r="J1668" s="9" t="s">
        <v>17</v>
      </c>
      <c r="K1668" s="1" t="s">
        <v>1960</v>
      </c>
      <c r="L1668" t="s">
        <v>3284</v>
      </c>
      <c r="M1668" t="str">
        <f>+VLOOKUP(C1668,'[1]TIENDAS 2025'!$A$1:$C$143,3,0)</f>
        <v>departamental</v>
      </c>
      <c r="O1668">
        <v>1</v>
      </c>
    </row>
    <row r="1669" spans="1:15" ht="15" customHeight="1" x14ac:dyDescent="0.3">
      <c r="A1669" s="7">
        <v>8209670989</v>
      </c>
      <c r="B1669" s="4" t="s">
        <v>301</v>
      </c>
      <c r="C1669" s="4" t="s">
        <v>302</v>
      </c>
      <c r="D1669" s="6">
        <v>46309.465532407397</v>
      </c>
      <c r="E1669" s="6">
        <v>46309.215509259302</v>
      </c>
      <c r="F1669" s="6">
        <v>46309</v>
      </c>
      <c r="G1669" s="5" t="s">
        <v>12</v>
      </c>
      <c r="H1669" s="5" t="s">
        <v>27</v>
      </c>
      <c r="I1669" s="5">
        <v>1</v>
      </c>
      <c r="J1669" s="10" t="s">
        <v>17</v>
      </c>
      <c r="K1669" s="1" t="s">
        <v>1961</v>
      </c>
      <c r="M1669" t="str">
        <f>+VLOOKUP(C1669,'[1]TIENDAS 2025'!$A$1:$C$143,3,0)</f>
        <v>departamental</v>
      </c>
      <c r="O1669">
        <v>1</v>
      </c>
    </row>
    <row r="1670" spans="1:15" ht="15" customHeight="1" x14ac:dyDescent="0.3">
      <c r="A1670" s="7">
        <v>1209671148</v>
      </c>
      <c r="B1670" s="4" t="s">
        <v>199</v>
      </c>
      <c r="C1670" s="4" t="s">
        <v>200</v>
      </c>
      <c r="D1670" s="6">
        <v>46309.465555555602</v>
      </c>
      <c r="E1670" s="6">
        <v>46309.215532407397</v>
      </c>
      <c r="F1670" s="6">
        <v>46309</v>
      </c>
      <c r="G1670" s="5" t="s">
        <v>12</v>
      </c>
      <c r="H1670" s="5" t="s">
        <v>29</v>
      </c>
      <c r="I1670" s="5">
        <v>45</v>
      </c>
      <c r="J1670" s="9" t="s">
        <v>17</v>
      </c>
      <c r="K1670" s="1" t="s">
        <v>1962</v>
      </c>
      <c r="L1670" t="s">
        <v>3284</v>
      </c>
      <c r="M1670" t="str">
        <f>+VLOOKUP(C1670,'[1]TIENDAS 2025'!$A$1:$C$143,3,0)</f>
        <v>departamental</v>
      </c>
      <c r="O1670">
        <v>1</v>
      </c>
    </row>
    <row r="1671" spans="1:15" ht="15" customHeight="1" x14ac:dyDescent="0.3">
      <c r="A1671" s="7">
        <v>1209671289</v>
      </c>
      <c r="B1671" s="4" t="s">
        <v>521</v>
      </c>
      <c r="C1671" s="4" t="s">
        <v>522</v>
      </c>
      <c r="D1671" s="6">
        <v>46309.468194444402</v>
      </c>
      <c r="E1671" s="6">
        <v>46309.218159722201</v>
      </c>
      <c r="F1671" s="6">
        <v>46309</v>
      </c>
      <c r="G1671" s="5" t="s">
        <v>12</v>
      </c>
      <c r="H1671" s="5" t="s">
        <v>16</v>
      </c>
      <c r="I1671" s="5">
        <v>16</v>
      </c>
      <c r="J1671" s="9" t="s">
        <v>17</v>
      </c>
      <c r="K1671" s="1" t="s">
        <v>1963</v>
      </c>
      <c r="L1671" t="s">
        <v>3284</v>
      </c>
      <c r="M1671" t="str">
        <f>+VLOOKUP(C1671,'[1]TIENDAS 2025'!$A$1:$C$143,3,0)</f>
        <v>local</v>
      </c>
      <c r="O1671">
        <v>1</v>
      </c>
    </row>
    <row r="1672" spans="1:15" ht="15" customHeight="1" x14ac:dyDescent="0.3">
      <c r="A1672" s="7">
        <v>1209671298</v>
      </c>
      <c r="B1672" s="4" t="s">
        <v>521</v>
      </c>
      <c r="C1672" s="4" t="s">
        <v>522</v>
      </c>
      <c r="D1672" s="6">
        <v>46309.4682060185</v>
      </c>
      <c r="E1672" s="6">
        <v>46309.218182870398</v>
      </c>
      <c r="F1672" s="6">
        <v>46309</v>
      </c>
      <c r="G1672" s="5" t="s">
        <v>12</v>
      </c>
      <c r="H1672" s="5" t="s">
        <v>16</v>
      </c>
      <c r="I1672" s="5">
        <v>2</v>
      </c>
      <c r="J1672" s="9" t="s">
        <v>17</v>
      </c>
      <c r="K1672" s="1" t="s">
        <v>1964</v>
      </c>
      <c r="L1672" t="s">
        <v>3284</v>
      </c>
      <c r="M1672" t="str">
        <f>+VLOOKUP(C1672,'[1]TIENDAS 2025'!$A$1:$C$143,3,0)</f>
        <v>local</v>
      </c>
      <c r="O1672">
        <v>1</v>
      </c>
    </row>
    <row r="1673" spans="1:15" ht="15" customHeight="1" x14ac:dyDescent="0.3">
      <c r="A1673" s="7">
        <v>1209671277</v>
      </c>
      <c r="B1673" s="4" t="s">
        <v>348</v>
      </c>
      <c r="C1673" s="4" t="s">
        <v>349</v>
      </c>
      <c r="D1673" s="6">
        <v>46309.468217592599</v>
      </c>
      <c r="E1673" s="6">
        <v>46309.218194444402</v>
      </c>
      <c r="F1673" s="6">
        <v>46309</v>
      </c>
      <c r="G1673" s="5" t="s">
        <v>12</v>
      </c>
      <c r="H1673" s="5" t="s">
        <v>16</v>
      </c>
      <c r="I1673" s="5">
        <v>10</v>
      </c>
      <c r="J1673" s="9" t="s">
        <v>17</v>
      </c>
      <c r="K1673" s="1" t="s">
        <v>1965</v>
      </c>
      <c r="L1673" t="s">
        <v>3284</v>
      </c>
      <c r="M1673" t="str">
        <f>+VLOOKUP(C1673,'[1]TIENDAS 2025'!$A$1:$C$143,3,0)</f>
        <v>local</v>
      </c>
      <c r="O1673">
        <v>1</v>
      </c>
    </row>
    <row r="1674" spans="1:15" ht="15" customHeight="1" x14ac:dyDescent="0.3">
      <c r="A1674" s="7">
        <v>8209671282</v>
      </c>
      <c r="B1674" s="4" t="s">
        <v>521</v>
      </c>
      <c r="C1674" s="4" t="s">
        <v>522</v>
      </c>
      <c r="D1674" s="6">
        <v>46309.468240740702</v>
      </c>
      <c r="E1674" s="6">
        <v>46309.2182060185</v>
      </c>
      <c r="F1674" s="6">
        <v>46309</v>
      </c>
      <c r="G1674" s="5" t="s">
        <v>12</v>
      </c>
      <c r="H1674" s="5" t="s">
        <v>27</v>
      </c>
      <c r="I1674" s="5">
        <v>21</v>
      </c>
      <c r="J1674" s="10" t="s">
        <v>17</v>
      </c>
      <c r="K1674" s="1" t="s">
        <v>1966</v>
      </c>
      <c r="M1674" t="str">
        <f>+VLOOKUP(C1674,'[1]TIENDAS 2025'!$A$1:$C$143,3,0)</f>
        <v>local</v>
      </c>
      <c r="O1674">
        <v>1</v>
      </c>
    </row>
    <row r="1675" spans="1:15" ht="15" customHeight="1" x14ac:dyDescent="0.3">
      <c r="A1675" s="7">
        <v>8209671191</v>
      </c>
      <c r="B1675" s="4" t="s">
        <v>342</v>
      </c>
      <c r="C1675" s="4" t="s">
        <v>343</v>
      </c>
      <c r="D1675" s="6">
        <v>46309.4682523148</v>
      </c>
      <c r="E1675" s="6">
        <v>46309.218217592599</v>
      </c>
      <c r="F1675" s="6">
        <v>46309</v>
      </c>
      <c r="G1675" s="5" t="s">
        <v>12</v>
      </c>
      <c r="H1675" s="5" t="s">
        <v>27</v>
      </c>
      <c r="I1675" s="5">
        <v>2</v>
      </c>
      <c r="J1675" s="10" t="s">
        <v>17</v>
      </c>
      <c r="K1675" s="1" t="s">
        <v>1967</v>
      </c>
      <c r="M1675" t="str">
        <f>+VLOOKUP(C1675,'[1]TIENDAS 2025'!$A$1:$C$143,3,0)</f>
        <v>local</v>
      </c>
      <c r="O1675">
        <v>1</v>
      </c>
    </row>
    <row r="1676" spans="1:15" ht="15" customHeight="1" x14ac:dyDescent="0.3">
      <c r="A1676" s="7">
        <v>1209671230</v>
      </c>
      <c r="B1676" s="4" t="s">
        <v>388</v>
      </c>
      <c r="C1676" s="4" t="s">
        <v>389</v>
      </c>
      <c r="D1676" s="6">
        <v>46309.468263888899</v>
      </c>
      <c r="E1676" s="6">
        <v>46309.218240740702</v>
      </c>
      <c r="F1676" s="6">
        <v>46309</v>
      </c>
      <c r="G1676" s="5" t="s">
        <v>12</v>
      </c>
      <c r="H1676" s="5" t="s">
        <v>16</v>
      </c>
      <c r="I1676" s="5">
        <v>17</v>
      </c>
      <c r="J1676" s="9" t="s">
        <v>17</v>
      </c>
      <c r="K1676" s="1" t="s">
        <v>1968</v>
      </c>
      <c r="L1676" t="s">
        <v>3284</v>
      </c>
      <c r="M1676" t="str">
        <f>+VLOOKUP(C1676,'[1]TIENDAS 2025'!$A$1:$C$143,3,0)</f>
        <v>departamental</v>
      </c>
      <c r="O1676">
        <v>1</v>
      </c>
    </row>
    <row r="1677" spans="1:15" ht="15" customHeight="1" x14ac:dyDescent="0.3">
      <c r="A1677" s="7">
        <v>1209671284</v>
      </c>
      <c r="B1677" s="4" t="s">
        <v>521</v>
      </c>
      <c r="C1677" s="4" t="s">
        <v>522</v>
      </c>
      <c r="D1677" s="6">
        <v>46309.468275462998</v>
      </c>
      <c r="E1677" s="6">
        <v>46309.2182523148</v>
      </c>
      <c r="F1677" s="6">
        <v>46309</v>
      </c>
      <c r="G1677" s="5" t="s">
        <v>12</v>
      </c>
      <c r="H1677" s="5" t="s">
        <v>16</v>
      </c>
      <c r="I1677" s="5">
        <v>2</v>
      </c>
      <c r="J1677" s="9" t="s">
        <v>17</v>
      </c>
      <c r="K1677" s="1" t="s">
        <v>1969</v>
      </c>
      <c r="L1677" t="s">
        <v>3284</v>
      </c>
      <c r="M1677" t="str">
        <f>+VLOOKUP(C1677,'[1]TIENDAS 2025'!$A$1:$C$143,3,0)</f>
        <v>local</v>
      </c>
      <c r="O1677">
        <v>1</v>
      </c>
    </row>
    <row r="1678" spans="1:15" ht="15" customHeight="1" x14ac:dyDescent="0.3">
      <c r="A1678" s="7">
        <v>1209671286</v>
      </c>
      <c r="B1678" s="4" t="s">
        <v>521</v>
      </c>
      <c r="C1678" s="4" t="s">
        <v>522</v>
      </c>
      <c r="D1678" s="6">
        <v>46309.4682986111</v>
      </c>
      <c r="E1678" s="6">
        <v>46309.218263888899</v>
      </c>
      <c r="F1678" s="6">
        <v>46309</v>
      </c>
      <c r="G1678" s="5" t="s">
        <v>12</v>
      </c>
      <c r="H1678" s="5" t="s">
        <v>16</v>
      </c>
      <c r="I1678" s="5">
        <v>6</v>
      </c>
      <c r="J1678" s="9" t="s">
        <v>17</v>
      </c>
      <c r="K1678" s="1" t="s">
        <v>1970</v>
      </c>
      <c r="L1678" t="s">
        <v>3284</v>
      </c>
      <c r="M1678" t="str">
        <f>+VLOOKUP(C1678,'[1]TIENDAS 2025'!$A$1:$C$143,3,0)</f>
        <v>local</v>
      </c>
      <c r="O1678">
        <v>1</v>
      </c>
    </row>
    <row r="1679" spans="1:15" ht="15" customHeight="1" x14ac:dyDescent="0.3">
      <c r="A1679" s="7">
        <v>1209671140</v>
      </c>
      <c r="B1679" s="4" t="s">
        <v>199</v>
      </c>
      <c r="C1679" s="4" t="s">
        <v>200</v>
      </c>
      <c r="D1679" s="6">
        <v>46309.468310185199</v>
      </c>
      <c r="E1679" s="6">
        <v>46309.218287037002</v>
      </c>
      <c r="F1679" s="6">
        <v>46309</v>
      </c>
      <c r="G1679" s="5" t="s">
        <v>12</v>
      </c>
      <c r="H1679" s="5" t="s">
        <v>29</v>
      </c>
      <c r="I1679" s="5">
        <v>14</v>
      </c>
      <c r="J1679" s="9" t="s">
        <v>17</v>
      </c>
      <c r="K1679" s="1" t="s">
        <v>1971</v>
      </c>
      <c r="L1679" t="s">
        <v>3284</v>
      </c>
      <c r="M1679" t="str">
        <f>+VLOOKUP(C1679,'[1]TIENDAS 2025'!$A$1:$C$143,3,0)</f>
        <v>departamental</v>
      </c>
      <c r="O1679">
        <v>1</v>
      </c>
    </row>
    <row r="1680" spans="1:15" ht="15" customHeight="1" x14ac:dyDescent="0.3">
      <c r="A1680" s="7">
        <v>1209671203</v>
      </c>
      <c r="B1680" s="4" t="s">
        <v>342</v>
      </c>
      <c r="C1680" s="4" t="s">
        <v>343</v>
      </c>
      <c r="D1680" s="6">
        <v>46309.468333333301</v>
      </c>
      <c r="E1680" s="6">
        <v>46309.2182986111</v>
      </c>
      <c r="F1680" s="6">
        <v>46309</v>
      </c>
      <c r="G1680" s="5" t="s">
        <v>12</v>
      </c>
      <c r="H1680" s="5" t="s">
        <v>16</v>
      </c>
      <c r="I1680" s="5">
        <v>34</v>
      </c>
      <c r="J1680" s="9" t="s">
        <v>17</v>
      </c>
      <c r="K1680" s="1" t="s">
        <v>1972</v>
      </c>
      <c r="L1680" t="s">
        <v>3284</v>
      </c>
      <c r="M1680" t="str">
        <f>+VLOOKUP(C1680,'[1]TIENDAS 2025'!$A$1:$C$143,3,0)</f>
        <v>local</v>
      </c>
      <c r="O1680">
        <v>1</v>
      </c>
    </row>
    <row r="1681" spans="1:15" ht="15" customHeight="1" x14ac:dyDescent="0.3">
      <c r="A1681" s="7">
        <v>8209671221</v>
      </c>
      <c r="B1681" s="4" t="s">
        <v>388</v>
      </c>
      <c r="C1681" s="4" t="s">
        <v>389</v>
      </c>
      <c r="D1681" s="6">
        <v>46309.468333333301</v>
      </c>
      <c r="E1681" s="6">
        <v>46309.218310185199</v>
      </c>
      <c r="F1681" s="6">
        <v>46309</v>
      </c>
      <c r="G1681" s="5" t="s">
        <v>12</v>
      </c>
      <c r="H1681" s="5" t="s">
        <v>27</v>
      </c>
      <c r="I1681" s="5">
        <v>7</v>
      </c>
      <c r="J1681" s="10" t="s">
        <v>17</v>
      </c>
      <c r="K1681" s="1" t="s">
        <v>1973</v>
      </c>
      <c r="M1681" t="str">
        <f>+VLOOKUP(C1681,'[1]TIENDAS 2025'!$A$1:$C$143,3,0)</f>
        <v>departamental</v>
      </c>
      <c r="O1681">
        <v>1</v>
      </c>
    </row>
    <row r="1682" spans="1:15" ht="15" customHeight="1" x14ac:dyDescent="0.3">
      <c r="A1682" s="7">
        <v>1209671263</v>
      </c>
      <c r="B1682" s="4" t="s">
        <v>348</v>
      </c>
      <c r="C1682" s="4" t="s">
        <v>349</v>
      </c>
      <c r="D1682" s="6">
        <v>46309.468356481499</v>
      </c>
      <c r="E1682" s="6">
        <v>46309.218321759297</v>
      </c>
      <c r="F1682" s="6">
        <v>46309</v>
      </c>
      <c r="G1682" s="5" t="s">
        <v>12</v>
      </c>
      <c r="H1682" s="5" t="s">
        <v>16</v>
      </c>
      <c r="I1682" s="5">
        <v>9</v>
      </c>
      <c r="J1682" s="9" t="s">
        <v>17</v>
      </c>
      <c r="K1682" s="1" t="s">
        <v>1974</v>
      </c>
      <c r="L1682" t="s">
        <v>3284</v>
      </c>
      <c r="M1682" t="str">
        <f>+VLOOKUP(C1682,'[1]TIENDAS 2025'!$A$1:$C$143,3,0)</f>
        <v>local</v>
      </c>
      <c r="O1682">
        <v>1</v>
      </c>
    </row>
    <row r="1683" spans="1:15" ht="15" customHeight="1" x14ac:dyDescent="0.3">
      <c r="A1683" s="7">
        <v>1209671228</v>
      </c>
      <c r="B1683" s="4" t="s">
        <v>388</v>
      </c>
      <c r="C1683" s="4" t="s">
        <v>389</v>
      </c>
      <c r="D1683" s="6">
        <v>46309.468368055597</v>
      </c>
      <c r="E1683" s="6">
        <v>46309.2183449074</v>
      </c>
      <c r="F1683" s="6">
        <v>46309</v>
      </c>
      <c r="G1683" s="5" t="s">
        <v>12</v>
      </c>
      <c r="H1683" s="5" t="s">
        <v>16</v>
      </c>
      <c r="I1683" s="5">
        <v>13</v>
      </c>
      <c r="J1683" s="9" t="s">
        <v>17</v>
      </c>
      <c r="K1683" s="1" t="s">
        <v>1975</v>
      </c>
      <c r="L1683" t="s">
        <v>3284</v>
      </c>
      <c r="M1683" t="str">
        <f>+VLOOKUP(C1683,'[1]TIENDAS 2025'!$A$1:$C$143,3,0)</f>
        <v>departamental</v>
      </c>
      <c r="O1683">
        <v>1</v>
      </c>
    </row>
    <row r="1684" spans="1:15" ht="15" customHeight="1" x14ac:dyDescent="0.3">
      <c r="A1684" s="7">
        <v>1209671267</v>
      </c>
      <c r="B1684" s="4" t="s">
        <v>348</v>
      </c>
      <c r="C1684" s="4" t="s">
        <v>349</v>
      </c>
      <c r="D1684" s="6">
        <v>46309.4683912037</v>
      </c>
      <c r="E1684" s="6">
        <v>46309.218356481499</v>
      </c>
      <c r="F1684" s="6">
        <v>46309</v>
      </c>
      <c r="G1684" s="5" t="s">
        <v>12</v>
      </c>
      <c r="H1684" s="5" t="s">
        <v>16</v>
      </c>
      <c r="I1684" s="5">
        <v>14</v>
      </c>
      <c r="J1684" s="9" t="s">
        <v>17</v>
      </c>
      <c r="K1684" s="1" t="s">
        <v>1976</v>
      </c>
      <c r="L1684" t="s">
        <v>3284</v>
      </c>
      <c r="M1684" t="str">
        <f>+VLOOKUP(C1684,'[1]TIENDAS 2025'!$A$1:$C$143,3,0)</f>
        <v>local</v>
      </c>
      <c r="O1684">
        <v>1</v>
      </c>
    </row>
    <row r="1685" spans="1:15" ht="15" customHeight="1" x14ac:dyDescent="0.3">
      <c r="A1685" s="7">
        <v>1209671205</v>
      </c>
      <c r="B1685" s="4" t="s">
        <v>342</v>
      </c>
      <c r="C1685" s="4" t="s">
        <v>343</v>
      </c>
      <c r="D1685" s="6">
        <v>46309.4683912037</v>
      </c>
      <c r="E1685" s="6">
        <v>46309.218368055597</v>
      </c>
      <c r="F1685" s="6">
        <v>46309</v>
      </c>
      <c r="G1685" s="5" t="s">
        <v>12</v>
      </c>
      <c r="H1685" s="5" t="s">
        <v>29</v>
      </c>
      <c r="I1685" s="5">
        <v>54</v>
      </c>
      <c r="J1685" s="9" t="s">
        <v>17</v>
      </c>
      <c r="K1685" s="1" t="s">
        <v>1977</v>
      </c>
      <c r="L1685" t="s">
        <v>3284</v>
      </c>
      <c r="M1685" t="str">
        <f>+VLOOKUP(C1685,'[1]TIENDAS 2025'!$A$1:$C$143,3,0)</f>
        <v>local</v>
      </c>
      <c r="O1685">
        <v>1</v>
      </c>
    </row>
    <row r="1686" spans="1:15" ht="15" customHeight="1" x14ac:dyDescent="0.3">
      <c r="A1686" s="7">
        <v>1209671232</v>
      </c>
      <c r="B1686" s="4" t="s">
        <v>388</v>
      </c>
      <c r="C1686" s="4" t="s">
        <v>389</v>
      </c>
      <c r="D1686" s="6">
        <v>46309.468414351897</v>
      </c>
      <c r="E1686" s="6">
        <v>46309.218379629601</v>
      </c>
      <c r="F1686" s="6">
        <v>46309</v>
      </c>
      <c r="G1686" s="5" t="s">
        <v>12</v>
      </c>
      <c r="H1686" s="5" t="s">
        <v>29</v>
      </c>
      <c r="I1686" s="5">
        <v>20</v>
      </c>
      <c r="J1686" s="9" t="s">
        <v>17</v>
      </c>
      <c r="K1686" s="1" t="s">
        <v>1978</v>
      </c>
      <c r="L1686" t="s">
        <v>3284</v>
      </c>
      <c r="M1686" t="str">
        <f>+VLOOKUP(C1686,'[1]TIENDAS 2025'!$A$1:$C$143,3,0)</f>
        <v>departamental</v>
      </c>
      <c r="O1686">
        <v>1</v>
      </c>
    </row>
    <row r="1687" spans="1:15" ht="15" customHeight="1" x14ac:dyDescent="0.3">
      <c r="A1687" s="7">
        <v>1209671196</v>
      </c>
      <c r="B1687" s="4" t="s">
        <v>342</v>
      </c>
      <c r="C1687" s="4" t="s">
        <v>343</v>
      </c>
      <c r="D1687" s="6">
        <v>46309.468425925901</v>
      </c>
      <c r="E1687" s="6">
        <v>46309.2183912037</v>
      </c>
      <c r="F1687" s="6">
        <v>46309</v>
      </c>
      <c r="G1687" s="5" t="s">
        <v>12</v>
      </c>
      <c r="H1687" s="5" t="s">
        <v>16</v>
      </c>
      <c r="I1687" s="5">
        <v>1</v>
      </c>
      <c r="J1687" s="9" t="s">
        <v>17</v>
      </c>
      <c r="K1687" s="1" t="s">
        <v>1979</v>
      </c>
      <c r="L1687" t="s">
        <v>3284</v>
      </c>
      <c r="M1687" t="str">
        <f>+VLOOKUP(C1687,'[1]TIENDAS 2025'!$A$1:$C$143,3,0)</f>
        <v>local</v>
      </c>
      <c r="O1687">
        <v>1</v>
      </c>
    </row>
    <row r="1688" spans="1:15" ht="15" customHeight="1" x14ac:dyDescent="0.3">
      <c r="A1688" s="7">
        <v>1209671226</v>
      </c>
      <c r="B1688" s="4" t="s">
        <v>388</v>
      </c>
      <c r="C1688" s="4" t="s">
        <v>389</v>
      </c>
      <c r="D1688" s="6">
        <v>46309.4684375</v>
      </c>
      <c r="E1688" s="6">
        <v>46309.218414351897</v>
      </c>
      <c r="F1688" s="6">
        <v>46309</v>
      </c>
      <c r="G1688" s="5" t="s">
        <v>12</v>
      </c>
      <c r="H1688" s="5" t="s">
        <v>16</v>
      </c>
      <c r="I1688" s="5">
        <v>9</v>
      </c>
      <c r="J1688" s="9" t="s">
        <v>17</v>
      </c>
      <c r="K1688" s="1" t="s">
        <v>1980</v>
      </c>
      <c r="L1688" t="s">
        <v>3284</v>
      </c>
      <c r="M1688" t="str">
        <f>+VLOOKUP(C1688,'[1]TIENDAS 2025'!$A$1:$C$143,3,0)</f>
        <v>departamental</v>
      </c>
      <c r="O1688">
        <v>1</v>
      </c>
    </row>
    <row r="1689" spans="1:15" ht="15" customHeight="1" x14ac:dyDescent="0.3">
      <c r="A1689" s="7">
        <v>1209671266</v>
      </c>
      <c r="B1689" s="4" t="s">
        <v>348</v>
      </c>
      <c r="C1689" s="4" t="s">
        <v>349</v>
      </c>
      <c r="D1689" s="6">
        <v>46309.468449074098</v>
      </c>
      <c r="E1689" s="6">
        <v>46309.218425925901</v>
      </c>
      <c r="F1689" s="6">
        <v>46309</v>
      </c>
      <c r="G1689" s="5" t="s">
        <v>12</v>
      </c>
      <c r="H1689" s="5" t="s">
        <v>29</v>
      </c>
      <c r="I1689" s="5">
        <v>9</v>
      </c>
      <c r="J1689" s="9" t="s">
        <v>17</v>
      </c>
      <c r="K1689" s="1" t="s">
        <v>1981</v>
      </c>
      <c r="L1689" t="s">
        <v>3284</v>
      </c>
      <c r="M1689" t="str">
        <f>+VLOOKUP(C1689,'[1]TIENDAS 2025'!$A$1:$C$143,3,0)</f>
        <v>local</v>
      </c>
      <c r="O1689">
        <v>1</v>
      </c>
    </row>
    <row r="1690" spans="1:15" ht="15" customHeight="1" x14ac:dyDescent="0.3">
      <c r="A1690" s="7">
        <v>8209671194</v>
      </c>
      <c r="B1690" s="4" t="s">
        <v>342</v>
      </c>
      <c r="C1690" s="4" t="s">
        <v>343</v>
      </c>
      <c r="D1690" s="6">
        <v>46309.468460648102</v>
      </c>
      <c r="E1690" s="6">
        <v>46309.2184375</v>
      </c>
      <c r="F1690" s="6">
        <v>46309</v>
      </c>
      <c r="G1690" s="5" t="s">
        <v>12</v>
      </c>
      <c r="H1690" s="5" t="s">
        <v>27</v>
      </c>
      <c r="I1690" s="5">
        <v>10</v>
      </c>
      <c r="J1690" s="10" t="s">
        <v>17</v>
      </c>
      <c r="K1690" s="1" t="s">
        <v>1982</v>
      </c>
      <c r="M1690" t="str">
        <f>+VLOOKUP(C1690,'[1]TIENDAS 2025'!$A$1:$C$143,3,0)</f>
        <v>local</v>
      </c>
      <c r="O1690">
        <v>1</v>
      </c>
    </row>
    <row r="1691" spans="1:15" ht="15" customHeight="1" x14ac:dyDescent="0.3">
      <c r="A1691" s="7">
        <v>8209671274</v>
      </c>
      <c r="B1691" s="4" t="s">
        <v>348</v>
      </c>
      <c r="C1691" s="4" t="s">
        <v>349</v>
      </c>
      <c r="D1691" s="6">
        <v>46309.4684837963</v>
      </c>
      <c r="E1691" s="6">
        <v>46309.218449074098</v>
      </c>
      <c r="F1691" s="6">
        <v>46309</v>
      </c>
      <c r="G1691" s="5" t="s">
        <v>12</v>
      </c>
      <c r="H1691" s="5" t="s">
        <v>27</v>
      </c>
      <c r="I1691" s="5">
        <v>1</v>
      </c>
      <c r="J1691" s="10" t="s">
        <v>17</v>
      </c>
      <c r="K1691" s="1" t="s">
        <v>1983</v>
      </c>
      <c r="M1691" t="str">
        <f>+VLOOKUP(C1691,'[1]TIENDAS 2025'!$A$1:$C$143,3,0)</f>
        <v>local</v>
      </c>
      <c r="O1691">
        <v>1</v>
      </c>
    </row>
    <row r="1692" spans="1:15" ht="15" customHeight="1" x14ac:dyDescent="0.3">
      <c r="A1692" s="7">
        <v>8209671280</v>
      </c>
      <c r="B1692" s="4" t="s">
        <v>521</v>
      </c>
      <c r="C1692" s="4" t="s">
        <v>522</v>
      </c>
      <c r="D1692" s="6">
        <v>46309.468495370398</v>
      </c>
      <c r="E1692" s="6">
        <v>46309.218472222201</v>
      </c>
      <c r="F1692" s="6">
        <v>46309</v>
      </c>
      <c r="G1692" s="5" t="s">
        <v>12</v>
      </c>
      <c r="H1692" s="5" t="s">
        <v>27</v>
      </c>
      <c r="I1692" s="5">
        <v>4</v>
      </c>
      <c r="J1692" s="10" t="s">
        <v>17</v>
      </c>
      <c r="K1692" s="1" t="s">
        <v>1984</v>
      </c>
      <c r="M1692" t="str">
        <f>+VLOOKUP(C1692,'[1]TIENDAS 2025'!$A$1:$C$143,3,0)</f>
        <v>local</v>
      </c>
      <c r="O1692">
        <v>1</v>
      </c>
    </row>
    <row r="1693" spans="1:15" ht="15" customHeight="1" x14ac:dyDescent="0.3">
      <c r="A1693" s="7">
        <v>8209671259</v>
      </c>
      <c r="B1693" s="4" t="s">
        <v>348</v>
      </c>
      <c r="C1693" s="4" t="s">
        <v>349</v>
      </c>
      <c r="D1693" s="6">
        <v>46309.468518518501</v>
      </c>
      <c r="E1693" s="6">
        <v>46309.2184837963</v>
      </c>
      <c r="F1693" s="6">
        <v>46309</v>
      </c>
      <c r="G1693" s="5" t="s">
        <v>12</v>
      </c>
      <c r="H1693" s="5" t="s">
        <v>27</v>
      </c>
      <c r="I1693" s="5">
        <v>3</v>
      </c>
      <c r="J1693" s="10" t="s">
        <v>17</v>
      </c>
      <c r="K1693" s="1" t="s">
        <v>1985</v>
      </c>
      <c r="M1693" t="str">
        <f>+VLOOKUP(C1693,'[1]TIENDAS 2025'!$A$1:$C$143,3,0)</f>
        <v>local</v>
      </c>
      <c r="O1693">
        <v>1</v>
      </c>
    </row>
    <row r="1694" spans="1:15" ht="15" customHeight="1" x14ac:dyDescent="0.3">
      <c r="A1694" s="7">
        <v>1209671287</v>
      </c>
      <c r="B1694" s="4" t="s">
        <v>521</v>
      </c>
      <c r="C1694" s="4" t="s">
        <v>522</v>
      </c>
      <c r="D1694" s="6">
        <v>46309.468530092599</v>
      </c>
      <c r="E1694" s="6">
        <v>46309.218495370398</v>
      </c>
      <c r="F1694" s="6">
        <v>46309</v>
      </c>
      <c r="G1694" s="5" t="s">
        <v>12</v>
      </c>
      <c r="H1694" s="5" t="s">
        <v>16</v>
      </c>
      <c r="I1694" s="5">
        <v>10</v>
      </c>
      <c r="J1694" s="9" t="s">
        <v>17</v>
      </c>
      <c r="K1694" s="1" t="s">
        <v>1986</v>
      </c>
      <c r="L1694" t="s">
        <v>3284</v>
      </c>
      <c r="M1694" t="str">
        <f>+VLOOKUP(C1694,'[1]TIENDAS 2025'!$A$1:$C$143,3,0)</f>
        <v>local</v>
      </c>
      <c r="O1694">
        <v>1</v>
      </c>
    </row>
    <row r="1695" spans="1:15" ht="15" customHeight="1" x14ac:dyDescent="0.3">
      <c r="A1695" s="7">
        <v>1209671290</v>
      </c>
      <c r="B1695" s="4" t="s">
        <v>521</v>
      </c>
      <c r="C1695" s="4" t="s">
        <v>522</v>
      </c>
      <c r="D1695" s="6">
        <v>46309.468541666698</v>
      </c>
      <c r="E1695" s="6">
        <v>46309.218518518501</v>
      </c>
      <c r="F1695" s="6">
        <v>46309</v>
      </c>
      <c r="G1695" s="5" t="s">
        <v>12</v>
      </c>
      <c r="H1695" s="5" t="s">
        <v>16</v>
      </c>
      <c r="I1695" s="5">
        <v>15</v>
      </c>
      <c r="J1695" s="9" t="s">
        <v>17</v>
      </c>
      <c r="K1695" s="1" t="s">
        <v>1987</v>
      </c>
      <c r="L1695" t="s">
        <v>3284</v>
      </c>
      <c r="M1695" t="str">
        <f>+VLOOKUP(C1695,'[1]TIENDAS 2025'!$A$1:$C$143,3,0)</f>
        <v>local</v>
      </c>
      <c r="O1695">
        <v>1</v>
      </c>
    </row>
    <row r="1696" spans="1:15" ht="15" customHeight="1" x14ac:dyDescent="0.3">
      <c r="A1696" s="7">
        <v>8209671279</v>
      </c>
      <c r="B1696" s="4" t="s">
        <v>521</v>
      </c>
      <c r="C1696" s="4" t="s">
        <v>522</v>
      </c>
      <c r="D1696" s="6">
        <v>46309.468564814801</v>
      </c>
      <c r="E1696" s="6">
        <v>46309.218530092599</v>
      </c>
      <c r="F1696" s="6">
        <v>46309</v>
      </c>
      <c r="G1696" s="5" t="s">
        <v>12</v>
      </c>
      <c r="H1696" s="5" t="s">
        <v>27</v>
      </c>
      <c r="I1696" s="5">
        <v>1</v>
      </c>
      <c r="J1696" s="10" t="s">
        <v>17</v>
      </c>
      <c r="K1696" s="1" t="s">
        <v>1988</v>
      </c>
      <c r="M1696" t="str">
        <f>+VLOOKUP(C1696,'[1]TIENDAS 2025'!$A$1:$C$143,3,0)</f>
        <v>local</v>
      </c>
      <c r="O1696">
        <v>1</v>
      </c>
    </row>
    <row r="1697" spans="1:15" ht="15" customHeight="1" x14ac:dyDescent="0.3">
      <c r="A1697" s="7">
        <v>8209671281</v>
      </c>
      <c r="B1697" s="4" t="s">
        <v>521</v>
      </c>
      <c r="C1697" s="4" t="s">
        <v>522</v>
      </c>
      <c r="D1697" s="6">
        <v>46309.468576388899</v>
      </c>
      <c r="E1697" s="6">
        <v>46309.218541666698</v>
      </c>
      <c r="F1697" s="6">
        <v>46309</v>
      </c>
      <c r="G1697" s="5" t="s">
        <v>12</v>
      </c>
      <c r="H1697" s="5" t="s">
        <v>27</v>
      </c>
      <c r="I1697" s="5">
        <v>5</v>
      </c>
      <c r="J1697" s="10" t="s">
        <v>17</v>
      </c>
      <c r="K1697" s="1" t="s">
        <v>1989</v>
      </c>
      <c r="M1697" t="str">
        <f>+VLOOKUP(C1697,'[1]TIENDAS 2025'!$A$1:$C$143,3,0)</f>
        <v>local</v>
      </c>
      <c r="O1697">
        <v>1</v>
      </c>
    </row>
    <row r="1698" spans="1:15" ht="15" customHeight="1" x14ac:dyDescent="0.3">
      <c r="A1698" s="7">
        <v>8209671193</v>
      </c>
      <c r="B1698" s="4" t="s">
        <v>342</v>
      </c>
      <c r="C1698" s="4" t="s">
        <v>343</v>
      </c>
      <c r="D1698" s="6">
        <v>46309.468587962998</v>
      </c>
      <c r="E1698" s="6">
        <v>46309.218564814801</v>
      </c>
      <c r="F1698" s="6">
        <v>46309</v>
      </c>
      <c r="G1698" s="5" t="s">
        <v>12</v>
      </c>
      <c r="H1698" s="5" t="s">
        <v>27</v>
      </c>
      <c r="I1698" s="5">
        <v>1</v>
      </c>
      <c r="J1698" s="10" t="s">
        <v>17</v>
      </c>
      <c r="K1698" s="1" t="s">
        <v>1990</v>
      </c>
      <c r="M1698" t="str">
        <f>+VLOOKUP(C1698,'[1]TIENDAS 2025'!$A$1:$C$143,3,0)</f>
        <v>local</v>
      </c>
      <c r="O1698">
        <v>1</v>
      </c>
    </row>
    <row r="1699" spans="1:15" ht="15" customHeight="1" x14ac:dyDescent="0.3">
      <c r="A1699" s="7">
        <v>1209671231</v>
      </c>
      <c r="B1699" s="4" t="s">
        <v>388</v>
      </c>
      <c r="C1699" s="4" t="s">
        <v>389</v>
      </c>
      <c r="D1699" s="6">
        <v>46309.468599537002</v>
      </c>
      <c r="E1699" s="6">
        <v>46309.218576388899</v>
      </c>
      <c r="F1699" s="6">
        <v>46309</v>
      </c>
      <c r="G1699" s="5" t="s">
        <v>12</v>
      </c>
      <c r="H1699" s="5" t="s">
        <v>16</v>
      </c>
      <c r="I1699" s="5">
        <v>23</v>
      </c>
      <c r="J1699" s="9" t="s">
        <v>17</v>
      </c>
      <c r="K1699" s="1" t="s">
        <v>1991</v>
      </c>
      <c r="L1699" t="s">
        <v>3284</v>
      </c>
      <c r="M1699" t="str">
        <f>+VLOOKUP(C1699,'[1]TIENDAS 2025'!$A$1:$C$143,3,0)</f>
        <v>departamental</v>
      </c>
      <c r="O1699">
        <v>1</v>
      </c>
    </row>
    <row r="1700" spans="1:15" ht="15" customHeight="1" x14ac:dyDescent="0.3">
      <c r="A1700" s="7">
        <v>1209671202</v>
      </c>
      <c r="B1700" s="4" t="s">
        <v>342</v>
      </c>
      <c r="C1700" s="4" t="s">
        <v>343</v>
      </c>
      <c r="D1700" s="6">
        <v>46309.468622685199</v>
      </c>
      <c r="E1700" s="6">
        <v>46309.218587962998</v>
      </c>
      <c r="F1700" s="6">
        <v>46309</v>
      </c>
      <c r="G1700" s="5" t="s">
        <v>12</v>
      </c>
      <c r="H1700" s="5" t="s">
        <v>16</v>
      </c>
      <c r="I1700" s="5">
        <v>21</v>
      </c>
      <c r="J1700" s="9" t="s">
        <v>17</v>
      </c>
      <c r="K1700" s="1" t="s">
        <v>1992</v>
      </c>
      <c r="L1700" t="s">
        <v>3284</v>
      </c>
      <c r="M1700" t="str">
        <f>+VLOOKUP(C1700,'[1]TIENDAS 2025'!$A$1:$C$143,3,0)</f>
        <v>local</v>
      </c>
      <c r="O1700">
        <v>1</v>
      </c>
    </row>
    <row r="1701" spans="1:15" ht="15" customHeight="1" x14ac:dyDescent="0.3">
      <c r="A1701" s="7">
        <v>8209671129</v>
      </c>
      <c r="B1701" s="4" t="s">
        <v>199</v>
      </c>
      <c r="C1701" s="4" t="s">
        <v>200</v>
      </c>
      <c r="D1701" s="6">
        <v>46309.468634259298</v>
      </c>
      <c r="E1701" s="6">
        <v>46309.218599537002</v>
      </c>
      <c r="F1701" s="6">
        <v>46309</v>
      </c>
      <c r="G1701" s="5" t="s">
        <v>12</v>
      </c>
      <c r="H1701" s="5" t="s">
        <v>27</v>
      </c>
      <c r="I1701" s="5">
        <v>2</v>
      </c>
      <c r="J1701" s="10" t="s">
        <v>17</v>
      </c>
      <c r="K1701" s="1" t="s">
        <v>1993</v>
      </c>
      <c r="M1701" t="str">
        <f>+VLOOKUP(C1701,'[1]TIENDAS 2025'!$A$1:$C$143,3,0)</f>
        <v>departamental</v>
      </c>
      <c r="O1701">
        <v>1</v>
      </c>
    </row>
    <row r="1702" spans="1:15" ht="15" customHeight="1" x14ac:dyDescent="0.3">
      <c r="A1702" s="7">
        <v>1209671199</v>
      </c>
      <c r="B1702" s="4" t="s">
        <v>342</v>
      </c>
      <c r="C1702" s="4" t="s">
        <v>343</v>
      </c>
      <c r="D1702" s="6">
        <v>46309.468645833302</v>
      </c>
      <c r="E1702" s="6">
        <v>46309.218622685199</v>
      </c>
      <c r="F1702" s="6">
        <v>46309</v>
      </c>
      <c r="G1702" s="5" t="s">
        <v>12</v>
      </c>
      <c r="H1702" s="5" t="s">
        <v>16</v>
      </c>
      <c r="I1702" s="5">
        <v>18</v>
      </c>
      <c r="J1702" s="9" t="s">
        <v>17</v>
      </c>
      <c r="K1702" s="1" t="s">
        <v>1994</v>
      </c>
      <c r="L1702" t="s">
        <v>3284</v>
      </c>
      <c r="M1702" t="str">
        <f>+VLOOKUP(C1702,'[1]TIENDAS 2025'!$A$1:$C$143,3,0)</f>
        <v>local</v>
      </c>
      <c r="O1702">
        <v>1</v>
      </c>
    </row>
    <row r="1703" spans="1:15" ht="15" customHeight="1" x14ac:dyDescent="0.3">
      <c r="A1703" s="7">
        <v>1209671144</v>
      </c>
      <c r="B1703" s="4" t="s">
        <v>199</v>
      </c>
      <c r="C1703" s="4" t="s">
        <v>200</v>
      </c>
      <c r="D1703" s="6">
        <v>46309.4686574074</v>
      </c>
      <c r="E1703" s="6">
        <v>46309.218634259298</v>
      </c>
      <c r="F1703" s="6">
        <v>46309</v>
      </c>
      <c r="G1703" s="5" t="s">
        <v>12</v>
      </c>
      <c r="H1703" s="5" t="s">
        <v>29</v>
      </c>
      <c r="I1703" s="5">
        <v>27</v>
      </c>
      <c r="J1703" s="9" t="s">
        <v>17</v>
      </c>
      <c r="K1703" s="1" t="s">
        <v>1995</v>
      </c>
      <c r="L1703" t="s">
        <v>3284</v>
      </c>
      <c r="M1703" t="str">
        <f>+VLOOKUP(C1703,'[1]TIENDAS 2025'!$A$1:$C$143,3,0)</f>
        <v>departamental</v>
      </c>
      <c r="O1703">
        <v>1</v>
      </c>
    </row>
    <row r="1704" spans="1:15" ht="15" customHeight="1" x14ac:dyDescent="0.3">
      <c r="A1704" s="7">
        <v>1209671200</v>
      </c>
      <c r="B1704" s="4" t="s">
        <v>342</v>
      </c>
      <c r="C1704" s="4" t="s">
        <v>343</v>
      </c>
      <c r="D1704" s="6">
        <v>46309.468668981499</v>
      </c>
      <c r="E1704" s="6">
        <v>46309.218645833302</v>
      </c>
      <c r="F1704" s="6">
        <v>46309</v>
      </c>
      <c r="G1704" s="5" t="s">
        <v>12</v>
      </c>
      <c r="H1704" s="5" t="s">
        <v>16</v>
      </c>
      <c r="I1704" s="5">
        <v>19</v>
      </c>
      <c r="J1704" s="9" t="s">
        <v>17</v>
      </c>
      <c r="K1704" s="1" t="s">
        <v>1996</v>
      </c>
      <c r="L1704" t="s">
        <v>3284</v>
      </c>
      <c r="M1704" t="str">
        <f>+VLOOKUP(C1704,'[1]TIENDAS 2025'!$A$1:$C$143,3,0)</f>
        <v>local</v>
      </c>
      <c r="O1704">
        <v>1</v>
      </c>
    </row>
    <row r="1705" spans="1:15" ht="15" customHeight="1" x14ac:dyDescent="0.3">
      <c r="A1705" s="7">
        <v>1209671288</v>
      </c>
      <c r="B1705" s="4" t="s">
        <v>521</v>
      </c>
      <c r="C1705" s="4" t="s">
        <v>522</v>
      </c>
      <c r="D1705" s="6">
        <v>46309.468692129602</v>
      </c>
      <c r="E1705" s="6">
        <v>46309.2186574074</v>
      </c>
      <c r="F1705" s="6">
        <v>46309</v>
      </c>
      <c r="G1705" s="5" t="s">
        <v>12</v>
      </c>
      <c r="H1705" s="5" t="s">
        <v>16</v>
      </c>
      <c r="I1705" s="5">
        <v>16</v>
      </c>
      <c r="J1705" s="9" t="s">
        <v>17</v>
      </c>
      <c r="K1705" s="1" t="s">
        <v>1997</v>
      </c>
      <c r="L1705" t="s">
        <v>3284</v>
      </c>
      <c r="M1705" t="str">
        <f>+VLOOKUP(C1705,'[1]TIENDAS 2025'!$A$1:$C$143,3,0)</f>
        <v>local</v>
      </c>
      <c r="O1705">
        <v>1</v>
      </c>
    </row>
    <row r="1706" spans="1:15" ht="15" customHeight="1" x14ac:dyDescent="0.3">
      <c r="A1706" s="7">
        <v>1209671293</v>
      </c>
      <c r="B1706" s="4" t="s">
        <v>521</v>
      </c>
      <c r="C1706" s="4" t="s">
        <v>522</v>
      </c>
      <c r="D1706" s="6">
        <v>46309.4687037037</v>
      </c>
      <c r="E1706" s="6">
        <v>46309.218668981499</v>
      </c>
      <c r="F1706" s="6">
        <v>46309</v>
      </c>
      <c r="G1706" s="5" t="s">
        <v>12</v>
      </c>
      <c r="H1706" s="5" t="s">
        <v>29</v>
      </c>
      <c r="I1706" s="5">
        <v>30</v>
      </c>
      <c r="J1706" s="9" t="s">
        <v>17</v>
      </c>
      <c r="K1706" s="1" t="s">
        <v>1998</v>
      </c>
      <c r="L1706" t="s">
        <v>3284</v>
      </c>
      <c r="M1706" t="str">
        <f>+VLOOKUP(C1706,'[1]TIENDAS 2025'!$A$1:$C$143,3,0)</f>
        <v>local</v>
      </c>
      <c r="O1706">
        <v>1</v>
      </c>
    </row>
    <row r="1707" spans="1:15" ht="15" customHeight="1" x14ac:dyDescent="0.3">
      <c r="A1707" s="7">
        <v>8209671190</v>
      </c>
      <c r="B1707" s="4" t="s">
        <v>342</v>
      </c>
      <c r="C1707" s="4" t="s">
        <v>343</v>
      </c>
      <c r="D1707" s="6">
        <v>46309.468715277799</v>
      </c>
      <c r="E1707" s="6">
        <v>46309.218692129602</v>
      </c>
      <c r="F1707" s="6">
        <v>46309</v>
      </c>
      <c r="G1707" s="5" t="s">
        <v>12</v>
      </c>
      <c r="H1707" s="5" t="s">
        <v>27</v>
      </c>
      <c r="I1707" s="5">
        <v>6</v>
      </c>
      <c r="J1707" s="10" t="s">
        <v>17</v>
      </c>
      <c r="K1707" s="1" t="s">
        <v>1999</v>
      </c>
      <c r="M1707" t="str">
        <f>+VLOOKUP(C1707,'[1]TIENDAS 2025'!$A$1:$C$143,3,0)</f>
        <v>local</v>
      </c>
      <c r="O1707">
        <v>1</v>
      </c>
    </row>
    <row r="1708" spans="1:15" ht="15" customHeight="1" x14ac:dyDescent="0.3">
      <c r="A1708" s="7">
        <v>8209671260</v>
      </c>
      <c r="B1708" s="4" t="s">
        <v>348</v>
      </c>
      <c r="C1708" s="4" t="s">
        <v>349</v>
      </c>
      <c r="D1708" s="6">
        <v>46309.468726851897</v>
      </c>
      <c r="E1708" s="6">
        <v>46309.2187037037</v>
      </c>
      <c r="F1708" s="6">
        <v>46309</v>
      </c>
      <c r="G1708" s="5" t="s">
        <v>12</v>
      </c>
      <c r="H1708" s="5" t="s">
        <v>27</v>
      </c>
      <c r="I1708" s="5">
        <v>7</v>
      </c>
      <c r="J1708" s="10" t="s">
        <v>17</v>
      </c>
      <c r="K1708" s="1" t="s">
        <v>2000</v>
      </c>
      <c r="M1708" t="str">
        <f>+VLOOKUP(C1708,'[1]TIENDAS 2025'!$A$1:$C$143,3,0)</f>
        <v>local</v>
      </c>
      <c r="O1708">
        <v>1</v>
      </c>
    </row>
    <row r="1709" spans="1:15" ht="15" customHeight="1" x14ac:dyDescent="0.3">
      <c r="A1709" s="7">
        <v>8209671134</v>
      </c>
      <c r="B1709" s="4" t="s">
        <v>199</v>
      </c>
      <c r="C1709" s="4" t="s">
        <v>200</v>
      </c>
      <c r="D1709" s="6">
        <v>46309.46875</v>
      </c>
      <c r="E1709" s="6">
        <v>46309.218715277799</v>
      </c>
      <c r="F1709" s="6">
        <v>46309</v>
      </c>
      <c r="G1709" s="5" t="s">
        <v>12</v>
      </c>
      <c r="H1709" s="5" t="s">
        <v>27</v>
      </c>
      <c r="I1709" s="5">
        <v>14</v>
      </c>
      <c r="J1709" s="10" t="s">
        <v>17</v>
      </c>
      <c r="K1709" s="1" t="s">
        <v>2001</v>
      </c>
      <c r="M1709" t="str">
        <f>+VLOOKUP(C1709,'[1]TIENDAS 2025'!$A$1:$C$143,3,0)</f>
        <v>departamental</v>
      </c>
      <c r="O1709">
        <v>1</v>
      </c>
    </row>
    <row r="1710" spans="1:15" ht="15" customHeight="1" x14ac:dyDescent="0.3">
      <c r="A1710" s="7">
        <v>1209671262</v>
      </c>
      <c r="B1710" s="4" t="s">
        <v>348</v>
      </c>
      <c r="C1710" s="4" t="s">
        <v>349</v>
      </c>
      <c r="D1710" s="6">
        <v>46309.468761574099</v>
      </c>
      <c r="E1710" s="6">
        <v>46309.218738425901</v>
      </c>
      <c r="F1710" s="6">
        <v>46309</v>
      </c>
      <c r="G1710" s="5" t="s">
        <v>12</v>
      </c>
      <c r="H1710" s="5" t="s">
        <v>16</v>
      </c>
      <c r="I1710" s="5">
        <v>3</v>
      </c>
      <c r="J1710" s="9" t="s">
        <v>17</v>
      </c>
      <c r="K1710" s="1" t="s">
        <v>2002</v>
      </c>
      <c r="L1710" t="s">
        <v>3284</v>
      </c>
      <c r="M1710" t="str">
        <f>+VLOOKUP(C1710,'[1]TIENDAS 2025'!$A$1:$C$143,3,0)</f>
        <v>local</v>
      </c>
      <c r="O1710">
        <v>1</v>
      </c>
    </row>
    <row r="1711" spans="1:15" ht="15" customHeight="1" x14ac:dyDescent="0.3">
      <c r="A1711" s="7">
        <v>8209671222</v>
      </c>
      <c r="B1711" s="4" t="s">
        <v>388</v>
      </c>
      <c r="C1711" s="4" t="s">
        <v>389</v>
      </c>
      <c r="D1711" s="6">
        <v>46309.468784722201</v>
      </c>
      <c r="E1711" s="6">
        <v>46309.21875</v>
      </c>
      <c r="F1711" s="6">
        <v>46309</v>
      </c>
      <c r="G1711" s="5" t="s">
        <v>12</v>
      </c>
      <c r="H1711" s="5" t="s">
        <v>27</v>
      </c>
      <c r="I1711" s="5">
        <v>12</v>
      </c>
      <c r="J1711" s="10" t="s">
        <v>17</v>
      </c>
      <c r="K1711" s="1" t="s">
        <v>2003</v>
      </c>
      <c r="M1711" t="str">
        <f>+VLOOKUP(C1711,'[1]TIENDAS 2025'!$A$1:$C$143,3,0)</f>
        <v>departamental</v>
      </c>
      <c r="O1711">
        <v>1</v>
      </c>
    </row>
    <row r="1712" spans="1:15" ht="15" customHeight="1" x14ac:dyDescent="0.3">
      <c r="A1712" s="7">
        <v>8209671223</v>
      </c>
      <c r="B1712" s="4" t="s">
        <v>388</v>
      </c>
      <c r="C1712" s="4" t="s">
        <v>389</v>
      </c>
      <c r="D1712" s="6">
        <v>46309.468784722201</v>
      </c>
      <c r="E1712" s="6">
        <v>46309.218761574099</v>
      </c>
      <c r="F1712" s="6">
        <v>46309</v>
      </c>
      <c r="G1712" s="5" t="s">
        <v>12</v>
      </c>
      <c r="H1712" s="5" t="s">
        <v>27</v>
      </c>
      <c r="I1712" s="5">
        <v>9</v>
      </c>
      <c r="J1712" s="10" t="s">
        <v>17</v>
      </c>
      <c r="K1712" s="1" t="s">
        <v>2004</v>
      </c>
      <c r="M1712" t="str">
        <f>+VLOOKUP(C1712,'[1]TIENDAS 2025'!$A$1:$C$143,3,0)</f>
        <v>departamental</v>
      </c>
      <c r="O1712">
        <v>1</v>
      </c>
    </row>
    <row r="1713" spans="1:15" ht="15" customHeight="1" x14ac:dyDescent="0.3">
      <c r="A1713" s="7">
        <v>1209671225</v>
      </c>
      <c r="B1713" s="4" t="s">
        <v>388</v>
      </c>
      <c r="C1713" s="4" t="s">
        <v>389</v>
      </c>
      <c r="D1713" s="6">
        <v>46309.468807870398</v>
      </c>
      <c r="E1713" s="6">
        <v>46309.218784722201</v>
      </c>
      <c r="F1713" s="6">
        <v>46309</v>
      </c>
      <c r="G1713" s="5" t="s">
        <v>12</v>
      </c>
      <c r="H1713" s="5" t="s">
        <v>16</v>
      </c>
      <c r="I1713" s="5">
        <v>2</v>
      </c>
      <c r="J1713" s="9" t="s">
        <v>17</v>
      </c>
      <c r="K1713" s="1" t="s">
        <v>2005</v>
      </c>
      <c r="L1713" t="s">
        <v>3284</v>
      </c>
      <c r="M1713" t="str">
        <f>+VLOOKUP(C1713,'[1]TIENDAS 2025'!$A$1:$C$143,3,0)</f>
        <v>departamental</v>
      </c>
      <c r="O1713">
        <v>1</v>
      </c>
    </row>
    <row r="1714" spans="1:15" ht="15" customHeight="1" x14ac:dyDescent="0.3">
      <c r="A1714" s="7">
        <v>1209671268</v>
      </c>
      <c r="B1714" s="4" t="s">
        <v>348</v>
      </c>
      <c r="C1714" s="4" t="s">
        <v>349</v>
      </c>
      <c r="D1714" s="6">
        <v>46309.468831018501</v>
      </c>
      <c r="E1714" s="6">
        <v>46309.2187962963</v>
      </c>
      <c r="F1714" s="6">
        <v>46309</v>
      </c>
      <c r="G1714" s="5" t="s">
        <v>12</v>
      </c>
      <c r="H1714" s="5" t="s">
        <v>29</v>
      </c>
      <c r="I1714" s="5">
        <v>32</v>
      </c>
      <c r="J1714" s="9" t="s">
        <v>17</v>
      </c>
      <c r="K1714" s="1" t="s">
        <v>2006</v>
      </c>
      <c r="L1714" t="s">
        <v>3284</v>
      </c>
      <c r="M1714" t="str">
        <f>+VLOOKUP(C1714,'[1]TIENDAS 2025'!$A$1:$C$143,3,0)</f>
        <v>local</v>
      </c>
      <c r="O1714">
        <v>1</v>
      </c>
    </row>
    <row r="1715" spans="1:15" ht="15" customHeight="1" x14ac:dyDescent="0.3">
      <c r="A1715" s="7">
        <v>1209671160</v>
      </c>
      <c r="B1715" s="4" t="s">
        <v>199</v>
      </c>
      <c r="C1715" s="4" t="s">
        <v>200</v>
      </c>
      <c r="D1715" s="6">
        <v>46309.4688425926</v>
      </c>
      <c r="E1715" s="6">
        <v>46309.218819444402</v>
      </c>
      <c r="F1715" s="6">
        <v>46309</v>
      </c>
      <c r="G1715" s="5" t="s">
        <v>12</v>
      </c>
      <c r="H1715" s="5" t="s">
        <v>16</v>
      </c>
      <c r="I1715" s="5">
        <v>31</v>
      </c>
      <c r="J1715" s="9" t="s">
        <v>17</v>
      </c>
      <c r="K1715" s="1" t="s">
        <v>2007</v>
      </c>
      <c r="L1715" t="s">
        <v>3284</v>
      </c>
      <c r="M1715" t="str">
        <f>+VLOOKUP(C1715,'[1]TIENDAS 2025'!$A$1:$C$143,3,0)</f>
        <v>departamental</v>
      </c>
      <c r="O1715">
        <v>1</v>
      </c>
    </row>
    <row r="1716" spans="1:15" ht="15" customHeight="1" x14ac:dyDescent="0.3">
      <c r="A1716" s="7">
        <v>8209671283</v>
      </c>
      <c r="B1716" s="4" t="s">
        <v>521</v>
      </c>
      <c r="C1716" s="4" t="s">
        <v>522</v>
      </c>
      <c r="D1716" s="6">
        <v>46309.468865740702</v>
      </c>
      <c r="E1716" s="6">
        <v>46309.2188425926</v>
      </c>
      <c r="F1716" s="6">
        <v>46309</v>
      </c>
      <c r="G1716" s="5" t="s">
        <v>12</v>
      </c>
      <c r="H1716" s="5" t="s">
        <v>27</v>
      </c>
      <c r="I1716" s="5">
        <v>4</v>
      </c>
      <c r="J1716" s="10" t="s">
        <v>17</v>
      </c>
      <c r="K1716" s="1" t="s">
        <v>2008</v>
      </c>
      <c r="M1716" t="str">
        <f>+VLOOKUP(C1716,'[1]TIENDAS 2025'!$A$1:$C$143,3,0)</f>
        <v>local</v>
      </c>
      <c r="O1716">
        <v>1</v>
      </c>
    </row>
    <row r="1717" spans="1:15" ht="15" customHeight="1" x14ac:dyDescent="0.3">
      <c r="A1717" s="7">
        <v>8209671188</v>
      </c>
      <c r="B1717" s="4" t="s">
        <v>342</v>
      </c>
      <c r="C1717" s="4" t="s">
        <v>343</v>
      </c>
      <c r="D1717" s="6">
        <v>46309.468865740702</v>
      </c>
      <c r="E1717" s="6">
        <v>46309.218831018501</v>
      </c>
      <c r="F1717" s="6">
        <v>46309</v>
      </c>
      <c r="G1717" s="5" t="s">
        <v>12</v>
      </c>
      <c r="H1717" s="5" t="s">
        <v>27</v>
      </c>
      <c r="I1717" s="5">
        <v>4</v>
      </c>
      <c r="J1717" s="10" t="s">
        <v>17</v>
      </c>
      <c r="K1717" s="1" t="s">
        <v>2009</v>
      </c>
      <c r="M1717" t="str">
        <f>+VLOOKUP(C1717,'[1]TIENDAS 2025'!$A$1:$C$143,3,0)</f>
        <v>local</v>
      </c>
      <c r="O1717">
        <v>1</v>
      </c>
    </row>
    <row r="1718" spans="1:15" ht="15" customHeight="1" x14ac:dyDescent="0.3">
      <c r="A1718" s="7">
        <v>1209671210</v>
      </c>
      <c r="B1718" s="4" t="s">
        <v>342</v>
      </c>
      <c r="C1718" s="4" t="s">
        <v>343</v>
      </c>
      <c r="D1718" s="6">
        <v>46309.4688888889</v>
      </c>
      <c r="E1718" s="6">
        <v>46309.218854166698</v>
      </c>
      <c r="F1718" s="6">
        <v>46309</v>
      </c>
      <c r="G1718" s="5" t="s">
        <v>12</v>
      </c>
      <c r="H1718" s="5" t="s">
        <v>16</v>
      </c>
      <c r="I1718" s="5">
        <v>36</v>
      </c>
      <c r="J1718" s="9" t="s">
        <v>17</v>
      </c>
      <c r="K1718" s="1" t="s">
        <v>2010</v>
      </c>
      <c r="L1718" t="s">
        <v>3284</v>
      </c>
      <c r="M1718" t="str">
        <f>+VLOOKUP(C1718,'[1]TIENDAS 2025'!$A$1:$C$143,3,0)</f>
        <v>local</v>
      </c>
      <c r="O1718">
        <v>1</v>
      </c>
    </row>
    <row r="1719" spans="1:15" ht="15" customHeight="1" x14ac:dyDescent="0.3">
      <c r="A1719" s="7">
        <v>1209671233</v>
      </c>
      <c r="B1719" s="4" t="s">
        <v>388</v>
      </c>
      <c r="C1719" s="4" t="s">
        <v>389</v>
      </c>
      <c r="D1719" s="6">
        <v>46309.468900462998</v>
      </c>
      <c r="E1719" s="6">
        <v>46309.218877314801</v>
      </c>
      <c r="F1719" s="6">
        <v>46309</v>
      </c>
      <c r="G1719" s="5" t="s">
        <v>12</v>
      </c>
      <c r="H1719" s="5" t="s">
        <v>29</v>
      </c>
      <c r="I1719" s="5">
        <v>32</v>
      </c>
      <c r="J1719" s="9" t="s">
        <v>17</v>
      </c>
      <c r="K1719" s="1" t="s">
        <v>2011</v>
      </c>
      <c r="L1719" t="s">
        <v>3284</v>
      </c>
      <c r="M1719" t="str">
        <f>+VLOOKUP(C1719,'[1]TIENDAS 2025'!$A$1:$C$143,3,0)</f>
        <v>departamental</v>
      </c>
      <c r="O1719">
        <v>1</v>
      </c>
    </row>
    <row r="1720" spans="1:15" ht="15" customHeight="1" x14ac:dyDescent="0.3">
      <c r="A1720" s="7">
        <v>1209671143</v>
      </c>
      <c r="B1720" s="4" t="s">
        <v>199</v>
      </c>
      <c r="C1720" s="4" t="s">
        <v>200</v>
      </c>
      <c r="D1720" s="6">
        <v>46309.468912037002</v>
      </c>
      <c r="E1720" s="6">
        <v>46309.2188888889</v>
      </c>
      <c r="F1720" s="6">
        <v>46309</v>
      </c>
      <c r="G1720" s="5" t="s">
        <v>12</v>
      </c>
      <c r="H1720" s="5" t="s">
        <v>29</v>
      </c>
      <c r="I1720" s="5">
        <v>18</v>
      </c>
      <c r="J1720" s="9" t="s">
        <v>17</v>
      </c>
      <c r="K1720" s="1" t="s">
        <v>2012</v>
      </c>
      <c r="L1720" t="s">
        <v>3284</v>
      </c>
      <c r="M1720" t="str">
        <f>+VLOOKUP(C1720,'[1]TIENDAS 2025'!$A$1:$C$143,3,0)</f>
        <v>departamental</v>
      </c>
      <c r="O1720">
        <v>1</v>
      </c>
    </row>
    <row r="1721" spans="1:15" ht="15" customHeight="1" x14ac:dyDescent="0.3">
      <c r="A1721" s="7">
        <v>1209671264</v>
      </c>
      <c r="B1721" s="4" t="s">
        <v>348</v>
      </c>
      <c r="C1721" s="4" t="s">
        <v>349</v>
      </c>
      <c r="D1721" s="6">
        <v>46309.468923611101</v>
      </c>
      <c r="E1721" s="6">
        <v>46309.218900462998</v>
      </c>
      <c r="F1721" s="6">
        <v>46309</v>
      </c>
      <c r="G1721" s="5" t="s">
        <v>12</v>
      </c>
      <c r="H1721" s="5" t="s">
        <v>16</v>
      </c>
      <c r="I1721" s="5">
        <v>8</v>
      </c>
      <c r="J1721" s="9" t="s">
        <v>17</v>
      </c>
      <c r="K1721" s="1" t="s">
        <v>2013</v>
      </c>
      <c r="L1721" t="s">
        <v>3284</v>
      </c>
      <c r="M1721" t="str">
        <f>+VLOOKUP(C1721,'[1]TIENDAS 2025'!$A$1:$C$143,3,0)</f>
        <v>local</v>
      </c>
      <c r="O1721">
        <v>1</v>
      </c>
    </row>
    <row r="1722" spans="1:15" ht="15" customHeight="1" x14ac:dyDescent="0.3">
      <c r="A1722" s="7">
        <v>1209671204</v>
      </c>
      <c r="B1722" s="4" t="s">
        <v>342</v>
      </c>
      <c r="C1722" s="4" t="s">
        <v>343</v>
      </c>
      <c r="D1722" s="6">
        <v>46309.468946759298</v>
      </c>
      <c r="E1722" s="6">
        <v>46309.218912037002</v>
      </c>
      <c r="F1722" s="6">
        <v>46309</v>
      </c>
      <c r="G1722" s="5" t="s">
        <v>12</v>
      </c>
      <c r="H1722" s="5" t="s">
        <v>16</v>
      </c>
      <c r="I1722" s="5">
        <v>1</v>
      </c>
      <c r="J1722" s="9" t="s">
        <v>17</v>
      </c>
      <c r="K1722" s="1" t="s">
        <v>2014</v>
      </c>
      <c r="L1722" t="s">
        <v>3284</v>
      </c>
      <c r="M1722" t="str">
        <f>+VLOOKUP(C1722,'[1]TIENDAS 2025'!$A$1:$C$143,3,0)</f>
        <v>local</v>
      </c>
      <c r="O1722">
        <v>1</v>
      </c>
    </row>
    <row r="1723" spans="1:15" ht="15" customHeight="1" x14ac:dyDescent="0.3">
      <c r="A1723" s="7">
        <v>1209671227</v>
      </c>
      <c r="B1723" s="4" t="s">
        <v>388</v>
      </c>
      <c r="C1723" s="4" t="s">
        <v>389</v>
      </c>
      <c r="D1723" s="6">
        <v>46309.468958333302</v>
      </c>
      <c r="E1723" s="6">
        <v>46309.218935185199</v>
      </c>
      <c r="F1723" s="6">
        <v>46309</v>
      </c>
      <c r="G1723" s="5" t="s">
        <v>12</v>
      </c>
      <c r="H1723" s="5" t="s">
        <v>16</v>
      </c>
      <c r="I1723" s="5">
        <v>6</v>
      </c>
      <c r="J1723" s="9" t="s">
        <v>17</v>
      </c>
      <c r="K1723" s="1" t="s">
        <v>2015</v>
      </c>
      <c r="L1723" t="s">
        <v>3284</v>
      </c>
      <c r="M1723" t="str">
        <f>+VLOOKUP(C1723,'[1]TIENDAS 2025'!$A$1:$C$143,3,0)</f>
        <v>departamental</v>
      </c>
      <c r="O1723">
        <v>1</v>
      </c>
    </row>
    <row r="1724" spans="1:15" ht="15" customHeight="1" x14ac:dyDescent="0.3">
      <c r="A1724" s="7">
        <v>1209671276</v>
      </c>
      <c r="B1724" s="4" t="s">
        <v>348</v>
      </c>
      <c r="C1724" s="4" t="s">
        <v>349</v>
      </c>
      <c r="D1724" s="6">
        <v>46309.468981481499</v>
      </c>
      <c r="E1724" s="6">
        <v>46309.218958333302</v>
      </c>
      <c r="F1724" s="6">
        <v>46309</v>
      </c>
      <c r="G1724" s="5" t="s">
        <v>12</v>
      </c>
      <c r="H1724" s="5" t="s">
        <v>16</v>
      </c>
      <c r="I1724" s="5">
        <v>1</v>
      </c>
      <c r="J1724" s="9" t="s">
        <v>17</v>
      </c>
      <c r="K1724" s="1" t="s">
        <v>2016</v>
      </c>
      <c r="L1724" t="s">
        <v>3284</v>
      </c>
      <c r="M1724" t="str">
        <f>+VLOOKUP(C1724,'[1]TIENDAS 2025'!$A$1:$C$143,3,0)</f>
        <v>local</v>
      </c>
      <c r="O1724">
        <v>1</v>
      </c>
    </row>
    <row r="1725" spans="1:15" ht="15" customHeight="1" x14ac:dyDescent="0.3">
      <c r="A1725" s="7">
        <v>1209671145</v>
      </c>
      <c r="B1725" s="4" t="s">
        <v>199</v>
      </c>
      <c r="C1725" s="4" t="s">
        <v>200</v>
      </c>
      <c r="D1725" s="6">
        <v>46309.468981481499</v>
      </c>
      <c r="E1725" s="6">
        <v>46309.218946759298</v>
      </c>
      <c r="F1725" s="6">
        <v>46309</v>
      </c>
      <c r="G1725" s="5" t="s">
        <v>12</v>
      </c>
      <c r="H1725" s="5" t="s">
        <v>16</v>
      </c>
      <c r="I1725" s="5">
        <v>29</v>
      </c>
      <c r="J1725" s="9" t="s">
        <v>17</v>
      </c>
      <c r="K1725" s="1" t="s">
        <v>2017</v>
      </c>
      <c r="L1725" t="s">
        <v>3284</v>
      </c>
      <c r="M1725" t="str">
        <f>+VLOOKUP(C1725,'[1]TIENDAS 2025'!$A$1:$C$143,3,0)</f>
        <v>departamental</v>
      </c>
      <c r="O1725">
        <v>1</v>
      </c>
    </row>
    <row r="1726" spans="1:15" ht="15" customHeight="1" x14ac:dyDescent="0.3">
      <c r="A1726" s="7">
        <v>1209671291</v>
      </c>
      <c r="B1726" s="4" t="s">
        <v>521</v>
      </c>
      <c r="C1726" s="4" t="s">
        <v>522</v>
      </c>
      <c r="D1726" s="6">
        <v>46309.469004629602</v>
      </c>
      <c r="E1726" s="6">
        <v>46309.218981481499</v>
      </c>
      <c r="F1726" s="6">
        <v>46309</v>
      </c>
      <c r="G1726" s="5" t="s">
        <v>12</v>
      </c>
      <c r="H1726" s="5" t="s">
        <v>16</v>
      </c>
      <c r="I1726" s="5">
        <v>15</v>
      </c>
      <c r="J1726" s="9" t="s">
        <v>17</v>
      </c>
      <c r="K1726" s="1" t="s">
        <v>2018</v>
      </c>
      <c r="L1726" t="s">
        <v>3284</v>
      </c>
      <c r="M1726" t="str">
        <f>+VLOOKUP(C1726,'[1]TIENDAS 2025'!$A$1:$C$143,3,0)</f>
        <v>local</v>
      </c>
      <c r="O1726">
        <v>1</v>
      </c>
    </row>
    <row r="1727" spans="1:15" ht="15" customHeight="1" x14ac:dyDescent="0.3">
      <c r="A1727" s="7">
        <v>8209671278</v>
      </c>
      <c r="B1727" s="4" t="s">
        <v>521</v>
      </c>
      <c r="C1727" s="4" t="s">
        <v>522</v>
      </c>
      <c r="D1727" s="6">
        <v>46309.4690162037</v>
      </c>
      <c r="E1727" s="6">
        <v>46309.218993055598</v>
      </c>
      <c r="F1727" s="6">
        <v>46309</v>
      </c>
      <c r="G1727" s="5" t="s">
        <v>12</v>
      </c>
      <c r="H1727" s="5" t="s">
        <v>27</v>
      </c>
      <c r="I1727" s="5">
        <v>1</v>
      </c>
      <c r="J1727" s="10" t="s">
        <v>17</v>
      </c>
      <c r="K1727" s="1" t="s">
        <v>2019</v>
      </c>
      <c r="M1727" t="str">
        <f>+VLOOKUP(C1727,'[1]TIENDAS 2025'!$A$1:$C$143,3,0)</f>
        <v>local</v>
      </c>
      <c r="O1727">
        <v>1</v>
      </c>
    </row>
    <row r="1728" spans="1:15" ht="15" customHeight="1" x14ac:dyDescent="0.3">
      <c r="A1728" s="7">
        <v>8209671189</v>
      </c>
      <c r="B1728" s="4" t="s">
        <v>342</v>
      </c>
      <c r="C1728" s="4" t="s">
        <v>343</v>
      </c>
      <c r="D1728" s="6">
        <v>46309.469039351898</v>
      </c>
      <c r="E1728" s="6">
        <v>46309.219004629602</v>
      </c>
      <c r="F1728" s="6">
        <v>46309</v>
      </c>
      <c r="G1728" s="5" t="s">
        <v>12</v>
      </c>
      <c r="H1728" s="5" t="s">
        <v>27</v>
      </c>
      <c r="I1728" s="5">
        <v>1</v>
      </c>
      <c r="J1728" s="10" t="s">
        <v>17</v>
      </c>
      <c r="K1728" s="1" t="s">
        <v>2020</v>
      </c>
      <c r="M1728" t="str">
        <f>+VLOOKUP(C1728,'[1]TIENDAS 2025'!$A$1:$C$143,3,0)</f>
        <v>local</v>
      </c>
      <c r="O1728">
        <v>1</v>
      </c>
    </row>
    <row r="1729" spans="1:15" ht="15" customHeight="1" x14ac:dyDescent="0.3">
      <c r="A1729" s="7">
        <v>8209671192</v>
      </c>
      <c r="B1729" s="4" t="s">
        <v>342</v>
      </c>
      <c r="C1729" s="4" t="s">
        <v>343</v>
      </c>
      <c r="D1729" s="6">
        <v>46309.469039351898</v>
      </c>
      <c r="E1729" s="6">
        <v>46309.2190162037</v>
      </c>
      <c r="F1729" s="6">
        <v>46309</v>
      </c>
      <c r="G1729" s="5" t="s">
        <v>12</v>
      </c>
      <c r="H1729" s="5" t="s">
        <v>27</v>
      </c>
      <c r="I1729" s="5">
        <v>12</v>
      </c>
      <c r="J1729" s="10" t="s">
        <v>17</v>
      </c>
      <c r="K1729" s="1" t="s">
        <v>2021</v>
      </c>
      <c r="M1729" t="str">
        <f>+VLOOKUP(C1729,'[1]TIENDAS 2025'!$A$1:$C$143,3,0)</f>
        <v>local</v>
      </c>
      <c r="O1729">
        <v>1</v>
      </c>
    </row>
    <row r="1730" spans="1:15" ht="15" customHeight="1" x14ac:dyDescent="0.3">
      <c r="A1730" s="7">
        <v>1209671197</v>
      </c>
      <c r="B1730" s="4" t="s">
        <v>342</v>
      </c>
      <c r="C1730" s="4" t="s">
        <v>343</v>
      </c>
      <c r="D1730" s="6">
        <v>46309.4690625</v>
      </c>
      <c r="E1730" s="6">
        <v>46309.219039351898</v>
      </c>
      <c r="F1730" s="6">
        <v>46309</v>
      </c>
      <c r="G1730" s="5" t="s">
        <v>12</v>
      </c>
      <c r="H1730" s="5" t="s">
        <v>16</v>
      </c>
      <c r="I1730" s="5">
        <v>5</v>
      </c>
      <c r="J1730" s="9" t="s">
        <v>17</v>
      </c>
      <c r="K1730" s="1" t="s">
        <v>2022</v>
      </c>
      <c r="L1730" t="s">
        <v>3284</v>
      </c>
      <c r="M1730" t="str">
        <f>+VLOOKUP(C1730,'[1]TIENDAS 2025'!$A$1:$C$143,3,0)</f>
        <v>local</v>
      </c>
      <c r="O1730">
        <v>1</v>
      </c>
    </row>
    <row r="1731" spans="1:15" ht="15" customHeight="1" x14ac:dyDescent="0.3">
      <c r="A1731" s="7">
        <v>8209671220</v>
      </c>
      <c r="B1731" s="4" t="s">
        <v>388</v>
      </c>
      <c r="C1731" s="4" t="s">
        <v>389</v>
      </c>
      <c r="D1731" s="6">
        <v>46309.469074074099</v>
      </c>
      <c r="E1731" s="6">
        <v>46309.219050925902</v>
      </c>
      <c r="F1731" s="6">
        <v>46309</v>
      </c>
      <c r="G1731" s="5" t="s">
        <v>12</v>
      </c>
      <c r="H1731" s="5" t="s">
        <v>27</v>
      </c>
      <c r="I1731" s="5">
        <v>2</v>
      </c>
      <c r="J1731" s="10" t="s">
        <v>17</v>
      </c>
      <c r="K1731" s="1" t="s">
        <v>2023</v>
      </c>
      <c r="M1731" t="str">
        <f>+VLOOKUP(C1731,'[1]TIENDAS 2025'!$A$1:$C$143,3,0)</f>
        <v>departamental</v>
      </c>
      <c r="O1731">
        <v>1</v>
      </c>
    </row>
    <row r="1732" spans="1:15" ht="15" customHeight="1" x14ac:dyDescent="0.3">
      <c r="A1732" s="7">
        <v>8209671224</v>
      </c>
      <c r="B1732" s="4" t="s">
        <v>388</v>
      </c>
      <c r="C1732" s="4" t="s">
        <v>389</v>
      </c>
      <c r="D1732" s="6">
        <v>46309.469097222202</v>
      </c>
      <c r="E1732" s="6">
        <v>46309.2190625</v>
      </c>
      <c r="F1732" s="6">
        <v>46309</v>
      </c>
      <c r="G1732" s="5" t="s">
        <v>12</v>
      </c>
      <c r="H1732" s="5" t="s">
        <v>27</v>
      </c>
      <c r="I1732" s="5">
        <v>8</v>
      </c>
      <c r="J1732" s="10" t="s">
        <v>17</v>
      </c>
      <c r="K1732" s="1" t="s">
        <v>2024</v>
      </c>
      <c r="M1732" t="str">
        <f>+VLOOKUP(C1732,'[1]TIENDAS 2025'!$A$1:$C$143,3,0)</f>
        <v>departamental</v>
      </c>
      <c r="O1732">
        <v>1</v>
      </c>
    </row>
    <row r="1733" spans="1:15" ht="15" customHeight="1" x14ac:dyDescent="0.3">
      <c r="A1733" s="7">
        <v>1209671292</v>
      </c>
      <c r="B1733" s="4" t="s">
        <v>521</v>
      </c>
      <c r="C1733" s="4" t="s">
        <v>522</v>
      </c>
      <c r="D1733" s="6">
        <v>46309.469120370399</v>
      </c>
      <c r="E1733" s="6">
        <v>46309.219097222202</v>
      </c>
      <c r="F1733" s="6">
        <v>46309</v>
      </c>
      <c r="G1733" s="5" t="s">
        <v>12</v>
      </c>
      <c r="H1733" s="5" t="s">
        <v>29</v>
      </c>
      <c r="I1733" s="5">
        <v>20</v>
      </c>
      <c r="J1733" s="9" t="s">
        <v>17</v>
      </c>
      <c r="K1733" s="1" t="s">
        <v>2025</v>
      </c>
      <c r="L1733" t="s">
        <v>3284</v>
      </c>
      <c r="M1733" t="str">
        <f>+VLOOKUP(C1733,'[1]TIENDAS 2025'!$A$1:$C$143,3,0)</f>
        <v>local</v>
      </c>
      <c r="O1733">
        <v>1</v>
      </c>
    </row>
    <row r="1734" spans="1:15" ht="15" customHeight="1" x14ac:dyDescent="0.3">
      <c r="A1734" s="7">
        <v>1209671201</v>
      </c>
      <c r="B1734" s="4" t="s">
        <v>342</v>
      </c>
      <c r="C1734" s="4" t="s">
        <v>343</v>
      </c>
      <c r="D1734" s="6">
        <v>46309.469120370399</v>
      </c>
      <c r="E1734" s="6">
        <v>46309.219085648103</v>
      </c>
      <c r="F1734" s="6">
        <v>46309</v>
      </c>
      <c r="G1734" s="5" t="s">
        <v>12</v>
      </c>
      <c r="H1734" s="5" t="s">
        <v>16</v>
      </c>
      <c r="I1734" s="5">
        <v>15</v>
      </c>
      <c r="J1734" s="9" t="s">
        <v>17</v>
      </c>
      <c r="K1734" s="1" t="s">
        <v>2026</v>
      </c>
      <c r="L1734" t="s">
        <v>3284</v>
      </c>
      <c r="M1734" t="str">
        <f>+VLOOKUP(C1734,'[1]TIENDAS 2025'!$A$1:$C$143,3,0)</f>
        <v>local</v>
      </c>
      <c r="O1734">
        <v>1</v>
      </c>
    </row>
    <row r="1735" spans="1:15" ht="15" customHeight="1" x14ac:dyDescent="0.3">
      <c r="A1735" s="7">
        <v>1209671285</v>
      </c>
      <c r="B1735" s="4" t="s">
        <v>521</v>
      </c>
      <c r="C1735" s="4" t="s">
        <v>522</v>
      </c>
      <c r="D1735" s="6">
        <v>46309.469143518501</v>
      </c>
      <c r="E1735" s="6">
        <v>46309.2191087963</v>
      </c>
      <c r="F1735" s="6">
        <v>46309</v>
      </c>
      <c r="G1735" s="5" t="s">
        <v>12</v>
      </c>
      <c r="H1735" s="5" t="s">
        <v>16</v>
      </c>
      <c r="I1735" s="5">
        <v>2</v>
      </c>
      <c r="J1735" s="9" t="s">
        <v>17</v>
      </c>
      <c r="K1735" s="1" t="s">
        <v>2027</v>
      </c>
      <c r="L1735" t="s">
        <v>3284</v>
      </c>
      <c r="M1735" t="str">
        <f>+VLOOKUP(C1735,'[1]TIENDAS 2025'!$A$1:$C$143,3,0)</f>
        <v>local</v>
      </c>
      <c r="O1735">
        <v>1</v>
      </c>
    </row>
    <row r="1736" spans="1:15" ht="15" customHeight="1" x14ac:dyDescent="0.3">
      <c r="A1736" s="7">
        <v>8209671133</v>
      </c>
      <c r="B1736" s="4" t="s">
        <v>199</v>
      </c>
      <c r="C1736" s="4" t="s">
        <v>200</v>
      </c>
      <c r="D1736" s="6">
        <v>46309.4691550926</v>
      </c>
      <c r="E1736" s="6">
        <v>46309.219131944403</v>
      </c>
      <c r="F1736" s="6">
        <v>46309</v>
      </c>
      <c r="G1736" s="5" t="s">
        <v>12</v>
      </c>
      <c r="H1736" s="5" t="s">
        <v>27</v>
      </c>
      <c r="I1736" s="5">
        <v>1</v>
      </c>
      <c r="J1736" s="10" t="s">
        <v>17</v>
      </c>
      <c r="K1736" s="1" t="s">
        <v>2028</v>
      </c>
      <c r="M1736" t="str">
        <f>+VLOOKUP(C1736,'[1]TIENDAS 2025'!$A$1:$C$143,3,0)</f>
        <v>departamental</v>
      </c>
      <c r="O1736">
        <v>1</v>
      </c>
    </row>
    <row r="1737" spans="1:15" ht="15" customHeight="1" x14ac:dyDescent="0.3">
      <c r="A1737" s="7">
        <v>1209671198</v>
      </c>
      <c r="B1737" s="4" t="s">
        <v>342</v>
      </c>
      <c r="C1737" s="4" t="s">
        <v>343</v>
      </c>
      <c r="D1737" s="6">
        <v>46309.469178240703</v>
      </c>
      <c r="E1737" s="6">
        <v>46309.219143518501</v>
      </c>
      <c r="F1737" s="6">
        <v>46309</v>
      </c>
      <c r="G1737" s="5" t="s">
        <v>12</v>
      </c>
      <c r="H1737" s="5" t="s">
        <v>29</v>
      </c>
      <c r="I1737" s="5">
        <v>6</v>
      </c>
      <c r="J1737" s="9" t="s">
        <v>17</v>
      </c>
      <c r="K1737" s="1" t="s">
        <v>2029</v>
      </c>
      <c r="L1737" t="s">
        <v>3284</v>
      </c>
      <c r="M1737" t="str">
        <f>+VLOOKUP(C1737,'[1]TIENDAS 2025'!$A$1:$C$143,3,0)</f>
        <v>local</v>
      </c>
      <c r="O1737">
        <v>1</v>
      </c>
    </row>
    <row r="1738" spans="1:15" ht="15" customHeight="1" x14ac:dyDescent="0.3">
      <c r="A1738" s="7">
        <v>1209671237</v>
      </c>
      <c r="B1738" s="4" t="s">
        <v>388</v>
      </c>
      <c r="C1738" s="4" t="s">
        <v>389</v>
      </c>
      <c r="D1738" s="6">
        <v>46309.469189814801</v>
      </c>
      <c r="E1738" s="6">
        <v>46309.2191550926</v>
      </c>
      <c r="F1738" s="6">
        <v>46309</v>
      </c>
      <c r="G1738" s="5" t="s">
        <v>12</v>
      </c>
      <c r="H1738" s="5" t="s">
        <v>29</v>
      </c>
      <c r="I1738" s="5">
        <v>31</v>
      </c>
      <c r="J1738" s="9" t="s">
        <v>17</v>
      </c>
      <c r="K1738" s="1" t="s">
        <v>2030</v>
      </c>
      <c r="L1738" t="s">
        <v>3284</v>
      </c>
      <c r="M1738" t="str">
        <f>+VLOOKUP(C1738,'[1]TIENDAS 2025'!$A$1:$C$143,3,0)</f>
        <v>departamental</v>
      </c>
      <c r="O1738">
        <v>1</v>
      </c>
    </row>
    <row r="1739" spans="1:15" ht="15" customHeight="1" x14ac:dyDescent="0.3">
      <c r="A1739" s="7">
        <v>1209671265</v>
      </c>
      <c r="B1739" s="4" t="s">
        <v>348</v>
      </c>
      <c r="C1739" s="4" t="s">
        <v>349</v>
      </c>
      <c r="D1739" s="6">
        <v>46309.4692013889</v>
      </c>
      <c r="E1739" s="6">
        <v>46309.219166666699</v>
      </c>
      <c r="F1739" s="6">
        <v>46309</v>
      </c>
      <c r="G1739" s="5" t="s">
        <v>12</v>
      </c>
      <c r="H1739" s="5" t="s">
        <v>16</v>
      </c>
      <c r="I1739" s="5">
        <v>13</v>
      </c>
      <c r="J1739" s="9" t="s">
        <v>17</v>
      </c>
      <c r="K1739" s="1" t="s">
        <v>2031</v>
      </c>
      <c r="L1739" t="s">
        <v>3284</v>
      </c>
      <c r="M1739" t="str">
        <f>+VLOOKUP(C1739,'[1]TIENDAS 2025'!$A$1:$C$143,3,0)</f>
        <v>local</v>
      </c>
      <c r="O1739">
        <v>1</v>
      </c>
    </row>
    <row r="1740" spans="1:15" ht="15" customHeight="1" x14ac:dyDescent="0.3">
      <c r="A1740" s="7">
        <v>1209671229</v>
      </c>
      <c r="B1740" s="4" t="s">
        <v>388</v>
      </c>
      <c r="C1740" s="4" t="s">
        <v>389</v>
      </c>
      <c r="D1740" s="6">
        <v>46309.469212962998</v>
      </c>
      <c r="E1740" s="6">
        <v>46309.219189814801</v>
      </c>
      <c r="F1740" s="6">
        <v>46309</v>
      </c>
      <c r="G1740" s="5" t="s">
        <v>12</v>
      </c>
      <c r="H1740" s="5" t="s">
        <v>29</v>
      </c>
      <c r="I1740" s="5">
        <v>10</v>
      </c>
      <c r="J1740" s="9" t="s">
        <v>17</v>
      </c>
      <c r="K1740" s="1" t="s">
        <v>2032</v>
      </c>
      <c r="L1740" t="s">
        <v>3284</v>
      </c>
      <c r="M1740" t="str">
        <f>+VLOOKUP(C1740,'[1]TIENDAS 2025'!$A$1:$C$143,3,0)</f>
        <v>departamental</v>
      </c>
      <c r="O1740">
        <v>1</v>
      </c>
    </row>
    <row r="1741" spans="1:15" ht="15" customHeight="1" x14ac:dyDescent="0.3">
      <c r="A1741" s="7">
        <v>1209671328</v>
      </c>
      <c r="B1741" s="4" t="s">
        <v>262</v>
      </c>
      <c r="C1741" s="4" t="s">
        <v>263</v>
      </c>
      <c r="D1741" s="6">
        <v>46309.471666666701</v>
      </c>
      <c r="E1741" s="6">
        <v>46309.221631944398</v>
      </c>
      <c r="F1741" s="6">
        <v>46309</v>
      </c>
      <c r="G1741" s="5" t="s">
        <v>12</v>
      </c>
      <c r="H1741" s="5" t="s">
        <v>29</v>
      </c>
      <c r="I1741" s="5">
        <v>27</v>
      </c>
      <c r="J1741" s="9" t="s">
        <v>17</v>
      </c>
      <c r="K1741" s="1" t="s">
        <v>2033</v>
      </c>
      <c r="L1741" t="s">
        <v>3284</v>
      </c>
      <c r="M1741" t="str">
        <f>+VLOOKUP(C1741,'[1]TIENDAS 2025'!$A$1:$C$143,3,0)</f>
        <v>departamental</v>
      </c>
      <c r="O1741">
        <v>1</v>
      </c>
    </row>
    <row r="1742" spans="1:15" ht="15" customHeight="1" x14ac:dyDescent="0.3">
      <c r="A1742" s="7">
        <v>1209671336</v>
      </c>
      <c r="B1742" s="4" t="s">
        <v>262</v>
      </c>
      <c r="C1742" s="4" t="s">
        <v>263</v>
      </c>
      <c r="D1742" s="6">
        <v>46309.471678240698</v>
      </c>
      <c r="E1742" s="6">
        <v>46309.221655092602</v>
      </c>
      <c r="F1742" s="6">
        <v>46309</v>
      </c>
      <c r="G1742" s="5" t="s">
        <v>12</v>
      </c>
      <c r="H1742" s="5" t="s">
        <v>16</v>
      </c>
      <c r="I1742" s="5">
        <v>1</v>
      </c>
      <c r="J1742" s="9" t="s">
        <v>17</v>
      </c>
      <c r="K1742" s="1" t="s">
        <v>2034</v>
      </c>
      <c r="L1742" t="s">
        <v>3284</v>
      </c>
      <c r="M1742" t="str">
        <f>+VLOOKUP(C1742,'[1]TIENDAS 2025'!$A$1:$C$143,3,0)</f>
        <v>departamental</v>
      </c>
      <c r="O1742">
        <v>1</v>
      </c>
    </row>
    <row r="1743" spans="1:15" ht="15" customHeight="1" x14ac:dyDescent="0.3">
      <c r="A1743" s="7">
        <v>1209671324</v>
      </c>
      <c r="B1743" s="4" t="s">
        <v>262</v>
      </c>
      <c r="C1743" s="4" t="s">
        <v>263</v>
      </c>
      <c r="D1743" s="6">
        <v>46309.471701388902</v>
      </c>
      <c r="E1743" s="6">
        <v>46309.221666666701</v>
      </c>
      <c r="F1743" s="6">
        <v>46309</v>
      </c>
      <c r="G1743" s="5" t="s">
        <v>12</v>
      </c>
      <c r="H1743" s="5" t="s">
        <v>16</v>
      </c>
      <c r="I1743" s="5">
        <v>16</v>
      </c>
      <c r="J1743" s="9" t="s">
        <v>17</v>
      </c>
      <c r="K1743" s="1" t="s">
        <v>2035</v>
      </c>
      <c r="L1743" t="s">
        <v>3284</v>
      </c>
      <c r="M1743" t="str">
        <f>+VLOOKUP(C1743,'[1]TIENDAS 2025'!$A$1:$C$143,3,0)</f>
        <v>departamental</v>
      </c>
      <c r="O1743">
        <v>1</v>
      </c>
    </row>
    <row r="1744" spans="1:15" ht="15" customHeight="1" x14ac:dyDescent="0.3">
      <c r="A1744" s="7">
        <v>1209671414</v>
      </c>
      <c r="B1744" s="4" t="s">
        <v>454</v>
      </c>
      <c r="C1744" s="4" t="s">
        <v>455</v>
      </c>
      <c r="D1744" s="6">
        <v>46309.471701388902</v>
      </c>
      <c r="E1744" s="6">
        <v>46309.221678240698</v>
      </c>
      <c r="F1744" s="6">
        <v>46309</v>
      </c>
      <c r="G1744" s="5" t="s">
        <v>12</v>
      </c>
      <c r="H1744" s="5" t="s">
        <v>16</v>
      </c>
      <c r="I1744" s="5">
        <v>40</v>
      </c>
      <c r="J1744" s="9" t="s">
        <v>17</v>
      </c>
      <c r="K1744" s="1" t="s">
        <v>2036</v>
      </c>
      <c r="L1744" t="s">
        <v>3284</v>
      </c>
      <c r="M1744" t="str">
        <f>+VLOOKUP(C1744,'[1]TIENDAS 2025'!$A$1:$C$143,3,0)</f>
        <v>departamental</v>
      </c>
      <c r="O1744">
        <v>1</v>
      </c>
    </row>
    <row r="1745" spans="1:15" ht="15" customHeight="1" x14ac:dyDescent="0.3">
      <c r="A1745" s="7">
        <v>8209671365</v>
      </c>
      <c r="B1745" s="4" t="s">
        <v>451</v>
      </c>
      <c r="C1745" s="4" t="s">
        <v>452</v>
      </c>
      <c r="D1745" s="6">
        <v>46309.471724536997</v>
      </c>
      <c r="E1745" s="6">
        <v>46309.221689814804</v>
      </c>
      <c r="F1745" s="6">
        <v>46309</v>
      </c>
      <c r="G1745" s="5" t="s">
        <v>12</v>
      </c>
      <c r="H1745" s="5" t="s">
        <v>27</v>
      </c>
      <c r="I1745" s="5">
        <v>10</v>
      </c>
      <c r="J1745" s="10" t="s">
        <v>17</v>
      </c>
      <c r="K1745" s="1" t="s">
        <v>2037</v>
      </c>
      <c r="M1745" t="str">
        <f>+VLOOKUP(C1745,'[1]TIENDAS 2025'!$A$1:$C$143,3,0)</f>
        <v>departamental</v>
      </c>
      <c r="O1745">
        <v>1</v>
      </c>
    </row>
    <row r="1746" spans="1:15" ht="15" customHeight="1" x14ac:dyDescent="0.3">
      <c r="A1746" s="7">
        <v>1209671442</v>
      </c>
      <c r="B1746" s="4" t="s">
        <v>160</v>
      </c>
      <c r="C1746" s="4" t="s">
        <v>161</v>
      </c>
      <c r="D1746" s="6">
        <v>46309.471736111103</v>
      </c>
      <c r="E1746" s="6">
        <v>46309.221712963001</v>
      </c>
      <c r="F1746" s="6">
        <v>46309</v>
      </c>
      <c r="G1746" s="5" t="s">
        <v>12</v>
      </c>
      <c r="H1746" s="5" t="s">
        <v>16</v>
      </c>
      <c r="I1746" s="5">
        <v>7</v>
      </c>
      <c r="J1746" s="9" t="s">
        <v>17</v>
      </c>
      <c r="K1746" s="1" t="s">
        <v>2038</v>
      </c>
      <c r="L1746" t="s">
        <v>3284</v>
      </c>
      <c r="M1746" t="str">
        <f>+VLOOKUP(C1746,'[1]TIENDAS 2025'!$A$1:$C$143,3,0)</f>
        <v>nocturna</v>
      </c>
      <c r="O1746">
        <v>1</v>
      </c>
    </row>
    <row r="1747" spans="1:15" ht="15" customHeight="1" x14ac:dyDescent="0.3">
      <c r="A1747" s="7">
        <v>1209671370</v>
      </c>
      <c r="B1747" s="4" t="s">
        <v>451</v>
      </c>
      <c r="C1747" s="4" t="s">
        <v>452</v>
      </c>
      <c r="D1747" s="6">
        <v>46309.471759259301</v>
      </c>
      <c r="E1747" s="6">
        <v>46309.221724536997</v>
      </c>
      <c r="F1747" s="6">
        <v>46309</v>
      </c>
      <c r="G1747" s="5" t="s">
        <v>12</v>
      </c>
      <c r="H1747" s="5" t="s">
        <v>29</v>
      </c>
      <c r="I1747" s="5">
        <v>32</v>
      </c>
      <c r="J1747" s="9" t="s">
        <v>17</v>
      </c>
      <c r="K1747" s="1" t="s">
        <v>2039</v>
      </c>
      <c r="L1747" t="s">
        <v>3284</v>
      </c>
      <c r="M1747" t="str">
        <f>+VLOOKUP(C1747,'[1]TIENDAS 2025'!$A$1:$C$143,3,0)</f>
        <v>departamental</v>
      </c>
      <c r="O1747">
        <v>1</v>
      </c>
    </row>
    <row r="1748" spans="1:15" ht="15" customHeight="1" x14ac:dyDescent="0.3">
      <c r="A1748" s="7">
        <v>8209671334</v>
      </c>
      <c r="B1748" s="4" t="s">
        <v>262</v>
      </c>
      <c r="C1748" s="4" t="s">
        <v>263</v>
      </c>
      <c r="D1748" s="6">
        <v>46309.471759259301</v>
      </c>
      <c r="E1748" s="6">
        <v>46309.221736111103</v>
      </c>
      <c r="F1748" s="6">
        <v>46309</v>
      </c>
      <c r="G1748" s="5" t="s">
        <v>12</v>
      </c>
      <c r="H1748" s="5" t="s">
        <v>27</v>
      </c>
      <c r="I1748" s="5">
        <v>1</v>
      </c>
      <c r="J1748" s="10" t="s">
        <v>17</v>
      </c>
      <c r="K1748" s="1" t="s">
        <v>2040</v>
      </c>
      <c r="M1748" t="str">
        <f>+VLOOKUP(C1748,'[1]TIENDAS 2025'!$A$1:$C$143,3,0)</f>
        <v>departamental</v>
      </c>
      <c r="O1748">
        <v>1</v>
      </c>
    </row>
    <row r="1749" spans="1:15" ht="15" customHeight="1" x14ac:dyDescent="0.3">
      <c r="A1749" s="7">
        <v>1209671373</v>
      </c>
      <c r="B1749" s="4" t="s">
        <v>451</v>
      </c>
      <c r="C1749" s="4" t="s">
        <v>452</v>
      </c>
      <c r="D1749" s="6">
        <v>46309.471782407403</v>
      </c>
      <c r="E1749" s="6">
        <v>46309.221759259301</v>
      </c>
      <c r="F1749" s="6">
        <v>46309</v>
      </c>
      <c r="G1749" s="5" t="s">
        <v>12</v>
      </c>
      <c r="H1749" s="5" t="s">
        <v>29</v>
      </c>
      <c r="I1749" s="5">
        <v>30</v>
      </c>
      <c r="J1749" s="9" t="s">
        <v>17</v>
      </c>
      <c r="K1749" s="1" t="s">
        <v>2041</v>
      </c>
      <c r="L1749" t="s">
        <v>3284</v>
      </c>
      <c r="M1749" t="str">
        <f>+VLOOKUP(C1749,'[1]TIENDAS 2025'!$A$1:$C$143,3,0)</f>
        <v>departamental</v>
      </c>
      <c r="O1749">
        <v>1</v>
      </c>
    </row>
    <row r="1750" spans="1:15" ht="15" customHeight="1" x14ac:dyDescent="0.3">
      <c r="A1750" s="7">
        <v>1209671449</v>
      </c>
      <c r="B1750" s="4" t="s">
        <v>160</v>
      </c>
      <c r="C1750" s="4" t="s">
        <v>161</v>
      </c>
      <c r="D1750" s="6">
        <v>46309.471793981502</v>
      </c>
      <c r="E1750" s="6">
        <v>46309.221770833297</v>
      </c>
      <c r="F1750" s="6">
        <v>46309</v>
      </c>
      <c r="G1750" s="5" t="s">
        <v>12</v>
      </c>
      <c r="H1750" s="5" t="s">
        <v>29</v>
      </c>
      <c r="I1750" s="5">
        <v>41</v>
      </c>
      <c r="J1750" s="9" t="s">
        <v>17</v>
      </c>
      <c r="K1750" s="1" t="s">
        <v>2042</v>
      </c>
      <c r="L1750" t="s">
        <v>3284</v>
      </c>
      <c r="M1750" t="str">
        <f>+VLOOKUP(C1750,'[1]TIENDAS 2025'!$A$1:$C$143,3,0)</f>
        <v>nocturna</v>
      </c>
      <c r="O1750">
        <v>1</v>
      </c>
    </row>
    <row r="1751" spans="1:15" ht="15" customHeight="1" x14ac:dyDescent="0.3">
      <c r="A1751" s="7">
        <v>1209671375</v>
      </c>
      <c r="B1751" s="4" t="s">
        <v>451</v>
      </c>
      <c r="C1751" s="4" t="s">
        <v>452</v>
      </c>
      <c r="D1751" s="6">
        <v>46309.471817129597</v>
      </c>
      <c r="E1751" s="6">
        <v>46309.221782407403</v>
      </c>
      <c r="F1751" s="6">
        <v>46309</v>
      </c>
      <c r="G1751" s="5" t="s">
        <v>12</v>
      </c>
      <c r="H1751" s="5" t="s">
        <v>16</v>
      </c>
      <c r="I1751" s="5">
        <v>59</v>
      </c>
      <c r="J1751" s="9" t="s">
        <v>17</v>
      </c>
      <c r="K1751" s="1" t="s">
        <v>2043</v>
      </c>
      <c r="L1751" t="s">
        <v>3284</v>
      </c>
      <c r="M1751" t="str">
        <f>+VLOOKUP(C1751,'[1]TIENDAS 2025'!$A$1:$C$143,3,0)</f>
        <v>departamental</v>
      </c>
      <c r="O1751">
        <v>1</v>
      </c>
    </row>
    <row r="1752" spans="1:15" ht="15" customHeight="1" x14ac:dyDescent="0.3">
      <c r="A1752" s="7">
        <v>1209671341</v>
      </c>
      <c r="B1752" s="4" t="s">
        <v>262</v>
      </c>
      <c r="C1752" s="4" t="s">
        <v>263</v>
      </c>
      <c r="D1752" s="6">
        <v>46309.471828703703</v>
      </c>
      <c r="E1752" s="6">
        <v>46309.221793981502</v>
      </c>
      <c r="F1752" s="6">
        <v>46309</v>
      </c>
      <c r="G1752" s="5" t="s">
        <v>12</v>
      </c>
      <c r="H1752" s="5" t="s">
        <v>16</v>
      </c>
      <c r="I1752" s="5">
        <v>26</v>
      </c>
      <c r="J1752" s="9" t="s">
        <v>17</v>
      </c>
      <c r="K1752" s="1" t="s">
        <v>2044</v>
      </c>
      <c r="L1752" t="s">
        <v>3284</v>
      </c>
      <c r="M1752" t="str">
        <f>+VLOOKUP(C1752,'[1]TIENDAS 2025'!$A$1:$C$143,3,0)</f>
        <v>departamental</v>
      </c>
      <c r="O1752">
        <v>1</v>
      </c>
    </row>
    <row r="1753" spans="1:15" ht="15" customHeight="1" x14ac:dyDescent="0.3">
      <c r="A1753" s="7">
        <v>8209671404</v>
      </c>
      <c r="B1753" s="4" t="s">
        <v>454</v>
      </c>
      <c r="C1753" s="4" t="s">
        <v>455</v>
      </c>
      <c r="D1753" s="6">
        <v>46309.471840277802</v>
      </c>
      <c r="E1753" s="6">
        <v>46309.221817129597</v>
      </c>
      <c r="F1753" s="6">
        <v>46309</v>
      </c>
      <c r="G1753" s="5" t="s">
        <v>12</v>
      </c>
      <c r="H1753" s="5" t="s">
        <v>27</v>
      </c>
      <c r="I1753" s="5">
        <v>8</v>
      </c>
      <c r="J1753" s="10" t="s">
        <v>17</v>
      </c>
      <c r="K1753" s="1" t="s">
        <v>2045</v>
      </c>
      <c r="M1753" t="str">
        <f>+VLOOKUP(C1753,'[1]TIENDAS 2025'!$A$1:$C$143,3,0)</f>
        <v>departamental</v>
      </c>
      <c r="O1753">
        <v>1</v>
      </c>
    </row>
    <row r="1754" spans="1:15" ht="15" customHeight="1" x14ac:dyDescent="0.3">
      <c r="A1754" s="7">
        <v>8209671378</v>
      </c>
      <c r="B1754" s="4" t="s">
        <v>451</v>
      </c>
      <c r="C1754" s="4" t="s">
        <v>452</v>
      </c>
      <c r="D1754" s="6">
        <v>46309.471851851798</v>
      </c>
      <c r="E1754" s="6">
        <v>46309.221828703703</v>
      </c>
      <c r="F1754" s="6">
        <v>46309</v>
      </c>
      <c r="G1754" s="5" t="s">
        <v>12</v>
      </c>
      <c r="H1754" s="5" t="s">
        <v>27</v>
      </c>
      <c r="I1754" s="5">
        <v>7</v>
      </c>
      <c r="J1754" s="10" t="s">
        <v>17</v>
      </c>
      <c r="K1754" s="1" t="s">
        <v>2046</v>
      </c>
      <c r="M1754" t="str">
        <f>+VLOOKUP(C1754,'[1]TIENDAS 2025'!$A$1:$C$143,3,0)</f>
        <v>departamental</v>
      </c>
      <c r="O1754">
        <v>1</v>
      </c>
    </row>
    <row r="1755" spans="1:15" ht="15" customHeight="1" x14ac:dyDescent="0.3">
      <c r="A1755" s="7">
        <v>1209671379</v>
      </c>
      <c r="B1755" s="4" t="s">
        <v>451</v>
      </c>
      <c r="C1755" s="4" t="s">
        <v>452</v>
      </c>
      <c r="D1755" s="6">
        <v>46309.471875000003</v>
      </c>
      <c r="E1755" s="6">
        <v>46309.221840277802</v>
      </c>
      <c r="F1755" s="6">
        <v>46309</v>
      </c>
      <c r="G1755" s="5" t="s">
        <v>12</v>
      </c>
      <c r="H1755" s="5" t="s">
        <v>16</v>
      </c>
      <c r="I1755" s="5">
        <v>5</v>
      </c>
      <c r="J1755" s="9" t="s">
        <v>17</v>
      </c>
      <c r="K1755" s="1" t="s">
        <v>2047</v>
      </c>
      <c r="L1755" t="s">
        <v>3284</v>
      </c>
      <c r="M1755" t="str">
        <f>+VLOOKUP(C1755,'[1]TIENDAS 2025'!$A$1:$C$143,3,0)</f>
        <v>departamental</v>
      </c>
      <c r="O1755">
        <v>1</v>
      </c>
    </row>
    <row r="1756" spans="1:15" ht="15" customHeight="1" x14ac:dyDescent="0.3">
      <c r="A1756" s="7">
        <v>1209671327</v>
      </c>
      <c r="B1756" s="4" t="s">
        <v>262</v>
      </c>
      <c r="C1756" s="4" t="s">
        <v>263</v>
      </c>
      <c r="D1756" s="6">
        <v>46309.471886574102</v>
      </c>
      <c r="E1756" s="6">
        <v>46309.221851851798</v>
      </c>
      <c r="F1756" s="6">
        <v>46309</v>
      </c>
      <c r="G1756" s="5" t="s">
        <v>12</v>
      </c>
      <c r="H1756" s="5" t="s">
        <v>16</v>
      </c>
      <c r="I1756" s="5">
        <v>18</v>
      </c>
      <c r="J1756" s="9" t="s">
        <v>17</v>
      </c>
      <c r="K1756" s="1" t="s">
        <v>2048</v>
      </c>
      <c r="L1756" t="s">
        <v>3284</v>
      </c>
      <c r="M1756" t="str">
        <f>+VLOOKUP(C1756,'[1]TIENDAS 2025'!$A$1:$C$143,3,0)</f>
        <v>departamental</v>
      </c>
      <c r="O1756">
        <v>1</v>
      </c>
    </row>
    <row r="1757" spans="1:15" ht="15" customHeight="1" x14ac:dyDescent="0.3">
      <c r="A1757" s="7">
        <v>8209671316</v>
      </c>
      <c r="B1757" s="4" t="s">
        <v>262</v>
      </c>
      <c r="C1757" s="4" t="s">
        <v>263</v>
      </c>
      <c r="D1757" s="6">
        <v>46309.471909722197</v>
      </c>
      <c r="E1757" s="6">
        <v>46309.221875000003</v>
      </c>
      <c r="F1757" s="6">
        <v>46309</v>
      </c>
      <c r="G1757" s="5" t="s">
        <v>12</v>
      </c>
      <c r="H1757" s="5" t="s">
        <v>27</v>
      </c>
      <c r="I1757" s="5">
        <v>2</v>
      </c>
      <c r="J1757" s="10" t="s">
        <v>17</v>
      </c>
      <c r="K1757" s="1" t="s">
        <v>2049</v>
      </c>
      <c r="M1757" t="str">
        <f>+VLOOKUP(C1757,'[1]TIENDAS 2025'!$A$1:$C$143,3,0)</f>
        <v>departamental</v>
      </c>
      <c r="O1757">
        <v>1</v>
      </c>
    </row>
    <row r="1758" spans="1:15" ht="15" customHeight="1" x14ac:dyDescent="0.3">
      <c r="A1758" s="7">
        <v>8209671318</v>
      </c>
      <c r="B1758" s="4" t="s">
        <v>262</v>
      </c>
      <c r="C1758" s="4" t="s">
        <v>263</v>
      </c>
      <c r="D1758" s="6">
        <v>46309.471909722197</v>
      </c>
      <c r="E1758" s="6">
        <v>46309.221886574102</v>
      </c>
      <c r="F1758" s="6">
        <v>46309</v>
      </c>
      <c r="G1758" s="5" t="s">
        <v>12</v>
      </c>
      <c r="H1758" s="5" t="s">
        <v>27</v>
      </c>
      <c r="I1758" s="5">
        <v>4</v>
      </c>
      <c r="J1758" s="10" t="s">
        <v>17</v>
      </c>
      <c r="K1758" s="1" t="s">
        <v>2050</v>
      </c>
      <c r="M1758" t="str">
        <f>+VLOOKUP(C1758,'[1]TIENDAS 2025'!$A$1:$C$143,3,0)</f>
        <v>departamental</v>
      </c>
      <c r="O1758">
        <v>1</v>
      </c>
    </row>
    <row r="1759" spans="1:15" ht="15" customHeight="1" x14ac:dyDescent="0.3">
      <c r="A1759" s="7">
        <v>8209671319</v>
      </c>
      <c r="B1759" s="4" t="s">
        <v>262</v>
      </c>
      <c r="C1759" s="4" t="s">
        <v>263</v>
      </c>
      <c r="D1759" s="6">
        <v>46309.471932870401</v>
      </c>
      <c r="E1759" s="6">
        <v>46309.221898148098</v>
      </c>
      <c r="F1759" s="6">
        <v>46309</v>
      </c>
      <c r="G1759" s="5" t="s">
        <v>12</v>
      </c>
      <c r="H1759" s="5" t="s">
        <v>27</v>
      </c>
      <c r="I1759" s="5">
        <v>12</v>
      </c>
      <c r="J1759" s="10" t="s">
        <v>17</v>
      </c>
      <c r="K1759" s="1" t="s">
        <v>2051</v>
      </c>
      <c r="M1759" t="str">
        <f>+VLOOKUP(C1759,'[1]TIENDAS 2025'!$A$1:$C$143,3,0)</f>
        <v>departamental</v>
      </c>
      <c r="O1759">
        <v>1</v>
      </c>
    </row>
    <row r="1760" spans="1:15" ht="15" customHeight="1" x14ac:dyDescent="0.3">
      <c r="A1760" s="7">
        <v>1209671415</v>
      </c>
      <c r="B1760" s="4" t="s">
        <v>454</v>
      </c>
      <c r="C1760" s="4" t="s">
        <v>455</v>
      </c>
      <c r="D1760" s="6">
        <v>46309.471944444398</v>
      </c>
      <c r="E1760" s="6">
        <v>46309.221909722197</v>
      </c>
      <c r="F1760" s="6">
        <v>46309</v>
      </c>
      <c r="G1760" s="5" t="s">
        <v>12</v>
      </c>
      <c r="H1760" s="5" t="s">
        <v>16</v>
      </c>
      <c r="I1760" s="5">
        <v>1</v>
      </c>
      <c r="J1760" s="9" t="s">
        <v>17</v>
      </c>
      <c r="K1760" s="1" t="s">
        <v>2052</v>
      </c>
      <c r="L1760" t="s">
        <v>3284</v>
      </c>
      <c r="M1760" t="str">
        <f>+VLOOKUP(C1760,'[1]TIENDAS 2025'!$A$1:$C$143,3,0)</f>
        <v>departamental</v>
      </c>
      <c r="O1760">
        <v>1</v>
      </c>
    </row>
    <row r="1761" spans="1:15" ht="15" customHeight="1" x14ac:dyDescent="0.3">
      <c r="A1761" s="7">
        <v>8209671402</v>
      </c>
      <c r="B1761" s="4" t="s">
        <v>454</v>
      </c>
      <c r="C1761" s="4" t="s">
        <v>455</v>
      </c>
      <c r="D1761" s="6">
        <v>46309.471956018497</v>
      </c>
      <c r="E1761" s="6">
        <v>46309.221932870401</v>
      </c>
      <c r="F1761" s="6">
        <v>46309</v>
      </c>
      <c r="G1761" s="5" t="s">
        <v>12</v>
      </c>
      <c r="H1761" s="5" t="s">
        <v>27</v>
      </c>
      <c r="I1761" s="5">
        <v>1</v>
      </c>
      <c r="J1761" s="10" t="s">
        <v>17</v>
      </c>
      <c r="K1761" s="1" t="s">
        <v>2053</v>
      </c>
      <c r="M1761" t="str">
        <f>+VLOOKUP(C1761,'[1]TIENDAS 2025'!$A$1:$C$143,3,0)</f>
        <v>departamental</v>
      </c>
      <c r="O1761">
        <v>1</v>
      </c>
    </row>
    <row r="1762" spans="1:15" ht="15" customHeight="1" x14ac:dyDescent="0.3">
      <c r="A1762" s="7">
        <v>1209671408</v>
      </c>
      <c r="B1762" s="4" t="s">
        <v>454</v>
      </c>
      <c r="C1762" s="4" t="s">
        <v>455</v>
      </c>
      <c r="D1762" s="6">
        <v>46309.471967592603</v>
      </c>
      <c r="E1762" s="6">
        <v>46309.221944444398</v>
      </c>
      <c r="F1762" s="6">
        <v>46309</v>
      </c>
      <c r="G1762" s="5" t="s">
        <v>12</v>
      </c>
      <c r="H1762" s="5" t="s">
        <v>29</v>
      </c>
      <c r="I1762" s="5">
        <v>14</v>
      </c>
      <c r="J1762" s="9" t="s">
        <v>17</v>
      </c>
      <c r="K1762" s="1" t="s">
        <v>2054</v>
      </c>
      <c r="L1762" t="s">
        <v>3284</v>
      </c>
      <c r="M1762" t="str">
        <f>+VLOOKUP(C1762,'[1]TIENDAS 2025'!$A$1:$C$143,3,0)</f>
        <v>departamental</v>
      </c>
      <c r="O1762">
        <v>1</v>
      </c>
    </row>
    <row r="1763" spans="1:15" ht="15" customHeight="1" x14ac:dyDescent="0.3">
      <c r="A1763" s="7">
        <v>1209671444</v>
      </c>
      <c r="B1763" s="4" t="s">
        <v>160</v>
      </c>
      <c r="C1763" s="4" t="s">
        <v>161</v>
      </c>
      <c r="D1763" s="6">
        <v>46309.471990740698</v>
      </c>
      <c r="E1763" s="6">
        <v>46309.221967592603</v>
      </c>
      <c r="F1763" s="6">
        <v>46309</v>
      </c>
      <c r="G1763" s="5" t="s">
        <v>12</v>
      </c>
      <c r="H1763" s="5" t="s">
        <v>16</v>
      </c>
      <c r="I1763" s="5">
        <v>12</v>
      </c>
      <c r="J1763" s="9" t="s">
        <v>17</v>
      </c>
      <c r="K1763" s="1" t="s">
        <v>2055</v>
      </c>
      <c r="L1763" t="s">
        <v>3284</v>
      </c>
      <c r="M1763" t="str">
        <f>+VLOOKUP(C1763,'[1]TIENDAS 2025'!$A$1:$C$143,3,0)</f>
        <v>nocturna</v>
      </c>
      <c r="O1763">
        <v>1</v>
      </c>
    </row>
    <row r="1764" spans="1:15" ht="15" customHeight="1" x14ac:dyDescent="0.3">
      <c r="A1764" s="7">
        <v>1209671380</v>
      </c>
      <c r="B1764" s="4" t="s">
        <v>451</v>
      </c>
      <c r="C1764" s="4" t="s">
        <v>452</v>
      </c>
      <c r="D1764" s="6">
        <v>46309.472013888902</v>
      </c>
      <c r="E1764" s="6">
        <v>46309.221979166701</v>
      </c>
      <c r="F1764" s="6">
        <v>46309</v>
      </c>
      <c r="G1764" s="5" t="s">
        <v>12</v>
      </c>
      <c r="H1764" s="5" t="s">
        <v>29</v>
      </c>
      <c r="I1764" s="5">
        <v>2</v>
      </c>
      <c r="J1764" s="9" t="s">
        <v>17</v>
      </c>
      <c r="K1764" s="1" t="s">
        <v>2056</v>
      </c>
      <c r="L1764" t="s">
        <v>3284</v>
      </c>
      <c r="M1764" t="str">
        <f>+VLOOKUP(C1764,'[1]TIENDAS 2025'!$A$1:$C$143,3,0)</f>
        <v>departamental</v>
      </c>
      <c r="O1764">
        <v>1</v>
      </c>
    </row>
    <row r="1765" spans="1:15" ht="15" customHeight="1" x14ac:dyDescent="0.3">
      <c r="A1765" s="7">
        <v>1209671445</v>
      </c>
      <c r="B1765" s="4" t="s">
        <v>160</v>
      </c>
      <c r="C1765" s="4" t="s">
        <v>161</v>
      </c>
      <c r="D1765" s="6">
        <v>46309.472025463001</v>
      </c>
      <c r="E1765" s="6">
        <v>46309.221990740698</v>
      </c>
      <c r="F1765" s="6">
        <v>46309</v>
      </c>
      <c r="G1765" s="5" t="s">
        <v>12</v>
      </c>
      <c r="H1765" s="5" t="s">
        <v>27</v>
      </c>
      <c r="I1765" s="5">
        <v>22</v>
      </c>
      <c r="J1765" s="9" t="s">
        <v>17</v>
      </c>
      <c r="K1765" s="1" t="s">
        <v>2057</v>
      </c>
      <c r="L1765" t="s">
        <v>3284</v>
      </c>
      <c r="M1765" t="str">
        <f>+VLOOKUP(C1765,'[1]TIENDAS 2025'!$A$1:$C$143,3,0)</f>
        <v>nocturna</v>
      </c>
      <c r="O1765">
        <v>1</v>
      </c>
    </row>
    <row r="1766" spans="1:15" ht="15" customHeight="1" x14ac:dyDescent="0.3">
      <c r="A1766" s="7">
        <v>1209671374</v>
      </c>
      <c r="B1766" s="4" t="s">
        <v>451</v>
      </c>
      <c r="C1766" s="4" t="s">
        <v>452</v>
      </c>
      <c r="D1766" s="6">
        <v>46309.472048611096</v>
      </c>
      <c r="E1766" s="6">
        <v>46309.222025463001</v>
      </c>
      <c r="F1766" s="6">
        <v>46309</v>
      </c>
      <c r="G1766" s="5" t="s">
        <v>12</v>
      </c>
      <c r="H1766" s="5" t="s">
        <v>29</v>
      </c>
      <c r="I1766" s="5">
        <v>29</v>
      </c>
      <c r="J1766" s="9" t="s">
        <v>17</v>
      </c>
      <c r="K1766" s="1" t="s">
        <v>2058</v>
      </c>
      <c r="L1766" t="s">
        <v>3284</v>
      </c>
      <c r="M1766" t="str">
        <f>+VLOOKUP(C1766,'[1]TIENDAS 2025'!$A$1:$C$143,3,0)</f>
        <v>departamental</v>
      </c>
      <c r="O1766">
        <v>1</v>
      </c>
    </row>
    <row r="1767" spans="1:15" ht="15" customHeight="1" x14ac:dyDescent="0.3">
      <c r="A1767" s="7">
        <v>1209671446</v>
      </c>
      <c r="B1767" s="4" t="s">
        <v>160</v>
      </c>
      <c r="C1767" s="4" t="s">
        <v>161</v>
      </c>
      <c r="D1767" s="6">
        <v>46309.472048611096</v>
      </c>
      <c r="E1767" s="6">
        <v>46309.222013888902</v>
      </c>
      <c r="F1767" s="6">
        <v>46309</v>
      </c>
      <c r="G1767" s="5" t="s">
        <v>12</v>
      </c>
      <c r="H1767" s="5" t="s">
        <v>16</v>
      </c>
      <c r="I1767" s="5">
        <v>15</v>
      </c>
      <c r="J1767" s="9" t="s">
        <v>17</v>
      </c>
      <c r="K1767" s="1" t="s">
        <v>2059</v>
      </c>
      <c r="L1767" t="s">
        <v>3284</v>
      </c>
      <c r="M1767" t="str">
        <f>+VLOOKUP(C1767,'[1]TIENDAS 2025'!$A$1:$C$143,3,0)</f>
        <v>nocturna</v>
      </c>
      <c r="O1767">
        <v>1</v>
      </c>
    </row>
    <row r="1768" spans="1:15" ht="15" customHeight="1" x14ac:dyDescent="0.3">
      <c r="A1768" s="7">
        <v>8209671361</v>
      </c>
      <c r="B1768" s="4" t="s">
        <v>451</v>
      </c>
      <c r="C1768" s="4" t="s">
        <v>452</v>
      </c>
      <c r="D1768" s="6">
        <v>46309.472071759301</v>
      </c>
      <c r="E1768" s="6">
        <v>46309.222037036998</v>
      </c>
      <c r="F1768" s="6">
        <v>46309</v>
      </c>
      <c r="G1768" s="5" t="s">
        <v>12</v>
      </c>
      <c r="H1768" s="5" t="s">
        <v>27</v>
      </c>
      <c r="I1768" s="5">
        <v>10</v>
      </c>
      <c r="J1768" s="10" t="s">
        <v>17</v>
      </c>
      <c r="K1768" s="1" t="s">
        <v>2060</v>
      </c>
      <c r="M1768" t="str">
        <f>+VLOOKUP(C1768,'[1]TIENDAS 2025'!$A$1:$C$143,3,0)</f>
        <v>departamental</v>
      </c>
      <c r="O1768">
        <v>1</v>
      </c>
    </row>
    <row r="1769" spans="1:15" ht="15" customHeight="1" x14ac:dyDescent="0.3">
      <c r="A1769" s="7">
        <v>1209671419</v>
      </c>
      <c r="B1769" s="4" t="s">
        <v>454</v>
      </c>
      <c r="C1769" s="4" t="s">
        <v>455</v>
      </c>
      <c r="D1769" s="6">
        <v>46309.472083333298</v>
      </c>
      <c r="E1769" s="6">
        <v>46309.222048611096</v>
      </c>
      <c r="F1769" s="6">
        <v>46309</v>
      </c>
      <c r="G1769" s="5" t="s">
        <v>12</v>
      </c>
      <c r="H1769" s="5" t="s">
        <v>29</v>
      </c>
      <c r="I1769" s="5">
        <v>54</v>
      </c>
      <c r="J1769" s="9" t="s">
        <v>17</v>
      </c>
      <c r="K1769" s="1" t="s">
        <v>2061</v>
      </c>
      <c r="L1769" t="s">
        <v>3284</v>
      </c>
      <c r="M1769" t="str">
        <f>+VLOOKUP(C1769,'[1]TIENDAS 2025'!$A$1:$C$143,3,0)</f>
        <v>departamental</v>
      </c>
      <c r="O1769">
        <v>1</v>
      </c>
    </row>
    <row r="1770" spans="1:15" ht="15" customHeight="1" x14ac:dyDescent="0.3">
      <c r="A1770" s="7">
        <v>8209671436</v>
      </c>
      <c r="B1770" s="4" t="s">
        <v>160</v>
      </c>
      <c r="C1770" s="4" t="s">
        <v>161</v>
      </c>
      <c r="D1770" s="6">
        <v>46309.472094907404</v>
      </c>
      <c r="E1770" s="6">
        <v>46309.222071759301</v>
      </c>
      <c r="F1770" s="6">
        <v>46309</v>
      </c>
      <c r="G1770" s="5" t="s">
        <v>12</v>
      </c>
      <c r="H1770" s="5" t="s">
        <v>27</v>
      </c>
      <c r="I1770" s="5">
        <v>4</v>
      </c>
      <c r="J1770" s="10" t="s">
        <v>17</v>
      </c>
      <c r="K1770" s="1" t="s">
        <v>2062</v>
      </c>
      <c r="M1770" t="str">
        <f>+VLOOKUP(C1770,'[1]TIENDAS 2025'!$A$1:$C$143,3,0)</f>
        <v>nocturna</v>
      </c>
      <c r="O1770">
        <v>1</v>
      </c>
    </row>
    <row r="1771" spans="1:15" ht="15" customHeight="1" x14ac:dyDescent="0.3">
      <c r="A1771" s="7">
        <v>8209671400</v>
      </c>
      <c r="B1771" s="4" t="s">
        <v>454</v>
      </c>
      <c r="C1771" s="4" t="s">
        <v>455</v>
      </c>
      <c r="D1771" s="6">
        <v>46309.472106481502</v>
      </c>
      <c r="E1771" s="6">
        <v>46309.222083333298</v>
      </c>
      <c r="F1771" s="6">
        <v>46309</v>
      </c>
      <c r="G1771" s="5" t="s">
        <v>12</v>
      </c>
      <c r="H1771" s="5" t="s">
        <v>27</v>
      </c>
      <c r="I1771" s="5">
        <v>12</v>
      </c>
      <c r="J1771" s="10" t="s">
        <v>17</v>
      </c>
      <c r="K1771" s="1" t="s">
        <v>2063</v>
      </c>
      <c r="M1771" t="str">
        <f>+VLOOKUP(C1771,'[1]TIENDAS 2025'!$A$1:$C$143,3,0)</f>
        <v>departamental</v>
      </c>
      <c r="O1771">
        <v>1</v>
      </c>
    </row>
    <row r="1772" spans="1:15" ht="15" customHeight="1" x14ac:dyDescent="0.3">
      <c r="A1772" s="7">
        <v>1209671376</v>
      </c>
      <c r="B1772" s="4" t="s">
        <v>451</v>
      </c>
      <c r="C1772" s="4" t="s">
        <v>452</v>
      </c>
      <c r="D1772" s="6">
        <v>46309.472129629597</v>
      </c>
      <c r="E1772" s="6">
        <v>46309.222106481502</v>
      </c>
      <c r="F1772" s="6">
        <v>46309</v>
      </c>
      <c r="G1772" s="5" t="s">
        <v>12</v>
      </c>
      <c r="H1772" s="5" t="s">
        <v>29</v>
      </c>
      <c r="I1772" s="5">
        <v>76</v>
      </c>
      <c r="J1772" s="9" t="s">
        <v>17</v>
      </c>
      <c r="K1772" s="1" t="s">
        <v>2064</v>
      </c>
      <c r="L1772" t="s">
        <v>3284</v>
      </c>
      <c r="M1772" t="str">
        <f>+VLOOKUP(C1772,'[1]TIENDAS 2025'!$A$1:$C$143,3,0)</f>
        <v>departamental</v>
      </c>
      <c r="O1772">
        <v>1</v>
      </c>
    </row>
    <row r="1773" spans="1:15" ht="15" customHeight="1" x14ac:dyDescent="0.3">
      <c r="A1773" s="7">
        <v>8209671403</v>
      </c>
      <c r="B1773" s="4" t="s">
        <v>454</v>
      </c>
      <c r="C1773" s="4" t="s">
        <v>455</v>
      </c>
      <c r="D1773" s="6">
        <v>46309.472152777802</v>
      </c>
      <c r="E1773" s="6">
        <v>46309.222118055601</v>
      </c>
      <c r="F1773" s="6">
        <v>46309</v>
      </c>
      <c r="G1773" s="5" t="s">
        <v>12</v>
      </c>
      <c r="H1773" s="5" t="s">
        <v>27</v>
      </c>
      <c r="I1773" s="5">
        <v>35</v>
      </c>
      <c r="J1773" s="10" t="s">
        <v>17</v>
      </c>
      <c r="K1773" s="1" t="s">
        <v>2065</v>
      </c>
      <c r="M1773" t="str">
        <f>+VLOOKUP(C1773,'[1]TIENDAS 2025'!$A$1:$C$143,3,0)</f>
        <v>departamental</v>
      </c>
      <c r="O1773">
        <v>1</v>
      </c>
    </row>
    <row r="1774" spans="1:15" ht="15" customHeight="1" x14ac:dyDescent="0.3">
      <c r="A1774" s="7">
        <v>1209671441</v>
      </c>
      <c r="B1774" s="4" t="s">
        <v>160</v>
      </c>
      <c r="C1774" s="4" t="s">
        <v>161</v>
      </c>
      <c r="D1774" s="6">
        <v>46309.472164351799</v>
      </c>
      <c r="E1774" s="6">
        <v>46309.222141203703</v>
      </c>
      <c r="F1774" s="6">
        <v>46309</v>
      </c>
      <c r="G1774" s="5" t="s">
        <v>12</v>
      </c>
      <c r="H1774" s="5" t="s">
        <v>16</v>
      </c>
      <c r="I1774" s="5">
        <v>2</v>
      </c>
      <c r="J1774" s="9" t="s">
        <v>17</v>
      </c>
      <c r="K1774" s="1" t="s">
        <v>2066</v>
      </c>
      <c r="L1774" t="s">
        <v>3284</v>
      </c>
      <c r="M1774" t="str">
        <f>+VLOOKUP(C1774,'[1]TIENDAS 2025'!$A$1:$C$143,3,0)</f>
        <v>nocturna</v>
      </c>
      <c r="O1774">
        <v>1</v>
      </c>
    </row>
    <row r="1775" spans="1:15" ht="15" customHeight="1" x14ac:dyDescent="0.3">
      <c r="A1775" s="7">
        <v>8209671377</v>
      </c>
      <c r="B1775" s="4" t="s">
        <v>451</v>
      </c>
      <c r="C1775" s="4" t="s">
        <v>452</v>
      </c>
      <c r="D1775" s="6">
        <v>46309.472175925897</v>
      </c>
      <c r="E1775" s="6">
        <v>46309.222152777802</v>
      </c>
      <c r="F1775" s="6">
        <v>46309</v>
      </c>
      <c r="G1775" s="5" t="s">
        <v>12</v>
      </c>
      <c r="H1775" s="5" t="s">
        <v>27</v>
      </c>
      <c r="I1775" s="5">
        <v>5</v>
      </c>
      <c r="J1775" s="10" t="s">
        <v>17</v>
      </c>
      <c r="K1775" s="1" t="s">
        <v>2067</v>
      </c>
      <c r="M1775" t="str">
        <f>+VLOOKUP(C1775,'[1]TIENDAS 2025'!$A$1:$C$143,3,0)</f>
        <v>departamental</v>
      </c>
      <c r="O1775">
        <v>1</v>
      </c>
    </row>
    <row r="1776" spans="1:15" ht="15" customHeight="1" x14ac:dyDescent="0.3">
      <c r="A1776" s="7">
        <v>1209671371</v>
      </c>
      <c r="B1776" s="4" t="s">
        <v>451</v>
      </c>
      <c r="C1776" s="4" t="s">
        <v>452</v>
      </c>
      <c r="D1776" s="6">
        <v>46309.472199074102</v>
      </c>
      <c r="E1776" s="6">
        <v>46309.222164351799</v>
      </c>
      <c r="F1776" s="6">
        <v>46309</v>
      </c>
      <c r="G1776" s="5" t="s">
        <v>12</v>
      </c>
      <c r="H1776" s="5" t="s">
        <v>16</v>
      </c>
      <c r="I1776" s="5">
        <v>4</v>
      </c>
      <c r="J1776" s="9" t="s">
        <v>17</v>
      </c>
      <c r="K1776" s="1" t="s">
        <v>2068</v>
      </c>
      <c r="L1776" t="s">
        <v>3284</v>
      </c>
      <c r="M1776" t="str">
        <f>+VLOOKUP(C1776,'[1]TIENDAS 2025'!$A$1:$C$143,3,0)</f>
        <v>departamental</v>
      </c>
      <c r="O1776">
        <v>1</v>
      </c>
    </row>
    <row r="1777" spans="1:15" ht="15" customHeight="1" x14ac:dyDescent="0.3">
      <c r="A1777" s="7">
        <v>1209671321</v>
      </c>
      <c r="B1777" s="4" t="s">
        <v>262</v>
      </c>
      <c r="C1777" s="4" t="s">
        <v>263</v>
      </c>
      <c r="D1777" s="6">
        <v>46309.472210648099</v>
      </c>
      <c r="E1777" s="6">
        <v>46309.222187500003</v>
      </c>
      <c r="F1777" s="6">
        <v>46309</v>
      </c>
      <c r="G1777" s="5" t="s">
        <v>12</v>
      </c>
      <c r="H1777" s="5" t="s">
        <v>16</v>
      </c>
      <c r="I1777" s="5">
        <v>4</v>
      </c>
      <c r="J1777" s="9" t="s">
        <v>17</v>
      </c>
      <c r="K1777" s="1" t="s">
        <v>2069</v>
      </c>
      <c r="L1777" t="s">
        <v>3284</v>
      </c>
      <c r="M1777" t="str">
        <f>+VLOOKUP(C1777,'[1]TIENDAS 2025'!$A$1:$C$143,3,0)</f>
        <v>departamental</v>
      </c>
      <c r="O1777">
        <v>1</v>
      </c>
    </row>
    <row r="1778" spans="1:15" ht="15" customHeight="1" x14ac:dyDescent="0.3">
      <c r="A1778" s="7">
        <v>1209671450</v>
      </c>
      <c r="B1778" s="4" t="s">
        <v>160</v>
      </c>
      <c r="C1778" s="4" t="s">
        <v>161</v>
      </c>
      <c r="D1778" s="6">
        <v>46309.472233796303</v>
      </c>
      <c r="E1778" s="6">
        <v>46309.222199074102</v>
      </c>
      <c r="F1778" s="6">
        <v>46309</v>
      </c>
      <c r="G1778" s="5" t="s">
        <v>12</v>
      </c>
      <c r="H1778" s="5" t="s">
        <v>16</v>
      </c>
      <c r="I1778" s="5">
        <v>1</v>
      </c>
      <c r="J1778" s="9" t="s">
        <v>17</v>
      </c>
      <c r="K1778" s="1" t="s">
        <v>2070</v>
      </c>
      <c r="L1778" t="s">
        <v>3284</v>
      </c>
      <c r="M1778" t="str">
        <f>+VLOOKUP(C1778,'[1]TIENDAS 2025'!$A$1:$C$143,3,0)</f>
        <v>nocturna</v>
      </c>
      <c r="O1778">
        <v>1</v>
      </c>
    </row>
    <row r="1779" spans="1:15" ht="15" customHeight="1" x14ac:dyDescent="0.3">
      <c r="A1779" s="7">
        <v>1209671366</v>
      </c>
      <c r="B1779" s="4" t="s">
        <v>451</v>
      </c>
      <c r="C1779" s="4" t="s">
        <v>452</v>
      </c>
      <c r="D1779" s="6">
        <v>46309.472245370402</v>
      </c>
      <c r="E1779" s="6">
        <v>46309.222210648099</v>
      </c>
      <c r="F1779" s="6">
        <v>46309</v>
      </c>
      <c r="G1779" s="5" t="s">
        <v>12</v>
      </c>
      <c r="H1779" s="5" t="s">
        <v>16</v>
      </c>
      <c r="I1779" s="5">
        <v>11</v>
      </c>
      <c r="J1779" s="9" t="s">
        <v>17</v>
      </c>
      <c r="K1779" s="1" t="s">
        <v>2071</v>
      </c>
      <c r="L1779" t="s">
        <v>3284</v>
      </c>
      <c r="M1779" t="str">
        <f>+VLOOKUP(C1779,'[1]TIENDAS 2025'!$A$1:$C$143,3,0)</f>
        <v>departamental</v>
      </c>
      <c r="O1779">
        <v>1</v>
      </c>
    </row>
    <row r="1780" spans="1:15" ht="15" customHeight="1" x14ac:dyDescent="0.3">
      <c r="A1780" s="7">
        <v>1209671439</v>
      </c>
      <c r="B1780" s="4" t="s">
        <v>160</v>
      </c>
      <c r="C1780" s="4" t="s">
        <v>161</v>
      </c>
      <c r="D1780" s="6">
        <v>46309.472256944398</v>
      </c>
      <c r="E1780" s="6">
        <v>46309.222222222197</v>
      </c>
      <c r="F1780" s="6">
        <v>46309</v>
      </c>
      <c r="G1780" s="5" t="s">
        <v>12</v>
      </c>
      <c r="H1780" s="5" t="s">
        <v>16</v>
      </c>
      <c r="I1780" s="5">
        <v>1</v>
      </c>
      <c r="J1780" s="9" t="s">
        <v>17</v>
      </c>
      <c r="K1780" s="1" t="s">
        <v>2072</v>
      </c>
      <c r="L1780" t="s">
        <v>3284</v>
      </c>
      <c r="M1780" t="str">
        <f>+VLOOKUP(C1780,'[1]TIENDAS 2025'!$A$1:$C$143,3,0)</f>
        <v>nocturna</v>
      </c>
      <c r="O1780">
        <v>1</v>
      </c>
    </row>
    <row r="1781" spans="1:15" ht="15" customHeight="1" x14ac:dyDescent="0.3">
      <c r="A1781" s="7">
        <v>1209671367</v>
      </c>
      <c r="B1781" s="4" t="s">
        <v>451</v>
      </c>
      <c r="C1781" s="4" t="s">
        <v>452</v>
      </c>
      <c r="D1781" s="6">
        <v>46309.472268518497</v>
      </c>
      <c r="E1781" s="6">
        <v>46309.222245370402</v>
      </c>
      <c r="F1781" s="6">
        <v>46309</v>
      </c>
      <c r="G1781" s="5" t="s">
        <v>12</v>
      </c>
      <c r="H1781" s="5" t="s">
        <v>16</v>
      </c>
      <c r="I1781" s="5">
        <v>26</v>
      </c>
      <c r="J1781" s="9" t="s">
        <v>17</v>
      </c>
      <c r="K1781" s="1" t="s">
        <v>2073</v>
      </c>
      <c r="L1781" t="s">
        <v>3284</v>
      </c>
      <c r="M1781" t="str">
        <f>+VLOOKUP(C1781,'[1]TIENDAS 2025'!$A$1:$C$143,3,0)</f>
        <v>departamental</v>
      </c>
      <c r="O1781">
        <v>1</v>
      </c>
    </row>
    <row r="1782" spans="1:15" ht="15" customHeight="1" x14ac:dyDescent="0.3">
      <c r="A1782" s="7">
        <v>1209671385</v>
      </c>
      <c r="B1782" s="4" t="s">
        <v>451</v>
      </c>
      <c r="C1782" s="4" t="s">
        <v>452</v>
      </c>
      <c r="D1782" s="6">
        <v>46309.472291666701</v>
      </c>
      <c r="E1782" s="6">
        <v>46309.222256944398</v>
      </c>
      <c r="F1782" s="6">
        <v>46309</v>
      </c>
      <c r="G1782" s="5" t="s">
        <v>12</v>
      </c>
      <c r="H1782" s="5" t="s">
        <v>29</v>
      </c>
      <c r="I1782" s="5">
        <v>32</v>
      </c>
      <c r="J1782" s="9" t="s">
        <v>17</v>
      </c>
      <c r="K1782" s="1" t="s">
        <v>2074</v>
      </c>
      <c r="L1782" t="s">
        <v>3284</v>
      </c>
      <c r="M1782" t="str">
        <f>+VLOOKUP(C1782,'[1]TIENDAS 2025'!$A$1:$C$143,3,0)</f>
        <v>departamental</v>
      </c>
      <c r="O1782">
        <v>1</v>
      </c>
    </row>
    <row r="1783" spans="1:15" ht="15" customHeight="1" x14ac:dyDescent="0.3">
      <c r="A1783" s="7">
        <v>1209671329</v>
      </c>
      <c r="B1783" s="4" t="s">
        <v>262</v>
      </c>
      <c r="C1783" s="4" t="s">
        <v>263</v>
      </c>
      <c r="D1783" s="6">
        <v>46309.472314814797</v>
      </c>
      <c r="E1783" s="6">
        <v>46309.222268518497</v>
      </c>
      <c r="F1783" s="6">
        <v>46309</v>
      </c>
      <c r="G1783" s="5" t="s">
        <v>12</v>
      </c>
      <c r="H1783" s="5" t="s">
        <v>16</v>
      </c>
      <c r="I1783" s="5">
        <v>4</v>
      </c>
      <c r="J1783" s="9" t="s">
        <v>17</v>
      </c>
      <c r="K1783" s="1" t="s">
        <v>2075</v>
      </c>
      <c r="L1783" t="s">
        <v>3284</v>
      </c>
      <c r="M1783" t="str">
        <f>+VLOOKUP(C1783,'[1]TIENDAS 2025'!$A$1:$C$143,3,0)</f>
        <v>departamental</v>
      </c>
      <c r="O1783">
        <v>1</v>
      </c>
    </row>
    <row r="1784" spans="1:15" ht="15" customHeight="1" x14ac:dyDescent="0.3">
      <c r="A1784" s="7">
        <v>1209671337</v>
      </c>
      <c r="B1784" s="4" t="s">
        <v>262</v>
      </c>
      <c r="C1784" s="4" t="s">
        <v>263</v>
      </c>
      <c r="D1784" s="6">
        <v>46309.472326388903</v>
      </c>
      <c r="E1784" s="6">
        <v>46309.222291666701</v>
      </c>
      <c r="F1784" s="6">
        <v>46309</v>
      </c>
      <c r="G1784" s="5" t="s">
        <v>12</v>
      </c>
      <c r="H1784" s="5" t="s">
        <v>16</v>
      </c>
      <c r="I1784" s="5">
        <v>1</v>
      </c>
      <c r="J1784" s="9" t="s">
        <v>17</v>
      </c>
      <c r="K1784" s="1" t="s">
        <v>2076</v>
      </c>
      <c r="L1784" t="s">
        <v>3284</v>
      </c>
      <c r="M1784" t="str">
        <f>+VLOOKUP(C1784,'[1]TIENDAS 2025'!$A$1:$C$143,3,0)</f>
        <v>departamental</v>
      </c>
      <c r="O1784">
        <v>1</v>
      </c>
    </row>
    <row r="1785" spans="1:15" ht="15" customHeight="1" x14ac:dyDescent="0.3">
      <c r="A1785" s="7">
        <v>8209671317</v>
      </c>
      <c r="B1785" s="4" t="s">
        <v>262</v>
      </c>
      <c r="C1785" s="4" t="s">
        <v>263</v>
      </c>
      <c r="D1785" s="6">
        <v>46309.472349536998</v>
      </c>
      <c r="E1785" s="6">
        <v>46309.222314814797</v>
      </c>
      <c r="F1785" s="6">
        <v>46309</v>
      </c>
      <c r="G1785" s="5" t="s">
        <v>12</v>
      </c>
      <c r="H1785" s="5" t="s">
        <v>27</v>
      </c>
      <c r="I1785" s="5">
        <v>5</v>
      </c>
      <c r="J1785" s="10" t="s">
        <v>17</v>
      </c>
      <c r="K1785" s="1" t="s">
        <v>2077</v>
      </c>
      <c r="M1785" t="str">
        <f>+VLOOKUP(C1785,'[1]TIENDAS 2025'!$A$1:$C$143,3,0)</f>
        <v>departamental</v>
      </c>
      <c r="O1785">
        <v>1</v>
      </c>
    </row>
    <row r="1786" spans="1:15" ht="15" customHeight="1" x14ac:dyDescent="0.3">
      <c r="A1786" s="7">
        <v>1209671326</v>
      </c>
      <c r="B1786" s="4" t="s">
        <v>262</v>
      </c>
      <c r="C1786" s="4" t="s">
        <v>263</v>
      </c>
      <c r="D1786" s="6">
        <v>46309.472361111097</v>
      </c>
      <c r="E1786" s="6">
        <v>46309.222326388903</v>
      </c>
      <c r="F1786" s="6">
        <v>46309</v>
      </c>
      <c r="G1786" s="5" t="s">
        <v>12</v>
      </c>
      <c r="H1786" s="5" t="s">
        <v>16</v>
      </c>
      <c r="I1786" s="5">
        <v>9</v>
      </c>
      <c r="J1786" s="9" t="s">
        <v>17</v>
      </c>
      <c r="K1786" s="1" t="s">
        <v>2078</v>
      </c>
      <c r="L1786" t="s">
        <v>3284</v>
      </c>
      <c r="M1786" t="str">
        <f>+VLOOKUP(C1786,'[1]TIENDAS 2025'!$A$1:$C$143,3,0)</f>
        <v>departamental</v>
      </c>
      <c r="O1786">
        <v>1</v>
      </c>
    </row>
    <row r="1787" spans="1:15" ht="15" customHeight="1" x14ac:dyDescent="0.3">
      <c r="A1787" s="7">
        <v>1209671413</v>
      </c>
      <c r="B1787" s="4" t="s">
        <v>454</v>
      </c>
      <c r="C1787" s="4" t="s">
        <v>455</v>
      </c>
      <c r="D1787" s="6">
        <v>46309.472372685203</v>
      </c>
      <c r="E1787" s="6">
        <v>46309.222349536998</v>
      </c>
      <c r="F1787" s="6">
        <v>46309</v>
      </c>
      <c r="G1787" s="5" t="s">
        <v>12</v>
      </c>
      <c r="H1787" s="5" t="s">
        <v>29</v>
      </c>
      <c r="I1787" s="5">
        <v>44</v>
      </c>
      <c r="J1787" s="9" t="s">
        <v>17</v>
      </c>
      <c r="K1787" s="1" t="s">
        <v>2079</v>
      </c>
      <c r="L1787" t="s">
        <v>3284</v>
      </c>
      <c r="M1787" t="str">
        <f>+VLOOKUP(C1787,'[1]TIENDAS 2025'!$A$1:$C$143,3,0)</f>
        <v>departamental</v>
      </c>
      <c r="O1787">
        <v>1</v>
      </c>
    </row>
    <row r="1788" spans="1:15" ht="15" customHeight="1" x14ac:dyDescent="0.3">
      <c r="A1788" s="7">
        <v>1209671448</v>
      </c>
      <c r="B1788" s="4" t="s">
        <v>160</v>
      </c>
      <c r="C1788" s="4" t="s">
        <v>161</v>
      </c>
      <c r="D1788" s="6">
        <v>46309.472384259301</v>
      </c>
      <c r="E1788" s="6">
        <v>46309.222361111097</v>
      </c>
      <c r="F1788" s="6">
        <v>46309</v>
      </c>
      <c r="G1788" s="5" t="s">
        <v>12</v>
      </c>
      <c r="H1788" s="5" t="s">
        <v>29</v>
      </c>
      <c r="I1788" s="5">
        <v>33</v>
      </c>
      <c r="J1788" s="9" t="s">
        <v>17</v>
      </c>
      <c r="K1788" s="1" t="s">
        <v>2080</v>
      </c>
      <c r="L1788" t="s">
        <v>3284</v>
      </c>
      <c r="M1788" t="str">
        <f>+VLOOKUP(C1788,'[1]TIENDAS 2025'!$A$1:$C$143,3,0)</f>
        <v>nocturna</v>
      </c>
      <c r="O1788">
        <v>1</v>
      </c>
    </row>
    <row r="1789" spans="1:15" ht="15" customHeight="1" x14ac:dyDescent="0.3">
      <c r="A1789" s="7">
        <v>8209671398</v>
      </c>
      <c r="B1789" s="4" t="s">
        <v>454</v>
      </c>
      <c r="C1789" s="4" t="s">
        <v>455</v>
      </c>
      <c r="D1789" s="6">
        <v>46309.472407407397</v>
      </c>
      <c r="E1789" s="6">
        <v>46309.222384259301</v>
      </c>
      <c r="F1789" s="6">
        <v>46309</v>
      </c>
      <c r="G1789" s="5" t="s">
        <v>12</v>
      </c>
      <c r="H1789" s="5" t="s">
        <v>27</v>
      </c>
      <c r="I1789" s="5">
        <v>2</v>
      </c>
      <c r="J1789" s="10" t="s">
        <v>17</v>
      </c>
      <c r="K1789" s="1" t="s">
        <v>2081</v>
      </c>
      <c r="M1789" t="str">
        <f>+VLOOKUP(C1789,'[1]TIENDAS 2025'!$A$1:$C$143,3,0)</f>
        <v>departamental</v>
      </c>
      <c r="O1789">
        <v>1</v>
      </c>
    </row>
    <row r="1790" spans="1:15" ht="15" customHeight="1" x14ac:dyDescent="0.3">
      <c r="A1790" s="7">
        <v>8209671440</v>
      </c>
      <c r="B1790" s="4" t="s">
        <v>160</v>
      </c>
      <c r="C1790" s="4" t="s">
        <v>161</v>
      </c>
      <c r="D1790" s="6">
        <v>46309.472430555601</v>
      </c>
      <c r="E1790" s="6">
        <v>46309.222395833298</v>
      </c>
      <c r="F1790" s="6">
        <v>46309</v>
      </c>
      <c r="G1790" s="5" t="s">
        <v>12</v>
      </c>
      <c r="H1790" s="5" t="s">
        <v>27</v>
      </c>
      <c r="I1790" s="5">
        <v>20</v>
      </c>
      <c r="J1790" s="10" t="s">
        <v>17</v>
      </c>
      <c r="K1790" s="1" t="s">
        <v>2082</v>
      </c>
      <c r="M1790" t="str">
        <f>+VLOOKUP(C1790,'[1]TIENDAS 2025'!$A$1:$C$143,3,0)</f>
        <v>nocturna</v>
      </c>
      <c r="O1790">
        <v>1</v>
      </c>
    </row>
    <row r="1791" spans="1:15" ht="15" customHeight="1" x14ac:dyDescent="0.3">
      <c r="A1791" s="7">
        <v>1209671443</v>
      </c>
      <c r="B1791" s="4" t="s">
        <v>160</v>
      </c>
      <c r="C1791" s="4" t="s">
        <v>161</v>
      </c>
      <c r="D1791" s="6">
        <v>46309.472442129598</v>
      </c>
      <c r="E1791" s="6">
        <v>46309.222407407397</v>
      </c>
      <c r="F1791" s="6">
        <v>46309</v>
      </c>
      <c r="G1791" s="5" t="s">
        <v>12</v>
      </c>
      <c r="H1791" s="5" t="s">
        <v>16</v>
      </c>
      <c r="I1791" s="5">
        <v>10</v>
      </c>
      <c r="J1791" s="9" t="s">
        <v>17</v>
      </c>
      <c r="K1791" s="1" t="s">
        <v>2083</v>
      </c>
      <c r="L1791" t="s">
        <v>3284</v>
      </c>
      <c r="M1791" t="str">
        <f>+VLOOKUP(C1791,'[1]TIENDAS 2025'!$A$1:$C$143,3,0)</f>
        <v>nocturna</v>
      </c>
      <c r="O1791">
        <v>1</v>
      </c>
    </row>
    <row r="1792" spans="1:15" ht="15" customHeight="1" x14ac:dyDescent="0.3">
      <c r="A1792" s="7">
        <v>1209671409</v>
      </c>
      <c r="B1792" s="4" t="s">
        <v>454</v>
      </c>
      <c r="C1792" s="4" t="s">
        <v>455</v>
      </c>
      <c r="D1792" s="6">
        <v>46309.472453703696</v>
      </c>
      <c r="E1792" s="6">
        <v>46309.222418981502</v>
      </c>
      <c r="F1792" s="6">
        <v>46309</v>
      </c>
      <c r="G1792" s="5" t="s">
        <v>12</v>
      </c>
      <c r="H1792" s="5" t="s">
        <v>29</v>
      </c>
      <c r="I1792" s="5">
        <v>21</v>
      </c>
      <c r="J1792" s="9" t="s">
        <v>17</v>
      </c>
      <c r="K1792" s="1" t="s">
        <v>2084</v>
      </c>
      <c r="L1792" t="s">
        <v>3284</v>
      </c>
      <c r="M1792" t="str">
        <f>+VLOOKUP(C1792,'[1]TIENDAS 2025'!$A$1:$C$143,3,0)</f>
        <v>departamental</v>
      </c>
      <c r="O1792">
        <v>1</v>
      </c>
    </row>
    <row r="1793" spans="1:15" ht="15" customHeight="1" x14ac:dyDescent="0.3">
      <c r="A1793" s="7">
        <v>8209671335</v>
      </c>
      <c r="B1793" s="4" t="s">
        <v>262</v>
      </c>
      <c r="C1793" s="4" t="s">
        <v>263</v>
      </c>
      <c r="D1793" s="6">
        <v>46309.472476851799</v>
      </c>
      <c r="E1793" s="6">
        <v>46309.222442129598</v>
      </c>
      <c r="F1793" s="6">
        <v>46309</v>
      </c>
      <c r="G1793" s="5" t="s">
        <v>12</v>
      </c>
      <c r="H1793" s="5" t="s">
        <v>27</v>
      </c>
      <c r="I1793" s="5">
        <v>3</v>
      </c>
      <c r="J1793" s="10" t="s">
        <v>17</v>
      </c>
      <c r="K1793" s="1" t="s">
        <v>2085</v>
      </c>
      <c r="M1793" t="str">
        <f>+VLOOKUP(C1793,'[1]TIENDAS 2025'!$A$1:$C$143,3,0)</f>
        <v>departamental</v>
      </c>
      <c r="O1793">
        <v>1</v>
      </c>
    </row>
    <row r="1794" spans="1:15" ht="15" customHeight="1" x14ac:dyDescent="0.3">
      <c r="A1794" s="7">
        <v>1209671325</v>
      </c>
      <c r="B1794" s="4" t="s">
        <v>262</v>
      </c>
      <c r="C1794" s="4" t="s">
        <v>263</v>
      </c>
      <c r="D1794" s="6">
        <v>46309.472500000003</v>
      </c>
      <c r="E1794" s="6">
        <v>46309.222465277802</v>
      </c>
      <c r="F1794" s="6">
        <v>46309</v>
      </c>
      <c r="G1794" s="5" t="s">
        <v>12</v>
      </c>
      <c r="H1794" s="5" t="s">
        <v>29</v>
      </c>
      <c r="I1794" s="5">
        <v>13</v>
      </c>
      <c r="J1794" s="9" t="s">
        <v>17</v>
      </c>
      <c r="K1794" s="1" t="s">
        <v>2086</v>
      </c>
      <c r="L1794" t="s">
        <v>3284</v>
      </c>
      <c r="M1794" t="str">
        <f>+VLOOKUP(C1794,'[1]TIENDAS 2025'!$A$1:$C$143,3,0)</f>
        <v>departamental</v>
      </c>
      <c r="O1794">
        <v>1</v>
      </c>
    </row>
    <row r="1795" spans="1:15" ht="15" customHeight="1" x14ac:dyDescent="0.3">
      <c r="A1795" s="7">
        <v>8209671362</v>
      </c>
      <c r="B1795" s="4" t="s">
        <v>451</v>
      </c>
      <c r="C1795" s="4" t="s">
        <v>452</v>
      </c>
      <c r="D1795" s="6">
        <v>46309.472511574102</v>
      </c>
      <c r="E1795" s="6">
        <v>46309.222476851799</v>
      </c>
      <c r="F1795" s="6">
        <v>46309</v>
      </c>
      <c r="G1795" s="5" t="s">
        <v>12</v>
      </c>
      <c r="H1795" s="5" t="s">
        <v>27</v>
      </c>
      <c r="I1795" s="5">
        <v>6</v>
      </c>
      <c r="J1795" s="10" t="s">
        <v>17</v>
      </c>
      <c r="K1795" s="1" t="s">
        <v>2087</v>
      </c>
      <c r="M1795" t="str">
        <f>+VLOOKUP(C1795,'[1]TIENDAS 2025'!$A$1:$C$143,3,0)</f>
        <v>departamental</v>
      </c>
      <c r="O1795">
        <v>1</v>
      </c>
    </row>
    <row r="1796" spans="1:15" ht="15" customHeight="1" x14ac:dyDescent="0.3">
      <c r="A1796" s="7">
        <v>8209671363</v>
      </c>
      <c r="B1796" s="4" t="s">
        <v>451</v>
      </c>
      <c r="C1796" s="4" t="s">
        <v>452</v>
      </c>
      <c r="D1796" s="6">
        <v>46309.472523148099</v>
      </c>
      <c r="E1796" s="6">
        <v>46309.222488425898</v>
      </c>
      <c r="F1796" s="6">
        <v>46309</v>
      </c>
      <c r="G1796" s="5" t="s">
        <v>12</v>
      </c>
      <c r="H1796" s="5" t="s">
        <v>27</v>
      </c>
      <c r="I1796" s="5">
        <v>17</v>
      </c>
      <c r="J1796" s="10" t="s">
        <v>17</v>
      </c>
      <c r="K1796" s="1" t="s">
        <v>2088</v>
      </c>
      <c r="M1796" t="str">
        <f>+VLOOKUP(C1796,'[1]TIENDAS 2025'!$A$1:$C$143,3,0)</f>
        <v>departamental</v>
      </c>
      <c r="O1796">
        <v>1</v>
      </c>
    </row>
    <row r="1797" spans="1:15" ht="15" customHeight="1" x14ac:dyDescent="0.3">
      <c r="A1797" s="7">
        <v>8209671364</v>
      </c>
      <c r="B1797" s="4" t="s">
        <v>451</v>
      </c>
      <c r="C1797" s="4" t="s">
        <v>452</v>
      </c>
      <c r="D1797" s="6">
        <v>46309.472534722197</v>
      </c>
      <c r="E1797" s="6">
        <v>46309.222511574102</v>
      </c>
      <c r="F1797" s="6">
        <v>46309</v>
      </c>
      <c r="G1797" s="5" t="s">
        <v>12</v>
      </c>
      <c r="H1797" s="5" t="s">
        <v>27</v>
      </c>
      <c r="I1797" s="5">
        <v>6</v>
      </c>
      <c r="J1797" s="10" t="s">
        <v>17</v>
      </c>
      <c r="K1797" s="1" t="s">
        <v>2089</v>
      </c>
      <c r="M1797" t="str">
        <f>+VLOOKUP(C1797,'[1]TIENDAS 2025'!$A$1:$C$143,3,0)</f>
        <v>departamental</v>
      </c>
      <c r="O1797">
        <v>1</v>
      </c>
    </row>
    <row r="1798" spans="1:15" ht="15" customHeight="1" x14ac:dyDescent="0.3">
      <c r="A1798" s="7">
        <v>8209671437</v>
      </c>
      <c r="B1798" s="4" t="s">
        <v>160</v>
      </c>
      <c r="C1798" s="4" t="s">
        <v>161</v>
      </c>
      <c r="D1798" s="6">
        <v>46309.472557870402</v>
      </c>
      <c r="E1798" s="6">
        <v>46309.222523148099</v>
      </c>
      <c r="F1798" s="6">
        <v>46309</v>
      </c>
      <c r="G1798" s="5" t="s">
        <v>12</v>
      </c>
      <c r="H1798" s="5" t="s">
        <v>27</v>
      </c>
      <c r="I1798" s="5">
        <v>13</v>
      </c>
      <c r="J1798" s="10" t="s">
        <v>17</v>
      </c>
      <c r="K1798" s="1" t="s">
        <v>2090</v>
      </c>
      <c r="M1798" t="str">
        <f>+VLOOKUP(C1798,'[1]TIENDAS 2025'!$A$1:$C$143,3,0)</f>
        <v>nocturna</v>
      </c>
      <c r="O1798">
        <v>1</v>
      </c>
    </row>
    <row r="1799" spans="1:15" ht="15" customHeight="1" x14ac:dyDescent="0.3">
      <c r="A1799" s="7">
        <v>8209671399</v>
      </c>
      <c r="B1799" s="4" t="s">
        <v>454</v>
      </c>
      <c r="C1799" s="4" t="s">
        <v>455</v>
      </c>
      <c r="D1799" s="6">
        <v>46309.472569444399</v>
      </c>
      <c r="E1799" s="6">
        <v>46309.222546296303</v>
      </c>
      <c r="F1799" s="6">
        <v>46309</v>
      </c>
      <c r="G1799" s="5" t="s">
        <v>12</v>
      </c>
      <c r="H1799" s="5" t="s">
        <v>27</v>
      </c>
      <c r="I1799" s="5">
        <v>2</v>
      </c>
      <c r="J1799" s="10" t="s">
        <v>17</v>
      </c>
      <c r="K1799" s="1" t="s">
        <v>2091</v>
      </c>
      <c r="M1799" t="str">
        <f>+VLOOKUP(C1799,'[1]TIENDAS 2025'!$A$1:$C$143,3,0)</f>
        <v>departamental</v>
      </c>
      <c r="O1799">
        <v>1</v>
      </c>
    </row>
    <row r="1800" spans="1:15" ht="15" customHeight="1" x14ac:dyDescent="0.3">
      <c r="A1800" s="7">
        <v>8209671438</v>
      </c>
      <c r="B1800" s="4" t="s">
        <v>160</v>
      </c>
      <c r="C1800" s="4" t="s">
        <v>161</v>
      </c>
      <c r="D1800" s="6">
        <v>46309.472581018497</v>
      </c>
      <c r="E1800" s="6">
        <v>46309.222557870402</v>
      </c>
      <c r="F1800" s="6">
        <v>46309</v>
      </c>
      <c r="G1800" s="5" t="s">
        <v>12</v>
      </c>
      <c r="H1800" s="5" t="s">
        <v>27</v>
      </c>
      <c r="I1800" s="5">
        <v>21</v>
      </c>
      <c r="J1800" s="10" t="s">
        <v>17</v>
      </c>
      <c r="K1800" s="1" t="s">
        <v>2092</v>
      </c>
      <c r="M1800" t="str">
        <f>+VLOOKUP(C1800,'[1]TIENDAS 2025'!$A$1:$C$143,3,0)</f>
        <v>nocturna</v>
      </c>
      <c r="O1800">
        <v>1</v>
      </c>
    </row>
    <row r="1801" spans="1:15" ht="15" customHeight="1" x14ac:dyDescent="0.3">
      <c r="A1801" s="7">
        <v>1209671410</v>
      </c>
      <c r="B1801" s="4" t="s">
        <v>454</v>
      </c>
      <c r="C1801" s="4" t="s">
        <v>455</v>
      </c>
      <c r="D1801" s="6">
        <v>46309.472592592603</v>
      </c>
      <c r="E1801" s="6">
        <v>46309.222569444399</v>
      </c>
      <c r="F1801" s="6">
        <v>46309</v>
      </c>
      <c r="G1801" s="5" t="s">
        <v>12</v>
      </c>
      <c r="H1801" s="5" t="s">
        <v>29</v>
      </c>
      <c r="I1801" s="5">
        <v>23</v>
      </c>
      <c r="J1801" s="9" t="s">
        <v>17</v>
      </c>
      <c r="K1801" s="1" t="s">
        <v>2093</v>
      </c>
      <c r="L1801" t="s">
        <v>3284</v>
      </c>
      <c r="M1801" t="str">
        <f>+VLOOKUP(C1801,'[1]TIENDAS 2025'!$A$1:$C$143,3,0)</f>
        <v>departamental</v>
      </c>
      <c r="O1801">
        <v>1</v>
      </c>
    </row>
    <row r="1802" spans="1:15" ht="15" customHeight="1" x14ac:dyDescent="0.3">
      <c r="A1802" s="7">
        <v>1209671338</v>
      </c>
      <c r="B1802" s="4" t="s">
        <v>262</v>
      </c>
      <c r="C1802" s="4" t="s">
        <v>263</v>
      </c>
      <c r="D1802" s="6">
        <v>46309.472615740699</v>
      </c>
      <c r="E1802" s="6">
        <v>46309.222581018497</v>
      </c>
      <c r="F1802" s="6">
        <v>46309</v>
      </c>
      <c r="G1802" s="5" t="s">
        <v>12</v>
      </c>
      <c r="H1802" s="5" t="s">
        <v>29</v>
      </c>
      <c r="I1802" s="5">
        <v>10</v>
      </c>
      <c r="J1802" s="9" t="s">
        <v>17</v>
      </c>
      <c r="K1802" s="1" t="s">
        <v>2094</v>
      </c>
      <c r="L1802" t="s">
        <v>3284</v>
      </c>
      <c r="M1802" t="str">
        <f>+VLOOKUP(C1802,'[1]TIENDAS 2025'!$A$1:$C$143,3,0)</f>
        <v>departamental</v>
      </c>
      <c r="O1802">
        <v>1</v>
      </c>
    </row>
    <row r="1803" spans="1:15" ht="15" customHeight="1" x14ac:dyDescent="0.3">
      <c r="A1803" s="7">
        <v>8209671435</v>
      </c>
      <c r="B1803" s="4" t="s">
        <v>160</v>
      </c>
      <c r="C1803" s="4" t="s">
        <v>161</v>
      </c>
      <c r="D1803" s="6">
        <v>46309.472627314797</v>
      </c>
      <c r="E1803" s="6">
        <v>46309.222592592603</v>
      </c>
      <c r="F1803" s="6">
        <v>46309</v>
      </c>
      <c r="G1803" s="5" t="s">
        <v>12</v>
      </c>
      <c r="H1803" s="5" t="s">
        <v>27</v>
      </c>
      <c r="I1803" s="5">
        <v>1</v>
      </c>
      <c r="J1803" s="10" t="s">
        <v>17</v>
      </c>
      <c r="K1803" s="1" t="s">
        <v>2095</v>
      </c>
      <c r="M1803" t="str">
        <f>+VLOOKUP(C1803,'[1]TIENDAS 2025'!$A$1:$C$143,3,0)</f>
        <v>nocturna</v>
      </c>
      <c r="O1803">
        <v>1</v>
      </c>
    </row>
    <row r="1804" spans="1:15" ht="15" customHeight="1" x14ac:dyDescent="0.3">
      <c r="A1804" s="7">
        <v>8209671401</v>
      </c>
      <c r="B1804" s="4" t="s">
        <v>454</v>
      </c>
      <c r="C1804" s="4" t="s">
        <v>455</v>
      </c>
      <c r="D1804" s="6">
        <v>46309.472638888903</v>
      </c>
      <c r="E1804" s="6">
        <v>46309.222615740699</v>
      </c>
      <c r="F1804" s="6">
        <v>46309</v>
      </c>
      <c r="G1804" s="5" t="s">
        <v>12</v>
      </c>
      <c r="H1804" s="5" t="s">
        <v>27</v>
      </c>
      <c r="I1804" s="5">
        <v>5</v>
      </c>
      <c r="J1804" s="10" t="s">
        <v>17</v>
      </c>
      <c r="K1804" s="1" t="s">
        <v>2096</v>
      </c>
      <c r="M1804" t="str">
        <f>+VLOOKUP(C1804,'[1]TIENDAS 2025'!$A$1:$C$143,3,0)</f>
        <v>departamental</v>
      </c>
      <c r="O1804">
        <v>1</v>
      </c>
    </row>
    <row r="1805" spans="1:15" ht="15" customHeight="1" x14ac:dyDescent="0.3">
      <c r="A1805" s="7">
        <v>1209671405</v>
      </c>
      <c r="B1805" s="4" t="s">
        <v>454</v>
      </c>
      <c r="C1805" s="4" t="s">
        <v>455</v>
      </c>
      <c r="D1805" s="6">
        <v>46309.472650463002</v>
      </c>
      <c r="E1805" s="6">
        <v>46309.222627314797</v>
      </c>
      <c r="F1805" s="6">
        <v>46309</v>
      </c>
      <c r="G1805" s="5" t="s">
        <v>12</v>
      </c>
      <c r="H1805" s="5" t="s">
        <v>16</v>
      </c>
      <c r="I1805" s="5">
        <v>1</v>
      </c>
      <c r="J1805" s="9" t="s">
        <v>17</v>
      </c>
      <c r="K1805" s="1" t="s">
        <v>2097</v>
      </c>
      <c r="L1805" t="s">
        <v>3284</v>
      </c>
      <c r="M1805" t="str">
        <f>+VLOOKUP(C1805,'[1]TIENDAS 2025'!$A$1:$C$143,3,0)</f>
        <v>departamental</v>
      </c>
      <c r="O1805">
        <v>1</v>
      </c>
    </row>
    <row r="1806" spans="1:15" ht="15" customHeight="1" x14ac:dyDescent="0.3">
      <c r="A1806" s="7">
        <v>1209671406</v>
      </c>
      <c r="B1806" s="4" t="s">
        <v>454</v>
      </c>
      <c r="C1806" s="4" t="s">
        <v>455</v>
      </c>
      <c r="D1806" s="6">
        <v>46309.472673611097</v>
      </c>
      <c r="E1806" s="6">
        <v>46309.222638888903</v>
      </c>
      <c r="F1806" s="6">
        <v>46309</v>
      </c>
      <c r="G1806" s="5" t="s">
        <v>12</v>
      </c>
      <c r="H1806" s="5" t="s">
        <v>16</v>
      </c>
      <c r="I1806" s="5">
        <v>5</v>
      </c>
      <c r="J1806" s="9" t="s">
        <v>17</v>
      </c>
      <c r="K1806" s="1" t="s">
        <v>2098</v>
      </c>
      <c r="L1806" t="s">
        <v>3284</v>
      </c>
      <c r="M1806" t="str">
        <f>+VLOOKUP(C1806,'[1]TIENDAS 2025'!$A$1:$C$143,3,0)</f>
        <v>departamental</v>
      </c>
      <c r="O1806">
        <v>1</v>
      </c>
    </row>
    <row r="1807" spans="1:15" ht="15" customHeight="1" x14ac:dyDescent="0.3">
      <c r="A1807" s="7">
        <v>1209671407</v>
      </c>
      <c r="B1807" s="4" t="s">
        <v>454</v>
      </c>
      <c r="C1807" s="4" t="s">
        <v>455</v>
      </c>
      <c r="D1807" s="6">
        <v>46309.472685185203</v>
      </c>
      <c r="E1807" s="6">
        <v>46309.222650463002</v>
      </c>
      <c r="F1807" s="6">
        <v>46309</v>
      </c>
      <c r="G1807" s="5" t="s">
        <v>12</v>
      </c>
      <c r="H1807" s="5" t="s">
        <v>16</v>
      </c>
      <c r="I1807" s="5">
        <v>20</v>
      </c>
      <c r="J1807" s="9" t="s">
        <v>17</v>
      </c>
      <c r="K1807" s="1" t="s">
        <v>2099</v>
      </c>
      <c r="L1807" t="s">
        <v>3284</v>
      </c>
      <c r="M1807" t="str">
        <f>+VLOOKUP(C1807,'[1]TIENDAS 2025'!$A$1:$C$143,3,0)</f>
        <v>departamental</v>
      </c>
      <c r="O1807">
        <v>1</v>
      </c>
    </row>
    <row r="1808" spans="1:15" ht="15" customHeight="1" x14ac:dyDescent="0.3">
      <c r="A1808" s="7">
        <v>1209671447</v>
      </c>
      <c r="B1808" s="4" t="s">
        <v>160</v>
      </c>
      <c r="C1808" s="4" t="s">
        <v>161</v>
      </c>
      <c r="D1808" s="6">
        <v>46309.472696759301</v>
      </c>
      <c r="E1808" s="6">
        <v>46309.222673611097</v>
      </c>
      <c r="F1808" s="6">
        <v>46309</v>
      </c>
      <c r="G1808" s="5" t="s">
        <v>12</v>
      </c>
      <c r="H1808" s="5" t="s">
        <v>29</v>
      </c>
      <c r="I1808" s="5">
        <v>24</v>
      </c>
      <c r="J1808" s="9" t="s">
        <v>17</v>
      </c>
      <c r="K1808" s="1" t="s">
        <v>2100</v>
      </c>
      <c r="L1808" t="s">
        <v>3284</v>
      </c>
      <c r="M1808" t="str">
        <f>+VLOOKUP(C1808,'[1]TIENDAS 2025'!$A$1:$C$143,3,0)</f>
        <v>nocturna</v>
      </c>
      <c r="O1808">
        <v>1</v>
      </c>
    </row>
    <row r="1809" spans="1:15" ht="15" customHeight="1" x14ac:dyDescent="0.3">
      <c r="A1809" s="7">
        <v>1209671411</v>
      </c>
      <c r="B1809" s="4" t="s">
        <v>454</v>
      </c>
      <c r="C1809" s="4" t="s">
        <v>455</v>
      </c>
      <c r="D1809" s="6">
        <v>46309.472719907397</v>
      </c>
      <c r="E1809" s="6">
        <v>46309.222685185203</v>
      </c>
      <c r="F1809" s="6">
        <v>46309</v>
      </c>
      <c r="G1809" s="5" t="s">
        <v>12</v>
      </c>
      <c r="H1809" s="5" t="s">
        <v>29</v>
      </c>
      <c r="I1809" s="5">
        <v>23</v>
      </c>
      <c r="J1809" s="9" t="s">
        <v>17</v>
      </c>
      <c r="K1809" s="1" t="s">
        <v>2101</v>
      </c>
      <c r="L1809" t="s">
        <v>3284</v>
      </c>
      <c r="M1809" t="str">
        <f>+VLOOKUP(C1809,'[1]TIENDAS 2025'!$A$1:$C$143,3,0)</f>
        <v>departamental</v>
      </c>
      <c r="O1809">
        <v>1</v>
      </c>
    </row>
    <row r="1810" spans="1:15" ht="15" customHeight="1" x14ac:dyDescent="0.3">
      <c r="A1810" s="7">
        <v>1209671619</v>
      </c>
      <c r="B1810" s="4" t="s">
        <v>304</v>
      </c>
      <c r="C1810" s="4" t="s">
        <v>305</v>
      </c>
      <c r="D1810" s="6">
        <v>46309.475150462997</v>
      </c>
      <c r="E1810" s="6">
        <v>46309.225127314799</v>
      </c>
      <c r="F1810" s="6">
        <v>46309</v>
      </c>
      <c r="G1810" s="5" t="s">
        <v>12</v>
      </c>
      <c r="H1810" s="5" t="s">
        <v>16</v>
      </c>
      <c r="I1810" s="5">
        <v>25</v>
      </c>
      <c r="J1810" s="9" t="s">
        <v>17</v>
      </c>
      <c r="K1810" s="1" t="s">
        <v>2102</v>
      </c>
      <c r="L1810" t="s">
        <v>3284</v>
      </c>
      <c r="M1810" t="str">
        <f>+VLOOKUP(C1810,'[1]TIENDAS 2025'!$A$1:$C$143,3,0)</f>
        <v>departamental</v>
      </c>
      <c r="O1810">
        <v>1</v>
      </c>
    </row>
    <row r="1811" spans="1:15" ht="15" customHeight="1" x14ac:dyDescent="0.3">
      <c r="A1811" s="7">
        <v>8209671583</v>
      </c>
      <c r="B1811" s="4" t="s">
        <v>545</v>
      </c>
      <c r="C1811" s="4" t="s">
        <v>546</v>
      </c>
      <c r="D1811" s="6">
        <v>46309.475150462997</v>
      </c>
      <c r="E1811" s="6">
        <v>46309.225115740701</v>
      </c>
      <c r="F1811" s="6">
        <v>46309</v>
      </c>
      <c r="G1811" s="5" t="s">
        <v>12</v>
      </c>
      <c r="H1811" s="5" t="s">
        <v>27</v>
      </c>
      <c r="I1811" s="5">
        <v>3</v>
      </c>
      <c r="J1811" s="10" t="s">
        <v>17</v>
      </c>
      <c r="K1811" s="1" t="s">
        <v>2103</v>
      </c>
      <c r="M1811" t="str">
        <f>+VLOOKUP(C1811,'[1]TIENDAS 2025'!$A$1:$C$143,3,0)</f>
        <v>departamental</v>
      </c>
      <c r="O1811">
        <v>1</v>
      </c>
    </row>
    <row r="1812" spans="1:15" ht="15" customHeight="1" x14ac:dyDescent="0.3">
      <c r="A1812" s="7">
        <v>1209671614</v>
      </c>
      <c r="B1812" s="4" t="s">
        <v>304</v>
      </c>
      <c r="C1812" s="4" t="s">
        <v>305</v>
      </c>
      <c r="D1812" s="6">
        <v>46309.475173611099</v>
      </c>
      <c r="E1812" s="6">
        <v>46309.225150462997</v>
      </c>
      <c r="F1812" s="6">
        <v>46309</v>
      </c>
      <c r="G1812" s="5" t="s">
        <v>12</v>
      </c>
      <c r="H1812" s="5" t="s">
        <v>16</v>
      </c>
      <c r="I1812" s="5">
        <v>21</v>
      </c>
      <c r="J1812" s="9" t="s">
        <v>17</v>
      </c>
      <c r="K1812" s="1" t="s">
        <v>2104</v>
      </c>
      <c r="L1812" t="s">
        <v>3284</v>
      </c>
      <c r="M1812" t="str">
        <f>+VLOOKUP(C1812,'[1]TIENDAS 2025'!$A$1:$C$143,3,0)</f>
        <v>departamental</v>
      </c>
      <c r="O1812">
        <v>1</v>
      </c>
    </row>
    <row r="1813" spans="1:15" ht="15" customHeight="1" x14ac:dyDescent="0.3">
      <c r="A1813" s="7">
        <v>8209671469</v>
      </c>
      <c r="B1813" s="4" t="s">
        <v>460</v>
      </c>
      <c r="C1813" s="4" t="s">
        <v>461</v>
      </c>
      <c r="D1813" s="6">
        <v>46309.475196759297</v>
      </c>
      <c r="E1813" s="6">
        <v>46309.225162037001</v>
      </c>
      <c r="F1813" s="6">
        <v>46309</v>
      </c>
      <c r="G1813" s="5" t="s">
        <v>12</v>
      </c>
      <c r="H1813" s="5" t="s">
        <v>27</v>
      </c>
      <c r="I1813" s="5">
        <v>11</v>
      </c>
      <c r="J1813" s="10" t="s">
        <v>17</v>
      </c>
      <c r="K1813" s="1" t="s">
        <v>2105</v>
      </c>
      <c r="M1813" t="str">
        <f>+VLOOKUP(C1813,'[1]TIENDAS 2025'!$A$1:$C$143,3,0)</f>
        <v>prioridad</v>
      </c>
      <c r="O1813">
        <v>1</v>
      </c>
    </row>
    <row r="1814" spans="1:15" ht="15" customHeight="1" x14ac:dyDescent="0.3">
      <c r="A1814" s="7">
        <v>8209671566</v>
      </c>
      <c r="B1814" s="4" t="s">
        <v>545</v>
      </c>
      <c r="C1814" s="4" t="s">
        <v>546</v>
      </c>
      <c r="D1814" s="6">
        <v>46309.475219907399</v>
      </c>
      <c r="E1814" s="6">
        <v>46309.225185185198</v>
      </c>
      <c r="F1814" s="6">
        <v>46309</v>
      </c>
      <c r="G1814" s="5" t="s">
        <v>12</v>
      </c>
      <c r="H1814" s="5" t="s">
        <v>27</v>
      </c>
      <c r="I1814" s="5">
        <v>8</v>
      </c>
      <c r="J1814" s="10" t="s">
        <v>17</v>
      </c>
      <c r="K1814" s="1" t="s">
        <v>2106</v>
      </c>
      <c r="M1814" t="str">
        <f>+VLOOKUP(C1814,'[1]TIENDAS 2025'!$A$1:$C$143,3,0)</f>
        <v>departamental</v>
      </c>
      <c r="O1814">
        <v>1</v>
      </c>
    </row>
    <row r="1815" spans="1:15" ht="15" customHeight="1" x14ac:dyDescent="0.3">
      <c r="A1815" s="7">
        <v>1209671475</v>
      </c>
      <c r="B1815" s="4" t="s">
        <v>460</v>
      </c>
      <c r="C1815" s="4" t="s">
        <v>461</v>
      </c>
      <c r="D1815" s="6">
        <v>46309.475231481498</v>
      </c>
      <c r="E1815" s="6">
        <v>46309.225208333301</v>
      </c>
      <c r="F1815" s="6">
        <v>46309</v>
      </c>
      <c r="G1815" s="5" t="s">
        <v>12</v>
      </c>
      <c r="H1815" s="5" t="s">
        <v>16</v>
      </c>
      <c r="I1815" s="5">
        <v>10</v>
      </c>
      <c r="J1815" s="9" t="s">
        <v>17</v>
      </c>
      <c r="K1815" s="1" t="s">
        <v>2107</v>
      </c>
      <c r="L1815" t="s">
        <v>3284</v>
      </c>
      <c r="M1815" t="str">
        <f>+VLOOKUP(C1815,'[1]TIENDAS 2025'!$A$1:$C$143,3,0)</f>
        <v>prioridad</v>
      </c>
      <c r="O1815">
        <v>1</v>
      </c>
    </row>
    <row r="1816" spans="1:15" ht="15" customHeight="1" x14ac:dyDescent="0.3">
      <c r="A1816" s="7">
        <v>8209671537</v>
      </c>
      <c r="B1816" s="4" t="s">
        <v>354</v>
      </c>
      <c r="C1816" s="4" t="s">
        <v>355</v>
      </c>
      <c r="D1816" s="6">
        <v>46309.4752546296</v>
      </c>
      <c r="E1816" s="6">
        <v>46309.225219907399</v>
      </c>
      <c r="F1816" s="6">
        <v>46309</v>
      </c>
      <c r="G1816" s="5" t="s">
        <v>12</v>
      </c>
      <c r="H1816" s="5" t="s">
        <v>27</v>
      </c>
      <c r="I1816" s="5">
        <v>15</v>
      </c>
      <c r="J1816" s="10" t="s">
        <v>17</v>
      </c>
      <c r="K1816" s="1" t="s">
        <v>2108</v>
      </c>
      <c r="M1816" t="str">
        <f>+VLOOKUP(C1816,'[1]TIENDAS 2025'!$A$1:$C$143,3,0)</f>
        <v>nocturna</v>
      </c>
      <c r="O1816">
        <v>1</v>
      </c>
    </row>
    <row r="1817" spans="1:15" ht="15" customHeight="1" x14ac:dyDescent="0.3">
      <c r="A1817" s="7">
        <v>8209671538</v>
      </c>
      <c r="B1817" s="4" t="s">
        <v>354</v>
      </c>
      <c r="C1817" s="4" t="s">
        <v>355</v>
      </c>
      <c r="D1817" s="6">
        <v>46309.475277777798</v>
      </c>
      <c r="E1817" s="6">
        <v>46309.225243055596</v>
      </c>
      <c r="F1817" s="6">
        <v>46309</v>
      </c>
      <c r="G1817" s="5" t="s">
        <v>12</v>
      </c>
      <c r="H1817" s="5" t="s">
        <v>27</v>
      </c>
      <c r="I1817" s="5">
        <v>1</v>
      </c>
      <c r="J1817" s="10" t="s">
        <v>17</v>
      </c>
      <c r="K1817" s="1" t="s">
        <v>2109</v>
      </c>
      <c r="M1817" t="str">
        <f>+VLOOKUP(C1817,'[1]TIENDAS 2025'!$A$1:$C$143,3,0)</f>
        <v>nocturna</v>
      </c>
      <c r="O1817">
        <v>1</v>
      </c>
    </row>
    <row r="1818" spans="1:15" ht="15" customHeight="1" x14ac:dyDescent="0.3">
      <c r="A1818" s="7">
        <v>1209671481</v>
      </c>
      <c r="B1818" s="4" t="s">
        <v>460</v>
      </c>
      <c r="C1818" s="4" t="s">
        <v>461</v>
      </c>
      <c r="D1818" s="6">
        <v>46309.4753009259</v>
      </c>
      <c r="E1818" s="6">
        <v>46309.225266203699</v>
      </c>
      <c r="F1818" s="6">
        <v>46309</v>
      </c>
      <c r="G1818" s="5" t="s">
        <v>12</v>
      </c>
      <c r="H1818" s="5" t="s">
        <v>29</v>
      </c>
      <c r="I1818" s="5">
        <v>39</v>
      </c>
      <c r="J1818" s="9" t="s">
        <v>17</v>
      </c>
      <c r="K1818" s="1" t="s">
        <v>2110</v>
      </c>
      <c r="L1818" t="s">
        <v>3284</v>
      </c>
      <c r="M1818" t="str">
        <f>+VLOOKUP(C1818,'[1]TIENDAS 2025'!$A$1:$C$143,3,0)</f>
        <v>prioridad</v>
      </c>
      <c r="O1818">
        <v>1</v>
      </c>
    </row>
    <row r="1819" spans="1:15" ht="15" customHeight="1" x14ac:dyDescent="0.3">
      <c r="A1819" s="7">
        <v>8209671496</v>
      </c>
      <c r="B1819" s="4" t="s">
        <v>265</v>
      </c>
      <c r="C1819" s="4" t="s">
        <v>266</v>
      </c>
      <c r="D1819" s="6">
        <v>46309.475312499999</v>
      </c>
      <c r="E1819" s="6">
        <v>46309.225277777798</v>
      </c>
      <c r="F1819" s="6">
        <v>46309</v>
      </c>
      <c r="G1819" s="5" t="s">
        <v>12</v>
      </c>
      <c r="H1819" s="5" t="s">
        <v>27</v>
      </c>
      <c r="I1819" s="5">
        <v>1</v>
      </c>
      <c r="J1819" s="10" t="s">
        <v>17</v>
      </c>
      <c r="K1819" s="1" t="s">
        <v>2111</v>
      </c>
      <c r="M1819" t="str">
        <f>+VLOOKUP(C1819,'[1]TIENDAS 2025'!$A$1:$C$143,3,0)</f>
        <v>nocturna</v>
      </c>
      <c r="O1819">
        <v>1</v>
      </c>
    </row>
    <row r="1820" spans="1:15" ht="15" customHeight="1" x14ac:dyDescent="0.3">
      <c r="A1820" s="7">
        <v>1209671504</v>
      </c>
      <c r="B1820" s="4" t="s">
        <v>265</v>
      </c>
      <c r="C1820" s="4" t="s">
        <v>266</v>
      </c>
      <c r="D1820" s="6">
        <v>46309.475324074097</v>
      </c>
      <c r="E1820" s="6">
        <v>46309.2253009259</v>
      </c>
      <c r="F1820" s="6">
        <v>46309</v>
      </c>
      <c r="G1820" s="5" t="s">
        <v>12</v>
      </c>
      <c r="H1820" s="5" t="s">
        <v>16</v>
      </c>
      <c r="I1820" s="5">
        <v>17</v>
      </c>
      <c r="J1820" s="9" t="s">
        <v>17</v>
      </c>
      <c r="K1820" s="1" t="s">
        <v>2112</v>
      </c>
      <c r="L1820" t="s">
        <v>3284</v>
      </c>
      <c r="M1820" t="str">
        <f>+VLOOKUP(C1820,'[1]TIENDAS 2025'!$A$1:$C$143,3,0)</f>
        <v>nocturna</v>
      </c>
      <c r="O1820">
        <v>1</v>
      </c>
    </row>
    <row r="1821" spans="1:15" ht="15" customHeight="1" x14ac:dyDescent="0.3">
      <c r="A1821" s="7">
        <v>8209671569</v>
      </c>
      <c r="B1821" s="4" t="s">
        <v>545</v>
      </c>
      <c r="C1821" s="4" t="s">
        <v>546</v>
      </c>
      <c r="D1821" s="6">
        <v>46309.4753472222</v>
      </c>
      <c r="E1821" s="6">
        <v>46309.225312499999</v>
      </c>
      <c r="F1821" s="6">
        <v>46309</v>
      </c>
      <c r="G1821" s="5" t="s">
        <v>12</v>
      </c>
      <c r="H1821" s="5" t="s">
        <v>27</v>
      </c>
      <c r="I1821" s="5">
        <v>3</v>
      </c>
      <c r="J1821" s="10" t="s">
        <v>17</v>
      </c>
      <c r="K1821" s="1" t="s">
        <v>2113</v>
      </c>
      <c r="M1821" t="str">
        <f>+VLOOKUP(C1821,'[1]TIENDAS 2025'!$A$1:$C$143,3,0)</f>
        <v>departamental</v>
      </c>
      <c r="O1821">
        <v>1</v>
      </c>
    </row>
    <row r="1822" spans="1:15" ht="15" customHeight="1" x14ac:dyDescent="0.3">
      <c r="A1822" s="7">
        <v>1209671586</v>
      </c>
      <c r="B1822" s="4" t="s">
        <v>545</v>
      </c>
      <c r="C1822" s="4" t="s">
        <v>546</v>
      </c>
      <c r="D1822" s="6">
        <v>46309.475358796299</v>
      </c>
      <c r="E1822" s="6">
        <v>46309.225335648101</v>
      </c>
      <c r="F1822" s="6">
        <v>46309</v>
      </c>
      <c r="G1822" s="5" t="s">
        <v>12</v>
      </c>
      <c r="H1822" s="5" t="s">
        <v>29</v>
      </c>
      <c r="I1822" s="5">
        <v>20</v>
      </c>
      <c r="J1822" s="9" t="s">
        <v>17</v>
      </c>
      <c r="K1822" s="1" t="s">
        <v>2114</v>
      </c>
      <c r="L1822" t="s">
        <v>3284</v>
      </c>
      <c r="M1822" t="str">
        <f>+VLOOKUP(C1822,'[1]TIENDAS 2025'!$A$1:$C$143,3,0)</f>
        <v>departamental</v>
      </c>
      <c r="O1822">
        <v>1</v>
      </c>
    </row>
    <row r="1823" spans="1:15" ht="15" customHeight="1" x14ac:dyDescent="0.3">
      <c r="A1823" s="7">
        <v>1209671580</v>
      </c>
      <c r="B1823" s="4" t="s">
        <v>545</v>
      </c>
      <c r="C1823" s="4" t="s">
        <v>546</v>
      </c>
      <c r="D1823" s="6">
        <v>46309.475381944401</v>
      </c>
      <c r="E1823" s="6">
        <v>46309.2253472222</v>
      </c>
      <c r="F1823" s="6">
        <v>46309</v>
      </c>
      <c r="G1823" s="5" t="s">
        <v>12</v>
      </c>
      <c r="H1823" s="5" t="s">
        <v>16</v>
      </c>
      <c r="I1823" s="5">
        <v>5</v>
      </c>
      <c r="J1823" s="9" t="s">
        <v>17</v>
      </c>
      <c r="K1823" s="1" t="s">
        <v>2115</v>
      </c>
      <c r="L1823" t="s">
        <v>3284</v>
      </c>
      <c r="M1823" t="str">
        <f>+VLOOKUP(C1823,'[1]TIENDAS 2025'!$A$1:$C$143,3,0)</f>
        <v>departamental</v>
      </c>
      <c r="O1823">
        <v>1</v>
      </c>
    </row>
    <row r="1824" spans="1:15" ht="15" customHeight="1" x14ac:dyDescent="0.3">
      <c r="A1824" s="7">
        <v>1209671620</v>
      </c>
      <c r="B1824" s="4" t="s">
        <v>304</v>
      </c>
      <c r="C1824" s="4" t="s">
        <v>305</v>
      </c>
      <c r="D1824" s="6">
        <v>46309.475405092599</v>
      </c>
      <c r="E1824" s="6">
        <v>46309.225370370397</v>
      </c>
      <c r="F1824" s="6">
        <v>46309</v>
      </c>
      <c r="G1824" s="5" t="s">
        <v>12</v>
      </c>
      <c r="H1824" s="5" t="s">
        <v>29</v>
      </c>
      <c r="I1824" s="5">
        <v>36</v>
      </c>
      <c r="J1824" s="9" t="s">
        <v>17</v>
      </c>
      <c r="K1824" s="1" t="s">
        <v>2116</v>
      </c>
      <c r="L1824" t="s">
        <v>3284</v>
      </c>
      <c r="M1824" t="str">
        <f>+VLOOKUP(C1824,'[1]TIENDAS 2025'!$A$1:$C$143,3,0)</f>
        <v>departamental</v>
      </c>
      <c r="O1824">
        <v>1</v>
      </c>
    </row>
    <row r="1825" spans="1:15" ht="15" customHeight="1" x14ac:dyDescent="0.3">
      <c r="A1825" s="7">
        <v>8209671611</v>
      </c>
      <c r="B1825" s="4" t="s">
        <v>304</v>
      </c>
      <c r="C1825" s="4" t="s">
        <v>305</v>
      </c>
      <c r="D1825" s="6">
        <v>46309.475428240701</v>
      </c>
      <c r="E1825" s="6">
        <v>46309.2253935185</v>
      </c>
      <c r="F1825" s="6">
        <v>46309</v>
      </c>
      <c r="G1825" s="5" t="s">
        <v>12</v>
      </c>
      <c r="H1825" s="5" t="s">
        <v>27</v>
      </c>
      <c r="I1825" s="5">
        <v>13</v>
      </c>
      <c r="J1825" s="10" t="s">
        <v>17</v>
      </c>
      <c r="K1825" s="1" t="s">
        <v>2117</v>
      </c>
      <c r="M1825" t="str">
        <f>+VLOOKUP(C1825,'[1]TIENDAS 2025'!$A$1:$C$143,3,0)</f>
        <v>departamental</v>
      </c>
      <c r="O1825">
        <v>1</v>
      </c>
    </row>
    <row r="1826" spans="1:15" ht="15" customHeight="1" x14ac:dyDescent="0.3">
      <c r="A1826" s="7">
        <v>1209671615</v>
      </c>
      <c r="B1826" s="4" t="s">
        <v>304</v>
      </c>
      <c r="C1826" s="4" t="s">
        <v>305</v>
      </c>
      <c r="D1826" s="6">
        <v>46309.4754398148</v>
      </c>
      <c r="E1826" s="6">
        <v>46309.225405092599</v>
      </c>
      <c r="F1826" s="6">
        <v>46309</v>
      </c>
      <c r="G1826" s="5" t="s">
        <v>12</v>
      </c>
      <c r="H1826" s="5" t="s">
        <v>16</v>
      </c>
      <c r="I1826" s="5">
        <v>21</v>
      </c>
      <c r="J1826" s="9" t="s">
        <v>17</v>
      </c>
      <c r="K1826" s="1" t="s">
        <v>2118</v>
      </c>
      <c r="L1826" t="s">
        <v>3284</v>
      </c>
      <c r="M1826" t="str">
        <f>+VLOOKUP(C1826,'[1]TIENDAS 2025'!$A$1:$C$143,3,0)</f>
        <v>departamental</v>
      </c>
      <c r="O1826">
        <v>1</v>
      </c>
    </row>
    <row r="1827" spans="1:15" ht="15" customHeight="1" x14ac:dyDescent="0.3">
      <c r="A1827" s="7">
        <v>1209671548</v>
      </c>
      <c r="B1827" s="4" t="s">
        <v>354</v>
      </c>
      <c r="C1827" s="4" t="s">
        <v>355</v>
      </c>
      <c r="D1827" s="6">
        <v>46309.475451388898</v>
      </c>
      <c r="E1827" s="6">
        <v>46309.225416666697</v>
      </c>
      <c r="F1827" s="6">
        <v>46309</v>
      </c>
      <c r="G1827" s="5" t="s">
        <v>12</v>
      </c>
      <c r="H1827" s="5" t="s">
        <v>16</v>
      </c>
      <c r="I1827" s="5">
        <v>8</v>
      </c>
      <c r="J1827" s="9" t="s">
        <v>17</v>
      </c>
      <c r="K1827" s="1" t="s">
        <v>2119</v>
      </c>
      <c r="L1827" t="s">
        <v>3284</v>
      </c>
      <c r="M1827" t="str">
        <f>+VLOOKUP(C1827,'[1]TIENDAS 2025'!$A$1:$C$143,3,0)</f>
        <v>nocturna</v>
      </c>
      <c r="O1827">
        <v>1</v>
      </c>
    </row>
    <row r="1828" spans="1:15" ht="15" customHeight="1" x14ac:dyDescent="0.3">
      <c r="A1828" s="7">
        <v>1209671474</v>
      </c>
      <c r="B1828" s="4" t="s">
        <v>460</v>
      </c>
      <c r="C1828" s="4" t="s">
        <v>461</v>
      </c>
      <c r="D1828" s="6">
        <v>46309.475462962997</v>
      </c>
      <c r="E1828" s="6">
        <v>46309.2254398148</v>
      </c>
      <c r="F1828" s="6">
        <v>46309</v>
      </c>
      <c r="G1828" s="5" t="s">
        <v>12</v>
      </c>
      <c r="H1828" s="5" t="s">
        <v>16</v>
      </c>
      <c r="I1828" s="5">
        <v>10</v>
      </c>
      <c r="J1828" s="9" t="s">
        <v>17</v>
      </c>
      <c r="K1828" s="1" t="s">
        <v>2120</v>
      </c>
      <c r="L1828" t="s">
        <v>3284</v>
      </c>
      <c r="M1828" t="str">
        <f>+VLOOKUP(C1828,'[1]TIENDAS 2025'!$A$1:$C$143,3,0)</f>
        <v>prioridad</v>
      </c>
      <c r="O1828">
        <v>1</v>
      </c>
    </row>
    <row r="1829" spans="1:15" ht="15" customHeight="1" x14ac:dyDescent="0.3">
      <c r="A1829" s="7">
        <v>1209671540</v>
      </c>
      <c r="B1829" s="4" t="s">
        <v>354</v>
      </c>
      <c r="C1829" s="4" t="s">
        <v>355</v>
      </c>
      <c r="D1829" s="6">
        <v>46309.4754861111</v>
      </c>
      <c r="E1829" s="6">
        <v>46309.225451388898</v>
      </c>
      <c r="F1829" s="6">
        <v>46309</v>
      </c>
      <c r="G1829" s="5" t="s">
        <v>12</v>
      </c>
      <c r="H1829" s="5" t="s">
        <v>29</v>
      </c>
      <c r="I1829" s="5">
        <v>3</v>
      </c>
      <c r="J1829" s="9" t="s">
        <v>17</v>
      </c>
      <c r="K1829" s="1" t="s">
        <v>2121</v>
      </c>
      <c r="L1829" t="s">
        <v>3284</v>
      </c>
      <c r="M1829" t="str">
        <f>+VLOOKUP(C1829,'[1]TIENDAS 2025'!$A$1:$C$143,3,0)</f>
        <v>nocturna</v>
      </c>
      <c r="O1829">
        <v>1</v>
      </c>
    </row>
    <row r="1830" spans="1:15" ht="15" customHeight="1" x14ac:dyDescent="0.3">
      <c r="A1830" s="7">
        <v>1209671545</v>
      </c>
      <c r="B1830" s="4" t="s">
        <v>354</v>
      </c>
      <c r="C1830" s="4" t="s">
        <v>355</v>
      </c>
      <c r="D1830" s="6">
        <v>46309.4754861111</v>
      </c>
      <c r="E1830" s="6">
        <v>46309.225462962997</v>
      </c>
      <c r="F1830" s="6">
        <v>46309</v>
      </c>
      <c r="G1830" s="5" t="s">
        <v>12</v>
      </c>
      <c r="H1830" s="5" t="s">
        <v>29</v>
      </c>
      <c r="I1830" s="5">
        <v>28</v>
      </c>
      <c r="J1830" s="9" t="s">
        <v>17</v>
      </c>
      <c r="K1830" s="1" t="s">
        <v>2122</v>
      </c>
      <c r="L1830" t="s">
        <v>3284</v>
      </c>
      <c r="M1830" t="str">
        <f>+VLOOKUP(C1830,'[1]TIENDAS 2025'!$A$1:$C$143,3,0)</f>
        <v>nocturna</v>
      </c>
      <c r="O1830">
        <v>1</v>
      </c>
    </row>
    <row r="1831" spans="1:15" ht="15" customHeight="1" x14ac:dyDescent="0.3">
      <c r="A1831" s="7">
        <v>1209671574</v>
      </c>
      <c r="B1831" s="4" t="s">
        <v>545</v>
      </c>
      <c r="C1831" s="4" t="s">
        <v>546</v>
      </c>
      <c r="D1831" s="6">
        <v>46309.475509259297</v>
      </c>
      <c r="E1831" s="6">
        <v>46309.2254861111</v>
      </c>
      <c r="F1831" s="6">
        <v>46309</v>
      </c>
      <c r="G1831" s="5" t="s">
        <v>12</v>
      </c>
      <c r="H1831" s="5" t="s">
        <v>29</v>
      </c>
      <c r="I1831" s="5">
        <v>29</v>
      </c>
      <c r="J1831" s="9" t="s">
        <v>17</v>
      </c>
      <c r="K1831" s="1" t="s">
        <v>2123</v>
      </c>
      <c r="L1831" t="s">
        <v>3284</v>
      </c>
      <c r="M1831" t="str">
        <f>+VLOOKUP(C1831,'[1]TIENDAS 2025'!$A$1:$C$143,3,0)</f>
        <v>departamental</v>
      </c>
      <c r="O1831">
        <v>1</v>
      </c>
    </row>
    <row r="1832" spans="1:15" ht="15" customHeight="1" x14ac:dyDescent="0.3">
      <c r="A1832" s="7">
        <v>1209671576</v>
      </c>
      <c r="B1832" s="4" t="s">
        <v>545</v>
      </c>
      <c r="C1832" s="4" t="s">
        <v>546</v>
      </c>
      <c r="D1832" s="6">
        <v>46309.475532407399</v>
      </c>
      <c r="E1832" s="6">
        <v>46309.225497685198</v>
      </c>
      <c r="F1832" s="6">
        <v>46309</v>
      </c>
      <c r="G1832" s="5" t="s">
        <v>12</v>
      </c>
      <c r="H1832" s="5" t="s">
        <v>16</v>
      </c>
      <c r="I1832" s="5">
        <v>36</v>
      </c>
      <c r="J1832" s="9" t="s">
        <v>17</v>
      </c>
      <c r="K1832" s="1" t="s">
        <v>2124</v>
      </c>
      <c r="L1832" t="s">
        <v>3284</v>
      </c>
      <c r="M1832" t="str">
        <f>+VLOOKUP(C1832,'[1]TIENDAS 2025'!$A$1:$C$143,3,0)</f>
        <v>departamental</v>
      </c>
      <c r="O1832">
        <v>1</v>
      </c>
    </row>
    <row r="1833" spans="1:15" ht="15" customHeight="1" x14ac:dyDescent="0.3">
      <c r="A1833" s="7">
        <v>1209671570</v>
      </c>
      <c r="B1833" s="4" t="s">
        <v>545</v>
      </c>
      <c r="C1833" s="4" t="s">
        <v>546</v>
      </c>
      <c r="D1833" s="6">
        <v>46309.475555555597</v>
      </c>
      <c r="E1833" s="6">
        <v>46309.225520833301</v>
      </c>
      <c r="F1833" s="6">
        <v>46309</v>
      </c>
      <c r="G1833" s="5" t="s">
        <v>12</v>
      </c>
      <c r="H1833" s="5" t="s">
        <v>16</v>
      </c>
      <c r="I1833" s="5">
        <v>7</v>
      </c>
      <c r="J1833" s="9" t="s">
        <v>17</v>
      </c>
      <c r="K1833" s="1" t="s">
        <v>2125</v>
      </c>
      <c r="L1833" t="s">
        <v>3284</v>
      </c>
      <c r="M1833" t="str">
        <f>+VLOOKUP(C1833,'[1]TIENDAS 2025'!$A$1:$C$143,3,0)</f>
        <v>departamental</v>
      </c>
      <c r="O1833">
        <v>1</v>
      </c>
    </row>
    <row r="1834" spans="1:15" ht="15" customHeight="1" x14ac:dyDescent="0.3">
      <c r="A1834" s="7">
        <v>8209671571</v>
      </c>
      <c r="B1834" s="4" t="s">
        <v>545</v>
      </c>
      <c r="C1834" s="4" t="s">
        <v>546</v>
      </c>
      <c r="D1834" s="6">
        <v>46309.475567129601</v>
      </c>
      <c r="E1834" s="6">
        <v>46309.225543981498</v>
      </c>
      <c r="F1834" s="6">
        <v>46309</v>
      </c>
      <c r="G1834" s="5" t="s">
        <v>12</v>
      </c>
      <c r="H1834" s="5" t="s">
        <v>27</v>
      </c>
      <c r="I1834" s="5">
        <v>8</v>
      </c>
      <c r="J1834" s="10" t="s">
        <v>17</v>
      </c>
      <c r="K1834" s="1" t="s">
        <v>2126</v>
      </c>
      <c r="M1834" t="str">
        <f>+VLOOKUP(C1834,'[1]TIENDAS 2025'!$A$1:$C$143,3,0)</f>
        <v>departamental</v>
      </c>
      <c r="O1834">
        <v>1</v>
      </c>
    </row>
    <row r="1835" spans="1:15" ht="15" customHeight="1" x14ac:dyDescent="0.3">
      <c r="A1835" s="7">
        <v>1209671577</v>
      </c>
      <c r="B1835" s="4" t="s">
        <v>545</v>
      </c>
      <c r="C1835" s="4" t="s">
        <v>546</v>
      </c>
      <c r="D1835" s="6">
        <v>46309.475590277798</v>
      </c>
      <c r="E1835" s="6">
        <v>46309.225555555597</v>
      </c>
      <c r="F1835" s="6">
        <v>46309</v>
      </c>
      <c r="G1835" s="5" t="s">
        <v>12</v>
      </c>
      <c r="H1835" s="5" t="s">
        <v>29</v>
      </c>
      <c r="I1835" s="5">
        <v>41</v>
      </c>
      <c r="J1835" s="9" t="s">
        <v>17</v>
      </c>
      <c r="K1835" s="1" t="s">
        <v>2127</v>
      </c>
      <c r="L1835" t="s">
        <v>3284</v>
      </c>
      <c r="M1835" t="str">
        <f>+VLOOKUP(C1835,'[1]TIENDAS 2025'!$A$1:$C$143,3,0)</f>
        <v>departamental</v>
      </c>
      <c r="O1835">
        <v>1</v>
      </c>
    </row>
    <row r="1836" spans="1:15" ht="15" customHeight="1" x14ac:dyDescent="0.3">
      <c r="A1836" s="7">
        <v>1209671573</v>
      </c>
      <c r="B1836" s="4" t="s">
        <v>545</v>
      </c>
      <c r="C1836" s="4" t="s">
        <v>546</v>
      </c>
      <c r="D1836" s="6">
        <v>46309.475601851896</v>
      </c>
      <c r="E1836" s="6">
        <v>46309.225578703699</v>
      </c>
      <c r="F1836" s="6">
        <v>46309</v>
      </c>
      <c r="G1836" s="5" t="s">
        <v>12</v>
      </c>
      <c r="H1836" s="5" t="s">
        <v>29</v>
      </c>
      <c r="I1836" s="5">
        <v>24</v>
      </c>
      <c r="J1836" s="9" t="s">
        <v>17</v>
      </c>
      <c r="K1836" s="1" t="s">
        <v>2128</v>
      </c>
      <c r="L1836" t="s">
        <v>3284</v>
      </c>
      <c r="M1836" t="str">
        <f>+VLOOKUP(C1836,'[1]TIENDAS 2025'!$A$1:$C$143,3,0)</f>
        <v>departamental</v>
      </c>
      <c r="O1836">
        <v>1</v>
      </c>
    </row>
    <row r="1837" spans="1:15" ht="15" customHeight="1" x14ac:dyDescent="0.3">
      <c r="A1837" s="7">
        <v>1209671506</v>
      </c>
      <c r="B1837" s="4" t="s">
        <v>265</v>
      </c>
      <c r="C1837" s="4" t="s">
        <v>266</v>
      </c>
      <c r="D1837" s="6">
        <v>46309.475624999999</v>
      </c>
      <c r="E1837" s="6">
        <v>46309.225590277798</v>
      </c>
      <c r="F1837" s="6">
        <v>46309</v>
      </c>
      <c r="G1837" s="5" t="s">
        <v>12</v>
      </c>
      <c r="H1837" s="5" t="s">
        <v>27</v>
      </c>
      <c r="I1837" s="5">
        <v>26</v>
      </c>
      <c r="J1837" s="9" t="s">
        <v>17</v>
      </c>
      <c r="K1837" s="1" t="s">
        <v>2129</v>
      </c>
      <c r="L1837" t="s">
        <v>3284</v>
      </c>
      <c r="M1837" t="str">
        <f>+VLOOKUP(C1837,'[1]TIENDAS 2025'!$A$1:$C$143,3,0)</f>
        <v>nocturna</v>
      </c>
      <c r="O1837">
        <v>1</v>
      </c>
    </row>
    <row r="1838" spans="1:15" ht="15" customHeight="1" x14ac:dyDescent="0.3">
      <c r="A1838" s="7">
        <v>1209671510</v>
      </c>
      <c r="B1838" s="4" t="s">
        <v>265</v>
      </c>
      <c r="C1838" s="4" t="s">
        <v>266</v>
      </c>
      <c r="D1838" s="6">
        <v>46309.475636574098</v>
      </c>
      <c r="E1838" s="6">
        <v>46309.225601851896</v>
      </c>
      <c r="F1838" s="6">
        <v>46309</v>
      </c>
      <c r="G1838" s="5" t="s">
        <v>12</v>
      </c>
      <c r="H1838" s="5" t="s">
        <v>16</v>
      </c>
      <c r="I1838" s="5">
        <v>1</v>
      </c>
      <c r="J1838" s="9" t="s">
        <v>17</v>
      </c>
      <c r="K1838" s="1" t="s">
        <v>2130</v>
      </c>
      <c r="L1838" t="s">
        <v>3284</v>
      </c>
      <c r="M1838" t="str">
        <f>+VLOOKUP(C1838,'[1]TIENDAS 2025'!$A$1:$C$143,3,0)</f>
        <v>nocturna</v>
      </c>
      <c r="O1838">
        <v>1</v>
      </c>
    </row>
    <row r="1839" spans="1:15" ht="15" customHeight="1" x14ac:dyDescent="0.3">
      <c r="A1839" s="7">
        <v>8209671536</v>
      </c>
      <c r="B1839" s="4" t="s">
        <v>354</v>
      </c>
      <c r="C1839" s="4" t="s">
        <v>355</v>
      </c>
      <c r="D1839" s="6">
        <v>46309.475648148102</v>
      </c>
      <c r="E1839" s="6">
        <v>46309.225613425901</v>
      </c>
      <c r="F1839" s="6">
        <v>46309</v>
      </c>
      <c r="G1839" s="5" t="s">
        <v>12</v>
      </c>
      <c r="H1839" s="5" t="s">
        <v>27</v>
      </c>
      <c r="I1839" s="5">
        <v>5</v>
      </c>
      <c r="J1839" s="10" t="s">
        <v>17</v>
      </c>
      <c r="K1839" s="1" t="s">
        <v>2131</v>
      </c>
      <c r="M1839" t="str">
        <f>+VLOOKUP(C1839,'[1]TIENDAS 2025'!$A$1:$C$143,3,0)</f>
        <v>nocturna</v>
      </c>
      <c r="O1839">
        <v>1</v>
      </c>
    </row>
    <row r="1840" spans="1:15" ht="15" customHeight="1" x14ac:dyDescent="0.3">
      <c r="A1840" s="7">
        <v>1209671480</v>
      </c>
      <c r="B1840" s="4" t="s">
        <v>460</v>
      </c>
      <c r="C1840" s="4" t="s">
        <v>461</v>
      </c>
      <c r="D1840" s="6">
        <v>46309.4756597222</v>
      </c>
      <c r="E1840" s="6">
        <v>46309.225636574098</v>
      </c>
      <c r="F1840" s="6">
        <v>46309</v>
      </c>
      <c r="G1840" s="5" t="s">
        <v>12</v>
      </c>
      <c r="H1840" s="5" t="s">
        <v>29</v>
      </c>
      <c r="I1840" s="5">
        <v>29</v>
      </c>
      <c r="J1840" s="9" t="s">
        <v>17</v>
      </c>
      <c r="K1840" s="1" t="s">
        <v>2132</v>
      </c>
      <c r="L1840" t="s">
        <v>3284</v>
      </c>
      <c r="M1840" t="str">
        <f>+VLOOKUP(C1840,'[1]TIENDAS 2025'!$A$1:$C$143,3,0)</f>
        <v>prioridad</v>
      </c>
      <c r="O1840">
        <v>1</v>
      </c>
    </row>
    <row r="1841" spans="1:15" ht="15" customHeight="1" x14ac:dyDescent="0.3">
      <c r="A1841" s="7">
        <v>8209671498</v>
      </c>
      <c r="B1841" s="4" t="s">
        <v>265</v>
      </c>
      <c r="C1841" s="4" t="s">
        <v>266</v>
      </c>
      <c r="D1841" s="6">
        <v>46309.475682870398</v>
      </c>
      <c r="E1841" s="6">
        <v>46309.225648148102</v>
      </c>
      <c r="F1841" s="6">
        <v>46309</v>
      </c>
      <c r="G1841" s="5" t="s">
        <v>12</v>
      </c>
      <c r="H1841" s="5" t="s">
        <v>27</v>
      </c>
      <c r="I1841" s="5">
        <v>2</v>
      </c>
      <c r="J1841" s="10" t="s">
        <v>17</v>
      </c>
      <c r="K1841" s="1" t="s">
        <v>2133</v>
      </c>
      <c r="M1841" t="str">
        <f>+VLOOKUP(C1841,'[1]TIENDAS 2025'!$A$1:$C$143,3,0)</f>
        <v>nocturna</v>
      </c>
      <c r="O1841">
        <v>1</v>
      </c>
    </row>
    <row r="1842" spans="1:15" ht="15" customHeight="1" x14ac:dyDescent="0.3">
      <c r="A1842" s="7">
        <v>1209671483</v>
      </c>
      <c r="B1842" s="4" t="s">
        <v>460</v>
      </c>
      <c r="C1842" s="4" t="s">
        <v>461</v>
      </c>
      <c r="D1842" s="6">
        <v>46309.475694444402</v>
      </c>
      <c r="E1842" s="6">
        <v>46309.225671296299</v>
      </c>
      <c r="F1842" s="6">
        <v>46309</v>
      </c>
      <c r="G1842" s="5" t="s">
        <v>12</v>
      </c>
      <c r="H1842" s="5" t="s">
        <v>29</v>
      </c>
      <c r="I1842" s="5">
        <v>1</v>
      </c>
      <c r="J1842" s="9" t="s">
        <v>17</v>
      </c>
      <c r="K1842" s="1" t="s">
        <v>2134</v>
      </c>
      <c r="L1842" t="s">
        <v>3284</v>
      </c>
      <c r="M1842" t="str">
        <f>+VLOOKUP(C1842,'[1]TIENDAS 2025'!$A$1:$C$143,3,0)</f>
        <v>prioridad</v>
      </c>
      <c r="O1842">
        <v>1</v>
      </c>
    </row>
    <row r="1843" spans="1:15" ht="15" customHeight="1" x14ac:dyDescent="0.3">
      <c r="A1843" s="7">
        <v>1209671505</v>
      </c>
      <c r="B1843" s="4" t="s">
        <v>265</v>
      </c>
      <c r="C1843" s="4" t="s">
        <v>266</v>
      </c>
      <c r="D1843" s="6">
        <v>46309.475717592599</v>
      </c>
      <c r="E1843" s="6">
        <v>46309.225682870398</v>
      </c>
      <c r="F1843" s="6">
        <v>46309</v>
      </c>
      <c r="G1843" s="5" t="s">
        <v>12</v>
      </c>
      <c r="H1843" s="5" t="s">
        <v>16</v>
      </c>
      <c r="I1843" s="5">
        <v>13</v>
      </c>
      <c r="J1843" s="9" t="s">
        <v>17</v>
      </c>
      <c r="K1843" s="1" t="s">
        <v>2135</v>
      </c>
      <c r="L1843" t="s">
        <v>3284</v>
      </c>
      <c r="M1843" t="str">
        <f>+VLOOKUP(C1843,'[1]TIENDAS 2025'!$A$1:$C$143,3,0)</f>
        <v>nocturna</v>
      </c>
      <c r="O1843">
        <v>1</v>
      </c>
    </row>
    <row r="1844" spans="1:15" ht="15" customHeight="1" x14ac:dyDescent="0.3">
      <c r="A1844" s="7">
        <v>8209671568</v>
      </c>
      <c r="B1844" s="4" t="s">
        <v>545</v>
      </c>
      <c r="C1844" s="4" t="s">
        <v>546</v>
      </c>
      <c r="D1844" s="6">
        <v>46309.475740740701</v>
      </c>
      <c r="E1844" s="6">
        <v>46309.2257060185</v>
      </c>
      <c r="F1844" s="6">
        <v>46309</v>
      </c>
      <c r="G1844" s="5" t="s">
        <v>12</v>
      </c>
      <c r="H1844" s="5" t="s">
        <v>27</v>
      </c>
      <c r="I1844" s="5">
        <v>1</v>
      </c>
      <c r="J1844" s="10" t="s">
        <v>17</v>
      </c>
      <c r="K1844" s="1" t="s">
        <v>2136</v>
      </c>
      <c r="M1844" t="str">
        <f>+VLOOKUP(C1844,'[1]TIENDAS 2025'!$A$1:$C$143,3,0)</f>
        <v>departamental</v>
      </c>
      <c r="O1844">
        <v>1</v>
      </c>
    </row>
    <row r="1845" spans="1:15" ht="15" customHeight="1" x14ac:dyDescent="0.3">
      <c r="A1845" s="7">
        <v>1209671517</v>
      </c>
      <c r="B1845" s="4" t="s">
        <v>265</v>
      </c>
      <c r="C1845" s="4" t="s">
        <v>266</v>
      </c>
      <c r="D1845" s="6">
        <v>46309.4757523148</v>
      </c>
      <c r="E1845" s="6">
        <v>46309.225729166697</v>
      </c>
      <c r="F1845" s="6">
        <v>46309</v>
      </c>
      <c r="G1845" s="5" t="s">
        <v>12</v>
      </c>
      <c r="H1845" s="5" t="s">
        <v>29</v>
      </c>
      <c r="I1845" s="5">
        <v>58</v>
      </c>
      <c r="J1845" s="9" t="s">
        <v>17</v>
      </c>
      <c r="K1845" s="1" t="s">
        <v>2137</v>
      </c>
      <c r="L1845" t="s">
        <v>3284</v>
      </c>
      <c r="M1845" t="str">
        <f>+VLOOKUP(C1845,'[1]TIENDAS 2025'!$A$1:$C$143,3,0)</f>
        <v>nocturna</v>
      </c>
      <c r="O1845">
        <v>1</v>
      </c>
    </row>
    <row r="1846" spans="1:15" ht="15" customHeight="1" x14ac:dyDescent="0.3">
      <c r="A1846" s="7">
        <v>1209671507</v>
      </c>
      <c r="B1846" s="4" t="s">
        <v>265</v>
      </c>
      <c r="C1846" s="4" t="s">
        <v>266</v>
      </c>
      <c r="D1846" s="6">
        <v>46309.475775462997</v>
      </c>
      <c r="E1846" s="6">
        <v>46309.225740740701</v>
      </c>
      <c r="F1846" s="6">
        <v>46309</v>
      </c>
      <c r="G1846" s="5" t="s">
        <v>12</v>
      </c>
      <c r="H1846" s="5" t="s">
        <v>16</v>
      </c>
      <c r="I1846" s="5">
        <v>35</v>
      </c>
      <c r="J1846" s="9" t="s">
        <v>17</v>
      </c>
      <c r="K1846" s="1" t="s">
        <v>2138</v>
      </c>
      <c r="L1846" t="s">
        <v>3284</v>
      </c>
      <c r="M1846" t="str">
        <f>+VLOOKUP(C1846,'[1]TIENDAS 2025'!$A$1:$C$143,3,0)</f>
        <v>nocturna</v>
      </c>
      <c r="O1846">
        <v>1</v>
      </c>
    </row>
    <row r="1847" spans="1:15" ht="15" customHeight="1" x14ac:dyDescent="0.3">
      <c r="A1847" s="7">
        <v>1209671473</v>
      </c>
      <c r="B1847" s="4" t="s">
        <v>460</v>
      </c>
      <c r="C1847" s="4" t="s">
        <v>461</v>
      </c>
      <c r="D1847" s="6">
        <v>46309.475787037001</v>
      </c>
      <c r="E1847" s="6">
        <v>46309.225763888899</v>
      </c>
      <c r="F1847" s="6">
        <v>46309</v>
      </c>
      <c r="G1847" s="5" t="s">
        <v>12</v>
      </c>
      <c r="H1847" s="5" t="s">
        <v>16</v>
      </c>
      <c r="I1847" s="5">
        <v>13</v>
      </c>
      <c r="J1847" s="9" t="s">
        <v>17</v>
      </c>
      <c r="K1847" s="1" t="s">
        <v>2139</v>
      </c>
      <c r="L1847" t="s">
        <v>3284</v>
      </c>
      <c r="M1847" t="str">
        <f>+VLOOKUP(C1847,'[1]TIENDAS 2025'!$A$1:$C$143,3,0)</f>
        <v>prioridad</v>
      </c>
      <c r="O1847">
        <v>1</v>
      </c>
    </row>
    <row r="1848" spans="1:15" ht="15" customHeight="1" x14ac:dyDescent="0.3">
      <c r="A1848" s="7">
        <v>8209671534</v>
      </c>
      <c r="B1848" s="4" t="s">
        <v>354</v>
      </c>
      <c r="C1848" s="4" t="s">
        <v>355</v>
      </c>
      <c r="D1848" s="6">
        <v>46309.475810185198</v>
      </c>
      <c r="E1848" s="6">
        <v>46309.225775462997</v>
      </c>
      <c r="F1848" s="6">
        <v>46309</v>
      </c>
      <c r="G1848" s="5" t="s">
        <v>12</v>
      </c>
      <c r="H1848" s="5" t="s">
        <v>27</v>
      </c>
      <c r="I1848" s="5">
        <v>6</v>
      </c>
      <c r="J1848" s="10" t="s">
        <v>17</v>
      </c>
      <c r="K1848" s="1" t="s">
        <v>2140</v>
      </c>
      <c r="M1848" t="str">
        <f>+VLOOKUP(C1848,'[1]TIENDAS 2025'!$A$1:$C$143,3,0)</f>
        <v>nocturna</v>
      </c>
      <c r="O1848">
        <v>1</v>
      </c>
    </row>
    <row r="1849" spans="1:15" ht="15" customHeight="1" x14ac:dyDescent="0.3">
      <c r="A1849" s="7">
        <v>8209671495</v>
      </c>
      <c r="B1849" s="4" t="s">
        <v>265</v>
      </c>
      <c r="C1849" s="4" t="s">
        <v>266</v>
      </c>
      <c r="D1849" s="6">
        <v>46309.475821759297</v>
      </c>
      <c r="E1849" s="6">
        <v>46309.225787037001</v>
      </c>
      <c r="F1849" s="6">
        <v>46309</v>
      </c>
      <c r="G1849" s="5" t="s">
        <v>12</v>
      </c>
      <c r="H1849" s="5" t="s">
        <v>27</v>
      </c>
      <c r="I1849" s="5">
        <v>1</v>
      </c>
      <c r="J1849" s="10" t="s">
        <v>17</v>
      </c>
      <c r="K1849" s="1" t="s">
        <v>2141</v>
      </c>
      <c r="M1849" t="str">
        <f>+VLOOKUP(C1849,'[1]TIENDAS 2025'!$A$1:$C$143,3,0)</f>
        <v>nocturna</v>
      </c>
      <c r="O1849">
        <v>1</v>
      </c>
    </row>
    <row r="1850" spans="1:15" ht="15" customHeight="1" x14ac:dyDescent="0.3">
      <c r="A1850" s="7">
        <v>8209671551</v>
      </c>
      <c r="B1850" s="4" t="s">
        <v>354</v>
      </c>
      <c r="C1850" s="4" t="s">
        <v>355</v>
      </c>
      <c r="D1850" s="6">
        <v>46309.475833333301</v>
      </c>
      <c r="E1850" s="6">
        <v>46309.225810185198</v>
      </c>
      <c r="F1850" s="6">
        <v>46309</v>
      </c>
      <c r="G1850" s="5" t="s">
        <v>12</v>
      </c>
      <c r="H1850" s="5" t="s">
        <v>27</v>
      </c>
      <c r="I1850" s="5">
        <v>23</v>
      </c>
      <c r="J1850" s="10" t="s">
        <v>17</v>
      </c>
      <c r="K1850" s="1" t="s">
        <v>2142</v>
      </c>
      <c r="M1850" t="str">
        <f>+VLOOKUP(C1850,'[1]TIENDAS 2025'!$A$1:$C$143,3,0)</f>
        <v>nocturna</v>
      </c>
      <c r="O1850">
        <v>1</v>
      </c>
    </row>
    <row r="1851" spans="1:15" ht="15" customHeight="1" x14ac:dyDescent="0.3">
      <c r="A1851" s="7">
        <v>1209671488</v>
      </c>
      <c r="B1851" s="4" t="s">
        <v>460</v>
      </c>
      <c r="C1851" s="4" t="s">
        <v>461</v>
      </c>
      <c r="D1851" s="6">
        <v>46309.475856481498</v>
      </c>
      <c r="E1851" s="6">
        <v>46309.225821759297</v>
      </c>
      <c r="F1851" s="6">
        <v>46309</v>
      </c>
      <c r="G1851" s="5" t="s">
        <v>12</v>
      </c>
      <c r="H1851" s="5" t="s">
        <v>16</v>
      </c>
      <c r="I1851" s="5">
        <v>30</v>
      </c>
      <c r="J1851" s="9" t="s">
        <v>17</v>
      </c>
      <c r="K1851" s="1" t="s">
        <v>2143</v>
      </c>
      <c r="L1851" t="s">
        <v>3284</v>
      </c>
      <c r="M1851" t="str">
        <f>+VLOOKUP(C1851,'[1]TIENDAS 2025'!$A$1:$C$143,3,0)</f>
        <v>prioridad</v>
      </c>
      <c r="O1851">
        <v>1</v>
      </c>
    </row>
    <row r="1852" spans="1:15" ht="15" customHeight="1" x14ac:dyDescent="0.3">
      <c r="A1852" s="7">
        <v>1209671617</v>
      </c>
      <c r="B1852" s="4" t="s">
        <v>304</v>
      </c>
      <c r="C1852" s="4" t="s">
        <v>305</v>
      </c>
      <c r="D1852" s="6">
        <v>46309.475879629601</v>
      </c>
      <c r="E1852" s="6">
        <v>46309.2258449074</v>
      </c>
      <c r="F1852" s="6">
        <v>46309</v>
      </c>
      <c r="G1852" s="5" t="s">
        <v>12</v>
      </c>
      <c r="H1852" s="5" t="s">
        <v>29</v>
      </c>
      <c r="I1852" s="5">
        <v>14</v>
      </c>
      <c r="J1852" s="9" t="s">
        <v>17</v>
      </c>
      <c r="K1852" s="1" t="s">
        <v>2144</v>
      </c>
      <c r="L1852" t="s">
        <v>3284</v>
      </c>
      <c r="M1852" t="str">
        <f>+VLOOKUP(C1852,'[1]TIENDAS 2025'!$A$1:$C$143,3,0)</f>
        <v>departamental</v>
      </c>
      <c r="O1852">
        <v>1</v>
      </c>
    </row>
    <row r="1853" spans="1:15" ht="15" customHeight="1" x14ac:dyDescent="0.3">
      <c r="A1853" s="7">
        <v>1209671618</v>
      </c>
      <c r="B1853" s="4" t="s">
        <v>304</v>
      </c>
      <c r="C1853" s="4" t="s">
        <v>305</v>
      </c>
      <c r="D1853" s="6">
        <v>46309.4758912037</v>
      </c>
      <c r="E1853" s="6">
        <v>46309.225856481498</v>
      </c>
      <c r="F1853" s="6">
        <v>46309</v>
      </c>
      <c r="G1853" s="5" t="s">
        <v>12</v>
      </c>
      <c r="H1853" s="5" t="s">
        <v>29</v>
      </c>
      <c r="I1853" s="5">
        <v>23</v>
      </c>
      <c r="J1853" s="9" t="s">
        <v>17</v>
      </c>
      <c r="K1853" s="1" t="s">
        <v>2145</v>
      </c>
      <c r="L1853" t="s">
        <v>3284</v>
      </c>
      <c r="M1853" t="str">
        <f>+VLOOKUP(C1853,'[1]TIENDAS 2025'!$A$1:$C$143,3,0)</f>
        <v>departamental</v>
      </c>
      <c r="O1853">
        <v>1</v>
      </c>
    </row>
    <row r="1854" spans="1:15" ht="15" customHeight="1" x14ac:dyDescent="0.3">
      <c r="A1854" s="7">
        <v>1209671558</v>
      </c>
      <c r="B1854" s="4" t="s">
        <v>354</v>
      </c>
      <c r="C1854" s="4" t="s">
        <v>355</v>
      </c>
      <c r="D1854" s="6">
        <v>46309.475902777798</v>
      </c>
      <c r="E1854" s="6">
        <v>46309.225868055597</v>
      </c>
      <c r="F1854" s="6">
        <v>46309</v>
      </c>
      <c r="G1854" s="5" t="s">
        <v>12</v>
      </c>
      <c r="H1854" s="5" t="s">
        <v>16</v>
      </c>
      <c r="I1854" s="5">
        <v>25</v>
      </c>
      <c r="J1854" s="9" t="s">
        <v>17</v>
      </c>
      <c r="K1854" s="1" t="s">
        <v>2146</v>
      </c>
      <c r="L1854" t="s">
        <v>3284</v>
      </c>
      <c r="M1854" t="str">
        <f>+VLOOKUP(C1854,'[1]TIENDAS 2025'!$A$1:$C$143,3,0)</f>
        <v>nocturna</v>
      </c>
      <c r="O1854">
        <v>1</v>
      </c>
    </row>
    <row r="1855" spans="1:15" ht="15" customHeight="1" x14ac:dyDescent="0.3">
      <c r="A1855" s="7">
        <v>8209671467</v>
      </c>
      <c r="B1855" s="4" t="s">
        <v>460</v>
      </c>
      <c r="C1855" s="4" t="s">
        <v>461</v>
      </c>
      <c r="D1855" s="6">
        <v>46309.475914351897</v>
      </c>
      <c r="E1855" s="6">
        <v>46309.2258912037</v>
      </c>
      <c r="F1855" s="6">
        <v>46309</v>
      </c>
      <c r="G1855" s="5" t="s">
        <v>12</v>
      </c>
      <c r="H1855" s="5" t="s">
        <v>27</v>
      </c>
      <c r="I1855" s="5">
        <v>1</v>
      </c>
      <c r="J1855" s="10" t="s">
        <v>17</v>
      </c>
      <c r="K1855" s="1" t="s">
        <v>2147</v>
      </c>
      <c r="M1855" t="str">
        <f>+VLOOKUP(C1855,'[1]TIENDAS 2025'!$A$1:$C$143,3,0)</f>
        <v>prioridad</v>
      </c>
      <c r="O1855">
        <v>1</v>
      </c>
    </row>
    <row r="1856" spans="1:15" ht="15" customHeight="1" x14ac:dyDescent="0.3">
      <c r="A1856" s="7">
        <v>8209671468</v>
      </c>
      <c r="B1856" s="4" t="s">
        <v>460</v>
      </c>
      <c r="C1856" s="4" t="s">
        <v>461</v>
      </c>
      <c r="D1856" s="6">
        <v>46309.475937499999</v>
      </c>
      <c r="E1856" s="6">
        <v>46309.225902777798</v>
      </c>
      <c r="F1856" s="6">
        <v>46309</v>
      </c>
      <c r="G1856" s="5" t="s">
        <v>12</v>
      </c>
      <c r="H1856" s="5" t="s">
        <v>27</v>
      </c>
      <c r="I1856" s="5">
        <v>1</v>
      </c>
      <c r="J1856" s="10" t="s">
        <v>17</v>
      </c>
      <c r="K1856" s="1" t="s">
        <v>2148</v>
      </c>
      <c r="M1856" t="str">
        <f>+VLOOKUP(C1856,'[1]TIENDAS 2025'!$A$1:$C$143,3,0)</f>
        <v>prioridad</v>
      </c>
      <c r="O1856">
        <v>1</v>
      </c>
    </row>
    <row r="1857" spans="1:15" ht="15" customHeight="1" x14ac:dyDescent="0.3">
      <c r="A1857" s="7">
        <v>1209671512</v>
      </c>
      <c r="B1857" s="4" t="s">
        <v>265</v>
      </c>
      <c r="C1857" s="4" t="s">
        <v>266</v>
      </c>
      <c r="D1857" s="6">
        <v>46309.475949074098</v>
      </c>
      <c r="E1857" s="6">
        <v>46309.225925925901</v>
      </c>
      <c r="F1857" s="6">
        <v>46309</v>
      </c>
      <c r="G1857" s="5" t="s">
        <v>12</v>
      </c>
      <c r="H1857" s="5" t="s">
        <v>29</v>
      </c>
      <c r="I1857" s="5">
        <v>39</v>
      </c>
      <c r="J1857" s="9" t="s">
        <v>17</v>
      </c>
      <c r="K1857" s="1" t="s">
        <v>2149</v>
      </c>
      <c r="L1857" t="s">
        <v>3284</v>
      </c>
      <c r="M1857" t="str">
        <f>+VLOOKUP(C1857,'[1]TIENDAS 2025'!$A$1:$C$143,3,0)</f>
        <v>nocturna</v>
      </c>
      <c r="O1857">
        <v>1</v>
      </c>
    </row>
    <row r="1858" spans="1:15" ht="15" customHeight="1" x14ac:dyDescent="0.3">
      <c r="A1858" s="7">
        <v>1209671479</v>
      </c>
      <c r="B1858" s="4" t="s">
        <v>460</v>
      </c>
      <c r="C1858" s="4" t="s">
        <v>461</v>
      </c>
      <c r="D1858" s="6">
        <v>46309.475972222201</v>
      </c>
      <c r="E1858" s="6">
        <v>46309.225937499999</v>
      </c>
      <c r="F1858" s="6">
        <v>46309</v>
      </c>
      <c r="G1858" s="5" t="s">
        <v>12</v>
      </c>
      <c r="H1858" s="5" t="s">
        <v>29</v>
      </c>
      <c r="I1858" s="5">
        <v>23</v>
      </c>
      <c r="J1858" s="9" t="s">
        <v>17</v>
      </c>
      <c r="K1858" s="1" t="s">
        <v>2150</v>
      </c>
      <c r="L1858" t="s">
        <v>3284</v>
      </c>
      <c r="M1858" t="str">
        <f>+VLOOKUP(C1858,'[1]TIENDAS 2025'!$A$1:$C$143,3,0)</f>
        <v>prioridad</v>
      </c>
      <c r="O1858">
        <v>1</v>
      </c>
    </row>
    <row r="1859" spans="1:15" ht="15" customHeight="1" x14ac:dyDescent="0.3">
      <c r="A1859" s="7">
        <v>1209671544</v>
      </c>
      <c r="B1859" s="4" t="s">
        <v>354</v>
      </c>
      <c r="C1859" s="4" t="s">
        <v>355</v>
      </c>
      <c r="D1859" s="6">
        <v>46309.475983796299</v>
      </c>
      <c r="E1859" s="6">
        <v>46309.225960648102</v>
      </c>
      <c r="F1859" s="6">
        <v>46309</v>
      </c>
      <c r="G1859" s="5" t="s">
        <v>12</v>
      </c>
      <c r="H1859" s="5" t="s">
        <v>29</v>
      </c>
      <c r="I1859" s="5">
        <v>48</v>
      </c>
      <c r="J1859" s="9" t="s">
        <v>17</v>
      </c>
      <c r="K1859" s="1" t="s">
        <v>2151</v>
      </c>
      <c r="L1859" t="s">
        <v>3284</v>
      </c>
      <c r="M1859" t="str">
        <f>+VLOOKUP(C1859,'[1]TIENDAS 2025'!$A$1:$C$143,3,0)</f>
        <v>nocturna</v>
      </c>
      <c r="O1859">
        <v>1</v>
      </c>
    </row>
    <row r="1860" spans="1:15" ht="15" customHeight="1" x14ac:dyDescent="0.3">
      <c r="A1860" s="7">
        <v>1209671501</v>
      </c>
      <c r="B1860" s="4" t="s">
        <v>265</v>
      </c>
      <c r="C1860" s="4" t="s">
        <v>266</v>
      </c>
      <c r="D1860" s="6">
        <v>46309.476006944402</v>
      </c>
      <c r="E1860" s="6">
        <v>46309.225972222201</v>
      </c>
      <c r="F1860" s="6">
        <v>46309</v>
      </c>
      <c r="G1860" s="5" t="s">
        <v>12</v>
      </c>
      <c r="H1860" s="5" t="s">
        <v>16</v>
      </c>
      <c r="I1860" s="5">
        <v>2</v>
      </c>
      <c r="J1860" s="9" t="s">
        <v>17</v>
      </c>
      <c r="K1860" s="1" t="s">
        <v>2152</v>
      </c>
      <c r="L1860" t="s">
        <v>3284</v>
      </c>
      <c r="M1860" t="str">
        <f>+VLOOKUP(C1860,'[1]TIENDAS 2025'!$A$1:$C$143,3,0)</f>
        <v>nocturna</v>
      </c>
      <c r="O1860">
        <v>1</v>
      </c>
    </row>
    <row r="1861" spans="1:15" ht="15" customHeight="1" x14ac:dyDescent="0.3">
      <c r="A1861" s="7">
        <v>1209671613</v>
      </c>
      <c r="B1861" s="4" t="s">
        <v>304</v>
      </c>
      <c r="C1861" s="4" t="s">
        <v>305</v>
      </c>
      <c r="D1861" s="6">
        <v>46309.476030092599</v>
      </c>
      <c r="E1861" s="6">
        <v>46309.225995370398</v>
      </c>
      <c r="F1861" s="6">
        <v>46309</v>
      </c>
      <c r="G1861" s="5" t="s">
        <v>12</v>
      </c>
      <c r="H1861" s="5" t="s">
        <v>16</v>
      </c>
      <c r="I1861" s="5">
        <v>3</v>
      </c>
      <c r="J1861" s="9" t="s">
        <v>17</v>
      </c>
      <c r="K1861" s="1" t="s">
        <v>2153</v>
      </c>
      <c r="L1861" t="s">
        <v>3284</v>
      </c>
      <c r="M1861" t="str">
        <f>+VLOOKUP(C1861,'[1]TIENDAS 2025'!$A$1:$C$143,3,0)</f>
        <v>departamental</v>
      </c>
      <c r="O1861">
        <v>1</v>
      </c>
    </row>
    <row r="1862" spans="1:15" ht="15" customHeight="1" x14ac:dyDescent="0.3">
      <c r="A1862" s="7">
        <v>1209671508</v>
      </c>
      <c r="B1862" s="4" t="s">
        <v>265</v>
      </c>
      <c r="C1862" s="4" t="s">
        <v>266</v>
      </c>
      <c r="D1862" s="6">
        <v>46309.476041666698</v>
      </c>
      <c r="E1862" s="6">
        <v>46309.226006944402</v>
      </c>
      <c r="F1862" s="6">
        <v>46309</v>
      </c>
      <c r="G1862" s="5" t="s">
        <v>12</v>
      </c>
      <c r="H1862" s="5" t="s">
        <v>29</v>
      </c>
      <c r="I1862" s="5">
        <v>32</v>
      </c>
      <c r="J1862" s="9" t="s">
        <v>17</v>
      </c>
      <c r="K1862" s="1" t="s">
        <v>2154</v>
      </c>
      <c r="L1862" t="s">
        <v>3284</v>
      </c>
      <c r="M1862" t="str">
        <f>+VLOOKUP(C1862,'[1]TIENDAS 2025'!$A$1:$C$143,3,0)</f>
        <v>nocturna</v>
      </c>
      <c r="O1862">
        <v>1</v>
      </c>
    </row>
    <row r="1863" spans="1:15" ht="15" customHeight="1" x14ac:dyDescent="0.3">
      <c r="A1863" s="7">
        <v>1209671549</v>
      </c>
      <c r="B1863" s="4" t="s">
        <v>354</v>
      </c>
      <c r="C1863" s="4" t="s">
        <v>355</v>
      </c>
      <c r="D1863" s="6">
        <v>46309.476053240702</v>
      </c>
      <c r="E1863" s="6">
        <v>46309.226030092599</v>
      </c>
      <c r="F1863" s="6">
        <v>46309</v>
      </c>
      <c r="G1863" s="5" t="s">
        <v>12</v>
      </c>
      <c r="H1863" s="5" t="s">
        <v>16</v>
      </c>
      <c r="I1863" s="5">
        <v>64</v>
      </c>
      <c r="J1863" s="9" t="s">
        <v>17</v>
      </c>
      <c r="K1863" s="1" t="s">
        <v>2155</v>
      </c>
      <c r="L1863" t="s">
        <v>3284</v>
      </c>
      <c r="M1863" t="str">
        <f>+VLOOKUP(C1863,'[1]TIENDAS 2025'!$A$1:$C$143,3,0)</f>
        <v>nocturna</v>
      </c>
      <c r="O1863">
        <v>1</v>
      </c>
    </row>
    <row r="1864" spans="1:15" ht="15" customHeight="1" x14ac:dyDescent="0.3">
      <c r="A1864" s="7">
        <v>8209671539</v>
      </c>
      <c r="B1864" s="4" t="s">
        <v>354</v>
      </c>
      <c r="C1864" s="4" t="s">
        <v>355</v>
      </c>
      <c r="D1864" s="6">
        <v>46309.476076388899</v>
      </c>
      <c r="E1864" s="6">
        <v>46309.226041666698</v>
      </c>
      <c r="F1864" s="6">
        <v>46309</v>
      </c>
      <c r="G1864" s="5" t="s">
        <v>12</v>
      </c>
      <c r="H1864" s="5" t="s">
        <v>27</v>
      </c>
      <c r="I1864" s="5">
        <v>14</v>
      </c>
      <c r="J1864" s="10" t="s">
        <v>17</v>
      </c>
      <c r="K1864" s="1" t="s">
        <v>2156</v>
      </c>
      <c r="M1864" t="str">
        <f>+VLOOKUP(C1864,'[1]TIENDAS 2025'!$A$1:$C$143,3,0)</f>
        <v>nocturna</v>
      </c>
      <c r="O1864">
        <v>1</v>
      </c>
    </row>
    <row r="1865" spans="1:15" ht="15" customHeight="1" x14ac:dyDescent="0.3">
      <c r="A1865" s="7">
        <v>1209671543</v>
      </c>
      <c r="B1865" s="4" t="s">
        <v>354</v>
      </c>
      <c r="C1865" s="4" t="s">
        <v>355</v>
      </c>
      <c r="D1865" s="6">
        <v>46309.476087962998</v>
      </c>
      <c r="E1865" s="6">
        <v>46309.2260648148</v>
      </c>
      <c r="F1865" s="6">
        <v>46309</v>
      </c>
      <c r="G1865" s="5" t="s">
        <v>12</v>
      </c>
      <c r="H1865" s="5" t="s">
        <v>29</v>
      </c>
      <c r="I1865" s="5">
        <v>28</v>
      </c>
      <c r="J1865" s="9" t="s">
        <v>17</v>
      </c>
      <c r="K1865" s="1" t="s">
        <v>2157</v>
      </c>
      <c r="L1865" t="s">
        <v>3284</v>
      </c>
      <c r="M1865" t="str">
        <f>+VLOOKUP(C1865,'[1]TIENDAS 2025'!$A$1:$C$143,3,0)</f>
        <v>nocturna</v>
      </c>
      <c r="O1865">
        <v>1</v>
      </c>
    </row>
    <row r="1866" spans="1:15" ht="15" customHeight="1" x14ac:dyDescent="0.3">
      <c r="A1866" s="7">
        <v>8209671500</v>
      </c>
      <c r="B1866" s="4" t="s">
        <v>265</v>
      </c>
      <c r="C1866" s="4" t="s">
        <v>266</v>
      </c>
      <c r="D1866" s="6">
        <v>46309.476099537002</v>
      </c>
      <c r="E1866" s="6">
        <v>46309.226076388899</v>
      </c>
      <c r="F1866" s="6">
        <v>46309</v>
      </c>
      <c r="G1866" s="5" t="s">
        <v>12</v>
      </c>
      <c r="H1866" s="5" t="s">
        <v>27</v>
      </c>
      <c r="I1866" s="5">
        <v>24</v>
      </c>
      <c r="J1866" s="10" t="s">
        <v>17</v>
      </c>
      <c r="K1866" s="1" t="s">
        <v>2158</v>
      </c>
      <c r="M1866" t="str">
        <f>+VLOOKUP(C1866,'[1]TIENDAS 2025'!$A$1:$C$143,3,0)</f>
        <v>nocturna</v>
      </c>
      <c r="O1866">
        <v>1</v>
      </c>
    </row>
    <row r="1867" spans="1:15" ht="15" customHeight="1" x14ac:dyDescent="0.3">
      <c r="A1867" s="7">
        <v>1209671575</v>
      </c>
      <c r="B1867" s="4" t="s">
        <v>545</v>
      </c>
      <c r="C1867" s="4" t="s">
        <v>546</v>
      </c>
      <c r="D1867" s="6">
        <v>46309.476122685199</v>
      </c>
      <c r="E1867" s="6">
        <v>46309.226087962998</v>
      </c>
      <c r="F1867" s="6">
        <v>46309</v>
      </c>
      <c r="G1867" s="5" t="s">
        <v>12</v>
      </c>
      <c r="H1867" s="5" t="s">
        <v>29</v>
      </c>
      <c r="I1867" s="5">
        <v>31</v>
      </c>
      <c r="J1867" s="9" t="s">
        <v>17</v>
      </c>
      <c r="K1867" s="1" t="s">
        <v>2159</v>
      </c>
      <c r="L1867" t="s">
        <v>3284</v>
      </c>
      <c r="M1867" t="str">
        <f>+VLOOKUP(C1867,'[1]TIENDAS 2025'!$A$1:$C$143,3,0)</f>
        <v>departamental</v>
      </c>
      <c r="O1867">
        <v>1</v>
      </c>
    </row>
    <row r="1868" spans="1:15" ht="15" customHeight="1" x14ac:dyDescent="0.3">
      <c r="A1868" s="7">
        <v>1209671579</v>
      </c>
      <c r="B1868" s="4" t="s">
        <v>545</v>
      </c>
      <c r="C1868" s="4" t="s">
        <v>546</v>
      </c>
      <c r="D1868" s="6">
        <v>46309.476145833301</v>
      </c>
      <c r="E1868" s="6">
        <v>46309.2261111111</v>
      </c>
      <c r="F1868" s="6">
        <v>46309</v>
      </c>
      <c r="G1868" s="5" t="s">
        <v>12</v>
      </c>
      <c r="H1868" s="5" t="s">
        <v>29</v>
      </c>
      <c r="I1868" s="5">
        <v>51</v>
      </c>
      <c r="J1868" s="9" t="s">
        <v>17</v>
      </c>
      <c r="K1868" s="1" t="s">
        <v>2160</v>
      </c>
      <c r="L1868" t="s">
        <v>3284</v>
      </c>
      <c r="M1868" t="str">
        <f>+VLOOKUP(C1868,'[1]TIENDAS 2025'!$A$1:$C$143,3,0)</f>
        <v>departamental</v>
      </c>
      <c r="O1868">
        <v>1</v>
      </c>
    </row>
    <row r="1869" spans="1:15" ht="15" customHeight="1" x14ac:dyDescent="0.3">
      <c r="A1869" s="7">
        <v>1209671616</v>
      </c>
      <c r="B1869" s="4" t="s">
        <v>304</v>
      </c>
      <c r="C1869" s="4" t="s">
        <v>305</v>
      </c>
      <c r="D1869" s="6">
        <v>46309.4761574074</v>
      </c>
      <c r="E1869" s="6">
        <v>46309.226122685199</v>
      </c>
      <c r="F1869" s="6">
        <v>46309</v>
      </c>
      <c r="G1869" s="5" t="s">
        <v>12</v>
      </c>
      <c r="H1869" s="5" t="s">
        <v>29</v>
      </c>
      <c r="I1869" s="5">
        <v>15</v>
      </c>
      <c r="J1869" s="9" t="s">
        <v>17</v>
      </c>
      <c r="K1869" s="1" t="s">
        <v>2161</v>
      </c>
      <c r="L1869" t="s">
        <v>3284</v>
      </c>
      <c r="M1869" t="str">
        <f>+VLOOKUP(C1869,'[1]TIENDAS 2025'!$A$1:$C$143,3,0)</f>
        <v>departamental</v>
      </c>
      <c r="O1869">
        <v>1</v>
      </c>
    </row>
    <row r="1870" spans="1:15" ht="15" customHeight="1" x14ac:dyDescent="0.3">
      <c r="A1870" s="7">
        <v>8209671609</v>
      </c>
      <c r="B1870" s="4" t="s">
        <v>304</v>
      </c>
      <c r="C1870" s="4" t="s">
        <v>305</v>
      </c>
      <c r="D1870" s="6">
        <v>46309.476168981499</v>
      </c>
      <c r="E1870" s="6">
        <v>46309.226134259297</v>
      </c>
      <c r="F1870" s="6">
        <v>46309</v>
      </c>
      <c r="G1870" s="5" t="s">
        <v>12</v>
      </c>
      <c r="H1870" s="5" t="s">
        <v>27</v>
      </c>
      <c r="I1870" s="5">
        <v>5</v>
      </c>
      <c r="J1870" s="10" t="s">
        <v>17</v>
      </c>
      <c r="K1870" s="1" t="s">
        <v>2162</v>
      </c>
      <c r="M1870" t="str">
        <f>+VLOOKUP(C1870,'[1]TIENDAS 2025'!$A$1:$C$143,3,0)</f>
        <v>departamental</v>
      </c>
      <c r="O1870">
        <v>1</v>
      </c>
    </row>
    <row r="1871" spans="1:15" ht="15" customHeight="1" x14ac:dyDescent="0.3">
      <c r="A1871" s="7">
        <v>8209671610</v>
      </c>
      <c r="B1871" s="4" t="s">
        <v>304</v>
      </c>
      <c r="C1871" s="4" t="s">
        <v>305</v>
      </c>
      <c r="D1871" s="6">
        <v>46309.476180555597</v>
      </c>
      <c r="E1871" s="6">
        <v>46309.2261574074</v>
      </c>
      <c r="F1871" s="6">
        <v>46309</v>
      </c>
      <c r="G1871" s="5" t="s">
        <v>12</v>
      </c>
      <c r="H1871" s="5" t="s">
        <v>27</v>
      </c>
      <c r="I1871" s="5">
        <v>14</v>
      </c>
      <c r="J1871" s="10" t="s">
        <v>17</v>
      </c>
      <c r="K1871" s="1" t="s">
        <v>2163</v>
      </c>
      <c r="M1871" t="str">
        <f>+VLOOKUP(C1871,'[1]TIENDAS 2025'!$A$1:$C$143,3,0)</f>
        <v>departamental</v>
      </c>
      <c r="O1871">
        <v>1</v>
      </c>
    </row>
    <row r="1872" spans="1:15" ht="15" customHeight="1" x14ac:dyDescent="0.3">
      <c r="A1872" s="7">
        <v>1209671612</v>
      </c>
      <c r="B1872" s="4" t="s">
        <v>304</v>
      </c>
      <c r="C1872" s="4" t="s">
        <v>305</v>
      </c>
      <c r="D1872" s="6">
        <v>46309.4762037037</v>
      </c>
      <c r="E1872" s="6">
        <v>46309.226168981499</v>
      </c>
      <c r="F1872" s="6">
        <v>46309</v>
      </c>
      <c r="G1872" s="5" t="s">
        <v>12</v>
      </c>
      <c r="H1872" s="5" t="s">
        <v>16</v>
      </c>
      <c r="I1872" s="5">
        <v>1</v>
      </c>
      <c r="J1872" s="9" t="s">
        <v>17</v>
      </c>
      <c r="K1872" s="1" t="s">
        <v>2164</v>
      </c>
      <c r="L1872" t="s">
        <v>3284</v>
      </c>
      <c r="M1872" t="str">
        <f>+VLOOKUP(C1872,'[1]TIENDAS 2025'!$A$1:$C$143,3,0)</f>
        <v>departamental</v>
      </c>
      <c r="O1872">
        <v>1</v>
      </c>
    </row>
    <row r="1873" spans="1:15" ht="15" customHeight="1" x14ac:dyDescent="0.3">
      <c r="A1873" s="7">
        <v>1209671546</v>
      </c>
      <c r="B1873" s="4" t="s">
        <v>354</v>
      </c>
      <c r="C1873" s="4" t="s">
        <v>355</v>
      </c>
      <c r="D1873" s="6">
        <v>46309.476215277798</v>
      </c>
      <c r="E1873" s="6">
        <v>46309.226180555597</v>
      </c>
      <c r="F1873" s="6">
        <v>46309</v>
      </c>
      <c r="G1873" s="5" t="s">
        <v>12</v>
      </c>
      <c r="H1873" s="5" t="s">
        <v>27</v>
      </c>
      <c r="I1873" s="5">
        <v>61</v>
      </c>
      <c r="J1873" s="9" t="s">
        <v>17</v>
      </c>
      <c r="K1873" s="1" t="s">
        <v>2165</v>
      </c>
      <c r="L1873" t="s">
        <v>3284</v>
      </c>
      <c r="M1873" t="str">
        <f>+VLOOKUP(C1873,'[1]TIENDAS 2025'!$A$1:$C$143,3,0)</f>
        <v>nocturna</v>
      </c>
      <c r="O1873">
        <v>1</v>
      </c>
    </row>
    <row r="1874" spans="1:15" ht="15" customHeight="1" x14ac:dyDescent="0.3">
      <c r="A1874" s="7">
        <v>8209671470</v>
      </c>
      <c r="B1874" s="4" t="s">
        <v>460</v>
      </c>
      <c r="C1874" s="4" t="s">
        <v>461</v>
      </c>
      <c r="D1874" s="6">
        <v>46309.476226851897</v>
      </c>
      <c r="E1874" s="6">
        <v>46309.2262037037</v>
      </c>
      <c r="F1874" s="6">
        <v>46309</v>
      </c>
      <c r="G1874" s="5" t="s">
        <v>12</v>
      </c>
      <c r="H1874" s="5" t="s">
        <v>27</v>
      </c>
      <c r="I1874" s="5">
        <v>4</v>
      </c>
      <c r="J1874" s="10" t="s">
        <v>17</v>
      </c>
      <c r="K1874" s="1" t="s">
        <v>2166</v>
      </c>
      <c r="M1874" t="str">
        <f>+VLOOKUP(C1874,'[1]TIENDAS 2025'!$A$1:$C$143,3,0)</f>
        <v>prioridad</v>
      </c>
      <c r="O1874">
        <v>1</v>
      </c>
    </row>
    <row r="1875" spans="1:15" ht="15" customHeight="1" x14ac:dyDescent="0.3">
      <c r="A1875" s="7">
        <v>8209671565</v>
      </c>
      <c r="B1875" s="4" t="s">
        <v>545</v>
      </c>
      <c r="C1875" s="4" t="s">
        <v>546</v>
      </c>
      <c r="D1875" s="6">
        <v>46309.47625</v>
      </c>
      <c r="E1875" s="6">
        <v>46309.226226851897</v>
      </c>
      <c r="F1875" s="6">
        <v>46309</v>
      </c>
      <c r="G1875" s="5" t="s">
        <v>12</v>
      </c>
      <c r="H1875" s="5" t="s">
        <v>27</v>
      </c>
      <c r="I1875" s="5">
        <v>3</v>
      </c>
      <c r="J1875" s="10" t="s">
        <v>17</v>
      </c>
      <c r="K1875" s="1" t="s">
        <v>2167</v>
      </c>
      <c r="M1875" t="str">
        <f>+VLOOKUP(C1875,'[1]TIENDAS 2025'!$A$1:$C$143,3,0)</f>
        <v>departamental</v>
      </c>
      <c r="O1875">
        <v>1</v>
      </c>
    </row>
    <row r="1876" spans="1:15" ht="15" customHeight="1" x14ac:dyDescent="0.3">
      <c r="A1876" s="7">
        <v>1209671541</v>
      </c>
      <c r="B1876" s="4" t="s">
        <v>354</v>
      </c>
      <c r="C1876" s="4" t="s">
        <v>355</v>
      </c>
      <c r="D1876" s="6">
        <v>46309.476273148102</v>
      </c>
      <c r="E1876" s="6">
        <v>46309.226238425901</v>
      </c>
      <c r="F1876" s="6">
        <v>46309</v>
      </c>
      <c r="G1876" s="5" t="s">
        <v>12</v>
      </c>
      <c r="H1876" s="5" t="s">
        <v>29</v>
      </c>
      <c r="I1876" s="5">
        <v>18</v>
      </c>
      <c r="J1876" s="9" t="s">
        <v>17</v>
      </c>
      <c r="K1876" s="1" t="s">
        <v>2168</v>
      </c>
      <c r="L1876" t="s">
        <v>3284</v>
      </c>
      <c r="M1876" t="str">
        <f>+VLOOKUP(C1876,'[1]TIENDAS 2025'!$A$1:$C$143,3,0)</f>
        <v>nocturna</v>
      </c>
      <c r="O1876">
        <v>1</v>
      </c>
    </row>
    <row r="1877" spans="1:15" ht="15" customHeight="1" x14ac:dyDescent="0.3">
      <c r="A1877" s="7">
        <v>1209671542</v>
      </c>
      <c r="B1877" s="4" t="s">
        <v>354</v>
      </c>
      <c r="C1877" s="4" t="s">
        <v>355</v>
      </c>
      <c r="D1877" s="6">
        <v>46309.476284722201</v>
      </c>
      <c r="E1877" s="6">
        <v>46309.22625</v>
      </c>
      <c r="F1877" s="6">
        <v>46309</v>
      </c>
      <c r="G1877" s="5" t="s">
        <v>12</v>
      </c>
      <c r="H1877" s="5" t="s">
        <v>16</v>
      </c>
      <c r="I1877" s="5">
        <v>26</v>
      </c>
      <c r="J1877" s="9" t="s">
        <v>17</v>
      </c>
      <c r="K1877" s="1" t="s">
        <v>2169</v>
      </c>
      <c r="L1877" t="s">
        <v>3284</v>
      </c>
      <c r="M1877" t="str">
        <f>+VLOOKUP(C1877,'[1]TIENDAS 2025'!$A$1:$C$143,3,0)</f>
        <v>nocturna</v>
      </c>
      <c r="O1877">
        <v>1</v>
      </c>
    </row>
    <row r="1878" spans="1:15" ht="15" customHeight="1" x14ac:dyDescent="0.3">
      <c r="A1878" s="7">
        <v>8209671497</v>
      </c>
      <c r="B1878" s="4" t="s">
        <v>265</v>
      </c>
      <c r="C1878" s="4" t="s">
        <v>266</v>
      </c>
      <c r="D1878" s="6">
        <v>46309.4762962963</v>
      </c>
      <c r="E1878" s="6">
        <v>46309.226261574098</v>
      </c>
      <c r="F1878" s="6">
        <v>46309</v>
      </c>
      <c r="G1878" s="5" t="s">
        <v>12</v>
      </c>
      <c r="H1878" s="5" t="s">
        <v>27</v>
      </c>
      <c r="I1878" s="5">
        <v>6</v>
      </c>
      <c r="J1878" s="10" t="s">
        <v>17</v>
      </c>
      <c r="K1878" s="1" t="s">
        <v>2170</v>
      </c>
      <c r="M1878" t="str">
        <f>+VLOOKUP(C1878,'[1]TIENDAS 2025'!$A$1:$C$143,3,0)</f>
        <v>nocturna</v>
      </c>
      <c r="O1878">
        <v>1</v>
      </c>
    </row>
    <row r="1879" spans="1:15" ht="15" customHeight="1" x14ac:dyDescent="0.3">
      <c r="A1879" s="7">
        <v>8209671499</v>
      </c>
      <c r="B1879" s="4" t="s">
        <v>265</v>
      </c>
      <c r="C1879" s="4" t="s">
        <v>266</v>
      </c>
      <c r="D1879" s="6">
        <v>46309.476307870398</v>
      </c>
      <c r="E1879" s="6">
        <v>46309.226284722201</v>
      </c>
      <c r="F1879" s="6">
        <v>46309</v>
      </c>
      <c r="G1879" s="5" t="s">
        <v>12</v>
      </c>
      <c r="H1879" s="5" t="s">
        <v>27</v>
      </c>
      <c r="I1879" s="5">
        <v>29</v>
      </c>
      <c r="J1879" s="10" t="s">
        <v>17</v>
      </c>
      <c r="K1879" s="1" t="s">
        <v>2171</v>
      </c>
      <c r="M1879" t="str">
        <f>+VLOOKUP(C1879,'[1]TIENDAS 2025'!$A$1:$C$143,3,0)</f>
        <v>nocturna</v>
      </c>
      <c r="O1879">
        <v>1</v>
      </c>
    </row>
    <row r="1880" spans="1:15" ht="15" customHeight="1" x14ac:dyDescent="0.3">
      <c r="A1880" s="7">
        <v>8209671482</v>
      </c>
      <c r="B1880" s="4" t="s">
        <v>460</v>
      </c>
      <c r="C1880" s="4" t="s">
        <v>461</v>
      </c>
      <c r="D1880" s="6">
        <v>46309.476331018501</v>
      </c>
      <c r="E1880" s="6">
        <v>46309.2262962963</v>
      </c>
      <c r="F1880" s="6">
        <v>46309</v>
      </c>
      <c r="G1880" s="5" t="s">
        <v>12</v>
      </c>
      <c r="H1880" s="5" t="s">
        <v>27</v>
      </c>
      <c r="I1880" s="5">
        <v>4</v>
      </c>
      <c r="J1880" s="10" t="s">
        <v>17</v>
      </c>
      <c r="K1880" s="1" t="s">
        <v>2172</v>
      </c>
      <c r="M1880" t="str">
        <f>+VLOOKUP(C1880,'[1]TIENDAS 2025'!$A$1:$C$143,3,0)</f>
        <v>prioridad</v>
      </c>
      <c r="O1880">
        <v>1</v>
      </c>
    </row>
    <row r="1881" spans="1:15" ht="15" customHeight="1" x14ac:dyDescent="0.3">
      <c r="A1881" s="7">
        <v>1209671502</v>
      </c>
      <c r="B1881" s="4" t="s">
        <v>265</v>
      </c>
      <c r="C1881" s="4" t="s">
        <v>266</v>
      </c>
      <c r="D1881" s="6">
        <v>46309.476342592599</v>
      </c>
      <c r="E1881" s="6">
        <v>46309.226307870398</v>
      </c>
      <c r="F1881" s="6">
        <v>46309</v>
      </c>
      <c r="G1881" s="5" t="s">
        <v>12</v>
      </c>
      <c r="H1881" s="5" t="s">
        <v>16</v>
      </c>
      <c r="I1881" s="5">
        <v>9</v>
      </c>
      <c r="J1881" s="9" t="s">
        <v>17</v>
      </c>
      <c r="K1881" s="1" t="s">
        <v>2173</v>
      </c>
      <c r="L1881" t="s">
        <v>3284</v>
      </c>
      <c r="M1881" t="str">
        <f>+VLOOKUP(C1881,'[1]TIENDAS 2025'!$A$1:$C$143,3,0)</f>
        <v>nocturna</v>
      </c>
      <c r="O1881">
        <v>1</v>
      </c>
    </row>
    <row r="1882" spans="1:15" ht="15" customHeight="1" x14ac:dyDescent="0.3">
      <c r="A1882" s="7">
        <v>1209671572</v>
      </c>
      <c r="B1882" s="4" t="s">
        <v>545</v>
      </c>
      <c r="C1882" s="4" t="s">
        <v>546</v>
      </c>
      <c r="D1882" s="6">
        <v>46309.476354166698</v>
      </c>
      <c r="E1882" s="6">
        <v>46309.226331018501</v>
      </c>
      <c r="F1882" s="6">
        <v>46309</v>
      </c>
      <c r="G1882" s="5" t="s">
        <v>12</v>
      </c>
      <c r="H1882" s="5" t="s">
        <v>29</v>
      </c>
      <c r="I1882" s="5">
        <v>8</v>
      </c>
      <c r="J1882" s="9" t="s">
        <v>17</v>
      </c>
      <c r="K1882" s="1" t="s">
        <v>2174</v>
      </c>
      <c r="L1882" t="s">
        <v>3284</v>
      </c>
      <c r="M1882" t="str">
        <f>+VLOOKUP(C1882,'[1]TIENDAS 2025'!$A$1:$C$143,3,0)</f>
        <v>departamental</v>
      </c>
      <c r="O1882">
        <v>1</v>
      </c>
    </row>
    <row r="1883" spans="1:15" ht="15" customHeight="1" x14ac:dyDescent="0.3">
      <c r="A1883" s="7">
        <v>1209671627</v>
      </c>
      <c r="B1883" s="4" t="s">
        <v>304</v>
      </c>
      <c r="C1883" s="4" t="s">
        <v>305</v>
      </c>
      <c r="D1883" s="6">
        <v>46309.476365740702</v>
      </c>
      <c r="E1883" s="6">
        <v>46309.226342592599</v>
      </c>
      <c r="F1883" s="6">
        <v>46309</v>
      </c>
      <c r="G1883" s="5" t="s">
        <v>12</v>
      </c>
      <c r="H1883" s="5" t="s">
        <v>16</v>
      </c>
      <c r="I1883" s="5">
        <v>9</v>
      </c>
      <c r="J1883" s="9" t="s">
        <v>17</v>
      </c>
      <c r="K1883" s="1" t="s">
        <v>2175</v>
      </c>
      <c r="L1883" t="s">
        <v>3284</v>
      </c>
      <c r="M1883" t="str">
        <f>+VLOOKUP(C1883,'[1]TIENDAS 2025'!$A$1:$C$143,3,0)</f>
        <v>departamental</v>
      </c>
      <c r="O1883">
        <v>1</v>
      </c>
    </row>
    <row r="1884" spans="1:15" ht="15" customHeight="1" x14ac:dyDescent="0.3">
      <c r="A1884" s="7">
        <v>8209671471</v>
      </c>
      <c r="B1884" s="4" t="s">
        <v>460</v>
      </c>
      <c r="C1884" s="4" t="s">
        <v>461</v>
      </c>
      <c r="D1884" s="6">
        <v>46309.476388888899</v>
      </c>
      <c r="E1884" s="6">
        <v>46309.226354166698</v>
      </c>
      <c r="F1884" s="6">
        <v>46309</v>
      </c>
      <c r="G1884" s="5" t="s">
        <v>12</v>
      </c>
      <c r="H1884" s="5" t="s">
        <v>27</v>
      </c>
      <c r="I1884" s="5">
        <v>8</v>
      </c>
      <c r="J1884" s="10" t="s">
        <v>17</v>
      </c>
      <c r="K1884" s="1" t="s">
        <v>2176</v>
      </c>
      <c r="M1884" t="str">
        <f>+VLOOKUP(C1884,'[1]TIENDAS 2025'!$A$1:$C$143,3,0)</f>
        <v>prioridad</v>
      </c>
      <c r="O1884">
        <v>1</v>
      </c>
    </row>
    <row r="1885" spans="1:15" ht="15" customHeight="1" x14ac:dyDescent="0.3">
      <c r="A1885" s="7">
        <v>8209671472</v>
      </c>
      <c r="B1885" s="4" t="s">
        <v>460</v>
      </c>
      <c r="C1885" s="4" t="s">
        <v>461</v>
      </c>
      <c r="D1885" s="6">
        <v>46309.476412037002</v>
      </c>
      <c r="E1885" s="6">
        <v>46309.226377314801</v>
      </c>
      <c r="F1885" s="6">
        <v>46309</v>
      </c>
      <c r="G1885" s="5" t="s">
        <v>12</v>
      </c>
      <c r="H1885" s="5" t="s">
        <v>27</v>
      </c>
      <c r="I1885" s="5">
        <v>19</v>
      </c>
      <c r="J1885" s="10" t="s">
        <v>17</v>
      </c>
      <c r="K1885" s="1" t="s">
        <v>2177</v>
      </c>
      <c r="M1885" t="str">
        <f>+VLOOKUP(C1885,'[1]TIENDAS 2025'!$A$1:$C$143,3,0)</f>
        <v>prioridad</v>
      </c>
      <c r="O1885">
        <v>1</v>
      </c>
    </row>
    <row r="1886" spans="1:15" ht="15" customHeight="1" x14ac:dyDescent="0.3">
      <c r="A1886" s="7">
        <v>8209671535</v>
      </c>
      <c r="B1886" s="4" t="s">
        <v>354</v>
      </c>
      <c r="C1886" s="4" t="s">
        <v>355</v>
      </c>
      <c r="D1886" s="6">
        <v>46309.4764236111</v>
      </c>
      <c r="E1886" s="6">
        <v>46309.226400462998</v>
      </c>
      <c r="F1886" s="6">
        <v>46309</v>
      </c>
      <c r="G1886" s="5" t="s">
        <v>12</v>
      </c>
      <c r="H1886" s="5" t="s">
        <v>27</v>
      </c>
      <c r="I1886" s="5">
        <v>4</v>
      </c>
      <c r="J1886" s="10" t="s">
        <v>17</v>
      </c>
      <c r="K1886" s="1" t="s">
        <v>2178</v>
      </c>
      <c r="M1886" t="str">
        <f>+VLOOKUP(C1886,'[1]TIENDAS 2025'!$A$1:$C$143,3,0)</f>
        <v>nocturna</v>
      </c>
      <c r="O1886">
        <v>1</v>
      </c>
    </row>
    <row r="1887" spans="1:15" ht="15" customHeight="1" x14ac:dyDescent="0.3">
      <c r="A1887" s="7">
        <v>1209671477</v>
      </c>
      <c r="B1887" s="4" t="s">
        <v>460</v>
      </c>
      <c r="C1887" s="4" t="s">
        <v>461</v>
      </c>
      <c r="D1887" s="6">
        <v>46309.476435185199</v>
      </c>
      <c r="E1887" s="6">
        <v>46309.226412037002</v>
      </c>
      <c r="F1887" s="6">
        <v>46309</v>
      </c>
      <c r="G1887" s="5" t="s">
        <v>12</v>
      </c>
      <c r="H1887" s="5" t="s">
        <v>29</v>
      </c>
      <c r="I1887" s="5">
        <v>25</v>
      </c>
      <c r="J1887" s="9" t="s">
        <v>17</v>
      </c>
      <c r="K1887" s="1" t="s">
        <v>2179</v>
      </c>
      <c r="L1887" t="s">
        <v>3284</v>
      </c>
      <c r="M1887" t="str">
        <f>+VLOOKUP(C1887,'[1]TIENDAS 2025'!$A$1:$C$143,3,0)</f>
        <v>prioridad</v>
      </c>
      <c r="O1887">
        <v>1</v>
      </c>
    </row>
    <row r="1888" spans="1:15" ht="15" customHeight="1" x14ac:dyDescent="0.3">
      <c r="A1888" s="7">
        <v>1209671478</v>
      </c>
      <c r="B1888" s="4" t="s">
        <v>460</v>
      </c>
      <c r="C1888" s="4" t="s">
        <v>461</v>
      </c>
      <c r="D1888" s="6">
        <v>46309.476458333302</v>
      </c>
      <c r="E1888" s="6">
        <v>46309.2264236111</v>
      </c>
      <c r="F1888" s="6">
        <v>46309</v>
      </c>
      <c r="G1888" s="5" t="s">
        <v>12</v>
      </c>
      <c r="H1888" s="5" t="s">
        <v>27</v>
      </c>
      <c r="I1888" s="5">
        <v>30</v>
      </c>
      <c r="J1888" s="9" t="s">
        <v>17</v>
      </c>
      <c r="K1888" s="1" t="s">
        <v>2180</v>
      </c>
      <c r="L1888" t="s">
        <v>3284</v>
      </c>
      <c r="M1888" t="str">
        <f>+VLOOKUP(C1888,'[1]TIENDAS 2025'!$A$1:$C$143,3,0)</f>
        <v>prioridad</v>
      </c>
      <c r="O1888">
        <v>1</v>
      </c>
    </row>
    <row r="1889" spans="1:15" ht="15" customHeight="1" x14ac:dyDescent="0.3">
      <c r="A1889" s="7">
        <v>1209671550</v>
      </c>
      <c r="B1889" s="4" t="s">
        <v>354</v>
      </c>
      <c r="C1889" s="4" t="s">
        <v>355</v>
      </c>
      <c r="D1889" s="6">
        <v>46309.4764699074</v>
      </c>
      <c r="E1889" s="6">
        <v>46309.226435185199</v>
      </c>
      <c r="F1889" s="6">
        <v>46309</v>
      </c>
      <c r="G1889" s="5" t="s">
        <v>12</v>
      </c>
      <c r="H1889" s="5" t="s">
        <v>29</v>
      </c>
      <c r="I1889" s="5">
        <v>66</v>
      </c>
      <c r="J1889" s="9" t="s">
        <v>17</v>
      </c>
      <c r="K1889" s="1" t="s">
        <v>2181</v>
      </c>
      <c r="L1889" t="s">
        <v>3284</v>
      </c>
      <c r="M1889" t="str">
        <f>+VLOOKUP(C1889,'[1]TIENDAS 2025'!$A$1:$C$143,3,0)</f>
        <v>nocturna</v>
      </c>
      <c r="O1889">
        <v>1</v>
      </c>
    </row>
    <row r="1890" spans="1:15" ht="15" customHeight="1" x14ac:dyDescent="0.3">
      <c r="A1890" s="7">
        <v>1209671503</v>
      </c>
      <c r="B1890" s="4" t="s">
        <v>265</v>
      </c>
      <c r="C1890" s="4" t="s">
        <v>266</v>
      </c>
      <c r="D1890" s="6">
        <v>46309.476493055598</v>
      </c>
      <c r="E1890" s="6">
        <v>46309.2264699074</v>
      </c>
      <c r="F1890" s="6">
        <v>46309</v>
      </c>
      <c r="G1890" s="5" t="s">
        <v>12</v>
      </c>
      <c r="H1890" s="5" t="s">
        <v>16</v>
      </c>
      <c r="I1890" s="5">
        <v>6</v>
      </c>
      <c r="J1890" s="9" t="s">
        <v>17</v>
      </c>
      <c r="K1890" s="1" t="s">
        <v>2182</v>
      </c>
      <c r="L1890" t="s">
        <v>3284</v>
      </c>
      <c r="M1890" t="str">
        <f>+VLOOKUP(C1890,'[1]TIENDAS 2025'!$A$1:$C$143,3,0)</f>
        <v>nocturna</v>
      </c>
      <c r="O1890">
        <v>1</v>
      </c>
    </row>
    <row r="1891" spans="1:15" ht="15" customHeight="1" x14ac:dyDescent="0.3">
      <c r="A1891" s="7">
        <v>8209671494</v>
      </c>
      <c r="B1891" s="4" t="s">
        <v>265</v>
      </c>
      <c r="C1891" s="4" t="s">
        <v>266</v>
      </c>
      <c r="D1891" s="6">
        <v>46309.476493055598</v>
      </c>
      <c r="E1891" s="6">
        <v>46309.226458333302</v>
      </c>
      <c r="F1891" s="6">
        <v>46309</v>
      </c>
      <c r="G1891" s="5" t="s">
        <v>12</v>
      </c>
      <c r="H1891" s="5" t="s">
        <v>27</v>
      </c>
      <c r="I1891" s="5">
        <v>2</v>
      </c>
      <c r="J1891" s="10" t="s">
        <v>17</v>
      </c>
      <c r="K1891" s="1" t="s">
        <v>2183</v>
      </c>
      <c r="M1891" t="str">
        <f>+VLOOKUP(C1891,'[1]TIENDAS 2025'!$A$1:$C$143,3,0)</f>
        <v>nocturna</v>
      </c>
      <c r="O1891">
        <v>1</v>
      </c>
    </row>
    <row r="1892" spans="1:15" ht="15" customHeight="1" x14ac:dyDescent="0.3">
      <c r="A1892" s="7">
        <v>1209671581</v>
      </c>
      <c r="B1892" s="4" t="s">
        <v>545</v>
      </c>
      <c r="C1892" s="4" t="s">
        <v>546</v>
      </c>
      <c r="D1892" s="6">
        <v>46309.4765162037</v>
      </c>
      <c r="E1892" s="6">
        <v>46309.226481481499</v>
      </c>
      <c r="F1892" s="6">
        <v>46309</v>
      </c>
      <c r="G1892" s="5" t="s">
        <v>12</v>
      </c>
      <c r="H1892" s="5" t="s">
        <v>29</v>
      </c>
      <c r="I1892" s="5">
        <v>59</v>
      </c>
      <c r="J1892" s="9" t="s">
        <v>17</v>
      </c>
      <c r="K1892" s="1" t="s">
        <v>2184</v>
      </c>
      <c r="L1892" t="s">
        <v>3284</v>
      </c>
      <c r="M1892" t="str">
        <f>+VLOOKUP(C1892,'[1]TIENDAS 2025'!$A$1:$C$143,3,0)</f>
        <v>departamental</v>
      </c>
      <c r="O1892">
        <v>1</v>
      </c>
    </row>
    <row r="1893" spans="1:15" ht="15" customHeight="1" x14ac:dyDescent="0.3">
      <c r="A1893" s="7">
        <v>8209671567</v>
      </c>
      <c r="B1893" s="4" t="s">
        <v>545</v>
      </c>
      <c r="C1893" s="4" t="s">
        <v>546</v>
      </c>
      <c r="D1893" s="6">
        <v>46309.476527777799</v>
      </c>
      <c r="E1893" s="6">
        <v>46309.226504629602</v>
      </c>
      <c r="F1893" s="6">
        <v>46309</v>
      </c>
      <c r="G1893" s="5" t="s">
        <v>12</v>
      </c>
      <c r="H1893" s="5" t="s">
        <v>27</v>
      </c>
      <c r="I1893" s="5">
        <v>34</v>
      </c>
      <c r="J1893" s="10" t="s">
        <v>17</v>
      </c>
      <c r="K1893" s="1" t="s">
        <v>2185</v>
      </c>
      <c r="M1893" t="str">
        <f>+VLOOKUP(C1893,'[1]TIENDAS 2025'!$A$1:$C$143,3,0)</f>
        <v>departamental</v>
      </c>
      <c r="O1893">
        <v>1</v>
      </c>
    </row>
    <row r="1894" spans="1:15" ht="15" customHeight="1" x14ac:dyDescent="0.3">
      <c r="A1894" s="7">
        <v>8209671658</v>
      </c>
      <c r="B1894" s="4" t="s">
        <v>217</v>
      </c>
      <c r="C1894" s="4" t="s">
        <v>218</v>
      </c>
      <c r="D1894" s="6">
        <v>46309.478622685201</v>
      </c>
      <c r="E1894" s="6">
        <v>46309.228587963</v>
      </c>
      <c r="F1894" s="6">
        <v>46309</v>
      </c>
      <c r="G1894" s="5" t="s">
        <v>12</v>
      </c>
      <c r="H1894" s="5" t="s">
        <v>27</v>
      </c>
      <c r="I1894" s="5">
        <v>9</v>
      </c>
      <c r="J1894" s="10" t="s">
        <v>17</v>
      </c>
      <c r="K1894" s="1" t="s">
        <v>2186</v>
      </c>
      <c r="M1894" t="str">
        <f>+VLOOKUP(C1894,'[1]TIENDAS 2025'!$A$1:$C$143,3,0)</f>
        <v>nocturna</v>
      </c>
      <c r="O1894">
        <v>1</v>
      </c>
    </row>
    <row r="1895" spans="1:15" ht="15" customHeight="1" x14ac:dyDescent="0.3">
      <c r="A1895" s="7">
        <v>8209671739</v>
      </c>
      <c r="B1895" s="4" t="s">
        <v>358</v>
      </c>
      <c r="C1895" s="4" t="s">
        <v>359</v>
      </c>
      <c r="D1895" s="6">
        <v>46309.478622685201</v>
      </c>
      <c r="E1895" s="6">
        <v>46309.228599536997</v>
      </c>
      <c r="F1895" s="6">
        <v>46309</v>
      </c>
      <c r="G1895" s="5" t="s">
        <v>12</v>
      </c>
      <c r="H1895" s="5" t="s">
        <v>27</v>
      </c>
      <c r="I1895" s="5">
        <v>7</v>
      </c>
      <c r="J1895" s="10" t="s">
        <v>17</v>
      </c>
      <c r="K1895" s="1" t="s">
        <v>2187</v>
      </c>
      <c r="M1895" t="str">
        <f>+VLOOKUP(C1895,'[1]TIENDAS 2025'!$A$1:$C$143,3,0)</f>
        <v>prioridad</v>
      </c>
      <c r="O1895">
        <v>1</v>
      </c>
    </row>
    <row r="1896" spans="1:15" ht="15" customHeight="1" x14ac:dyDescent="0.3">
      <c r="A1896" s="7">
        <v>8209671740</v>
      </c>
      <c r="B1896" s="4" t="s">
        <v>358</v>
      </c>
      <c r="C1896" s="4" t="s">
        <v>359</v>
      </c>
      <c r="D1896" s="6">
        <v>46309.478645833296</v>
      </c>
      <c r="E1896" s="6">
        <v>46309.228611111103</v>
      </c>
      <c r="F1896" s="6">
        <v>46309</v>
      </c>
      <c r="G1896" s="5" t="s">
        <v>12</v>
      </c>
      <c r="H1896" s="5" t="s">
        <v>27</v>
      </c>
      <c r="I1896" s="5">
        <v>2</v>
      </c>
      <c r="J1896" s="10" t="s">
        <v>17</v>
      </c>
      <c r="K1896" s="1" t="s">
        <v>2188</v>
      </c>
      <c r="M1896" t="str">
        <f>+VLOOKUP(C1896,'[1]TIENDAS 2025'!$A$1:$C$143,3,0)</f>
        <v>prioridad</v>
      </c>
      <c r="O1896">
        <v>1</v>
      </c>
    </row>
    <row r="1897" spans="1:15" ht="15" customHeight="1" x14ac:dyDescent="0.3">
      <c r="A1897" s="7">
        <v>1209671689</v>
      </c>
      <c r="B1897" s="4" t="s">
        <v>406</v>
      </c>
      <c r="C1897" s="4" t="s">
        <v>407</v>
      </c>
      <c r="D1897" s="6">
        <v>46309.478668981501</v>
      </c>
      <c r="E1897" s="6">
        <v>46309.2286342593</v>
      </c>
      <c r="F1897" s="6">
        <v>46309</v>
      </c>
      <c r="G1897" s="5" t="s">
        <v>12</v>
      </c>
      <c r="H1897" s="5" t="s">
        <v>29</v>
      </c>
      <c r="I1897" s="5">
        <v>8</v>
      </c>
      <c r="J1897" s="9" t="s">
        <v>17</v>
      </c>
      <c r="K1897" s="1" t="s">
        <v>2189</v>
      </c>
      <c r="L1897" t="s">
        <v>3284</v>
      </c>
      <c r="M1897" t="str">
        <f>+VLOOKUP(C1897,'[1]TIENDAS 2025'!$A$1:$C$143,3,0)</f>
        <v>nocturna</v>
      </c>
      <c r="O1897">
        <v>1</v>
      </c>
    </row>
    <row r="1898" spans="1:15" ht="15" customHeight="1" x14ac:dyDescent="0.3">
      <c r="A1898" s="7">
        <v>1209671715</v>
      </c>
      <c r="B1898" s="4" t="s">
        <v>478</v>
      </c>
      <c r="C1898" s="4" t="s">
        <v>479</v>
      </c>
      <c r="D1898" s="6">
        <v>46309.4786805556</v>
      </c>
      <c r="E1898" s="6">
        <v>46309.228645833296</v>
      </c>
      <c r="F1898" s="6">
        <v>46309</v>
      </c>
      <c r="G1898" s="5" t="s">
        <v>12</v>
      </c>
      <c r="H1898" s="5" t="s">
        <v>16</v>
      </c>
      <c r="I1898" s="5">
        <v>20</v>
      </c>
      <c r="J1898" s="9" t="s">
        <v>17</v>
      </c>
      <c r="K1898" s="1" t="s">
        <v>2190</v>
      </c>
      <c r="L1898" t="s">
        <v>3284</v>
      </c>
      <c r="M1898" t="str">
        <f>+VLOOKUP(C1898,'[1]TIENDAS 2025'!$A$1:$C$143,3,0)</f>
        <v>departamental</v>
      </c>
      <c r="O1898">
        <v>1</v>
      </c>
    </row>
    <row r="1899" spans="1:15" ht="15" customHeight="1" x14ac:dyDescent="0.3">
      <c r="A1899" s="7">
        <v>1209671749</v>
      </c>
      <c r="B1899" s="4" t="s">
        <v>358</v>
      </c>
      <c r="C1899" s="4" t="s">
        <v>359</v>
      </c>
      <c r="D1899" s="6">
        <v>46309.478692129604</v>
      </c>
      <c r="E1899" s="6">
        <v>46309.228668981501</v>
      </c>
      <c r="F1899" s="6">
        <v>46309</v>
      </c>
      <c r="G1899" s="5" t="s">
        <v>12</v>
      </c>
      <c r="H1899" s="5" t="s">
        <v>29</v>
      </c>
      <c r="I1899" s="5">
        <v>25</v>
      </c>
      <c r="J1899" s="9" t="s">
        <v>17</v>
      </c>
      <c r="K1899" s="1" t="s">
        <v>2191</v>
      </c>
      <c r="L1899" t="s">
        <v>3284</v>
      </c>
      <c r="M1899" t="str">
        <f>+VLOOKUP(C1899,'[1]TIENDAS 2025'!$A$1:$C$143,3,0)</f>
        <v>prioridad</v>
      </c>
      <c r="O1899">
        <v>1</v>
      </c>
    </row>
    <row r="1900" spans="1:15" ht="15" customHeight="1" x14ac:dyDescent="0.3">
      <c r="A1900" s="7">
        <v>1209671649</v>
      </c>
      <c r="B1900" s="4" t="s">
        <v>217</v>
      </c>
      <c r="C1900" s="4" t="s">
        <v>218</v>
      </c>
      <c r="D1900" s="6">
        <v>46309.478703703702</v>
      </c>
      <c r="E1900" s="6">
        <v>46309.2286805556</v>
      </c>
      <c r="F1900" s="6">
        <v>46309</v>
      </c>
      <c r="G1900" s="5" t="s">
        <v>12</v>
      </c>
      <c r="H1900" s="5" t="s">
        <v>16</v>
      </c>
      <c r="I1900" s="5">
        <v>5</v>
      </c>
      <c r="J1900" s="9" t="s">
        <v>17</v>
      </c>
      <c r="K1900" s="1" t="s">
        <v>2192</v>
      </c>
      <c r="L1900" t="s">
        <v>3284</v>
      </c>
      <c r="M1900" t="str">
        <f>+VLOOKUP(C1900,'[1]TIENDAS 2025'!$A$1:$C$143,3,0)</f>
        <v>nocturna</v>
      </c>
      <c r="O1900">
        <v>1</v>
      </c>
    </row>
    <row r="1901" spans="1:15" ht="15" customHeight="1" x14ac:dyDescent="0.3">
      <c r="A1901" s="7">
        <v>1209671709</v>
      </c>
      <c r="B1901" s="4" t="s">
        <v>478</v>
      </c>
      <c r="C1901" s="4" t="s">
        <v>479</v>
      </c>
      <c r="D1901" s="6">
        <v>46309.478726851798</v>
      </c>
      <c r="E1901" s="6">
        <v>46309.228703703702</v>
      </c>
      <c r="F1901" s="6">
        <v>46309</v>
      </c>
      <c r="G1901" s="5" t="s">
        <v>12</v>
      </c>
      <c r="H1901" s="5" t="s">
        <v>16</v>
      </c>
      <c r="I1901" s="5">
        <v>3</v>
      </c>
      <c r="J1901" s="9" t="s">
        <v>17</v>
      </c>
      <c r="K1901" s="1" t="s">
        <v>2193</v>
      </c>
      <c r="L1901" t="s">
        <v>3284</v>
      </c>
      <c r="M1901" t="str">
        <f>+VLOOKUP(C1901,'[1]TIENDAS 2025'!$A$1:$C$143,3,0)</f>
        <v>departamental</v>
      </c>
      <c r="O1901">
        <v>1</v>
      </c>
    </row>
    <row r="1902" spans="1:15" ht="15" customHeight="1" x14ac:dyDescent="0.3">
      <c r="A1902" s="7">
        <v>1209671752</v>
      </c>
      <c r="B1902" s="4" t="s">
        <v>358</v>
      </c>
      <c r="C1902" s="4" t="s">
        <v>359</v>
      </c>
      <c r="D1902" s="6">
        <v>46309.478726851798</v>
      </c>
      <c r="E1902" s="6">
        <v>46309.228692129604</v>
      </c>
      <c r="F1902" s="6">
        <v>46309</v>
      </c>
      <c r="G1902" s="5" t="s">
        <v>12</v>
      </c>
      <c r="H1902" s="5" t="s">
        <v>16</v>
      </c>
      <c r="I1902" s="5">
        <v>5</v>
      </c>
      <c r="J1902" s="9" t="s">
        <v>17</v>
      </c>
      <c r="K1902" s="1" t="s">
        <v>2194</v>
      </c>
      <c r="L1902" t="s">
        <v>3284</v>
      </c>
      <c r="M1902" t="str">
        <f>+VLOOKUP(C1902,'[1]TIENDAS 2025'!$A$1:$C$143,3,0)</f>
        <v>prioridad</v>
      </c>
      <c r="O1902">
        <v>1</v>
      </c>
    </row>
    <row r="1903" spans="1:15" ht="15" customHeight="1" x14ac:dyDescent="0.3">
      <c r="A1903" s="7">
        <v>8209671657</v>
      </c>
      <c r="B1903" s="4" t="s">
        <v>217</v>
      </c>
      <c r="C1903" s="4" t="s">
        <v>218</v>
      </c>
      <c r="D1903" s="6">
        <v>46309.478750000002</v>
      </c>
      <c r="E1903" s="6">
        <v>46309.228726851798</v>
      </c>
      <c r="F1903" s="6">
        <v>46309</v>
      </c>
      <c r="G1903" s="5" t="s">
        <v>12</v>
      </c>
      <c r="H1903" s="5" t="s">
        <v>27</v>
      </c>
      <c r="I1903" s="5">
        <v>13</v>
      </c>
      <c r="J1903" s="10" t="s">
        <v>17</v>
      </c>
      <c r="K1903" s="1" t="s">
        <v>2195</v>
      </c>
      <c r="M1903" t="str">
        <f>+VLOOKUP(C1903,'[1]TIENDAS 2025'!$A$1:$C$143,3,0)</f>
        <v>nocturna</v>
      </c>
      <c r="O1903">
        <v>1</v>
      </c>
    </row>
    <row r="1904" spans="1:15" ht="15" customHeight="1" x14ac:dyDescent="0.3">
      <c r="A1904" s="7">
        <v>1209671660</v>
      </c>
      <c r="B1904" s="4" t="s">
        <v>217</v>
      </c>
      <c r="C1904" s="4" t="s">
        <v>218</v>
      </c>
      <c r="D1904" s="6">
        <v>46309.478761574101</v>
      </c>
      <c r="E1904" s="6">
        <v>46309.228738425903</v>
      </c>
      <c r="F1904" s="6">
        <v>46309</v>
      </c>
      <c r="G1904" s="5" t="s">
        <v>12</v>
      </c>
      <c r="H1904" s="5" t="s">
        <v>29</v>
      </c>
      <c r="I1904" s="5">
        <v>8</v>
      </c>
      <c r="J1904" s="9" t="s">
        <v>17</v>
      </c>
      <c r="K1904" s="1" t="s">
        <v>2196</v>
      </c>
      <c r="L1904" t="s">
        <v>3284</v>
      </c>
      <c r="M1904" t="str">
        <f>+VLOOKUP(C1904,'[1]TIENDAS 2025'!$A$1:$C$143,3,0)</f>
        <v>nocturna</v>
      </c>
      <c r="O1904">
        <v>1</v>
      </c>
    </row>
    <row r="1905" spans="1:15" ht="15" customHeight="1" x14ac:dyDescent="0.3">
      <c r="A1905" s="7">
        <v>1209671688</v>
      </c>
      <c r="B1905" s="4" t="s">
        <v>406</v>
      </c>
      <c r="C1905" s="4" t="s">
        <v>407</v>
      </c>
      <c r="D1905" s="6">
        <v>46309.478784722203</v>
      </c>
      <c r="E1905" s="6">
        <v>46309.228750000002</v>
      </c>
      <c r="F1905" s="6">
        <v>46309</v>
      </c>
      <c r="G1905" s="5" t="s">
        <v>12</v>
      </c>
      <c r="H1905" s="5" t="s">
        <v>29</v>
      </c>
      <c r="I1905" s="5">
        <v>6</v>
      </c>
      <c r="J1905" s="9" t="s">
        <v>17</v>
      </c>
      <c r="K1905" s="1" t="s">
        <v>2197</v>
      </c>
      <c r="L1905" t="s">
        <v>3284</v>
      </c>
      <c r="M1905" t="str">
        <f>+VLOOKUP(C1905,'[1]TIENDAS 2025'!$A$1:$C$143,3,0)</f>
        <v>nocturna</v>
      </c>
      <c r="O1905">
        <v>1</v>
      </c>
    </row>
    <row r="1906" spans="1:15" ht="15" customHeight="1" x14ac:dyDescent="0.3">
      <c r="A1906" s="7">
        <v>8209671744</v>
      </c>
      <c r="B1906" s="4" t="s">
        <v>358</v>
      </c>
      <c r="C1906" s="4" t="s">
        <v>359</v>
      </c>
      <c r="D1906" s="6">
        <v>46309.478796296302</v>
      </c>
      <c r="E1906" s="6">
        <v>46309.228761574101</v>
      </c>
      <c r="F1906" s="6">
        <v>46309</v>
      </c>
      <c r="G1906" s="5" t="s">
        <v>12</v>
      </c>
      <c r="H1906" s="5" t="s">
        <v>27</v>
      </c>
      <c r="I1906" s="5">
        <v>28</v>
      </c>
      <c r="J1906" s="10" t="s">
        <v>17</v>
      </c>
      <c r="K1906" s="1" t="s">
        <v>2198</v>
      </c>
      <c r="M1906" t="str">
        <f>+VLOOKUP(C1906,'[1]TIENDAS 2025'!$A$1:$C$143,3,0)</f>
        <v>prioridad</v>
      </c>
      <c r="O1906">
        <v>1</v>
      </c>
    </row>
    <row r="1907" spans="1:15" ht="15" customHeight="1" x14ac:dyDescent="0.3">
      <c r="A1907" s="7">
        <v>1209671666</v>
      </c>
      <c r="B1907" s="4" t="s">
        <v>217</v>
      </c>
      <c r="C1907" s="4" t="s">
        <v>218</v>
      </c>
      <c r="D1907" s="6">
        <v>46309.478819444397</v>
      </c>
      <c r="E1907" s="6">
        <v>46309.228784722203</v>
      </c>
      <c r="F1907" s="6">
        <v>46309</v>
      </c>
      <c r="G1907" s="5" t="s">
        <v>12</v>
      </c>
      <c r="H1907" s="5" t="s">
        <v>16</v>
      </c>
      <c r="I1907" s="5">
        <v>34</v>
      </c>
      <c r="J1907" s="9" t="s">
        <v>17</v>
      </c>
      <c r="K1907" s="1" t="s">
        <v>2199</v>
      </c>
      <c r="L1907" t="s">
        <v>3284</v>
      </c>
      <c r="M1907" t="str">
        <f>+VLOOKUP(C1907,'[1]TIENDAS 2025'!$A$1:$C$143,3,0)</f>
        <v>nocturna</v>
      </c>
      <c r="O1907">
        <v>1</v>
      </c>
    </row>
    <row r="1908" spans="1:15" ht="15" customHeight="1" x14ac:dyDescent="0.3">
      <c r="A1908" s="7">
        <v>1209671748</v>
      </c>
      <c r="B1908" s="4" t="s">
        <v>358</v>
      </c>
      <c r="C1908" s="4" t="s">
        <v>359</v>
      </c>
      <c r="D1908" s="6">
        <v>46309.478819444397</v>
      </c>
      <c r="E1908" s="6">
        <v>46309.228796296302</v>
      </c>
      <c r="F1908" s="6">
        <v>46309</v>
      </c>
      <c r="G1908" s="5" t="s">
        <v>12</v>
      </c>
      <c r="H1908" s="5" t="s">
        <v>16</v>
      </c>
      <c r="I1908" s="5">
        <v>20</v>
      </c>
      <c r="J1908" s="9" t="s">
        <v>17</v>
      </c>
      <c r="K1908" s="1" t="s">
        <v>2200</v>
      </c>
      <c r="L1908" t="s">
        <v>3284</v>
      </c>
      <c r="M1908" t="str">
        <f>+VLOOKUP(C1908,'[1]TIENDAS 2025'!$A$1:$C$143,3,0)</f>
        <v>prioridad</v>
      </c>
      <c r="O1908">
        <v>1</v>
      </c>
    </row>
    <row r="1909" spans="1:15" ht="15" customHeight="1" x14ac:dyDescent="0.3">
      <c r="A1909" s="7">
        <v>8209671656</v>
      </c>
      <c r="B1909" s="4" t="s">
        <v>217</v>
      </c>
      <c r="C1909" s="4" t="s">
        <v>218</v>
      </c>
      <c r="D1909" s="6">
        <v>46309.478831018503</v>
      </c>
      <c r="E1909" s="6">
        <v>46309.2288078704</v>
      </c>
      <c r="F1909" s="6">
        <v>46309</v>
      </c>
      <c r="G1909" s="5" t="s">
        <v>12</v>
      </c>
      <c r="H1909" s="5" t="s">
        <v>27</v>
      </c>
      <c r="I1909" s="5">
        <v>7</v>
      </c>
      <c r="J1909" s="10" t="s">
        <v>17</v>
      </c>
      <c r="K1909" s="1" t="s">
        <v>2201</v>
      </c>
      <c r="M1909" t="str">
        <f>+VLOOKUP(C1909,'[1]TIENDAS 2025'!$A$1:$C$143,3,0)</f>
        <v>nocturna</v>
      </c>
      <c r="O1909">
        <v>1</v>
      </c>
    </row>
    <row r="1910" spans="1:15" ht="15" customHeight="1" x14ac:dyDescent="0.3">
      <c r="A1910" s="7">
        <v>1209671713</v>
      </c>
      <c r="B1910" s="4" t="s">
        <v>478</v>
      </c>
      <c r="C1910" s="4" t="s">
        <v>479</v>
      </c>
      <c r="D1910" s="6">
        <v>46309.4788541667</v>
      </c>
      <c r="E1910" s="6">
        <v>46309.228819444397</v>
      </c>
      <c r="F1910" s="6">
        <v>46309</v>
      </c>
      <c r="G1910" s="5" t="s">
        <v>12</v>
      </c>
      <c r="H1910" s="5" t="s">
        <v>29</v>
      </c>
      <c r="I1910" s="5">
        <v>15</v>
      </c>
      <c r="J1910" s="9" t="s">
        <v>17</v>
      </c>
      <c r="K1910" s="1" t="s">
        <v>2202</v>
      </c>
      <c r="L1910" t="s">
        <v>3284</v>
      </c>
      <c r="M1910" t="str">
        <f>+VLOOKUP(C1910,'[1]TIENDAS 2025'!$A$1:$C$143,3,0)</f>
        <v>departamental</v>
      </c>
      <c r="O1910">
        <v>1</v>
      </c>
    </row>
    <row r="1911" spans="1:15" ht="15" customHeight="1" x14ac:dyDescent="0.3">
      <c r="A1911" s="7">
        <v>1209671662</v>
      </c>
      <c r="B1911" s="4" t="s">
        <v>217</v>
      </c>
      <c r="C1911" s="4" t="s">
        <v>218</v>
      </c>
      <c r="D1911" s="6">
        <v>46309.478865740697</v>
      </c>
      <c r="E1911" s="6">
        <v>46309.228831018503</v>
      </c>
      <c r="F1911" s="6">
        <v>46309</v>
      </c>
      <c r="G1911" s="5" t="s">
        <v>12</v>
      </c>
      <c r="H1911" s="5" t="s">
        <v>29</v>
      </c>
      <c r="I1911" s="5">
        <v>10</v>
      </c>
      <c r="J1911" s="9" t="s">
        <v>17</v>
      </c>
      <c r="K1911" s="1" t="s">
        <v>2203</v>
      </c>
      <c r="L1911" t="s">
        <v>3284</v>
      </c>
      <c r="M1911" t="str">
        <f>+VLOOKUP(C1911,'[1]TIENDAS 2025'!$A$1:$C$143,3,0)</f>
        <v>nocturna</v>
      </c>
      <c r="O1911">
        <v>1</v>
      </c>
    </row>
    <row r="1912" spans="1:15" ht="15" customHeight="1" x14ac:dyDescent="0.3">
      <c r="A1912" s="7">
        <v>1209671714</v>
      </c>
      <c r="B1912" s="4" t="s">
        <v>478</v>
      </c>
      <c r="C1912" s="4" t="s">
        <v>479</v>
      </c>
      <c r="D1912" s="6">
        <v>46309.478877314803</v>
      </c>
      <c r="E1912" s="6">
        <v>46309.2288541667</v>
      </c>
      <c r="F1912" s="6">
        <v>46309</v>
      </c>
      <c r="G1912" s="5" t="s">
        <v>12</v>
      </c>
      <c r="H1912" s="5" t="s">
        <v>16</v>
      </c>
      <c r="I1912" s="5">
        <v>17</v>
      </c>
      <c r="J1912" s="9" t="s">
        <v>17</v>
      </c>
      <c r="K1912" s="1" t="s">
        <v>2204</v>
      </c>
      <c r="L1912" t="s">
        <v>3284</v>
      </c>
      <c r="M1912" t="str">
        <f>+VLOOKUP(C1912,'[1]TIENDAS 2025'!$A$1:$C$143,3,0)</f>
        <v>departamental</v>
      </c>
      <c r="O1912">
        <v>1</v>
      </c>
    </row>
    <row r="1913" spans="1:15" ht="15" customHeight="1" x14ac:dyDescent="0.3">
      <c r="A1913" s="7">
        <v>1209671663</v>
      </c>
      <c r="B1913" s="4" t="s">
        <v>217</v>
      </c>
      <c r="C1913" s="4" t="s">
        <v>218</v>
      </c>
      <c r="D1913" s="6">
        <v>46309.478888888902</v>
      </c>
      <c r="E1913" s="6">
        <v>46309.228865740697</v>
      </c>
      <c r="F1913" s="6">
        <v>46309</v>
      </c>
      <c r="G1913" s="5" t="s">
        <v>12</v>
      </c>
      <c r="H1913" s="5" t="s">
        <v>29</v>
      </c>
      <c r="I1913" s="5">
        <v>13</v>
      </c>
      <c r="J1913" s="9" t="s">
        <v>17</v>
      </c>
      <c r="K1913" s="1" t="s">
        <v>2205</v>
      </c>
      <c r="L1913" t="s">
        <v>3284</v>
      </c>
      <c r="M1913" t="str">
        <f>+VLOOKUP(C1913,'[1]TIENDAS 2025'!$A$1:$C$143,3,0)</f>
        <v>nocturna</v>
      </c>
      <c r="O1913">
        <v>1</v>
      </c>
    </row>
    <row r="1914" spans="1:15" ht="15" customHeight="1" x14ac:dyDescent="0.3">
      <c r="A1914" s="7">
        <v>1209671691</v>
      </c>
      <c r="B1914" s="4" t="s">
        <v>406</v>
      </c>
      <c r="C1914" s="4" t="s">
        <v>407</v>
      </c>
      <c r="D1914" s="6">
        <v>46309.478912036997</v>
      </c>
      <c r="E1914" s="6">
        <v>46309.228888888902</v>
      </c>
      <c r="F1914" s="6">
        <v>46309</v>
      </c>
      <c r="G1914" s="5" t="s">
        <v>12</v>
      </c>
      <c r="H1914" s="5" t="s">
        <v>16</v>
      </c>
      <c r="I1914" s="5">
        <v>7</v>
      </c>
      <c r="J1914" s="9" t="s">
        <v>17</v>
      </c>
      <c r="K1914" s="1" t="s">
        <v>2206</v>
      </c>
      <c r="L1914" t="s">
        <v>3284</v>
      </c>
      <c r="M1914" t="str">
        <f>+VLOOKUP(C1914,'[1]TIENDAS 2025'!$A$1:$C$143,3,0)</f>
        <v>nocturna</v>
      </c>
      <c r="O1914">
        <v>1</v>
      </c>
    </row>
    <row r="1915" spans="1:15" ht="15" customHeight="1" x14ac:dyDescent="0.3">
      <c r="A1915" s="7">
        <v>1209671716</v>
      </c>
      <c r="B1915" s="4" t="s">
        <v>478</v>
      </c>
      <c r="C1915" s="4" t="s">
        <v>479</v>
      </c>
      <c r="D1915" s="6">
        <v>46309.478935185201</v>
      </c>
      <c r="E1915" s="6">
        <v>46309.228900463</v>
      </c>
      <c r="F1915" s="6">
        <v>46309</v>
      </c>
      <c r="G1915" s="5" t="s">
        <v>12</v>
      </c>
      <c r="H1915" s="5" t="s">
        <v>16</v>
      </c>
      <c r="I1915" s="5">
        <v>19</v>
      </c>
      <c r="J1915" s="9" t="s">
        <v>17</v>
      </c>
      <c r="K1915" s="1" t="s">
        <v>2207</v>
      </c>
      <c r="L1915" t="s">
        <v>3284</v>
      </c>
      <c r="M1915" t="str">
        <f>+VLOOKUP(C1915,'[1]TIENDAS 2025'!$A$1:$C$143,3,0)</f>
        <v>departamental</v>
      </c>
      <c r="O1915">
        <v>1</v>
      </c>
    </row>
    <row r="1916" spans="1:15" ht="15" customHeight="1" x14ac:dyDescent="0.3">
      <c r="A1916" s="7">
        <v>8209671695</v>
      </c>
      <c r="B1916" s="4" t="s">
        <v>406</v>
      </c>
      <c r="C1916" s="4" t="s">
        <v>407</v>
      </c>
      <c r="D1916" s="6">
        <v>46309.478958333297</v>
      </c>
      <c r="E1916" s="6">
        <v>46309.228935185201</v>
      </c>
      <c r="F1916" s="6">
        <v>46309</v>
      </c>
      <c r="G1916" s="5" t="s">
        <v>12</v>
      </c>
      <c r="H1916" s="5" t="s">
        <v>27</v>
      </c>
      <c r="I1916" s="5">
        <v>3</v>
      </c>
      <c r="J1916" s="10" t="s">
        <v>17</v>
      </c>
      <c r="K1916" s="1" t="s">
        <v>2208</v>
      </c>
      <c r="M1916" t="str">
        <f>+VLOOKUP(C1916,'[1]TIENDAS 2025'!$A$1:$C$143,3,0)</f>
        <v>nocturna</v>
      </c>
      <c r="O1916">
        <v>1</v>
      </c>
    </row>
    <row r="1917" spans="1:15" ht="15" customHeight="1" x14ac:dyDescent="0.3">
      <c r="A1917" s="7">
        <v>8209671644</v>
      </c>
      <c r="B1917" s="4" t="s">
        <v>217</v>
      </c>
      <c r="C1917" s="4" t="s">
        <v>218</v>
      </c>
      <c r="D1917" s="6">
        <v>46309.478958333297</v>
      </c>
      <c r="E1917" s="6">
        <v>46309.228923611103</v>
      </c>
      <c r="F1917" s="6">
        <v>46309</v>
      </c>
      <c r="G1917" s="5" t="s">
        <v>12</v>
      </c>
      <c r="H1917" s="5" t="s">
        <v>27</v>
      </c>
      <c r="I1917" s="5">
        <v>3</v>
      </c>
      <c r="J1917" s="10" t="s">
        <v>17</v>
      </c>
      <c r="K1917" s="1" t="s">
        <v>2209</v>
      </c>
      <c r="M1917" t="str">
        <f>+VLOOKUP(C1917,'[1]TIENDAS 2025'!$A$1:$C$143,3,0)</f>
        <v>nocturna</v>
      </c>
      <c r="O1917">
        <v>1</v>
      </c>
    </row>
    <row r="1918" spans="1:15" ht="15" customHeight="1" x14ac:dyDescent="0.3">
      <c r="A1918" s="7">
        <v>1209671699</v>
      </c>
      <c r="B1918" s="4" t="s">
        <v>406</v>
      </c>
      <c r="C1918" s="4" t="s">
        <v>407</v>
      </c>
      <c r="D1918" s="6">
        <v>46309.478981481501</v>
      </c>
      <c r="E1918" s="6">
        <v>46309.2289467593</v>
      </c>
      <c r="F1918" s="6">
        <v>46309</v>
      </c>
      <c r="G1918" s="5" t="s">
        <v>12</v>
      </c>
      <c r="H1918" s="5" t="s">
        <v>16</v>
      </c>
      <c r="I1918" s="5">
        <v>4</v>
      </c>
      <c r="J1918" s="9" t="s">
        <v>17</v>
      </c>
      <c r="K1918" s="1" t="s">
        <v>2210</v>
      </c>
      <c r="L1918" t="s">
        <v>3284</v>
      </c>
      <c r="M1918" t="str">
        <f>+VLOOKUP(C1918,'[1]TIENDAS 2025'!$A$1:$C$143,3,0)</f>
        <v>nocturna</v>
      </c>
      <c r="O1918">
        <v>1</v>
      </c>
    </row>
    <row r="1919" spans="1:15" ht="15" customHeight="1" x14ac:dyDescent="0.3">
      <c r="A1919" s="7">
        <v>1209671750</v>
      </c>
      <c r="B1919" s="4" t="s">
        <v>358</v>
      </c>
      <c r="C1919" s="4" t="s">
        <v>359</v>
      </c>
      <c r="D1919" s="6">
        <v>46309.479004629597</v>
      </c>
      <c r="E1919" s="6">
        <v>46309.228969907403</v>
      </c>
      <c r="F1919" s="6">
        <v>46309</v>
      </c>
      <c r="G1919" s="5" t="s">
        <v>12</v>
      </c>
      <c r="H1919" s="5" t="s">
        <v>16</v>
      </c>
      <c r="I1919" s="5">
        <v>25</v>
      </c>
      <c r="J1919" s="9" t="s">
        <v>17</v>
      </c>
      <c r="K1919" s="1" t="s">
        <v>2211</v>
      </c>
      <c r="L1919" t="s">
        <v>3284</v>
      </c>
      <c r="M1919" t="str">
        <f>+VLOOKUP(C1919,'[1]TIENDAS 2025'!$A$1:$C$143,3,0)</f>
        <v>prioridad</v>
      </c>
      <c r="O1919">
        <v>1</v>
      </c>
    </row>
    <row r="1920" spans="1:15" ht="15" customHeight="1" x14ac:dyDescent="0.3">
      <c r="A1920" s="7">
        <v>1209671651</v>
      </c>
      <c r="B1920" s="4" t="s">
        <v>217</v>
      </c>
      <c r="C1920" s="4" t="s">
        <v>218</v>
      </c>
      <c r="D1920" s="6">
        <v>46309.479016203702</v>
      </c>
      <c r="E1920" s="6">
        <v>46309.228981481501</v>
      </c>
      <c r="F1920" s="6">
        <v>46309</v>
      </c>
      <c r="G1920" s="5" t="s">
        <v>12</v>
      </c>
      <c r="H1920" s="5" t="s">
        <v>27</v>
      </c>
      <c r="I1920" s="5">
        <v>22</v>
      </c>
      <c r="J1920" s="9" t="s">
        <v>17</v>
      </c>
      <c r="K1920" s="1" t="s">
        <v>2212</v>
      </c>
      <c r="L1920" t="s">
        <v>3284</v>
      </c>
      <c r="M1920" t="str">
        <f>+VLOOKUP(C1920,'[1]TIENDAS 2025'!$A$1:$C$143,3,0)</f>
        <v>nocturna</v>
      </c>
      <c r="O1920">
        <v>1</v>
      </c>
    </row>
    <row r="1921" spans="1:15" ht="15" customHeight="1" x14ac:dyDescent="0.3">
      <c r="A1921" s="7">
        <v>1209671708</v>
      </c>
      <c r="B1921" s="4" t="s">
        <v>478</v>
      </c>
      <c r="C1921" s="4" t="s">
        <v>479</v>
      </c>
      <c r="D1921" s="6">
        <v>46309.479027777801</v>
      </c>
      <c r="E1921" s="6">
        <v>46309.229004629597</v>
      </c>
      <c r="F1921" s="6">
        <v>46309</v>
      </c>
      <c r="G1921" s="5" t="s">
        <v>12</v>
      </c>
      <c r="H1921" s="5" t="s">
        <v>16</v>
      </c>
      <c r="I1921" s="5">
        <v>2</v>
      </c>
      <c r="J1921" s="9" t="s">
        <v>17</v>
      </c>
      <c r="K1921" s="1" t="s">
        <v>2213</v>
      </c>
      <c r="L1921" t="s">
        <v>3284</v>
      </c>
      <c r="M1921" t="str">
        <f>+VLOOKUP(C1921,'[1]TIENDAS 2025'!$A$1:$C$143,3,0)</f>
        <v>departamental</v>
      </c>
      <c r="O1921">
        <v>1</v>
      </c>
    </row>
    <row r="1922" spans="1:15" ht="15" customHeight="1" x14ac:dyDescent="0.3">
      <c r="A1922" s="7">
        <v>1209671710</v>
      </c>
      <c r="B1922" s="4" t="s">
        <v>478</v>
      </c>
      <c r="C1922" s="4" t="s">
        <v>479</v>
      </c>
      <c r="D1922" s="6">
        <v>46309.479050925896</v>
      </c>
      <c r="E1922" s="6">
        <v>46309.229016203702</v>
      </c>
      <c r="F1922" s="6">
        <v>46309</v>
      </c>
      <c r="G1922" s="5" t="s">
        <v>12</v>
      </c>
      <c r="H1922" s="5" t="s">
        <v>16</v>
      </c>
      <c r="I1922" s="5">
        <v>4</v>
      </c>
      <c r="J1922" s="9" t="s">
        <v>17</v>
      </c>
      <c r="K1922" s="1" t="s">
        <v>2214</v>
      </c>
      <c r="L1922" t="s">
        <v>3284</v>
      </c>
      <c r="M1922" t="str">
        <f>+VLOOKUP(C1922,'[1]TIENDAS 2025'!$A$1:$C$143,3,0)</f>
        <v>departamental</v>
      </c>
      <c r="O1922">
        <v>1</v>
      </c>
    </row>
    <row r="1923" spans="1:15" ht="15" customHeight="1" x14ac:dyDescent="0.3">
      <c r="A1923" s="7">
        <v>1209671712</v>
      </c>
      <c r="B1923" s="4" t="s">
        <v>478</v>
      </c>
      <c r="C1923" s="4" t="s">
        <v>479</v>
      </c>
      <c r="D1923" s="6">
        <v>46309.479062500002</v>
      </c>
      <c r="E1923" s="6">
        <v>46309.229027777801</v>
      </c>
      <c r="F1923" s="6">
        <v>46309</v>
      </c>
      <c r="G1923" s="5" t="s">
        <v>12</v>
      </c>
      <c r="H1923" s="5" t="s">
        <v>16</v>
      </c>
      <c r="I1923" s="5">
        <v>8</v>
      </c>
      <c r="J1923" s="9" t="s">
        <v>17</v>
      </c>
      <c r="K1923" s="1" t="s">
        <v>2215</v>
      </c>
      <c r="L1923" t="s">
        <v>3284</v>
      </c>
      <c r="M1923" t="str">
        <f>+VLOOKUP(C1923,'[1]TIENDAS 2025'!$A$1:$C$143,3,0)</f>
        <v>departamental</v>
      </c>
      <c r="O1923">
        <v>1</v>
      </c>
    </row>
    <row r="1924" spans="1:15" ht="15" customHeight="1" x14ac:dyDescent="0.3">
      <c r="A1924" s="7">
        <v>1209671661</v>
      </c>
      <c r="B1924" s="4" t="s">
        <v>217</v>
      </c>
      <c r="C1924" s="4" t="s">
        <v>218</v>
      </c>
      <c r="D1924" s="6">
        <v>46309.479074074101</v>
      </c>
      <c r="E1924" s="6">
        <v>46309.229050925896</v>
      </c>
      <c r="F1924" s="6">
        <v>46309</v>
      </c>
      <c r="G1924" s="5" t="s">
        <v>12</v>
      </c>
      <c r="H1924" s="5" t="s">
        <v>16</v>
      </c>
      <c r="I1924" s="5">
        <v>7</v>
      </c>
      <c r="J1924" s="9" t="s">
        <v>17</v>
      </c>
      <c r="K1924" s="1" t="s">
        <v>2216</v>
      </c>
      <c r="L1924" t="s">
        <v>3284</v>
      </c>
      <c r="M1924" t="str">
        <f>+VLOOKUP(C1924,'[1]TIENDAS 2025'!$A$1:$C$143,3,0)</f>
        <v>nocturna</v>
      </c>
      <c r="O1924">
        <v>1</v>
      </c>
    </row>
    <row r="1925" spans="1:15" ht="15" customHeight="1" x14ac:dyDescent="0.3">
      <c r="A1925" s="7">
        <v>1209671647</v>
      </c>
      <c r="B1925" s="4" t="s">
        <v>217</v>
      </c>
      <c r="C1925" s="4" t="s">
        <v>218</v>
      </c>
      <c r="D1925" s="6">
        <v>46309.479085648098</v>
      </c>
      <c r="E1925" s="6">
        <v>46309.229062500002</v>
      </c>
      <c r="F1925" s="6">
        <v>46309</v>
      </c>
      <c r="G1925" s="5" t="s">
        <v>12</v>
      </c>
      <c r="H1925" s="5" t="s">
        <v>16</v>
      </c>
      <c r="I1925" s="5">
        <v>2</v>
      </c>
      <c r="J1925" s="9" t="s">
        <v>17</v>
      </c>
      <c r="K1925" s="1" t="s">
        <v>2217</v>
      </c>
      <c r="L1925" t="s">
        <v>3284</v>
      </c>
      <c r="M1925" t="str">
        <f>+VLOOKUP(C1925,'[1]TIENDAS 2025'!$A$1:$C$143,3,0)</f>
        <v>nocturna</v>
      </c>
      <c r="O1925">
        <v>1</v>
      </c>
    </row>
    <row r="1926" spans="1:15" ht="15" customHeight="1" x14ac:dyDescent="0.3">
      <c r="A1926" s="7">
        <v>1209671648</v>
      </c>
      <c r="B1926" s="4" t="s">
        <v>217</v>
      </c>
      <c r="C1926" s="4" t="s">
        <v>218</v>
      </c>
      <c r="D1926" s="6">
        <v>46309.479097222204</v>
      </c>
      <c r="E1926" s="6">
        <v>46309.229074074101</v>
      </c>
      <c r="F1926" s="6">
        <v>46309</v>
      </c>
      <c r="G1926" s="5" t="s">
        <v>12</v>
      </c>
      <c r="H1926" s="5" t="s">
        <v>29</v>
      </c>
      <c r="I1926" s="5">
        <v>9</v>
      </c>
      <c r="J1926" s="9" t="s">
        <v>17</v>
      </c>
      <c r="K1926" s="1" t="s">
        <v>2218</v>
      </c>
      <c r="L1926" t="s">
        <v>3284</v>
      </c>
      <c r="M1926" t="str">
        <f>+VLOOKUP(C1926,'[1]TIENDAS 2025'!$A$1:$C$143,3,0)</f>
        <v>nocturna</v>
      </c>
      <c r="O1926">
        <v>1</v>
      </c>
    </row>
    <row r="1927" spans="1:15" ht="15" customHeight="1" x14ac:dyDescent="0.3">
      <c r="A1927" s="7">
        <v>1209671701</v>
      </c>
      <c r="B1927" s="4" t="s">
        <v>406</v>
      </c>
      <c r="C1927" s="4" t="s">
        <v>407</v>
      </c>
      <c r="D1927" s="6">
        <v>46309.479120370401</v>
      </c>
      <c r="E1927" s="6">
        <v>46309.229085648098</v>
      </c>
      <c r="F1927" s="6">
        <v>46309</v>
      </c>
      <c r="G1927" s="5" t="s">
        <v>12</v>
      </c>
      <c r="H1927" s="5" t="s">
        <v>29</v>
      </c>
      <c r="I1927" s="5">
        <v>35</v>
      </c>
      <c r="J1927" s="9" t="s">
        <v>17</v>
      </c>
      <c r="K1927" s="1" t="s">
        <v>2219</v>
      </c>
      <c r="L1927" t="s">
        <v>3284</v>
      </c>
      <c r="M1927" t="str">
        <f>+VLOOKUP(C1927,'[1]TIENDAS 2025'!$A$1:$C$143,3,0)</f>
        <v>nocturna</v>
      </c>
      <c r="O1927">
        <v>1</v>
      </c>
    </row>
    <row r="1928" spans="1:15" ht="15" customHeight="1" x14ac:dyDescent="0.3">
      <c r="A1928" s="7">
        <v>8209671684</v>
      </c>
      <c r="B1928" s="4" t="s">
        <v>406</v>
      </c>
      <c r="C1928" s="4" t="s">
        <v>407</v>
      </c>
      <c r="D1928" s="6">
        <v>46309.479131944398</v>
      </c>
      <c r="E1928" s="6">
        <v>46309.229108796302</v>
      </c>
      <c r="F1928" s="6">
        <v>46309</v>
      </c>
      <c r="G1928" s="5" t="s">
        <v>12</v>
      </c>
      <c r="H1928" s="5" t="s">
        <v>27</v>
      </c>
      <c r="I1928" s="5">
        <v>12</v>
      </c>
      <c r="J1928" s="10" t="s">
        <v>17</v>
      </c>
      <c r="K1928" s="1" t="s">
        <v>2220</v>
      </c>
      <c r="M1928" t="str">
        <f>+VLOOKUP(C1928,'[1]TIENDAS 2025'!$A$1:$C$143,3,0)</f>
        <v>nocturna</v>
      </c>
      <c r="O1928">
        <v>1</v>
      </c>
    </row>
    <row r="1929" spans="1:15" ht="15" customHeight="1" x14ac:dyDescent="0.3">
      <c r="A1929" s="7">
        <v>1209671753</v>
      </c>
      <c r="B1929" s="4" t="s">
        <v>358</v>
      </c>
      <c r="C1929" s="4" t="s">
        <v>359</v>
      </c>
      <c r="D1929" s="6">
        <v>46309.479155092602</v>
      </c>
      <c r="E1929" s="6">
        <v>46309.229120370401</v>
      </c>
      <c r="F1929" s="6">
        <v>46309</v>
      </c>
      <c r="G1929" s="5" t="s">
        <v>12</v>
      </c>
      <c r="H1929" s="5" t="s">
        <v>16</v>
      </c>
      <c r="I1929" s="5">
        <v>55</v>
      </c>
      <c r="J1929" s="9" t="s">
        <v>17</v>
      </c>
      <c r="K1929" s="1" t="s">
        <v>2221</v>
      </c>
      <c r="L1929" t="s">
        <v>3284</v>
      </c>
      <c r="M1929" t="str">
        <f>+VLOOKUP(C1929,'[1]TIENDAS 2025'!$A$1:$C$143,3,0)</f>
        <v>prioridad</v>
      </c>
      <c r="O1929">
        <v>1</v>
      </c>
    </row>
    <row r="1930" spans="1:15" ht="15" customHeight="1" x14ac:dyDescent="0.3">
      <c r="A1930" s="7">
        <v>8209671741</v>
      </c>
      <c r="B1930" s="4" t="s">
        <v>358</v>
      </c>
      <c r="C1930" s="4" t="s">
        <v>359</v>
      </c>
      <c r="D1930" s="6">
        <v>46309.479166666701</v>
      </c>
      <c r="E1930" s="6">
        <v>46309.229143518503</v>
      </c>
      <c r="F1930" s="6">
        <v>46309</v>
      </c>
      <c r="G1930" s="5" t="s">
        <v>12</v>
      </c>
      <c r="H1930" s="5" t="s">
        <v>27</v>
      </c>
      <c r="I1930" s="5">
        <v>7</v>
      </c>
      <c r="J1930" s="10" t="s">
        <v>17</v>
      </c>
      <c r="K1930" s="1" t="s">
        <v>2222</v>
      </c>
      <c r="M1930" t="str">
        <f>+VLOOKUP(C1930,'[1]TIENDAS 2025'!$A$1:$C$143,3,0)</f>
        <v>prioridad</v>
      </c>
      <c r="O1930">
        <v>1</v>
      </c>
    </row>
    <row r="1931" spans="1:15" ht="15" customHeight="1" x14ac:dyDescent="0.3">
      <c r="A1931" s="7">
        <v>8209671743</v>
      </c>
      <c r="B1931" s="4" t="s">
        <v>358</v>
      </c>
      <c r="C1931" s="4" t="s">
        <v>359</v>
      </c>
      <c r="D1931" s="6">
        <v>46309.479189814803</v>
      </c>
      <c r="E1931" s="6">
        <v>46309.229155092602</v>
      </c>
      <c r="F1931" s="6">
        <v>46309</v>
      </c>
      <c r="G1931" s="5" t="s">
        <v>12</v>
      </c>
      <c r="H1931" s="5" t="s">
        <v>27</v>
      </c>
      <c r="I1931" s="5">
        <v>7</v>
      </c>
      <c r="J1931" s="10" t="s">
        <v>17</v>
      </c>
      <c r="K1931" s="1" t="s">
        <v>2223</v>
      </c>
      <c r="M1931" t="str">
        <f>+VLOOKUP(C1931,'[1]TIENDAS 2025'!$A$1:$C$143,3,0)</f>
        <v>prioridad</v>
      </c>
      <c r="O1931">
        <v>1</v>
      </c>
    </row>
    <row r="1932" spans="1:15" ht="15" customHeight="1" x14ac:dyDescent="0.3">
      <c r="A1932" s="7">
        <v>1209671690</v>
      </c>
      <c r="B1932" s="4" t="s">
        <v>406</v>
      </c>
      <c r="C1932" s="4" t="s">
        <v>407</v>
      </c>
      <c r="D1932" s="6">
        <v>46309.479201388902</v>
      </c>
      <c r="E1932" s="6">
        <v>46309.229166666701</v>
      </c>
      <c r="F1932" s="6">
        <v>46309</v>
      </c>
      <c r="G1932" s="5" t="s">
        <v>12</v>
      </c>
      <c r="H1932" s="5" t="s">
        <v>29</v>
      </c>
      <c r="I1932" s="5">
        <v>7</v>
      </c>
      <c r="J1932" s="9" t="s">
        <v>17</v>
      </c>
      <c r="K1932" s="1" t="s">
        <v>2224</v>
      </c>
      <c r="L1932" t="s">
        <v>3284</v>
      </c>
      <c r="M1932" t="str">
        <f>+VLOOKUP(C1932,'[1]TIENDAS 2025'!$A$1:$C$143,3,0)</f>
        <v>nocturna</v>
      </c>
      <c r="O1932">
        <v>1</v>
      </c>
    </row>
    <row r="1933" spans="1:15" ht="15" customHeight="1" x14ac:dyDescent="0.3">
      <c r="A1933" s="7">
        <v>1209671692</v>
      </c>
      <c r="B1933" s="4" t="s">
        <v>406</v>
      </c>
      <c r="C1933" s="4" t="s">
        <v>407</v>
      </c>
      <c r="D1933" s="6">
        <v>46309.479224536997</v>
      </c>
      <c r="E1933" s="6">
        <v>46309.229189814803</v>
      </c>
      <c r="F1933" s="6">
        <v>46309</v>
      </c>
      <c r="G1933" s="5" t="s">
        <v>12</v>
      </c>
      <c r="H1933" s="5" t="s">
        <v>16</v>
      </c>
      <c r="I1933" s="5">
        <v>13</v>
      </c>
      <c r="J1933" s="9" t="s">
        <v>17</v>
      </c>
      <c r="K1933" s="1" t="s">
        <v>2225</v>
      </c>
      <c r="L1933" t="s">
        <v>3284</v>
      </c>
      <c r="M1933" t="str">
        <f>+VLOOKUP(C1933,'[1]TIENDAS 2025'!$A$1:$C$143,3,0)</f>
        <v>nocturna</v>
      </c>
      <c r="O1933">
        <v>1</v>
      </c>
    </row>
    <row r="1934" spans="1:15" ht="15" customHeight="1" x14ac:dyDescent="0.3">
      <c r="A1934" s="7">
        <v>1209671747</v>
      </c>
      <c r="B1934" s="4" t="s">
        <v>358</v>
      </c>
      <c r="C1934" s="4" t="s">
        <v>359</v>
      </c>
      <c r="D1934" s="6">
        <v>46309.479224536997</v>
      </c>
      <c r="E1934" s="6">
        <v>46309.229201388902</v>
      </c>
      <c r="F1934" s="6">
        <v>46309</v>
      </c>
      <c r="G1934" s="5" t="s">
        <v>12</v>
      </c>
      <c r="H1934" s="5" t="s">
        <v>16</v>
      </c>
      <c r="I1934" s="5">
        <v>22</v>
      </c>
      <c r="J1934" s="9" t="s">
        <v>17</v>
      </c>
      <c r="K1934" s="1" t="s">
        <v>2226</v>
      </c>
      <c r="L1934" t="s">
        <v>3284</v>
      </c>
      <c r="M1934" t="str">
        <f>+VLOOKUP(C1934,'[1]TIENDAS 2025'!$A$1:$C$143,3,0)</f>
        <v>prioridad</v>
      </c>
      <c r="O1934">
        <v>1</v>
      </c>
    </row>
    <row r="1935" spans="1:15" ht="15" customHeight="1" x14ac:dyDescent="0.3">
      <c r="A1935" s="7">
        <v>1209671751</v>
      </c>
      <c r="B1935" s="4" t="s">
        <v>358</v>
      </c>
      <c r="C1935" s="4" t="s">
        <v>359</v>
      </c>
      <c r="D1935" s="6">
        <v>46309.479247685202</v>
      </c>
      <c r="E1935" s="6">
        <v>46309.229212963</v>
      </c>
      <c r="F1935" s="6">
        <v>46309</v>
      </c>
      <c r="G1935" s="5" t="s">
        <v>12</v>
      </c>
      <c r="H1935" s="5" t="s">
        <v>16</v>
      </c>
      <c r="I1935" s="5">
        <v>49</v>
      </c>
      <c r="J1935" s="9" t="s">
        <v>17</v>
      </c>
      <c r="K1935" s="1" t="s">
        <v>2227</v>
      </c>
      <c r="L1935" t="s">
        <v>3284</v>
      </c>
      <c r="M1935" t="str">
        <f>+VLOOKUP(C1935,'[1]TIENDAS 2025'!$A$1:$C$143,3,0)</f>
        <v>prioridad</v>
      </c>
      <c r="O1935">
        <v>1</v>
      </c>
    </row>
    <row r="1936" spans="1:15" ht="15" customHeight="1" x14ac:dyDescent="0.3">
      <c r="A1936" s="7">
        <v>8209671703</v>
      </c>
      <c r="B1936" s="4" t="s">
        <v>478</v>
      </c>
      <c r="C1936" s="4" t="s">
        <v>479</v>
      </c>
      <c r="D1936" s="6">
        <v>46309.4792592593</v>
      </c>
      <c r="E1936" s="6">
        <v>46309.229224536997</v>
      </c>
      <c r="F1936" s="6">
        <v>46309</v>
      </c>
      <c r="G1936" s="5" t="s">
        <v>12</v>
      </c>
      <c r="H1936" s="5" t="s">
        <v>27</v>
      </c>
      <c r="I1936" s="5">
        <v>2</v>
      </c>
      <c r="J1936" s="10" t="s">
        <v>17</v>
      </c>
      <c r="K1936" s="1" t="s">
        <v>2228</v>
      </c>
      <c r="M1936" t="str">
        <f>+VLOOKUP(C1936,'[1]TIENDAS 2025'!$A$1:$C$143,3,0)</f>
        <v>departamental</v>
      </c>
      <c r="O1936">
        <v>1</v>
      </c>
    </row>
    <row r="1937" spans="1:15" ht="15" customHeight="1" x14ac:dyDescent="0.3">
      <c r="A1937" s="7">
        <v>8209671704</v>
      </c>
      <c r="B1937" s="4" t="s">
        <v>478</v>
      </c>
      <c r="C1937" s="4" t="s">
        <v>479</v>
      </c>
      <c r="D1937" s="6">
        <v>46309.479282407403</v>
      </c>
      <c r="E1937" s="6">
        <v>46309.229247685202</v>
      </c>
      <c r="F1937" s="6">
        <v>46309</v>
      </c>
      <c r="G1937" s="5" t="s">
        <v>12</v>
      </c>
      <c r="H1937" s="5" t="s">
        <v>27</v>
      </c>
      <c r="I1937" s="5">
        <v>5</v>
      </c>
      <c r="J1937" s="10" t="s">
        <v>17</v>
      </c>
      <c r="K1937" s="1" t="s">
        <v>2229</v>
      </c>
      <c r="M1937" t="str">
        <f>+VLOOKUP(C1937,'[1]TIENDAS 2025'!$A$1:$C$143,3,0)</f>
        <v>departamental</v>
      </c>
      <c r="O1937">
        <v>1</v>
      </c>
    </row>
    <row r="1938" spans="1:15" ht="15" customHeight="1" x14ac:dyDescent="0.3">
      <c r="A1938" s="7">
        <v>8209671705</v>
      </c>
      <c r="B1938" s="4" t="s">
        <v>478</v>
      </c>
      <c r="C1938" s="4" t="s">
        <v>479</v>
      </c>
      <c r="D1938" s="6">
        <v>46309.479282407403</v>
      </c>
      <c r="E1938" s="6">
        <v>46309.2292592593</v>
      </c>
      <c r="F1938" s="6">
        <v>46309</v>
      </c>
      <c r="G1938" s="5" t="s">
        <v>12</v>
      </c>
      <c r="H1938" s="5" t="s">
        <v>27</v>
      </c>
      <c r="I1938" s="5">
        <v>3</v>
      </c>
      <c r="J1938" s="10" t="s">
        <v>17</v>
      </c>
      <c r="K1938" s="1" t="s">
        <v>2230</v>
      </c>
      <c r="M1938" t="str">
        <f>+VLOOKUP(C1938,'[1]TIENDAS 2025'!$A$1:$C$143,3,0)</f>
        <v>departamental</v>
      </c>
      <c r="O1938">
        <v>1</v>
      </c>
    </row>
    <row r="1939" spans="1:15" ht="15" customHeight="1" x14ac:dyDescent="0.3">
      <c r="A1939" s="7">
        <v>8209671707</v>
      </c>
      <c r="B1939" s="4" t="s">
        <v>478</v>
      </c>
      <c r="C1939" s="4" t="s">
        <v>479</v>
      </c>
      <c r="D1939" s="6">
        <v>46309.4793055556</v>
      </c>
      <c r="E1939" s="6">
        <v>46309.229270833297</v>
      </c>
      <c r="F1939" s="6">
        <v>46309</v>
      </c>
      <c r="G1939" s="5" t="s">
        <v>12</v>
      </c>
      <c r="H1939" s="5" t="s">
        <v>27</v>
      </c>
      <c r="I1939" s="5">
        <v>14</v>
      </c>
      <c r="J1939" s="10" t="s">
        <v>17</v>
      </c>
      <c r="K1939" s="1" t="s">
        <v>2231</v>
      </c>
      <c r="M1939" t="str">
        <f>+VLOOKUP(C1939,'[1]TIENDAS 2025'!$A$1:$C$143,3,0)</f>
        <v>departamental</v>
      </c>
      <c r="O1939">
        <v>1</v>
      </c>
    </row>
    <row r="1940" spans="1:15" ht="15" customHeight="1" x14ac:dyDescent="0.3">
      <c r="A1940" s="7">
        <v>1209671755</v>
      </c>
      <c r="B1940" s="4" t="s">
        <v>358</v>
      </c>
      <c r="C1940" s="4" t="s">
        <v>359</v>
      </c>
      <c r="D1940" s="6">
        <v>46309.479317129597</v>
      </c>
      <c r="E1940" s="6">
        <v>46309.229293981502</v>
      </c>
      <c r="F1940" s="6">
        <v>46309</v>
      </c>
      <c r="G1940" s="5" t="s">
        <v>12</v>
      </c>
      <c r="H1940" s="5" t="s">
        <v>29</v>
      </c>
      <c r="I1940" s="5">
        <v>68</v>
      </c>
      <c r="J1940" s="9" t="s">
        <v>17</v>
      </c>
      <c r="K1940" s="1" t="s">
        <v>2232</v>
      </c>
      <c r="L1940" t="s">
        <v>3284</v>
      </c>
      <c r="M1940" t="str">
        <f>+VLOOKUP(C1940,'[1]TIENDAS 2025'!$A$1:$C$143,3,0)</f>
        <v>prioridad</v>
      </c>
      <c r="O1940">
        <v>1</v>
      </c>
    </row>
    <row r="1941" spans="1:15" ht="15" customHeight="1" x14ac:dyDescent="0.3">
      <c r="A1941" s="7">
        <v>1209671686</v>
      </c>
      <c r="B1941" s="4" t="s">
        <v>406</v>
      </c>
      <c r="C1941" s="4" t="s">
        <v>407</v>
      </c>
      <c r="D1941" s="6">
        <v>46309.479340277801</v>
      </c>
      <c r="E1941" s="6">
        <v>46309.2293055556</v>
      </c>
      <c r="F1941" s="6">
        <v>46309</v>
      </c>
      <c r="G1941" s="5" t="s">
        <v>12</v>
      </c>
      <c r="H1941" s="5" t="s">
        <v>16</v>
      </c>
      <c r="I1941" s="5">
        <v>4</v>
      </c>
      <c r="J1941" s="9" t="s">
        <v>17</v>
      </c>
      <c r="K1941" s="1" t="s">
        <v>2233</v>
      </c>
      <c r="L1941" t="s">
        <v>3284</v>
      </c>
      <c r="M1941" t="str">
        <f>+VLOOKUP(C1941,'[1]TIENDAS 2025'!$A$1:$C$143,3,0)</f>
        <v>nocturna</v>
      </c>
      <c r="O1941">
        <v>1</v>
      </c>
    </row>
    <row r="1942" spans="1:15" ht="15" customHeight="1" x14ac:dyDescent="0.3">
      <c r="A1942" s="7">
        <v>8209671742</v>
      </c>
      <c r="B1942" s="4" t="s">
        <v>358</v>
      </c>
      <c r="C1942" s="4" t="s">
        <v>359</v>
      </c>
      <c r="D1942" s="6">
        <v>46309.479351851798</v>
      </c>
      <c r="E1942" s="6">
        <v>46309.229317129597</v>
      </c>
      <c r="F1942" s="6">
        <v>46309</v>
      </c>
      <c r="G1942" s="5" t="s">
        <v>12</v>
      </c>
      <c r="H1942" s="5" t="s">
        <v>27</v>
      </c>
      <c r="I1942" s="5">
        <v>2</v>
      </c>
      <c r="J1942" s="10" t="s">
        <v>17</v>
      </c>
      <c r="K1942" s="1" t="s">
        <v>2234</v>
      </c>
      <c r="M1942" t="str">
        <f>+VLOOKUP(C1942,'[1]TIENDAS 2025'!$A$1:$C$143,3,0)</f>
        <v>prioridad</v>
      </c>
      <c r="O1942">
        <v>1</v>
      </c>
    </row>
    <row r="1943" spans="1:15" ht="15" customHeight="1" x14ac:dyDescent="0.3">
      <c r="A1943" s="7">
        <v>1209671746</v>
      </c>
      <c r="B1943" s="4" t="s">
        <v>358</v>
      </c>
      <c r="C1943" s="4" t="s">
        <v>359</v>
      </c>
      <c r="D1943" s="6">
        <v>46309.479363425897</v>
      </c>
      <c r="E1943" s="6">
        <v>46309.229328703703</v>
      </c>
      <c r="F1943" s="6">
        <v>46309</v>
      </c>
      <c r="G1943" s="5" t="s">
        <v>12</v>
      </c>
      <c r="H1943" s="5" t="s">
        <v>16</v>
      </c>
      <c r="I1943" s="5">
        <v>13</v>
      </c>
      <c r="J1943" s="9" t="s">
        <v>17</v>
      </c>
      <c r="K1943" s="1" t="s">
        <v>2235</v>
      </c>
      <c r="L1943" t="s">
        <v>3284</v>
      </c>
      <c r="M1943" t="str">
        <f>+VLOOKUP(C1943,'[1]TIENDAS 2025'!$A$1:$C$143,3,0)</f>
        <v>prioridad</v>
      </c>
      <c r="O1943">
        <v>1</v>
      </c>
    </row>
    <row r="1944" spans="1:15" ht="15" customHeight="1" x14ac:dyDescent="0.3">
      <c r="A1944" s="7">
        <v>1209671700</v>
      </c>
      <c r="B1944" s="4" t="s">
        <v>406</v>
      </c>
      <c r="C1944" s="4" t="s">
        <v>407</v>
      </c>
      <c r="D1944" s="6">
        <v>46309.479375000003</v>
      </c>
      <c r="E1944" s="6">
        <v>46309.229351851798</v>
      </c>
      <c r="F1944" s="6">
        <v>46309</v>
      </c>
      <c r="G1944" s="5" t="s">
        <v>12</v>
      </c>
      <c r="H1944" s="5" t="s">
        <v>16</v>
      </c>
      <c r="I1944" s="5">
        <v>12</v>
      </c>
      <c r="J1944" s="9" t="s">
        <v>17</v>
      </c>
      <c r="K1944" s="1" t="s">
        <v>2236</v>
      </c>
      <c r="L1944" t="s">
        <v>3284</v>
      </c>
      <c r="M1944" t="str">
        <f>+VLOOKUP(C1944,'[1]TIENDAS 2025'!$A$1:$C$143,3,0)</f>
        <v>nocturna</v>
      </c>
      <c r="O1944">
        <v>1</v>
      </c>
    </row>
    <row r="1945" spans="1:15" ht="15" customHeight="1" x14ac:dyDescent="0.3">
      <c r="A1945" s="7">
        <v>1209671762</v>
      </c>
      <c r="B1945" s="4" t="s">
        <v>358</v>
      </c>
      <c r="C1945" s="4" t="s">
        <v>359</v>
      </c>
      <c r="D1945" s="6">
        <v>46309.479398148098</v>
      </c>
      <c r="E1945" s="6">
        <v>46309.229363425897</v>
      </c>
      <c r="F1945" s="6">
        <v>46309</v>
      </c>
      <c r="G1945" s="5" t="s">
        <v>12</v>
      </c>
      <c r="H1945" s="5" t="s">
        <v>27</v>
      </c>
      <c r="I1945" s="5">
        <v>27</v>
      </c>
      <c r="J1945" s="9" t="s">
        <v>17</v>
      </c>
      <c r="K1945" s="1" t="s">
        <v>2237</v>
      </c>
      <c r="L1945" t="s">
        <v>3284</v>
      </c>
      <c r="M1945" t="str">
        <f>+VLOOKUP(C1945,'[1]TIENDAS 2025'!$A$1:$C$143,3,0)</f>
        <v>prioridad</v>
      </c>
      <c r="O1945">
        <v>1</v>
      </c>
    </row>
    <row r="1946" spans="1:15" ht="15" customHeight="1" x14ac:dyDescent="0.3">
      <c r="A1946" s="7">
        <v>1209671665</v>
      </c>
      <c r="B1946" s="4" t="s">
        <v>217</v>
      </c>
      <c r="C1946" s="4" t="s">
        <v>218</v>
      </c>
      <c r="D1946" s="6">
        <v>46309.479421296302</v>
      </c>
      <c r="E1946" s="6">
        <v>46309.229398148098</v>
      </c>
      <c r="F1946" s="6">
        <v>46309</v>
      </c>
      <c r="G1946" s="5" t="s">
        <v>12</v>
      </c>
      <c r="H1946" s="5" t="s">
        <v>16</v>
      </c>
      <c r="I1946" s="5">
        <v>2</v>
      </c>
      <c r="J1946" s="9" t="s">
        <v>17</v>
      </c>
      <c r="K1946" s="1" t="s">
        <v>2238</v>
      </c>
      <c r="L1946" t="s">
        <v>3284</v>
      </c>
      <c r="M1946" t="str">
        <f>+VLOOKUP(C1946,'[1]TIENDAS 2025'!$A$1:$C$143,3,0)</f>
        <v>nocturna</v>
      </c>
      <c r="O1946">
        <v>1</v>
      </c>
    </row>
    <row r="1947" spans="1:15" ht="15" customHeight="1" x14ac:dyDescent="0.3">
      <c r="A1947" s="7">
        <v>1209671745</v>
      </c>
      <c r="B1947" s="4" t="s">
        <v>358</v>
      </c>
      <c r="C1947" s="4" t="s">
        <v>359</v>
      </c>
      <c r="D1947" s="6">
        <v>46309.479421296302</v>
      </c>
      <c r="E1947" s="6">
        <v>46309.229386574101</v>
      </c>
      <c r="F1947" s="6">
        <v>46309</v>
      </c>
      <c r="G1947" s="5" t="s">
        <v>12</v>
      </c>
      <c r="H1947" s="5" t="s">
        <v>16</v>
      </c>
      <c r="I1947" s="5">
        <v>1</v>
      </c>
      <c r="J1947" s="9" t="s">
        <v>17</v>
      </c>
      <c r="K1947" s="1" t="s">
        <v>2239</v>
      </c>
      <c r="L1947" t="s">
        <v>3284</v>
      </c>
      <c r="M1947" t="str">
        <f>+VLOOKUP(C1947,'[1]TIENDAS 2025'!$A$1:$C$143,3,0)</f>
        <v>prioridad</v>
      </c>
      <c r="O1947">
        <v>1</v>
      </c>
    </row>
    <row r="1948" spans="1:15" ht="15" customHeight="1" x14ac:dyDescent="0.3">
      <c r="A1948" s="7">
        <v>1209671650</v>
      </c>
      <c r="B1948" s="4" t="s">
        <v>217</v>
      </c>
      <c r="C1948" s="4" t="s">
        <v>218</v>
      </c>
      <c r="D1948" s="6">
        <v>46309.479444444398</v>
      </c>
      <c r="E1948" s="6">
        <v>46309.229409722197</v>
      </c>
      <c r="F1948" s="6">
        <v>46309</v>
      </c>
      <c r="G1948" s="5" t="s">
        <v>12</v>
      </c>
      <c r="H1948" s="5" t="s">
        <v>16</v>
      </c>
      <c r="I1948" s="5">
        <v>20</v>
      </c>
      <c r="J1948" s="9" t="s">
        <v>17</v>
      </c>
      <c r="K1948" s="1" t="s">
        <v>2240</v>
      </c>
      <c r="L1948" t="s">
        <v>3284</v>
      </c>
      <c r="M1948" t="str">
        <f>+VLOOKUP(C1948,'[1]TIENDAS 2025'!$A$1:$C$143,3,0)</f>
        <v>nocturna</v>
      </c>
      <c r="O1948">
        <v>1</v>
      </c>
    </row>
    <row r="1949" spans="1:15" ht="15" customHeight="1" x14ac:dyDescent="0.3">
      <c r="A1949" s="7">
        <v>8209671681</v>
      </c>
      <c r="B1949" s="4" t="s">
        <v>406</v>
      </c>
      <c r="C1949" s="4" t="s">
        <v>407</v>
      </c>
      <c r="D1949" s="6">
        <v>46309.479456018496</v>
      </c>
      <c r="E1949" s="6">
        <v>46309.229432870401</v>
      </c>
      <c r="F1949" s="6">
        <v>46309</v>
      </c>
      <c r="G1949" s="5" t="s">
        <v>12</v>
      </c>
      <c r="H1949" s="5" t="s">
        <v>27</v>
      </c>
      <c r="I1949" s="5">
        <v>4</v>
      </c>
      <c r="J1949" s="10" t="s">
        <v>17</v>
      </c>
      <c r="K1949" s="1" t="s">
        <v>2241</v>
      </c>
      <c r="M1949" t="str">
        <f>+VLOOKUP(C1949,'[1]TIENDAS 2025'!$A$1:$C$143,3,0)</f>
        <v>nocturna</v>
      </c>
      <c r="O1949">
        <v>1</v>
      </c>
    </row>
    <row r="1950" spans="1:15" ht="15" customHeight="1" x14ac:dyDescent="0.3">
      <c r="A1950" s="7">
        <v>8209671683</v>
      </c>
      <c r="B1950" s="4" t="s">
        <v>406</v>
      </c>
      <c r="C1950" s="4" t="s">
        <v>407</v>
      </c>
      <c r="D1950" s="6">
        <v>46309.479479166701</v>
      </c>
      <c r="E1950" s="6">
        <v>46309.229444444398</v>
      </c>
      <c r="F1950" s="6">
        <v>46309</v>
      </c>
      <c r="G1950" s="5" t="s">
        <v>12</v>
      </c>
      <c r="H1950" s="5" t="s">
        <v>27</v>
      </c>
      <c r="I1950" s="5">
        <v>9</v>
      </c>
      <c r="J1950" s="10" t="s">
        <v>17</v>
      </c>
      <c r="K1950" s="1" t="s">
        <v>2242</v>
      </c>
      <c r="M1950" t="str">
        <f>+VLOOKUP(C1950,'[1]TIENDAS 2025'!$A$1:$C$143,3,0)</f>
        <v>nocturna</v>
      </c>
      <c r="O1950">
        <v>1</v>
      </c>
    </row>
    <row r="1951" spans="1:15" ht="15" customHeight="1" x14ac:dyDescent="0.3">
      <c r="A1951" s="7">
        <v>8209671706</v>
      </c>
      <c r="B1951" s="4" t="s">
        <v>478</v>
      </c>
      <c r="C1951" s="4" t="s">
        <v>479</v>
      </c>
      <c r="D1951" s="6">
        <v>46309.479490740698</v>
      </c>
      <c r="E1951" s="6">
        <v>46309.229456018496</v>
      </c>
      <c r="F1951" s="6">
        <v>46309</v>
      </c>
      <c r="G1951" s="5" t="s">
        <v>12</v>
      </c>
      <c r="H1951" s="5" t="s">
        <v>27</v>
      </c>
      <c r="I1951" s="5">
        <v>4</v>
      </c>
      <c r="J1951" s="10" t="s">
        <v>17</v>
      </c>
      <c r="K1951" s="1" t="s">
        <v>2243</v>
      </c>
      <c r="M1951" t="str">
        <f>+VLOOKUP(C1951,'[1]TIENDAS 2025'!$A$1:$C$143,3,0)</f>
        <v>departamental</v>
      </c>
      <c r="O1951">
        <v>1</v>
      </c>
    </row>
    <row r="1952" spans="1:15" ht="15" customHeight="1" x14ac:dyDescent="0.3">
      <c r="A1952" s="7">
        <v>8209671756</v>
      </c>
      <c r="B1952" s="4" t="s">
        <v>358</v>
      </c>
      <c r="C1952" s="4" t="s">
        <v>359</v>
      </c>
      <c r="D1952" s="6">
        <v>46309.479502314804</v>
      </c>
      <c r="E1952" s="6">
        <v>46309.229467592602</v>
      </c>
      <c r="F1952" s="6">
        <v>46309</v>
      </c>
      <c r="G1952" s="5" t="s">
        <v>12</v>
      </c>
      <c r="H1952" s="5" t="s">
        <v>27</v>
      </c>
      <c r="I1952" s="5">
        <v>1</v>
      </c>
      <c r="J1952" s="10" t="s">
        <v>17</v>
      </c>
      <c r="K1952" s="1" t="s">
        <v>2244</v>
      </c>
      <c r="M1952" t="str">
        <f>+VLOOKUP(C1952,'[1]TIENDAS 2025'!$A$1:$C$143,3,0)</f>
        <v>prioridad</v>
      </c>
      <c r="O1952">
        <v>1</v>
      </c>
    </row>
    <row r="1953" spans="1:15" ht="15" customHeight="1" x14ac:dyDescent="0.3">
      <c r="A1953" s="7">
        <v>1209671711</v>
      </c>
      <c r="B1953" s="4" t="s">
        <v>478</v>
      </c>
      <c r="C1953" s="4" t="s">
        <v>479</v>
      </c>
      <c r="D1953" s="6">
        <v>46309.479513888902</v>
      </c>
      <c r="E1953" s="6">
        <v>46309.229479166701</v>
      </c>
      <c r="F1953" s="6">
        <v>46309</v>
      </c>
      <c r="G1953" s="5" t="s">
        <v>12</v>
      </c>
      <c r="H1953" s="5" t="s">
        <v>16</v>
      </c>
      <c r="I1953" s="5">
        <v>14</v>
      </c>
      <c r="J1953" s="9" t="s">
        <v>17</v>
      </c>
      <c r="K1953" s="1" t="s">
        <v>2245</v>
      </c>
      <c r="L1953" t="s">
        <v>3284</v>
      </c>
      <c r="M1953" t="str">
        <f>+VLOOKUP(C1953,'[1]TIENDAS 2025'!$A$1:$C$143,3,0)</f>
        <v>departamental</v>
      </c>
      <c r="O1953">
        <v>1</v>
      </c>
    </row>
    <row r="1954" spans="1:15" ht="15" customHeight="1" x14ac:dyDescent="0.3">
      <c r="A1954" s="7">
        <v>1209671698</v>
      </c>
      <c r="B1954" s="4" t="s">
        <v>406</v>
      </c>
      <c r="C1954" s="4" t="s">
        <v>407</v>
      </c>
      <c r="D1954" s="6">
        <v>46309.479537036997</v>
      </c>
      <c r="E1954" s="6">
        <v>46309.229513888902</v>
      </c>
      <c r="F1954" s="6">
        <v>46309</v>
      </c>
      <c r="G1954" s="5" t="s">
        <v>12</v>
      </c>
      <c r="H1954" s="5" t="s">
        <v>16</v>
      </c>
      <c r="I1954" s="5">
        <v>1</v>
      </c>
      <c r="J1954" s="9" t="s">
        <v>17</v>
      </c>
      <c r="K1954" s="1" t="s">
        <v>2246</v>
      </c>
      <c r="L1954" t="s">
        <v>3284</v>
      </c>
      <c r="M1954" t="str">
        <f>+VLOOKUP(C1954,'[1]TIENDAS 2025'!$A$1:$C$143,3,0)</f>
        <v>nocturna</v>
      </c>
      <c r="O1954">
        <v>1</v>
      </c>
    </row>
    <row r="1955" spans="1:15" ht="15" customHeight="1" x14ac:dyDescent="0.3">
      <c r="A1955" s="7">
        <v>8209671645</v>
      </c>
      <c r="B1955" s="4" t="s">
        <v>217</v>
      </c>
      <c r="C1955" s="4" t="s">
        <v>218</v>
      </c>
      <c r="D1955" s="6">
        <v>46309.479537036997</v>
      </c>
      <c r="E1955" s="6">
        <v>46309.229502314804</v>
      </c>
      <c r="F1955" s="6">
        <v>46309</v>
      </c>
      <c r="G1955" s="5" t="s">
        <v>12</v>
      </c>
      <c r="H1955" s="5" t="s">
        <v>27</v>
      </c>
      <c r="I1955" s="5">
        <v>4</v>
      </c>
      <c r="J1955" s="10" t="s">
        <v>17</v>
      </c>
      <c r="K1955" s="1" t="s">
        <v>2247</v>
      </c>
      <c r="M1955" t="str">
        <f>+VLOOKUP(C1955,'[1]TIENDAS 2025'!$A$1:$C$143,3,0)</f>
        <v>nocturna</v>
      </c>
      <c r="O1955">
        <v>1</v>
      </c>
    </row>
    <row r="1956" spans="1:15" ht="15" customHeight="1" x14ac:dyDescent="0.3">
      <c r="A1956" s="7">
        <v>1209671721</v>
      </c>
      <c r="B1956" s="4" t="s">
        <v>478</v>
      </c>
      <c r="C1956" s="4" t="s">
        <v>479</v>
      </c>
      <c r="D1956" s="6">
        <v>46309.479548611103</v>
      </c>
      <c r="E1956" s="6">
        <v>46309.229525463001</v>
      </c>
      <c r="F1956" s="6">
        <v>46309</v>
      </c>
      <c r="G1956" s="5" t="s">
        <v>12</v>
      </c>
      <c r="H1956" s="5" t="s">
        <v>29</v>
      </c>
      <c r="I1956" s="5">
        <v>40</v>
      </c>
      <c r="J1956" s="9" t="s">
        <v>17</v>
      </c>
      <c r="K1956" s="1" t="s">
        <v>2248</v>
      </c>
      <c r="L1956" t="s">
        <v>3284</v>
      </c>
      <c r="M1956" t="str">
        <f>+VLOOKUP(C1956,'[1]TIENDAS 2025'!$A$1:$C$143,3,0)</f>
        <v>departamental</v>
      </c>
      <c r="O1956">
        <v>1</v>
      </c>
    </row>
    <row r="1957" spans="1:15" ht="15" customHeight="1" x14ac:dyDescent="0.3">
      <c r="A1957" s="7">
        <v>1209671734</v>
      </c>
      <c r="B1957" s="4" t="s">
        <v>478</v>
      </c>
      <c r="C1957" s="4" t="s">
        <v>479</v>
      </c>
      <c r="D1957" s="6">
        <v>46309.479571759301</v>
      </c>
      <c r="E1957" s="6">
        <v>46309.229548611103</v>
      </c>
      <c r="F1957" s="6">
        <v>46309</v>
      </c>
      <c r="G1957" s="5" t="s">
        <v>12</v>
      </c>
      <c r="H1957" s="5" t="s">
        <v>16</v>
      </c>
      <c r="I1957" s="5">
        <v>3</v>
      </c>
      <c r="J1957" s="9" t="s">
        <v>17</v>
      </c>
      <c r="K1957" s="1" t="s">
        <v>2249</v>
      </c>
      <c r="L1957" t="s">
        <v>3284</v>
      </c>
      <c r="M1957" t="str">
        <f>+VLOOKUP(C1957,'[1]TIENDAS 2025'!$A$1:$C$143,3,0)</f>
        <v>departamental</v>
      </c>
      <c r="O1957">
        <v>1</v>
      </c>
    </row>
    <row r="1958" spans="1:15" ht="15" customHeight="1" x14ac:dyDescent="0.3">
      <c r="A1958" s="7">
        <v>8209671682</v>
      </c>
      <c r="B1958" s="4" t="s">
        <v>406</v>
      </c>
      <c r="C1958" s="4" t="s">
        <v>407</v>
      </c>
      <c r="D1958" s="6">
        <v>46309.479594907403</v>
      </c>
      <c r="E1958" s="6">
        <v>46309.229560185202</v>
      </c>
      <c r="F1958" s="6">
        <v>46309</v>
      </c>
      <c r="G1958" s="5" t="s">
        <v>12</v>
      </c>
      <c r="H1958" s="5" t="s">
        <v>27</v>
      </c>
      <c r="I1958" s="5">
        <v>1</v>
      </c>
      <c r="J1958" s="10" t="s">
        <v>17</v>
      </c>
      <c r="K1958" s="1" t="s">
        <v>2250</v>
      </c>
      <c r="M1958" t="str">
        <f>+VLOOKUP(C1958,'[1]TIENDAS 2025'!$A$1:$C$143,3,0)</f>
        <v>nocturna</v>
      </c>
      <c r="O1958">
        <v>1</v>
      </c>
    </row>
    <row r="1959" spans="1:15" ht="15" customHeight="1" x14ac:dyDescent="0.3">
      <c r="A1959" s="7">
        <v>1209671840</v>
      </c>
      <c r="B1959" s="4" t="s">
        <v>412</v>
      </c>
      <c r="C1959" s="4" t="s">
        <v>413</v>
      </c>
      <c r="D1959" s="6">
        <v>46309.482071759303</v>
      </c>
      <c r="E1959" s="6">
        <v>46309.232048611098</v>
      </c>
      <c r="F1959" s="6">
        <v>46309</v>
      </c>
      <c r="G1959" s="5" t="s">
        <v>12</v>
      </c>
      <c r="H1959" s="5" t="s">
        <v>16</v>
      </c>
      <c r="I1959" s="5">
        <v>8</v>
      </c>
      <c r="J1959" s="9" t="s">
        <v>17</v>
      </c>
      <c r="K1959" s="1" t="s">
        <v>2251</v>
      </c>
      <c r="L1959" t="s">
        <v>3284</v>
      </c>
      <c r="M1959" t="str">
        <f>+VLOOKUP(C1959,'[1]TIENDAS 2025'!$A$1:$C$143,3,0)</f>
        <v>local</v>
      </c>
      <c r="O1959">
        <v>1</v>
      </c>
    </row>
    <row r="1960" spans="1:15" ht="15" customHeight="1" x14ac:dyDescent="0.3">
      <c r="A1960" s="7">
        <v>1209671841</v>
      </c>
      <c r="B1960" s="4" t="s">
        <v>412</v>
      </c>
      <c r="C1960" s="4" t="s">
        <v>413</v>
      </c>
      <c r="D1960" s="6">
        <v>46309.482094907398</v>
      </c>
      <c r="E1960" s="6">
        <v>46309.232060185197</v>
      </c>
      <c r="F1960" s="6">
        <v>46309</v>
      </c>
      <c r="G1960" s="5" t="s">
        <v>12</v>
      </c>
      <c r="H1960" s="5" t="s">
        <v>16</v>
      </c>
      <c r="I1960" s="5">
        <v>14</v>
      </c>
      <c r="J1960" s="9" t="s">
        <v>17</v>
      </c>
      <c r="K1960" s="1" t="s">
        <v>2252</v>
      </c>
      <c r="L1960" t="s">
        <v>3284</v>
      </c>
      <c r="M1960" t="str">
        <f>+VLOOKUP(C1960,'[1]TIENDAS 2025'!$A$1:$C$143,3,0)</f>
        <v>local</v>
      </c>
      <c r="O1960">
        <v>1</v>
      </c>
    </row>
    <row r="1961" spans="1:15" ht="15" customHeight="1" x14ac:dyDescent="0.3">
      <c r="A1961" s="7">
        <v>8209671873</v>
      </c>
      <c r="B1961" s="4" t="s">
        <v>364</v>
      </c>
      <c r="C1961" s="4" t="s">
        <v>365</v>
      </c>
      <c r="D1961" s="6">
        <v>46309.482106481497</v>
      </c>
      <c r="E1961" s="6">
        <v>46309.232071759303</v>
      </c>
      <c r="F1961" s="6">
        <v>46309</v>
      </c>
      <c r="G1961" s="5" t="s">
        <v>12</v>
      </c>
      <c r="H1961" s="5" t="s">
        <v>27</v>
      </c>
      <c r="I1961" s="5">
        <v>13</v>
      </c>
      <c r="J1961" s="10" t="s">
        <v>17</v>
      </c>
      <c r="K1961" s="1" t="s">
        <v>2253</v>
      </c>
      <c r="M1961" t="str">
        <f>+VLOOKUP(C1961,'[1]TIENDAS 2025'!$A$1:$C$143,3,0)</f>
        <v>local</v>
      </c>
      <c r="O1961">
        <v>1</v>
      </c>
    </row>
    <row r="1962" spans="1:15" ht="15" customHeight="1" x14ac:dyDescent="0.3">
      <c r="A1962" s="7">
        <v>1209671783</v>
      </c>
      <c r="B1962" s="4" t="s">
        <v>482</v>
      </c>
      <c r="C1962" s="4" t="s">
        <v>483</v>
      </c>
      <c r="D1962" s="6">
        <v>46309.482118055603</v>
      </c>
      <c r="E1962" s="6">
        <v>46309.232094907398</v>
      </c>
      <c r="F1962" s="6">
        <v>46309</v>
      </c>
      <c r="G1962" s="5" t="s">
        <v>12</v>
      </c>
      <c r="H1962" s="5" t="s">
        <v>16</v>
      </c>
      <c r="I1962" s="5">
        <v>17</v>
      </c>
      <c r="J1962" s="9" t="s">
        <v>17</v>
      </c>
      <c r="K1962" s="1" t="s">
        <v>2254</v>
      </c>
      <c r="L1962" t="s">
        <v>3284</v>
      </c>
      <c r="M1962" t="str">
        <f>+VLOOKUP(C1962,'[1]TIENDAS 2025'!$A$1:$C$143,3,0)</f>
        <v>local</v>
      </c>
      <c r="O1962">
        <v>1</v>
      </c>
    </row>
    <row r="1963" spans="1:15" ht="15" customHeight="1" x14ac:dyDescent="0.3">
      <c r="A1963" s="7">
        <v>1209671819</v>
      </c>
      <c r="B1963" s="4" t="s">
        <v>93</v>
      </c>
      <c r="C1963" s="4" t="s">
        <v>94</v>
      </c>
      <c r="D1963" s="6">
        <v>46309.4821296296</v>
      </c>
      <c r="E1963" s="6">
        <v>46309.232106481497</v>
      </c>
      <c r="F1963" s="6">
        <v>46309</v>
      </c>
      <c r="G1963" s="5" t="s">
        <v>12</v>
      </c>
      <c r="H1963" s="5" t="s">
        <v>16</v>
      </c>
      <c r="I1963" s="5">
        <v>1</v>
      </c>
      <c r="J1963" s="9" t="s">
        <v>17</v>
      </c>
      <c r="K1963" s="1" t="s">
        <v>2255</v>
      </c>
      <c r="L1963" t="s">
        <v>3284</v>
      </c>
      <c r="M1963" t="str">
        <f>+VLOOKUP(C1963,'[1]TIENDAS 2025'!$A$1:$C$143,3,0)</f>
        <v>departamental</v>
      </c>
      <c r="O1963">
        <v>1</v>
      </c>
    </row>
    <row r="1964" spans="1:15" ht="15" customHeight="1" x14ac:dyDescent="0.3">
      <c r="A1964" s="7">
        <v>1209671858</v>
      </c>
      <c r="B1964" s="4" t="s">
        <v>412</v>
      </c>
      <c r="C1964" s="4" t="s">
        <v>413</v>
      </c>
      <c r="D1964" s="6">
        <v>46309.482141203698</v>
      </c>
      <c r="E1964" s="6">
        <v>46309.232118055603</v>
      </c>
      <c r="F1964" s="6">
        <v>46309</v>
      </c>
      <c r="G1964" s="5" t="s">
        <v>12</v>
      </c>
      <c r="H1964" s="5" t="s">
        <v>16</v>
      </c>
      <c r="I1964" s="5">
        <v>3</v>
      </c>
      <c r="J1964" s="9" t="s">
        <v>17</v>
      </c>
      <c r="K1964" s="1" t="s">
        <v>2256</v>
      </c>
      <c r="L1964" t="s">
        <v>3284</v>
      </c>
      <c r="M1964" t="str">
        <f>+VLOOKUP(C1964,'[1]TIENDAS 2025'!$A$1:$C$143,3,0)</f>
        <v>local</v>
      </c>
      <c r="O1964">
        <v>1</v>
      </c>
    </row>
    <row r="1965" spans="1:15" ht="15" customHeight="1" x14ac:dyDescent="0.3">
      <c r="A1965" s="7">
        <v>1209671880</v>
      </c>
      <c r="B1965" s="4" t="s">
        <v>364</v>
      </c>
      <c r="C1965" s="4" t="s">
        <v>365</v>
      </c>
      <c r="D1965" s="6">
        <v>46309.482164351903</v>
      </c>
      <c r="E1965" s="6">
        <v>46309.2321296296</v>
      </c>
      <c r="F1965" s="6">
        <v>46309</v>
      </c>
      <c r="G1965" s="5" t="s">
        <v>12</v>
      </c>
      <c r="H1965" s="5" t="s">
        <v>16</v>
      </c>
      <c r="I1965" s="5">
        <v>26</v>
      </c>
      <c r="J1965" s="9" t="s">
        <v>17</v>
      </c>
      <c r="K1965" s="1" t="s">
        <v>2257</v>
      </c>
      <c r="L1965" t="s">
        <v>3284</v>
      </c>
      <c r="M1965" t="str">
        <f>+VLOOKUP(C1965,'[1]TIENDAS 2025'!$A$1:$C$143,3,0)</f>
        <v>local</v>
      </c>
      <c r="O1965">
        <v>1</v>
      </c>
    </row>
    <row r="1966" spans="1:15" ht="15" customHeight="1" x14ac:dyDescent="0.3">
      <c r="A1966" s="7">
        <v>8209671821</v>
      </c>
      <c r="B1966" s="4" t="s">
        <v>93</v>
      </c>
      <c r="C1966" s="4" t="s">
        <v>94</v>
      </c>
      <c r="D1966" s="6">
        <v>46309.482175925899</v>
      </c>
      <c r="E1966" s="6">
        <v>46309.232152777797</v>
      </c>
      <c r="F1966" s="6">
        <v>46309</v>
      </c>
      <c r="G1966" s="5" t="s">
        <v>12</v>
      </c>
      <c r="H1966" s="5" t="s">
        <v>27</v>
      </c>
      <c r="I1966" s="5">
        <v>5</v>
      </c>
      <c r="J1966" s="10" t="s">
        <v>17</v>
      </c>
      <c r="K1966" s="1" t="s">
        <v>2258</v>
      </c>
      <c r="M1966" t="str">
        <f>+VLOOKUP(C1966,'[1]TIENDAS 2025'!$A$1:$C$143,3,0)</f>
        <v>departamental</v>
      </c>
      <c r="O1966">
        <v>1</v>
      </c>
    </row>
    <row r="1967" spans="1:15" ht="15" customHeight="1" x14ac:dyDescent="0.3">
      <c r="A1967" s="7">
        <v>1209671794</v>
      </c>
      <c r="B1967" s="4" t="s">
        <v>482</v>
      </c>
      <c r="C1967" s="4" t="s">
        <v>483</v>
      </c>
      <c r="D1967" s="6">
        <v>46309.482199074097</v>
      </c>
      <c r="E1967" s="6">
        <v>46309.232175925899</v>
      </c>
      <c r="F1967" s="6">
        <v>46309</v>
      </c>
      <c r="G1967" s="5" t="s">
        <v>12</v>
      </c>
      <c r="H1967" s="5" t="s">
        <v>29</v>
      </c>
      <c r="I1967" s="5">
        <v>18</v>
      </c>
      <c r="J1967" s="9" t="s">
        <v>17</v>
      </c>
      <c r="K1967" s="1" t="s">
        <v>2259</v>
      </c>
      <c r="L1967" t="s">
        <v>3284</v>
      </c>
      <c r="M1967" t="str">
        <f>+VLOOKUP(C1967,'[1]TIENDAS 2025'!$A$1:$C$143,3,0)</f>
        <v>local</v>
      </c>
      <c r="O1967">
        <v>1</v>
      </c>
    </row>
    <row r="1968" spans="1:15" ht="15" customHeight="1" x14ac:dyDescent="0.3">
      <c r="A1968" s="7">
        <v>8209671823</v>
      </c>
      <c r="B1968" s="4" t="s">
        <v>93</v>
      </c>
      <c r="C1968" s="4" t="s">
        <v>94</v>
      </c>
      <c r="D1968" s="6">
        <v>46309.482199074097</v>
      </c>
      <c r="E1968" s="6">
        <v>46309.232164351903</v>
      </c>
      <c r="F1968" s="6">
        <v>46309</v>
      </c>
      <c r="G1968" s="5" t="s">
        <v>12</v>
      </c>
      <c r="H1968" s="5" t="s">
        <v>27</v>
      </c>
      <c r="I1968" s="5">
        <v>12</v>
      </c>
      <c r="J1968" s="10" t="s">
        <v>17</v>
      </c>
      <c r="K1968" s="1" t="s">
        <v>2260</v>
      </c>
      <c r="M1968" t="str">
        <f>+VLOOKUP(C1968,'[1]TIENDAS 2025'!$A$1:$C$143,3,0)</f>
        <v>departamental</v>
      </c>
      <c r="O1968">
        <v>1</v>
      </c>
    </row>
    <row r="1969" spans="1:15" ht="15" customHeight="1" x14ac:dyDescent="0.3">
      <c r="A1969" s="7">
        <v>8209671902</v>
      </c>
      <c r="B1969" s="4" t="s">
        <v>226</v>
      </c>
      <c r="C1969" s="4" t="s">
        <v>227</v>
      </c>
      <c r="D1969" s="6">
        <v>46309.482222222199</v>
      </c>
      <c r="E1969" s="6">
        <v>46309.232187499998</v>
      </c>
      <c r="F1969" s="6">
        <v>46309</v>
      </c>
      <c r="G1969" s="5" t="s">
        <v>12</v>
      </c>
      <c r="H1969" s="5" t="s">
        <v>27</v>
      </c>
      <c r="I1969" s="5">
        <v>10</v>
      </c>
      <c r="J1969" s="10" t="s">
        <v>17</v>
      </c>
      <c r="K1969" s="1" t="s">
        <v>2261</v>
      </c>
      <c r="M1969" t="str">
        <f>+VLOOKUP(C1969,'[1]TIENDAS 2025'!$A$1:$C$143,3,0)</f>
        <v>departamental</v>
      </c>
      <c r="O1969">
        <v>1</v>
      </c>
    </row>
    <row r="1970" spans="1:15" ht="15" customHeight="1" x14ac:dyDescent="0.3">
      <c r="A1970" s="7">
        <v>1209671812</v>
      </c>
      <c r="B1970" s="4" t="s">
        <v>93</v>
      </c>
      <c r="C1970" s="4" t="s">
        <v>94</v>
      </c>
      <c r="D1970" s="6">
        <v>46309.482233796298</v>
      </c>
      <c r="E1970" s="6">
        <v>46309.232199074097</v>
      </c>
      <c r="F1970" s="6">
        <v>46309</v>
      </c>
      <c r="G1970" s="5" t="s">
        <v>12</v>
      </c>
      <c r="H1970" s="5" t="s">
        <v>16</v>
      </c>
      <c r="I1970" s="5">
        <v>1</v>
      </c>
      <c r="J1970" s="9" t="s">
        <v>17</v>
      </c>
      <c r="K1970" s="1" t="s">
        <v>2262</v>
      </c>
      <c r="L1970" t="s">
        <v>3284</v>
      </c>
      <c r="M1970" t="str">
        <f>+VLOOKUP(C1970,'[1]TIENDAS 2025'!$A$1:$C$143,3,0)</f>
        <v>departamental</v>
      </c>
      <c r="O1970">
        <v>1</v>
      </c>
    </row>
    <row r="1971" spans="1:15" ht="15" customHeight="1" x14ac:dyDescent="0.3">
      <c r="A1971" s="7">
        <v>8209671885</v>
      </c>
      <c r="B1971" s="4" t="s">
        <v>364</v>
      </c>
      <c r="C1971" s="4" t="s">
        <v>365</v>
      </c>
      <c r="D1971" s="6">
        <v>46309.482245370396</v>
      </c>
      <c r="E1971" s="6">
        <v>46309.232222222199</v>
      </c>
      <c r="F1971" s="6">
        <v>46309</v>
      </c>
      <c r="G1971" s="5" t="s">
        <v>12</v>
      </c>
      <c r="H1971" s="5" t="s">
        <v>27</v>
      </c>
      <c r="I1971" s="5">
        <v>7</v>
      </c>
      <c r="J1971" s="10" t="s">
        <v>17</v>
      </c>
      <c r="K1971" s="1" t="s">
        <v>2263</v>
      </c>
      <c r="M1971" t="str">
        <f>+VLOOKUP(C1971,'[1]TIENDAS 2025'!$A$1:$C$143,3,0)</f>
        <v>local</v>
      </c>
      <c r="O1971">
        <v>1</v>
      </c>
    </row>
    <row r="1972" spans="1:15" ht="15" customHeight="1" x14ac:dyDescent="0.3">
      <c r="A1972" s="7">
        <v>1209671838</v>
      </c>
      <c r="B1972" s="4" t="s">
        <v>412</v>
      </c>
      <c r="C1972" s="4" t="s">
        <v>413</v>
      </c>
      <c r="D1972" s="6">
        <v>46309.482268518499</v>
      </c>
      <c r="E1972" s="6">
        <v>46309.232245370396</v>
      </c>
      <c r="F1972" s="6">
        <v>46309</v>
      </c>
      <c r="G1972" s="5" t="s">
        <v>12</v>
      </c>
      <c r="H1972" s="5" t="s">
        <v>16</v>
      </c>
      <c r="I1972" s="5">
        <v>1</v>
      </c>
      <c r="J1972" s="9" t="s">
        <v>17</v>
      </c>
      <c r="K1972" s="1" t="s">
        <v>2264</v>
      </c>
      <c r="L1972" t="s">
        <v>3284</v>
      </c>
      <c r="M1972" t="str">
        <f>+VLOOKUP(C1972,'[1]TIENDAS 2025'!$A$1:$C$143,3,0)</f>
        <v>local</v>
      </c>
      <c r="O1972">
        <v>1</v>
      </c>
    </row>
    <row r="1973" spans="1:15" ht="15" customHeight="1" x14ac:dyDescent="0.3">
      <c r="A1973" s="7">
        <v>1209671909</v>
      </c>
      <c r="B1973" s="4" t="s">
        <v>226</v>
      </c>
      <c r="C1973" s="4" t="s">
        <v>227</v>
      </c>
      <c r="D1973" s="6">
        <v>46309.482268518499</v>
      </c>
      <c r="E1973" s="6">
        <v>46309.232233796298</v>
      </c>
      <c r="F1973" s="6">
        <v>46309</v>
      </c>
      <c r="G1973" s="5" t="s">
        <v>12</v>
      </c>
      <c r="H1973" s="5" t="s">
        <v>16</v>
      </c>
      <c r="I1973" s="5">
        <v>22</v>
      </c>
      <c r="J1973" s="9" t="s">
        <v>17</v>
      </c>
      <c r="K1973" s="1" t="s">
        <v>2265</v>
      </c>
      <c r="L1973" t="s">
        <v>3284</v>
      </c>
      <c r="M1973" t="str">
        <f>+VLOOKUP(C1973,'[1]TIENDAS 2025'!$A$1:$C$143,3,0)</f>
        <v>departamental</v>
      </c>
      <c r="O1973">
        <v>1</v>
      </c>
    </row>
    <row r="1974" spans="1:15" ht="15" customHeight="1" x14ac:dyDescent="0.3">
      <c r="A1974" s="7">
        <v>1209671910</v>
      </c>
      <c r="B1974" s="4" t="s">
        <v>226</v>
      </c>
      <c r="C1974" s="4" t="s">
        <v>227</v>
      </c>
      <c r="D1974" s="6">
        <v>46309.482291666704</v>
      </c>
      <c r="E1974" s="6">
        <v>46309.2322569444</v>
      </c>
      <c r="F1974" s="6">
        <v>46309</v>
      </c>
      <c r="G1974" s="5" t="s">
        <v>12</v>
      </c>
      <c r="H1974" s="5" t="s">
        <v>29</v>
      </c>
      <c r="I1974" s="5">
        <v>22</v>
      </c>
      <c r="J1974" s="9" t="s">
        <v>17</v>
      </c>
      <c r="K1974" s="1" t="s">
        <v>2266</v>
      </c>
      <c r="L1974" t="s">
        <v>3284</v>
      </c>
      <c r="M1974" t="str">
        <f>+VLOOKUP(C1974,'[1]TIENDAS 2025'!$A$1:$C$143,3,0)</f>
        <v>departamental</v>
      </c>
      <c r="O1974">
        <v>1</v>
      </c>
    </row>
    <row r="1975" spans="1:15" ht="15" customHeight="1" x14ac:dyDescent="0.3">
      <c r="A1975" s="7">
        <v>1209671912</v>
      </c>
      <c r="B1975" s="4" t="s">
        <v>226</v>
      </c>
      <c r="C1975" s="4" t="s">
        <v>227</v>
      </c>
      <c r="D1975" s="6">
        <v>46309.4823032407</v>
      </c>
      <c r="E1975" s="6">
        <v>46309.232280092598</v>
      </c>
      <c r="F1975" s="6">
        <v>46309</v>
      </c>
      <c r="G1975" s="5" t="s">
        <v>12</v>
      </c>
      <c r="H1975" s="5" t="s">
        <v>16</v>
      </c>
      <c r="I1975" s="5">
        <v>36</v>
      </c>
      <c r="J1975" s="9" t="s">
        <v>17</v>
      </c>
      <c r="K1975" s="1" t="s">
        <v>2267</v>
      </c>
      <c r="L1975" t="s">
        <v>3284</v>
      </c>
      <c r="M1975" t="str">
        <f>+VLOOKUP(C1975,'[1]TIENDAS 2025'!$A$1:$C$143,3,0)</f>
        <v>departamental</v>
      </c>
      <c r="O1975">
        <v>1</v>
      </c>
    </row>
    <row r="1976" spans="1:15" ht="15" customHeight="1" x14ac:dyDescent="0.3">
      <c r="A1976" s="7">
        <v>1209671782</v>
      </c>
      <c r="B1976" s="4" t="s">
        <v>482</v>
      </c>
      <c r="C1976" s="4" t="s">
        <v>483</v>
      </c>
      <c r="D1976" s="6">
        <v>46309.482326388897</v>
      </c>
      <c r="E1976" s="6">
        <v>46309.2323032407</v>
      </c>
      <c r="F1976" s="6">
        <v>46309</v>
      </c>
      <c r="G1976" s="5" t="s">
        <v>12</v>
      </c>
      <c r="H1976" s="5" t="s">
        <v>16</v>
      </c>
      <c r="I1976" s="5">
        <v>5</v>
      </c>
      <c r="J1976" s="9" t="s">
        <v>17</v>
      </c>
      <c r="K1976" s="1" t="s">
        <v>2268</v>
      </c>
      <c r="L1976" t="s">
        <v>3284</v>
      </c>
      <c r="M1976" t="str">
        <f>+VLOOKUP(C1976,'[1]TIENDAS 2025'!$A$1:$C$143,3,0)</f>
        <v>local</v>
      </c>
      <c r="O1976">
        <v>1</v>
      </c>
    </row>
    <row r="1977" spans="1:15" ht="15" customHeight="1" x14ac:dyDescent="0.3">
      <c r="A1977" s="7">
        <v>8209671780</v>
      </c>
      <c r="B1977" s="4" t="s">
        <v>482</v>
      </c>
      <c r="C1977" s="4" t="s">
        <v>483</v>
      </c>
      <c r="D1977" s="6">
        <v>46309.482326388897</v>
      </c>
      <c r="E1977" s="6">
        <v>46309.232291666704</v>
      </c>
      <c r="F1977" s="6">
        <v>46309</v>
      </c>
      <c r="G1977" s="5" t="s">
        <v>12</v>
      </c>
      <c r="H1977" s="5" t="s">
        <v>27</v>
      </c>
      <c r="I1977" s="5">
        <v>2</v>
      </c>
      <c r="J1977" s="10" t="s">
        <v>17</v>
      </c>
      <c r="K1977" s="1" t="s">
        <v>2269</v>
      </c>
      <c r="M1977" t="str">
        <f>+VLOOKUP(C1977,'[1]TIENDAS 2025'!$A$1:$C$143,3,0)</f>
        <v>local</v>
      </c>
      <c r="O1977">
        <v>1</v>
      </c>
    </row>
    <row r="1978" spans="1:15" ht="15" customHeight="1" x14ac:dyDescent="0.3">
      <c r="A1978" s="7">
        <v>1209671896</v>
      </c>
      <c r="B1978" s="4" t="s">
        <v>364</v>
      </c>
      <c r="C1978" s="4" t="s">
        <v>365</v>
      </c>
      <c r="D1978" s="6">
        <v>46309.482337963003</v>
      </c>
      <c r="E1978" s="6">
        <v>46309.232314814799</v>
      </c>
      <c r="F1978" s="6">
        <v>46309</v>
      </c>
      <c r="G1978" s="5" t="s">
        <v>12</v>
      </c>
      <c r="H1978" s="5" t="s">
        <v>29</v>
      </c>
      <c r="I1978" s="5">
        <v>35</v>
      </c>
      <c r="J1978" s="9" t="s">
        <v>17</v>
      </c>
      <c r="K1978" s="1" t="s">
        <v>2270</v>
      </c>
      <c r="L1978" t="s">
        <v>3284</v>
      </c>
      <c r="M1978" t="str">
        <f>+VLOOKUP(C1978,'[1]TIENDAS 2025'!$A$1:$C$143,3,0)</f>
        <v>local</v>
      </c>
      <c r="O1978">
        <v>1</v>
      </c>
    </row>
    <row r="1979" spans="1:15" ht="15" customHeight="1" x14ac:dyDescent="0.3">
      <c r="A1979" s="7">
        <v>8209671790</v>
      </c>
      <c r="B1979" s="4" t="s">
        <v>482</v>
      </c>
      <c r="C1979" s="4" t="s">
        <v>483</v>
      </c>
      <c r="D1979" s="6">
        <v>46309.482361111099</v>
      </c>
      <c r="E1979" s="6">
        <v>46309.232326388897</v>
      </c>
      <c r="F1979" s="6">
        <v>46309</v>
      </c>
      <c r="G1979" s="5" t="s">
        <v>12</v>
      </c>
      <c r="H1979" s="5" t="s">
        <v>27</v>
      </c>
      <c r="I1979" s="5">
        <v>1</v>
      </c>
      <c r="J1979" s="10" t="s">
        <v>17</v>
      </c>
      <c r="K1979" s="1" t="s">
        <v>2271</v>
      </c>
      <c r="M1979" t="str">
        <f>+VLOOKUP(C1979,'[1]TIENDAS 2025'!$A$1:$C$143,3,0)</f>
        <v>local</v>
      </c>
      <c r="O1979">
        <v>1</v>
      </c>
    </row>
    <row r="1980" spans="1:15" ht="15" customHeight="1" x14ac:dyDescent="0.3">
      <c r="A1980" s="7">
        <v>1209671907</v>
      </c>
      <c r="B1980" s="4" t="s">
        <v>226</v>
      </c>
      <c r="C1980" s="4" t="s">
        <v>227</v>
      </c>
      <c r="D1980" s="6">
        <v>46309.482372685197</v>
      </c>
      <c r="E1980" s="6">
        <v>46309.232349537</v>
      </c>
      <c r="F1980" s="6">
        <v>46309</v>
      </c>
      <c r="G1980" s="5" t="s">
        <v>12</v>
      </c>
      <c r="H1980" s="5" t="s">
        <v>16</v>
      </c>
      <c r="I1980" s="5">
        <v>8</v>
      </c>
      <c r="J1980" s="9" t="s">
        <v>17</v>
      </c>
      <c r="K1980" s="1" t="s">
        <v>2272</v>
      </c>
      <c r="L1980" t="s">
        <v>3284</v>
      </c>
      <c r="M1980" t="str">
        <f>+VLOOKUP(C1980,'[1]TIENDAS 2025'!$A$1:$C$143,3,0)</f>
        <v>departamental</v>
      </c>
      <c r="O1980">
        <v>1</v>
      </c>
    </row>
    <row r="1981" spans="1:15" ht="15" customHeight="1" x14ac:dyDescent="0.3">
      <c r="A1981" s="7">
        <v>8209671887</v>
      </c>
      <c r="B1981" s="4" t="s">
        <v>364</v>
      </c>
      <c r="C1981" s="4" t="s">
        <v>365</v>
      </c>
      <c r="D1981" s="6">
        <v>46309.4823958333</v>
      </c>
      <c r="E1981" s="6">
        <v>46309.232361111099</v>
      </c>
      <c r="F1981" s="6">
        <v>46309</v>
      </c>
      <c r="G1981" s="5" t="s">
        <v>12</v>
      </c>
      <c r="H1981" s="5" t="s">
        <v>27</v>
      </c>
      <c r="I1981" s="5">
        <v>1</v>
      </c>
      <c r="J1981" s="10" t="s">
        <v>17</v>
      </c>
      <c r="K1981" s="1" t="s">
        <v>2273</v>
      </c>
      <c r="M1981" t="str">
        <f>+VLOOKUP(C1981,'[1]TIENDAS 2025'!$A$1:$C$143,3,0)</f>
        <v>local</v>
      </c>
      <c r="O1981">
        <v>1</v>
      </c>
    </row>
    <row r="1982" spans="1:15" ht="15" customHeight="1" x14ac:dyDescent="0.3">
      <c r="A1982" s="7">
        <v>1209671816</v>
      </c>
      <c r="B1982" s="4" t="s">
        <v>93</v>
      </c>
      <c r="C1982" s="4" t="s">
        <v>94</v>
      </c>
      <c r="D1982" s="6">
        <v>46309.4823958333</v>
      </c>
      <c r="E1982" s="6">
        <v>46309.232372685197</v>
      </c>
      <c r="F1982" s="6">
        <v>46309</v>
      </c>
      <c r="G1982" s="5" t="s">
        <v>12</v>
      </c>
      <c r="H1982" s="5" t="s">
        <v>16</v>
      </c>
      <c r="I1982" s="5">
        <v>15</v>
      </c>
      <c r="J1982" s="9" t="s">
        <v>17</v>
      </c>
      <c r="K1982" s="1" t="s">
        <v>2274</v>
      </c>
      <c r="L1982" t="s">
        <v>3284</v>
      </c>
      <c r="M1982" t="str">
        <f>+VLOOKUP(C1982,'[1]TIENDAS 2025'!$A$1:$C$143,3,0)</f>
        <v>departamental</v>
      </c>
      <c r="O1982">
        <v>1</v>
      </c>
    </row>
    <row r="1983" spans="1:15" ht="15" customHeight="1" x14ac:dyDescent="0.3">
      <c r="A1983" s="7">
        <v>8209671875</v>
      </c>
      <c r="B1983" s="4" t="s">
        <v>364</v>
      </c>
      <c r="C1983" s="4" t="s">
        <v>365</v>
      </c>
      <c r="D1983" s="6">
        <v>46309.482418981497</v>
      </c>
      <c r="E1983" s="6">
        <v>46309.232384259303</v>
      </c>
      <c r="F1983" s="6">
        <v>46309</v>
      </c>
      <c r="G1983" s="5" t="s">
        <v>12</v>
      </c>
      <c r="H1983" s="5" t="s">
        <v>27</v>
      </c>
      <c r="I1983" s="5">
        <v>27</v>
      </c>
      <c r="J1983" s="10" t="s">
        <v>17</v>
      </c>
      <c r="K1983" s="1" t="s">
        <v>2275</v>
      </c>
      <c r="M1983" t="str">
        <f>+VLOOKUP(C1983,'[1]TIENDAS 2025'!$A$1:$C$143,3,0)</f>
        <v>local</v>
      </c>
      <c r="O1983">
        <v>1</v>
      </c>
    </row>
    <row r="1984" spans="1:15" ht="15" customHeight="1" x14ac:dyDescent="0.3">
      <c r="A1984" s="7">
        <v>8209671778</v>
      </c>
      <c r="B1984" s="4" t="s">
        <v>482</v>
      </c>
      <c r="C1984" s="4" t="s">
        <v>483</v>
      </c>
      <c r="D1984" s="6">
        <v>46309.482430555603</v>
      </c>
      <c r="E1984" s="6">
        <v>46309.2323958333</v>
      </c>
      <c r="F1984" s="6">
        <v>46309</v>
      </c>
      <c r="G1984" s="5" t="s">
        <v>12</v>
      </c>
      <c r="H1984" s="5" t="s">
        <v>27</v>
      </c>
      <c r="I1984" s="5">
        <v>6</v>
      </c>
      <c r="J1984" s="10" t="s">
        <v>17</v>
      </c>
      <c r="K1984" s="1" t="s">
        <v>2276</v>
      </c>
      <c r="M1984" t="str">
        <f>+VLOOKUP(C1984,'[1]TIENDAS 2025'!$A$1:$C$143,3,0)</f>
        <v>local</v>
      </c>
      <c r="O1984">
        <v>1</v>
      </c>
    </row>
    <row r="1985" spans="1:15" ht="15" customHeight="1" x14ac:dyDescent="0.3">
      <c r="A1985" s="7">
        <v>1209671893</v>
      </c>
      <c r="B1985" s="4" t="s">
        <v>364</v>
      </c>
      <c r="C1985" s="4" t="s">
        <v>365</v>
      </c>
      <c r="D1985" s="6">
        <v>46309.4824421296</v>
      </c>
      <c r="E1985" s="6">
        <v>46309.232418981497</v>
      </c>
      <c r="F1985" s="6">
        <v>46309</v>
      </c>
      <c r="G1985" s="5" t="s">
        <v>12</v>
      </c>
      <c r="H1985" s="5" t="s">
        <v>27</v>
      </c>
      <c r="I1985" s="5">
        <v>14</v>
      </c>
      <c r="J1985" s="9" t="s">
        <v>17</v>
      </c>
      <c r="K1985" s="1" t="s">
        <v>2277</v>
      </c>
      <c r="L1985" t="s">
        <v>3284</v>
      </c>
      <c r="M1985" t="str">
        <f>+VLOOKUP(C1985,'[1]TIENDAS 2025'!$A$1:$C$143,3,0)</f>
        <v>local</v>
      </c>
      <c r="O1985">
        <v>1</v>
      </c>
    </row>
    <row r="1986" spans="1:15" ht="15" customHeight="1" x14ac:dyDescent="0.3">
      <c r="A1986" s="7">
        <v>8209671779</v>
      </c>
      <c r="B1986" s="4" t="s">
        <v>482</v>
      </c>
      <c r="C1986" s="4" t="s">
        <v>483</v>
      </c>
      <c r="D1986" s="6">
        <v>46309.482453703698</v>
      </c>
      <c r="E1986" s="6">
        <v>46309.232430555603</v>
      </c>
      <c r="F1986" s="6">
        <v>46309</v>
      </c>
      <c r="G1986" s="5" t="s">
        <v>12</v>
      </c>
      <c r="H1986" s="5" t="s">
        <v>27</v>
      </c>
      <c r="I1986" s="5">
        <v>4</v>
      </c>
      <c r="J1986" s="10" t="s">
        <v>17</v>
      </c>
      <c r="K1986" s="1" t="s">
        <v>2278</v>
      </c>
      <c r="M1986" t="str">
        <f>+VLOOKUP(C1986,'[1]TIENDAS 2025'!$A$1:$C$143,3,0)</f>
        <v>local</v>
      </c>
      <c r="O1986">
        <v>1</v>
      </c>
    </row>
    <row r="1987" spans="1:15" ht="15" customHeight="1" x14ac:dyDescent="0.3">
      <c r="A1987" s="7">
        <v>1209671894</v>
      </c>
      <c r="B1987" s="4" t="s">
        <v>364</v>
      </c>
      <c r="C1987" s="4" t="s">
        <v>365</v>
      </c>
      <c r="D1987" s="6">
        <v>46309.482465277797</v>
      </c>
      <c r="E1987" s="6">
        <v>46309.2324421296</v>
      </c>
      <c r="F1987" s="6">
        <v>46309</v>
      </c>
      <c r="G1987" s="5" t="s">
        <v>12</v>
      </c>
      <c r="H1987" s="5" t="s">
        <v>16</v>
      </c>
      <c r="I1987" s="5">
        <v>25</v>
      </c>
      <c r="J1987" s="9" t="s">
        <v>17</v>
      </c>
      <c r="K1987" s="1" t="s">
        <v>2279</v>
      </c>
      <c r="L1987" t="s">
        <v>3284</v>
      </c>
      <c r="M1987" t="str">
        <f>+VLOOKUP(C1987,'[1]TIENDAS 2025'!$A$1:$C$143,3,0)</f>
        <v>local</v>
      </c>
      <c r="O1987">
        <v>1</v>
      </c>
    </row>
    <row r="1988" spans="1:15" ht="15" customHeight="1" x14ac:dyDescent="0.3">
      <c r="A1988" s="7">
        <v>1209671895</v>
      </c>
      <c r="B1988" s="4" t="s">
        <v>364</v>
      </c>
      <c r="C1988" s="4" t="s">
        <v>365</v>
      </c>
      <c r="D1988" s="6">
        <v>46309.4824884259</v>
      </c>
      <c r="E1988" s="6">
        <v>46309.232453703698</v>
      </c>
      <c r="F1988" s="6">
        <v>46309</v>
      </c>
      <c r="G1988" s="5" t="s">
        <v>12</v>
      </c>
      <c r="H1988" s="5" t="s">
        <v>16</v>
      </c>
      <c r="I1988" s="5">
        <v>20</v>
      </c>
      <c r="J1988" s="9" t="s">
        <v>17</v>
      </c>
      <c r="K1988" s="1" t="s">
        <v>2280</v>
      </c>
      <c r="L1988" t="s">
        <v>3284</v>
      </c>
      <c r="M1988" t="str">
        <f>+VLOOKUP(C1988,'[1]TIENDAS 2025'!$A$1:$C$143,3,0)</f>
        <v>local</v>
      </c>
      <c r="O1988">
        <v>1</v>
      </c>
    </row>
    <row r="1989" spans="1:15" ht="15" customHeight="1" x14ac:dyDescent="0.3">
      <c r="A1989" s="7">
        <v>1209671785</v>
      </c>
      <c r="B1989" s="4" t="s">
        <v>482</v>
      </c>
      <c r="C1989" s="4" t="s">
        <v>483</v>
      </c>
      <c r="D1989" s="6">
        <v>46309.482499999998</v>
      </c>
      <c r="E1989" s="6">
        <v>46309.232476851903</v>
      </c>
      <c r="F1989" s="6">
        <v>46309</v>
      </c>
      <c r="G1989" s="5" t="s">
        <v>12</v>
      </c>
      <c r="H1989" s="5" t="s">
        <v>16</v>
      </c>
      <c r="I1989" s="5">
        <v>17</v>
      </c>
      <c r="J1989" s="9" t="s">
        <v>17</v>
      </c>
      <c r="K1989" s="1" t="s">
        <v>2281</v>
      </c>
      <c r="L1989" t="s">
        <v>3284</v>
      </c>
      <c r="M1989" t="str">
        <f>+VLOOKUP(C1989,'[1]TIENDAS 2025'!$A$1:$C$143,3,0)</f>
        <v>local</v>
      </c>
      <c r="O1989">
        <v>1</v>
      </c>
    </row>
    <row r="1990" spans="1:15" ht="15" customHeight="1" x14ac:dyDescent="0.3">
      <c r="A1990" s="7">
        <v>1209671787</v>
      </c>
      <c r="B1990" s="4" t="s">
        <v>482</v>
      </c>
      <c r="C1990" s="4" t="s">
        <v>483</v>
      </c>
      <c r="D1990" s="6">
        <v>46309.482523148101</v>
      </c>
      <c r="E1990" s="6">
        <v>46309.2324884259</v>
      </c>
      <c r="F1990" s="6">
        <v>46309</v>
      </c>
      <c r="G1990" s="5" t="s">
        <v>12</v>
      </c>
      <c r="H1990" s="5" t="s">
        <v>16</v>
      </c>
      <c r="I1990" s="5">
        <v>22</v>
      </c>
      <c r="J1990" s="9" t="s">
        <v>17</v>
      </c>
      <c r="K1990" s="1" t="s">
        <v>2282</v>
      </c>
      <c r="L1990" t="s">
        <v>3284</v>
      </c>
      <c r="M1990" t="str">
        <f>+VLOOKUP(C1990,'[1]TIENDAS 2025'!$A$1:$C$143,3,0)</f>
        <v>local</v>
      </c>
      <c r="O1990">
        <v>1</v>
      </c>
    </row>
    <row r="1991" spans="1:15" ht="15" customHeight="1" x14ac:dyDescent="0.3">
      <c r="A1991" s="7">
        <v>1209671917</v>
      </c>
      <c r="B1991" s="4" t="s">
        <v>226</v>
      </c>
      <c r="C1991" s="4" t="s">
        <v>227</v>
      </c>
      <c r="D1991" s="6">
        <v>46309.482534722199</v>
      </c>
      <c r="E1991" s="6">
        <v>46309.232511574097</v>
      </c>
      <c r="F1991" s="6">
        <v>46309</v>
      </c>
      <c r="G1991" s="5" t="s">
        <v>12</v>
      </c>
      <c r="H1991" s="5" t="s">
        <v>16</v>
      </c>
      <c r="I1991" s="5">
        <v>50</v>
      </c>
      <c r="J1991" s="9" t="s">
        <v>17</v>
      </c>
      <c r="K1991" s="1" t="s">
        <v>2283</v>
      </c>
      <c r="L1991" t="s">
        <v>3284</v>
      </c>
      <c r="M1991" t="str">
        <f>+VLOOKUP(C1991,'[1]TIENDAS 2025'!$A$1:$C$143,3,0)</f>
        <v>departamental</v>
      </c>
      <c r="O1991">
        <v>1</v>
      </c>
    </row>
    <row r="1992" spans="1:15" ht="15" customHeight="1" x14ac:dyDescent="0.3">
      <c r="A1992" s="7">
        <v>1209671791</v>
      </c>
      <c r="B1992" s="4" t="s">
        <v>482</v>
      </c>
      <c r="C1992" s="4" t="s">
        <v>483</v>
      </c>
      <c r="D1992" s="6">
        <v>46309.482557870397</v>
      </c>
      <c r="E1992" s="6">
        <v>46309.232523148101</v>
      </c>
      <c r="F1992" s="6">
        <v>46309</v>
      </c>
      <c r="G1992" s="5" t="s">
        <v>12</v>
      </c>
      <c r="H1992" s="5" t="s">
        <v>16</v>
      </c>
      <c r="I1992" s="5">
        <v>11</v>
      </c>
      <c r="J1992" s="9" t="s">
        <v>17</v>
      </c>
      <c r="K1992" s="1" t="s">
        <v>2284</v>
      </c>
      <c r="L1992" t="s">
        <v>3284</v>
      </c>
      <c r="M1992" t="str">
        <f>+VLOOKUP(C1992,'[1]TIENDAS 2025'!$A$1:$C$143,3,0)</f>
        <v>local</v>
      </c>
      <c r="O1992">
        <v>1</v>
      </c>
    </row>
    <row r="1993" spans="1:15" ht="15" customHeight="1" x14ac:dyDescent="0.3">
      <c r="A1993" s="7">
        <v>8209671900</v>
      </c>
      <c r="B1993" s="4" t="s">
        <v>226</v>
      </c>
      <c r="C1993" s="4" t="s">
        <v>227</v>
      </c>
      <c r="D1993" s="6">
        <v>46309.482581018499</v>
      </c>
      <c r="E1993" s="6">
        <v>46309.232546296298</v>
      </c>
      <c r="F1993" s="6">
        <v>46309</v>
      </c>
      <c r="G1993" s="5" t="s">
        <v>12</v>
      </c>
      <c r="H1993" s="5" t="s">
        <v>27</v>
      </c>
      <c r="I1993" s="5">
        <v>8</v>
      </c>
      <c r="J1993" s="10" t="s">
        <v>17</v>
      </c>
      <c r="K1993" s="1" t="s">
        <v>2285</v>
      </c>
      <c r="M1993" t="str">
        <f>+VLOOKUP(C1993,'[1]TIENDAS 2025'!$A$1:$C$143,3,0)</f>
        <v>departamental</v>
      </c>
      <c r="O1993">
        <v>1</v>
      </c>
    </row>
    <row r="1994" spans="1:15" ht="15" customHeight="1" x14ac:dyDescent="0.3">
      <c r="A1994" s="7">
        <v>8209671905</v>
      </c>
      <c r="B1994" s="4" t="s">
        <v>226</v>
      </c>
      <c r="C1994" s="4" t="s">
        <v>227</v>
      </c>
      <c r="D1994" s="6">
        <v>46309.482592592598</v>
      </c>
      <c r="E1994" s="6">
        <v>46309.232569444401</v>
      </c>
      <c r="F1994" s="6">
        <v>46309</v>
      </c>
      <c r="G1994" s="5" t="s">
        <v>12</v>
      </c>
      <c r="H1994" s="5" t="s">
        <v>27</v>
      </c>
      <c r="I1994" s="5">
        <v>10</v>
      </c>
      <c r="J1994" s="10" t="s">
        <v>17</v>
      </c>
      <c r="K1994" s="1" t="s">
        <v>2286</v>
      </c>
      <c r="M1994" t="str">
        <f>+VLOOKUP(C1994,'[1]TIENDAS 2025'!$A$1:$C$143,3,0)</f>
        <v>departamental</v>
      </c>
      <c r="O1994">
        <v>1</v>
      </c>
    </row>
    <row r="1995" spans="1:15" ht="15" customHeight="1" x14ac:dyDescent="0.3">
      <c r="A1995" s="7">
        <v>8209671835</v>
      </c>
      <c r="B1995" s="4" t="s">
        <v>412</v>
      </c>
      <c r="C1995" s="4" t="s">
        <v>413</v>
      </c>
      <c r="D1995" s="6">
        <v>46309.482604166697</v>
      </c>
      <c r="E1995" s="6">
        <v>46309.232581018499</v>
      </c>
      <c r="F1995" s="6">
        <v>46309</v>
      </c>
      <c r="G1995" s="5" t="s">
        <v>12</v>
      </c>
      <c r="H1995" s="5" t="s">
        <v>27</v>
      </c>
      <c r="I1995" s="5">
        <v>1</v>
      </c>
      <c r="J1995" s="10" t="s">
        <v>17</v>
      </c>
      <c r="K1995" s="1" t="s">
        <v>2287</v>
      </c>
      <c r="M1995" t="str">
        <f>+VLOOKUP(C1995,'[1]TIENDAS 2025'!$A$1:$C$143,3,0)</f>
        <v>local</v>
      </c>
      <c r="O1995">
        <v>1</v>
      </c>
    </row>
    <row r="1996" spans="1:15" ht="15" customHeight="1" x14ac:dyDescent="0.3">
      <c r="A1996" s="7">
        <v>8209671886</v>
      </c>
      <c r="B1996" s="4" t="s">
        <v>364</v>
      </c>
      <c r="C1996" s="4" t="s">
        <v>365</v>
      </c>
      <c r="D1996" s="6">
        <v>46309.482627314799</v>
      </c>
      <c r="E1996" s="6">
        <v>46309.232592592598</v>
      </c>
      <c r="F1996" s="6">
        <v>46309</v>
      </c>
      <c r="G1996" s="5" t="s">
        <v>12</v>
      </c>
      <c r="H1996" s="5" t="s">
        <v>27</v>
      </c>
      <c r="I1996" s="5">
        <v>1</v>
      </c>
      <c r="J1996" s="10" t="s">
        <v>17</v>
      </c>
      <c r="K1996" s="1" t="s">
        <v>2288</v>
      </c>
      <c r="M1996" t="str">
        <f>+VLOOKUP(C1996,'[1]TIENDAS 2025'!$A$1:$C$143,3,0)</f>
        <v>local</v>
      </c>
      <c r="O1996">
        <v>1</v>
      </c>
    </row>
    <row r="1997" spans="1:15" ht="15" customHeight="1" x14ac:dyDescent="0.3">
      <c r="A1997" s="7">
        <v>1209671913</v>
      </c>
      <c r="B1997" s="4" t="s">
        <v>226</v>
      </c>
      <c r="C1997" s="4" t="s">
        <v>227</v>
      </c>
      <c r="D1997" s="6">
        <v>46309.482638888898</v>
      </c>
      <c r="E1997" s="6">
        <v>46309.232615740701</v>
      </c>
      <c r="F1997" s="6">
        <v>46309</v>
      </c>
      <c r="G1997" s="5" t="s">
        <v>12</v>
      </c>
      <c r="H1997" s="5" t="s">
        <v>29</v>
      </c>
      <c r="I1997" s="5">
        <v>51</v>
      </c>
      <c r="J1997" s="9" t="s">
        <v>17</v>
      </c>
      <c r="K1997" s="1" t="s">
        <v>2289</v>
      </c>
      <c r="L1997" t="s">
        <v>3284</v>
      </c>
      <c r="M1997" t="str">
        <f>+VLOOKUP(C1997,'[1]TIENDAS 2025'!$A$1:$C$143,3,0)</f>
        <v>departamental</v>
      </c>
      <c r="O1997">
        <v>1</v>
      </c>
    </row>
    <row r="1998" spans="1:15" ht="15" customHeight="1" x14ac:dyDescent="0.3">
      <c r="A1998" s="7">
        <v>1209671784</v>
      </c>
      <c r="B1998" s="4" t="s">
        <v>482</v>
      </c>
      <c r="C1998" s="4" t="s">
        <v>483</v>
      </c>
      <c r="D1998" s="6">
        <v>46309.482650462996</v>
      </c>
      <c r="E1998" s="6">
        <v>46309.232627314799</v>
      </c>
      <c r="F1998" s="6">
        <v>46309</v>
      </c>
      <c r="G1998" s="5" t="s">
        <v>12</v>
      </c>
      <c r="H1998" s="5" t="s">
        <v>29</v>
      </c>
      <c r="I1998" s="5">
        <v>15</v>
      </c>
      <c r="J1998" s="9" t="s">
        <v>17</v>
      </c>
      <c r="K1998" s="1" t="s">
        <v>2290</v>
      </c>
      <c r="L1998" t="s">
        <v>3284</v>
      </c>
      <c r="M1998" t="str">
        <f>+VLOOKUP(C1998,'[1]TIENDAS 2025'!$A$1:$C$143,3,0)</f>
        <v>local</v>
      </c>
      <c r="O1998">
        <v>1</v>
      </c>
    </row>
    <row r="1999" spans="1:15" ht="15" customHeight="1" x14ac:dyDescent="0.3">
      <c r="A1999" s="7">
        <v>1209671915</v>
      </c>
      <c r="B1999" s="4" t="s">
        <v>226</v>
      </c>
      <c r="C1999" s="4" t="s">
        <v>227</v>
      </c>
      <c r="D1999" s="6">
        <v>46309.482673611099</v>
      </c>
      <c r="E1999" s="6">
        <v>46309.232650462996</v>
      </c>
      <c r="F1999" s="6">
        <v>46309</v>
      </c>
      <c r="G1999" s="5" t="s">
        <v>12</v>
      </c>
      <c r="H1999" s="5" t="s">
        <v>16</v>
      </c>
      <c r="I1999" s="5">
        <v>44</v>
      </c>
      <c r="J1999" s="9" t="s">
        <v>17</v>
      </c>
      <c r="K1999" s="1" t="s">
        <v>2291</v>
      </c>
      <c r="L1999" t="s">
        <v>3284</v>
      </c>
      <c r="M1999" t="str">
        <f>+VLOOKUP(C1999,'[1]TIENDAS 2025'!$A$1:$C$143,3,0)</f>
        <v>departamental</v>
      </c>
      <c r="O1999">
        <v>1</v>
      </c>
    </row>
    <row r="2000" spans="1:15" ht="15" customHeight="1" x14ac:dyDescent="0.3">
      <c r="A2000" s="7">
        <v>1209671786</v>
      </c>
      <c r="B2000" s="4" t="s">
        <v>482</v>
      </c>
      <c r="C2000" s="4" t="s">
        <v>483</v>
      </c>
      <c r="D2000" s="6">
        <v>46309.482696759304</v>
      </c>
      <c r="E2000" s="6">
        <v>46309.232662037</v>
      </c>
      <c r="F2000" s="6">
        <v>46309</v>
      </c>
      <c r="G2000" s="5" t="s">
        <v>12</v>
      </c>
      <c r="H2000" s="5" t="s">
        <v>29</v>
      </c>
      <c r="I2000" s="5">
        <v>11</v>
      </c>
      <c r="J2000" s="9" t="s">
        <v>17</v>
      </c>
      <c r="K2000" s="1" t="s">
        <v>2292</v>
      </c>
      <c r="L2000" t="s">
        <v>3284</v>
      </c>
      <c r="M2000" t="str">
        <f>+VLOOKUP(C2000,'[1]TIENDAS 2025'!$A$1:$C$143,3,0)</f>
        <v>local</v>
      </c>
      <c r="O2000">
        <v>1</v>
      </c>
    </row>
    <row r="2001" spans="1:15" ht="15" customHeight="1" x14ac:dyDescent="0.3">
      <c r="A2001" s="7">
        <v>1209671842</v>
      </c>
      <c r="B2001" s="4" t="s">
        <v>412</v>
      </c>
      <c r="C2001" s="4" t="s">
        <v>413</v>
      </c>
      <c r="D2001" s="6">
        <v>46309.482719907399</v>
      </c>
      <c r="E2001" s="6">
        <v>46309.232685185198</v>
      </c>
      <c r="F2001" s="6">
        <v>46309</v>
      </c>
      <c r="G2001" s="5" t="s">
        <v>12</v>
      </c>
      <c r="H2001" s="5" t="s">
        <v>16</v>
      </c>
      <c r="I2001" s="5">
        <v>12</v>
      </c>
      <c r="J2001" s="9" t="s">
        <v>17</v>
      </c>
      <c r="K2001" s="1" t="s">
        <v>2293</v>
      </c>
      <c r="L2001" t="s">
        <v>3284</v>
      </c>
      <c r="M2001" t="str">
        <f>+VLOOKUP(C2001,'[1]TIENDAS 2025'!$A$1:$C$143,3,0)</f>
        <v>local</v>
      </c>
      <c r="O2001">
        <v>1</v>
      </c>
    </row>
    <row r="2002" spans="1:15" ht="15" customHeight="1" x14ac:dyDescent="0.3">
      <c r="A2002" s="7">
        <v>1209671788</v>
      </c>
      <c r="B2002" s="4" t="s">
        <v>482</v>
      </c>
      <c r="C2002" s="4" t="s">
        <v>483</v>
      </c>
      <c r="D2002" s="6">
        <v>46309.482719907399</v>
      </c>
      <c r="E2002" s="6">
        <v>46309.232696759304</v>
      </c>
      <c r="F2002" s="6">
        <v>46309</v>
      </c>
      <c r="G2002" s="5" t="s">
        <v>12</v>
      </c>
      <c r="H2002" s="5" t="s">
        <v>16</v>
      </c>
      <c r="I2002" s="5">
        <v>30</v>
      </c>
      <c r="J2002" s="9" t="s">
        <v>17</v>
      </c>
      <c r="K2002" s="1" t="s">
        <v>2294</v>
      </c>
      <c r="L2002" t="s">
        <v>3284</v>
      </c>
      <c r="M2002" t="str">
        <f>+VLOOKUP(C2002,'[1]TIENDAS 2025'!$A$1:$C$143,3,0)</f>
        <v>local</v>
      </c>
      <c r="O2002">
        <v>1</v>
      </c>
    </row>
    <row r="2003" spans="1:15" ht="15" customHeight="1" x14ac:dyDescent="0.3">
      <c r="A2003" s="7">
        <v>8209671822</v>
      </c>
      <c r="B2003" s="4" t="s">
        <v>93</v>
      </c>
      <c r="C2003" s="4" t="s">
        <v>94</v>
      </c>
      <c r="D2003" s="6">
        <v>46309.482743055603</v>
      </c>
      <c r="E2003" s="6">
        <v>46309.2327083333</v>
      </c>
      <c r="F2003" s="6">
        <v>46309</v>
      </c>
      <c r="G2003" s="5" t="s">
        <v>12</v>
      </c>
      <c r="H2003" s="5" t="s">
        <v>27</v>
      </c>
      <c r="I2003" s="5">
        <v>26</v>
      </c>
      <c r="J2003" s="10" t="s">
        <v>17</v>
      </c>
      <c r="K2003" s="1" t="s">
        <v>2295</v>
      </c>
      <c r="M2003" t="str">
        <f>+VLOOKUP(C2003,'[1]TIENDAS 2025'!$A$1:$C$143,3,0)</f>
        <v>departamental</v>
      </c>
      <c r="O2003">
        <v>1</v>
      </c>
    </row>
    <row r="2004" spans="1:15" ht="15" customHeight="1" x14ac:dyDescent="0.3">
      <c r="A2004" s="7">
        <v>8209671811</v>
      </c>
      <c r="B2004" s="4" t="s">
        <v>93</v>
      </c>
      <c r="C2004" s="4" t="s">
        <v>94</v>
      </c>
      <c r="D2004" s="6">
        <v>46309.4827546296</v>
      </c>
      <c r="E2004" s="6">
        <v>46309.232731481497</v>
      </c>
      <c r="F2004" s="6">
        <v>46309</v>
      </c>
      <c r="G2004" s="5" t="s">
        <v>12</v>
      </c>
      <c r="H2004" s="5" t="s">
        <v>27</v>
      </c>
      <c r="I2004" s="5">
        <v>4</v>
      </c>
      <c r="J2004" s="10" t="s">
        <v>17</v>
      </c>
      <c r="K2004" s="1" t="s">
        <v>2296</v>
      </c>
      <c r="M2004" t="str">
        <f>+VLOOKUP(C2004,'[1]TIENDAS 2025'!$A$1:$C$143,3,0)</f>
        <v>departamental</v>
      </c>
      <c r="O2004">
        <v>1</v>
      </c>
    </row>
    <row r="2005" spans="1:15" ht="15" customHeight="1" x14ac:dyDescent="0.3">
      <c r="A2005" s="7">
        <v>8209671904</v>
      </c>
      <c r="B2005" s="4" t="s">
        <v>226</v>
      </c>
      <c r="C2005" s="4" t="s">
        <v>227</v>
      </c>
      <c r="D2005" s="6">
        <v>46309.482777777797</v>
      </c>
      <c r="E2005" s="6">
        <v>46309.232743055603</v>
      </c>
      <c r="F2005" s="6">
        <v>46309</v>
      </c>
      <c r="G2005" s="5" t="s">
        <v>12</v>
      </c>
      <c r="H2005" s="5" t="s">
        <v>27</v>
      </c>
      <c r="I2005" s="5">
        <v>36</v>
      </c>
      <c r="J2005" s="10" t="s">
        <v>17</v>
      </c>
      <c r="K2005" s="1" t="s">
        <v>2297</v>
      </c>
      <c r="M2005" t="str">
        <f>+VLOOKUP(C2005,'[1]TIENDAS 2025'!$A$1:$C$143,3,0)</f>
        <v>departamental</v>
      </c>
      <c r="O2005">
        <v>1</v>
      </c>
    </row>
    <row r="2006" spans="1:15" ht="15" customHeight="1" x14ac:dyDescent="0.3">
      <c r="A2006" s="7">
        <v>1209671906</v>
      </c>
      <c r="B2006" s="4" t="s">
        <v>226</v>
      </c>
      <c r="C2006" s="4" t="s">
        <v>227</v>
      </c>
      <c r="D2006" s="6">
        <v>46309.482789351903</v>
      </c>
      <c r="E2006" s="6">
        <v>46309.2327546296</v>
      </c>
      <c r="F2006" s="6">
        <v>46309</v>
      </c>
      <c r="G2006" s="5" t="s">
        <v>12</v>
      </c>
      <c r="H2006" s="5" t="s">
        <v>16</v>
      </c>
      <c r="I2006" s="5">
        <v>4</v>
      </c>
      <c r="J2006" s="9" t="s">
        <v>17</v>
      </c>
      <c r="K2006" s="1" t="s">
        <v>2298</v>
      </c>
      <c r="L2006" t="s">
        <v>3284</v>
      </c>
      <c r="M2006" t="str">
        <f>+VLOOKUP(C2006,'[1]TIENDAS 2025'!$A$1:$C$143,3,0)</f>
        <v>departamental</v>
      </c>
      <c r="O2006">
        <v>1</v>
      </c>
    </row>
    <row r="2007" spans="1:15" ht="15" customHeight="1" x14ac:dyDescent="0.3">
      <c r="A2007" s="7">
        <v>1209671848</v>
      </c>
      <c r="B2007" s="4" t="s">
        <v>412</v>
      </c>
      <c r="C2007" s="4" t="s">
        <v>413</v>
      </c>
      <c r="D2007" s="6">
        <v>46309.4828009259</v>
      </c>
      <c r="E2007" s="6">
        <v>46309.232766203699</v>
      </c>
      <c r="F2007" s="6">
        <v>46309</v>
      </c>
      <c r="G2007" s="5" t="s">
        <v>12</v>
      </c>
      <c r="H2007" s="5" t="s">
        <v>16</v>
      </c>
      <c r="I2007" s="5">
        <v>33</v>
      </c>
      <c r="J2007" s="9" t="s">
        <v>17</v>
      </c>
      <c r="K2007" s="1" t="s">
        <v>2299</v>
      </c>
      <c r="L2007" t="s">
        <v>3284</v>
      </c>
      <c r="M2007" t="str">
        <f>+VLOOKUP(C2007,'[1]TIENDAS 2025'!$A$1:$C$143,3,0)</f>
        <v>local</v>
      </c>
      <c r="O2007">
        <v>1</v>
      </c>
    </row>
    <row r="2008" spans="1:15" ht="15" customHeight="1" x14ac:dyDescent="0.3">
      <c r="A2008" s="7">
        <v>8209671888</v>
      </c>
      <c r="B2008" s="4" t="s">
        <v>364</v>
      </c>
      <c r="C2008" s="4" t="s">
        <v>365</v>
      </c>
      <c r="D2008" s="6">
        <v>46309.482812499999</v>
      </c>
      <c r="E2008" s="6">
        <v>46309.232789351903</v>
      </c>
      <c r="F2008" s="6">
        <v>46309</v>
      </c>
      <c r="G2008" s="5" t="s">
        <v>12</v>
      </c>
      <c r="H2008" s="5" t="s">
        <v>27</v>
      </c>
      <c r="I2008" s="5">
        <v>22</v>
      </c>
      <c r="J2008" s="10" t="s">
        <v>17</v>
      </c>
      <c r="K2008" s="1" t="s">
        <v>2300</v>
      </c>
      <c r="M2008" t="str">
        <f>+VLOOKUP(C2008,'[1]TIENDAS 2025'!$A$1:$C$143,3,0)</f>
        <v>local</v>
      </c>
      <c r="O2008">
        <v>1</v>
      </c>
    </row>
    <row r="2009" spans="1:15" ht="15" customHeight="1" x14ac:dyDescent="0.3">
      <c r="A2009" s="7">
        <v>1209671911</v>
      </c>
      <c r="B2009" s="4" t="s">
        <v>226</v>
      </c>
      <c r="C2009" s="4" t="s">
        <v>227</v>
      </c>
      <c r="D2009" s="6">
        <v>46309.482824074097</v>
      </c>
      <c r="E2009" s="6">
        <v>46309.2328009259</v>
      </c>
      <c r="F2009" s="6">
        <v>46309</v>
      </c>
      <c r="G2009" s="5" t="s">
        <v>12</v>
      </c>
      <c r="H2009" s="5" t="s">
        <v>16</v>
      </c>
      <c r="I2009" s="5">
        <v>28</v>
      </c>
      <c r="J2009" s="9" t="s">
        <v>17</v>
      </c>
      <c r="K2009" s="1" t="s">
        <v>2301</v>
      </c>
      <c r="L2009" t="s">
        <v>3284</v>
      </c>
      <c r="M2009" t="str">
        <f>+VLOOKUP(C2009,'[1]TIENDAS 2025'!$A$1:$C$143,3,0)</f>
        <v>departamental</v>
      </c>
      <c r="O2009">
        <v>1</v>
      </c>
    </row>
    <row r="2010" spans="1:15" ht="15" customHeight="1" x14ac:dyDescent="0.3">
      <c r="A2010" s="7">
        <v>1209671897</v>
      </c>
      <c r="B2010" s="4" t="s">
        <v>364</v>
      </c>
      <c r="C2010" s="4" t="s">
        <v>365</v>
      </c>
      <c r="D2010" s="6">
        <v>46309.4828472222</v>
      </c>
      <c r="E2010" s="6">
        <v>46309.232812499999</v>
      </c>
      <c r="F2010" s="6">
        <v>46309</v>
      </c>
      <c r="G2010" s="5" t="s">
        <v>12</v>
      </c>
      <c r="H2010" s="5" t="s">
        <v>16</v>
      </c>
      <c r="I2010" s="5">
        <v>4</v>
      </c>
      <c r="J2010" s="9" t="s">
        <v>17</v>
      </c>
      <c r="K2010" s="1" t="s">
        <v>2302</v>
      </c>
      <c r="L2010" t="s">
        <v>3284</v>
      </c>
      <c r="M2010" t="str">
        <f>+VLOOKUP(C2010,'[1]TIENDAS 2025'!$A$1:$C$143,3,0)</f>
        <v>local</v>
      </c>
      <c r="O2010">
        <v>1</v>
      </c>
    </row>
    <row r="2011" spans="1:15" ht="15" customHeight="1" x14ac:dyDescent="0.3">
      <c r="A2011" s="7">
        <v>8209671789</v>
      </c>
      <c r="B2011" s="4" t="s">
        <v>482</v>
      </c>
      <c r="C2011" s="4" t="s">
        <v>483</v>
      </c>
      <c r="D2011" s="6">
        <v>46309.482858796298</v>
      </c>
      <c r="E2011" s="6">
        <v>46309.232824074097</v>
      </c>
      <c r="F2011" s="6">
        <v>46309</v>
      </c>
      <c r="G2011" s="5" t="s">
        <v>12</v>
      </c>
      <c r="H2011" s="5" t="s">
        <v>27</v>
      </c>
      <c r="I2011" s="5">
        <v>7</v>
      </c>
      <c r="J2011" s="10" t="s">
        <v>17</v>
      </c>
      <c r="K2011" s="1" t="s">
        <v>2303</v>
      </c>
      <c r="M2011" t="str">
        <f>+VLOOKUP(C2011,'[1]TIENDAS 2025'!$A$1:$C$143,3,0)</f>
        <v>local</v>
      </c>
      <c r="O2011">
        <v>1</v>
      </c>
    </row>
    <row r="2012" spans="1:15" ht="15" customHeight="1" x14ac:dyDescent="0.3">
      <c r="A2012" s="7">
        <v>1209671847</v>
      </c>
      <c r="B2012" s="4" t="s">
        <v>412</v>
      </c>
      <c r="C2012" s="4" t="s">
        <v>413</v>
      </c>
      <c r="D2012" s="6">
        <v>46309.482881944401</v>
      </c>
      <c r="E2012" s="6">
        <v>46309.2328472222</v>
      </c>
      <c r="F2012" s="6">
        <v>46309</v>
      </c>
      <c r="G2012" s="5" t="s">
        <v>12</v>
      </c>
      <c r="H2012" s="5" t="s">
        <v>16</v>
      </c>
      <c r="I2012" s="5">
        <v>34</v>
      </c>
      <c r="J2012" s="9" t="s">
        <v>17</v>
      </c>
      <c r="K2012" s="1" t="s">
        <v>2304</v>
      </c>
      <c r="L2012" t="s">
        <v>3284</v>
      </c>
      <c r="M2012" t="str">
        <f>+VLOOKUP(C2012,'[1]TIENDAS 2025'!$A$1:$C$143,3,0)</f>
        <v>local</v>
      </c>
      <c r="O2012">
        <v>1</v>
      </c>
    </row>
    <row r="2013" spans="1:15" ht="15" customHeight="1" x14ac:dyDescent="0.3">
      <c r="A2013" s="7">
        <v>8209671832</v>
      </c>
      <c r="B2013" s="4" t="s">
        <v>412</v>
      </c>
      <c r="C2013" s="4" t="s">
        <v>413</v>
      </c>
      <c r="D2013" s="6">
        <v>46309.482881944401</v>
      </c>
      <c r="E2013" s="6">
        <v>46309.232858796298</v>
      </c>
      <c r="F2013" s="6">
        <v>46309</v>
      </c>
      <c r="G2013" s="5" t="s">
        <v>12</v>
      </c>
      <c r="H2013" s="5" t="s">
        <v>27</v>
      </c>
      <c r="I2013" s="5">
        <v>4</v>
      </c>
      <c r="J2013" s="10" t="s">
        <v>17</v>
      </c>
      <c r="K2013" s="1" t="s">
        <v>2305</v>
      </c>
      <c r="M2013" t="str">
        <f>+VLOOKUP(C2013,'[1]TIENDAS 2025'!$A$1:$C$143,3,0)</f>
        <v>local</v>
      </c>
      <c r="O2013">
        <v>1</v>
      </c>
    </row>
    <row r="2014" spans="1:15" ht="15" customHeight="1" x14ac:dyDescent="0.3">
      <c r="A2014" s="7">
        <v>8209671833</v>
      </c>
      <c r="B2014" s="4" t="s">
        <v>412</v>
      </c>
      <c r="C2014" s="4" t="s">
        <v>413</v>
      </c>
      <c r="D2014" s="6">
        <v>46309.482905092598</v>
      </c>
      <c r="E2014" s="6">
        <v>46309.232870370397</v>
      </c>
      <c r="F2014" s="6">
        <v>46309</v>
      </c>
      <c r="G2014" s="5" t="s">
        <v>12</v>
      </c>
      <c r="H2014" s="5" t="s">
        <v>27</v>
      </c>
      <c r="I2014" s="5">
        <v>5</v>
      </c>
      <c r="J2014" s="10" t="s">
        <v>17</v>
      </c>
      <c r="K2014" s="1" t="s">
        <v>2306</v>
      </c>
      <c r="M2014" t="str">
        <f>+VLOOKUP(C2014,'[1]TIENDAS 2025'!$A$1:$C$143,3,0)</f>
        <v>local</v>
      </c>
      <c r="O2014">
        <v>1</v>
      </c>
    </row>
    <row r="2015" spans="1:15" ht="15" customHeight="1" x14ac:dyDescent="0.3">
      <c r="A2015" s="7">
        <v>1209671876</v>
      </c>
      <c r="B2015" s="4" t="s">
        <v>364</v>
      </c>
      <c r="C2015" s="4" t="s">
        <v>365</v>
      </c>
      <c r="D2015" s="6">
        <v>46309.482916666697</v>
      </c>
      <c r="E2015" s="6">
        <v>46309.232881944401</v>
      </c>
      <c r="F2015" s="6">
        <v>46309</v>
      </c>
      <c r="G2015" s="5" t="s">
        <v>12</v>
      </c>
      <c r="H2015" s="5" t="s">
        <v>16</v>
      </c>
      <c r="I2015" s="5">
        <v>2</v>
      </c>
      <c r="J2015" s="9" t="s">
        <v>17</v>
      </c>
      <c r="K2015" s="1" t="s">
        <v>2307</v>
      </c>
      <c r="L2015" t="s">
        <v>3284</v>
      </c>
      <c r="M2015" t="str">
        <f>+VLOOKUP(C2015,'[1]TIENDAS 2025'!$A$1:$C$143,3,0)</f>
        <v>local</v>
      </c>
      <c r="O2015">
        <v>1</v>
      </c>
    </row>
    <row r="2016" spans="1:15" ht="15" customHeight="1" x14ac:dyDescent="0.3">
      <c r="A2016" s="7">
        <v>8209671810</v>
      </c>
      <c r="B2016" s="4" t="s">
        <v>93</v>
      </c>
      <c r="C2016" s="4" t="s">
        <v>94</v>
      </c>
      <c r="D2016" s="6">
        <v>46309.482928240701</v>
      </c>
      <c r="E2016" s="6">
        <v>46309.232905092598</v>
      </c>
      <c r="F2016" s="6">
        <v>46309</v>
      </c>
      <c r="G2016" s="5" t="s">
        <v>12</v>
      </c>
      <c r="H2016" s="5" t="s">
        <v>27</v>
      </c>
      <c r="I2016" s="5">
        <v>4</v>
      </c>
      <c r="J2016" s="10" t="s">
        <v>17</v>
      </c>
      <c r="K2016" s="1" t="s">
        <v>2308</v>
      </c>
      <c r="M2016" t="str">
        <f>+VLOOKUP(C2016,'[1]TIENDAS 2025'!$A$1:$C$143,3,0)</f>
        <v>departamental</v>
      </c>
      <c r="O2016">
        <v>1</v>
      </c>
    </row>
    <row r="2017" spans="1:15" ht="15" customHeight="1" x14ac:dyDescent="0.3">
      <c r="A2017" s="7">
        <v>1209671814</v>
      </c>
      <c r="B2017" s="4" t="s">
        <v>93</v>
      </c>
      <c r="C2017" s="4" t="s">
        <v>94</v>
      </c>
      <c r="D2017" s="6">
        <v>46309.482939814799</v>
      </c>
      <c r="E2017" s="6">
        <v>46309.232916666697</v>
      </c>
      <c r="F2017" s="6">
        <v>46309</v>
      </c>
      <c r="G2017" s="5" t="s">
        <v>12</v>
      </c>
      <c r="H2017" s="5" t="s">
        <v>16</v>
      </c>
      <c r="I2017" s="5">
        <v>4</v>
      </c>
      <c r="J2017" s="9" t="s">
        <v>17</v>
      </c>
      <c r="K2017" s="1" t="s">
        <v>2309</v>
      </c>
      <c r="L2017" t="s">
        <v>3284</v>
      </c>
      <c r="M2017" t="str">
        <f>+VLOOKUP(C2017,'[1]TIENDAS 2025'!$A$1:$C$143,3,0)</f>
        <v>departamental</v>
      </c>
      <c r="O2017">
        <v>1</v>
      </c>
    </row>
    <row r="2018" spans="1:15" ht="15" customHeight="1" x14ac:dyDescent="0.3">
      <c r="A2018" s="7">
        <v>8209671831</v>
      </c>
      <c r="B2018" s="4" t="s">
        <v>412</v>
      </c>
      <c r="C2018" s="4" t="s">
        <v>413</v>
      </c>
      <c r="D2018" s="6">
        <v>46309.482962962997</v>
      </c>
      <c r="E2018" s="6">
        <v>46309.232928240701</v>
      </c>
      <c r="F2018" s="6">
        <v>46309</v>
      </c>
      <c r="G2018" s="5" t="s">
        <v>12</v>
      </c>
      <c r="H2018" s="5" t="s">
        <v>27</v>
      </c>
      <c r="I2018" s="5">
        <v>3</v>
      </c>
      <c r="J2018" s="10" t="s">
        <v>17</v>
      </c>
      <c r="K2018" s="1" t="s">
        <v>2310</v>
      </c>
      <c r="M2018" t="str">
        <f>+VLOOKUP(C2018,'[1]TIENDAS 2025'!$A$1:$C$143,3,0)</f>
        <v>local</v>
      </c>
      <c r="O2018">
        <v>1</v>
      </c>
    </row>
    <row r="2019" spans="1:15" ht="15" customHeight="1" x14ac:dyDescent="0.3">
      <c r="A2019" s="7">
        <v>1209671908</v>
      </c>
      <c r="B2019" s="4" t="s">
        <v>226</v>
      </c>
      <c r="C2019" s="4" t="s">
        <v>227</v>
      </c>
      <c r="D2019" s="6">
        <v>46309.482974537001</v>
      </c>
      <c r="E2019" s="6">
        <v>46309.232939814799</v>
      </c>
      <c r="F2019" s="6">
        <v>46309</v>
      </c>
      <c r="G2019" s="5" t="s">
        <v>12</v>
      </c>
      <c r="H2019" s="5" t="s">
        <v>16</v>
      </c>
      <c r="I2019" s="5">
        <v>17</v>
      </c>
      <c r="J2019" s="9" t="s">
        <v>17</v>
      </c>
      <c r="K2019" s="1" t="s">
        <v>2311</v>
      </c>
      <c r="L2019" t="s">
        <v>3284</v>
      </c>
      <c r="M2019" t="str">
        <f>+VLOOKUP(C2019,'[1]TIENDAS 2025'!$A$1:$C$143,3,0)</f>
        <v>departamental</v>
      </c>
      <c r="O2019">
        <v>1</v>
      </c>
    </row>
    <row r="2020" spans="1:15" ht="15" customHeight="1" x14ac:dyDescent="0.3">
      <c r="A2020" s="7">
        <v>8209671837</v>
      </c>
      <c r="B2020" s="4" t="s">
        <v>412</v>
      </c>
      <c r="C2020" s="4" t="s">
        <v>413</v>
      </c>
      <c r="D2020" s="6">
        <v>46309.482986111099</v>
      </c>
      <c r="E2020" s="6">
        <v>46309.232951388898</v>
      </c>
      <c r="F2020" s="6">
        <v>46309</v>
      </c>
      <c r="G2020" s="5" t="s">
        <v>12</v>
      </c>
      <c r="H2020" s="5" t="s">
        <v>27</v>
      </c>
      <c r="I2020" s="5">
        <v>17</v>
      </c>
      <c r="J2020" s="10" t="s">
        <v>17</v>
      </c>
      <c r="K2020" s="1" t="s">
        <v>2312</v>
      </c>
      <c r="M2020" t="str">
        <f>+VLOOKUP(C2020,'[1]TIENDAS 2025'!$A$1:$C$143,3,0)</f>
        <v>local</v>
      </c>
      <c r="O2020">
        <v>1</v>
      </c>
    </row>
    <row r="2021" spans="1:15" ht="15" customHeight="1" x14ac:dyDescent="0.3">
      <c r="A2021" s="7">
        <v>1209671849</v>
      </c>
      <c r="B2021" s="4" t="s">
        <v>412</v>
      </c>
      <c r="C2021" s="4" t="s">
        <v>413</v>
      </c>
      <c r="D2021" s="6">
        <v>46309.482997685198</v>
      </c>
      <c r="E2021" s="6">
        <v>46309.232974537001</v>
      </c>
      <c r="F2021" s="6">
        <v>46309</v>
      </c>
      <c r="G2021" s="5" t="s">
        <v>12</v>
      </c>
      <c r="H2021" s="5" t="s">
        <v>29</v>
      </c>
      <c r="I2021" s="5">
        <v>45</v>
      </c>
      <c r="J2021" s="9" t="s">
        <v>17</v>
      </c>
      <c r="K2021" s="1" t="s">
        <v>2313</v>
      </c>
      <c r="L2021" t="s">
        <v>3284</v>
      </c>
      <c r="M2021" t="str">
        <f>+VLOOKUP(C2021,'[1]TIENDAS 2025'!$A$1:$C$143,3,0)</f>
        <v>local</v>
      </c>
      <c r="O2021">
        <v>1</v>
      </c>
    </row>
    <row r="2022" spans="1:15" ht="15" customHeight="1" x14ac:dyDescent="0.3">
      <c r="A2022" s="7">
        <v>1209671817</v>
      </c>
      <c r="B2022" s="4" t="s">
        <v>93</v>
      </c>
      <c r="C2022" s="4" t="s">
        <v>94</v>
      </c>
      <c r="D2022" s="6">
        <v>46309.483009259297</v>
      </c>
      <c r="E2022" s="6">
        <v>46309.232986111099</v>
      </c>
      <c r="F2022" s="6">
        <v>46309</v>
      </c>
      <c r="G2022" s="5" t="s">
        <v>12</v>
      </c>
      <c r="H2022" s="5" t="s">
        <v>29</v>
      </c>
      <c r="I2022" s="5">
        <v>18</v>
      </c>
      <c r="J2022" s="9" t="s">
        <v>17</v>
      </c>
      <c r="K2022" s="1" t="s">
        <v>2314</v>
      </c>
      <c r="L2022" t="s">
        <v>3284</v>
      </c>
      <c r="M2022" t="str">
        <f>+VLOOKUP(C2022,'[1]TIENDAS 2025'!$A$1:$C$143,3,0)</f>
        <v>departamental</v>
      </c>
      <c r="O2022">
        <v>1</v>
      </c>
    </row>
    <row r="2023" spans="1:15" ht="15" customHeight="1" x14ac:dyDescent="0.3">
      <c r="A2023" s="7">
        <v>1209671879</v>
      </c>
      <c r="B2023" s="4" t="s">
        <v>364</v>
      </c>
      <c r="C2023" s="4" t="s">
        <v>365</v>
      </c>
      <c r="D2023" s="6">
        <v>46309.483032407399</v>
      </c>
      <c r="E2023" s="6">
        <v>46309.232997685198</v>
      </c>
      <c r="F2023" s="6">
        <v>46309</v>
      </c>
      <c r="G2023" s="5" t="s">
        <v>12</v>
      </c>
      <c r="H2023" s="5" t="s">
        <v>29</v>
      </c>
      <c r="I2023" s="5">
        <v>25</v>
      </c>
      <c r="J2023" s="9" t="s">
        <v>17</v>
      </c>
      <c r="K2023" s="1" t="s">
        <v>2315</v>
      </c>
      <c r="L2023" t="s">
        <v>3284</v>
      </c>
      <c r="M2023" t="str">
        <f>+VLOOKUP(C2023,'[1]TIENDAS 2025'!$A$1:$C$143,3,0)</f>
        <v>local</v>
      </c>
      <c r="O2023">
        <v>1</v>
      </c>
    </row>
    <row r="2024" spans="1:15" ht="15" customHeight="1" x14ac:dyDescent="0.3">
      <c r="A2024" s="7">
        <v>1209671881</v>
      </c>
      <c r="B2024" s="4" t="s">
        <v>364</v>
      </c>
      <c r="C2024" s="4" t="s">
        <v>365</v>
      </c>
      <c r="D2024" s="6">
        <v>46309.483043981498</v>
      </c>
      <c r="E2024" s="6">
        <v>46309.233020833301</v>
      </c>
      <c r="F2024" s="6">
        <v>46309</v>
      </c>
      <c r="G2024" s="5" t="s">
        <v>12</v>
      </c>
      <c r="H2024" s="5" t="s">
        <v>16</v>
      </c>
      <c r="I2024" s="5">
        <v>34</v>
      </c>
      <c r="J2024" s="9" t="s">
        <v>17</v>
      </c>
      <c r="K2024" s="1" t="s">
        <v>2316</v>
      </c>
      <c r="L2024" t="s">
        <v>3284</v>
      </c>
      <c r="M2024" t="str">
        <f>+VLOOKUP(C2024,'[1]TIENDAS 2025'!$A$1:$C$143,3,0)</f>
        <v>local</v>
      </c>
      <c r="O2024">
        <v>1</v>
      </c>
    </row>
    <row r="2025" spans="1:15" ht="15" customHeight="1" x14ac:dyDescent="0.3">
      <c r="A2025" s="7">
        <v>1209671898</v>
      </c>
      <c r="B2025" s="4" t="s">
        <v>364</v>
      </c>
      <c r="C2025" s="4" t="s">
        <v>365</v>
      </c>
      <c r="D2025" s="6">
        <v>46309.483055555596</v>
      </c>
      <c r="E2025" s="6">
        <v>46309.233032407399</v>
      </c>
      <c r="F2025" s="6">
        <v>46309</v>
      </c>
      <c r="G2025" s="5" t="s">
        <v>12</v>
      </c>
      <c r="H2025" s="5" t="s">
        <v>29</v>
      </c>
      <c r="I2025" s="5">
        <v>61</v>
      </c>
      <c r="J2025" s="9" t="s">
        <v>17</v>
      </c>
      <c r="K2025" s="1" t="s">
        <v>2317</v>
      </c>
      <c r="L2025" t="s">
        <v>3284</v>
      </c>
      <c r="M2025" t="str">
        <f>+VLOOKUP(C2025,'[1]TIENDAS 2025'!$A$1:$C$143,3,0)</f>
        <v>local</v>
      </c>
      <c r="O2025">
        <v>1</v>
      </c>
    </row>
    <row r="2026" spans="1:15" ht="15" customHeight="1" x14ac:dyDescent="0.3">
      <c r="A2026" s="7">
        <v>8209671901</v>
      </c>
      <c r="B2026" s="4" t="s">
        <v>226</v>
      </c>
      <c r="C2026" s="4" t="s">
        <v>227</v>
      </c>
      <c r="D2026" s="6">
        <v>46309.4830671296</v>
      </c>
      <c r="E2026" s="6">
        <v>46309.233043981498</v>
      </c>
      <c r="F2026" s="6">
        <v>46309</v>
      </c>
      <c r="G2026" s="5" t="s">
        <v>12</v>
      </c>
      <c r="H2026" s="5" t="s">
        <v>27</v>
      </c>
      <c r="I2026" s="5">
        <v>2</v>
      </c>
      <c r="J2026" s="10" t="s">
        <v>17</v>
      </c>
      <c r="K2026" s="1" t="s">
        <v>2318</v>
      </c>
      <c r="M2026" t="str">
        <f>+VLOOKUP(C2026,'[1]TIENDAS 2025'!$A$1:$C$143,3,0)</f>
        <v>departamental</v>
      </c>
      <c r="O2026">
        <v>1</v>
      </c>
    </row>
    <row r="2027" spans="1:15" ht="15" customHeight="1" x14ac:dyDescent="0.3">
      <c r="A2027" s="7">
        <v>1209671830</v>
      </c>
      <c r="B2027" s="4" t="s">
        <v>93</v>
      </c>
      <c r="C2027" s="4" t="s">
        <v>94</v>
      </c>
      <c r="D2027" s="6">
        <v>46309.483090277798</v>
      </c>
      <c r="E2027" s="6">
        <v>46309.233055555596</v>
      </c>
      <c r="F2027" s="6">
        <v>46309</v>
      </c>
      <c r="G2027" s="5" t="s">
        <v>12</v>
      </c>
      <c r="H2027" s="5" t="s">
        <v>16</v>
      </c>
      <c r="I2027" s="5">
        <v>20</v>
      </c>
      <c r="J2027" s="9" t="s">
        <v>17</v>
      </c>
      <c r="K2027" s="1" t="s">
        <v>2319</v>
      </c>
      <c r="L2027" t="s">
        <v>3284</v>
      </c>
      <c r="M2027" t="str">
        <f>+VLOOKUP(C2027,'[1]TIENDAS 2025'!$A$1:$C$143,3,0)</f>
        <v>departamental</v>
      </c>
      <c r="O2027">
        <v>1</v>
      </c>
    </row>
    <row r="2028" spans="1:15" ht="15" customHeight="1" x14ac:dyDescent="0.3">
      <c r="A2028" s="7">
        <v>8209671834</v>
      </c>
      <c r="B2028" s="4" t="s">
        <v>412</v>
      </c>
      <c r="C2028" s="4" t="s">
        <v>413</v>
      </c>
      <c r="D2028" s="6">
        <v>46309.483101851903</v>
      </c>
      <c r="E2028" s="6">
        <v>46309.2330671296</v>
      </c>
      <c r="F2028" s="6">
        <v>46309</v>
      </c>
      <c r="G2028" s="5" t="s">
        <v>12</v>
      </c>
      <c r="H2028" s="5" t="s">
        <v>27</v>
      </c>
      <c r="I2028" s="5">
        <v>2</v>
      </c>
      <c r="J2028" s="10" t="s">
        <v>17</v>
      </c>
      <c r="K2028" s="1" t="s">
        <v>2320</v>
      </c>
      <c r="M2028" t="str">
        <f>+VLOOKUP(C2028,'[1]TIENDAS 2025'!$A$1:$C$143,3,0)</f>
        <v>local</v>
      </c>
      <c r="O2028">
        <v>1</v>
      </c>
    </row>
    <row r="2029" spans="1:15" ht="15" customHeight="1" x14ac:dyDescent="0.3">
      <c r="A2029" s="7">
        <v>8209671836</v>
      </c>
      <c r="B2029" s="4" t="s">
        <v>412</v>
      </c>
      <c r="C2029" s="4" t="s">
        <v>413</v>
      </c>
      <c r="D2029" s="6">
        <v>46309.483124999999</v>
      </c>
      <c r="E2029" s="6">
        <v>46309.233090277798</v>
      </c>
      <c r="F2029" s="6">
        <v>46309</v>
      </c>
      <c r="G2029" s="5" t="s">
        <v>12</v>
      </c>
      <c r="H2029" s="5" t="s">
        <v>27</v>
      </c>
      <c r="I2029" s="5">
        <v>26</v>
      </c>
      <c r="J2029" s="10" t="s">
        <v>17</v>
      </c>
      <c r="K2029" s="1" t="s">
        <v>2321</v>
      </c>
      <c r="M2029" t="str">
        <f>+VLOOKUP(C2029,'[1]TIENDAS 2025'!$A$1:$C$143,3,0)</f>
        <v>local</v>
      </c>
      <c r="O2029">
        <v>1</v>
      </c>
    </row>
    <row r="2030" spans="1:15" ht="15" customHeight="1" x14ac:dyDescent="0.3">
      <c r="A2030" s="7">
        <v>1209671839</v>
      </c>
      <c r="B2030" s="4" t="s">
        <v>412</v>
      </c>
      <c r="C2030" s="4" t="s">
        <v>413</v>
      </c>
      <c r="D2030" s="6">
        <v>46309.483136574097</v>
      </c>
      <c r="E2030" s="6">
        <v>46309.233101851903</v>
      </c>
      <c r="F2030" s="6">
        <v>46309</v>
      </c>
      <c r="G2030" s="5" t="s">
        <v>12</v>
      </c>
      <c r="H2030" s="5" t="s">
        <v>16</v>
      </c>
      <c r="I2030" s="5">
        <v>5</v>
      </c>
      <c r="J2030" s="9" t="s">
        <v>17</v>
      </c>
      <c r="K2030" s="1" t="s">
        <v>2322</v>
      </c>
      <c r="L2030" t="s">
        <v>3284</v>
      </c>
      <c r="M2030" t="str">
        <f>+VLOOKUP(C2030,'[1]TIENDAS 2025'!$A$1:$C$143,3,0)</f>
        <v>local</v>
      </c>
      <c r="O2030">
        <v>1</v>
      </c>
    </row>
    <row r="2031" spans="1:15" ht="15" customHeight="1" x14ac:dyDescent="0.3">
      <c r="A2031" s="7">
        <v>8209671874</v>
      </c>
      <c r="B2031" s="4" t="s">
        <v>364</v>
      </c>
      <c r="C2031" s="4" t="s">
        <v>365</v>
      </c>
      <c r="D2031" s="6">
        <v>46309.483136574097</v>
      </c>
      <c r="E2031" s="6">
        <v>46309.2331134259</v>
      </c>
      <c r="F2031" s="6">
        <v>46309</v>
      </c>
      <c r="G2031" s="5" t="s">
        <v>12</v>
      </c>
      <c r="H2031" s="5" t="s">
        <v>27</v>
      </c>
      <c r="I2031" s="5">
        <v>8</v>
      </c>
      <c r="J2031" s="10" t="s">
        <v>17</v>
      </c>
      <c r="K2031" s="1" t="s">
        <v>2323</v>
      </c>
      <c r="M2031" t="str">
        <f>+VLOOKUP(C2031,'[1]TIENDAS 2025'!$A$1:$C$143,3,0)</f>
        <v>local</v>
      </c>
      <c r="O2031">
        <v>1</v>
      </c>
    </row>
    <row r="2032" spans="1:15" ht="15" customHeight="1" x14ac:dyDescent="0.3">
      <c r="A2032" s="7">
        <v>8209671776</v>
      </c>
      <c r="B2032" s="4" t="s">
        <v>482</v>
      </c>
      <c r="C2032" s="4" t="s">
        <v>483</v>
      </c>
      <c r="D2032" s="6">
        <v>46309.4831597222</v>
      </c>
      <c r="E2032" s="6">
        <v>46309.233124999999</v>
      </c>
      <c r="F2032" s="6">
        <v>46309</v>
      </c>
      <c r="G2032" s="5" t="s">
        <v>12</v>
      </c>
      <c r="H2032" s="5" t="s">
        <v>27</v>
      </c>
      <c r="I2032" s="5">
        <v>4</v>
      </c>
      <c r="J2032" s="10" t="s">
        <v>17</v>
      </c>
      <c r="K2032" s="1" t="s">
        <v>2324</v>
      </c>
      <c r="M2032" t="str">
        <f>+VLOOKUP(C2032,'[1]TIENDAS 2025'!$A$1:$C$143,3,0)</f>
        <v>local</v>
      </c>
      <c r="O2032">
        <v>1</v>
      </c>
    </row>
    <row r="2033" spans="1:15" ht="15" customHeight="1" x14ac:dyDescent="0.3">
      <c r="A2033" s="7">
        <v>1209671781</v>
      </c>
      <c r="B2033" s="4" t="s">
        <v>482</v>
      </c>
      <c r="C2033" s="4" t="s">
        <v>483</v>
      </c>
      <c r="D2033" s="6">
        <v>46309.483171296299</v>
      </c>
      <c r="E2033" s="6">
        <v>46309.233148148101</v>
      </c>
      <c r="F2033" s="6">
        <v>46309</v>
      </c>
      <c r="G2033" s="5" t="s">
        <v>12</v>
      </c>
      <c r="H2033" s="5" t="s">
        <v>16</v>
      </c>
      <c r="I2033" s="5">
        <v>2</v>
      </c>
      <c r="J2033" s="9" t="s">
        <v>17</v>
      </c>
      <c r="K2033" s="1" t="s">
        <v>2325</v>
      </c>
      <c r="L2033" t="s">
        <v>3284</v>
      </c>
      <c r="M2033" t="str">
        <f>+VLOOKUP(C2033,'[1]TIENDAS 2025'!$A$1:$C$143,3,0)</f>
        <v>local</v>
      </c>
      <c r="O2033">
        <v>1</v>
      </c>
    </row>
    <row r="2034" spans="1:15" ht="15" customHeight="1" x14ac:dyDescent="0.3">
      <c r="A2034" s="7">
        <v>1209671843</v>
      </c>
      <c r="B2034" s="4" t="s">
        <v>412</v>
      </c>
      <c r="C2034" s="4" t="s">
        <v>413</v>
      </c>
      <c r="D2034" s="6">
        <v>46309.483194444401</v>
      </c>
      <c r="E2034" s="6">
        <v>46309.233171296299</v>
      </c>
      <c r="F2034" s="6">
        <v>46309</v>
      </c>
      <c r="G2034" s="5" t="s">
        <v>12</v>
      </c>
      <c r="H2034" s="5" t="s">
        <v>29</v>
      </c>
      <c r="I2034" s="5">
        <v>33</v>
      </c>
      <c r="J2034" s="9" t="s">
        <v>17</v>
      </c>
      <c r="K2034" s="1" t="s">
        <v>2326</v>
      </c>
      <c r="L2034" t="s">
        <v>3284</v>
      </c>
      <c r="M2034" t="str">
        <f>+VLOOKUP(C2034,'[1]TIENDAS 2025'!$A$1:$C$143,3,0)</f>
        <v>local</v>
      </c>
      <c r="O2034">
        <v>1</v>
      </c>
    </row>
    <row r="2035" spans="1:15" ht="15" customHeight="1" x14ac:dyDescent="0.3">
      <c r="A2035" s="7">
        <v>1209671818</v>
      </c>
      <c r="B2035" s="4" t="s">
        <v>93</v>
      </c>
      <c r="C2035" s="4" t="s">
        <v>94</v>
      </c>
      <c r="D2035" s="6">
        <v>46309.483194444401</v>
      </c>
      <c r="E2035" s="6">
        <v>46309.2331597222</v>
      </c>
      <c r="F2035" s="6">
        <v>46309</v>
      </c>
      <c r="G2035" s="5" t="s">
        <v>12</v>
      </c>
      <c r="H2035" s="5" t="s">
        <v>16</v>
      </c>
      <c r="I2035" s="5">
        <v>22</v>
      </c>
      <c r="J2035" s="9" t="s">
        <v>17</v>
      </c>
      <c r="K2035" s="1" t="s">
        <v>2327</v>
      </c>
      <c r="L2035" t="s">
        <v>3284</v>
      </c>
      <c r="M2035" t="str">
        <f>+VLOOKUP(C2035,'[1]TIENDAS 2025'!$A$1:$C$143,3,0)</f>
        <v>departamental</v>
      </c>
      <c r="O2035">
        <v>1</v>
      </c>
    </row>
    <row r="2036" spans="1:15" ht="15" customHeight="1" x14ac:dyDescent="0.3">
      <c r="A2036" s="7">
        <v>1209671826</v>
      </c>
      <c r="B2036" s="4" t="s">
        <v>93</v>
      </c>
      <c r="C2036" s="4" t="s">
        <v>94</v>
      </c>
      <c r="D2036" s="6">
        <v>46309.483217592599</v>
      </c>
      <c r="E2036" s="6">
        <v>46309.233182870397</v>
      </c>
      <c r="F2036" s="6">
        <v>46309</v>
      </c>
      <c r="G2036" s="5" t="s">
        <v>12</v>
      </c>
      <c r="H2036" s="5" t="s">
        <v>29</v>
      </c>
      <c r="I2036" s="5">
        <v>6</v>
      </c>
      <c r="J2036" s="9" t="s">
        <v>17</v>
      </c>
      <c r="K2036" s="1" t="s">
        <v>2328</v>
      </c>
      <c r="L2036" t="s">
        <v>3284</v>
      </c>
      <c r="M2036" t="str">
        <f>+VLOOKUP(C2036,'[1]TIENDAS 2025'!$A$1:$C$143,3,0)</f>
        <v>departamental</v>
      </c>
      <c r="O2036">
        <v>1</v>
      </c>
    </row>
    <row r="2037" spans="1:15" ht="15" customHeight="1" x14ac:dyDescent="0.3">
      <c r="A2037" s="7">
        <v>1209671827</v>
      </c>
      <c r="B2037" s="4" t="s">
        <v>93</v>
      </c>
      <c r="C2037" s="4" t="s">
        <v>94</v>
      </c>
      <c r="D2037" s="6">
        <v>46309.483229166697</v>
      </c>
      <c r="E2037" s="6">
        <v>46309.2332060185</v>
      </c>
      <c r="F2037" s="6">
        <v>46309</v>
      </c>
      <c r="G2037" s="5" t="s">
        <v>12</v>
      </c>
      <c r="H2037" s="5" t="s">
        <v>16</v>
      </c>
      <c r="I2037" s="5">
        <v>14</v>
      </c>
      <c r="J2037" s="9" t="s">
        <v>17</v>
      </c>
      <c r="K2037" s="1" t="s">
        <v>2329</v>
      </c>
      <c r="L2037" t="s">
        <v>3284</v>
      </c>
      <c r="M2037" t="str">
        <f>+VLOOKUP(C2037,'[1]TIENDAS 2025'!$A$1:$C$143,3,0)</f>
        <v>departamental</v>
      </c>
      <c r="O2037">
        <v>1</v>
      </c>
    </row>
    <row r="2038" spans="1:15" ht="15" customHeight="1" x14ac:dyDescent="0.3">
      <c r="A2038" s="7">
        <v>1209671844</v>
      </c>
      <c r="B2038" s="4" t="s">
        <v>412</v>
      </c>
      <c r="C2038" s="4" t="s">
        <v>413</v>
      </c>
      <c r="D2038" s="6">
        <v>46309.4832523148</v>
      </c>
      <c r="E2038" s="6">
        <v>46309.233229166697</v>
      </c>
      <c r="F2038" s="6">
        <v>46309</v>
      </c>
      <c r="G2038" s="5" t="s">
        <v>12</v>
      </c>
      <c r="H2038" s="5" t="s">
        <v>16</v>
      </c>
      <c r="I2038" s="5">
        <v>23</v>
      </c>
      <c r="J2038" s="9" t="s">
        <v>17</v>
      </c>
      <c r="K2038" s="1" t="s">
        <v>2330</v>
      </c>
      <c r="L2038" t="s">
        <v>3284</v>
      </c>
      <c r="M2038" t="str">
        <f>+VLOOKUP(C2038,'[1]TIENDAS 2025'!$A$1:$C$143,3,0)</f>
        <v>local</v>
      </c>
      <c r="O2038">
        <v>1</v>
      </c>
    </row>
    <row r="2039" spans="1:15" ht="15" customHeight="1" x14ac:dyDescent="0.3">
      <c r="A2039" s="7">
        <v>1209671828</v>
      </c>
      <c r="B2039" s="4" t="s">
        <v>93</v>
      </c>
      <c r="C2039" s="4" t="s">
        <v>94</v>
      </c>
      <c r="D2039" s="6">
        <v>46309.4832523148</v>
      </c>
      <c r="E2039" s="6">
        <v>46309.233217592599</v>
      </c>
      <c r="F2039" s="6">
        <v>46309</v>
      </c>
      <c r="G2039" s="5" t="s">
        <v>12</v>
      </c>
      <c r="H2039" s="5" t="s">
        <v>16</v>
      </c>
      <c r="I2039" s="5">
        <v>7</v>
      </c>
      <c r="J2039" s="9" t="s">
        <v>17</v>
      </c>
      <c r="K2039" s="1" t="s">
        <v>2331</v>
      </c>
      <c r="L2039" t="s">
        <v>3284</v>
      </c>
      <c r="M2039" t="str">
        <f>+VLOOKUP(C2039,'[1]TIENDAS 2025'!$A$1:$C$143,3,0)</f>
        <v>departamental</v>
      </c>
      <c r="O2039">
        <v>1</v>
      </c>
    </row>
    <row r="2040" spans="1:15" ht="15" customHeight="1" x14ac:dyDescent="0.3">
      <c r="A2040" s="7">
        <v>1209671829</v>
      </c>
      <c r="B2040" s="4" t="s">
        <v>93</v>
      </c>
      <c r="C2040" s="4" t="s">
        <v>94</v>
      </c>
      <c r="D2040" s="6">
        <v>46309.483263888898</v>
      </c>
      <c r="E2040" s="6">
        <v>46309.233240740701</v>
      </c>
      <c r="F2040" s="6">
        <v>46309</v>
      </c>
      <c r="G2040" s="5" t="s">
        <v>12</v>
      </c>
      <c r="H2040" s="5" t="s">
        <v>16</v>
      </c>
      <c r="I2040" s="5">
        <v>19</v>
      </c>
      <c r="J2040" s="9" t="s">
        <v>17</v>
      </c>
      <c r="K2040" s="1" t="s">
        <v>2332</v>
      </c>
      <c r="L2040" t="s">
        <v>3284</v>
      </c>
      <c r="M2040" t="str">
        <f>+VLOOKUP(C2040,'[1]TIENDAS 2025'!$A$1:$C$143,3,0)</f>
        <v>departamental</v>
      </c>
      <c r="O2040">
        <v>1</v>
      </c>
    </row>
    <row r="2041" spans="1:15" ht="15" customHeight="1" x14ac:dyDescent="0.3">
      <c r="A2041" s="7">
        <v>8209671903</v>
      </c>
      <c r="B2041" s="4" t="s">
        <v>226</v>
      </c>
      <c r="C2041" s="4" t="s">
        <v>227</v>
      </c>
      <c r="D2041" s="6">
        <v>46309.483287037001</v>
      </c>
      <c r="E2041" s="6">
        <v>46309.2332523148</v>
      </c>
      <c r="F2041" s="6">
        <v>46309</v>
      </c>
      <c r="G2041" s="5" t="s">
        <v>12</v>
      </c>
      <c r="H2041" s="5" t="s">
        <v>27</v>
      </c>
      <c r="I2041" s="5">
        <v>12</v>
      </c>
      <c r="J2041" s="10" t="s">
        <v>17</v>
      </c>
      <c r="K2041" s="1" t="s">
        <v>2333</v>
      </c>
      <c r="M2041" t="str">
        <f>+VLOOKUP(C2041,'[1]TIENDAS 2025'!$A$1:$C$143,3,0)</f>
        <v>departamental</v>
      </c>
      <c r="O2041">
        <v>1</v>
      </c>
    </row>
    <row r="2042" spans="1:15" ht="15" customHeight="1" x14ac:dyDescent="0.3">
      <c r="A2042" s="7">
        <v>1209671926</v>
      </c>
      <c r="B2042" s="4" t="s">
        <v>226</v>
      </c>
      <c r="C2042" s="4" t="s">
        <v>227</v>
      </c>
      <c r="D2042" s="6">
        <v>46309.4832986111</v>
      </c>
      <c r="E2042" s="6">
        <v>46309.233275462997</v>
      </c>
      <c r="F2042" s="6">
        <v>46309</v>
      </c>
      <c r="G2042" s="5" t="s">
        <v>12</v>
      </c>
      <c r="H2042" s="5" t="s">
        <v>16</v>
      </c>
      <c r="I2042" s="5">
        <v>2</v>
      </c>
      <c r="J2042" s="9" t="s">
        <v>17</v>
      </c>
      <c r="K2042" s="1" t="s">
        <v>2334</v>
      </c>
      <c r="L2042" t="s">
        <v>3284</v>
      </c>
      <c r="M2042" t="str">
        <f>+VLOOKUP(C2042,'[1]TIENDAS 2025'!$A$1:$C$143,3,0)</f>
        <v>departamental</v>
      </c>
      <c r="O2042">
        <v>1</v>
      </c>
    </row>
    <row r="2043" spans="1:15" ht="15" customHeight="1" x14ac:dyDescent="0.3">
      <c r="A2043" s="7">
        <v>1209671884</v>
      </c>
      <c r="B2043" s="4" t="s">
        <v>364</v>
      </c>
      <c r="C2043" s="4" t="s">
        <v>365</v>
      </c>
      <c r="D2043" s="6">
        <v>46309.483310185198</v>
      </c>
      <c r="E2043" s="6">
        <v>46309.233287037001</v>
      </c>
      <c r="F2043" s="6">
        <v>46309</v>
      </c>
      <c r="G2043" s="5" t="s">
        <v>12</v>
      </c>
      <c r="H2043" s="5" t="s">
        <v>27</v>
      </c>
      <c r="I2043" s="5">
        <v>51</v>
      </c>
      <c r="J2043" s="9" t="s">
        <v>17</v>
      </c>
      <c r="K2043" s="1" t="s">
        <v>2335</v>
      </c>
      <c r="L2043" t="s">
        <v>3284</v>
      </c>
      <c r="M2043" t="str">
        <f>+VLOOKUP(C2043,'[1]TIENDAS 2025'!$A$1:$C$143,3,0)</f>
        <v>local</v>
      </c>
      <c r="O2043">
        <v>1</v>
      </c>
    </row>
    <row r="2044" spans="1:15" ht="15" customHeight="1" x14ac:dyDescent="0.3">
      <c r="A2044" s="7">
        <v>1209671989</v>
      </c>
      <c r="B2044" s="4" t="s">
        <v>280</v>
      </c>
      <c r="C2044" s="4" t="s">
        <v>281</v>
      </c>
      <c r="D2044" s="6">
        <v>46309.485567129603</v>
      </c>
      <c r="E2044" s="6">
        <v>46309.235532407401</v>
      </c>
      <c r="F2044" s="6">
        <v>46309</v>
      </c>
      <c r="G2044" s="5" t="s">
        <v>12</v>
      </c>
      <c r="H2044" s="5" t="s">
        <v>29</v>
      </c>
      <c r="I2044" s="5">
        <v>32</v>
      </c>
      <c r="J2044" s="9" t="s">
        <v>17</v>
      </c>
      <c r="K2044" s="1" t="s">
        <v>2336</v>
      </c>
      <c r="L2044" t="s">
        <v>3284</v>
      </c>
      <c r="M2044" t="str">
        <f>+VLOOKUP(C2044,'[1]TIENDAS 2025'!$A$1:$C$143,3,0)</f>
        <v>nocturna</v>
      </c>
      <c r="O2044">
        <v>1</v>
      </c>
    </row>
    <row r="2045" spans="1:15" ht="15" customHeight="1" x14ac:dyDescent="0.3">
      <c r="A2045" s="7">
        <v>8209671996</v>
      </c>
      <c r="B2045" s="4" t="s">
        <v>280</v>
      </c>
      <c r="C2045" s="4" t="s">
        <v>281</v>
      </c>
      <c r="D2045" s="6">
        <v>46309.485578703701</v>
      </c>
      <c r="E2045" s="6">
        <v>46309.235555555599</v>
      </c>
      <c r="F2045" s="6">
        <v>46309</v>
      </c>
      <c r="G2045" s="5" t="s">
        <v>12</v>
      </c>
      <c r="H2045" s="5" t="s">
        <v>27</v>
      </c>
      <c r="I2045" s="5">
        <v>22</v>
      </c>
      <c r="J2045" s="10" t="s">
        <v>17</v>
      </c>
      <c r="K2045" s="1" t="s">
        <v>2337</v>
      </c>
      <c r="M2045" t="str">
        <f>+VLOOKUP(C2045,'[1]TIENDAS 2025'!$A$1:$C$143,3,0)</f>
        <v>nocturna</v>
      </c>
      <c r="O2045">
        <v>1</v>
      </c>
    </row>
    <row r="2046" spans="1:15" ht="15" customHeight="1" x14ac:dyDescent="0.3">
      <c r="A2046" s="7">
        <v>1209671992</v>
      </c>
      <c r="B2046" s="4" t="s">
        <v>280</v>
      </c>
      <c r="C2046" s="4" t="s">
        <v>281</v>
      </c>
      <c r="D2046" s="6">
        <v>46309.485601851899</v>
      </c>
      <c r="E2046" s="6">
        <v>46309.235567129603</v>
      </c>
      <c r="F2046" s="6">
        <v>46309</v>
      </c>
      <c r="G2046" s="5" t="s">
        <v>12</v>
      </c>
      <c r="H2046" s="5" t="s">
        <v>16</v>
      </c>
      <c r="I2046" s="5">
        <v>52</v>
      </c>
      <c r="J2046" s="9" t="s">
        <v>17</v>
      </c>
      <c r="K2046" s="1" t="s">
        <v>2338</v>
      </c>
      <c r="L2046" t="s">
        <v>3284</v>
      </c>
      <c r="M2046" t="str">
        <f>+VLOOKUP(C2046,'[1]TIENDAS 2025'!$A$1:$C$143,3,0)</f>
        <v>nocturna</v>
      </c>
      <c r="O2046">
        <v>1</v>
      </c>
    </row>
    <row r="2047" spans="1:15" ht="15" customHeight="1" x14ac:dyDescent="0.3">
      <c r="A2047" s="7">
        <v>8209672010</v>
      </c>
      <c r="B2047" s="4" t="s">
        <v>367</v>
      </c>
      <c r="C2047" s="4" t="s">
        <v>368</v>
      </c>
      <c r="D2047" s="6">
        <v>46309.485613425903</v>
      </c>
      <c r="E2047" s="6">
        <v>46309.2355902778</v>
      </c>
      <c r="F2047" s="6">
        <v>46309</v>
      </c>
      <c r="G2047" s="5" t="s">
        <v>12</v>
      </c>
      <c r="H2047" s="5" t="s">
        <v>27</v>
      </c>
      <c r="I2047" s="5">
        <v>12</v>
      </c>
      <c r="J2047" s="10" t="s">
        <v>17</v>
      </c>
      <c r="K2047" s="1" t="s">
        <v>2339</v>
      </c>
      <c r="M2047" t="str">
        <f>+VLOOKUP(C2047,'[1]TIENDAS 2025'!$A$1:$C$143,3,0)</f>
        <v>local</v>
      </c>
      <c r="O2047">
        <v>1</v>
      </c>
    </row>
    <row r="2048" spans="1:15" ht="15" customHeight="1" x14ac:dyDescent="0.3">
      <c r="A2048" s="7">
        <v>1209672029</v>
      </c>
      <c r="B2048" s="4" t="s">
        <v>367</v>
      </c>
      <c r="C2048" s="4" t="s">
        <v>368</v>
      </c>
      <c r="D2048" s="6">
        <v>46309.4856365741</v>
      </c>
      <c r="E2048" s="6">
        <v>46309.235601851899</v>
      </c>
      <c r="F2048" s="6">
        <v>46309</v>
      </c>
      <c r="G2048" s="5" t="s">
        <v>12</v>
      </c>
      <c r="H2048" s="5" t="s">
        <v>29</v>
      </c>
      <c r="I2048" s="5">
        <v>38</v>
      </c>
      <c r="J2048" s="9" t="s">
        <v>17</v>
      </c>
      <c r="K2048" s="1" t="s">
        <v>2340</v>
      </c>
      <c r="L2048" t="s">
        <v>3284</v>
      </c>
      <c r="M2048" t="str">
        <f>+VLOOKUP(C2048,'[1]TIENDAS 2025'!$A$1:$C$143,3,0)</f>
        <v>local</v>
      </c>
      <c r="O2048">
        <v>1</v>
      </c>
    </row>
    <row r="2049" spans="1:15" ht="15" customHeight="1" x14ac:dyDescent="0.3">
      <c r="A2049" s="7">
        <v>1209672011</v>
      </c>
      <c r="B2049" s="4" t="s">
        <v>367</v>
      </c>
      <c r="C2049" s="4" t="s">
        <v>368</v>
      </c>
      <c r="D2049" s="6">
        <v>46309.485648148097</v>
      </c>
      <c r="E2049" s="6">
        <v>46309.235625000001</v>
      </c>
      <c r="F2049" s="6">
        <v>46309</v>
      </c>
      <c r="G2049" s="5" t="s">
        <v>12</v>
      </c>
      <c r="H2049" s="5" t="s">
        <v>16</v>
      </c>
      <c r="I2049" s="5">
        <v>5</v>
      </c>
      <c r="J2049" s="9" t="s">
        <v>17</v>
      </c>
      <c r="K2049" s="1" t="s">
        <v>2341</v>
      </c>
      <c r="L2049" t="s">
        <v>3284</v>
      </c>
      <c r="M2049" t="str">
        <f>+VLOOKUP(C2049,'[1]TIENDAS 2025'!$A$1:$C$143,3,0)</f>
        <v>local</v>
      </c>
      <c r="O2049">
        <v>1</v>
      </c>
    </row>
    <row r="2050" spans="1:15" ht="15" customHeight="1" x14ac:dyDescent="0.3">
      <c r="A2050" s="7">
        <v>1209671949</v>
      </c>
      <c r="B2050" s="4" t="s">
        <v>181</v>
      </c>
      <c r="C2050" s="4" t="s">
        <v>182</v>
      </c>
      <c r="D2050" s="6">
        <v>46309.485671296301</v>
      </c>
      <c r="E2050" s="6">
        <v>46309.2356365741</v>
      </c>
      <c r="F2050" s="6">
        <v>46309</v>
      </c>
      <c r="G2050" s="5" t="s">
        <v>12</v>
      </c>
      <c r="H2050" s="5" t="s">
        <v>16</v>
      </c>
      <c r="I2050" s="5">
        <v>30</v>
      </c>
      <c r="J2050" s="9" t="s">
        <v>17</v>
      </c>
      <c r="K2050" s="1" t="s">
        <v>2342</v>
      </c>
      <c r="L2050" t="s">
        <v>3284</v>
      </c>
      <c r="M2050" t="str">
        <f>+VLOOKUP(C2050,'[1]TIENDAS 2025'!$A$1:$C$143,3,0)</f>
        <v>departamental</v>
      </c>
      <c r="O2050">
        <v>1</v>
      </c>
    </row>
    <row r="2051" spans="1:15" ht="15" customHeight="1" x14ac:dyDescent="0.3">
      <c r="A2051" s="7">
        <v>1209672014</v>
      </c>
      <c r="B2051" s="4" t="s">
        <v>367</v>
      </c>
      <c r="C2051" s="4" t="s">
        <v>368</v>
      </c>
      <c r="D2051" s="6">
        <v>46309.485694444404</v>
      </c>
      <c r="E2051" s="6">
        <v>46309.235659722202</v>
      </c>
      <c r="F2051" s="6">
        <v>46309</v>
      </c>
      <c r="G2051" s="5" t="s">
        <v>12</v>
      </c>
      <c r="H2051" s="5" t="s">
        <v>16</v>
      </c>
      <c r="I2051" s="5">
        <v>10</v>
      </c>
      <c r="J2051" s="9" t="s">
        <v>17</v>
      </c>
      <c r="K2051" s="1" t="s">
        <v>2343</v>
      </c>
      <c r="L2051" t="s">
        <v>3284</v>
      </c>
      <c r="M2051" t="str">
        <f>+VLOOKUP(C2051,'[1]TIENDAS 2025'!$A$1:$C$143,3,0)</f>
        <v>local</v>
      </c>
      <c r="O2051">
        <v>1</v>
      </c>
    </row>
    <row r="2052" spans="1:15" ht="15" customHeight="1" x14ac:dyDescent="0.3">
      <c r="A2052" s="7">
        <v>8209671979</v>
      </c>
      <c r="B2052" s="4" t="s">
        <v>280</v>
      </c>
      <c r="C2052" s="4" t="s">
        <v>281</v>
      </c>
      <c r="D2052" s="6">
        <v>46309.485706018502</v>
      </c>
      <c r="E2052" s="6">
        <v>46309.2356828704</v>
      </c>
      <c r="F2052" s="6">
        <v>46309</v>
      </c>
      <c r="G2052" s="5" t="s">
        <v>12</v>
      </c>
      <c r="H2052" s="5" t="s">
        <v>27</v>
      </c>
      <c r="I2052" s="5">
        <v>4</v>
      </c>
      <c r="J2052" s="10" t="s">
        <v>17</v>
      </c>
      <c r="K2052" s="1" t="s">
        <v>2344</v>
      </c>
      <c r="M2052" t="str">
        <f>+VLOOKUP(C2052,'[1]TIENDAS 2025'!$A$1:$C$143,3,0)</f>
        <v>nocturna</v>
      </c>
      <c r="O2052">
        <v>1</v>
      </c>
    </row>
    <row r="2053" spans="1:15" ht="15" customHeight="1" x14ac:dyDescent="0.3">
      <c r="A2053" s="7">
        <v>8209672006</v>
      </c>
      <c r="B2053" s="4" t="s">
        <v>367</v>
      </c>
      <c r="C2053" s="4" t="s">
        <v>368</v>
      </c>
      <c r="D2053" s="6">
        <v>46309.485729166699</v>
      </c>
      <c r="E2053" s="6">
        <v>46309.235706018502</v>
      </c>
      <c r="F2053" s="6">
        <v>46309</v>
      </c>
      <c r="G2053" s="5" t="s">
        <v>12</v>
      </c>
      <c r="H2053" s="5" t="s">
        <v>27</v>
      </c>
      <c r="I2053" s="5">
        <v>2</v>
      </c>
      <c r="J2053" s="10" t="s">
        <v>17</v>
      </c>
      <c r="K2053" s="1" t="s">
        <v>2345</v>
      </c>
      <c r="M2053" t="str">
        <f>+VLOOKUP(C2053,'[1]TIENDAS 2025'!$A$1:$C$143,3,0)</f>
        <v>local</v>
      </c>
      <c r="O2053">
        <v>1</v>
      </c>
    </row>
    <row r="2054" spans="1:15" ht="15" customHeight="1" x14ac:dyDescent="0.3">
      <c r="A2054" s="7">
        <v>1209671985</v>
      </c>
      <c r="B2054" s="4" t="s">
        <v>280</v>
      </c>
      <c r="C2054" s="4" t="s">
        <v>281</v>
      </c>
      <c r="D2054" s="6">
        <v>46309.485740740703</v>
      </c>
      <c r="E2054" s="6">
        <v>46309.235717592601</v>
      </c>
      <c r="F2054" s="6">
        <v>46309</v>
      </c>
      <c r="G2054" s="5" t="s">
        <v>12</v>
      </c>
      <c r="H2054" s="5" t="s">
        <v>29</v>
      </c>
      <c r="I2054" s="5">
        <v>15</v>
      </c>
      <c r="J2054" s="9" t="s">
        <v>17</v>
      </c>
      <c r="K2054" s="1" t="s">
        <v>2346</v>
      </c>
      <c r="L2054" t="s">
        <v>3284</v>
      </c>
      <c r="M2054" t="str">
        <f>+VLOOKUP(C2054,'[1]TIENDAS 2025'!$A$1:$C$143,3,0)</f>
        <v>nocturna</v>
      </c>
      <c r="O2054">
        <v>1</v>
      </c>
    </row>
    <row r="2055" spans="1:15" ht="15" customHeight="1" x14ac:dyDescent="0.3">
      <c r="A2055" s="7">
        <v>8209671943</v>
      </c>
      <c r="B2055" s="4" t="s">
        <v>181</v>
      </c>
      <c r="C2055" s="4" t="s">
        <v>182</v>
      </c>
      <c r="D2055" s="6">
        <v>46309.485763888901</v>
      </c>
      <c r="E2055" s="6">
        <v>46309.235729166699</v>
      </c>
      <c r="F2055" s="6">
        <v>46309</v>
      </c>
      <c r="G2055" s="5" t="s">
        <v>12</v>
      </c>
      <c r="H2055" s="5" t="s">
        <v>27</v>
      </c>
      <c r="I2055" s="5">
        <v>9</v>
      </c>
      <c r="J2055" s="10" t="s">
        <v>17</v>
      </c>
      <c r="K2055" s="1" t="s">
        <v>2347</v>
      </c>
      <c r="M2055" t="str">
        <f>+VLOOKUP(C2055,'[1]TIENDAS 2025'!$A$1:$C$143,3,0)</f>
        <v>departamental</v>
      </c>
      <c r="O2055">
        <v>1</v>
      </c>
    </row>
    <row r="2056" spans="1:15" ht="15" customHeight="1" x14ac:dyDescent="0.3">
      <c r="A2056" s="7">
        <v>1209671945</v>
      </c>
      <c r="B2056" s="4" t="s">
        <v>181</v>
      </c>
      <c r="C2056" s="4" t="s">
        <v>182</v>
      </c>
      <c r="D2056" s="6">
        <v>46309.485775462999</v>
      </c>
      <c r="E2056" s="6">
        <v>46309.235740740703</v>
      </c>
      <c r="F2056" s="6">
        <v>46309</v>
      </c>
      <c r="G2056" s="5" t="s">
        <v>12</v>
      </c>
      <c r="H2056" s="5" t="s">
        <v>16</v>
      </c>
      <c r="I2056" s="5">
        <v>1</v>
      </c>
      <c r="J2056" s="9" t="s">
        <v>17</v>
      </c>
      <c r="K2056" s="1" t="s">
        <v>2348</v>
      </c>
      <c r="L2056" t="s">
        <v>3284</v>
      </c>
      <c r="M2056" t="str">
        <f>+VLOOKUP(C2056,'[1]TIENDAS 2025'!$A$1:$C$143,3,0)</f>
        <v>departamental</v>
      </c>
      <c r="O2056">
        <v>1</v>
      </c>
    </row>
    <row r="2057" spans="1:15" ht="15" customHeight="1" x14ac:dyDescent="0.3">
      <c r="A2057" s="7">
        <v>1209672013</v>
      </c>
      <c r="B2057" s="4" t="s">
        <v>367</v>
      </c>
      <c r="C2057" s="4" t="s">
        <v>368</v>
      </c>
      <c r="D2057" s="6">
        <v>46309.485787037003</v>
      </c>
      <c r="E2057" s="6">
        <v>46309.235763888901</v>
      </c>
      <c r="F2057" s="6">
        <v>46309</v>
      </c>
      <c r="G2057" s="5" t="s">
        <v>12</v>
      </c>
      <c r="H2057" s="5" t="s">
        <v>29</v>
      </c>
      <c r="I2057" s="5">
        <v>13</v>
      </c>
      <c r="J2057" s="9" t="s">
        <v>17</v>
      </c>
      <c r="K2057" s="1" t="s">
        <v>2349</v>
      </c>
      <c r="L2057" t="s">
        <v>3284</v>
      </c>
      <c r="M2057" t="str">
        <f>+VLOOKUP(C2057,'[1]TIENDAS 2025'!$A$1:$C$143,3,0)</f>
        <v>local</v>
      </c>
      <c r="O2057">
        <v>1</v>
      </c>
    </row>
    <row r="2058" spans="1:15" ht="15" customHeight="1" x14ac:dyDescent="0.3">
      <c r="A2058" s="7">
        <v>1209672002</v>
      </c>
      <c r="B2058" s="4" t="s">
        <v>280</v>
      </c>
      <c r="C2058" s="4" t="s">
        <v>281</v>
      </c>
      <c r="D2058" s="6">
        <v>46309.485798611102</v>
      </c>
      <c r="E2058" s="6">
        <v>46309.235775462999</v>
      </c>
      <c r="F2058" s="6">
        <v>46309</v>
      </c>
      <c r="G2058" s="5" t="s">
        <v>12</v>
      </c>
      <c r="H2058" s="5" t="s">
        <v>16</v>
      </c>
      <c r="I2058" s="5">
        <v>7</v>
      </c>
      <c r="J2058" s="9" t="s">
        <v>17</v>
      </c>
      <c r="K2058" s="1" t="s">
        <v>2350</v>
      </c>
      <c r="L2058" t="s">
        <v>3284</v>
      </c>
      <c r="M2058" t="str">
        <f>+VLOOKUP(C2058,'[1]TIENDAS 2025'!$A$1:$C$143,3,0)</f>
        <v>nocturna</v>
      </c>
      <c r="O2058">
        <v>1</v>
      </c>
    </row>
    <row r="2059" spans="1:15" ht="15" customHeight="1" x14ac:dyDescent="0.3">
      <c r="A2059" s="7">
        <v>8209672007</v>
      </c>
      <c r="B2059" s="4" t="s">
        <v>367</v>
      </c>
      <c r="C2059" s="4" t="s">
        <v>368</v>
      </c>
      <c r="D2059" s="6">
        <v>46309.485821759299</v>
      </c>
      <c r="E2059" s="6">
        <v>46309.235787037003</v>
      </c>
      <c r="F2059" s="6">
        <v>46309</v>
      </c>
      <c r="G2059" s="5" t="s">
        <v>12</v>
      </c>
      <c r="H2059" s="5" t="s">
        <v>27</v>
      </c>
      <c r="I2059" s="5">
        <v>9</v>
      </c>
      <c r="J2059" s="10" t="s">
        <v>17</v>
      </c>
      <c r="K2059" s="1" t="s">
        <v>2351</v>
      </c>
      <c r="M2059" t="str">
        <f>+VLOOKUP(C2059,'[1]TIENDAS 2025'!$A$1:$C$143,3,0)</f>
        <v>local</v>
      </c>
      <c r="O2059">
        <v>1</v>
      </c>
    </row>
    <row r="2060" spans="1:15" ht="15" customHeight="1" x14ac:dyDescent="0.3">
      <c r="A2060" s="7">
        <v>8209672008</v>
      </c>
      <c r="B2060" s="4" t="s">
        <v>367</v>
      </c>
      <c r="C2060" s="4" t="s">
        <v>368</v>
      </c>
      <c r="D2060" s="6">
        <v>46309.485833333303</v>
      </c>
      <c r="E2060" s="6">
        <v>46309.235798611102</v>
      </c>
      <c r="F2060" s="6">
        <v>46309</v>
      </c>
      <c r="G2060" s="5" t="s">
        <v>12</v>
      </c>
      <c r="H2060" s="5" t="s">
        <v>27</v>
      </c>
      <c r="I2060" s="5">
        <v>9</v>
      </c>
      <c r="J2060" s="10" t="s">
        <v>17</v>
      </c>
      <c r="K2060" s="1" t="s">
        <v>2352</v>
      </c>
      <c r="M2060" t="str">
        <f>+VLOOKUP(C2060,'[1]TIENDAS 2025'!$A$1:$C$143,3,0)</f>
        <v>local</v>
      </c>
      <c r="O2060">
        <v>1</v>
      </c>
    </row>
    <row r="2061" spans="1:15" ht="15" customHeight="1" x14ac:dyDescent="0.3">
      <c r="A2061" s="7">
        <v>1209671951</v>
      </c>
      <c r="B2061" s="4" t="s">
        <v>181</v>
      </c>
      <c r="C2061" s="4" t="s">
        <v>182</v>
      </c>
      <c r="D2061" s="6">
        <v>46309.485844907402</v>
      </c>
      <c r="E2061" s="6">
        <v>46309.235821759299</v>
      </c>
      <c r="F2061" s="6">
        <v>46309</v>
      </c>
      <c r="G2061" s="5" t="s">
        <v>12</v>
      </c>
      <c r="H2061" s="5" t="s">
        <v>16</v>
      </c>
      <c r="I2061" s="5">
        <v>20</v>
      </c>
      <c r="J2061" s="9" t="s">
        <v>17</v>
      </c>
      <c r="K2061" s="1" t="s">
        <v>2353</v>
      </c>
      <c r="L2061" t="s">
        <v>3284</v>
      </c>
      <c r="M2061" t="str">
        <f>+VLOOKUP(C2061,'[1]TIENDAS 2025'!$A$1:$C$143,3,0)</f>
        <v>departamental</v>
      </c>
      <c r="O2061">
        <v>1</v>
      </c>
    </row>
    <row r="2062" spans="1:15" ht="15" customHeight="1" x14ac:dyDescent="0.3">
      <c r="A2062" s="7">
        <v>8209671955</v>
      </c>
      <c r="B2062" s="4" t="s">
        <v>181</v>
      </c>
      <c r="C2062" s="4" t="s">
        <v>182</v>
      </c>
      <c r="D2062" s="6">
        <v>46309.485868055599</v>
      </c>
      <c r="E2062" s="6">
        <v>46309.235833333303</v>
      </c>
      <c r="F2062" s="6">
        <v>46309</v>
      </c>
      <c r="G2062" s="5" t="s">
        <v>12</v>
      </c>
      <c r="H2062" s="5" t="s">
        <v>27</v>
      </c>
      <c r="I2062" s="5">
        <v>11</v>
      </c>
      <c r="J2062" s="10" t="s">
        <v>17</v>
      </c>
      <c r="K2062" s="1" t="s">
        <v>2354</v>
      </c>
      <c r="M2062" t="str">
        <f>+VLOOKUP(C2062,'[1]TIENDAS 2025'!$A$1:$C$143,3,0)</f>
        <v>departamental</v>
      </c>
      <c r="O2062">
        <v>1</v>
      </c>
    </row>
    <row r="2063" spans="1:15" ht="15" customHeight="1" x14ac:dyDescent="0.3">
      <c r="A2063" s="7">
        <v>1209672015</v>
      </c>
      <c r="B2063" s="4" t="s">
        <v>367</v>
      </c>
      <c r="C2063" s="4" t="s">
        <v>368</v>
      </c>
      <c r="D2063" s="6">
        <v>46309.485879629603</v>
      </c>
      <c r="E2063" s="6">
        <v>46309.235844907402</v>
      </c>
      <c r="F2063" s="6">
        <v>46309</v>
      </c>
      <c r="G2063" s="5" t="s">
        <v>12</v>
      </c>
      <c r="H2063" s="5" t="s">
        <v>29</v>
      </c>
      <c r="I2063" s="5">
        <v>16</v>
      </c>
      <c r="J2063" s="9" t="s">
        <v>17</v>
      </c>
      <c r="K2063" s="1" t="s">
        <v>2355</v>
      </c>
      <c r="L2063" t="s">
        <v>3284</v>
      </c>
      <c r="M2063" t="str">
        <f>+VLOOKUP(C2063,'[1]TIENDAS 2025'!$A$1:$C$143,3,0)</f>
        <v>local</v>
      </c>
      <c r="O2063">
        <v>1</v>
      </c>
    </row>
    <row r="2064" spans="1:15" ht="15" customHeight="1" x14ac:dyDescent="0.3">
      <c r="A2064" s="7">
        <v>8209671982</v>
      </c>
      <c r="B2064" s="4" t="s">
        <v>280</v>
      </c>
      <c r="C2064" s="4" t="s">
        <v>281</v>
      </c>
      <c r="D2064" s="6">
        <v>46309.485891203702</v>
      </c>
      <c r="E2064" s="6">
        <v>46309.235868055599</v>
      </c>
      <c r="F2064" s="6">
        <v>46309</v>
      </c>
      <c r="G2064" s="5" t="s">
        <v>12</v>
      </c>
      <c r="H2064" s="5" t="s">
        <v>27</v>
      </c>
      <c r="I2064" s="5">
        <v>5</v>
      </c>
      <c r="J2064" s="10" t="s">
        <v>17</v>
      </c>
      <c r="K2064" s="1" t="s">
        <v>2356</v>
      </c>
      <c r="M2064" t="str">
        <f>+VLOOKUP(C2064,'[1]TIENDAS 2025'!$A$1:$C$143,3,0)</f>
        <v>nocturna</v>
      </c>
      <c r="O2064">
        <v>1</v>
      </c>
    </row>
    <row r="2065" spans="1:15" ht="15" customHeight="1" x14ac:dyDescent="0.3">
      <c r="A2065" s="7">
        <v>1209672012</v>
      </c>
      <c r="B2065" s="4" t="s">
        <v>367</v>
      </c>
      <c r="C2065" s="4" t="s">
        <v>368</v>
      </c>
      <c r="D2065" s="6">
        <v>46309.4859027778</v>
      </c>
      <c r="E2065" s="6">
        <v>46309.235879629603</v>
      </c>
      <c r="F2065" s="6">
        <v>46309</v>
      </c>
      <c r="G2065" s="5" t="s">
        <v>12</v>
      </c>
      <c r="H2065" s="5" t="s">
        <v>16</v>
      </c>
      <c r="I2065" s="5">
        <v>12</v>
      </c>
      <c r="J2065" s="9" t="s">
        <v>17</v>
      </c>
      <c r="K2065" s="1" t="s">
        <v>2357</v>
      </c>
      <c r="L2065" t="s">
        <v>3284</v>
      </c>
      <c r="M2065" t="str">
        <f>+VLOOKUP(C2065,'[1]TIENDAS 2025'!$A$1:$C$143,3,0)</f>
        <v>local</v>
      </c>
      <c r="O2065">
        <v>1</v>
      </c>
    </row>
    <row r="2066" spans="1:15" ht="15" customHeight="1" x14ac:dyDescent="0.3">
      <c r="A2066" s="7">
        <v>8209671942</v>
      </c>
      <c r="B2066" s="4" t="s">
        <v>181</v>
      </c>
      <c r="C2066" s="4" t="s">
        <v>182</v>
      </c>
      <c r="D2066" s="6">
        <v>46309.485925925903</v>
      </c>
      <c r="E2066" s="6">
        <v>46309.235891203702</v>
      </c>
      <c r="F2066" s="6">
        <v>46309</v>
      </c>
      <c r="G2066" s="5" t="s">
        <v>12</v>
      </c>
      <c r="H2066" s="5" t="s">
        <v>27</v>
      </c>
      <c r="I2066" s="5">
        <v>15</v>
      </c>
      <c r="J2066" s="10" t="s">
        <v>17</v>
      </c>
      <c r="K2066" s="1" t="s">
        <v>2358</v>
      </c>
      <c r="M2066" t="str">
        <f>+VLOOKUP(C2066,'[1]TIENDAS 2025'!$A$1:$C$143,3,0)</f>
        <v>departamental</v>
      </c>
      <c r="O2066">
        <v>1</v>
      </c>
    </row>
    <row r="2067" spans="1:15" ht="15" customHeight="1" x14ac:dyDescent="0.3">
      <c r="A2067" s="7">
        <v>1209671958</v>
      </c>
      <c r="B2067" s="4" t="s">
        <v>181</v>
      </c>
      <c r="C2067" s="4" t="s">
        <v>182</v>
      </c>
      <c r="D2067" s="6">
        <v>46309.485937500001</v>
      </c>
      <c r="E2067" s="6">
        <v>46309.235914351899</v>
      </c>
      <c r="F2067" s="6">
        <v>46309</v>
      </c>
      <c r="G2067" s="5" t="s">
        <v>12</v>
      </c>
      <c r="H2067" s="5" t="s">
        <v>16</v>
      </c>
      <c r="I2067" s="5">
        <v>16</v>
      </c>
      <c r="J2067" s="9" t="s">
        <v>17</v>
      </c>
      <c r="K2067" s="1" t="s">
        <v>2359</v>
      </c>
      <c r="L2067" t="s">
        <v>3284</v>
      </c>
      <c r="M2067" t="str">
        <f>+VLOOKUP(C2067,'[1]TIENDAS 2025'!$A$1:$C$143,3,0)</f>
        <v>departamental</v>
      </c>
      <c r="O2067">
        <v>1</v>
      </c>
    </row>
    <row r="2068" spans="1:15" ht="15" customHeight="1" x14ac:dyDescent="0.3">
      <c r="A2068" s="7">
        <v>1209671961</v>
      </c>
      <c r="B2068" s="4" t="s">
        <v>181</v>
      </c>
      <c r="C2068" s="4" t="s">
        <v>182</v>
      </c>
      <c r="D2068" s="6">
        <v>46309.485960648097</v>
      </c>
      <c r="E2068" s="6">
        <v>46309.235925925903</v>
      </c>
      <c r="F2068" s="6">
        <v>46309</v>
      </c>
      <c r="G2068" s="5" t="s">
        <v>12</v>
      </c>
      <c r="H2068" s="5" t="s">
        <v>16</v>
      </c>
      <c r="I2068" s="5">
        <v>27</v>
      </c>
      <c r="J2068" s="9" t="s">
        <v>17</v>
      </c>
      <c r="K2068" s="1" t="s">
        <v>2360</v>
      </c>
      <c r="L2068" t="s">
        <v>3284</v>
      </c>
      <c r="M2068" t="str">
        <f>+VLOOKUP(C2068,'[1]TIENDAS 2025'!$A$1:$C$143,3,0)</f>
        <v>departamental</v>
      </c>
      <c r="O2068">
        <v>1</v>
      </c>
    </row>
    <row r="2069" spans="1:15" ht="15" customHeight="1" x14ac:dyDescent="0.3">
      <c r="A2069" s="7">
        <v>1209671995</v>
      </c>
      <c r="B2069" s="4" t="s">
        <v>280</v>
      </c>
      <c r="C2069" s="4" t="s">
        <v>281</v>
      </c>
      <c r="D2069" s="6">
        <v>46309.485972222203</v>
      </c>
      <c r="E2069" s="6">
        <v>46309.2359490741</v>
      </c>
      <c r="F2069" s="6">
        <v>46309</v>
      </c>
      <c r="G2069" s="5" t="s">
        <v>12</v>
      </c>
      <c r="H2069" s="5" t="s">
        <v>29</v>
      </c>
      <c r="I2069" s="5">
        <v>74</v>
      </c>
      <c r="J2069" s="9" t="s">
        <v>17</v>
      </c>
      <c r="K2069" s="1" t="s">
        <v>2361</v>
      </c>
      <c r="L2069" t="s">
        <v>3284</v>
      </c>
      <c r="M2069" t="str">
        <f>+VLOOKUP(C2069,'[1]TIENDAS 2025'!$A$1:$C$143,3,0)</f>
        <v>nocturna</v>
      </c>
      <c r="O2069">
        <v>1</v>
      </c>
    </row>
    <row r="2070" spans="1:15" ht="15" customHeight="1" x14ac:dyDescent="0.3">
      <c r="A2070" s="7">
        <v>1209671988</v>
      </c>
      <c r="B2070" s="4" t="s">
        <v>280</v>
      </c>
      <c r="C2070" s="4" t="s">
        <v>281</v>
      </c>
      <c r="D2070" s="6">
        <v>46309.4859953704</v>
      </c>
      <c r="E2070" s="6">
        <v>46309.235972222203</v>
      </c>
      <c r="F2070" s="6">
        <v>46309</v>
      </c>
      <c r="G2070" s="5" t="s">
        <v>12</v>
      </c>
      <c r="H2070" s="5" t="s">
        <v>16</v>
      </c>
      <c r="I2070" s="5">
        <v>21</v>
      </c>
      <c r="J2070" s="9" t="s">
        <v>17</v>
      </c>
      <c r="K2070" s="1" t="s">
        <v>2362</v>
      </c>
      <c r="L2070" t="s">
        <v>3284</v>
      </c>
      <c r="M2070" t="str">
        <f>+VLOOKUP(C2070,'[1]TIENDAS 2025'!$A$1:$C$143,3,0)</f>
        <v>nocturna</v>
      </c>
      <c r="O2070">
        <v>1</v>
      </c>
    </row>
    <row r="2071" spans="1:15" ht="15" customHeight="1" x14ac:dyDescent="0.3">
      <c r="A2071" s="7">
        <v>1209672016</v>
      </c>
      <c r="B2071" s="4" t="s">
        <v>367</v>
      </c>
      <c r="C2071" s="4" t="s">
        <v>368</v>
      </c>
      <c r="D2071" s="6">
        <v>46309.486018518503</v>
      </c>
      <c r="E2071" s="6">
        <v>46309.235983796301</v>
      </c>
      <c r="F2071" s="6">
        <v>46309</v>
      </c>
      <c r="G2071" s="5" t="s">
        <v>12</v>
      </c>
      <c r="H2071" s="5" t="s">
        <v>16</v>
      </c>
      <c r="I2071" s="5">
        <v>23</v>
      </c>
      <c r="J2071" s="9" t="s">
        <v>17</v>
      </c>
      <c r="K2071" s="1" t="s">
        <v>2363</v>
      </c>
      <c r="L2071" t="s">
        <v>3284</v>
      </c>
      <c r="M2071" t="str">
        <f>+VLOOKUP(C2071,'[1]TIENDAS 2025'!$A$1:$C$143,3,0)</f>
        <v>local</v>
      </c>
      <c r="O2071">
        <v>1</v>
      </c>
    </row>
    <row r="2072" spans="1:15" ht="15" customHeight="1" x14ac:dyDescent="0.3">
      <c r="A2072" s="7">
        <v>1209672000</v>
      </c>
      <c r="B2072" s="4" t="s">
        <v>280</v>
      </c>
      <c r="C2072" s="4" t="s">
        <v>281</v>
      </c>
      <c r="D2072" s="6">
        <v>46309.4860416667</v>
      </c>
      <c r="E2072" s="6">
        <v>46309.236006944397</v>
      </c>
      <c r="F2072" s="6">
        <v>46309</v>
      </c>
      <c r="G2072" s="5" t="s">
        <v>12</v>
      </c>
      <c r="H2072" s="5" t="s">
        <v>29</v>
      </c>
      <c r="I2072" s="5">
        <v>37</v>
      </c>
      <c r="J2072" s="9" t="s">
        <v>17</v>
      </c>
      <c r="K2072" s="1" t="s">
        <v>2364</v>
      </c>
      <c r="L2072" t="s">
        <v>3284</v>
      </c>
      <c r="M2072" t="str">
        <f>+VLOOKUP(C2072,'[1]TIENDAS 2025'!$A$1:$C$143,3,0)</f>
        <v>nocturna</v>
      </c>
      <c r="O2072">
        <v>1</v>
      </c>
    </row>
    <row r="2073" spans="1:15" ht="15" customHeight="1" x14ac:dyDescent="0.3">
      <c r="A2073" s="7">
        <v>8209672009</v>
      </c>
      <c r="B2073" s="4" t="s">
        <v>367</v>
      </c>
      <c r="C2073" s="4" t="s">
        <v>368</v>
      </c>
      <c r="D2073" s="6">
        <v>46309.486053240696</v>
      </c>
      <c r="E2073" s="6">
        <v>46309.236030092601</v>
      </c>
      <c r="F2073" s="6">
        <v>46309</v>
      </c>
      <c r="G2073" s="5" t="s">
        <v>12</v>
      </c>
      <c r="H2073" s="5" t="s">
        <v>27</v>
      </c>
      <c r="I2073" s="5">
        <v>7</v>
      </c>
      <c r="J2073" s="10" t="s">
        <v>17</v>
      </c>
      <c r="K2073" s="1" t="s">
        <v>2365</v>
      </c>
      <c r="M2073" t="str">
        <f>+VLOOKUP(C2073,'[1]TIENDAS 2025'!$A$1:$C$143,3,0)</f>
        <v>local</v>
      </c>
      <c r="O2073">
        <v>1</v>
      </c>
    </row>
    <row r="2074" spans="1:15" ht="15" customHeight="1" x14ac:dyDescent="0.3">
      <c r="A2074" s="7">
        <v>1209671950</v>
      </c>
      <c r="B2074" s="4" t="s">
        <v>181</v>
      </c>
      <c r="C2074" s="4" t="s">
        <v>182</v>
      </c>
      <c r="D2074" s="6">
        <v>46309.486076388901</v>
      </c>
      <c r="E2074" s="6">
        <v>46309.236053240696</v>
      </c>
      <c r="F2074" s="6">
        <v>46309</v>
      </c>
      <c r="G2074" s="5" t="s">
        <v>12</v>
      </c>
      <c r="H2074" s="5" t="s">
        <v>16</v>
      </c>
      <c r="I2074" s="5">
        <v>32</v>
      </c>
      <c r="J2074" s="9" t="s">
        <v>17</v>
      </c>
      <c r="K2074" s="1" t="s">
        <v>2366</v>
      </c>
      <c r="L2074" t="s">
        <v>3284</v>
      </c>
      <c r="M2074" t="str">
        <f>+VLOOKUP(C2074,'[1]TIENDAS 2025'!$A$1:$C$143,3,0)</f>
        <v>departamental</v>
      </c>
      <c r="O2074">
        <v>1</v>
      </c>
    </row>
    <row r="2075" spans="1:15" ht="15" customHeight="1" x14ac:dyDescent="0.3">
      <c r="A2075" s="7">
        <v>8209671941</v>
      </c>
      <c r="B2075" s="4" t="s">
        <v>181</v>
      </c>
      <c r="C2075" s="4" t="s">
        <v>182</v>
      </c>
      <c r="D2075" s="6">
        <v>46309.486099537004</v>
      </c>
      <c r="E2075" s="6">
        <v>46309.236064814802</v>
      </c>
      <c r="F2075" s="6">
        <v>46309</v>
      </c>
      <c r="G2075" s="5" t="s">
        <v>12</v>
      </c>
      <c r="H2075" s="5" t="s">
        <v>27</v>
      </c>
      <c r="I2075" s="5">
        <v>1</v>
      </c>
      <c r="J2075" s="10" t="s">
        <v>17</v>
      </c>
      <c r="K2075" s="1" t="s">
        <v>2367</v>
      </c>
      <c r="M2075" t="str">
        <f>+VLOOKUP(C2075,'[1]TIENDAS 2025'!$A$1:$C$143,3,0)</f>
        <v>departamental</v>
      </c>
      <c r="O2075">
        <v>1</v>
      </c>
    </row>
    <row r="2076" spans="1:15" ht="15" customHeight="1" x14ac:dyDescent="0.3">
      <c r="A2076" s="7">
        <v>1209671959</v>
      </c>
      <c r="B2076" s="4" t="s">
        <v>181</v>
      </c>
      <c r="C2076" s="4" t="s">
        <v>182</v>
      </c>
      <c r="D2076" s="6">
        <v>46309.486111111102</v>
      </c>
      <c r="E2076" s="6">
        <v>46309.236076388901</v>
      </c>
      <c r="F2076" s="6">
        <v>46309</v>
      </c>
      <c r="G2076" s="5" t="s">
        <v>12</v>
      </c>
      <c r="H2076" s="5" t="s">
        <v>16</v>
      </c>
      <c r="I2076" s="5">
        <v>12</v>
      </c>
      <c r="J2076" s="9" t="s">
        <v>17</v>
      </c>
      <c r="K2076" s="1" t="s">
        <v>2368</v>
      </c>
      <c r="L2076" t="s">
        <v>3284</v>
      </c>
      <c r="M2076" t="str">
        <f>+VLOOKUP(C2076,'[1]TIENDAS 2025'!$A$1:$C$143,3,0)</f>
        <v>departamental</v>
      </c>
      <c r="O2076">
        <v>1</v>
      </c>
    </row>
    <row r="2077" spans="1:15" ht="15" customHeight="1" x14ac:dyDescent="0.3">
      <c r="A2077" s="7">
        <v>1209671987</v>
      </c>
      <c r="B2077" s="4" t="s">
        <v>280</v>
      </c>
      <c r="C2077" s="4" t="s">
        <v>281</v>
      </c>
      <c r="D2077" s="6">
        <v>46309.486122685201</v>
      </c>
      <c r="E2077" s="6">
        <v>46309.236099537004</v>
      </c>
      <c r="F2077" s="6">
        <v>46309</v>
      </c>
      <c r="G2077" s="5" t="s">
        <v>12</v>
      </c>
      <c r="H2077" s="5" t="s">
        <v>29</v>
      </c>
      <c r="I2077" s="5">
        <v>29</v>
      </c>
      <c r="J2077" s="9" t="s">
        <v>17</v>
      </c>
      <c r="K2077" s="1" t="s">
        <v>2369</v>
      </c>
      <c r="L2077" t="s">
        <v>3284</v>
      </c>
      <c r="M2077" t="str">
        <f>+VLOOKUP(C2077,'[1]TIENDAS 2025'!$A$1:$C$143,3,0)</f>
        <v>nocturna</v>
      </c>
      <c r="O2077">
        <v>1</v>
      </c>
    </row>
    <row r="2078" spans="1:15" ht="15" customHeight="1" x14ac:dyDescent="0.3">
      <c r="A2078" s="7">
        <v>1209672017</v>
      </c>
      <c r="B2078" s="4" t="s">
        <v>367</v>
      </c>
      <c r="C2078" s="4" t="s">
        <v>368</v>
      </c>
      <c r="D2078" s="6">
        <v>46309.486134259299</v>
      </c>
      <c r="E2078" s="6">
        <v>46309.236111111102</v>
      </c>
      <c r="F2078" s="6">
        <v>46309</v>
      </c>
      <c r="G2078" s="5" t="s">
        <v>12</v>
      </c>
      <c r="H2078" s="5" t="s">
        <v>29</v>
      </c>
      <c r="I2078" s="5">
        <v>33</v>
      </c>
      <c r="J2078" s="9" t="s">
        <v>17</v>
      </c>
      <c r="K2078" s="1" t="s">
        <v>2370</v>
      </c>
      <c r="L2078" t="s">
        <v>3284</v>
      </c>
      <c r="M2078" t="str">
        <f>+VLOOKUP(C2078,'[1]TIENDAS 2025'!$A$1:$C$143,3,0)</f>
        <v>local</v>
      </c>
      <c r="O2078">
        <v>1</v>
      </c>
    </row>
    <row r="2079" spans="1:15" ht="15" customHeight="1" x14ac:dyDescent="0.3">
      <c r="A2079" s="7">
        <v>1209672019</v>
      </c>
      <c r="B2079" s="4" t="s">
        <v>367</v>
      </c>
      <c r="C2079" s="4" t="s">
        <v>368</v>
      </c>
      <c r="D2079" s="6">
        <v>46309.486157407402</v>
      </c>
      <c r="E2079" s="6">
        <v>46309.236122685201</v>
      </c>
      <c r="F2079" s="6">
        <v>46309</v>
      </c>
      <c r="G2079" s="5" t="s">
        <v>12</v>
      </c>
      <c r="H2079" s="5" t="s">
        <v>16</v>
      </c>
      <c r="I2079" s="5">
        <v>2</v>
      </c>
      <c r="J2079" s="9" t="s">
        <v>17</v>
      </c>
      <c r="K2079" s="1" t="s">
        <v>2371</v>
      </c>
      <c r="L2079" t="s">
        <v>3284</v>
      </c>
      <c r="M2079" t="str">
        <f>+VLOOKUP(C2079,'[1]TIENDAS 2025'!$A$1:$C$143,3,0)</f>
        <v>local</v>
      </c>
      <c r="O2079">
        <v>1</v>
      </c>
    </row>
    <row r="2080" spans="1:15" ht="15" customHeight="1" x14ac:dyDescent="0.3">
      <c r="A2080" s="7">
        <v>8209671983</v>
      </c>
      <c r="B2080" s="4" t="s">
        <v>280</v>
      </c>
      <c r="C2080" s="4" t="s">
        <v>281</v>
      </c>
      <c r="D2080" s="6">
        <v>46309.486168981501</v>
      </c>
      <c r="E2080" s="6">
        <v>46309.236145833303</v>
      </c>
      <c r="F2080" s="6">
        <v>46309</v>
      </c>
      <c r="G2080" s="5" t="s">
        <v>12</v>
      </c>
      <c r="H2080" s="5" t="s">
        <v>27</v>
      </c>
      <c r="I2080" s="5">
        <v>12</v>
      </c>
      <c r="J2080" s="10" t="s">
        <v>17</v>
      </c>
      <c r="K2080" s="1" t="s">
        <v>2372</v>
      </c>
      <c r="M2080" t="str">
        <f>+VLOOKUP(C2080,'[1]TIENDAS 2025'!$A$1:$C$143,3,0)</f>
        <v>nocturna</v>
      </c>
      <c r="O2080">
        <v>1</v>
      </c>
    </row>
    <row r="2081" spans="1:15" ht="15" customHeight="1" x14ac:dyDescent="0.3">
      <c r="A2081" s="7">
        <v>8209671984</v>
      </c>
      <c r="B2081" s="4" t="s">
        <v>280</v>
      </c>
      <c r="C2081" s="4" t="s">
        <v>281</v>
      </c>
      <c r="D2081" s="6">
        <v>46309.486192129603</v>
      </c>
      <c r="E2081" s="6">
        <v>46309.236157407402</v>
      </c>
      <c r="F2081" s="6">
        <v>46309</v>
      </c>
      <c r="G2081" s="5" t="s">
        <v>12</v>
      </c>
      <c r="H2081" s="5" t="s">
        <v>27</v>
      </c>
      <c r="I2081" s="5">
        <v>2</v>
      </c>
      <c r="J2081" s="10" t="s">
        <v>17</v>
      </c>
      <c r="K2081" s="1" t="s">
        <v>2373</v>
      </c>
      <c r="M2081" t="str">
        <f>+VLOOKUP(C2081,'[1]TIENDAS 2025'!$A$1:$C$143,3,0)</f>
        <v>nocturna</v>
      </c>
      <c r="O2081">
        <v>1</v>
      </c>
    </row>
    <row r="2082" spans="1:15" ht="15" customHeight="1" x14ac:dyDescent="0.3">
      <c r="A2082" s="7">
        <v>8209672005</v>
      </c>
      <c r="B2082" s="4" t="s">
        <v>367</v>
      </c>
      <c r="C2082" s="4" t="s">
        <v>368</v>
      </c>
      <c r="D2082" s="6">
        <v>46309.486215277801</v>
      </c>
      <c r="E2082" s="6">
        <v>46309.236180555599</v>
      </c>
      <c r="F2082" s="6">
        <v>46309</v>
      </c>
      <c r="G2082" s="5" t="s">
        <v>12</v>
      </c>
      <c r="H2082" s="5" t="s">
        <v>27</v>
      </c>
      <c r="I2082" s="5">
        <v>1</v>
      </c>
      <c r="J2082" s="10" t="s">
        <v>17</v>
      </c>
      <c r="K2082" s="1" t="s">
        <v>2374</v>
      </c>
      <c r="M2082" t="str">
        <f>+VLOOKUP(C2082,'[1]TIENDAS 2025'!$A$1:$C$143,3,0)</f>
        <v>local</v>
      </c>
      <c r="O2082">
        <v>1</v>
      </c>
    </row>
    <row r="2083" spans="1:15" ht="15" customHeight="1" x14ac:dyDescent="0.3">
      <c r="A2083" s="7">
        <v>1209671952</v>
      </c>
      <c r="B2083" s="4" t="s">
        <v>181</v>
      </c>
      <c r="C2083" s="4" t="s">
        <v>182</v>
      </c>
      <c r="D2083" s="6">
        <v>46309.486226851899</v>
      </c>
      <c r="E2083" s="6">
        <v>46309.236203703702</v>
      </c>
      <c r="F2083" s="6">
        <v>46309</v>
      </c>
      <c r="G2083" s="5" t="s">
        <v>12</v>
      </c>
      <c r="H2083" s="5" t="s">
        <v>16</v>
      </c>
      <c r="I2083" s="5">
        <v>49</v>
      </c>
      <c r="J2083" s="9" t="s">
        <v>17</v>
      </c>
      <c r="K2083" s="1" t="s">
        <v>2375</v>
      </c>
      <c r="L2083" t="s">
        <v>3284</v>
      </c>
      <c r="M2083" t="str">
        <f>+VLOOKUP(C2083,'[1]TIENDAS 2025'!$A$1:$C$143,3,0)</f>
        <v>departamental</v>
      </c>
      <c r="O2083">
        <v>1</v>
      </c>
    </row>
    <row r="2084" spans="1:15" ht="15" customHeight="1" x14ac:dyDescent="0.3">
      <c r="A2084" s="7">
        <v>1209671944</v>
      </c>
      <c r="B2084" s="4" t="s">
        <v>181</v>
      </c>
      <c r="C2084" s="4" t="s">
        <v>182</v>
      </c>
      <c r="D2084" s="6">
        <v>46309.486250000002</v>
      </c>
      <c r="E2084" s="6">
        <v>46309.236215277801</v>
      </c>
      <c r="F2084" s="6">
        <v>46309</v>
      </c>
      <c r="G2084" s="5" t="s">
        <v>12</v>
      </c>
      <c r="H2084" s="5" t="s">
        <v>16</v>
      </c>
      <c r="I2084" s="5">
        <v>3</v>
      </c>
      <c r="J2084" s="9" t="s">
        <v>17</v>
      </c>
      <c r="K2084" s="1" t="s">
        <v>2376</v>
      </c>
      <c r="L2084" t="s">
        <v>3284</v>
      </c>
      <c r="M2084" t="str">
        <f>+VLOOKUP(C2084,'[1]TIENDAS 2025'!$A$1:$C$143,3,0)</f>
        <v>departamental</v>
      </c>
      <c r="O2084">
        <v>1</v>
      </c>
    </row>
    <row r="2085" spans="1:15" ht="15" customHeight="1" x14ac:dyDescent="0.3">
      <c r="A2085" s="7">
        <v>8209671956</v>
      </c>
      <c r="B2085" s="4" t="s">
        <v>181</v>
      </c>
      <c r="C2085" s="4" t="s">
        <v>182</v>
      </c>
      <c r="D2085" s="6">
        <v>46309.4862615741</v>
      </c>
      <c r="E2085" s="6">
        <v>46309.236238425903</v>
      </c>
      <c r="F2085" s="6">
        <v>46309</v>
      </c>
      <c r="G2085" s="5" t="s">
        <v>12</v>
      </c>
      <c r="H2085" s="5" t="s">
        <v>27</v>
      </c>
      <c r="I2085" s="5">
        <v>17</v>
      </c>
      <c r="J2085" s="10" t="s">
        <v>17</v>
      </c>
      <c r="K2085" s="1" t="s">
        <v>2377</v>
      </c>
      <c r="M2085" t="str">
        <f>+VLOOKUP(C2085,'[1]TIENDAS 2025'!$A$1:$C$143,3,0)</f>
        <v>departamental</v>
      </c>
      <c r="O2085">
        <v>1</v>
      </c>
    </row>
    <row r="2086" spans="1:15" ht="15" customHeight="1" x14ac:dyDescent="0.3">
      <c r="A2086" s="7">
        <v>1209671965</v>
      </c>
      <c r="B2086" s="4" t="s">
        <v>181</v>
      </c>
      <c r="C2086" s="4" t="s">
        <v>182</v>
      </c>
      <c r="D2086" s="6">
        <v>46309.486284722203</v>
      </c>
      <c r="E2086" s="6">
        <v>46309.236250000002</v>
      </c>
      <c r="F2086" s="6">
        <v>46309</v>
      </c>
      <c r="G2086" s="5" t="s">
        <v>12</v>
      </c>
      <c r="H2086" s="5" t="s">
        <v>16</v>
      </c>
      <c r="I2086" s="5">
        <v>3</v>
      </c>
      <c r="J2086" s="9" t="s">
        <v>17</v>
      </c>
      <c r="K2086" s="1" t="s">
        <v>2378</v>
      </c>
      <c r="L2086" t="s">
        <v>3284</v>
      </c>
      <c r="M2086" t="str">
        <f>+VLOOKUP(C2086,'[1]TIENDAS 2025'!$A$1:$C$143,3,0)</f>
        <v>departamental</v>
      </c>
      <c r="O2086">
        <v>1</v>
      </c>
    </row>
    <row r="2087" spans="1:15" ht="15" customHeight="1" x14ac:dyDescent="0.3">
      <c r="A2087" s="7">
        <v>1209671947</v>
      </c>
      <c r="B2087" s="4" t="s">
        <v>181</v>
      </c>
      <c r="C2087" s="4" t="s">
        <v>182</v>
      </c>
      <c r="D2087" s="6">
        <v>46309.486296296302</v>
      </c>
      <c r="E2087" s="6">
        <v>46309.236273148097</v>
      </c>
      <c r="F2087" s="6">
        <v>46309</v>
      </c>
      <c r="G2087" s="5" t="s">
        <v>12</v>
      </c>
      <c r="H2087" s="5" t="s">
        <v>16</v>
      </c>
      <c r="I2087" s="5">
        <v>20</v>
      </c>
      <c r="J2087" s="9" t="s">
        <v>17</v>
      </c>
      <c r="K2087" s="1" t="s">
        <v>2379</v>
      </c>
      <c r="L2087" t="s">
        <v>3284</v>
      </c>
      <c r="M2087" t="str">
        <f>+VLOOKUP(C2087,'[1]TIENDAS 2025'!$A$1:$C$143,3,0)</f>
        <v>departamental</v>
      </c>
      <c r="O2087">
        <v>1</v>
      </c>
    </row>
    <row r="2088" spans="1:15" ht="15" customHeight="1" x14ac:dyDescent="0.3">
      <c r="A2088" s="7">
        <v>1209671986</v>
      </c>
      <c r="B2088" s="4" t="s">
        <v>280</v>
      </c>
      <c r="C2088" s="4" t="s">
        <v>281</v>
      </c>
      <c r="D2088" s="6">
        <v>46309.486296296302</v>
      </c>
      <c r="E2088" s="6">
        <v>46309.2362615741</v>
      </c>
      <c r="F2088" s="6">
        <v>46309</v>
      </c>
      <c r="G2088" s="5" t="s">
        <v>12</v>
      </c>
      <c r="H2088" s="5" t="s">
        <v>29</v>
      </c>
      <c r="I2088" s="5">
        <v>19</v>
      </c>
      <c r="J2088" s="9" t="s">
        <v>17</v>
      </c>
      <c r="K2088" s="1" t="s">
        <v>2380</v>
      </c>
      <c r="L2088" t="s">
        <v>3284</v>
      </c>
      <c r="M2088" t="str">
        <f>+VLOOKUP(C2088,'[1]TIENDAS 2025'!$A$1:$C$143,3,0)</f>
        <v>nocturna</v>
      </c>
      <c r="O2088">
        <v>1</v>
      </c>
    </row>
    <row r="2089" spans="1:15" ht="15" customHeight="1" x14ac:dyDescent="0.3">
      <c r="A2089" s="7">
        <v>8209671954</v>
      </c>
      <c r="B2089" s="4" t="s">
        <v>181</v>
      </c>
      <c r="C2089" s="4" t="s">
        <v>182</v>
      </c>
      <c r="D2089" s="6">
        <v>46309.486319444397</v>
      </c>
      <c r="E2089" s="6">
        <v>46309.236296296302</v>
      </c>
      <c r="F2089" s="6">
        <v>46309</v>
      </c>
      <c r="G2089" s="5" t="s">
        <v>12</v>
      </c>
      <c r="H2089" s="5" t="s">
        <v>27</v>
      </c>
      <c r="I2089" s="5">
        <v>4</v>
      </c>
      <c r="J2089" s="10" t="s">
        <v>17</v>
      </c>
      <c r="K2089" s="1" t="s">
        <v>2381</v>
      </c>
      <c r="M2089" t="str">
        <f>+VLOOKUP(C2089,'[1]TIENDAS 2025'!$A$1:$C$143,3,0)</f>
        <v>departamental</v>
      </c>
      <c r="O2089">
        <v>1</v>
      </c>
    </row>
    <row r="2090" spans="1:15" ht="15" customHeight="1" x14ac:dyDescent="0.3">
      <c r="A2090" s="7">
        <v>1209671990</v>
      </c>
      <c r="B2090" s="4" t="s">
        <v>280</v>
      </c>
      <c r="C2090" s="4" t="s">
        <v>281</v>
      </c>
      <c r="D2090" s="6">
        <v>46309.486331018503</v>
      </c>
      <c r="E2090" s="6">
        <v>46309.2363078704</v>
      </c>
      <c r="F2090" s="6">
        <v>46309</v>
      </c>
      <c r="G2090" s="5" t="s">
        <v>12</v>
      </c>
      <c r="H2090" s="5" t="s">
        <v>16</v>
      </c>
      <c r="I2090" s="5">
        <v>59</v>
      </c>
      <c r="J2090" s="9" t="s">
        <v>17</v>
      </c>
      <c r="K2090" s="1" t="s">
        <v>2382</v>
      </c>
      <c r="L2090" t="s">
        <v>3284</v>
      </c>
      <c r="M2090" t="str">
        <f>+VLOOKUP(C2090,'[1]TIENDAS 2025'!$A$1:$C$143,3,0)</f>
        <v>nocturna</v>
      </c>
      <c r="O2090">
        <v>1</v>
      </c>
    </row>
    <row r="2091" spans="1:15" ht="15" customHeight="1" x14ac:dyDescent="0.3">
      <c r="A2091" s="7">
        <v>1209672018</v>
      </c>
      <c r="B2091" s="4" t="s">
        <v>367</v>
      </c>
      <c r="C2091" s="4" t="s">
        <v>368</v>
      </c>
      <c r="D2091" s="6">
        <v>46309.4863541667</v>
      </c>
      <c r="E2091" s="6">
        <v>46309.236319444397</v>
      </c>
      <c r="F2091" s="6">
        <v>46309</v>
      </c>
      <c r="G2091" s="5" t="s">
        <v>12</v>
      </c>
      <c r="H2091" s="5" t="s">
        <v>29</v>
      </c>
      <c r="I2091" s="5">
        <v>24</v>
      </c>
      <c r="J2091" s="9" t="s">
        <v>17</v>
      </c>
      <c r="K2091" s="1" t="s">
        <v>2383</v>
      </c>
      <c r="L2091" t="s">
        <v>3284</v>
      </c>
      <c r="M2091" t="str">
        <f>+VLOOKUP(C2091,'[1]TIENDAS 2025'!$A$1:$C$143,3,0)</f>
        <v>local</v>
      </c>
      <c r="O2091">
        <v>1</v>
      </c>
    </row>
    <row r="2092" spans="1:15" ht="15" customHeight="1" x14ac:dyDescent="0.3">
      <c r="A2092" s="7">
        <v>8209671980</v>
      </c>
      <c r="B2092" s="4" t="s">
        <v>280</v>
      </c>
      <c r="C2092" s="4" t="s">
        <v>281</v>
      </c>
      <c r="D2092" s="6">
        <v>46309.486377314803</v>
      </c>
      <c r="E2092" s="6">
        <v>46309.236342592601</v>
      </c>
      <c r="F2092" s="6">
        <v>46309</v>
      </c>
      <c r="G2092" s="5" t="s">
        <v>12</v>
      </c>
      <c r="H2092" s="5" t="s">
        <v>27</v>
      </c>
      <c r="I2092" s="5">
        <v>25</v>
      </c>
      <c r="J2092" s="10" t="s">
        <v>17</v>
      </c>
      <c r="K2092" s="1" t="s">
        <v>2384</v>
      </c>
      <c r="M2092" t="str">
        <f>+VLOOKUP(C2092,'[1]TIENDAS 2025'!$A$1:$C$143,3,0)</f>
        <v>nocturna</v>
      </c>
      <c r="O2092">
        <v>1</v>
      </c>
    </row>
    <row r="2093" spans="1:15" ht="15" customHeight="1" x14ac:dyDescent="0.3">
      <c r="A2093" s="7">
        <v>8209671981</v>
      </c>
      <c r="B2093" s="4" t="s">
        <v>280</v>
      </c>
      <c r="C2093" s="4" t="s">
        <v>281</v>
      </c>
      <c r="D2093" s="6">
        <v>46309.486388888901</v>
      </c>
      <c r="E2093" s="6">
        <v>46309.236365740697</v>
      </c>
      <c r="F2093" s="6">
        <v>46309</v>
      </c>
      <c r="G2093" s="5" t="s">
        <v>12</v>
      </c>
      <c r="H2093" s="5" t="s">
        <v>27</v>
      </c>
      <c r="I2093" s="5">
        <v>8</v>
      </c>
      <c r="J2093" s="10" t="s">
        <v>17</v>
      </c>
      <c r="K2093" s="1" t="s">
        <v>2385</v>
      </c>
      <c r="M2093" t="str">
        <f>+VLOOKUP(C2093,'[1]TIENDAS 2025'!$A$1:$C$143,3,0)</f>
        <v>nocturna</v>
      </c>
      <c r="O2093">
        <v>1</v>
      </c>
    </row>
    <row r="2094" spans="1:15" ht="15" customHeight="1" x14ac:dyDescent="0.3">
      <c r="A2094" s="7">
        <v>1209672104</v>
      </c>
      <c r="B2094" s="4" t="s">
        <v>244</v>
      </c>
      <c r="C2094" s="4" t="s">
        <v>245</v>
      </c>
      <c r="D2094" s="6">
        <v>46309.489027777803</v>
      </c>
      <c r="E2094" s="6">
        <v>46309.238993055602</v>
      </c>
      <c r="F2094" s="6">
        <v>46309</v>
      </c>
      <c r="G2094" s="5" t="s">
        <v>12</v>
      </c>
      <c r="H2094" s="5" t="s">
        <v>16</v>
      </c>
      <c r="I2094" s="5">
        <v>30</v>
      </c>
      <c r="J2094" s="9" t="s">
        <v>17</v>
      </c>
      <c r="K2094" s="1" t="s">
        <v>2386</v>
      </c>
      <c r="L2094" t="s">
        <v>3284</v>
      </c>
      <c r="M2094" t="str">
        <f>+VLOOKUP(C2094,'[1]TIENDAS 2025'!$A$1:$C$143,3,0)</f>
        <v>nocturna</v>
      </c>
      <c r="O2094">
        <v>1</v>
      </c>
    </row>
    <row r="2095" spans="1:15" ht="15" customHeight="1" x14ac:dyDescent="0.3">
      <c r="A2095" s="7">
        <v>1209672134</v>
      </c>
      <c r="B2095" s="4" t="s">
        <v>370</v>
      </c>
      <c r="C2095" s="4" t="s">
        <v>371</v>
      </c>
      <c r="D2095" s="6">
        <v>46309.489039351902</v>
      </c>
      <c r="E2095" s="6">
        <v>46309.239004629599</v>
      </c>
      <c r="F2095" s="6">
        <v>46309</v>
      </c>
      <c r="G2095" s="5" t="s">
        <v>12</v>
      </c>
      <c r="H2095" s="5" t="s">
        <v>16</v>
      </c>
      <c r="I2095" s="5">
        <v>22</v>
      </c>
      <c r="J2095" s="9" t="s">
        <v>17</v>
      </c>
      <c r="K2095" s="1" t="s">
        <v>2387</v>
      </c>
      <c r="L2095" t="s">
        <v>3284</v>
      </c>
      <c r="M2095" t="str">
        <f>+VLOOKUP(C2095,'[1]TIENDAS 2025'!$A$1:$C$143,3,0)</f>
        <v>nocturna</v>
      </c>
      <c r="O2095">
        <v>1</v>
      </c>
    </row>
    <row r="2096" spans="1:15" ht="15" customHeight="1" x14ac:dyDescent="0.3">
      <c r="A2096" s="7">
        <v>1209672072</v>
      </c>
      <c r="B2096" s="4" t="s">
        <v>500</v>
      </c>
      <c r="C2096" s="4" t="s">
        <v>501</v>
      </c>
      <c r="D2096" s="6">
        <v>46309.489062499997</v>
      </c>
      <c r="E2096" s="6">
        <v>46309.239027777803</v>
      </c>
      <c r="F2096" s="6">
        <v>46309</v>
      </c>
      <c r="G2096" s="5" t="s">
        <v>12</v>
      </c>
      <c r="H2096" s="5" t="s">
        <v>29</v>
      </c>
      <c r="I2096" s="5">
        <v>24</v>
      </c>
      <c r="J2096" s="9" t="s">
        <v>17</v>
      </c>
      <c r="K2096" s="1" t="s">
        <v>2388</v>
      </c>
      <c r="L2096" t="s">
        <v>3284</v>
      </c>
      <c r="M2096" t="str">
        <f>+VLOOKUP(C2096,'[1]TIENDAS 2025'!$A$1:$C$143,3,0)</f>
        <v>departamental</v>
      </c>
      <c r="O2096">
        <v>1</v>
      </c>
    </row>
    <row r="2097" spans="1:15" ht="15" customHeight="1" x14ac:dyDescent="0.3">
      <c r="A2097" s="7">
        <v>1209672073</v>
      </c>
      <c r="B2097" s="4" t="s">
        <v>500</v>
      </c>
      <c r="C2097" s="4" t="s">
        <v>501</v>
      </c>
      <c r="D2097" s="6">
        <v>46309.489085648202</v>
      </c>
      <c r="E2097" s="6">
        <v>46309.239050925898</v>
      </c>
      <c r="F2097" s="6">
        <v>46309</v>
      </c>
      <c r="G2097" s="5" t="s">
        <v>12</v>
      </c>
      <c r="H2097" s="5" t="s">
        <v>16</v>
      </c>
      <c r="I2097" s="5">
        <v>2</v>
      </c>
      <c r="J2097" s="9" t="s">
        <v>17</v>
      </c>
      <c r="K2097" s="1" t="s">
        <v>2389</v>
      </c>
      <c r="L2097" t="s">
        <v>3284</v>
      </c>
      <c r="M2097" t="str">
        <f>+VLOOKUP(C2097,'[1]TIENDAS 2025'!$A$1:$C$143,3,0)</f>
        <v>departamental</v>
      </c>
      <c r="O2097">
        <v>1</v>
      </c>
    </row>
    <row r="2098" spans="1:15" ht="15" customHeight="1" x14ac:dyDescent="0.3">
      <c r="A2098" s="7">
        <v>8209672190</v>
      </c>
      <c r="B2098" s="4" t="s">
        <v>376</v>
      </c>
      <c r="C2098" s="4" t="s">
        <v>377</v>
      </c>
      <c r="D2098" s="6">
        <v>46309.489097222198</v>
      </c>
      <c r="E2098" s="6">
        <v>46309.239062499997</v>
      </c>
      <c r="F2098" s="6">
        <v>46309</v>
      </c>
      <c r="G2098" s="5" t="s">
        <v>12</v>
      </c>
      <c r="H2098" s="5" t="s">
        <v>27</v>
      </c>
      <c r="I2098" s="5">
        <v>1</v>
      </c>
      <c r="J2098" s="10" t="s">
        <v>17</v>
      </c>
      <c r="K2098" s="1" t="s">
        <v>2390</v>
      </c>
      <c r="M2098" t="str">
        <f>+VLOOKUP(C2098,'[1]TIENDAS 2025'!$A$1:$C$143,3,0)</f>
        <v>nocturna</v>
      </c>
      <c r="O2098">
        <v>1</v>
      </c>
    </row>
    <row r="2099" spans="1:15" ht="15" customHeight="1" x14ac:dyDescent="0.3">
      <c r="A2099" s="7">
        <v>8209672192</v>
      </c>
      <c r="B2099" s="4" t="s">
        <v>376</v>
      </c>
      <c r="C2099" s="4" t="s">
        <v>377</v>
      </c>
      <c r="D2099" s="6">
        <v>46309.489120370403</v>
      </c>
      <c r="E2099" s="6">
        <v>46309.239085648202</v>
      </c>
      <c r="F2099" s="6">
        <v>46309</v>
      </c>
      <c r="G2099" s="5" t="s">
        <v>12</v>
      </c>
      <c r="H2099" s="5" t="s">
        <v>27</v>
      </c>
      <c r="I2099" s="5">
        <v>7</v>
      </c>
      <c r="J2099" s="10" t="s">
        <v>17</v>
      </c>
      <c r="K2099" s="1" t="s">
        <v>2391</v>
      </c>
      <c r="M2099" t="str">
        <f>+VLOOKUP(C2099,'[1]TIENDAS 2025'!$A$1:$C$143,3,0)</f>
        <v>nocturna</v>
      </c>
      <c r="O2099">
        <v>1</v>
      </c>
    </row>
    <row r="2100" spans="1:15" ht="15" customHeight="1" x14ac:dyDescent="0.3">
      <c r="A2100" s="7">
        <v>1209672194</v>
      </c>
      <c r="B2100" s="4" t="s">
        <v>376</v>
      </c>
      <c r="C2100" s="4" t="s">
        <v>377</v>
      </c>
      <c r="D2100" s="6">
        <v>46309.4891319444</v>
      </c>
      <c r="E2100" s="6">
        <v>46309.239108796297</v>
      </c>
      <c r="F2100" s="6">
        <v>46309</v>
      </c>
      <c r="G2100" s="5" t="s">
        <v>12</v>
      </c>
      <c r="H2100" s="5" t="s">
        <v>16</v>
      </c>
      <c r="I2100" s="5">
        <v>6</v>
      </c>
      <c r="J2100" s="9" t="s">
        <v>17</v>
      </c>
      <c r="K2100" s="1" t="s">
        <v>2392</v>
      </c>
      <c r="L2100" t="s">
        <v>3284</v>
      </c>
      <c r="M2100" t="str">
        <f>+VLOOKUP(C2100,'[1]TIENDAS 2025'!$A$1:$C$143,3,0)</f>
        <v>nocturna</v>
      </c>
      <c r="O2100">
        <v>1</v>
      </c>
    </row>
    <row r="2101" spans="1:15" ht="15" customHeight="1" x14ac:dyDescent="0.3">
      <c r="A2101" s="7">
        <v>1209672115</v>
      </c>
      <c r="B2101" s="4" t="s">
        <v>244</v>
      </c>
      <c r="C2101" s="4" t="s">
        <v>245</v>
      </c>
      <c r="D2101" s="6">
        <v>46309.489155092597</v>
      </c>
      <c r="E2101" s="6">
        <v>46309.239120370403</v>
      </c>
      <c r="F2101" s="6">
        <v>46309</v>
      </c>
      <c r="G2101" s="5" t="s">
        <v>12</v>
      </c>
      <c r="H2101" s="5" t="s">
        <v>16</v>
      </c>
      <c r="I2101" s="5">
        <v>20</v>
      </c>
      <c r="J2101" s="9" t="s">
        <v>17</v>
      </c>
      <c r="K2101" s="1" t="s">
        <v>2393</v>
      </c>
      <c r="L2101" t="s">
        <v>3284</v>
      </c>
      <c r="M2101" t="str">
        <f>+VLOOKUP(C2101,'[1]TIENDAS 2025'!$A$1:$C$143,3,0)</f>
        <v>nocturna</v>
      </c>
      <c r="O2101">
        <v>1</v>
      </c>
    </row>
    <row r="2102" spans="1:15" ht="15" customHeight="1" x14ac:dyDescent="0.3">
      <c r="A2102" s="7">
        <v>1209672116</v>
      </c>
      <c r="B2102" s="4" t="s">
        <v>244</v>
      </c>
      <c r="C2102" s="4" t="s">
        <v>245</v>
      </c>
      <c r="D2102" s="6">
        <v>46309.489155092597</v>
      </c>
      <c r="E2102" s="6">
        <v>46309.2391319444</v>
      </c>
      <c r="F2102" s="6">
        <v>46309</v>
      </c>
      <c r="G2102" s="5" t="s">
        <v>12</v>
      </c>
      <c r="H2102" s="5" t="s">
        <v>16</v>
      </c>
      <c r="I2102" s="5">
        <v>1</v>
      </c>
      <c r="J2102" s="9" t="s">
        <v>17</v>
      </c>
      <c r="K2102" s="1" t="s">
        <v>2394</v>
      </c>
      <c r="L2102" t="s">
        <v>3284</v>
      </c>
      <c r="M2102" t="str">
        <f>+VLOOKUP(C2102,'[1]TIENDAS 2025'!$A$1:$C$143,3,0)</f>
        <v>nocturna</v>
      </c>
      <c r="O2102">
        <v>1</v>
      </c>
    </row>
    <row r="2103" spans="1:15" ht="15" customHeight="1" x14ac:dyDescent="0.3">
      <c r="A2103" s="7">
        <v>1209672143</v>
      </c>
      <c r="B2103" s="4" t="s">
        <v>370</v>
      </c>
      <c r="C2103" s="4" t="s">
        <v>371</v>
      </c>
      <c r="D2103" s="6">
        <v>46309.489178240699</v>
      </c>
      <c r="E2103" s="6">
        <v>46309.239143518498</v>
      </c>
      <c r="F2103" s="6">
        <v>46309</v>
      </c>
      <c r="G2103" s="5" t="s">
        <v>12</v>
      </c>
      <c r="H2103" s="5" t="s">
        <v>16</v>
      </c>
      <c r="I2103" s="5">
        <v>16</v>
      </c>
      <c r="J2103" s="9" t="s">
        <v>17</v>
      </c>
      <c r="K2103" s="1" t="s">
        <v>2395</v>
      </c>
      <c r="L2103" t="s">
        <v>3284</v>
      </c>
      <c r="M2103" t="str">
        <f>+VLOOKUP(C2103,'[1]TIENDAS 2025'!$A$1:$C$143,3,0)</f>
        <v>nocturna</v>
      </c>
      <c r="O2103">
        <v>1</v>
      </c>
    </row>
    <row r="2104" spans="1:15" ht="15" customHeight="1" x14ac:dyDescent="0.3">
      <c r="A2104" s="7">
        <v>8209672061</v>
      </c>
      <c r="B2104" s="4" t="s">
        <v>500</v>
      </c>
      <c r="C2104" s="4" t="s">
        <v>501</v>
      </c>
      <c r="D2104" s="6">
        <v>46309.489189814798</v>
      </c>
      <c r="E2104" s="6">
        <v>46309.239166666703</v>
      </c>
      <c r="F2104" s="6">
        <v>46309</v>
      </c>
      <c r="G2104" s="5" t="s">
        <v>12</v>
      </c>
      <c r="H2104" s="5" t="s">
        <v>27</v>
      </c>
      <c r="I2104" s="5">
        <v>12</v>
      </c>
      <c r="J2104" s="10" t="s">
        <v>17</v>
      </c>
      <c r="K2104" s="1" t="s">
        <v>2396</v>
      </c>
      <c r="M2104" t="str">
        <f>+VLOOKUP(C2104,'[1]TIENDAS 2025'!$A$1:$C$143,3,0)</f>
        <v>departamental</v>
      </c>
      <c r="O2104">
        <v>1</v>
      </c>
    </row>
    <row r="2105" spans="1:15" ht="15" customHeight="1" x14ac:dyDescent="0.3">
      <c r="A2105" s="7">
        <v>1209672136</v>
      </c>
      <c r="B2105" s="4" t="s">
        <v>370</v>
      </c>
      <c r="C2105" s="4" t="s">
        <v>371</v>
      </c>
      <c r="D2105" s="6">
        <v>46309.489212963003</v>
      </c>
      <c r="E2105" s="6">
        <v>46309.239178240699</v>
      </c>
      <c r="F2105" s="6">
        <v>46309</v>
      </c>
      <c r="G2105" s="5" t="s">
        <v>12</v>
      </c>
      <c r="H2105" s="5" t="s">
        <v>16</v>
      </c>
      <c r="I2105" s="5">
        <v>41</v>
      </c>
      <c r="J2105" s="9" t="s">
        <v>17</v>
      </c>
      <c r="K2105" s="1" t="s">
        <v>2397</v>
      </c>
      <c r="L2105" t="s">
        <v>3284</v>
      </c>
      <c r="M2105" t="str">
        <f>+VLOOKUP(C2105,'[1]TIENDAS 2025'!$A$1:$C$143,3,0)</f>
        <v>nocturna</v>
      </c>
      <c r="O2105">
        <v>1</v>
      </c>
    </row>
    <row r="2106" spans="1:15" ht="15" customHeight="1" x14ac:dyDescent="0.3">
      <c r="A2106" s="7">
        <v>8209672109</v>
      </c>
      <c r="B2106" s="4" t="s">
        <v>244</v>
      </c>
      <c r="C2106" s="4" t="s">
        <v>245</v>
      </c>
      <c r="D2106" s="6">
        <v>46309.489212963003</v>
      </c>
      <c r="E2106" s="6">
        <v>46309.239189814798</v>
      </c>
      <c r="F2106" s="6">
        <v>46309</v>
      </c>
      <c r="G2106" s="5" t="s">
        <v>12</v>
      </c>
      <c r="H2106" s="5" t="s">
        <v>27</v>
      </c>
      <c r="I2106" s="5">
        <v>3</v>
      </c>
      <c r="J2106" s="10" t="s">
        <v>17</v>
      </c>
      <c r="K2106" s="1" t="s">
        <v>2398</v>
      </c>
      <c r="M2106" t="str">
        <f>+VLOOKUP(C2106,'[1]TIENDAS 2025'!$A$1:$C$143,3,0)</f>
        <v>nocturna</v>
      </c>
      <c r="O2106">
        <v>1</v>
      </c>
    </row>
    <row r="2107" spans="1:15" ht="15" customHeight="1" x14ac:dyDescent="0.3">
      <c r="A2107" s="7">
        <v>8209672180</v>
      </c>
      <c r="B2107" s="4" t="s">
        <v>497</v>
      </c>
      <c r="C2107" s="4" t="s">
        <v>498</v>
      </c>
      <c r="D2107" s="6">
        <v>46309.489236111098</v>
      </c>
      <c r="E2107" s="6">
        <v>46309.239201388897</v>
      </c>
      <c r="F2107" s="6">
        <v>46309</v>
      </c>
      <c r="G2107" s="5" t="s">
        <v>12</v>
      </c>
      <c r="H2107" s="5" t="s">
        <v>27</v>
      </c>
      <c r="I2107" s="5">
        <v>13</v>
      </c>
      <c r="J2107" s="10" t="s">
        <v>17</v>
      </c>
      <c r="K2107" s="1" t="s">
        <v>2399</v>
      </c>
      <c r="M2107" t="str">
        <f>+VLOOKUP(C2107,'[1]TIENDAS 2025'!$A$1:$C$143,3,0)</f>
        <v>prioridad</v>
      </c>
      <c r="O2107">
        <v>1</v>
      </c>
    </row>
    <row r="2108" spans="1:15" ht="15" customHeight="1" x14ac:dyDescent="0.3">
      <c r="A2108" s="7">
        <v>1209672181</v>
      </c>
      <c r="B2108" s="4" t="s">
        <v>497</v>
      </c>
      <c r="C2108" s="4" t="s">
        <v>498</v>
      </c>
      <c r="D2108" s="6">
        <v>46309.489247685196</v>
      </c>
      <c r="E2108" s="6">
        <v>46309.239224536999</v>
      </c>
      <c r="F2108" s="6">
        <v>46309</v>
      </c>
      <c r="G2108" s="5" t="s">
        <v>12</v>
      </c>
      <c r="H2108" s="5" t="s">
        <v>16</v>
      </c>
      <c r="I2108" s="5">
        <v>9</v>
      </c>
      <c r="J2108" s="9" t="s">
        <v>17</v>
      </c>
      <c r="K2108" s="1" t="s">
        <v>2400</v>
      </c>
      <c r="L2108" t="s">
        <v>3284</v>
      </c>
      <c r="M2108" t="str">
        <f>+VLOOKUP(C2108,'[1]TIENDAS 2025'!$A$1:$C$143,3,0)</f>
        <v>prioridad</v>
      </c>
      <c r="O2108">
        <v>1</v>
      </c>
    </row>
    <row r="2109" spans="1:15" ht="15" customHeight="1" x14ac:dyDescent="0.3">
      <c r="A2109" s="7">
        <v>1209672174</v>
      </c>
      <c r="B2109" s="4" t="s">
        <v>497</v>
      </c>
      <c r="C2109" s="4" t="s">
        <v>498</v>
      </c>
      <c r="D2109" s="6">
        <v>46309.489259259302</v>
      </c>
      <c r="E2109" s="6">
        <v>46309.239236111098</v>
      </c>
      <c r="F2109" s="6">
        <v>46309</v>
      </c>
      <c r="G2109" s="5" t="s">
        <v>12</v>
      </c>
      <c r="H2109" s="5" t="s">
        <v>16</v>
      </c>
      <c r="I2109" s="5">
        <v>27</v>
      </c>
      <c r="J2109" s="9" t="s">
        <v>17</v>
      </c>
      <c r="K2109" s="1" t="s">
        <v>2401</v>
      </c>
      <c r="L2109" t="s">
        <v>3284</v>
      </c>
      <c r="M2109" t="str">
        <f>+VLOOKUP(C2109,'[1]TIENDAS 2025'!$A$1:$C$143,3,0)</f>
        <v>prioridad</v>
      </c>
      <c r="O2109">
        <v>1</v>
      </c>
    </row>
    <row r="2110" spans="1:15" ht="15" customHeight="1" x14ac:dyDescent="0.3">
      <c r="A2110" s="7">
        <v>8209672110</v>
      </c>
      <c r="B2110" s="4" t="s">
        <v>244</v>
      </c>
      <c r="C2110" s="4" t="s">
        <v>245</v>
      </c>
      <c r="D2110" s="6">
        <v>46309.489282407398</v>
      </c>
      <c r="E2110" s="6">
        <v>46309.239247685196</v>
      </c>
      <c r="F2110" s="6">
        <v>46309</v>
      </c>
      <c r="G2110" s="5" t="s">
        <v>12</v>
      </c>
      <c r="H2110" s="5" t="s">
        <v>27</v>
      </c>
      <c r="I2110" s="5">
        <v>13</v>
      </c>
      <c r="J2110" s="10" t="s">
        <v>17</v>
      </c>
      <c r="K2110" s="1" t="s">
        <v>2402</v>
      </c>
      <c r="M2110" t="str">
        <f>+VLOOKUP(C2110,'[1]TIENDAS 2025'!$A$1:$C$143,3,0)</f>
        <v>nocturna</v>
      </c>
      <c r="O2110">
        <v>1</v>
      </c>
    </row>
    <row r="2111" spans="1:15" ht="15" customHeight="1" x14ac:dyDescent="0.3">
      <c r="A2111" s="7">
        <v>8209672164</v>
      </c>
      <c r="B2111" s="4" t="s">
        <v>497</v>
      </c>
      <c r="C2111" s="4" t="s">
        <v>498</v>
      </c>
      <c r="D2111" s="6">
        <v>46309.489293981504</v>
      </c>
      <c r="E2111" s="6">
        <v>46309.239259259302</v>
      </c>
      <c r="F2111" s="6">
        <v>46309</v>
      </c>
      <c r="G2111" s="5" t="s">
        <v>12</v>
      </c>
      <c r="H2111" s="5" t="s">
        <v>27</v>
      </c>
      <c r="I2111" s="5">
        <v>4</v>
      </c>
      <c r="J2111" s="10" t="s">
        <v>17</v>
      </c>
      <c r="K2111" s="1" t="s">
        <v>2403</v>
      </c>
      <c r="M2111" t="str">
        <f>+VLOOKUP(C2111,'[1]TIENDAS 2025'!$A$1:$C$143,3,0)</f>
        <v>prioridad</v>
      </c>
      <c r="O2111">
        <v>1</v>
      </c>
    </row>
    <row r="2112" spans="1:15" ht="15" customHeight="1" x14ac:dyDescent="0.3">
      <c r="A2112" s="7">
        <v>8209672097</v>
      </c>
      <c r="B2112" s="4" t="s">
        <v>244</v>
      </c>
      <c r="C2112" s="4" t="s">
        <v>245</v>
      </c>
      <c r="D2112" s="6">
        <v>46309.489305555602</v>
      </c>
      <c r="E2112" s="6">
        <v>46309.239270833299</v>
      </c>
      <c r="F2112" s="6">
        <v>46309</v>
      </c>
      <c r="G2112" s="5" t="s">
        <v>12</v>
      </c>
      <c r="H2112" s="5" t="s">
        <v>27</v>
      </c>
      <c r="I2112" s="5">
        <v>1</v>
      </c>
      <c r="J2112" s="10" t="s">
        <v>17</v>
      </c>
      <c r="K2112" s="1" t="s">
        <v>2404</v>
      </c>
      <c r="M2112" t="str">
        <f>+VLOOKUP(C2112,'[1]TIENDAS 2025'!$A$1:$C$143,3,0)</f>
        <v>nocturna</v>
      </c>
      <c r="O2112">
        <v>1</v>
      </c>
    </row>
    <row r="2113" spans="1:15" ht="15" customHeight="1" x14ac:dyDescent="0.3">
      <c r="A2113" s="7">
        <v>1209672131</v>
      </c>
      <c r="B2113" s="4" t="s">
        <v>370</v>
      </c>
      <c r="C2113" s="4" t="s">
        <v>371</v>
      </c>
      <c r="D2113" s="6">
        <v>46309.489317129599</v>
      </c>
      <c r="E2113" s="6">
        <v>46309.239293981504</v>
      </c>
      <c r="F2113" s="6">
        <v>46309</v>
      </c>
      <c r="G2113" s="5" t="s">
        <v>12</v>
      </c>
      <c r="H2113" s="5" t="s">
        <v>16</v>
      </c>
      <c r="I2113" s="5">
        <v>15</v>
      </c>
      <c r="J2113" s="9" t="s">
        <v>17</v>
      </c>
      <c r="K2113" s="1" t="s">
        <v>2405</v>
      </c>
      <c r="L2113" t="s">
        <v>3284</v>
      </c>
      <c r="M2113" t="str">
        <f>+VLOOKUP(C2113,'[1]TIENDAS 2025'!$A$1:$C$143,3,0)</f>
        <v>nocturna</v>
      </c>
      <c r="O2113">
        <v>1</v>
      </c>
    </row>
    <row r="2114" spans="1:15" ht="15" customHeight="1" x14ac:dyDescent="0.3">
      <c r="A2114" s="7">
        <v>1209672063</v>
      </c>
      <c r="B2114" s="4" t="s">
        <v>500</v>
      </c>
      <c r="C2114" s="4" t="s">
        <v>501</v>
      </c>
      <c r="D2114" s="6">
        <v>46309.489340277803</v>
      </c>
      <c r="E2114" s="6">
        <v>46309.239305555602</v>
      </c>
      <c r="F2114" s="6">
        <v>46309</v>
      </c>
      <c r="G2114" s="5" t="s">
        <v>12</v>
      </c>
      <c r="H2114" s="5" t="s">
        <v>16</v>
      </c>
      <c r="I2114" s="5">
        <v>5</v>
      </c>
      <c r="J2114" s="9" t="s">
        <v>17</v>
      </c>
      <c r="K2114" s="1" t="s">
        <v>2406</v>
      </c>
      <c r="L2114" t="s">
        <v>3284</v>
      </c>
      <c r="M2114" t="str">
        <f>+VLOOKUP(C2114,'[1]TIENDAS 2025'!$A$1:$C$143,3,0)</f>
        <v>departamental</v>
      </c>
      <c r="O2114">
        <v>1</v>
      </c>
    </row>
    <row r="2115" spans="1:15" ht="15" customHeight="1" x14ac:dyDescent="0.3">
      <c r="A2115" s="7">
        <v>1209672178</v>
      </c>
      <c r="B2115" s="4" t="s">
        <v>497</v>
      </c>
      <c r="C2115" s="4" t="s">
        <v>498</v>
      </c>
      <c r="D2115" s="6">
        <v>46309.489351851902</v>
      </c>
      <c r="E2115" s="6">
        <v>46309.239317129599</v>
      </c>
      <c r="F2115" s="6">
        <v>46309</v>
      </c>
      <c r="G2115" s="5" t="s">
        <v>12</v>
      </c>
      <c r="H2115" s="5" t="s">
        <v>29</v>
      </c>
      <c r="I2115" s="5">
        <v>60</v>
      </c>
      <c r="J2115" s="9" t="s">
        <v>17</v>
      </c>
      <c r="K2115" s="1" t="s">
        <v>2407</v>
      </c>
      <c r="L2115" t="s">
        <v>3284</v>
      </c>
      <c r="M2115" t="str">
        <f>+VLOOKUP(C2115,'[1]TIENDAS 2025'!$A$1:$C$143,3,0)</f>
        <v>prioridad</v>
      </c>
      <c r="O2115">
        <v>1</v>
      </c>
    </row>
    <row r="2116" spans="1:15" ht="15" customHeight="1" x14ac:dyDescent="0.3">
      <c r="A2116" s="7">
        <v>1209672199</v>
      </c>
      <c r="B2116" s="4" t="s">
        <v>376</v>
      </c>
      <c r="C2116" s="4" t="s">
        <v>377</v>
      </c>
      <c r="D2116" s="6">
        <v>46309.489363425899</v>
      </c>
      <c r="E2116" s="6">
        <v>46309.239328703698</v>
      </c>
      <c r="F2116" s="6">
        <v>46309</v>
      </c>
      <c r="G2116" s="5" t="s">
        <v>12</v>
      </c>
      <c r="H2116" s="5" t="s">
        <v>16</v>
      </c>
      <c r="I2116" s="5">
        <v>17</v>
      </c>
      <c r="J2116" s="9" t="s">
        <v>17</v>
      </c>
      <c r="K2116" s="1" t="s">
        <v>2408</v>
      </c>
      <c r="L2116" t="s">
        <v>3284</v>
      </c>
      <c r="M2116" t="str">
        <f>+VLOOKUP(C2116,'[1]TIENDAS 2025'!$A$1:$C$143,3,0)</f>
        <v>nocturna</v>
      </c>
      <c r="O2116">
        <v>1</v>
      </c>
    </row>
    <row r="2117" spans="1:15" ht="15" customHeight="1" x14ac:dyDescent="0.3">
      <c r="A2117" s="7">
        <v>1209672207</v>
      </c>
      <c r="B2117" s="4" t="s">
        <v>376</v>
      </c>
      <c r="C2117" s="4" t="s">
        <v>377</v>
      </c>
      <c r="D2117" s="6">
        <v>46309.489374999997</v>
      </c>
      <c r="E2117" s="6">
        <v>46309.239351851902</v>
      </c>
      <c r="F2117" s="6">
        <v>46309</v>
      </c>
      <c r="G2117" s="5" t="s">
        <v>12</v>
      </c>
      <c r="H2117" s="5" t="s">
        <v>29</v>
      </c>
      <c r="I2117" s="5">
        <v>54</v>
      </c>
      <c r="J2117" s="9" t="s">
        <v>17</v>
      </c>
      <c r="K2117" s="1" t="s">
        <v>2409</v>
      </c>
      <c r="L2117" t="s">
        <v>3284</v>
      </c>
      <c r="M2117" t="str">
        <f>+VLOOKUP(C2117,'[1]TIENDAS 2025'!$A$1:$C$143,3,0)</f>
        <v>nocturna</v>
      </c>
      <c r="O2117">
        <v>1</v>
      </c>
    </row>
    <row r="2118" spans="1:15" ht="15" customHeight="1" x14ac:dyDescent="0.3">
      <c r="A2118" s="7">
        <v>1209672176</v>
      </c>
      <c r="B2118" s="4" t="s">
        <v>497</v>
      </c>
      <c r="C2118" s="4" t="s">
        <v>498</v>
      </c>
      <c r="D2118" s="6">
        <v>46309.489398148202</v>
      </c>
      <c r="E2118" s="6">
        <v>46309.239363425899</v>
      </c>
      <c r="F2118" s="6">
        <v>46309</v>
      </c>
      <c r="G2118" s="5" t="s">
        <v>12</v>
      </c>
      <c r="H2118" s="5" t="s">
        <v>16</v>
      </c>
      <c r="I2118" s="5">
        <v>2</v>
      </c>
      <c r="J2118" s="9" t="s">
        <v>17</v>
      </c>
      <c r="K2118" s="1" t="s">
        <v>2410</v>
      </c>
      <c r="L2118" t="s">
        <v>3284</v>
      </c>
      <c r="M2118" t="str">
        <f>+VLOOKUP(C2118,'[1]TIENDAS 2025'!$A$1:$C$143,3,0)</f>
        <v>prioridad</v>
      </c>
      <c r="O2118">
        <v>1</v>
      </c>
    </row>
    <row r="2119" spans="1:15" ht="15" customHeight="1" x14ac:dyDescent="0.3">
      <c r="A2119" s="7">
        <v>1209672171</v>
      </c>
      <c r="B2119" s="4" t="s">
        <v>497</v>
      </c>
      <c r="C2119" s="4" t="s">
        <v>498</v>
      </c>
      <c r="D2119" s="6">
        <v>46309.489409722199</v>
      </c>
      <c r="E2119" s="6">
        <v>46309.239374999997</v>
      </c>
      <c r="F2119" s="6">
        <v>46309</v>
      </c>
      <c r="G2119" s="5" t="s">
        <v>12</v>
      </c>
      <c r="H2119" s="5" t="s">
        <v>16</v>
      </c>
      <c r="I2119" s="5">
        <v>12</v>
      </c>
      <c r="J2119" s="9" t="s">
        <v>17</v>
      </c>
      <c r="K2119" s="1" t="s">
        <v>2411</v>
      </c>
      <c r="L2119" t="s">
        <v>3284</v>
      </c>
      <c r="M2119" t="str">
        <f>+VLOOKUP(C2119,'[1]TIENDAS 2025'!$A$1:$C$143,3,0)</f>
        <v>prioridad</v>
      </c>
      <c r="O2119">
        <v>1</v>
      </c>
    </row>
    <row r="2120" spans="1:15" ht="15" customHeight="1" x14ac:dyDescent="0.3">
      <c r="A2120" s="7">
        <v>1209672050</v>
      </c>
      <c r="B2120" s="4" t="s">
        <v>500</v>
      </c>
      <c r="C2120" s="4" t="s">
        <v>501</v>
      </c>
      <c r="D2120" s="6">
        <v>46309.489421296297</v>
      </c>
      <c r="E2120" s="6">
        <v>46309.239386574103</v>
      </c>
      <c r="F2120" s="6">
        <v>46309</v>
      </c>
      <c r="G2120" s="5" t="s">
        <v>12</v>
      </c>
      <c r="H2120" s="5" t="s">
        <v>29</v>
      </c>
      <c r="I2120" s="5">
        <v>4</v>
      </c>
      <c r="J2120" s="9" t="s">
        <v>17</v>
      </c>
      <c r="K2120" s="1" t="s">
        <v>2412</v>
      </c>
      <c r="L2120" t="s">
        <v>3284</v>
      </c>
      <c r="M2120" t="str">
        <f>+VLOOKUP(C2120,'[1]TIENDAS 2025'!$A$1:$C$143,3,0)</f>
        <v>departamental</v>
      </c>
      <c r="O2120">
        <v>1</v>
      </c>
    </row>
    <row r="2121" spans="1:15" ht="15" customHeight="1" x14ac:dyDescent="0.3">
      <c r="A2121" s="7">
        <v>1209672170</v>
      </c>
      <c r="B2121" s="4" t="s">
        <v>497</v>
      </c>
      <c r="C2121" s="4" t="s">
        <v>498</v>
      </c>
      <c r="D2121" s="6">
        <v>46309.489432870403</v>
      </c>
      <c r="E2121" s="6">
        <v>46309.239398148202</v>
      </c>
      <c r="F2121" s="6">
        <v>46309</v>
      </c>
      <c r="G2121" s="5" t="s">
        <v>12</v>
      </c>
      <c r="H2121" s="5" t="s">
        <v>16</v>
      </c>
      <c r="I2121" s="5">
        <v>15</v>
      </c>
      <c r="J2121" s="9" t="s">
        <v>17</v>
      </c>
      <c r="K2121" s="1" t="s">
        <v>2413</v>
      </c>
      <c r="L2121" t="s">
        <v>3284</v>
      </c>
      <c r="M2121" t="str">
        <f>+VLOOKUP(C2121,'[1]TIENDAS 2025'!$A$1:$C$143,3,0)</f>
        <v>prioridad</v>
      </c>
      <c r="O2121">
        <v>1</v>
      </c>
    </row>
    <row r="2122" spans="1:15" ht="15" customHeight="1" x14ac:dyDescent="0.3">
      <c r="A2122" s="7">
        <v>1209672051</v>
      </c>
      <c r="B2122" s="4" t="s">
        <v>500</v>
      </c>
      <c r="C2122" s="4" t="s">
        <v>501</v>
      </c>
      <c r="D2122" s="6">
        <v>46309.4894444444</v>
      </c>
      <c r="E2122" s="6">
        <v>46309.239421296297</v>
      </c>
      <c r="F2122" s="6">
        <v>46309</v>
      </c>
      <c r="G2122" s="5" t="s">
        <v>12</v>
      </c>
      <c r="H2122" s="5" t="s">
        <v>16</v>
      </c>
      <c r="I2122" s="5">
        <v>4</v>
      </c>
      <c r="J2122" s="9" t="s">
        <v>17</v>
      </c>
      <c r="K2122" s="1" t="s">
        <v>2414</v>
      </c>
      <c r="L2122" t="s">
        <v>3284</v>
      </c>
      <c r="M2122" t="str">
        <f>+VLOOKUP(C2122,'[1]TIENDAS 2025'!$A$1:$C$143,3,0)</f>
        <v>departamental</v>
      </c>
      <c r="O2122">
        <v>1</v>
      </c>
    </row>
    <row r="2123" spans="1:15" ht="15" customHeight="1" x14ac:dyDescent="0.3">
      <c r="A2123" s="7">
        <v>8209672166</v>
      </c>
      <c r="B2123" s="4" t="s">
        <v>497</v>
      </c>
      <c r="C2123" s="4" t="s">
        <v>498</v>
      </c>
      <c r="D2123" s="6">
        <v>46309.489467592597</v>
      </c>
      <c r="E2123" s="6">
        <v>46309.239432870403</v>
      </c>
      <c r="F2123" s="6">
        <v>46309</v>
      </c>
      <c r="G2123" s="5" t="s">
        <v>12</v>
      </c>
      <c r="H2123" s="5" t="s">
        <v>27</v>
      </c>
      <c r="I2123" s="5">
        <v>18</v>
      </c>
      <c r="J2123" s="10" t="s">
        <v>17</v>
      </c>
      <c r="K2123" s="1" t="s">
        <v>2415</v>
      </c>
      <c r="M2123" t="str">
        <f>+VLOOKUP(C2123,'[1]TIENDAS 2025'!$A$1:$C$143,3,0)</f>
        <v>prioridad</v>
      </c>
      <c r="O2123">
        <v>1</v>
      </c>
    </row>
    <row r="2124" spans="1:15" ht="15" customHeight="1" x14ac:dyDescent="0.3">
      <c r="A2124" s="7">
        <v>8209672167</v>
      </c>
      <c r="B2124" s="4" t="s">
        <v>497</v>
      </c>
      <c r="C2124" s="4" t="s">
        <v>498</v>
      </c>
      <c r="D2124" s="6">
        <v>46309.489467592597</v>
      </c>
      <c r="E2124" s="6">
        <v>46309.2394444444</v>
      </c>
      <c r="F2124" s="6">
        <v>46309</v>
      </c>
      <c r="G2124" s="5" t="s">
        <v>12</v>
      </c>
      <c r="H2124" s="5" t="s">
        <v>27</v>
      </c>
      <c r="I2124" s="5">
        <v>51</v>
      </c>
      <c r="J2124" s="10" t="s">
        <v>17</v>
      </c>
      <c r="K2124" s="1" t="s">
        <v>2416</v>
      </c>
      <c r="M2124" t="str">
        <f>+VLOOKUP(C2124,'[1]TIENDAS 2025'!$A$1:$C$143,3,0)</f>
        <v>prioridad</v>
      </c>
      <c r="O2124">
        <v>1</v>
      </c>
    </row>
    <row r="2125" spans="1:15" ht="15" customHeight="1" x14ac:dyDescent="0.3">
      <c r="A2125" s="7">
        <v>8209672129</v>
      </c>
      <c r="B2125" s="4" t="s">
        <v>370</v>
      </c>
      <c r="C2125" s="4" t="s">
        <v>371</v>
      </c>
      <c r="D2125" s="6">
        <v>46309.4894907407</v>
      </c>
      <c r="E2125" s="6">
        <v>46309.239456018498</v>
      </c>
      <c r="F2125" s="6">
        <v>46309</v>
      </c>
      <c r="G2125" s="5" t="s">
        <v>12</v>
      </c>
      <c r="H2125" s="5" t="s">
        <v>27</v>
      </c>
      <c r="I2125" s="5">
        <v>14</v>
      </c>
      <c r="J2125" s="10" t="s">
        <v>17</v>
      </c>
      <c r="K2125" s="1" t="s">
        <v>2417</v>
      </c>
      <c r="M2125" t="str">
        <f>+VLOOKUP(C2125,'[1]TIENDAS 2025'!$A$1:$C$143,3,0)</f>
        <v>nocturna</v>
      </c>
      <c r="O2125">
        <v>1</v>
      </c>
    </row>
    <row r="2126" spans="1:15" ht="15" customHeight="1" x14ac:dyDescent="0.3">
      <c r="A2126" s="7">
        <v>8209672062</v>
      </c>
      <c r="B2126" s="4" t="s">
        <v>500</v>
      </c>
      <c r="C2126" s="4" t="s">
        <v>501</v>
      </c>
      <c r="D2126" s="6">
        <v>46309.489502314798</v>
      </c>
      <c r="E2126" s="6">
        <v>46309.239479166703</v>
      </c>
      <c r="F2126" s="6">
        <v>46309</v>
      </c>
      <c r="G2126" s="5" t="s">
        <v>12</v>
      </c>
      <c r="H2126" s="5" t="s">
        <v>27</v>
      </c>
      <c r="I2126" s="5">
        <v>13</v>
      </c>
      <c r="J2126" s="10" t="s">
        <v>17</v>
      </c>
      <c r="K2126" s="1" t="s">
        <v>2418</v>
      </c>
      <c r="M2126" t="str">
        <f>+VLOOKUP(C2126,'[1]TIENDAS 2025'!$A$1:$C$143,3,0)</f>
        <v>departamental</v>
      </c>
      <c r="O2126">
        <v>1</v>
      </c>
    </row>
    <row r="2127" spans="1:15" ht="15" customHeight="1" x14ac:dyDescent="0.3">
      <c r="A2127" s="7">
        <v>1209672103</v>
      </c>
      <c r="B2127" s="4" t="s">
        <v>244</v>
      </c>
      <c r="C2127" s="4" t="s">
        <v>245</v>
      </c>
      <c r="D2127" s="6">
        <v>46309.489513888897</v>
      </c>
      <c r="E2127" s="6">
        <v>46309.2394907407</v>
      </c>
      <c r="F2127" s="6">
        <v>46309</v>
      </c>
      <c r="G2127" s="5" t="s">
        <v>12</v>
      </c>
      <c r="H2127" s="5" t="s">
        <v>16</v>
      </c>
      <c r="I2127" s="5">
        <v>8</v>
      </c>
      <c r="J2127" s="9" t="s">
        <v>17</v>
      </c>
      <c r="K2127" s="1" t="s">
        <v>2419</v>
      </c>
      <c r="L2127" t="s">
        <v>3284</v>
      </c>
      <c r="M2127" t="str">
        <f>+VLOOKUP(C2127,'[1]TIENDAS 2025'!$A$1:$C$143,3,0)</f>
        <v>nocturna</v>
      </c>
      <c r="O2127">
        <v>1</v>
      </c>
    </row>
    <row r="2128" spans="1:15" ht="15" customHeight="1" x14ac:dyDescent="0.3">
      <c r="A2128" s="7">
        <v>1209672173</v>
      </c>
      <c r="B2128" s="4" t="s">
        <v>497</v>
      </c>
      <c r="C2128" s="4" t="s">
        <v>498</v>
      </c>
      <c r="D2128" s="6">
        <v>46309.489537037</v>
      </c>
      <c r="E2128" s="6">
        <v>46309.239502314798</v>
      </c>
      <c r="F2128" s="6">
        <v>46309</v>
      </c>
      <c r="G2128" s="5" t="s">
        <v>12</v>
      </c>
      <c r="H2128" s="5" t="s">
        <v>16</v>
      </c>
      <c r="I2128" s="5">
        <v>25</v>
      </c>
      <c r="J2128" s="9" t="s">
        <v>17</v>
      </c>
      <c r="K2128" s="1" t="s">
        <v>2420</v>
      </c>
      <c r="L2128" t="s">
        <v>3284</v>
      </c>
      <c r="M2128" t="str">
        <f>+VLOOKUP(C2128,'[1]TIENDAS 2025'!$A$1:$C$143,3,0)</f>
        <v>prioridad</v>
      </c>
      <c r="O2128">
        <v>1</v>
      </c>
    </row>
    <row r="2129" spans="1:15" ht="15" customHeight="1" x14ac:dyDescent="0.3">
      <c r="A2129" s="7">
        <v>1209672112</v>
      </c>
      <c r="B2129" s="4" t="s">
        <v>244</v>
      </c>
      <c r="C2129" s="4" t="s">
        <v>245</v>
      </c>
      <c r="D2129" s="6">
        <v>46309.489548611098</v>
      </c>
      <c r="E2129" s="6">
        <v>46309.239513888897</v>
      </c>
      <c r="F2129" s="6">
        <v>46309</v>
      </c>
      <c r="G2129" s="5" t="s">
        <v>12</v>
      </c>
      <c r="H2129" s="5" t="s">
        <v>16</v>
      </c>
      <c r="I2129" s="5">
        <v>6</v>
      </c>
      <c r="J2129" s="9" t="s">
        <v>17</v>
      </c>
      <c r="K2129" s="1" t="s">
        <v>2421</v>
      </c>
      <c r="L2129" t="s">
        <v>3284</v>
      </c>
      <c r="M2129" t="str">
        <f>+VLOOKUP(C2129,'[1]TIENDAS 2025'!$A$1:$C$143,3,0)</f>
        <v>nocturna</v>
      </c>
      <c r="O2129">
        <v>1</v>
      </c>
    </row>
    <row r="2130" spans="1:15" ht="15" customHeight="1" x14ac:dyDescent="0.3">
      <c r="A2130" s="7">
        <v>8209672096</v>
      </c>
      <c r="B2130" s="4" t="s">
        <v>244</v>
      </c>
      <c r="C2130" s="4" t="s">
        <v>245</v>
      </c>
      <c r="D2130" s="6">
        <v>46309.489548611098</v>
      </c>
      <c r="E2130" s="6">
        <v>46309.239525463003</v>
      </c>
      <c r="F2130" s="6">
        <v>46309</v>
      </c>
      <c r="G2130" s="5" t="s">
        <v>12</v>
      </c>
      <c r="H2130" s="5" t="s">
        <v>27</v>
      </c>
      <c r="I2130" s="5">
        <v>2</v>
      </c>
      <c r="J2130" s="10" t="s">
        <v>17</v>
      </c>
      <c r="K2130" s="1" t="s">
        <v>2422</v>
      </c>
      <c r="M2130" t="str">
        <f>+VLOOKUP(C2130,'[1]TIENDAS 2025'!$A$1:$C$143,3,0)</f>
        <v>nocturna</v>
      </c>
      <c r="O2130">
        <v>1</v>
      </c>
    </row>
    <row r="2131" spans="1:15" ht="15" customHeight="1" x14ac:dyDescent="0.3">
      <c r="A2131" s="7">
        <v>1209672168</v>
      </c>
      <c r="B2131" s="4" t="s">
        <v>497</v>
      </c>
      <c r="C2131" s="4" t="s">
        <v>498</v>
      </c>
      <c r="D2131" s="6">
        <v>46309.489571759303</v>
      </c>
      <c r="E2131" s="6">
        <v>46309.239537037</v>
      </c>
      <c r="F2131" s="6">
        <v>46309</v>
      </c>
      <c r="G2131" s="5" t="s">
        <v>12</v>
      </c>
      <c r="H2131" s="5" t="s">
        <v>16</v>
      </c>
      <c r="I2131" s="5">
        <v>2</v>
      </c>
      <c r="J2131" s="9" t="s">
        <v>17</v>
      </c>
      <c r="K2131" s="1" t="s">
        <v>2423</v>
      </c>
      <c r="L2131" t="s">
        <v>3284</v>
      </c>
      <c r="M2131" t="str">
        <f>+VLOOKUP(C2131,'[1]TIENDAS 2025'!$A$1:$C$143,3,0)</f>
        <v>prioridad</v>
      </c>
      <c r="O2131">
        <v>1</v>
      </c>
    </row>
    <row r="2132" spans="1:15" ht="15" customHeight="1" x14ac:dyDescent="0.3">
      <c r="A2132" s="7">
        <v>1209672057</v>
      </c>
      <c r="B2132" s="4" t="s">
        <v>500</v>
      </c>
      <c r="C2132" s="4" t="s">
        <v>501</v>
      </c>
      <c r="D2132" s="6">
        <v>46309.489583333299</v>
      </c>
      <c r="E2132" s="6">
        <v>46309.239560185197</v>
      </c>
      <c r="F2132" s="6">
        <v>46309</v>
      </c>
      <c r="G2132" s="5" t="s">
        <v>12</v>
      </c>
      <c r="H2132" s="5" t="s">
        <v>29</v>
      </c>
      <c r="I2132" s="5">
        <v>33</v>
      </c>
      <c r="J2132" s="9" t="s">
        <v>17</v>
      </c>
      <c r="K2132" s="1" t="s">
        <v>2424</v>
      </c>
      <c r="L2132" t="s">
        <v>3284</v>
      </c>
      <c r="M2132" t="str">
        <f>+VLOOKUP(C2132,'[1]TIENDAS 2025'!$A$1:$C$143,3,0)</f>
        <v>departamental</v>
      </c>
      <c r="O2132">
        <v>1</v>
      </c>
    </row>
    <row r="2133" spans="1:15" ht="15" customHeight="1" x14ac:dyDescent="0.3">
      <c r="A2133" s="7">
        <v>8209672059</v>
      </c>
      <c r="B2133" s="4" t="s">
        <v>500</v>
      </c>
      <c r="C2133" s="4" t="s">
        <v>501</v>
      </c>
      <c r="D2133" s="6">
        <v>46309.489606481497</v>
      </c>
      <c r="E2133" s="6">
        <v>46309.239571759303</v>
      </c>
      <c r="F2133" s="6">
        <v>46309</v>
      </c>
      <c r="G2133" s="5" t="s">
        <v>12</v>
      </c>
      <c r="H2133" s="5" t="s">
        <v>27</v>
      </c>
      <c r="I2133" s="5">
        <v>4</v>
      </c>
      <c r="J2133" s="10" t="s">
        <v>17</v>
      </c>
      <c r="K2133" s="1" t="s">
        <v>2425</v>
      </c>
      <c r="M2133" t="str">
        <f>+VLOOKUP(C2133,'[1]TIENDAS 2025'!$A$1:$C$143,3,0)</f>
        <v>departamental</v>
      </c>
      <c r="O2133">
        <v>1</v>
      </c>
    </row>
    <row r="2134" spans="1:15" ht="15" customHeight="1" x14ac:dyDescent="0.3">
      <c r="A2134" s="7">
        <v>1209672196</v>
      </c>
      <c r="B2134" s="4" t="s">
        <v>376</v>
      </c>
      <c r="C2134" s="4" t="s">
        <v>377</v>
      </c>
      <c r="D2134" s="6">
        <v>46309.489618055602</v>
      </c>
      <c r="E2134" s="6">
        <v>46309.239583333299</v>
      </c>
      <c r="F2134" s="6">
        <v>46309</v>
      </c>
      <c r="G2134" s="5" t="s">
        <v>12</v>
      </c>
      <c r="H2134" s="5" t="s">
        <v>16</v>
      </c>
      <c r="I2134" s="5">
        <v>11</v>
      </c>
      <c r="J2134" s="9" t="s">
        <v>17</v>
      </c>
      <c r="K2134" s="1" t="s">
        <v>2426</v>
      </c>
      <c r="L2134" t="s">
        <v>3284</v>
      </c>
      <c r="M2134" t="str">
        <f>+VLOOKUP(C2134,'[1]TIENDAS 2025'!$A$1:$C$143,3,0)</f>
        <v>nocturna</v>
      </c>
      <c r="O2134">
        <v>1</v>
      </c>
    </row>
    <row r="2135" spans="1:15" ht="15" customHeight="1" x14ac:dyDescent="0.3">
      <c r="A2135" s="7">
        <v>1209672197</v>
      </c>
      <c r="B2135" s="4" t="s">
        <v>376</v>
      </c>
      <c r="C2135" s="4" t="s">
        <v>377</v>
      </c>
      <c r="D2135" s="6">
        <v>46309.489629629599</v>
      </c>
      <c r="E2135" s="6">
        <v>46309.239606481497</v>
      </c>
      <c r="F2135" s="6">
        <v>46309</v>
      </c>
      <c r="G2135" s="5" t="s">
        <v>12</v>
      </c>
      <c r="H2135" s="5" t="s">
        <v>16</v>
      </c>
      <c r="I2135" s="5">
        <v>11</v>
      </c>
      <c r="J2135" s="9" t="s">
        <v>17</v>
      </c>
      <c r="K2135" s="1" t="s">
        <v>2427</v>
      </c>
      <c r="L2135" t="s">
        <v>3284</v>
      </c>
      <c r="M2135" t="str">
        <f>+VLOOKUP(C2135,'[1]TIENDAS 2025'!$A$1:$C$143,3,0)</f>
        <v>nocturna</v>
      </c>
      <c r="O2135">
        <v>1</v>
      </c>
    </row>
    <row r="2136" spans="1:15" ht="15" customHeight="1" x14ac:dyDescent="0.3">
      <c r="A2136" s="7">
        <v>1209672200</v>
      </c>
      <c r="B2136" s="4" t="s">
        <v>376</v>
      </c>
      <c r="C2136" s="4" t="s">
        <v>377</v>
      </c>
      <c r="D2136" s="6">
        <v>46309.489652777796</v>
      </c>
      <c r="E2136" s="6">
        <v>46309.239618055602</v>
      </c>
      <c r="F2136" s="6">
        <v>46309</v>
      </c>
      <c r="G2136" s="5" t="s">
        <v>12</v>
      </c>
      <c r="H2136" s="5" t="s">
        <v>16</v>
      </c>
      <c r="I2136" s="5">
        <v>29</v>
      </c>
      <c r="J2136" s="9" t="s">
        <v>17</v>
      </c>
      <c r="K2136" s="1" t="s">
        <v>2428</v>
      </c>
      <c r="L2136" t="s">
        <v>3284</v>
      </c>
      <c r="M2136" t="str">
        <f>+VLOOKUP(C2136,'[1]TIENDAS 2025'!$A$1:$C$143,3,0)</f>
        <v>nocturna</v>
      </c>
      <c r="O2136">
        <v>1</v>
      </c>
    </row>
    <row r="2137" spans="1:15" ht="15" customHeight="1" x14ac:dyDescent="0.3">
      <c r="A2137" s="7">
        <v>1209672201</v>
      </c>
      <c r="B2137" s="4" t="s">
        <v>376</v>
      </c>
      <c r="C2137" s="4" t="s">
        <v>377</v>
      </c>
      <c r="D2137" s="6">
        <v>46309.489675925899</v>
      </c>
      <c r="E2137" s="6">
        <v>46309.239641203698</v>
      </c>
      <c r="F2137" s="6">
        <v>46309</v>
      </c>
      <c r="G2137" s="5" t="s">
        <v>12</v>
      </c>
      <c r="H2137" s="5" t="s">
        <v>29</v>
      </c>
      <c r="I2137" s="5">
        <v>32</v>
      </c>
      <c r="J2137" s="9" t="s">
        <v>17</v>
      </c>
      <c r="K2137" s="1" t="s">
        <v>2429</v>
      </c>
      <c r="L2137" t="s">
        <v>3284</v>
      </c>
      <c r="M2137" t="str">
        <f>+VLOOKUP(C2137,'[1]TIENDAS 2025'!$A$1:$C$143,3,0)</f>
        <v>nocturna</v>
      </c>
      <c r="O2137">
        <v>1</v>
      </c>
    </row>
    <row r="2138" spans="1:15" ht="15" customHeight="1" x14ac:dyDescent="0.3">
      <c r="A2138" s="7">
        <v>8209672188</v>
      </c>
      <c r="B2138" s="4" t="s">
        <v>376</v>
      </c>
      <c r="C2138" s="4" t="s">
        <v>377</v>
      </c>
      <c r="D2138" s="6">
        <v>46309.489687499998</v>
      </c>
      <c r="E2138" s="6">
        <v>46309.239664351902</v>
      </c>
      <c r="F2138" s="6">
        <v>46309</v>
      </c>
      <c r="G2138" s="5" t="s">
        <v>12</v>
      </c>
      <c r="H2138" s="5" t="s">
        <v>27</v>
      </c>
      <c r="I2138" s="5">
        <v>1</v>
      </c>
      <c r="J2138" s="10" t="s">
        <v>17</v>
      </c>
      <c r="K2138" s="1" t="s">
        <v>2430</v>
      </c>
      <c r="M2138" t="str">
        <f>+VLOOKUP(C2138,'[1]TIENDAS 2025'!$A$1:$C$143,3,0)</f>
        <v>nocturna</v>
      </c>
      <c r="O2138">
        <v>1</v>
      </c>
    </row>
    <row r="2139" spans="1:15" ht="15" customHeight="1" x14ac:dyDescent="0.3">
      <c r="A2139" s="7">
        <v>8209672189</v>
      </c>
      <c r="B2139" s="4" t="s">
        <v>376</v>
      </c>
      <c r="C2139" s="4" t="s">
        <v>377</v>
      </c>
      <c r="D2139" s="6">
        <v>46309.489710648202</v>
      </c>
      <c r="E2139" s="6">
        <v>46309.239675925899</v>
      </c>
      <c r="F2139" s="6">
        <v>46309</v>
      </c>
      <c r="G2139" s="5" t="s">
        <v>12</v>
      </c>
      <c r="H2139" s="5" t="s">
        <v>27</v>
      </c>
      <c r="I2139" s="5">
        <v>3</v>
      </c>
      <c r="J2139" s="10" t="s">
        <v>17</v>
      </c>
      <c r="K2139" s="1" t="s">
        <v>2431</v>
      </c>
      <c r="M2139" t="str">
        <f>+VLOOKUP(C2139,'[1]TIENDAS 2025'!$A$1:$C$143,3,0)</f>
        <v>nocturna</v>
      </c>
      <c r="O2139">
        <v>1</v>
      </c>
    </row>
    <row r="2140" spans="1:15" ht="15" customHeight="1" x14ac:dyDescent="0.3">
      <c r="A2140" s="7">
        <v>8209672047</v>
      </c>
      <c r="B2140" s="4" t="s">
        <v>500</v>
      </c>
      <c r="C2140" s="4" t="s">
        <v>501</v>
      </c>
      <c r="D2140" s="6">
        <v>46309.489733796298</v>
      </c>
      <c r="E2140" s="6">
        <v>46309.239699074104</v>
      </c>
      <c r="F2140" s="6">
        <v>46309</v>
      </c>
      <c r="G2140" s="5" t="s">
        <v>12</v>
      </c>
      <c r="H2140" s="5" t="s">
        <v>27</v>
      </c>
      <c r="I2140" s="5">
        <v>3</v>
      </c>
      <c r="J2140" s="10" t="s">
        <v>17</v>
      </c>
      <c r="K2140" s="1" t="s">
        <v>2432</v>
      </c>
      <c r="M2140" t="str">
        <f>+VLOOKUP(C2140,'[1]TIENDAS 2025'!$A$1:$C$143,3,0)</f>
        <v>departamental</v>
      </c>
      <c r="O2140">
        <v>1</v>
      </c>
    </row>
    <row r="2141" spans="1:15" ht="15" customHeight="1" x14ac:dyDescent="0.3">
      <c r="A2141" s="7">
        <v>1209672113</v>
      </c>
      <c r="B2141" s="4" t="s">
        <v>244</v>
      </c>
      <c r="C2141" s="4" t="s">
        <v>245</v>
      </c>
      <c r="D2141" s="6">
        <v>46309.4897569444</v>
      </c>
      <c r="E2141" s="6">
        <v>46309.239722222199</v>
      </c>
      <c r="F2141" s="6">
        <v>46309</v>
      </c>
      <c r="G2141" s="5" t="s">
        <v>12</v>
      </c>
      <c r="H2141" s="5" t="s">
        <v>16</v>
      </c>
      <c r="I2141" s="5">
        <v>11</v>
      </c>
      <c r="J2141" s="9" t="s">
        <v>17</v>
      </c>
      <c r="K2141" s="1" t="s">
        <v>2433</v>
      </c>
      <c r="L2141" t="s">
        <v>3284</v>
      </c>
      <c r="M2141" t="str">
        <f>+VLOOKUP(C2141,'[1]TIENDAS 2025'!$A$1:$C$143,3,0)</f>
        <v>nocturna</v>
      </c>
      <c r="O2141">
        <v>1</v>
      </c>
    </row>
    <row r="2142" spans="1:15" ht="15" customHeight="1" x14ac:dyDescent="0.3">
      <c r="A2142" s="7">
        <v>8209672165</v>
      </c>
      <c r="B2142" s="4" t="s">
        <v>497</v>
      </c>
      <c r="C2142" s="4" t="s">
        <v>498</v>
      </c>
      <c r="D2142" s="6">
        <v>46309.489768518499</v>
      </c>
      <c r="E2142" s="6">
        <v>46309.239745370403</v>
      </c>
      <c r="F2142" s="6">
        <v>46309</v>
      </c>
      <c r="G2142" s="5" t="s">
        <v>12</v>
      </c>
      <c r="H2142" s="5" t="s">
        <v>27</v>
      </c>
      <c r="I2142" s="5">
        <v>2</v>
      </c>
      <c r="J2142" s="10" t="s">
        <v>17</v>
      </c>
      <c r="K2142" s="1" t="s">
        <v>2434</v>
      </c>
      <c r="M2142" t="str">
        <f>+VLOOKUP(C2142,'[1]TIENDAS 2025'!$A$1:$C$143,3,0)</f>
        <v>prioridad</v>
      </c>
      <c r="O2142">
        <v>1</v>
      </c>
    </row>
    <row r="2143" spans="1:15" ht="15" customHeight="1" x14ac:dyDescent="0.3">
      <c r="A2143" s="7">
        <v>1209672146</v>
      </c>
      <c r="B2143" s="4" t="s">
        <v>370</v>
      </c>
      <c r="C2143" s="4" t="s">
        <v>371</v>
      </c>
      <c r="D2143" s="6">
        <v>46309.489791666703</v>
      </c>
      <c r="E2143" s="6">
        <v>46309.2397569444</v>
      </c>
      <c r="F2143" s="6">
        <v>46309</v>
      </c>
      <c r="G2143" s="5" t="s">
        <v>12</v>
      </c>
      <c r="H2143" s="5" t="s">
        <v>29</v>
      </c>
      <c r="I2143" s="5">
        <v>25</v>
      </c>
      <c r="J2143" s="9" t="s">
        <v>17</v>
      </c>
      <c r="K2143" s="1" t="s">
        <v>2435</v>
      </c>
      <c r="L2143" t="s">
        <v>3284</v>
      </c>
      <c r="M2143" t="str">
        <f>+VLOOKUP(C2143,'[1]TIENDAS 2025'!$A$1:$C$143,3,0)</f>
        <v>nocturna</v>
      </c>
      <c r="O2143">
        <v>1</v>
      </c>
    </row>
    <row r="2144" spans="1:15" ht="15" customHeight="1" x14ac:dyDescent="0.3">
      <c r="A2144" s="7">
        <v>1209672102</v>
      </c>
      <c r="B2144" s="4" t="s">
        <v>244</v>
      </c>
      <c r="C2144" s="4" t="s">
        <v>245</v>
      </c>
      <c r="D2144" s="6">
        <v>46309.4898032407</v>
      </c>
      <c r="E2144" s="6">
        <v>46309.239768518499</v>
      </c>
      <c r="F2144" s="6">
        <v>46309</v>
      </c>
      <c r="G2144" s="5" t="s">
        <v>12</v>
      </c>
      <c r="H2144" s="5" t="s">
        <v>16</v>
      </c>
      <c r="I2144" s="5">
        <v>8</v>
      </c>
      <c r="J2144" s="9" t="s">
        <v>17</v>
      </c>
      <c r="K2144" s="1" t="s">
        <v>2436</v>
      </c>
      <c r="L2144" t="s">
        <v>3284</v>
      </c>
      <c r="M2144" t="str">
        <f>+VLOOKUP(C2144,'[1]TIENDAS 2025'!$A$1:$C$143,3,0)</f>
        <v>nocturna</v>
      </c>
      <c r="O2144">
        <v>1</v>
      </c>
    </row>
    <row r="2145" spans="1:15" ht="15" customHeight="1" x14ac:dyDescent="0.3">
      <c r="A2145" s="7">
        <v>8209672108</v>
      </c>
      <c r="B2145" s="4" t="s">
        <v>244</v>
      </c>
      <c r="C2145" s="4" t="s">
        <v>245</v>
      </c>
      <c r="D2145" s="6">
        <v>46309.489814814799</v>
      </c>
      <c r="E2145" s="6">
        <v>46309.239791666703</v>
      </c>
      <c r="F2145" s="6">
        <v>46309</v>
      </c>
      <c r="G2145" s="5" t="s">
        <v>12</v>
      </c>
      <c r="H2145" s="5" t="s">
        <v>27</v>
      </c>
      <c r="I2145" s="5">
        <v>2</v>
      </c>
      <c r="J2145" s="10" t="s">
        <v>17</v>
      </c>
      <c r="K2145" s="1" t="s">
        <v>2437</v>
      </c>
      <c r="M2145" t="str">
        <f>+VLOOKUP(C2145,'[1]TIENDAS 2025'!$A$1:$C$143,3,0)</f>
        <v>nocturna</v>
      </c>
      <c r="O2145">
        <v>1</v>
      </c>
    </row>
    <row r="2146" spans="1:15" ht="15" customHeight="1" x14ac:dyDescent="0.3">
      <c r="A2146" s="7">
        <v>1209672219</v>
      </c>
      <c r="B2146" s="4" t="s">
        <v>376</v>
      </c>
      <c r="C2146" s="4" t="s">
        <v>377</v>
      </c>
      <c r="D2146" s="6">
        <v>46309.489826388897</v>
      </c>
      <c r="E2146" s="6">
        <v>46309.2398032407</v>
      </c>
      <c r="F2146" s="6">
        <v>46309</v>
      </c>
      <c r="G2146" s="5" t="s">
        <v>12</v>
      </c>
      <c r="H2146" s="5" t="s">
        <v>16</v>
      </c>
      <c r="I2146" s="5">
        <v>1</v>
      </c>
      <c r="J2146" s="9" t="s">
        <v>17</v>
      </c>
      <c r="K2146" s="1" t="s">
        <v>2438</v>
      </c>
      <c r="L2146" t="s">
        <v>3284</v>
      </c>
      <c r="M2146" t="str">
        <f>+VLOOKUP(C2146,'[1]TIENDAS 2025'!$A$1:$C$143,3,0)</f>
        <v>nocturna</v>
      </c>
      <c r="O2146">
        <v>1</v>
      </c>
    </row>
    <row r="2147" spans="1:15" ht="15" customHeight="1" x14ac:dyDescent="0.3">
      <c r="A2147" s="7">
        <v>1209672185</v>
      </c>
      <c r="B2147" s="4" t="s">
        <v>497</v>
      </c>
      <c r="C2147" s="4" t="s">
        <v>498</v>
      </c>
      <c r="D2147" s="6">
        <v>46309.489849537</v>
      </c>
      <c r="E2147" s="6">
        <v>46309.239826388897</v>
      </c>
      <c r="F2147" s="6">
        <v>46309</v>
      </c>
      <c r="G2147" s="5" t="s">
        <v>12</v>
      </c>
      <c r="H2147" s="5" t="s">
        <v>16</v>
      </c>
      <c r="I2147" s="5">
        <v>29</v>
      </c>
      <c r="J2147" s="9" t="s">
        <v>17</v>
      </c>
      <c r="K2147" s="1" t="s">
        <v>2439</v>
      </c>
      <c r="L2147" t="s">
        <v>3284</v>
      </c>
      <c r="M2147" t="str">
        <f>+VLOOKUP(C2147,'[1]TIENDAS 2025'!$A$1:$C$143,3,0)</f>
        <v>prioridad</v>
      </c>
      <c r="O2147">
        <v>1</v>
      </c>
    </row>
    <row r="2148" spans="1:15" ht="15" customHeight="1" x14ac:dyDescent="0.3">
      <c r="A2148" s="7">
        <v>1209672175</v>
      </c>
      <c r="B2148" s="4" t="s">
        <v>497</v>
      </c>
      <c r="C2148" s="4" t="s">
        <v>498</v>
      </c>
      <c r="D2148" s="6">
        <v>46309.489872685197</v>
      </c>
      <c r="E2148" s="6">
        <v>46309.239837963003</v>
      </c>
      <c r="F2148" s="6">
        <v>46309</v>
      </c>
      <c r="G2148" s="5" t="s">
        <v>12</v>
      </c>
      <c r="H2148" s="5" t="s">
        <v>27</v>
      </c>
      <c r="I2148" s="5">
        <v>45</v>
      </c>
      <c r="J2148" s="9" t="s">
        <v>17</v>
      </c>
      <c r="K2148" s="1" t="s">
        <v>2440</v>
      </c>
      <c r="L2148" t="s">
        <v>3284</v>
      </c>
      <c r="M2148" t="str">
        <f>+VLOOKUP(C2148,'[1]TIENDAS 2025'!$A$1:$C$143,3,0)</f>
        <v>prioridad</v>
      </c>
      <c r="O2148">
        <v>1</v>
      </c>
    </row>
    <row r="2149" spans="1:15" ht="15" customHeight="1" x14ac:dyDescent="0.3">
      <c r="A2149" s="7">
        <v>8209672187</v>
      </c>
      <c r="B2149" s="4" t="s">
        <v>376</v>
      </c>
      <c r="C2149" s="4" t="s">
        <v>377</v>
      </c>
      <c r="D2149" s="6">
        <v>46309.489884259303</v>
      </c>
      <c r="E2149" s="6">
        <v>46309.239861111098</v>
      </c>
      <c r="F2149" s="6">
        <v>46309</v>
      </c>
      <c r="G2149" s="5" t="s">
        <v>12</v>
      </c>
      <c r="H2149" s="5" t="s">
        <v>27</v>
      </c>
      <c r="I2149" s="5">
        <v>7</v>
      </c>
      <c r="J2149" s="10" t="s">
        <v>17</v>
      </c>
      <c r="K2149" s="1" t="s">
        <v>2441</v>
      </c>
      <c r="M2149" t="str">
        <f>+VLOOKUP(C2149,'[1]TIENDAS 2025'!$A$1:$C$143,3,0)</f>
        <v>nocturna</v>
      </c>
      <c r="O2149">
        <v>1</v>
      </c>
    </row>
    <row r="2150" spans="1:15" ht="15" customHeight="1" x14ac:dyDescent="0.3">
      <c r="A2150" s="7">
        <v>8209672048</v>
      </c>
      <c r="B2150" s="4" t="s">
        <v>500</v>
      </c>
      <c r="C2150" s="4" t="s">
        <v>501</v>
      </c>
      <c r="D2150" s="6">
        <v>46309.489907407398</v>
      </c>
      <c r="E2150" s="6">
        <v>46309.239884259303</v>
      </c>
      <c r="F2150" s="6">
        <v>46309</v>
      </c>
      <c r="G2150" s="5" t="s">
        <v>12</v>
      </c>
      <c r="H2150" s="5" t="s">
        <v>27</v>
      </c>
      <c r="I2150" s="5">
        <v>3</v>
      </c>
      <c r="J2150" s="10" t="s">
        <v>17</v>
      </c>
      <c r="K2150" s="1" t="s">
        <v>2442</v>
      </c>
      <c r="M2150" t="str">
        <f>+VLOOKUP(C2150,'[1]TIENDAS 2025'!$A$1:$C$143,3,0)</f>
        <v>departamental</v>
      </c>
      <c r="O2150">
        <v>1</v>
      </c>
    </row>
    <row r="2151" spans="1:15" ht="15" customHeight="1" x14ac:dyDescent="0.3">
      <c r="A2151" s="7">
        <v>1209672111</v>
      </c>
      <c r="B2151" s="4" t="s">
        <v>244</v>
      </c>
      <c r="C2151" s="4" t="s">
        <v>245</v>
      </c>
      <c r="D2151" s="6">
        <v>46309.489930555603</v>
      </c>
      <c r="E2151" s="6">
        <v>46309.2398958333</v>
      </c>
      <c r="F2151" s="6">
        <v>46309</v>
      </c>
      <c r="G2151" s="5" t="s">
        <v>12</v>
      </c>
      <c r="H2151" s="5" t="s">
        <v>16</v>
      </c>
      <c r="I2151" s="5">
        <v>6</v>
      </c>
      <c r="J2151" s="9" t="s">
        <v>17</v>
      </c>
      <c r="K2151" s="1" t="s">
        <v>2443</v>
      </c>
      <c r="L2151" t="s">
        <v>3284</v>
      </c>
      <c r="M2151" t="str">
        <f>+VLOOKUP(C2151,'[1]TIENDAS 2025'!$A$1:$C$143,3,0)</f>
        <v>nocturna</v>
      </c>
      <c r="O2151">
        <v>1</v>
      </c>
    </row>
    <row r="2152" spans="1:15" ht="15" customHeight="1" x14ac:dyDescent="0.3">
      <c r="A2152" s="7">
        <v>1209672138</v>
      </c>
      <c r="B2152" s="4" t="s">
        <v>370</v>
      </c>
      <c r="C2152" s="4" t="s">
        <v>371</v>
      </c>
      <c r="D2152" s="6">
        <v>46309.489953703698</v>
      </c>
      <c r="E2152" s="6">
        <v>46309.239918981497</v>
      </c>
      <c r="F2152" s="6">
        <v>46309</v>
      </c>
      <c r="G2152" s="5" t="s">
        <v>12</v>
      </c>
      <c r="H2152" s="5" t="s">
        <v>16</v>
      </c>
      <c r="I2152" s="5">
        <v>84</v>
      </c>
      <c r="J2152" s="9" t="s">
        <v>17</v>
      </c>
      <c r="K2152" s="1" t="s">
        <v>2444</v>
      </c>
      <c r="L2152" t="s">
        <v>3284</v>
      </c>
      <c r="M2152" t="str">
        <f>+VLOOKUP(C2152,'[1]TIENDAS 2025'!$A$1:$C$143,3,0)</f>
        <v>nocturna</v>
      </c>
      <c r="O2152">
        <v>1</v>
      </c>
    </row>
    <row r="2153" spans="1:15" ht="15" customHeight="1" x14ac:dyDescent="0.3">
      <c r="A2153" s="7">
        <v>1209672114</v>
      </c>
      <c r="B2153" s="4" t="s">
        <v>244</v>
      </c>
      <c r="C2153" s="4" t="s">
        <v>245</v>
      </c>
      <c r="D2153" s="6">
        <v>46309.489965277797</v>
      </c>
      <c r="E2153" s="6">
        <v>46309.2399421296</v>
      </c>
      <c r="F2153" s="6">
        <v>46309</v>
      </c>
      <c r="G2153" s="5" t="s">
        <v>12</v>
      </c>
      <c r="H2153" s="5" t="s">
        <v>29</v>
      </c>
      <c r="I2153" s="5">
        <v>15</v>
      </c>
      <c r="J2153" s="9" t="s">
        <v>17</v>
      </c>
      <c r="K2153" s="1" t="s">
        <v>2445</v>
      </c>
      <c r="L2153" t="s">
        <v>3284</v>
      </c>
      <c r="M2153" t="str">
        <f>+VLOOKUP(C2153,'[1]TIENDAS 2025'!$A$1:$C$143,3,0)</f>
        <v>nocturna</v>
      </c>
      <c r="O2153">
        <v>1</v>
      </c>
    </row>
    <row r="2154" spans="1:15" ht="15" customHeight="1" x14ac:dyDescent="0.3">
      <c r="A2154" s="7">
        <v>1209672139</v>
      </c>
      <c r="B2154" s="4" t="s">
        <v>370</v>
      </c>
      <c r="C2154" s="4" t="s">
        <v>371</v>
      </c>
      <c r="D2154" s="6">
        <v>46309.489988425899</v>
      </c>
      <c r="E2154" s="6">
        <v>46309.239953703698</v>
      </c>
      <c r="F2154" s="6">
        <v>46309</v>
      </c>
      <c r="G2154" s="5" t="s">
        <v>12</v>
      </c>
      <c r="H2154" s="5" t="s">
        <v>29</v>
      </c>
      <c r="I2154" s="5">
        <v>52</v>
      </c>
      <c r="J2154" s="9" t="s">
        <v>17</v>
      </c>
      <c r="K2154" s="1" t="s">
        <v>2446</v>
      </c>
      <c r="L2154" t="s">
        <v>3284</v>
      </c>
      <c r="M2154" t="str">
        <f>+VLOOKUP(C2154,'[1]TIENDAS 2025'!$A$1:$C$143,3,0)</f>
        <v>nocturna</v>
      </c>
      <c r="O2154">
        <v>1</v>
      </c>
    </row>
    <row r="2155" spans="1:15" ht="15" customHeight="1" x14ac:dyDescent="0.3">
      <c r="A2155" s="7">
        <v>8209672163</v>
      </c>
      <c r="B2155" s="4" t="s">
        <v>497</v>
      </c>
      <c r="C2155" s="4" t="s">
        <v>498</v>
      </c>
      <c r="D2155" s="6">
        <v>46309.490011574097</v>
      </c>
      <c r="E2155" s="6">
        <v>46309.239976851903</v>
      </c>
      <c r="F2155" s="6">
        <v>46309</v>
      </c>
      <c r="G2155" s="5" t="s">
        <v>12</v>
      </c>
      <c r="H2155" s="5" t="s">
        <v>27</v>
      </c>
      <c r="I2155" s="5">
        <v>15</v>
      </c>
      <c r="J2155" s="10" t="s">
        <v>17</v>
      </c>
      <c r="K2155" s="1" t="s">
        <v>2447</v>
      </c>
      <c r="M2155" t="str">
        <f>+VLOOKUP(C2155,'[1]TIENDAS 2025'!$A$1:$C$143,3,0)</f>
        <v>prioridad</v>
      </c>
      <c r="O2155">
        <v>1</v>
      </c>
    </row>
    <row r="2156" spans="1:15" ht="15" customHeight="1" x14ac:dyDescent="0.3">
      <c r="A2156" s="7">
        <v>8209672141</v>
      </c>
      <c r="B2156" s="4" t="s">
        <v>370</v>
      </c>
      <c r="C2156" s="4" t="s">
        <v>371</v>
      </c>
      <c r="D2156" s="6">
        <v>46309.490023148202</v>
      </c>
      <c r="E2156" s="6">
        <v>46309.24</v>
      </c>
      <c r="F2156" s="6">
        <v>46309</v>
      </c>
      <c r="G2156" s="5" t="s">
        <v>12</v>
      </c>
      <c r="H2156" s="5" t="s">
        <v>27</v>
      </c>
      <c r="I2156" s="5">
        <v>11</v>
      </c>
      <c r="J2156" s="10" t="s">
        <v>17</v>
      </c>
      <c r="K2156" s="1" t="s">
        <v>2448</v>
      </c>
      <c r="M2156" t="str">
        <f>+VLOOKUP(C2156,'[1]TIENDAS 2025'!$A$1:$C$143,3,0)</f>
        <v>nocturna</v>
      </c>
      <c r="O2156">
        <v>1</v>
      </c>
    </row>
    <row r="2157" spans="1:15" ht="15" customHeight="1" x14ac:dyDescent="0.3">
      <c r="A2157" s="7">
        <v>8209672142</v>
      </c>
      <c r="B2157" s="4" t="s">
        <v>370</v>
      </c>
      <c r="C2157" s="4" t="s">
        <v>371</v>
      </c>
      <c r="D2157" s="6">
        <v>46309.490046296298</v>
      </c>
      <c r="E2157" s="6">
        <v>46309.240023148202</v>
      </c>
      <c r="F2157" s="6">
        <v>46309</v>
      </c>
      <c r="G2157" s="5" t="s">
        <v>12</v>
      </c>
      <c r="H2157" s="5" t="s">
        <v>27</v>
      </c>
      <c r="I2157" s="5">
        <v>31</v>
      </c>
      <c r="J2157" s="10" t="s">
        <v>17</v>
      </c>
      <c r="K2157" s="1" t="s">
        <v>2449</v>
      </c>
      <c r="M2157" t="str">
        <f>+VLOOKUP(C2157,'[1]TIENDAS 2025'!$A$1:$C$143,3,0)</f>
        <v>nocturna</v>
      </c>
      <c r="O2157">
        <v>1</v>
      </c>
    </row>
    <row r="2158" spans="1:15" ht="15" customHeight="1" x14ac:dyDescent="0.3">
      <c r="A2158" s="7">
        <v>1209672101</v>
      </c>
      <c r="B2158" s="4" t="s">
        <v>244</v>
      </c>
      <c r="C2158" s="4" t="s">
        <v>245</v>
      </c>
      <c r="D2158" s="6">
        <v>46309.4900694444</v>
      </c>
      <c r="E2158" s="6">
        <v>46309.240034722199</v>
      </c>
      <c r="F2158" s="6">
        <v>46309</v>
      </c>
      <c r="G2158" s="5" t="s">
        <v>12</v>
      </c>
      <c r="H2158" s="5" t="s">
        <v>16</v>
      </c>
      <c r="I2158" s="5">
        <v>1</v>
      </c>
      <c r="J2158" s="9" t="s">
        <v>17</v>
      </c>
      <c r="K2158" s="1" t="s">
        <v>2450</v>
      </c>
      <c r="L2158" t="s">
        <v>3284</v>
      </c>
      <c r="M2158" t="str">
        <f>+VLOOKUP(C2158,'[1]TIENDAS 2025'!$A$1:$C$143,3,0)</f>
        <v>nocturna</v>
      </c>
      <c r="O2158">
        <v>1</v>
      </c>
    </row>
    <row r="2159" spans="1:15" ht="15" customHeight="1" x14ac:dyDescent="0.3">
      <c r="A2159" s="7">
        <v>1209672064</v>
      </c>
      <c r="B2159" s="4" t="s">
        <v>500</v>
      </c>
      <c r="C2159" s="4" t="s">
        <v>501</v>
      </c>
      <c r="D2159" s="6">
        <v>46309.490081018499</v>
      </c>
      <c r="E2159" s="6">
        <v>46309.240057870396</v>
      </c>
      <c r="F2159" s="6">
        <v>46309</v>
      </c>
      <c r="G2159" s="5" t="s">
        <v>12</v>
      </c>
      <c r="H2159" s="5" t="s">
        <v>16</v>
      </c>
      <c r="I2159" s="5">
        <v>14</v>
      </c>
      <c r="J2159" s="9" t="s">
        <v>17</v>
      </c>
      <c r="K2159" s="1" t="s">
        <v>2451</v>
      </c>
      <c r="L2159" t="s">
        <v>3284</v>
      </c>
      <c r="M2159" t="str">
        <f>+VLOOKUP(C2159,'[1]TIENDAS 2025'!$A$1:$C$143,3,0)</f>
        <v>departamental</v>
      </c>
      <c r="O2159">
        <v>1</v>
      </c>
    </row>
    <row r="2160" spans="1:15" ht="15" customHeight="1" x14ac:dyDescent="0.3">
      <c r="A2160" s="7">
        <v>1209672198</v>
      </c>
      <c r="B2160" s="4" t="s">
        <v>376</v>
      </c>
      <c r="C2160" s="4" t="s">
        <v>377</v>
      </c>
      <c r="D2160" s="6">
        <v>46309.490104166704</v>
      </c>
      <c r="E2160" s="6">
        <v>46309.240081018499</v>
      </c>
      <c r="F2160" s="6">
        <v>46309</v>
      </c>
      <c r="G2160" s="5" t="s">
        <v>12</v>
      </c>
      <c r="H2160" s="5" t="s">
        <v>16</v>
      </c>
      <c r="I2160" s="5">
        <v>18</v>
      </c>
      <c r="J2160" s="9" t="s">
        <v>17</v>
      </c>
      <c r="K2160" s="1" t="s">
        <v>2452</v>
      </c>
      <c r="L2160" t="s">
        <v>3284</v>
      </c>
      <c r="M2160" t="str">
        <f>+VLOOKUP(C2160,'[1]TIENDAS 2025'!$A$1:$C$143,3,0)</f>
        <v>nocturna</v>
      </c>
      <c r="O2160">
        <v>1</v>
      </c>
    </row>
    <row r="2161" spans="1:15" ht="15" customHeight="1" x14ac:dyDescent="0.3">
      <c r="A2161" s="7">
        <v>8209672191</v>
      </c>
      <c r="B2161" s="4" t="s">
        <v>376</v>
      </c>
      <c r="C2161" s="4" t="s">
        <v>377</v>
      </c>
      <c r="D2161" s="6">
        <v>46309.490127314799</v>
      </c>
      <c r="E2161" s="6">
        <v>46309.240092592598</v>
      </c>
      <c r="F2161" s="6">
        <v>46309</v>
      </c>
      <c r="G2161" s="5" t="s">
        <v>12</v>
      </c>
      <c r="H2161" s="5" t="s">
        <v>27</v>
      </c>
      <c r="I2161" s="5">
        <v>15</v>
      </c>
      <c r="J2161" s="10" t="s">
        <v>17</v>
      </c>
      <c r="K2161" s="1" t="s">
        <v>2453</v>
      </c>
      <c r="M2161" t="str">
        <f>+VLOOKUP(C2161,'[1]TIENDAS 2025'!$A$1:$C$143,3,0)</f>
        <v>nocturna</v>
      </c>
      <c r="O2161">
        <v>1</v>
      </c>
    </row>
    <row r="2162" spans="1:15" ht="15" customHeight="1" x14ac:dyDescent="0.3">
      <c r="A2162" s="7">
        <v>1209672055</v>
      </c>
      <c r="B2162" s="4" t="s">
        <v>500</v>
      </c>
      <c r="C2162" s="4" t="s">
        <v>501</v>
      </c>
      <c r="D2162" s="6">
        <v>46309.490150463003</v>
      </c>
      <c r="E2162" s="6">
        <v>46309.2401157407</v>
      </c>
      <c r="F2162" s="6">
        <v>46309</v>
      </c>
      <c r="G2162" s="5" t="s">
        <v>12</v>
      </c>
      <c r="H2162" s="5" t="s">
        <v>16</v>
      </c>
      <c r="I2162" s="5">
        <v>20</v>
      </c>
      <c r="J2162" s="9" t="s">
        <v>17</v>
      </c>
      <c r="K2162" s="1" t="s">
        <v>2454</v>
      </c>
      <c r="L2162" t="s">
        <v>3284</v>
      </c>
      <c r="M2162" t="str">
        <f>+VLOOKUP(C2162,'[1]TIENDAS 2025'!$A$1:$C$143,3,0)</f>
        <v>departamental</v>
      </c>
      <c r="O2162">
        <v>1</v>
      </c>
    </row>
    <row r="2163" spans="1:15" ht="15" customHeight="1" x14ac:dyDescent="0.3">
      <c r="A2163" s="7">
        <v>1209672140</v>
      </c>
      <c r="B2163" s="4" t="s">
        <v>370</v>
      </c>
      <c r="C2163" s="4" t="s">
        <v>371</v>
      </c>
      <c r="D2163" s="6">
        <v>46309.490150463003</v>
      </c>
      <c r="E2163" s="6">
        <v>46309.240127314799</v>
      </c>
      <c r="F2163" s="6">
        <v>46309</v>
      </c>
      <c r="G2163" s="5" t="s">
        <v>12</v>
      </c>
      <c r="H2163" s="5" t="s">
        <v>16</v>
      </c>
      <c r="I2163" s="5">
        <v>5</v>
      </c>
      <c r="J2163" s="9" t="s">
        <v>17</v>
      </c>
      <c r="K2163" s="1" t="s">
        <v>2455</v>
      </c>
      <c r="L2163" t="s">
        <v>3284</v>
      </c>
      <c r="M2163" t="str">
        <f>+VLOOKUP(C2163,'[1]TIENDAS 2025'!$A$1:$C$143,3,0)</f>
        <v>nocturna</v>
      </c>
      <c r="O2163">
        <v>1</v>
      </c>
    </row>
    <row r="2164" spans="1:15" ht="15" customHeight="1" x14ac:dyDescent="0.3">
      <c r="A2164" s="7">
        <v>8209672127</v>
      </c>
      <c r="B2164" s="4" t="s">
        <v>370</v>
      </c>
      <c r="C2164" s="4" t="s">
        <v>371</v>
      </c>
      <c r="D2164" s="6">
        <v>46309.490173611099</v>
      </c>
      <c r="E2164" s="6">
        <v>46309.240138888897</v>
      </c>
      <c r="F2164" s="6">
        <v>46309</v>
      </c>
      <c r="G2164" s="5" t="s">
        <v>12</v>
      </c>
      <c r="H2164" s="5" t="s">
        <v>27</v>
      </c>
      <c r="I2164" s="5">
        <v>8</v>
      </c>
      <c r="J2164" s="10" t="s">
        <v>17</v>
      </c>
      <c r="K2164" s="1" t="s">
        <v>2456</v>
      </c>
      <c r="M2164" t="str">
        <f>+VLOOKUP(C2164,'[1]TIENDAS 2025'!$A$1:$C$143,3,0)</f>
        <v>nocturna</v>
      </c>
      <c r="O2164">
        <v>1</v>
      </c>
    </row>
    <row r="2165" spans="1:15" ht="15" customHeight="1" x14ac:dyDescent="0.3">
      <c r="A2165" s="7">
        <v>8209672128</v>
      </c>
      <c r="B2165" s="4" t="s">
        <v>370</v>
      </c>
      <c r="C2165" s="4" t="s">
        <v>371</v>
      </c>
      <c r="D2165" s="6">
        <v>46309.490185185197</v>
      </c>
      <c r="E2165" s="6">
        <v>46309.240150463003</v>
      </c>
      <c r="F2165" s="6">
        <v>46309</v>
      </c>
      <c r="G2165" s="5" t="s">
        <v>12</v>
      </c>
      <c r="H2165" s="5" t="s">
        <v>27</v>
      </c>
      <c r="I2165" s="5">
        <v>1</v>
      </c>
      <c r="J2165" s="10" t="s">
        <v>17</v>
      </c>
      <c r="K2165" s="1" t="s">
        <v>2457</v>
      </c>
      <c r="M2165" t="str">
        <f>+VLOOKUP(C2165,'[1]TIENDAS 2025'!$A$1:$C$143,3,0)</f>
        <v>nocturna</v>
      </c>
      <c r="O2165">
        <v>1</v>
      </c>
    </row>
    <row r="2166" spans="1:15" ht="15" customHeight="1" x14ac:dyDescent="0.3">
      <c r="A2166" s="7">
        <v>1209672130</v>
      </c>
      <c r="B2166" s="4" t="s">
        <v>370</v>
      </c>
      <c r="C2166" s="4" t="s">
        <v>371</v>
      </c>
      <c r="D2166" s="6">
        <v>46309.490196759303</v>
      </c>
      <c r="E2166" s="6">
        <v>46309.240173611099</v>
      </c>
      <c r="F2166" s="6">
        <v>46309</v>
      </c>
      <c r="G2166" s="5" t="s">
        <v>12</v>
      </c>
      <c r="H2166" s="5" t="s">
        <v>29</v>
      </c>
      <c r="I2166" s="5">
        <v>1</v>
      </c>
      <c r="J2166" s="9" t="s">
        <v>17</v>
      </c>
      <c r="K2166" s="1" t="s">
        <v>2458</v>
      </c>
      <c r="L2166" t="s">
        <v>3284</v>
      </c>
      <c r="M2166" t="str">
        <f>+VLOOKUP(C2166,'[1]TIENDAS 2025'!$A$1:$C$143,3,0)</f>
        <v>nocturna</v>
      </c>
      <c r="O2166">
        <v>1</v>
      </c>
    </row>
    <row r="2167" spans="1:15" ht="15" customHeight="1" x14ac:dyDescent="0.3">
      <c r="A2167" s="7">
        <v>1209672132</v>
      </c>
      <c r="B2167" s="4" t="s">
        <v>370</v>
      </c>
      <c r="C2167" s="4" t="s">
        <v>371</v>
      </c>
      <c r="D2167" s="6">
        <v>46309.490219907399</v>
      </c>
      <c r="E2167" s="6">
        <v>46309.240196759303</v>
      </c>
      <c r="F2167" s="6">
        <v>46309</v>
      </c>
      <c r="G2167" s="5" t="s">
        <v>12</v>
      </c>
      <c r="H2167" s="5" t="s">
        <v>16</v>
      </c>
      <c r="I2167" s="5">
        <v>23</v>
      </c>
      <c r="J2167" s="9" t="s">
        <v>17</v>
      </c>
      <c r="K2167" s="1" t="s">
        <v>2459</v>
      </c>
      <c r="L2167" t="s">
        <v>3284</v>
      </c>
      <c r="M2167" t="str">
        <f>+VLOOKUP(C2167,'[1]TIENDAS 2025'!$A$1:$C$143,3,0)</f>
        <v>nocturna</v>
      </c>
      <c r="O2167">
        <v>1</v>
      </c>
    </row>
    <row r="2168" spans="1:15" ht="15" customHeight="1" x14ac:dyDescent="0.3">
      <c r="A2168" s="7">
        <v>1209672100</v>
      </c>
      <c r="B2168" s="4" t="s">
        <v>244</v>
      </c>
      <c r="C2168" s="4" t="s">
        <v>245</v>
      </c>
      <c r="D2168" s="6">
        <v>46309.490219907399</v>
      </c>
      <c r="E2168" s="6">
        <v>46309.240185185197</v>
      </c>
      <c r="F2168" s="6">
        <v>46309</v>
      </c>
      <c r="G2168" s="5" t="s">
        <v>12</v>
      </c>
      <c r="H2168" s="5" t="s">
        <v>16</v>
      </c>
      <c r="I2168" s="5">
        <v>1</v>
      </c>
      <c r="J2168" s="9" t="s">
        <v>17</v>
      </c>
      <c r="K2168" s="1" t="s">
        <v>2460</v>
      </c>
      <c r="L2168" t="s">
        <v>3284</v>
      </c>
      <c r="M2168" t="str">
        <f>+VLOOKUP(C2168,'[1]TIENDAS 2025'!$A$1:$C$143,3,0)</f>
        <v>nocturna</v>
      </c>
      <c r="O2168">
        <v>1</v>
      </c>
    </row>
    <row r="2169" spans="1:15" ht="15" customHeight="1" x14ac:dyDescent="0.3">
      <c r="A2169" s="7">
        <v>1209672133</v>
      </c>
      <c r="B2169" s="4" t="s">
        <v>370</v>
      </c>
      <c r="C2169" s="4" t="s">
        <v>371</v>
      </c>
      <c r="D2169" s="6">
        <v>46309.490243055603</v>
      </c>
      <c r="E2169" s="6">
        <v>46309.2402083333</v>
      </c>
      <c r="F2169" s="6">
        <v>46309</v>
      </c>
      <c r="G2169" s="5" t="s">
        <v>12</v>
      </c>
      <c r="H2169" s="5" t="s">
        <v>16</v>
      </c>
      <c r="I2169" s="5">
        <v>18</v>
      </c>
      <c r="J2169" s="9" t="s">
        <v>17</v>
      </c>
      <c r="K2169" s="1" t="s">
        <v>2461</v>
      </c>
      <c r="L2169" t="s">
        <v>3284</v>
      </c>
      <c r="M2169" t="str">
        <f>+VLOOKUP(C2169,'[1]TIENDAS 2025'!$A$1:$C$143,3,0)</f>
        <v>nocturna</v>
      </c>
      <c r="O2169">
        <v>1</v>
      </c>
    </row>
    <row r="2170" spans="1:15" ht="15" customHeight="1" x14ac:dyDescent="0.3">
      <c r="A2170" s="7">
        <v>1209672070</v>
      </c>
      <c r="B2170" s="4" t="s">
        <v>500</v>
      </c>
      <c r="C2170" s="4" t="s">
        <v>501</v>
      </c>
      <c r="D2170" s="6">
        <v>46309.4902546296</v>
      </c>
      <c r="E2170" s="6">
        <v>46309.240231481497</v>
      </c>
      <c r="F2170" s="6">
        <v>46309</v>
      </c>
      <c r="G2170" s="5" t="s">
        <v>12</v>
      </c>
      <c r="H2170" s="5" t="s">
        <v>29</v>
      </c>
      <c r="I2170" s="5">
        <v>24</v>
      </c>
      <c r="J2170" s="9" t="s">
        <v>17</v>
      </c>
      <c r="K2170" s="1" t="s">
        <v>2462</v>
      </c>
      <c r="L2170" t="s">
        <v>3284</v>
      </c>
      <c r="M2170" t="str">
        <f>+VLOOKUP(C2170,'[1]TIENDAS 2025'!$A$1:$C$143,3,0)</f>
        <v>departamental</v>
      </c>
      <c r="O2170">
        <v>1</v>
      </c>
    </row>
    <row r="2171" spans="1:15" ht="15" customHeight="1" x14ac:dyDescent="0.3">
      <c r="A2171" s="7">
        <v>1209672182</v>
      </c>
      <c r="B2171" s="4" t="s">
        <v>497</v>
      </c>
      <c r="C2171" s="4" t="s">
        <v>498</v>
      </c>
      <c r="D2171" s="6">
        <v>46309.490277777797</v>
      </c>
      <c r="E2171" s="6">
        <v>46309.240243055603</v>
      </c>
      <c r="F2171" s="6">
        <v>46309</v>
      </c>
      <c r="G2171" s="5" t="s">
        <v>12</v>
      </c>
      <c r="H2171" s="5" t="s">
        <v>29</v>
      </c>
      <c r="I2171" s="5">
        <v>7</v>
      </c>
      <c r="J2171" s="9" t="s">
        <v>17</v>
      </c>
      <c r="K2171" s="1" t="s">
        <v>2463</v>
      </c>
      <c r="L2171" t="s">
        <v>3284</v>
      </c>
      <c r="M2171" t="str">
        <f>+VLOOKUP(C2171,'[1]TIENDAS 2025'!$A$1:$C$143,3,0)</f>
        <v>prioridad</v>
      </c>
      <c r="O2171">
        <v>1</v>
      </c>
    </row>
    <row r="2172" spans="1:15" ht="15" customHeight="1" x14ac:dyDescent="0.3">
      <c r="A2172" s="7">
        <v>1209672193</v>
      </c>
      <c r="B2172" s="4" t="s">
        <v>376</v>
      </c>
      <c r="C2172" s="4" t="s">
        <v>377</v>
      </c>
      <c r="D2172" s="6">
        <v>46309.490289351903</v>
      </c>
      <c r="E2172" s="6">
        <v>46309.240266203698</v>
      </c>
      <c r="F2172" s="6">
        <v>46309</v>
      </c>
      <c r="G2172" s="5" t="s">
        <v>12</v>
      </c>
      <c r="H2172" s="5" t="s">
        <v>16</v>
      </c>
      <c r="I2172" s="5">
        <v>1</v>
      </c>
      <c r="J2172" s="9" t="s">
        <v>17</v>
      </c>
      <c r="K2172" s="1" t="s">
        <v>2464</v>
      </c>
      <c r="L2172" t="s">
        <v>3284</v>
      </c>
      <c r="M2172" t="str">
        <f>+VLOOKUP(C2172,'[1]TIENDAS 2025'!$A$1:$C$143,3,0)</f>
        <v>nocturna</v>
      </c>
      <c r="O2172">
        <v>1</v>
      </c>
    </row>
    <row r="2173" spans="1:15" ht="15" customHeight="1" x14ac:dyDescent="0.3">
      <c r="A2173" s="7">
        <v>1209672195</v>
      </c>
      <c r="B2173" s="4" t="s">
        <v>376</v>
      </c>
      <c r="C2173" s="4" t="s">
        <v>377</v>
      </c>
      <c r="D2173" s="6">
        <v>46309.490312499998</v>
      </c>
      <c r="E2173" s="6">
        <v>46309.240277777797</v>
      </c>
      <c r="F2173" s="6">
        <v>46309</v>
      </c>
      <c r="G2173" s="5" t="s">
        <v>12</v>
      </c>
      <c r="H2173" s="5" t="s">
        <v>16</v>
      </c>
      <c r="I2173" s="5">
        <v>6</v>
      </c>
      <c r="J2173" s="9" t="s">
        <v>17</v>
      </c>
      <c r="K2173" s="1" t="s">
        <v>2465</v>
      </c>
      <c r="L2173" t="s">
        <v>3284</v>
      </c>
      <c r="M2173" t="str">
        <f>+VLOOKUP(C2173,'[1]TIENDAS 2025'!$A$1:$C$143,3,0)</f>
        <v>nocturna</v>
      </c>
      <c r="O2173">
        <v>1</v>
      </c>
    </row>
    <row r="2174" spans="1:15" ht="15" customHeight="1" x14ac:dyDescent="0.3">
      <c r="A2174" s="7">
        <v>1209672054</v>
      </c>
      <c r="B2174" s="4" t="s">
        <v>500</v>
      </c>
      <c r="C2174" s="4" t="s">
        <v>501</v>
      </c>
      <c r="D2174" s="6">
        <v>46309.490335648101</v>
      </c>
      <c r="E2174" s="6">
        <v>46309.2403009259</v>
      </c>
      <c r="F2174" s="6">
        <v>46309</v>
      </c>
      <c r="G2174" s="5" t="s">
        <v>12</v>
      </c>
      <c r="H2174" s="5" t="s">
        <v>29</v>
      </c>
      <c r="I2174" s="5">
        <v>12</v>
      </c>
      <c r="J2174" s="9" t="s">
        <v>17</v>
      </c>
      <c r="K2174" s="1" t="s">
        <v>2466</v>
      </c>
      <c r="L2174" t="s">
        <v>3284</v>
      </c>
      <c r="M2174" t="str">
        <f>+VLOOKUP(C2174,'[1]TIENDAS 2025'!$A$1:$C$143,3,0)</f>
        <v>departamental</v>
      </c>
      <c r="O2174">
        <v>1</v>
      </c>
    </row>
    <row r="2175" spans="1:15" ht="15" customHeight="1" x14ac:dyDescent="0.3">
      <c r="A2175" s="7">
        <v>1209672056</v>
      </c>
      <c r="B2175" s="4" t="s">
        <v>500</v>
      </c>
      <c r="C2175" s="4" t="s">
        <v>501</v>
      </c>
      <c r="D2175" s="6">
        <v>46309.490358796298</v>
      </c>
      <c r="E2175" s="6">
        <v>46309.240324074097</v>
      </c>
      <c r="F2175" s="6">
        <v>46309</v>
      </c>
      <c r="G2175" s="5" t="s">
        <v>12</v>
      </c>
      <c r="H2175" s="5" t="s">
        <v>27</v>
      </c>
      <c r="I2175" s="5">
        <v>83</v>
      </c>
      <c r="J2175" s="9" t="s">
        <v>17</v>
      </c>
      <c r="K2175" s="1" t="s">
        <v>2467</v>
      </c>
      <c r="L2175" t="s">
        <v>3284</v>
      </c>
      <c r="M2175" t="str">
        <f>+VLOOKUP(C2175,'[1]TIENDAS 2025'!$A$1:$C$143,3,0)</f>
        <v>departamental</v>
      </c>
      <c r="O2175">
        <v>1</v>
      </c>
    </row>
    <row r="2176" spans="1:15" ht="15" customHeight="1" x14ac:dyDescent="0.3">
      <c r="A2176" s="7">
        <v>8209672060</v>
      </c>
      <c r="B2176" s="4" t="s">
        <v>500</v>
      </c>
      <c r="C2176" s="4" t="s">
        <v>501</v>
      </c>
      <c r="D2176" s="6">
        <v>46309.490370370397</v>
      </c>
      <c r="E2176" s="6">
        <v>46309.240335648101</v>
      </c>
      <c r="F2176" s="6">
        <v>46309</v>
      </c>
      <c r="G2176" s="5" t="s">
        <v>12</v>
      </c>
      <c r="H2176" s="5" t="s">
        <v>27</v>
      </c>
      <c r="I2176" s="5">
        <v>5</v>
      </c>
      <c r="J2176" s="10" t="s">
        <v>17</v>
      </c>
      <c r="K2176" s="1" t="s">
        <v>2468</v>
      </c>
      <c r="M2176" t="str">
        <f>+VLOOKUP(C2176,'[1]TIENDAS 2025'!$A$1:$C$143,3,0)</f>
        <v>departamental</v>
      </c>
      <c r="O2176">
        <v>1</v>
      </c>
    </row>
    <row r="2177" spans="1:15" ht="15" customHeight="1" x14ac:dyDescent="0.3">
      <c r="A2177" s="7">
        <v>1209672307</v>
      </c>
      <c r="B2177" s="4" t="s">
        <v>190</v>
      </c>
      <c r="C2177" s="4" t="s">
        <v>191</v>
      </c>
      <c r="D2177" s="6">
        <v>46309.492511574099</v>
      </c>
      <c r="E2177" s="6">
        <v>46309.242476851898</v>
      </c>
      <c r="F2177" s="6">
        <v>46309</v>
      </c>
      <c r="G2177" s="5" t="s">
        <v>12</v>
      </c>
      <c r="H2177" s="5" t="s">
        <v>16</v>
      </c>
      <c r="I2177" s="5">
        <v>1</v>
      </c>
      <c r="J2177" s="9" t="s">
        <v>17</v>
      </c>
      <c r="K2177" s="1" t="s">
        <v>2469</v>
      </c>
      <c r="L2177" t="s">
        <v>3284</v>
      </c>
      <c r="M2177" t="str">
        <f>+VLOOKUP(C2177,'[1]TIENDAS 2025'!$A$1:$C$143,3,0)</f>
        <v>departamental</v>
      </c>
      <c r="O2177">
        <v>1</v>
      </c>
    </row>
    <row r="2178" spans="1:15" ht="15" customHeight="1" x14ac:dyDescent="0.3">
      <c r="A2178" s="7">
        <v>8209672263</v>
      </c>
      <c r="B2178" s="4" t="s">
        <v>318</v>
      </c>
      <c r="C2178" s="4" t="s">
        <v>319</v>
      </c>
      <c r="D2178" s="6">
        <v>46309.492523148103</v>
      </c>
      <c r="E2178" s="6">
        <v>46309.2425</v>
      </c>
      <c r="F2178" s="6">
        <v>46309</v>
      </c>
      <c r="G2178" s="5" t="s">
        <v>12</v>
      </c>
      <c r="H2178" s="5" t="s">
        <v>27</v>
      </c>
      <c r="I2178" s="5">
        <v>28</v>
      </c>
      <c r="J2178" s="10" t="s">
        <v>17</v>
      </c>
      <c r="K2178" s="1" t="s">
        <v>2470</v>
      </c>
      <c r="M2178" t="str">
        <f>+VLOOKUP(C2178,'[1]TIENDAS 2025'!$A$1:$C$143,3,0)</f>
        <v>local</v>
      </c>
      <c r="O2178">
        <v>1</v>
      </c>
    </row>
    <row r="2179" spans="1:15" ht="15" customHeight="1" x14ac:dyDescent="0.3">
      <c r="A2179" s="7">
        <v>1209672264</v>
      </c>
      <c r="B2179" s="4" t="s">
        <v>318</v>
      </c>
      <c r="C2179" s="4" t="s">
        <v>319</v>
      </c>
      <c r="D2179" s="6">
        <v>46309.4925462963</v>
      </c>
      <c r="E2179" s="6">
        <v>46309.242523148103</v>
      </c>
      <c r="F2179" s="6">
        <v>46309</v>
      </c>
      <c r="G2179" s="5" t="s">
        <v>12</v>
      </c>
      <c r="H2179" s="5" t="s">
        <v>16</v>
      </c>
      <c r="I2179" s="5">
        <v>1</v>
      </c>
      <c r="J2179" s="9" t="s">
        <v>17</v>
      </c>
      <c r="K2179" s="1" t="s">
        <v>2471</v>
      </c>
      <c r="L2179" t="s">
        <v>3284</v>
      </c>
      <c r="M2179" t="str">
        <f>+VLOOKUP(C2179,'[1]TIENDAS 2025'!$A$1:$C$143,3,0)</f>
        <v>local</v>
      </c>
      <c r="O2179">
        <v>1</v>
      </c>
    </row>
    <row r="2180" spans="1:15" ht="15" customHeight="1" x14ac:dyDescent="0.3">
      <c r="A2180" s="7">
        <v>1209672236</v>
      </c>
      <c r="B2180" s="4" t="s">
        <v>241</v>
      </c>
      <c r="C2180" s="4" t="s">
        <v>242</v>
      </c>
      <c r="D2180" s="6">
        <v>46309.492569444403</v>
      </c>
      <c r="E2180" s="6">
        <v>46309.242534722202</v>
      </c>
      <c r="F2180" s="6">
        <v>46309</v>
      </c>
      <c r="G2180" s="5" t="s">
        <v>12</v>
      </c>
      <c r="H2180" s="5" t="s">
        <v>16</v>
      </c>
      <c r="I2180" s="5">
        <v>14</v>
      </c>
      <c r="J2180" s="9" t="s">
        <v>17</v>
      </c>
      <c r="K2180" s="1" t="s">
        <v>2472</v>
      </c>
      <c r="L2180" t="s">
        <v>3284</v>
      </c>
      <c r="M2180" t="str">
        <f>+VLOOKUP(C2180,'[1]TIENDAS 2025'!$A$1:$C$143,3,0)</f>
        <v>local</v>
      </c>
      <c r="O2180">
        <v>1</v>
      </c>
    </row>
    <row r="2181" spans="1:15" ht="15" customHeight="1" x14ac:dyDescent="0.3">
      <c r="A2181" s="7">
        <v>1209672249</v>
      </c>
      <c r="B2181" s="4" t="s">
        <v>241</v>
      </c>
      <c r="C2181" s="4" t="s">
        <v>242</v>
      </c>
      <c r="D2181" s="6">
        <v>46309.4925925926</v>
      </c>
      <c r="E2181" s="6">
        <v>46309.242557870399</v>
      </c>
      <c r="F2181" s="6">
        <v>46309</v>
      </c>
      <c r="G2181" s="5" t="s">
        <v>12</v>
      </c>
      <c r="H2181" s="5" t="s">
        <v>16</v>
      </c>
      <c r="I2181" s="5">
        <v>12</v>
      </c>
      <c r="J2181" s="9" t="s">
        <v>17</v>
      </c>
      <c r="K2181" s="1" t="s">
        <v>2473</v>
      </c>
      <c r="L2181" t="s">
        <v>3284</v>
      </c>
      <c r="M2181" t="str">
        <f>+VLOOKUP(C2181,'[1]TIENDAS 2025'!$A$1:$C$143,3,0)</f>
        <v>local</v>
      </c>
      <c r="O2181">
        <v>1</v>
      </c>
    </row>
    <row r="2182" spans="1:15" ht="15" customHeight="1" x14ac:dyDescent="0.3">
      <c r="A2182" s="7">
        <v>1209672269</v>
      </c>
      <c r="B2182" s="4" t="s">
        <v>318</v>
      </c>
      <c r="C2182" s="4" t="s">
        <v>319</v>
      </c>
      <c r="D2182" s="6">
        <v>46309.492604166699</v>
      </c>
      <c r="E2182" s="6">
        <v>46309.242581018501</v>
      </c>
      <c r="F2182" s="6">
        <v>46309</v>
      </c>
      <c r="G2182" s="5" t="s">
        <v>12</v>
      </c>
      <c r="H2182" s="5" t="s">
        <v>16</v>
      </c>
      <c r="I2182" s="5">
        <v>8</v>
      </c>
      <c r="J2182" s="9" t="s">
        <v>17</v>
      </c>
      <c r="K2182" s="1" t="s">
        <v>2474</v>
      </c>
      <c r="L2182" t="s">
        <v>3284</v>
      </c>
      <c r="M2182" t="str">
        <f>+VLOOKUP(C2182,'[1]TIENDAS 2025'!$A$1:$C$143,3,0)</f>
        <v>local</v>
      </c>
      <c r="O2182">
        <v>1</v>
      </c>
    </row>
    <row r="2183" spans="1:15" ht="15" customHeight="1" x14ac:dyDescent="0.3">
      <c r="A2183" s="7">
        <v>1209672300</v>
      </c>
      <c r="B2183" s="4" t="s">
        <v>190</v>
      </c>
      <c r="C2183" s="4" t="s">
        <v>191</v>
      </c>
      <c r="D2183" s="6">
        <v>46309.492627314801</v>
      </c>
      <c r="E2183" s="6">
        <v>46309.242604166699</v>
      </c>
      <c r="F2183" s="6">
        <v>46309</v>
      </c>
      <c r="G2183" s="5" t="s">
        <v>12</v>
      </c>
      <c r="H2183" s="5" t="s">
        <v>16</v>
      </c>
      <c r="I2183" s="5">
        <v>8</v>
      </c>
      <c r="J2183" s="9" t="s">
        <v>17</v>
      </c>
      <c r="K2183" s="1" t="s">
        <v>2475</v>
      </c>
      <c r="L2183" t="s">
        <v>3284</v>
      </c>
      <c r="M2183" t="str">
        <f>+VLOOKUP(C2183,'[1]TIENDAS 2025'!$A$1:$C$143,3,0)</f>
        <v>departamental</v>
      </c>
      <c r="O2183">
        <v>1</v>
      </c>
    </row>
    <row r="2184" spans="1:15" ht="15" customHeight="1" x14ac:dyDescent="0.3">
      <c r="A2184" s="7">
        <v>1209672312</v>
      </c>
      <c r="B2184" s="4" t="s">
        <v>190</v>
      </c>
      <c r="C2184" s="4" t="s">
        <v>191</v>
      </c>
      <c r="D2184" s="6">
        <v>46309.492650462998</v>
      </c>
      <c r="E2184" s="6">
        <v>46309.242615740703</v>
      </c>
      <c r="F2184" s="6">
        <v>46309</v>
      </c>
      <c r="G2184" s="5" t="s">
        <v>12</v>
      </c>
      <c r="H2184" s="5" t="s">
        <v>16</v>
      </c>
      <c r="I2184" s="5">
        <v>12</v>
      </c>
      <c r="J2184" s="9" t="s">
        <v>17</v>
      </c>
      <c r="K2184" s="1" t="s">
        <v>2476</v>
      </c>
      <c r="L2184" t="s">
        <v>3284</v>
      </c>
      <c r="M2184" t="str">
        <f>+VLOOKUP(C2184,'[1]TIENDAS 2025'!$A$1:$C$143,3,0)</f>
        <v>departamental</v>
      </c>
      <c r="O2184">
        <v>1</v>
      </c>
    </row>
    <row r="2185" spans="1:15" ht="15" customHeight="1" x14ac:dyDescent="0.3">
      <c r="A2185" s="8">
        <v>209672468</v>
      </c>
      <c r="B2185" s="4" t="s">
        <v>226</v>
      </c>
      <c r="C2185" s="4" t="s">
        <v>227</v>
      </c>
      <c r="D2185" s="6">
        <v>46309.492673611101</v>
      </c>
      <c r="E2185" s="6">
        <v>46309.2426388889</v>
      </c>
      <c r="F2185" s="6">
        <v>46309</v>
      </c>
      <c r="G2185" s="5" t="s">
        <v>12</v>
      </c>
      <c r="H2185" s="5" t="s">
        <v>16</v>
      </c>
      <c r="I2185" s="5">
        <v>6</v>
      </c>
      <c r="J2185" s="9" t="s">
        <v>17</v>
      </c>
      <c r="K2185" s="1" t="s">
        <v>2477</v>
      </c>
      <c r="L2185" t="s">
        <v>10</v>
      </c>
      <c r="M2185" t="str">
        <f>+VLOOKUP(C2185,'[1]TIENDAS 2025'!$A$1:$C$143,3,0)</f>
        <v>departamental</v>
      </c>
      <c r="O2185">
        <v>1</v>
      </c>
    </row>
    <row r="2186" spans="1:15" ht="15" customHeight="1" x14ac:dyDescent="0.3">
      <c r="A2186" s="7">
        <v>8209672359</v>
      </c>
      <c r="B2186" s="4" t="s">
        <v>238</v>
      </c>
      <c r="C2186" s="4" t="s">
        <v>239</v>
      </c>
      <c r="D2186" s="6">
        <v>46309.4926851852</v>
      </c>
      <c r="E2186" s="6">
        <v>46309.242662037002</v>
      </c>
      <c r="F2186" s="6">
        <v>46309</v>
      </c>
      <c r="G2186" s="5" t="s">
        <v>12</v>
      </c>
      <c r="H2186" s="5" t="s">
        <v>27</v>
      </c>
      <c r="I2186" s="5">
        <v>15</v>
      </c>
      <c r="J2186" s="10" t="s">
        <v>17</v>
      </c>
      <c r="K2186" s="1" t="s">
        <v>2478</v>
      </c>
      <c r="M2186" t="str">
        <f>+VLOOKUP(C2186,'[1]TIENDAS 2025'!$A$1:$C$143,3,0)</f>
        <v>nocturna</v>
      </c>
      <c r="O2186">
        <v>1</v>
      </c>
    </row>
    <row r="2187" spans="1:15" ht="15" customHeight="1" x14ac:dyDescent="0.3">
      <c r="A2187" s="8">
        <v>209672483</v>
      </c>
      <c r="B2187" s="4" t="s">
        <v>247</v>
      </c>
      <c r="C2187" s="4" t="s">
        <v>248</v>
      </c>
      <c r="D2187" s="6">
        <v>46309.492708333302</v>
      </c>
      <c r="E2187" s="6">
        <v>46309.2426851852</v>
      </c>
      <c r="F2187" s="6">
        <v>46309</v>
      </c>
      <c r="G2187" s="5" t="s">
        <v>12</v>
      </c>
      <c r="H2187" s="5" t="s">
        <v>16</v>
      </c>
      <c r="I2187" s="5">
        <v>6</v>
      </c>
      <c r="J2187" s="9" t="s">
        <v>17</v>
      </c>
      <c r="K2187" s="1" t="s">
        <v>2479</v>
      </c>
      <c r="L2187" t="s">
        <v>10</v>
      </c>
      <c r="M2187" t="str">
        <f>+VLOOKUP(C2187,'[1]TIENDAS 2025'!$A$1:$C$143,3,0)</f>
        <v>local</v>
      </c>
      <c r="O2187">
        <v>1</v>
      </c>
    </row>
    <row r="2188" spans="1:15" ht="15" customHeight="1" x14ac:dyDescent="0.3">
      <c r="A2188" s="7">
        <v>1209672363</v>
      </c>
      <c r="B2188" s="4" t="s">
        <v>238</v>
      </c>
      <c r="C2188" s="4" t="s">
        <v>239</v>
      </c>
      <c r="D2188" s="6">
        <v>46309.4927314815</v>
      </c>
      <c r="E2188" s="6">
        <v>46309.242696759298</v>
      </c>
      <c r="F2188" s="6">
        <v>46309</v>
      </c>
      <c r="G2188" s="5" t="s">
        <v>12</v>
      </c>
      <c r="H2188" s="5" t="s">
        <v>16</v>
      </c>
      <c r="I2188" s="5">
        <v>12</v>
      </c>
      <c r="J2188" s="9" t="s">
        <v>17</v>
      </c>
      <c r="K2188" s="1" t="s">
        <v>2480</v>
      </c>
      <c r="L2188" t="s">
        <v>3284</v>
      </c>
      <c r="M2188" t="str">
        <f>+VLOOKUP(C2188,'[1]TIENDAS 2025'!$A$1:$C$143,3,0)</f>
        <v>nocturna</v>
      </c>
      <c r="O2188">
        <v>1</v>
      </c>
    </row>
    <row r="2189" spans="1:15" ht="15" customHeight="1" x14ac:dyDescent="0.3">
      <c r="A2189" s="8">
        <v>209672504</v>
      </c>
      <c r="B2189" s="4" t="s">
        <v>466</v>
      </c>
      <c r="C2189" s="4" t="s">
        <v>467</v>
      </c>
      <c r="D2189" s="6">
        <v>46309.492743055598</v>
      </c>
      <c r="E2189" s="6">
        <v>46309.242719907401</v>
      </c>
      <c r="F2189" s="6">
        <v>46309</v>
      </c>
      <c r="G2189" s="5" t="s">
        <v>12</v>
      </c>
      <c r="H2189" s="5" t="s">
        <v>16</v>
      </c>
      <c r="I2189" s="5">
        <v>6</v>
      </c>
      <c r="J2189" s="9" t="s">
        <v>17</v>
      </c>
      <c r="K2189" s="1" t="s">
        <v>2481</v>
      </c>
      <c r="L2189" t="s">
        <v>10</v>
      </c>
      <c r="M2189" t="str">
        <f>+VLOOKUP(C2189,'[1]TIENDAS 2025'!$A$1:$C$143,3,0)</f>
        <v>departamental</v>
      </c>
      <c r="O2189">
        <v>1</v>
      </c>
    </row>
    <row r="2190" spans="1:15" ht="15" customHeight="1" x14ac:dyDescent="0.3">
      <c r="A2190" s="8">
        <v>209672509</v>
      </c>
      <c r="B2190" s="4" t="s">
        <v>14</v>
      </c>
      <c r="C2190" s="4" t="s">
        <v>15</v>
      </c>
      <c r="D2190" s="6">
        <v>46309.492766203701</v>
      </c>
      <c r="E2190" s="6">
        <v>46309.242743055598</v>
      </c>
      <c r="F2190" s="6">
        <v>46309</v>
      </c>
      <c r="G2190" s="5" t="s">
        <v>12</v>
      </c>
      <c r="H2190" s="5" t="s">
        <v>16</v>
      </c>
      <c r="I2190" s="5">
        <v>6</v>
      </c>
      <c r="J2190" s="9" t="s">
        <v>17</v>
      </c>
      <c r="K2190" s="1" t="s">
        <v>2482</v>
      </c>
      <c r="L2190" t="s">
        <v>10</v>
      </c>
      <c r="M2190" t="str">
        <f>+VLOOKUP(C2190,'[1]TIENDAS 2025'!$A$1:$C$143,3,0)</f>
        <v>departamental</v>
      </c>
      <c r="O2190">
        <v>1</v>
      </c>
    </row>
    <row r="2191" spans="1:15" ht="15" customHeight="1" x14ac:dyDescent="0.3">
      <c r="A2191" s="7">
        <v>8209672373</v>
      </c>
      <c r="B2191" s="4" t="s">
        <v>238</v>
      </c>
      <c r="C2191" s="4" t="s">
        <v>239</v>
      </c>
      <c r="D2191" s="6">
        <v>46309.492789351898</v>
      </c>
      <c r="E2191" s="6">
        <v>46309.242754629602</v>
      </c>
      <c r="F2191" s="6">
        <v>46309</v>
      </c>
      <c r="G2191" s="5" t="s">
        <v>12</v>
      </c>
      <c r="H2191" s="5" t="s">
        <v>27</v>
      </c>
      <c r="I2191" s="5">
        <v>9</v>
      </c>
      <c r="J2191" s="10" t="s">
        <v>17</v>
      </c>
      <c r="K2191" s="1" t="s">
        <v>2483</v>
      </c>
      <c r="M2191" t="str">
        <f>+VLOOKUP(C2191,'[1]TIENDAS 2025'!$A$1:$C$143,3,0)</f>
        <v>nocturna</v>
      </c>
      <c r="O2191">
        <v>1</v>
      </c>
    </row>
    <row r="2192" spans="1:15" ht="15" customHeight="1" x14ac:dyDescent="0.3">
      <c r="A2192" s="8">
        <v>209672426</v>
      </c>
      <c r="B2192" s="4" t="s">
        <v>232</v>
      </c>
      <c r="C2192" s="4" t="s">
        <v>233</v>
      </c>
      <c r="D2192" s="6">
        <v>46309.492812500001</v>
      </c>
      <c r="E2192" s="6">
        <v>46309.242777777799</v>
      </c>
      <c r="F2192" s="6">
        <v>46309</v>
      </c>
      <c r="G2192" s="5" t="s">
        <v>12</v>
      </c>
      <c r="H2192" s="5" t="s">
        <v>16</v>
      </c>
      <c r="I2192" s="5">
        <v>6</v>
      </c>
      <c r="J2192" s="9" t="s">
        <v>17</v>
      </c>
      <c r="K2192" s="1" t="s">
        <v>2484</v>
      </c>
      <c r="L2192" t="s">
        <v>10</v>
      </c>
      <c r="M2192" t="str">
        <f>+VLOOKUP(C2192,'[1]TIENDAS 2025'!$A$1:$C$143,3,0)</f>
        <v>departamental</v>
      </c>
      <c r="O2192">
        <v>1</v>
      </c>
    </row>
    <row r="2193" spans="1:15" ht="15" customHeight="1" x14ac:dyDescent="0.3">
      <c r="A2193" s="8">
        <v>209672430</v>
      </c>
      <c r="B2193" s="4" t="s">
        <v>503</v>
      </c>
      <c r="C2193" s="4" t="s">
        <v>504</v>
      </c>
      <c r="D2193" s="6">
        <v>46309.492835648103</v>
      </c>
      <c r="E2193" s="6">
        <v>46309.242800925902</v>
      </c>
      <c r="F2193" s="6">
        <v>46309</v>
      </c>
      <c r="G2193" s="5" t="s">
        <v>12</v>
      </c>
      <c r="H2193" s="5" t="s">
        <v>16</v>
      </c>
      <c r="I2193" s="5">
        <v>6</v>
      </c>
      <c r="J2193" s="9" t="s">
        <v>17</v>
      </c>
      <c r="K2193" s="1" t="s">
        <v>2485</v>
      </c>
      <c r="L2193" t="s">
        <v>10</v>
      </c>
      <c r="M2193" t="str">
        <f>+VLOOKUP(C2193,'[1]TIENDAS 2025'!$A$1:$C$143,3,0)</f>
        <v>departamental</v>
      </c>
      <c r="O2193">
        <v>1</v>
      </c>
    </row>
    <row r="2194" spans="1:15" ht="15" customHeight="1" x14ac:dyDescent="0.3">
      <c r="A2194" s="8">
        <v>209672431</v>
      </c>
      <c r="B2194" s="4" t="s">
        <v>421</v>
      </c>
      <c r="C2194" s="4" t="s">
        <v>422</v>
      </c>
      <c r="D2194" s="6">
        <v>46309.4928587963</v>
      </c>
      <c r="E2194" s="6">
        <v>46309.242824074099</v>
      </c>
      <c r="F2194" s="6">
        <v>46309</v>
      </c>
      <c r="G2194" s="5" t="s">
        <v>12</v>
      </c>
      <c r="H2194" s="5" t="s">
        <v>16</v>
      </c>
      <c r="I2194" s="5">
        <v>6</v>
      </c>
      <c r="J2194" s="9" t="s">
        <v>17</v>
      </c>
      <c r="K2194" s="1" t="s">
        <v>2486</v>
      </c>
      <c r="L2194" t="s">
        <v>10</v>
      </c>
      <c r="M2194" t="str">
        <f>+VLOOKUP(C2194,'[1]TIENDAS 2025'!$A$1:$C$143,3,0)</f>
        <v>departamental</v>
      </c>
      <c r="O2194">
        <v>1</v>
      </c>
    </row>
    <row r="2195" spans="1:15" ht="15" customHeight="1" x14ac:dyDescent="0.3">
      <c r="A2195" s="8">
        <v>209672385</v>
      </c>
      <c r="B2195" s="4" t="s">
        <v>557</v>
      </c>
      <c r="C2195" s="4" t="s">
        <v>558</v>
      </c>
      <c r="D2195" s="6">
        <v>46309.492870370399</v>
      </c>
      <c r="E2195" s="6">
        <v>46309.242835648103</v>
      </c>
      <c r="F2195" s="6">
        <v>46309</v>
      </c>
      <c r="G2195" s="5" t="s">
        <v>12</v>
      </c>
      <c r="H2195" s="5" t="s">
        <v>16</v>
      </c>
      <c r="I2195" s="5">
        <v>8</v>
      </c>
      <c r="J2195" s="9" t="s">
        <v>17</v>
      </c>
      <c r="K2195" s="1" t="s">
        <v>2487</v>
      </c>
      <c r="L2195" t="s">
        <v>10</v>
      </c>
      <c r="M2195" t="str">
        <f>+VLOOKUP(C2195,'[1]TIENDAS 2025'!$A$1:$C$143,3,0)</f>
        <v>local</v>
      </c>
      <c r="O2195">
        <v>1</v>
      </c>
    </row>
    <row r="2196" spans="1:15" ht="15" customHeight="1" x14ac:dyDescent="0.3">
      <c r="A2196" s="8">
        <v>209672386</v>
      </c>
      <c r="B2196" s="4" t="s">
        <v>312</v>
      </c>
      <c r="C2196" s="4" t="s">
        <v>313</v>
      </c>
      <c r="D2196" s="6">
        <v>46309.492881944403</v>
      </c>
      <c r="E2196" s="6">
        <v>46309.2428587963</v>
      </c>
      <c r="F2196" s="6">
        <v>46309</v>
      </c>
      <c r="G2196" s="5" t="s">
        <v>12</v>
      </c>
      <c r="H2196" s="5" t="s">
        <v>16</v>
      </c>
      <c r="I2196" s="5">
        <v>8</v>
      </c>
      <c r="J2196" s="9" t="s">
        <v>17</v>
      </c>
      <c r="K2196" s="1" t="s">
        <v>2488</v>
      </c>
      <c r="L2196" t="s">
        <v>10</v>
      </c>
      <c r="M2196" t="str">
        <f>+VLOOKUP(C2196,'[1]TIENDAS 2025'!$A$1:$C$143,3,0)</f>
        <v>prioridad</v>
      </c>
      <c r="O2196">
        <v>1</v>
      </c>
    </row>
    <row r="2197" spans="1:15" ht="15" customHeight="1" x14ac:dyDescent="0.3">
      <c r="A2197" s="8">
        <v>209672388</v>
      </c>
      <c r="B2197" s="4" t="s">
        <v>415</v>
      </c>
      <c r="C2197" s="4" t="s">
        <v>416</v>
      </c>
      <c r="D2197" s="6">
        <v>46309.4929050926</v>
      </c>
      <c r="E2197" s="6">
        <v>46309.242870370399</v>
      </c>
      <c r="F2197" s="6">
        <v>46309</v>
      </c>
      <c r="G2197" s="5" t="s">
        <v>12</v>
      </c>
      <c r="H2197" s="5" t="s">
        <v>16</v>
      </c>
      <c r="I2197" s="5">
        <v>6</v>
      </c>
      <c r="J2197" s="9" t="s">
        <v>17</v>
      </c>
      <c r="K2197" s="1" t="s">
        <v>2489</v>
      </c>
      <c r="L2197" t="s">
        <v>10</v>
      </c>
      <c r="M2197" t="str">
        <f>+VLOOKUP(C2197,'[1]TIENDAS 2025'!$A$1:$C$143,3,0)</f>
        <v>prioridad</v>
      </c>
      <c r="O2197">
        <v>1</v>
      </c>
    </row>
    <row r="2198" spans="1:15" ht="15" customHeight="1" x14ac:dyDescent="0.3">
      <c r="A2198" s="8">
        <v>209672445</v>
      </c>
      <c r="B2198" s="4" t="s">
        <v>388</v>
      </c>
      <c r="C2198" s="4" t="s">
        <v>389</v>
      </c>
      <c r="D2198" s="6">
        <v>46309.492916666699</v>
      </c>
      <c r="E2198" s="6">
        <v>46309.242881944403</v>
      </c>
      <c r="F2198" s="6">
        <v>46309</v>
      </c>
      <c r="G2198" s="5" t="s">
        <v>12</v>
      </c>
      <c r="H2198" s="5" t="s">
        <v>16</v>
      </c>
      <c r="I2198" s="5">
        <v>6</v>
      </c>
      <c r="J2198" s="9" t="s">
        <v>17</v>
      </c>
      <c r="K2198" s="1" t="s">
        <v>2490</v>
      </c>
      <c r="L2198" t="s">
        <v>10</v>
      </c>
      <c r="M2198" t="str">
        <f>+VLOOKUP(C2198,'[1]TIENDAS 2025'!$A$1:$C$143,3,0)</f>
        <v>departamental</v>
      </c>
      <c r="O2198">
        <v>1</v>
      </c>
    </row>
    <row r="2199" spans="1:15" ht="15" customHeight="1" x14ac:dyDescent="0.3">
      <c r="A2199" s="8">
        <v>209672400</v>
      </c>
      <c r="B2199" s="4" t="s">
        <v>442</v>
      </c>
      <c r="C2199" s="4" t="s">
        <v>443</v>
      </c>
      <c r="D2199" s="6">
        <v>46309.492928240703</v>
      </c>
      <c r="E2199" s="6">
        <v>46309.2429050926</v>
      </c>
      <c r="F2199" s="6">
        <v>46309</v>
      </c>
      <c r="G2199" s="5" t="s">
        <v>12</v>
      </c>
      <c r="H2199" s="5" t="s">
        <v>16</v>
      </c>
      <c r="I2199" s="5">
        <v>6</v>
      </c>
      <c r="J2199" s="9" t="s">
        <v>17</v>
      </c>
      <c r="K2199" s="1" t="s">
        <v>2491</v>
      </c>
      <c r="L2199" t="s">
        <v>10</v>
      </c>
      <c r="M2199" t="str">
        <f>+VLOOKUP(C2199,'[1]TIENDAS 2025'!$A$1:$C$143,3,0)</f>
        <v>local</v>
      </c>
      <c r="O2199">
        <v>1</v>
      </c>
    </row>
    <row r="2200" spans="1:15" ht="15" customHeight="1" x14ac:dyDescent="0.3">
      <c r="A2200" s="8">
        <v>209672448</v>
      </c>
      <c r="B2200" s="4" t="s">
        <v>451</v>
      </c>
      <c r="C2200" s="4" t="s">
        <v>452</v>
      </c>
      <c r="D2200" s="6">
        <v>46309.492939814802</v>
      </c>
      <c r="E2200" s="6">
        <v>46309.242916666699</v>
      </c>
      <c r="F2200" s="6">
        <v>46309</v>
      </c>
      <c r="G2200" s="5" t="s">
        <v>12</v>
      </c>
      <c r="H2200" s="5" t="s">
        <v>16</v>
      </c>
      <c r="I2200" s="5">
        <v>6</v>
      </c>
      <c r="J2200" s="9" t="s">
        <v>17</v>
      </c>
      <c r="K2200" s="1" t="s">
        <v>2492</v>
      </c>
      <c r="L2200" t="s">
        <v>10</v>
      </c>
      <c r="M2200" t="str">
        <f>+VLOOKUP(C2200,'[1]TIENDAS 2025'!$A$1:$C$143,3,0)</f>
        <v>departamental</v>
      </c>
      <c r="O2200">
        <v>1</v>
      </c>
    </row>
    <row r="2201" spans="1:15" ht="15" customHeight="1" x14ac:dyDescent="0.3">
      <c r="A2201" s="8">
        <v>209672405</v>
      </c>
      <c r="B2201" s="4" t="s">
        <v>533</v>
      </c>
      <c r="C2201" s="4" t="s">
        <v>534</v>
      </c>
      <c r="D2201" s="6">
        <v>46309.492962962999</v>
      </c>
      <c r="E2201" s="6">
        <v>46309.242928240703</v>
      </c>
      <c r="F2201" s="6">
        <v>46309</v>
      </c>
      <c r="G2201" s="5" t="s">
        <v>12</v>
      </c>
      <c r="H2201" s="5" t="s">
        <v>16</v>
      </c>
      <c r="I2201" s="5">
        <v>6</v>
      </c>
      <c r="J2201" s="9" t="s">
        <v>17</v>
      </c>
      <c r="K2201" s="1" t="s">
        <v>2493</v>
      </c>
      <c r="L2201" t="s">
        <v>10</v>
      </c>
      <c r="M2201" t="str">
        <f>+VLOOKUP(C2201,'[1]TIENDAS 2025'!$A$1:$C$143,3,0)</f>
        <v>local</v>
      </c>
      <c r="O2201">
        <v>1</v>
      </c>
    </row>
    <row r="2202" spans="1:15" ht="15" customHeight="1" x14ac:dyDescent="0.3">
      <c r="A2202" s="8">
        <v>209672456</v>
      </c>
      <c r="B2202" s="4" t="s">
        <v>214</v>
      </c>
      <c r="C2202" s="4" t="s">
        <v>215</v>
      </c>
      <c r="D2202" s="6">
        <v>46309.492986111101</v>
      </c>
      <c r="E2202" s="6">
        <v>46309.2429513889</v>
      </c>
      <c r="F2202" s="6">
        <v>46309</v>
      </c>
      <c r="G2202" s="5" t="s">
        <v>12</v>
      </c>
      <c r="H2202" s="5" t="s">
        <v>16</v>
      </c>
      <c r="I2202" s="5">
        <v>6</v>
      </c>
      <c r="J2202" s="9" t="s">
        <v>17</v>
      </c>
      <c r="K2202" s="1" t="s">
        <v>2494</v>
      </c>
      <c r="L2202" t="s">
        <v>10</v>
      </c>
      <c r="M2202" t="str">
        <f>+VLOOKUP(C2202,'[1]TIENDAS 2025'!$A$1:$C$143,3,0)</f>
        <v>departamental</v>
      </c>
      <c r="O2202">
        <v>1</v>
      </c>
    </row>
    <row r="2203" spans="1:15" ht="15" customHeight="1" x14ac:dyDescent="0.3">
      <c r="A2203" s="8">
        <v>209672457</v>
      </c>
      <c r="B2203" s="4" t="s">
        <v>169</v>
      </c>
      <c r="C2203" s="4" t="s">
        <v>170</v>
      </c>
      <c r="D2203" s="6">
        <v>46309.4929976852</v>
      </c>
      <c r="E2203" s="6">
        <v>46309.242974537003</v>
      </c>
      <c r="F2203" s="6">
        <v>46309</v>
      </c>
      <c r="G2203" s="5" t="s">
        <v>12</v>
      </c>
      <c r="H2203" s="5" t="s">
        <v>16</v>
      </c>
      <c r="I2203" s="5">
        <v>6</v>
      </c>
      <c r="J2203" s="9" t="s">
        <v>17</v>
      </c>
      <c r="K2203" s="1" t="s">
        <v>2495</v>
      </c>
      <c r="L2203" t="s">
        <v>10</v>
      </c>
      <c r="M2203" t="str">
        <f>+VLOOKUP(C2203,'[1]TIENDAS 2025'!$A$1:$C$143,3,0)</f>
        <v>departamental</v>
      </c>
      <c r="O2203">
        <v>1</v>
      </c>
    </row>
    <row r="2204" spans="1:15" ht="15" customHeight="1" x14ac:dyDescent="0.3">
      <c r="A2204" s="8">
        <v>209672461</v>
      </c>
      <c r="B2204" s="4" t="s">
        <v>406</v>
      </c>
      <c r="C2204" s="4" t="s">
        <v>407</v>
      </c>
      <c r="D2204" s="6">
        <v>46309.493020833303</v>
      </c>
      <c r="E2204" s="6">
        <v>46309.242986111101</v>
      </c>
      <c r="F2204" s="6">
        <v>46309</v>
      </c>
      <c r="G2204" s="5" t="s">
        <v>12</v>
      </c>
      <c r="H2204" s="5" t="s">
        <v>16</v>
      </c>
      <c r="I2204" s="5">
        <v>6</v>
      </c>
      <c r="J2204" s="9" t="s">
        <v>17</v>
      </c>
      <c r="K2204" s="1" t="s">
        <v>2496</v>
      </c>
      <c r="L2204" t="s">
        <v>10</v>
      </c>
      <c r="M2204" t="str">
        <f>+VLOOKUP(C2204,'[1]TIENDAS 2025'!$A$1:$C$143,3,0)</f>
        <v>nocturna</v>
      </c>
      <c r="O2204">
        <v>1</v>
      </c>
    </row>
    <row r="2205" spans="1:15" ht="15" customHeight="1" x14ac:dyDescent="0.3">
      <c r="A2205" s="7">
        <v>8209672260</v>
      </c>
      <c r="B2205" s="4" t="s">
        <v>318</v>
      </c>
      <c r="C2205" s="4" t="s">
        <v>319</v>
      </c>
      <c r="D2205" s="6">
        <v>46309.4930439815</v>
      </c>
      <c r="E2205" s="6">
        <v>46309.243009259299</v>
      </c>
      <c r="F2205" s="6">
        <v>46309</v>
      </c>
      <c r="G2205" s="5" t="s">
        <v>12</v>
      </c>
      <c r="H2205" s="5" t="s">
        <v>27</v>
      </c>
      <c r="I2205" s="5">
        <v>4</v>
      </c>
      <c r="J2205" s="10" t="s">
        <v>17</v>
      </c>
      <c r="K2205" s="1" t="s">
        <v>2497</v>
      </c>
      <c r="M2205" t="str">
        <f>+VLOOKUP(C2205,'[1]TIENDAS 2025'!$A$1:$C$143,3,0)</f>
        <v>local</v>
      </c>
      <c r="O2205">
        <v>1</v>
      </c>
    </row>
    <row r="2206" spans="1:15" ht="15" customHeight="1" x14ac:dyDescent="0.3">
      <c r="A2206" s="7">
        <v>1209672266</v>
      </c>
      <c r="B2206" s="4" t="s">
        <v>318</v>
      </c>
      <c r="C2206" s="4" t="s">
        <v>319</v>
      </c>
      <c r="D2206" s="6">
        <v>46309.493055555598</v>
      </c>
      <c r="E2206" s="6">
        <v>46309.243032407401</v>
      </c>
      <c r="F2206" s="6">
        <v>46309</v>
      </c>
      <c r="G2206" s="5" t="s">
        <v>12</v>
      </c>
      <c r="H2206" s="5" t="s">
        <v>16</v>
      </c>
      <c r="I2206" s="5">
        <v>7</v>
      </c>
      <c r="J2206" s="9" t="s">
        <v>17</v>
      </c>
      <c r="K2206" s="1" t="s">
        <v>2498</v>
      </c>
      <c r="L2206" t="s">
        <v>3284</v>
      </c>
      <c r="M2206" t="str">
        <f>+VLOOKUP(C2206,'[1]TIENDAS 2025'!$A$1:$C$143,3,0)</f>
        <v>local</v>
      </c>
      <c r="O2206">
        <v>1</v>
      </c>
    </row>
    <row r="2207" spans="1:15" ht="15" customHeight="1" x14ac:dyDescent="0.3">
      <c r="A2207" s="7">
        <v>1209672267</v>
      </c>
      <c r="B2207" s="4" t="s">
        <v>318</v>
      </c>
      <c r="C2207" s="4" t="s">
        <v>319</v>
      </c>
      <c r="D2207" s="6">
        <v>46309.493067129602</v>
      </c>
      <c r="E2207" s="6">
        <v>46309.2430439815</v>
      </c>
      <c r="F2207" s="6">
        <v>46309</v>
      </c>
      <c r="G2207" s="5" t="s">
        <v>12</v>
      </c>
      <c r="H2207" s="5" t="s">
        <v>29</v>
      </c>
      <c r="I2207" s="5">
        <v>21</v>
      </c>
      <c r="J2207" s="9" t="s">
        <v>17</v>
      </c>
      <c r="K2207" s="1" t="s">
        <v>2499</v>
      </c>
      <c r="L2207" t="s">
        <v>3284</v>
      </c>
      <c r="M2207" t="str">
        <f>+VLOOKUP(C2207,'[1]TIENDAS 2025'!$A$1:$C$143,3,0)</f>
        <v>local</v>
      </c>
      <c r="O2207">
        <v>1</v>
      </c>
    </row>
    <row r="2208" spans="1:15" ht="15" customHeight="1" x14ac:dyDescent="0.3">
      <c r="A2208" s="7">
        <v>1209672308</v>
      </c>
      <c r="B2208" s="4" t="s">
        <v>190</v>
      </c>
      <c r="C2208" s="4" t="s">
        <v>191</v>
      </c>
      <c r="D2208" s="6">
        <v>46309.4930902778</v>
      </c>
      <c r="E2208" s="6">
        <v>46309.243055555598</v>
      </c>
      <c r="F2208" s="6">
        <v>46309</v>
      </c>
      <c r="G2208" s="5" t="s">
        <v>12</v>
      </c>
      <c r="H2208" s="5" t="s">
        <v>29</v>
      </c>
      <c r="I2208" s="5">
        <v>45</v>
      </c>
      <c r="J2208" s="9" t="s">
        <v>17</v>
      </c>
      <c r="K2208" s="1" t="s">
        <v>2500</v>
      </c>
      <c r="L2208" t="s">
        <v>3284</v>
      </c>
      <c r="M2208" t="str">
        <f>+VLOOKUP(C2208,'[1]TIENDAS 2025'!$A$1:$C$143,3,0)</f>
        <v>departamental</v>
      </c>
      <c r="O2208">
        <v>1</v>
      </c>
    </row>
    <row r="2209" spans="1:15" ht="15" customHeight="1" x14ac:dyDescent="0.3">
      <c r="A2209" s="7">
        <v>1209672335</v>
      </c>
      <c r="B2209" s="4" t="s">
        <v>247</v>
      </c>
      <c r="C2209" s="4" t="s">
        <v>248</v>
      </c>
      <c r="D2209" s="6">
        <v>46309.493101851898</v>
      </c>
      <c r="E2209" s="6">
        <v>46309.243078703701</v>
      </c>
      <c r="F2209" s="6">
        <v>46309</v>
      </c>
      <c r="G2209" s="5" t="s">
        <v>12</v>
      </c>
      <c r="H2209" s="5" t="s">
        <v>16</v>
      </c>
      <c r="I2209" s="5">
        <v>35</v>
      </c>
      <c r="J2209" s="9" t="s">
        <v>17</v>
      </c>
      <c r="K2209" s="1" t="s">
        <v>2501</v>
      </c>
      <c r="L2209" t="s">
        <v>3284</v>
      </c>
      <c r="M2209" t="str">
        <f>+VLOOKUP(C2209,'[1]TIENDAS 2025'!$A$1:$C$143,3,0)</f>
        <v>local</v>
      </c>
      <c r="O2209">
        <v>1</v>
      </c>
    </row>
    <row r="2210" spans="1:15" ht="15" customHeight="1" x14ac:dyDescent="0.3">
      <c r="A2210" s="7">
        <v>8209672324</v>
      </c>
      <c r="B2210" s="4" t="s">
        <v>247</v>
      </c>
      <c r="C2210" s="4" t="s">
        <v>248</v>
      </c>
      <c r="D2210" s="6">
        <v>46309.493125000001</v>
      </c>
      <c r="E2210" s="6">
        <v>46309.2430902778</v>
      </c>
      <c r="F2210" s="6">
        <v>46309</v>
      </c>
      <c r="G2210" s="5" t="s">
        <v>12</v>
      </c>
      <c r="H2210" s="5" t="s">
        <v>27</v>
      </c>
      <c r="I2210" s="5">
        <v>5</v>
      </c>
      <c r="J2210" s="10" t="s">
        <v>17</v>
      </c>
      <c r="K2210" s="1" t="s">
        <v>2502</v>
      </c>
      <c r="M2210" t="str">
        <f>+VLOOKUP(C2210,'[1]TIENDAS 2025'!$A$1:$C$143,3,0)</f>
        <v>local</v>
      </c>
      <c r="O2210">
        <v>1</v>
      </c>
    </row>
    <row r="2211" spans="1:15" ht="15" customHeight="1" x14ac:dyDescent="0.3">
      <c r="A2211" s="7">
        <v>8209672325</v>
      </c>
      <c r="B2211" s="4" t="s">
        <v>247</v>
      </c>
      <c r="C2211" s="4" t="s">
        <v>248</v>
      </c>
      <c r="D2211" s="6">
        <v>46309.493125000001</v>
      </c>
      <c r="E2211" s="6">
        <v>46309.243101851898</v>
      </c>
      <c r="F2211" s="6">
        <v>46309</v>
      </c>
      <c r="G2211" s="5" t="s">
        <v>12</v>
      </c>
      <c r="H2211" s="5" t="s">
        <v>27</v>
      </c>
      <c r="I2211" s="5">
        <v>1</v>
      </c>
      <c r="J2211" s="10" t="s">
        <v>17</v>
      </c>
      <c r="K2211" s="1" t="s">
        <v>2503</v>
      </c>
      <c r="M2211" t="str">
        <f>+VLOOKUP(C2211,'[1]TIENDAS 2025'!$A$1:$C$143,3,0)</f>
        <v>local</v>
      </c>
      <c r="O2211">
        <v>1</v>
      </c>
    </row>
    <row r="2212" spans="1:15" ht="15" customHeight="1" x14ac:dyDescent="0.3">
      <c r="A2212" s="7">
        <v>1209672247</v>
      </c>
      <c r="B2212" s="4" t="s">
        <v>241</v>
      </c>
      <c r="C2212" s="4" t="s">
        <v>242</v>
      </c>
      <c r="D2212" s="6">
        <v>46309.493148148104</v>
      </c>
      <c r="E2212" s="6">
        <v>46309.243113425902</v>
      </c>
      <c r="F2212" s="6">
        <v>46309</v>
      </c>
      <c r="G2212" s="5" t="s">
        <v>12</v>
      </c>
      <c r="H2212" s="5" t="s">
        <v>16</v>
      </c>
      <c r="I2212" s="5">
        <v>10</v>
      </c>
      <c r="J2212" s="9" t="s">
        <v>17</v>
      </c>
      <c r="K2212" s="1" t="s">
        <v>2504</v>
      </c>
      <c r="L2212" t="s">
        <v>3284</v>
      </c>
      <c r="M2212" t="str">
        <f>+VLOOKUP(C2212,'[1]TIENDAS 2025'!$A$1:$C$143,3,0)</f>
        <v>local</v>
      </c>
      <c r="O2212">
        <v>1</v>
      </c>
    </row>
    <row r="2213" spans="1:15" ht="15" customHeight="1" x14ac:dyDescent="0.3">
      <c r="A2213" s="8">
        <v>209672469</v>
      </c>
      <c r="B2213" s="4" t="s">
        <v>181</v>
      </c>
      <c r="C2213" s="4" t="s">
        <v>182</v>
      </c>
      <c r="D2213" s="6">
        <v>46309.493159722202</v>
      </c>
      <c r="E2213" s="6">
        <v>46309.243136574099</v>
      </c>
      <c r="F2213" s="6">
        <v>46309</v>
      </c>
      <c r="G2213" s="5" t="s">
        <v>12</v>
      </c>
      <c r="H2213" s="5" t="s">
        <v>16</v>
      </c>
      <c r="I2213" s="5">
        <v>6</v>
      </c>
      <c r="J2213" s="9" t="s">
        <v>17</v>
      </c>
      <c r="K2213" s="1" t="s">
        <v>2505</v>
      </c>
      <c r="L2213" t="s">
        <v>10</v>
      </c>
      <c r="M2213" t="str">
        <f>+VLOOKUP(C2213,'[1]TIENDAS 2025'!$A$1:$C$143,3,0)</f>
        <v>departamental</v>
      </c>
      <c r="O2213">
        <v>1</v>
      </c>
    </row>
    <row r="2214" spans="1:15" ht="15" customHeight="1" x14ac:dyDescent="0.3">
      <c r="A2214" s="8">
        <v>209672478</v>
      </c>
      <c r="B2214" s="4" t="s">
        <v>238</v>
      </c>
      <c r="C2214" s="4" t="s">
        <v>239</v>
      </c>
      <c r="D2214" s="6">
        <v>46309.493182870399</v>
      </c>
      <c r="E2214" s="6">
        <v>46309.243148148104</v>
      </c>
      <c r="F2214" s="6">
        <v>46309</v>
      </c>
      <c r="G2214" s="5" t="s">
        <v>12</v>
      </c>
      <c r="H2214" s="5" t="s">
        <v>16</v>
      </c>
      <c r="I2214" s="5">
        <v>6</v>
      </c>
      <c r="J2214" s="9" t="s">
        <v>17</v>
      </c>
      <c r="K2214" s="1" t="s">
        <v>2506</v>
      </c>
      <c r="L2214" t="s">
        <v>10</v>
      </c>
      <c r="M2214" t="str">
        <f>+VLOOKUP(C2214,'[1]TIENDAS 2025'!$A$1:$C$143,3,0)</f>
        <v>nocturna</v>
      </c>
      <c r="O2214">
        <v>1</v>
      </c>
    </row>
    <row r="2215" spans="1:15" ht="15" customHeight="1" x14ac:dyDescent="0.3">
      <c r="A2215" s="8">
        <v>209672489</v>
      </c>
      <c r="B2215" s="4" t="s">
        <v>445</v>
      </c>
      <c r="C2215" s="4" t="s">
        <v>446</v>
      </c>
      <c r="D2215" s="6">
        <v>46309.493182870399</v>
      </c>
      <c r="E2215" s="6">
        <v>46309.243159722202</v>
      </c>
      <c r="F2215" s="6">
        <v>46309</v>
      </c>
      <c r="G2215" s="5" t="s">
        <v>12</v>
      </c>
      <c r="H2215" s="5" t="s">
        <v>16</v>
      </c>
      <c r="I2215" s="5">
        <v>6</v>
      </c>
      <c r="J2215" s="9" t="s">
        <v>17</v>
      </c>
      <c r="K2215" s="1" t="s">
        <v>2507</v>
      </c>
      <c r="L2215" t="s">
        <v>10</v>
      </c>
      <c r="M2215" t="str">
        <f>+VLOOKUP(C2215,'[1]TIENDAS 2025'!$A$1:$C$143,3,0)</f>
        <v>departamental</v>
      </c>
      <c r="O2215">
        <v>1</v>
      </c>
    </row>
    <row r="2216" spans="1:15" ht="15" customHeight="1" x14ac:dyDescent="0.3">
      <c r="A2216" s="8">
        <v>209672495</v>
      </c>
      <c r="B2216" s="4" t="s">
        <v>448</v>
      </c>
      <c r="C2216" s="4" t="s">
        <v>449</v>
      </c>
      <c r="D2216" s="6">
        <v>46309.493206018502</v>
      </c>
      <c r="E2216" s="6">
        <v>46309.243171296301</v>
      </c>
      <c r="F2216" s="6">
        <v>46309</v>
      </c>
      <c r="G2216" s="5" t="s">
        <v>12</v>
      </c>
      <c r="H2216" s="5" t="s">
        <v>16</v>
      </c>
      <c r="I2216" s="5">
        <v>6</v>
      </c>
      <c r="J2216" s="9" t="s">
        <v>17</v>
      </c>
      <c r="K2216" s="1" t="s">
        <v>2508</v>
      </c>
      <c r="L2216" t="s">
        <v>10</v>
      </c>
      <c r="M2216" t="str">
        <f>+VLOOKUP(C2216,'[1]TIENDAS 2025'!$A$1:$C$143,3,0)</f>
        <v>local</v>
      </c>
      <c r="O2216">
        <v>1</v>
      </c>
    </row>
    <row r="2217" spans="1:15" ht="15" customHeight="1" x14ac:dyDescent="0.3">
      <c r="A2217" s="8">
        <v>209672498</v>
      </c>
      <c r="B2217" s="4" t="s">
        <v>527</v>
      </c>
      <c r="C2217" s="4" t="s">
        <v>528</v>
      </c>
      <c r="D2217" s="6">
        <v>46309.493217592601</v>
      </c>
      <c r="E2217" s="6">
        <v>46309.243194444403</v>
      </c>
      <c r="F2217" s="6">
        <v>46309</v>
      </c>
      <c r="G2217" s="5" t="s">
        <v>12</v>
      </c>
      <c r="H2217" s="5" t="s">
        <v>16</v>
      </c>
      <c r="I2217" s="5">
        <v>6</v>
      </c>
      <c r="J2217" s="9" t="s">
        <v>17</v>
      </c>
      <c r="K2217" s="1" t="s">
        <v>2509</v>
      </c>
      <c r="L2217" t="s">
        <v>10</v>
      </c>
      <c r="M2217" t="str">
        <f>+VLOOKUP(C2217,'[1]TIENDAS 2025'!$A$1:$C$143,3,0)</f>
        <v>prioridad</v>
      </c>
      <c r="O2217">
        <v>1</v>
      </c>
    </row>
    <row r="2218" spans="1:15" ht="15" customHeight="1" x14ac:dyDescent="0.3">
      <c r="A2218" s="8">
        <v>209672502</v>
      </c>
      <c r="B2218" s="4" t="s">
        <v>539</v>
      </c>
      <c r="C2218" s="4" t="s">
        <v>540</v>
      </c>
      <c r="D2218" s="6">
        <v>46309.493240740703</v>
      </c>
      <c r="E2218" s="6">
        <v>46309.243206018502</v>
      </c>
      <c r="F2218" s="6">
        <v>46309</v>
      </c>
      <c r="G2218" s="5" t="s">
        <v>12</v>
      </c>
      <c r="H2218" s="5" t="s">
        <v>16</v>
      </c>
      <c r="I2218" s="5">
        <v>6</v>
      </c>
      <c r="J2218" s="9" t="s">
        <v>17</v>
      </c>
      <c r="K2218" s="1" t="s">
        <v>2510</v>
      </c>
      <c r="L2218" t="s">
        <v>10</v>
      </c>
      <c r="M2218" t="str">
        <f>+VLOOKUP(C2218,'[1]TIENDAS 2025'!$A$1:$C$143,3,0)</f>
        <v>departamental</v>
      </c>
      <c r="O2218">
        <v>1</v>
      </c>
    </row>
    <row r="2219" spans="1:15" ht="15" customHeight="1" x14ac:dyDescent="0.3">
      <c r="A2219" s="8">
        <v>209672505</v>
      </c>
      <c r="B2219" s="4" t="s">
        <v>172</v>
      </c>
      <c r="C2219" s="4" t="s">
        <v>173</v>
      </c>
      <c r="D2219" s="6">
        <v>46309.493252314802</v>
      </c>
      <c r="E2219" s="6">
        <v>46309.243217592601</v>
      </c>
      <c r="F2219" s="6">
        <v>46309</v>
      </c>
      <c r="G2219" s="5" t="s">
        <v>12</v>
      </c>
      <c r="H2219" s="5" t="s">
        <v>16</v>
      </c>
      <c r="I2219" s="5">
        <v>6</v>
      </c>
      <c r="J2219" s="9" t="s">
        <v>17</v>
      </c>
      <c r="K2219" s="1" t="s">
        <v>2511</v>
      </c>
      <c r="L2219" t="s">
        <v>10</v>
      </c>
      <c r="M2219" t="str">
        <f>+VLOOKUP(C2219,'[1]TIENDAS 2025'!$A$1:$C$143,3,0)</f>
        <v>local</v>
      </c>
      <c r="O2219">
        <v>1</v>
      </c>
    </row>
    <row r="2220" spans="1:15" ht="15" customHeight="1" x14ac:dyDescent="0.3">
      <c r="A2220" s="8">
        <v>209672512</v>
      </c>
      <c r="B2220" s="4" t="s">
        <v>277</v>
      </c>
      <c r="C2220" s="4" t="s">
        <v>278</v>
      </c>
      <c r="D2220" s="6">
        <v>46309.4932638889</v>
      </c>
      <c r="E2220" s="6">
        <v>46309.243229166699</v>
      </c>
      <c r="F2220" s="6">
        <v>46309</v>
      </c>
      <c r="G2220" s="5" t="s">
        <v>12</v>
      </c>
      <c r="H2220" s="5" t="s">
        <v>16</v>
      </c>
      <c r="I2220" s="5">
        <v>6</v>
      </c>
      <c r="J2220" s="9" t="s">
        <v>17</v>
      </c>
      <c r="K2220" s="1" t="s">
        <v>2512</v>
      </c>
      <c r="L2220" t="s">
        <v>10</v>
      </c>
      <c r="M2220" t="str">
        <f>+VLOOKUP(C2220,'[1]TIENDAS 2025'!$A$1:$C$143,3,0)</f>
        <v>local</v>
      </c>
      <c r="O2220">
        <v>1</v>
      </c>
    </row>
    <row r="2221" spans="1:15" ht="15" customHeight="1" x14ac:dyDescent="0.3">
      <c r="A2221" s="8">
        <v>209672513</v>
      </c>
      <c r="B2221" s="4" t="s">
        <v>491</v>
      </c>
      <c r="C2221" s="4" t="s">
        <v>492</v>
      </c>
      <c r="D2221" s="6">
        <v>46309.493275462999</v>
      </c>
      <c r="E2221" s="6">
        <v>46309.243252314802</v>
      </c>
      <c r="F2221" s="6">
        <v>46309</v>
      </c>
      <c r="G2221" s="5" t="s">
        <v>12</v>
      </c>
      <c r="H2221" s="5" t="s">
        <v>16</v>
      </c>
      <c r="I2221" s="5">
        <v>6</v>
      </c>
      <c r="J2221" s="9" t="s">
        <v>17</v>
      </c>
      <c r="K2221" s="1" t="s">
        <v>2513</v>
      </c>
      <c r="L2221" t="s">
        <v>10</v>
      </c>
      <c r="M2221" t="str">
        <f>+VLOOKUP(C2221,'[1]TIENDAS 2025'!$A$1:$C$143,3,0)</f>
        <v>departamental</v>
      </c>
      <c r="O2221">
        <v>1</v>
      </c>
    </row>
    <row r="2222" spans="1:15" ht="15" customHeight="1" x14ac:dyDescent="0.3">
      <c r="A2222" s="8">
        <v>209672437</v>
      </c>
      <c r="B2222" s="4" t="s">
        <v>433</v>
      </c>
      <c r="C2222" s="4" t="s">
        <v>434</v>
      </c>
      <c r="D2222" s="6">
        <v>46309.493287037003</v>
      </c>
      <c r="E2222" s="6">
        <v>46309.2432638889</v>
      </c>
      <c r="F2222" s="6">
        <v>46309</v>
      </c>
      <c r="G2222" s="5" t="s">
        <v>12</v>
      </c>
      <c r="H2222" s="5" t="s">
        <v>16</v>
      </c>
      <c r="I2222" s="5">
        <v>6</v>
      </c>
      <c r="J2222" s="9" t="s">
        <v>17</v>
      </c>
      <c r="K2222" s="1" t="s">
        <v>2514</v>
      </c>
      <c r="L2222" t="s">
        <v>10</v>
      </c>
      <c r="M2222" t="str">
        <f>+VLOOKUP(C2222,'[1]TIENDAS 2025'!$A$1:$C$143,3,0)</f>
        <v>prioridad</v>
      </c>
      <c r="O2222">
        <v>1</v>
      </c>
    </row>
    <row r="2223" spans="1:15" ht="15" customHeight="1" x14ac:dyDescent="0.3">
      <c r="A2223" s="8">
        <v>209672439</v>
      </c>
      <c r="B2223" s="4" t="s">
        <v>250</v>
      </c>
      <c r="C2223" s="4" t="s">
        <v>251</v>
      </c>
      <c r="D2223" s="6">
        <v>46309.4933101852</v>
      </c>
      <c r="E2223" s="6">
        <v>46309.243275462999</v>
      </c>
      <c r="F2223" s="6">
        <v>46309</v>
      </c>
      <c r="G2223" s="5" t="s">
        <v>12</v>
      </c>
      <c r="H2223" s="5" t="s">
        <v>16</v>
      </c>
      <c r="I2223" s="5">
        <v>6</v>
      </c>
      <c r="J2223" s="9" t="s">
        <v>17</v>
      </c>
      <c r="K2223" s="1" t="s">
        <v>2515</v>
      </c>
      <c r="L2223" t="s">
        <v>10</v>
      </c>
      <c r="M2223" t="str">
        <f>+VLOOKUP(C2223,'[1]TIENDAS 2025'!$A$1:$C$143,3,0)</f>
        <v>prioridad</v>
      </c>
      <c r="O2223">
        <v>1</v>
      </c>
    </row>
    <row r="2224" spans="1:15" ht="15" customHeight="1" x14ac:dyDescent="0.3">
      <c r="A2224" s="8">
        <v>209672442</v>
      </c>
      <c r="B2224" s="4" t="s">
        <v>289</v>
      </c>
      <c r="C2224" s="4" t="s">
        <v>290</v>
      </c>
      <c r="D2224" s="6">
        <v>46309.493321759299</v>
      </c>
      <c r="E2224" s="6">
        <v>46309.243287037003</v>
      </c>
      <c r="F2224" s="6">
        <v>46309</v>
      </c>
      <c r="G2224" s="5" t="s">
        <v>12</v>
      </c>
      <c r="H2224" s="5" t="s">
        <v>16</v>
      </c>
      <c r="I2224" s="5">
        <v>6</v>
      </c>
      <c r="J2224" s="9" t="s">
        <v>17</v>
      </c>
      <c r="K2224" s="1" t="s">
        <v>2516</v>
      </c>
      <c r="L2224" t="s">
        <v>10</v>
      </c>
      <c r="M2224" t="str">
        <f>+VLOOKUP(C2224,'[1]TIENDAS 2025'!$A$1:$C$143,3,0)</f>
        <v>departamental</v>
      </c>
      <c r="O2224">
        <v>1</v>
      </c>
    </row>
    <row r="2225" spans="1:15" ht="15" customHeight="1" x14ac:dyDescent="0.3">
      <c r="A2225" s="8">
        <v>209672446</v>
      </c>
      <c r="B2225" s="4" t="s">
        <v>521</v>
      </c>
      <c r="C2225" s="4" t="s">
        <v>522</v>
      </c>
      <c r="D2225" s="6">
        <v>46309.493333333303</v>
      </c>
      <c r="E2225" s="6">
        <v>46309.2433101852</v>
      </c>
      <c r="F2225" s="6">
        <v>46309</v>
      </c>
      <c r="G2225" s="5" t="s">
        <v>12</v>
      </c>
      <c r="H2225" s="5" t="s">
        <v>16</v>
      </c>
      <c r="I2225" s="5">
        <v>6</v>
      </c>
      <c r="J2225" s="9" t="s">
        <v>17</v>
      </c>
      <c r="K2225" s="1" t="s">
        <v>2517</v>
      </c>
      <c r="L2225" t="s">
        <v>10</v>
      </c>
      <c r="M2225" t="str">
        <f>+VLOOKUP(C2225,'[1]TIENDAS 2025'!$A$1:$C$143,3,0)</f>
        <v>local</v>
      </c>
      <c r="O2225">
        <v>1</v>
      </c>
    </row>
    <row r="2226" spans="1:15" ht="15" customHeight="1" x14ac:dyDescent="0.3">
      <c r="A2226" s="8">
        <v>209672402</v>
      </c>
      <c r="B2226" s="4" t="s">
        <v>253</v>
      </c>
      <c r="C2226" s="4" t="s">
        <v>254</v>
      </c>
      <c r="D2226" s="6">
        <v>46309.493344907401</v>
      </c>
      <c r="E2226" s="6">
        <v>46309.243321759299</v>
      </c>
      <c r="F2226" s="6">
        <v>46309</v>
      </c>
      <c r="G2226" s="5" t="s">
        <v>12</v>
      </c>
      <c r="H2226" s="5" t="s">
        <v>16</v>
      </c>
      <c r="I2226" s="5">
        <v>6</v>
      </c>
      <c r="J2226" s="9" t="s">
        <v>17</v>
      </c>
      <c r="K2226" s="1" t="s">
        <v>2518</v>
      </c>
      <c r="L2226" t="s">
        <v>10</v>
      </c>
      <c r="M2226" t="str">
        <f>+VLOOKUP(C2226,'[1]TIENDAS 2025'!$A$1:$C$143,3,0)</f>
        <v>departamental</v>
      </c>
      <c r="O2226">
        <v>1</v>
      </c>
    </row>
    <row r="2227" spans="1:15" ht="15" customHeight="1" x14ac:dyDescent="0.3">
      <c r="A2227" s="7">
        <v>8209672261</v>
      </c>
      <c r="B2227" s="4" t="s">
        <v>318</v>
      </c>
      <c r="C2227" s="4" t="s">
        <v>319</v>
      </c>
      <c r="D2227" s="6">
        <v>46309.493368055599</v>
      </c>
      <c r="E2227" s="6">
        <v>46309.243333333303</v>
      </c>
      <c r="F2227" s="6">
        <v>46309</v>
      </c>
      <c r="G2227" s="5" t="s">
        <v>12</v>
      </c>
      <c r="H2227" s="5" t="s">
        <v>27</v>
      </c>
      <c r="I2227" s="5">
        <v>5</v>
      </c>
      <c r="J2227" s="10" t="s">
        <v>17</v>
      </c>
      <c r="K2227" s="1" t="s">
        <v>2519</v>
      </c>
      <c r="M2227" t="str">
        <f>+VLOOKUP(C2227,'[1]TIENDAS 2025'!$A$1:$C$143,3,0)</f>
        <v>local</v>
      </c>
      <c r="O2227">
        <v>1</v>
      </c>
    </row>
    <row r="2228" spans="1:15" ht="15" customHeight="1" x14ac:dyDescent="0.3">
      <c r="A2228" s="7">
        <v>8209672230</v>
      </c>
      <c r="B2228" s="4" t="s">
        <v>241</v>
      </c>
      <c r="C2228" s="4" t="s">
        <v>242</v>
      </c>
      <c r="D2228" s="6">
        <v>46309.493379629603</v>
      </c>
      <c r="E2228" s="6">
        <v>46309.243344907401</v>
      </c>
      <c r="F2228" s="6">
        <v>46309</v>
      </c>
      <c r="G2228" s="5" t="s">
        <v>12</v>
      </c>
      <c r="H2228" s="5" t="s">
        <v>27</v>
      </c>
      <c r="I2228" s="5">
        <v>3</v>
      </c>
      <c r="J2228" s="10" t="s">
        <v>17</v>
      </c>
      <c r="K2228" s="1" t="s">
        <v>2520</v>
      </c>
      <c r="M2228" t="str">
        <f>+VLOOKUP(C2228,'[1]TIENDAS 2025'!$A$1:$C$143,3,0)</f>
        <v>local</v>
      </c>
      <c r="O2228">
        <v>1</v>
      </c>
    </row>
    <row r="2229" spans="1:15" ht="15" customHeight="1" x14ac:dyDescent="0.3">
      <c r="A2229" s="7">
        <v>1209672232</v>
      </c>
      <c r="B2229" s="4" t="s">
        <v>241</v>
      </c>
      <c r="C2229" s="4" t="s">
        <v>242</v>
      </c>
      <c r="D2229" s="6">
        <v>46309.493391203701</v>
      </c>
      <c r="E2229" s="6">
        <v>46309.243368055599</v>
      </c>
      <c r="F2229" s="6">
        <v>46309</v>
      </c>
      <c r="G2229" s="5" t="s">
        <v>12</v>
      </c>
      <c r="H2229" s="5" t="s">
        <v>16</v>
      </c>
      <c r="I2229" s="5">
        <v>4</v>
      </c>
      <c r="J2229" s="9" t="s">
        <v>17</v>
      </c>
      <c r="K2229" s="1" t="s">
        <v>2521</v>
      </c>
      <c r="L2229" t="s">
        <v>3284</v>
      </c>
      <c r="M2229" t="str">
        <f>+VLOOKUP(C2229,'[1]TIENDAS 2025'!$A$1:$C$143,3,0)</f>
        <v>local</v>
      </c>
      <c r="O2229">
        <v>1</v>
      </c>
    </row>
    <row r="2230" spans="1:15" ht="15" customHeight="1" x14ac:dyDescent="0.3">
      <c r="A2230" s="7">
        <v>1209672301</v>
      </c>
      <c r="B2230" s="4" t="s">
        <v>190</v>
      </c>
      <c r="C2230" s="4" t="s">
        <v>191</v>
      </c>
      <c r="D2230" s="6">
        <v>46309.4934027778</v>
      </c>
      <c r="E2230" s="6">
        <v>46309.243379629603</v>
      </c>
      <c r="F2230" s="6">
        <v>46309</v>
      </c>
      <c r="G2230" s="5" t="s">
        <v>12</v>
      </c>
      <c r="H2230" s="5" t="s">
        <v>29</v>
      </c>
      <c r="I2230" s="5">
        <v>10</v>
      </c>
      <c r="J2230" s="9" t="s">
        <v>17</v>
      </c>
      <c r="K2230" s="1" t="s">
        <v>2522</v>
      </c>
      <c r="L2230" t="s">
        <v>3284</v>
      </c>
      <c r="M2230" t="str">
        <f>+VLOOKUP(C2230,'[1]TIENDAS 2025'!$A$1:$C$143,3,0)</f>
        <v>departamental</v>
      </c>
      <c r="O2230">
        <v>1</v>
      </c>
    </row>
    <row r="2231" spans="1:15" ht="15" customHeight="1" x14ac:dyDescent="0.3">
      <c r="A2231" s="7">
        <v>1209672313</v>
      </c>
      <c r="B2231" s="4" t="s">
        <v>190</v>
      </c>
      <c r="C2231" s="4" t="s">
        <v>191</v>
      </c>
      <c r="D2231" s="6">
        <v>46309.493414351899</v>
      </c>
      <c r="E2231" s="6">
        <v>46309.243391203701</v>
      </c>
      <c r="F2231" s="6">
        <v>46309</v>
      </c>
      <c r="G2231" s="5" t="s">
        <v>12</v>
      </c>
      <c r="H2231" s="5" t="s">
        <v>29</v>
      </c>
      <c r="I2231" s="5">
        <v>32</v>
      </c>
      <c r="J2231" s="9" t="s">
        <v>17</v>
      </c>
      <c r="K2231" s="1" t="s">
        <v>2523</v>
      </c>
      <c r="L2231" t="s">
        <v>3284</v>
      </c>
      <c r="M2231" t="str">
        <f>+VLOOKUP(C2231,'[1]TIENDAS 2025'!$A$1:$C$143,3,0)</f>
        <v>departamental</v>
      </c>
      <c r="O2231">
        <v>1</v>
      </c>
    </row>
    <row r="2232" spans="1:15" ht="15" customHeight="1" x14ac:dyDescent="0.3">
      <c r="A2232" s="7">
        <v>1209672329</v>
      </c>
      <c r="B2232" s="4" t="s">
        <v>247</v>
      </c>
      <c r="C2232" s="4" t="s">
        <v>248</v>
      </c>
      <c r="D2232" s="6">
        <v>46309.493437500001</v>
      </c>
      <c r="E2232" s="6">
        <v>46309.2434027778</v>
      </c>
      <c r="F2232" s="6">
        <v>46309</v>
      </c>
      <c r="G2232" s="5" t="s">
        <v>12</v>
      </c>
      <c r="H2232" s="5" t="s">
        <v>29</v>
      </c>
      <c r="I2232" s="5">
        <v>10</v>
      </c>
      <c r="J2232" s="9" t="s">
        <v>17</v>
      </c>
      <c r="K2232" s="1" t="s">
        <v>2524</v>
      </c>
      <c r="L2232" t="s">
        <v>3284</v>
      </c>
      <c r="M2232" t="str">
        <f>+VLOOKUP(C2232,'[1]TIENDAS 2025'!$A$1:$C$143,3,0)</f>
        <v>local</v>
      </c>
      <c r="O2232">
        <v>1</v>
      </c>
    </row>
    <row r="2233" spans="1:15" ht="15" customHeight="1" x14ac:dyDescent="0.3">
      <c r="A2233" s="7">
        <v>1209672304</v>
      </c>
      <c r="B2233" s="4" t="s">
        <v>190</v>
      </c>
      <c r="C2233" s="4" t="s">
        <v>191</v>
      </c>
      <c r="D2233" s="6">
        <v>46309.4934490741</v>
      </c>
      <c r="E2233" s="6">
        <v>46309.243414351899</v>
      </c>
      <c r="F2233" s="6">
        <v>46309</v>
      </c>
      <c r="G2233" s="5" t="s">
        <v>12</v>
      </c>
      <c r="H2233" s="5" t="s">
        <v>16</v>
      </c>
      <c r="I2233" s="5">
        <v>26</v>
      </c>
      <c r="J2233" s="9" t="s">
        <v>17</v>
      </c>
      <c r="K2233" s="1" t="s">
        <v>2525</v>
      </c>
      <c r="L2233" t="s">
        <v>3284</v>
      </c>
      <c r="M2233" t="str">
        <f>+VLOOKUP(C2233,'[1]TIENDAS 2025'!$A$1:$C$143,3,0)</f>
        <v>departamental</v>
      </c>
      <c r="O2233">
        <v>1</v>
      </c>
    </row>
    <row r="2234" spans="1:15" ht="15" customHeight="1" x14ac:dyDescent="0.3">
      <c r="A2234" s="7">
        <v>1209672333</v>
      </c>
      <c r="B2234" s="4" t="s">
        <v>247</v>
      </c>
      <c r="C2234" s="4" t="s">
        <v>248</v>
      </c>
      <c r="D2234" s="6">
        <v>46309.493460648097</v>
      </c>
      <c r="E2234" s="6">
        <v>46309.243437500001</v>
      </c>
      <c r="F2234" s="6">
        <v>46309</v>
      </c>
      <c r="G2234" s="5" t="s">
        <v>12</v>
      </c>
      <c r="H2234" s="5" t="s">
        <v>16</v>
      </c>
      <c r="I2234" s="5">
        <v>3</v>
      </c>
      <c r="J2234" s="9" t="s">
        <v>17</v>
      </c>
      <c r="K2234" s="1" t="s">
        <v>2526</v>
      </c>
      <c r="L2234" t="s">
        <v>3284</v>
      </c>
      <c r="M2234" t="str">
        <f>+VLOOKUP(C2234,'[1]TIENDAS 2025'!$A$1:$C$143,3,0)</f>
        <v>local</v>
      </c>
      <c r="O2234">
        <v>1</v>
      </c>
    </row>
    <row r="2235" spans="1:15" ht="15" customHeight="1" x14ac:dyDescent="0.3">
      <c r="A2235" s="8">
        <v>209672467</v>
      </c>
      <c r="B2235" s="4" t="s">
        <v>364</v>
      </c>
      <c r="C2235" s="4" t="s">
        <v>365</v>
      </c>
      <c r="D2235" s="6">
        <v>46309.493472222202</v>
      </c>
      <c r="E2235" s="6">
        <v>46309.2434490741</v>
      </c>
      <c r="F2235" s="6">
        <v>46309</v>
      </c>
      <c r="G2235" s="5" t="s">
        <v>12</v>
      </c>
      <c r="H2235" s="5" t="s">
        <v>16</v>
      </c>
      <c r="I2235" s="5">
        <v>6</v>
      </c>
      <c r="J2235" s="9" t="s">
        <v>17</v>
      </c>
      <c r="K2235" s="1" t="s">
        <v>2527</v>
      </c>
      <c r="L2235" t="s">
        <v>10</v>
      </c>
      <c r="M2235" t="str">
        <f>+VLOOKUP(C2235,'[1]TIENDAS 2025'!$A$1:$C$143,3,0)</f>
        <v>local</v>
      </c>
      <c r="O2235">
        <v>1</v>
      </c>
    </row>
    <row r="2236" spans="1:15" ht="15" customHeight="1" x14ac:dyDescent="0.3">
      <c r="A2236" s="7">
        <v>8209672358</v>
      </c>
      <c r="B2236" s="4" t="s">
        <v>238</v>
      </c>
      <c r="C2236" s="4" t="s">
        <v>239</v>
      </c>
      <c r="D2236" s="6">
        <v>46309.4934953704</v>
      </c>
      <c r="E2236" s="6">
        <v>46309.243460648097</v>
      </c>
      <c r="F2236" s="6">
        <v>46309</v>
      </c>
      <c r="G2236" s="5" t="s">
        <v>12</v>
      </c>
      <c r="H2236" s="5" t="s">
        <v>27</v>
      </c>
      <c r="I2236" s="5">
        <v>8</v>
      </c>
      <c r="J2236" s="10" t="s">
        <v>17</v>
      </c>
      <c r="K2236" s="1" t="s">
        <v>2528</v>
      </c>
      <c r="M2236" t="str">
        <f>+VLOOKUP(C2236,'[1]TIENDAS 2025'!$A$1:$C$143,3,0)</f>
        <v>nocturna</v>
      </c>
      <c r="O2236">
        <v>1</v>
      </c>
    </row>
    <row r="2237" spans="1:15" ht="15" customHeight="1" x14ac:dyDescent="0.3">
      <c r="A2237" s="7">
        <v>1209672361</v>
      </c>
      <c r="B2237" s="4" t="s">
        <v>238</v>
      </c>
      <c r="C2237" s="4" t="s">
        <v>239</v>
      </c>
      <c r="D2237" s="6">
        <v>46309.493506944404</v>
      </c>
      <c r="E2237" s="6">
        <v>46309.243472222202</v>
      </c>
      <c r="F2237" s="6">
        <v>46309</v>
      </c>
      <c r="G2237" s="5" t="s">
        <v>12</v>
      </c>
      <c r="H2237" s="5" t="s">
        <v>27</v>
      </c>
      <c r="I2237" s="5">
        <v>9</v>
      </c>
      <c r="J2237" s="9" t="s">
        <v>17</v>
      </c>
      <c r="K2237" s="1" t="s">
        <v>2529</v>
      </c>
      <c r="L2237" t="s">
        <v>3284</v>
      </c>
      <c r="M2237" t="str">
        <f>+VLOOKUP(C2237,'[1]TIENDAS 2025'!$A$1:$C$143,3,0)</f>
        <v>nocturna</v>
      </c>
      <c r="O2237">
        <v>1</v>
      </c>
    </row>
    <row r="2238" spans="1:15" ht="15" customHeight="1" x14ac:dyDescent="0.3">
      <c r="A2238" s="8">
        <v>209672487</v>
      </c>
      <c r="B2238" s="4" t="s">
        <v>196</v>
      </c>
      <c r="C2238" s="4" t="s">
        <v>197</v>
      </c>
      <c r="D2238" s="6">
        <v>46309.493518518502</v>
      </c>
      <c r="E2238" s="6">
        <v>46309.2434953704</v>
      </c>
      <c r="F2238" s="6">
        <v>46309</v>
      </c>
      <c r="G2238" s="5" t="s">
        <v>12</v>
      </c>
      <c r="H2238" s="5" t="s">
        <v>16</v>
      </c>
      <c r="I2238" s="5">
        <v>6</v>
      </c>
      <c r="J2238" s="9" t="s">
        <v>17</v>
      </c>
      <c r="K2238" s="1" t="s">
        <v>2530</v>
      </c>
      <c r="L2238" t="s">
        <v>10</v>
      </c>
      <c r="M2238" t="str">
        <f>+VLOOKUP(C2238,'[1]TIENDAS 2025'!$A$1:$C$143,3,0)</f>
        <v>departamental</v>
      </c>
      <c r="O2238">
        <v>1</v>
      </c>
    </row>
    <row r="2239" spans="1:15" ht="15" customHeight="1" x14ac:dyDescent="0.3">
      <c r="A2239" s="8">
        <v>209672491</v>
      </c>
      <c r="B2239" s="4" t="s">
        <v>518</v>
      </c>
      <c r="C2239" s="4" t="s">
        <v>519</v>
      </c>
      <c r="D2239" s="6">
        <v>46309.493530092601</v>
      </c>
      <c r="E2239" s="6">
        <v>46309.243506944404</v>
      </c>
      <c r="F2239" s="6">
        <v>46309</v>
      </c>
      <c r="G2239" s="5" t="s">
        <v>12</v>
      </c>
      <c r="H2239" s="5" t="s">
        <v>16</v>
      </c>
      <c r="I2239" s="5">
        <v>6</v>
      </c>
      <c r="J2239" s="9" t="s">
        <v>17</v>
      </c>
      <c r="K2239" s="1" t="s">
        <v>2531</v>
      </c>
      <c r="L2239" t="s">
        <v>10</v>
      </c>
      <c r="M2239" t="str">
        <f>+VLOOKUP(C2239,'[1]TIENDAS 2025'!$A$1:$C$143,3,0)</f>
        <v>prioridad</v>
      </c>
      <c r="O2239">
        <v>1</v>
      </c>
    </row>
    <row r="2240" spans="1:15" ht="15" customHeight="1" x14ac:dyDescent="0.3">
      <c r="A2240" s="8">
        <v>209672510</v>
      </c>
      <c r="B2240" s="4" t="s">
        <v>409</v>
      </c>
      <c r="C2240" s="4" t="s">
        <v>410</v>
      </c>
      <c r="D2240" s="6">
        <v>46309.493541666699</v>
      </c>
      <c r="E2240" s="6">
        <v>46309.243518518502</v>
      </c>
      <c r="F2240" s="6">
        <v>46309</v>
      </c>
      <c r="G2240" s="5" t="s">
        <v>12</v>
      </c>
      <c r="H2240" s="5" t="s">
        <v>16</v>
      </c>
      <c r="I2240" s="5">
        <v>6</v>
      </c>
      <c r="J2240" s="9" t="s">
        <v>17</v>
      </c>
      <c r="K2240" s="1" t="s">
        <v>2532</v>
      </c>
      <c r="L2240" t="s">
        <v>10</v>
      </c>
      <c r="M2240" t="str">
        <f>+VLOOKUP(C2240,'[1]TIENDAS 2025'!$A$1:$C$143,3,0)</f>
        <v>departamental</v>
      </c>
      <c r="O2240">
        <v>1</v>
      </c>
    </row>
    <row r="2241" spans="1:15" ht="15" customHeight="1" x14ac:dyDescent="0.3">
      <c r="A2241" s="7">
        <v>1209672375</v>
      </c>
      <c r="B2241" s="4" t="s">
        <v>238</v>
      </c>
      <c r="C2241" s="4" t="s">
        <v>239</v>
      </c>
      <c r="D2241" s="6">
        <v>46309.493564814802</v>
      </c>
      <c r="E2241" s="6">
        <v>46309.243530092601</v>
      </c>
      <c r="F2241" s="6">
        <v>46309</v>
      </c>
      <c r="G2241" s="5" t="s">
        <v>12</v>
      </c>
      <c r="H2241" s="5" t="s">
        <v>29</v>
      </c>
      <c r="I2241" s="5">
        <v>5</v>
      </c>
      <c r="J2241" s="9" t="s">
        <v>17</v>
      </c>
      <c r="K2241" s="1" t="s">
        <v>2533</v>
      </c>
      <c r="L2241" t="s">
        <v>3284</v>
      </c>
      <c r="M2241" t="str">
        <f>+VLOOKUP(C2241,'[1]TIENDAS 2025'!$A$1:$C$143,3,0)</f>
        <v>nocturna</v>
      </c>
      <c r="O2241">
        <v>1</v>
      </c>
    </row>
    <row r="2242" spans="1:15" ht="15" customHeight="1" x14ac:dyDescent="0.3">
      <c r="A2242" s="8">
        <v>209672432</v>
      </c>
      <c r="B2242" s="4" t="s">
        <v>184</v>
      </c>
      <c r="C2242" s="4" t="s">
        <v>185</v>
      </c>
      <c r="D2242" s="6">
        <v>46309.493576388901</v>
      </c>
      <c r="E2242" s="6">
        <v>46309.243553240703</v>
      </c>
      <c r="F2242" s="6">
        <v>46309</v>
      </c>
      <c r="G2242" s="5" t="s">
        <v>12</v>
      </c>
      <c r="H2242" s="5" t="s">
        <v>16</v>
      </c>
      <c r="I2242" s="5">
        <v>6</v>
      </c>
      <c r="J2242" s="9" t="s">
        <v>17</v>
      </c>
      <c r="K2242" s="1" t="s">
        <v>2534</v>
      </c>
      <c r="L2242" t="s">
        <v>10</v>
      </c>
      <c r="M2242" t="str">
        <f>+VLOOKUP(C2242,'[1]TIENDAS 2025'!$A$1:$C$143,3,0)</f>
        <v>nocturna</v>
      </c>
      <c r="O2242">
        <v>1</v>
      </c>
    </row>
    <row r="2243" spans="1:15" ht="15" customHeight="1" x14ac:dyDescent="0.3">
      <c r="A2243" s="8">
        <v>209672440</v>
      </c>
      <c r="B2243" s="4" t="s">
        <v>339</v>
      </c>
      <c r="C2243" s="4" t="s">
        <v>340</v>
      </c>
      <c r="D2243" s="6">
        <v>46309.493587962999</v>
      </c>
      <c r="E2243" s="6">
        <v>46309.243564814802</v>
      </c>
      <c r="F2243" s="6">
        <v>46309</v>
      </c>
      <c r="G2243" s="5" t="s">
        <v>12</v>
      </c>
      <c r="H2243" s="5" t="s">
        <v>16</v>
      </c>
      <c r="I2243" s="5">
        <v>6</v>
      </c>
      <c r="J2243" s="9" t="s">
        <v>17</v>
      </c>
      <c r="K2243" s="1" t="s">
        <v>2535</v>
      </c>
      <c r="L2243" t="s">
        <v>10</v>
      </c>
      <c r="M2243" t="str">
        <f>+VLOOKUP(C2243,'[1]TIENDAS 2025'!$A$1:$C$143,3,0)</f>
        <v>nocturna</v>
      </c>
      <c r="O2243">
        <v>1</v>
      </c>
    </row>
    <row r="2244" spans="1:15" ht="15" customHeight="1" x14ac:dyDescent="0.3">
      <c r="A2244" s="8">
        <v>209672443</v>
      </c>
      <c r="B2244" s="4" t="s">
        <v>199</v>
      </c>
      <c r="C2244" s="4" t="s">
        <v>200</v>
      </c>
      <c r="D2244" s="6">
        <v>46309.493599537003</v>
      </c>
      <c r="E2244" s="6">
        <v>46309.243576388901</v>
      </c>
      <c r="F2244" s="6">
        <v>46309</v>
      </c>
      <c r="G2244" s="5" t="s">
        <v>12</v>
      </c>
      <c r="H2244" s="5" t="s">
        <v>16</v>
      </c>
      <c r="I2244" s="5">
        <v>6</v>
      </c>
      <c r="J2244" s="9" t="s">
        <v>17</v>
      </c>
      <c r="K2244" s="1" t="s">
        <v>2536</v>
      </c>
      <c r="L2244" t="s">
        <v>10</v>
      </c>
      <c r="M2244" t="str">
        <f>+VLOOKUP(C2244,'[1]TIENDAS 2025'!$A$1:$C$143,3,0)</f>
        <v>departamental</v>
      </c>
      <c r="O2244">
        <v>1</v>
      </c>
    </row>
    <row r="2245" spans="1:15" ht="15" customHeight="1" x14ac:dyDescent="0.3">
      <c r="A2245" s="8">
        <v>209672453</v>
      </c>
      <c r="B2245" s="4" t="s">
        <v>265</v>
      </c>
      <c r="C2245" s="4" t="s">
        <v>266</v>
      </c>
      <c r="D2245" s="6">
        <v>46309.493622685201</v>
      </c>
      <c r="E2245" s="6">
        <v>46309.243587962999</v>
      </c>
      <c r="F2245" s="6">
        <v>46309</v>
      </c>
      <c r="G2245" s="5" t="s">
        <v>12</v>
      </c>
      <c r="H2245" s="5" t="s">
        <v>16</v>
      </c>
      <c r="I2245" s="5">
        <v>6</v>
      </c>
      <c r="J2245" s="9" t="s">
        <v>17</v>
      </c>
      <c r="K2245" s="1" t="s">
        <v>2537</v>
      </c>
      <c r="L2245" t="s">
        <v>10</v>
      </c>
      <c r="M2245" t="str">
        <f>+VLOOKUP(C2245,'[1]TIENDAS 2025'!$A$1:$C$143,3,0)</f>
        <v>nocturna</v>
      </c>
      <c r="O2245">
        <v>1</v>
      </c>
    </row>
    <row r="2246" spans="1:15" ht="15" customHeight="1" x14ac:dyDescent="0.3">
      <c r="A2246" s="8">
        <v>209672459</v>
      </c>
      <c r="B2246" s="4" t="s">
        <v>304</v>
      </c>
      <c r="C2246" s="4" t="s">
        <v>305</v>
      </c>
      <c r="D2246" s="6">
        <v>46309.493634259299</v>
      </c>
      <c r="E2246" s="6">
        <v>46309.243599537003</v>
      </c>
      <c r="F2246" s="6">
        <v>46309</v>
      </c>
      <c r="G2246" s="5" t="s">
        <v>12</v>
      </c>
      <c r="H2246" s="5" t="s">
        <v>16</v>
      </c>
      <c r="I2246" s="5">
        <v>6</v>
      </c>
      <c r="J2246" s="9" t="s">
        <v>17</v>
      </c>
      <c r="K2246" s="1" t="s">
        <v>2538</v>
      </c>
      <c r="L2246" t="s">
        <v>10</v>
      </c>
      <c r="M2246" t="str">
        <f>+VLOOKUP(C2246,'[1]TIENDAS 2025'!$A$1:$C$143,3,0)</f>
        <v>departamental</v>
      </c>
      <c r="O2246">
        <v>1</v>
      </c>
    </row>
    <row r="2247" spans="1:15" ht="15" customHeight="1" x14ac:dyDescent="0.3">
      <c r="A2247" s="7">
        <v>1209672305</v>
      </c>
      <c r="B2247" s="4" t="s">
        <v>190</v>
      </c>
      <c r="C2247" s="4" t="s">
        <v>191</v>
      </c>
      <c r="D2247" s="6">
        <v>46309.493645833303</v>
      </c>
      <c r="E2247" s="6">
        <v>46309.243622685201</v>
      </c>
      <c r="F2247" s="6">
        <v>46309</v>
      </c>
      <c r="G2247" s="5" t="s">
        <v>12</v>
      </c>
      <c r="H2247" s="5" t="s">
        <v>16</v>
      </c>
      <c r="I2247" s="5">
        <v>21</v>
      </c>
      <c r="J2247" s="9" t="s">
        <v>17</v>
      </c>
      <c r="K2247" s="1" t="s">
        <v>2539</v>
      </c>
      <c r="L2247" t="s">
        <v>3284</v>
      </c>
      <c r="M2247" t="str">
        <f>+VLOOKUP(C2247,'[1]TIENDAS 2025'!$A$1:$C$143,3,0)</f>
        <v>departamental</v>
      </c>
      <c r="O2247">
        <v>1</v>
      </c>
    </row>
    <row r="2248" spans="1:15" ht="15" customHeight="1" x14ac:dyDescent="0.3">
      <c r="A2248" s="7">
        <v>8209672262</v>
      </c>
      <c r="B2248" s="4" t="s">
        <v>318</v>
      </c>
      <c r="C2248" s="4" t="s">
        <v>319</v>
      </c>
      <c r="D2248" s="6">
        <v>46309.493657407402</v>
      </c>
      <c r="E2248" s="6">
        <v>46309.243634259299</v>
      </c>
      <c r="F2248" s="6">
        <v>46309</v>
      </c>
      <c r="G2248" s="5" t="s">
        <v>12</v>
      </c>
      <c r="H2248" s="5" t="s">
        <v>27</v>
      </c>
      <c r="I2248" s="5">
        <v>8</v>
      </c>
      <c r="J2248" s="10" t="s">
        <v>17</v>
      </c>
      <c r="K2248" s="1" t="s">
        <v>2540</v>
      </c>
      <c r="M2248" t="str">
        <f>+VLOOKUP(C2248,'[1]TIENDAS 2025'!$A$1:$C$143,3,0)</f>
        <v>local</v>
      </c>
      <c r="O2248">
        <v>1</v>
      </c>
    </row>
    <row r="2249" spans="1:15" ht="15" customHeight="1" x14ac:dyDescent="0.3">
      <c r="A2249" s="7">
        <v>1209672306</v>
      </c>
      <c r="B2249" s="4" t="s">
        <v>190</v>
      </c>
      <c r="C2249" s="4" t="s">
        <v>191</v>
      </c>
      <c r="D2249" s="6">
        <v>46309.4936689815</v>
      </c>
      <c r="E2249" s="6">
        <v>46309.243645833303</v>
      </c>
      <c r="F2249" s="6">
        <v>46309</v>
      </c>
      <c r="G2249" s="5" t="s">
        <v>12</v>
      </c>
      <c r="H2249" s="5" t="s">
        <v>16</v>
      </c>
      <c r="I2249" s="5">
        <v>32</v>
      </c>
      <c r="J2249" s="9" t="s">
        <v>17</v>
      </c>
      <c r="K2249" s="1" t="s">
        <v>2541</v>
      </c>
      <c r="L2249" t="s">
        <v>3284</v>
      </c>
      <c r="M2249" t="str">
        <f>+VLOOKUP(C2249,'[1]TIENDAS 2025'!$A$1:$C$143,3,0)</f>
        <v>departamental</v>
      </c>
      <c r="O2249">
        <v>1</v>
      </c>
    </row>
    <row r="2250" spans="1:15" ht="15" customHeight="1" x14ac:dyDescent="0.3">
      <c r="A2250" s="7">
        <v>8209672229</v>
      </c>
      <c r="B2250" s="4" t="s">
        <v>241</v>
      </c>
      <c r="C2250" s="4" t="s">
        <v>242</v>
      </c>
      <c r="D2250" s="6">
        <v>46309.493692129603</v>
      </c>
      <c r="E2250" s="6">
        <v>46309.243657407402</v>
      </c>
      <c r="F2250" s="6">
        <v>46309</v>
      </c>
      <c r="G2250" s="5" t="s">
        <v>12</v>
      </c>
      <c r="H2250" s="5" t="s">
        <v>27</v>
      </c>
      <c r="I2250" s="5">
        <v>3</v>
      </c>
      <c r="J2250" s="10" t="s">
        <v>17</v>
      </c>
      <c r="K2250" s="1" t="s">
        <v>2542</v>
      </c>
      <c r="M2250" t="str">
        <f>+VLOOKUP(C2250,'[1]TIENDAS 2025'!$A$1:$C$143,3,0)</f>
        <v>local</v>
      </c>
      <c r="O2250">
        <v>1</v>
      </c>
    </row>
    <row r="2251" spans="1:15" ht="15" customHeight="1" x14ac:dyDescent="0.3">
      <c r="A2251" s="7">
        <v>8209672298</v>
      </c>
      <c r="B2251" s="4" t="s">
        <v>190</v>
      </c>
      <c r="C2251" s="4" t="s">
        <v>191</v>
      </c>
      <c r="D2251" s="6">
        <v>46309.493703703702</v>
      </c>
      <c r="E2251" s="6">
        <v>46309.243680555599</v>
      </c>
      <c r="F2251" s="6">
        <v>46309</v>
      </c>
      <c r="G2251" s="5" t="s">
        <v>12</v>
      </c>
      <c r="H2251" s="5" t="s">
        <v>27</v>
      </c>
      <c r="I2251" s="5">
        <v>1</v>
      </c>
      <c r="J2251" s="10" t="s">
        <v>17</v>
      </c>
      <c r="K2251" s="1" t="s">
        <v>2543</v>
      </c>
      <c r="M2251" t="str">
        <f>+VLOOKUP(C2251,'[1]TIENDAS 2025'!$A$1:$C$143,3,0)</f>
        <v>departamental</v>
      </c>
      <c r="O2251">
        <v>1</v>
      </c>
    </row>
    <row r="2252" spans="1:15" ht="15" customHeight="1" x14ac:dyDescent="0.3">
      <c r="A2252" s="7">
        <v>1209672270</v>
      </c>
      <c r="B2252" s="4" t="s">
        <v>318</v>
      </c>
      <c r="C2252" s="4" t="s">
        <v>319</v>
      </c>
      <c r="D2252" s="6">
        <v>46309.493726851899</v>
      </c>
      <c r="E2252" s="6">
        <v>46309.243703703702</v>
      </c>
      <c r="F2252" s="6">
        <v>46309</v>
      </c>
      <c r="G2252" s="5" t="s">
        <v>12</v>
      </c>
      <c r="H2252" s="5" t="s">
        <v>16</v>
      </c>
      <c r="I2252" s="5">
        <v>21</v>
      </c>
      <c r="J2252" s="9" t="s">
        <v>17</v>
      </c>
      <c r="K2252" s="1" t="s">
        <v>2544</v>
      </c>
      <c r="L2252" t="s">
        <v>3284</v>
      </c>
      <c r="M2252" t="str">
        <f>+VLOOKUP(C2252,'[1]TIENDAS 2025'!$A$1:$C$143,3,0)</f>
        <v>local</v>
      </c>
      <c r="O2252">
        <v>1</v>
      </c>
    </row>
    <row r="2253" spans="1:15" ht="15" customHeight="1" x14ac:dyDescent="0.3">
      <c r="A2253" s="7">
        <v>8209672310</v>
      </c>
      <c r="B2253" s="4" t="s">
        <v>190</v>
      </c>
      <c r="C2253" s="4" t="s">
        <v>191</v>
      </c>
      <c r="D2253" s="6">
        <v>46309.493726851899</v>
      </c>
      <c r="E2253" s="6">
        <v>46309.243692129603</v>
      </c>
      <c r="F2253" s="6">
        <v>46309</v>
      </c>
      <c r="G2253" s="5" t="s">
        <v>12</v>
      </c>
      <c r="H2253" s="5" t="s">
        <v>27</v>
      </c>
      <c r="I2253" s="5">
        <v>3</v>
      </c>
      <c r="J2253" s="10" t="s">
        <v>17</v>
      </c>
      <c r="K2253" s="1" t="s">
        <v>2545</v>
      </c>
      <c r="M2253" t="str">
        <f>+VLOOKUP(C2253,'[1]TIENDAS 2025'!$A$1:$C$143,3,0)</f>
        <v>departamental</v>
      </c>
      <c r="O2253">
        <v>1</v>
      </c>
    </row>
    <row r="2254" spans="1:15" ht="15" customHeight="1" x14ac:dyDescent="0.3">
      <c r="A2254" s="7">
        <v>1209672331</v>
      </c>
      <c r="B2254" s="4" t="s">
        <v>247</v>
      </c>
      <c r="C2254" s="4" t="s">
        <v>248</v>
      </c>
      <c r="D2254" s="6">
        <v>46309.493750000001</v>
      </c>
      <c r="E2254" s="6">
        <v>46309.2437152778</v>
      </c>
      <c r="F2254" s="6">
        <v>46309</v>
      </c>
      <c r="G2254" s="5" t="s">
        <v>12</v>
      </c>
      <c r="H2254" s="5" t="s">
        <v>29</v>
      </c>
      <c r="I2254" s="5">
        <v>16</v>
      </c>
      <c r="J2254" s="9" t="s">
        <v>17</v>
      </c>
      <c r="K2254" s="1" t="s">
        <v>2546</v>
      </c>
      <c r="L2254" t="s">
        <v>3284</v>
      </c>
      <c r="M2254" t="str">
        <f>+VLOOKUP(C2254,'[1]TIENDAS 2025'!$A$1:$C$143,3,0)</f>
        <v>local</v>
      </c>
      <c r="O2254">
        <v>1</v>
      </c>
    </row>
    <row r="2255" spans="1:15" ht="15" customHeight="1" x14ac:dyDescent="0.3">
      <c r="A2255" s="7">
        <v>1209672332</v>
      </c>
      <c r="B2255" s="4" t="s">
        <v>247</v>
      </c>
      <c r="C2255" s="4" t="s">
        <v>248</v>
      </c>
      <c r="D2255" s="6">
        <v>46309.4937615741</v>
      </c>
      <c r="E2255" s="6">
        <v>46309.243726851899</v>
      </c>
      <c r="F2255" s="6">
        <v>46309</v>
      </c>
      <c r="G2255" s="5" t="s">
        <v>12</v>
      </c>
      <c r="H2255" s="5" t="s">
        <v>16</v>
      </c>
      <c r="I2255" s="5">
        <v>12</v>
      </c>
      <c r="J2255" s="9" t="s">
        <v>17</v>
      </c>
      <c r="K2255" s="1" t="s">
        <v>2547</v>
      </c>
      <c r="L2255" t="s">
        <v>3284</v>
      </c>
      <c r="M2255" t="str">
        <f>+VLOOKUP(C2255,'[1]TIENDAS 2025'!$A$1:$C$143,3,0)</f>
        <v>local</v>
      </c>
      <c r="O2255">
        <v>1</v>
      </c>
    </row>
    <row r="2256" spans="1:15" ht="15" customHeight="1" x14ac:dyDescent="0.3">
      <c r="A2256" s="8">
        <v>209672417</v>
      </c>
      <c r="B2256" s="4" t="s">
        <v>175</v>
      </c>
      <c r="C2256" s="4" t="s">
        <v>176</v>
      </c>
      <c r="D2256" s="6">
        <v>46309.493773148097</v>
      </c>
      <c r="E2256" s="6">
        <v>46309.243750000001</v>
      </c>
      <c r="F2256" s="6">
        <v>46309</v>
      </c>
      <c r="G2256" s="5" t="s">
        <v>12</v>
      </c>
      <c r="H2256" s="5" t="s">
        <v>16</v>
      </c>
      <c r="I2256" s="5">
        <v>6</v>
      </c>
      <c r="J2256" s="9" t="s">
        <v>17</v>
      </c>
      <c r="K2256" s="1" t="s">
        <v>2548</v>
      </c>
      <c r="L2256" t="s">
        <v>10</v>
      </c>
      <c r="M2256" t="str">
        <f>+VLOOKUP(C2256,'[1]TIENDAS 2025'!$A$1:$C$143,3,0)</f>
        <v>departamental</v>
      </c>
      <c r="O2256">
        <v>1</v>
      </c>
    </row>
    <row r="2257" spans="1:15" ht="15" customHeight="1" x14ac:dyDescent="0.3">
      <c r="A2257" s="8">
        <v>209672476</v>
      </c>
      <c r="B2257" s="4" t="s">
        <v>241</v>
      </c>
      <c r="C2257" s="4" t="s">
        <v>242</v>
      </c>
      <c r="D2257" s="6">
        <v>46309.493796296301</v>
      </c>
      <c r="E2257" s="6">
        <v>46309.243773148097</v>
      </c>
      <c r="F2257" s="6">
        <v>46309</v>
      </c>
      <c r="G2257" s="5" t="s">
        <v>12</v>
      </c>
      <c r="H2257" s="5" t="s">
        <v>16</v>
      </c>
      <c r="I2257" s="5">
        <v>6</v>
      </c>
      <c r="J2257" s="9" t="s">
        <v>17</v>
      </c>
      <c r="K2257" s="1" t="s">
        <v>2549</v>
      </c>
      <c r="L2257" t="s">
        <v>10</v>
      </c>
      <c r="M2257" t="str">
        <f>+VLOOKUP(C2257,'[1]TIENDAS 2025'!$A$1:$C$143,3,0)</f>
        <v>local</v>
      </c>
      <c r="O2257">
        <v>1</v>
      </c>
    </row>
    <row r="2258" spans="1:15" ht="15" customHeight="1" x14ac:dyDescent="0.3">
      <c r="A2258" s="8">
        <v>209672471</v>
      </c>
      <c r="B2258" s="4" t="s">
        <v>280</v>
      </c>
      <c r="C2258" s="4" t="s">
        <v>281</v>
      </c>
      <c r="D2258" s="6">
        <v>46309.493796296301</v>
      </c>
      <c r="E2258" s="6">
        <v>46309.2437615741</v>
      </c>
      <c r="F2258" s="6">
        <v>46309</v>
      </c>
      <c r="G2258" s="5" t="s">
        <v>12</v>
      </c>
      <c r="H2258" s="5" t="s">
        <v>16</v>
      </c>
      <c r="I2258" s="5">
        <v>6</v>
      </c>
      <c r="J2258" s="9" t="s">
        <v>17</v>
      </c>
      <c r="K2258" s="1" t="s">
        <v>2550</v>
      </c>
      <c r="L2258" t="s">
        <v>10</v>
      </c>
      <c r="M2258" t="str">
        <f>+VLOOKUP(C2258,'[1]TIENDAS 2025'!$A$1:$C$143,3,0)</f>
        <v>nocturna</v>
      </c>
      <c r="O2258">
        <v>1</v>
      </c>
    </row>
    <row r="2259" spans="1:15" ht="15" customHeight="1" x14ac:dyDescent="0.3">
      <c r="A2259" s="7">
        <v>8209672360</v>
      </c>
      <c r="B2259" s="4" t="s">
        <v>238</v>
      </c>
      <c r="C2259" s="4" t="s">
        <v>239</v>
      </c>
      <c r="D2259" s="6">
        <v>46309.493819444397</v>
      </c>
      <c r="E2259" s="6">
        <v>46309.243784722203</v>
      </c>
      <c r="F2259" s="6">
        <v>46309</v>
      </c>
      <c r="G2259" s="5" t="s">
        <v>12</v>
      </c>
      <c r="H2259" s="5" t="s">
        <v>27</v>
      </c>
      <c r="I2259" s="5">
        <v>37</v>
      </c>
      <c r="J2259" s="10" t="s">
        <v>17</v>
      </c>
      <c r="K2259" s="1" t="s">
        <v>2551</v>
      </c>
      <c r="M2259" t="str">
        <f>+VLOOKUP(C2259,'[1]TIENDAS 2025'!$A$1:$C$143,3,0)</f>
        <v>nocturna</v>
      </c>
      <c r="O2259">
        <v>1</v>
      </c>
    </row>
    <row r="2260" spans="1:15" ht="15" customHeight="1" x14ac:dyDescent="0.3">
      <c r="A2260" s="8">
        <v>209672496</v>
      </c>
      <c r="B2260" s="4" t="s">
        <v>457</v>
      </c>
      <c r="C2260" s="4" t="s">
        <v>458</v>
      </c>
      <c r="D2260" s="6">
        <v>46309.493831018503</v>
      </c>
      <c r="E2260" s="6">
        <v>46309.2438078704</v>
      </c>
      <c r="F2260" s="6">
        <v>46309</v>
      </c>
      <c r="G2260" s="5" t="s">
        <v>12</v>
      </c>
      <c r="H2260" s="5" t="s">
        <v>16</v>
      </c>
      <c r="I2260" s="5">
        <v>6</v>
      </c>
      <c r="J2260" s="9" t="s">
        <v>17</v>
      </c>
      <c r="K2260" s="1" t="s">
        <v>2552</v>
      </c>
      <c r="L2260" t="s">
        <v>10</v>
      </c>
      <c r="M2260" t="str">
        <f>+VLOOKUP(C2260,'[1]TIENDAS 2025'!$A$1:$C$143,3,0)</f>
        <v>departamental</v>
      </c>
      <c r="O2260">
        <v>1</v>
      </c>
    </row>
    <row r="2261" spans="1:15" ht="15" customHeight="1" x14ac:dyDescent="0.3">
      <c r="A2261" s="8">
        <v>209672500</v>
      </c>
      <c r="B2261" s="4" t="s">
        <v>397</v>
      </c>
      <c r="C2261" s="4" t="s">
        <v>398</v>
      </c>
      <c r="D2261" s="6">
        <v>46309.4938541667</v>
      </c>
      <c r="E2261" s="6">
        <v>46309.243831018503</v>
      </c>
      <c r="F2261" s="6">
        <v>46309</v>
      </c>
      <c r="G2261" s="5" t="s">
        <v>12</v>
      </c>
      <c r="H2261" s="5" t="s">
        <v>16</v>
      </c>
      <c r="I2261" s="5">
        <v>6</v>
      </c>
      <c r="J2261" s="9" t="s">
        <v>17</v>
      </c>
      <c r="K2261" s="1" t="s">
        <v>2553</v>
      </c>
      <c r="L2261" t="s">
        <v>10</v>
      </c>
      <c r="M2261" t="str">
        <f>+VLOOKUP(C2261,'[1]TIENDAS 2025'!$A$1:$C$143,3,0)</f>
        <v>local</v>
      </c>
      <c r="O2261">
        <v>1</v>
      </c>
    </row>
    <row r="2262" spans="1:15" ht="15" customHeight="1" x14ac:dyDescent="0.3">
      <c r="A2262" s="8">
        <v>209672497</v>
      </c>
      <c r="B2262" s="4" t="s">
        <v>394</v>
      </c>
      <c r="C2262" s="4" t="s">
        <v>395</v>
      </c>
      <c r="D2262" s="6">
        <v>46309.4938541667</v>
      </c>
      <c r="E2262" s="6">
        <v>46309.243819444397</v>
      </c>
      <c r="F2262" s="6">
        <v>46309</v>
      </c>
      <c r="G2262" s="5" t="s">
        <v>12</v>
      </c>
      <c r="H2262" s="5" t="s">
        <v>16</v>
      </c>
      <c r="I2262" s="5">
        <v>6</v>
      </c>
      <c r="J2262" s="9" t="s">
        <v>17</v>
      </c>
      <c r="K2262" s="1" t="s">
        <v>2554</v>
      </c>
      <c r="L2262" t="s">
        <v>10</v>
      </c>
      <c r="M2262" t="str">
        <f>+VLOOKUP(C2262,'[1]TIENDAS 2025'!$A$1:$C$143,3,0)</f>
        <v>local</v>
      </c>
      <c r="O2262">
        <v>1</v>
      </c>
    </row>
    <row r="2263" spans="1:15" ht="15" customHeight="1" x14ac:dyDescent="0.3">
      <c r="A2263" s="8">
        <v>209672506</v>
      </c>
      <c r="B2263" s="4" t="s">
        <v>469</v>
      </c>
      <c r="C2263" s="4" t="s">
        <v>470</v>
      </c>
      <c r="D2263" s="6">
        <v>46309.493877314802</v>
      </c>
      <c r="E2263" s="6">
        <v>46309.243842592601</v>
      </c>
      <c r="F2263" s="6">
        <v>46309</v>
      </c>
      <c r="G2263" s="5" t="s">
        <v>12</v>
      </c>
      <c r="H2263" s="5" t="s">
        <v>16</v>
      </c>
      <c r="I2263" s="5">
        <v>6</v>
      </c>
      <c r="J2263" s="9" t="s">
        <v>17</v>
      </c>
      <c r="K2263" s="1" t="s">
        <v>2555</v>
      </c>
      <c r="L2263" t="s">
        <v>10</v>
      </c>
      <c r="M2263" t="str">
        <f>+VLOOKUP(C2263,'[1]TIENDAS 2025'!$A$1:$C$143,3,0)</f>
        <v>departamental</v>
      </c>
      <c r="O2263">
        <v>1</v>
      </c>
    </row>
    <row r="2264" spans="1:15" ht="15" customHeight="1" x14ac:dyDescent="0.3">
      <c r="A2264" s="8">
        <v>209672511</v>
      </c>
      <c r="B2264" s="4" t="s">
        <v>485</v>
      </c>
      <c r="C2264" s="4" t="s">
        <v>486</v>
      </c>
      <c r="D2264" s="6">
        <v>46309.493888888901</v>
      </c>
      <c r="E2264" s="6">
        <v>46309.2438541667</v>
      </c>
      <c r="F2264" s="6">
        <v>46309</v>
      </c>
      <c r="G2264" s="5" t="s">
        <v>12</v>
      </c>
      <c r="H2264" s="5" t="s">
        <v>16</v>
      </c>
      <c r="I2264" s="5">
        <v>6</v>
      </c>
      <c r="J2264" s="9" t="s">
        <v>17</v>
      </c>
      <c r="K2264" s="1" t="s">
        <v>2556</v>
      </c>
      <c r="L2264" t="s">
        <v>10</v>
      </c>
      <c r="M2264" t="str">
        <f>+VLOOKUP(C2264,'[1]TIENDAS 2025'!$A$1:$C$143,3,0)</f>
        <v>departamental</v>
      </c>
      <c r="O2264">
        <v>1</v>
      </c>
    </row>
    <row r="2265" spans="1:15" ht="15" customHeight="1" x14ac:dyDescent="0.3">
      <c r="A2265" s="8">
        <v>209672418</v>
      </c>
      <c r="B2265" s="4" t="s">
        <v>551</v>
      </c>
      <c r="C2265" s="4" t="s">
        <v>552</v>
      </c>
      <c r="D2265" s="6">
        <v>46309.493900463</v>
      </c>
      <c r="E2265" s="6">
        <v>46309.243877314802</v>
      </c>
      <c r="F2265" s="6">
        <v>46309</v>
      </c>
      <c r="G2265" s="5" t="s">
        <v>12</v>
      </c>
      <c r="H2265" s="5" t="s">
        <v>16</v>
      </c>
      <c r="I2265" s="5">
        <v>6</v>
      </c>
      <c r="J2265" s="9" t="s">
        <v>17</v>
      </c>
      <c r="K2265" s="1" t="s">
        <v>2557</v>
      </c>
      <c r="L2265" t="s">
        <v>10</v>
      </c>
      <c r="M2265" t="str">
        <f>+VLOOKUP(C2265,'[1]TIENDAS 2025'!$A$1:$C$143,3,0)</f>
        <v>nocturna</v>
      </c>
      <c r="O2265">
        <v>1</v>
      </c>
    </row>
    <row r="2266" spans="1:15" ht="15" customHeight="1" x14ac:dyDescent="0.3">
      <c r="A2266" s="8">
        <v>209672427</v>
      </c>
      <c r="B2266" s="4" t="s">
        <v>373</v>
      </c>
      <c r="C2266" s="4" t="s">
        <v>374</v>
      </c>
      <c r="D2266" s="6">
        <v>46309.493923611102</v>
      </c>
      <c r="E2266" s="6">
        <v>46309.243888888901</v>
      </c>
      <c r="F2266" s="6">
        <v>46309</v>
      </c>
      <c r="G2266" s="5" t="s">
        <v>12</v>
      </c>
      <c r="H2266" s="5" t="s">
        <v>16</v>
      </c>
      <c r="I2266" s="5">
        <v>6</v>
      </c>
      <c r="J2266" s="9" t="s">
        <v>17</v>
      </c>
      <c r="K2266" s="1" t="s">
        <v>2558</v>
      </c>
      <c r="L2266" t="s">
        <v>10</v>
      </c>
      <c r="M2266" t="str">
        <f>+VLOOKUP(C2266,'[1]TIENDAS 2025'!$A$1:$C$143,3,0)</f>
        <v>departamental</v>
      </c>
      <c r="O2266">
        <v>1</v>
      </c>
    </row>
    <row r="2267" spans="1:15" ht="15" customHeight="1" x14ac:dyDescent="0.3">
      <c r="A2267" s="8">
        <v>209672434</v>
      </c>
      <c r="B2267" s="4" t="s">
        <v>154</v>
      </c>
      <c r="C2267" s="4" t="s">
        <v>155</v>
      </c>
      <c r="D2267" s="6">
        <v>46309.493923611102</v>
      </c>
      <c r="E2267" s="6">
        <v>46309.243900463</v>
      </c>
      <c r="F2267" s="6">
        <v>46309</v>
      </c>
      <c r="G2267" s="5" t="s">
        <v>12</v>
      </c>
      <c r="H2267" s="5" t="s">
        <v>16</v>
      </c>
      <c r="I2267" s="5">
        <v>6</v>
      </c>
      <c r="J2267" s="9" t="s">
        <v>17</v>
      </c>
      <c r="K2267" s="1" t="s">
        <v>2559</v>
      </c>
      <c r="L2267" t="s">
        <v>10</v>
      </c>
      <c r="M2267" t="str">
        <f>+VLOOKUP(C2267,'[1]TIENDAS 2025'!$A$1:$C$143,3,0)</f>
        <v>nocturna</v>
      </c>
      <c r="O2267">
        <v>1</v>
      </c>
    </row>
    <row r="2268" spans="1:15" ht="15" customHeight="1" x14ac:dyDescent="0.3">
      <c r="A2268" s="7">
        <v>1209672370</v>
      </c>
      <c r="B2268" s="4" t="s">
        <v>238</v>
      </c>
      <c r="C2268" s="4" t="s">
        <v>239</v>
      </c>
      <c r="D2268" s="6">
        <v>46309.493946759299</v>
      </c>
      <c r="E2268" s="6">
        <v>46309.243912037004</v>
      </c>
      <c r="F2268" s="6">
        <v>46309</v>
      </c>
      <c r="G2268" s="5" t="s">
        <v>12</v>
      </c>
      <c r="H2268" s="5" t="s">
        <v>16</v>
      </c>
      <c r="I2268" s="5">
        <v>3</v>
      </c>
      <c r="J2268" s="9" t="s">
        <v>17</v>
      </c>
      <c r="K2268" s="1" t="s">
        <v>2560</v>
      </c>
      <c r="L2268" t="s">
        <v>3284</v>
      </c>
      <c r="M2268" t="str">
        <f>+VLOOKUP(C2268,'[1]TIENDAS 2025'!$A$1:$C$143,3,0)</f>
        <v>nocturna</v>
      </c>
      <c r="O2268">
        <v>1</v>
      </c>
    </row>
    <row r="2269" spans="1:15" ht="15" customHeight="1" x14ac:dyDescent="0.3">
      <c r="A2269" s="8">
        <v>209672479</v>
      </c>
      <c r="B2269" s="4" t="s">
        <v>244</v>
      </c>
      <c r="C2269" s="4" t="s">
        <v>245</v>
      </c>
      <c r="D2269" s="6">
        <v>46309.493958333303</v>
      </c>
      <c r="E2269" s="6">
        <v>46309.243935185201</v>
      </c>
      <c r="F2269" s="6">
        <v>46309</v>
      </c>
      <c r="G2269" s="5" t="s">
        <v>12</v>
      </c>
      <c r="H2269" s="5" t="s">
        <v>16</v>
      </c>
      <c r="I2269" s="5">
        <v>6</v>
      </c>
      <c r="J2269" s="9" t="s">
        <v>17</v>
      </c>
      <c r="K2269" s="1" t="s">
        <v>2561</v>
      </c>
      <c r="L2269" t="s">
        <v>10</v>
      </c>
      <c r="M2269" t="str">
        <f>+VLOOKUP(C2269,'[1]TIENDAS 2025'!$A$1:$C$143,3,0)</f>
        <v>nocturna</v>
      </c>
      <c r="O2269">
        <v>1</v>
      </c>
    </row>
    <row r="2270" spans="1:15" ht="15" customHeight="1" x14ac:dyDescent="0.3">
      <c r="A2270" s="8">
        <v>209672494</v>
      </c>
      <c r="B2270" s="4" t="s">
        <v>157</v>
      </c>
      <c r="C2270" s="4" t="s">
        <v>158</v>
      </c>
      <c r="D2270" s="6">
        <v>46309.493981481501</v>
      </c>
      <c r="E2270" s="6">
        <v>46309.243958333303</v>
      </c>
      <c r="F2270" s="6">
        <v>46309</v>
      </c>
      <c r="G2270" s="5" t="s">
        <v>12</v>
      </c>
      <c r="H2270" s="5" t="s">
        <v>16</v>
      </c>
      <c r="I2270" s="5">
        <v>6</v>
      </c>
      <c r="J2270" s="9" t="s">
        <v>17</v>
      </c>
      <c r="K2270" s="1" t="s">
        <v>2562</v>
      </c>
      <c r="L2270" t="s">
        <v>10</v>
      </c>
      <c r="M2270" t="str">
        <f>+VLOOKUP(C2270,'[1]TIENDAS 2025'!$A$1:$C$143,3,0)</f>
        <v>departamental</v>
      </c>
      <c r="O2270">
        <v>1</v>
      </c>
    </row>
    <row r="2271" spans="1:15" ht="15" customHeight="1" x14ac:dyDescent="0.3">
      <c r="A2271" s="8">
        <v>209672503</v>
      </c>
      <c r="B2271" s="4" t="s">
        <v>463</v>
      </c>
      <c r="C2271" s="4" t="s">
        <v>464</v>
      </c>
      <c r="D2271" s="6">
        <v>46309.494004629603</v>
      </c>
      <c r="E2271" s="6">
        <v>46309.243969907402</v>
      </c>
      <c r="F2271" s="6">
        <v>46309</v>
      </c>
      <c r="G2271" s="5" t="s">
        <v>12</v>
      </c>
      <c r="H2271" s="5" t="s">
        <v>16</v>
      </c>
      <c r="I2271" s="5">
        <v>6</v>
      </c>
      <c r="J2271" s="9" t="s">
        <v>17</v>
      </c>
      <c r="K2271" s="1" t="s">
        <v>2563</v>
      </c>
      <c r="L2271" t="s">
        <v>10</v>
      </c>
      <c r="M2271" t="str">
        <f>+VLOOKUP(C2271,'[1]TIENDAS 2025'!$A$1:$C$143,3,0)</f>
        <v xml:space="preserve">departamental </v>
      </c>
      <c r="O2271">
        <v>1</v>
      </c>
    </row>
    <row r="2272" spans="1:15" ht="15" customHeight="1" x14ac:dyDescent="0.3">
      <c r="A2272" s="8">
        <v>209672508</v>
      </c>
      <c r="B2272" s="4" t="s">
        <v>220</v>
      </c>
      <c r="C2272" s="4" t="s">
        <v>221</v>
      </c>
      <c r="D2272" s="6">
        <v>46309.494016203702</v>
      </c>
      <c r="E2272" s="6">
        <v>46309.243993055599</v>
      </c>
      <c r="F2272" s="6">
        <v>46309</v>
      </c>
      <c r="G2272" s="5" t="s">
        <v>12</v>
      </c>
      <c r="H2272" s="5" t="s">
        <v>16</v>
      </c>
      <c r="I2272" s="5">
        <v>6</v>
      </c>
      <c r="J2272" s="9" t="s">
        <v>17</v>
      </c>
      <c r="K2272" s="1" t="s">
        <v>2564</v>
      </c>
      <c r="L2272" t="s">
        <v>10</v>
      </c>
      <c r="M2272" t="str">
        <f>+VLOOKUP(C2272,'[1]TIENDAS 2025'!$A$1:$C$143,3,0)</f>
        <v>departamental</v>
      </c>
      <c r="O2272">
        <v>1</v>
      </c>
    </row>
    <row r="2273" spans="1:15" ht="15" customHeight="1" x14ac:dyDescent="0.3">
      <c r="A2273" s="8">
        <v>209672514</v>
      </c>
      <c r="B2273" s="4" t="s">
        <v>150</v>
      </c>
      <c r="C2273" s="4" t="s">
        <v>151</v>
      </c>
      <c r="D2273" s="6">
        <v>46309.494027777801</v>
      </c>
      <c r="E2273" s="6">
        <v>46309.244004629603</v>
      </c>
      <c r="F2273" s="6">
        <v>46309</v>
      </c>
      <c r="G2273" s="5" t="s">
        <v>12</v>
      </c>
      <c r="H2273" s="5" t="s">
        <v>16</v>
      </c>
      <c r="I2273" s="5">
        <v>6</v>
      </c>
      <c r="J2273" s="9" t="s">
        <v>17</v>
      </c>
      <c r="K2273" s="1" t="s">
        <v>2565</v>
      </c>
      <c r="L2273" t="s">
        <v>10</v>
      </c>
      <c r="M2273" t="str">
        <f>+VLOOKUP(C2273,'[1]TIENDAS 2025'!$A$1:$C$143,3,0)</f>
        <v>local</v>
      </c>
      <c r="O2273">
        <v>1</v>
      </c>
    </row>
    <row r="2274" spans="1:15" ht="15" customHeight="1" x14ac:dyDescent="0.3">
      <c r="A2274" s="8">
        <v>209672419</v>
      </c>
      <c r="B2274" s="4" t="s">
        <v>488</v>
      </c>
      <c r="C2274" s="4" t="s">
        <v>489</v>
      </c>
      <c r="D2274" s="6">
        <v>46309.494050925903</v>
      </c>
      <c r="E2274" s="6">
        <v>46309.244016203702</v>
      </c>
      <c r="F2274" s="6">
        <v>46309</v>
      </c>
      <c r="G2274" s="5" t="s">
        <v>12</v>
      </c>
      <c r="H2274" s="5" t="s">
        <v>16</v>
      </c>
      <c r="I2274" s="5">
        <v>6</v>
      </c>
      <c r="J2274" s="9" t="s">
        <v>17</v>
      </c>
      <c r="K2274" s="1" t="s">
        <v>2566</v>
      </c>
      <c r="L2274" t="s">
        <v>10</v>
      </c>
      <c r="M2274" t="str">
        <f>+VLOOKUP(C2274,'[1]TIENDAS 2025'!$A$1:$C$143,3,0)</f>
        <v>departamental</v>
      </c>
      <c r="O2274">
        <v>1</v>
      </c>
    </row>
    <row r="2275" spans="1:15" ht="15" customHeight="1" x14ac:dyDescent="0.3">
      <c r="A2275" s="8">
        <v>209672420</v>
      </c>
      <c r="B2275" s="4" t="s">
        <v>223</v>
      </c>
      <c r="C2275" s="4" t="s">
        <v>224</v>
      </c>
      <c r="D2275" s="6">
        <v>46309.494062500002</v>
      </c>
      <c r="E2275" s="6">
        <v>46309.244027777801</v>
      </c>
      <c r="F2275" s="6">
        <v>46309</v>
      </c>
      <c r="G2275" s="5" t="s">
        <v>12</v>
      </c>
      <c r="H2275" s="5" t="s">
        <v>16</v>
      </c>
      <c r="I2275" s="5">
        <v>6</v>
      </c>
      <c r="J2275" s="9" t="s">
        <v>17</v>
      </c>
      <c r="K2275" s="1" t="s">
        <v>2567</v>
      </c>
      <c r="L2275" t="s">
        <v>10</v>
      </c>
      <c r="M2275" t="str">
        <f>+VLOOKUP(C2275,'[1]TIENDAS 2025'!$A$1:$C$143,3,0)</f>
        <v>departamental</v>
      </c>
      <c r="O2275">
        <v>1</v>
      </c>
    </row>
    <row r="2276" spans="1:15" ht="15" customHeight="1" x14ac:dyDescent="0.3">
      <c r="A2276" s="8">
        <v>209672428</v>
      </c>
      <c r="B2276" s="4" t="s">
        <v>315</v>
      </c>
      <c r="C2276" s="4" t="s">
        <v>316</v>
      </c>
      <c r="D2276" s="6">
        <v>46309.4940740741</v>
      </c>
      <c r="E2276" s="6">
        <v>46309.244039351899</v>
      </c>
      <c r="F2276" s="6">
        <v>46309</v>
      </c>
      <c r="G2276" s="5" t="s">
        <v>12</v>
      </c>
      <c r="H2276" s="5" t="s">
        <v>16</v>
      </c>
      <c r="I2276" s="5">
        <v>6</v>
      </c>
      <c r="J2276" s="9" t="s">
        <v>17</v>
      </c>
      <c r="K2276" s="1" t="s">
        <v>2568</v>
      </c>
      <c r="L2276" t="s">
        <v>10</v>
      </c>
      <c r="M2276" t="str">
        <f>+VLOOKUP(C2276,'[1]TIENDAS 2025'!$A$1:$C$143,3,0)</f>
        <v>prioridad</v>
      </c>
      <c r="O2276">
        <v>1</v>
      </c>
    </row>
    <row r="2277" spans="1:15" ht="15" customHeight="1" x14ac:dyDescent="0.3">
      <c r="A2277" s="8">
        <v>209672435</v>
      </c>
      <c r="B2277" s="4" t="s">
        <v>330</v>
      </c>
      <c r="C2277" s="4" t="s">
        <v>331</v>
      </c>
      <c r="D2277" s="6">
        <v>46309.494085648097</v>
      </c>
      <c r="E2277" s="6">
        <v>46309.244062500002</v>
      </c>
      <c r="F2277" s="6">
        <v>46309</v>
      </c>
      <c r="G2277" s="5" t="s">
        <v>12</v>
      </c>
      <c r="H2277" s="5" t="s">
        <v>16</v>
      </c>
      <c r="I2277" s="5">
        <v>6</v>
      </c>
      <c r="J2277" s="9" t="s">
        <v>17</v>
      </c>
      <c r="K2277" s="1" t="s">
        <v>2569</v>
      </c>
      <c r="L2277" t="s">
        <v>10</v>
      </c>
      <c r="M2277" t="str">
        <f>+VLOOKUP(C2277,'[1]TIENDAS 2025'!$A$1:$C$143,3,0)</f>
        <v>departamental</v>
      </c>
      <c r="O2277">
        <v>1</v>
      </c>
    </row>
    <row r="2278" spans="1:15" ht="15" customHeight="1" x14ac:dyDescent="0.3">
      <c r="A2278" s="8">
        <v>209672438</v>
      </c>
      <c r="B2278" s="4" t="s">
        <v>382</v>
      </c>
      <c r="C2278" s="4" t="s">
        <v>383</v>
      </c>
      <c r="D2278" s="6">
        <v>46309.494108796302</v>
      </c>
      <c r="E2278" s="6">
        <v>46309.2440740741</v>
      </c>
      <c r="F2278" s="6">
        <v>46309</v>
      </c>
      <c r="G2278" s="5" t="s">
        <v>12</v>
      </c>
      <c r="H2278" s="5" t="s">
        <v>16</v>
      </c>
      <c r="I2278" s="5">
        <v>6</v>
      </c>
      <c r="J2278" s="9" t="s">
        <v>17</v>
      </c>
      <c r="K2278" s="1" t="s">
        <v>2570</v>
      </c>
      <c r="L2278" t="s">
        <v>10</v>
      </c>
      <c r="M2278" t="str">
        <f>+VLOOKUP(C2278,'[1]TIENDAS 2025'!$A$1:$C$143,3,0)</f>
        <v>local</v>
      </c>
      <c r="O2278">
        <v>1</v>
      </c>
    </row>
    <row r="2279" spans="1:15" ht="15" customHeight="1" x14ac:dyDescent="0.3">
      <c r="A2279" s="8">
        <v>209672398</v>
      </c>
      <c r="B2279" s="4" t="s">
        <v>439</v>
      </c>
      <c r="C2279" s="4" t="s">
        <v>440</v>
      </c>
      <c r="D2279" s="6">
        <v>46309.4941203704</v>
      </c>
      <c r="E2279" s="6">
        <v>46309.244085648097</v>
      </c>
      <c r="F2279" s="6">
        <v>46309</v>
      </c>
      <c r="G2279" s="5" t="s">
        <v>12</v>
      </c>
      <c r="H2279" s="5" t="s">
        <v>16</v>
      </c>
      <c r="I2279" s="5">
        <v>6</v>
      </c>
      <c r="J2279" s="9" t="s">
        <v>17</v>
      </c>
      <c r="K2279" s="1" t="s">
        <v>2571</v>
      </c>
      <c r="L2279" t="s">
        <v>10</v>
      </c>
      <c r="M2279" t="str">
        <f>+VLOOKUP(C2279,'[1]TIENDAS 2025'!$A$1:$C$143,3,0)</f>
        <v>prioridad</v>
      </c>
      <c r="O2279">
        <v>1</v>
      </c>
    </row>
    <row r="2280" spans="1:15" ht="15" customHeight="1" x14ac:dyDescent="0.3">
      <c r="A2280" s="8">
        <v>209672399</v>
      </c>
      <c r="B2280" s="4" t="s">
        <v>515</v>
      </c>
      <c r="C2280" s="4" t="s">
        <v>516</v>
      </c>
      <c r="D2280" s="6">
        <v>46309.494131944397</v>
      </c>
      <c r="E2280" s="6">
        <v>46309.244097222203</v>
      </c>
      <c r="F2280" s="6">
        <v>46309</v>
      </c>
      <c r="G2280" s="5" t="s">
        <v>12</v>
      </c>
      <c r="H2280" s="5" t="s">
        <v>16</v>
      </c>
      <c r="I2280" s="5">
        <v>6</v>
      </c>
      <c r="J2280" s="9" t="s">
        <v>17</v>
      </c>
      <c r="K2280" s="1" t="s">
        <v>2572</v>
      </c>
      <c r="L2280" t="s">
        <v>10</v>
      </c>
      <c r="M2280" t="str">
        <f>+VLOOKUP(C2280,'[1]TIENDAS 2025'!$A$1:$C$143,3,0)</f>
        <v>prioridad</v>
      </c>
      <c r="O2280">
        <v>1</v>
      </c>
    </row>
    <row r="2281" spans="1:15" ht="15" customHeight="1" x14ac:dyDescent="0.3">
      <c r="A2281" s="8">
        <v>209672452</v>
      </c>
      <c r="B2281" s="4" t="s">
        <v>460</v>
      </c>
      <c r="C2281" s="4" t="s">
        <v>461</v>
      </c>
      <c r="D2281" s="6">
        <v>46309.494143518503</v>
      </c>
      <c r="E2281" s="6">
        <v>46309.2441203704</v>
      </c>
      <c r="F2281" s="6">
        <v>46309</v>
      </c>
      <c r="G2281" s="5" t="s">
        <v>12</v>
      </c>
      <c r="H2281" s="5" t="s">
        <v>16</v>
      </c>
      <c r="I2281" s="5">
        <v>6</v>
      </c>
      <c r="J2281" s="9" t="s">
        <v>17</v>
      </c>
      <c r="K2281" s="1" t="s">
        <v>2573</v>
      </c>
      <c r="L2281" t="s">
        <v>10</v>
      </c>
      <c r="M2281" t="str">
        <f>+VLOOKUP(C2281,'[1]TIENDAS 2025'!$A$1:$C$143,3,0)</f>
        <v>prioridad</v>
      </c>
      <c r="O2281">
        <v>1</v>
      </c>
    </row>
    <row r="2282" spans="1:15" ht="15" customHeight="1" x14ac:dyDescent="0.3">
      <c r="A2282" s="8">
        <v>209672454</v>
      </c>
      <c r="B2282" s="4" t="s">
        <v>166</v>
      </c>
      <c r="C2282" s="4" t="s">
        <v>167</v>
      </c>
      <c r="D2282" s="6">
        <v>46309.494155092601</v>
      </c>
      <c r="E2282" s="6">
        <v>46309.244131944397</v>
      </c>
      <c r="F2282" s="6">
        <v>46309</v>
      </c>
      <c r="G2282" s="5" t="s">
        <v>12</v>
      </c>
      <c r="H2282" s="5" t="s">
        <v>16</v>
      </c>
      <c r="I2282" s="5">
        <v>6</v>
      </c>
      <c r="J2282" s="9" t="s">
        <v>17</v>
      </c>
      <c r="K2282" s="1" t="s">
        <v>2574</v>
      </c>
      <c r="L2282" t="s">
        <v>10</v>
      </c>
      <c r="M2282" t="str">
        <f>+VLOOKUP(C2282,'[1]TIENDAS 2025'!$A$1:$C$143,3,0)</f>
        <v>local</v>
      </c>
      <c r="O2282">
        <v>1</v>
      </c>
    </row>
    <row r="2283" spans="1:15" ht="15" customHeight="1" x14ac:dyDescent="0.3">
      <c r="A2283" s="8">
        <v>209672407</v>
      </c>
      <c r="B2283" s="4" t="s">
        <v>268</v>
      </c>
      <c r="C2283" s="4" t="s">
        <v>269</v>
      </c>
      <c r="D2283" s="6">
        <v>46309.494178240697</v>
      </c>
      <c r="E2283" s="6">
        <v>46309.244143518503</v>
      </c>
      <c r="F2283" s="6">
        <v>46309</v>
      </c>
      <c r="G2283" s="5" t="s">
        <v>12</v>
      </c>
      <c r="H2283" s="5" t="s">
        <v>16</v>
      </c>
      <c r="I2283" s="5">
        <v>6</v>
      </c>
      <c r="J2283" s="9" t="s">
        <v>17</v>
      </c>
      <c r="K2283" s="1" t="s">
        <v>2575</v>
      </c>
      <c r="L2283" t="s">
        <v>10</v>
      </c>
      <c r="M2283" t="str">
        <f>+VLOOKUP(C2283,'[1]TIENDAS 2025'!$A$1:$C$143,3,0)</f>
        <v>departamental</v>
      </c>
      <c r="O2283">
        <v>1</v>
      </c>
    </row>
    <row r="2284" spans="1:15" ht="15" customHeight="1" x14ac:dyDescent="0.3">
      <c r="A2284" s="7">
        <v>1209672337</v>
      </c>
      <c r="B2284" s="4" t="s">
        <v>247</v>
      </c>
      <c r="C2284" s="4" t="s">
        <v>248</v>
      </c>
      <c r="D2284" s="6">
        <v>46309.494189814803</v>
      </c>
      <c r="E2284" s="6">
        <v>46309.244155092601</v>
      </c>
      <c r="F2284" s="6">
        <v>46309</v>
      </c>
      <c r="G2284" s="5" t="s">
        <v>12</v>
      </c>
      <c r="H2284" s="5" t="s">
        <v>29</v>
      </c>
      <c r="I2284" s="5">
        <v>54</v>
      </c>
      <c r="J2284" s="9" t="s">
        <v>17</v>
      </c>
      <c r="K2284" s="1" t="s">
        <v>2576</v>
      </c>
      <c r="L2284" t="s">
        <v>3284</v>
      </c>
      <c r="M2284" t="str">
        <f>+VLOOKUP(C2284,'[1]TIENDAS 2025'!$A$1:$C$143,3,0)</f>
        <v>local</v>
      </c>
      <c r="O2284">
        <v>1</v>
      </c>
    </row>
    <row r="2285" spans="1:15" ht="15" customHeight="1" x14ac:dyDescent="0.3">
      <c r="A2285" s="7">
        <v>8209672228</v>
      </c>
      <c r="B2285" s="4" t="s">
        <v>241</v>
      </c>
      <c r="C2285" s="4" t="s">
        <v>242</v>
      </c>
      <c r="D2285" s="6">
        <v>46309.494201388901</v>
      </c>
      <c r="E2285" s="6">
        <v>46309.2441666667</v>
      </c>
      <c r="F2285" s="6">
        <v>46309</v>
      </c>
      <c r="G2285" s="5" t="s">
        <v>12</v>
      </c>
      <c r="H2285" s="5" t="s">
        <v>27</v>
      </c>
      <c r="I2285" s="5">
        <v>1</v>
      </c>
      <c r="J2285" s="10" t="s">
        <v>17</v>
      </c>
      <c r="K2285" s="1" t="s">
        <v>2577</v>
      </c>
      <c r="M2285" t="str">
        <f>+VLOOKUP(C2285,'[1]TIENDAS 2025'!$A$1:$C$143,3,0)</f>
        <v>local</v>
      </c>
      <c r="O2285">
        <v>1</v>
      </c>
    </row>
    <row r="2286" spans="1:15" ht="15" customHeight="1" x14ac:dyDescent="0.3">
      <c r="A2286" s="7">
        <v>8209672242</v>
      </c>
      <c r="B2286" s="4" t="s">
        <v>241</v>
      </c>
      <c r="C2286" s="4" t="s">
        <v>242</v>
      </c>
      <c r="D2286" s="6">
        <v>46309.494212963</v>
      </c>
      <c r="E2286" s="6">
        <v>46309.244189814803</v>
      </c>
      <c r="F2286" s="6">
        <v>46309</v>
      </c>
      <c r="G2286" s="5" t="s">
        <v>12</v>
      </c>
      <c r="H2286" s="5" t="s">
        <v>27</v>
      </c>
      <c r="I2286" s="5">
        <v>6</v>
      </c>
      <c r="J2286" s="10" t="s">
        <v>17</v>
      </c>
      <c r="K2286" s="1" t="s">
        <v>2578</v>
      </c>
      <c r="M2286" t="str">
        <f>+VLOOKUP(C2286,'[1]TIENDAS 2025'!$A$1:$C$143,3,0)</f>
        <v>local</v>
      </c>
      <c r="O2286">
        <v>1</v>
      </c>
    </row>
    <row r="2287" spans="1:15" ht="15" customHeight="1" x14ac:dyDescent="0.3">
      <c r="A2287" s="7">
        <v>8209672296</v>
      </c>
      <c r="B2287" s="4" t="s">
        <v>190</v>
      </c>
      <c r="C2287" s="4" t="s">
        <v>191</v>
      </c>
      <c r="D2287" s="6">
        <v>46309.494236111103</v>
      </c>
      <c r="E2287" s="6">
        <v>46309.244201388901</v>
      </c>
      <c r="F2287" s="6">
        <v>46309</v>
      </c>
      <c r="G2287" s="5" t="s">
        <v>12</v>
      </c>
      <c r="H2287" s="5" t="s">
        <v>27</v>
      </c>
      <c r="I2287" s="5">
        <v>1</v>
      </c>
      <c r="J2287" s="10" t="s">
        <v>17</v>
      </c>
      <c r="K2287" s="1" t="s">
        <v>2579</v>
      </c>
      <c r="M2287" t="str">
        <f>+VLOOKUP(C2287,'[1]TIENDAS 2025'!$A$1:$C$143,3,0)</f>
        <v>departamental</v>
      </c>
      <c r="O2287">
        <v>1</v>
      </c>
    </row>
    <row r="2288" spans="1:15" ht="15" customHeight="1" x14ac:dyDescent="0.3">
      <c r="A2288" s="7">
        <v>1209672268</v>
      </c>
      <c r="B2288" s="4" t="s">
        <v>318</v>
      </c>
      <c r="C2288" s="4" t="s">
        <v>319</v>
      </c>
      <c r="D2288" s="6">
        <v>46309.494247685201</v>
      </c>
      <c r="E2288" s="6">
        <v>46309.244212963</v>
      </c>
      <c r="F2288" s="6">
        <v>46309</v>
      </c>
      <c r="G2288" s="5" t="s">
        <v>12</v>
      </c>
      <c r="H2288" s="5" t="s">
        <v>16</v>
      </c>
      <c r="I2288" s="5">
        <v>18</v>
      </c>
      <c r="J2288" s="9" t="s">
        <v>17</v>
      </c>
      <c r="K2288" s="1" t="s">
        <v>2580</v>
      </c>
      <c r="L2288" t="s">
        <v>3284</v>
      </c>
      <c r="M2288" t="str">
        <f>+VLOOKUP(C2288,'[1]TIENDAS 2025'!$A$1:$C$143,3,0)</f>
        <v>local</v>
      </c>
      <c r="O2288">
        <v>1</v>
      </c>
    </row>
    <row r="2289" spans="1:15" ht="15" customHeight="1" x14ac:dyDescent="0.3">
      <c r="A2289" s="7">
        <v>1209672237</v>
      </c>
      <c r="B2289" s="4" t="s">
        <v>241</v>
      </c>
      <c r="C2289" s="4" t="s">
        <v>242</v>
      </c>
      <c r="D2289" s="6">
        <v>46309.494247685201</v>
      </c>
      <c r="E2289" s="6">
        <v>46309.244224536997</v>
      </c>
      <c r="F2289" s="6">
        <v>46309</v>
      </c>
      <c r="G2289" s="5" t="s">
        <v>12</v>
      </c>
      <c r="H2289" s="5" t="s">
        <v>16</v>
      </c>
      <c r="I2289" s="5">
        <v>18</v>
      </c>
      <c r="J2289" s="9" t="s">
        <v>17</v>
      </c>
      <c r="K2289" s="1" t="s">
        <v>2581</v>
      </c>
      <c r="L2289" t="s">
        <v>3284</v>
      </c>
      <c r="M2289" t="str">
        <f>+VLOOKUP(C2289,'[1]TIENDAS 2025'!$A$1:$C$143,3,0)</f>
        <v>local</v>
      </c>
      <c r="O2289">
        <v>1</v>
      </c>
    </row>
    <row r="2290" spans="1:15" ht="15" customHeight="1" x14ac:dyDescent="0.3">
      <c r="A2290" s="7">
        <v>1209672330</v>
      </c>
      <c r="B2290" s="4" t="s">
        <v>247</v>
      </c>
      <c r="C2290" s="4" t="s">
        <v>248</v>
      </c>
      <c r="D2290" s="6">
        <v>46309.494270833296</v>
      </c>
      <c r="E2290" s="6">
        <v>46309.244247685201</v>
      </c>
      <c r="F2290" s="6">
        <v>46309</v>
      </c>
      <c r="G2290" s="5" t="s">
        <v>12</v>
      </c>
      <c r="H2290" s="5" t="s">
        <v>16</v>
      </c>
      <c r="I2290" s="5">
        <v>12</v>
      </c>
      <c r="J2290" s="9" t="s">
        <v>17</v>
      </c>
      <c r="K2290" s="1" t="s">
        <v>2582</v>
      </c>
      <c r="L2290" t="s">
        <v>3284</v>
      </c>
      <c r="M2290" t="str">
        <f>+VLOOKUP(C2290,'[1]TIENDAS 2025'!$A$1:$C$143,3,0)</f>
        <v>local</v>
      </c>
      <c r="O2290">
        <v>1</v>
      </c>
    </row>
    <row r="2291" spans="1:15" ht="15" customHeight="1" x14ac:dyDescent="0.3">
      <c r="A2291" s="7">
        <v>1209672274</v>
      </c>
      <c r="B2291" s="4" t="s">
        <v>318</v>
      </c>
      <c r="C2291" s="4" t="s">
        <v>319</v>
      </c>
      <c r="D2291" s="6">
        <v>46309.494282407402</v>
      </c>
      <c r="E2291" s="6">
        <v>46309.2442592593</v>
      </c>
      <c r="F2291" s="6">
        <v>46309</v>
      </c>
      <c r="G2291" s="5" t="s">
        <v>12</v>
      </c>
      <c r="H2291" s="5" t="s">
        <v>29</v>
      </c>
      <c r="I2291" s="5">
        <v>51</v>
      </c>
      <c r="J2291" s="9" t="s">
        <v>17</v>
      </c>
      <c r="K2291" s="1" t="s">
        <v>2583</v>
      </c>
      <c r="L2291" t="s">
        <v>3284</v>
      </c>
      <c r="M2291" t="str">
        <f>+VLOOKUP(C2291,'[1]TIENDAS 2025'!$A$1:$C$143,3,0)</f>
        <v>local</v>
      </c>
      <c r="O2291">
        <v>1</v>
      </c>
    </row>
    <row r="2292" spans="1:15" ht="15" customHeight="1" x14ac:dyDescent="0.3">
      <c r="A2292" s="7">
        <v>1209672303</v>
      </c>
      <c r="B2292" s="4" t="s">
        <v>190</v>
      </c>
      <c r="C2292" s="4" t="s">
        <v>191</v>
      </c>
      <c r="D2292" s="6">
        <v>46309.4943055556</v>
      </c>
      <c r="E2292" s="6">
        <v>46309.244270833296</v>
      </c>
      <c r="F2292" s="6">
        <v>46309</v>
      </c>
      <c r="G2292" s="5" t="s">
        <v>12</v>
      </c>
      <c r="H2292" s="5" t="s">
        <v>16</v>
      </c>
      <c r="I2292" s="5">
        <v>17</v>
      </c>
      <c r="J2292" s="9" t="s">
        <v>17</v>
      </c>
      <c r="K2292" s="1" t="s">
        <v>2584</v>
      </c>
      <c r="L2292" t="s">
        <v>3284</v>
      </c>
      <c r="M2292" t="str">
        <f>+VLOOKUP(C2292,'[1]TIENDAS 2025'!$A$1:$C$143,3,0)</f>
        <v>departamental</v>
      </c>
      <c r="O2292">
        <v>1</v>
      </c>
    </row>
    <row r="2293" spans="1:15" ht="15" customHeight="1" x14ac:dyDescent="0.3">
      <c r="A2293" s="8">
        <v>209672463</v>
      </c>
      <c r="B2293" s="4" t="s">
        <v>358</v>
      </c>
      <c r="C2293" s="4" t="s">
        <v>359</v>
      </c>
      <c r="D2293" s="6">
        <v>46309.494317129604</v>
      </c>
      <c r="E2293" s="6">
        <v>46309.244282407402</v>
      </c>
      <c r="F2293" s="6">
        <v>46309</v>
      </c>
      <c r="G2293" s="5" t="s">
        <v>12</v>
      </c>
      <c r="H2293" s="5" t="s">
        <v>16</v>
      </c>
      <c r="I2293" s="5">
        <v>6</v>
      </c>
      <c r="J2293" s="9" t="s">
        <v>17</v>
      </c>
      <c r="K2293" s="1" t="s">
        <v>2585</v>
      </c>
      <c r="L2293" t="s">
        <v>10</v>
      </c>
      <c r="M2293" t="str">
        <f>+VLOOKUP(C2293,'[1]TIENDAS 2025'!$A$1:$C$143,3,0)</f>
        <v>prioridad</v>
      </c>
      <c r="O2293">
        <v>1</v>
      </c>
    </row>
    <row r="2294" spans="1:15" ht="15" customHeight="1" x14ac:dyDescent="0.3">
      <c r="A2294" s="8">
        <v>209672480</v>
      </c>
      <c r="B2294" s="4" t="s">
        <v>190</v>
      </c>
      <c r="C2294" s="4" t="s">
        <v>191</v>
      </c>
      <c r="D2294" s="6">
        <v>46309.494328703702</v>
      </c>
      <c r="E2294" s="6">
        <v>46309.2443055556</v>
      </c>
      <c r="F2294" s="6">
        <v>46309</v>
      </c>
      <c r="G2294" s="5" t="s">
        <v>12</v>
      </c>
      <c r="H2294" s="5" t="s">
        <v>16</v>
      </c>
      <c r="I2294" s="5">
        <v>6</v>
      </c>
      <c r="J2294" s="9" t="s">
        <v>17</v>
      </c>
      <c r="K2294" s="1" t="s">
        <v>2586</v>
      </c>
      <c r="L2294" t="s">
        <v>10</v>
      </c>
      <c r="M2294" t="str">
        <f>+VLOOKUP(C2294,'[1]TIENDAS 2025'!$A$1:$C$143,3,0)</f>
        <v>departamental</v>
      </c>
      <c r="O2294">
        <v>1</v>
      </c>
    </row>
    <row r="2295" spans="1:15" ht="15" customHeight="1" x14ac:dyDescent="0.3">
      <c r="A2295" s="8">
        <v>209672486</v>
      </c>
      <c r="B2295" s="4" t="s">
        <v>436</v>
      </c>
      <c r="C2295" s="4" t="s">
        <v>437</v>
      </c>
      <c r="D2295" s="6">
        <v>46309.494340277801</v>
      </c>
      <c r="E2295" s="6">
        <v>46309.244317129604</v>
      </c>
      <c r="F2295" s="6">
        <v>46309</v>
      </c>
      <c r="G2295" s="5" t="s">
        <v>12</v>
      </c>
      <c r="H2295" s="5" t="s">
        <v>16</v>
      </c>
      <c r="I2295" s="5">
        <v>6</v>
      </c>
      <c r="J2295" s="9" t="s">
        <v>17</v>
      </c>
      <c r="K2295" s="1" t="s">
        <v>2587</v>
      </c>
      <c r="L2295" t="s">
        <v>10</v>
      </c>
      <c r="M2295" t="str">
        <f>+VLOOKUP(C2295,'[1]TIENDAS 2025'!$A$1:$C$143,3,0)</f>
        <v>departamental</v>
      </c>
      <c r="O2295">
        <v>1</v>
      </c>
    </row>
    <row r="2296" spans="1:15" ht="15" customHeight="1" x14ac:dyDescent="0.3">
      <c r="A2296" s="8">
        <v>209672493</v>
      </c>
      <c r="B2296" s="4" t="s">
        <v>351</v>
      </c>
      <c r="C2296" s="4" t="s">
        <v>352</v>
      </c>
      <c r="D2296" s="6">
        <v>46309.494363425903</v>
      </c>
      <c r="E2296" s="6">
        <v>46309.244328703702</v>
      </c>
      <c r="F2296" s="6">
        <v>46309</v>
      </c>
      <c r="G2296" s="5" t="s">
        <v>12</v>
      </c>
      <c r="H2296" s="5" t="s">
        <v>16</v>
      </c>
      <c r="I2296" s="5">
        <v>6</v>
      </c>
      <c r="J2296" s="9" t="s">
        <v>17</v>
      </c>
      <c r="K2296" s="1" t="s">
        <v>2588</v>
      </c>
      <c r="L2296" t="s">
        <v>10</v>
      </c>
      <c r="M2296" t="str">
        <f>+VLOOKUP(C2296,'[1]TIENDAS 2025'!$A$1:$C$143,3,0)</f>
        <v>prioridad</v>
      </c>
      <c r="O2296">
        <v>1</v>
      </c>
    </row>
    <row r="2297" spans="1:15" ht="15" customHeight="1" x14ac:dyDescent="0.3">
      <c r="A2297" s="8">
        <v>209672499</v>
      </c>
      <c r="B2297" s="4" t="s">
        <v>536</v>
      </c>
      <c r="C2297" s="4" t="s">
        <v>537</v>
      </c>
      <c r="D2297" s="6">
        <v>46309.494375000002</v>
      </c>
      <c r="E2297" s="6">
        <v>46309.244340277801</v>
      </c>
      <c r="F2297" s="6">
        <v>46309</v>
      </c>
      <c r="G2297" s="5" t="s">
        <v>12</v>
      </c>
      <c r="H2297" s="5" t="s">
        <v>16</v>
      </c>
      <c r="I2297" s="5">
        <v>6</v>
      </c>
      <c r="J2297" s="9" t="s">
        <v>17</v>
      </c>
      <c r="K2297" s="1" t="s">
        <v>2589</v>
      </c>
      <c r="L2297" t="s">
        <v>10</v>
      </c>
      <c r="M2297" t="str">
        <f>+VLOOKUP(C2297,'[1]TIENDAS 2025'!$A$1:$C$143,3,0)</f>
        <v>departamental</v>
      </c>
      <c r="O2297">
        <v>1</v>
      </c>
    </row>
    <row r="2298" spans="1:15" ht="15" customHeight="1" x14ac:dyDescent="0.3">
      <c r="A2298" s="8">
        <v>209672501</v>
      </c>
      <c r="B2298" s="4" t="s">
        <v>163</v>
      </c>
      <c r="C2298" s="4" t="s">
        <v>164</v>
      </c>
      <c r="D2298" s="6">
        <v>46309.494386574101</v>
      </c>
      <c r="E2298" s="6">
        <v>46309.244351851798</v>
      </c>
      <c r="F2298" s="6">
        <v>46309</v>
      </c>
      <c r="G2298" s="5" t="s">
        <v>12</v>
      </c>
      <c r="H2298" s="5" t="s">
        <v>16</v>
      </c>
      <c r="I2298" s="5">
        <v>6</v>
      </c>
      <c r="J2298" s="9" t="s">
        <v>17</v>
      </c>
      <c r="K2298" s="1" t="s">
        <v>2590</v>
      </c>
      <c r="L2298" t="s">
        <v>10</v>
      </c>
      <c r="M2298" t="str">
        <f>+VLOOKUP(C2298,'[1]TIENDAS 2025'!$A$1:$C$143,3,0)</f>
        <v>departamental</v>
      </c>
      <c r="O2298">
        <v>1</v>
      </c>
    </row>
    <row r="2299" spans="1:15" ht="15" customHeight="1" x14ac:dyDescent="0.3">
      <c r="A2299" s="7">
        <v>1209672367</v>
      </c>
      <c r="B2299" s="4" t="s">
        <v>238</v>
      </c>
      <c r="C2299" s="4" t="s">
        <v>239</v>
      </c>
      <c r="D2299" s="6">
        <v>46309.494398148097</v>
      </c>
      <c r="E2299" s="6">
        <v>46309.244375000002</v>
      </c>
      <c r="F2299" s="6">
        <v>46309</v>
      </c>
      <c r="G2299" s="5" t="s">
        <v>12</v>
      </c>
      <c r="H2299" s="5" t="s">
        <v>29</v>
      </c>
      <c r="I2299" s="5">
        <v>36</v>
      </c>
      <c r="J2299" s="9" t="s">
        <v>17</v>
      </c>
      <c r="K2299" s="1" t="s">
        <v>2591</v>
      </c>
      <c r="L2299" t="s">
        <v>3284</v>
      </c>
      <c r="M2299" t="str">
        <f>+VLOOKUP(C2299,'[1]TIENDAS 2025'!$A$1:$C$143,3,0)</f>
        <v>nocturna</v>
      </c>
      <c r="O2299">
        <v>1</v>
      </c>
    </row>
    <row r="2300" spans="1:15" ht="15" customHeight="1" x14ac:dyDescent="0.3">
      <c r="A2300" s="8">
        <v>209672421</v>
      </c>
      <c r="B2300" s="4" t="s">
        <v>274</v>
      </c>
      <c r="C2300" s="4" t="s">
        <v>275</v>
      </c>
      <c r="D2300" s="6">
        <v>46309.494409722203</v>
      </c>
      <c r="E2300" s="6">
        <v>46309.244386574101</v>
      </c>
      <c r="F2300" s="6">
        <v>46309</v>
      </c>
      <c r="G2300" s="5" t="s">
        <v>12</v>
      </c>
      <c r="H2300" s="5" t="s">
        <v>16</v>
      </c>
      <c r="I2300" s="5">
        <v>6</v>
      </c>
      <c r="J2300" s="9" t="s">
        <v>17</v>
      </c>
      <c r="K2300" s="1" t="s">
        <v>2592</v>
      </c>
      <c r="L2300" t="s">
        <v>10</v>
      </c>
      <c r="M2300" t="str">
        <f>+VLOOKUP(C2300,'[1]TIENDAS 2025'!$A$1:$C$143,3,0)</f>
        <v>nocturna</v>
      </c>
      <c r="O2300">
        <v>1</v>
      </c>
    </row>
    <row r="2301" spans="1:15" ht="15" customHeight="1" x14ac:dyDescent="0.3">
      <c r="A2301" s="8">
        <v>209672424</v>
      </c>
      <c r="B2301" s="4" t="s">
        <v>309</v>
      </c>
      <c r="C2301" s="4" t="s">
        <v>310</v>
      </c>
      <c r="D2301" s="6">
        <v>46309.4944328704</v>
      </c>
      <c r="E2301" s="6">
        <v>46309.244398148097</v>
      </c>
      <c r="F2301" s="6">
        <v>46309</v>
      </c>
      <c r="G2301" s="5" t="s">
        <v>12</v>
      </c>
      <c r="H2301" s="5" t="s">
        <v>16</v>
      </c>
      <c r="I2301" s="5">
        <v>6</v>
      </c>
      <c r="J2301" s="9" t="s">
        <v>17</v>
      </c>
      <c r="K2301" s="1" t="s">
        <v>2593</v>
      </c>
      <c r="L2301" t="s">
        <v>10</v>
      </c>
      <c r="M2301" t="str">
        <f>+VLOOKUP(C2301,'[1]TIENDAS 2025'!$A$1:$C$143,3,0)</f>
        <v>departamental</v>
      </c>
      <c r="O2301">
        <v>1</v>
      </c>
    </row>
    <row r="2302" spans="1:15" ht="15" customHeight="1" x14ac:dyDescent="0.3">
      <c r="A2302" s="7">
        <v>1209672376</v>
      </c>
      <c r="B2302" s="4" t="s">
        <v>238</v>
      </c>
      <c r="C2302" s="4" t="s">
        <v>239</v>
      </c>
      <c r="D2302" s="6">
        <v>46309.494444444397</v>
      </c>
      <c r="E2302" s="6">
        <v>46309.244409722203</v>
      </c>
      <c r="F2302" s="6">
        <v>46309</v>
      </c>
      <c r="G2302" s="5" t="s">
        <v>12</v>
      </c>
      <c r="H2302" s="5" t="s">
        <v>29</v>
      </c>
      <c r="I2302" s="5">
        <v>17</v>
      </c>
      <c r="J2302" s="9" t="s">
        <v>17</v>
      </c>
      <c r="K2302" s="1" t="s">
        <v>2594</v>
      </c>
      <c r="L2302" t="s">
        <v>3284</v>
      </c>
      <c r="M2302" t="str">
        <f>+VLOOKUP(C2302,'[1]TIENDAS 2025'!$A$1:$C$143,3,0)</f>
        <v>nocturna</v>
      </c>
      <c r="O2302">
        <v>1</v>
      </c>
    </row>
    <row r="2303" spans="1:15" ht="15" customHeight="1" x14ac:dyDescent="0.3">
      <c r="A2303" s="8">
        <v>209672429</v>
      </c>
      <c r="B2303" s="4" t="s">
        <v>321</v>
      </c>
      <c r="C2303" s="4" t="s">
        <v>322</v>
      </c>
      <c r="D2303" s="6">
        <v>46309.494456018503</v>
      </c>
      <c r="E2303" s="6">
        <v>46309.2444328704</v>
      </c>
      <c r="F2303" s="6">
        <v>46309</v>
      </c>
      <c r="G2303" s="5" t="s">
        <v>12</v>
      </c>
      <c r="H2303" s="5" t="s">
        <v>16</v>
      </c>
      <c r="I2303" s="5">
        <v>6</v>
      </c>
      <c r="J2303" s="9" t="s">
        <v>17</v>
      </c>
      <c r="K2303" s="1" t="s">
        <v>2595</v>
      </c>
      <c r="L2303" t="s">
        <v>10</v>
      </c>
      <c r="M2303" t="str">
        <f>+VLOOKUP(C2303,'[1]TIENDAS 2025'!$A$1:$C$143,3,0)</f>
        <v>prioridad</v>
      </c>
      <c r="O2303">
        <v>1</v>
      </c>
    </row>
    <row r="2304" spans="1:15" ht="15" customHeight="1" x14ac:dyDescent="0.3">
      <c r="A2304" s="8">
        <v>209672394</v>
      </c>
      <c r="B2304" s="4" t="s">
        <v>327</v>
      </c>
      <c r="C2304" s="4" t="s">
        <v>328</v>
      </c>
      <c r="D2304" s="6">
        <v>46309.494467592602</v>
      </c>
      <c r="E2304" s="6">
        <v>46309.244444444397</v>
      </c>
      <c r="F2304" s="6">
        <v>46309</v>
      </c>
      <c r="G2304" s="5" t="s">
        <v>12</v>
      </c>
      <c r="H2304" s="5" t="s">
        <v>16</v>
      </c>
      <c r="I2304" s="5">
        <v>6</v>
      </c>
      <c r="J2304" s="9" t="s">
        <v>17</v>
      </c>
      <c r="K2304" s="1" t="s">
        <v>2596</v>
      </c>
      <c r="L2304" t="s">
        <v>10</v>
      </c>
      <c r="M2304" t="str">
        <f>+VLOOKUP(C2304,'[1]TIENDAS 2025'!$A$1:$C$143,3,0)</f>
        <v>local</v>
      </c>
      <c r="O2304">
        <v>1</v>
      </c>
    </row>
    <row r="2305" spans="1:15" ht="15" customHeight="1" x14ac:dyDescent="0.3">
      <c r="A2305" s="8">
        <v>209672444</v>
      </c>
      <c r="B2305" s="4" t="s">
        <v>342</v>
      </c>
      <c r="C2305" s="4" t="s">
        <v>343</v>
      </c>
      <c r="D2305" s="6">
        <v>46309.494490740697</v>
      </c>
      <c r="E2305" s="6">
        <v>46309.244456018503</v>
      </c>
      <c r="F2305" s="6">
        <v>46309</v>
      </c>
      <c r="G2305" s="5" t="s">
        <v>12</v>
      </c>
      <c r="H2305" s="5" t="s">
        <v>16</v>
      </c>
      <c r="I2305" s="5">
        <v>6</v>
      </c>
      <c r="J2305" s="9" t="s">
        <v>17</v>
      </c>
      <c r="K2305" s="1" t="s">
        <v>2597</v>
      </c>
      <c r="L2305" t="s">
        <v>10</v>
      </c>
      <c r="M2305" t="str">
        <f>+VLOOKUP(C2305,'[1]TIENDAS 2025'!$A$1:$C$143,3,0)</f>
        <v>local</v>
      </c>
      <c r="O2305">
        <v>1</v>
      </c>
    </row>
    <row r="2306" spans="1:15" ht="15" customHeight="1" x14ac:dyDescent="0.3">
      <c r="A2306" s="8">
        <v>209672447</v>
      </c>
      <c r="B2306" s="4" t="s">
        <v>301</v>
      </c>
      <c r="C2306" s="4" t="s">
        <v>302</v>
      </c>
      <c r="D2306" s="6">
        <v>46309.494502314803</v>
      </c>
      <c r="E2306" s="6">
        <v>46309.244467592602</v>
      </c>
      <c r="F2306" s="6">
        <v>46309</v>
      </c>
      <c r="G2306" s="5" t="s">
        <v>12</v>
      </c>
      <c r="H2306" s="5" t="s">
        <v>16</v>
      </c>
      <c r="I2306" s="5">
        <v>6</v>
      </c>
      <c r="J2306" s="9" t="s">
        <v>17</v>
      </c>
      <c r="K2306" s="1" t="s">
        <v>2598</v>
      </c>
      <c r="L2306" t="s">
        <v>10</v>
      </c>
      <c r="M2306" t="str">
        <f>+VLOOKUP(C2306,'[1]TIENDAS 2025'!$A$1:$C$143,3,0)</f>
        <v>departamental</v>
      </c>
      <c r="O2306">
        <v>1</v>
      </c>
    </row>
    <row r="2307" spans="1:15" ht="15" customHeight="1" x14ac:dyDescent="0.3">
      <c r="A2307" s="8">
        <v>209672397</v>
      </c>
      <c r="B2307" s="4" t="s">
        <v>193</v>
      </c>
      <c r="C2307" s="4" t="s">
        <v>194</v>
      </c>
      <c r="D2307" s="6">
        <v>46309.494513888902</v>
      </c>
      <c r="E2307" s="6">
        <v>46309.2444791667</v>
      </c>
      <c r="F2307" s="6">
        <v>46309</v>
      </c>
      <c r="G2307" s="5" t="s">
        <v>12</v>
      </c>
      <c r="H2307" s="5" t="s">
        <v>16</v>
      </c>
      <c r="I2307" s="5">
        <v>6</v>
      </c>
      <c r="J2307" s="9" t="s">
        <v>17</v>
      </c>
      <c r="K2307" s="1" t="s">
        <v>2599</v>
      </c>
      <c r="L2307" t="s">
        <v>10</v>
      </c>
      <c r="M2307" t="str">
        <f>+VLOOKUP(C2307,'[1]TIENDAS 2025'!$A$1:$C$143,3,0)</f>
        <v>local</v>
      </c>
      <c r="O2307">
        <v>1</v>
      </c>
    </row>
    <row r="2308" spans="1:15" ht="15" customHeight="1" x14ac:dyDescent="0.3">
      <c r="A2308" s="8">
        <v>209672450</v>
      </c>
      <c r="B2308" s="4" t="s">
        <v>454</v>
      </c>
      <c r="C2308" s="4" t="s">
        <v>455</v>
      </c>
      <c r="D2308" s="6">
        <v>46309.494525463</v>
      </c>
      <c r="E2308" s="6">
        <v>46309.244502314803</v>
      </c>
      <c r="F2308" s="6">
        <v>46309</v>
      </c>
      <c r="G2308" s="5" t="s">
        <v>12</v>
      </c>
      <c r="H2308" s="5" t="s">
        <v>16</v>
      </c>
      <c r="I2308" s="5">
        <v>6</v>
      </c>
      <c r="J2308" s="9" t="s">
        <v>17</v>
      </c>
      <c r="K2308" s="1" t="s">
        <v>2600</v>
      </c>
      <c r="L2308" t="s">
        <v>10</v>
      </c>
      <c r="M2308" t="str">
        <f>+VLOOKUP(C2308,'[1]TIENDAS 2025'!$A$1:$C$143,3,0)</f>
        <v>departamental</v>
      </c>
      <c r="O2308">
        <v>1</v>
      </c>
    </row>
    <row r="2309" spans="1:15" ht="15" customHeight="1" x14ac:dyDescent="0.3">
      <c r="A2309" s="8">
        <v>209672451</v>
      </c>
      <c r="B2309" s="4" t="s">
        <v>160</v>
      </c>
      <c r="C2309" s="4" t="s">
        <v>161</v>
      </c>
      <c r="D2309" s="6">
        <v>46309.494537036997</v>
      </c>
      <c r="E2309" s="6">
        <v>46309.244513888902</v>
      </c>
      <c r="F2309" s="6">
        <v>46309</v>
      </c>
      <c r="G2309" s="5" t="s">
        <v>12</v>
      </c>
      <c r="H2309" s="5" t="s">
        <v>16</v>
      </c>
      <c r="I2309" s="5">
        <v>6</v>
      </c>
      <c r="J2309" s="9" t="s">
        <v>17</v>
      </c>
      <c r="K2309" s="1" t="s">
        <v>2601</v>
      </c>
      <c r="L2309" t="s">
        <v>10</v>
      </c>
      <c r="M2309" t="str">
        <f>+VLOOKUP(C2309,'[1]TIENDAS 2025'!$A$1:$C$143,3,0)</f>
        <v>nocturna</v>
      </c>
      <c r="O2309">
        <v>1</v>
      </c>
    </row>
    <row r="2310" spans="1:15" ht="15" customHeight="1" x14ac:dyDescent="0.3">
      <c r="A2310" s="8">
        <v>209672403</v>
      </c>
      <c r="B2310" s="4" t="s">
        <v>202</v>
      </c>
      <c r="C2310" s="4" t="s">
        <v>203</v>
      </c>
      <c r="D2310" s="6">
        <v>46309.494560185201</v>
      </c>
      <c r="E2310" s="6">
        <v>46309.244525463</v>
      </c>
      <c r="F2310" s="6">
        <v>46309</v>
      </c>
      <c r="G2310" s="5" t="s">
        <v>12</v>
      </c>
      <c r="H2310" s="5" t="s">
        <v>16</v>
      </c>
      <c r="I2310" s="5">
        <v>6</v>
      </c>
      <c r="J2310" s="9" t="s">
        <v>17</v>
      </c>
      <c r="K2310" s="1" t="s">
        <v>2602</v>
      </c>
      <c r="L2310" t="s">
        <v>10</v>
      </c>
      <c r="M2310" t="str">
        <f>+VLOOKUP(C2310,'[1]TIENDAS 2025'!$A$1:$C$143,3,0)</f>
        <v>local</v>
      </c>
      <c r="O2310">
        <v>1</v>
      </c>
    </row>
    <row r="2311" spans="1:15" ht="15" customHeight="1" x14ac:dyDescent="0.3">
      <c r="A2311" s="8">
        <v>209672408</v>
      </c>
      <c r="B2311" s="4" t="s">
        <v>208</v>
      </c>
      <c r="C2311" s="4" t="s">
        <v>209</v>
      </c>
      <c r="D2311" s="6">
        <v>46309.4945717593</v>
      </c>
      <c r="E2311" s="6">
        <v>46309.244537036997</v>
      </c>
      <c r="F2311" s="6">
        <v>46309</v>
      </c>
      <c r="G2311" s="5" t="s">
        <v>12</v>
      </c>
      <c r="H2311" s="5" t="s">
        <v>16</v>
      </c>
      <c r="I2311" s="5">
        <v>6</v>
      </c>
      <c r="J2311" s="9" t="s">
        <v>17</v>
      </c>
      <c r="K2311" s="1" t="s">
        <v>2603</v>
      </c>
      <c r="L2311" t="s">
        <v>10</v>
      </c>
      <c r="M2311" t="str">
        <f>+VLOOKUP(C2311,'[1]TIENDAS 2025'!$A$1:$C$143,3,0)</f>
        <v>local</v>
      </c>
      <c r="O2311">
        <v>1</v>
      </c>
    </row>
    <row r="2312" spans="1:15" ht="15" customHeight="1" x14ac:dyDescent="0.3">
      <c r="A2312" s="8">
        <v>209672409</v>
      </c>
      <c r="B2312" s="4" t="s">
        <v>211</v>
      </c>
      <c r="C2312" s="4" t="s">
        <v>212</v>
      </c>
      <c r="D2312" s="6">
        <v>46309.494583333297</v>
      </c>
      <c r="E2312" s="6">
        <v>46309.244560185201</v>
      </c>
      <c r="F2312" s="6">
        <v>46309</v>
      </c>
      <c r="G2312" s="5" t="s">
        <v>12</v>
      </c>
      <c r="H2312" s="5" t="s">
        <v>16</v>
      </c>
      <c r="I2312" s="5">
        <v>6</v>
      </c>
      <c r="J2312" s="9" t="s">
        <v>17</v>
      </c>
      <c r="K2312" s="1" t="s">
        <v>2604</v>
      </c>
      <c r="L2312" t="s">
        <v>10</v>
      </c>
      <c r="M2312" t="str">
        <f>+VLOOKUP(C2312,'[1]TIENDAS 2025'!$A$1:$C$143,3,0)</f>
        <v>departamental</v>
      </c>
      <c r="O2312">
        <v>1</v>
      </c>
    </row>
    <row r="2313" spans="1:15" ht="15" customHeight="1" x14ac:dyDescent="0.3">
      <c r="A2313" s="7">
        <v>8209672357</v>
      </c>
      <c r="B2313" s="4" t="s">
        <v>238</v>
      </c>
      <c r="C2313" s="4" t="s">
        <v>239</v>
      </c>
      <c r="D2313" s="6">
        <v>46309.4946180556</v>
      </c>
      <c r="E2313" s="6">
        <v>46309.2445717593</v>
      </c>
      <c r="F2313" s="6">
        <v>46309</v>
      </c>
      <c r="G2313" s="5" t="s">
        <v>12</v>
      </c>
      <c r="H2313" s="5" t="s">
        <v>27</v>
      </c>
      <c r="I2313" s="5">
        <v>2</v>
      </c>
      <c r="J2313" s="10" t="s">
        <v>17</v>
      </c>
      <c r="K2313" s="1" t="s">
        <v>2605</v>
      </c>
      <c r="M2313" t="str">
        <f>+VLOOKUP(C2313,'[1]TIENDAS 2025'!$A$1:$C$143,3,0)</f>
        <v>nocturna</v>
      </c>
      <c r="O2313">
        <v>1</v>
      </c>
    </row>
    <row r="2314" spans="1:15" ht="15" customHeight="1" x14ac:dyDescent="0.3">
      <c r="A2314" s="7">
        <v>1209672336</v>
      </c>
      <c r="B2314" s="4" t="s">
        <v>247</v>
      </c>
      <c r="C2314" s="4" t="s">
        <v>248</v>
      </c>
      <c r="D2314" s="6">
        <v>46309.494629629597</v>
      </c>
      <c r="E2314" s="6">
        <v>46309.244594907403</v>
      </c>
      <c r="F2314" s="6">
        <v>46309</v>
      </c>
      <c r="G2314" s="5" t="s">
        <v>12</v>
      </c>
      <c r="H2314" s="5" t="s">
        <v>29</v>
      </c>
      <c r="I2314" s="5">
        <v>52</v>
      </c>
      <c r="J2314" s="9" t="s">
        <v>17</v>
      </c>
      <c r="K2314" s="1" t="s">
        <v>2606</v>
      </c>
      <c r="L2314" t="s">
        <v>3284</v>
      </c>
      <c r="M2314" t="str">
        <f>+VLOOKUP(C2314,'[1]TIENDAS 2025'!$A$1:$C$143,3,0)</f>
        <v>local</v>
      </c>
      <c r="O2314">
        <v>1</v>
      </c>
    </row>
    <row r="2315" spans="1:15" ht="15" customHeight="1" x14ac:dyDescent="0.3">
      <c r="A2315" s="7">
        <v>1209672265</v>
      </c>
      <c r="B2315" s="4" t="s">
        <v>318</v>
      </c>
      <c r="C2315" s="4" t="s">
        <v>319</v>
      </c>
      <c r="D2315" s="6">
        <v>46309.494652777801</v>
      </c>
      <c r="E2315" s="6">
        <v>46309.2446180556</v>
      </c>
      <c r="F2315" s="6">
        <v>46309</v>
      </c>
      <c r="G2315" s="5" t="s">
        <v>12</v>
      </c>
      <c r="H2315" s="5" t="s">
        <v>29</v>
      </c>
      <c r="I2315" s="5">
        <v>5</v>
      </c>
      <c r="J2315" s="9" t="s">
        <v>17</v>
      </c>
      <c r="K2315" s="1" t="s">
        <v>2607</v>
      </c>
      <c r="L2315" t="s">
        <v>3284</v>
      </c>
      <c r="M2315" t="str">
        <f>+VLOOKUP(C2315,'[1]TIENDAS 2025'!$A$1:$C$143,3,0)</f>
        <v>local</v>
      </c>
      <c r="O2315">
        <v>1</v>
      </c>
    </row>
    <row r="2316" spans="1:15" ht="15" customHeight="1" x14ac:dyDescent="0.3">
      <c r="A2316" s="7">
        <v>1209672340</v>
      </c>
      <c r="B2316" s="4" t="s">
        <v>247</v>
      </c>
      <c r="C2316" s="4" t="s">
        <v>248</v>
      </c>
      <c r="D2316" s="6">
        <v>46309.494652777801</v>
      </c>
      <c r="E2316" s="6">
        <v>46309.244629629597</v>
      </c>
      <c r="F2316" s="6">
        <v>46309</v>
      </c>
      <c r="G2316" s="5" t="s">
        <v>12</v>
      </c>
      <c r="H2316" s="5" t="s">
        <v>16</v>
      </c>
      <c r="I2316" s="5">
        <v>23</v>
      </c>
      <c r="J2316" s="9" t="s">
        <v>17</v>
      </c>
      <c r="K2316" s="1" t="s">
        <v>2608</v>
      </c>
      <c r="L2316" t="s">
        <v>3284</v>
      </c>
      <c r="M2316" t="str">
        <f>+VLOOKUP(C2316,'[1]TIENDAS 2025'!$A$1:$C$143,3,0)</f>
        <v>local</v>
      </c>
      <c r="O2316">
        <v>1</v>
      </c>
    </row>
    <row r="2317" spans="1:15" ht="15" customHeight="1" x14ac:dyDescent="0.3">
      <c r="A2317" s="7">
        <v>8209672231</v>
      </c>
      <c r="B2317" s="4" t="s">
        <v>241</v>
      </c>
      <c r="C2317" s="4" t="s">
        <v>242</v>
      </c>
      <c r="D2317" s="6">
        <v>46309.494664351798</v>
      </c>
      <c r="E2317" s="6">
        <v>46309.244641203702</v>
      </c>
      <c r="F2317" s="6">
        <v>46309</v>
      </c>
      <c r="G2317" s="5" t="s">
        <v>12</v>
      </c>
      <c r="H2317" s="5" t="s">
        <v>27</v>
      </c>
      <c r="I2317" s="5">
        <v>12</v>
      </c>
      <c r="J2317" s="10" t="s">
        <v>17</v>
      </c>
      <c r="K2317" s="1" t="s">
        <v>2609</v>
      </c>
      <c r="M2317" t="str">
        <f>+VLOOKUP(C2317,'[1]TIENDAS 2025'!$A$1:$C$143,3,0)</f>
        <v>local</v>
      </c>
      <c r="O2317">
        <v>1</v>
      </c>
    </row>
    <row r="2318" spans="1:15" ht="15" customHeight="1" x14ac:dyDescent="0.3">
      <c r="A2318" s="7">
        <v>1209672234</v>
      </c>
      <c r="B2318" s="4" t="s">
        <v>241</v>
      </c>
      <c r="C2318" s="4" t="s">
        <v>242</v>
      </c>
      <c r="D2318" s="6">
        <v>46309.494687500002</v>
      </c>
      <c r="E2318" s="6">
        <v>46309.244652777801</v>
      </c>
      <c r="F2318" s="6">
        <v>46309</v>
      </c>
      <c r="G2318" s="5" t="s">
        <v>12</v>
      </c>
      <c r="H2318" s="5" t="s">
        <v>29</v>
      </c>
      <c r="I2318" s="5">
        <v>12</v>
      </c>
      <c r="J2318" s="9" t="s">
        <v>17</v>
      </c>
      <c r="K2318" s="1" t="s">
        <v>2610</v>
      </c>
      <c r="L2318" t="s">
        <v>3284</v>
      </c>
      <c r="M2318" t="str">
        <f>+VLOOKUP(C2318,'[1]TIENDAS 2025'!$A$1:$C$143,3,0)</f>
        <v>local</v>
      </c>
      <c r="O2318">
        <v>1</v>
      </c>
    </row>
    <row r="2319" spans="1:15" ht="15" customHeight="1" x14ac:dyDescent="0.3">
      <c r="A2319" s="7">
        <v>8209672323</v>
      </c>
      <c r="B2319" s="4" t="s">
        <v>247</v>
      </c>
      <c r="C2319" s="4" t="s">
        <v>248</v>
      </c>
      <c r="D2319" s="6">
        <v>46309.494699074101</v>
      </c>
      <c r="E2319" s="6">
        <v>46309.244664351798</v>
      </c>
      <c r="F2319" s="6">
        <v>46309</v>
      </c>
      <c r="G2319" s="5" t="s">
        <v>12</v>
      </c>
      <c r="H2319" s="5" t="s">
        <v>27</v>
      </c>
      <c r="I2319" s="5">
        <v>1</v>
      </c>
      <c r="J2319" s="10" t="s">
        <v>17</v>
      </c>
      <c r="K2319" s="1" t="s">
        <v>2611</v>
      </c>
      <c r="M2319" t="str">
        <f>+VLOOKUP(C2319,'[1]TIENDAS 2025'!$A$1:$C$143,3,0)</f>
        <v>local</v>
      </c>
      <c r="O2319">
        <v>1</v>
      </c>
    </row>
    <row r="2320" spans="1:15" ht="15" customHeight="1" x14ac:dyDescent="0.3">
      <c r="A2320" s="7">
        <v>8209672297</v>
      </c>
      <c r="B2320" s="4" t="s">
        <v>190</v>
      </c>
      <c r="C2320" s="4" t="s">
        <v>191</v>
      </c>
      <c r="D2320" s="6">
        <v>46309.494710648098</v>
      </c>
      <c r="E2320" s="6">
        <v>46309.244687500002</v>
      </c>
      <c r="F2320" s="6">
        <v>46309</v>
      </c>
      <c r="G2320" s="5" t="s">
        <v>12</v>
      </c>
      <c r="H2320" s="5" t="s">
        <v>27</v>
      </c>
      <c r="I2320" s="5">
        <v>13</v>
      </c>
      <c r="J2320" s="10" t="s">
        <v>17</v>
      </c>
      <c r="K2320" s="1" t="s">
        <v>2612</v>
      </c>
      <c r="M2320" t="str">
        <f>+VLOOKUP(C2320,'[1]TIENDAS 2025'!$A$1:$C$143,3,0)</f>
        <v>departamental</v>
      </c>
      <c r="O2320">
        <v>1</v>
      </c>
    </row>
    <row r="2321" spans="1:15" ht="15" customHeight="1" x14ac:dyDescent="0.3">
      <c r="A2321" s="7">
        <v>8209672338</v>
      </c>
      <c r="B2321" s="4" t="s">
        <v>247</v>
      </c>
      <c r="C2321" s="4" t="s">
        <v>248</v>
      </c>
      <c r="D2321" s="6">
        <v>46309.494722222204</v>
      </c>
      <c r="E2321" s="6">
        <v>46309.244699074101</v>
      </c>
      <c r="F2321" s="6">
        <v>46309</v>
      </c>
      <c r="G2321" s="5" t="s">
        <v>12</v>
      </c>
      <c r="H2321" s="5" t="s">
        <v>27</v>
      </c>
      <c r="I2321" s="5">
        <v>21</v>
      </c>
      <c r="J2321" s="10" t="s">
        <v>17</v>
      </c>
      <c r="K2321" s="1" t="s">
        <v>2613</v>
      </c>
      <c r="M2321" t="str">
        <f>+VLOOKUP(C2321,'[1]TIENDAS 2025'!$A$1:$C$143,3,0)</f>
        <v>local</v>
      </c>
      <c r="O2321">
        <v>1</v>
      </c>
    </row>
    <row r="2322" spans="1:15" ht="15" customHeight="1" x14ac:dyDescent="0.3">
      <c r="A2322" s="7">
        <v>8209672328</v>
      </c>
      <c r="B2322" s="4" t="s">
        <v>247</v>
      </c>
      <c r="C2322" s="4" t="s">
        <v>248</v>
      </c>
      <c r="D2322" s="6">
        <v>46309.494733796302</v>
      </c>
      <c r="E2322" s="6">
        <v>46309.244710648098</v>
      </c>
      <c r="F2322" s="6">
        <v>46309</v>
      </c>
      <c r="G2322" s="5" t="s">
        <v>12</v>
      </c>
      <c r="H2322" s="5" t="s">
        <v>27</v>
      </c>
      <c r="I2322" s="5">
        <v>12</v>
      </c>
      <c r="J2322" s="10" t="s">
        <v>17</v>
      </c>
      <c r="K2322" s="1" t="s">
        <v>2614</v>
      </c>
      <c r="M2322" t="str">
        <f>+VLOOKUP(C2322,'[1]TIENDAS 2025'!$A$1:$C$143,3,0)</f>
        <v>local</v>
      </c>
      <c r="O2322">
        <v>1</v>
      </c>
    </row>
    <row r="2323" spans="1:15" ht="15" customHeight="1" x14ac:dyDescent="0.3">
      <c r="A2323" s="7">
        <v>1209672273</v>
      </c>
      <c r="B2323" s="4" t="s">
        <v>318</v>
      </c>
      <c r="C2323" s="4" t="s">
        <v>319</v>
      </c>
      <c r="D2323" s="6">
        <v>46309.494756944398</v>
      </c>
      <c r="E2323" s="6">
        <v>46309.244722222204</v>
      </c>
      <c r="F2323" s="6">
        <v>46309</v>
      </c>
      <c r="G2323" s="5" t="s">
        <v>12</v>
      </c>
      <c r="H2323" s="5" t="s">
        <v>16</v>
      </c>
      <c r="I2323" s="5">
        <v>2</v>
      </c>
      <c r="J2323" s="9" t="s">
        <v>17</v>
      </c>
      <c r="K2323" s="1" t="s">
        <v>2615</v>
      </c>
      <c r="L2323" t="s">
        <v>3284</v>
      </c>
      <c r="M2323" t="str">
        <f>+VLOOKUP(C2323,'[1]TIENDAS 2025'!$A$1:$C$143,3,0)</f>
        <v>local</v>
      </c>
      <c r="O2323">
        <v>1</v>
      </c>
    </row>
    <row r="2324" spans="1:15" ht="15" customHeight="1" x14ac:dyDescent="0.3">
      <c r="A2324" s="8">
        <v>209672412</v>
      </c>
      <c r="B2324" s="4" t="s">
        <v>19</v>
      </c>
      <c r="C2324" s="4" t="s">
        <v>20</v>
      </c>
      <c r="D2324" s="6">
        <v>46309.494768518503</v>
      </c>
      <c r="E2324" s="6">
        <v>46309.244745370401</v>
      </c>
      <c r="F2324" s="6">
        <v>46309</v>
      </c>
      <c r="G2324" s="5" t="s">
        <v>12</v>
      </c>
      <c r="H2324" s="5" t="s">
        <v>16</v>
      </c>
      <c r="I2324" s="5">
        <v>6</v>
      </c>
      <c r="J2324" s="9" t="s">
        <v>17</v>
      </c>
      <c r="K2324" s="1" t="s">
        <v>2616</v>
      </c>
      <c r="L2324" t="s">
        <v>10</v>
      </c>
      <c r="M2324" t="str">
        <f>+VLOOKUP(C2324,'[1]TIENDAS 2025'!$A$1:$C$143,3,0)</f>
        <v>departamental</v>
      </c>
      <c r="O2324">
        <v>1</v>
      </c>
    </row>
    <row r="2325" spans="1:15" ht="15" customHeight="1" x14ac:dyDescent="0.3">
      <c r="A2325" s="8">
        <v>209672414</v>
      </c>
      <c r="B2325" s="4" t="s">
        <v>475</v>
      </c>
      <c r="C2325" s="4" t="s">
        <v>476</v>
      </c>
      <c r="D2325" s="6">
        <v>46309.494780092602</v>
      </c>
      <c r="E2325" s="6">
        <v>46309.244756944398</v>
      </c>
      <c r="F2325" s="6">
        <v>46309</v>
      </c>
      <c r="G2325" s="5" t="s">
        <v>12</v>
      </c>
      <c r="H2325" s="5" t="s">
        <v>16</v>
      </c>
      <c r="I2325" s="5">
        <v>6</v>
      </c>
      <c r="J2325" s="9" t="s">
        <v>17</v>
      </c>
      <c r="K2325" s="1" t="s">
        <v>2617</v>
      </c>
      <c r="L2325" t="s">
        <v>10</v>
      </c>
      <c r="M2325" t="str">
        <f>+VLOOKUP(C2325,'[1]TIENDAS 2025'!$A$1:$C$143,3,0)</f>
        <v>prioridad</v>
      </c>
      <c r="O2325">
        <v>1</v>
      </c>
    </row>
    <row r="2326" spans="1:15" ht="15" customHeight="1" x14ac:dyDescent="0.3">
      <c r="A2326" s="8">
        <v>209672416</v>
      </c>
      <c r="B2326" s="4" t="s">
        <v>271</v>
      </c>
      <c r="C2326" s="4" t="s">
        <v>272</v>
      </c>
      <c r="D2326" s="6">
        <v>46309.494791666701</v>
      </c>
      <c r="E2326" s="6">
        <v>46309.244768518503</v>
      </c>
      <c r="F2326" s="6">
        <v>46309</v>
      </c>
      <c r="G2326" s="5" t="s">
        <v>12</v>
      </c>
      <c r="H2326" s="5" t="s">
        <v>16</v>
      </c>
      <c r="I2326" s="5">
        <v>6</v>
      </c>
      <c r="J2326" s="9" t="s">
        <v>17</v>
      </c>
      <c r="K2326" s="1" t="s">
        <v>2618</v>
      </c>
      <c r="L2326" t="s">
        <v>10</v>
      </c>
      <c r="M2326" t="str">
        <f>+VLOOKUP(C2326,'[1]TIENDAS 2025'!$A$1:$C$143,3,0)</f>
        <v>local</v>
      </c>
      <c r="O2326">
        <v>1</v>
      </c>
    </row>
    <row r="2327" spans="1:15" ht="15" customHeight="1" x14ac:dyDescent="0.3">
      <c r="A2327" s="8">
        <v>209672464</v>
      </c>
      <c r="B2327" s="4" t="s">
        <v>482</v>
      </c>
      <c r="C2327" s="4" t="s">
        <v>483</v>
      </c>
      <c r="D2327" s="6">
        <v>46309.494814814803</v>
      </c>
      <c r="E2327" s="6">
        <v>46309.244780092602</v>
      </c>
      <c r="F2327" s="6">
        <v>46309</v>
      </c>
      <c r="G2327" s="5" t="s">
        <v>12</v>
      </c>
      <c r="H2327" s="5" t="s">
        <v>16</v>
      </c>
      <c r="I2327" s="5">
        <v>6</v>
      </c>
      <c r="J2327" s="9" t="s">
        <v>17</v>
      </c>
      <c r="K2327" s="1" t="s">
        <v>2619</v>
      </c>
      <c r="L2327" t="s">
        <v>10</v>
      </c>
      <c r="M2327" t="str">
        <f>+VLOOKUP(C2327,'[1]TIENDAS 2025'!$A$1:$C$143,3,0)</f>
        <v>local</v>
      </c>
      <c r="O2327">
        <v>1</v>
      </c>
    </row>
    <row r="2328" spans="1:15" ht="15" customHeight="1" x14ac:dyDescent="0.3">
      <c r="A2328" s="8">
        <v>209672466</v>
      </c>
      <c r="B2328" s="4" t="s">
        <v>412</v>
      </c>
      <c r="C2328" s="4" t="s">
        <v>413</v>
      </c>
      <c r="D2328" s="6">
        <v>46309.494826388902</v>
      </c>
      <c r="E2328" s="6">
        <v>46309.244791666701</v>
      </c>
      <c r="F2328" s="6">
        <v>46309</v>
      </c>
      <c r="G2328" s="5" t="s">
        <v>12</v>
      </c>
      <c r="H2328" s="5" t="s">
        <v>16</v>
      </c>
      <c r="I2328" s="5">
        <v>6</v>
      </c>
      <c r="J2328" s="9" t="s">
        <v>17</v>
      </c>
      <c r="K2328" s="1" t="s">
        <v>2620</v>
      </c>
      <c r="L2328" t="s">
        <v>10</v>
      </c>
      <c r="M2328" t="str">
        <f>+VLOOKUP(C2328,'[1]TIENDAS 2025'!$A$1:$C$143,3,0)</f>
        <v>local</v>
      </c>
      <c r="O2328">
        <v>1</v>
      </c>
    </row>
    <row r="2329" spans="1:15" ht="15" customHeight="1" x14ac:dyDescent="0.3">
      <c r="A2329" s="8">
        <v>209672470</v>
      </c>
      <c r="B2329" s="4" t="s">
        <v>367</v>
      </c>
      <c r="C2329" s="4" t="s">
        <v>368</v>
      </c>
      <c r="D2329" s="6">
        <v>46309.494837963</v>
      </c>
      <c r="E2329" s="6">
        <v>46309.244814814803</v>
      </c>
      <c r="F2329" s="6">
        <v>46309</v>
      </c>
      <c r="G2329" s="5" t="s">
        <v>12</v>
      </c>
      <c r="H2329" s="5" t="s">
        <v>16</v>
      </c>
      <c r="I2329" s="5">
        <v>6</v>
      </c>
      <c r="J2329" s="9" t="s">
        <v>17</v>
      </c>
      <c r="K2329" s="1" t="s">
        <v>2621</v>
      </c>
      <c r="L2329" t="s">
        <v>10</v>
      </c>
      <c r="M2329" t="str">
        <f>+VLOOKUP(C2329,'[1]TIENDAS 2025'!$A$1:$C$143,3,0)</f>
        <v>local</v>
      </c>
      <c r="O2329">
        <v>1</v>
      </c>
    </row>
    <row r="2330" spans="1:15" ht="15" customHeight="1" x14ac:dyDescent="0.3">
      <c r="A2330" s="8">
        <v>209672472</v>
      </c>
      <c r="B2330" s="4" t="s">
        <v>500</v>
      </c>
      <c r="C2330" s="4" t="s">
        <v>501</v>
      </c>
      <c r="D2330" s="6">
        <v>46309.494849536997</v>
      </c>
      <c r="E2330" s="6">
        <v>46309.244826388902</v>
      </c>
      <c r="F2330" s="6">
        <v>46309</v>
      </c>
      <c r="G2330" s="5" t="s">
        <v>12</v>
      </c>
      <c r="H2330" s="5" t="s">
        <v>16</v>
      </c>
      <c r="I2330" s="5">
        <v>6</v>
      </c>
      <c r="J2330" s="9" t="s">
        <v>17</v>
      </c>
      <c r="K2330" s="1" t="s">
        <v>2622</v>
      </c>
      <c r="L2330" t="s">
        <v>10</v>
      </c>
      <c r="M2330" t="str">
        <f>+VLOOKUP(C2330,'[1]TIENDAS 2025'!$A$1:$C$143,3,0)</f>
        <v>departamental</v>
      </c>
      <c r="O2330">
        <v>1</v>
      </c>
    </row>
    <row r="2331" spans="1:15" ht="15" customHeight="1" x14ac:dyDescent="0.3">
      <c r="A2331" s="8">
        <v>209672477</v>
      </c>
      <c r="B2331" s="4" t="s">
        <v>318</v>
      </c>
      <c r="C2331" s="4" t="s">
        <v>319</v>
      </c>
      <c r="D2331" s="6">
        <v>46309.494861111103</v>
      </c>
      <c r="E2331" s="6">
        <v>46309.244837963</v>
      </c>
      <c r="F2331" s="6">
        <v>46309</v>
      </c>
      <c r="G2331" s="5" t="s">
        <v>12</v>
      </c>
      <c r="H2331" s="5" t="s">
        <v>16</v>
      </c>
      <c r="I2331" s="5">
        <v>6</v>
      </c>
      <c r="J2331" s="9" t="s">
        <v>17</v>
      </c>
      <c r="K2331" s="1" t="s">
        <v>2623</v>
      </c>
      <c r="L2331" t="s">
        <v>10</v>
      </c>
      <c r="M2331" t="str">
        <f>+VLOOKUP(C2331,'[1]TIENDAS 2025'!$A$1:$C$143,3,0)</f>
        <v>local</v>
      </c>
      <c r="O2331">
        <v>1</v>
      </c>
    </row>
    <row r="2332" spans="1:15" ht="15" customHeight="1" x14ac:dyDescent="0.3">
      <c r="A2332" s="8">
        <v>209672481</v>
      </c>
      <c r="B2332" s="4" t="s">
        <v>336</v>
      </c>
      <c r="C2332" s="4" t="s">
        <v>337</v>
      </c>
      <c r="D2332" s="6">
        <v>46309.4948842593</v>
      </c>
      <c r="E2332" s="6">
        <v>46309.244849536997</v>
      </c>
      <c r="F2332" s="6">
        <v>46309</v>
      </c>
      <c r="G2332" s="5" t="s">
        <v>12</v>
      </c>
      <c r="H2332" s="5" t="s">
        <v>16</v>
      </c>
      <c r="I2332" s="5">
        <v>6</v>
      </c>
      <c r="J2332" s="9" t="s">
        <v>17</v>
      </c>
      <c r="K2332" s="1" t="s">
        <v>2624</v>
      </c>
      <c r="L2332" t="s">
        <v>10</v>
      </c>
      <c r="M2332" t="str">
        <f>+VLOOKUP(C2332,'[1]TIENDAS 2025'!$A$1:$C$143,3,0)</f>
        <v xml:space="preserve">departamental </v>
      </c>
      <c r="O2332">
        <v>1</v>
      </c>
    </row>
    <row r="2333" spans="1:15" ht="15" customHeight="1" x14ac:dyDescent="0.3">
      <c r="A2333" s="8">
        <v>209672484</v>
      </c>
      <c r="B2333" s="4" t="s">
        <v>385</v>
      </c>
      <c r="C2333" s="4" t="s">
        <v>386</v>
      </c>
      <c r="D2333" s="6">
        <v>46309.494895833297</v>
      </c>
      <c r="E2333" s="6">
        <v>46309.244872685202</v>
      </c>
      <c r="F2333" s="6">
        <v>46309</v>
      </c>
      <c r="G2333" s="5" t="s">
        <v>12</v>
      </c>
      <c r="H2333" s="5" t="s">
        <v>16</v>
      </c>
      <c r="I2333" s="5">
        <v>6</v>
      </c>
      <c r="J2333" s="9" t="s">
        <v>17</v>
      </c>
      <c r="K2333" s="1" t="s">
        <v>2625</v>
      </c>
      <c r="L2333" t="s">
        <v>10</v>
      </c>
      <c r="M2333" t="str">
        <f>+VLOOKUP(C2333,'[1]TIENDAS 2025'!$A$1:$C$143,3,0)</f>
        <v>nocturna</v>
      </c>
      <c r="O2333">
        <v>1</v>
      </c>
    </row>
    <row r="2334" spans="1:15" ht="15" customHeight="1" x14ac:dyDescent="0.3">
      <c r="A2334" s="7">
        <v>1209672362</v>
      </c>
      <c r="B2334" s="4" t="s">
        <v>238</v>
      </c>
      <c r="C2334" s="4" t="s">
        <v>239</v>
      </c>
      <c r="D2334" s="6">
        <v>46309.494918981502</v>
      </c>
      <c r="E2334" s="6">
        <v>46309.244895833297</v>
      </c>
      <c r="F2334" s="6">
        <v>46309</v>
      </c>
      <c r="G2334" s="5" t="s">
        <v>12</v>
      </c>
      <c r="H2334" s="5" t="s">
        <v>29</v>
      </c>
      <c r="I2334" s="5">
        <v>8</v>
      </c>
      <c r="J2334" s="9" t="s">
        <v>17</v>
      </c>
      <c r="K2334" s="1" t="s">
        <v>2626</v>
      </c>
      <c r="L2334" t="s">
        <v>3284</v>
      </c>
      <c r="M2334" t="str">
        <f>+VLOOKUP(C2334,'[1]TIENDAS 2025'!$A$1:$C$143,3,0)</f>
        <v>nocturna</v>
      </c>
      <c r="O2334">
        <v>1</v>
      </c>
    </row>
    <row r="2335" spans="1:15" ht="15" customHeight="1" x14ac:dyDescent="0.3">
      <c r="A2335" s="8">
        <v>209672485</v>
      </c>
      <c r="B2335" s="4" t="s">
        <v>509</v>
      </c>
      <c r="C2335" s="4" t="s">
        <v>510</v>
      </c>
      <c r="D2335" s="6">
        <v>46309.494918981502</v>
      </c>
      <c r="E2335" s="6">
        <v>46309.2448842593</v>
      </c>
      <c r="F2335" s="6">
        <v>46309</v>
      </c>
      <c r="G2335" s="5" t="s">
        <v>12</v>
      </c>
      <c r="H2335" s="5" t="s">
        <v>16</v>
      </c>
      <c r="I2335" s="5">
        <v>6</v>
      </c>
      <c r="J2335" s="9" t="s">
        <v>17</v>
      </c>
      <c r="K2335" s="1" t="s">
        <v>2627</v>
      </c>
      <c r="L2335" t="s">
        <v>10</v>
      </c>
      <c r="M2335" t="str">
        <f>+VLOOKUP(C2335,'[1]TIENDAS 2025'!$A$1:$C$143,3,0)</f>
        <v>nocturna</v>
      </c>
      <c r="O2335">
        <v>1</v>
      </c>
    </row>
    <row r="2336" spans="1:15" ht="15" customHeight="1" x14ac:dyDescent="0.3">
      <c r="A2336" s="8">
        <v>209672488</v>
      </c>
      <c r="B2336" s="4" t="s">
        <v>292</v>
      </c>
      <c r="C2336" s="4" t="s">
        <v>293</v>
      </c>
      <c r="D2336" s="6">
        <v>46309.494942129597</v>
      </c>
      <c r="E2336" s="6">
        <v>46309.244907407403</v>
      </c>
      <c r="F2336" s="6">
        <v>46309</v>
      </c>
      <c r="G2336" s="5" t="s">
        <v>12</v>
      </c>
      <c r="H2336" s="5" t="s">
        <v>16</v>
      </c>
      <c r="I2336" s="5">
        <v>6</v>
      </c>
      <c r="J2336" s="9" t="s">
        <v>17</v>
      </c>
      <c r="K2336" s="1" t="s">
        <v>2628</v>
      </c>
      <c r="L2336" t="s">
        <v>10</v>
      </c>
      <c r="M2336" t="str">
        <f>+VLOOKUP(C2336,'[1]TIENDAS 2025'!$A$1:$C$143,3,0)</f>
        <v>local</v>
      </c>
      <c r="O2336">
        <v>1</v>
      </c>
    </row>
    <row r="2337" spans="1:15" ht="15" customHeight="1" x14ac:dyDescent="0.3">
      <c r="A2337" s="7">
        <v>1209672365</v>
      </c>
      <c r="B2337" s="4" t="s">
        <v>238</v>
      </c>
      <c r="C2337" s="4" t="s">
        <v>239</v>
      </c>
      <c r="D2337" s="6">
        <v>46309.494953703703</v>
      </c>
      <c r="E2337" s="6">
        <v>46309.2449305556</v>
      </c>
      <c r="F2337" s="6">
        <v>46309</v>
      </c>
      <c r="G2337" s="5" t="s">
        <v>12</v>
      </c>
      <c r="H2337" s="5" t="s">
        <v>29</v>
      </c>
      <c r="I2337" s="5">
        <v>41</v>
      </c>
      <c r="J2337" s="9" t="s">
        <v>17</v>
      </c>
      <c r="K2337" s="1" t="s">
        <v>2629</v>
      </c>
      <c r="L2337" t="s">
        <v>3284</v>
      </c>
      <c r="M2337" t="str">
        <f>+VLOOKUP(C2337,'[1]TIENDAS 2025'!$A$1:$C$143,3,0)</f>
        <v>nocturna</v>
      </c>
      <c r="O2337">
        <v>1</v>
      </c>
    </row>
    <row r="2338" spans="1:15" ht="15" customHeight="1" x14ac:dyDescent="0.3">
      <c r="A2338" s="8">
        <v>209672422</v>
      </c>
      <c r="B2338" s="4" t="s">
        <v>494</v>
      </c>
      <c r="C2338" s="4" t="s">
        <v>495</v>
      </c>
      <c r="D2338" s="6">
        <v>46309.494976851798</v>
      </c>
      <c r="E2338" s="6">
        <v>46309.244953703703</v>
      </c>
      <c r="F2338" s="6">
        <v>46309</v>
      </c>
      <c r="G2338" s="5" t="s">
        <v>12</v>
      </c>
      <c r="H2338" s="5" t="s">
        <v>16</v>
      </c>
      <c r="I2338" s="5">
        <v>6</v>
      </c>
      <c r="J2338" s="9" t="s">
        <v>17</v>
      </c>
      <c r="K2338" s="1" t="s">
        <v>2630</v>
      </c>
      <c r="L2338" t="s">
        <v>10</v>
      </c>
      <c r="M2338" t="str">
        <f>+VLOOKUP(C2338,'[1]TIENDAS 2025'!$A$1:$C$143,3,0)</f>
        <v>local</v>
      </c>
      <c r="O2338">
        <v>1</v>
      </c>
    </row>
    <row r="2339" spans="1:15" ht="15" customHeight="1" x14ac:dyDescent="0.3">
      <c r="A2339" s="7">
        <v>8209672374</v>
      </c>
      <c r="B2339" s="4" t="s">
        <v>238</v>
      </c>
      <c r="C2339" s="4" t="s">
        <v>239</v>
      </c>
      <c r="D2339" s="6">
        <v>46309.494976851798</v>
      </c>
      <c r="E2339" s="6">
        <v>46309.244942129597</v>
      </c>
      <c r="F2339" s="6">
        <v>46309</v>
      </c>
      <c r="G2339" s="5" t="s">
        <v>12</v>
      </c>
      <c r="H2339" s="5" t="s">
        <v>27</v>
      </c>
      <c r="I2339" s="5">
        <v>5</v>
      </c>
      <c r="J2339" s="10" t="s">
        <v>17</v>
      </c>
      <c r="K2339" s="1" t="s">
        <v>2631</v>
      </c>
      <c r="M2339" t="str">
        <f>+VLOOKUP(C2339,'[1]TIENDAS 2025'!$A$1:$C$143,3,0)</f>
        <v>nocturna</v>
      </c>
      <c r="O2339">
        <v>1</v>
      </c>
    </row>
    <row r="2340" spans="1:15" ht="15" customHeight="1" x14ac:dyDescent="0.3">
      <c r="A2340" s="8">
        <v>209672425</v>
      </c>
      <c r="B2340" s="4" t="s">
        <v>554</v>
      </c>
      <c r="C2340" s="4" t="s">
        <v>555</v>
      </c>
      <c r="D2340" s="6">
        <v>46309.494988425897</v>
      </c>
      <c r="E2340" s="6">
        <v>46309.244965277801</v>
      </c>
      <c r="F2340" s="6">
        <v>46309</v>
      </c>
      <c r="G2340" s="5" t="s">
        <v>12</v>
      </c>
      <c r="H2340" s="5" t="s">
        <v>16</v>
      </c>
      <c r="I2340" s="5">
        <v>6</v>
      </c>
      <c r="J2340" s="9" t="s">
        <v>17</v>
      </c>
      <c r="K2340" s="1" t="s">
        <v>2632</v>
      </c>
      <c r="L2340" t="s">
        <v>10</v>
      </c>
      <c r="M2340" t="str">
        <f>+VLOOKUP(C2340,'[1]TIENDAS 2025'!$A$1:$C$143,3,0)</f>
        <v>nocturna</v>
      </c>
      <c r="O2340">
        <v>1</v>
      </c>
    </row>
    <row r="2341" spans="1:15" ht="15" customHeight="1" x14ac:dyDescent="0.3">
      <c r="A2341" s="7">
        <v>1209672368</v>
      </c>
      <c r="B2341" s="4" t="s">
        <v>238</v>
      </c>
      <c r="C2341" s="4" t="s">
        <v>239</v>
      </c>
      <c r="D2341" s="6">
        <v>46309.495011574101</v>
      </c>
      <c r="E2341" s="6">
        <v>46309.244976851798</v>
      </c>
      <c r="F2341" s="6">
        <v>46309</v>
      </c>
      <c r="G2341" s="5" t="s">
        <v>12</v>
      </c>
      <c r="H2341" s="5" t="s">
        <v>16</v>
      </c>
      <c r="I2341" s="5">
        <v>43</v>
      </c>
      <c r="J2341" s="9" t="s">
        <v>17</v>
      </c>
      <c r="K2341" s="1" t="s">
        <v>2633</v>
      </c>
      <c r="L2341" t="s">
        <v>3284</v>
      </c>
      <c r="M2341" t="str">
        <f>+VLOOKUP(C2341,'[1]TIENDAS 2025'!$A$1:$C$143,3,0)</f>
        <v>nocturna</v>
      </c>
      <c r="O2341">
        <v>1</v>
      </c>
    </row>
    <row r="2342" spans="1:15" ht="15" customHeight="1" x14ac:dyDescent="0.3">
      <c r="A2342" s="8">
        <v>209672387</v>
      </c>
      <c r="B2342" s="4" t="s">
        <v>235</v>
      </c>
      <c r="C2342" s="4" t="s">
        <v>236</v>
      </c>
      <c r="D2342" s="6">
        <v>46309.495023148098</v>
      </c>
      <c r="E2342" s="6">
        <v>46309.245000000003</v>
      </c>
      <c r="F2342" s="6">
        <v>46309</v>
      </c>
      <c r="G2342" s="5" t="s">
        <v>12</v>
      </c>
      <c r="H2342" s="5" t="s">
        <v>16</v>
      </c>
      <c r="I2342" s="5">
        <v>8</v>
      </c>
      <c r="J2342" s="9" t="s">
        <v>17</v>
      </c>
      <c r="K2342" s="1" t="s">
        <v>2634</v>
      </c>
      <c r="L2342" t="s">
        <v>10</v>
      </c>
      <c r="M2342" t="str">
        <f>+VLOOKUP(C2342,'[1]TIENDAS 2025'!$A$1:$C$143,3,0)</f>
        <v>prioridad</v>
      </c>
      <c r="O2342">
        <v>1</v>
      </c>
    </row>
    <row r="2343" spans="1:15" ht="15" customHeight="1" x14ac:dyDescent="0.3">
      <c r="A2343" s="8">
        <v>209672433</v>
      </c>
      <c r="B2343" s="4" t="s">
        <v>379</v>
      </c>
      <c r="C2343" s="4" t="s">
        <v>380</v>
      </c>
      <c r="D2343" s="6">
        <v>46309.495046296302</v>
      </c>
      <c r="E2343" s="6">
        <v>46309.245011574101</v>
      </c>
      <c r="F2343" s="6">
        <v>46309</v>
      </c>
      <c r="G2343" s="5" t="s">
        <v>12</v>
      </c>
      <c r="H2343" s="5" t="s">
        <v>16</v>
      </c>
      <c r="I2343" s="5">
        <v>6</v>
      </c>
      <c r="J2343" s="9" t="s">
        <v>17</v>
      </c>
      <c r="K2343" s="1" t="s">
        <v>2635</v>
      </c>
      <c r="L2343" t="s">
        <v>10</v>
      </c>
      <c r="M2343" t="str">
        <f>+VLOOKUP(C2343,'[1]TIENDAS 2025'!$A$1:$C$143,3,0)</f>
        <v>departamental</v>
      </c>
      <c r="O2343">
        <v>1</v>
      </c>
    </row>
    <row r="2344" spans="1:15" ht="15" customHeight="1" x14ac:dyDescent="0.3">
      <c r="A2344" s="8">
        <v>209672460</v>
      </c>
      <c r="B2344" s="4" t="s">
        <v>217</v>
      </c>
      <c r="C2344" s="4" t="s">
        <v>218</v>
      </c>
      <c r="D2344" s="6">
        <v>46309.495046296302</v>
      </c>
      <c r="E2344" s="6">
        <v>46309.245023148098</v>
      </c>
      <c r="F2344" s="6">
        <v>46309</v>
      </c>
      <c r="G2344" s="5" t="s">
        <v>12</v>
      </c>
      <c r="H2344" s="5" t="s">
        <v>16</v>
      </c>
      <c r="I2344" s="5">
        <v>6</v>
      </c>
      <c r="J2344" s="9" t="s">
        <v>17</v>
      </c>
      <c r="K2344" s="1" t="s">
        <v>2636</v>
      </c>
      <c r="L2344" t="s">
        <v>10</v>
      </c>
      <c r="M2344" t="str">
        <f>+VLOOKUP(C2344,'[1]TIENDAS 2025'!$A$1:$C$143,3,0)</f>
        <v>nocturna</v>
      </c>
      <c r="O2344">
        <v>1</v>
      </c>
    </row>
    <row r="2345" spans="1:15" ht="15" customHeight="1" x14ac:dyDescent="0.3">
      <c r="A2345" s="8">
        <v>209672462</v>
      </c>
      <c r="B2345" s="4" t="s">
        <v>478</v>
      </c>
      <c r="C2345" s="4" t="s">
        <v>479</v>
      </c>
      <c r="D2345" s="6">
        <v>46309.495069444398</v>
      </c>
      <c r="E2345" s="6">
        <v>46309.245034722197</v>
      </c>
      <c r="F2345" s="6">
        <v>46309</v>
      </c>
      <c r="G2345" s="5" t="s">
        <v>12</v>
      </c>
      <c r="H2345" s="5" t="s">
        <v>16</v>
      </c>
      <c r="I2345" s="5">
        <v>6</v>
      </c>
      <c r="J2345" s="9" t="s">
        <v>17</v>
      </c>
      <c r="K2345" s="1" t="s">
        <v>2637</v>
      </c>
      <c r="L2345" t="s">
        <v>10</v>
      </c>
      <c r="M2345" t="str">
        <f>+VLOOKUP(C2345,'[1]TIENDAS 2025'!$A$1:$C$143,3,0)</f>
        <v>departamental</v>
      </c>
      <c r="O2345">
        <v>1</v>
      </c>
    </row>
    <row r="2346" spans="1:15" ht="15" customHeight="1" x14ac:dyDescent="0.3">
      <c r="A2346" s="8">
        <v>209672389</v>
      </c>
      <c r="B2346" s="4" t="s">
        <v>283</v>
      </c>
      <c r="C2346" s="4" t="s">
        <v>284</v>
      </c>
      <c r="D2346" s="6">
        <v>46309.495081018496</v>
      </c>
      <c r="E2346" s="6">
        <v>46309.245057870401</v>
      </c>
      <c r="F2346" s="6">
        <v>46309</v>
      </c>
      <c r="G2346" s="5" t="s">
        <v>12</v>
      </c>
      <c r="H2346" s="5" t="s">
        <v>16</v>
      </c>
      <c r="I2346" s="5">
        <v>6</v>
      </c>
      <c r="J2346" s="9" t="s">
        <v>17</v>
      </c>
      <c r="K2346" s="1" t="s">
        <v>2638</v>
      </c>
      <c r="L2346" t="s">
        <v>10</v>
      </c>
      <c r="M2346" t="str">
        <f>+VLOOKUP(C2346,'[1]TIENDAS 2025'!$A$1:$C$143,3,0)</f>
        <v>prioridad</v>
      </c>
      <c r="O2346">
        <v>1</v>
      </c>
    </row>
    <row r="2347" spans="1:15" ht="15" customHeight="1" x14ac:dyDescent="0.3">
      <c r="A2347" s="8">
        <v>209672390</v>
      </c>
      <c r="B2347" s="4" t="s">
        <v>418</v>
      </c>
      <c r="C2347" s="4" t="s">
        <v>419</v>
      </c>
      <c r="D2347" s="6">
        <v>46309.495104166701</v>
      </c>
      <c r="E2347" s="6">
        <v>46309.245069444398</v>
      </c>
      <c r="F2347" s="6">
        <v>46309</v>
      </c>
      <c r="G2347" s="5" t="s">
        <v>12</v>
      </c>
      <c r="H2347" s="5" t="s">
        <v>16</v>
      </c>
      <c r="I2347" s="5">
        <v>6</v>
      </c>
      <c r="J2347" s="9" t="s">
        <v>17</v>
      </c>
      <c r="K2347" s="1" t="s">
        <v>2639</v>
      </c>
      <c r="L2347" t="s">
        <v>10</v>
      </c>
      <c r="M2347" t="str">
        <f>+VLOOKUP(C2347,'[1]TIENDAS 2025'!$A$1:$C$143,3,0)</f>
        <v>local</v>
      </c>
      <c r="O2347">
        <v>1</v>
      </c>
    </row>
    <row r="2348" spans="1:15" ht="15" customHeight="1" x14ac:dyDescent="0.3">
      <c r="A2348" s="8">
        <v>209672393</v>
      </c>
      <c r="B2348" s="4" t="s">
        <v>324</v>
      </c>
      <c r="C2348" s="4" t="s">
        <v>325</v>
      </c>
      <c r="D2348" s="6">
        <v>46309.495115740698</v>
      </c>
      <c r="E2348" s="6">
        <v>46309.245092592602</v>
      </c>
      <c r="F2348" s="6">
        <v>46309</v>
      </c>
      <c r="G2348" s="5" t="s">
        <v>12</v>
      </c>
      <c r="H2348" s="5" t="s">
        <v>16</v>
      </c>
      <c r="I2348" s="5">
        <v>6</v>
      </c>
      <c r="J2348" s="9" t="s">
        <v>17</v>
      </c>
      <c r="K2348" s="1" t="s">
        <v>2640</v>
      </c>
      <c r="L2348" t="s">
        <v>10</v>
      </c>
      <c r="M2348" t="str">
        <f>+VLOOKUP(C2348,'[1]TIENDAS 2025'!$A$1:$C$143,3,0)</f>
        <v>local</v>
      </c>
      <c r="O2348">
        <v>1</v>
      </c>
    </row>
    <row r="2349" spans="1:15" ht="15" customHeight="1" x14ac:dyDescent="0.3">
      <c r="A2349" s="8">
        <v>209672391</v>
      </c>
      <c r="B2349" s="4" t="s">
        <v>187</v>
      </c>
      <c r="C2349" s="4" t="s">
        <v>188</v>
      </c>
      <c r="D2349" s="6">
        <v>46309.495115740698</v>
      </c>
      <c r="E2349" s="6">
        <v>46309.245081018496</v>
      </c>
      <c r="F2349" s="6">
        <v>46309</v>
      </c>
      <c r="G2349" s="5" t="s">
        <v>12</v>
      </c>
      <c r="H2349" s="5" t="s">
        <v>16</v>
      </c>
      <c r="I2349" s="5">
        <v>6</v>
      </c>
      <c r="J2349" s="9" t="s">
        <v>17</v>
      </c>
      <c r="K2349" s="1" t="s">
        <v>2641</v>
      </c>
      <c r="L2349" t="s">
        <v>10</v>
      </c>
      <c r="M2349" t="str">
        <f>+VLOOKUP(C2349,'[1]TIENDAS 2025'!$A$1:$C$143,3,0)</f>
        <v>departamental</v>
      </c>
      <c r="O2349">
        <v>1</v>
      </c>
    </row>
    <row r="2350" spans="1:15" ht="15" customHeight="1" x14ac:dyDescent="0.3">
      <c r="A2350" s="8">
        <v>209672396</v>
      </c>
      <c r="B2350" s="4" t="s">
        <v>430</v>
      </c>
      <c r="C2350" s="4" t="s">
        <v>431</v>
      </c>
      <c r="D2350" s="6">
        <v>46309.495138888902</v>
      </c>
      <c r="E2350" s="6">
        <v>46309.245104166701</v>
      </c>
      <c r="F2350" s="6">
        <v>46309</v>
      </c>
      <c r="G2350" s="5" t="s">
        <v>12</v>
      </c>
      <c r="H2350" s="5" t="s">
        <v>16</v>
      </c>
      <c r="I2350" s="5">
        <v>6</v>
      </c>
      <c r="J2350" s="9" t="s">
        <v>17</v>
      </c>
      <c r="K2350" s="1" t="s">
        <v>2642</v>
      </c>
      <c r="L2350" t="s">
        <v>10</v>
      </c>
      <c r="M2350" t="str">
        <f>+VLOOKUP(C2350,'[1]TIENDAS 2025'!$A$1:$C$143,3,0)</f>
        <v>prioridad</v>
      </c>
      <c r="O2350">
        <v>1</v>
      </c>
    </row>
    <row r="2351" spans="1:15" ht="15" customHeight="1" x14ac:dyDescent="0.3">
      <c r="A2351" s="8">
        <v>209672449</v>
      </c>
      <c r="B2351" s="4" t="s">
        <v>262</v>
      </c>
      <c r="C2351" s="4" t="s">
        <v>263</v>
      </c>
      <c r="D2351" s="6">
        <v>46309.495150463001</v>
      </c>
      <c r="E2351" s="6">
        <v>46309.245127314804</v>
      </c>
      <c r="F2351" s="6">
        <v>46309</v>
      </c>
      <c r="G2351" s="5" t="s">
        <v>12</v>
      </c>
      <c r="H2351" s="5" t="s">
        <v>16</v>
      </c>
      <c r="I2351" s="5">
        <v>6</v>
      </c>
      <c r="J2351" s="9" t="s">
        <v>17</v>
      </c>
      <c r="K2351" s="1" t="s">
        <v>2643</v>
      </c>
      <c r="L2351" t="s">
        <v>10</v>
      </c>
      <c r="M2351" t="str">
        <f>+VLOOKUP(C2351,'[1]TIENDAS 2025'!$A$1:$C$143,3,0)</f>
        <v>departamental</v>
      </c>
      <c r="O2351">
        <v>1</v>
      </c>
    </row>
    <row r="2352" spans="1:15" ht="15" customHeight="1" x14ac:dyDescent="0.3">
      <c r="A2352" s="8">
        <v>209672404</v>
      </c>
      <c r="B2352" s="4" t="s">
        <v>530</v>
      </c>
      <c r="C2352" s="4" t="s">
        <v>531</v>
      </c>
      <c r="D2352" s="6">
        <v>46309.495173611103</v>
      </c>
      <c r="E2352" s="6">
        <v>46309.245138888902</v>
      </c>
      <c r="F2352" s="6">
        <v>46309</v>
      </c>
      <c r="G2352" s="5" t="s">
        <v>12</v>
      </c>
      <c r="H2352" s="5" t="s">
        <v>16</v>
      </c>
      <c r="I2352" s="5">
        <v>6</v>
      </c>
      <c r="J2352" s="9" t="s">
        <v>17</v>
      </c>
      <c r="K2352" s="1" t="s">
        <v>2644</v>
      </c>
      <c r="L2352" t="s">
        <v>10</v>
      </c>
      <c r="M2352" t="str">
        <f>+VLOOKUP(C2352,'[1]TIENDAS 2025'!$A$1:$C$143,3,0)</f>
        <v>local</v>
      </c>
      <c r="O2352">
        <v>1</v>
      </c>
    </row>
    <row r="2353" spans="1:15" ht="15" customHeight="1" x14ac:dyDescent="0.3">
      <c r="A2353" s="8">
        <v>209672406</v>
      </c>
      <c r="B2353" s="4" t="s">
        <v>205</v>
      </c>
      <c r="C2353" s="4" t="s">
        <v>206</v>
      </c>
      <c r="D2353" s="6">
        <v>46309.495173611103</v>
      </c>
      <c r="E2353" s="6">
        <v>46309.245150463001</v>
      </c>
      <c r="F2353" s="6">
        <v>46309</v>
      </c>
      <c r="G2353" s="5" t="s">
        <v>12</v>
      </c>
      <c r="H2353" s="5" t="s">
        <v>16</v>
      </c>
      <c r="I2353" s="5">
        <v>6</v>
      </c>
      <c r="J2353" s="9" t="s">
        <v>17</v>
      </c>
      <c r="K2353" s="1" t="s">
        <v>2645</v>
      </c>
      <c r="L2353" t="s">
        <v>10</v>
      </c>
      <c r="M2353" t="str">
        <f>+VLOOKUP(C2353,'[1]TIENDAS 2025'!$A$1:$C$143,3,0)</f>
        <v>prioridad</v>
      </c>
      <c r="O2353">
        <v>1</v>
      </c>
    </row>
    <row r="2354" spans="1:15" ht="15" customHeight="1" x14ac:dyDescent="0.3">
      <c r="A2354" s="8">
        <v>209672410</v>
      </c>
      <c r="B2354" s="4" t="s">
        <v>542</v>
      </c>
      <c r="C2354" s="4" t="s">
        <v>543</v>
      </c>
      <c r="D2354" s="6">
        <v>46309.495196759301</v>
      </c>
      <c r="E2354" s="6">
        <v>46309.245162036997</v>
      </c>
      <c r="F2354" s="6">
        <v>46309</v>
      </c>
      <c r="G2354" s="5" t="s">
        <v>12</v>
      </c>
      <c r="H2354" s="5" t="s">
        <v>16</v>
      </c>
      <c r="I2354" s="5">
        <v>6</v>
      </c>
      <c r="J2354" s="9" t="s">
        <v>17</v>
      </c>
      <c r="K2354" s="1" t="s">
        <v>2646</v>
      </c>
      <c r="L2354" t="s">
        <v>10</v>
      </c>
      <c r="M2354" t="str">
        <f>+VLOOKUP(C2354,'[1]TIENDAS 2025'!$A$1:$C$143,3,0)</f>
        <v>prioridad</v>
      </c>
      <c r="O2354">
        <v>1</v>
      </c>
    </row>
    <row r="2355" spans="1:15" ht="15" customHeight="1" x14ac:dyDescent="0.3">
      <c r="A2355" s="8">
        <v>209672458</v>
      </c>
      <c r="B2355" s="4" t="s">
        <v>545</v>
      </c>
      <c r="C2355" s="4" t="s">
        <v>546</v>
      </c>
      <c r="D2355" s="6">
        <v>46309.495208333297</v>
      </c>
      <c r="E2355" s="6">
        <v>46309.245185185202</v>
      </c>
      <c r="F2355" s="6">
        <v>46309</v>
      </c>
      <c r="G2355" s="5" t="s">
        <v>12</v>
      </c>
      <c r="H2355" s="5" t="s">
        <v>16</v>
      </c>
      <c r="I2355" s="5">
        <v>6</v>
      </c>
      <c r="J2355" s="9" t="s">
        <v>17</v>
      </c>
      <c r="K2355" s="1" t="s">
        <v>2647</v>
      </c>
      <c r="L2355" t="s">
        <v>10</v>
      </c>
      <c r="M2355" t="str">
        <f>+VLOOKUP(C2355,'[1]TIENDAS 2025'!$A$1:$C$143,3,0)</f>
        <v>departamental</v>
      </c>
      <c r="O2355">
        <v>1</v>
      </c>
    </row>
    <row r="2356" spans="1:15" ht="15" customHeight="1" x14ac:dyDescent="0.3">
      <c r="A2356" s="7">
        <v>1209672334</v>
      </c>
      <c r="B2356" s="4" t="s">
        <v>247</v>
      </c>
      <c r="C2356" s="4" t="s">
        <v>248</v>
      </c>
      <c r="D2356" s="6">
        <v>46309.495219907403</v>
      </c>
      <c r="E2356" s="6">
        <v>46309.245196759301</v>
      </c>
      <c r="F2356" s="6">
        <v>46309</v>
      </c>
      <c r="G2356" s="5" t="s">
        <v>12</v>
      </c>
      <c r="H2356" s="5" t="s">
        <v>29</v>
      </c>
      <c r="I2356" s="5">
        <v>49</v>
      </c>
      <c r="J2356" s="9" t="s">
        <v>17</v>
      </c>
      <c r="K2356" s="1" t="s">
        <v>2648</v>
      </c>
      <c r="L2356" t="s">
        <v>3284</v>
      </c>
      <c r="M2356" t="str">
        <f>+VLOOKUP(C2356,'[1]TIENDAS 2025'!$A$1:$C$143,3,0)</f>
        <v>local</v>
      </c>
      <c r="O2356">
        <v>1</v>
      </c>
    </row>
    <row r="2357" spans="1:15" ht="15" customHeight="1" x14ac:dyDescent="0.3">
      <c r="A2357" s="7">
        <v>8209672259</v>
      </c>
      <c r="B2357" s="4" t="s">
        <v>318</v>
      </c>
      <c r="C2357" s="4" t="s">
        <v>319</v>
      </c>
      <c r="D2357" s="6">
        <v>46309.4952430556</v>
      </c>
      <c r="E2357" s="6">
        <v>46309.245208333297</v>
      </c>
      <c r="F2357" s="6">
        <v>46309</v>
      </c>
      <c r="G2357" s="5" t="s">
        <v>12</v>
      </c>
      <c r="H2357" s="5" t="s">
        <v>27</v>
      </c>
      <c r="I2357" s="5">
        <v>3</v>
      </c>
      <c r="J2357" s="10" t="s">
        <v>17</v>
      </c>
      <c r="K2357" s="1" t="s">
        <v>2649</v>
      </c>
      <c r="M2357" t="str">
        <f>+VLOOKUP(C2357,'[1]TIENDAS 2025'!$A$1:$C$143,3,0)</f>
        <v>local</v>
      </c>
      <c r="O2357">
        <v>1</v>
      </c>
    </row>
    <row r="2358" spans="1:15" ht="15" customHeight="1" x14ac:dyDescent="0.3">
      <c r="A2358" s="7">
        <v>8209672276</v>
      </c>
      <c r="B2358" s="4" t="s">
        <v>318</v>
      </c>
      <c r="C2358" s="4" t="s">
        <v>319</v>
      </c>
      <c r="D2358" s="6">
        <v>46309.4952430556</v>
      </c>
      <c r="E2358" s="6">
        <v>46309.245219907403</v>
      </c>
      <c r="F2358" s="6">
        <v>46309</v>
      </c>
      <c r="G2358" s="5" t="s">
        <v>12</v>
      </c>
      <c r="H2358" s="5" t="s">
        <v>27</v>
      </c>
      <c r="I2358" s="5">
        <v>7</v>
      </c>
      <c r="J2358" s="10" t="s">
        <v>17</v>
      </c>
      <c r="K2358" s="1" t="s">
        <v>2650</v>
      </c>
      <c r="M2358" t="str">
        <f>+VLOOKUP(C2358,'[1]TIENDAS 2025'!$A$1:$C$143,3,0)</f>
        <v>local</v>
      </c>
      <c r="O2358">
        <v>1</v>
      </c>
    </row>
    <row r="2359" spans="1:15" ht="15" customHeight="1" x14ac:dyDescent="0.3">
      <c r="A2359" s="7">
        <v>1209672238</v>
      </c>
      <c r="B2359" s="4" t="s">
        <v>241</v>
      </c>
      <c r="C2359" s="4" t="s">
        <v>242</v>
      </c>
      <c r="D2359" s="6">
        <v>46309.495266203703</v>
      </c>
      <c r="E2359" s="6">
        <v>46309.245231481502</v>
      </c>
      <c r="F2359" s="6">
        <v>46309</v>
      </c>
      <c r="G2359" s="5" t="s">
        <v>12</v>
      </c>
      <c r="H2359" s="5" t="s">
        <v>29</v>
      </c>
      <c r="I2359" s="5">
        <v>20</v>
      </c>
      <c r="J2359" s="9" t="s">
        <v>17</v>
      </c>
      <c r="K2359" s="1" t="s">
        <v>2651</v>
      </c>
      <c r="L2359" t="s">
        <v>3284</v>
      </c>
      <c r="M2359" t="str">
        <f>+VLOOKUP(C2359,'[1]TIENDAS 2025'!$A$1:$C$143,3,0)</f>
        <v>local</v>
      </c>
      <c r="O2359">
        <v>1</v>
      </c>
    </row>
    <row r="2360" spans="1:15" ht="15" customHeight="1" x14ac:dyDescent="0.3">
      <c r="A2360" s="7">
        <v>1209672277</v>
      </c>
      <c r="B2360" s="4" t="s">
        <v>318</v>
      </c>
      <c r="C2360" s="4" t="s">
        <v>319</v>
      </c>
      <c r="D2360" s="6">
        <v>46309.495277777802</v>
      </c>
      <c r="E2360" s="6">
        <v>46309.245254629597</v>
      </c>
      <c r="F2360" s="6">
        <v>46309</v>
      </c>
      <c r="G2360" s="5" t="s">
        <v>12</v>
      </c>
      <c r="H2360" s="5" t="s">
        <v>16</v>
      </c>
      <c r="I2360" s="5">
        <v>7</v>
      </c>
      <c r="J2360" s="9" t="s">
        <v>17</v>
      </c>
      <c r="K2360" s="1" t="s">
        <v>2652</v>
      </c>
      <c r="L2360" t="s">
        <v>3284</v>
      </c>
      <c r="M2360" t="str">
        <f>+VLOOKUP(C2360,'[1]TIENDAS 2025'!$A$1:$C$143,3,0)</f>
        <v>local</v>
      </c>
      <c r="O2360">
        <v>1</v>
      </c>
    </row>
    <row r="2361" spans="1:15" ht="15" customHeight="1" x14ac:dyDescent="0.3">
      <c r="A2361" s="7">
        <v>1209672240</v>
      </c>
      <c r="B2361" s="4" t="s">
        <v>241</v>
      </c>
      <c r="C2361" s="4" t="s">
        <v>242</v>
      </c>
      <c r="D2361" s="6">
        <v>46309.495300925897</v>
      </c>
      <c r="E2361" s="6">
        <v>46309.245266203703</v>
      </c>
      <c r="F2361" s="6">
        <v>46309</v>
      </c>
      <c r="G2361" s="5" t="s">
        <v>12</v>
      </c>
      <c r="H2361" s="5" t="s">
        <v>29</v>
      </c>
      <c r="I2361" s="5">
        <v>43</v>
      </c>
      <c r="J2361" s="9" t="s">
        <v>17</v>
      </c>
      <c r="K2361" s="1" t="s">
        <v>2653</v>
      </c>
      <c r="L2361" t="s">
        <v>3284</v>
      </c>
      <c r="M2361" t="str">
        <f>+VLOOKUP(C2361,'[1]TIENDAS 2025'!$A$1:$C$143,3,0)</f>
        <v>local</v>
      </c>
      <c r="O2361">
        <v>1</v>
      </c>
    </row>
    <row r="2362" spans="1:15" ht="15" customHeight="1" x14ac:dyDescent="0.3">
      <c r="A2362" s="7">
        <v>1209672309</v>
      </c>
      <c r="B2362" s="4" t="s">
        <v>190</v>
      </c>
      <c r="C2362" s="4" t="s">
        <v>191</v>
      </c>
      <c r="D2362" s="6">
        <v>46309.495312500003</v>
      </c>
      <c r="E2362" s="6">
        <v>46309.245277777802</v>
      </c>
      <c r="F2362" s="6">
        <v>46309</v>
      </c>
      <c r="G2362" s="5" t="s">
        <v>12</v>
      </c>
      <c r="H2362" s="5" t="s">
        <v>29</v>
      </c>
      <c r="I2362" s="5">
        <v>50</v>
      </c>
      <c r="J2362" s="9" t="s">
        <v>17</v>
      </c>
      <c r="K2362" s="1" t="s">
        <v>2654</v>
      </c>
      <c r="L2362" t="s">
        <v>3284</v>
      </c>
      <c r="M2362" t="str">
        <f>+VLOOKUP(C2362,'[1]TIENDAS 2025'!$A$1:$C$143,3,0)</f>
        <v>departamental</v>
      </c>
      <c r="O2362">
        <v>1</v>
      </c>
    </row>
    <row r="2363" spans="1:15" ht="15" customHeight="1" x14ac:dyDescent="0.3">
      <c r="A2363" s="7">
        <v>8209672299</v>
      </c>
      <c r="B2363" s="4" t="s">
        <v>190</v>
      </c>
      <c r="C2363" s="4" t="s">
        <v>191</v>
      </c>
      <c r="D2363" s="6">
        <v>46309.495324074102</v>
      </c>
      <c r="E2363" s="6">
        <v>46309.245289351798</v>
      </c>
      <c r="F2363" s="6">
        <v>46309</v>
      </c>
      <c r="G2363" s="5" t="s">
        <v>12</v>
      </c>
      <c r="H2363" s="5" t="s">
        <v>27</v>
      </c>
      <c r="I2363" s="5">
        <v>19</v>
      </c>
      <c r="J2363" s="10" t="s">
        <v>17</v>
      </c>
      <c r="K2363" s="1" t="s">
        <v>2655</v>
      </c>
      <c r="M2363" t="str">
        <f>+VLOOKUP(C2363,'[1]TIENDAS 2025'!$A$1:$C$143,3,0)</f>
        <v>departamental</v>
      </c>
      <c r="O2363">
        <v>1</v>
      </c>
    </row>
    <row r="2364" spans="1:15" ht="15" customHeight="1" x14ac:dyDescent="0.3">
      <c r="A2364" s="7">
        <v>1209672371</v>
      </c>
      <c r="B2364" s="4" t="s">
        <v>238</v>
      </c>
      <c r="C2364" s="4" t="s">
        <v>239</v>
      </c>
      <c r="D2364" s="6">
        <v>46309.495335648098</v>
      </c>
      <c r="E2364" s="6">
        <v>46309.245312500003</v>
      </c>
      <c r="F2364" s="6">
        <v>46309</v>
      </c>
      <c r="G2364" s="5" t="s">
        <v>12</v>
      </c>
      <c r="H2364" s="5" t="s">
        <v>29</v>
      </c>
      <c r="I2364" s="5">
        <v>54</v>
      </c>
      <c r="J2364" s="9" t="s">
        <v>17</v>
      </c>
      <c r="K2364" s="1" t="s">
        <v>2656</v>
      </c>
      <c r="L2364" t="s">
        <v>3284</v>
      </c>
      <c r="M2364" t="str">
        <f>+VLOOKUP(C2364,'[1]TIENDAS 2025'!$A$1:$C$143,3,0)</f>
        <v>nocturna</v>
      </c>
      <c r="O2364">
        <v>1</v>
      </c>
    </row>
    <row r="2365" spans="1:15" ht="15" customHeight="1" x14ac:dyDescent="0.3">
      <c r="A2365" s="8">
        <v>209672411</v>
      </c>
      <c r="B2365" s="4" t="s">
        <v>400</v>
      </c>
      <c r="C2365" s="4" t="s">
        <v>401</v>
      </c>
      <c r="D2365" s="6">
        <v>46309.495358796303</v>
      </c>
      <c r="E2365" s="6">
        <v>46309.245324074102</v>
      </c>
      <c r="F2365" s="6">
        <v>46309</v>
      </c>
      <c r="G2365" s="5" t="s">
        <v>12</v>
      </c>
      <c r="H2365" s="5" t="s">
        <v>16</v>
      </c>
      <c r="I2365" s="5">
        <v>6</v>
      </c>
      <c r="J2365" s="9" t="s">
        <v>17</v>
      </c>
      <c r="K2365" s="1" t="s">
        <v>2657</v>
      </c>
      <c r="L2365" t="s">
        <v>10</v>
      </c>
      <c r="M2365" t="str">
        <f>+VLOOKUP(C2365,'[1]TIENDAS 2025'!$A$1:$C$143,3,0)</f>
        <v>local</v>
      </c>
      <c r="O2365">
        <v>1</v>
      </c>
    </row>
    <row r="2366" spans="1:15" ht="15" customHeight="1" x14ac:dyDescent="0.3">
      <c r="A2366" s="8">
        <v>209672413</v>
      </c>
      <c r="B2366" s="4" t="s">
        <v>403</v>
      </c>
      <c r="C2366" s="4" t="s">
        <v>404</v>
      </c>
      <c r="D2366" s="6">
        <v>46309.495370370401</v>
      </c>
      <c r="E2366" s="6">
        <v>46309.245335648098</v>
      </c>
      <c r="F2366" s="6">
        <v>46309</v>
      </c>
      <c r="G2366" s="5" t="s">
        <v>12</v>
      </c>
      <c r="H2366" s="5" t="s">
        <v>16</v>
      </c>
      <c r="I2366" s="5">
        <v>6</v>
      </c>
      <c r="J2366" s="9" t="s">
        <v>17</v>
      </c>
      <c r="K2366" s="1" t="s">
        <v>2658</v>
      </c>
      <c r="L2366" t="s">
        <v>10</v>
      </c>
      <c r="M2366" t="str">
        <f>+VLOOKUP(C2366,'[1]TIENDAS 2025'!$A$1:$C$143,3,0)</f>
        <v>prioridad</v>
      </c>
      <c r="O2366">
        <v>1</v>
      </c>
    </row>
    <row r="2367" spans="1:15" ht="15" customHeight="1" x14ac:dyDescent="0.3">
      <c r="A2367" s="8">
        <v>209672474</v>
      </c>
      <c r="B2367" s="4" t="s">
        <v>497</v>
      </c>
      <c r="C2367" s="4" t="s">
        <v>498</v>
      </c>
      <c r="D2367" s="6">
        <v>46309.495381944398</v>
      </c>
      <c r="E2367" s="6">
        <v>46309.245347222197</v>
      </c>
      <c r="F2367" s="6">
        <v>46309</v>
      </c>
      <c r="G2367" s="5" t="s">
        <v>12</v>
      </c>
      <c r="H2367" s="5" t="s">
        <v>16</v>
      </c>
      <c r="I2367" s="5">
        <v>6</v>
      </c>
      <c r="J2367" s="9" t="s">
        <v>17</v>
      </c>
      <c r="K2367" s="1" t="s">
        <v>2659</v>
      </c>
      <c r="L2367" t="s">
        <v>10</v>
      </c>
      <c r="M2367" t="str">
        <f>+VLOOKUP(C2367,'[1]TIENDAS 2025'!$A$1:$C$143,3,0)</f>
        <v>prioridad</v>
      </c>
      <c r="O2367">
        <v>1</v>
      </c>
    </row>
    <row r="2368" spans="1:15" ht="15" customHeight="1" x14ac:dyDescent="0.3">
      <c r="A2368" s="8">
        <v>209672482</v>
      </c>
      <c r="B2368" s="4" t="s">
        <v>424</v>
      </c>
      <c r="C2368" s="4" t="s">
        <v>425</v>
      </c>
      <c r="D2368" s="6">
        <v>46309.495393518497</v>
      </c>
      <c r="E2368" s="6">
        <v>46309.245370370401</v>
      </c>
      <c r="F2368" s="6">
        <v>46309</v>
      </c>
      <c r="G2368" s="5" t="s">
        <v>12</v>
      </c>
      <c r="H2368" s="5" t="s">
        <v>16</v>
      </c>
      <c r="I2368" s="5">
        <v>6</v>
      </c>
      <c r="J2368" s="9" t="s">
        <v>17</v>
      </c>
      <c r="K2368" s="1" t="s">
        <v>2660</v>
      </c>
      <c r="L2368" t="s">
        <v>10</v>
      </c>
      <c r="M2368" t="str">
        <f>+VLOOKUP(C2368,'[1]TIENDAS 2025'!$A$1:$C$143,3,0)</f>
        <v>prioridad</v>
      </c>
      <c r="O2368">
        <v>1</v>
      </c>
    </row>
    <row r="2369" spans="1:15" ht="15" customHeight="1" x14ac:dyDescent="0.3">
      <c r="A2369" s="8">
        <v>209672492</v>
      </c>
      <c r="B2369" s="4" t="s">
        <v>345</v>
      </c>
      <c r="C2369" s="4" t="s">
        <v>346</v>
      </c>
      <c r="D2369" s="6">
        <v>46309.495405092603</v>
      </c>
      <c r="E2369" s="6">
        <v>46309.245381944398</v>
      </c>
      <c r="F2369" s="6">
        <v>46309</v>
      </c>
      <c r="G2369" s="5" t="s">
        <v>12</v>
      </c>
      <c r="H2369" s="5" t="s">
        <v>16</v>
      </c>
      <c r="I2369" s="5">
        <v>6</v>
      </c>
      <c r="J2369" s="9" t="s">
        <v>17</v>
      </c>
      <c r="K2369" s="1" t="s">
        <v>2661</v>
      </c>
      <c r="L2369" t="s">
        <v>10</v>
      </c>
      <c r="M2369" t="str">
        <f>+VLOOKUP(C2369,'[1]TIENDAS 2025'!$A$1:$C$143,3,0)</f>
        <v>local</v>
      </c>
      <c r="O2369">
        <v>1</v>
      </c>
    </row>
    <row r="2370" spans="1:15" ht="15" customHeight="1" x14ac:dyDescent="0.3">
      <c r="A2370" s="7">
        <v>1209672364</v>
      </c>
      <c r="B2370" s="4" t="s">
        <v>238</v>
      </c>
      <c r="C2370" s="4" t="s">
        <v>239</v>
      </c>
      <c r="D2370" s="6">
        <v>46309.495428240698</v>
      </c>
      <c r="E2370" s="6">
        <v>46309.245393518497</v>
      </c>
      <c r="F2370" s="6">
        <v>46309</v>
      </c>
      <c r="G2370" s="5" t="s">
        <v>12</v>
      </c>
      <c r="H2370" s="5" t="s">
        <v>16</v>
      </c>
      <c r="I2370" s="5">
        <v>37</v>
      </c>
      <c r="J2370" s="9" t="s">
        <v>17</v>
      </c>
      <c r="K2370" s="1" t="s">
        <v>2662</v>
      </c>
      <c r="L2370" t="s">
        <v>3284</v>
      </c>
      <c r="M2370" t="str">
        <f>+VLOOKUP(C2370,'[1]TIENDAS 2025'!$A$1:$C$143,3,0)</f>
        <v>nocturna</v>
      </c>
      <c r="O2370">
        <v>1</v>
      </c>
    </row>
    <row r="2371" spans="1:15" ht="15" customHeight="1" x14ac:dyDescent="0.3">
      <c r="A2371" s="8">
        <v>209672507</v>
      </c>
      <c r="B2371" s="4" t="s">
        <v>472</v>
      </c>
      <c r="C2371" s="4" t="s">
        <v>473</v>
      </c>
      <c r="D2371" s="6">
        <v>46309.495439814797</v>
      </c>
      <c r="E2371" s="6">
        <v>46309.245405092603</v>
      </c>
      <c r="F2371" s="6">
        <v>46309</v>
      </c>
      <c r="G2371" s="5" t="s">
        <v>12</v>
      </c>
      <c r="H2371" s="5" t="s">
        <v>16</v>
      </c>
      <c r="I2371" s="5">
        <v>6</v>
      </c>
      <c r="J2371" s="9" t="s">
        <v>17</v>
      </c>
      <c r="K2371" s="1" t="s">
        <v>2663</v>
      </c>
      <c r="L2371" t="s">
        <v>10</v>
      </c>
      <c r="M2371" t="str">
        <f>+VLOOKUP(C2371,'[1]TIENDAS 2025'!$A$1:$C$143,3,0)</f>
        <v>departamental</v>
      </c>
      <c r="O2371">
        <v>1</v>
      </c>
    </row>
    <row r="2372" spans="1:15" ht="15" customHeight="1" x14ac:dyDescent="0.3">
      <c r="A2372" s="8">
        <v>209672423</v>
      </c>
      <c r="B2372" s="4" t="s">
        <v>229</v>
      </c>
      <c r="C2372" s="4" t="s">
        <v>230</v>
      </c>
      <c r="D2372" s="6">
        <v>46309.495451388902</v>
      </c>
      <c r="E2372" s="6">
        <v>46309.245428240698</v>
      </c>
      <c r="F2372" s="6">
        <v>46309</v>
      </c>
      <c r="G2372" s="5" t="s">
        <v>12</v>
      </c>
      <c r="H2372" s="5" t="s">
        <v>16</v>
      </c>
      <c r="I2372" s="5">
        <v>6</v>
      </c>
      <c r="J2372" s="9" t="s">
        <v>17</v>
      </c>
      <c r="K2372" s="1" t="s">
        <v>2664</v>
      </c>
      <c r="L2372" t="s">
        <v>10</v>
      </c>
      <c r="M2372" t="str">
        <f>+VLOOKUP(C2372,'[1]TIENDAS 2025'!$A$1:$C$143,3,0)</f>
        <v>local</v>
      </c>
      <c r="O2372">
        <v>1</v>
      </c>
    </row>
    <row r="2373" spans="1:15" ht="15" customHeight="1" x14ac:dyDescent="0.3">
      <c r="A2373" s="8">
        <v>209672436</v>
      </c>
      <c r="B2373" s="4" t="s">
        <v>333</v>
      </c>
      <c r="C2373" s="4" t="s">
        <v>334</v>
      </c>
      <c r="D2373" s="6">
        <v>46309.495462963001</v>
      </c>
      <c r="E2373" s="6">
        <v>46309.245439814797</v>
      </c>
      <c r="F2373" s="6">
        <v>46309</v>
      </c>
      <c r="G2373" s="5" t="s">
        <v>12</v>
      </c>
      <c r="H2373" s="5" t="s">
        <v>16</v>
      </c>
      <c r="I2373" s="5">
        <v>6</v>
      </c>
      <c r="J2373" s="9" t="s">
        <v>17</v>
      </c>
      <c r="K2373" s="1" t="s">
        <v>2665</v>
      </c>
      <c r="L2373" t="s">
        <v>10</v>
      </c>
      <c r="M2373" t="str">
        <f>+VLOOKUP(C2373,'[1]TIENDAS 2025'!$A$1:$C$143,3,0)</f>
        <v>nocturna</v>
      </c>
      <c r="O2373">
        <v>1</v>
      </c>
    </row>
    <row r="2374" spans="1:15" ht="15" customHeight="1" x14ac:dyDescent="0.3">
      <c r="A2374" s="8">
        <v>209672392</v>
      </c>
      <c r="B2374" s="4" t="s">
        <v>506</v>
      </c>
      <c r="C2374" s="4" t="s">
        <v>507</v>
      </c>
      <c r="D2374" s="6">
        <v>46309.495486111096</v>
      </c>
      <c r="E2374" s="6">
        <v>46309.245451388902</v>
      </c>
      <c r="F2374" s="6">
        <v>46309</v>
      </c>
      <c r="G2374" s="5" t="s">
        <v>12</v>
      </c>
      <c r="H2374" s="5" t="s">
        <v>16</v>
      </c>
      <c r="I2374" s="5">
        <v>6</v>
      </c>
      <c r="J2374" s="9" t="s">
        <v>17</v>
      </c>
      <c r="K2374" s="1" t="s">
        <v>2666</v>
      </c>
      <c r="L2374" t="s">
        <v>10</v>
      </c>
      <c r="M2374" t="str">
        <f>+VLOOKUP(C2374,'[1]TIENDAS 2025'!$A$1:$C$143,3,0)</f>
        <v>departamental</v>
      </c>
      <c r="O2374">
        <v>1</v>
      </c>
    </row>
    <row r="2375" spans="1:15" ht="15" customHeight="1" x14ac:dyDescent="0.3">
      <c r="A2375" s="8">
        <v>209672395</v>
      </c>
      <c r="B2375" s="4" t="s">
        <v>427</v>
      </c>
      <c r="C2375" s="4" t="s">
        <v>428</v>
      </c>
      <c r="D2375" s="6">
        <v>46309.495497685202</v>
      </c>
      <c r="E2375" s="6">
        <v>46309.245462963001</v>
      </c>
      <c r="F2375" s="6">
        <v>46309</v>
      </c>
      <c r="G2375" s="5" t="s">
        <v>12</v>
      </c>
      <c r="H2375" s="5" t="s">
        <v>16</v>
      </c>
      <c r="I2375" s="5">
        <v>6</v>
      </c>
      <c r="J2375" s="9" t="s">
        <v>17</v>
      </c>
      <c r="K2375" s="1" t="s">
        <v>2667</v>
      </c>
      <c r="L2375" t="s">
        <v>10</v>
      </c>
      <c r="M2375" t="str">
        <f>+VLOOKUP(C2375,'[1]TIENDAS 2025'!$A$1:$C$143,3,0)</f>
        <v>local</v>
      </c>
      <c r="O2375">
        <v>1</v>
      </c>
    </row>
    <row r="2376" spans="1:15" ht="15" customHeight="1" x14ac:dyDescent="0.3">
      <c r="A2376" s="8">
        <v>209672441</v>
      </c>
      <c r="B2376" s="4" t="s">
        <v>286</v>
      </c>
      <c r="C2376" s="4" t="s">
        <v>287</v>
      </c>
      <c r="D2376" s="6">
        <v>46309.495520833298</v>
      </c>
      <c r="E2376" s="6">
        <v>46309.245486111096</v>
      </c>
      <c r="F2376" s="6">
        <v>46309</v>
      </c>
      <c r="G2376" s="5" t="s">
        <v>12</v>
      </c>
      <c r="H2376" s="5" t="s">
        <v>16</v>
      </c>
      <c r="I2376" s="5">
        <v>6</v>
      </c>
      <c r="J2376" s="9" t="s">
        <v>17</v>
      </c>
      <c r="K2376" s="1" t="s">
        <v>2668</v>
      </c>
      <c r="L2376" t="s">
        <v>10</v>
      </c>
      <c r="M2376" t="str">
        <f>+VLOOKUP(C2376,'[1]TIENDAS 2025'!$A$1:$C$143,3,0)</f>
        <v>nocturna</v>
      </c>
      <c r="O2376">
        <v>1</v>
      </c>
    </row>
    <row r="2377" spans="1:15" ht="15" customHeight="1" x14ac:dyDescent="0.3">
      <c r="A2377" s="8">
        <v>209672401</v>
      </c>
      <c r="B2377" s="4" t="s">
        <v>295</v>
      </c>
      <c r="C2377" s="4" t="s">
        <v>296</v>
      </c>
      <c r="D2377" s="6">
        <v>46309.495520833298</v>
      </c>
      <c r="E2377" s="6">
        <v>46309.245497685202</v>
      </c>
      <c r="F2377" s="6">
        <v>46309</v>
      </c>
      <c r="G2377" s="5" t="s">
        <v>12</v>
      </c>
      <c r="H2377" s="5" t="s">
        <v>16</v>
      </c>
      <c r="I2377" s="5">
        <v>6</v>
      </c>
      <c r="J2377" s="9" t="s">
        <v>17</v>
      </c>
      <c r="K2377" s="1" t="s">
        <v>2669</v>
      </c>
      <c r="L2377" t="s">
        <v>10</v>
      </c>
      <c r="M2377" t="str">
        <f>+VLOOKUP(C2377,'[1]TIENDAS 2025'!$A$1:$C$143,3,0)</f>
        <v>local</v>
      </c>
      <c r="O2377">
        <v>1</v>
      </c>
    </row>
    <row r="2378" spans="1:15" ht="15" customHeight="1" x14ac:dyDescent="0.3">
      <c r="A2378" s="8">
        <v>209672455</v>
      </c>
      <c r="B2378" s="4" t="s">
        <v>354</v>
      </c>
      <c r="C2378" s="4" t="s">
        <v>355</v>
      </c>
      <c r="D2378" s="6">
        <v>46309.495543981502</v>
      </c>
      <c r="E2378" s="6">
        <v>46309.245509259301</v>
      </c>
      <c r="F2378" s="6">
        <v>46309</v>
      </c>
      <c r="G2378" s="5" t="s">
        <v>12</v>
      </c>
      <c r="H2378" s="5" t="s">
        <v>16</v>
      </c>
      <c r="I2378" s="5">
        <v>6</v>
      </c>
      <c r="J2378" s="9" t="s">
        <v>17</v>
      </c>
      <c r="K2378" s="1" t="s">
        <v>2670</v>
      </c>
      <c r="L2378" t="s">
        <v>10</v>
      </c>
      <c r="M2378" t="str">
        <f>+VLOOKUP(C2378,'[1]TIENDAS 2025'!$A$1:$C$143,3,0)</f>
        <v>nocturna</v>
      </c>
      <c r="O2378">
        <v>1</v>
      </c>
    </row>
    <row r="2379" spans="1:15" ht="15" customHeight="1" x14ac:dyDescent="0.3">
      <c r="A2379" s="7">
        <v>8209672241</v>
      </c>
      <c r="B2379" s="4" t="s">
        <v>241</v>
      </c>
      <c r="C2379" s="4" t="s">
        <v>242</v>
      </c>
      <c r="D2379" s="6">
        <v>46309.495555555601</v>
      </c>
      <c r="E2379" s="6">
        <v>46309.245520833298</v>
      </c>
      <c r="F2379" s="6">
        <v>46309</v>
      </c>
      <c r="G2379" s="5" t="s">
        <v>12</v>
      </c>
      <c r="H2379" s="5" t="s">
        <v>27</v>
      </c>
      <c r="I2379" s="5">
        <v>5</v>
      </c>
      <c r="J2379" s="10" t="s">
        <v>17</v>
      </c>
      <c r="K2379" s="1" t="s">
        <v>2671</v>
      </c>
      <c r="M2379" t="str">
        <f>+VLOOKUP(C2379,'[1]TIENDAS 2025'!$A$1:$C$143,3,0)</f>
        <v>local</v>
      </c>
      <c r="O2379">
        <v>1</v>
      </c>
    </row>
    <row r="2380" spans="1:15" ht="15" customHeight="1" x14ac:dyDescent="0.3">
      <c r="A2380" s="7">
        <v>1209672243</v>
      </c>
      <c r="B2380" s="4" t="s">
        <v>241</v>
      </c>
      <c r="C2380" s="4" t="s">
        <v>242</v>
      </c>
      <c r="D2380" s="6">
        <v>46309.495567129597</v>
      </c>
      <c r="E2380" s="6">
        <v>46309.245543981502</v>
      </c>
      <c r="F2380" s="6">
        <v>46309</v>
      </c>
      <c r="G2380" s="5" t="s">
        <v>12</v>
      </c>
      <c r="H2380" s="5" t="s">
        <v>16</v>
      </c>
      <c r="I2380" s="5">
        <v>3</v>
      </c>
      <c r="J2380" s="9" t="s">
        <v>17</v>
      </c>
      <c r="K2380" s="1" t="s">
        <v>2672</v>
      </c>
      <c r="L2380" t="s">
        <v>3284</v>
      </c>
      <c r="M2380" t="str">
        <f>+VLOOKUP(C2380,'[1]TIENDAS 2025'!$A$1:$C$143,3,0)</f>
        <v>local</v>
      </c>
      <c r="O2380">
        <v>1</v>
      </c>
    </row>
    <row r="2381" spans="1:15" ht="15" customHeight="1" x14ac:dyDescent="0.3">
      <c r="A2381" s="7">
        <v>8209672311</v>
      </c>
      <c r="B2381" s="4" t="s">
        <v>190</v>
      </c>
      <c r="C2381" s="4" t="s">
        <v>191</v>
      </c>
      <c r="D2381" s="6">
        <v>46309.495590277802</v>
      </c>
      <c r="E2381" s="6">
        <v>46309.245567129597</v>
      </c>
      <c r="F2381" s="6">
        <v>46309</v>
      </c>
      <c r="G2381" s="5" t="s">
        <v>12</v>
      </c>
      <c r="H2381" s="5" t="s">
        <v>27</v>
      </c>
      <c r="I2381" s="5">
        <v>12</v>
      </c>
      <c r="J2381" s="10" t="s">
        <v>17</v>
      </c>
      <c r="K2381" s="1" t="s">
        <v>2673</v>
      </c>
      <c r="M2381" t="str">
        <f>+VLOOKUP(C2381,'[1]TIENDAS 2025'!$A$1:$C$143,3,0)</f>
        <v>departamental</v>
      </c>
      <c r="O2381">
        <v>1</v>
      </c>
    </row>
    <row r="2382" spans="1:15" ht="15" customHeight="1" x14ac:dyDescent="0.3">
      <c r="A2382" s="7">
        <v>8209672326</v>
      </c>
      <c r="B2382" s="4" t="s">
        <v>247</v>
      </c>
      <c r="C2382" s="4" t="s">
        <v>248</v>
      </c>
      <c r="D2382" s="6">
        <v>46309.495590277802</v>
      </c>
      <c r="E2382" s="6">
        <v>46309.245555555601</v>
      </c>
      <c r="F2382" s="6">
        <v>46309</v>
      </c>
      <c r="G2382" s="5" t="s">
        <v>12</v>
      </c>
      <c r="H2382" s="5" t="s">
        <v>27</v>
      </c>
      <c r="I2382" s="5">
        <v>20</v>
      </c>
      <c r="J2382" s="10" t="s">
        <v>17</v>
      </c>
      <c r="K2382" s="1" t="s">
        <v>2674</v>
      </c>
      <c r="M2382" t="str">
        <f>+VLOOKUP(C2382,'[1]TIENDAS 2025'!$A$1:$C$143,3,0)</f>
        <v>local</v>
      </c>
      <c r="O2382">
        <v>1</v>
      </c>
    </row>
    <row r="2383" spans="1:15" ht="15" customHeight="1" x14ac:dyDescent="0.3">
      <c r="A2383" s="7">
        <v>1209672339</v>
      </c>
      <c r="B2383" s="4" t="s">
        <v>247</v>
      </c>
      <c r="C2383" s="4" t="s">
        <v>248</v>
      </c>
      <c r="D2383" s="6">
        <v>46309.495613425897</v>
      </c>
      <c r="E2383" s="6">
        <v>46309.245578703703</v>
      </c>
      <c r="F2383" s="6">
        <v>46309</v>
      </c>
      <c r="G2383" s="5" t="s">
        <v>12</v>
      </c>
      <c r="H2383" s="5" t="s">
        <v>16</v>
      </c>
      <c r="I2383" s="5">
        <v>1</v>
      </c>
      <c r="J2383" s="9" t="s">
        <v>17</v>
      </c>
      <c r="K2383" s="1" t="s">
        <v>2675</v>
      </c>
      <c r="L2383" t="s">
        <v>3284</v>
      </c>
      <c r="M2383" t="str">
        <f>+VLOOKUP(C2383,'[1]TIENDAS 2025'!$A$1:$C$143,3,0)</f>
        <v>local</v>
      </c>
      <c r="O2383">
        <v>1</v>
      </c>
    </row>
    <row r="2384" spans="1:15" ht="15" customHeight="1" x14ac:dyDescent="0.3">
      <c r="A2384" s="7">
        <v>1209672272</v>
      </c>
      <c r="B2384" s="4" t="s">
        <v>318</v>
      </c>
      <c r="C2384" s="4" t="s">
        <v>319</v>
      </c>
      <c r="D2384" s="6">
        <v>46309.495625000003</v>
      </c>
      <c r="E2384" s="6">
        <v>46309.245590277802</v>
      </c>
      <c r="F2384" s="6">
        <v>46309</v>
      </c>
      <c r="G2384" s="5" t="s">
        <v>12</v>
      </c>
      <c r="H2384" s="5" t="s">
        <v>16</v>
      </c>
      <c r="I2384" s="5">
        <v>38</v>
      </c>
      <c r="J2384" s="9" t="s">
        <v>17</v>
      </c>
      <c r="K2384" s="1" t="s">
        <v>2676</v>
      </c>
      <c r="L2384" t="s">
        <v>3284</v>
      </c>
      <c r="M2384" t="str">
        <f>+VLOOKUP(C2384,'[1]TIENDAS 2025'!$A$1:$C$143,3,0)</f>
        <v>local</v>
      </c>
      <c r="O2384">
        <v>1</v>
      </c>
    </row>
    <row r="2385" spans="1:15" ht="15" customHeight="1" x14ac:dyDescent="0.3">
      <c r="A2385" s="8">
        <v>209672415</v>
      </c>
      <c r="B2385" s="4" t="s">
        <v>548</v>
      </c>
      <c r="C2385" s="4" t="s">
        <v>549</v>
      </c>
      <c r="D2385" s="6">
        <v>46309.495648148099</v>
      </c>
      <c r="E2385" s="6">
        <v>46309.245613425897</v>
      </c>
      <c r="F2385" s="6">
        <v>46309</v>
      </c>
      <c r="G2385" s="5" t="s">
        <v>12</v>
      </c>
      <c r="H2385" s="5" t="s">
        <v>16</v>
      </c>
      <c r="I2385" s="5">
        <v>6</v>
      </c>
      <c r="J2385" s="9" t="s">
        <v>17</v>
      </c>
      <c r="K2385" s="1" t="s">
        <v>2677</v>
      </c>
      <c r="L2385" t="s">
        <v>10</v>
      </c>
      <c r="M2385" t="str">
        <f>+VLOOKUP(C2385,'[1]TIENDAS 2025'!$A$1:$C$143,3,0)</f>
        <v>departamental</v>
      </c>
      <c r="O2385">
        <v>1</v>
      </c>
    </row>
    <row r="2386" spans="1:15" ht="15" customHeight="1" x14ac:dyDescent="0.3">
      <c r="A2386" s="8">
        <v>209672465</v>
      </c>
      <c r="B2386" s="4" t="s">
        <v>93</v>
      </c>
      <c r="C2386" s="4" t="s">
        <v>94</v>
      </c>
      <c r="D2386" s="6">
        <v>46309.495659722197</v>
      </c>
      <c r="E2386" s="6">
        <v>46309.245625000003</v>
      </c>
      <c r="F2386" s="6">
        <v>46309</v>
      </c>
      <c r="G2386" s="5" t="s">
        <v>12</v>
      </c>
      <c r="H2386" s="5" t="s">
        <v>16</v>
      </c>
      <c r="I2386" s="5">
        <v>6</v>
      </c>
      <c r="J2386" s="9" t="s">
        <v>17</v>
      </c>
      <c r="K2386" s="1" t="s">
        <v>2678</v>
      </c>
      <c r="L2386" t="s">
        <v>10</v>
      </c>
      <c r="M2386" t="str">
        <f>+VLOOKUP(C2386,'[1]TIENDAS 2025'!$A$1:$C$143,3,0)</f>
        <v>departamental</v>
      </c>
      <c r="O2386">
        <v>1</v>
      </c>
    </row>
    <row r="2387" spans="1:15" ht="15" customHeight="1" x14ac:dyDescent="0.3">
      <c r="A2387" s="8">
        <v>209672473</v>
      </c>
      <c r="B2387" s="4" t="s">
        <v>370</v>
      </c>
      <c r="C2387" s="4" t="s">
        <v>371</v>
      </c>
      <c r="D2387" s="6">
        <v>46309.495671296303</v>
      </c>
      <c r="E2387" s="6">
        <v>46309.245636574102</v>
      </c>
      <c r="F2387" s="6">
        <v>46309</v>
      </c>
      <c r="G2387" s="5" t="s">
        <v>12</v>
      </c>
      <c r="H2387" s="5" t="s">
        <v>16</v>
      </c>
      <c r="I2387" s="5">
        <v>6</v>
      </c>
      <c r="J2387" s="9" t="s">
        <v>17</v>
      </c>
      <c r="K2387" s="1" t="s">
        <v>2679</v>
      </c>
      <c r="L2387" t="s">
        <v>10</v>
      </c>
      <c r="M2387" t="str">
        <f>+VLOOKUP(C2387,'[1]TIENDAS 2025'!$A$1:$C$143,3,0)</f>
        <v>nocturna</v>
      </c>
      <c r="O2387">
        <v>1</v>
      </c>
    </row>
    <row r="2388" spans="1:15" ht="15" customHeight="1" x14ac:dyDescent="0.3">
      <c r="A2388" s="8">
        <v>209672475</v>
      </c>
      <c r="B2388" s="4" t="s">
        <v>376</v>
      </c>
      <c r="C2388" s="4" t="s">
        <v>377</v>
      </c>
      <c r="D2388" s="6">
        <v>46309.495682870402</v>
      </c>
      <c r="E2388" s="6">
        <v>46309.245659722197</v>
      </c>
      <c r="F2388" s="6">
        <v>46309</v>
      </c>
      <c r="G2388" s="5" t="s">
        <v>12</v>
      </c>
      <c r="H2388" s="5" t="s">
        <v>16</v>
      </c>
      <c r="I2388" s="5">
        <v>6</v>
      </c>
      <c r="J2388" s="9" t="s">
        <v>17</v>
      </c>
      <c r="K2388" s="1" t="s">
        <v>2680</v>
      </c>
      <c r="L2388" t="s">
        <v>10</v>
      </c>
      <c r="M2388" t="str">
        <f>+VLOOKUP(C2388,'[1]TIENDAS 2025'!$A$1:$C$143,3,0)</f>
        <v>nocturna</v>
      </c>
      <c r="O2388">
        <v>1</v>
      </c>
    </row>
    <row r="2389" spans="1:15" ht="15" customHeight="1" x14ac:dyDescent="0.3">
      <c r="A2389" s="7">
        <v>1209672716</v>
      </c>
      <c r="B2389" s="4" t="s">
        <v>424</v>
      </c>
      <c r="C2389" s="4" t="s">
        <v>425</v>
      </c>
      <c r="D2389" s="6">
        <v>46309.495960648099</v>
      </c>
      <c r="E2389" s="6">
        <v>46309.245925925898</v>
      </c>
      <c r="F2389" s="6">
        <v>46309</v>
      </c>
      <c r="G2389" s="5" t="s">
        <v>12</v>
      </c>
      <c r="H2389" s="5" t="s">
        <v>16</v>
      </c>
      <c r="I2389" s="5">
        <v>58</v>
      </c>
      <c r="J2389" s="9" t="s">
        <v>17</v>
      </c>
      <c r="K2389" s="1" t="s">
        <v>2681</v>
      </c>
      <c r="L2389" t="s">
        <v>3284</v>
      </c>
      <c r="M2389" t="str">
        <f>+VLOOKUP(C2389,'[1]TIENDAS 2025'!$A$1:$C$143,3,0)</f>
        <v>prioridad</v>
      </c>
      <c r="O2389">
        <v>1</v>
      </c>
    </row>
    <row r="2390" spans="1:15" ht="15" customHeight="1" x14ac:dyDescent="0.3">
      <c r="A2390" s="8">
        <v>209672630</v>
      </c>
      <c r="B2390" s="4" t="s">
        <v>333</v>
      </c>
      <c r="C2390" s="4" t="s">
        <v>334</v>
      </c>
      <c r="D2390" s="6">
        <v>46309.495972222197</v>
      </c>
      <c r="E2390" s="6">
        <v>46309.245949074102</v>
      </c>
      <c r="F2390" s="6">
        <v>46309</v>
      </c>
      <c r="G2390" s="5" t="s">
        <v>12</v>
      </c>
      <c r="H2390" s="5" t="s">
        <v>16</v>
      </c>
      <c r="I2390" s="5">
        <v>1</v>
      </c>
      <c r="J2390" s="9" t="s">
        <v>17</v>
      </c>
      <c r="K2390" s="1" t="s">
        <v>2682</v>
      </c>
      <c r="L2390" t="s">
        <v>10</v>
      </c>
      <c r="M2390" t="str">
        <f>+VLOOKUP(C2390,'[1]TIENDAS 2025'!$A$1:$C$143,3,0)</f>
        <v>nocturna</v>
      </c>
      <c r="O2390">
        <v>1</v>
      </c>
    </row>
    <row r="2391" spans="1:15" ht="15" customHeight="1" x14ac:dyDescent="0.3">
      <c r="A2391" s="8">
        <v>209672632</v>
      </c>
      <c r="B2391" s="4" t="s">
        <v>382</v>
      </c>
      <c r="C2391" s="4" t="s">
        <v>383</v>
      </c>
      <c r="D2391" s="6">
        <v>46309.495983796303</v>
      </c>
      <c r="E2391" s="6">
        <v>46309.245960648099</v>
      </c>
      <c r="F2391" s="6">
        <v>46309</v>
      </c>
      <c r="G2391" s="5" t="s">
        <v>12</v>
      </c>
      <c r="H2391" s="5" t="s">
        <v>16</v>
      </c>
      <c r="I2391" s="5">
        <v>1</v>
      </c>
      <c r="J2391" s="9" t="s">
        <v>17</v>
      </c>
      <c r="K2391" s="1" t="s">
        <v>2683</v>
      </c>
      <c r="L2391" t="s">
        <v>10</v>
      </c>
      <c r="M2391" t="str">
        <f>+VLOOKUP(C2391,'[1]TIENDAS 2025'!$A$1:$C$143,3,0)</f>
        <v>local</v>
      </c>
      <c r="O2391">
        <v>1</v>
      </c>
    </row>
    <row r="2392" spans="1:15" ht="15" customHeight="1" x14ac:dyDescent="0.3">
      <c r="A2392" s="8">
        <v>209672636</v>
      </c>
      <c r="B2392" s="4" t="s">
        <v>289</v>
      </c>
      <c r="C2392" s="4" t="s">
        <v>290</v>
      </c>
      <c r="D2392" s="6">
        <v>46309.496006944399</v>
      </c>
      <c r="E2392" s="6">
        <v>46309.245972222197</v>
      </c>
      <c r="F2392" s="6">
        <v>46309</v>
      </c>
      <c r="G2392" s="5" t="s">
        <v>12</v>
      </c>
      <c r="H2392" s="5" t="s">
        <v>16</v>
      </c>
      <c r="I2392" s="5">
        <v>1</v>
      </c>
      <c r="J2392" s="9" t="s">
        <v>17</v>
      </c>
      <c r="K2392" s="1" t="s">
        <v>2684</v>
      </c>
      <c r="L2392" t="s">
        <v>10</v>
      </c>
      <c r="M2392" t="str">
        <f>+VLOOKUP(C2392,'[1]TIENDAS 2025'!$A$1:$C$143,3,0)</f>
        <v>departamental</v>
      </c>
      <c r="O2392">
        <v>1</v>
      </c>
    </row>
    <row r="2393" spans="1:15" ht="15" customHeight="1" x14ac:dyDescent="0.3">
      <c r="A2393" s="8">
        <v>209672642</v>
      </c>
      <c r="B2393" s="4" t="s">
        <v>451</v>
      </c>
      <c r="C2393" s="4" t="s">
        <v>452</v>
      </c>
      <c r="D2393" s="6">
        <v>46309.496018518497</v>
      </c>
      <c r="E2393" s="6">
        <v>46309.245995370402</v>
      </c>
      <c r="F2393" s="6">
        <v>46309</v>
      </c>
      <c r="G2393" s="5" t="s">
        <v>12</v>
      </c>
      <c r="H2393" s="5" t="s">
        <v>16</v>
      </c>
      <c r="I2393" s="5">
        <v>1</v>
      </c>
      <c r="J2393" s="9" t="s">
        <v>17</v>
      </c>
      <c r="K2393" s="1" t="s">
        <v>2685</v>
      </c>
      <c r="L2393" t="s">
        <v>10</v>
      </c>
      <c r="M2393" t="str">
        <f>+VLOOKUP(C2393,'[1]TIENDAS 2025'!$A$1:$C$143,3,0)</f>
        <v>departamental</v>
      </c>
      <c r="O2393">
        <v>1</v>
      </c>
    </row>
    <row r="2394" spans="1:15" ht="15" customHeight="1" x14ac:dyDescent="0.3">
      <c r="A2394" s="8">
        <v>209672653</v>
      </c>
      <c r="B2394" s="4" t="s">
        <v>304</v>
      </c>
      <c r="C2394" s="4" t="s">
        <v>305</v>
      </c>
      <c r="D2394" s="6">
        <v>46309.496041666702</v>
      </c>
      <c r="E2394" s="6">
        <v>46309.246006944399</v>
      </c>
      <c r="F2394" s="6">
        <v>46309</v>
      </c>
      <c r="G2394" s="5" t="s">
        <v>12</v>
      </c>
      <c r="H2394" s="5" t="s">
        <v>16</v>
      </c>
      <c r="I2394" s="5">
        <v>1</v>
      </c>
      <c r="J2394" s="9" t="s">
        <v>17</v>
      </c>
      <c r="K2394" s="1" t="s">
        <v>2686</v>
      </c>
      <c r="L2394" t="s">
        <v>10</v>
      </c>
      <c r="M2394" t="str">
        <f>+VLOOKUP(C2394,'[1]TIENDAS 2025'!$A$1:$C$143,3,0)</f>
        <v>departamental</v>
      </c>
      <c r="O2394">
        <v>1</v>
      </c>
    </row>
    <row r="2395" spans="1:15" ht="15" customHeight="1" x14ac:dyDescent="0.3">
      <c r="A2395" s="7">
        <v>1209672762</v>
      </c>
      <c r="B2395" s="4" t="s">
        <v>385</v>
      </c>
      <c r="C2395" s="4" t="s">
        <v>386</v>
      </c>
      <c r="D2395" s="6">
        <v>46309.496041666702</v>
      </c>
      <c r="E2395" s="6">
        <v>46309.246018518497</v>
      </c>
      <c r="F2395" s="6">
        <v>46309</v>
      </c>
      <c r="G2395" s="5" t="s">
        <v>12</v>
      </c>
      <c r="H2395" s="5" t="s">
        <v>29</v>
      </c>
      <c r="I2395" s="5">
        <v>8</v>
      </c>
      <c r="J2395" s="9" t="s">
        <v>17</v>
      </c>
      <c r="K2395" s="1" t="s">
        <v>2687</v>
      </c>
      <c r="L2395" t="s">
        <v>3284</v>
      </c>
      <c r="M2395" t="str">
        <f>+VLOOKUP(C2395,'[1]TIENDAS 2025'!$A$1:$C$143,3,0)</f>
        <v>nocturna</v>
      </c>
      <c r="O2395">
        <v>1</v>
      </c>
    </row>
    <row r="2396" spans="1:15" ht="15" customHeight="1" x14ac:dyDescent="0.3">
      <c r="A2396" s="7">
        <v>1209672772</v>
      </c>
      <c r="B2396" s="4" t="s">
        <v>385</v>
      </c>
      <c r="C2396" s="4" t="s">
        <v>386</v>
      </c>
      <c r="D2396" s="6">
        <v>46309.496064814797</v>
      </c>
      <c r="E2396" s="6">
        <v>46309.246030092603</v>
      </c>
      <c r="F2396" s="6">
        <v>46309</v>
      </c>
      <c r="G2396" s="5" t="s">
        <v>12</v>
      </c>
      <c r="H2396" s="5" t="s">
        <v>16</v>
      </c>
      <c r="I2396" s="5">
        <v>2</v>
      </c>
      <c r="J2396" s="9" t="s">
        <v>17</v>
      </c>
      <c r="K2396" s="1" t="s">
        <v>2688</v>
      </c>
      <c r="L2396" t="s">
        <v>3284</v>
      </c>
      <c r="M2396" t="str">
        <f>+VLOOKUP(C2396,'[1]TIENDAS 2025'!$A$1:$C$143,3,0)</f>
        <v>nocturna</v>
      </c>
      <c r="O2396">
        <v>1</v>
      </c>
    </row>
    <row r="2397" spans="1:15" ht="15" customHeight="1" x14ac:dyDescent="0.3">
      <c r="A2397" s="7">
        <v>8209672792</v>
      </c>
      <c r="B2397" s="4" t="s">
        <v>436</v>
      </c>
      <c r="C2397" s="4" t="s">
        <v>437</v>
      </c>
      <c r="D2397" s="6">
        <v>46309.496076388903</v>
      </c>
      <c r="E2397" s="6">
        <v>46309.246053240699</v>
      </c>
      <c r="F2397" s="6">
        <v>46309</v>
      </c>
      <c r="G2397" s="5" t="s">
        <v>12</v>
      </c>
      <c r="H2397" s="5" t="s">
        <v>27</v>
      </c>
      <c r="I2397" s="5">
        <v>24</v>
      </c>
      <c r="J2397" s="10" t="s">
        <v>17</v>
      </c>
      <c r="K2397" s="1" t="s">
        <v>2689</v>
      </c>
      <c r="M2397" t="str">
        <f>+VLOOKUP(C2397,'[1]TIENDAS 2025'!$A$1:$C$143,3,0)</f>
        <v>departamental</v>
      </c>
      <c r="O2397">
        <v>1</v>
      </c>
    </row>
    <row r="2398" spans="1:15" ht="15" customHeight="1" x14ac:dyDescent="0.3">
      <c r="A2398" s="7">
        <v>8209672794</v>
      </c>
      <c r="B2398" s="4" t="s">
        <v>436</v>
      </c>
      <c r="C2398" s="4" t="s">
        <v>437</v>
      </c>
      <c r="D2398" s="6">
        <v>46309.496099536998</v>
      </c>
      <c r="E2398" s="6">
        <v>46309.246064814797</v>
      </c>
      <c r="F2398" s="6">
        <v>46309</v>
      </c>
      <c r="G2398" s="5" t="s">
        <v>12</v>
      </c>
      <c r="H2398" s="5" t="s">
        <v>27</v>
      </c>
      <c r="I2398" s="5">
        <v>6</v>
      </c>
      <c r="J2398" s="10" t="s">
        <v>17</v>
      </c>
      <c r="K2398" s="1" t="s">
        <v>2690</v>
      </c>
      <c r="M2398" t="str">
        <f>+VLOOKUP(C2398,'[1]TIENDAS 2025'!$A$1:$C$143,3,0)</f>
        <v>departamental</v>
      </c>
      <c r="O2398">
        <v>1</v>
      </c>
    </row>
    <row r="2399" spans="1:15" ht="15" customHeight="1" x14ac:dyDescent="0.3">
      <c r="A2399" s="7">
        <v>1209672527</v>
      </c>
      <c r="B2399" s="4" t="s">
        <v>336</v>
      </c>
      <c r="C2399" s="4" t="s">
        <v>337</v>
      </c>
      <c r="D2399" s="6">
        <v>46309.496111111097</v>
      </c>
      <c r="E2399" s="6">
        <v>46309.246076388903</v>
      </c>
      <c r="F2399" s="6">
        <v>46309</v>
      </c>
      <c r="G2399" s="5" t="s">
        <v>12</v>
      </c>
      <c r="H2399" s="5" t="s">
        <v>16</v>
      </c>
      <c r="I2399" s="5">
        <v>6</v>
      </c>
      <c r="J2399" s="9" t="s">
        <v>17</v>
      </c>
      <c r="K2399" s="1" t="s">
        <v>2691</v>
      </c>
      <c r="L2399" t="s">
        <v>3284</v>
      </c>
      <c r="M2399" t="str">
        <f>+VLOOKUP(C2399,'[1]TIENDAS 2025'!$A$1:$C$143,3,0)</f>
        <v xml:space="preserve">departamental </v>
      </c>
      <c r="O2399">
        <v>1</v>
      </c>
    </row>
    <row r="2400" spans="1:15" ht="15" customHeight="1" x14ac:dyDescent="0.3">
      <c r="A2400" s="7">
        <v>1209672536</v>
      </c>
      <c r="B2400" s="4" t="s">
        <v>336</v>
      </c>
      <c r="C2400" s="4" t="s">
        <v>337</v>
      </c>
      <c r="D2400" s="6">
        <v>46309.496122685203</v>
      </c>
      <c r="E2400" s="6">
        <v>46309.246087963002</v>
      </c>
      <c r="F2400" s="6">
        <v>46309</v>
      </c>
      <c r="G2400" s="5" t="s">
        <v>12</v>
      </c>
      <c r="H2400" s="5" t="s">
        <v>27</v>
      </c>
      <c r="I2400" s="5">
        <v>17</v>
      </c>
      <c r="J2400" s="9" t="s">
        <v>17</v>
      </c>
      <c r="K2400" s="1" t="s">
        <v>2692</v>
      </c>
      <c r="L2400" t="s">
        <v>3284</v>
      </c>
      <c r="M2400" t="str">
        <f>+VLOOKUP(C2400,'[1]TIENDAS 2025'!$A$1:$C$143,3,0)</f>
        <v xml:space="preserve">departamental </v>
      </c>
      <c r="O2400">
        <v>1</v>
      </c>
    </row>
    <row r="2401" spans="1:15" ht="15" customHeight="1" x14ac:dyDescent="0.3">
      <c r="A2401" s="8">
        <v>209672660</v>
      </c>
      <c r="B2401" s="4" t="s">
        <v>412</v>
      </c>
      <c r="C2401" s="4" t="s">
        <v>413</v>
      </c>
      <c r="D2401" s="6">
        <v>46309.496134259301</v>
      </c>
      <c r="E2401" s="6">
        <v>46309.246111111097</v>
      </c>
      <c r="F2401" s="6">
        <v>46309</v>
      </c>
      <c r="G2401" s="5" t="s">
        <v>12</v>
      </c>
      <c r="H2401" s="5" t="s">
        <v>16</v>
      </c>
      <c r="I2401" s="5">
        <v>1</v>
      </c>
      <c r="J2401" s="9" t="s">
        <v>17</v>
      </c>
      <c r="K2401" s="1" t="s">
        <v>2693</v>
      </c>
      <c r="L2401" t="s">
        <v>10</v>
      </c>
      <c r="M2401" t="str">
        <f>+VLOOKUP(C2401,'[1]TIENDAS 2025'!$A$1:$C$143,3,0)</f>
        <v>local</v>
      </c>
      <c r="O2401">
        <v>1</v>
      </c>
    </row>
    <row r="2402" spans="1:15" ht="15" customHeight="1" x14ac:dyDescent="0.3">
      <c r="A2402" s="8">
        <v>209672664</v>
      </c>
      <c r="B2402" s="4" t="s">
        <v>367</v>
      </c>
      <c r="C2402" s="4" t="s">
        <v>368</v>
      </c>
      <c r="D2402" s="6">
        <v>46309.496145833298</v>
      </c>
      <c r="E2402" s="6">
        <v>46309.246122685203</v>
      </c>
      <c r="F2402" s="6">
        <v>46309</v>
      </c>
      <c r="G2402" s="5" t="s">
        <v>12</v>
      </c>
      <c r="H2402" s="5" t="s">
        <v>16</v>
      </c>
      <c r="I2402" s="5">
        <v>1</v>
      </c>
      <c r="J2402" s="9" t="s">
        <v>17</v>
      </c>
      <c r="K2402" s="1" t="s">
        <v>2694</v>
      </c>
      <c r="L2402" t="s">
        <v>10</v>
      </c>
      <c r="M2402" t="str">
        <f>+VLOOKUP(C2402,'[1]TIENDAS 2025'!$A$1:$C$143,3,0)</f>
        <v>local</v>
      </c>
      <c r="O2402">
        <v>1</v>
      </c>
    </row>
    <row r="2403" spans="1:15" ht="15" customHeight="1" x14ac:dyDescent="0.3">
      <c r="A2403" s="7">
        <v>1209672715</v>
      </c>
      <c r="B2403" s="4" t="s">
        <v>424</v>
      </c>
      <c r="C2403" s="4" t="s">
        <v>425</v>
      </c>
      <c r="D2403" s="6">
        <v>46309.496168981503</v>
      </c>
      <c r="E2403" s="6">
        <v>46309.246134259301</v>
      </c>
      <c r="F2403" s="6">
        <v>46309</v>
      </c>
      <c r="G2403" s="5" t="s">
        <v>12</v>
      </c>
      <c r="H2403" s="5" t="s">
        <v>16</v>
      </c>
      <c r="I2403" s="5">
        <v>3</v>
      </c>
      <c r="J2403" s="9" t="s">
        <v>17</v>
      </c>
      <c r="K2403" s="1" t="s">
        <v>2695</v>
      </c>
      <c r="L2403" t="s">
        <v>3284</v>
      </c>
      <c r="M2403" t="str">
        <f>+VLOOKUP(C2403,'[1]TIENDAS 2025'!$A$1:$C$143,3,0)</f>
        <v>prioridad</v>
      </c>
      <c r="O2403">
        <v>1</v>
      </c>
    </row>
    <row r="2404" spans="1:15" ht="15" customHeight="1" x14ac:dyDescent="0.3">
      <c r="A2404" s="8">
        <v>209672687</v>
      </c>
      <c r="B2404" s="4" t="s">
        <v>351</v>
      </c>
      <c r="C2404" s="4" t="s">
        <v>352</v>
      </c>
      <c r="D2404" s="6">
        <v>46309.496180555601</v>
      </c>
      <c r="E2404" s="6">
        <v>46309.246145833298</v>
      </c>
      <c r="F2404" s="6">
        <v>46309</v>
      </c>
      <c r="G2404" s="5" t="s">
        <v>12</v>
      </c>
      <c r="H2404" s="5" t="s">
        <v>16</v>
      </c>
      <c r="I2404" s="5">
        <v>1</v>
      </c>
      <c r="J2404" s="9" t="s">
        <v>17</v>
      </c>
      <c r="K2404" s="1" t="s">
        <v>2696</v>
      </c>
      <c r="L2404" t="s">
        <v>10</v>
      </c>
      <c r="M2404" t="str">
        <f>+VLOOKUP(C2404,'[1]TIENDAS 2025'!$A$1:$C$143,3,0)</f>
        <v>prioridad</v>
      </c>
      <c r="O2404">
        <v>1</v>
      </c>
    </row>
    <row r="2405" spans="1:15" ht="15" customHeight="1" x14ac:dyDescent="0.3">
      <c r="A2405" s="8">
        <v>209672688</v>
      </c>
      <c r="B2405" s="4" t="s">
        <v>157</v>
      </c>
      <c r="C2405" s="4" t="s">
        <v>158</v>
      </c>
      <c r="D2405" s="6">
        <v>46309.496192129598</v>
      </c>
      <c r="E2405" s="6">
        <v>46309.246157407397</v>
      </c>
      <c r="F2405" s="6">
        <v>46309</v>
      </c>
      <c r="G2405" s="5" t="s">
        <v>12</v>
      </c>
      <c r="H2405" s="5" t="s">
        <v>16</v>
      </c>
      <c r="I2405" s="5">
        <v>1</v>
      </c>
      <c r="J2405" s="9" t="s">
        <v>17</v>
      </c>
      <c r="K2405" s="1" t="s">
        <v>2697</v>
      </c>
      <c r="L2405" t="s">
        <v>10</v>
      </c>
      <c r="M2405" t="str">
        <f>+VLOOKUP(C2405,'[1]TIENDAS 2025'!$A$1:$C$143,3,0)</f>
        <v>departamental</v>
      </c>
      <c r="O2405">
        <v>1</v>
      </c>
    </row>
    <row r="2406" spans="1:15" ht="15" customHeight="1" x14ac:dyDescent="0.3">
      <c r="A2406" s="8">
        <v>209672690</v>
      </c>
      <c r="B2406" s="4" t="s">
        <v>457</v>
      </c>
      <c r="C2406" s="4" t="s">
        <v>458</v>
      </c>
      <c r="D2406" s="6">
        <v>46309.496203703697</v>
      </c>
      <c r="E2406" s="6">
        <v>46309.246180555601</v>
      </c>
      <c r="F2406" s="6">
        <v>46309</v>
      </c>
      <c r="G2406" s="5" t="s">
        <v>12</v>
      </c>
      <c r="H2406" s="5" t="s">
        <v>16</v>
      </c>
      <c r="I2406" s="5">
        <v>1</v>
      </c>
      <c r="J2406" s="9" t="s">
        <v>17</v>
      </c>
      <c r="K2406" s="1" t="s">
        <v>2698</v>
      </c>
      <c r="L2406" t="s">
        <v>10</v>
      </c>
      <c r="M2406" t="str">
        <f>+VLOOKUP(C2406,'[1]TIENDAS 2025'!$A$1:$C$143,3,0)</f>
        <v>departamental</v>
      </c>
      <c r="O2406">
        <v>1</v>
      </c>
    </row>
    <row r="2407" spans="1:15" ht="15" customHeight="1" x14ac:dyDescent="0.3">
      <c r="A2407" s="8">
        <v>209672697</v>
      </c>
      <c r="B2407" s="4" t="s">
        <v>463</v>
      </c>
      <c r="C2407" s="4" t="s">
        <v>464</v>
      </c>
      <c r="D2407" s="6">
        <v>46309.496226851901</v>
      </c>
      <c r="E2407" s="6">
        <v>46309.246192129598</v>
      </c>
      <c r="F2407" s="6">
        <v>46309</v>
      </c>
      <c r="G2407" s="5" t="s">
        <v>12</v>
      </c>
      <c r="H2407" s="5" t="s">
        <v>16</v>
      </c>
      <c r="I2407" s="5">
        <v>1</v>
      </c>
      <c r="J2407" s="9" t="s">
        <v>17</v>
      </c>
      <c r="K2407" s="1" t="s">
        <v>2699</v>
      </c>
      <c r="L2407" t="s">
        <v>10</v>
      </c>
      <c r="M2407" t="str">
        <f>+VLOOKUP(C2407,'[1]TIENDAS 2025'!$A$1:$C$143,3,0)</f>
        <v xml:space="preserve">departamental </v>
      </c>
      <c r="O2407">
        <v>1</v>
      </c>
    </row>
    <row r="2408" spans="1:15" ht="15" customHeight="1" x14ac:dyDescent="0.3">
      <c r="A2408" s="8">
        <v>209672703</v>
      </c>
      <c r="B2408" s="4" t="s">
        <v>14</v>
      </c>
      <c r="C2408" s="4" t="s">
        <v>15</v>
      </c>
      <c r="D2408" s="6">
        <v>46309.496238425898</v>
      </c>
      <c r="E2408" s="6">
        <v>46309.246203703697</v>
      </c>
      <c r="F2408" s="6">
        <v>46309</v>
      </c>
      <c r="G2408" s="5" t="s">
        <v>12</v>
      </c>
      <c r="H2408" s="5" t="s">
        <v>16</v>
      </c>
      <c r="I2408" s="5">
        <v>1</v>
      </c>
      <c r="J2408" s="9" t="s">
        <v>17</v>
      </c>
      <c r="K2408" s="1" t="s">
        <v>2700</v>
      </c>
      <c r="L2408" t="s">
        <v>10</v>
      </c>
      <c r="M2408" t="str">
        <f>+VLOOKUP(C2408,'[1]TIENDAS 2025'!$A$1:$C$143,3,0)</f>
        <v>departamental</v>
      </c>
      <c r="O2408">
        <v>1</v>
      </c>
    </row>
    <row r="2409" spans="1:15" ht="15" customHeight="1" x14ac:dyDescent="0.3">
      <c r="A2409" s="8">
        <v>209672707</v>
      </c>
      <c r="B2409" s="4" t="s">
        <v>491</v>
      </c>
      <c r="C2409" s="4" t="s">
        <v>492</v>
      </c>
      <c r="D2409" s="6">
        <v>46309.496249999997</v>
      </c>
      <c r="E2409" s="6">
        <v>46309.246215277803</v>
      </c>
      <c r="F2409" s="6">
        <v>46309</v>
      </c>
      <c r="G2409" s="5" t="s">
        <v>12</v>
      </c>
      <c r="H2409" s="5" t="s">
        <v>16</v>
      </c>
      <c r="I2409" s="5">
        <v>1</v>
      </c>
      <c r="J2409" s="9" t="s">
        <v>17</v>
      </c>
      <c r="K2409" s="1" t="s">
        <v>2701</v>
      </c>
      <c r="L2409" t="s">
        <v>10</v>
      </c>
      <c r="M2409" t="str">
        <f>+VLOOKUP(C2409,'[1]TIENDAS 2025'!$A$1:$C$143,3,0)</f>
        <v>departamental</v>
      </c>
      <c r="O2409">
        <v>1</v>
      </c>
    </row>
    <row r="2410" spans="1:15" ht="15" customHeight="1" x14ac:dyDescent="0.3">
      <c r="A2410" s="7">
        <v>8209672576</v>
      </c>
      <c r="B2410" s="4" t="s">
        <v>424</v>
      </c>
      <c r="C2410" s="4" t="s">
        <v>425</v>
      </c>
      <c r="D2410" s="6">
        <v>46309.496261574102</v>
      </c>
      <c r="E2410" s="6">
        <v>46309.246238425898</v>
      </c>
      <c r="F2410" s="6">
        <v>46309</v>
      </c>
      <c r="G2410" s="5" t="s">
        <v>12</v>
      </c>
      <c r="H2410" s="5" t="s">
        <v>27</v>
      </c>
      <c r="I2410" s="5">
        <v>19</v>
      </c>
      <c r="J2410" s="10" t="s">
        <v>17</v>
      </c>
      <c r="K2410" s="1" t="s">
        <v>2702</v>
      </c>
      <c r="M2410" t="str">
        <f>+VLOOKUP(C2410,'[1]TIENDAS 2025'!$A$1:$C$143,3,0)</f>
        <v>prioridad</v>
      </c>
      <c r="O2410">
        <v>1</v>
      </c>
    </row>
    <row r="2411" spans="1:15" ht="15" customHeight="1" x14ac:dyDescent="0.3">
      <c r="A2411" s="8">
        <v>209672593</v>
      </c>
      <c r="B2411" s="4" t="s">
        <v>515</v>
      </c>
      <c r="C2411" s="4" t="s">
        <v>516</v>
      </c>
      <c r="D2411" s="6">
        <v>46309.496284722198</v>
      </c>
      <c r="E2411" s="6">
        <v>46309.246249999997</v>
      </c>
      <c r="F2411" s="6">
        <v>46309</v>
      </c>
      <c r="G2411" s="5" t="s">
        <v>12</v>
      </c>
      <c r="H2411" s="5" t="s">
        <v>16</v>
      </c>
      <c r="I2411" s="5">
        <v>1</v>
      </c>
      <c r="J2411" s="9" t="s">
        <v>17</v>
      </c>
      <c r="K2411" s="1" t="s">
        <v>2703</v>
      </c>
      <c r="L2411" t="s">
        <v>10</v>
      </c>
      <c r="M2411" t="str">
        <f>+VLOOKUP(C2411,'[1]TIENDAS 2025'!$A$1:$C$143,3,0)</f>
        <v>prioridad</v>
      </c>
      <c r="O2411">
        <v>1</v>
      </c>
    </row>
    <row r="2412" spans="1:15" ht="15" customHeight="1" x14ac:dyDescent="0.3">
      <c r="A2412" s="7">
        <v>1209672712</v>
      </c>
      <c r="B2412" s="4" t="s">
        <v>424</v>
      </c>
      <c r="C2412" s="4" t="s">
        <v>425</v>
      </c>
      <c r="D2412" s="6">
        <v>46309.496296296304</v>
      </c>
      <c r="E2412" s="6">
        <v>46309.246261574102</v>
      </c>
      <c r="F2412" s="6">
        <v>46309</v>
      </c>
      <c r="G2412" s="5" t="s">
        <v>12</v>
      </c>
      <c r="H2412" s="5" t="s">
        <v>29</v>
      </c>
      <c r="I2412" s="5">
        <v>24</v>
      </c>
      <c r="J2412" s="9" t="s">
        <v>17</v>
      </c>
      <c r="K2412" s="1" t="s">
        <v>2704</v>
      </c>
      <c r="L2412" t="s">
        <v>3284</v>
      </c>
      <c r="M2412" t="str">
        <f>+VLOOKUP(C2412,'[1]TIENDAS 2025'!$A$1:$C$143,3,0)</f>
        <v>prioridad</v>
      </c>
      <c r="O2412">
        <v>1</v>
      </c>
    </row>
    <row r="2413" spans="1:15" ht="15" customHeight="1" x14ac:dyDescent="0.3">
      <c r="A2413" s="8">
        <v>209672595</v>
      </c>
      <c r="B2413" s="4" t="s">
        <v>295</v>
      </c>
      <c r="C2413" s="4" t="s">
        <v>296</v>
      </c>
      <c r="D2413" s="6">
        <v>46309.496307870402</v>
      </c>
      <c r="E2413" s="6">
        <v>46309.246273148201</v>
      </c>
      <c r="F2413" s="6">
        <v>46309</v>
      </c>
      <c r="G2413" s="5" t="s">
        <v>12</v>
      </c>
      <c r="H2413" s="5" t="s">
        <v>16</v>
      </c>
      <c r="I2413" s="5">
        <v>1</v>
      </c>
      <c r="J2413" s="9" t="s">
        <v>17</v>
      </c>
      <c r="K2413" s="1" t="s">
        <v>2705</v>
      </c>
      <c r="L2413" t="s">
        <v>10</v>
      </c>
      <c r="M2413" t="str">
        <f>+VLOOKUP(C2413,'[1]TIENDAS 2025'!$A$1:$C$143,3,0)</f>
        <v>local</v>
      </c>
      <c r="O2413">
        <v>1</v>
      </c>
    </row>
    <row r="2414" spans="1:15" ht="15" customHeight="1" x14ac:dyDescent="0.3">
      <c r="A2414" s="8">
        <v>209672598</v>
      </c>
      <c r="B2414" s="4" t="s">
        <v>530</v>
      </c>
      <c r="C2414" s="4" t="s">
        <v>531</v>
      </c>
      <c r="D2414" s="6">
        <v>46309.496319444399</v>
      </c>
      <c r="E2414" s="6">
        <v>46309.246296296304</v>
      </c>
      <c r="F2414" s="6">
        <v>46309</v>
      </c>
      <c r="G2414" s="5" t="s">
        <v>12</v>
      </c>
      <c r="H2414" s="5" t="s">
        <v>16</v>
      </c>
      <c r="I2414" s="5">
        <v>1</v>
      </c>
      <c r="J2414" s="9" t="s">
        <v>17</v>
      </c>
      <c r="K2414" s="1" t="s">
        <v>2706</v>
      </c>
      <c r="L2414" t="s">
        <v>10</v>
      </c>
      <c r="M2414" t="str">
        <f>+VLOOKUP(C2414,'[1]TIENDAS 2025'!$A$1:$C$143,3,0)</f>
        <v>local</v>
      </c>
      <c r="O2414">
        <v>1</v>
      </c>
    </row>
    <row r="2415" spans="1:15" ht="15" customHeight="1" x14ac:dyDescent="0.3">
      <c r="A2415" s="8">
        <v>209672610</v>
      </c>
      <c r="B2415" s="4" t="s">
        <v>271</v>
      </c>
      <c r="C2415" s="4" t="s">
        <v>272</v>
      </c>
      <c r="D2415" s="6">
        <v>46309.496331018498</v>
      </c>
      <c r="E2415" s="6">
        <v>46309.246307870402</v>
      </c>
      <c r="F2415" s="6">
        <v>46309</v>
      </c>
      <c r="G2415" s="5" t="s">
        <v>12</v>
      </c>
      <c r="H2415" s="5" t="s">
        <v>16</v>
      </c>
      <c r="I2415" s="5">
        <v>1</v>
      </c>
      <c r="J2415" s="9" t="s">
        <v>17</v>
      </c>
      <c r="K2415" s="1" t="s">
        <v>2707</v>
      </c>
      <c r="L2415" t="s">
        <v>10</v>
      </c>
      <c r="M2415" t="str">
        <f>+VLOOKUP(C2415,'[1]TIENDAS 2025'!$A$1:$C$143,3,0)</f>
        <v>local</v>
      </c>
      <c r="O2415">
        <v>1</v>
      </c>
    </row>
    <row r="2416" spans="1:15" ht="15" customHeight="1" x14ac:dyDescent="0.3">
      <c r="A2416" s="8">
        <v>209672616</v>
      </c>
      <c r="B2416" s="4" t="s">
        <v>494</v>
      </c>
      <c r="C2416" s="4" t="s">
        <v>495</v>
      </c>
      <c r="D2416" s="6">
        <v>46309.496354166702</v>
      </c>
      <c r="E2416" s="6">
        <v>46309.246319444399</v>
      </c>
      <c r="F2416" s="6">
        <v>46309</v>
      </c>
      <c r="G2416" s="5" t="s">
        <v>12</v>
      </c>
      <c r="H2416" s="5" t="s">
        <v>16</v>
      </c>
      <c r="I2416" s="5">
        <v>1</v>
      </c>
      <c r="J2416" s="9" t="s">
        <v>17</v>
      </c>
      <c r="K2416" s="1" t="s">
        <v>2708</v>
      </c>
      <c r="L2416" t="s">
        <v>10</v>
      </c>
      <c r="M2416" t="str">
        <f>+VLOOKUP(C2416,'[1]TIENDAS 2025'!$A$1:$C$143,3,0)</f>
        <v>local</v>
      </c>
      <c r="O2416">
        <v>1</v>
      </c>
    </row>
    <row r="2417" spans="1:15" ht="15" customHeight="1" x14ac:dyDescent="0.3">
      <c r="A2417" s="8">
        <v>209672619</v>
      </c>
      <c r="B2417" s="4" t="s">
        <v>554</v>
      </c>
      <c r="C2417" s="4" t="s">
        <v>555</v>
      </c>
      <c r="D2417" s="6">
        <v>46309.496365740699</v>
      </c>
      <c r="E2417" s="6">
        <v>46309.246331018498</v>
      </c>
      <c r="F2417" s="6">
        <v>46309</v>
      </c>
      <c r="G2417" s="5" t="s">
        <v>12</v>
      </c>
      <c r="H2417" s="5" t="s">
        <v>16</v>
      </c>
      <c r="I2417" s="5">
        <v>1</v>
      </c>
      <c r="J2417" s="9" t="s">
        <v>17</v>
      </c>
      <c r="K2417" s="1" t="s">
        <v>2709</v>
      </c>
      <c r="L2417" t="s">
        <v>10</v>
      </c>
      <c r="M2417" t="str">
        <f>+VLOOKUP(C2417,'[1]TIENDAS 2025'!$A$1:$C$143,3,0)</f>
        <v>nocturna</v>
      </c>
      <c r="O2417">
        <v>1</v>
      </c>
    </row>
    <row r="2418" spans="1:15" ht="15" customHeight="1" x14ac:dyDescent="0.3">
      <c r="A2418" s="8">
        <v>209672641</v>
      </c>
      <c r="B2418" s="4" t="s">
        <v>301</v>
      </c>
      <c r="C2418" s="4" t="s">
        <v>302</v>
      </c>
      <c r="D2418" s="6">
        <v>46309.496377314797</v>
      </c>
      <c r="E2418" s="6">
        <v>46309.246354166702</v>
      </c>
      <c r="F2418" s="6">
        <v>46309</v>
      </c>
      <c r="G2418" s="5" t="s">
        <v>12</v>
      </c>
      <c r="H2418" s="5" t="s">
        <v>16</v>
      </c>
      <c r="I2418" s="5">
        <v>1</v>
      </c>
      <c r="J2418" s="9" t="s">
        <v>17</v>
      </c>
      <c r="K2418" s="1" t="s">
        <v>2710</v>
      </c>
      <c r="L2418" t="s">
        <v>10</v>
      </c>
      <c r="M2418" t="str">
        <f>+VLOOKUP(C2418,'[1]TIENDAS 2025'!$A$1:$C$143,3,0)</f>
        <v>departamental</v>
      </c>
      <c r="O2418">
        <v>1</v>
      </c>
    </row>
    <row r="2419" spans="1:15" ht="15" customHeight="1" x14ac:dyDescent="0.3">
      <c r="A2419" s="7">
        <v>1209672778</v>
      </c>
      <c r="B2419" s="4" t="s">
        <v>385</v>
      </c>
      <c r="C2419" s="4" t="s">
        <v>386</v>
      </c>
      <c r="D2419" s="6">
        <v>46309.496388888903</v>
      </c>
      <c r="E2419" s="6">
        <v>46309.246365740699</v>
      </c>
      <c r="F2419" s="6">
        <v>46309</v>
      </c>
      <c r="G2419" s="5" t="s">
        <v>12</v>
      </c>
      <c r="H2419" s="5" t="s">
        <v>16</v>
      </c>
      <c r="I2419" s="5">
        <v>18</v>
      </c>
      <c r="J2419" s="9" t="s">
        <v>17</v>
      </c>
      <c r="K2419" s="1" t="s">
        <v>2711</v>
      </c>
      <c r="L2419" t="s">
        <v>3284</v>
      </c>
      <c r="M2419" t="str">
        <f>+VLOOKUP(C2419,'[1]TIENDAS 2025'!$A$1:$C$143,3,0)</f>
        <v>nocturna</v>
      </c>
      <c r="O2419">
        <v>1</v>
      </c>
    </row>
    <row r="2420" spans="1:15" ht="15" customHeight="1" x14ac:dyDescent="0.3">
      <c r="A2420" s="7">
        <v>1209672763</v>
      </c>
      <c r="B2420" s="4" t="s">
        <v>385</v>
      </c>
      <c r="C2420" s="4" t="s">
        <v>386</v>
      </c>
      <c r="D2420" s="6">
        <v>46309.496412036999</v>
      </c>
      <c r="E2420" s="6">
        <v>46309.246377314797</v>
      </c>
      <c r="F2420" s="6">
        <v>46309</v>
      </c>
      <c r="G2420" s="5" t="s">
        <v>12</v>
      </c>
      <c r="H2420" s="5" t="s">
        <v>16</v>
      </c>
      <c r="I2420" s="5">
        <v>10</v>
      </c>
      <c r="J2420" s="9" t="s">
        <v>17</v>
      </c>
      <c r="K2420" s="1" t="s">
        <v>2712</v>
      </c>
      <c r="L2420" t="s">
        <v>3284</v>
      </c>
      <c r="M2420" t="str">
        <f>+VLOOKUP(C2420,'[1]TIENDAS 2025'!$A$1:$C$143,3,0)</f>
        <v>nocturna</v>
      </c>
      <c r="O2420">
        <v>1</v>
      </c>
    </row>
    <row r="2421" spans="1:15" ht="15" customHeight="1" x14ac:dyDescent="0.3">
      <c r="A2421" s="7">
        <v>1209672767</v>
      </c>
      <c r="B2421" s="4" t="s">
        <v>385</v>
      </c>
      <c r="C2421" s="4" t="s">
        <v>386</v>
      </c>
      <c r="D2421" s="6">
        <v>46309.496423611097</v>
      </c>
      <c r="E2421" s="6">
        <v>46309.246388888903</v>
      </c>
      <c r="F2421" s="6">
        <v>46309</v>
      </c>
      <c r="G2421" s="5" t="s">
        <v>12</v>
      </c>
      <c r="H2421" s="5" t="s">
        <v>16</v>
      </c>
      <c r="I2421" s="5">
        <v>24</v>
      </c>
      <c r="J2421" s="9" t="s">
        <v>17</v>
      </c>
      <c r="K2421" s="1" t="s">
        <v>2713</v>
      </c>
      <c r="L2421" t="s">
        <v>3284</v>
      </c>
      <c r="M2421" t="str">
        <f>+VLOOKUP(C2421,'[1]TIENDAS 2025'!$A$1:$C$143,3,0)</f>
        <v>nocturna</v>
      </c>
      <c r="O2421">
        <v>1</v>
      </c>
    </row>
    <row r="2422" spans="1:15" ht="15" customHeight="1" x14ac:dyDescent="0.3">
      <c r="A2422" s="7">
        <v>1209672768</v>
      </c>
      <c r="B2422" s="4" t="s">
        <v>385</v>
      </c>
      <c r="C2422" s="4" t="s">
        <v>386</v>
      </c>
      <c r="D2422" s="6">
        <v>46309.496435185203</v>
      </c>
      <c r="E2422" s="6">
        <v>46309.246400463002</v>
      </c>
      <c r="F2422" s="6">
        <v>46309</v>
      </c>
      <c r="G2422" s="5" t="s">
        <v>12</v>
      </c>
      <c r="H2422" s="5" t="s">
        <v>29</v>
      </c>
      <c r="I2422" s="5">
        <v>33</v>
      </c>
      <c r="J2422" s="9" t="s">
        <v>17</v>
      </c>
      <c r="K2422" s="1" t="s">
        <v>2714</v>
      </c>
      <c r="L2422" t="s">
        <v>3284</v>
      </c>
      <c r="M2422" t="str">
        <f>+VLOOKUP(C2422,'[1]TIENDAS 2025'!$A$1:$C$143,3,0)</f>
        <v>nocturna</v>
      </c>
      <c r="O2422">
        <v>1</v>
      </c>
    </row>
    <row r="2423" spans="1:15" ht="15" customHeight="1" x14ac:dyDescent="0.3">
      <c r="A2423" s="7">
        <v>8209672728</v>
      </c>
      <c r="B2423" s="4" t="s">
        <v>509</v>
      </c>
      <c r="C2423" s="4" t="s">
        <v>510</v>
      </c>
      <c r="D2423" s="6">
        <v>46309.496446759302</v>
      </c>
      <c r="E2423" s="6">
        <v>46309.246423611097</v>
      </c>
      <c r="F2423" s="6">
        <v>46309</v>
      </c>
      <c r="G2423" s="5" t="s">
        <v>12</v>
      </c>
      <c r="H2423" s="5" t="s">
        <v>27</v>
      </c>
      <c r="I2423" s="5">
        <v>10</v>
      </c>
      <c r="J2423" s="10" t="s">
        <v>17</v>
      </c>
      <c r="K2423" s="1" t="s">
        <v>2715</v>
      </c>
      <c r="M2423" t="str">
        <f>+VLOOKUP(C2423,'[1]TIENDAS 2025'!$A$1:$C$143,3,0)</f>
        <v>nocturna</v>
      </c>
      <c r="O2423">
        <v>1</v>
      </c>
    </row>
    <row r="2424" spans="1:15" ht="15" customHeight="1" x14ac:dyDescent="0.3">
      <c r="A2424" s="7">
        <v>8209672729</v>
      </c>
      <c r="B2424" s="4" t="s">
        <v>509</v>
      </c>
      <c r="C2424" s="4" t="s">
        <v>510</v>
      </c>
      <c r="D2424" s="6">
        <v>46309.496458333299</v>
      </c>
      <c r="E2424" s="6">
        <v>46309.246435185203</v>
      </c>
      <c r="F2424" s="6">
        <v>46309</v>
      </c>
      <c r="G2424" s="5" t="s">
        <v>12</v>
      </c>
      <c r="H2424" s="5" t="s">
        <v>27</v>
      </c>
      <c r="I2424" s="5">
        <v>3</v>
      </c>
      <c r="J2424" s="10" t="s">
        <v>17</v>
      </c>
      <c r="K2424" s="1" t="s">
        <v>2716</v>
      </c>
      <c r="M2424" t="str">
        <f>+VLOOKUP(C2424,'[1]TIENDAS 2025'!$A$1:$C$143,3,0)</f>
        <v>nocturna</v>
      </c>
      <c r="O2424">
        <v>1</v>
      </c>
    </row>
    <row r="2425" spans="1:15" ht="15" customHeight="1" x14ac:dyDescent="0.3">
      <c r="A2425" s="7">
        <v>8209672731</v>
      </c>
      <c r="B2425" s="4" t="s">
        <v>509</v>
      </c>
      <c r="C2425" s="4" t="s">
        <v>510</v>
      </c>
      <c r="D2425" s="6">
        <v>46309.496481481503</v>
      </c>
      <c r="E2425" s="6">
        <v>46309.246446759302</v>
      </c>
      <c r="F2425" s="6">
        <v>46309</v>
      </c>
      <c r="G2425" s="5" t="s">
        <v>12</v>
      </c>
      <c r="H2425" s="5" t="s">
        <v>27</v>
      </c>
      <c r="I2425" s="5">
        <v>8</v>
      </c>
      <c r="J2425" s="10" t="s">
        <v>17</v>
      </c>
      <c r="K2425" s="1" t="s">
        <v>2717</v>
      </c>
      <c r="M2425" t="str">
        <f>+VLOOKUP(C2425,'[1]TIENDAS 2025'!$A$1:$C$143,3,0)</f>
        <v>nocturna</v>
      </c>
      <c r="O2425">
        <v>1</v>
      </c>
    </row>
    <row r="2426" spans="1:15" ht="15" customHeight="1" x14ac:dyDescent="0.3">
      <c r="A2426" s="7">
        <v>1209672744</v>
      </c>
      <c r="B2426" s="4" t="s">
        <v>509</v>
      </c>
      <c r="C2426" s="4" t="s">
        <v>510</v>
      </c>
      <c r="D2426" s="6">
        <v>46309.496493055602</v>
      </c>
      <c r="E2426" s="6">
        <v>46309.246458333299</v>
      </c>
      <c r="F2426" s="6">
        <v>46309</v>
      </c>
      <c r="G2426" s="5" t="s">
        <v>12</v>
      </c>
      <c r="H2426" s="5" t="s">
        <v>29</v>
      </c>
      <c r="I2426" s="5">
        <v>49</v>
      </c>
      <c r="J2426" s="9" t="s">
        <v>17</v>
      </c>
      <c r="K2426" s="1" t="s">
        <v>2718</v>
      </c>
      <c r="L2426" t="s">
        <v>3284</v>
      </c>
      <c r="M2426" t="str">
        <f>+VLOOKUP(C2426,'[1]TIENDAS 2025'!$A$1:$C$143,3,0)</f>
        <v>nocturna</v>
      </c>
      <c r="O2426">
        <v>1</v>
      </c>
    </row>
    <row r="2427" spans="1:15" ht="15" customHeight="1" x14ac:dyDescent="0.3">
      <c r="A2427" s="7">
        <v>8209672793</v>
      </c>
      <c r="B2427" s="4" t="s">
        <v>436</v>
      </c>
      <c r="C2427" s="4" t="s">
        <v>437</v>
      </c>
      <c r="D2427" s="6">
        <v>46309.496516203697</v>
      </c>
      <c r="E2427" s="6">
        <v>46309.246493055602</v>
      </c>
      <c r="F2427" s="6">
        <v>46309</v>
      </c>
      <c r="G2427" s="5" t="s">
        <v>12</v>
      </c>
      <c r="H2427" s="5" t="s">
        <v>27</v>
      </c>
      <c r="I2427" s="5">
        <v>1</v>
      </c>
      <c r="J2427" s="10" t="s">
        <v>17</v>
      </c>
      <c r="K2427" s="1" t="s">
        <v>2719</v>
      </c>
      <c r="M2427" t="str">
        <f>+VLOOKUP(C2427,'[1]TIENDAS 2025'!$A$1:$C$143,3,0)</f>
        <v>departamental</v>
      </c>
      <c r="O2427">
        <v>1</v>
      </c>
    </row>
    <row r="2428" spans="1:15" ht="15" customHeight="1" x14ac:dyDescent="0.3">
      <c r="A2428" s="7">
        <v>1209672735</v>
      </c>
      <c r="B2428" s="4" t="s">
        <v>509</v>
      </c>
      <c r="C2428" s="4" t="s">
        <v>510</v>
      </c>
      <c r="D2428" s="6">
        <v>46309.496516203697</v>
      </c>
      <c r="E2428" s="6">
        <v>46309.246481481503</v>
      </c>
      <c r="F2428" s="6">
        <v>46309</v>
      </c>
      <c r="G2428" s="5" t="s">
        <v>12</v>
      </c>
      <c r="H2428" s="5" t="s">
        <v>16</v>
      </c>
      <c r="I2428" s="5">
        <v>17</v>
      </c>
      <c r="J2428" s="9" t="s">
        <v>17</v>
      </c>
      <c r="K2428" s="1" t="s">
        <v>2720</v>
      </c>
      <c r="L2428" t="s">
        <v>3284</v>
      </c>
      <c r="M2428" t="str">
        <f>+VLOOKUP(C2428,'[1]TIENDAS 2025'!$A$1:$C$143,3,0)</f>
        <v>nocturna</v>
      </c>
      <c r="O2428">
        <v>1</v>
      </c>
    </row>
    <row r="2429" spans="1:15" ht="15" customHeight="1" x14ac:dyDescent="0.3">
      <c r="A2429" s="7">
        <v>1209672796</v>
      </c>
      <c r="B2429" s="4" t="s">
        <v>436</v>
      </c>
      <c r="C2429" s="4" t="s">
        <v>437</v>
      </c>
      <c r="D2429" s="6">
        <v>46309.496539351901</v>
      </c>
      <c r="E2429" s="6">
        <v>46309.246504629598</v>
      </c>
      <c r="F2429" s="6">
        <v>46309</v>
      </c>
      <c r="G2429" s="5" t="s">
        <v>12</v>
      </c>
      <c r="H2429" s="5" t="s">
        <v>16</v>
      </c>
      <c r="I2429" s="5">
        <v>7</v>
      </c>
      <c r="J2429" s="9" t="s">
        <v>17</v>
      </c>
      <c r="K2429" s="1" t="s">
        <v>2721</v>
      </c>
      <c r="L2429" t="s">
        <v>3284</v>
      </c>
      <c r="M2429" t="str">
        <f>+VLOOKUP(C2429,'[1]TIENDAS 2025'!$A$1:$C$143,3,0)</f>
        <v>departamental</v>
      </c>
      <c r="O2429">
        <v>1</v>
      </c>
    </row>
    <row r="2430" spans="1:15" ht="15" customHeight="1" x14ac:dyDescent="0.3">
      <c r="A2430" s="7">
        <v>1209672806</v>
      </c>
      <c r="B2430" s="4" t="s">
        <v>436</v>
      </c>
      <c r="C2430" s="4" t="s">
        <v>437</v>
      </c>
      <c r="D2430" s="6">
        <v>46309.496550925898</v>
      </c>
      <c r="E2430" s="6">
        <v>46309.246516203697</v>
      </c>
      <c r="F2430" s="6">
        <v>46309</v>
      </c>
      <c r="G2430" s="5" t="s">
        <v>12</v>
      </c>
      <c r="H2430" s="5" t="s">
        <v>27</v>
      </c>
      <c r="I2430" s="5">
        <v>4</v>
      </c>
      <c r="J2430" s="9" t="s">
        <v>17</v>
      </c>
      <c r="K2430" s="1" t="s">
        <v>2722</v>
      </c>
      <c r="L2430" t="s">
        <v>3284</v>
      </c>
      <c r="M2430" t="str">
        <f>+VLOOKUP(C2430,'[1]TIENDAS 2025'!$A$1:$C$143,3,0)</f>
        <v>departamental</v>
      </c>
      <c r="O2430">
        <v>1</v>
      </c>
    </row>
    <row r="2431" spans="1:15" ht="15" customHeight="1" x14ac:dyDescent="0.3">
      <c r="A2431" s="7">
        <v>1209672800</v>
      </c>
      <c r="B2431" s="4" t="s">
        <v>436</v>
      </c>
      <c r="C2431" s="4" t="s">
        <v>437</v>
      </c>
      <c r="D2431" s="6">
        <v>46309.496562499997</v>
      </c>
      <c r="E2431" s="6">
        <v>46309.246539351901</v>
      </c>
      <c r="F2431" s="6">
        <v>46309</v>
      </c>
      <c r="G2431" s="5" t="s">
        <v>12</v>
      </c>
      <c r="H2431" s="5" t="s">
        <v>16</v>
      </c>
      <c r="I2431" s="5">
        <v>14</v>
      </c>
      <c r="J2431" s="9" t="s">
        <v>17</v>
      </c>
      <c r="K2431" s="1" t="s">
        <v>2723</v>
      </c>
      <c r="L2431" t="s">
        <v>3284</v>
      </c>
      <c r="M2431" t="str">
        <f>+VLOOKUP(C2431,'[1]TIENDAS 2025'!$A$1:$C$143,3,0)</f>
        <v>departamental</v>
      </c>
      <c r="O2431">
        <v>1</v>
      </c>
    </row>
    <row r="2432" spans="1:15" ht="15" customHeight="1" x14ac:dyDescent="0.3">
      <c r="A2432" s="7">
        <v>1209672525</v>
      </c>
      <c r="B2432" s="4" t="s">
        <v>336</v>
      </c>
      <c r="C2432" s="4" t="s">
        <v>337</v>
      </c>
      <c r="D2432" s="6">
        <v>46309.496574074103</v>
      </c>
      <c r="E2432" s="6">
        <v>46309.246550925898</v>
      </c>
      <c r="F2432" s="6">
        <v>46309</v>
      </c>
      <c r="G2432" s="5" t="s">
        <v>12</v>
      </c>
      <c r="H2432" s="5" t="s">
        <v>16</v>
      </c>
      <c r="I2432" s="5">
        <v>4</v>
      </c>
      <c r="J2432" s="9" t="s">
        <v>17</v>
      </c>
      <c r="K2432" s="1" t="s">
        <v>2724</v>
      </c>
      <c r="L2432" t="s">
        <v>3284</v>
      </c>
      <c r="M2432" t="str">
        <f>+VLOOKUP(C2432,'[1]TIENDAS 2025'!$A$1:$C$143,3,0)</f>
        <v xml:space="preserve">departamental </v>
      </c>
      <c r="O2432">
        <v>1</v>
      </c>
    </row>
    <row r="2433" spans="1:15" ht="15" customHeight="1" x14ac:dyDescent="0.3">
      <c r="A2433" s="7">
        <v>1209672528</v>
      </c>
      <c r="B2433" s="4" t="s">
        <v>336</v>
      </c>
      <c r="C2433" s="4" t="s">
        <v>337</v>
      </c>
      <c r="D2433" s="6">
        <v>46309.496585648201</v>
      </c>
      <c r="E2433" s="6">
        <v>46309.246562499997</v>
      </c>
      <c r="F2433" s="6">
        <v>46309</v>
      </c>
      <c r="G2433" s="5" t="s">
        <v>12</v>
      </c>
      <c r="H2433" s="5" t="s">
        <v>16</v>
      </c>
      <c r="I2433" s="5">
        <v>10</v>
      </c>
      <c r="J2433" s="9" t="s">
        <v>17</v>
      </c>
      <c r="K2433" s="1" t="s">
        <v>2725</v>
      </c>
      <c r="L2433" t="s">
        <v>3284</v>
      </c>
      <c r="M2433" t="str">
        <f>+VLOOKUP(C2433,'[1]TIENDAS 2025'!$A$1:$C$143,3,0)</f>
        <v xml:space="preserve">departamental </v>
      </c>
      <c r="O2433">
        <v>1</v>
      </c>
    </row>
    <row r="2434" spans="1:15" ht="15" customHeight="1" x14ac:dyDescent="0.3">
      <c r="A2434" s="7">
        <v>1209672529</v>
      </c>
      <c r="B2434" s="4" t="s">
        <v>336</v>
      </c>
      <c r="C2434" s="4" t="s">
        <v>337</v>
      </c>
      <c r="D2434" s="6">
        <v>46309.496608796297</v>
      </c>
      <c r="E2434" s="6">
        <v>46309.246574074103</v>
      </c>
      <c r="F2434" s="6">
        <v>46309</v>
      </c>
      <c r="G2434" s="5" t="s">
        <v>12</v>
      </c>
      <c r="H2434" s="5" t="s">
        <v>29</v>
      </c>
      <c r="I2434" s="5">
        <v>9</v>
      </c>
      <c r="J2434" s="9" t="s">
        <v>17</v>
      </c>
      <c r="K2434" s="1" t="s">
        <v>2726</v>
      </c>
      <c r="L2434" t="s">
        <v>3284</v>
      </c>
      <c r="M2434" t="str">
        <f>+VLOOKUP(C2434,'[1]TIENDAS 2025'!$A$1:$C$143,3,0)</f>
        <v xml:space="preserve">departamental </v>
      </c>
      <c r="O2434">
        <v>1</v>
      </c>
    </row>
    <row r="2435" spans="1:15" ht="15" customHeight="1" x14ac:dyDescent="0.3">
      <c r="A2435" s="7">
        <v>8209672523</v>
      </c>
      <c r="B2435" s="4" t="s">
        <v>336</v>
      </c>
      <c r="C2435" s="4" t="s">
        <v>337</v>
      </c>
      <c r="D2435" s="6">
        <v>46309.496620370403</v>
      </c>
      <c r="E2435" s="6">
        <v>46309.246597222198</v>
      </c>
      <c r="F2435" s="6">
        <v>46309</v>
      </c>
      <c r="G2435" s="5" t="s">
        <v>12</v>
      </c>
      <c r="H2435" s="5" t="s">
        <v>27</v>
      </c>
      <c r="I2435" s="5">
        <v>7</v>
      </c>
      <c r="J2435" s="10" t="s">
        <v>17</v>
      </c>
      <c r="K2435" s="1" t="s">
        <v>2727</v>
      </c>
      <c r="M2435" t="str">
        <f>+VLOOKUP(C2435,'[1]TIENDAS 2025'!$A$1:$C$143,3,0)</f>
        <v xml:space="preserve">departamental </v>
      </c>
      <c r="O2435">
        <v>1</v>
      </c>
    </row>
    <row r="2436" spans="1:15" ht="15" customHeight="1" x14ac:dyDescent="0.3">
      <c r="A2436" s="8">
        <v>209672661</v>
      </c>
      <c r="B2436" s="4" t="s">
        <v>364</v>
      </c>
      <c r="C2436" s="4" t="s">
        <v>365</v>
      </c>
      <c r="D2436" s="6">
        <v>46309.496643518498</v>
      </c>
      <c r="E2436" s="6">
        <v>46309.246620370403</v>
      </c>
      <c r="F2436" s="6">
        <v>46309</v>
      </c>
      <c r="G2436" s="5" t="s">
        <v>12</v>
      </c>
      <c r="H2436" s="5" t="s">
        <v>16</v>
      </c>
      <c r="I2436" s="5">
        <v>1</v>
      </c>
      <c r="J2436" s="9" t="s">
        <v>17</v>
      </c>
      <c r="K2436" s="1" t="s">
        <v>2728</v>
      </c>
      <c r="L2436" t="s">
        <v>10</v>
      </c>
      <c r="M2436" t="str">
        <f>+VLOOKUP(C2436,'[1]TIENDAS 2025'!$A$1:$C$143,3,0)</f>
        <v>local</v>
      </c>
      <c r="O2436">
        <v>1</v>
      </c>
    </row>
    <row r="2437" spans="1:15" ht="15" customHeight="1" x14ac:dyDescent="0.3">
      <c r="A2437" s="8">
        <v>209672658</v>
      </c>
      <c r="B2437" s="4" t="s">
        <v>482</v>
      </c>
      <c r="C2437" s="4" t="s">
        <v>483</v>
      </c>
      <c r="D2437" s="6">
        <v>46309.496643518498</v>
      </c>
      <c r="E2437" s="6">
        <v>46309.246608796297</v>
      </c>
      <c r="F2437" s="6">
        <v>46309</v>
      </c>
      <c r="G2437" s="5" t="s">
        <v>12</v>
      </c>
      <c r="H2437" s="5" t="s">
        <v>16</v>
      </c>
      <c r="I2437" s="5">
        <v>1</v>
      </c>
      <c r="J2437" s="9" t="s">
        <v>17</v>
      </c>
      <c r="K2437" s="1" t="s">
        <v>2729</v>
      </c>
      <c r="L2437" t="s">
        <v>10</v>
      </c>
      <c r="M2437" t="str">
        <f>+VLOOKUP(C2437,'[1]TIENDAS 2025'!$A$1:$C$143,3,0)</f>
        <v>local</v>
      </c>
      <c r="O2437">
        <v>1</v>
      </c>
    </row>
    <row r="2438" spans="1:15" ht="15" customHeight="1" x14ac:dyDescent="0.3">
      <c r="A2438" s="8">
        <v>209672670</v>
      </c>
      <c r="B2438" s="4" t="s">
        <v>241</v>
      </c>
      <c r="C2438" s="4" t="s">
        <v>242</v>
      </c>
      <c r="D2438" s="6">
        <v>46309.496666666702</v>
      </c>
      <c r="E2438" s="6">
        <v>46309.246631944399</v>
      </c>
      <c r="F2438" s="6">
        <v>46309</v>
      </c>
      <c r="G2438" s="5" t="s">
        <v>12</v>
      </c>
      <c r="H2438" s="5" t="s">
        <v>16</v>
      </c>
      <c r="I2438" s="5">
        <v>1</v>
      </c>
      <c r="J2438" s="9" t="s">
        <v>17</v>
      </c>
      <c r="K2438" s="1" t="s">
        <v>2730</v>
      </c>
      <c r="L2438" t="s">
        <v>10</v>
      </c>
      <c r="M2438" t="str">
        <f>+VLOOKUP(C2438,'[1]TIENDAS 2025'!$A$1:$C$143,3,0)</f>
        <v>local</v>
      </c>
      <c r="O2438">
        <v>1</v>
      </c>
    </row>
    <row r="2439" spans="1:15" ht="15" customHeight="1" x14ac:dyDescent="0.3">
      <c r="A2439" s="8">
        <v>209672671</v>
      </c>
      <c r="B2439" s="4" t="s">
        <v>318</v>
      </c>
      <c r="C2439" s="4" t="s">
        <v>319</v>
      </c>
      <c r="D2439" s="6">
        <v>46309.496678240699</v>
      </c>
      <c r="E2439" s="6">
        <v>46309.246655092596</v>
      </c>
      <c r="F2439" s="6">
        <v>46309</v>
      </c>
      <c r="G2439" s="5" t="s">
        <v>12</v>
      </c>
      <c r="H2439" s="5" t="s">
        <v>16</v>
      </c>
      <c r="I2439" s="5">
        <v>1</v>
      </c>
      <c r="J2439" s="9" t="s">
        <v>17</v>
      </c>
      <c r="K2439" s="1" t="s">
        <v>2731</v>
      </c>
      <c r="L2439" t="s">
        <v>10</v>
      </c>
      <c r="M2439" t="str">
        <f>+VLOOKUP(C2439,'[1]TIENDAS 2025'!$A$1:$C$143,3,0)</f>
        <v>local</v>
      </c>
      <c r="O2439">
        <v>1</v>
      </c>
    </row>
    <row r="2440" spans="1:15" ht="15" customHeight="1" x14ac:dyDescent="0.3">
      <c r="A2440" s="8">
        <v>209672691</v>
      </c>
      <c r="B2440" s="4" t="s">
        <v>394</v>
      </c>
      <c r="C2440" s="4" t="s">
        <v>395</v>
      </c>
      <c r="D2440" s="6">
        <v>46309.496701388904</v>
      </c>
      <c r="E2440" s="6">
        <v>46309.246666666702</v>
      </c>
      <c r="F2440" s="6">
        <v>46309</v>
      </c>
      <c r="G2440" s="5" t="s">
        <v>12</v>
      </c>
      <c r="H2440" s="5" t="s">
        <v>16</v>
      </c>
      <c r="I2440" s="5">
        <v>1</v>
      </c>
      <c r="J2440" s="9" t="s">
        <v>17</v>
      </c>
      <c r="K2440" s="1" t="s">
        <v>2732</v>
      </c>
      <c r="L2440" t="s">
        <v>10</v>
      </c>
      <c r="M2440" t="str">
        <f>+VLOOKUP(C2440,'[1]TIENDAS 2025'!$A$1:$C$143,3,0)</f>
        <v>local</v>
      </c>
      <c r="O2440">
        <v>1</v>
      </c>
    </row>
    <row r="2441" spans="1:15" ht="15" customHeight="1" x14ac:dyDescent="0.3">
      <c r="A2441" s="8">
        <v>209672696</v>
      </c>
      <c r="B2441" s="4" t="s">
        <v>539</v>
      </c>
      <c r="C2441" s="4" t="s">
        <v>540</v>
      </c>
      <c r="D2441" s="6">
        <v>46309.496712963002</v>
      </c>
      <c r="E2441" s="6">
        <v>46309.246678240699</v>
      </c>
      <c r="F2441" s="6">
        <v>46309</v>
      </c>
      <c r="G2441" s="5" t="s">
        <v>12</v>
      </c>
      <c r="H2441" s="5" t="s">
        <v>16</v>
      </c>
      <c r="I2441" s="5">
        <v>1</v>
      </c>
      <c r="J2441" s="9" t="s">
        <v>17</v>
      </c>
      <c r="K2441" s="1" t="s">
        <v>2733</v>
      </c>
      <c r="L2441" t="s">
        <v>10</v>
      </c>
      <c r="M2441" t="str">
        <f>+VLOOKUP(C2441,'[1]TIENDAS 2025'!$A$1:$C$143,3,0)</f>
        <v>departamental</v>
      </c>
      <c r="O2441">
        <v>1</v>
      </c>
    </row>
    <row r="2442" spans="1:15" ht="15" customHeight="1" x14ac:dyDescent="0.3">
      <c r="A2442" s="8">
        <v>209672701</v>
      </c>
      <c r="B2442" s="4" t="s">
        <v>472</v>
      </c>
      <c r="C2442" s="4" t="s">
        <v>473</v>
      </c>
      <c r="D2442" s="6">
        <v>46309.496724536999</v>
      </c>
      <c r="E2442" s="6">
        <v>46309.246689814798</v>
      </c>
      <c r="F2442" s="6">
        <v>46309</v>
      </c>
      <c r="G2442" s="5" t="s">
        <v>12</v>
      </c>
      <c r="H2442" s="5" t="s">
        <v>16</v>
      </c>
      <c r="I2442" s="5">
        <v>1</v>
      </c>
      <c r="J2442" s="9" t="s">
        <v>17</v>
      </c>
      <c r="K2442" s="1" t="s">
        <v>2734</v>
      </c>
      <c r="L2442" t="s">
        <v>10</v>
      </c>
      <c r="M2442" t="str">
        <f>+VLOOKUP(C2442,'[1]TIENDAS 2025'!$A$1:$C$143,3,0)</f>
        <v>departamental</v>
      </c>
      <c r="O2442">
        <v>1</v>
      </c>
    </row>
    <row r="2443" spans="1:15" ht="15" customHeight="1" x14ac:dyDescent="0.3">
      <c r="A2443" s="8">
        <v>209672706</v>
      </c>
      <c r="B2443" s="4" t="s">
        <v>277</v>
      </c>
      <c r="C2443" s="4" t="s">
        <v>278</v>
      </c>
      <c r="D2443" s="6">
        <v>46309.496736111098</v>
      </c>
      <c r="E2443" s="6">
        <v>46309.246712963002</v>
      </c>
      <c r="F2443" s="6">
        <v>46309</v>
      </c>
      <c r="G2443" s="5" t="s">
        <v>12</v>
      </c>
      <c r="H2443" s="5" t="s">
        <v>16</v>
      </c>
      <c r="I2443" s="5">
        <v>1</v>
      </c>
      <c r="J2443" s="9" t="s">
        <v>17</v>
      </c>
      <c r="K2443" s="1" t="s">
        <v>2735</v>
      </c>
      <c r="L2443" t="s">
        <v>10</v>
      </c>
      <c r="M2443" t="str">
        <f>+VLOOKUP(C2443,'[1]TIENDAS 2025'!$A$1:$C$143,3,0)</f>
        <v>local</v>
      </c>
      <c r="O2443">
        <v>1</v>
      </c>
    </row>
    <row r="2444" spans="1:15" ht="15" customHeight="1" x14ac:dyDescent="0.3">
      <c r="A2444" s="7">
        <v>8209672574</v>
      </c>
      <c r="B2444" s="4" t="s">
        <v>424</v>
      </c>
      <c r="C2444" s="4" t="s">
        <v>425</v>
      </c>
      <c r="D2444" s="6">
        <v>46309.496759259302</v>
      </c>
      <c r="E2444" s="6">
        <v>46309.246724536999</v>
      </c>
      <c r="F2444" s="6">
        <v>46309</v>
      </c>
      <c r="G2444" s="5" t="s">
        <v>12</v>
      </c>
      <c r="H2444" s="5" t="s">
        <v>27</v>
      </c>
      <c r="I2444" s="5">
        <v>2</v>
      </c>
      <c r="J2444" s="10" t="s">
        <v>17</v>
      </c>
      <c r="K2444" s="1" t="s">
        <v>2736</v>
      </c>
      <c r="M2444" t="str">
        <f>+VLOOKUP(C2444,'[1]TIENDAS 2025'!$A$1:$C$143,3,0)</f>
        <v>prioridad</v>
      </c>
      <c r="O2444">
        <v>1</v>
      </c>
    </row>
    <row r="2445" spans="1:15" ht="15" customHeight="1" x14ac:dyDescent="0.3">
      <c r="A2445" s="8">
        <v>209672585</v>
      </c>
      <c r="B2445" s="4" t="s">
        <v>187</v>
      </c>
      <c r="C2445" s="4" t="s">
        <v>188</v>
      </c>
      <c r="D2445" s="6">
        <v>46309.496770833299</v>
      </c>
      <c r="E2445" s="6">
        <v>46309.246747685203</v>
      </c>
      <c r="F2445" s="6">
        <v>46309</v>
      </c>
      <c r="G2445" s="5" t="s">
        <v>12</v>
      </c>
      <c r="H2445" s="5" t="s">
        <v>16</v>
      </c>
      <c r="I2445" s="5">
        <v>1</v>
      </c>
      <c r="J2445" s="9" t="s">
        <v>17</v>
      </c>
      <c r="K2445" s="1" t="s">
        <v>2737</v>
      </c>
      <c r="L2445" t="s">
        <v>10</v>
      </c>
      <c r="M2445" t="str">
        <f>+VLOOKUP(C2445,'[1]TIENDAS 2025'!$A$1:$C$143,3,0)</f>
        <v>departamental</v>
      </c>
      <c r="O2445">
        <v>1</v>
      </c>
    </row>
    <row r="2446" spans="1:15" ht="15" customHeight="1" x14ac:dyDescent="0.3">
      <c r="A2446" s="8">
        <v>209672584</v>
      </c>
      <c r="B2446" s="4" t="s">
        <v>418</v>
      </c>
      <c r="C2446" s="4" t="s">
        <v>419</v>
      </c>
      <c r="D2446" s="6">
        <v>46309.496770833299</v>
      </c>
      <c r="E2446" s="6">
        <v>46309.246736111098</v>
      </c>
      <c r="F2446" s="6">
        <v>46309</v>
      </c>
      <c r="G2446" s="5" t="s">
        <v>12</v>
      </c>
      <c r="H2446" s="5" t="s">
        <v>16</v>
      </c>
      <c r="I2446" s="5">
        <v>1</v>
      </c>
      <c r="J2446" s="9" t="s">
        <v>17</v>
      </c>
      <c r="K2446" s="1" t="s">
        <v>2738</v>
      </c>
      <c r="L2446" t="s">
        <v>10</v>
      </c>
      <c r="M2446" t="str">
        <f>+VLOOKUP(C2446,'[1]TIENDAS 2025'!$A$1:$C$143,3,0)</f>
        <v>local</v>
      </c>
      <c r="O2446">
        <v>1</v>
      </c>
    </row>
    <row r="2447" spans="1:15" ht="15" customHeight="1" x14ac:dyDescent="0.3">
      <c r="A2447" s="8">
        <v>209672589</v>
      </c>
      <c r="B2447" s="4" t="s">
        <v>427</v>
      </c>
      <c r="C2447" s="4" t="s">
        <v>428</v>
      </c>
      <c r="D2447" s="6">
        <v>46309.496793981503</v>
      </c>
      <c r="E2447" s="6">
        <v>46309.246770833299</v>
      </c>
      <c r="F2447" s="6">
        <v>46309</v>
      </c>
      <c r="G2447" s="5" t="s">
        <v>12</v>
      </c>
      <c r="H2447" s="5" t="s">
        <v>16</v>
      </c>
      <c r="I2447" s="5">
        <v>1</v>
      </c>
      <c r="J2447" s="9" t="s">
        <v>17</v>
      </c>
      <c r="K2447" s="1" t="s">
        <v>2739</v>
      </c>
      <c r="L2447" t="s">
        <v>10</v>
      </c>
      <c r="M2447" t="str">
        <f>+VLOOKUP(C2447,'[1]TIENDAS 2025'!$A$1:$C$143,3,0)</f>
        <v>local</v>
      </c>
      <c r="O2447">
        <v>1</v>
      </c>
    </row>
    <row r="2448" spans="1:15" ht="15" customHeight="1" x14ac:dyDescent="0.3">
      <c r="A2448" s="8">
        <v>209672594</v>
      </c>
      <c r="B2448" s="4" t="s">
        <v>442</v>
      </c>
      <c r="C2448" s="4" t="s">
        <v>443</v>
      </c>
      <c r="D2448" s="6">
        <v>46309.496805555602</v>
      </c>
      <c r="E2448" s="6">
        <v>46309.246782407397</v>
      </c>
      <c r="F2448" s="6">
        <v>46309</v>
      </c>
      <c r="G2448" s="5" t="s">
        <v>12</v>
      </c>
      <c r="H2448" s="5" t="s">
        <v>16</v>
      </c>
      <c r="I2448" s="5">
        <v>1</v>
      </c>
      <c r="J2448" s="9" t="s">
        <v>17</v>
      </c>
      <c r="K2448" s="1" t="s">
        <v>2740</v>
      </c>
      <c r="L2448" t="s">
        <v>10</v>
      </c>
      <c r="M2448" t="str">
        <f>+VLOOKUP(C2448,'[1]TIENDAS 2025'!$A$1:$C$143,3,0)</f>
        <v>local</v>
      </c>
      <c r="O2448">
        <v>1</v>
      </c>
    </row>
    <row r="2449" spans="1:15" ht="15" customHeight="1" x14ac:dyDescent="0.3">
      <c r="A2449" s="7">
        <v>1209672713</v>
      </c>
      <c r="B2449" s="4" t="s">
        <v>424</v>
      </c>
      <c r="C2449" s="4" t="s">
        <v>425</v>
      </c>
      <c r="D2449" s="6">
        <v>46309.496828703697</v>
      </c>
      <c r="E2449" s="6">
        <v>46309.246805555602</v>
      </c>
      <c r="F2449" s="6">
        <v>46309</v>
      </c>
      <c r="G2449" s="5" t="s">
        <v>12</v>
      </c>
      <c r="H2449" s="5" t="s">
        <v>29</v>
      </c>
      <c r="I2449" s="5">
        <v>26</v>
      </c>
      <c r="J2449" s="9" t="s">
        <v>17</v>
      </c>
      <c r="K2449" s="1" t="s">
        <v>2741</v>
      </c>
      <c r="L2449" t="s">
        <v>3284</v>
      </c>
      <c r="M2449" t="str">
        <f>+VLOOKUP(C2449,'[1]TIENDAS 2025'!$A$1:$C$143,3,0)</f>
        <v>prioridad</v>
      </c>
      <c r="O2449">
        <v>1</v>
      </c>
    </row>
    <row r="2450" spans="1:15" ht="15" customHeight="1" x14ac:dyDescent="0.3">
      <c r="A2450" s="8">
        <v>209672604</v>
      </c>
      <c r="B2450" s="4" t="s">
        <v>542</v>
      </c>
      <c r="C2450" s="4" t="s">
        <v>543</v>
      </c>
      <c r="D2450" s="6">
        <v>46309.496828703697</v>
      </c>
      <c r="E2450" s="6">
        <v>46309.246793981503</v>
      </c>
      <c r="F2450" s="6">
        <v>46309</v>
      </c>
      <c r="G2450" s="5" t="s">
        <v>12</v>
      </c>
      <c r="H2450" s="5" t="s">
        <v>16</v>
      </c>
      <c r="I2450" s="5">
        <v>1</v>
      </c>
      <c r="J2450" s="9" t="s">
        <v>17</v>
      </c>
      <c r="K2450" s="1" t="s">
        <v>2742</v>
      </c>
      <c r="L2450" t="s">
        <v>10</v>
      </c>
      <c r="M2450" t="str">
        <f>+VLOOKUP(C2450,'[1]TIENDAS 2025'!$A$1:$C$143,3,0)</f>
        <v>prioridad</v>
      </c>
      <c r="O2450">
        <v>1</v>
      </c>
    </row>
    <row r="2451" spans="1:15" ht="15" customHeight="1" x14ac:dyDescent="0.3">
      <c r="A2451" s="8">
        <v>209672624</v>
      </c>
      <c r="B2451" s="4" t="s">
        <v>503</v>
      </c>
      <c r="C2451" s="4" t="s">
        <v>504</v>
      </c>
      <c r="D2451" s="6">
        <v>46309.496851851902</v>
      </c>
      <c r="E2451" s="6">
        <v>46309.246817129599</v>
      </c>
      <c r="F2451" s="6">
        <v>46309</v>
      </c>
      <c r="G2451" s="5" t="s">
        <v>12</v>
      </c>
      <c r="H2451" s="5" t="s">
        <v>16</v>
      </c>
      <c r="I2451" s="5">
        <v>1</v>
      </c>
      <c r="J2451" s="9" t="s">
        <v>17</v>
      </c>
      <c r="K2451" s="1" t="s">
        <v>2743</v>
      </c>
      <c r="L2451" t="s">
        <v>10</v>
      </c>
      <c r="M2451" t="str">
        <f>+VLOOKUP(C2451,'[1]TIENDAS 2025'!$A$1:$C$143,3,0)</f>
        <v>departamental</v>
      </c>
      <c r="O2451">
        <v>1</v>
      </c>
    </row>
    <row r="2452" spans="1:15" ht="15" customHeight="1" x14ac:dyDescent="0.3">
      <c r="A2452" s="8">
        <v>209672625</v>
      </c>
      <c r="B2452" s="4" t="s">
        <v>421</v>
      </c>
      <c r="C2452" s="4" t="s">
        <v>422</v>
      </c>
      <c r="D2452" s="6">
        <v>46309.496863425898</v>
      </c>
      <c r="E2452" s="6">
        <v>46309.246840277803</v>
      </c>
      <c r="F2452" s="6">
        <v>46309</v>
      </c>
      <c r="G2452" s="5" t="s">
        <v>12</v>
      </c>
      <c r="H2452" s="5" t="s">
        <v>16</v>
      </c>
      <c r="I2452" s="5">
        <v>1</v>
      </c>
      <c r="J2452" s="9" t="s">
        <v>17</v>
      </c>
      <c r="K2452" s="1" t="s">
        <v>2744</v>
      </c>
      <c r="L2452" t="s">
        <v>10</v>
      </c>
      <c r="M2452" t="str">
        <f>+VLOOKUP(C2452,'[1]TIENDAS 2025'!$A$1:$C$143,3,0)</f>
        <v>departamental</v>
      </c>
      <c r="O2452">
        <v>1</v>
      </c>
    </row>
    <row r="2453" spans="1:15" ht="15" customHeight="1" x14ac:dyDescent="0.3">
      <c r="A2453" s="8">
        <v>209672627</v>
      </c>
      <c r="B2453" s="4" t="s">
        <v>379</v>
      </c>
      <c r="C2453" s="4" t="s">
        <v>380</v>
      </c>
      <c r="D2453" s="6">
        <v>46309.496886574103</v>
      </c>
      <c r="E2453" s="6">
        <v>46309.246851851902</v>
      </c>
      <c r="F2453" s="6">
        <v>46309</v>
      </c>
      <c r="G2453" s="5" t="s">
        <v>12</v>
      </c>
      <c r="H2453" s="5" t="s">
        <v>16</v>
      </c>
      <c r="I2453" s="5">
        <v>1</v>
      </c>
      <c r="J2453" s="9" t="s">
        <v>17</v>
      </c>
      <c r="K2453" s="1" t="s">
        <v>2745</v>
      </c>
      <c r="L2453" t="s">
        <v>10</v>
      </c>
      <c r="M2453" t="str">
        <f>+VLOOKUP(C2453,'[1]TIENDAS 2025'!$A$1:$C$143,3,0)</f>
        <v>departamental</v>
      </c>
      <c r="O2453">
        <v>1</v>
      </c>
    </row>
    <row r="2454" spans="1:15" ht="15" customHeight="1" x14ac:dyDescent="0.3">
      <c r="A2454" s="8">
        <v>209672629</v>
      </c>
      <c r="B2454" s="4" t="s">
        <v>330</v>
      </c>
      <c r="C2454" s="4" t="s">
        <v>331</v>
      </c>
      <c r="D2454" s="6">
        <v>46309.496898148202</v>
      </c>
      <c r="E2454" s="6">
        <v>46309.246863425898</v>
      </c>
      <c r="F2454" s="6">
        <v>46309</v>
      </c>
      <c r="G2454" s="5" t="s">
        <v>12</v>
      </c>
      <c r="H2454" s="5" t="s">
        <v>16</v>
      </c>
      <c r="I2454" s="5">
        <v>1</v>
      </c>
      <c r="J2454" s="9" t="s">
        <v>17</v>
      </c>
      <c r="K2454" s="1" t="s">
        <v>2746</v>
      </c>
      <c r="L2454" t="s">
        <v>10</v>
      </c>
      <c r="M2454" t="str">
        <f>+VLOOKUP(C2454,'[1]TIENDAS 2025'!$A$1:$C$143,3,0)</f>
        <v>departamental</v>
      </c>
      <c r="O2454">
        <v>1</v>
      </c>
    </row>
    <row r="2455" spans="1:15" ht="15" customHeight="1" x14ac:dyDescent="0.3">
      <c r="A2455" s="8">
        <v>209672633</v>
      </c>
      <c r="B2455" s="4" t="s">
        <v>250</v>
      </c>
      <c r="C2455" s="4" t="s">
        <v>251</v>
      </c>
      <c r="D2455" s="6">
        <v>46309.496909722198</v>
      </c>
      <c r="E2455" s="6">
        <v>46309.246874999997</v>
      </c>
      <c r="F2455" s="6">
        <v>46309</v>
      </c>
      <c r="G2455" s="5" t="s">
        <v>12</v>
      </c>
      <c r="H2455" s="5" t="s">
        <v>16</v>
      </c>
      <c r="I2455" s="5">
        <v>1</v>
      </c>
      <c r="J2455" s="9" t="s">
        <v>17</v>
      </c>
      <c r="K2455" s="1" t="s">
        <v>2747</v>
      </c>
      <c r="L2455" t="s">
        <v>10</v>
      </c>
      <c r="M2455" t="str">
        <f>+VLOOKUP(C2455,'[1]TIENDAS 2025'!$A$1:$C$143,3,0)</f>
        <v>prioridad</v>
      </c>
      <c r="O2455">
        <v>1</v>
      </c>
    </row>
    <row r="2456" spans="1:15" ht="15" customHeight="1" x14ac:dyDescent="0.3">
      <c r="A2456" s="8">
        <v>209672646</v>
      </c>
      <c r="B2456" s="4" t="s">
        <v>460</v>
      </c>
      <c r="C2456" s="4" t="s">
        <v>461</v>
      </c>
      <c r="D2456" s="6">
        <v>46309.496921296297</v>
      </c>
      <c r="E2456" s="6">
        <v>46309.246898148202</v>
      </c>
      <c r="F2456" s="6">
        <v>46309</v>
      </c>
      <c r="G2456" s="5" t="s">
        <v>12</v>
      </c>
      <c r="H2456" s="5" t="s">
        <v>16</v>
      </c>
      <c r="I2456" s="5">
        <v>1</v>
      </c>
      <c r="J2456" s="9" t="s">
        <v>17</v>
      </c>
      <c r="K2456" s="1" t="s">
        <v>2748</v>
      </c>
      <c r="L2456" t="s">
        <v>10</v>
      </c>
      <c r="M2456" t="str">
        <f>+VLOOKUP(C2456,'[1]TIENDAS 2025'!$A$1:$C$143,3,0)</f>
        <v>prioridad</v>
      </c>
      <c r="O2456">
        <v>1</v>
      </c>
    </row>
    <row r="2457" spans="1:15" ht="15" customHeight="1" x14ac:dyDescent="0.3">
      <c r="A2457" s="7">
        <v>8209672757</v>
      </c>
      <c r="B2457" s="4" t="s">
        <v>385</v>
      </c>
      <c r="C2457" s="4" t="s">
        <v>386</v>
      </c>
      <c r="D2457" s="6">
        <v>46309.496932870403</v>
      </c>
      <c r="E2457" s="6">
        <v>46309.246909722198</v>
      </c>
      <c r="F2457" s="6">
        <v>46309</v>
      </c>
      <c r="G2457" s="5" t="s">
        <v>12</v>
      </c>
      <c r="H2457" s="5" t="s">
        <v>27</v>
      </c>
      <c r="I2457" s="5">
        <v>1</v>
      </c>
      <c r="J2457" s="10" t="s">
        <v>17</v>
      </c>
      <c r="K2457" s="1" t="s">
        <v>2749</v>
      </c>
      <c r="M2457" t="str">
        <f>+VLOOKUP(C2457,'[1]TIENDAS 2025'!$A$1:$C$143,3,0)</f>
        <v>nocturna</v>
      </c>
      <c r="O2457">
        <v>1</v>
      </c>
    </row>
    <row r="2458" spans="1:15" ht="15" customHeight="1" x14ac:dyDescent="0.3">
      <c r="A2458" s="7">
        <v>1209672739</v>
      </c>
      <c r="B2458" s="4" t="s">
        <v>509</v>
      </c>
      <c r="C2458" s="4" t="s">
        <v>510</v>
      </c>
      <c r="D2458" s="6">
        <v>46309.496956018498</v>
      </c>
      <c r="E2458" s="6">
        <v>46309.246921296297</v>
      </c>
      <c r="F2458" s="6">
        <v>46309</v>
      </c>
      <c r="G2458" s="5" t="s">
        <v>12</v>
      </c>
      <c r="H2458" s="5" t="s">
        <v>29</v>
      </c>
      <c r="I2458" s="5">
        <v>29</v>
      </c>
      <c r="J2458" s="9" t="s">
        <v>17</v>
      </c>
      <c r="K2458" s="1" t="s">
        <v>2750</v>
      </c>
      <c r="L2458" t="s">
        <v>3284</v>
      </c>
      <c r="M2458" t="str">
        <f>+VLOOKUP(C2458,'[1]TIENDAS 2025'!$A$1:$C$143,3,0)</f>
        <v>nocturna</v>
      </c>
      <c r="O2458">
        <v>1</v>
      </c>
    </row>
    <row r="2459" spans="1:15" ht="15" customHeight="1" x14ac:dyDescent="0.3">
      <c r="A2459" s="7">
        <v>1209672779</v>
      </c>
      <c r="B2459" s="4" t="s">
        <v>385</v>
      </c>
      <c r="C2459" s="4" t="s">
        <v>386</v>
      </c>
      <c r="D2459" s="6">
        <v>46309.496967592597</v>
      </c>
      <c r="E2459" s="6">
        <v>46309.246932870403</v>
      </c>
      <c r="F2459" s="6">
        <v>46309</v>
      </c>
      <c r="G2459" s="5" t="s">
        <v>12</v>
      </c>
      <c r="H2459" s="5" t="s">
        <v>29</v>
      </c>
      <c r="I2459" s="5">
        <v>20</v>
      </c>
      <c r="J2459" s="9" t="s">
        <v>17</v>
      </c>
      <c r="K2459" s="1" t="s">
        <v>2751</v>
      </c>
      <c r="L2459" t="s">
        <v>3284</v>
      </c>
      <c r="M2459" t="str">
        <f>+VLOOKUP(C2459,'[1]TIENDAS 2025'!$A$1:$C$143,3,0)</f>
        <v>nocturna</v>
      </c>
      <c r="O2459">
        <v>1</v>
      </c>
    </row>
    <row r="2460" spans="1:15" ht="15" customHeight="1" x14ac:dyDescent="0.3">
      <c r="A2460" s="7">
        <v>8209672732</v>
      </c>
      <c r="B2460" s="4" t="s">
        <v>509</v>
      </c>
      <c r="C2460" s="4" t="s">
        <v>510</v>
      </c>
      <c r="D2460" s="6">
        <v>46309.496979166703</v>
      </c>
      <c r="E2460" s="6">
        <v>46309.246956018498</v>
      </c>
      <c r="F2460" s="6">
        <v>46309</v>
      </c>
      <c r="G2460" s="5" t="s">
        <v>12</v>
      </c>
      <c r="H2460" s="5" t="s">
        <v>27</v>
      </c>
      <c r="I2460" s="5">
        <v>6</v>
      </c>
      <c r="J2460" s="10" t="s">
        <v>17</v>
      </c>
      <c r="K2460" s="1" t="s">
        <v>2752</v>
      </c>
      <c r="M2460" t="str">
        <f>+VLOOKUP(C2460,'[1]TIENDAS 2025'!$A$1:$C$143,3,0)</f>
        <v>nocturna</v>
      </c>
      <c r="O2460">
        <v>1</v>
      </c>
    </row>
    <row r="2461" spans="1:15" ht="15" customHeight="1" x14ac:dyDescent="0.3">
      <c r="A2461" s="7">
        <v>1209672801</v>
      </c>
      <c r="B2461" s="4" t="s">
        <v>436</v>
      </c>
      <c r="C2461" s="4" t="s">
        <v>437</v>
      </c>
      <c r="D2461" s="6">
        <v>46309.496990740699</v>
      </c>
      <c r="E2461" s="6">
        <v>46309.246967592597</v>
      </c>
      <c r="F2461" s="6">
        <v>46309</v>
      </c>
      <c r="G2461" s="5" t="s">
        <v>12</v>
      </c>
      <c r="H2461" s="5" t="s">
        <v>29</v>
      </c>
      <c r="I2461" s="5">
        <v>18</v>
      </c>
      <c r="J2461" s="9" t="s">
        <v>17</v>
      </c>
      <c r="K2461" s="1" t="s">
        <v>2753</v>
      </c>
      <c r="L2461" t="s">
        <v>3284</v>
      </c>
      <c r="M2461" t="str">
        <f>+VLOOKUP(C2461,'[1]TIENDAS 2025'!$A$1:$C$143,3,0)</f>
        <v>departamental</v>
      </c>
      <c r="O2461">
        <v>1</v>
      </c>
    </row>
    <row r="2462" spans="1:15" ht="15" customHeight="1" x14ac:dyDescent="0.3">
      <c r="A2462" s="7">
        <v>8209672791</v>
      </c>
      <c r="B2462" s="4" t="s">
        <v>436</v>
      </c>
      <c r="C2462" s="4" t="s">
        <v>437</v>
      </c>
      <c r="D2462" s="6">
        <v>46309.497013888897</v>
      </c>
      <c r="E2462" s="6">
        <v>46309.246979166703</v>
      </c>
      <c r="F2462" s="6">
        <v>46309</v>
      </c>
      <c r="G2462" s="5" t="s">
        <v>12</v>
      </c>
      <c r="H2462" s="5" t="s">
        <v>27</v>
      </c>
      <c r="I2462" s="5">
        <v>2</v>
      </c>
      <c r="J2462" s="10" t="s">
        <v>17</v>
      </c>
      <c r="K2462" s="1" t="s">
        <v>2754</v>
      </c>
      <c r="M2462" t="str">
        <f>+VLOOKUP(C2462,'[1]TIENDAS 2025'!$A$1:$C$143,3,0)</f>
        <v>departamental</v>
      </c>
      <c r="O2462">
        <v>1</v>
      </c>
    </row>
    <row r="2463" spans="1:15" ht="15" customHeight="1" x14ac:dyDescent="0.3">
      <c r="A2463" s="7">
        <v>1209672531</v>
      </c>
      <c r="B2463" s="4" t="s">
        <v>336</v>
      </c>
      <c r="C2463" s="4" t="s">
        <v>337</v>
      </c>
      <c r="D2463" s="6">
        <v>46309.497025463003</v>
      </c>
      <c r="E2463" s="6">
        <v>46309.246990740699</v>
      </c>
      <c r="F2463" s="6">
        <v>46309</v>
      </c>
      <c r="G2463" s="5" t="s">
        <v>12</v>
      </c>
      <c r="H2463" s="5" t="s">
        <v>16</v>
      </c>
      <c r="I2463" s="5">
        <v>12</v>
      </c>
      <c r="J2463" s="9" t="s">
        <v>17</v>
      </c>
      <c r="K2463" s="1" t="s">
        <v>2755</v>
      </c>
      <c r="L2463" t="s">
        <v>3284</v>
      </c>
      <c r="M2463" t="str">
        <f>+VLOOKUP(C2463,'[1]TIENDAS 2025'!$A$1:$C$143,3,0)</f>
        <v xml:space="preserve">departamental </v>
      </c>
      <c r="O2463">
        <v>1</v>
      </c>
    </row>
    <row r="2464" spans="1:15" ht="15" customHeight="1" x14ac:dyDescent="0.3">
      <c r="A2464" s="7">
        <v>1209672530</v>
      </c>
      <c r="B2464" s="4" t="s">
        <v>336</v>
      </c>
      <c r="C2464" s="4" t="s">
        <v>337</v>
      </c>
      <c r="D2464" s="6">
        <v>46309.497037036999</v>
      </c>
      <c r="E2464" s="6">
        <v>46309.247013888897</v>
      </c>
      <c r="F2464" s="6">
        <v>46309</v>
      </c>
      <c r="G2464" s="5" t="s">
        <v>12</v>
      </c>
      <c r="H2464" s="5" t="s">
        <v>16</v>
      </c>
      <c r="I2464" s="5">
        <v>7</v>
      </c>
      <c r="J2464" s="9" t="s">
        <v>17</v>
      </c>
      <c r="K2464" s="1" t="s">
        <v>2756</v>
      </c>
      <c r="L2464" t="s">
        <v>3284</v>
      </c>
      <c r="M2464" t="str">
        <f>+VLOOKUP(C2464,'[1]TIENDAS 2025'!$A$1:$C$143,3,0)</f>
        <v xml:space="preserve">departamental </v>
      </c>
      <c r="O2464">
        <v>1</v>
      </c>
    </row>
    <row r="2465" spans="1:15" ht="15" customHeight="1" x14ac:dyDescent="0.3">
      <c r="A2465" s="7">
        <v>8209672522</v>
      </c>
      <c r="B2465" s="4" t="s">
        <v>336</v>
      </c>
      <c r="C2465" s="4" t="s">
        <v>337</v>
      </c>
      <c r="D2465" s="6">
        <v>46309.497048611098</v>
      </c>
      <c r="E2465" s="6">
        <v>46309.247025463003</v>
      </c>
      <c r="F2465" s="6">
        <v>46309</v>
      </c>
      <c r="G2465" s="5" t="s">
        <v>12</v>
      </c>
      <c r="H2465" s="5" t="s">
        <v>27</v>
      </c>
      <c r="I2465" s="5">
        <v>20</v>
      </c>
      <c r="J2465" s="10" t="s">
        <v>17</v>
      </c>
      <c r="K2465" s="1" t="s">
        <v>2757</v>
      </c>
      <c r="M2465" t="str">
        <f>+VLOOKUP(C2465,'[1]TIENDAS 2025'!$A$1:$C$143,3,0)</f>
        <v xml:space="preserve">departamental </v>
      </c>
      <c r="O2465">
        <v>1</v>
      </c>
    </row>
    <row r="2466" spans="1:15" ht="15" customHeight="1" x14ac:dyDescent="0.3">
      <c r="A2466" s="8">
        <v>209672657</v>
      </c>
      <c r="B2466" s="4" t="s">
        <v>358</v>
      </c>
      <c r="C2466" s="4" t="s">
        <v>359</v>
      </c>
      <c r="D2466" s="6">
        <v>46309.497071759302</v>
      </c>
      <c r="E2466" s="6">
        <v>46309.247037036999</v>
      </c>
      <c r="F2466" s="6">
        <v>46309</v>
      </c>
      <c r="G2466" s="5" t="s">
        <v>12</v>
      </c>
      <c r="H2466" s="5" t="s">
        <v>16</v>
      </c>
      <c r="I2466" s="5">
        <v>1</v>
      </c>
      <c r="J2466" s="9" t="s">
        <v>17</v>
      </c>
      <c r="K2466" s="1" t="s">
        <v>2758</v>
      </c>
      <c r="L2466" t="s">
        <v>10</v>
      </c>
      <c r="M2466" t="str">
        <f>+VLOOKUP(C2466,'[1]TIENDAS 2025'!$A$1:$C$143,3,0)</f>
        <v>prioridad</v>
      </c>
      <c r="O2466">
        <v>1</v>
      </c>
    </row>
    <row r="2467" spans="1:15" ht="15" customHeight="1" x14ac:dyDescent="0.3">
      <c r="A2467" s="8">
        <v>209672669</v>
      </c>
      <c r="B2467" s="4" t="s">
        <v>376</v>
      </c>
      <c r="C2467" s="4" t="s">
        <v>377</v>
      </c>
      <c r="D2467" s="6">
        <v>46309.497083333299</v>
      </c>
      <c r="E2467" s="6">
        <v>46309.247048611098</v>
      </c>
      <c r="F2467" s="6">
        <v>46309</v>
      </c>
      <c r="G2467" s="5" t="s">
        <v>12</v>
      </c>
      <c r="H2467" s="5" t="s">
        <v>16</v>
      </c>
      <c r="I2467" s="5">
        <v>1</v>
      </c>
      <c r="J2467" s="9" t="s">
        <v>17</v>
      </c>
      <c r="K2467" s="1" t="s">
        <v>2759</v>
      </c>
      <c r="L2467" t="s">
        <v>10</v>
      </c>
      <c r="M2467" t="str">
        <f>+VLOOKUP(C2467,'[1]TIENDAS 2025'!$A$1:$C$143,3,0)</f>
        <v>nocturna</v>
      </c>
      <c r="O2467">
        <v>1</v>
      </c>
    </row>
    <row r="2468" spans="1:15" ht="15" customHeight="1" x14ac:dyDescent="0.3">
      <c r="A2468" s="8">
        <v>209672673</v>
      </c>
      <c r="B2468" s="4" t="s">
        <v>244</v>
      </c>
      <c r="C2468" s="4" t="s">
        <v>245</v>
      </c>
      <c r="D2468" s="6">
        <v>46309.497094907398</v>
      </c>
      <c r="E2468" s="6">
        <v>46309.247060185196</v>
      </c>
      <c r="F2468" s="6">
        <v>46309</v>
      </c>
      <c r="G2468" s="5" t="s">
        <v>12</v>
      </c>
      <c r="H2468" s="5" t="s">
        <v>16</v>
      </c>
      <c r="I2468" s="5">
        <v>1</v>
      </c>
      <c r="J2468" s="9" t="s">
        <v>17</v>
      </c>
      <c r="K2468" s="1" t="s">
        <v>2760</v>
      </c>
      <c r="L2468" t="s">
        <v>10</v>
      </c>
      <c r="M2468" t="str">
        <f>+VLOOKUP(C2468,'[1]TIENDAS 2025'!$A$1:$C$143,3,0)</f>
        <v>nocturna</v>
      </c>
      <c r="O2468">
        <v>1</v>
      </c>
    </row>
    <row r="2469" spans="1:15" ht="15" customHeight="1" x14ac:dyDescent="0.3">
      <c r="A2469" s="8">
        <v>209672679</v>
      </c>
      <c r="B2469" s="4" t="s">
        <v>509</v>
      </c>
      <c r="C2469" s="4" t="s">
        <v>510</v>
      </c>
      <c r="D2469" s="6">
        <v>46309.497106481504</v>
      </c>
      <c r="E2469" s="6">
        <v>46309.247083333299</v>
      </c>
      <c r="F2469" s="6">
        <v>46309</v>
      </c>
      <c r="G2469" s="5" t="s">
        <v>12</v>
      </c>
      <c r="H2469" s="5" t="s">
        <v>16</v>
      </c>
      <c r="I2469" s="5">
        <v>1</v>
      </c>
      <c r="J2469" s="9" t="s">
        <v>17</v>
      </c>
      <c r="K2469" s="1" t="s">
        <v>2761</v>
      </c>
      <c r="L2469" t="s">
        <v>10</v>
      </c>
      <c r="M2469" t="str">
        <f>+VLOOKUP(C2469,'[1]TIENDAS 2025'!$A$1:$C$143,3,0)</f>
        <v>nocturna</v>
      </c>
      <c r="O2469">
        <v>1</v>
      </c>
    </row>
    <row r="2470" spans="1:15" ht="15" customHeight="1" x14ac:dyDescent="0.3">
      <c r="A2470" s="8">
        <v>209672683</v>
      </c>
      <c r="B2470" s="4" t="s">
        <v>445</v>
      </c>
      <c r="C2470" s="4" t="s">
        <v>446</v>
      </c>
      <c r="D2470" s="6">
        <v>46309.497118055602</v>
      </c>
      <c r="E2470" s="6">
        <v>46309.247094907398</v>
      </c>
      <c r="F2470" s="6">
        <v>46309</v>
      </c>
      <c r="G2470" s="5" t="s">
        <v>12</v>
      </c>
      <c r="H2470" s="5" t="s">
        <v>16</v>
      </c>
      <c r="I2470" s="5">
        <v>1</v>
      </c>
      <c r="J2470" s="9" t="s">
        <v>17</v>
      </c>
      <c r="K2470" s="1" t="s">
        <v>2762</v>
      </c>
      <c r="L2470" t="s">
        <v>10</v>
      </c>
      <c r="M2470" t="str">
        <f>+VLOOKUP(C2470,'[1]TIENDAS 2025'!$A$1:$C$143,3,0)</f>
        <v>departamental</v>
      </c>
      <c r="O2470">
        <v>1</v>
      </c>
    </row>
    <row r="2471" spans="1:15" ht="15" customHeight="1" x14ac:dyDescent="0.3">
      <c r="A2471" s="7">
        <v>1209672717</v>
      </c>
      <c r="B2471" s="4" t="s">
        <v>424</v>
      </c>
      <c r="C2471" s="4" t="s">
        <v>425</v>
      </c>
      <c r="D2471" s="6">
        <v>46309.497141203698</v>
      </c>
      <c r="E2471" s="6">
        <v>46309.247106481504</v>
      </c>
      <c r="F2471" s="6">
        <v>46309</v>
      </c>
      <c r="G2471" s="5" t="s">
        <v>12</v>
      </c>
      <c r="H2471" s="5" t="s">
        <v>29</v>
      </c>
      <c r="I2471" s="5">
        <v>69</v>
      </c>
      <c r="J2471" s="9" t="s">
        <v>17</v>
      </c>
      <c r="K2471" s="1" t="s">
        <v>2763</v>
      </c>
      <c r="L2471" t="s">
        <v>3284</v>
      </c>
      <c r="M2471" t="str">
        <f>+VLOOKUP(C2471,'[1]TIENDAS 2025'!$A$1:$C$143,3,0)</f>
        <v>prioridad</v>
      </c>
      <c r="O2471">
        <v>1</v>
      </c>
    </row>
    <row r="2472" spans="1:15" ht="15" customHeight="1" x14ac:dyDescent="0.3">
      <c r="A2472" s="8">
        <v>209672693</v>
      </c>
      <c r="B2472" s="4" t="s">
        <v>536</v>
      </c>
      <c r="C2472" s="4" t="s">
        <v>537</v>
      </c>
      <c r="D2472" s="6">
        <v>46309.497152777803</v>
      </c>
      <c r="E2472" s="6">
        <v>46309.247118055602</v>
      </c>
      <c r="F2472" s="6">
        <v>46309</v>
      </c>
      <c r="G2472" s="5" t="s">
        <v>12</v>
      </c>
      <c r="H2472" s="5" t="s">
        <v>16</v>
      </c>
      <c r="I2472" s="5">
        <v>1</v>
      </c>
      <c r="J2472" s="9" t="s">
        <v>17</v>
      </c>
      <c r="K2472" s="1" t="s">
        <v>2764</v>
      </c>
      <c r="L2472" t="s">
        <v>10</v>
      </c>
      <c r="M2472" t="str">
        <f>+VLOOKUP(C2472,'[1]TIENDAS 2025'!$A$1:$C$143,3,0)</f>
        <v>departamental</v>
      </c>
      <c r="O2472">
        <v>1</v>
      </c>
    </row>
    <row r="2473" spans="1:15" ht="15" customHeight="1" x14ac:dyDescent="0.3">
      <c r="A2473" s="8">
        <v>209672694</v>
      </c>
      <c r="B2473" s="4" t="s">
        <v>397</v>
      </c>
      <c r="C2473" s="4" t="s">
        <v>398</v>
      </c>
      <c r="D2473" s="6">
        <v>46309.497164351902</v>
      </c>
      <c r="E2473" s="6">
        <v>46309.247141203698</v>
      </c>
      <c r="F2473" s="6">
        <v>46309</v>
      </c>
      <c r="G2473" s="5" t="s">
        <v>12</v>
      </c>
      <c r="H2473" s="5" t="s">
        <v>16</v>
      </c>
      <c r="I2473" s="5">
        <v>1</v>
      </c>
      <c r="J2473" s="9" t="s">
        <v>17</v>
      </c>
      <c r="K2473" s="1" t="s">
        <v>2765</v>
      </c>
      <c r="L2473" t="s">
        <v>10</v>
      </c>
      <c r="M2473" t="str">
        <f>+VLOOKUP(C2473,'[1]TIENDAS 2025'!$A$1:$C$143,3,0)</f>
        <v>local</v>
      </c>
      <c r="O2473">
        <v>1</v>
      </c>
    </row>
    <row r="2474" spans="1:15" ht="15" customHeight="1" x14ac:dyDescent="0.3">
      <c r="A2474" s="8">
        <v>209672700</v>
      </c>
      <c r="B2474" s="4" t="s">
        <v>469</v>
      </c>
      <c r="C2474" s="4" t="s">
        <v>470</v>
      </c>
      <c r="D2474" s="6">
        <v>46309.497187499997</v>
      </c>
      <c r="E2474" s="6">
        <v>46309.247152777803</v>
      </c>
      <c r="F2474" s="6">
        <v>46309</v>
      </c>
      <c r="G2474" s="5" t="s">
        <v>12</v>
      </c>
      <c r="H2474" s="5" t="s">
        <v>16</v>
      </c>
      <c r="I2474" s="5">
        <v>1</v>
      </c>
      <c r="J2474" s="9" t="s">
        <v>17</v>
      </c>
      <c r="K2474" s="1" t="s">
        <v>2766</v>
      </c>
      <c r="L2474" t="s">
        <v>10</v>
      </c>
      <c r="M2474" t="str">
        <f>+VLOOKUP(C2474,'[1]TIENDAS 2025'!$A$1:$C$143,3,0)</f>
        <v>departamental</v>
      </c>
      <c r="O2474">
        <v>1</v>
      </c>
    </row>
    <row r="2475" spans="1:15" ht="15" customHeight="1" x14ac:dyDescent="0.3">
      <c r="A2475" s="8">
        <v>209672702</v>
      </c>
      <c r="B2475" s="4" t="s">
        <v>220</v>
      </c>
      <c r="C2475" s="4" t="s">
        <v>221</v>
      </c>
      <c r="D2475" s="6">
        <v>46309.497199074103</v>
      </c>
      <c r="E2475" s="6">
        <v>46309.247164351902</v>
      </c>
      <c r="F2475" s="6">
        <v>46309</v>
      </c>
      <c r="G2475" s="5" t="s">
        <v>12</v>
      </c>
      <c r="H2475" s="5" t="s">
        <v>16</v>
      </c>
      <c r="I2475" s="5">
        <v>1</v>
      </c>
      <c r="J2475" s="9" t="s">
        <v>17</v>
      </c>
      <c r="K2475" s="1" t="s">
        <v>2767</v>
      </c>
      <c r="L2475" t="s">
        <v>10</v>
      </c>
      <c r="M2475" t="str">
        <f>+VLOOKUP(C2475,'[1]TIENDAS 2025'!$A$1:$C$143,3,0)</f>
        <v>departamental</v>
      </c>
      <c r="O2475">
        <v>1</v>
      </c>
    </row>
    <row r="2476" spans="1:15" ht="15" customHeight="1" x14ac:dyDescent="0.3">
      <c r="A2476" s="8">
        <v>209672708</v>
      </c>
      <c r="B2476" s="4" t="s">
        <v>150</v>
      </c>
      <c r="C2476" s="4" t="s">
        <v>151</v>
      </c>
      <c r="D2476" s="6">
        <v>46309.497210648202</v>
      </c>
      <c r="E2476" s="6">
        <v>46309.247187499997</v>
      </c>
      <c r="F2476" s="6">
        <v>46309</v>
      </c>
      <c r="G2476" s="5" t="s">
        <v>12</v>
      </c>
      <c r="H2476" s="5" t="s">
        <v>16</v>
      </c>
      <c r="I2476" s="5">
        <v>1</v>
      </c>
      <c r="J2476" s="9" t="s">
        <v>17</v>
      </c>
      <c r="K2476" s="1" t="s">
        <v>2768</v>
      </c>
      <c r="L2476" t="s">
        <v>10</v>
      </c>
      <c r="M2476" t="str">
        <f>+VLOOKUP(C2476,'[1]TIENDAS 2025'!$A$1:$C$143,3,0)</f>
        <v>local</v>
      </c>
      <c r="O2476">
        <v>1</v>
      </c>
    </row>
    <row r="2477" spans="1:15" ht="15" customHeight="1" x14ac:dyDescent="0.3">
      <c r="A2477" s="8">
        <v>209672582</v>
      </c>
      <c r="B2477" s="4" t="s">
        <v>415</v>
      </c>
      <c r="C2477" s="4" t="s">
        <v>416</v>
      </c>
      <c r="D2477" s="6">
        <v>46309.497233796297</v>
      </c>
      <c r="E2477" s="6">
        <v>46309.247210648202</v>
      </c>
      <c r="F2477" s="6">
        <v>46309</v>
      </c>
      <c r="G2477" s="5" t="s">
        <v>12</v>
      </c>
      <c r="H2477" s="5" t="s">
        <v>16</v>
      </c>
      <c r="I2477" s="5">
        <v>1</v>
      </c>
      <c r="J2477" s="9" t="s">
        <v>17</v>
      </c>
      <c r="K2477" s="1" t="s">
        <v>2769</v>
      </c>
      <c r="L2477" t="s">
        <v>10</v>
      </c>
      <c r="M2477" t="str">
        <f>+VLOOKUP(C2477,'[1]TIENDAS 2025'!$A$1:$C$143,3,0)</f>
        <v>prioridad</v>
      </c>
      <c r="O2477">
        <v>1</v>
      </c>
    </row>
    <row r="2478" spans="1:15" ht="15" customHeight="1" x14ac:dyDescent="0.3">
      <c r="A2478" s="8">
        <v>209672579</v>
      </c>
      <c r="B2478" s="4" t="s">
        <v>557</v>
      </c>
      <c r="C2478" s="4" t="s">
        <v>558</v>
      </c>
      <c r="D2478" s="6">
        <v>46309.497233796297</v>
      </c>
      <c r="E2478" s="6">
        <v>46309.247199074103</v>
      </c>
      <c r="F2478" s="6">
        <v>46309</v>
      </c>
      <c r="G2478" s="5" t="s">
        <v>12</v>
      </c>
      <c r="H2478" s="5" t="s">
        <v>16</v>
      </c>
      <c r="I2478" s="5">
        <v>2</v>
      </c>
      <c r="J2478" s="9" t="s">
        <v>17</v>
      </c>
      <c r="K2478" s="1" t="s">
        <v>2770</v>
      </c>
      <c r="L2478" t="s">
        <v>10</v>
      </c>
      <c r="M2478" t="str">
        <f>+VLOOKUP(C2478,'[1]TIENDAS 2025'!$A$1:$C$143,3,0)</f>
        <v>local</v>
      </c>
      <c r="O2478">
        <v>1</v>
      </c>
    </row>
    <row r="2479" spans="1:15" ht="15" customHeight="1" x14ac:dyDescent="0.3">
      <c r="A2479" s="7">
        <v>1209672567</v>
      </c>
      <c r="B2479" s="4" t="s">
        <v>424</v>
      </c>
      <c r="C2479" s="4" t="s">
        <v>425</v>
      </c>
      <c r="D2479" s="6">
        <v>46309.4972569444</v>
      </c>
      <c r="E2479" s="6">
        <v>46309.247222222199</v>
      </c>
      <c r="F2479" s="6">
        <v>46309</v>
      </c>
      <c r="G2479" s="5" t="s">
        <v>12</v>
      </c>
      <c r="H2479" s="5" t="s">
        <v>27</v>
      </c>
      <c r="I2479" s="5">
        <v>59</v>
      </c>
      <c r="J2479" s="9" t="s">
        <v>17</v>
      </c>
      <c r="K2479" s="1" t="s">
        <v>2771</v>
      </c>
      <c r="L2479" t="s">
        <v>3284</v>
      </c>
      <c r="M2479" t="str">
        <f>+VLOOKUP(C2479,'[1]TIENDAS 2025'!$A$1:$C$143,3,0)</f>
        <v>prioridad</v>
      </c>
      <c r="O2479">
        <v>1</v>
      </c>
    </row>
    <row r="2480" spans="1:15" ht="15" customHeight="1" x14ac:dyDescent="0.3">
      <c r="A2480" s="8">
        <v>209672597</v>
      </c>
      <c r="B2480" s="4" t="s">
        <v>202</v>
      </c>
      <c r="C2480" s="4" t="s">
        <v>203</v>
      </c>
      <c r="D2480" s="6">
        <v>46309.497268518498</v>
      </c>
      <c r="E2480" s="6">
        <v>46309.247245370403</v>
      </c>
      <c r="F2480" s="6">
        <v>46309</v>
      </c>
      <c r="G2480" s="5" t="s">
        <v>12</v>
      </c>
      <c r="H2480" s="5" t="s">
        <v>16</v>
      </c>
      <c r="I2480" s="5">
        <v>1</v>
      </c>
      <c r="J2480" s="9" t="s">
        <v>17</v>
      </c>
      <c r="K2480" s="1" t="s">
        <v>2772</v>
      </c>
      <c r="L2480" t="s">
        <v>10</v>
      </c>
      <c r="M2480" t="str">
        <f>+VLOOKUP(C2480,'[1]TIENDAS 2025'!$A$1:$C$143,3,0)</f>
        <v>local</v>
      </c>
      <c r="O2480">
        <v>1</v>
      </c>
    </row>
    <row r="2481" spans="1:15" ht="15" customHeight="1" x14ac:dyDescent="0.3">
      <c r="A2481" s="8">
        <v>209672609</v>
      </c>
      <c r="B2481" s="4" t="s">
        <v>548</v>
      </c>
      <c r="C2481" s="4" t="s">
        <v>549</v>
      </c>
      <c r="D2481" s="6">
        <v>46309.497280092597</v>
      </c>
      <c r="E2481" s="6">
        <v>46309.2472569444</v>
      </c>
      <c r="F2481" s="6">
        <v>46309</v>
      </c>
      <c r="G2481" s="5" t="s">
        <v>12</v>
      </c>
      <c r="H2481" s="5" t="s">
        <v>16</v>
      </c>
      <c r="I2481" s="5">
        <v>1</v>
      </c>
      <c r="J2481" s="9" t="s">
        <v>17</v>
      </c>
      <c r="K2481" s="1" t="s">
        <v>2773</v>
      </c>
      <c r="L2481" t="s">
        <v>10</v>
      </c>
      <c r="M2481" t="str">
        <f>+VLOOKUP(C2481,'[1]TIENDAS 2025'!$A$1:$C$143,3,0)</f>
        <v>departamental</v>
      </c>
      <c r="O2481">
        <v>1</v>
      </c>
    </row>
    <row r="2482" spans="1:15" ht="15" customHeight="1" x14ac:dyDescent="0.3">
      <c r="A2482" s="8">
        <v>209672621</v>
      </c>
      <c r="B2482" s="4" t="s">
        <v>373</v>
      </c>
      <c r="C2482" s="4" t="s">
        <v>374</v>
      </c>
      <c r="D2482" s="6">
        <v>46309.4973032407</v>
      </c>
      <c r="E2482" s="6">
        <v>46309.247280092597</v>
      </c>
      <c r="F2482" s="6">
        <v>46309</v>
      </c>
      <c r="G2482" s="5" t="s">
        <v>12</v>
      </c>
      <c r="H2482" s="5" t="s">
        <v>16</v>
      </c>
      <c r="I2482" s="5">
        <v>1</v>
      </c>
      <c r="J2482" s="9" t="s">
        <v>17</v>
      </c>
      <c r="K2482" s="1" t="s">
        <v>2774</v>
      </c>
      <c r="L2482" t="s">
        <v>10</v>
      </c>
      <c r="M2482" t="str">
        <f>+VLOOKUP(C2482,'[1]TIENDAS 2025'!$A$1:$C$143,3,0)</f>
        <v>departamental</v>
      </c>
      <c r="O2482">
        <v>1</v>
      </c>
    </row>
    <row r="2483" spans="1:15" ht="15" customHeight="1" x14ac:dyDescent="0.3">
      <c r="A2483" s="8">
        <v>209672613</v>
      </c>
      <c r="B2483" s="4" t="s">
        <v>488</v>
      </c>
      <c r="C2483" s="4" t="s">
        <v>489</v>
      </c>
      <c r="D2483" s="6">
        <v>46309.4973032407</v>
      </c>
      <c r="E2483" s="6">
        <v>46309.247268518498</v>
      </c>
      <c r="F2483" s="6">
        <v>46309</v>
      </c>
      <c r="G2483" s="5" t="s">
        <v>12</v>
      </c>
      <c r="H2483" s="5" t="s">
        <v>16</v>
      </c>
      <c r="I2483" s="5">
        <v>1</v>
      </c>
      <c r="J2483" s="9" t="s">
        <v>17</v>
      </c>
      <c r="K2483" s="1" t="s">
        <v>2775</v>
      </c>
      <c r="L2483" t="s">
        <v>10</v>
      </c>
      <c r="M2483" t="str">
        <f>+VLOOKUP(C2483,'[1]TIENDAS 2025'!$A$1:$C$143,3,0)</f>
        <v>departamental</v>
      </c>
      <c r="O2483">
        <v>1</v>
      </c>
    </row>
    <row r="2484" spans="1:15" ht="15" customHeight="1" x14ac:dyDescent="0.3">
      <c r="A2484" s="8">
        <v>209672637</v>
      </c>
      <c r="B2484" s="4" t="s">
        <v>199</v>
      </c>
      <c r="C2484" s="4" t="s">
        <v>200</v>
      </c>
      <c r="D2484" s="6">
        <v>46309.497326388897</v>
      </c>
      <c r="E2484" s="6">
        <v>46309.247291666703</v>
      </c>
      <c r="F2484" s="6">
        <v>46309</v>
      </c>
      <c r="G2484" s="5" t="s">
        <v>12</v>
      </c>
      <c r="H2484" s="5" t="s">
        <v>16</v>
      </c>
      <c r="I2484" s="5">
        <v>1</v>
      </c>
      <c r="J2484" s="9" t="s">
        <v>17</v>
      </c>
      <c r="K2484" s="1" t="s">
        <v>2776</v>
      </c>
      <c r="L2484" t="s">
        <v>10</v>
      </c>
      <c r="M2484" t="str">
        <f>+VLOOKUP(C2484,'[1]TIENDAS 2025'!$A$1:$C$143,3,0)</f>
        <v>departamental</v>
      </c>
      <c r="O2484">
        <v>1</v>
      </c>
    </row>
    <row r="2485" spans="1:15" ht="15" customHeight="1" x14ac:dyDescent="0.3">
      <c r="A2485" s="8">
        <v>209672643</v>
      </c>
      <c r="B2485" s="4" t="s">
        <v>262</v>
      </c>
      <c r="C2485" s="4" t="s">
        <v>263</v>
      </c>
      <c r="D2485" s="6">
        <v>46309.497337963003</v>
      </c>
      <c r="E2485" s="6">
        <v>46309.247314814798</v>
      </c>
      <c r="F2485" s="6">
        <v>46309</v>
      </c>
      <c r="G2485" s="5" t="s">
        <v>12</v>
      </c>
      <c r="H2485" s="5" t="s">
        <v>16</v>
      </c>
      <c r="I2485" s="5">
        <v>1</v>
      </c>
      <c r="J2485" s="9" t="s">
        <v>17</v>
      </c>
      <c r="K2485" s="1" t="s">
        <v>2777</v>
      </c>
      <c r="L2485" t="s">
        <v>10</v>
      </c>
      <c r="M2485" t="str">
        <f>+VLOOKUP(C2485,'[1]TIENDAS 2025'!$A$1:$C$143,3,0)</f>
        <v>departamental</v>
      </c>
      <c r="O2485">
        <v>1</v>
      </c>
    </row>
    <row r="2486" spans="1:15" ht="15" customHeight="1" x14ac:dyDescent="0.3">
      <c r="A2486" s="8">
        <v>209672644</v>
      </c>
      <c r="B2486" s="4" t="s">
        <v>454</v>
      </c>
      <c r="C2486" s="4" t="s">
        <v>455</v>
      </c>
      <c r="D2486" s="6">
        <v>46309.497361111098</v>
      </c>
      <c r="E2486" s="6">
        <v>46309.247326388897</v>
      </c>
      <c r="F2486" s="6">
        <v>46309</v>
      </c>
      <c r="G2486" s="5" t="s">
        <v>12</v>
      </c>
      <c r="H2486" s="5" t="s">
        <v>16</v>
      </c>
      <c r="I2486" s="5">
        <v>1</v>
      </c>
      <c r="J2486" s="9" t="s">
        <v>17</v>
      </c>
      <c r="K2486" s="1" t="s">
        <v>2778</v>
      </c>
      <c r="L2486" t="s">
        <v>10</v>
      </c>
      <c r="M2486" t="str">
        <f>+VLOOKUP(C2486,'[1]TIENDAS 2025'!$A$1:$C$143,3,0)</f>
        <v>departamental</v>
      </c>
      <c r="O2486">
        <v>1</v>
      </c>
    </row>
    <row r="2487" spans="1:15" ht="15" customHeight="1" x14ac:dyDescent="0.3">
      <c r="A2487" s="7">
        <v>1209672761</v>
      </c>
      <c r="B2487" s="4" t="s">
        <v>385</v>
      </c>
      <c r="C2487" s="4" t="s">
        <v>386</v>
      </c>
      <c r="D2487" s="6">
        <v>46309.497372685197</v>
      </c>
      <c r="E2487" s="6">
        <v>46309.247337963003</v>
      </c>
      <c r="F2487" s="6">
        <v>46309</v>
      </c>
      <c r="G2487" s="5" t="s">
        <v>12</v>
      </c>
      <c r="H2487" s="5" t="s">
        <v>16</v>
      </c>
      <c r="I2487" s="5">
        <v>4</v>
      </c>
      <c r="J2487" s="9" t="s">
        <v>17</v>
      </c>
      <c r="K2487" s="1" t="s">
        <v>2779</v>
      </c>
      <c r="L2487" t="s">
        <v>3284</v>
      </c>
      <c r="M2487" t="str">
        <f>+VLOOKUP(C2487,'[1]TIENDAS 2025'!$A$1:$C$143,3,0)</f>
        <v>nocturna</v>
      </c>
      <c r="O2487">
        <v>1</v>
      </c>
    </row>
    <row r="2488" spans="1:15" ht="15" customHeight="1" x14ac:dyDescent="0.3">
      <c r="A2488" s="7">
        <v>1209672740</v>
      </c>
      <c r="B2488" s="4" t="s">
        <v>509</v>
      </c>
      <c r="C2488" s="4" t="s">
        <v>510</v>
      </c>
      <c r="D2488" s="6">
        <v>46309.497384259303</v>
      </c>
      <c r="E2488" s="6">
        <v>46309.247349537</v>
      </c>
      <c r="F2488" s="6">
        <v>46309</v>
      </c>
      <c r="G2488" s="5" t="s">
        <v>12</v>
      </c>
      <c r="H2488" s="5" t="s">
        <v>16</v>
      </c>
      <c r="I2488" s="5">
        <v>1</v>
      </c>
      <c r="J2488" s="9" t="s">
        <v>17</v>
      </c>
      <c r="K2488" s="1" t="s">
        <v>2780</v>
      </c>
      <c r="L2488" t="s">
        <v>3284</v>
      </c>
      <c r="M2488" t="str">
        <f>+VLOOKUP(C2488,'[1]TIENDAS 2025'!$A$1:$C$143,3,0)</f>
        <v>nocturna</v>
      </c>
      <c r="O2488">
        <v>1</v>
      </c>
    </row>
    <row r="2489" spans="1:15" ht="15" customHeight="1" x14ac:dyDescent="0.3">
      <c r="A2489" s="7">
        <v>1209672743</v>
      </c>
      <c r="B2489" s="4" t="s">
        <v>509</v>
      </c>
      <c r="C2489" s="4" t="s">
        <v>510</v>
      </c>
      <c r="D2489" s="6">
        <v>46309.497395833299</v>
      </c>
      <c r="E2489" s="6">
        <v>46309.247372685197</v>
      </c>
      <c r="F2489" s="6">
        <v>46309</v>
      </c>
      <c r="G2489" s="5" t="s">
        <v>12</v>
      </c>
      <c r="H2489" s="5" t="s">
        <v>16</v>
      </c>
      <c r="I2489" s="5">
        <v>51</v>
      </c>
      <c r="J2489" s="9" t="s">
        <v>17</v>
      </c>
      <c r="K2489" s="1" t="s">
        <v>2781</v>
      </c>
      <c r="L2489" t="s">
        <v>3284</v>
      </c>
      <c r="M2489" t="str">
        <f>+VLOOKUP(C2489,'[1]TIENDAS 2025'!$A$1:$C$143,3,0)</f>
        <v>nocturna</v>
      </c>
      <c r="O2489">
        <v>1</v>
      </c>
    </row>
    <row r="2490" spans="1:15" ht="15" customHeight="1" x14ac:dyDescent="0.3">
      <c r="A2490" s="7">
        <v>1209672782</v>
      </c>
      <c r="B2490" s="4" t="s">
        <v>385</v>
      </c>
      <c r="C2490" s="4" t="s">
        <v>386</v>
      </c>
      <c r="D2490" s="6">
        <v>46309.497418981497</v>
      </c>
      <c r="E2490" s="6">
        <v>46309.247395833299</v>
      </c>
      <c r="F2490" s="6">
        <v>46309</v>
      </c>
      <c r="G2490" s="5" t="s">
        <v>12</v>
      </c>
      <c r="H2490" s="5" t="s">
        <v>29</v>
      </c>
      <c r="I2490" s="5">
        <v>34</v>
      </c>
      <c r="J2490" s="9" t="s">
        <v>17</v>
      </c>
      <c r="K2490" s="1" t="s">
        <v>2782</v>
      </c>
      <c r="L2490" t="s">
        <v>3284</v>
      </c>
      <c r="M2490" t="str">
        <f>+VLOOKUP(C2490,'[1]TIENDAS 2025'!$A$1:$C$143,3,0)</f>
        <v>nocturna</v>
      </c>
      <c r="O2490">
        <v>1</v>
      </c>
    </row>
    <row r="2491" spans="1:15" ht="15" customHeight="1" x14ac:dyDescent="0.3">
      <c r="A2491" s="7">
        <v>1209672733</v>
      </c>
      <c r="B2491" s="4" t="s">
        <v>509</v>
      </c>
      <c r="C2491" s="4" t="s">
        <v>510</v>
      </c>
      <c r="D2491" s="6">
        <v>46309.497418981497</v>
      </c>
      <c r="E2491" s="6">
        <v>46309.247384259303</v>
      </c>
      <c r="F2491" s="6">
        <v>46309</v>
      </c>
      <c r="G2491" s="5" t="s">
        <v>12</v>
      </c>
      <c r="H2491" s="5" t="s">
        <v>16</v>
      </c>
      <c r="I2491" s="5">
        <v>5</v>
      </c>
      <c r="J2491" s="9" t="s">
        <v>17</v>
      </c>
      <c r="K2491" s="1" t="s">
        <v>2783</v>
      </c>
      <c r="L2491" t="s">
        <v>3284</v>
      </c>
      <c r="M2491" t="str">
        <f>+VLOOKUP(C2491,'[1]TIENDAS 2025'!$A$1:$C$143,3,0)</f>
        <v>nocturna</v>
      </c>
      <c r="O2491">
        <v>1</v>
      </c>
    </row>
    <row r="2492" spans="1:15" ht="15" customHeight="1" x14ac:dyDescent="0.3">
      <c r="A2492" s="8">
        <v>209672663</v>
      </c>
      <c r="B2492" s="4" t="s">
        <v>181</v>
      </c>
      <c r="C2492" s="4" t="s">
        <v>182</v>
      </c>
      <c r="D2492" s="6">
        <v>46309.497442129599</v>
      </c>
      <c r="E2492" s="6">
        <v>46309.247407407398</v>
      </c>
      <c r="F2492" s="6">
        <v>46309</v>
      </c>
      <c r="G2492" s="5" t="s">
        <v>12</v>
      </c>
      <c r="H2492" s="5" t="s">
        <v>16</v>
      </c>
      <c r="I2492" s="5">
        <v>1</v>
      </c>
      <c r="J2492" s="9" t="s">
        <v>17</v>
      </c>
      <c r="K2492" s="1" t="s">
        <v>2784</v>
      </c>
      <c r="L2492" t="s">
        <v>10</v>
      </c>
      <c r="M2492" t="str">
        <f>+VLOOKUP(C2492,'[1]TIENDAS 2025'!$A$1:$C$143,3,0)</f>
        <v>departamental</v>
      </c>
      <c r="O2492">
        <v>1</v>
      </c>
    </row>
    <row r="2493" spans="1:15" ht="15" customHeight="1" x14ac:dyDescent="0.3">
      <c r="A2493" s="8">
        <v>209672668</v>
      </c>
      <c r="B2493" s="4" t="s">
        <v>497</v>
      </c>
      <c r="C2493" s="4" t="s">
        <v>498</v>
      </c>
      <c r="D2493" s="6">
        <v>46309.497453703698</v>
      </c>
      <c r="E2493" s="6">
        <v>46309.247430555602</v>
      </c>
      <c r="F2493" s="6">
        <v>46309</v>
      </c>
      <c r="G2493" s="5" t="s">
        <v>12</v>
      </c>
      <c r="H2493" s="5" t="s">
        <v>16</v>
      </c>
      <c r="I2493" s="5">
        <v>1</v>
      </c>
      <c r="J2493" s="9" t="s">
        <v>17</v>
      </c>
      <c r="K2493" s="1" t="s">
        <v>2785</v>
      </c>
      <c r="L2493" t="s">
        <v>10</v>
      </c>
      <c r="M2493" t="str">
        <f>+VLOOKUP(C2493,'[1]TIENDAS 2025'!$A$1:$C$143,3,0)</f>
        <v>prioridad</v>
      </c>
      <c r="O2493">
        <v>1</v>
      </c>
    </row>
    <row r="2494" spans="1:15" ht="15" customHeight="1" x14ac:dyDescent="0.3">
      <c r="A2494" s="8">
        <v>209672672</v>
      </c>
      <c r="B2494" s="4" t="s">
        <v>238</v>
      </c>
      <c r="C2494" s="4" t="s">
        <v>239</v>
      </c>
      <c r="D2494" s="6">
        <v>46309.497476851902</v>
      </c>
      <c r="E2494" s="6">
        <v>46309.247442129599</v>
      </c>
      <c r="F2494" s="6">
        <v>46309</v>
      </c>
      <c r="G2494" s="5" t="s">
        <v>12</v>
      </c>
      <c r="H2494" s="5" t="s">
        <v>16</v>
      </c>
      <c r="I2494" s="5">
        <v>1</v>
      </c>
      <c r="J2494" s="9" t="s">
        <v>17</v>
      </c>
      <c r="K2494" s="1" t="s">
        <v>2786</v>
      </c>
      <c r="L2494" t="s">
        <v>10</v>
      </c>
      <c r="M2494" t="str">
        <f>+VLOOKUP(C2494,'[1]TIENDAS 2025'!$A$1:$C$143,3,0)</f>
        <v>nocturna</v>
      </c>
      <c r="O2494">
        <v>1</v>
      </c>
    </row>
    <row r="2495" spans="1:15" ht="15" customHeight="1" x14ac:dyDescent="0.3">
      <c r="A2495" s="8">
        <v>209672677</v>
      </c>
      <c r="B2495" s="4" t="s">
        <v>247</v>
      </c>
      <c r="C2495" s="4" t="s">
        <v>248</v>
      </c>
      <c r="D2495" s="6">
        <v>46309.497488425899</v>
      </c>
      <c r="E2495" s="6">
        <v>46309.247453703698</v>
      </c>
      <c r="F2495" s="6">
        <v>46309</v>
      </c>
      <c r="G2495" s="5" t="s">
        <v>12</v>
      </c>
      <c r="H2495" s="5" t="s">
        <v>16</v>
      </c>
      <c r="I2495" s="5">
        <v>1</v>
      </c>
      <c r="J2495" s="9" t="s">
        <v>17</v>
      </c>
      <c r="K2495" s="1" t="s">
        <v>2787</v>
      </c>
      <c r="L2495" t="s">
        <v>10</v>
      </c>
      <c r="M2495" t="str">
        <f>+VLOOKUP(C2495,'[1]TIENDAS 2025'!$A$1:$C$143,3,0)</f>
        <v>local</v>
      </c>
      <c r="O2495">
        <v>1</v>
      </c>
    </row>
    <row r="2496" spans="1:15" ht="15" customHeight="1" x14ac:dyDescent="0.3">
      <c r="A2496" s="8">
        <v>209672678</v>
      </c>
      <c r="B2496" s="4" t="s">
        <v>385</v>
      </c>
      <c r="C2496" s="4" t="s">
        <v>386</v>
      </c>
      <c r="D2496" s="6">
        <v>46309.497499999998</v>
      </c>
      <c r="E2496" s="6">
        <v>46309.247465277796</v>
      </c>
      <c r="F2496" s="6">
        <v>46309</v>
      </c>
      <c r="G2496" s="5" t="s">
        <v>12</v>
      </c>
      <c r="H2496" s="5" t="s">
        <v>16</v>
      </c>
      <c r="I2496" s="5">
        <v>1</v>
      </c>
      <c r="J2496" s="9" t="s">
        <v>17</v>
      </c>
      <c r="K2496" s="1" t="s">
        <v>2788</v>
      </c>
      <c r="L2496" t="s">
        <v>10</v>
      </c>
      <c r="M2496" t="str">
        <f>+VLOOKUP(C2496,'[1]TIENDAS 2025'!$A$1:$C$143,3,0)</f>
        <v>nocturna</v>
      </c>
      <c r="O2496">
        <v>1</v>
      </c>
    </row>
    <row r="2497" spans="1:15" ht="15" customHeight="1" x14ac:dyDescent="0.3">
      <c r="A2497" s="8">
        <v>209672686</v>
      </c>
      <c r="B2497" s="4" t="s">
        <v>345</v>
      </c>
      <c r="C2497" s="4" t="s">
        <v>346</v>
      </c>
      <c r="D2497" s="6">
        <v>46309.497511574104</v>
      </c>
      <c r="E2497" s="6">
        <v>46309.247488425899</v>
      </c>
      <c r="F2497" s="6">
        <v>46309</v>
      </c>
      <c r="G2497" s="5" t="s">
        <v>12</v>
      </c>
      <c r="H2497" s="5" t="s">
        <v>16</v>
      </c>
      <c r="I2497" s="5">
        <v>1</v>
      </c>
      <c r="J2497" s="9" t="s">
        <v>17</v>
      </c>
      <c r="K2497" s="1" t="s">
        <v>2789</v>
      </c>
      <c r="L2497" t="s">
        <v>10</v>
      </c>
      <c r="M2497" t="str">
        <f>+VLOOKUP(C2497,'[1]TIENDAS 2025'!$A$1:$C$143,3,0)</f>
        <v>local</v>
      </c>
      <c r="O2497">
        <v>1</v>
      </c>
    </row>
    <row r="2498" spans="1:15" ht="15" customHeight="1" x14ac:dyDescent="0.3">
      <c r="A2498" s="7">
        <v>1209672742</v>
      </c>
      <c r="B2498" s="4" t="s">
        <v>509</v>
      </c>
      <c r="C2498" s="4" t="s">
        <v>510</v>
      </c>
      <c r="D2498" s="6">
        <v>46309.497523148202</v>
      </c>
      <c r="E2498" s="6">
        <v>46309.247499999998</v>
      </c>
      <c r="F2498" s="6">
        <v>46309</v>
      </c>
      <c r="G2498" s="5" t="s">
        <v>12</v>
      </c>
      <c r="H2498" s="5" t="s">
        <v>29</v>
      </c>
      <c r="I2498" s="5">
        <v>40</v>
      </c>
      <c r="J2498" s="9" t="s">
        <v>17</v>
      </c>
      <c r="K2498" s="1" t="s">
        <v>2790</v>
      </c>
      <c r="L2498" t="s">
        <v>3284</v>
      </c>
      <c r="M2498" t="str">
        <f>+VLOOKUP(C2498,'[1]TIENDAS 2025'!$A$1:$C$143,3,0)</f>
        <v>nocturna</v>
      </c>
      <c r="O2498">
        <v>1</v>
      </c>
    </row>
    <row r="2499" spans="1:15" ht="15" customHeight="1" x14ac:dyDescent="0.3">
      <c r="A2499" s="7">
        <v>8209672770</v>
      </c>
      <c r="B2499" s="4" t="s">
        <v>385</v>
      </c>
      <c r="C2499" s="4" t="s">
        <v>386</v>
      </c>
      <c r="D2499" s="6">
        <v>46309.497546296298</v>
      </c>
      <c r="E2499" s="6">
        <v>46309.247511574104</v>
      </c>
      <c r="F2499" s="6">
        <v>46309</v>
      </c>
      <c r="G2499" s="5" t="s">
        <v>12</v>
      </c>
      <c r="H2499" s="5" t="s">
        <v>27</v>
      </c>
      <c r="I2499" s="5">
        <v>34</v>
      </c>
      <c r="J2499" s="10" t="s">
        <v>17</v>
      </c>
      <c r="K2499" s="1" t="s">
        <v>2791</v>
      </c>
      <c r="M2499" t="str">
        <f>+VLOOKUP(C2499,'[1]TIENDAS 2025'!$A$1:$C$143,3,0)</f>
        <v>nocturna</v>
      </c>
      <c r="O2499">
        <v>1</v>
      </c>
    </row>
    <row r="2500" spans="1:15" ht="15" customHeight="1" x14ac:dyDescent="0.3">
      <c r="A2500" s="7">
        <v>1209672775</v>
      </c>
      <c r="B2500" s="4" t="s">
        <v>385</v>
      </c>
      <c r="C2500" s="4" t="s">
        <v>386</v>
      </c>
      <c r="D2500" s="6">
        <v>46309.497557870403</v>
      </c>
      <c r="E2500" s="6">
        <v>46309.247523148202</v>
      </c>
      <c r="F2500" s="6">
        <v>46309</v>
      </c>
      <c r="G2500" s="5" t="s">
        <v>12</v>
      </c>
      <c r="H2500" s="5" t="s">
        <v>16</v>
      </c>
      <c r="I2500" s="5">
        <v>12</v>
      </c>
      <c r="J2500" s="9" t="s">
        <v>17</v>
      </c>
      <c r="K2500" s="1" t="s">
        <v>2792</v>
      </c>
      <c r="L2500" t="s">
        <v>3284</v>
      </c>
      <c r="M2500" t="str">
        <f>+VLOOKUP(C2500,'[1]TIENDAS 2025'!$A$1:$C$143,3,0)</f>
        <v>nocturna</v>
      </c>
      <c r="O2500">
        <v>1</v>
      </c>
    </row>
    <row r="2501" spans="1:15" ht="15" customHeight="1" x14ac:dyDescent="0.3">
      <c r="A2501" s="7">
        <v>1209672737</v>
      </c>
      <c r="B2501" s="4" t="s">
        <v>509</v>
      </c>
      <c r="C2501" s="4" t="s">
        <v>510</v>
      </c>
      <c r="D2501" s="6">
        <v>46309.4975694444</v>
      </c>
      <c r="E2501" s="6">
        <v>46309.247546296298</v>
      </c>
      <c r="F2501" s="6">
        <v>46309</v>
      </c>
      <c r="G2501" s="5" t="s">
        <v>12</v>
      </c>
      <c r="H2501" s="5" t="s">
        <v>16</v>
      </c>
      <c r="I2501" s="5">
        <v>20</v>
      </c>
      <c r="J2501" s="9" t="s">
        <v>17</v>
      </c>
      <c r="K2501" s="1" t="s">
        <v>2793</v>
      </c>
      <c r="L2501" t="s">
        <v>3284</v>
      </c>
      <c r="M2501" t="str">
        <f>+VLOOKUP(C2501,'[1]TIENDAS 2025'!$A$1:$C$143,3,0)</f>
        <v>nocturna</v>
      </c>
      <c r="O2501">
        <v>1</v>
      </c>
    </row>
    <row r="2502" spans="1:15" ht="15" customHeight="1" x14ac:dyDescent="0.3">
      <c r="A2502" s="7">
        <v>1209672526</v>
      </c>
      <c r="B2502" s="4" t="s">
        <v>336</v>
      </c>
      <c r="C2502" s="4" t="s">
        <v>337</v>
      </c>
      <c r="D2502" s="6">
        <v>46309.497581018499</v>
      </c>
      <c r="E2502" s="6">
        <v>46309.247557870403</v>
      </c>
      <c r="F2502" s="6">
        <v>46309</v>
      </c>
      <c r="G2502" s="5" t="s">
        <v>12</v>
      </c>
      <c r="H2502" s="5" t="s">
        <v>16</v>
      </c>
      <c r="I2502" s="5">
        <v>3</v>
      </c>
      <c r="J2502" s="9" t="s">
        <v>17</v>
      </c>
      <c r="K2502" s="1" t="s">
        <v>2794</v>
      </c>
      <c r="L2502" t="s">
        <v>3284</v>
      </c>
      <c r="M2502" t="str">
        <f>+VLOOKUP(C2502,'[1]TIENDAS 2025'!$A$1:$C$143,3,0)</f>
        <v xml:space="preserve">departamental </v>
      </c>
      <c r="O2502">
        <v>1</v>
      </c>
    </row>
    <row r="2503" spans="1:15" ht="15" customHeight="1" x14ac:dyDescent="0.3">
      <c r="A2503" s="8">
        <v>209672667</v>
      </c>
      <c r="B2503" s="4" t="s">
        <v>370</v>
      </c>
      <c r="C2503" s="4" t="s">
        <v>371</v>
      </c>
      <c r="D2503" s="6">
        <v>46309.497604166703</v>
      </c>
      <c r="E2503" s="6">
        <v>46309.2475694444</v>
      </c>
      <c r="F2503" s="6">
        <v>46309</v>
      </c>
      <c r="G2503" s="5" t="s">
        <v>12</v>
      </c>
      <c r="H2503" s="5" t="s">
        <v>16</v>
      </c>
      <c r="I2503" s="5">
        <v>1</v>
      </c>
      <c r="J2503" s="9" t="s">
        <v>17</v>
      </c>
      <c r="K2503" s="1" t="s">
        <v>2795</v>
      </c>
      <c r="L2503" t="s">
        <v>10</v>
      </c>
      <c r="M2503" t="str">
        <f>+VLOOKUP(C2503,'[1]TIENDAS 2025'!$A$1:$C$143,3,0)</f>
        <v>nocturna</v>
      </c>
      <c r="O2503">
        <v>1</v>
      </c>
    </row>
    <row r="2504" spans="1:15" ht="15" customHeight="1" x14ac:dyDescent="0.3">
      <c r="A2504" s="7">
        <v>1209672719</v>
      </c>
      <c r="B2504" s="4" t="s">
        <v>424</v>
      </c>
      <c r="C2504" s="4" t="s">
        <v>425</v>
      </c>
      <c r="D2504" s="6">
        <v>46309.497638888897</v>
      </c>
      <c r="E2504" s="6">
        <v>46309.2476157407</v>
      </c>
      <c r="F2504" s="6">
        <v>46309</v>
      </c>
      <c r="G2504" s="5" t="s">
        <v>12</v>
      </c>
      <c r="H2504" s="5" t="s">
        <v>29</v>
      </c>
      <c r="I2504" s="5">
        <v>14</v>
      </c>
      <c r="J2504" s="9" t="s">
        <v>17</v>
      </c>
      <c r="K2504" s="1" t="s">
        <v>2796</v>
      </c>
      <c r="L2504" t="s">
        <v>3284</v>
      </c>
      <c r="M2504" t="str">
        <f>+VLOOKUP(C2504,'[1]TIENDAS 2025'!$A$1:$C$143,3,0)</f>
        <v>prioridad</v>
      </c>
      <c r="O2504">
        <v>1</v>
      </c>
    </row>
    <row r="2505" spans="1:15" ht="15" customHeight="1" x14ac:dyDescent="0.3">
      <c r="A2505" s="8">
        <v>209672685</v>
      </c>
      <c r="B2505" s="4" t="s">
        <v>518</v>
      </c>
      <c r="C2505" s="4" t="s">
        <v>519</v>
      </c>
      <c r="D2505" s="6">
        <v>46309.497638888897</v>
      </c>
      <c r="E2505" s="6">
        <v>46309.247604166703</v>
      </c>
      <c r="F2505" s="6">
        <v>46309</v>
      </c>
      <c r="G2505" s="5" t="s">
        <v>12</v>
      </c>
      <c r="H2505" s="5" t="s">
        <v>16</v>
      </c>
      <c r="I2505" s="5">
        <v>1</v>
      </c>
      <c r="J2505" s="9" t="s">
        <v>17</v>
      </c>
      <c r="K2505" s="1" t="s">
        <v>2797</v>
      </c>
      <c r="L2505" t="s">
        <v>10</v>
      </c>
      <c r="M2505" t="str">
        <f>+VLOOKUP(C2505,'[1]TIENDAS 2025'!$A$1:$C$143,3,0)</f>
        <v>prioridad</v>
      </c>
      <c r="O2505">
        <v>1</v>
      </c>
    </row>
    <row r="2506" spans="1:15" ht="15" customHeight="1" x14ac:dyDescent="0.3">
      <c r="A2506" s="7">
        <v>8209672572</v>
      </c>
      <c r="B2506" s="4" t="s">
        <v>424</v>
      </c>
      <c r="C2506" s="4" t="s">
        <v>425</v>
      </c>
      <c r="D2506" s="6">
        <v>46309.497662037</v>
      </c>
      <c r="E2506" s="6">
        <v>46309.247627314799</v>
      </c>
      <c r="F2506" s="6">
        <v>46309</v>
      </c>
      <c r="G2506" s="5" t="s">
        <v>12</v>
      </c>
      <c r="H2506" s="5" t="s">
        <v>27</v>
      </c>
      <c r="I2506" s="5">
        <v>13</v>
      </c>
      <c r="J2506" s="10" t="s">
        <v>17</v>
      </c>
      <c r="K2506" s="1" t="s">
        <v>2798</v>
      </c>
      <c r="M2506" t="str">
        <f>+VLOOKUP(C2506,'[1]TIENDAS 2025'!$A$1:$C$143,3,0)</f>
        <v>prioridad</v>
      </c>
      <c r="O2506">
        <v>1</v>
      </c>
    </row>
    <row r="2507" spans="1:15" ht="15" customHeight="1" x14ac:dyDescent="0.3">
      <c r="A2507" s="8">
        <v>209672583</v>
      </c>
      <c r="B2507" s="4" t="s">
        <v>283</v>
      </c>
      <c r="C2507" s="4" t="s">
        <v>284</v>
      </c>
      <c r="D2507" s="6">
        <v>46309.497673611098</v>
      </c>
      <c r="E2507" s="6">
        <v>46309.247638888897</v>
      </c>
      <c r="F2507" s="6">
        <v>46309</v>
      </c>
      <c r="G2507" s="5" t="s">
        <v>12</v>
      </c>
      <c r="H2507" s="5" t="s">
        <v>16</v>
      </c>
      <c r="I2507" s="5">
        <v>1</v>
      </c>
      <c r="J2507" s="9" t="s">
        <v>17</v>
      </c>
      <c r="K2507" s="1" t="s">
        <v>2799</v>
      </c>
      <c r="L2507" t="s">
        <v>10</v>
      </c>
      <c r="M2507" t="str">
        <f>+VLOOKUP(C2507,'[1]TIENDAS 2025'!$A$1:$C$143,3,0)</f>
        <v>prioridad</v>
      </c>
      <c r="O2507">
        <v>1</v>
      </c>
    </row>
    <row r="2508" spans="1:15" ht="15" customHeight="1" x14ac:dyDescent="0.3">
      <c r="A2508" s="8">
        <v>209672591</v>
      </c>
      <c r="B2508" s="4" t="s">
        <v>193</v>
      </c>
      <c r="C2508" s="4" t="s">
        <v>194</v>
      </c>
      <c r="D2508" s="6">
        <v>46309.497685185197</v>
      </c>
      <c r="E2508" s="6">
        <v>46309.247662037</v>
      </c>
      <c r="F2508" s="6">
        <v>46309</v>
      </c>
      <c r="G2508" s="5" t="s">
        <v>12</v>
      </c>
      <c r="H2508" s="5" t="s">
        <v>16</v>
      </c>
      <c r="I2508" s="5">
        <v>1</v>
      </c>
      <c r="J2508" s="9" t="s">
        <v>17</v>
      </c>
      <c r="K2508" s="1" t="s">
        <v>2800</v>
      </c>
      <c r="L2508" t="s">
        <v>10</v>
      </c>
      <c r="M2508" t="str">
        <f>+VLOOKUP(C2508,'[1]TIENDAS 2025'!$A$1:$C$143,3,0)</f>
        <v>local</v>
      </c>
      <c r="O2508">
        <v>1</v>
      </c>
    </row>
    <row r="2509" spans="1:15" ht="15" customHeight="1" x14ac:dyDescent="0.3">
      <c r="A2509" s="8">
        <v>209672600</v>
      </c>
      <c r="B2509" s="4" t="s">
        <v>205</v>
      </c>
      <c r="C2509" s="4" t="s">
        <v>206</v>
      </c>
      <c r="D2509" s="6">
        <v>46309.4977083333</v>
      </c>
      <c r="E2509" s="6">
        <v>46309.247685185197</v>
      </c>
      <c r="F2509" s="6">
        <v>46309</v>
      </c>
      <c r="G2509" s="5" t="s">
        <v>12</v>
      </c>
      <c r="H2509" s="5" t="s">
        <v>16</v>
      </c>
      <c r="I2509" s="5">
        <v>1</v>
      </c>
      <c r="J2509" s="9" t="s">
        <v>17</v>
      </c>
      <c r="K2509" s="1" t="s">
        <v>2801</v>
      </c>
      <c r="L2509" t="s">
        <v>10</v>
      </c>
      <c r="M2509" t="str">
        <f>+VLOOKUP(C2509,'[1]TIENDAS 2025'!$A$1:$C$143,3,0)</f>
        <v>prioridad</v>
      </c>
      <c r="O2509">
        <v>1</v>
      </c>
    </row>
    <row r="2510" spans="1:15" ht="15" customHeight="1" x14ac:dyDescent="0.3">
      <c r="A2510" s="8">
        <v>209672596</v>
      </c>
      <c r="B2510" s="4" t="s">
        <v>253</v>
      </c>
      <c r="C2510" s="4" t="s">
        <v>254</v>
      </c>
      <c r="D2510" s="6">
        <v>46309.4977083333</v>
      </c>
      <c r="E2510" s="6">
        <v>46309.247673611098</v>
      </c>
      <c r="F2510" s="6">
        <v>46309</v>
      </c>
      <c r="G2510" s="5" t="s">
        <v>12</v>
      </c>
      <c r="H2510" s="5" t="s">
        <v>16</v>
      </c>
      <c r="I2510" s="5">
        <v>1</v>
      </c>
      <c r="J2510" s="9" t="s">
        <v>17</v>
      </c>
      <c r="K2510" s="1" t="s">
        <v>2802</v>
      </c>
      <c r="L2510" t="s">
        <v>10</v>
      </c>
      <c r="M2510" t="str">
        <f>+VLOOKUP(C2510,'[1]TIENDAS 2025'!$A$1:$C$143,3,0)</f>
        <v>departamental</v>
      </c>
      <c r="O2510">
        <v>1</v>
      </c>
    </row>
    <row r="2511" spans="1:15" ht="15" customHeight="1" x14ac:dyDescent="0.3">
      <c r="A2511" s="8">
        <v>209672607</v>
      </c>
      <c r="B2511" s="4" t="s">
        <v>403</v>
      </c>
      <c r="C2511" s="4" t="s">
        <v>404</v>
      </c>
      <c r="D2511" s="6">
        <v>46309.497731481497</v>
      </c>
      <c r="E2511" s="6">
        <v>46309.247696759303</v>
      </c>
      <c r="F2511" s="6">
        <v>46309</v>
      </c>
      <c r="G2511" s="5" t="s">
        <v>12</v>
      </c>
      <c r="H2511" s="5" t="s">
        <v>16</v>
      </c>
      <c r="I2511" s="5">
        <v>1</v>
      </c>
      <c r="J2511" s="9" t="s">
        <v>17</v>
      </c>
      <c r="K2511" s="1" t="s">
        <v>2803</v>
      </c>
      <c r="L2511" t="s">
        <v>10</v>
      </c>
      <c r="M2511" t="str">
        <f>+VLOOKUP(C2511,'[1]TIENDAS 2025'!$A$1:$C$143,3,0)</f>
        <v>prioridad</v>
      </c>
      <c r="O2511">
        <v>1</v>
      </c>
    </row>
    <row r="2512" spans="1:15" ht="15" customHeight="1" x14ac:dyDescent="0.3">
      <c r="A2512" s="8">
        <v>209672615</v>
      </c>
      <c r="B2512" s="4" t="s">
        <v>274</v>
      </c>
      <c r="C2512" s="4" t="s">
        <v>275</v>
      </c>
      <c r="D2512" s="6">
        <v>46309.497743055603</v>
      </c>
      <c r="E2512" s="6">
        <v>46309.247719907398</v>
      </c>
      <c r="F2512" s="6">
        <v>46309</v>
      </c>
      <c r="G2512" s="5" t="s">
        <v>12</v>
      </c>
      <c r="H2512" s="5" t="s">
        <v>16</v>
      </c>
      <c r="I2512" s="5">
        <v>1</v>
      </c>
      <c r="J2512" s="9" t="s">
        <v>17</v>
      </c>
      <c r="K2512" s="1" t="s">
        <v>2804</v>
      </c>
      <c r="L2512" t="s">
        <v>10</v>
      </c>
      <c r="M2512" t="str">
        <f>+VLOOKUP(C2512,'[1]TIENDAS 2025'!$A$1:$C$143,3,0)</f>
        <v>nocturna</v>
      </c>
      <c r="O2512">
        <v>1</v>
      </c>
    </row>
    <row r="2513" spans="1:15" ht="15" customHeight="1" x14ac:dyDescent="0.3">
      <c r="A2513" s="8">
        <v>209672620</v>
      </c>
      <c r="B2513" s="4" t="s">
        <v>232</v>
      </c>
      <c r="C2513" s="4" t="s">
        <v>233</v>
      </c>
      <c r="D2513" s="6">
        <v>46309.497766203698</v>
      </c>
      <c r="E2513" s="6">
        <v>46309.247731481497</v>
      </c>
      <c r="F2513" s="6">
        <v>46309</v>
      </c>
      <c r="G2513" s="5" t="s">
        <v>12</v>
      </c>
      <c r="H2513" s="5" t="s">
        <v>16</v>
      </c>
      <c r="I2513" s="5">
        <v>1</v>
      </c>
      <c r="J2513" s="9" t="s">
        <v>17</v>
      </c>
      <c r="K2513" s="1" t="s">
        <v>2805</v>
      </c>
      <c r="L2513" t="s">
        <v>10</v>
      </c>
      <c r="M2513" t="str">
        <f>+VLOOKUP(C2513,'[1]TIENDAS 2025'!$A$1:$C$143,3,0)</f>
        <v>departamental</v>
      </c>
      <c r="O2513">
        <v>1</v>
      </c>
    </row>
    <row r="2514" spans="1:15" ht="15" customHeight="1" x14ac:dyDescent="0.3">
      <c r="A2514" s="8">
        <v>209672647</v>
      </c>
      <c r="B2514" s="4" t="s">
        <v>265</v>
      </c>
      <c r="C2514" s="4" t="s">
        <v>266</v>
      </c>
      <c r="D2514" s="6">
        <v>46309.497766203698</v>
      </c>
      <c r="E2514" s="6">
        <v>46309.247743055603</v>
      </c>
      <c r="F2514" s="6">
        <v>46309</v>
      </c>
      <c r="G2514" s="5" t="s">
        <v>12</v>
      </c>
      <c r="H2514" s="5" t="s">
        <v>16</v>
      </c>
      <c r="I2514" s="5">
        <v>1</v>
      </c>
      <c r="J2514" s="9" t="s">
        <v>17</v>
      </c>
      <c r="K2514" s="1" t="s">
        <v>2806</v>
      </c>
      <c r="L2514" t="s">
        <v>10</v>
      </c>
      <c r="M2514" t="str">
        <f>+VLOOKUP(C2514,'[1]TIENDAS 2025'!$A$1:$C$143,3,0)</f>
        <v>nocturna</v>
      </c>
      <c r="O2514">
        <v>1</v>
      </c>
    </row>
    <row r="2515" spans="1:15" ht="15" customHeight="1" x14ac:dyDescent="0.3">
      <c r="A2515" s="8">
        <v>209672649</v>
      </c>
      <c r="B2515" s="4" t="s">
        <v>354</v>
      </c>
      <c r="C2515" s="4" t="s">
        <v>355</v>
      </c>
      <c r="D2515" s="6">
        <v>46309.497789351903</v>
      </c>
      <c r="E2515" s="6">
        <v>46309.2477546296</v>
      </c>
      <c r="F2515" s="6">
        <v>46309</v>
      </c>
      <c r="G2515" s="5" t="s">
        <v>12</v>
      </c>
      <c r="H2515" s="5" t="s">
        <v>16</v>
      </c>
      <c r="I2515" s="5">
        <v>1</v>
      </c>
      <c r="J2515" s="9" t="s">
        <v>17</v>
      </c>
      <c r="K2515" s="1" t="s">
        <v>2807</v>
      </c>
      <c r="L2515" t="s">
        <v>10</v>
      </c>
      <c r="M2515" t="str">
        <f>+VLOOKUP(C2515,'[1]TIENDAS 2025'!$A$1:$C$143,3,0)</f>
        <v>nocturna</v>
      </c>
      <c r="O2515">
        <v>1</v>
      </c>
    </row>
    <row r="2516" spans="1:15" ht="15" customHeight="1" x14ac:dyDescent="0.3">
      <c r="A2516" s="8">
        <v>209672654</v>
      </c>
      <c r="B2516" s="4" t="s">
        <v>217</v>
      </c>
      <c r="C2516" s="4" t="s">
        <v>218</v>
      </c>
      <c r="D2516" s="6">
        <v>46309.497800925899</v>
      </c>
      <c r="E2516" s="6">
        <v>46309.247777777797</v>
      </c>
      <c r="F2516" s="6">
        <v>46309</v>
      </c>
      <c r="G2516" s="5" t="s">
        <v>12</v>
      </c>
      <c r="H2516" s="5" t="s">
        <v>16</v>
      </c>
      <c r="I2516" s="5">
        <v>1</v>
      </c>
      <c r="J2516" s="9" t="s">
        <v>17</v>
      </c>
      <c r="K2516" s="1" t="s">
        <v>2808</v>
      </c>
      <c r="L2516" t="s">
        <v>10</v>
      </c>
      <c r="M2516" t="str">
        <f>+VLOOKUP(C2516,'[1]TIENDAS 2025'!$A$1:$C$143,3,0)</f>
        <v>nocturna</v>
      </c>
      <c r="O2516">
        <v>1</v>
      </c>
    </row>
    <row r="2517" spans="1:15" ht="15" customHeight="1" x14ac:dyDescent="0.3">
      <c r="A2517" s="7">
        <v>8209672759</v>
      </c>
      <c r="B2517" s="4" t="s">
        <v>385</v>
      </c>
      <c r="C2517" s="4" t="s">
        <v>386</v>
      </c>
      <c r="D2517" s="6">
        <v>46309.497824074097</v>
      </c>
      <c r="E2517" s="6">
        <v>46309.247800925899</v>
      </c>
      <c r="F2517" s="6">
        <v>46309</v>
      </c>
      <c r="G2517" s="5" t="s">
        <v>12</v>
      </c>
      <c r="H2517" s="5" t="s">
        <v>27</v>
      </c>
      <c r="I2517" s="5">
        <v>5</v>
      </c>
      <c r="J2517" s="10" t="s">
        <v>17</v>
      </c>
      <c r="K2517" s="1" t="s">
        <v>2809</v>
      </c>
      <c r="M2517" t="str">
        <f>+VLOOKUP(C2517,'[1]TIENDAS 2025'!$A$1:$C$143,3,0)</f>
        <v>nocturna</v>
      </c>
      <c r="O2517">
        <v>1</v>
      </c>
    </row>
    <row r="2518" spans="1:15" ht="15" customHeight="1" x14ac:dyDescent="0.3">
      <c r="A2518" s="7">
        <v>1209672748</v>
      </c>
      <c r="B2518" s="4" t="s">
        <v>509</v>
      </c>
      <c r="C2518" s="4" t="s">
        <v>510</v>
      </c>
      <c r="D2518" s="6">
        <v>46309.497824074097</v>
      </c>
      <c r="E2518" s="6">
        <v>46309.247789351903</v>
      </c>
      <c r="F2518" s="6">
        <v>46309</v>
      </c>
      <c r="G2518" s="5" t="s">
        <v>12</v>
      </c>
      <c r="H2518" s="5" t="s">
        <v>16</v>
      </c>
      <c r="I2518" s="5">
        <v>33</v>
      </c>
      <c r="J2518" s="9" t="s">
        <v>17</v>
      </c>
      <c r="K2518" s="1" t="s">
        <v>2810</v>
      </c>
      <c r="L2518" t="s">
        <v>3284</v>
      </c>
      <c r="M2518" t="str">
        <f>+VLOOKUP(C2518,'[1]TIENDAS 2025'!$A$1:$C$143,3,0)</f>
        <v>nocturna</v>
      </c>
      <c r="O2518">
        <v>1</v>
      </c>
    </row>
    <row r="2519" spans="1:15" ht="15" customHeight="1" x14ac:dyDescent="0.3">
      <c r="A2519" s="7">
        <v>1209672734</v>
      </c>
      <c r="B2519" s="4" t="s">
        <v>509</v>
      </c>
      <c r="C2519" s="4" t="s">
        <v>510</v>
      </c>
      <c r="D2519" s="6">
        <v>46309.497847222199</v>
      </c>
      <c r="E2519" s="6">
        <v>46309.247812499998</v>
      </c>
      <c r="F2519" s="6">
        <v>46309</v>
      </c>
      <c r="G2519" s="5" t="s">
        <v>12</v>
      </c>
      <c r="H2519" s="5" t="s">
        <v>29</v>
      </c>
      <c r="I2519" s="5">
        <v>4</v>
      </c>
      <c r="J2519" s="9" t="s">
        <v>17</v>
      </c>
      <c r="K2519" s="1" t="s">
        <v>2811</v>
      </c>
      <c r="L2519" t="s">
        <v>3284</v>
      </c>
      <c r="M2519" t="str">
        <f>+VLOOKUP(C2519,'[1]TIENDAS 2025'!$A$1:$C$143,3,0)</f>
        <v>nocturna</v>
      </c>
      <c r="O2519">
        <v>1</v>
      </c>
    </row>
    <row r="2520" spans="1:15" ht="15" customHeight="1" x14ac:dyDescent="0.3">
      <c r="A2520" s="7">
        <v>8209672790</v>
      </c>
      <c r="B2520" s="4" t="s">
        <v>436</v>
      </c>
      <c r="C2520" s="4" t="s">
        <v>437</v>
      </c>
      <c r="D2520" s="6">
        <v>46309.497858796298</v>
      </c>
      <c r="E2520" s="6">
        <v>46309.247835648202</v>
      </c>
      <c r="F2520" s="6">
        <v>46309</v>
      </c>
      <c r="G2520" s="5" t="s">
        <v>12</v>
      </c>
      <c r="H2520" s="5" t="s">
        <v>27</v>
      </c>
      <c r="I2520" s="5">
        <v>2</v>
      </c>
      <c r="J2520" s="10" t="s">
        <v>17</v>
      </c>
      <c r="K2520" s="1" t="s">
        <v>2812</v>
      </c>
      <c r="M2520" t="str">
        <f>+VLOOKUP(C2520,'[1]TIENDAS 2025'!$A$1:$C$143,3,0)</f>
        <v>departamental</v>
      </c>
      <c r="O2520">
        <v>1</v>
      </c>
    </row>
    <row r="2521" spans="1:15" ht="15" customHeight="1" x14ac:dyDescent="0.3">
      <c r="A2521" s="7">
        <v>1209672795</v>
      </c>
      <c r="B2521" s="4" t="s">
        <v>436</v>
      </c>
      <c r="C2521" s="4" t="s">
        <v>437</v>
      </c>
      <c r="D2521" s="6">
        <v>46309.4978819444</v>
      </c>
      <c r="E2521" s="6">
        <v>46309.247847222199</v>
      </c>
      <c r="F2521" s="6">
        <v>46309</v>
      </c>
      <c r="G2521" s="5" t="s">
        <v>12</v>
      </c>
      <c r="H2521" s="5" t="s">
        <v>16</v>
      </c>
      <c r="I2521" s="5">
        <v>2</v>
      </c>
      <c r="J2521" s="9" t="s">
        <v>17</v>
      </c>
      <c r="K2521" s="1" t="s">
        <v>2813</v>
      </c>
      <c r="L2521" t="s">
        <v>3284</v>
      </c>
      <c r="M2521" t="str">
        <f>+VLOOKUP(C2521,'[1]TIENDAS 2025'!$A$1:$C$143,3,0)</f>
        <v>departamental</v>
      </c>
      <c r="O2521">
        <v>1</v>
      </c>
    </row>
    <row r="2522" spans="1:15" ht="15" customHeight="1" x14ac:dyDescent="0.3">
      <c r="A2522" s="7">
        <v>1209672803</v>
      </c>
      <c r="B2522" s="4" t="s">
        <v>436</v>
      </c>
      <c r="C2522" s="4" t="s">
        <v>437</v>
      </c>
      <c r="D2522" s="6">
        <v>46309.4978819444</v>
      </c>
      <c r="E2522" s="6">
        <v>46309.247858796298</v>
      </c>
      <c r="F2522" s="6">
        <v>46309</v>
      </c>
      <c r="G2522" s="5" t="s">
        <v>12</v>
      </c>
      <c r="H2522" s="5" t="s">
        <v>29</v>
      </c>
      <c r="I2522" s="5">
        <v>47</v>
      </c>
      <c r="J2522" s="9" t="s">
        <v>17</v>
      </c>
      <c r="K2522" s="1" t="s">
        <v>2814</v>
      </c>
      <c r="L2522" t="s">
        <v>3284</v>
      </c>
      <c r="M2522" t="str">
        <f>+VLOOKUP(C2522,'[1]TIENDAS 2025'!$A$1:$C$143,3,0)</f>
        <v>departamental</v>
      </c>
      <c r="O2522">
        <v>1</v>
      </c>
    </row>
    <row r="2523" spans="1:15" ht="15" customHeight="1" x14ac:dyDescent="0.3">
      <c r="A2523" s="7">
        <v>1209672797</v>
      </c>
      <c r="B2523" s="4" t="s">
        <v>436</v>
      </c>
      <c r="C2523" s="4" t="s">
        <v>437</v>
      </c>
      <c r="D2523" s="6">
        <v>46309.497905092598</v>
      </c>
      <c r="E2523" s="6">
        <v>46309.247870370396</v>
      </c>
      <c r="F2523" s="6">
        <v>46309</v>
      </c>
      <c r="G2523" s="5" t="s">
        <v>12</v>
      </c>
      <c r="H2523" s="5" t="s">
        <v>29</v>
      </c>
      <c r="I2523" s="5">
        <v>14</v>
      </c>
      <c r="J2523" s="9" t="s">
        <v>17</v>
      </c>
      <c r="K2523" s="1" t="s">
        <v>2815</v>
      </c>
      <c r="L2523" t="s">
        <v>3284</v>
      </c>
      <c r="M2523" t="str">
        <f>+VLOOKUP(C2523,'[1]TIENDAS 2025'!$A$1:$C$143,3,0)</f>
        <v>departamental</v>
      </c>
      <c r="O2523">
        <v>1</v>
      </c>
    </row>
    <row r="2524" spans="1:15" ht="15" customHeight="1" x14ac:dyDescent="0.3">
      <c r="A2524" s="8">
        <v>209672662</v>
      </c>
      <c r="B2524" s="4" t="s">
        <v>226</v>
      </c>
      <c r="C2524" s="4" t="s">
        <v>227</v>
      </c>
      <c r="D2524" s="6">
        <v>46309.497916666704</v>
      </c>
      <c r="E2524" s="6">
        <v>46309.247893518499</v>
      </c>
      <c r="F2524" s="6">
        <v>46309</v>
      </c>
      <c r="G2524" s="5" t="s">
        <v>12</v>
      </c>
      <c r="H2524" s="5" t="s">
        <v>16</v>
      </c>
      <c r="I2524" s="5">
        <v>1</v>
      </c>
      <c r="J2524" s="9" t="s">
        <v>17</v>
      </c>
      <c r="K2524" s="1" t="s">
        <v>2816</v>
      </c>
      <c r="L2524" t="s">
        <v>10</v>
      </c>
      <c r="M2524" t="str">
        <f>+VLOOKUP(C2524,'[1]TIENDAS 2025'!$A$1:$C$143,3,0)</f>
        <v>departamental</v>
      </c>
      <c r="O2524">
        <v>1</v>
      </c>
    </row>
    <row r="2525" spans="1:15" ht="15" customHeight="1" x14ac:dyDescent="0.3">
      <c r="A2525" s="8">
        <v>209672665</v>
      </c>
      <c r="B2525" s="4" t="s">
        <v>280</v>
      </c>
      <c r="C2525" s="4" t="s">
        <v>281</v>
      </c>
      <c r="D2525" s="6">
        <v>46309.4979282407</v>
      </c>
      <c r="E2525" s="6">
        <v>46309.247905092598</v>
      </c>
      <c r="F2525" s="6">
        <v>46309</v>
      </c>
      <c r="G2525" s="5" t="s">
        <v>12</v>
      </c>
      <c r="H2525" s="5" t="s">
        <v>16</v>
      </c>
      <c r="I2525" s="5">
        <v>1</v>
      </c>
      <c r="J2525" s="9" t="s">
        <v>17</v>
      </c>
      <c r="K2525" s="1" t="s">
        <v>2817</v>
      </c>
      <c r="L2525" t="s">
        <v>10</v>
      </c>
      <c r="M2525" t="str">
        <f>+VLOOKUP(C2525,'[1]TIENDAS 2025'!$A$1:$C$143,3,0)</f>
        <v>nocturna</v>
      </c>
      <c r="O2525">
        <v>1</v>
      </c>
    </row>
    <row r="2526" spans="1:15" ht="15" customHeight="1" x14ac:dyDescent="0.3">
      <c r="A2526" s="8">
        <v>209672680</v>
      </c>
      <c r="B2526" s="4" t="s">
        <v>436</v>
      </c>
      <c r="C2526" s="4" t="s">
        <v>437</v>
      </c>
      <c r="D2526" s="6">
        <v>46309.497951388897</v>
      </c>
      <c r="E2526" s="6">
        <v>46309.247916666704</v>
      </c>
      <c r="F2526" s="6">
        <v>46309</v>
      </c>
      <c r="G2526" s="5" t="s">
        <v>12</v>
      </c>
      <c r="H2526" s="5" t="s">
        <v>16</v>
      </c>
      <c r="I2526" s="5">
        <v>1</v>
      </c>
      <c r="J2526" s="9" t="s">
        <v>17</v>
      </c>
      <c r="K2526" s="1" t="s">
        <v>2818</v>
      </c>
      <c r="L2526" t="s">
        <v>10</v>
      </c>
      <c r="M2526" t="str">
        <f>+VLOOKUP(C2526,'[1]TIENDAS 2025'!$A$1:$C$143,3,0)</f>
        <v>departamental</v>
      </c>
      <c r="O2526">
        <v>1</v>
      </c>
    </row>
    <row r="2527" spans="1:15" ht="15" customHeight="1" x14ac:dyDescent="0.3">
      <c r="A2527" s="8">
        <v>209672699</v>
      </c>
      <c r="B2527" s="4" t="s">
        <v>172</v>
      </c>
      <c r="C2527" s="4" t="s">
        <v>173</v>
      </c>
      <c r="D2527" s="6">
        <v>46309.497962963003</v>
      </c>
      <c r="E2527" s="6">
        <v>46309.2479282407</v>
      </c>
      <c r="F2527" s="6">
        <v>46309</v>
      </c>
      <c r="G2527" s="5" t="s">
        <v>12</v>
      </c>
      <c r="H2527" s="5" t="s">
        <v>16</v>
      </c>
      <c r="I2527" s="5">
        <v>1</v>
      </c>
      <c r="J2527" s="9" t="s">
        <v>17</v>
      </c>
      <c r="K2527" s="1" t="s">
        <v>2819</v>
      </c>
      <c r="L2527" t="s">
        <v>10</v>
      </c>
      <c r="M2527" t="str">
        <f>+VLOOKUP(C2527,'[1]TIENDAS 2025'!$A$1:$C$143,3,0)</f>
        <v>local</v>
      </c>
      <c r="O2527">
        <v>1</v>
      </c>
    </row>
    <row r="2528" spans="1:15" ht="15" customHeight="1" x14ac:dyDescent="0.3">
      <c r="A2528" s="8">
        <v>209672705</v>
      </c>
      <c r="B2528" s="4" t="s">
        <v>485</v>
      </c>
      <c r="C2528" s="4" t="s">
        <v>486</v>
      </c>
      <c r="D2528" s="6">
        <v>46309.497974537</v>
      </c>
      <c r="E2528" s="6">
        <v>46309.247939814799</v>
      </c>
      <c r="F2528" s="6">
        <v>46309</v>
      </c>
      <c r="G2528" s="5" t="s">
        <v>12</v>
      </c>
      <c r="H2528" s="5" t="s">
        <v>16</v>
      </c>
      <c r="I2528" s="5">
        <v>1</v>
      </c>
      <c r="J2528" s="9" t="s">
        <v>17</v>
      </c>
      <c r="K2528" s="1" t="s">
        <v>2820</v>
      </c>
      <c r="L2528" t="s">
        <v>10</v>
      </c>
      <c r="M2528" t="str">
        <f>+VLOOKUP(C2528,'[1]TIENDAS 2025'!$A$1:$C$143,3,0)</f>
        <v>departamental</v>
      </c>
      <c r="O2528">
        <v>1</v>
      </c>
    </row>
    <row r="2529" spans="1:15" ht="15" customHeight="1" x14ac:dyDescent="0.3">
      <c r="A2529" s="7">
        <v>1209672711</v>
      </c>
      <c r="B2529" s="4" t="s">
        <v>424</v>
      </c>
      <c r="C2529" s="4" t="s">
        <v>425</v>
      </c>
      <c r="D2529" s="6">
        <v>46309.497986111099</v>
      </c>
      <c r="E2529" s="6">
        <v>46309.247962963003</v>
      </c>
      <c r="F2529" s="6">
        <v>46309</v>
      </c>
      <c r="G2529" s="5" t="s">
        <v>12</v>
      </c>
      <c r="H2529" s="5" t="s">
        <v>16</v>
      </c>
      <c r="I2529" s="5">
        <v>29</v>
      </c>
      <c r="J2529" s="9" t="s">
        <v>17</v>
      </c>
      <c r="K2529" s="1" t="s">
        <v>2821</v>
      </c>
      <c r="L2529" t="s">
        <v>3284</v>
      </c>
      <c r="M2529" t="str">
        <f>+VLOOKUP(C2529,'[1]TIENDAS 2025'!$A$1:$C$143,3,0)</f>
        <v>prioridad</v>
      </c>
      <c r="O2529">
        <v>1</v>
      </c>
    </row>
    <row r="2530" spans="1:15" ht="15" customHeight="1" x14ac:dyDescent="0.3">
      <c r="A2530" s="7">
        <v>8209672575</v>
      </c>
      <c r="B2530" s="4" t="s">
        <v>424</v>
      </c>
      <c r="C2530" s="4" t="s">
        <v>425</v>
      </c>
      <c r="D2530" s="6">
        <v>46309.498009259303</v>
      </c>
      <c r="E2530" s="6">
        <v>46309.247974537</v>
      </c>
      <c r="F2530" s="6">
        <v>46309</v>
      </c>
      <c r="G2530" s="5" t="s">
        <v>12</v>
      </c>
      <c r="H2530" s="5" t="s">
        <v>27</v>
      </c>
      <c r="I2530" s="5">
        <v>15</v>
      </c>
      <c r="J2530" s="10" t="s">
        <v>17</v>
      </c>
      <c r="K2530" s="1" t="s">
        <v>2822</v>
      </c>
      <c r="M2530" t="str">
        <f>+VLOOKUP(C2530,'[1]TIENDAS 2025'!$A$1:$C$143,3,0)</f>
        <v>prioridad</v>
      </c>
      <c r="O2530">
        <v>1</v>
      </c>
    </row>
    <row r="2531" spans="1:15" ht="15" customHeight="1" x14ac:dyDescent="0.3">
      <c r="A2531" s="8">
        <v>209672581</v>
      </c>
      <c r="B2531" s="4" t="s">
        <v>235</v>
      </c>
      <c r="C2531" s="4" t="s">
        <v>236</v>
      </c>
      <c r="D2531" s="6">
        <v>46309.4980208333</v>
      </c>
      <c r="E2531" s="6">
        <v>46309.247986111099</v>
      </c>
      <c r="F2531" s="6">
        <v>46309</v>
      </c>
      <c r="G2531" s="5" t="s">
        <v>12</v>
      </c>
      <c r="H2531" s="5" t="s">
        <v>16</v>
      </c>
      <c r="I2531" s="5">
        <v>1</v>
      </c>
      <c r="J2531" s="9" t="s">
        <v>17</v>
      </c>
      <c r="K2531" s="1" t="s">
        <v>2823</v>
      </c>
      <c r="L2531" t="s">
        <v>10</v>
      </c>
      <c r="M2531" t="str">
        <f>+VLOOKUP(C2531,'[1]TIENDAS 2025'!$A$1:$C$143,3,0)</f>
        <v>prioridad</v>
      </c>
      <c r="O2531">
        <v>1</v>
      </c>
    </row>
    <row r="2532" spans="1:15" ht="15" customHeight="1" x14ac:dyDescent="0.3">
      <c r="A2532" s="8">
        <v>209672588</v>
      </c>
      <c r="B2532" s="4" t="s">
        <v>327</v>
      </c>
      <c r="C2532" s="4" t="s">
        <v>328</v>
      </c>
      <c r="D2532" s="6">
        <v>46309.498032407399</v>
      </c>
      <c r="E2532" s="6">
        <v>46309.247997685197</v>
      </c>
      <c r="F2532" s="6">
        <v>46309</v>
      </c>
      <c r="G2532" s="5" t="s">
        <v>12</v>
      </c>
      <c r="H2532" s="5" t="s">
        <v>16</v>
      </c>
      <c r="I2532" s="5">
        <v>1</v>
      </c>
      <c r="J2532" s="9" t="s">
        <v>17</v>
      </c>
      <c r="K2532" s="1" t="s">
        <v>2824</v>
      </c>
      <c r="L2532" t="s">
        <v>10</v>
      </c>
      <c r="M2532" t="str">
        <f>+VLOOKUP(C2532,'[1]TIENDAS 2025'!$A$1:$C$143,3,0)</f>
        <v>local</v>
      </c>
      <c r="O2532">
        <v>1</v>
      </c>
    </row>
    <row r="2533" spans="1:15" ht="15" customHeight="1" x14ac:dyDescent="0.3">
      <c r="A2533" s="8">
        <v>209672606</v>
      </c>
      <c r="B2533" s="4" t="s">
        <v>19</v>
      </c>
      <c r="C2533" s="4" t="s">
        <v>20</v>
      </c>
      <c r="D2533" s="6">
        <v>46309.498043981497</v>
      </c>
      <c r="E2533" s="6">
        <v>46309.2480208333</v>
      </c>
      <c r="F2533" s="6">
        <v>46309</v>
      </c>
      <c r="G2533" s="5" t="s">
        <v>12</v>
      </c>
      <c r="H2533" s="5" t="s">
        <v>16</v>
      </c>
      <c r="I2533" s="5">
        <v>1</v>
      </c>
      <c r="J2533" s="9" t="s">
        <v>17</v>
      </c>
      <c r="K2533" s="1" t="s">
        <v>2825</v>
      </c>
      <c r="L2533" t="s">
        <v>10</v>
      </c>
      <c r="M2533" t="str">
        <f>+VLOOKUP(C2533,'[1]TIENDAS 2025'!$A$1:$C$143,3,0)</f>
        <v>departamental</v>
      </c>
      <c r="O2533">
        <v>1</v>
      </c>
    </row>
    <row r="2534" spans="1:15" ht="15" customHeight="1" x14ac:dyDescent="0.3">
      <c r="A2534" s="8">
        <v>209672611</v>
      </c>
      <c r="B2534" s="4" t="s">
        <v>175</v>
      </c>
      <c r="C2534" s="4" t="s">
        <v>176</v>
      </c>
      <c r="D2534" s="6">
        <v>46309.498055555603</v>
      </c>
      <c r="E2534" s="6">
        <v>46309.248032407399</v>
      </c>
      <c r="F2534" s="6">
        <v>46309</v>
      </c>
      <c r="G2534" s="5" t="s">
        <v>12</v>
      </c>
      <c r="H2534" s="5" t="s">
        <v>16</v>
      </c>
      <c r="I2534" s="5">
        <v>1</v>
      </c>
      <c r="J2534" s="9" t="s">
        <v>17</v>
      </c>
      <c r="K2534" s="1" t="s">
        <v>2826</v>
      </c>
      <c r="L2534" t="s">
        <v>10</v>
      </c>
      <c r="M2534" t="str">
        <f>+VLOOKUP(C2534,'[1]TIENDAS 2025'!$A$1:$C$143,3,0)</f>
        <v>departamental</v>
      </c>
      <c r="O2534">
        <v>1</v>
      </c>
    </row>
    <row r="2535" spans="1:15" ht="15" customHeight="1" x14ac:dyDescent="0.3">
      <c r="A2535" s="8">
        <v>209672614</v>
      </c>
      <c r="B2535" s="4" t="s">
        <v>223</v>
      </c>
      <c r="C2535" s="4" t="s">
        <v>224</v>
      </c>
      <c r="D2535" s="6">
        <v>46309.498078703698</v>
      </c>
      <c r="E2535" s="6">
        <v>46309.248043981497</v>
      </c>
      <c r="F2535" s="6">
        <v>46309</v>
      </c>
      <c r="G2535" s="5" t="s">
        <v>12</v>
      </c>
      <c r="H2535" s="5" t="s">
        <v>16</v>
      </c>
      <c r="I2535" s="5">
        <v>1</v>
      </c>
      <c r="J2535" s="9" t="s">
        <v>17</v>
      </c>
      <c r="K2535" s="1" t="s">
        <v>2827</v>
      </c>
      <c r="L2535" t="s">
        <v>10</v>
      </c>
      <c r="M2535" t="str">
        <f>+VLOOKUP(C2535,'[1]TIENDAS 2025'!$A$1:$C$143,3,0)</f>
        <v>departamental</v>
      </c>
      <c r="O2535">
        <v>1</v>
      </c>
    </row>
    <row r="2536" spans="1:15" ht="15" customHeight="1" x14ac:dyDescent="0.3">
      <c r="A2536" s="8">
        <v>209672623</v>
      </c>
      <c r="B2536" s="4" t="s">
        <v>321</v>
      </c>
      <c r="C2536" s="4" t="s">
        <v>322</v>
      </c>
      <c r="D2536" s="6">
        <v>46309.498090277797</v>
      </c>
      <c r="E2536" s="6">
        <v>46309.248055555603</v>
      </c>
      <c r="F2536" s="6">
        <v>46309</v>
      </c>
      <c r="G2536" s="5" t="s">
        <v>12</v>
      </c>
      <c r="H2536" s="5" t="s">
        <v>16</v>
      </c>
      <c r="I2536" s="5">
        <v>1</v>
      </c>
      <c r="J2536" s="9" t="s">
        <v>17</v>
      </c>
      <c r="K2536" s="1" t="s">
        <v>2828</v>
      </c>
      <c r="L2536" t="s">
        <v>10</v>
      </c>
      <c r="M2536" t="str">
        <f>+VLOOKUP(C2536,'[1]TIENDAS 2025'!$A$1:$C$143,3,0)</f>
        <v>prioridad</v>
      </c>
      <c r="O2536">
        <v>1</v>
      </c>
    </row>
    <row r="2537" spans="1:15" ht="15" customHeight="1" x14ac:dyDescent="0.3">
      <c r="A2537" s="8">
        <v>209672626</v>
      </c>
      <c r="B2537" s="4" t="s">
        <v>184</v>
      </c>
      <c r="C2537" s="4" t="s">
        <v>185</v>
      </c>
      <c r="D2537" s="6">
        <v>46309.498101851903</v>
      </c>
      <c r="E2537" s="6">
        <v>46309.2480671296</v>
      </c>
      <c r="F2537" s="6">
        <v>46309</v>
      </c>
      <c r="G2537" s="5" t="s">
        <v>12</v>
      </c>
      <c r="H2537" s="5" t="s">
        <v>16</v>
      </c>
      <c r="I2537" s="5">
        <v>1</v>
      </c>
      <c r="J2537" s="9" t="s">
        <v>17</v>
      </c>
      <c r="K2537" s="1" t="s">
        <v>2829</v>
      </c>
      <c r="L2537" t="s">
        <v>10</v>
      </c>
      <c r="M2537" t="str">
        <f>+VLOOKUP(C2537,'[1]TIENDAS 2025'!$A$1:$C$143,3,0)</f>
        <v>nocturna</v>
      </c>
      <c r="O2537">
        <v>1</v>
      </c>
    </row>
    <row r="2538" spans="1:15" ht="15" customHeight="1" x14ac:dyDescent="0.3">
      <c r="A2538" s="8">
        <v>209672634</v>
      </c>
      <c r="B2538" s="4" t="s">
        <v>339</v>
      </c>
      <c r="C2538" s="4" t="s">
        <v>340</v>
      </c>
      <c r="D2538" s="6">
        <v>46309.4981134259</v>
      </c>
      <c r="E2538" s="6">
        <v>46309.248090277797</v>
      </c>
      <c r="F2538" s="6">
        <v>46309</v>
      </c>
      <c r="G2538" s="5" t="s">
        <v>12</v>
      </c>
      <c r="H2538" s="5" t="s">
        <v>16</v>
      </c>
      <c r="I2538" s="5">
        <v>1</v>
      </c>
      <c r="J2538" s="9" t="s">
        <v>17</v>
      </c>
      <c r="K2538" s="1" t="s">
        <v>2830</v>
      </c>
      <c r="L2538" t="s">
        <v>10</v>
      </c>
      <c r="M2538" t="str">
        <f>+VLOOKUP(C2538,'[1]TIENDAS 2025'!$A$1:$C$143,3,0)</f>
        <v>nocturna</v>
      </c>
      <c r="O2538">
        <v>1</v>
      </c>
    </row>
    <row r="2539" spans="1:15" ht="15" customHeight="1" x14ac:dyDescent="0.3">
      <c r="A2539" s="8">
        <v>209672652</v>
      </c>
      <c r="B2539" s="4" t="s">
        <v>545</v>
      </c>
      <c r="C2539" s="4" t="s">
        <v>546</v>
      </c>
      <c r="D2539" s="6">
        <v>46309.498124999998</v>
      </c>
      <c r="E2539" s="6">
        <v>46309.248101851903</v>
      </c>
      <c r="F2539" s="6">
        <v>46309</v>
      </c>
      <c r="G2539" s="5" t="s">
        <v>12</v>
      </c>
      <c r="H2539" s="5" t="s">
        <v>16</v>
      </c>
      <c r="I2539" s="5">
        <v>1</v>
      </c>
      <c r="J2539" s="9" t="s">
        <v>17</v>
      </c>
      <c r="K2539" s="1" t="s">
        <v>2831</v>
      </c>
      <c r="L2539" t="s">
        <v>10</v>
      </c>
      <c r="M2539" t="str">
        <f>+VLOOKUP(C2539,'[1]TIENDAS 2025'!$A$1:$C$143,3,0)</f>
        <v>departamental</v>
      </c>
      <c r="O2539">
        <v>1</v>
      </c>
    </row>
    <row r="2540" spans="1:15" ht="15" customHeight="1" x14ac:dyDescent="0.3">
      <c r="A2540" s="7">
        <v>8209672730</v>
      </c>
      <c r="B2540" s="4" t="s">
        <v>509</v>
      </c>
      <c r="C2540" s="4" t="s">
        <v>510</v>
      </c>
      <c r="D2540" s="6">
        <v>46309.498148148101</v>
      </c>
      <c r="E2540" s="6">
        <v>46309.2481134259</v>
      </c>
      <c r="F2540" s="6">
        <v>46309</v>
      </c>
      <c r="G2540" s="5" t="s">
        <v>12</v>
      </c>
      <c r="H2540" s="5" t="s">
        <v>27</v>
      </c>
      <c r="I2540" s="5">
        <v>25</v>
      </c>
      <c r="J2540" s="10" t="s">
        <v>17</v>
      </c>
      <c r="K2540" s="1" t="s">
        <v>2832</v>
      </c>
      <c r="M2540" t="str">
        <f>+VLOOKUP(C2540,'[1]TIENDAS 2025'!$A$1:$C$143,3,0)</f>
        <v>nocturna</v>
      </c>
      <c r="O2540">
        <v>1</v>
      </c>
    </row>
    <row r="2541" spans="1:15" ht="15" customHeight="1" x14ac:dyDescent="0.3">
      <c r="A2541" s="7">
        <v>1209672736</v>
      </c>
      <c r="B2541" s="4" t="s">
        <v>509</v>
      </c>
      <c r="C2541" s="4" t="s">
        <v>510</v>
      </c>
      <c r="D2541" s="6">
        <v>46309.498159722199</v>
      </c>
      <c r="E2541" s="6">
        <v>46309.248124999998</v>
      </c>
      <c r="F2541" s="6">
        <v>46309</v>
      </c>
      <c r="G2541" s="5" t="s">
        <v>12</v>
      </c>
      <c r="H2541" s="5" t="s">
        <v>29</v>
      </c>
      <c r="I2541" s="5">
        <v>26</v>
      </c>
      <c r="J2541" s="9" t="s">
        <v>17</v>
      </c>
      <c r="K2541" s="1" t="s">
        <v>2833</v>
      </c>
      <c r="L2541" t="s">
        <v>3284</v>
      </c>
      <c r="M2541" t="str">
        <f>+VLOOKUP(C2541,'[1]TIENDAS 2025'!$A$1:$C$143,3,0)</f>
        <v>nocturna</v>
      </c>
      <c r="O2541">
        <v>1</v>
      </c>
    </row>
    <row r="2542" spans="1:15" ht="15" customHeight="1" x14ac:dyDescent="0.3">
      <c r="A2542" s="7">
        <v>1209672802</v>
      </c>
      <c r="B2542" s="4" t="s">
        <v>436</v>
      </c>
      <c r="C2542" s="4" t="s">
        <v>437</v>
      </c>
      <c r="D2542" s="6">
        <v>46309.498171296298</v>
      </c>
      <c r="E2542" s="6">
        <v>46309.248148148101</v>
      </c>
      <c r="F2542" s="6">
        <v>46309</v>
      </c>
      <c r="G2542" s="5" t="s">
        <v>12</v>
      </c>
      <c r="H2542" s="5" t="s">
        <v>16</v>
      </c>
      <c r="I2542" s="5">
        <v>23</v>
      </c>
      <c r="J2542" s="9" t="s">
        <v>17</v>
      </c>
      <c r="K2542" s="1" t="s">
        <v>2834</v>
      </c>
      <c r="L2542" t="s">
        <v>3284</v>
      </c>
      <c r="M2542" t="str">
        <f>+VLOOKUP(C2542,'[1]TIENDAS 2025'!$A$1:$C$143,3,0)</f>
        <v>departamental</v>
      </c>
      <c r="O2542">
        <v>1</v>
      </c>
    </row>
    <row r="2543" spans="1:15" ht="15" customHeight="1" x14ac:dyDescent="0.3">
      <c r="A2543" s="7">
        <v>8209672805</v>
      </c>
      <c r="B2543" s="4" t="s">
        <v>436</v>
      </c>
      <c r="C2543" s="4" t="s">
        <v>437</v>
      </c>
      <c r="D2543" s="6">
        <v>46309.498182870397</v>
      </c>
      <c r="E2543" s="6">
        <v>46309.248159722199</v>
      </c>
      <c r="F2543" s="6">
        <v>46309</v>
      </c>
      <c r="G2543" s="5" t="s">
        <v>12</v>
      </c>
      <c r="H2543" s="5" t="s">
        <v>27</v>
      </c>
      <c r="I2543" s="5">
        <v>39</v>
      </c>
      <c r="J2543" s="10" t="s">
        <v>17</v>
      </c>
      <c r="K2543" s="1" t="s">
        <v>2835</v>
      </c>
      <c r="M2543" t="str">
        <f>+VLOOKUP(C2543,'[1]TIENDAS 2025'!$A$1:$C$143,3,0)</f>
        <v>departamental</v>
      </c>
      <c r="O2543">
        <v>1</v>
      </c>
    </row>
    <row r="2544" spans="1:15" ht="15" customHeight="1" x14ac:dyDescent="0.3">
      <c r="A2544" s="7">
        <v>1209672809</v>
      </c>
      <c r="B2544" s="4" t="s">
        <v>436</v>
      </c>
      <c r="C2544" s="4" t="s">
        <v>437</v>
      </c>
      <c r="D2544" s="6">
        <v>46309.498206018499</v>
      </c>
      <c r="E2544" s="6">
        <v>46309.248171296298</v>
      </c>
      <c r="F2544" s="6">
        <v>46309</v>
      </c>
      <c r="G2544" s="5" t="s">
        <v>12</v>
      </c>
      <c r="H2544" s="5" t="s">
        <v>16</v>
      </c>
      <c r="I2544" s="5">
        <v>24</v>
      </c>
      <c r="J2544" s="9" t="s">
        <v>17</v>
      </c>
      <c r="K2544" s="1" t="s">
        <v>2836</v>
      </c>
      <c r="L2544" t="s">
        <v>3284</v>
      </c>
      <c r="M2544" t="str">
        <f>+VLOOKUP(C2544,'[1]TIENDAS 2025'!$A$1:$C$143,3,0)</f>
        <v>departamental</v>
      </c>
      <c r="O2544">
        <v>1</v>
      </c>
    </row>
    <row r="2545" spans="1:15" ht="15" customHeight="1" x14ac:dyDescent="0.3">
      <c r="A2545" s="7">
        <v>1209672535</v>
      </c>
      <c r="B2545" s="4" t="s">
        <v>336</v>
      </c>
      <c r="C2545" s="4" t="s">
        <v>337</v>
      </c>
      <c r="D2545" s="6">
        <v>46309.498217592598</v>
      </c>
      <c r="E2545" s="6">
        <v>46309.248182870397</v>
      </c>
      <c r="F2545" s="6">
        <v>46309</v>
      </c>
      <c r="G2545" s="5" t="s">
        <v>12</v>
      </c>
      <c r="H2545" s="5" t="s">
        <v>16</v>
      </c>
      <c r="I2545" s="5">
        <v>7</v>
      </c>
      <c r="J2545" s="9" t="s">
        <v>17</v>
      </c>
      <c r="K2545" s="1" t="s">
        <v>2837</v>
      </c>
      <c r="L2545" t="s">
        <v>3284</v>
      </c>
      <c r="M2545" t="str">
        <f>+VLOOKUP(C2545,'[1]TIENDAS 2025'!$A$1:$C$143,3,0)</f>
        <v xml:space="preserve">departamental </v>
      </c>
      <c r="O2545">
        <v>1</v>
      </c>
    </row>
    <row r="2546" spans="1:15" ht="15" customHeight="1" x14ac:dyDescent="0.3">
      <c r="A2546" s="7">
        <v>8209672520</v>
      </c>
      <c r="B2546" s="4" t="s">
        <v>336</v>
      </c>
      <c r="C2546" s="4" t="s">
        <v>337</v>
      </c>
      <c r="D2546" s="6">
        <v>46309.498229166697</v>
      </c>
      <c r="E2546" s="6">
        <v>46309.248206018499</v>
      </c>
      <c r="F2546" s="6">
        <v>46309</v>
      </c>
      <c r="G2546" s="5" t="s">
        <v>12</v>
      </c>
      <c r="H2546" s="5" t="s">
        <v>27</v>
      </c>
      <c r="I2546" s="5">
        <v>1</v>
      </c>
      <c r="J2546" s="10" t="s">
        <v>17</v>
      </c>
      <c r="K2546" s="1" t="s">
        <v>2838</v>
      </c>
      <c r="M2546" t="str">
        <f>+VLOOKUP(C2546,'[1]TIENDAS 2025'!$A$1:$C$143,3,0)</f>
        <v xml:space="preserve">departamental </v>
      </c>
      <c r="O2546">
        <v>1</v>
      </c>
    </row>
    <row r="2547" spans="1:15" ht="15" customHeight="1" x14ac:dyDescent="0.3">
      <c r="A2547" s="8">
        <v>209672656</v>
      </c>
      <c r="B2547" s="4" t="s">
        <v>478</v>
      </c>
      <c r="C2547" s="4" t="s">
        <v>479</v>
      </c>
      <c r="D2547" s="6">
        <v>46309.498240740701</v>
      </c>
      <c r="E2547" s="6">
        <v>46309.248217592598</v>
      </c>
      <c r="F2547" s="6">
        <v>46309</v>
      </c>
      <c r="G2547" s="5" t="s">
        <v>12</v>
      </c>
      <c r="H2547" s="5" t="s">
        <v>16</v>
      </c>
      <c r="I2547" s="5">
        <v>1</v>
      </c>
      <c r="J2547" s="9" t="s">
        <v>17</v>
      </c>
      <c r="K2547" s="1" t="s">
        <v>2839</v>
      </c>
      <c r="L2547" t="s">
        <v>10</v>
      </c>
      <c r="M2547" t="str">
        <f>+VLOOKUP(C2547,'[1]TIENDAS 2025'!$A$1:$C$143,3,0)</f>
        <v>departamental</v>
      </c>
      <c r="O2547">
        <v>1</v>
      </c>
    </row>
    <row r="2548" spans="1:15" ht="15" customHeight="1" x14ac:dyDescent="0.3">
      <c r="A2548" s="8">
        <v>209672659</v>
      </c>
      <c r="B2548" s="4" t="s">
        <v>93</v>
      </c>
      <c r="C2548" s="4" t="s">
        <v>94</v>
      </c>
      <c r="D2548" s="6">
        <v>46309.498252314799</v>
      </c>
      <c r="E2548" s="6">
        <v>46309.248229166697</v>
      </c>
      <c r="F2548" s="6">
        <v>46309</v>
      </c>
      <c r="G2548" s="5" t="s">
        <v>12</v>
      </c>
      <c r="H2548" s="5" t="s">
        <v>16</v>
      </c>
      <c r="I2548" s="5">
        <v>1</v>
      </c>
      <c r="J2548" s="9" t="s">
        <v>17</v>
      </c>
      <c r="K2548" s="1" t="s">
        <v>2840</v>
      </c>
      <c r="L2548" t="s">
        <v>10</v>
      </c>
      <c r="M2548" t="str">
        <f>+VLOOKUP(C2548,'[1]TIENDAS 2025'!$A$1:$C$143,3,0)</f>
        <v>departamental</v>
      </c>
      <c r="O2548">
        <v>1</v>
      </c>
    </row>
    <row r="2549" spans="1:15" ht="15" customHeight="1" x14ac:dyDescent="0.3">
      <c r="A2549" s="8">
        <v>209672666</v>
      </c>
      <c r="B2549" s="4" t="s">
        <v>500</v>
      </c>
      <c r="C2549" s="4" t="s">
        <v>501</v>
      </c>
      <c r="D2549" s="6">
        <v>46309.498275462996</v>
      </c>
      <c r="E2549" s="6">
        <v>46309.248240740701</v>
      </c>
      <c r="F2549" s="6">
        <v>46309</v>
      </c>
      <c r="G2549" s="5" t="s">
        <v>12</v>
      </c>
      <c r="H2549" s="5" t="s">
        <v>16</v>
      </c>
      <c r="I2549" s="5">
        <v>1</v>
      </c>
      <c r="J2549" s="9" t="s">
        <v>17</v>
      </c>
      <c r="K2549" s="1" t="s">
        <v>2841</v>
      </c>
      <c r="L2549" t="s">
        <v>10</v>
      </c>
      <c r="M2549" t="str">
        <f>+VLOOKUP(C2549,'[1]TIENDAS 2025'!$A$1:$C$143,3,0)</f>
        <v>departamental</v>
      </c>
      <c r="O2549">
        <v>1</v>
      </c>
    </row>
    <row r="2550" spans="1:15" ht="15" customHeight="1" x14ac:dyDescent="0.3">
      <c r="A2550" s="7">
        <v>1209672714</v>
      </c>
      <c r="B2550" s="4" t="s">
        <v>424</v>
      </c>
      <c r="C2550" s="4" t="s">
        <v>425</v>
      </c>
      <c r="D2550" s="6">
        <v>46309.498287037</v>
      </c>
      <c r="E2550" s="6">
        <v>46309.248252314799</v>
      </c>
      <c r="F2550" s="6">
        <v>46309</v>
      </c>
      <c r="G2550" s="5" t="s">
        <v>12</v>
      </c>
      <c r="H2550" s="5" t="s">
        <v>29</v>
      </c>
      <c r="I2550" s="5">
        <v>35</v>
      </c>
      <c r="J2550" s="9" t="s">
        <v>17</v>
      </c>
      <c r="K2550" s="1" t="s">
        <v>2842</v>
      </c>
      <c r="L2550" t="s">
        <v>3284</v>
      </c>
      <c r="M2550" t="str">
        <f>+VLOOKUP(C2550,'[1]TIENDAS 2025'!$A$1:$C$143,3,0)</f>
        <v>prioridad</v>
      </c>
      <c r="O2550">
        <v>1</v>
      </c>
    </row>
    <row r="2551" spans="1:15" ht="15" customHeight="1" x14ac:dyDescent="0.3">
      <c r="A2551" s="8">
        <v>209672676</v>
      </c>
      <c r="B2551" s="4" t="s">
        <v>424</v>
      </c>
      <c r="C2551" s="4" t="s">
        <v>425</v>
      </c>
      <c r="D2551" s="6">
        <v>46309.498310185198</v>
      </c>
      <c r="E2551" s="6">
        <v>46309.248275462996</v>
      </c>
      <c r="F2551" s="6">
        <v>46309</v>
      </c>
      <c r="G2551" s="5" t="s">
        <v>12</v>
      </c>
      <c r="H2551" s="5" t="s">
        <v>16</v>
      </c>
      <c r="I2551" s="5">
        <v>1</v>
      </c>
      <c r="J2551" s="9" t="s">
        <v>17</v>
      </c>
      <c r="K2551" s="1" t="s">
        <v>2843</v>
      </c>
      <c r="L2551" t="s">
        <v>10</v>
      </c>
      <c r="M2551" t="str">
        <f>+VLOOKUP(C2551,'[1]TIENDAS 2025'!$A$1:$C$143,3,0)</f>
        <v>prioridad</v>
      </c>
      <c r="O2551">
        <v>1</v>
      </c>
    </row>
    <row r="2552" spans="1:15" ht="15" customHeight="1" x14ac:dyDescent="0.3">
      <c r="A2552" s="8">
        <v>209672681</v>
      </c>
      <c r="B2552" s="4" t="s">
        <v>196</v>
      </c>
      <c r="C2552" s="4" t="s">
        <v>197</v>
      </c>
      <c r="D2552" s="6">
        <v>46309.498310185198</v>
      </c>
      <c r="E2552" s="6">
        <v>46309.248287037</v>
      </c>
      <c r="F2552" s="6">
        <v>46309</v>
      </c>
      <c r="G2552" s="5" t="s">
        <v>12</v>
      </c>
      <c r="H2552" s="5" t="s">
        <v>16</v>
      </c>
      <c r="I2552" s="5">
        <v>1</v>
      </c>
      <c r="J2552" s="9" t="s">
        <v>17</v>
      </c>
      <c r="K2552" s="1" t="s">
        <v>2844</v>
      </c>
      <c r="L2552" t="s">
        <v>10</v>
      </c>
      <c r="M2552" t="str">
        <f>+VLOOKUP(C2552,'[1]TIENDAS 2025'!$A$1:$C$143,3,0)</f>
        <v>departamental</v>
      </c>
      <c r="O2552">
        <v>1</v>
      </c>
    </row>
    <row r="2553" spans="1:15" ht="15" customHeight="1" x14ac:dyDescent="0.3">
      <c r="A2553" s="8">
        <v>209672704</v>
      </c>
      <c r="B2553" s="4" t="s">
        <v>409</v>
      </c>
      <c r="C2553" s="4" t="s">
        <v>410</v>
      </c>
      <c r="D2553" s="6">
        <v>46309.4983333333</v>
      </c>
      <c r="E2553" s="6">
        <v>46309.248298611099</v>
      </c>
      <c r="F2553" s="6">
        <v>46309</v>
      </c>
      <c r="G2553" s="5" t="s">
        <v>12</v>
      </c>
      <c r="H2553" s="5" t="s">
        <v>16</v>
      </c>
      <c r="I2553" s="5">
        <v>1</v>
      </c>
      <c r="J2553" s="9" t="s">
        <v>17</v>
      </c>
      <c r="K2553" s="1" t="s">
        <v>2845</v>
      </c>
      <c r="L2553" t="s">
        <v>10</v>
      </c>
      <c r="M2553" t="str">
        <f>+VLOOKUP(C2553,'[1]TIENDAS 2025'!$A$1:$C$143,3,0)</f>
        <v>departamental</v>
      </c>
      <c r="O2553">
        <v>1</v>
      </c>
    </row>
    <row r="2554" spans="1:15" ht="15" customHeight="1" x14ac:dyDescent="0.3">
      <c r="A2554" s="7">
        <v>8209672577</v>
      </c>
      <c r="B2554" s="4" t="s">
        <v>424</v>
      </c>
      <c r="C2554" s="4" t="s">
        <v>425</v>
      </c>
      <c r="D2554" s="6">
        <v>46309.498344907399</v>
      </c>
      <c r="E2554" s="6">
        <v>46309.248310185198</v>
      </c>
      <c r="F2554" s="6">
        <v>46309</v>
      </c>
      <c r="G2554" s="5" t="s">
        <v>12</v>
      </c>
      <c r="H2554" s="5" t="s">
        <v>27</v>
      </c>
      <c r="I2554" s="5">
        <v>30</v>
      </c>
      <c r="J2554" s="10" t="s">
        <v>17</v>
      </c>
      <c r="K2554" s="1" t="s">
        <v>2846</v>
      </c>
      <c r="M2554" t="str">
        <f>+VLOOKUP(C2554,'[1]TIENDAS 2025'!$A$1:$C$143,3,0)</f>
        <v>prioridad</v>
      </c>
      <c r="O2554">
        <v>1</v>
      </c>
    </row>
    <row r="2555" spans="1:15" ht="15" customHeight="1" x14ac:dyDescent="0.3">
      <c r="A2555" s="8">
        <v>209672586</v>
      </c>
      <c r="B2555" s="4" t="s">
        <v>506</v>
      </c>
      <c r="C2555" s="4" t="s">
        <v>507</v>
      </c>
      <c r="D2555" s="6">
        <v>46309.498356481497</v>
      </c>
      <c r="E2555" s="6">
        <v>46309.248321759304</v>
      </c>
      <c r="F2555" s="6">
        <v>46309</v>
      </c>
      <c r="G2555" s="5" t="s">
        <v>12</v>
      </c>
      <c r="H2555" s="5" t="s">
        <v>16</v>
      </c>
      <c r="I2555" s="5">
        <v>1</v>
      </c>
      <c r="J2555" s="9" t="s">
        <v>17</v>
      </c>
      <c r="K2555" s="1" t="s">
        <v>2847</v>
      </c>
      <c r="L2555" t="s">
        <v>10</v>
      </c>
      <c r="M2555" t="str">
        <f>+VLOOKUP(C2555,'[1]TIENDAS 2025'!$A$1:$C$143,3,0)</f>
        <v>departamental</v>
      </c>
      <c r="O2555">
        <v>1</v>
      </c>
    </row>
    <row r="2556" spans="1:15" ht="15" customHeight="1" x14ac:dyDescent="0.3">
      <c r="A2556" s="8">
        <v>209672590</v>
      </c>
      <c r="B2556" s="4" t="s">
        <v>430</v>
      </c>
      <c r="C2556" s="4" t="s">
        <v>431</v>
      </c>
      <c r="D2556" s="6">
        <v>46309.498368055603</v>
      </c>
      <c r="E2556" s="6">
        <v>46309.248344907399</v>
      </c>
      <c r="F2556" s="6">
        <v>46309</v>
      </c>
      <c r="G2556" s="5" t="s">
        <v>12</v>
      </c>
      <c r="H2556" s="5" t="s">
        <v>16</v>
      </c>
      <c r="I2556" s="5">
        <v>1</v>
      </c>
      <c r="J2556" s="9" t="s">
        <v>17</v>
      </c>
      <c r="K2556" s="1" t="s">
        <v>2848</v>
      </c>
      <c r="L2556" t="s">
        <v>10</v>
      </c>
      <c r="M2556" t="str">
        <f>+VLOOKUP(C2556,'[1]TIENDAS 2025'!$A$1:$C$143,3,0)</f>
        <v>prioridad</v>
      </c>
      <c r="O2556">
        <v>1</v>
      </c>
    </row>
    <row r="2557" spans="1:15" ht="15" customHeight="1" x14ac:dyDescent="0.3">
      <c r="A2557" s="8">
        <v>209672592</v>
      </c>
      <c r="B2557" s="4" t="s">
        <v>439</v>
      </c>
      <c r="C2557" s="4" t="s">
        <v>440</v>
      </c>
      <c r="D2557" s="6">
        <v>46309.4983796296</v>
      </c>
      <c r="E2557" s="6">
        <v>46309.248356481497</v>
      </c>
      <c r="F2557" s="6">
        <v>46309</v>
      </c>
      <c r="G2557" s="5" t="s">
        <v>12</v>
      </c>
      <c r="H2557" s="5" t="s">
        <v>16</v>
      </c>
      <c r="I2557" s="5">
        <v>1</v>
      </c>
      <c r="J2557" s="9" t="s">
        <v>17</v>
      </c>
      <c r="K2557" s="1" t="s">
        <v>2849</v>
      </c>
      <c r="L2557" t="s">
        <v>10</v>
      </c>
      <c r="M2557" t="str">
        <f>+VLOOKUP(C2557,'[1]TIENDAS 2025'!$A$1:$C$143,3,0)</f>
        <v>prioridad</v>
      </c>
      <c r="O2557">
        <v>1</v>
      </c>
    </row>
    <row r="2558" spans="1:15" ht="15" customHeight="1" x14ac:dyDescent="0.3">
      <c r="A2558" s="8">
        <v>209672601</v>
      </c>
      <c r="B2558" s="4" t="s">
        <v>268</v>
      </c>
      <c r="C2558" s="4" t="s">
        <v>269</v>
      </c>
      <c r="D2558" s="6">
        <v>46309.498402777797</v>
      </c>
      <c r="E2558" s="6">
        <v>46309.248368055603</v>
      </c>
      <c r="F2558" s="6">
        <v>46309</v>
      </c>
      <c r="G2558" s="5" t="s">
        <v>12</v>
      </c>
      <c r="H2558" s="5" t="s">
        <v>16</v>
      </c>
      <c r="I2558" s="5">
        <v>1</v>
      </c>
      <c r="J2558" s="9" t="s">
        <v>17</v>
      </c>
      <c r="K2558" s="1" t="s">
        <v>2850</v>
      </c>
      <c r="L2558" t="s">
        <v>10</v>
      </c>
      <c r="M2558" t="str">
        <f>+VLOOKUP(C2558,'[1]TIENDAS 2025'!$A$1:$C$143,3,0)</f>
        <v>departamental</v>
      </c>
      <c r="O2558">
        <v>1</v>
      </c>
    </row>
    <row r="2559" spans="1:15" ht="15" customHeight="1" x14ac:dyDescent="0.3">
      <c r="A2559" s="8">
        <v>209672603</v>
      </c>
      <c r="B2559" s="4" t="s">
        <v>211</v>
      </c>
      <c r="C2559" s="4" t="s">
        <v>212</v>
      </c>
      <c r="D2559" s="6">
        <v>46309.498414351903</v>
      </c>
      <c r="E2559" s="6">
        <v>46309.2483796296</v>
      </c>
      <c r="F2559" s="6">
        <v>46309</v>
      </c>
      <c r="G2559" s="5" t="s">
        <v>12</v>
      </c>
      <c r="H2559" s="5" t="s">
        <v>16</v>
      </c>
      <c r="I2559" s="5">
        <v>1</v>
      </c>
      <c r="J2559" s="9" t="s">
        <v>17</v>
      </c>
      <c r="K2559" s="1" t="s">
        <v>2851</v>
      </c>
      <c r="L2559" t="s">
        <v>10</v>
      </c>
      <c r="M2559" t="str">
        <f>+VLOOKUP(C2559,'[1]TIENDAS 2025'!$A$1:$C$143,3,0)</f>
        <v>departamental</v>
      </c>
      <c r="O2559">
        <v>1</v>
      </c>
    </row>
    <row r="2560" spans="1:15" ht="15" customHeight="1" x14ac:dyDescent="0.3">
      <c r="A2560" s="8">
        <v>209672617</v>
      </c>
      <c r="B2560" s="4" t="s">
        <v>229</v>
      </c>
      <c r="C2560" s="4" t="s">
        <v>230</v>
      </c>
      <c r="D2560" s="6">
        <v>46309.4984259259</v>
      </c>
      <c r="E2560" s="6">
        <v>46309.248402777797</v>
      </c>
      <c r="F2560" s="6">
        <v>46309</v>
      </c>
      <c r="G2560" s="5" t="s">
        <v>12</v>
      </c>
      <c r="H2560" s="5" t="s">
        <v>16</v>
      </c>
      <c r="I2560" s="5">
        <v>1</v>
      </c>
      <c r="J2560" s="9" t="s">
        <v>17</v>
      </c>
      <c r="K2560" s="1" t="s">
        <v>2852</v>
      </c>
      <c r="L2560" t="s">
        <v>10</v>
      </c>
      <c r="M2560" t="str">
        <f>+VLOOKUP(C2560,'[1]TIENDAS 2025'!$A$1:$C$143,3,0)</f>
        <v>local</v>
      </c>
      <c r="O2560">
        <v>1</v>
      </c>
    </row>
    <row r="2561" spans="1:15" ht="15" customHeight="1" x14ac:dyDescent="0.3">
      <c r="A2561" s="8">
        <v>209672618</v>
      </c>
      <c r="B2561" s="4" t="s">
        <v>309</v>
      </c>
      <c r="C2561" s="4" t="s">
        <v>310</v>
      </c>
      <c r="D2561" s="6">
        <v>46309.498437499999</v>
      </c>
      <c r="E2561" s="6">
        <v>46309.248414351903</v>
      </c>
      <c r="F2561" s="6">
        <v>46309</v>
      </c>
      <c r="G2561" s="5" t="s">
        <v>12</v>
      </c>
      <c r="H2561" s="5" t="s">
        <v>16</v>
      </c>
      <c r="I2561" s="5">
        <v>1</v>
      </c>
      <c r="J2561" s="9" t="s">
        <v>17</v>
      </c>
      <c r="K2561" s="1" t="s">
        <v>2853</v>
      </c>
      <c r="L2561" t="s">
        <v>10</v>
      </c>
      <c r="M2561" t="str">
        <f>+VLOOKUP(C2561,'[1]TIENDAS 2025'!$A$1:$C$143,3,0)</f>
        <v>departamental</v>
      </c>
      <c r="O2561">
        <v>1</v>
      </c>
    </row>
    <row r="2562" spans="1:15" ht="15" customHeight="1" x14ac:dyDescent="0.3">
      <c r="A2562" s="8">
        <v>209672622</v>
      </c>
      <c r="B2562" s="4" t="s">
        <v>315</v>
      </c>
      <c r="C2562" s="4" t="s">
        <v>316</v>
      </c>
      <c r="D2562" s="6">
        <v>46309.498460648101</v>
      </c>
      <c r="E2562" s="6">
        <v>46309.2484259259</v>
      </c>
      <c r="F2562" s="6">
        <v>46309</v>
      </c>
      <c r="G2562" s="5" t="s">
        <v>12</v>
      </c>
      <c r="H2562" s="5" t="s">
        <v>16</v>
      </c>
      <c r="I2562" s="5">
        <v>1</v>
      </c>
      <c r="J2562" s="9" t="s">
        <v>17</v>
      </c>
      <c r="K2562" s="1" t="s">
        <v>2854</v>
      </c>
      <c r="L2562" t="s">
        <v>10</v>
      </c>
      <c r="M2562" t="str">
        <f>+VLOOKUP(C2562,'[1]TIENDAS 2025'!$A$1:$C$143,3,0)</f>
        <v>prioridad</v>
      </c>
      <c r="O2562">
        <v>1</v>
      </c>
    </row>
    <row r="2563" spans="1:15" ht="15" customHeight="1" x14ac:dyDescent="0.3">
      <c r="A2563" s="8">
        <v>209672631</v>
      </c>
      <c r="B2563" s="4" t="s">
        <v>433</v>
      </c>
      <c r="C2563" s="4" t="s">
        <v>434</v>
      </c>
      <c r="D2563" s="6">
        <v>46309.4984722222</v>
      </c>
      <c r="E2563" s="6">
        <v>46309.248437499999</v>
      </c>
      <c r="F2563" s="6">
        <v>46309</v>
      </c>
      <c r="G2563" s="5" t="s">
        <v>12</v>
      </c>
      <c r="H2563" s="5" t="s">
        <v>16</v>
      </c>
      <c r="I2563" s="5">
        <v>1</v>
      </c>
      <c r="J2563" s="9" t="s">
        <v>17</v>
      </c>
      <c r="K2563" s="1" t="s">
        <v>2855</v>
      </c>
      <c r="L2563" t="s">
        <v>10</v>
      </c>
      <c r="M2563" t="str">
        <f>+VLOOKUP(C2563,'[1]TIENDAS 2025'!$A$1:$C$143,3,0)</f>
        <v>prioridad</v>
      </c>
      <c r="O2563">
        <v>1</v>
      </c>
    </row>
    <row r="2564" spans="1:15" ht="15" customHeight="1" x14ac:dyDescent="0.3">
      <c r="A2564" s="8">
        <v>209672638</v>
      </c>
      <c r="B2564" s="4" t="s">
        <v>342</v>
      </c>
      <c r="C2564" s="4" t="s">
        <v>343</v>
      </c>
      <c r="D2564" s="6">
        <v>46309.498483796298</v>
      </c>
      <c r="E2564" s="6">
        <v>46309.248460648101</v>
      </c>
      <c r="F2564" s="6">
        <v>46309</v>
      </c>
      <c r="G2564" s="5" t="s">
        <v>12</v>
      </c>
      <c r="H2564" s="5" t="s">
        <v>16</v>
      </c>
      <c r="I2564" s="5">
        <v>1</v>
      </c>
      <c r="J2564" s="9" t="s">
        <v>17</v>
      </c>
      <c r="K2564" s="1" t="s">
        <v>2856</v>
      </c>
      <c r="L2564" t="s">
        <v>10</v>
      </c>
      <c r="M2564" t="str">
        <f>+VLOOKUP(C2564,'[1]TIENDAS 2025'!$A$1:$C$143,3,0)</f>
        <v>local</v>
      </c>
      <c r="O2564">
        <v>1</v>
      </c>
    </row>
    <row r="2565" spans="1:15" ht="15" customHeight="1" x14ac:dyDescent="0.3">
      <c r="A2565" s="8">
        <v>209672639</v>
      </c>
      <c r="B2565" s="4" t="s">
        <v>388</v>
      </c>
      <c r="C2565" s="4" t="s">
        <v>389</v>
      </c>
      <c r="D2565" s="6">
        <v>46309.498495370397</v>
      </c>
      <c r="E2565" s="6">
        <v>46309.2484722222</v>
      </c>
      <c r="F2565" s="6">
        <v>46309</v>
      </c>
      <c r="G2565" s="5" t="s">
        <v>12</v>
      </c>
      <c r="H2565" s="5" t="s">
        <v>16</v>
      </c>
      <c r="I2565" s="5">
        <v>1</v>
      </c>
      <c r="J2565" s="9" t="s">
        <v>17</v>
      </c>
      <c r="K2565" s="1" t="s">
        <v>2857</v>
      </c>
      <c r="L2565" t="s">
        <v>10</v>
      </c>
      <c r="M2565" t="str">
        <f>+VLOOKUP(C2565,'[1]TIENDAS 2025'!$A$1:$C$143,3,0)</f>
        <v>departamental</v>
      </c>
      <c r="O2565">
        <v>1</v>
      </c>
    </row>
    <row r="2566" spans="1:15" ht="15" customHeight="1" x14ac:dyDescent="0.3">
      <c r="A2566" s="8">
        <v>209672640</v>
      </c>
      <c r="B2566" s="4" t="s">
        <v>521</v>
      </c>
      <c r="C2566" s="4" t="s">
        <v>522</v>
      </c>
      <c r="D2566" s="6">
        <v>46309.498506944401</v>
      </c>
      <c r="E2566" s="6">
        <v>46309.248483796298</v>
      </c>
      <c r="F2566" s="6">
        <v>46309</v>
      </c>
      <c r="G2566" s="5" t="s">
        <v>12</v>
      </c>
      <c r="H2566" s="5" t="s">
        <v>16</v>
      </c>
      <c r="I2566" s="5">
        <v>1</v>
      </c>
      <c r="J2566" s="9" t="s">
        <v>17</v>
      </c>
      <c r="K2566" s="1" t="s">
        <v>2858</v>
      </c>
      <c r="L2566" t="s">
        <v>10</v>
      </c>
      <c r="M2566" t="str">
        <f>+VLOOKUP(C2566,'[1]TIENDAS 2025'!$A$1:$C$143,3,0)</f>
        <v>local</v>
      </c>
      <c r="O2566">
        <v>1</v>
      </c>
    </row>
    <row r="2567" spans="1:15" ht="15" customHeight="1" x14ac:dyDescent="0.3">
      <c r="A2567" s="8">
        <v>209672648</v>
      </c>
      <c r="B2567" s="4" t="s">
        <v>166</v>
      </c>
      <c r="C2567" s="4" t="s">
        <v>167</v>
      </c>
      <c r="D2567" s="6">
        <v>46309.498530092598</v>
      </c>
      <c r="E2567" s="6">
        <v>46309.248495370397</v>
      </c>
      <c r="F2567" s="6">
        <v>46309</v>
      </c>
      <c r="G2567" s="5" t="s">
        <v>12</v>
      </c>
      <c r="H2567" s="5" t="s">
        <v>16</v>
      </c>
      <c r="I2567" s="5">
        <v>1</v>
      </c>
      <c r="J2567" s="9" t="s">
        <v>17</v>
      </c>
      <c r="K2567" s="1" t="s">
        <v>2859</v>
      </c>
      <c r="L2567" t="s">
        <v>10</v>
      </c>
      <c r="M2567" t="str">
        <f>+VLOOKUP(C2567,'[1]TIENDAS 2025'!$A$1:$C$143,3,0)</f>
        <v>local</v>
      </c>
      <c r="O2567">
        <v>1</v>
      </c>
    </row>
    <row r="2568" spans="1:15" ht="15" customHeight="1" x14ac:dyDescent="0.3">
      <c r="A2568" s="8">
        <v>209672650</v>
      </c>
      <c r="B2568" s="4" t="s">
        <v>214</v>
      </c>
      <c r="C2568" s="4" t="s">
        <v>215</v>
      </c>
      <c r="D2568" s="6">
        <v>46309.498541666697</v>
      </c>
      <c r="E2568" s="6">
        <v>46309.248506944401</v>
      </c>
      <c r="F2568" s="6">
        <v>46309</v>
      </c>
      <c r="G2568" s="5" t="s">
        <v>12</v>
      </c>
      <c r="H2568" s="5" t="s">
        <v>16</v>
      </c>
      <c r="I2568" s="5">
        <v>1</v>
      </c>
      <c r="J2568" s="9" t="s">
        <v>17</v>
      </c>
      <c r="K2568" s="1" t="s">
        <v>2860</v>
      </c>
      <c r="L2568" t="s">
        <v>10</v>
      </c>
      <c r="M2568" t="str">
        <f>+VLOOKUP(C2568,'[1]TIENDAS 2025'!$A$1:$C$143,3,0)</f>
        <v>departamental</v>
      </c>
      <c r="O2568">
        <v>1</v>
      </c>
    </row>
    <row r="2569" spans="1:15" ht="15" customHeight="1" x14ac:dyDescent="0.3">
      <c r="A2569" s="7">
        <v>8209672771</v>
      </c>
      <c r="B2569" s="4" t="s">
        <v>385</v>
      </c>
      <c r="C2569" s="4" t="s">
        <v>386</v>
      </c>
      <c r="D2569" s="6">
        <v>46309.498553240701</v>
      </c>
      <c r="E2569" s="6">
        <v>46309.248530092598</v>
      </c>
      <c r="F2569" s="6">
        <v>46309</v>
      </c>
      <c r="G2569" s="5" t="s">
        <v>12</v>
      </c>
      <c r="H2569" s="5" t="s">
        <v>27</v>
      </c>
      <c r="I2569" s="5">
        <v>14</v>
      </c>
      <c r="J2569" s="10" t="s">
        <v>17</v>
      </c>
      <c r="K2569" s="1" t="s">
        <v>2861</v>
      </c>
      <c r="M2569" t="str">
        <f>+VLOOKUP(C2569,'[1]TIENDAS 2025'!$A$1:$C$143,3,0)</f>
        <v>nocturna</v>
      </c>
      <c r="O2569">
        <v>1</v>
      </c>
    </row>
    <row r="2570" spans="1:15" ht="15" customHeight="1" x14ac:dyDescent="0.3">
      <c r="A2570" s="7">
        <v>1209672804</v>
      </c>
      <c r="B2570" s="4" t="s">
        <v>436</v>
      </c>
      <c r="C2570" s="4" t="s">
        <v>437</v>
      </c>
      <c r="D2570" s="6">
        <v>46309.498564814799</v>
      </c>
      <c r="E2570" s="6">
        <v>46309.248541666697</v>
      </c>
      <c r="F2570" s="6">
        <v>46309</v>
      </c>
      <c r="G2570" s="5" t="s">
        <v>12</v>
      </c>
      <c r="H2570" s="5" t="s">
        <v>16</v>
      </c>
      <c r="I2570" s="5">
        <v>2</v>
      </c>
      <c r="J2570" s="9" t="s">
        <v>17</v>
      </c>
      <c r="K2570" s="1" t="s">
        <v>2862</v>
      </c>
      <c r="L2570" t="s">
        <v>3284</v>
      </c>
      <c r="M2570" t="str">
        <f>+VLOOKUP(C2570,'[1]TIENDAS 2025'!$A$1:$C$143,3,0)</f>
        <v>departamental</v>
      </c>
      <c r="O2570">
        <v>1</v>
      </c>
    </row>
    <row r="2571" spans="1:15" ht="15" customHeight="1" x14ac:dyDescent="0.3">
      <c r="A2571" s="7">
        <v>1209672799</v>
      </c>
      <c r="B2571" s="4" t="s">
        <v>436</v>
      </c>
      <c r="C2571" s="4" t="s">
        <v>437</v>
      </c>
      <c r="D2571" s="6">
        <v>46309.498576388898</v>
      </c>
      <c r="E2571" s="6">
        <v>46309.248553240701</v>
      </c>
      <c r="F2571" s="6">
        <v>46309</v>
      </c>
      <c r="G2571" s="5" t="s">
        <v>12</v>
      </c>
      <c r="H2571" s="5" t="s">
        <v>27</v>
      </c>
      <c r="I2571" s="5">
        <v>24</v>
      </c>
      <c r="J2571" s="9" t="s">
        <v>17</v>
      </c>
      <c r="K2571" s="1" t="s">
        <v>2863</v>
      </c>
      <c r="L2571" t="s">
        <v>3284</v>
      </c>
      <c r="M2571" t="str">
        <f>+VLOOKUP(C2571,'[1]TIENDAS 2025'!$A$1:$C$143,3,0)</f>
        <v>departamental</v>
      </c>
      <c r="O2571">
        <v>1</v>
      </c>
    </row>
    <row r="2572" spans="1:15" ht="15" customHeight="1" x14ac:dyDescent="0.3">
      <c r="A2572" s="7">
        <v>1209672532</v>
      </c>
      <c r="B2572" s="4" t="s">
        <v>336</v>
      </c>
      <c r="C2572" s="4" t="s">
        <v>337</v>
      </c>
      <c r="D2572" s="6">
        <v>46309.498599537001</v>
      </c>
      <c r="E2572" s="6">
        <v>46309.248564814799</v>
      </c>
      <c r="F2572" s="6">
        <v>46309</v>
      </c>
      <c r="G2572" s="5" t="s">
        <v>12</v>
      </c>
      <c r="H2572" s="5" t="s">
        <v>29</v>
      </c>
      <c r="I2572" s="5">
        <v>28</v>
      </c>
      <c r="J2572" s="9" t="s">
        <v>17</v>
      </c>
      <c r="K2572" s="1" t="s">
        <v>2864</v>
      </c>
      <c r="L2572" t="s">
        <v>3284</v>
      </c>
      <c r="M2572" t="str">
        <f>+VLOOKUP(C2572,'[1]TIENDAS 2025'!$A$1:$C$143,3,0)</f>
        <v xml:space="preserve">departamental </v>
      </c>
      <c r="O2572">
        <v>1</v>
      </c>
    </row>
    <row r="2573" spans="1:15" ht="15" customHeight="1" x14ac:dyDescent="0.3">
      <c r="A2573" s="7">
        <v>8209672521</v>
      </c>
      <c r="B2573" s="4" t="s">
        <v>336</v>
      </c>
      <c r="C2573" s="4" t="s">
        <v>337</v>
      </c>
      <c r="D2573" s="6">
        <v>46309.498611111099</v>
      </c>
      <c r="E2573" s="6">
        <v>46309.248587962997</v>
      </c>
      <c r="F2573" s="6">
        <v>46309</v>
      </c>
      <c r="G2573" s="5" t="s">
        <v>12</v>
      </c>
      <c r="H2573" s="5" t="s">
        <v>27</v>
      </c>
      <c r="I2573" s="5">
        <v>3</v>
      </c>
      <c r="J2573" s="10" t="s">
        <v>17</v>
      </c>
      <c r="K2573" s="1" t="s">
        <v>2865</v>
      </c>
      <c r="M2573" t="str">
        <f>+VLOOKUP(C2573,'[1]TIENDAS 2025'!$A$1:$C$143,3,0)</f>
        <v xml:space="preserve">departamental </v>
      </c>
      <c r="O2573">
        <v>1</v>
      </c>
    </row>
    <row r="2574" spans="1:15" ht="15" customHeight="1" x14ac:dyDescent="0.3">
      <c r="A2574" s="8">
        <v>209672655</v>
      </c>
      <c r="B2574" s="4" t="s">
        <v>406</v>
      </c>
      <c r="C2574" s="4" t="s">
        <v>407</v>
      </c>
      <c r="D2574" s="6">
        <v>46309.498622685198</v>
      </c>
      <c r="E2574" s="6">
        <v>46309.248599537001</v>
      </c>
      <c r="F2574" s="6">
        <v>46309</v>
      </c>
      <c r="G2574" s="5" t="s">
        <v>12</v>
      </c>
      <c r="H2574" s="5" t="s">
        <v>16</v>
      </c>
      <c r="I2574" s="5">
        <v>1</v>
      </c>
      <c r="J2574" s="9" t="s">
        <v>17</v>
      </c>
      <c r="K2574" s="1" t="s">
        <v>2866</v>
      </c>
      <c r="L2574" t="s">
        <v>10</v>
      </c>
      <c r="M2574" t="str">
        <f>+VLOOKUP(C2574,'[1]TIENDAS 2025'!$A$1:$C$143,3,0)</f>
        <v>nocturna</v>
      </c>
      <c r="O2574">
        <v>1</v>
      </c>
    </row>
    <row r="2575" spans="1:15" ht="15" customHeight="1" x14ac:dyDescent="0.3">
      <c r="A2575" s="8">
        <v>209672674</v>
      </c>
      <c r="B2575" s="4" t="s">
        <v>190</v>
      </c>
      <c r="C2575" s="4" t="s">
        <v>191</v>
      </c>
      <c r="D2575" s="6">
        <v>46309.498634259297</v>
      </c>
      <c r="E2575" s="6">
        <v>46309.248611111099</v>
      </c>
      <c r="F2575" s="6">
        <v>46309</v>
      </c>
      <c r="G2575" s="5" t="s">
        <v>12</v>
      </c>
      <c r="H2575" s="5" t="s">
        <v>16</v>
      </c>
      <c r="I2575" s="5">
        <v>1</v>
      </c>
      <c r="J2575" s="9" t="s">
        <v>17</v>
      </c>
      <c r="K2575" s="1" t="s">
        <v>2867</v>
      </c>
      <c r="L2575" t="s">
        <v>10</v>
      </c>
      <c r="M2575" t="str">
        <f>+VLOOKUP(C2575,'[1]TIENDAS 2025'!$A$1:$C$143,3,0)</f>
        <v>departamental</v>
      </c>
      <c r="O2575">
        <v>1</v>
      </c>
    </row>
    <row r="2576" spans="1:15" ht="15" customHeight="1" x14ac:dyDescent="0.3">
      <c r="A2576" s="8">
        <v>209672675</v>
      </c>
      <c r="B2576" s="4" t="s">
        <v>336</v>
      </c>
      <c r="C2576" s="4" t="s">
        <v>337</v>
      </c>
      <c r="D2576" s="6">
        <v>46309.498657407399</v>
      </c>
      <c r="E2576" s="6">
        <v>46309.248622685198</v>
      </c>
      <c r="F2576" s="6">
        <v>46309</v>
      </c>
      <c r="G2576" s="5" t="s">
        <v>12</v>
      </c>
      <c r="H2576" s="5" t="s">
        <v>16</v>
      </c>
      <c r="I2576" s="5">
        <v>1</v>
      </c>
      <c r="J2576" s="9" t="s">
        <v>17</v>
      </c>
      <c r="K2576" s="1" t="s">
        <v>2868</v>
      </c>
      <c r="L2576" t="s">
        <v>10</v>
      </c>
      <c r="M2576" t="str">
        <f>+VLOOKUP(C2576,'[1]TIENDAS 2025'!$A$1:$C$143,3,0)</f>
        <v xml:space="preserve">departamental </v>
      </c>
      <c r="O2576">
        <v>1</v>
      </c>
    </row>
    <row r="2577" spans="1:15" ht="15" customHeight="1" x14ac:dyDescent="0.3">
      <c r="A2577" s="8">
        <v>209672682</v>
      </c>
      <c r="B2577" s="4" t="s">
        <v>292</v>
      </c>
      <c r="C2577" s="4" t="s">
        <v>293</v>
      </c>
      <c r="D2577" s="6">
        <v>46309.498668981498</v>
      </c>
      <c r="E2577" s="6">
        <v>46309.248634259297</v>
      </c>
      <c r="F2577" s="6">
        <v>46309</v>
      </c>
      <c r="G2577" s="5" t="s">
        <v>12</v>
      </c>
      <c r="H2577" s="5" t="s">
        <v>16</v>
      </c>
      <c r="I2577" s="5">
        <v>1</v>
      </c>
      <c r="J2577" s="9" t="s">
        <v>17</v>
      </c>
      <c r="K2577" s="1" t="s">
        <v>2869</v>
      </c>
      <c r="L2577" t="s">
        <v>10</v>
      </c>
      <c r="M2577" t="str">
        <f>+VLOOKUP(C2577,'[1]TIENDAS 2025'!$A$1:$C$143,3,0)</f>
        <v>local</v>
      </c>
      <c r="O2577">
        <v>1</v>
      </c>
    </row>
    <row r="2578" spans="1:15" ht="15" customHeight="1" x14ac:dyDescent="0.3">
      <c r="A2578" s="8">
        <v>209672689</v>
      </c>
      <c r="B2578" s="4" t="s">
        <v>448</v>
      </c>
      <c r="C2578" s="4" t="s">
        <v>449</v>
      </c>
      <c r="D2578" s="6">
        <v>46309.498680555596</v>
      </c>
      <c r="E2578" s="6">
        <v>46309.248657407399</v>
      </c>
      <c r="F2578" s="6">
        <v>46309</v>
      </c>
      <c r="G2578" s="5" t="s">
        <v>12</v>
      </c>
      <c r="H2578" s="5" t="s">
        <v>16</v>
      </c>
      <c r="I2578" s="5">
        <v>1</v>
      </c>
      <c r="J2578" s="9" t="s">
        <v>17</v>
      </c>
      <c r="K2578" s="1" t="s">
        <v>2870</v>
      </c>
      <c r="L2578" t="s">
        <v>10</v>
      </c>
      <c r="M2578" t="str">
        <f>+VLOOKUP(C2578,'[1]TIENDAS 2025'!$A$1:$C$143,3,0)</f>
        <v>local</v>
      </c>
      <c r="O2578">
        <v>1</v>
      </c>
    </row>
    <row r="2579" spans="1:15" ht="15" customHeight="1" x14ac:dyDescent="0.3">
      <c r="A2579" s="8">
        <v>209672695</v>
      </c>
      <c r="B2579" s="4" t="s">
        <v>163</v>
      </c>
      <c r="C2579" s="4" t="s">
        <v>164</v>
      </c>
      <c r="D2579" s="6">
        <v>46309.4986921296</v>
      </c>
      <c r="E2579" s="6">
        <v>46309.248668981498</v>
      </c>
      <c r="F2579" s="6">
        <v>46309</v>
      </c>
      <c r="G2579" s="5" t="s">
        <v>12</v>
      </c>
      <c r="H2579" s="5" t="s">
        <v>16</v>
      </c>
      <c r="I2579" s="5">
        <v>1</v>
      </c>
      <c r="J2579" s="9" t="s">
        <v>17</v>
      </c>
      <c r="K2579" s="1" t="s">
        <v>2871</v>
      </c>
      <c r="L2579" t="s">
        <v>10</v>
      </c>
      <c r="M2579" t="str">
        <f>+VLOOKUP(C2579,'[1]TIENDAS 2025'!$A$1:$C$143,3,0)</f>
        <v>departamental</v>
      </c>
      <c r="O2579">
        <v>1</v>
      </c>
    </row>
    <row r="2580" spans="1:15" ht="15" customHeight="1" x14ac:dyDescent="0.3">
      <c r="A2580" s="7">
        <v>1209672578</v>
      </c>
      <c r="B2580" s="4" t="s">
        <v>424</v>
      </c>
      <c r="C2580" s="4" t="s">
        <v>425</v>
      </c>
      <c r="D2580" s="6">
        <v>46309.498703703699</v>
      </c>
      <c r="E2580" s="6">
        <v>46309.248680555596</v>
      </c>
      <c r="F2580" s="6">
        <v>46309</v>
      </c>
      <c r="G2580" s="5" t="s">
        <v>12</v>
      </c>
      <c r="H2580" s="5" t="s">
        <v>29</v>
      </c>
      <c r="I2580" s="5">
        <v>3</v>
      </c>
      <c r="J2580" s="9" t="s">
        <v>17</v>
      </c>
      <c r="K2580" s="1" t="s">
        <v>2872</v>
      </c>
      <c r="L2580" t="s">
        <v>3284</v>
      </c>
      <c r="M2580" t="str">
        <f>+VLOOKUP(C2580,'[1]TIENDAS 2025'!$A$1:$C$143,3,0)</f>
        <v>prioridad</v>
      </c>
      <c r="O2580">
        <v>1</v>
      </c>
    </row>
    <row r="2581" spans="1:15" ht="15" customHeight="1" x14ac:dyDescent="0.3">
      <c r="A2581" s="8">
        <v>209672580</v>
      </c>
      <c r="B2581" s="4" t="s">
        <v>312</v>
      </c>
      <c r="C2581" s="4" t="s">
        <v>313</v>
      </c>
      <c r="D2581" s="6">
        <v>46309.498726851903</v>
      </c>
      <c r="E2581" s="6">
        <v>46309.2486921296</v>
      </c>
      <c r="F2581" s="6">
        <v>46309</v>
      </c>
      <c r="G2581" s="5" t="s">
        <v>12</v>
      </c>
      <c r="H2581" s="5" t="s">
        <v>16</v>
      </c>
      <c r="I2581" s="5">
        <v>2</v>
      </c>
      <c r="J2581" s="9" t="s">
        <v>17</v>
      </c>
      <c r="K2581" s="1" t="s">
        <v>2873</v>
      </c>
      <c r="L2581" t="s">
        <v>10</v>
      </c>
      <c r="M2581" t="str">
        <f>+VLOOKUP(C2581,'[1]TIENDAS 2025'!$A$1:$C$143,3,0)</f>
        <v>prioridad</v>
      </c>
      <c r="O2581">
        <v>1</v>
      </c>
    </row>
    <row r="2582" spans="1:15" ht="15" customHeight="1" x14ac:dyDescent="0.3">
      <c r="A2582" s="8">
        <v>209672608</v>
      </c>
      <c r="B2582" s="4" t="s">
        <v>475</v>
      </c>
      <c r="C2582" s="4" t="s">
        <v>476</v>
      </c>
      <c r="D2582" s="6">
        <v>46309.4987384259</v>
      </c>
      <c r="E2582" s="6">
        <v>46309.248715277798</v>
      </c>
      <c r="F2582" s="6">
        <v>46309</v>
      </c>
      <c r="G2582" s="5" t="s">
        <v>12</v>
      </c>
      <c r="H2582" s="5" t="s">
        <v>16</v>
      </c>
      <c r="I2582" s="5">
        <v>1</v>
      </c>
      <c r="J2582" s="9" t="s">
        <v>17</v>
      </c>
      <c r="K2582" s="1" t="s">
        <v>2874</v>
      </c>
      <c r="L2582" t="s">
        <v>10</v>
      </c>
      <c r="M2582" t="str">
        <f>+VLOOKUP(C2582,'[1]TIENDAS 2025'!$A$1:$C$143,3,0)</f>
        <v>prioridad</v>
      </c>
      <c r="O2582">
        <v>1</v>
      </c>
    </row>
    <row r="2583" spans="1:15" ht="15" customHeight="1" x14ac:dyDescent="0.3">
      <c r="A2583" s="7">
        <v>8209672718</v>
      </c>
      <c r="B2583" s="4" t="s">
        <v>424</v>
      </c>
      <c r="C2583" s="4" t="s">
        <v>425</v>
      </c>
      <c r="D2583" s="6">
        <v>46309.498749999999</v>
      </c>
      <c r="E2583" s="6">
        <v>46309.248726851903</v>
      </c>
      <c r="F2583" s="6">
        <v>46309</v>
      </c>
      <c r="G2583" s="5" t="s">
        <v>12</v>
      </c>
      <c r="H2583" s="5" t="s">
        <v>27</v>
      </c>
      <c r="I2583" s="5">
        <v>1</v>
      </c>
      <c r="J2583" s="10" t="s">
        <v>17</v>
      </c>
      <c r="K2583" s="1" t="s">
        <v>2875</v>
      </c>
      <c r="M2583" t="str">
        <f>+VLOOKUP(C2583,'[1]TIENDAS 2025'!$A$1:$C$143,3,0)</f>
        <v>prioridad</v>
      </c>
      <c r="O2583">
        <v>1</v>
      </c>
    </row>
    <row r="2584" spans="1:15" ht="15" customHeight="1" x14ac:dyDescent="0.3">
      <c r="A2584" s="8">
        <v>209672698</v>
      </c>
      <c r="B2584" s="4" t="s">
        <v>466</v>
      </c>
      <c r="C2584" s="4" t="s">
        <v>467</v>
      </c>
      <c r="D2584" s="6">
        <v>46309.498761574097</v>
      </c>
      <c r="E2584" s="6">
        <v>46309.2487384259</v>
      </c>
      <c r="F2584" s="6">
        <v>46309</v>
      </c>
      <c r="G2584" s="5" t="s">
        <v>12</v>
      </c>
      <c r="H2584" s="5" t="s">
        <v>16</v>
      </c>
      <c r="I2584" s="5">
        <v>1</v>
      </c>
      <c r="J2584" s="9" t="s">
        <v>17</v>
      </c>
      <c r="K2584" s="1" t="s">
        <v>2876</v>
      </c>
      <c r="L2584" t="s">
        <v>10</v>
      </c>
      <c r="M2584" t="str">
        <f>+VLOOKUP(C2584,'[1]TIENDAS 2025'!$A$1:$C$143,3,0)</f>
        <v>departamental</v>
      </c>
      <c r="O2584">
        <v>1</v>
      </c>
    </row>
    <row r="2585" spans="1:15" ht="15" customHeight="1" x14ac:dyDescent="0.3">
      <c r="A2585" s="7">
        <v>1209672710</v>
      </c>
      <c r="B2585" s="4" t="s">
        <v>424</v>
      </c>
      <c r="C2585" s="4" t="s">
        <v>425</v>
      </c>
      <c r="D2585" s="6">
        <v>46309.4987847222</v>
      </c>
      <c r="E2585" s="6">
        <v>46309.248749999999</v>
      </c>
      <c r="F2585" s="6">
        <v>46309</v>
      </c>
      <c r="G2585" s="5" t="s">
        <v>12</v>
      </c>
      <c r="H2585" s="5" t="s">
        <v>16</v>
      </c>
      <c r="I2585" s="5">
        <v>17</v>
      </c>
      <c r="J2585" s="9" t="s">
        <v>17</v>
      </c>
      <c r="K2585" s="1" t="s">
        <v>2877</v>
      </c>
      <c r="L2585" t="s">
        <v>3284</v>
      </c>
      <c r="M2585" t="str">
        <f>+VLOOKUP(C2585,'[1]TIENDAS 2025'!$A$1:$C$143,3,0)</f>
        <v>prioridad</v>
      </c>
      <c r="O2585">
        <v>1</v>
      </c>
    </row>
    <row r="2586" spans="1:15" ht="15" customHeight="1" x14ac:dyDescent="0.3">
      <c r="A2586" s="8">
        <v>209672587</v>
      </c>
      <c r="B2586" s="4" t="s">
        <v>324</v>
      </c>
      <c r="C2586" s="4" t="s">
        <v>325</v>
      </c>
      <c r="D2586" s="6">
        <v>46309.498796296299</v>
      </c>
      <c r="E2586" s="6">
        <v>46309.248761574097</v>
      </c>
      <c r="F2586" s="6">
        <v>46309</v>
      </c>
      <c r="G2586" s="5" t="s">
        <v>12</v>
      </c>
      <c r="H2586" s="5" t="s">
        <v>16</v>
      </c>
      <c r="I2586" s="5">
        <v>1</v>
      </c>
      <c r="J2586" s="9" t="s">
        <v>17</v>
      </c>
      <c r="K2586" s="1" t="s">
        <v>2878</v>
      </c>
      <c r="L2586" t="s">
        <v>10</v>
      </c>
      <c r="M2586" t="str">
        <f>+VLOOKUP(C2586,'[1]TIENDAS 2025'!$A$1:$C$143,3,0)</f>
        <v>local</v>
      </c>
      <c r="O2586">
        <v>1</v>
      </c>
    </row>
    <row r="2587" spans="1:15" ht="15" customHeight="1" x14ac:dyDescent="0.3">
      <c r="A2587" s="8">
        <v>209672602</v>
      </c>
      <c r="B2587" s="4" t="s">
        <v>208</v>
      </c>
      <c r="C2587" s="4" t="s">
        <v>209</v>
      </c>
      <c r="D2587" s="6">
        <v>46309.498819444401</v>
      </c>
      <c r="E2587" s="6">
        <v>46309.248796296299</v>
      </c>
      <c r="F2587" s="6">
        <v>46309</v>
      </c>
      <c r="G2587" s="5" t="s">
        <v>12</v>
      </c>
      <c r="H2587" s="5" t="s">
        <v>16</v>
      </c>
      <c r="I2587" s="5">
        <v>1</v>
      </c>
      <c r="J2587" s="9" t="s">
        <v>17</v>
      </c>
      <c r="K2587" s="1" t="s">
        <v>2879</v>
      </c>
      <c r="L2587" t="s">
        <v>10</v>
      </c>
      <c r="M2587" t="str">
        <f>+VLOOKUP(C2587,'[1]TIENDAS 2025'!$A$1:$C$143,3,0)</f>
        <v>local</v>
      </c>
      <c r="O2587">
        <v>1</v>
      </c>
    </row>
    <row r="2588" spans="1:15" ht="15" customHeight="1" x14ac:dyDescent="0.3">
      <c r="A2588" s="8">
        <v>209672599</v>
      </c>
      <c r="B2588" s="4" t="s">
        <v>533</v>
      </c>
      <c r="C2588" s="4" t="s">
        <v>534</v>
      </c>
      <c r="D2588" s="6">
        <v>46309.498819444401</v>
      </c>
      <c r="E2588" s="6">
        <v>46309.2487847222</v>
      </c>
      <c r="F2588" s="6">
        <v>46309</v>
      </c>
      <c r="G2588" s="5" t="s">
        <v>12</v>
      </c>
      <c r="H2588" s="5" t="s">
        <v>16</v>
      </c>
      <c r="I2588" s="5">
        <v>1</v>
      </c>
      <c r="J2588" s="9" t="s">
        <v>17</v>
      </c>
      <c r="K2588" s="1" t="s">
        <v>2880</v>
      </c>
      <c r="L2588" t="s">
        <v>10</v>
      </c>
      <c r="M2588" t="str">
        <f>+VLOOKUP(C2588,'[1]TIENDAS 2025'!$A$1:$C$143,3,0)</f>
        <v>local</v>
      </c>
      <c r="O2588">
        <v>1</v>
      </c>
    </row>
    <row r="2589" spans="1:15" ht="15" customHeight="1" x14ac:dyDescent="0.3">
      <c r="A2589" s="8">
        <v>209672605</v>
      </c>
      <c r="B2589" s="4" t="s">
        <v>400</v>
      </c>
      <c r="C2589" s="4" t="s">
        <v>401</v>
      </c>
      <c r="D2589" s="6">
        <v>46309.4988310185</v>
      </c>
      <c r="E2589" s="6">
        <v>46309.248807870397</v>
      </c>
      <c r="F2589" s="6">
        <v>46309</v>
      </c>
      <c r="G2589" s="5" t="s">
        <v>12</v>
      </c>
      <c r="H2589" s="5" t="s">
        <v>16</v>
      </c>
      <c r="I2589" s="5">
        <v>1</v>
      </c>
      <c r="J2589" s="9" t="s">
        <v>17</v>
      </c>
      <c r="K2589" s="1" t="s">
        <v>2881</v>
      </c>
      <c r="L2589" t="s">
        <v>10</v>
      </c>
      <c r="M2589" t="str">
        <f>+VLOOKUP(C2589,'[1]TIENDAS 2025'!$A$1:$C$143,3,0)</f>
        <v>local</v>
      </c>
      <c r="O2589">
        <v>1</v>
      </c>
    </row>
    <row r="2590" spans="1:15" ht="15" customHeight="1" x14ac:dyDescent="0.3">
      <c r="A2590" s="8">
        <v>209672612</v>
      </c>
      <c r="B2590" s="4" t="s">
        <v>551</v>
      </c>
      <c r="C2590" s="4" t="s">
        <v>552</v>
      </c>
      <c r="D2590" s="6">
        <v>46309.498854166697</v>
      </c>
      <c r="E2590" s="6">
        <v>46309.248819444401</v>
      </c>
      <c r="F2590" s="6">
        <v>46309</v>
      </c>
      <c r="G2590" s="5" t="s">
        <v>12</v>
      </c>
      <c r="H2590" s="5" t="s">
        <v>16</v>
      </c>
      <c r="I2590" s="5">
        <v>1</v>
      </c>
      <c r="J2590" s="9" t="s">
        <v>17</v>
      </c>
      <c r="K2590" s="1" t="s">
        <v>2882</v>
      </c>
      <c r="L2590" t="s">
        <v>10</v>
      </c>
      <c r="M2590" t="str">
        <f>+VLOOKUP(C2590,'[1]TIENDAS 2025'!$A$1:$C$143,3,0)</f>
        <v>nocturna</v>
      </c>
      <c r="O2590">
        <v>1</v>
      </c>
    </row>
    <row r="2591" spans="1:15" ht="15" customHeight="1" x14ac:dyDescent="0.3">
      <c r="A2591" s="8">
        <v>209672628</v>
      </c>
      <c r="B2591" s="4" t="s">
        <v>154</v>
      </c>
      <c r="C2591" s="4" t="s">
        <v>155</v>
      </c>
      <c r="D2591" s="6">
        <v>46309.498865740701</v>
      </c>
      <c r="E2591" s="6">
        <v>46309.248842592599</v>
      </c>
      <c r="F2591" s="6">
        <v>46309</v>
      </c>
      <c r="G2591" s="5" t="s">
        <v>12</v>
      </c>
      <c r="H2591" s="5" t="s">
        <v>16</v>
      </c>
      <c r="I2591" s="5">
        <v>1</v>
      </c>
      <c r="J2591" s="9" t="s">
        <v>17</v>
      </c>
      <c r="K2591" s="1" t="s">
        <v>2883</v>
      </c>
      <c r="L2591" t="s">
        <v>10</v>
      </c>
      <c r="M2591" t="str">
        <f>+VLOOKUP(C2591,'[1]TIENDAS 2025'!$A$1:$C$143,3,0)</f>
        <v>nocturna</v>
      </c>
      <c r="O2591">
        <v>1</v>
      </c>
    </row>
    <row r="2592" spans="1:15" ht="15" customHeight="1" x14ac:dyDescent="0.3">
      <c r="A2592" s="8">
        <v>209672635</v>
      </c>
      <c r="B2592" s="4" t="s">
        <v>286</v>
      </c>
      <c r="C2592" s="4" t="s">
        <v>287</v>
      </c>
      <c r="D2592" s="6">
        <v>46309.4988773148</v>
      </c>
      <c r="E2592" s="6">
        <v>46309.248854166697</v>
      </c>
      <c r="F2592" s="6">
        <v>46309</v>
      </c>
      <c r="G2592" s="5" t="s">
        <v>12</v>
      </c>
      <c r="H2592" s="5" t="s">
        <v>16</v>
      </c>
      <c r="I2592" s="5">
        <v>1</v>
      </c>
      <c r="J2592" s="9" t="s">
        <v>17</v>
      </c>
      <c r="K2592" s="1" t="s">
        <v>2884</v>
      </c>
      <c r="L2592" t="s">
        <v>10</v>
      </c>
      <c r="M2592" t="str">
        <f>+VLOOKUP(C2592,'[1]TIENDAS 2025'!$A$1:$C$143,3,0)</f>
        <v>nocturna</v>
      </c>
      <c r="O2592">
        <v>1</v>
      </c>
    </row>
    <row r="2593" spans="1:15" ht="15" customHeight="1" x14ac:dyDescent="0.3">
      <c r="A2593" s="8">
        <v>209672645</v>
      </c>
      <c r="B2593" s="4" t="s">
        <v>160</v>
      </c>
      <c r="C2593" s="4" t="s">
        <v>161</v>
      </c>
      <c r="D2593" s="6">
        <v>46309.498888888898</v>
      </c>
      <c r="E2593" s="6">
        <v>46309.248865740701</v>
      </c>
      <c r="F2593" s="6">
        <v>46309</v>
      </c>
      <c r="G2593" s="5" t="s">
        <v>12</v>
      </c>
      <c r="H2593" s="5" t="s">
        <v>16</v>
      </c>
      <c r="I2593" s="5">
        <v>1</v>
      </c>
      <c r="J2593" s="9" t="s">
        <v>17</v>
      </c>
      <c r="K2593" s="1" t="s">
        <v>2885</v>
      </c>
      <c r="L2593" t="s">
        <v>10</v>
      </c>
      <c r="M2593" t="str">
        <f>+VLOOKUP(C2593,'[1]TIENDAS 2025'!$A$1:$C$143,3,0)</f>
        <v>nocturna</v>
      </c>
      <c r="O2593">
        <v>1</v>
      </c>
    </row>
    <row r="2594" spans="1:15" ht="15" customHeight="1" x14ac:dyDescent="0.3">
      <c r="A2594" s="8">
        <v>209672651</v>
      </c>
      <c r="B2594" s="4" t="s">
        <v>169</v>
      </c>
      <c r="C2594" s="4" t="s">
        <v>170</v>
      </c>
      <c r="D2594" s="6">
        <v>46309.498912037001</v>
      </c>
      <c r="E2594" s="6">
        <v>46309.2488773148</v>
      </c>
      <c r="F2594" s="6">
        <v>46309</v>
      </c>
      <c r="G2594" s="5" t="s">
        <v>12</v>
      </c>
      <c r="H2594" s="5" t="s">
        <v>16</v>
      </c>
      <c r="I2594" s="5">
        <v>1</v>
      </c>
      <c r="J2594" s="9" t="s">
        <v>17</v>
      </c>
      <c r="K2594" s="1" t="s">
        <v>2886</v>
      </c>
      <c r="L2594" t="s">
        <v>10</v>
      </c>
      <c r="M2594" t="str">
        <f>+VLOOKUP(C2594,'[1]TIENDAS 2025'!$A$1:$C$143,3,0)</f>
        <v>departamental</v>
      </c>
      <c r="O2594">
        <v>1</v>
      </c>
    </row>
    <row r="2595" spans="1:15" ht="15" customHeight="1" x14ac:dyDescent="0.3">
      <c r="A2595" s="7">
        <v>1209672947</v>
      </c>
      <c r="B2595" s="4" t="s">
        <v>157</v>
      </c>
      <c r="C2595" s="4" t="s">
        <v>158</v>
      </c>
      <c r="D2595" s="6">
        <v>46309.499444444402</v>
      </c>
      <c r="E2595" s="6">
        <v>46309.249409722201</v>
      </c>
      <c r="F2595" s="6">
        <v>46309</v>
      </c>
      <c r="G2595" s="5" t="s">
        <v>12</v>
      </c>
      <c r="H2595" s="5" t="s">
        <v>16</v>
      </c>
      <c r="I2595" s="5">
        <v>29</v>
      </c>
      <c r="J2595" s="9" t="s">
        <v>17</v>
      </c>
      <c r="K2595" s="1" t="s">
        <v>2887</v>
      </c>
      <c r="L2595" t="s">
        <v>3284</v>
      </c>
      <c r="M2595" t="str">
        <f>+VLOOKUP(C2595,'[1]TIENDAS 2025'!$A$1:$C$143,3,0)</f>
        <v>departamental</v>
      </c>
      <c r="O2595">
        <v>1</v>
      </c>
    </row>
    <row r="2596" spans="1:15" ht="15" customHeight="1" x14ac:dyDescent="0.3">
      <c r="A2596" s="7">
        <v>1209672944</v>
      </c>
      <c r="B2596" s="4" t="s">
        <v>157</v>
      </c>
      <c r="C2596" s="4" t="s">
        <v>158</v>
      </c>
      <c r="D2596" s="6">
        <v>46309.4994560185</v>
      </c>
      <c r="E2596" s="6">
        <v>46309.249421296299</v>
      </c>
      <c r="F2596" s="6">
        <v>46309</v>
      </c>
      <c r="G2596" s="5" t="s">
        <v>12</v>
      </c>
      <c r="H2596" s="5" t="s">
        <v>16</v>
      </c>
      <c r="I2596" s="5">
        <v>7</v>
      </c>
      <c r="J2596" s="9" t="s">
        <v>17</v>
      </c>
      <c r="K2596" s="1" t="s">
        <v>2888</v>
      </c>
      <c r="L2596" t="s">
        <v>3284</v>
      </c>
      <c r="M2596" t="str">
        <f>+VLOOKUP(C2596,'[1]TIENDAS 2025'!$A$1:$C$143,3,0)</f>
        <v>departamental</v>
      </c>
      <c r="O2596">
        <v>1</v>
      </c>
    </row>
    <row r="2597" spans="1:15" ht="15" customHeight="1" x14ac:dyDescent="0.3">
      <c r="A2597" s="7">
        <v>1209672882</v>
      </c>
      <c r="B2597" s="4" t="s">
        <v>445</v>
      </c>
      <c r="C2597" s="4" t="s">
        <v>446</v>
      </c>
      <c r="D2597" s="6">
        <v>46309.499467592599</v>
      </c>
      <c r="E2597" s="6">
        <v>46309.249432870398</v>
      </c>
      <c r="F2597" s="6">
        <v>46309</v>
      </c>
      <c r="G2597" s="5" t="s">
        <v>12</v>
      </c>
      <c r="H2597" s="5" t="s">
        <v>29</v>
      </c>
      <c r="I2597" s="5">
        <v>47</v>
      </c>
      <c r="J2597" s="9" t="s">
        <v>17</v>
      </c>
      <c r="K2597" s="1" t="s">
        <v>2889</v>
      </c>
      <c r="L2597" t="s">
        <v>3284</v>
      </c>
      <c r="M2597" t="str">
        <f>+VLOOKUP(C2597,'[1]TIENDAS 2025'!$A$1:$C$143,3,0)</f>
        <v>departamental</v>
      </c>
      <c r="O2597">
        <v>1</v>
      </c>
    </row>
    <row r="2598" spans="1:15" ht="15" customHeight="1" x14ac:dyDescent="0.3">
      <c r="A2598" s="7">
        <v>1209672876</v>
      </c>
      <c r="B2598" s="4" t="s">
        <v>445</v>
      </c>
      <c r="C2598" s="4" t="s">
        <v>446</v>
      </c>
      <c r="D2598" s="6">
        <v>46309.499479166698</v>
      </c>
      <c r="E2598" s="6">
        <v>46309.2494560185</v>
      </c>
      <c r="F2598" s="6">
        <v>46309</v>
      </c>
      <c r="G2598" s="5" t="s">
        <v>12</v>
      </c>
      <c r="H2598" s="5" t="s">
        <v>16</v>
      </c>
      <c r="I2598" s="5">
        <v>13</v>
      </c>
      <c r="J2598" s="9" t="s">
        <v>17</v>
      </c>
      <c r="K2598" s="1" t="s">
        <v>2890</v>
      </c>
      <c r="L2598" t="s">
        <v>3284</v>
      </c>
      <c r="M2598" t="str">
        <f>+VLOOKUP(C2598,'[1]TIENDAS 2025'!$A$1:$C$143,3,0)</f>
        <v>departamental</v>
      </c>
      <c r="O2598">
        <v>1</v>
      </c>
    </row>
    <row r="2599" spans="1:15" ht="15" customHeight="1" x14ac:dyDescent="0.3">
      <c r="A2599" s="7">
        <v>8209672867</v>
      </c>
      <c r="B2599" s="4" t="s">
        <v>445</v>
      </c>
      <c r="C2599" s="4" t="s">
        <v>446</v>
      </c>
      <c r="D2599" s="6">
        <v>46309.4995023148</v>
      </c>
      <c r="E2599" s="6">
        <v>46309.249479166698</v>
      </c>
      <c r="F2599" s="6">
        <v>46309</v>
      </c>
      <c r="G2599" s="5" t="s">
        <v>12</v>
      </c>
      <c r="H2599" s="5" t="s">
        <v>27</v>
      </c>
      <c r="I2599" s="5">
        <v>5</v>
      </c>
      <c r="J2599" s="10" t="s">
        <v>17</v>
      </c>
      <c r="K2599" s="1" t="s">
        <v>2891</v>
      </c>
      <c r="M2599" t="str">
        <f>+VLOOKUP(C2599,'[1]TIENDAS 2025'!$A$1:$C$143,3,0)</f>
        <v>departamental</v>
      </c>
      <c r="O2599">
        <v>1</v>
      </c>
    </row>
    <row r="2600" spans="1:15" ht="15" customHeight="1" x14ac:dyDescent="0.3">
      <c r="A2600" s="7">
        <v>1209672875</v>
      </c>
      <c r="B2600" s="4" t="s">
        <v>445</v>
      </c>
      <c r="C2600" s="4" t="s">
        <v>446</v>
      </c>
      <c r="D2600" s="6">
        <v>46309.499537037002</v>
      </c>
      <c r="E2600" s="6">
        <v>46309.249513888899</v>
      </c>
      <c r="F2600" s="6">
        <v>46309</v>
      </c>
      <c r="G2600" s="5" t="s">
        <v>12</v>
      </c>
      <c r="H2600" s="5" t="s">
        <v>16</v>
      </c>
      <c r="I2600" s="5">
        <v>8</v>
      </c>
      <c r="J2600" s="9" t="s">
        <v>17</v>
      </c>
      <c r="K2600" s="1" t="s">
        <v>2892</v>
      </c>
      <c r="L2600" t="s">
        <v>3284</v>
      </c>
      <c r="M2600" t="str">
        <f>+VLOOKUP(C2600,'[1]TIENDAS 2025'!$A$1:$C$143,3,0)</f>
        <v>departamental</v>
      </c>
      <c r="O2600">
        <v>1</v>
      </c>
    </row>
    <row r="2601" spans="1:15" ht="15" customHeight="1" x14ac:dyDescent="0.3">
      <c r="A2601" s="7">
        <v>1209672889</v>
      </c>
      <c r="B2601" s="4" t="s">
        <v>445</v>
      </c>
      <c r="C2601" s="4" t="s">
        <v>446</v>
      </c>
      <c r="D2601" s="6">
        <v>46309.4995486111</v>
      </c>
      <c r="E2601" s="6">
        <v>46309.249525462998</v>
      </c>
      <c r="F2601" s="6">
        <v>46309</v>
      </c>
      <c r="G2601" s="5" t="s">
        <v>12</v>
      </c>
      <c r="H2601" s="5" t="s">
        <v>29</v>
      </c>
      <c r="I2601" s="5">
        <v>24</v>
      </c>
      <c r="J2601" s="9" t="s">
        <v>17</v>
      </c>
      <c r="K2601" s="1" t="s">
        <v>2893</v>
      </c>
      <c r="L2601" t="s">
        <v>3284</v>
      </c>
      <c r="M2601" t="str">
        <f>+VLOOKUP(C2601,'[1]TIENDAS 2025'!$A$1:$C$143,3,0)</f>
        <v>departamental</v>
      </c>
      <c r="O2601">
        <v>1</v>
      </c>
    </row>
    <row r="2602" spans="1:15" ht="15" customHeight="1" x14ac:dyDescent="0.3">
      <c r="A2602" s="7">
        <v>8209672910</v>
      </c>
      <c r="B2602" s="4" t="s">
        <v>518</v>
      </c>
      <c r="C2602" s="4" t="s">
        <v>519</v>
      </c>
      <c r="D2602" s="6">
        <v>46309.499560185199</v>
      </c>
      <c r="E2602" s="6">
        <v>46309.249537037002</v>
      </c>
      <c r="F2602" s="6">
        <v>46309</v>
      </c>
      <c r="G2602" s="5" t="s">
        <v>12</v>
      </c>
      <c r="H2602" s="5" t="s">
        <v>27</v>
      </c>
      <c r="I2602" s="5">
        <v>31</v>
      </c>
      <c r="J2602" s="10" t="s">
        <v>17</v>
      </c>
      <c r="K2602" s="1" t="s">
        <v>2894</v>
      </c>
      <c r="M2602" t="str">
        <f>+VLOOKUP(C2602,'[1]TIENDAS 2025'!$A$1:$C$143,3,0)</f>
        <v>prioridad</v>
      </c>
      <c r="O2602">
        <v>1</v>
      </c>
    </row>
    <row r="2603" spans="1:15" ht="15" customHeight="1" x14ac:dyDescent="0.3">
      <c r="A2603" s="7">
        <v>1209672919</v>
      </c>
      <c r="B2603" s="4" t="s">
        <v>518</v>
      </c>
      <c r="C2603" s="4" t="s">
        <v>519</v>
      </c>
      <c r="D2603" s="6">
        <v>46309.499583333301</v>
      </c>
      <c r="E2603" s="6">
        <v>46309.2495486111</v>
      </c>
      <c r="F2603" s="6">
        <v>46309</v>
      </c>
      <c r="G2603" s="5" t="s">
        <v>12</v>
      </c>
      <c r="H2603" s="5" t="s">
        <v>16</v>
      </c>
      <c r="I2603" s="5">
        <v>2</v>
      </c>
      <c r="J2603" s="9" t="s">
        <v>17</v>
      </c>
      <c r="K2603" s="1" t="s">
        <v>2895</v>
      </c>
      <c r="L2603" t="s">
        <v>3284</v>
      </c>
      <c r="M2603" t="str">
        <f>+VLOOKUP(C2603,'[1]TIENDAS 2025'!$A$1:$C$143,3,0)</f>
        <v>prioridad</v>
      </c>
      <c r="O2603">
        <v>1</v>
      </c>
    </row>
    <row r="2604" spans="1:15" ht="15" customHeight="1" x14ac:dyDescent="0.3">
      <c r="A2604" s="7">
        <v>1209672915</v>
      </c>
      <c r="B2604" s="4" t="s">
        <v>518</v>
      </c>
      <c r="C2604" s="4" t="s">
        <v>519</v>
      </c>
      <c r="D2604" s="6">
        <v>46309.4995949074</v>
      </c>
      <c r="E2604" s="6">
        <v>46309.249571759297</v>
      </c>
      <c r="F2604" s="6">
        <v>46309</v>
      </c>
      <c r="G2604" s="5" t="s">
        <v>12</v>
      </c>
      <c r="H2604" s="5" t="s">
        <v>16</v>
      </c>
      <c r="I2604" s="5">
        <v>34</v>
      </c>
      <c r="J2604" s="9" t="s">
        <v>17</v>
      </c>
      <c r="K2604" s="1" t="s">
        <v>2896</v>
      </c>
      <c r="L2604" t="s">
        <v>3284</v>
      </c>
      <c r="M2604" t="str">
        <f>+VLOOKUP(C2604,'[1]TIENDAS 2025'!$A$1:$C$143,3,0)</f>
        <v>prioridad</v>
      </c>
      <c r="O2604">
        <v>1</v>
      </c>
    </row>
    <row r="2605" spans="1:15" ht="15" customHeight="1" x14ac:dyDescent="0.3">
      <c r="A2605" s="7">
        <v>1209672877</v>
      </c>
      <c r="B2605" s="4" t="s">
        <v>445</v>
      </c>
      <c r="C2605" s="4" t="s">
        <v>446</v>
      </c>
      <c r="D2605" s="6">
        <v>46309.499618055597</v>
      </c>
      <c r="E2605" s="6">
        <v>46309.249583333301</v>
      </c>
      <c r="F2605" s="6">
        <v>46309</v>
      </c>
      <c r="G2605" s="5" t="s">
        <v>12</v>
      </c>
      <c r="H2605" s="5" t="s">
        <v>16</v>
      </c>
      <c r="I2605" s="5">
        <v>20</v>
      </c>
      <c r="J2605" s="9" t="s">
        <v>17</v>
      </c>
      <c r="K2605" s="1" t="s">
        <v>2897</v>
      </c>
      <c r="L2605" t="s">
        <v>3284</v>
      </c>
      <c r="M2605" t="str">
        <f>+VLOOKUP(C2605,'[1]TIENDAS 2025'!$A$1:$C$143,3,0)</f>
        <v>departamental</v>
      </c>
      <c r="O2605">
        <v>1</v>
      </c>
    </row>
    <row r="2606" spans="1:15" ht="15" customHeight="1" x14ac:dyDescent="0.3">
      <c r="A2606" s="7">
        <v>8209672817</v>
      </c>
      <c r="B2606" s="4" t="s">
        <v>196</v>
      </c>
      <c r="C2606" s="4" t="s">
        <v>197</v>
      </c>
      <c r="D2606" s="6">
        <v>46309.499618055597</v>
      </c>
      <c r="E2606" s="6">
        <v>46309.2495949074</v>
      </c>
      <c r="F2606" s="6">
        <v>46309</v>
      </c>
      <c r="G2606" s="5" t="s">
        <v>12</v>
      </c>
      <c r="H2606" s="5" t="s">
        <v>27</v>
      </c>
      <c r="I2606" s="5">
        <v>3</v>
      </c>
      <c r="J2606" s="10" t="s">
        <v>17</v>
      </c>
      <c r="K2606" s="1" t="s">
        <v>2898</v>
      </c>
      <c r="M2606" t="str">
        <f>+VLOOKUP(C2606,'[1]TIENDAS 2025'!$A$1:$C$143,3,0)</f>
        <v>departamental</v>
      </c>
      <c r="O2606">
        <v>1</v>
      </c>
    </row>
    <row r="2607" spans="1:15" ht="15" customHeight="1" x14ac:dyDescent="0.3">
      <c r="A2607" s="7">
        <v>1209672878</v>
      </c>
      <c r="B2607" s="4" t="s">
        <v>445</v>
      </c>
      <c r="C2607" s="4" t="s">
        <v>446</v>
      </c>
      <c r="D2607" s="6">
        <v>46309.4996412037</v>
      </c>
      <c r="E2607" s="6">
        <v>46309.249606481499</v>
      </c>
      <c r="F2607" s="6">
        <v>46309</v>
      </c>
      <c r="G2607" s="5" t="s">
        <v>12</v>
      </c>
      <c r="H2607" s="5" t="s">
        <v>29</v>
      </c>
      <c r="I2607" s="5">
        <v>22</v>
      </c>
      <c r="J2607" s="9" t="s">
        <v>17</v>
      </c>
      <c r="K2607" s="1" t="s">
        <v>2899</v>
      </c>
      <c r="L2607" t="s">
        <v>3284</v>
      </c>
      <c r="M2607" t="str">
        <f>+VLOOKUP(C2607,'[1]TIENDAS 2025'!$A$1:$C$143,3,0)</f>
        <v>departamental</v>
      </c>
      <c r="O2607">
        <v>1</v>
      </c>
    </row>
    <row r="2608" spans="1:15" ht="15" customHeight="1" x14ac:dyDescent="0.3">
      <c r="A2608" s="7">
        <v>1209672822</v>
      </c>
      <c r="B2608" s="4" t="s">
        <v>196</v>
      </c>
      <c r="C2608" s="4" t="s">
        <v>197</v>
      </c>
      <c r="D2608" s="6">
        <v>46309.499652777798</v>
      </c>
      <c r="E2608" s="6">
        <v>46309.249618055597</v>
      </c>
      <c r="F2608" s="6">
        <v>46309</v>
      </c>
      <c r="G2608" s="5" t="s">
        <v>12</v>
      </c>
      <c r="H2608" s="5" t="s">
        <v>29</v>
      </c>
      <c r="I2608" s="5">
        <v>12</v>
      </c>
      <c r="J2608" s="9" t="s">
        <v>17</v>
      </c>
      <c r="K2608" s="1" t="s">
        <v>2900</v>
      </c>
      <c r="L2608" t="s">
        <v>3284</v>
      </c>
      <c r="M2608" t="str">
        <f>+VLOOKUP(C2608,'[1]TIENDAS 2025'!$A$1:$C$143,3,0)</f>
        <v>departamental</v>
      </c>
      <c r="O2608">
        <v>1</v>
      </c>
    </row>
    <row r="2609" spans="1:15" ht="15" customHeight="1" x14ac:dyDescent="0.3">
      <c r="A2609" s="7">
        <v>8209672869</v>
      </c>
      <c r="B2609" s="4" t="s">
        <v>445</v>
      </c>
      <c r="C2609" s="4" t="s">
        <v>446</v>
      </c>
      <c r="D2609" s="6">
        <v>46309.499664351897</v>
      </c>
      <c r="E2609" s="6">
        <v>46309.2496412037</v>
      </c>
      <c r="F2609" s="6">
        <v>46309</v>
      </c>
      <c r="G2609" s="5" t="s">
        <v>12</v>
      </c>
      <c r="H2609" s="5" t="s">
        <v>27</v>
      </c>
      <c r="I2609" s="5">
        <v>12</v>
      </c>
      <c r="J2609" s="10" t="s">
        <v>17</v>
      </c>
      <c r="K2609" s="1" t="s">
        <v>2901</v>
      </c>
      <c r="M2609" t="str">
        <f>+VLOOKUP(C2609,'[1]TIENDAS 2025'!$A$1:$C$143,3,0)</f>
        <v>departamental</v>
      </c>
      <c r="O2609">
        <v>1</v>
      </c>
    </row>
    <row r="2610" spans="1:15" ht="15" customHeight="1" x14ac:dyDescent="0.3">
      <c r="A2610" s="7">
        <v>1209672883</v>
      </c>
      <c r="B2610" s="4" t="s">
        <v>445</v>
      </c>
      <c r="C2610" s="4" t="s">
        <v>446</v>
      </c>
      <c r="D2610" s="6">
        <v>46309.499699074098</v>
      </c>
      <c r="E2610" s="6">
        <v>46309.249664351897</v>
      </c>
      <c r="F2610" s="6">
        <v>46309</v>
      </c>
      <c r="G2610" s="5" t="s">
        <v>12</v>
      </c>
      <c r="H2610" s="5" t="s">
        <v>29</v>
      </c>
      <c r="I2610" s="5">
        <v>41</v>
      </c>
      <c r="J2610" s="9" t="s">
        <v>17</v>
      </c>
      <c r="K2610" s="1" t="s">
        <v>2902</v>
      </c>
      <c r="L2610" t="s">
        <v>3284</v>
      </c>
      <c r="M2610" t="str">
        <f>+VLOOKUP(C2610,'[1]TIENDAS 2025'!$A$1:$C$143,3,0)</f>
        <v>departamental</v>
      </c>
      <c r="O2610">
        <v>1</v>
      </c>
    </row>
    <row r="2611" spans="1:15" ht="15" customHeight="1" x14ac:dyDescent="0.3">
      <c r="A2611" s="7">
        <v>1209672916</v>
      </c>
      <c r="B2611" s="4" t="s">
        <v>518</v>
      </c>
      <c r="C2611" s="4" t="s">
        <v>519</v>
      </c>
      <c r="D2611" s="6">
        <v>46309.499710648102</v>
      </c>
      <c r="E2611" s="6">
        <v>46309.249675925901</v>
      </c>
      <c r="F2611" s="6">
        <v>46309</v>
      </c>
      <c r="G2611" s="5" t="s">
        <v>12</v>
      </c>
      <c r="H2611" s="5" t="s">
        <v>16</v>
      </c>
      <c r="I2611" s="5">
        <v>19</v>
      </c>
      <c r="J2611" s="9" t="s">
        <v>17</v>
      </c>
      <c r="K2611" s="1" t="s">
        <v>2903</v>
      </c>
      <c r="L2611" t="s">
        <v>3284</v>
      </c>
      <c r="M2611" t="str">
        <f>+VLOOKUP(C2611,'[1]TIENDAS 2025'!$A$1:$C$143,3,0)</f>
        <v>prioridad</v>
      </c>
      <c r="O2611">
        <v>1</v>
      </c>
    </row>
    <row r="2612" spans="1:15" ht="15" customHeight="1" x14ac:dyDescent="0.3">
      <c r="A2612" s="7">
        <v>8209672939</v>
      </c>
      <c r="B2612" s="4" t="s">
        <v>157</v>
      </c>
      <c r="C2612" s="4" t="s">
        <v>158</v>
      </c>
      <c r="D2612" s="6">
        <v>46309.499722222201</v>
      </c>
      <c r="E2612" s="6">
        <v>46309.249699074098</v>
      </c>
      <c r="F2612" s="6">
        <v>46309</v>
      </c>
      <c r="G2612" s="5" t="s">
        <v>12</v>
      </c>
      <c r="H2612" s="5" t="s">
        <v>27</v>
      </c>
      <c r="I2612" s="5">
        <v>9</v>
      </c>
      <c r="J2612" s="10" t="s">
        <v>17</v>
      </c>
      <c r="K2612" s="1" t="s">
        <v>2904</v>
      </c>
      <c r="M2612" t="str">
        <f>+VLOOKUP(C2612,'[1]TIENDAS 2025'!$A$1:$C$143,3,0)</f>
        <v>departamental</v>
      </c>
      <c r="O2612">
        <v>1</v>
      </c>
    </row>
    <row r="2613" spans="1:15" ht="15" customHeight="1" x14ac:dyDescent="0.3">
      <c r="A2613" s="7">
        <v>8209672905</v>
      </c>
      <c r="B2613" s="4" t="s">
        <v>518</v>
      </c>
      <c r="C2613" s="4" t="s">
        <v>519</v>
      </c>
      <c r="D2613" s="6">
        <v>46309.499745370398</v>
      </c>
      <c r="E2613" s="6">
        <v>46309.249722222201</v>
      </c>
      <c r="F2613" s="6">
        <v>46309</v>
      </c>
      <c r="G2613" s="5" t="s">
        <v>12</v>
      </c>
      <c r="H2613" s="5" t="s">
        <v>27</v>
      </c>
      <c r="I2613" s="5">
        <v>5</v>
      </c>
      <c r="J2613" s="10" t="s">
        <v>17</v>
      </c>
      <c r="K2613" s="1" t="s">
        <v>2905</v>
      </c>
      <c r="M2613" t="str">
        <f>+VLOOKUP(C2613,'[1]TIENDAS 2025'!$A$1:$C$143,3,0)</f>
        <v>prioridad</v>
      </c>
      <c r="O2613">
        <v>1</v>
      </c>
    </row>
    <row r="2614" spans="1:15" ht="15" customHeight="1" x14ac:dyDescent="0.3">
      <c r="A2614" s="7">
        <v>8209672941</v>
      </c>
      <c r="B2614" s="4" t="s">
        <v>157</v>
      </c>
      <c r="C2614" s="4" t="s">
        <v>158</v>
      </c>
      <c r="D2614" s="6">
        <v>46309.499745370398</v>
      </c>
      <c r="E2614" s="6">
        <v>46309.249710648102</v>
      </c>
      <c r="F2614" s="6">
        <v>46309</v>
      </c>
      <c r="G2614" s="5" t="s">
        <v>12</v>
      </c>
      <c r="H2614" s="5" t="s">
        <v>27</v>
      </c>
      <c r="I2614" s="5">
        <v>12</v>
      </c>
      <c r="J2614" s="10" t="s">
        <v>17</v>
      </c>
      <c r="K2614" s="1" t="s">
        <v>2906</v>
      </c>
      <c r="M2614" t="str">
        <f>+VLOOKUP(C2614,'[1]TIENDAS 2025'!$A$1:$C$143,3,0)</f>
        <v>departamental</v>
      </c>
      <c r="O2614">
        <v>1</v>
      </c>
    </row>
    <row r="2615" spans="1:15" ht="15" customHeight="1" x14ac:dyDescent="0.3">
      <c r="A2615" s="7">
        <v>8209672813</v>
      </c>
      <c r="B2615" s="4" t="s">
        <v>196</v>
      </c>
      <c r="C2615" s="4" t="s">
        <v>197</v>
      </c>
      <c r="D2615" s="6">
        <v>46309.499756944402</v>
      </c>
      <c r="E2615" s="6">
        <v>46309.2497337963</v>
      </c>
      <c r="F2615" s="6">
        <v>46309</v>
      </c>
      <c r="G2615" s="5" t="s">
        <v>12</v>
      </c>
      <c r="H2615" s="5" t="s">
        <v>27</v>
      </c>
      <c r="I2615" s="5">
        <v>1</v>
      </c>
      <c r="J2615" s="10" t="s">
        <v>17</v>
      </c>
      <c r="K2615" s="1" t="s">
        <v>2907</v>
      </c>
      <c r="M2615" t="str">
        <f>+VLOOKUP(C2615,'[1]TIENDAS 2025'!$A$1:$C$143,3,0)</f>
        <v>departamental</v>
      </c>
      <c r="O2615">
        <v>1</v>
      </c>
    </row>
    <row r="2616" spans="1:15" ht="15" customHeight="1" x14ac:dyDescent="0.3">
      <c r="A2616" s="7">
        <v>8209672815</v>
      </c>
      <c r="B2616" s="4" t="s">
        <v>196</v>
      </c>
      <c r="C2616" s="4" t="s">
        <v>197</v>
      </c>
      <c r="D2616" s="6">
        <v>46309.499780092599</v>
      </c>
      <c r="E2616" s="6">
        <v>46309.249745370398</v>
      </c>
      <c r="F2616" s="6">
        <v>46309</v>
      </c>
      <c r="G2616" s="5" t="s">
        <v>12</v>
      </c>
      <c r="H2616" s="5" t="s">
        <v>27</v>
      </c>
      <c r="I2616" s="5">
        <v>4</v>
      </c>
      <c r="J2616" s="10" t="s">
        <v>17</v>
      </c>
      <c r="K2616" s="1" t="s">
        <v>2908</v>
      </c>
      <c r="M2616" t="str">
        <f>+VLOOKUP(C2616,'[1]TIENDAS 2025'!$A$1:$C$143,3,0)</f>
        <v>departamental</v>
      </c>
      <c r="O2616">
        <v>1</v>
      </c>
    </row>
    <row r="2617" spans="1:15" ht="15" customHeight="1" x14ac:dyDescent="0.3">
      <c r="A2617" s="7">
        <v>1209672825</v>
      </c>
      <c r="B2617" s="4" t="s">
        <v>196</v>
      </c>
      <c r="C2617" s="4" t="s">
        <v>197</v>
      </c>
      <c r="D2617" s="6">
        <v>46309.499791666698</v>
      </c>
      <c r="E2617" s="6">
        <v>46309.249768518501</v>
      </c>
      <c r="F2617" s="6">
        <v>46309</v>
      </c>
      <c r="G2617" s="5" t="s">
        <v>12</v>
      </c>
      <c r="H2617" s="5" t="s">
        <v>29</v>
      </c>
      <c r="I2617" s="5">
        <v>31</v>
      </c>
      <c r="J2617" s="9" t="s">
        <v>17</v>
      </c>
      <c r="K2617" s="1" t="s">
        <v>2909</v>
      </c>
      <c r="L2617" t="s">
        <v>3284</v>
      </c>
      <c r="M2617" t="str">
        <f>+VLOOKUP(C2617,'[1]TIENDAS 2025'!$A$1:$C$143,3,0)</f>
        <v>departamental</v>
      </c>
      <c r="O2617">
        <v>1</v>
      </c>
    </row>
    <row r="2618" spans="1:15" ht="15" customHeight="1" x14ac:dyDescent="0.3">
      <c r="A2618" s="7">
        <v>8209672868</v>
      </c>
      <c r="B2618" s="4" t="s">
        <v>445</v>
      </c>
      <c r="C2618" s="4" t="s">
        <v>446</v>
      </c>
      <c r="D2618" s="6">
        <v>46309.499814814801</v>
      </c>
      <c r="E2618" s="6">
        <v>46309.249780092599</v>
      </c>
      <c r="F2618" s="6">
        <v>46309</v>
      </c>
      <c r="G2618" s="5" t="s">
        <v>12</v>
      </c>
      <c r="H2618" s="5" t="s">
        <v>27</v>
      </c>
      <c r="I2618" s="5">
        <v>4</v>
      </c>
      <c r="J2618" s="10" t="s">
        <v>17</v>
      </c>
      <c r="K2618" s="1" t="s">
        <v>2910</v>
      </c>
      <c r="M2618" t="str">
        <f>+VLOOKUP(C2618,'[1]TIENDAS 2025'!$A$1:$C$143,3,0)</f>
        <v>departamental</v>
      </c>
      <c r="O2618">
        <v>1</v>
      </c>
    </row>
    <row r="2619" spans="1:15" ht="15" customHeight="1" x14ac:dyDescent="0.3">
      <c r="A2619" s="7">
        <v>1209672946</v>
      </c>
      <c r="B2619" s="4" t="s">
        <v>157</v>
      </c>
      <c r="C2619" s="4" t="s">
        <v>158</v>
      </c>
      <c r="D2619" s="6">
        <v>46309.499837962998</v>
      </c>
      <c r="E2619" s="6">
        <v>46309.249803240702</v>
      </c>
      <c r="F2619" s="6">
        <v>46309</v>
      </c>
      <c r="G2619" s="5" t="s">
        <v>12</v>
      </c>
      <c r="H2619" s="5" t="s">
        <v>29</v>
      </c>
      <c r="I2619" s="5">
        <v>25</v>
      </c>
      <c r="J2619" s="9" t="s">
        <v>17</v>
      </c>
      <c r="K2619" s="1" t="s">
        <v>2911</v>
      </c>
      <c r="L2619" t="s">
        <v>3284</v>
      </c>
      <c r="M2619" t="str">
        <f>+VLOOKUP(C2619,'[1]TIENDAS 2025'!$A$1:$C$143,3,0)</f>
        <v>departamental</v>
      </c>
      <c r="O2619">
        <v>1</v>
      </c>
    </row>
    <row r="2620" spans="1:15" ht="15" customHeight="1" x14ac:dyDescent="0.3">
      <c r="A2620" s="7">
        <v>1209672918</v>
      </c>
      <c r="B2620" s="4" t="s">
        <v>518</v>
      </c>
      <c r="C2620" s="4" t="s">
        <v>519</v>
      </c>
      <c r="D2620" s="6">
        <v>46309.499849537002</v>
      </c>
      <c r="E2620" s="6">
        <v>46309.249826388899</v>
      </c>
      <c r="F2620" s="6">
        <v>46309</v>
      </c>
      <c r="G2620" s="5" t="s">
        <v>12</v>
      </c>
      <c r="H2620" s="5" t="s">
        <v>29</v>
      </c>
      <c r="I2620" s="5">
        <v>44</v>
      </c>
      <c r="J2620" s="9" t="s">
        <v>17</v>
      </c>
      <c r="K2620" s="1" t="s">
        <v>2912</v>
      </c>
      <c r="L2620" t="s">
        <v>3284</v>
      </c>
      <c r="M2620" t="str">
        <f>+VLOOKUP(C2620,'[1]TIENDAS 2025'!$A$1:$C$143,3,0)</f>
        <v>prioridad</v>
      </c>
      <c r="O2620">
        <v>1</v>
      </c>
    </row>
    <row r="2621" spans="1:15" ht="15" customHeight="1" x14ac:dyDescent="0.3">
      <c r="A2621" s="7">
        <v>1209672819</v>
      </c>
      <c r="B2621" s="4" t="s">
        <v>196</v>
      </c>
      <c r="C2621" s="4" t="s">
        <v>197</v>
      </c>
      <c r="D2621" s="6">
        <v>46309.499884259298</v>
      </c>
      <c r="E2621" s="6">
        <v>46309.2498611111</v>
      </c>
      <c r="F2621" s="6">
        <v>46309</v>
      </c>
      <c r="G2621" s="5" t="s">
        <v>12</v>
      </c>
      <c r="H2621" s="5" t="s">
        <v>16</v>
      </c>
      <c r="I2621" s="5">
        <v>2</v>
      </c>
      <c r="J2621" s="9" t="s">
        <v>17</v>
      </c>
      <c r="K2621" s="1" t="s">
        <v>2913</v>
      </c>
      <c r="L2621" t="s">
        <v>3284</v>
      </c>
      <c r="M2621" t="str">
        <f>+VLOOKUP(C2621,'[1]TIENDAS 2025'!$A$1:$C$143,3,0)</f>
        <v>departamental</v>
      </c>
      <c r="O2621">
        <v>1</v>
      </c>
    </row>
    <row r="2622" spans="1:15" ht="15" customHeight="1" x14ac:dyDescent="0.3">
      <c r="A2622" s="7">
        <v>1209672821</v>
      </c>
      <c r="B2622" s="4" t="s">
        <v>196</v>
      </c>
      <c r="C2622" s="4" t="s">
        <v>197</v>
      </c>
      <c r="D2622" s="6">
        <v>46309.4999074074</v>
      </c>
      <c r="E2622" s="6">
        <v>46309.249884259298</v>
      </c>
      <c r="F2622" s="6">
        <v>46309</v>
      </c>
      <c r="G2622" s="5" t="s">
        <v>12</v>
      </c>
      <c r="H2622" s="5" t="s">
        <v>29</v>
      </c>
      <c r="I2622" s="5">
        <v>5</v>
      </c>
      <c r="J2622" s="9" t="s">
        <v>17</v>
      </c>
      <c r="K2622" s="1" t="s">
        <v>2914</v>
      </c>
      <c r="L2622" t="s">
        <v>3284</v>
      </c>
      <c r="M2622" t="str">
        <f>+VLOOKUP(C2622,'[1]TIENDAS 2025'!$A$1:$C$143,3,0)</f>
        <v>departamental</v>
      </c>
      <c r="O2622">
        <v>1</v>
      </c>
    </row>
    <row r="2623" spans="1:15" ht="15" customHeight="1" x14ac:dyDescent="0.3">
      <c r="A2623" s="7">
        <v>8209672871</v>
      </c>
      <c r="B2623" s="4" t="s">
        <v>445</v>
      </c>
      <c r="C2623" s="4" t="s">
        <v>446</v>
      </c>
      <c r="D2623" s="6">
        <v>46309.499965277799</v>
      </c>
      <c r="E2623" s="6">
        <v>46309.249930555598</v>
      </c>
      <c r="F2623" s="6">
        <v>46309</v>
      </c>
      <c r="G2623" s="5" t="s">
        <v>12</v>
      </c>
      <c r="H2623" s="5" t="s">
        <v>27</v>
      </c>
      <c r="I2623" s="5">
        <v>1</v>
      </c>
      <c r="J2623" s="10" t="s">
        <v>17</v>
      </c>
      <c r="K2623" s="1" t="s">
        <v>2915</v>
      </c>
      <c r="M2623" t="str">
        <f>+VLOOKUP(C2623,'[1]TIENDAS 2025'!$A$1:$C$143,3,0)</f>
        <v>departamental</v>
      </c>
      <c r="O2623">
        <v>1</v>
      </c>
    </row>
    <row r="2624" spans="1:15" ht="15" customHeight="1" x14ac:dyDescent="0.3">
      <c r="A2624" s="7">
        <v>1209672826</v>
      </c>
      <c r="B2624" s="4" t="s">
        <v>196</v>
      </c>
      <c r="C2624" s="4" t="s">
        <v>197</v>
      </c>
      <c r="D2624" s="6">
        <v>46309.499976851897</v>
      </c>
      <c r="E2624" s="6">
        <v>46309.2499537037</v>
      </c>
      <c r="F2624" s="6">
        <v>46309</v>
      </c>
      <c r="G2624" s="5" t="s">
        <v>12</v>
      </c>
      <c r="H2624" s="5" t="s">
        <v>29</v>
      </c>
      <c r="I2624" s="5">
        <v>18</v>
      </c>
      <c r="J2624" s="9" t="s">
        <v>17</v>
      </c>
      <c r="K2624" s="1" t="s">
        <v>2916</v>
      </c>
      <c r="L2624" t="s">
        <v>3284</v>
      </c>
      <c r="M2624" t="str">
        <f>+VLOOKUP(C2624,'[1]TIENDAS 2025'!$A$1:$C$143,3,0)</f>
        <v>departamental</v>
      </c>
      <c r="O2624">
        <v>1</v>
      </c>
    </row>
    <row r="2625" spans="1:15" ht="15" customHeight="1" x14ac:dyDescent="0.3">
      <c r="A2625" s="7">
        <v>1209672945</v>
      </c>
      <c r="B2625" s="4" t="s">
        <v>157</v>
      </c>
      <c r="C2625" s="4" t="s">
        <v>158</v>
      </c>
      <c r="D2625" s="6">
        <v>46309.5</v>
      </c>
      <c r="E2625" s="6">
        <v>46309.249965277799</v>
      </c>
      <c r="F2625" s="6">
        <v>46309</v>
      </c>
      <c r="G2625" s="5" t="s">
        <v>12</v>
      </c>
      <c r="H2625" s="5" t="s">
        <v>16</v>
      </c>
      <c r="I2625" s="5">
        <v>11</v>
      </c>
      <c r="J2625" s="9" t="s">
        <v>17</v>
      </c>
      <c r="K2625" s="1" t="s">
        <v>2917</v>
      </c>
      <c r="L2625" t="s">
        <v>3284</v>
      </c>
      <c r="M2625" t="str">
        <f>+VLOOKUP(C2625,'[1]TIENDAS 2025'!$A$1:$C$143,3,0)</f>
        <v>departamental</v>
      </c>
      <c r="O2625">
        <v>1</v>
      </c>
    </row>
    <row r="2626" spans="1:15" ht="15" customHeight="1" x14ac:dyDescent="0.3">
      <c r="A2626" s="7">
        <v>1209672949</v>
      </c>
      <c r="B2626" s="4" t="s">
        <v>157</v>
      </c>
      <c r="C2626" s="4" t="s">
        <v>158</v>
      </c>
      <c r="D2626" s="6">
        <v>46309.500011574099</v>
      </c>
      <c r="E2626" s="6">
        <v>46309.249976851897</v>
      </c>
      <c r="F2626" s="6">
        <v>46309</v>
      </c>
      <c r="G2626" s="5" t="s">
        <v>12</v>
      </c>
      <c r="H2626" s="5" t="s">
        <v>29</v>
      </c>
      <c r="I2626" s="5">
        <v>36</v>
      </c>
      <c r="J2626" s="9" t="s">
        <v>17</v>
      </c>
      <c r="K2626" s="1" t="s">
        <v>2918</v>
      </c>
      <c r="L2626" t="s">
        <v>3284</v>
      </c>
      <c r="M2626" t="str">
        <f>+VLOOKUP(C2626,'[1]TIENDAS 2025'!$A$1:$C$143,3,0)</f>
        <v>departamental</v>
      </c>
      <c r="O2626">
        <v>1</v>
      </c>
    </row>
    <row r="2627" spans="1:15" ht="15" customHeight="1" x14ac:dyDescent="0.3">
      <c r="A2627" s="7">
        <v>8209672924</v>
      </c>
      <c r="B2627" s="4" t="s">
        <v>518</v>
      </c>
      <c r="C2627" s="4" t="s">
        <v>519</v>
      </c>
      <c r="D2627" s="6">
        <v>46309.500023148103</v>
      </c>
      <c r="E2627" s="6">
        <v>46309.249988425901</v>
      </c>
      <c r="F2627" s="6">
        <v>46309</v>
      </c>
      <c r="G2627" s="5" t="s">
        <v>12</v>
      </c>
      <c r="H2627" s="5" t="s">
        <v>27</v>
      </c>
      <c r="I2627" s="5">
        <v>18</v>
      </c>
      <c r="J2627" s="10" t="s">
        <v>17</v>
      </c>
      <c r="K2627" s="1" t="s">
        <v>2919</v>
      </c>
      <c r="M2627" t="str">
        <f>+VLOOKUP(C2627,'[1]TIENDAS 2025'!$A$1:$C$143,3,0)</f>
        <v>prioridad</v>
      </c>
      <c r="O2627">
        <v>1</v>
      </c>
    </row>
    <row r="2628" spans="1:15" ht="15" customHeight="1" x14ac:dyDescent="0.3">
      <c r="A2628" s="7">
        <v>1209672911</v>
      </c>
      <c r="B2628" s="4" t="s">
        <v>518</v>
      </c>
      <c r="C2628" s="4" t="s">
        <v>519</v>
      </c>
      <c r="D2628" s="6">
        <v>46309.500034722201</v>
      </c>
      <c r="E2628" s="6">
        <v>46309.250011574099</v>
      </c>
      <c r="F2628" s="6">
        <v>46309</v>
      </c>
      <c r="G2628" s="5" t="s">
        <v>12</v>
      </c>
      <c r="H2628" s="5" t="s">
        <v>16</v>
      </c>
      <c r="I2628" s="5">
        <v>1</v>
      </c>
      <c r="J2628" s="9" t="s">
        <v>17</v>
      </c>
      <c r="K2628" s="1" t="s">
        <v>2920</v>
      </c>
      <c r="L2628" t="s">
        <v>3284</v>
      </c>
      <c r="M2628" t="str">
        <f>+VLOOKUP(C2628,'[1]TIENDAS 2025'!$A$1:$C$143,3,0)</f>
        <v>prioridad</v>
      </c>
      <c r="O2628">
        <v>1</v>
      </c>
    </row>
    <row r="2629" spans="1:15" ht="15" customHeight="1" x14ac:dyDescent="0.3">
      <c r="A2629" s="7">
        <v>8209672937</v>
      </c>
      <c r="B2629" s="4" t="s">
        <v>157</v>
      </c>
      <c r="C2629" s="4" t="s">
        <v>158</v>
      </c>
      <c r="D2629" s="6">
        <v>46309.5000462963</v>
      </c>
      <c r="E2629" s="6">
        <v>46309.250023148103</v>
      </c>
      <c r="F2629" s="6">
        <v>46309</v>
      </c>
      <c r="G2629" s="5" t="s">
        <v>12</v>
      </c>
      <c r="H2629" s="5" t="s">
        <v>27</v>
      </c>
      <c r="I2629" s="5">
        <v>1</v>
      </c>
      <c r="J2629" s="10" t="s">
        <v>17</v>
      </c>
      <c r="K2629" s="1" t="s">
        <v>2921</v>
      </c>
      <c r="M2629" t="str">
        <f>+VLOOKUP(C2629,'[1]TIENDAS 2025'!$A$1:$C$143,3,0)</f>
        <v>departamental</v>
      </c>
      <c r="O2629">
        <v>1</v>
      </c>
    </row>
    <row r="2630" spans="1:15" ht="15" customHeight="1" x14ac:dyDescent="0.3">
      <c r="A2630" s="7">
        <v>8209672870</v>
      </c>
      <c r="B2630" s="4" t="s">
        <v>445</v>
      </c>
      <c r="C2630" s="4" t="s">
        <v>446</v>
      </c>
      <c r="D2630" s="6">
        <v>46309.5000925926</v>
      </c>
      <c r="E2630" s="6">
        <v>46309.250069444402</v>
      </c>
      <c r="F2630" s="6">
        <v>46309</v>
      </c>
      <c r="G2630" s="5" t="s">
        <v>12</v>
      </c>
      <c r="H2630" s="5" t="s">
        <v>27</v>
      </c>
      <c r="I2630" s="5">
        <v>18</v>
      </c>
      <c r="J2630" s="10" t="s">
        <v>17</v>
      </c>
      <c r="K2630" s="1" t="s">
        <v>2922</v>
      </c>
      <c r="M2630" t="str">
        <f>+VLOOKUP(C2630,'[1]TIENDAS 2025'!$A$1:$C$143,3,0)</f>
        <v>departamental</v>
      </c>
      <c r="O2630">
        <v>1</v>
      </c>
    </row>
    <row r="2631" spans="1:15" ht="15" customHeight="1" x14ac:dyDescent="0.3">
      <c r="A2631" s="7">
        <v>8209672872</v>
      </c>
      <c r="B2631" s="4" t="s">
        <v>445</v>
      </c>
      <c r="C2631" s="4" t="s">
        <v>446</v>
      </c>
      <c r="D2631" s="6">
        <v>46309.500104166698</v>
      </c>
      <c r="E2631" s="6">
        <v>46309.250081018501</v>
      </c>
      <c r="F2631" s="6">
        <v>46309</v>
      </c>
      <c r="G2631" s="5" t="s">
        <v>12</v>
      </c>
      <c r="H2631" s="5" t="s">
        <v>27</v>
      </c>
      <c r="I2631" s="5">
        <v>18</v>
      </c>
      <c r="J2631" s="10" t="s">
        <v>17</v>
      </c>
      <c r="K2631" s="1" t="s">
        <v>2923</v>
      </c>
      <c r="M2631" t="str">
        <f>+VLOOKUP(C2631,'[1]TIENDAS 2025'!$A$1:$C$143,3,0)</f>
        <v>departamental</v>
      </c>
      <c r="O2631">
        <v>1</v>
      </c>
    </row>
    <row r="2632" spans="1:15" ht="15" customHeight="1" x14ac:dyDescent="0.3">
      <c r="A2632" s="7">
        <v>1209672950</v>
      </c>
      <c r="B2632" s="4" t="s">
        <v>157</v>
      </c>
      <c r="C2632" s="4" t="s">
        <v>158</v>
      </c>
      <c r="D2632" s="6">
        <v>46309.500127314801</v>
      </c>
      <c r="E2632" s="6">
        <v>46309.2500925926</v>
      </c>
      <c r="F2632" s="6">
        <v>46309</v>
      </c>
      <c r="G2632" s="5" t="s">
        <v>12</v>
      </c>
      <c r="H2632" s="5" t="s">
        <v>29</v>
      </c>
      <c r="I2632" s="5">
        <v>40</v>
      </c>
      <c r="J2632" s="9" t="s">
        <v>17</v>
      </c>
      <c r="K2632" s="1" t="s">
        <v>2924</v>
      </c>
      <c r="L2632" t="s">
        <v>3284</v>
      </c>
      <c r="M2632" t="str">
        <f>+VLOOKUP(C2632,'[1]TIENDAS 2025'!$A$1:$C$143,3,0)</f>
        <v>departamental</v>
      </c>
      <c r="O2632">
        <v>1</v>
      </c>
    </row>
    <row r="2633" spans="1:15" ht="15" customHeight="1" x14ac:dyDescent="0.3">
      <c r="A2633" s="7">
        <v>1209672917</v>
      </c>
      <c r="B2633" s="4" t="s">
        <v>518</v>
      </c>
      <c r="C2633" s="4" t="s">
        <v>519</v>
      </c>
      <c r="D2633" s="6">
        <v>46309.5001388889</v>
      </c>
      <c r="E2633" s="6">
        <v>46309.250115740702</v>
      </c>
      <c r="F2633" s="6">
        <v>46309</v>
      </c>
      <c r="G2633" s="5" t="s">
        <v>12</v>
      </c>
      <c r="H2633" s="5" t="s">
        <v>16</v>
      </c>
      <c r="I2633" s="5">
        <v>26</v>
      </c>
      <c r="J2633" s="9" t="s">
        <v>17</v>
      </c>
      <c r="K2633" s="1" t="s">
        <v>2925</v>
      </c>
      <c r="L2633" t="s">
        <v>3284</v>
      </c>
      <c r="M2633" t="str">
        <f>+VLOOKUP(C2633,'[1]TIENDAS 2025'!$A$1:$C$143,3,0)</f>
        <v>prioridad</v>
      </c>
      <c r="O2633">
        <v>1</v>
      </c>
    </row>
    <row r="2634" spans="1:15" ht="15" customHeight="1" x14ac:dyDescent="0.3">
      <c r="A2634" s="7">
        <v>1209672926</v>
      </c>
      <c r="B2634" s="4" t="s">
        <v>518</v>
      </c>
      <c r="C2634" s="4" t="s">
        <v>519</v>
      </c>
      <c r="D2634" s="6">
        <v>46309.500150462998</v>
      </c>
      <c r="E2634" s="6">
        <v>46309.250127314801</v>
      </c>
      <c r="F2634" s="6">
        <v>46309</v>
      </c>
      <c r="G2634" s="5" t="s">
        <v>12</v>
      </c>
      <c r="H2634" s="5" t="s">
        <v>16</v>
      </c>
      <c r="I2634" s="5">
        <v>27</v>
      </c>
      <c r="J2634" s="9" t="s">
        <v>17</v>
      </c>
      <c r="K2634" s="1" t="s">
        <v>2926</v>
      </c>
      <c r="L2634" t="s">
        <v>3284</v>
      </c>
      <c r="M2634" t="str">
        <f>+VLOOKUP(C2634,'[1]TIENDAS 2025'!$A$1:$C$143,3,0)</f>
        <v>prioridad</v>
      </c>
      <c r="O2634">
        <v>1</v>
      </c>
    </row>
    <row r="2635" spans="1:15" ht="15" customHeight="1" x14ac:dyDescent="0.3">
      <c r="A2635" s="7">
        <v>8209672906</v>
      </c>
      <c r="B2635" s="4" t="s">
        <v>518</v>
      </c>
      <c r="C2635" s="4" t="s">
        <v>519</v>
      </c>
      <c r="D2635" s="6">
        <v>46309.500173611101</v>
      </c>
      <c r="E2635" s="6">
        <v>46309.2501388889</v>
      </c>
      <c r="F2635" s="6">
        <v>46309</v>
      </c>
      <c r="G2635" s="5" t="s">
        <v>12</v>
      </c>
      <c r="H2635" s="5" t="s">
        <v>27</v>
      </c>
      <c r="I2635" s="5">
        <v>8</v>
      </c>
      <c r="J2635" s="10" t="s">
        <v>17</v>
      </c>
      <c r="K2635" s="1" t="s">
        <v>2927</v>
      </c>
      <c r="M2635" t="str">
        <f>+VLOOKUP(C2635,'[1]TIENDAS 2025'!$A$1:$C$143,3,0)</f>
        <v>prioridad</v>
      </c>
      <c r="O2635">
        <v>1</v>
      </c>
    </row>
    <row r="2636" spans="1:15" ht="15" customHeight="1" x14ac:dyDescent="0.3">
      <c r="A2636" s="7">
        <v>1209672912</v>
      </c>
      <c r="B2636" s="4" t="s">
        <v>518</v>
      </c>
      <c r="C2636" s="4" t="s">
        <v>519</v>
      </c>
      <c r="D2636" s="6">
        <v>46309.500185185199</v>
      </c>
      <c r="E2636" s="6">
        <v>46309.250150462998</v>
      </c>
      <c r="F2636" s="6">
        <v>46309</v>
      </c>
      <c r="G2636" s="5" t="s">
        <v>12</v>
      </c>
      <c r="H2636" s="5" t="s">
        <v>16</v>
      </c>
      <c r="I2636" s="5">
        <v>8</v>
      </c>
      <c r="J2636" s="9" t="s">
        <v>17</v>
      </c>
      <c r="K2636" s="1" t="s">
        <v>2928</v>
      </c>
      <c r="L2636" t="s">
        <v>3284</v>
      </c>
      <c r="M2636" t="str">
        <f>+VLOOKUP(C2636,'[1]TIENDAS 2025'!$A$1:$C$143,3,0)</f>
        <v>prioridad</v>
      </c>
      <c r="O2636">
        <v>1</v>
      </c>
    </row>
    <row r="2637" spans="1:15" ht="15" customHeight="1" x14ac:dyDescent="0.3">
      <c r="A2637" s="7">
        <v>1209672940</v>
      </c>
      <c r="B2637" s="4" t="s">
        <v>157</v>
      </c>
      <c r="C2637" s="4" t="s">
        <v>158</v>
      </c>
      <c r="D2637" s="6">
        <v>46309.500208333302</v>
      </c>
      <c r="E2637" s="6">
        <v>46309.250185185199</v>
      </c>
      <c r="F2637" s="6">
        <v>46309</v>
      </c>
      <c r="G2637" s="5" t="s">
        <v>12</v>
      </c>
      <c r="H2637" s="5" t="s">
        <v>16</v>
      </c>
      <c r="I2637" s="5">
        <v>3</v>
      </c>
      <c r="J2637" s="9" t="s">
        <v>17</v>
      </c>
      <c r="K2637" s="1" t="s">
        <v>2929</v>
      </c>
      <c r="L2637" t="s">
        <v>3284</v>
      </c>
      <c r="M2637" t="str">
        <f>+VLOOKUP(C2637,'[1]TIENDAS 2025'!$A$1:$C$143,3,0)</f>
        <v>departamental</v>
      </c>
      <c r="O2637">
        <v>1</v>
      </c>
    </row>
    <row r="2638" spans="1:15" ht="15" customHeight="1" x14ac:dyDescent="0.3">
      <c r="A2638" s="7">
        <v>8209672934</v>
      </c>
      <c r="B2638" s="4" t="s">
        <v>157</v>
      </c>
      <c r="C2638" s="4" t="s">
        <v>158</v>
      </c>
      <c r="D2638" s="6">
        <v>46309.500208333302</v>
      </c>
      <c r="E2638" s="6">
        <v>46309.250173611101</v>
      </c>
      <c r="F2638" s="6">
        <v>46309</v>
      </c>
      <c r="G2638" s="5" t="s">
        <v>12</v>
      </c>
      <c r="H2638" s="5" t="s">
        <v>27</v>
      </c>
      <c r="I2638" s="5">
        <v>1</v>
      </c>
      <c r="J2638" s="10" t="s">
        <v>17</v>
      </c>
      <c r="K2638" s="1" t="s">
        <v>2930</v>
      </c>
      <c r="M2638" t="str">
        <f>+VLOOKUP(C2638,'[1]TIENDAS 2025'!$A$1:$C$143,3,0)</f>
        <v>departamental</v>
      </c>
      <c r="O2638">
        <v>1</v>
      </c>
    </row>
    <row r="2639" spans="1:15" ht="15" customHeight="1" x14ac:dyDescent="0.3">
      <c r="A2639" s="7">
        <v>8209672814</v>
      </c>
      <c r="B2639" s="4" t="s">
        <v>196</v>
      </c>
      <c r="C2639" s="4" t="s">
        <v>197</v>
      </c>
      <c r="D2639" s="6">
        <v>46309.500243055598</v>
      </c>
      <c r="E2639" s="6">
        <v>46309.250219907401</v>
      </c>
      <c r="F2639" s="6">
        <v>46309</v>
      </c>
      <c r="G2639" s="5" t="s">
        <v>12</v>
      </c>
      <c r="H2639" s="5" t="s">
        <v>27</v>
      </c>
      <c r="I2639" s="5">
        <v>1</v>
      </c>
      <c r="J2639" s="10" t="s">
        <v>17</v>
      </c>
      <c r="K2639" s="1" t="s">
        <v>2931</v>
      </c>
      <c r="M2639" t="str">
        <f>+VLOOKUP(C2639,'[1]TIENDAS 2025'!$A$1:$C$143,3,0)</f>
        <v>departamental</v>
      </c>
      <c r="O2639">
        <v>1</v>
      </c>
    </row>
    <row r="2640" spans="1:15" ht="15" customHeight="1" x14ac:dyDescent="0.3">
      <c r="A2640" s="7">
        <v>8209672816</v>
      </c>
      <c r="B2640" s="4" t="s">
        <v>196</v>
      </c>
      <c r="C2640" s="4" t="s">
        <v>197</v>
      </c>
      <c r="D2640" s="6">
        <v>46309.5002662037</v>
      </c>
      <c r="E2640" s="6">
        <v>46309.250231481499</v>
      </c>
      <c r="F2640" s="6">
        <v>46309</v>
      </c>
      <c r="G2640" s="5" t="s">
        <v>12</v>
      </c>
      <c r="H2640" s="5" t="s">
        <v>27</v>
      </c>
      <c r="I2640" s="5">
        <v>16</v>
      </c>
      <c r="J2640" s="10" t="s">
        <v>17</v>
      </c>
      <c r="K2640" s="1" t="s">
        <v>2932</v>
      </c>
      <c r="M2640" t="str">
        <f>+VLOOKUP(C2640,'[1]TIENDAS 2025'!$A$1:$C$143,3,0)</f>
        <v>departamental</v>
      </c>
      <c r="O2640">
        <v>1</v>
      </c>
    </row>
    <row r="2641" spans="1:15" ht="15" customHeight="1" x14ac:dyDescent="0.3">
      <c r="A2641" s="7">
        <v>1209672818</v>
      </c>
      <c r="B2641" s="4" t="s">
        <v>196</v>
      </c>
      <c r="C2641" s="4" t="s">
        <v>197</v>
      </c>
      <c r="D2641" s="6">
        <v>46309.500277777799</v>
      </c>
      <c r="E2641" s="6">
        <v>46309.250243055598</v>
      </c>
      <c r="F2641" s="6">
        <v>46309</v>
      </c>
      <c r="G2641" s="5" t="s">
        <v>12</v>
      </c>
      <c r="H2641" s="5" t="s">
        <v>16</v>
      </c>
      <c r="I2641" s="5">
        <v>3</v>
      </c>
      <c r="J2641" s="9" t="s">
        <v>17</v>
      </c>
      <c r="K2641" s="1" t="s">
        <v>2933</v>
      </c>
      <c r="L2641" t="s">
        <v>3284</v>
      </c>
      <c r="M2641" t="str">
        <f>+VLOOKUP(C2641,'[1]TIENDAS 2025'!$A$1:$C$143,3,0)</f>
        <v>departamental</v>
      </c>
      <c r="O2641">
        <v>1</v>
      </c>
    </row>
    <row r="2642" spans="1:15" ht="15" customHeight="1" x14ac:dyDescent="0.3">
      <c r="A2642" s="7">
        <v>1209672824</v>
      </c>
      <c r="B2642" s="4" t="s">
        <v>196</v>
      </c>
      <c r="C2642" s="4" t="s">
        <v>197</v>
      </c>
      <c r="D2642" s="6">
        <v>46309.500289351898</v>
      </c>
      <c r="E2642" s="6">
        <v>46309.2502662037</v>
      </c>
      <c r="F2642" s="6">
        <v>46309</v>
      </c>
      <c r="G2642" s="5" t="s">
        <v>12</v>
      </c>
      <c r="H2642" s="5" t="s">
        <v>16</v>
      </c>
      <c r="I2642" s="5">
        <v>14</v>
      </c>
      <c r="J2642" s="9" t="s">
        <v>17</v>
      </c>
      <c r="K2642" s="1" t="s">
        <v>2934</v>
      </c>
      <c r="L2642" t="s">
        <v>3284</v>
      </c>
      <c r="M2642" t="str">
        <f>+VLOOKUP(C2642,'[1]TIENDAS 2025'!$A$1:$C$143,3,0)</f>
        <v>departamental</v>
      </c>
      <c r="O2642">
        <v>1</v>
      </c>
    </row>
    <row r="2643" spans="1:15" ht="15" customHeight="1" x14ac:dyDescent="0.3">
      <c r="A2643" s="7">
        <v>1209672925</v>
      </c>
      <c r="B2643" s="4" t="s">
        <v>518</v>
      </c>
      <c r="C2643" s="4" t="s">
        <v>519</v>
      </c>
      <c r="D2643" s="6">
        <v>46309.500324074099</v>
      </c>
      <c r="E2643" s="6">
        <v>46309.250289351898</v>
      </c>
      <c r="F2643" s="6">
        <v>46309</v>
      </c>
      <c r="G2643" s="5" t="s">
        <v>12</v>
      </c>
      <c r="H2643" s="5" t="s">
        <v>29</v>
      </c>
      <c r="I2643" s="5">
        <v>21</v>
      </c>
      <c r="J2643" s="9" t="s">
        <v>17</v>
      </c>
      <c r="K2643" s="1" t="s">
        <v>2935</v>
      </c>
      <c r="L2643" t="s">
        <v>3284</v>
      </c>
      <c r="M2643" t="str">
        <f>+VLOOKUP(C2643,'[1]TIENDAS 2025'!$A$1:$C$143,3,0)</f>
        <v>prioridad</v>
      </c>
      <c r="O2643">
        <v>1</v>
      </c>
    </row>
    <row r="2644" spans="1:15" ht="15" customHeight="1" x14ac:dyDescent="0.3">
      <c r="A2644" s="7">
        <v>1209672927</v>
      </c>
      <c r="B2644" s="4" t="s">
        <v>518</v>
      </c>
      <c r="C2644" s="4" t="s">
        <v>519</v>
      </c>
      <c r="D2644" s="6">
        <v>46309.500347222202</v>
      </c>
      <c r="E2644" s="6">
        <v>46309.2503125</v>
      </c>
      <c r="F2644" s="6">
        <v>46309</v>
      </c>
      <c r="G2644" s="5" t="s">
        <v>12</v>
      </c>
      <c r="H2644" s="5" t="s">
        <v>29</v>
      </c>
      <c r="I2644" s="5">
        <v>52</v>
      </c>
      <c r="J2644" s="9" t="s">
        <v>17</v>
      </c>
      <c r="K2644" s="1" t="s">
        <v>2936</v>
      </c>
      <c r="L2644" t="s">
        <v>3284</v>
      </c>
      <c r="M2644" t="str">
        <f>+VLOOKUP(C2644,'[1]TIENDAS 2025'!$A$1:$C$143,3,0)</f>
        <v>prioridad</v>
      </c>
      <c r="O2644">
        <v>1</v>
      </c>
    </row>
    <row r="2645" spans="1:15" ht="15" customHeight="1" x14ac:dyDescent="0.3">
      <c r="A2645" s="7">
        <v>8209672935</v>
      </c>
      <c r="B2645" s="4" t="s">
        <v>157</v>
      </c>
      <c r="C2645" s="4" t="s">
        <v>158</v>
      </c>
      <c r="D2645" s="6">
        <v>46309.5003587963</v>
      </c>
      <c r="E2645" s="6">
        <v>46309.250324074099</v>
      </c>
      <c r="F2645" s="6">
        <v>46309</v>
      </c>
      <c r="G2645" s="5" t="s">
        <v>12</v>
      </c>
      <c r="H2645" s="5" t="s">
        <v>27</v>
      </c>
      <c r="I2645" s="5">
        <v>16</v>
      </c>
      <c r="J2645" s="10" t="s">
        <v>17</v>
      </c>
      <c r="K2645" s="1" t="s">
        <v>2937</v>
      </c>
      <c r="M2645" t="str">
        <f>+VLOOKUP(C2645,'[1]TIENDAS 2025'!$A$1:$C$143,3,0)</f>
        <v>departamental</v>
      </c>
      <c r="O2645">
        <v>1</v>
      </c>
    </row>
    <row r="2646" spans="1:15" ht="15" customHeight="1" x14ac:dyDescent="0.3">
      <c r="A2646" s="7">
        <v>8209672908</v>
      </c>
      <c r="B2646" s="4" t="s">
        <v>518</v>
      </c>
      <c r="C2646" s="4" t="s">
        <v>519</v>
      </c>
      <c r="D2646" s="6">
        <v>46309.500370370399</v>
      </c>
      <c r="E2646" s="6">
        <v>46309.250335648103</v>
      </c>
      <c r="F2646" s="6">
        <v>46309</v>
      </c>
      <c r="G2646" s="5" t="s">
        <v>12</v>
      </c>
      <c r="H2646" s="5" t="s">
        <v>27</v>
      </c>
      <c r="I2646" s="5">
        <v>2</v>
      </c>
      <c r="J2646" s="10" t="s">
        <v>17</v>
      </c>
      <c r="K2646" s="1" t="s">
        <v>2938</v>
      </c>
      <c r="M2646" t="str">
        <f>+VLOOKUP(C2646,'[1]TIENDAS 2025'!$A$1:$C$143,3,0)</f>
        <v>prioridad</v>
      </c>
      <c r="O2646">
        <v>1</v>
      </c>
    </row>
    <row r="2647" spans="1:15" ht="15" customHeight="1" x14ac:dyDescent="0.3">
      <c r="A2647" s="7">
        <v>1209672820</v>
      </c>
      <c r="B2647" s="4" t="s">
        <v>196</v>
      </c>
      <c r="C2647" s="4" t="s">
        <v>197</v>
      </c>
      <c r="D2647" s="6">
        <v>46309.500381944403</v>
      </c>
      <c r="E2647" s="6">
        <v>46309.2503587963</v>
      </c>
      <c r="F2647" s="6">
        <v>46309</v>
      </c>
      <c r="G2647" s="5" t="s">
        <v>12</v>
      </c>
      <c r="H2647" s="5" t="s">
        <v>16</v>
      </c>
      <c r="I2647" s="5">
        <v>12</v>
      </c>
      <c r="J2647" s="9" t="s">
        <v>17</v>
      </c>
      <c r="K2647" s="1" t="s">
        <v>2939</v>
      </c>
      <c r="L2647" t="s">
        <v>3284</v>
      </c>
      <c r="M2647" t="str">
        <f>+VLOOKUP(C2647,'[1]TIENDAS 2025'!$A$1:$C$143,3,0)</f>
        <v>departamental</v>
      </c>
      <c r="O2647">
        <v>1</v>
      </c>
    </row>
    <row r="2648" spans="1:15" ht="15" customHeight="1" x14ac:dyDescent="0.3">
      <c r="A2648" s="7">
        <v>1209672837</v>
      </c>
      <c r="B2648" s="4" t="s">
        <v>196</v>
      </c>
      <c r="C2648" s="4" t="s">
        <v>197</v>
      </c>
      <c r="D2648" s="6">
        <v>46309.5004050926</v>
      </c>
      <c r="E2648" s="6">
        <v>46309.250370370399</v>
      </c>
      <c r="F2648" s="6">
        <v>46309</v>
      </c>
      <c r="G2648" s="5" t="s">
        <v>12</v>
      </c>
      <c r="H2648" s="5" t="s">
        <v>16</v>
      </c>
      <c r="I2648" s="5">
        <v>32</v>
      </c>
      <c r="J2648" s="9" t="s">
        <v>17</v>
      </c>
      <c r="K2648" s="1" t="s">
        <v>2940</v>
      </c>
      <c r="L2648" t="s">
        <v>3284</v>
      </c>
      <c r="M2648" t="str">
        <f>+VLOOKUP(C2648,'[1]TIENDAS 2025'!$A$1:$C$143,3,0)</f>
        <v>departamental</v>
      </c>
      <c r="O2648">
        <v>1</v>
      </c>
    </row>
    <row r="2649" spans="1:15" ht="15" customHeight="1" x14ac:dyDescent="0.3">
      <c r="A2649" s="7">
        <v>1209672873</v>
      </c>
      <c r="B2649" s="4" t="s">
        <v>445</v>
      </c>
      <c r="C2649" s="4" t="s">
        <v>446</v>
      </c>
      <c r="D2649" s="6">
        <v>46309.500428240703</v>
      </c>
      <c r="E2649" s="6">
        <v>46309.2504050926</v>
      </c>
      <c r="F2649" s="6">
        <v>46309</v>
      </c>
      <c r="G2649" s="5" t="s">
        <v>12</v>
      </c>
      <c r="H2649" s="5" t="s">
        <v>16</v>
      </c>
      <c r="I2649" s="5">
        <v>2</v>
      </c>
      <c r="J2649" s="9" t="s">
        <v>17</v>
      </c>
      <c r="K2649" s="1" t="s">
        <v>2941</v>
      </c>
      <c r="L2649" t="s">
        <v>3284</v>
      </c>
      <c r="M2649" t="str">
        <f>+VLOOKUP(C2649,'[1]TIENDAS 2025'!$A$1:$C$143,3,0)</f>
        <v>departamental</v>
      </c>
      <c r="O2649">
        <v>1</v>
      </c>
    </row>
    <row r="2650" spans="1:15" ht="15" customHeight="1" x14ac:dyDescent="0.3">
      <c r="A2650" s="7">
        <v>1209672874</v>
      </c>
      <c r="B2650" s="4" t="s">
        <v>445</v>
      </c>
      <c r="C2650" s="4" t="s">
        <v>446</v>
      </c>
      <c r="D2650" s="6">
        <v>46309.5004513889</v>
      </c>
      <c r="E2650" s="6">
        <v>46309.250416666699</v>
      </c>
      <c r="F2650" s="6">
        <v>46309</v>
      </c>
      <c r="G2650" s="5" t="s">
        <v>12</v>
      </c>
      <c r="H2650" s="5" t="s">
        <v>16</v>
      </c>
      <c r="I2650" s="5">
        <v>5</v>
      </c>
      <c r="J2650" s="9" t="s">
        <v>17</v>
      </c>
      <c r="K2650" s="1" t="s">
        <v>2942</v>
      </c>
      <c r="L2650" t="s">
        <v>3284</v>
      </c>
      <c r="M2650" t="str">
        <f>+VLOOKUP(C2650,'[1]TIENDAS 2025'!$A$1:$C$143,3,0)</f>
        <v>departamental</v>
      </c>
      <c r="O2650">
        <v>1</v>
      </c>
    </row>
    <row r="2651" spans="1:15" ht="15" customHeight="1" x14ac:dyDescent="0.3">
      <c r="A2651" s="7">
        <v>1209672948</v>
      </c>
      <c r="B2651" s="4" t="s">
        <v>157</v>
      </c>
      <c r="C2651" s="4" t="s">
        <v>158</v>
      </c>
      <c r="D2651" s="6">
        <v>46309.500462962998</v>
      </c>
      <c r="E2651" s="6">
        <v>46309.250428240703</v>
      </c>
      <c r="F2651" s="6">
        <v>46309</v>
      </c>
      <c r="G2651" s="5" t="s">
        <v>12</v>
      </c>
      <c r="H2651" s="5" t="s">
        <v>29</v>
      </c>
      <c r="I2651" s="5">
        <v>31</v>
      </c>
      <c r="J2651" s="9" t="s">
        <v>17</v>
      </c>
      <c r="K2651" s="1" t="s">
        <v>2943</v>
      </c>
      <c r="L2651" t="s">
        <v>3284</v>
      </c>
      <c r="M2651" t="str">
        <f>+VLOOKUP(C2651,'[1]TIENDAS 2025'!$A$1:$C$143,3,0)</f>
        <v>departamental</v>
      </c>
      <c r="O2651">
        <v>1</v>
      </c>
    </row>
    <row r="2652" spans="1:15" ht="15" customHeight="1" x14ac:dyDescent="0.3">
      <c r="A2652" s="7">
        <v>8209672909</v>
      </c>
      <c r="B2652" s="4" t="s">
        <v>518</v>
      </c>
      <c r="C2652" s="4" t="s">
        <v>519</v>
      </c>
      <c r="D2652" s="6">
        <v>46309.500486111101</v>
      </c>
      <c r="E2652" s="6">
        <v>46309.250462962998</v>
      </c>
      <c r="F2652" s="6">
        <v>46309</v>
      </c>
      <c r="G2652" s="5" t="s">
        <v>12</v>
      </c>
      <c r="H2652" s="5" t="s">
        <v>27</v>
      </c>
      <c r="I2652" s="5">
        <v>18</v>
      </c>
      <c r="J2652" s="10" t="s">
        <v>17</v>
      </c>
      <c r="K2652" s="1" t="s">
        <v>2944</v>
      </c>
      <c r="M2652" t="str">
        <f>+VLOOKUP(C2652,'[1]TIENDAS 2025'!$A$1:$C$143,3,0)</f>
        <v>prioridad</v>
      </c>
      <c r="O2652">
        <v>1</v>
      </c>
    </row>
    <row r="2653" spans="1:15" ht="15" customHeight="1" x14ac:dyDescent="0.3">
      <c r="A2653" s="7">
        <v>1209672943</v>
      </c>
      <c r="B2653" s="4" t="s">
        <v>157</v>
      </c>
      <c r="C2653" s="4" t="s">
        <v>158</v>
      </c>
      <c r="D2653" s="6">
        <v>46309.500486111101</v>
      </c>
      <c r="E2653" s="6">
        <v>46309.2504513889</v>
      </c>
      <c r="F2653" s="6">
        <v>46309</v>
      </c>
      <c r="G2653" s="5" t="s">
        <v>12</v>
      </c>
      <c r="H2653" s="5" t="s">
        <v>16</v>
      </c>
      <c r="I2653" s="5">
        <v>10</v>
      </c>
      <c r="J2653" s="9" t="s">
        <v>17</v>
      </c>
      <c r="K2653" s="1" t="s">
        <v>2945</v>
      </c>
      <c r="L2653" t="s">
        <v>3284</v>
      </c>
      <c r="M2653" t="str">
        <f>+VLOOKUP(C2653,'[1]TIENDAS 2025'!$A$1:$C$143,3,0)</f>
        <v>departamental</v>
      </c>
      <c r="O2653">
        <v>1</v>
      </c>
    </row>
    <row r="2654" spans="1:15" ht="15" customHeight="1" x14ac:dyDescent="0.3">
      <c r="A2654" s="7">
        <v>1209672914</v>
      </c>
      <c r="B2654" s="4" t="s">
        <v>518</v>
      </c>
      <c r="C2654" s="4" t="s">
        <v>519</v>
      </c>
      <c r="D2654" s="6">
        <v>46309.500509259298</v>
      </c>
      <c r="E2654" s="6">
        <v>46309.250486111101</v>
      </c>
      <c r="F2654" s="6">
        <v>46309</v>
      </c>
      <c r="G2654" s="5" t="s">
        <v>12</v>
      </c>
      <c r="H2654" s="5" t="s">
        <v>16</v>
      </c>
      <c r="I2654" s="5">
        <v>14</v>
      </c>
      <c r="J2654" s="9" t="s">
        <v>17</v>
      </c>
      <c r="K2654" s="1" t="s">
        <v>2946</v>
      </c>
      <c r="L2654" t="s">
        <v>3284</v>
      </c>
      <c r="M2654" t="str">
        <f>+VLOOKUP(C2654,'[1]TIENDAS 2025'!$A$1:$C$143,3,0)</f>
        <v>prioridad</v>
      </c>
      <c r="O2654">
        <v>1</v>
      </c>
    </row>
    <row r="2655" spans="1:15" ht="15" customHeight="1" x14ac:dyDescent="0.3">
      <c r="A2655" s="7">
        <v>1209672885</v>
      </c>
      <c r="B2655" s="4" t="s">
        <v>445</v>
      </c>
      <c r="C2655" s="4" t="s">
        <v>446</v>
      </c>
      <c r="D2655" s="6">
        <v>46309.500532407401</v>
      </c>
      <c r="E2655" s="6">
        <v>46309.2504976852</v>
      </c>
      <c r="F2655" s="6">
        <v>46309</v>
      </c>
      <c r="G2655" s="5" t="s">
        <v>12</v>
      </c>
      <c r="H2655" s="5" t="s">
        <v>16</v>
      </c>
      <c r="I2655" s="5">
        <v>1</v>
      </c>
      <c r="J2655" s="9" t="s">
        <v>17</v>
      </c>
      <c r="K2655" s="1" t="s">
        <v>2947</v>
      </c>
      <c r="L2655" t="s">
        <v>3284</v>
      </c>
      <c r="M2655" t="str">
        <f>+VLOOKUP(C2655,'[1]TIENDAS 2025'!$A$1:$C$143,3,0)</f>
        <v>departamental</v>
      </c>
      <c r="O2655">
        <v>1</v>
      </c>
    </row>
    <row r="2656" spans="1:15" ht="15" customHeight="1" x14ac:dyDescent="0.3">
      <c r="A2656" s="7">
        <v>8209672936</v>
      </c>
      <c r="B2656" s="4" t="s">
        <v>157</v>
      </c>
      <c r="C2656" s="4" t="s">
        <v>158</v>
      </c>
      <c r="D2656" s="6">
        <v>46309.5005439815</v>
      </c>
      <c r="E2656" s="6">
        <v>46309.250520833302</v>
      </c>
      <c r="F2656" s="6">
        <v>46309</v>
      </c>
      <c r="G2656" s="5" t="s">
        <v>12</v>
      </c>
      <c r="H2656" s="5" t="s">
        <v>27</v>
      </c>
      <c r="I2656" s="5">
        <v>5</v>
      </c>
      <c r="J2656" s="10" t="s">
        <v>17</v>
      </c>
      <c r="K2656" s="1" t="s">
        <v>2948</v>
      </c>
      <c r="M2656" t="str">
        <f>+VLOOKUP(C2656,'[1]TIENDAS 2025'!$A$1:$C$143,3,0)</f>
        <v>departamental</v>
      </c>
      <c r="O2656">
        <v>1</v>
      </c>
    </row>
    <row r="2657" spans="1:15" ht="15" customHeight="1" x14ac:dyDescent="0.3">
      <c r="A2657" s="7">
        <v>8209672938</v>
      </c>
      <c r="B2657" s="4" t="s">
        <v>157</v>
      </c>
      <c r="C2657" s="4" t="s">
        <v>158</v>
      </c>
      <c r="D2657" s="6">
        <v>46309.500555555598</v>
      </c>
      <c r="E2657" s="6">
        <v>46309.250532407401</v>
      </c>
      <c r="F2657" s="6">
        <v>46309</v>
      </c>
      <c r="G2657" s="5" t="s">
        <v>12</v>
      </c>
      <c r="H2657" s="5" t="s">
        <v>27</v>
      </c>
      <c r="I2657" s="5">
        <v>2</v>
      </c>
      <c r="J2657" s="10" t="s">
        <v>17</v>
      </c>
      <c r="K2657" s="1" t="s">
        <v>2949</v>
      </c>
      <c r="M2657" t="str">
        <f>+VLOOKUP(C2657,'[1]TIENDAS 2025'!$A$1:$C$143,3,0)</f>
        <v>departamental</v>
      </c>
      <c r="O2657">
        <v>1</v>
      </c>
    </row>
    <row r="2658" spans="1:15" ht="15" customHeight="1" x14ac:dyDescent="0.3">
      <c r="A2658" s="7">
        <v>1209672942</v>
      </c>
      <c r="B2658" s="4" t="s">
        <v>157</v>
      </c>
      <c r="C2658" s="4" t="s">
        <v>158</v>
      </c>
      <c r="D2658" s="6">
        <v>46309.500578703701</v>
      </c>
      <c r="E2658" s="6">
        <v>46309.2505439815</v>
      </c>
      <c r="F2658" s="6">
        <v>46309</v>
      </c>
      <c r="G2658" s="5" t="s">
        <v>12</v>
      </c>
      <c r="H2658" s="5" t="s">
        <v>16</v>
      </c>
      <c r="I2658" s="5">
        <v>5</v>
      </c>
      <c r="J2658" s="9" t="s">
        <v>17</v>
      </c>
      <c r="K2658" s="1" t="s">
        <v>2950</v>
      </c>
      <c r="L2658" t="s">
        <v>3284</v>
      </c>
      <c r="M2658" t="str">
        <f>+VLOOKUP(C2658,'[1]TIENDAS 2025'!$A$1:$C$143,3,0)</f>
        <v>departamental</v>
      </c>
      <c r="O2658">
        <v>1</v>
      </c>
    </row>
    <row r="2659" spans="1:15" ht="15" customHeight="1" x14ac:dyDescent="0.3">
      <c r="A2659" s="7">
        <v>1209672879</v>
      </c>
      <c r="B2659" s="4" t="s">
        <v>445</v>
      </c>
      <c r="C2659" s="4" t="s">
        <v>446</v>
      </c>
      <c r="D2659" s="6">
        <v>46309.500590277799</v>
      </c>
      <c r="E2659" s="6">
        <v>46309.250567129602</v>
      </c>
      <c r="F2659" s="6">
        <v>46309</v>
      </c>
      <c r="G2659" s="5" t="s">
        <v>12</v>
      </c>
      <c r="H2659" s="5" t="s">
        <v>16</v>
      </c>
      <c r="I2659" s="5">
        <v>24</v>
      </c>
      <c r="J2659" s="9" t="s">
        <v>17</v>
      </c>
      <c r="K2659" s="1" t="s">
        <v>2951</v>
      </c>
      <c r="L2659" t="s">
        <v>3284</v>
      </c>
      <c r="M2659" t="str">
        <f>+VLOOKUP(C2659,'[1]TIENDAS 2025'!$A$1:$C$143,3,0)</f>
        <v>departamental</v>
      </c>
      <c r="O2659">
        <v>1</v>
      </c>
    </row>
    <row r="2660" spans="1:15" ht="15" customHeight="1" x14ac:dyDescent="0.3">
      <c r="A2660" s="7">
        <v>1209672823</v>
      </c>
      <c r="B2660" s="4" t="s">
        <v>196</v>
      </c>
      <c r="C2660" s="4" t="s">
        <v>197</v>
      </c>
      <c r="D2660" s="6">
        <v>46309.500625000001</v>
      </c>
      <c r="E2660" s="6">
        <v>46309.250590277799</v>
      </c>
      <c r="F2660" s="6">
        <v>46309</v>
      </c>
      <c r="G2660" s="5" t="s">
        <v>12</v>
      </c>
      <c r="H2660" s="5" t="s">
        <v>16</v>
      </c>
      <c r="I2660" s="5">
        <v>13</v>
      </c>
      <c r="J2660" s="9" t="s">
        <v>17</v>
      </c>
      <c r="K2660" s="1" t="s">
        <v>2952</v>
      </c>
      <c r="L2660" t="s">
        <v>3284</v>
      </c>
      <c r="M2660" t="str">
        <f>+VLOOKUP(C2660,'[1]TIENDAS 2025'!$A$1:$C$143,3,0)</f>
        <v>departamental</v>
      </c>
      <c r="O2660">
        <v>1</v>
      </c>
    </row>
    <row r="2661" spans="1:15" ht="15" customHeight="1" x14ac:dyDescent="0.3">
      <c r="A2661" s="7">
        <v>1209673013</v>
      </c>
      <c r="B2661" s="4" t="s">
        <v>448</v>
      </c>
      <c r="C2661" s="4" t="s">
        <v>449</v>
      </c>
      <c r="D2661" s="6">
        <v>46309.502928240698</v>
      </c>
      <c r="E2661" s="6">
        <v>46309.252893518496</v>
      </c>
      <c r="F2661" s="6">
        <v>46309</v>
      </c>
      <c r="G2661" s="5" t="s">
        <v>12</v>
      </c>
      <c r="H2661" s="5" t="s">
        <v>29</v>
      </c>
      <c r="I2661" s="5">
        <v>35</v>
      </c>
      <c r="J2661" s="9" t="s">
        <v>17</v>
      </c>
      <c r="K2661" s="1" t="s">
        <v>2953</v>
      </c>
      <c r="L2661" t="s">
        <v>3284</v>
      </c>
      <c r="M2661" t="str">
        <f>+VLOOKUP(C2661,'[1]TIENDAS 2025'!$A$1:$C$143,3,0)</f>
        <v>local</v>
      </c>
      <c r="O2661">
        <v>1</v>
      </c>
    </row>
    <row r="2662" spans="1:15" ht="15" customHeight="1" x14ac:dyDescent="0.3">
      <c r="A2662" s="7">
        <v>8209672971</v>
      </c>
      <c r="B2662" s="4" t="s">
        <v>351</v>
      </c>
      <c r="C2662" s="4" t="s">
        <v>352</v>
      </c>
      <c r="D2662" s="6">
        <v>46309.502951388902</v>
      </c>
      <c r="E2662" s="6">
        <v>46309.252928240698</v>
      </c>
      <c r="F2662" s="6">
        <v>46309</v>
      </c>
      <c r="G2662" s="5" t="s">
        <v>12</v>
      </c>
      <c r="H2662" s="5" t="s">
        <v>27</v>
      </c>
      <c r="I2662" s="5">
        <v>41</v>
      </c>
      <c r="J2662" s="10" t="s">
        <v>17</v>
      </c>
      <c r="K2662" s="1" t="s">
        <v>2954</v>
      </c>
      <c r="M2662" t="str">
        <f>+VLOOKUP(C2662,'[1]TIENDAS 2025'!$A$1:$C$143,3,0)</f>
        <v>prioridad</v>
      </c>
      <c r="O2662">
        <v>1</v>
      </c>
    </row>
    <row r="2663" spans="1:15" ht="15" customHeight="1" x14ac:dyDescent="0.3">
      <c r="A2663" s="7">
        <v>1209673006</v>
      </c>
      <c r="B2663" s="4" t="s">
        <v>448</v>
      </c>
      <c r="C2663" s="4" t="s">
        <v>449</v>
      </c>
      <c r="D2663" s="6">
        <v>46309.502974536997</v>
      </c>
      <c r="E2663" s="6">
        <v>46309.252939814804</v>
      </c>
      <c r="F2663" s="6">
        <v>46309</v>
      </c>
      <c r="G2663" s="5" t="s">
        <v>12</v>
      </c>
      <c r="H2663" s="5" t="s">
        <v>16</v>
      </c>
      <c r="I2663" s="5">
        <v>12</v>
      </c>
      <c r="J2663" s="9" t="s">
        <v>17</v>
      </c>
      <c r="K2663" s="1" t="s">
        <v>2955</v>
      </c>
      <c r="L2663" t="s">
        <v>3284</v>
      </c>
      <c r="M2663" t="str">
        <f>+VLOOKUP(C2663,'[1]TIENDAS 2025'!$A$1:$C$143,3,0)</f>
        <v>local</v>
      </c>
      <c r="O2663">
        <v>1</v>
      </c>
    </row>
    <row r="2664" spans="1:15" ht="15" customHeight="1" x14ac:dyDescent="0.3">
      <c r="A2664" s="7">
        <v>8209672982</v>
      </c>
      <c r="B2664" s="4" t="s">
        <v>351</v>
      </c>
      <c r="C2664" s="4" t="s">
        <v>352</v>
      </c>
      <c r="D2664" s="6">
        <v>46309.502986111103</v>
      </c>
      <c r="E2664" s="6">
        <v>46309.252951388902</v>
      </c>
      <c r="F2664" s="6">
        <v>46309</v>
      </c>
      <c r="G2664" s="5" t="s">
        <v>12</v>
      </c>
      <c r="H2664" s="5" t="s">
        <v>27</v>
      </c>
      <c r="I2664" s="5">
        <v>5</v>
      </c>
      <c r="J2664" s="10" t="s">
        <v>17</v>
      </c>
      <c r="K2664" s="1" t="s">
        <v>2956</v>
      </c>
      <c r="M2664" t="str">
        <f>+VLOOKUP(C2664,'[1]TIENDAS 2025'!$A$1:$C$143,3,0)</f>
        <v>prioridad</v>
      </c>
      <c r="O2664">
        <v>1</v>
      </c>
    </row>
    <row r="2665" spans="1:15" ht="15" customHeight="1" x14ac:dyDescent="0.3">
      <c r="A2665" s="7">
        <v>1209672975</v>
      </c>
      <c r="B2665" s="4" t="s">
        <v>351</v>
      </c>
      <c r="C2665" s="4" t="s">
        <v>352</v>
      </c>
      <c r="D2665" s="6">
        <v>46309.502997685202</v>
      </c>
      <c r="E2665" s="6">
        <v>46309.252974536997</v>
      </c>
      <c r="F2665" s="6">
        <v>46309</v>
      </c>
      <c r="G2665" s="5" t="s">
        <v>12</v>
      </c>
      <c r="H2665" s="5" t="s">
        <v>29</v>
      </c>
      <c r="I2665" s="5">
        <v>10</v>
      </c>
      <c r="J2665" s="9" t="s">
        <v>17</v>
      </c>
      <c r="K2665" s="1" t="s">
        <v>2957</v>
      </c>
      <c r="L2665" t="s">
        <v>3284</v>
      </c>
      <c r="M2665" t="str">
        <f>+VLOOKUP(C2665,'[1]TIENDAS 2025'!$A$1:$C$143,3,0)</f>
        <v>prioridad</v>
      </c>
      <c r="O2665">
        <v>1</v>
      </c>
    </row>
    <row r="2666" spans="1:15" ht="15" customHeight="1" x14ac:dyDescent="0.3">
      <c r="A2666" s="7">
        <v>8209673078</v>
      </c>
      <c r="B2666" s="4" t="s">
        <v>466</v>
      </c>
      <c r="C2666" s="4" t="s">
        <v>467</v>
      </c>
      <c r="D2666" s="6">
        <v>46309.503009259301</v>
      </c>
      <c r="E2666" s="6">
        <v>46309.252986111103</v>
      </c>
      <c r="F2666" s="6">
        <v>46309</v>
      </c>
      <c r="G2666" s="5" t="s">
        <v>12</v>
      </c>
      <c r="H2666" s="5" t="s">
        <v>27</v>
      </c>
      <c r="I2666" s="5">
        <v>7</v>
      </c>
      <c r="J2666" s="10" t="s">
        <v>17</v>
      </c>
      <c r="K2666" s="1" t="s">
        <v>2958</v>
      </c>
      <c r="M2666" t="str">
        <f>+VLOOKUP(C2666,'[1]TIENDAS 2025'!$A$1:$C$143,3,0)</f>
        <v>departamental</v>
      </c>
      <c r="O2666">
        <v>1</v>
      </c>
    </row>
    <row r="2667" spans="1:15" ht="15" customHeight="1" x14ac:dyDescent="0.3">
      <c r="A2667" s="7">
        <v>1209673131</v>
      </c>
      <c r="B2667" s="4" t="s">
        <v>536</v>
      </c>
      <c r="C2667" s="4" t="s">
        <v>537</v>
      </c>
      <c r="D2667" s="6">
        <v>46309.503032407403</v>
      </c>
      <c r="E2667" s="6">
        <v>46309.252997685202</v>
      </c>
      <c r="F2667" s="6">
        <v>46309</v>
      </c>
      <c r="G2667" s="5" t="s">
        <v>12</v>
      </c>
      <c r="H2667" s="5" t="s">
        <v>29</v>
      </c>
      <c r="I2667" s="5">
        <v>37</v>
      </c>
      <c r="J2667" s="9" t="s">
        <v>17</v>
      </c>
      <c r="K2667" s="1" t="s">
        <v>2959</v>
      </c>
      <c r="L2667" t="s">
        <v>3284</v>
      </c>
      <c r="M2667" t="str">
        <f>+VLOOKUP(C2667,'[1]TIENDAS 2025'!$A$1:$C$143,3,0)</f>
        <v>departamental</v>
      </c>
      <c r="O2667">
        <v>1</v>
      </c>
    </row>
    <row r="2668" spans="1:15" ht="15" customHeight="1" x14ac:dyDescent="0.3">
      <c r="A2668" s="7">
        <v>1209673155</v>
      </c>
      <c r="B2668" s="4" t="s">
        <v>397</v>
      </c>
      <c r="C2668" s="4" t="s">
        <v>398</v>
      </c>
      <c r="D2668" s="6">
        <v>46309.503043981502</v>
      </c>
      <c r="E2668" s="6">
        <v>46309.253009259301</v>
      </c>
      <c r="F2668" s="6">
        <v>46309</v>
      </c>
      <c r="G2668" s="5" t="s">
        <v>12</v>
      </c>
      <c r="H2668" s="5" t="s">
        <v>16</v>
      </c>
      <c r="I2668" s="5">
        <v>4</v>
      </c>
      <c r="J2668" s="9" t="s">
        <v>17</v>
      </c>
      <c r="K2668" s="1" t="s">
        <v>2960</v>
      </c>
      <c r="L2668" t="s">
        <v>3284</v>
      </c>
      <c r="M2668" t="str">
        <f>+VLOOKUP(C2668,'[1]TIENDAS 2025'!$A$1:$C$143,3,0)</f>
        <v>local</v>
      </c>
      <c r="O2668">
        <v>1</v>
      </c>
    </row>
    <row r="2669" spans="1:15" ht="15" customHeight="1" x14ac:dyDescent="0.3">
      <c r="A2669" s="7">
        <v>1209673089</v>
      </c>
      <c r="B2669" s="4" t="s">
        <v>466</v>
      </c>
      <c r="C2669" s="4" t="s">
        <v>467</v>
      </c>
      <c r="D2669" s="6">
        <v>46309.5030555556</v>
      </c>
      <c r="E2669" s="6">
        <v>46309.253032407403</v>
      </c>
      <c r="F2669" s="6">
        <v>46309</v>
      </c>
      <c r="G2669" s="5" t="s">
        <v>12</v>
      </c>
      <c r="H2669" s="5" t="s">
        <v>29</v>
      </c>
      <c r="I2669" s="5">
        <v>25</v>
      </c>
      <c r="J2669" s="9" t="s">
        <v>17</v>
      </c>
      <c r="K2669" s="1" t="s">
        <v>2961</v>
      </c>
      <c r="L2669" t="s">
        <v>3284</v>
      </c>
      <c r="M2669" t="str">
        <f>+VLOOKUP(C2669,'[1]TIENDAS 2025'!$A$1:$C$143,3,0)</f>
        <v>departamental</v>
      </c>
      <c r="O2669">
        <v>1</v>
      </c>
    </row>
    <row r="2670" spans="1:15" ht="15" customHeight="1" x14ac:dyDescent="0.3">
      <c r="A2670" s="7">
        <v>8209673110</v>
      </c>
      <c r="B2670" s="4" t="s">
        <v>536</v>
      </c>
      <c r="C2670" s="4" t="s">
        <v>537</v>
      </c>
      <c r="D2670" s="6">
        <v>46309.503067129597</v>
      </c>
      <c r="E2670" s="6">
        <v>46309.253043981502</v>
      </c>
      <c r="F2670" s="6">
        <v>46309</v>
      </c>
      <c r="G2670" s="5" t="s">
        <v>12</v>
      </c>
      <c r="H2670" s="5" t="s">
        <v>27</v>
      </c>
      <c r="I2670" s="5">
        <v>41</v>
      </c>
      <c r="J2670" s="10" t="s">
        <v>17</v>
      </c>
      <c r="K2670" s="1" t="s">
        <v>2962</v>
      </c>
      <c r="M2670" t="str">
        <f>+VLOOKUP(C2670,'[1]TIENDAS 2025'!$A$1:$C$143,3,0)</f>
        <v>departamental</v>
      </c>
      <c r="O2670">
        <v>1</v>
      </c>
    </row>
    <row r="2671" spans="1:15" ht="15" customHeight="1" x14ac:dyDescent="0.3">
      <c r="A2671" s="7">
        <v>1209673145</v>
      </c>
      <c r="B2671" s="4" t="s">
        <v>397</v>
      </c>
      <c r="C2671" s="4" t="s">
        <v>398</v>
      </c>
      <c r="D2671" s="6">
        <v>46309.503078703703</v>
      </c>
      <c r="E2671" s="6">
        <v>46309.2530555556</v>
      </c>
      <c r="F2671" s="6">
        <v>46309</v>
      </c>
      <c r="G2671" s="5" t="s">
        <v>12</v>
      </c>
      <c r="H2671" s="5" t="s">
        <v>29</v>
      </c>
      <c r="I2671" s="5">
        <v>9</v>
      </c>
      <c r="J2671" s="9" t="s">
        <v>17</v>
      </c>
      <c r="K2671" s="1" t="s">
        <v>2963</v>
      </c>
      <c r="L2671" t="s">
        <v>3284</v>
      </c>
      <c r="M2671" t="str">
        <f>+VLOOKUP(C2671,'[1]TIENDAS 2025'!$A$1:$C$143,3,0)</f>
        <v>local</v>
      </c>
      <c r="O2671">
        <v>1</v>
      </c>
    </row>
    <row r="2672" spans="1:15" ht="15" customHeight="1" x14ac:dyDescent="0.3">
      <c r="A2672" s="7">
        <v>1209673049</v>
      </c>
      <c r="B2672" s="4" t="s">
        <v>394</v>
      </c>
      <c r="C2672" s="4" t="s">
        <v>395</v>
      </c>
      <c r="D2672" s="6">
        <v>46309.503101851798</v>
      </c>
      <c r="E2672" s="6">
        <v>46309.253067129597</v>
      </c>
      <c r="F2672" s="6">
        <v>46309</v>
      </c>
      <c r="G2672" s="5" t="s">
        <v>12</v>
      </c>
      <c r="H2672" s="5" t="s">
        <v>16</v>
      </c>
      <c r="I2672" s="5">
        <v>20</v>
      </c>
      <c r="J2672" s="9" t="s">
        <v>17</v>
      </c>
      <c r="K2672" s="1" t="s">
        <v>2964</v>
      </c>
      <c r="L2672" t="s">
        <v>3284</v>
      </c>
      <c r="M2672" t="str">
        <f>+VLOOKUP(C2672,'[1]TIENDAS 2025'!$A$1:$C$143,3,0)</f>
        <v>local</v>
      </c>
      <c r="O2672">
        <v>1</v>
      </c>
    </row>
    <row r="2673" spans="1:15" ht="15" customHeight="1" x14ac:dyDescent="0.3">
      <c r="A2673" s="7">
        <v>1209672990</v>
      </c>
      <c r="B2673" s="4" t="s">
        <v>351</v>
      </c>
      <c r="C2673" s="4" t="s">
        <v>352</v>
      </c>
      <c r="D2673" s="6">
        <v>46309.503125000003</v>
      </c>
      <c r="E2673" s="6">
        <v>46309.253090277802</v>
      </c>
      <c r="F2673" s="6">
        <v>46309</v>
      </c>
      <c r="G2673" s="5" t="s">
        <v>12</v>
      </c>
      <c r="H2673" s="5" t="s">
        <v>16</v>
      </c>
      <c r="I2673" s="5">
        <v>22</v>
      </c>
      <c r="J2673" s="9" t="s">
        <v>17</v>
      </c>
      <c r="K2673" s="1" t="s">
        <v>2965</v>
      </c>
      <c r="L2673" t="s">
        <v>3284</v>
      </c>
      <c r="M2673" t="str">
        <f>+VLOOKUP(C2673,'[1]TIENDAS 2025'!$A$1:$C$143,3,0)</f>
        <v>prioridad</v>
      </c>
      <c r="O2673">
        <v>1</v>
      </c>
    </row>
    <row r="2674" spans="1:15" ht="15" customHeight="1" x14ac:dyDescent="0.3">
      <c r="A2674" s="7">
        <v>1209672979</v>
      </c>
      <c r="B2674" s="4" t="s">
        <v>351</v>
      </c>
      <c r="C2674" s="4" t="s">
        <v>352</v>
      </c>
      <c r="D2674" s="6">
        <v>46309.503136574102</v>
      </c>
      <c r="E2674" s="6">
        <v>46309.253113425897</v>
      </c>
      <c r="F2674" s="6">
        <v>46309</v>
      </c>
      <c r="G2674" s="5" t="s">
        <v>12</v>
      </c>
      <c r="H2674" s="5" t="s">
        <v>16</v>
      </c>
      <c r="I2674" s="5">
        <v>1</v>
      </c>
      <c r="J2674" s="9" t="s">
        <v>17</v>
      </c>
      <c r="K2674" s="1" t="s">
        <v>2966</v>
      </c>
      <c r="L2674" t="s">
        <v>3284</v>
      </c>
      <c r="M2674" t="str">
        <f>+VLOOKUP(C2674,'[1]TIENDAS 2025'!$A$1:$C$143,3,0)</f>
        <v>prioridad</v>
      </c>
      <c r="O2674">
        <v>1</v>
      </c>
    </row>
    <row r="2675" spans="1:15" ht="15" customHeight="1" x14ac:dyDescent="0.3">
      <c r="A2675" s="7">
        <v>8209672966</v>
      </c>
      <c r="B2675" s="4" t="s">
        <v>351</v>
      </c>
      <c r="C2675" s="4" t="s">
        <v>352</v>
      </c>
      <c r="D2675" s="6">
        <v>46309.503159722197</v>
      </c>
      <c r="E2675" s="6">
        <v>46309.253125000003</v>
      </c>
      <c r="F2675" s="6">
        <v>46309</v>
      </c>
      <c r="G2675" s="5" t="s">
        <v>12</v>
      </c>
      <c r="H2675" s="5" t="s">
        <v>27</v>
      </c>
      <c r="I2675" s="5">
        <v>4</v>
      </c>
      <c r="J2675" s="10" t="s">
        <v>17</v>
      </c>
      <c r="K2675" s="1" t="s">
        <v>2967</v>
      </c>
      <c r="M2675" t="str">
        <f>+VLOOKUP(C2675,'[1]TIENDAS 2025'!$A$1:$C$143,3,0)</f>
        <v>prioridad</v>
      </c>
      <c r="O2675">
        <v>1</v>
      </c>
    </row>
    <row r="2676" spans="1:15" ht="15" customHeight="1" x14ac:dyDescent="0.3">
      <c r="A2676" s="7">
        <v>8209672999</v>
      </c>
      <c r="B2676" s="4" t="s">
        <v>448</v>
      </c>
      <c r="C2676" s="4" t="s">
        <v>449</v>
      </c>
      <c r="D2676" s="6">
        <v>46309.503171296303</v>
      </c>
      <c r="E2676" s="6">
        <v>46309.253136574102</v>
      </c>
      <c r="F2676" s="6">
        <v>46309</v>
      </c>
      <c r="G2676" s="5" t="s">
        <v>12</v>
      </c>
      <c r="H2676" s="5" t="s">
        <v>29</v>
      </c>
      <c r="I2676" s="5">
        <v>5</v>
      </c>
      <c r="J2676" s="10" t="s">
        <v>17</v>
      </c>
      <c r="K2676" s="1" t="s">
        <v>2968</v>
      </c>
      <c r="M2676" t="str">
        <f>+VLOOKUP(C2676,'[1]TIENDAS 2025'!$A$1:$C$143,3,0)</f>
        <v>local</v>
      </c>
      <c r="O2676">
        <v>1</v>
      </c>
    </row>
    <row r="2677" spans="1:15" ht="15" customHeight="1" x14ac:dyDescent="0.3">
      <c r="A2677" s="7">
        <v>8209673002</v>
      </c>
      <c r="B2677" s="4" t="s">
        <v>448</v>
      </c>
      <c r="C2677" s="4" t="s">
        <v>449</v>
      </c>
      <c r="D2677" s="6">
        <v>46309.503182870401</v>
      </c>
      <c r="E2677" s="6">
        <v>46309.253148148098</v>
      </c>
      <c r="F2677" s="6">
        <v>46309</v>
      </c>
      <c r="G2677" s="5" t="s">
        <v>12</v>
      </c>
      <c r="H2677" s="5" t="s">
        <v>27</v>
      </c>
      <c r="I2677" s="5">
        <v>3</v>
      </c>
      <c r="J2677" s="10" t="s">
        <v>17</v>
      </c>
      <c r="K2677" s="1" t="s">
        <v>2969</v>
      </c>
      <c r="M2677" t="str">
        <f>+VLOOKUP(C2677,'[1]TIENDAS 2025'!$A$1:$C$143,3,0)</f>
        <v>local</v>
      </c>
      <c r="O2677">
        <v>1</v>
      </c>
    </row>
    <row r="2678" spans="1:15" ht="15" customHeight="1" x14ac:dyDescent="0.3">
      <c r="A2678" s="7">
        <v>1209672974</v>
      </c>
      <c r="B2678" s="4" t="s">
        <v>351</v>
      </c>
      <c r="C2678" s="4" t="s">
        <v>352</v>
      </c>
      <c r="D2678" s="6">
        <v>46309.503194444398</v>
      </c>
      <c r="E2678" s="6">
        <v>46309.253171296303</v>
      </c>
      <c r="F2678" s="6">
        <v>46309</v>
      </c>
      <c r="G2678" s="5" t="s">
        <v>12</v>
      </c>
      <c r="H2678" s="5" t="s">
        <v>16</v>
      </c>
      <c r="I2678" s="5">
        <v>18</v>
      </c>
      <c r="J2678" s="9" t="s">
        <v>17</v>
      </c>
      <c r="K2678" s="1" t="s">
        <v>2970</v>
      </c>
      <c r="L2678" t="s">
        <v>3284</v>
      </c>
      <c r="M2678" t="str">
        <f>+VLOOKUP(C2678,'[1]TIENDAS 2025'!$A$1:$C$143,3,0)</f>
        <v>prioridad</v>
      </c>
      <c r="O2678">
        <v>1</v>
      </c>
    </row>
    <row r="2679" spans="1:15" ht="15" customHeight="1" x14ac:dyDescent="0.3">
      <c r="A2679" s="7">
        <v>8209673079</v>
      </c>
      <c r="B2679" s="4" t="s">
        <v>466</v>
      </c>
      <c r="C2679" s="4" t="s">
        <v>467</v>
      </c>
      <c r="D2679" s="6">
        <v>46309.503206018497</v>
      </c>
      <c r="E2679" s="6">
        <v>46309.253182870401</v>
      </c>
      <c r="F2679" s="6">
        <v>46309</v>
      </c>
      <c r="G2679" s="5" t="s">
        <v>12</v>
      </c>
      <c r="H2679" s="5" t="s">
        <v>27</v>
      </c>
      <c r="I2679" s="5">
        <v>4</v>
      </c>
      <c r="J2679" s="10" t="s">
        <v>17</v>
      </c>
      <c r="K2679" s="1" t="s">
        <v>2971</v>
      </c>
      <c r="M2679" t="str">
        <f>+VLOOKUP(C2679,'[1]TIENDAS 2025'!$A$1:$C$143,3,0)</f>
        <v>departamental</v>
      </c>
      <c r="O2679">
        <v>1</v>
      </c>
    </row>
    <row r="2680" spans="1:15" ht="15" customHeight="1" x14ac:dyDescent="0.3">
      <c r="A2680" s="7">
        <v>8209673083</v>
      </c>
      <c r="B2680" s="4" t="s">
        <v>466</v>
      </c>
      <c r="C2680" s="4" t="s">
        <v>467</v>
      </c>
      <c r="D2680" s="6">
        <v>46309.503229166701</v>
      </c>
      <c r="E2680" s="6">
        <v>46309.253194444398</v>
      </c>
      <c r="F2680" s="6">
        <v>46309</v>
      </c>
      <c r="G2680" s="5" t="s">
        <v>12</v>
      </c>
      <c r="H2680" s="5" t="s">
        <v>27</v>
      </c>
      <c r="I2680" s="5">
        <v>31</v>
      </c>
      <c r="J2680" s="10" t="s">
        <v>17</v>
      </c>
      <c r="K2680" s="1" t="s">
        <v>2972</v>
      </c>
      <c r="M2680" t="str">
        <f>+VLOOKUP(C2680,'[1]TIENDAS 2025'!$A$1:$C$143,3,0)</f>
        <v>departamental</v>
      </c>
      <c r="O2680">
        <v>1</v>
      </c>
    </row>
    <row r="2681" spans="1:15" ht="15" customHeight="1" x14ac:dyDescent="0.3">
      <c r="A2681" s="7">
        <v>1209673151</v>
      </c>
      <c r="B2681" s="4" t="s">
        <v>397</v>
      </c>
      <c r="C2681" s="4" t="s">
        <v>398</v>
      </c>
      <c r="D2681" s="6">
        <v>46309.503240740698</v>
      </c>
      <c r="E2681" s="6">
        <v>46309.253206018497</v>
      </c>
      <c r="F2681" s="6">
        <v>46309</v>
      </c>
      <c r="G2681" s="5" t="s">
        <v>12</v>
      </c>
      <c r="H2681" s="5" t="s">
        <v>29</v>
      </c>
      <c r="I2681" s="5">
        <v>21</v>
      </c>
      <c r="J2681" s="9" t="s">
        <v>17</v>
      </c>
      <c r="K2681" s="1" t="s">
        <v>2973</v>
      </c>
      <c r="L2681" t="s">
        <v>3284</v>
      </c>
      <c r="M2681" t="str">
        <f>+VLOOKUP(C2681,'[1]TIENDAS 2025'!$A$1:$C$143,3,0)</f>
        <v>local</v>
      </c>
      <c r="O2681">
        <v>1</v>
      </c>
    </row>
    <row r="2682" spans="1:15" ht="15" customHeight="1" x14ac:dyDescent="0.3">
      <c r="A2682" s="7">
        <v>1209673087</v>
      </c>
      <c r="B2682" s="4" t="s">
        <v>466</v>
      </c>
      <c r="C2682" s="4" t="s">
        <v>467</v>
      </c>
      <c r="D2682" s="6">
        <v>46309.503263888902</v>
      </c>
      <c r="E2682" s="6">
        <v>46309.253229166701</v>
      </c>
      <c r="F2682" s="6">
        <v>46309</v>
      </c>
      <c r="G2682" s="5" t="s">
        <v>12</v>
      </c>
      <c r="H2682" s="5" t="s">
        <v>16</v>
      </c>
      <c r="I2682" s="5">
        <v>17</v>
      </c>
      <c r="J2682" s="9" t="s">
        <v>17</v>
      </c>
      <c r="K2682" s="1" t="s">
        <v>2974</v>
      </c>
      <c r="L2682" t="s">
        <v>3284</v>
      </c>
      <c r="M2682" t="str">
        <f>+VLOOKUP(C2682,'[1]TIENDAS 2025'!$A$1:$C$143,3,0)</f>
        <v>departamental</v>
      </c>
      <c r="O2682">
        <v>1</v>
      </c>
    </row>
    <row r="2683" spans="1:15" ht="15" customHeight="1" x14ac:dyDescent="0.3">
      <c r="A2683" s="7">
        <v>1209673043</v>
      </c>
      <c r="B2683" s="4" t="s">
        <v>394</v>
      </c>
      <c r="C2683" s="4" t="s">
        <v>395</v>
      </c>
      <c r="D2683" s="6">
        <v>46309.503263888902</v>
      </c>
      <c r="E2683" s="6">
        <v>46309.253240740698</v>
      </c>
      <c r="F2683" s="6">
        <v>46309</v>
      </c>
      <c r="G2683" s="5" t="s">
        <v>12</v>
      </c>
      <c r="H2683" s="5" t="s">
        <v>16</v>
      </c>
      <c r="I2683" s="5">
        <v>5</v>
      </c>
      <c r="J2683" s="9" t="s">
        <v>17</v>
      </c>
      <c r="K2683" s="1" t="s">
        <v>2975</v>
      </c>
      <c r="L2683" t="s">
        <v>3284</v>
      </c>
      <c r="M2683" t="str">
        <f>+VLOOKUP(C2683,'[1]TIENDAS 2025'!$A$1:$C$143,3,0)</f>
        <v>local</v>
      </c>
      <c r="O2683">
        <v>1</v>
      </c>
    </row>
    <row r="2684" spans="1:15" ht="15" customHeight="1" x14ac:dyDescent="0.3">
      <c r="A2684" s="7">
        <v>1209673114</v>
      </c>
      <c r="B2684" s="4" t="s">
        <v>536</v>
      </c>
      <c r="C2684" s="4" t="s">
        <v>537</v>
      </c>
      <c r="D2684" s="6">
        <v>46309.503275463001</v>
      </c>
      <c r="E2684" s="6">
        <v>46309.253252314797</v>
      </c>
      <c r="F2684" s="6">
        <v>46309</v>
      </c>
      <c r="G2684" s="5" t="s">
        <v>12</v>
      </c>
      <c r="H2684" s="5" t="s">
        <v>16</v>
      </c>
      <c r="I2684" s="5">
        <v>8</v>
      </c>
      <c r="J2684" s="9" t="s">
        <v>17</v>
      </c>
      <c r="K2684" s="1" t="s">
        <v>2976</v>
      </c>
      <c r="L2684" t="s">
        <v>3284</v>
      </c>
      <c r="M2684" t="str">
        <f>+VLOOKUP(C2684,'[1]TIENDAS 2025'!$A$1:$C$143,3,0)</f>
        <v>departamental</v>
      </c>
      <c r="O2684">
        <v>1</v>
      </c>
    </row>
    <row r="2685" spans="1:15" ht="15" customHeight="1" x14ac:dyDescent="0.3">
      <c r="A2685" s="7">
        <v>1209673098</v>
      </c>
      <c r="B2685" s="4" t="s">
        <v>466</v>
      </c>
      <c r="C2685" s="4" t="s">
        <v>467</v>
      </c>
      <c r="D2685" s="6">
        <v>46309.503298611096</v>
      </c>
      <c r="E2685" s="6">
        <v>46309.253263888902</v>
      </c>
      <c r="F2685" s="6">
        <v>46309</v>
      </c>
      <c r="G2685" s="5" t="s">
        <v>12</v>
      </c>
      <c r="H2685" s="5" t="s">
        <v>16</v>
      </c>
      <c r="I2685" s="5">
        <v>14</v>
      </c>
      <c r="J2685" s="9" t="s">
        <v>17</v>
      </c>
      <c r="K2685" s="1" t="s">
        <v>2977</v>
      </c>
      <c r="L2685" t="s">
        <v>3284</v>
      </c>
      <c r="M2685" t="str">
        <f>+VLOOKUP(C2685,'[1]TIENDAS 2025'!$A$1:$C$143,3,0)</f>
        <v>departamental</v>
      </c>
      <c r="O2685">
        <v>1</v>
      </c>
    </row>
    <row r="2686" spans="1:15" ht="15" customHeight="1" x14ac:dyDescent="0.3">
      <c r="A2686" s="7">
        <v>8209673038</v>
      </c>
      <c r="B2686" s="4" t="s">
        <v>394</v>
      </c>
      <c r="C2686" s="4" t="s">
        <v>395</v>
      </c>
      <c r="D2686" s="6">
        <v>46309.503310185202</v>
      </c>
      <c r="E2686" s="6">
        <v>46309.253287036998</v>
      </c>
      <c r="F2686" s="6">
        <v>46309</v>
      </c>
      <c r="G2686" s="5" t="s">
        <v>12</v>
      </c>
      <c r="H2686" s="5" t="s">
        <v>27</v>
      </c>
      <c r="I2686" s="5">
        <v>1</v>
      </c>
      <c r="J2686" s="10" t="s">
        <v>17</v>
      </c>
      <c r="K2686" s="1" t="s">
        <v>2978</v>
      </c>
      <c r="M2686" t="str">
        <f>+VLOOKUP(C2686,'[1]TIENDAS 2025'!$A$1:$C$143,3,0)</f>
        <v>local</v>
      </c>
      <c r="O2686">
        <v>1</v>
      </c>
    </row>
    <row r="2687" spans="1:15" ht="15" customHeight="1" x14ac:dyDescent="0.3">
      <c r="A2687" s="7">
        <v>8209673041</v>
      </c>
      <c r="B2687" s="4" t="s">
        <v>394</v>
      </c>
      <c r="C2687" s="4" t="s">
        <v>395</v>
      </c>
      <c r="D2687" s="6">
        <v>46309.503321759301</v>
      </c>
      <c r="E2687" s="6">
        <v>46309.253298611096</v>
      </c>
      <c r="F2687" s="6">
        <v>46309</v>
      </c>
      <c r="G2687" s="5" t="s">
        <v>12</v>
      </c>
      <c r="H2687" s="5" t="s">
        <v>27</v>
      </c>
      <c r="I2687" s="5">
        <v>8</v>
      </c>
      <c r="J2687" s="10" t="s">
        <v>17</v>
      </c>
      <c r="K2687" s="1" t="s">
        <v>2979</v>
      </c>
      <c r="M2687" t="str">
        <f>+VLOOKUP(C2687,'[1]TIENDAS 2025'!$A$1:$C$143,3,0)</f>
        <v>local</v>
      </c>
      <c r="O2687">
        <v>1</v>
      </c>
    </row>
    <row r="2688" spans="1:15" ht="15" customHeight="1" x14ac:dyDescent="0.3">
      <c r="A2688" s="7">
        <v>8209672969</v>
      </c>
      <c r="B2688" s="4" t="s">
        <v>351</v>
      </c>
      <c r="C2688" s="4" t="s">
        <v>352</v>
      </c>
      <c r="D2688" s="6">
        <v>46309.503333333298</v>
      </c>
      <c r="E2688" s="6">
        <v>46309.253310185202</v>
      </c>
      <c r="F2688" s="6">
        <v>46309</v>
      </c>
      <c r="G2688" s="5" t="s">
        <v>12</v>
      </c>
      <c r="H2688" s="5" t="s">
        <v>27</v>
      </c>
      <c r="I2688" s="5">
        <v>25</v>
      </c>
      <c r="J2688" s="10" t="s">
        <v>17</v>
      </c>
      <c r="K2688" s="1" t="s">
        <v>2980</v>
      </c>
      <c r="M2688" t="str">
        <f>+VLOOKUP(C2688,'[1]TIENDAS 2025'!$A$1:$C$143,3,0)</f>
        <v>prioridad</v>
      </c>
      <c r="O2688">
        <v>1</v>
      </c>
    </row>
    <row r="2689" spans="1:15" ht="15" customHeight="1" x14ac:dyDescent="0.3">
      <c r="A2689" s="7">
        <v>1209673055</v>
      </c>
      <c r="B2689" s="4" t="s">
        <v>394</v>
      </c>
      <c r="C2689" s="4" t="s">
        <v>395</v>
      </c>
      <c r="D2689" s="6">
        <v>46309.503356481502</v>
      </c>
      <c r="E2689" s="6">
        <v>46309.253321759301</v>
      </c>
      <c r="F2689" s="6">
        <v>46309</v>
      </c>
      <c r="G2689" s="5" t="s">
        <v>12</v>
      </c>
      <c r="H2689" s="5" t="s">
        <v>16</v>
      </c>
      <c r="I2689" s="5">
        <v>2</v>
      </c>
      <c r="J2689" s="9" t="s">
        <v>17</v>
      </c>
      <c r="K2689" s="1" t="s">
        <v>2981</v>
      </c>
      <c r="L2689" t="s">
        <v>3284</v>
      </c>
      <c r="M2689" t="str">
        <f>+VLOOKUP(C2689,'[1]TIENDAS 2025'!$A$1:$C$143,3,0)</f>
        <v>local</v>
      </c>
      <c r="O2689">
        <v>1</v>
      </c>
    </row>
    <row r="2690" spans="1:15" ht="15" customHeight="1" x14ac:dyDescent="0.3">
      <c r="A2690" s="7">
        <v>1209673085</v>
      </c>
      <c r="B2690" s="4" t="s">
        <v>466</v>
      </c>
      <c r="C2690" s="4" t="s">
        <v>467</v>
      </c>
      <c r="D2690" s="6">
        <v>46309.503368055601</v>
      </c>
      <c r="E2690" s="6">
        <v>46309.253333333298</v>
      </c>
      <c r="F2690" s="6">
        <v>46309</v>
      </c>
      <c r="G2690" s="5" t="s">
        <v>12</v>
      </c>
      <c r="H2690" s="5" t="s">
        <v>16</v>
      </c>
      <c r="I2690" s="5">
        <v>11</v>
      </c>
      <c r="J2690" s="9" t="s">
        <v>17</v>
      </c>
      <c r="K2690" s="1" t="s">
        <v>2982</v>
      </c>
      <c r="L2690" t="s">
        <v>3284</v>
      </c>
      <c r="M2690" t="str">
        <f>+VLOOKUP(C2690,'[1]TIENDAS 2025'!$A$1:$C$143,3,0)</f>
        <v>departamental</v>
      </c>
      <c r="O2690">
        <v>1</v>
      </c>
    </row>
    <row r="2691" spans="1:15" ht="15" customHeight="1" x14ac:dyDescent="0.3">
      <c r="A2691" s="7">
        <v>8209673108</v>
      </c>
      <c r="B2691" s="4" t="s">
        <v>536</v>
      </c>
      <c r="C2691" s="4" t="s">
        <v>537</v>
      </c>
      <c r="D2691" s="6">
        <v>46309.503379629597</v>
      </c>
      <c r="E2691" s="6">
        <v>46309.253356481502</v>
      </c>
      <c r="F2691" s="6">
        <v>46309</v>
      </c>
      <c r="G2691" s="5" t="s">
        <v>12</v>
      </c>
      <c r="H2691" s="5" t="s">
        <v>27</v>
      </c>
      <c r="I2691" s="5">
        <v>6</v>
      </c>
      <c r="J2691" s="10" t="s">
        <v>17</v>
      </c>
      <c r="K2691" s="1" t="s">
        <v>2983</v>
      </c>
      <c r="M2691" t="str">
        <f>+VLOOKUP(C2691,'[1]TIENDAS 2025'!$A$1:$C$143,3,0)</f>
        <v>departamental</v>
      </c>
      <c r="O2691">
        <v>1</v>
      </c>
    </row>
    <row r="2692" spans="1:15" ht="15" customHeight="1" x14ac:dyDescent="0.3">
      <c r="A2692" s="7">
        <v>1209673093</v>
      </c>
      <c r="B2692" s="4" t="s">
        <v>466</v>
      </c>
      <c r="C2692" s="4" t="s">
        <v>467</v>
      </c>
      <c r="D2692" s="6">
        <v>46309.503402777802</v>
      </c>
      <c r="E2692" s="6">
        <v>46309.253368055601</v>
      </c>
      <c r="F2692" s="6">
        <v>46309</v>
      </c>
      <c r="G2692" s="5" t="s">
        <v>12</v>
      </c>
      <c r="H2692" s="5" t="s">
        <v>16</v>
      </c>
      <c r="I2692" s="5">
        <v>5</v>
      </c>
      <c r="J2692" s="9" t="s">
        <v>17</v>
      </c>
      <c r="K2692" s="1" t="s">
        <v>2984</v>
      </c>
      <c r="L2692" t="s">
        <v>3284</v>
      </c>
      <c r="M2692" t="str">
        <f>+VLOOKUP(C2692,'[1]TIENDAS 2025'!$A$1:$C$143,3,0)</f>
        <v>departamental</v>
      </c>
      <c r="O2692">
        <v>1</v>
      </c>
    </row>
    <row r="2693" spans="1:15" ht="15" customHeight="1" x14ac:dyDescent="0.3">
      <c r="A2693" s="7">
        <v>8209673141</v>
      </c>
      <c r="B2693" s="4" t="s">
        <v>397</v>
      </c>
      <c r="C2693" s="4" t="s">
        <v>398</v>
      </c>
      <c r="D2693" s="6">
        <v>46309.503402777802</v>
      </c>
      <c r="E2693" s="6">
        <v>46309.253379629597</v>
      </c>
      <c r="F2693" s="6">
        <v>46309</v>
      </c>
      <c r="G2693" s="5" t="s">
        <v>12</v>
      </c>
      <c r="H2693" s="5" t="s">
        <v>27</v>
      </c>
      <c r="I2693" s="5">
        <v>15</v>
      </c>
      <c r="J2693" s="10" t="s">
        <v>17</v>
      </c>
      <c r="K2693" s="1" t="s">
        <v>2985</v>
      </c>
      <c r="M2693" t="str">
        <f>+VLOOKUP(C2693,'[1]TIENDAS 2025'!$A$1:$C$143,3,0)</f>
        <v>local</v>
      </c>
      <c r="O2693">
        <v>1</v>
      </c>
    </row>
    <row r="2694" spans="1:15" ht="15" customHeight="1" x14ac:dyDescent="0.3">
      <c r="A2694" s="7">
        <v>8209673143</v>
      </c>
      <c r="B2694" s="4" t="s">
        <v>397</v>
      </c>
      <c r="C2694" s="4" t="s">
        <v>398</v>
      </c>
      <c r="D2694" s="6">
        <v>46309.503425925897</v>
      </c>
      <c r="E2694" s="6">
        <v>46309.253391203703</v>
      </c>
      <c r="F2694" s="6">
        <v>46309</v>
      </c>
      <c r="G2694" s="5" t="s">
        <v>12</v>
      </c>
      <c r="H2694" s="5" t="s">
        <v>27</v>
      </c>
      <c r="I2694" s="5">
        <v>15</v>
      </c>
      <c r="J2694" s="10" t="s">
        <v>17</v>
      </c>
      <c r="K2694" s="1" t="s">
        <v>2986</v>
      </c>
      <c r="M2694" t="str">
        <f>+VLOOKUP(C2694,'[1]TIENDAS 2025'!$A$1:$C$143,3,0)</f>
        <v>local</v>
      </c>
      <c r="O2694">
        <v>1</v>
      </c>
    </row>
    <row r="2695" spans="1:15" ht="15" customHeight="1" x14ac:dyDescent="0.3">
      <c r="A2695" s="7">
        <v>1209673146</v>
      </c>
      <c r="B2695" s="4" t="s">
        <v>397</v>
      </c>
      <c r="C2695" s="4" t="s">
        <v>398</v>
      </c>
      <c r="D2695" s="6">
        <v>46309.503437500003</v>
      </c>
      <c r="E2695" s="6">
        <v>46309.253414351799</v>
      </c>
      <c r="F2695" s="6">
        <v>46309</v>
      </c>
      <c r="G2695" s="5" t="s">
        <v>12</v>
      </c>
      <c r="H2695" s="5" t="s">
        <v>16</v>
      </c>
      <c r="I2695" s="5">
        <v>13</v>
      </c>
      <c r="J2695" s="9" t="s">
        <v>17</v>
      </c>
      <c r="K2695" s="1" t="s">
        <v>2987</v>
      </c>
      <c r="L2695" t="s">
        <v>3284</v>
      </c>
      <c r="M2695" t="str">
        <f>+VLOOKUP(C2695,'[1]TIENDAS 2025'!$A$1:$C$143,3,0)</f>
        <v>local</v>
      </c>
      <c r="O2695">
        <v>1</v>
      </c>
    </row>
    <row r="2696" spans="1:15" ht="15" customHeight="1" x14ac:dyDescent="0.3">
      <c r="A2696" s="7">
        <v>1209673149</v>
      </c>
      <c r="B2696" s="4" t="s">
        <v>397</v>
      </c>
      <c r="C2696" s="4" t="s">
        <v>398</v>
      </c>
      <c r="D2696" s="6">
        <v>46309.503460648099</v>
      </c>
      <c r="E2696" s="6">
        <v>46309.253437500003</v>
      </c>
      <c r="F2696" s="6">
        <v>46309</v>
      </c>
      <c r="G2696" s="5" t="s">
        <v>12</v>
      </c>
      <c r="H2696" s="5" t="s">
        <v>16</v>
      </c>
      <c r="I2696" s="5">
        <v>21</v>
      </c>
      <c r="J2696" s="9" t="s">
        <v>17</v>
      </c>
      <c r="K2696" s="1" t="s">
        <v>2988</v>
      </c>
      <c r="L2696" t="s">
        <v>3284</v>
      </c>
      <c r="M2696" t="str">
        <f>+VLOOKUP(C2696,'[1]TIENDAS 2025'!$A$1:$C$143,3,0)</f>
        <v>local</v>
      </c>
      <c r="O2696">
        <v>1</v>
      </c>
    </row>
    <row r="2697" spans="1:15" ht="15" customHeight="1" x14ac:dyDescent="0.3">
      <c r="A2697" s="7">
        <v>1209673048</v>
      </c>
      <c r="B2697" s="4" t="s">
        <v>394</v>
      </c>
      <c r="C2697" s="4" t="s">
        <v>395</v>
      </c>
      <c r="D2697" s="6">
        <v>46309.503460648099</v>
      </c>
      <c r="E2697" s="6">
        <v>46309.253425925897</v>
      </c>
      <c r="F2697" s="6">
        <v>46309</v>
      </c>
      <c r="G2697" s="5" t="s">
        <v>12</v>
      </c>
      <c r="H2697" s="5" t="s">
        <v>16</v>
      </c>
      <c r="I2697" s="5">
        <v>22</v>
      </c>
      <c r="J2697" s="9" t="s">
        <v>17</v>
      </c>
      <c r="K2697" s="1" t="s">
        <v>2989</v>
      </c>
      <c r="L2697" t="s">
        <v>3284</v>
      </c>
      <c r="M2697" t="str">
        <f>+VLOOKUP(C2697,'[1]TIENDAS 2025'!$A$1:$C$143,3,0)</f>
        <v>local</v>
      </c>
      <c r="O2697">
        <v>1</v>
      </c>
    </row>
    <row r="2698" spans="1:15" ht="15" customHeight="1" x14ac:dyDescent="0.3">
      <c r="A2698" s="7">
        <v>1209672976</v>
      </c>
      <c r="B2698" s="4" t="s">
        <v>351</v>
      </c>
      <c r="C2698" s="4" t="s">
        <v>352</v>
      </c>
      <c r="D2698" s="6">
        <v>46309.503483796303</v>
      </c>
      <c r="E2698" s="6">
        <v>46309.253449074102</v>
      </c>
      <c r="F2698" s="6">
        <v>46309</v>
      </c>
      <c r="G2698" s="5" t="s">
        <v>12</v>
      </c>
      <c r="H2698" s="5" t="s">
        <v>29</v>
      </c>
      <c r="I2698" s="5">
        <v>32</v>
      </c>
      <c r="J2698" s="9" t="s">
        <v>17</v>
      </c>
      <c r="K2698" s="1" t="s">
        <v>2990</v>
      </c>
      <c r="L2698" t="s">
        <v>3284</v>
      </c>
      <c r="M2698" t="str">
        <f>+VLOOKUP(C2698,'[1]TIENDAS 2025'!$A$1:$C$143,3,0)</f>
        <v>prioridad</v>
      </c>
      <c r="O2698">
        <v>1</v>
      </c>
    </row>
    <row r="2699" spans="1:15" ht="15" customHeight="1" x14ac:dyDescent="0.3">
      <c r="A2699" s="7">
        <v>8209672968</v>
      </c>
      <c r="B2699" s="4" t="s">
        <v>351</v>
      </c>
      <c r="C2699" s="4" t="s">
        <v>352</v>
      </c>
      <c r="D2699" s="6">
        <v>46309.503495370402</v>
      </c>
      <c r="E2699" s="6">
        <v>46309.253460648099</v>
      </c>
      <c r="F2699" s="6">
        <v>46309</v>
      </c>
      <c r="G2699" s="5" t="s">
        <v>12</v>
      </c>
      <c r="H2699" s="5" t="s">
        <v>27</v>
      </c>
      <c r="I2699" s="5">
        <v>15</v>
      </c>
      <c r="J2699" s="10" t="s">
        <v>17</v>
      </c>
      <c r="K2699" s="1" t="s">
        <v>2991</v>
      </c>
      <c r="M2699" t="str">
        <f>+VLOOKUP(C2699,'[1]TIENDAS 2025'!$A$1:$C$143,3,0)</f>
        <v>prioridad</v>
      </c>
      <c r="O2699">
        <v>1</v>
      </c>
    </row>
    <row r="2700" spans="1:15" ht="15" customHeight="1" x14ac:dyDescent="0.3">
      <c r="A2700" s="7">
        <v>1209672981</v>
      </c>
      <c r="B2700" s="4" t="s">
        <v>351</v>
      </c>
      <c r="C2700" s="4" t="s">
        <v>352</v>
      </c>
      <c r="D2700" s="6">
        <v>46309.503506944398</v>
      </c>
      <c r="E2700" s="6">
        <v>46309.253483796303</v>
      </c>
      <c r="F2700" s="6">
        <v>46309</v>
      </c>
      <c r="G2700" s="5" t="s">
        <v>12</v>
      </c>
      <c r="H2700" s="5" t="s">
        <v>29</v>
      </c>
      <c r="I2700" s="5">
        <v>66</v>
      </c>
      <c r="J2700" s="9" t="s">
        <v>17</v>
      </c>
      <c r="K2700" s="1" t="s">
        <v>2992</v>
      </c>
      <c r="L2700" t="s">
        <v>3284</v>
      </c>
      <c r="M2700" t="str">
        <f>+VLOOKUP(C2700,'[1]TIENDAS 2025'!$A$1:$C$143,3,0)</f>
        <v>prioridad</v>
      </c>
      <c r="O2700">
        <v>1</v>
      </c>
    </row>
    <row r="2701" spans="1:15" ht="15" customHeight="1" x14ac:dyDescent="0.3">
      <c r="A2701" s="7">
        <v>1209673014</v>
      </c>
      <c r="B2701" s="4" t="s">
        <v>448</v>
      </c>
      <c r="C2701" s="4" t="s">
        <v>449</v>
      </c>
      <c r="D2701" s="6">
        <v>46309.503518518497</v>
      </c>
      <c r="E2701" s="6">
        <v>46309.253495370402</v>
      </c>
      <c r="F2701" s="6">
        <v>46309</v>
      </c>
      <c r="G2701" s="5" t="s">
        <v>12</v>
      </c>
      <c r="H2701" s="5" t="s">
        <v>16</v>
      </c>
      <c r="I2701" s="5">
        <v>1</v>
      </c>
      <c r="J2701" s="9" t="s">
        <v>17</v>
      </c>
      <c r="K2701" s="1" t="s">
        <v>2993</v>
      </c>
      <c r="L2701" t="s">
        <v>3284</v>
      </c>
      <c r="M2701" t="str">
        <f>+VLOOKUP(C2701,'[1]TIENDAS 2025'!$A$1:$C$143,3,0)</f>
        <v>local</v>
      </c>
      <c r="O2701">
        <v>1</v>
      </c>
    </row>
    <row r="2702" spans="1:15" ht="15" customHeight="1" x14ac:dyDescent="0.3">
      <c r="A2702" s="7">
        <v>1209672973</v>
      </c>
      <c r="B2702" s="4" t="s">
        <v>351</v>
      </c>
      <c r="C2702" s="4" t="s">
        <v>352</v>
      </c>
      <c r="D2702" s="6">
        <v>46309.503541666701</v>
      </c>
      <c r="E2702" s="6">
        <v>46309.253506944398</v>
      </c>
      <c r="F2702" s="6">
        <v>46309</v>
      </c>
      <c r="G2702" s="5" t="s">
        <v>12</v>
      </c>
      <c r="H2702" s="5" t="s">
        <v>16</v>
      </c>
      <c r="I2702" s="5">
        <v>16</v>
      </c>
      <c r="J2702" s="9" t="s">
        <v>17</v>
      </c>
      <c r="K2702" s="1" t="s">
        <v>2994</v>
      </c>
      <c r="L2702" t="s">
        <v>3284</v>
      </c>
      <c r="M2702" t="str">
        <f>+VLOOKUP(C2702,'[1]TIENDAS 2025'!$A$1:$C$143,3,0)</f>
        <v>prioridad</v>
      </c>
      <c r="O2702">
        <v>1</v>
      </c>
    </row>
    <row r="2703" spans="1:15" ht="15" customHeight="1" x14ac:dyDescent="0.3">
      <c r="A2703" s="7">
        <v>1209673050</v>
      </c>
      <c r="B2703" s="4" t="s">
        <v>394</v>
      </c>
      <c r="C2703" s="4" t="s">
        <v>395</v>
      </c>
      <c r="D2703" s="6">
        <v>46309.503553240698</v>
      </c>
      <c r="E2703" s="6">
        <v>46309.253518518497</v>
      </c>
      <c r="F2703" s="6">
        <v>46309</v>
      </c>
      <c r="G2703" s="5" t="s">
        <v>12</v>
      </c>
      <c r="H2703" s="5" t="s">
        <v>29</v>
      </c>
      <c r="I2703" s="5">
        <v>37</v>
      </c>
      <c r="J2703" s="9" t="s">
        <v>17</v>
      </c>
      <c r="K2703" s="1" t="s">
        <v>2995</v>
      </c>
      <c r="L2703" t="s">
        <v>3284</v>
      </c>
      <c r="M2703" t="str">
        <f>+VLOOKUP(C2703,'[1]TIENDAS 2025'!$A$1:$C$143,3,0)</f>
        <v>local</v>
      </c>
      <c r="O2703">
        <v>1</v>
      </c>
    </row>
    <row r="2704" spans="1:15" ht="15" customHeight="1" x14ac:dyDescent="0.3">
      <c r="A2704" s="7">
        <v>1209673150</v>
      </c>
      <c r="B2704" s="4" t="s">
        <v>397</v>
      </c>
      <c r="C2704" s="4" t="s">
        <v>398</v>
      </c>
      <c r="D2704" s="6">
        <v>46309.503564814797</v>
      </c>
      <c r="E2704" s="6">
        <v>46309.253541666701</v>
      </c>
      <c r="F2704" s="6">
        <v>46309</v>
      </c>
      <c r="G2704" s="5" t="s">
        <v>12</v>
      </c>
      <c r="H2704" s="5" t="s">
        <v>16</v>
      </c>
      <c r="I2704" s="5">
        <v>16</v>
      </c>
      <c r="J2704" s="9" t="s">
        <v>17</v>
      </c>
      <c r="K2704" s="1" t="s">
        <v>2996</v>
      </c>
      <c r="L2704" t="s">
        <v>3284</v>
      </c>
      <c r="M2704" t="str">
        <f>+VLOOKUP(C2704,'[1]TIENDAS 2025'!$A$1:$C$143,3,0)</f>
        <v>local</v>
      </c>
      <c r="O2704">
        <v>1</v>
      </c>
    </row>
    <row r="2705" spans="1:15" ht="15" customHeight="1" x14ac:dyDescent="0.3">
      <c r="A2705" s="7">
        <v>1209673082</v>
      </c>
      <c r="B2705" s="4" t="s">
        <v>466</v>
      </c>
      <c r="C2705" s="4" t="s">
        <v>467</v>
      </c>
      <c r="D2705" s="6">
        <v>46309.503587963001</v>
      </c>
      <c r="E2705" s="6">
        <v>46309.253553240698</v>
      </c>
      <c r="F2705" s="6">
        <v>46309</v>
      </c>
      <c r="G2705" s="5" t="s">
        <v>12</v>
      </c>
      <c r="H2705" s="5" t="s">
        <v>16</v>
      </c>
      <c r="I2705" s="5">
        <v>1</v>
      </c>
      <c r="J2705" s="9" t="s">
        <v>17</v>
      </c>
      <c r="K2705" s="1" t="s">
        <v>2997</v>
      </c>
      <c r="L2705" t="s">
        <v>3284</v>
      </c>
      <c r="M2705" t="str">
        <f>+VLOOKUP(C2705,'[1]TIENDAS 2025'!$A$1:$C$143,3,0)</f>
        <v>departamental</v>
      </c>
      <c r="O2705">
        <v>1</v>
      </c>
    </row>
    <row r="2706" spans="1:15" ht="15" customHeight="1" x14ac:dyDescent="0.3">
      <c r="A2706" s="7">
        <v>1209673042</v>
      </c>
      <c r="B2706" s="4" t="s">
        <v>394</v>
      </c>
      <c r="C2706" s="4" t="s">
        <v>395</v>
      </c>
      <c r="D2706" s="6">
        <v>46309.503587963001</v>
      </c>
      <c r="E2706" s="6">
        <v>46309.253564814797</v>
      </c>
      <c r="F2706" s="6">
        <v>46309</v>
      </c>
      <c r="G2706" s="5" t="s">
        <v>12</v>
      </c>
      <c r="H2706" s="5" t="s">
        <v>16</v>
      </c>
      <c r="I2706" s="5">
        <v>2</v>
      </c>
      <c r="J2706" s="9" t="s">
        <v>17</v>
      </c>
      <c r="K2706" s="1" t="s">
        <v>2998</v>
      </c>
      <c r="L2706" t="s">
        <v>3284</v>
      </c>
      <c r="M2706" t="str">
        <f>+VLOOKUP(C2706,'[1]TIENDAS 2025'!$A$1:$C$143,3,0)</f>
        <v>local</v>
      </c>
      <c r="O2706">
        <v>1</v>
      </c>
    </row>
    <row r="2707" spans="1:15" ht="15" customHeight="1" x14ac:dyDescent="0.3">
      <c r="A2707" s="7">
        <v>8209673111</v>
      </c>
      <c r="B2707" s="4" t="s">
        <v>536</v>
      </c>
      <c r="C2707" s="4" t="s">
        <v>537</v>
      </c>
      <c r="D2707" s="6">
        <v>46309.503611111097</v>
      </c>
      <c r="E2707" s="6">
        <v>46309.253576388903</v>
      </c>
      <c r="F2707" s="6">
        <v>46309</v>
      </c>
      <c r="G2707" s="5" t="s">
        <v>12</v>
      </c>
      <c r="H2707" s="5" t="s">
        <v>27</v>
      </c>
      <c r="I2707" s="5">
        <v>8</v>
      </c>
      <c r="J2707" s="10" t="s">
        <v>17</v>
      </c>
      <c r="K2707" s="1" t="s">
        <v>2999</v>
      </c>
      <c r="M2707" t="str">
        <f>+VLOOKUP(C2707,'[1]TIENDAS 2025'!$A$1:$C$143,3,0)</f>
        <v>departamental</v>
      </c>
      <c r="O2707">
        <v>1</v>
      </c>
    </row>
    <row r="2708" spans="1:15" ht="15" customHeight="1" x14ac:dyDescent="0.3">
      <c r="A2708" s="7">
        <v>1209673115</v>
      </c>
      <c r="B2708" s="4" t="s">
        <v>536</v>
      </c>
      <c r="C2708" s="4" t="s">
        <v>537</v>
      </c>
      <c r="D2708" s="6">
        <v>46309.503622685203</v>
      </c>
      <c r="E2708" s="6">
        <v>46309.253599536998</v>
      </c>
      <c r="F2708" s="6">
        <v>46309</v>
      </c>
      <c r="G2708" s="5" t="s">
        <v>12</v>
      </c>
      <c r="H2708" s="5" t="s">
        <v>16</v>
      </c>
      <c r="I2708" s="5">
        <v>10</v>
      </c>
      <c r="J2708" s="9" t="s">
        <v>17</v>
      </c>
      <c r="K2708" s="1" t="s">
        <v>3000</v>
      </c>
      <c r="L2708" t="s">
        <v>3284</v>
      </c>
      <c r="M2708" t="str">
        <f>+VLOOKUP(C2708,'[1]TIENDAS 2025'!$A$1:$C$143,3,0)</f>
        <v>departamental</v>
      </c>
      <c r="O2708">
        <v>1</v>
      </c>
    </row>
    <row r="2709" spans="1:15" ht="15" customHeight="1" x14ac:dyDescent="0.3">
      <c r="A2709" s="7">
        <v>8209673035</v>
      </c>
      <c r="B2709" s="4" t="s">
        <v>394</v>
      </c>
      <c r="C2709" s="4" t="s">
        <v>395</v>
      </c>
      <c r="D2709" s="6">
        <v>46309.503634259301</v>
      </c>
      <c r="E2709" s="6">
        <v>46309.253611111097</v>
      </c>
      <c r="F2709" s="6">
        <v>46309</v>
      </c>
      <c r="G2709" s="5" t="s">
        <v>12</v>
      </c>
      <c r="H2709" s="5" t="s">
        <v>27</v>
      </c>
      <c r="I2709" s="5">
        <v>6</v>
      </c>
      <c r="J2709" s="10" t="s">
        <v>17</v>
      </c>
      <c r="K2709" s="1" t="s">
        <v>3001</v>
      </c>
      <c r="M2709" t="str">
        <f>+VLOOKUP(C2709,'[1]TIENDAS 2025'!$A$1:$C$143,3,0)</f>
        <v>local</v>
      </c>
      <c r="O2709">
        <v>1</v>
      </c>
    </row>
    <row r="2710" spans="1:15" ht="15" customHeight="1" x14ac:dyDescent="0.3">
      <c r="A2710" s="7">
        <v>1209673011</v>
      </c>
      <c r="B2710" s="4" t="s">
        <v>448</v>
      </c>
      <c r="C2710" s="4" t="s">
        <v>449</v>
      </c>
      <c r="D2710" s="6">
        <v>46309.503657407397</v>
      </c>
      <c r="E2710" s="6">
        <v>46309.253622685203</v>
      </c>
      <c r="F2710" s="6">
        <v>46309</v>
      </c>
      <c r="G2710" s="5" t="s">
        <v>12</v>
      </c>
      <c r="H2710" s="5" t="s">
        <v>16</v>
      </c>
      <c r="I2710" s="5">
        <v>31</v>
      </c>
      <c r="J2710" s="9" t="s">
        <v>17</v>
      </c>
      <c r="K2710" s="1" t="s">
        <v>3002</v>
      </c>
      <c r="L2710" t="s">
        <v>3284</v>
      </c>
      <c r="M2710" t="str">
        <f>+VLOOKUP(C2710,'[1]TIENDAS 2025'!$A$1:$C$143,3,0)</f>
        <v>local</v>
      </c>
      <c r="O2710">
        <v>1</v>
      </c>
    </row>
    <row r="2711" spans="1:15" ht="15" customHeight="1" x14ac:dyDescent="0.3">
      <c r="A2711" s="7">
        <v>1209672980</v>
      </c>
      <c r="B2711" s="4" t="s">
        <v>351</v>
      </c>
      <c r="C2711" s="4" t="s">
        <v>352</v>
      </c>
      <c r="D2711" s="6">
        <v>46309.503668981502</v>
      </c>
      <c r="E2711" s="6">
        <v>46309.253634259301</v>
      </c>
      <c r="F2711" s="6">
        <v>46309</v>
      </c>
      <c r="G2711" s="5" t="s">
        <v>12</v>
      </c>
      <c r="H2711" s="5" t="s">
        <v>29</v>
      </c>
      <c r="I2711" s="5">
        <v>66</v>
      </c>
      <c r="J2711" s="9" t="s">
        <v>17</v>
      </c>
      <c r="K2711" s="1" t="s">
        <v>3003</v>
      </c>
      <c r="L2711" t="s">
        <v>3284</v>
      </c>
      <c r="M2711" t="str">
        <f>+VLOOKUP(C2711,'[1]TIENDAS 2025'!$A$1:$C$143,3,0)</f>
        <v>prioridad</v>
      </c>
      <c r="O2711">
        <v>1</v>
      </c>
    </row>
    <row r="2712" spans="1:15" ht="15" customHeight="1" x14ac:dyDescent="0.3">
      <c r="A2712" s="7">
        <v>8209672998</v>
      </c>
      <c r="B2712" s="4" t="s">
        <v>448</v>
      </c>
      <c r="C2712" s="4" t="s">
        <v>449</v>
      </c>
      <c r="D2712" s="6">
        <v>46309.503680555601</v>
      </c>
      <c r="E2712" s="6">
        <v>46309.253657407397</v>
      </c>
      <c r="F2712" s="6">
        <v>46309</v>
      </c>
      <c r="G2712" s="5" t="s">
        <v>12</v>
      </c>
      <c r="H2712" s="5" t="s">
        <v>27</v>
      </c>
      <c r="I2712" s="5">
        <v>2</v>
      </c>
      <c r="J2712" s="10" t="s">
        <v>17</v>
      </c>
      <c r="K2712" s="1" t="s">
        <v>3004</v>
      </c>
      <c r="M2712" t="str">
        <f>+VLOOKUP(C2712,'[1]TIENDAS 2025'!$A$1:$C$143,3,0)</f>
        <v>local</v>
      </c>
      <c r="O2712">
        <v>1</v>
      </c>
    </row>
    <row r="2713" spans="1:15" ht="15" customHeight="1" x14ac:dyDescent="0.3">
      <c r="A2713" s="7">
        <v>1209672972</v>
      </c>
      <c r="B2713" s="4" t="s">
        <v>351</v>
      </c>
      <c r="C2713" s="4" t="s">
        <v>352</v>
      </c>
      <c r="D2713" s="6">
        <v>46309.503692129598</v>
      </c>
      <c r="E2713" s="6">
        <v>46309.253668981502</v>
      </c>
      <c r="F2713" s="6">
        <v>46309</v>
      </c>
      <c r="G2713" s="5" t="s">
        <v>12</v>
      </c>
      <c r="H2713" s="5" t="s">
        <v>16</v>
      </c>
      <c r="I2713" s="5">
        <v>10</v>
      </c>
      <c r="J2713" s="9" t="s">
        <v>17</v>
      </c>
      <c r="K2713" s="1" t="s">
        <v>3005</v>
      </c>
      <c r="L2713" t="s">
        <v>3284</v>
      </c>
      <c r="M2713" t="str">
        <f>+VLOOKUP(C2713,'[1]TIENDAS 2025'!$A$1:$C$143,3,0)</f>
        <v>prioridad</v>
      </c>
      <c r="O2713">
        <v>1</v>
      </c>
    </row>
    <row r="2714" spans="1:15" ht="15" customHeight="1" x14ac:dyDescent="0.3">
      <c r="A2714" s="7">
        <v>8209673076</v>
      </c>
      <c r="B2714" s="4" t="s">
        <v>466</v>
      </c>
      <c r="C2714" s="4" t="s">
        <v>467</v>
      </c>
      <c r="D2714" s="6">
        <v>46309.503715277802</v>
      </c>
      <c r="E2714" s="6">
        <v>46309.253692129598</v>
      </c>
      <c r="F2714" s="6">
        <v>46309</v>
      </c>
      <c r="G2714" s="5" t="s">
        <v>12</v>
      </c>
      <c r="H2714" s="5" t="s">
        <v>27</v>
      </c>
      <c r="I2714" s="5">
        <v>2</v>
      </c>
      <c r="J2714" s="10" t="s">
        <v>17</v>
      </c>
      <c r="K2714" s="1" t="s">
        <v>3006</v>
      </c>
      <c r="M2714" t="str">
        <f>+VLOOKUP(C2714,'[1]TIENDAS 2025'!$A$1:$C$143,3,0)</f>
        <v>departamental</v>
      </c>
      <c r="O2714">
        <v>1</v>
      </c>
    </row>
    <row r="2715" spans="1:15" ht="15" customHeight="1" x14ac:dyDescent="0.3">
      <c r="A2715" s="7">
        <v>8209673003</v>
      </c>
      <c r="B2715" s="4" t="s">
        <v>448</v>
      </c>
      <c r="C2715" s="4" t="s">
        <v>449</v>
      </c>
      <c r="D2715" s="6">
        <v>46309.503715277802</v>
      </c>
      <c r="E2715" s="6">
        <v>46309.253680555601</v>
      </c>
      <c r="F2715" s="6">
        <v>46309</v>
      </c>
      <c r="G2715" s="5" t="s">
        <v>12</v>
      </c>
      <c r="H2715" s="5" t="s">
        <v>27</v>
      </c>
      <c r="I2715" s="5">
        <v>8</v>
      </c>
      <c r="J2715" s="10" t="s">
        <v>17</v>
      </c>
      <c r="K2715" s="1" t="s">
        <v>3007</v>
      </c>
      <c r="M2715" t="str">
        <f>+VLOOKUP(C2715,'[1]TIENDAS 2025'!$A$1:$C$143,3,0)</f>
        <v>local</v>
      </c>
      <c r="O2715">
        <v>1</v>
      </c>
    </row>
    <row r="2716" spans="1:15" ht="15" customHeight="1" x14ac:dyDescent="0.3">
      <c r="A2716" s="7">
        <v>1209673088</v>
      </c>
      <c r="B2716" s="4" t="s">
        <v>466</v>
      </c>
      <c r="C2716" s="4" t="s">
        <v>467</v>
      </c>
      <c r="D2716" s="6">
        <v>46309.503738425898</v>
      </c>
      <c r="E2716" s="6">
        <v>46309.253703703696</v>
      </c>
      <c r="F2716" s="6">
        <v>46309</v>
      </c>
      <c r="G2716" s="5" t="s">
        <v>12</v>
      </c>
      <c r="H2716" s="5" t="s">
        <v>29</v>
      </c>
      <c r="I2716" s="5">
        <v>31</v>
      </c>
      <c r="J2716" s="9" t="s">
        <v>17</v>
      </c>
      <c r="K2716" s="1" t="s">
        <v>3008</v>
      </c>
      <c r="L2716" t="s">
        <v>3284</v>
      </c>
      <c r="M2716" t="str">
        <f>+VLOOKUP(C2716,'[1]TIENDAS 2025'!$A$1:$C$143,3,0)</f>
        <v>departamental</v>
      </c>
      <c r="O2716">
        <v>1</v>
      </c>
    </row>
    <row r="2717" spans="1:15" ht="15" customHeight="1" x14ac:dyDescent="0.3">
      <c r="A2717" s="7">
        <v>1209673047</v>
      </c>
      <c r="B2717" s="4" t="s">
        <v>394</v>
      </c>
      <c r="C2717" s="4" t="s">
        <v>395</v>
      </c>
      <c r="D2717" s="6">
        <v>46309.503750000003</v>
      </c>
      <c r="E2717" s="6">
        <v>46309.253726851799</v>
      </c>
      <c r="F2717" s="6">
        <v>46309</v>
      </c>
      <c r="G2717" s="5" t="s">
        <v>12</v>
      </c>
      <c r="H2717" s="5" t="s">
        <v>16</v>
      </c>
      <c r="I2717" s="5">
        <v>24</v>
      </c>
      <c r="J2717" s="9" t="s">
        <v>17</v>
      </c>
      <c r="K2717" s="1" t="s">
        <v>3009</v>
      </c>
      <c r="L2717" t="s">
        <v>3284</v>
      </c>
      <c r="M2717" t="str">
        <f>+VLOOKUP(C2717,'[1]TIENDAS 2025'!$A$1:$C$143,3,0)</f>
        <v>local</v>
      </c>
      <c r="O2717">
        <v>1</v>
      </c>
    </row>
    <row r="2718" spans="1:15" ht="15" customHeight="1" x14ac:dyDescent="0.3">
      <c r="A2718" s="7">
        <v>1209673119</v>
      </c>
      <c r="B2718" s="4" t="s">
        <v>536</v>
      </c>
      <c r="C2718" s="4" t="s">
        <v>537</v>
      </c>
      <c r="D2718" s="6">
        <v>46309.503761574102</v>
      </c>
      <c r="E2718" s="6">
        <v>46309.253738425898</v>
      </c>
      <c r="F2718" s="6">
        <v>46309</v>
      </c>
      <c r="G2718" s="5" t="s">
        <v>12</v>
      </c>
      <c r="H2718" s="5" t="s">
        <v>16</v>
      </c>
      <c r="I2718" s="5">
        <v>12</v>
      </c>
      <c r="J2718" s="9" t="s">
        <v>17</v>
      </c>
      <c r="K2718" s="1" t="s">
        <v>3010</v>
      </c>
      <c r="L2718" t="s">
        <v>3284</v>
      </c>
      <c r="M2718" t="str">
        <f>+VLOOKUP(C2718,'[1]TIENDAS 2025'!$A$1:$C$143,3,0)</f>
        <v>departamental</v>
      </c>
      <c r="O2718">
        <v>1</v>
      </c>
    </row>
    <row r="2719" spans="1:15" ht="15" customHeight="1" x14ac:dyDescent="0.3">
      <c r="A2719" s="7">
        <v>1209673148</v>
      </c>
      <c r="B2719" s="4" t="s">
        <v>397</v>
      </c>
      <c r="C2719" s="4" t="s">
        <v>398</v>
      </c>
      <c r="D2719" s="6">
        <v>46309.503784722197</v>
      </c>
      <c r="E2719" s="6">
        <v>46309.253750000003</v>
      </c>
      <c r="F2719" s="6">
        <v>46309</v>
      </c>
      <c r="G2719" s="5" t="s">
        <v>12</v>
      </c>
      <c r="H2719" s="5" t="s">
        <v>29</v>
      </c>
      <c r="I2719" s="5">
        <v>14</v>
      </c>
      <c r="J2719" s="9" t="s">
        <v>17</v>
      </c>
      <c r="K2719" s="1" t="s">
        <v>3011</v>
      </c>
      <c r="L2719" t="s">
        <v>3284</v>
      </c>
      <c r="M2719" t="str">
        <f>+VLOOKUP(C2719,'[1]TIENDAS 2025'!$A$1:$C$143,3,0)</f>
        <v>local</v>
      </c>
      <c r="O2719">
        <v>1</v>
      </c>
    </row>
    <row r="2720" spans="1:15" ht="15" customHeight="1" x14ac:dyDescent="0.3">
      <c r="A2720" s="7">
        <v>1209673120</v>
      </c>
      <c r="B2720" s="4" t="s">
        <v>536</v>
      </c>
      <c r="C2720" s="4" t="s">
        <v>537</v>
      </c>
      <c r="D2720" s="6">
        <v>46309.503796296303</v>
      </c>
      <c r="E2720" s="6">
        <v>46309.253761574102</v>
      </c>
      <c r="F2720" s="6">
        <v>46309</v>
      </c>
      <c r="G2720" s="5" t="s">
        <v>12</v>
      </c>
      <c r="H2720" s="5" t="s">
        <v>16</v>
      </c>
      <c r="I2720" s="5">
        <v>23</v>
      </c>
      <c r="J2720" s="9" t="s">
        <v>17</v>
      </c>
      <c r="K2720" s="1" t="s">
        <v>3012</v>
      </c>
      <c r="L2720" t="s">
        <v>3284</v>
      </c>
      <c r="M2720" t="str">
        <f>+VLOOKUP(C2720,'[1]TIENDAS 2025'!$A$1:$C$143,3,0)</f>
        <v>departamental</v>
      </c>
      <c r="O2720">
        <v>1</v>
      </c>
    </row>
    <row r="2721" spans="1:15" ht="15" customHeight="1" x14ac:dyDescent="0.3">
      <c r="A2721" s="7">
        <v>8209673037</v>
      </c>
      <c r="B2721" s="4" t="s">
        <v>394</v>
      </c>
      <c r="C2721" s="4" t="s">
        <v>395</v>
      </c>
      <c r="D2721" s="6">
        <v>46309.503807870402</v>
      </c>
      <c r="E2721" s="6">
        <v>46309.253773148099</v>
      </c>
      <c r="F2721" s="6">
        <v>46309</v>
      </c>
      <c r="G2721" s="5" t="s">
        <v>12</v>
      </c>
      <c r="H2721" s="5" t="s">
        <v>27</v>
      </c>
      <c r="I2721" s="5">
        <v>2</v>
      </c>
      <c r="J2721" s="10" t="s">
        <v>17</v>
      </c>
      <c r="K2721" s="1" t="s">
        <v>3013</v>
      </c>
      <c r="M2721" t="str">
        <f>+VLOOKUP(C2721,'[1]TIENDAS 2025'!$A$1:$C$143,3,0)</f>
        <v>local</v>
      </c>
      <c r="O2721">
        <v>1</v>
      </c>
    </row>
    <row r="2722" spans="1:15" ht="15" customHeight="1" x14ac:dyDescent="0.3">
      <c r="A2722" s="7">
        <v>8209673039</v>
      </c>
      <c r="B2722" s="4" t="s">
        <v>394</v>
      </c>
      <c r="C2722" s="4" t="s">
        <v>395</v>
      </c>
      <c r="D2722" s="6">
        <v>46309.503819444399</v>
      </c>
      <c r="E2722" s="6">
        <v>46309.253796296303</v>
      </c>
      <c r="F2722" s="6">
        <v>46309</v>
      </c>
      <c r="G2722" s="5" t="s">
        <v>12</v>
      </c>
      <c r="H2722" s="5" t="s">
        <v>27</v>
      </c>
      <c r="I2722" s="5">
        <v>6</v>
      </c>
      <c r="J2722" s="10" t="s">
        <v>17</v>
      </c>
      <c r="K2722" s="1" t="s">
        <v>3014</v>
      </c>
      <c r="M2722" t="str">
        <f>+VLOOKUP(C2722,'[1]TIENDAS 2025'!$A$1:$C$143,3,0)</f>
        <v>local</v>
      </c>
      <c r="O2722">
        <v>1</v>
      </c>
    </row>
    <row r="2723" spans="1:15" ht="15" customHeight="1" x14ac:dyDescent="0.3">
      <c r="A2723" s="7">
        <v>1209673012</v>
      </c>
      <c r="B2723" s="4" t="s">
        <v>448</v>
      </c>
      <c r="C2723" s="4" t="s">
        <v>449</v>
      </c>
      <c r="D2723" s="6">
        <v>46309.503842592603</v>
      </c>
      <c r="E2723" s="6">
        <v>46309.253807870402</v>
      </c>
      <c r="F2723" s="6">
        <v>46309</v>
      </c>
      <c r="G2723" s="5" t="s">
        <v>12</v>
      </c>
      <c r="H2723" s="5" t="s">
        <v>16</v>
      </c>
      <c r="I2723" s="5">
        <v>66</v>
      </c>
      <c r="J2723" s="9" t="s">
        <v>17</v>
      </c>
      <c r="K2723" s="1" t="s">
        <v>3015</v>
      </c>
      <c r="L2723" t="s">
        <v>3284</v>
      </c>
      <c r="M2723" t="str">
        <f>+VLOOKUP(C2723,'[1]TIENDAS 2025'!$A$1:$C$143,3,0)</f>
        <v>local</v>
      </c>
      <c r="O2723">
        <v>1</v>
      </c>
    </row>
    <row r="2724" spans="1:15" ht="15" customHeight="1" x14ac:dyDescent="0.3">
      <c r="A2724" s="7">
        <v>1209672970</v>
      </c>
      <c r="B2724" s="4" t="s">
        <v>351</v>
      </c>
      <c r="C2724" s="4" t="s">
        <v>352</v>
      </c>
      <c r="D2724" s="6">
        <v>46309.503865740699</v>
      </c>
      <c r="E2724" s="6">
        <v>46309.253831018497</v>
      </c>
      <c r="F2724" s="6">
        <v>46309</v>
      </c>
      <c r="G2724" s="5" t="s">
        <v>12</v>
      </c>
      <c r="H2724" s="5" t="s">
        <v>16</v>
      </c>
      <c r="I2724" s="5">
        <v>4</v>
      </c>
      <c r="J2724" s="9" t="s">
        <v>17</v>
      </c>
      <c r="K2724" s="1" t="s">
        <v>3016</v>
      </c>
      <c r="L2724" t="s">
        <v>3284</v>
      </c>
      <c r="M2724" t="str">
        <f>+VLOOKUP(C2724,'[1]TIENDAS 2025'!$A$1:$C$143,3,0)</f>
        <v>prioridad</v>
      </c>
      <c r="O2724">
        <v>1</v>
      </c>
    </row>
    <row r="2725" spans="1:15" ht="15" customHeight="1" x14ac:dyDescent="0.3">
      <c r="A2725" s="7">
        <v>8209673001</v>
      </c>
      <c r="B2725" s="4" t="s">
        <v>448</v>
      </c>
      <c r="C2725" s="4" t="s">
        <v>449</v>
      </c>
      <c r="D2725" s="6">
        <v>46309.503877314797</v>
      </c>
      <c r="E2725" s="6">
        <v>46309.253842592603</v>
      </c>
      <c r="F2725" s="6">
        <v>46309</v>
      </c>
      <c r="G2725" s="5" t="s">
        <v>12</v>
      </c>
      <c r="H2725" s="5" t="s">
        <v>27</v>
      </c>
      <c r="I2725" s="5">
        <v>10</v>
      </c>
      <c r="J2725" s="10" t="s">
        <v>17</v>
      </c>
      <c r="K2725" s="1" t="s">
        <v>3017</v>
      </c>
      <c r="M2725" t="str">
        <f>+VLOOKUP(C2725,'[1]TIENDAS 2025'!$A$1:$C$143,3,0)</f>
        <v>local</v>
      </c>
      <c r="O2725">
        <v>1</v>
      </c>
    </row>
    <row r="2726" spans="1:15" ht="15" customHeight="1" x14ac:dyDescent="0.3">
      <c r="A2726" s="7">
        <v>8209673077</v>
      </c>
      <c r="B2726" s="4" t="s">
        <v>466</v>
      </c>
      <c r="C2726" s="4" t="s">
        <v>467</v>
      </c>
      <c r="D2726" s="6">
        <v>46309.503888888903</v>
      </c>
      <c r="E2726" s="6">
        <v>46309.253854166702</v>
      </c>
      <c r="F2726" s="6">
        <v>46309</v>
      </c>
      <c r="G2726" s="5" t="s">
        <v>12</v>
      </c>
      <c r="H2726" s="5" t="s">
        <v>27</v>
      </c>
      <c r="I2726" s="5">
        <v>7</v>
      </c>
      <c r="J2726" s="10" t="s">
        <v>17</v>
      </c>
      <c r="K2726" s="1" t="s">
        <v>3018</v>
      </c>
      <c r="M2726" t="str">
        <f>+VLOOKUP(C2726,'[1]TIENDAS 2025'!$A$1:$C$143,3,0)</f>
        <v>departamental</v>
      </c>
      <c r="O2726">
        <v>1</v>
      </c>
    </row>
    <row r="2727" spans="1:15" ht="15" customHeight="1" x14ac:dyDescent="0.3">
      <c r="A2727" s="7">
        <v>8209673081</v>
      </c>
      <c r="B2727" s="4" t="s">
        <v>466</v>
      </c>
      <c r="C2727" s="4" t="s">
        <v>467</v>
      </c>
      <c r="D2727" s="6">
        <v>46309.503900463002</v>
      </c>
      <c r="E2727" s="6">
        <v>46309.253877314797</v>
      </c>
      <c r="F2727" s="6">
        <v>46309</v>
      </c>
      <c r="G2727" s="5" t="s">
        <v>12</v>
      </c>
      <c r="H2727" s="5" t="s">
        <v>27</v>
      </c>
      <c r="I2727" s="5">
        <v>11</v>
      </c>
      <c r="J2727" s="10" t="s">
        <v>17</v>
      </c>
      <c r="K2727" s="1" t="s">
        <v>3019</v>
      </c>
      <c r="M2727" t="str">
        <f>+VLOOKUP(C2727,'[1]TIENDAS 2025'!$A$1:$C$143,3,0)</f>
        <v>departamental</v>
      </c>
      <c r="O2727">
        <v>1</v>
      </c>
    </row>
    <row r="2728" spans="1:15" ht="15" customHeight="1" x14ac:dyDescent="0.3">
      <c r="A2728" s="7">
        <v>1209673154</v>
      </c>
      <c r="B2728" s="4" t="s">
        <v>397</v>
      </c>
      <c r="C2728" s="4" t="s">
        <v>398</v>
      </c>
      <c r="D2728" s="6">
        <v>46309.503923611097</v>
      </c>
      <c r="E2728" s="6">
        <v>46309.253888888903</v>
      </c>
      <c r="F2728" s="6">
        <v>46309</v>
      </c>
      <c r="G2728" s="5" t="s">
        <v>12</v>
      </c>
      <c r="H2728" s="5" t="s">
        <v>29</v>
      </c>
      <c r="I2728" s="5">
        <v>41</v>
      </c>
      <c r="J2728" s="9" t="s">
        <v>17</v>
      </c>
      <c r="K2728" s="1" t="s">
        <v>3020</v>
      </c>
      <c r="L2728" t="s">
        <v>3284</v>
      </c>
      <c r="M2728" t="str">
        <f>+VLOOKUP(C2728,'[1]TIENDAS 2025'!$A$1:$C$143,3,0)</f>
        <v>local</v>
      </c>
      <c r="O2728">
        <v>1</v>
      </c>
    </row>
    <row r="2729" spans="1:15" ht="15" customHeight="1" x14ac:dyDescent="0.3">
      <c r="A2729" s="7">
        <v>1209673045</v>
      </c>
      <c r="B2729" s="4" t="s">
        <v>394</v>
      </c>
      <c r="C2729" s="4" t="s">
        <v>395</v>
      </c>
      <c r="D2729" s="6">
        <v>46309.503923611097</v>
      </c>
      <c r="E2729" s="6">
        <v>46309.253900463002</v>
      </c>
      <c r="F2729" s="6">
        <v>46309</v>
      </c>
      <c r="G2729" s="5" t="s">
        <v>12</v>
      </c>
      <c r="H2729" s="5" t="s">
        <v>16</v>
      </c>
      <c r="I2729" s="5">
        <v>8</v>
      </c>
      <c r="J2729" s="9" t="s">
        <v>17</v>
      </c>
      <c r="K2729" s="1" t="s">
        <v>3021</v>
      </c>
      <c r="L2729" t="s">
        <v>3284</v>
      </c>
      <c r="M2729" t="str">
        <f>+VLOOKUP(C2729,'[1]TIENDAS 2025'!$A$1:$C$143,3,0)</f>
        <v>local</v>
      </c>
      <c r="O2729">
        <v>1</v>
      </c>
    </row>
    <row r="2730" spans="1:15" ht="15" customHeight="1" x14ac:dyDescent="0.3">
      <c r="A2730" s="7">
        <v>8209673112</v>
      </c>
      <c r="B2730" s="4" t="s">
        <v>536</v>
      </c>
      <c r="C2730" s="4" t="s">
        <v>537</v>
      </c>
      <c r="D2730" s="6">
        <v>46309.503935185203</v>
      </c>
      <c r="E2730" s="6">
        <v>46309.253912036998</v>
      </c>
      <c r="F2730" s="6">
        <v>46309</v>
      </c>
      <c r="G2730" s="5" t="s">
        <v>12</v>
      </c>
      <c r="H2730" s="5" t="s">
        <v>27</v>
      </c>
      <c r="I2730" s="5">
        <v>8</v>
      </c>
      <c r="J2730" s="10" t="s">
        <v>17</v>
      </c>
      <c r="K2730" s="1" t="s">
        <v>3022</v>
      </c>
      <c r="M2730" t="str">
        <f>+VLOOKUP(C2730,'[1]TIENDAS 2025'!$A$1:$C$143,3,0)</f>
        <v>departamental</v>
      </c>
      <c r="O2730">
        <v>1</v>
      </c>
    </row>
    <row r="2731" spans="1:15" ht="15" customHeight="1" x14ac:dyDescent="0.3">
      <c r="A2731" s="7">
        <v>8209673140</v>
      </c>
      <c r="B2731" s="4" t="s">
        <v>397</v>
      </c>
      <c r="C2731" s="4" t="s">
        <v>398</v>
      </c>
      <c r="D2731" s="6">
        <v>46309.503958333298</v>
      </c>
      <c r="E2731" s="6">
        <v>46309.253923611097</v>
      </c>
      <c r="F2731" s="6">
        <v>46309</v>
      </c>
      <c r="G2731" s="5" t="s">
        <v>12</v>
      </c>
      <c r="H2731" s="5" t="s">
        <v>27</v>
      </c>
      <c r="I2731" s="5">
        <v>1</v>
      </c>
      <c r="J2731" s="10" t="s">
        <v>17</v>
      </c>
      <c r="K2731" s="1" t="s">
        <v>3023</v>
      </c>
      <c r="M2731" t="str">
        <f>+VLOOKUP(C2731,'[1]TIENDAS 2025'!$A$1:$C$143,3,0)</f>
        <v>local</v>
      </c>
      <c r="O2731">
        <v>1</v>
      </c>
    </row>
    <row r="2732" spans="1:15" ht="15" customHeight="1" x14ac:dyDescent="0.3">
      <c r="A2732" s="7">
        <v>1209673113</v>
      </c>
      <c r="B2732" s="4" t="s">
        <v>536</v>
      </c>
      <c r="C2732" s="4" t="s">
        <v>537</v>
      </c>
      <c r="D2732" s="6">
        <v>46309.503969907397</v>
      </c>
      <c r="E2732" s="6">
        <v>46309.253946759301</v>
      </c>
      <c r="F2732" s="6">
        <v>46309</v>
      </c>
      <c r="G2732" s="5" t="s">
        <v>12</v>
      </c>
      <c r="H2732" s="5" t="s">
        <v>27</v>
      </c>
      <c r="I2732" s="5">
        <v>3</v>
      </c>
      <c r="J2732" s="9" t="s">
        <v>17</v>
      </c>
      <c r="K2732" s="1" t="s">
        <v>3024</v>
      </c>
      <c r="L2732" t="s">
        <v>3284</v>
      </c>
      <c r="M2732" t="str">
        <f>+VLOOKUP(C2732,'[1]TIENDAS 2025'!$A$1:$C$143,3,0)</f>
        <v>departamental</v>
      </c>
      <c r="O2732">
        <v>1</v>
      </c>
    </row>
    <row r="2733" spans="1:15" ht="15" customHeight="1" x14ac:dyDescent="0.3">
      <c r="A2733" s="7">
        <v>1209673142</v>
      </c>
      <c r="B2733" s="4" t="s">
        <v>397</v>
      </c>
      <c r="C2733" s="4" t="s">
        <v>398</v>
      </c>
      <c r="D2733" s="6">
        <v>46309.503993055601</v>
      </c>
      <c r="E2733" s="6">
        <v>46309.253958333298</v>
      </c>
      <c r="F2733" s="6">
        <v>46309</v>
      </c>
      <c r="G2733" s="5" t="s">
        <v>12</v>
      </c>
      <c r="H2733" s="5" t="s">
        <v>29</v>
      </c>
      <c r="I2733" s="5">
        <v>2</v>
      </c>
      <c r="J2733" s="9" t="s">
        <v>17</v>
      </c>
      <c r="K2733" s="1" t="s">
        <v>3025</v>
      </c>
      <c r="L2733" t="s">
        <v>3284</v>
      </c>
      <c r="M2733" t="str">
        <f>+VLOOKUP(C2733,'[1]TIENDAS 2025'!$A$1:$C$143,3,0)</f>
        <v>local</v>
      </c>
      <c r="O2733">
        <v>1</v>
      </c>
    </row>
    <row r="2734" spans="1:15" ht="15" customHeight="1" x14ac:dyDescent="0.3">
      <c r="A2734" s="7">
        <v>1209673008</v>
      </c>
      <c r="B2734" s="4" t="s">
        <v>448</v>
      </c>
      <c r="C2734" s="4" t="s">
        <v>449</v>
      </c>
      <c r="D2734" s="6">
        <v>46309.503993055601</v>
      </c>
      <c r="E2734" s="6">
        <v>46309.253969907397</v>
      </c>
      <c r="F2734" s="6">
        <v>46309</v>
      </c>
      <c r="G2734" s="5" t="s">
        <v>12</v>
      </c>
      <c r="H2734" s="5" t="s">
        <v>16</v>
      </c>
      <c r="I2734" s="5">
        <v>12</v>
      </c>
      <c r="J2734" s="9" t="s">
        <v>17</v>
      </c>
      <c r="K2734" s="1" t="s">
        <v>3026</v>
      </c>
      <c r="L2734" t="s">
        <v>3284</v>
      </c>
      <c r="M2734" t="str">
        <f>+VLOOKUP(C2734,'[1]TIENDAS 2025'!$A$1:$C$143,3,0)</f>
        <v>local</v>
      </c>
      <c r="O2734">
        <v>1</v>
      </c>
    </row>
    <row r="2735" spans="1:15" ht="15" customHeight="1" x14ac:dyDescent="0.3">
      <c r="A2735" s="7">
        <v>1209673009</v>
      </c>
      <c r="B2735" s="4" t="s">
        <v>448</v>
      </c>
      <c r="C2735" s="4" t="s">
        <v>449</v>
      </c>
      <c r="D2735" s="6">
        <v>46309.504016203697</v>
      </c>
      <c r="E2735" s="6">
        <v>46309.253981481503</v>
      </c>
      <c r="F2735" s="6">
        <v>46309</v>
      </c>
      <c r="G2735" s="5" t="s">
        <v>12</v>
      </c>
      <c r="H2735" s="5" t="s">
        <v>16</v>
      </c>
      <c r="I2735" s="5">
        <v>10</v>
      </c>
      <c r="J2735" s="9" t="s">
        <v>17</v>
      </c>
      <c r="K2735" s="1" t="s">
        <v>3027</v>
      </c>
      <c r="L2735" t="s">
        <v>3284</v>
      </c>
      <c r="M2735" t="str">
        <f>+VLOOKUP(C2735,'[1]TIENDAS 2025'!$A$1:$C$143,3,0)</f>
        <v>local</v>
      </c>
      <c r="O2735">
        <v>1</v>
      </c>
    </row>
    <row r="2736" spans="1:15" ht="15" customHeight="1" x14ac:dyDescent="0.3">
      <c r="A2736" s="7">
        <v>1209672977</v>
      </c>
      <c r="B2736" s="4" t="s">
        <v>351</v>
      </c>
      <c r="C2736" s="4" t="s">
        <v>352</v>
      </c>
      <c r="D2736" s="6">
        <v>46309.504027777803</v>
      </c>
      <c r="E2736" s="6">
        <v>46309.254004629598</v>
      </c>
      <c r="F2736" s="6">
        <v>46309</v>
      </c>
      <c r="G2736" s="5" t="s">
        <v>12</v>
      </c>
      <c r="H2736" s="5" t="s">
        <v>29</v>
      </c>
      <c r="I2736" s="5">
        <v>38</v>
      </c>
      <c r="J2736" s="9" t="s">
        <v>17</v>
      </c>
      <c r="K2736" s="1" t="s">
        <v>3028</v>
      </c>
      <c r="L2736" t="s">
        <v>3284</v>
      </c>
      <c r="M2736" t="str">
        <f>+VLOOKUP(C2736,'[1]TIENDAS 2025'!$A$1:$C$143,3,0)</f>
        <v>prioridad</v>
      </c>
      <c r="O2736">
        <v>1</v>
      </c>
    </row>
    <row r="2737" spans="1:15" ht="15" customHeight="1" x14ac:dyDescent="0.3">
      <c r="A2737" s="7">
        <v>1209673010</v>
      </c>
      <c r="B2737" s="4" t="s">
        <v>448</v>
      </c>
      <c r="C2737" s="4" t="s">
        <v>449</v>
      </c>
      <c r="D2737" s="6">
        <v>46309.504050925898</v>
      </c>
      <c r="E2737" s="6">
        <v>46309.254016203697</v>
      </c>
      <c r="F2737" s="6">
        <v>46309</v>
      </c>
      <c r="G2737" s="5" t="s">
        <v>12</v>
      </c>
      <c r="H2737" s="5" t="s">
        <v>16</v>
      </c>
      <c r="I2737" s="5">
        <v>23</v>
      </c>
      <c r="J2737" s="9" t="s">
        <v>17</v>
      </c>
      <c r="K2737" s="1" t="s">
        <v>3029</v>
      </c>
      <c r="L2737" t="s">
        <v>3284</v>
      </c>
      <c r="M2737" t="str">
        <f>+VLOOKUP(C2737,'[1]TIENDAS 2025'!$A$1:$C$143,3,0)</f>
        <v>local</v>
      </c>
      <c r="O2737">
        <v>1</v>
      </c>
    </row>
    <row r="2738" spans="1:15" ht="15" customHeight="1" x14ac:dyDescent="0.3">
      <c r="A2738" s="7">
        <v>8209672967</v>
      </c>
      <c r="B2738" s="4" t="s">
        <v>351</v>
      </c>
      <c r="C2738" s="4" t="s">
        <v>352</v>
      </c>
      <c r="D2738" s="6">
        <v>46309.504062499997</v>
      </c>
      <c r="E2738" s="6">
        <v>46309.254027777803</v>
      </c>
      <c r="F2738" s="6">
        <v>46309</v>
      </c>
      <c r="G2738" s="5" t="s">
        <v>12</v>
      </c>
      <c r="H2738" s="5" t="s">
        <v>27</v>
      </c>
      <c r="I2738" s="5">
        <v>2</v>
      </c>
      <c r="J2738" s="10" t="s">
        <v>17</v>
      </c>
      <c r="K2738" s="1" t="s">
        <v>3030</v>
      </c>
      <c r="M2738" t="str">
        <f>+VLOOKUP(C2738,'[1]TIENDAS 2025'!$A$1:$C$143,3,0)</f>
        <v>prioridad</v>
      </c>
      <c r="O2738">
        <v>1</v>
      </c>
    </row>
    <row r="2739" spans="1:15" ht="15" customHeight="1" x14ac:dyDescent="0.3">
      <c r="A2739" s="7">
        <v>8209673000</v>
      </c>
      <c r="B2739" s="4" t="s">
        <v>448</v>
      </c>
      <c r="C2739" s="4" t="s">
        <v>449</v>
      </c>
      <c r="D2739" s="6">
        <v>46309.504074074102</v>
      </c>
      <c r="E2739" s="6">
        <v>46309.254039351901</v>
      </c>
      <c r="F2739" s="6">
        <v>46309</v>
      </c>
      <c r="G2739" s="5" t="s">
        <v>12</v>
      </c>
      <c r="H2739" s="5" t="s">
        <v>27</v>
      </c>
      <c r="I2739" s="5">
        <v>18</v>
      </c>
      <c r="J2739" s="10" t="s">
        <v>17</v>
      </c>
      <c r="K2739" s="1" t="s">
        <v>3031</v>
      </c>
      <c r="M2739" t="str">
        <f>+VLOOKUP(C2739,'[1]TIENDAS 2025'!$A$1:$C$143,3,0)</f>
        <v>local</v>
      </c>
      <c r="O2739">
        <v>1</v>
      </c>
    </row>
    <row r="2740" spans="1:15" ht="15" customHeight="1" x14ac:dyDescent="0.3">
      <c r="A2740" s="7">
        <v>1209673005</v>
      </c>
      <c r="B2740" s="4" t="s">
        <v>448</v>
      </c>
      <c r="C2740" s="4" t="s">
        <v>449</v>
      </c>
      <c r="D2740" s="6">
        <v>46309.504085648201</v>
      </c>
      <c r="E2740" s="6">
        <v>46309.254062499997</v>
      </c>
      <c r="F2740" s="6">
        <v>46309</v>
      </c>
      <c r="G2740" s="5" t="s">
        <v>12</v>
      </c>
      <c r="H2740" s="5" t="s">
        <v>16</v>
      </c>
      <c r="I2740" s="5">
        <v>11</v>
      </c>
      <c r="J2740" s="9" t="s">
        <v>17</v>
      </c>
      <c r="K2740" s="1" t="s">
        <v>3032</v>
      </c>
      <c r="L2740" t="s">
        <v>3284</v>
      </c>
      <c r="M2740" t="str">
        <f>+VLOOKUP(C2740,'[1]TIENDAS 2025'!$A$1:$C$143,3,0)</f>
        <v>local</v>
      </c>
      <c r="O2740">
        <v>1</v>
      </c>
    </row>
    <row r="2741" spans="1:15" ht="15" customHeight="1" x14ac:dyDescent="0.3">
      <c r="A2741" s="7">
        <v>1209673103</v>
      </c>
      <c r="B2741" s="4" t="s">
        <v>466</v>
      </c>
      <c r="C2741" s="4" t="s">
        <v>467</v>
      </c>
      <c r="D2741" s="6">
        <v>46309.504097222198</v>
      </c>
      <c r="E2741" s="6">
        <v>46309.254074074102</v>
      </c>
      <c r="F2741" s="6">
        <v>46309</v>
      </c>
      <c r="G2741" s="5" t="s">
        <v>12</v>
      </c>
      <c r="H2741" s="5" t="s">
        <v>16</v>
      </c>
      <c r="I2741" s="5">
        <v>35</v>
      </c>
      <c r="J2741" s="9" t="s">
        <v>17</v>
      </c>
      <c r="K2741" s="1" t="s">
        <v>3033</v>
      </c>
      <c r="L2741" t="s">
        <v>3284</v>
      </c>
      <c r="M2741" t="str">
        <f>+VLOOKUP(C2741,'[1]TIENDAS 2025'!$A$1:$C$143,3,0)</f>
        <v>departamental</v>
      </c>
      <c r="O2741">
        <v>1</v>
      </c>
    </row>
    <row r="2742" spans="1:15" ht="15" customHeight="1" x14ac:dyDescent="0.3">
      <c r="A2742" s="7">
        <v>1209673122</v>
      </c>
      <c r="B2742" s="4" t="s">
        <v>536</v>
      </c>
      <c r="C2742" s="4" t="s">
        <v>537</v>
      </c>
      <c r="D2742" s="6">
        <v>46309.504120370402</v>
      </c>
      <c r="E2742" s="6">
        <v>46309.254085648201</v>
      </c>
      <c r="F2742" s="6">
        <v>46309</v>
      </c>
      <c r="G2742" s="5" t="s">
        <v>12</v>
      </c>
      <c r="H2742" s="5" t="s">
        <v>16</v>
      </c>
      <c r="I2742" s="5">
        <v>1</v>
      </c>
      <c r="J2742" s="9" t="s">
        <v>17</v>
      </c>
      <c r="K2742" s="1" t="s">
        <v>3034</v>
      </c>
      <c r="L2742" t="s">
        <v>3284</v>
      </c>
      <c r="M2742" t="str">
        <f>+VLOOKUP(C2742,'[1]TIENDAS 2025'!$A$1:$C$143,3,0)</f>
        <v>departamental</v>
      </c>
      <c r="O2742">
        <v>1</v>
      </c>
    </row>
    <row r="2743" spans="1:15" ht="15" customHeight="1" x14ac:dyDescent="0.3">
      <c r="A2743" s="7">
        <v>1209673044</v>
      </c>
      <c r="B2743" s="4" t="s">
        <v>394</v>
      </c>
      <c r="C2743" s="4" t="s">
        <v>395</v>
      </c>
      <c r="D2743" s="6">
        <v>46309.504131944399</v>
      </c>
      <c r="E2743" s="6">
        <v>46309.254097222198</v>
      </c>
      <c r="F2743" s="6">
        <v>46309</v>
      </c>
      <c r="G2743" s="5" t="s">
        <v>12</v>
      </c>
      <c r="H2743" s="5" t="s">
        <v>29</v>
      </c>
      <c r="I2743" s="5">
        <v>6</v>
      </c>
      <c r="J2743" s="9" t="s">
        <v>17</v>
      </c>
      <c r="K2743" s="1" t="s">
        <v>3035</v>
      </c>
      <c r="L2743" t="s">
        <v>3284</v>
      </c>
      <c r="M2743" t="str">
        <f>+VLOOKUP(C2743,'[1]TIENDAS 2025'!$A$1:$C$143,3,0)</f>
        <v>local</v>
      </c>
      <c r="O2743">
        <v>1</v>
      </c>
    </row>
    <row r="2744" spans="1:15" ht="15" customHeight="1" x14ac:dyDescent="0.3">
      <c r="A2744" s="7">
        <v>1209673046</v>
      </c>
      <c r="B2744" s="4" t="s">
        <v>394</v>
      </c>
      <c r="C2744" s="4" t="s">
        <v>395</v>
      </c>
      <c r="D2744" s="6">
        <v>46309.504143518498</v>
      </c>
      <c r="E2744" s="6">
        <v>46309.254120370402</v>
      </c>
      <c r="F2744" s="6">
        <v>46309</v>
      </c>
      <c r="G2744" s="5" t="s">
        <v>12</v>
      </c>
      <c r="H2744" s="5" t="s">
        <v>16</v>
      </c>
      <c r="I2744" s="5">
        <v>28</v>
      </c>
      <c r="J2744" s="9" t="s">
        <v>17</v>
      </c>
      <c r="K2744" s="1" t="s">
        <v>3036</v>
      </c>
      <c r="L2744" t="s">
        <v>3284</v>
      </c>
      <c r="M2744" t="str">
        <f>+VLOOKUP(C2744,'[1]TIENDAS 2025'!$A$1:$C$143,3,0)</f>
        <v>local</v>
      </c>
      <c r="O2744">
        <v>1</v>
      </c>
    </row>
    <row r="2745" spans="1:15" ht="15" customHeight="1" x14ac:dyDescent="0.3">
      <c r="A2745" s="7">
        <v>1209673117</v>
      </c>
      <c r="B2745" s="4" t="s">
        <v>536</v>
      </c>
      <c r="C2745" s="4" t="s">
        <v>537</v>
      </c>
      <c r="D2745" s="6">
        <v>46309.504155092603</v>
      </c>
      <c r="E2745" s="6">
        <v>46309.254131944399</v>
      </c>
      <c r="F2745" s="6">
        <v>46309</v>
      </c>
      <c r="G2745" s="5" t="s">
        <v>12</v>
      </c>
      <c r="H2745" s="5" t="s">
        <v>16</v>
      </c>
      <c r="I2745" s="5">
        <v>13</v>
      </c>
      <c r="J2745" s="9" t="s">
        <v>17</v>
      </c>
      <c r="K2745" s="1" t="s">
        <v>3037</v>
      </c>
      <c r="L2745" t="s">
        <v>3284</v>
      </c>
      <c r="M2745" t="str">
        <f>+VLOOKUP(C2745,'[1]TIENDAS 2025'!$A$1:$C$143,3,0)</f>
        <v>departamental</v>
      </c>
      <c r="O2745">
        <v>1</v>
      </c>
    </row>
    <row r="2746" spans="1:15" ht="15" customHeight="1" x14ac:dyDescent="0.3">
      <c r="A2746" s="7">
        <v>1209673147</v>
      </c>
      <c r="B2746" s="4" t="s">
        <v>397</v>
      </c>
      <c r="C2746" s="4" t="s">
        <v>398</v>
      </c>
      <c r="D2746" s="6">
        <v>46309.504178240699</v>
      </c>
      <c r="E2746" s="6">
        <v>46309.254143518498</v>
      </c>
      <c r="F2746" s="6">
        <v>46309</v>
      </c>
      <c r="G2746" s="5" t="s">
        <v>12</v>
      </c>
      <c r="H2746" s="5" t="s">
        <v>16</v>
      </c>
      <c r="I2746" s="5">
        <v>9</v>
      </c>
      <c r="J2746" s="9" t="s">
        <v>17</v>
      </c>
      <c r="K2746" s="1" t="s">
        <v>3038</v>
      </c>
      <c r="L2746" t="s">
        <v>3284</v>
      </c>
      <c r="M2746" t="str">
        <f>+VLOOKUP(C2746,'[1]TIENDAS 2025'!$A$1:$C$143,3,0)</f>
        <v>local</v>
      </c>
      <c r="O2746">
        <v>1</v>
      </c>
    </row>
    <row r="2747" spans="1:15" ht="15" customHeight="1" x14ac:dyDescent="0.3">
      <c r="A2747" s="7">
        <v>1209673007</v>
      </c>
      <c r="B2747" s="4" t="s">
        <v>448</v>
      </c>
      <c r="C2747" s="4" t="s">
        <v>449</v>
      </c>
      <c r="D2747" s="6">
        <v>46309.504189814797</v>
      </c>
      <c r="E2747" s="6">
        <v>46309.254155092603</v>
      </c>
      <c r="F2747" s="6">
        <v>46309</v>
      </c>
      <c r="G2747" s="5" t="s">
        <v>12</v>
      </c>
      <c r="H2747" s="5" t="s">
        <v>16</v>
      </c>
      <c r="I2747" s="5">
        <v>14</v>
      </c>
      <c r="J2747" s="9" t="s">
        <v>17</v>
      </c>
      <c r="K2747" s="1" t="s">
        <v>3039</v>
      </c>
      <c r="L2747" t="s">
        <v>3284</v>
      </c>
      <c r="M2747" t="str">
        <f>+VLOOKUP(C2747,'[1]TIENDAS 2025'!$A$1:$C$143,3,0)</f>
        <v>local</v>
      </c>
      <c r="O2747">
        <v>1</v>
      </c>
    </row>
    <row r="2748" spans="1:15" ht="15" customHeight="1" x14ac:dyDescent="0.3">
      <c r="A2748" s="7">
        <v>8209673036</v>
      </c>
      <c r="B2748" s="4" t="s">
        <v>394</v>
      </c>
      <c r="C2748" s="4" t="s">
        <v>395</v>
      </c>
      <c r="D2748" s="6">
        <v>46309.504201388903</v>
      </c>
      <c r="E2748" s="6">
        <v>46309.254178240699</v>
      </c>
      <c r="F2748" s="6">
        <v>46309</v>
      </c>
      <c r="G2748" s="5" t="s">
        <v>12</v>
      </c>
      <c r="H2748" s="5" t="s">
        <v>27</v>
      </c>
      <c r="I2748" s="5">
        <v>1</v>
      </c>
      <c r="J2748" s="10" t="s">
        <v>17</v>
      </c>
      <c r="K2748" s="1" t="s">
        <v>3040</v>
      </c>
      <c r="M2748" t="str">
        <f>+VLOOKUP(C2748,'[1]TIENDAS 2025'!$A$1:$C$143,3,0)</f>
        <v>local</v>
      </c>
      <c r="O2748">
        <v>1</v>
      </c>
    </row>
    <row r="2749" spans="1:15" ht="15" customHeight="1" x14ac:dyDescent="0.3">
      <c r="A2749" s="7">
        <v>8209673040</v>
      </c>
      <c r="B2749" s="4" t="s">
        <v>394</v>
      </c>
      <c r="C2749" s="4" t="s">
        <v>395</v>
      </c>
      <c r="D2749" s="6">
        <v>46309.504212963002</v>
      </c>
      <c r="E2749" s="6">
        <v>46309.254189814797</v>
      </c>
      <c r="F2749" s="6">
        <v>46309</v>
      </c>
      <c r="G2749" s="5" t="s">
        <v>12</v>
      </c>
      <c r="H2749" s="5" t="s">
        <v>27</v>
      </c>
      <c r="I2749" s="5">
        <v>14</v>
      </c>
      <c r="J2749" s="10" t="s">
        <v>17</v>
      </c>
      <c r="K2749" s="1" t="s">
        <v>3041</v>
      </c>
      <c r="M2749" t="str">
        <f>+VLOOKUP(C2749,'[1]TIENDAS 2025'!$A$1:$C$143,3,0)</f>
        <v>local</v>
      </c>
      <c r="O2749">
        <v>1</v>
      </c>
    </row>
    <row r="2750" spans="1:15" ht="15" customHeight="1" x14ac:dyDescent="0.3">
      <c r="A2750" s="7">
        <v>8209672997</v>
      </c>
      <c r="B2750" s="4" t="s">
        <v>448</v>
      </c>
      <c r="C2750" s="4" t="s">
        <v>449</v>
      </c>
      <c r="D2750" s="6">
        <v>46309.504236111097</v>
      </c>
      <c r="E2750" s="6">
        <v>46309.254201388903</v>
      </c>
      <c r="F2750" s="6">
        <v>46309</v>
      </c>
      <c r="G2750" s="5" t="s">
        <v>12</v>
      </c>
      <c r="H2750" s="5" t="s">
        <v>27</v>
      </c>
      <c r="I2750" s="5">
        <v>3</v>
      </c>
      <c r="J2750" s="10" t="s">
        <v>17</v>
      </c>
      <c r="K2750" s="1" t="s">
        <v>3042</v>
      </c>
      <c r="M2750" t="str">
        <f>+VLOOKUP(C2750,'[1]TIENDAS 2025'!$A$1:$C$143,3,0)</f>
        <v>local</v>
      </c>
      <c r="O2750">
        <v>1</v>
      </c>
    </row>
    <row r="2751" spans="1:15" ht="15" customHeight="1" x14ac:dyDescent="0.3">
      <c r="A2751" s="7">
        <v>1209673121</v>
      </c>
      <c r="B2751" s="4" t="s">
        <v>536</v>
      </c>
      <c r="C2751" s="4" t="s">
        <v>537</v>
      </c>
      <c r="D2751" s="6">
        <v>46309.504247685203</v>
      </c>
      <c r="E2751" s="6">
        <v>46309.254224536999</v>
      </c>
      <c r="F2751" s="6">
        <v>46309</v>
      </c>
      <c r="G2751" s="5" t="s">
        <v>12</v>
      </c>
      <c r="H2751" s="5" t="s">
        <v>29</v>
      </c>
      <c r="I2751" s="5">
        <v>27</v>
      </c>
      <c r="J2751" s="9" t="s">
        <v>17</v>
      </c>
      <c r="K2751" s="1" t="s">
        <v>3043</v>
      </c>
      <c r="L2751" t="s">
        <v>3284</v>
      </c>
      <c r="M2751" t="str">
        <f>+VLOOKUP(C2751,'[1]TIENDAS 2025'!$A$1:$C$143,3,0)</f>
        <v>departamental</v>
      </c>
      <c r="O2751">
        <v>1</v>
      </c>
    </row>
    <row r="2752" spans="1:15" ht="15" customHeight="1" x14ac:dyDescent="0.3">
      <c r="A2752" s="7">
        <v>1209673004</v>
      </c>
      <c r="B2752" s="4" t="s">
        <v>448</v>
      </c>
      <c r="C2752" s="4" t="s">
        <v>449</v>
      </c>
      <c r="D2752" s="6">
        <v>46309.504247685203</v>
      </c>
      <c r="E2752" s="6">
        <v>46309.254212963002</v>
      </c>
      <c r="F2752" s="6">
        <v>46309</v>
      </c>
      <c r="G2752" s="5" t="s">
        <v>12</v>
      </c>
      <c r="H2752" s="5" t="s">
        <v>16</v>
      </c>
      <c r="I2752" s="5">
        <v>1</v>
      </c>
      <c r="J2752" s="9" t="s">
        <v>17</v>
      </c>
      <c r="K2752" s="1" t="s">
        <v>3044</v>
      </c>
      <c r="L2752" t="s">
        <v>3284</v>
      </c>
      <c r="M2752" t="str">
        <f>+VLOOKUP(C2752,'[1]TIENDAS 2025'!$A$1:$C$143,3,0)</f>
        <v>local</v>
      </c>
      <c r="O2752">
        <v>1</v>
      </c>
    </row>
    <row r="2753" spans="1:15" ht="15" customHeight="1" x14ac:dyDescent="0.3">
      <c r="A2753" s="7">
        <v>1209673084</v>
      </c>
      <c r="B2753" s="4" t="s">
        <v>466</v>
      </c>
      <c r="C2753" s="4" t="s">
        <v>467</v>
      </c>
      <c r="D2753" s="6">
        <v>46309.504270833299</v>
      </c>
      <c r="E2753" s="6">
        <v>46309.254247685203</v>
      </c>
      <c r="F2753" s="6">
        <v>46309</v>
      </c>
      <c r="G2753" s="5" t="s">
        <v>12</v>
      </c>
      <c r="H2753" s="5" t="s">
        <v>16</v>
      </c>
      <c r="I2753" s="5">
        <v>3</v>
      </c>
      <c r="J2753" s="9" t="s">
        <v>17</v>
      </c>
      <c r="K2753" s="1" t="s">
        <v>3045</v>
      </c>
      <c r="L2753" t="s">
        <v>3284</v>
      </c>
      <c r="M2753" t="str">
        <f>+VLOOKUP(C2753,'[1]TIENDAS 2025'!$A$1:$C$143,3,0)</f>
        <v>departamental</v>
      </c>
      <c r="O2753">
        <v>1</v>
      </c>
    </row>
    <row r="2754" spans="1:15" ht="15" customHeight="1" x14ac:dyDescent="0.3">
      <c r="A2754" s="7">
        <v>1209673086</v>
      </c>
      <c r="B2754" s="4" t="s">
        <v>466</v>
      </c>
      <c r="C2754" s="4" t="s">
        <v>467</v>
      </c>
      <c r="D2754" s="6">
        <v>46309.504282407397</v>
      </c>
      <c r="E2754" s="6">
        <v>46309.254259259302</v>
      </c>
      <c r="F2754" s="6">
        <v>46309</v>
      </c>
      <c r="G2754" s="5" t="s">
        <v>12</v>
      </c>
      <c r="H2754" s="5" t="s">
        <v>16</v>
      </c>
      <c r="I2754" s="5">
        <v>11</v>
      </c>
      <c r="J2754" s="9" t="s">
        <v>17</v>
      </c>
      <c r="K2754" s="1" t="s">
        <v>3046</v>
      </c>
      <c r="L2754" t="s">
        <v>3284</v>
      </c>
      <c r="M2754" t="str">
        <f>+VLOOKUP(C2754,'[1]TIENDAS 2025'!$A$1:$C$143,3,0)</f>
        <v>departamental</v>
      </c>
      <c r="O2754">
        <v>1</v>
      </c>
    </row>
    <row r="2755" spans="1:15" ht="15" customHeight="1" x14ac:dyDescent="0.3">
      <c r="A2755" s="7">
        <v>8209673109</v>
      </c>
      <c r="B2755" s="4" t="s">
        <v>536</v>
      </c>
      <c r="C2755" s="4" t="s">
        <v>537</v>
      </c>
      <c r="D2755" s="6">
        <v>46309.504305555602</v>
      </c>
      <c r="E2755" s="6">
        <v>46309.254270833299</v>
      </c>
      <c r="F2755" s="6">
        <v>46309</v>
      </c>
      <c r="G2755" s="5" t="s">
        <v>12</v>
      </c>
      <c r="H2755" s="5" t="s">
        <v>27</v>
      </c>
      <c r="I2755" s="5">
        <v>10</v>
      </c>
      <c r="J2755" s="10" t="s">
        <v>17</v>
      </c>
      <c r="K2755" s="1" t="s">
        <v>3047</v>
      </c>
      <c r="M2755" t="str">
        <f>+VLOOKUP(C2755,'[1]TIENDAS 2025'!$A$1:$C$143,3,0)</f>
        <v>departamental</v>
      </c>
      <c r="O2755">
        <v>1</v>
      </c>
    </row>
    <row r="2756" spans="1:15" ht="15" customHeight="1" x14ac:dyDescent="0.3">
      <c r="A2756" s="7">
        <v>1209673094</v>
      </c>
      <c r="B2756" s="4" t="s">
        <v>466</v>
      </c>
      <c r="C2756" s="4" t="s">
        <v>467</v>
      </c>
      <c r="D2756" s="6">
        <v>46309.504317129598</v>
      </c>
      <c r="E2756" s="6">
        <v>46309.254282407397</v>
      </c>
      <c r="F2756" s="6">
        <v>46309</v>
      </c>
      <c r="G2756" s="5" t="s">
        <v>12</v>
      </c>
      <c r="H2756" s="5" t="s">
        <v>29</v>
      </c>
      <c r="I2756" s="5">
        <v>28</v>
      </c>
      <c r="J2756" s="9" t="s">
        <v>17</v>
      </c>
      <c r="K2756" s="1" t="s">
        <v>3048</v>
      </c>
      <c r="L2756" t="s">
        <v>3284</v>
      </c>
      <c r="M2756" t="str">
        <f>+VLOOKUP(C2756,'[1]TIENDAS 2025'!$A$1:$C$143,3,0)</f>
        <v>departamental</v>
      </c>
      <c r="O2756">
        <v>1</v>
      </c>
    </row>
    <row r="2757" spans="1:15" ht="15" customHeight="1" x14ac:dyDescent="0.3">
      <c r="A2757" s="7">
        <v>1209673144</v>
      </c>
      <c r="B2757" s="4" t="s">
        <v>397</v>
      </c>
      <c r="C2757" s="4" t="s">
        <v>398</v>
      </c>
      <c r="D2757" s="6">
        <v>46309.504328703697</v>
      </c>
      <c r="E2757" s="6">
        <v>46309.254305555602</v>
      </c>
      <c r="F2757" s="6">
        <v>46309</v>
      </c>
      <c r="G2757" s="5" t="s">
        <v>12</v>
      </c>
      <c r="H2757" s="5" t="s">
        <v>16</v>
      </c>
      <c r="I2757" s="5">
        <v>8</v>
      </c>
      <c r="J2757" s="9" t="s">
        <v>17</v>
      </c>
      <c r="K2757" s="1" t="s">
        <v>3049</v>
      </c>
      <c r="L2757" t="s">
        <v>3284</v>
      </c>
      <c r="M2757" t="str">
        <f>+VLOOKUP(C2757,'[1]TIENDAS 2025'!$A$1:$C$143,3,0)</f>
        <v>local</v>
      </c>
      <c r="O2757">
        <v>1</v>
      </c>
    </row>
    <row r="2758" spans="1:15" ht="15" customHeight="1" x14ac:dyDescent="0.3">
      <c r="A2758" s="7">
        <v>1209673116</v>
      </c>
      <c r="B2758" s="4" t="s">
        <v>536</v>
      </c>
      <c r="C2758" s="4" t="s">
        <v>537</v>
      </c>
      <c r="D2758" s="6">
        <v>46309.504340277803</v>
      </c>
      <c r="E2758" s="6">
        <v>46309.254317129598</v>
      </c>
      <c r="F2758" s="6">
        <v>46309</v>
      </c>
      <c r="G2758" s="5" t="s">
        <v>12</v>
      </c>
      <c r="H2758" s="5" t="s">
        <v>16</v>
      </c>
      <c r="I2758" s="5">
        <v>5</v>
      </c>
      <c r="J2758" s="9" t="s">
        <v>17</v>
      </c>
      <c r="K2758" s="1" t="s">
        <v>3050</v>
      </c>
      <c r="L2758" t="s">
        <v>3284</v>
      </c>
      <c r="M2758" t="str">
        <f>+VLOOKUP(C2758,'[1]TIENDAS 2025'!$A$1:$C$143,3,0)</f>
        <v>departamental</v>
      </c>
      <c r="O2758">
        <v>1</v>
      </c>
    </row>
    <row r="2759" spans="1:15" ht="15" customHeight="1" x14ac:dyDescent="0.3">
      <c r="A2759" s="7">
        <v>1209673118</v>
      </c>
      <c r="B2759" s="4" t="s">
        <v>536</v>
      </c>
      <c r="C2759" s="4" t="s">
        <v>537</v>
      </c>
      <c r="D2759" s="6">
        <v>46309.504351851901</v>
      </c>
      <c r="E2759" s="6">
        <v>46309.254328703697</v>
      </c>
      <c r="F2759" s="6">
        <v>46309</v>
      </c>
      <c r="G2759" s="5" t="s">
        <v>12</v>
      </c>
      <c r="H2759" s="5" t="s">
        <v>16</v>
      </c>
      <c r="I2759" s="5">
        <v>7</v>
      </c>
      <c r="J2759" s="9" t="s">
        <v>17</v>
      </c>
      <c r="K2759" s="1" t="s">
        <v>3051</v>
      </c>
      <c r="L2759" t="s">
        <v>3284</v>
      </c>
      <c r="M2759" t="str">
        <f>+VLOOKUP(C2759,'[1]TIENDAS 2025'!$A$1:$C$143,3,0)</f>
        <v>departamental</v>
      </c>
      <c r="O2759">
        <v>1</v>
      </c>
    </row>
    <row r="2760" spans="1:15" ht="15" customHeight="1" x14ac:dyDescent="0.3">
      <c r="A2760" s="7">
        <v>1209673247</v>
      </c>
      <c r="B2760" s="4" t="s">
        <v>163</v>
      </c>
      <c r="C2760" s="4" t="s">
        <v>164</v>
      </c>
      <c r="D2760" s="6">
        <v>46309.506388888898</v>
      </c>
      <c r="E2760" s="6">
        <v>46309.256354166697</v>
      </c>
      <c r="F2760" s="6">
        <v>46309</v>
      </c>
      <c r="G2760" s="5" t="s">
        <v>12</v>
      </c>
      <c r="H2760" s="5" t="s">
        <v>16</v>
      </c>
      <c r="I2760" s="5">
        <v>11</v>
      </c>
      <c r="J2760" s="9" t="s">
        <v>17</v>
      </c>
      <c r="K2760" s="1" t="s">
        <v>3052</v>
      </c>
      <c r="L2760" t="s">
        <v>3284</v>
      </c>
      <c r="M2760" t="str">
        <f>+VLOOKUP(C2760,'[1]TIENDAS 2025'!$A$1:$C$143,3,0)</f>
        <v>departamental</v>
      </c>
      <c r="O2760">
        <v>1</v>
      </c>
    </row>
    <row r="2761" spans="1:15" ht="15" customHeight="1" x14ac:dyDescent="0.3">
      <c r="A2761" s="7">
        <v>1209673265</v>
      </c>
      <c r="B2761" s="4" t="s">
        <v>172</v>
      </c>
      <c r="C2761" s="4" t="s">
        <v>173</v>
      </c>
      <c r="D2761" s="6">
        <v>46309.506400462997</v>
      </c>
      <c r="E2761" s="6">
        <v>46309.256365740701</v>
      </c>
      <c r="F2761" s="6">
        <v>46309</v>
      </c>
      <c r="G2761" s="5" t="s">
        <v>12</v>
      </c>
      <c r="H2761" s="5" t="s">
        <v>16</v>
      </c>
      <c r="I2761" s="5">
        <v>15</v>
      </c>
      <c r="J2761" s="9" t="s">
        <v>17</v>
      </c>
      <c r="K2761" s="1" t="s">
        <v>3053</v>
      </c>
      <c r="L2761" t="s">
        <v>3284</v>
      </c>
      <c r="M2761" t="str">
        <f>+VLOOKUP(C2761,'[1]TIENDAS 2025'!$A$1:$C$143,3,0)</f>
        <v>local</v>
      </c>
      <c r="O2761">
        <v>1</v>
      </c>
    </row>
    <row r="2762" spans="1:15" ht="15" customHeight="1" x14ac:dyDescent="0.3">
      <c r="A2762" s="7">
        <v>1209673219</v>
      </c>
      <c r="B2762" s="4" t="s">
        <v>463</v>
      </c>
      <c r="C2762" s="4" t="s">
        <v>464</v>
      </c>
      <c r="D2762" s="6">
        <v>46309.506412037001</v>
      </c>
      <c r="E2762" s="6">
        <v>46309.256388888898</v>
      </c>
      <c r="F2762" s="6">
        <v>46309</v>
      </c>
      <c r="G2762" s="5" t="s">
        <v>12</v>
      </c>
      <c r="H2762" s="5" t="s">
        <v>16</v>
      </c>
      <c r="I2762" s="5">
        <v>12</v>
      </c>
      <c r="J2762" s="9" t="s">
        <v>17</v>
      </c>
      <c r="K2762" s="1" t="s">
        <v>3054</v>
      </c>
      <c r="L2762" t="s">
        <v>3284</v>
      </c>
      <c r="M2762" t="str">
        <f>+VLOOKUP(C2762,'[1]TIENDAS 2025'!$A$1:$C$143,3,0)</f>
        <v xml:space="preserve">departamental </v>
      </c>
      <c r="O2762">
        <v>1</v>
      </c>
    </row>
    <row r="2763" spans="1:15" ht="15" customHeight="1" x14ac:dyDescent="0.3">
      <c r="A2763" s="7">
        <v>1209673171</v>
      </c>
      <c r="B2763" s="4" t="s">
        <v>527</v>
      </c>
      <c r="C2763" s="4" t="s">
        <v>528</v>
      </c>
      <c r="D2763" s="6">
        <v>46309.506435185198</v>
      </c>
      <c r="E2763" s="6">
        <v>46309.256412037001</v>
      </c>
      <c r="F2763" s="6">
        <v>46309</v>
      </c>
      <c r="G2763" s="5" t="s">
        <v>12</v>
      </c>
      <c r="H2763" s="5" t="s">
        <v>16</v>
      </c>
      <c r="I2763" s="5">
        <v>7</v>
      </c>
      <c r="J2763" s="9" t="s">
        <v>17</v>
      </c>
      <c r="K2763" s="1" t="s">
        <v>3055</v>
      </c>
      <c r="L2763" t="s">
        <v>3284</v>
      </c>
      <c r="M2763" t="str">
        <f>+VLOOKUP(C2763,'[1]TIENDAS 2025'!$A$1:$C$143,3,0)</f>
        <v>prioridad</v>
      </c>
      <c r="O2763">
        <v>1</v>
      </c>
    </row>
    <row r="2764" spans="1:15" ht="15" customHeight="1" x14ac:dyDescent="0.3">
      <c r="A2764" s="7">
        <v>8209673169</v>
      </c>
      <c r="B2764" s="4" t="s">
        <v>527</v>
      </c>
      <c r="C2764" s="4" t="s">
        <v>528</v>
      </c>
      <c r="D2764" s="6">
        <v>46309.506435185198</v>
      </c>
      <c r="E2764" s="6">
        <v>46309.256400462997</v>
      </c>
      <c r="F2764" s="6">
        <v>46309</v>
      </c>
      <c r="G2764" s="5" t="s">
        <v>12</v>
      </c>
      <c r="H2764" s="5" t="s">
        <v>27</v>
      </c>
      <c r="I2764" s="5">
        <v>4</v>
      </c>
      <c r="J2764" s="10" t="s">
        <v>17</v>
      </c>
      <c r="K2764" s="1" t="s">
        <v>3056</v>
      </c>
      <c r="M2764" t="str">
        <f>+VLOOKUP(C2764,'[1]TIENDAS 2025'!$A$1:$C$143,3,0)</f>
        <v>prioridad</v>
      </c>
      <c r="O2764">
        <v>1</v>
      </c>
    </row>
    <row r="2765" spans="1:15" ht="15" customHeight="1" x14ac:dyDescent="0.3">
      <c r="A2765" s="7">
        <v>1209673284</v>
      </c>
      <c r="B2765" s="4" t="s">
        <v>469</v>
      </c>
      <c r="C2765" s="4" t="s">
        <v>470</v>
      </c>
      <c r="D2765" s="6">
        <v>46309.506458333301</v>
      </c>
      <c r="E2765" s="6">
        <v>46309.256435185198</v>
      </c>
      <c r="F2765" s="6">
        <v>46309</v>
      </c>
      <c r="G2765" s="5" t="s">
        <v>12</v>
      </c>
      <c r="H2765" s="5" t="s">
        <v>16</v>
      </c>
      <c r="I2765" s="5">
        <v>2</v>
      </c>
      <c r="J2765" s="9" t="s">
        <v>17</v>
      </c>
      <c r="K2765" s="1" t="s">
        <v>3057</v>
      </c>
      <c r="L2765" t="s">
        <v>3284</v>
      </c>
      <c r="M2765" t="str">
        <f>+VLOOKUP(C2765,'[1]TIENDAS 2025'!$A$1:$C$143,3,0)</f>
        <v>departamental</v>
      </c>
      <c r="O2765">
        <v>1</v>
      </c>
    </row>
    <row r="2766" spans="1:15" ht="15" customHeight="1" x14ac:dyDescent="0.3">
      <c r="A2766" s="7">
        <v>1209673195</v>
      </c>
      <c r="B2766" s="4" t="s">
        <v>539</v>
      </c>
      <c r="C2766" s="4" t="s">
        <v>540</v>
      </c>
      <c r="D2766" s="6">
        <v>46309.506469907399</v>
      </c>
      <c r="E2766" s="6">
        <v>46309.256446759297</v>
      </c>
      <c r="F2766" s="6">
        <v>46309</v>
      </c>
      <c r="G2766" s="5" t="s">
        <v>12</v>
      </c>
      <c r="H2766" s="5" t="s">
        <v>16</v>
      </c>
      <c r="I2766" s="5">
        <v>35</v>
      </c>
      <c r="J2766" s="9" t="s">
        <v>17</v>
      </c>
      <c r="K2766" s="1" t="s">
        <v>3058</v>
      </c>
      <c r="L2766" t="s">
        <v>3284</v>
      </c>
      <c r="M2766" t="str">
        <f>+VLOOKUP(C2766,'[1]TIENDAS 2025'!$A$1:$C$143,3,0)</f>
        <v>departamental</v>
      </c>
      <c r="O2766">
        <v>1</v>
      </c>
    </row>
    <row r="2767" spans="1:15" ht="15" customHeight="1" x14ac:dyDescent="0.3">
      <c r="A2767" s="7">
        <v>8209673208</v>
      </c>
      <c r="B2767" s="4" t="s">
        <v>463</v>
      </c>
      <c r="C2767" s="4" t="s">
        <v>464</v>
      </c>
      <c r="D2767" s="6">
        <v>46309.506493055596</v>
      </c>
      <c r="E2767" s="6">
        <v>46309.256458333301</v>
      </c>
      <c r="F2767" s="6">
        <v>46309</v>
      </c>
      <c r="G2767" s="5" t="s">
        <v>12</v>
      </c>
      <c r="H2767" s="5" t="s">
        <v>27</v>
      </c>
      <c r="I2767" s="5">
        <v>1</v>
      </c>
      <c r="J2767" s="10" t="s">
        <v>17</v>
      </c>
      <c r="K2767" s="1" t="s">
        <v>3059</v>
      </c>
      <c r="M2767" t="str">
        <f>+VLOOKUP(C2767,'[1]TIENDAS 2025'!$A$1:$C$143,3,0)</f>
        <v xml:space="preserve">departamental </v>
      </c>
      <c r="O2767">
        <v>1</v>
      </c>
    </row>
    <row r="2768" spans="1:15" ht="15" customHeight="1" x14ac:dyDescent="0.3">
      <c r="A2768" s="7">
        <v>8209673211</v>
      </c>
      <c r="B2768" s="4" t="s">
        <v>463</v>
      </c>
      <c r="C2768" s="4" t="s">
        <v>464</v>
      </c>
      <c r="D2768" s="6">
        <v>46309.5065046296</v>
      </c>
      <c r="E2768" s="6">
        <v>46309.256469907399</v>
      </c>
      <c r="F2768" s="6">
        <v>46309</v>
      </c>
      <c r="G2768" s="5" t="s">
        <v>12</v>
      </c>
      <c r="H2768" s="5" t="s">
        <v>27</v>
      </c>
      <c r="I2768" s="5">
        <v>1</v>
      </c>
      <c r="J2768" s="10" t="s">
        <v>17</v>
      </c>
      <c r="K2768" s="1" t="s">
        <v>3060</v>
      </c>
      <c r="M2768" t="str">
        <f>+VLOOKUP(C2768,'[1]TIENDAS 2025'!$A$1:$C$143,3,0)</f>
        <v xml:space="preserve">departamental </v>
      </c>
      <c r="O2768">
        <v>1</v>
      </c>
    </row>
    <row r="2769" spans="1:15" ht="15" customHeight="1" x14ac:dyDescent="0.3">
      <c r="A2769" s="7">
        <v>1209673179</v>
      </c>
      <c r="B2769" s="4" t="s">
        <v>527</v>
      </c>
      <c r="C2769" s="4" t="s">
        <v>528</v>
      </c>
      <c r="D2769" s="6">
        <v>46309.506516203699</v>
      </c>
      <c r="E2769" s="6">
        <v>46309.256493055596</v>
      </c>
      <c r="F2769" s="6">
        <v>46309</v>
      </c>
      <c r="G2769" s="5" t="s">
        <v>12</v>
      </c>
      <c r="H2769" s="5" t="s">
        <v>29</v>
      </c>
      <c r="I2769" s="5">
        <v>26</v>
      </c>
      <c r="J2769" s="9" t="s">
        <v>17</v>
      </c>
      <c r="K2769" s="1" t="s">
        <v>3061</v>
      </c>
      <c r="L2769" t="s">
        <v>3284</v>
      </c>
      <c r="M2769" t="str">
        <f>+VLOOKUP(C2769,'[1]TIENDAS 2025'!$A$1:$C$143,3,0)</f>
        <v>prioridad</v>
      </c>
      <c r="O2769">
        <v>1</v>
      </c>
    </row>
    <row r="2770" spans="1:15" ht="15" customHeight="1" x14ac:dyDescent="0.3">
      <c r="A2770" s="7">
        <v>8209673239</v>
      </c>
      <c r="B2770" s="4" t="s">
        <v>163</v>
      </c>
      <c r="C2770" s="4" t="s">
        <v>164</v>
      </c>
      <c r="D2770" s="6">
        <v>46309.506527777798</v>
      </c>
      <c r="E2770" s="6">
        <v>46309.2565046296</v>
      </c>
      <c r="F2770" s="6">
        <v>46309</v>
      </c>
      <c r="G2770" s="5" t="s">
        <v>12</v>
      </c>
      <c r="H2770" s="5" t="s">
        <v>27</v>
      </c>
      <c r="I2770" s="5">
        <v>3</v>
      </c>
      <c r="J2770" s="10" t="s">
        <v>17</v>
      </c>
      <c r="K2770" s="1" t="s">
        <v>3062</v>
      </c>
      <c r="M2770" t="str">
        <f>+VLOOKUP(C2770,'[1]TIENDAS 2025'!$A$1:$C$143,3,0)</f>
        <v>departamental</v>
      </c>
      <c r="O2770">
        <v>1</v>
      </c>
    </row>
    <row r="2771" spans="1:15" ht="15" customHeight="1" x14ac:dyDescent="0.3">
      <c r="A2771" s="7">
        <v>8209673242</v>
      </c>
      <c r="B2771" s="4" t="s">
        <v>163</v>
      </c>
      <c r="C2771" s="4" t="s">
        <v>164</v>
      </c>
      <c r="D2771" s="6">
        <v>46309.5065509259</v>
      </c>
      <c r="E2771" s="6">
        <v>46309.256516203699</v>
      </c>
      <c r="F2771" s="6">
        <v>46309</v>
      </c>
      <c r="G2771" s="5" t="s">
        <v>12</v>
      </c>
      <c r="H2771" s="5" t="s">
        <v>27</v>
      </c>
      <c r="I2771" s="5">
        <v>8</v>
      </c>
      <c r="J2771" s="10" t="s">
        <v>17</v>
      </c>
      <c r="K2771" s="1" t="s">
        <v>3063</v>
      </c>
      <c r="M2771" t="str">
        <f>+VLOOKUP(C2771,'[1]TIENDAS 2025'!$A$1:$C$143,3,0)</f>
        <v>departamental</v>
      </c>
      <c r="O2771">
        <v>1</v>
      </c>
    </row>
    <row r="2772" spans="1:15" ht="15" customHeight="1" x14ac:dyDescent="0.3">
      <c r="A2772" s="7">
        <v>1209673289</v>
      </c>
      <c r="B2772" s="4" t="s">
        <v>469</v>
      </c>
      <c r="C2772" s="4" t="s">
        <v>470</v>
      </c>
      <c r="D2772" s="6">
        <v>46309.506562499999</v>
      </c>
      <c r="E2772" s="6">
        <v>46309.256527777798</v>
      </c>
      <c r="F2772" s="6">
        <v>46309</v>
      </c>
      <c r="G2772" s="5" t="s">
        <v>12</v>
      </c>
      <c r="H2772" s="5" t="s">
        <v>16</v>
      </c>
      <c r="I2772" s="5">
        <v>19</v>
      </c>
      <c r="J2772" s="9" t="s">
        <v>17</v>
      </c>
      <c r="K2772" s="1" t="s">
        <v>3064</v>
      </c>
      <c r="L2772" t="s">
        <v>3284</v>
      </c>
      <c r="M2772" t="str">
        <f>+VLOOKUP(C2772,'[1]TIENDAS 2025'!$A$1:$C$143,3,0)</f>
        <v>departamental</v>
      </c>
      <c r="O2772">
        <v>1</v>
      </c>
    </row>
    <row r="2773" spans="1:15" ht="15" customHeight="1" x14ac:dyDescent="0.3">
      <c r="A2773" s="7">
        <v>1209673245</v>
      </c>
      <c r="B2773" s="4" t="s">
        <v>163</v>
      </c>
      <c r="C2773" s="4" t="s">
        <v>164</v>
      </c>
      <c r="D2773" s="6">
        <v>46309.506574074097</v>
      </c>
      <c r="E2773" s="6">
        <v>46309.2565509259</v>
      </c>
      <c r="F2773" s="6">
        <v>46309</v>
      </c>
      <c r="G2773" s="5" t="s">
        <v>12</v>
      </c>
      <c r="H2773" s="5" t="s">
        <v>29</v>
      </c>
      <c r="I2773" s="5">
        <v>4</v>
      </c>
      <c r="J2773" s="9" t="s">
        <v>17</v>
      </c>
      <c r="K2773" s="1" t="s">
        <v>3065</v>
      </c>
      <c r="L2773" t="s">
        <v>3284</v>
      </c>
      <c r="M2773" t="str">
        <f>+VLOOKUP(C2773,'[1]TIENDAS 2025'!$A$1:$C$143,3,0)</f>
        <v>departamental</v>
      </c>
      <c r="O2773">
        <v>1</v>
      </c>
    </row>
    <row r="2774" spans="1:15" ht="15" customHeight="1" x14ac:dyDescent="0.3">
      <c r="A2774" s="7">
        <v>8209673257</v>
      </c>
      <c r="B2774" s="4" t="s">
        <v>172</v>
      </c>
      <c r="C2774" s="4" t="s">
        <v>173</v>
      </c>
      <c r="D2774" s="6">
        <v>46309.506585648101</v>
      </c>
      <c r="E2774" s="6">
        <v>46309.256562499999</v>
      </c>
      <c r="F2774" s="6">
        <v>46309</v>
      </c>
      <c r="G2774" s="5" t="s">
        <v>12</v>
      </c>
      <c r="H2774" s="5" t="s">
        <v>27</v>
      </c>
      <c r="I2774" s="5">
        <v>1</v>
      </c>
      <c r="J2774" s="10" t="s">
        <v>17</v>
      </c>
      <c r="K2774" s="1" t="s">
        <v>3066</v>
      </c>
      <c r="M2774" t="str">
        <f>+VLOOKUP(C2774,'[1]TIENDAS 2025'!$A$1:$C$143,3,0)</f>
        <v>local</v>
      </c>
      <c r="O2774">
        <v>1</v>
      </c>
    </row>
    <row r="2775" spans="1:15" ht="15" customHeight="1" x14ac:dyDescent="0.3">
      <c r="A2775" s="7">
        <v>1209673248</v>
      </c>
      <c r="B2775" s="4" t="s">
        <v>163</v>
      </c>
      <c r="C2775" s="4" t="s">
        <v>164</v>
      </c>
      <c r="D2775" s="6">
        <v>46309.5065972222</v>
      </c>
      <c r="E2775" s="6">
        <v>46309.256574074097</v>
      </c>
      <c r="F2775" s="6">
        <v>46309</v>
      </c>
      <c r="G2775" s="5" t="s">
        <v>12</v>
      </c>
      <c r="H2775" s="5" t="s">
        <v>29</v>
      </c>
      <c r="I2775" s="5">
        <v>32</v>
      </c>
      <c r="J2775" s="9" t="s">
        <v>17</v>
      </c>
      <c r="K2775" s="1" t="s">
        <v>3067</v>
      </c>
      <c r="L2775" t="s">
        <v>3284</v>
      </c>
      <c r="M2775" t="str">
        <f>+VLOOKUP(C2775,'[1]TIENDAS 2025'!$A$1:$C$143,3,0)</f>
        <v>departamental</v>
      </c>
      <c r="O2775">
        <v>1</v>
      </c>
    </row>
    <row r="2776" spans="1:15" ht="15" customHeight="1" x14ac:dyDescent="0.3">
      <c r="A2776" s="7">
        <v>8209673183</v>
      </c>
      <c r="B2776" s="4" t="s">
        <v>539</v>
      </c>
      <c r="C2776" s="4" t="s">
        <v>540</v>
      </c>
      <c r="D2776" s="6">
        <v>46309.506620370397</v>
      </c>
      <c r="E2776" s="6">
        <v>46309.256585648101</v>
      </c>
      <c r="F2776" s="6">
        <v>46309</v>
      </c>
      <c r="G2776" s="5" t="s">
        <v>12</v>
      </c>
      <c r="H2776" s="5" t="s">
        <v>27</v>
      </c>
      <c r="I2776" s="5">
        <v>2</v>
      </c>
      <c r="J2776" s="10" t="s">
        <v>17</v>
      </c>
      <c r="K2776" s="1" t="s">
        <v>3068</v>
      </c>
      <c r="M2776" t="str">
        <f>+VLOOKUP(C2776,'[1]TIENDAS 2025'!$A$1:$C$143,3,0)</f>
        <v>departamental</v>
      </c>
      <c r="O2776">
        <v>1</v>
      </c>
    </row>
    <row r="2777" spans="1:15" ht="15" customHeight="1" x14ac:dyDescent="0.3">
      <c r="A2777" s="7">
        <v>1209673216</v>
      </c>
      <c r="B2777" s="4" t="s">
        <v>463</v>
      </c>
      <c r="C2777" s="4" t="s">
        <v>464</v>
      </c>
      <c r="D2777" s="6">
        <v>46309.506631944401</v>
      </c>
      <c r="E2777" s="6">
        <v>46309.2565972222</v>
      </c>
      <c r="F2777" s="6">
        <v>46309</v>
      </c>
      <c r="G2777" s="5" t="s">
        <v>12</v>
      </c>
      <c r="H2777" s="5" t="s">
        <v>16</v>
      </c>
      <c r="I2777" s="5">
        <v>5</v>
      </c>
      <c r="J2777" s="9" t="s">
        <v>17</v>
      </c>
      <c r="K2777" s="1" t="s">
        <v>3069</v>
      </c>
      <c r="L2777" t="s">
        <v>3284</v>
      </c>
      <c r="M2777" t="str">
        <f>+VLOOKUP(C2777,'[1]TIENDAS 2025'!$A$1:$C$143,3,0)</f>
        <v xml:space="preserve">departamental </v>
      </c>
      <c r="O2777">
        <v>1</v>
      </c>
    </row>
    <row r="2778" spans="1:15" ht="15" customHeight="1" x14ac:dyDescent="0.3">
      <c r="A2778" s="7">
        <v>1209673217</v>
      </c>
      <c r="B2778" s="4" t="s">
        <v>463</v>
      </c>
      <c r="C2778" s="4" t="s">
        <v>464</v>
      </c>
      <c r="D2778" s="6">
        <v>46309.5066435185</v>
      </c>
      <c r="E2778" s="6">
        <v>46309.256620370397</v>
      </c>
      <c r="F2778" s="6">
        <v>46309</v>
      </c>
      <c r="G2778" s="5" t="s">
        <v>12</v>
      </c>
      <c r="H2778" s="5" t="s">
        <v>16</v>
      </c>
      <c r="I2778" s="5">
        <v>11</v>
      </c>
      <c r="J2778" s="9" t="s">
        <v>17</v>
      </c>
      <c r="K2778" s="1" t="s">
        <v>3070</v>
      </c>
      <c r="L2778" t="s">
        <v>3284</v>
      </c>
      <c r="M2778" t="str">
        <f>+VLOOKUP(C2778,'[1]TIENDAS 2025'!$A$1:$C$143,3,0)</f>
        <v xml:space="preserve">departamental </v>
      </c>
      <c r="O2778">
        <v>1</v>
      </c>
    </row>
    <row r="2779" spans="1:15" ht="15" customHeight="1" x14ac:dyDescent="0.3">
      <c r="A2779" s="7">
        <v>8209673187</v>
      </c>
      <c r="B2779" s="4" t="s">
        <v>539</v>
      </c>
      <c r="C2779" s="4" t="s">
        <v>540</v>
      </c>
      <c r="D2779" s="6">
        <v>46309.506655092599</v>
      </c>
      <c r="E2779" s="6">
        <v>46309.256631944401</v>
      </c>
      <c r="F2779" s="6">
        <v>46309</v>
      </c>
      <c r="G2779" s="5" t="s">
        <v>12</v>
      </c>
      <c r="H2779" s="5" t="s">
        <v>27</v>
      </c>
      <c r="I2779" s="5">
        <v>14</v>
      </c>
      <c r="J2779" s="10" t="s">
        <v>17</v>
      </c>
      <c r="K2779" s="1" t="s">
        <v>3071</v>
      </c>
      <c r="M2779" t="str">
        <f>+VLOOKUP(C2779,'[1]TIENDAS 2025'!$A$1:$C$143,3,0)</f>
        <v>departamental</v>
      </c>
      <c r="O2779">
        <v>1</v>
      </c>
    </row>
    <row r="2780" spans="1:15" ht="15" customHeight="1" x14ac:dyDescent="0.3">
      <c r="A2780" s="7">
        <v>8209673188</v>
      </c>
      <c r="B2780" s="4" t="s">
        <v>539</v>
      </c>
      <c r="C2780" s="4" t="s">
        <v>540</v>
      </c>
      <c r="D2780" s="6">
        <v>46309.506678240701</v>
      </c>
      <c r="E2780" s="6">
        <v>46309.2566435185</v>
      </c>
      <c r="F2780" s="6">
        <v>46309</v>
      </c>
      <c r="G2780" s="5" t="s">
        <v>12</v>
      </c>
      <c r="H2780" s="5" t="s">
        <v>27</v>
      </c>
      <c r="I2780" s="5">
        <v>20</v>
      </c>
      <c r="J2780" s="10" t="s">
        <v>17</v>
      </c>
      <c r="K2780" s="1" t="s">
        <v>3072</v>
      </c>
      <c r="M2780" t="str">
        <f>+VLOOKUP(C2780,'[1]TIENDAS 2025'!$A$1:$C$143,3,0)</f>
        <v>departamental</v>
      </c>
      <c r="O2780">
        <v>1</v>
      </c>
    </row>
    <row r="2781" spans="1:15" ht="15" customHeight="1" x14ac:dyDescent="0.3">
      <c r="A2781" s="7">
        <v>8209673190</v>
      </c>
      <c r="B2781" s="4" t="s">
        <v>539</v>
      </c>
      <c r="C2781" s="4" t="s">
        <v>540</v>
      </c>
      <c r="D2781" s="6">
        <v>46309.5066898148</v>
      </c>
      <c r="E2781" s="6">
        <v>46309.256655092599</v>
      </c>
      <c r="F2781" s="6">
        <v>46309</v>
      </c>
      <c r="G2781" s="5" t="s">
        <v>12</v>
      </c>
      <c r="H2781" s="5" t="s">
        <v>27</v>
      </c>
      <c r="I2781" s="5">
        <v>23</v>
      </c>
      <c r="J2781" s="10" t="s">
        <v>17</v>
      </c>
      <c r="K2781" s="1" t="s">
        <v>3073</v>
      </c>
      <c r="M2781" t="str">
        <f>+VLOOKUP(C2781,'[1]TIENDAS 2025'!$A$1:$C$143,3,0)</f>
        <v>departamental</v>
      </c>
      <c r="O2781">
        <v>1</v>
      </c>
    </row>
    <row r="2782" spans="1:15" ht="15" customHeight="1" x14ac:dyDescent="0.3">
      <c r="A2782" s="7">
        <v>1209673176</v>
      </c>
      <c r="B2782" s="4" t="s">
        <v>527</v>
      </c>
      <c r="C2782" s="4" t="s">
        <v>528</v>
      </c>
      <c r="D2782" s="6">
        <v>46309.506701388898</v>
      </c>
      <c r="E2782" s="6">
        <v>46309.256678240701</v>
      </c>
      <c r="F2782" s="6">
        <v>46309</v>
      </c>
      <c r="G2782" s="5" t="s">
        <v>12</v>
      </c>
      <c r="H2782" s="5" t="s">
        <v>16</v>
      </c>
      <c r="I2782" s="5">
        <v>12</v>
      </c>
      <c r="J2782" s="9" t="s">
        <v>17</v>
      </c>
      <c r="K2782" s="1" t="s">
        <v>3074</v>
      </c>
      <c r="L2782" t="s">
        <v>3284</v>
      </c>
      <c r="M2782" t="str">
        <f>+VLOOKUP(C2782,'[1]TIENDAS 2025'!$A$1:$C$143,3,0)</f>
        <v>prioridad</v>
      </c>
      <c r="O2782">
        <v>1</v>
      </c>
    </row>
    <row r="2783" spans="1:15" ht="15" customHeight="1" x14ac:dyDescent="0.3">
      <c r="A2783" s="7">
        <v>1209673254</v>
      </c>
      <c r="B2783" s="4" t="s">
        <v>163</v>
      </c>
      <c r="C2783" s="4" t="s">
        <v>164</v>
      </c>
      <c r="D2783" s="6">
        <v>46309.506712962997</v>
      </c>
      <c r="E2783" s="6">
        <v>46309.2566898148</v>
      </c>
      <c r="F2783" s="6">
        <v>46309</v>
      </c>
      <c r="G2783" s="5" t="s">
        <v>12</v>
      </c>
      <c r="H2783" s="5" t="s">
        <v>29</v>
      </c>
      <c r="I2783" s="5">
        <v>35</v>
      </c>
      <c r="J2783" s="9" t="s">
        <v>17</v>
      </c>
      <c r="K2783" s="1" t="s">
        <v>3075</v>
      </c>
      <c r="L2783" t="s">
        <v>3284</v>
      </c>
      <c r="M2783" t="str">
        <f>+VLOOKUP(C2783,'[1]TIENDAS 2025'!$A$1:$C$143,3,0)</f>
        <v>departamental</v>
      </c>
      <c r="O2783">
        <v>1</v>
      </c>
    </row>
    <row r="2784" spans="1:15" ht="15" customHeight="1" x14ac:dyDescent="0.3">
      <c r="A2784" s="7">
        <v>1209673246</v>
      </c>
      <c r="B2784" s="4" t="s">
        <v>163</v>
      </c>
      <c r="C2784" s="4" t="s">
        <v>164</v>
      </c>
      <c r="D2784" s="6">
        <v>46309.506724537001</v>
      </c>
      <c r="E2784" s="6">
        <v>46309.256701388898</v>
      </c>
      <c r="F2784" s="6">
        <v>46309</v>
      </c>
      <c r="G2784" s="5" t="s">
        <v>12</v>
      </c>
      <c r="H2784" s="5" t="s">
        <v>16</v>
      </c>
      <c r="I2784" s="5">
        <v>5</v>
      </c>
      <c r="J2784" s="9" t="s">
        <v>17</v>
      </c>
      <c r="K2784" s="1" t="s">
        <v>3076</v>
      </c>
      <c r="L2784" t="s">
        <v>3284</v>
      </c>
      <c r="M2784" t="str">
        <f>+VLOOKUP(C2784,'[1]TIENDAS 2025'!$A$1:$C$143,3,0)</f>
        <v>departamental</v>
      </c>
      <c r="O2784">
        <v>1</v>
      </c>
    </row>
    <row r="2785" spans="1:15" ht="15" customHeight="1" x14ac:dyDescent="0.3">
      <c r="A2785" s="7">
        <v>8209673255</v>
      </c>
      <c r="B2785" s="4" t="s">
        <v>172</v>
      </c>
      <c r="C2785" s="4" t="s">
        <v>173</v>
      </c>
      <c r="D2785" s="6">
        <v>46309.506747685198</v>
      </c>
      <c r="E2785" s="6">
        <v>46309.256712962997</v>
      </c>
      <c r="F2785" s="6">
        <v>46309</v>
      </c>
      <c r="G2785" s="5" t="s">
        <v>12</v>
      </c>
      <c r="H2785" s="5" t="s">
        <v>27</v>
      </c>
      <c r="I2785" s="5">
        <v>1</v>
      </c>
      <c r="J2785" s="10" t="s">
        <v>17</v>
      </c>
      <c r="K2785" s="1" t="s">
        <v>3077</v>
      </c>
      <c r="M2785" t="str">
        <f>+VLOOKUP(C2785,'[1]TIENDAS 2025'!$A$1:$C$143,3,0)</f>
        <v>local</v>
      </c>
      <c r="O2785">
        <v>1</v>
      </c>
    </row>
    <row r="2786" spans="1:15" ht="15" customHeight="1" x14ac:dyDescent="0.3">
      <c r="A2786" s="7">
        <v>8209673260</v>
      </c>
      <c r="B2786" s="4" t="s">
        <v>172</v>
      </c>
      <c r="C2786" s="4" t="s">
        <v>173</v>
      </c>
      <c r="D2786" s="6">
        <v>46309.506759259297</v>
      </c>
      <c r="E2786" s="6">
        <v>46309.2567361111</v>
      </c>
      <c r="F2786" s="6">
        <v>46309</v>
      </c>
      <c r="G2786" s="5" t="s">
        <v>12</v>
      </c>
      <c r="H2786" s="5" t="s">
        <v>27</v>
      </c>
      <c r="I2786" s="5">
        <v>9</v>
      </c>
      <c r="J2786" s="10" t="s">
        <v>17</v>
      </c>
      <c r="K2786" s="1" t="s">
        <v>3078</v>
      </c>
      <c r="M2786" t="str">
        <f>+VLOOKUP(C2786,'[1]TIENDAS 2025'!$A$1:$C$143,3,0)</f>
        <v>local</v>
      </c>
      <c r="O2786">
        <v>1</v>
      </c>
    </row>
    <row r="2787" spans="1:15" ht="15" customHeight="1" x14ac:dyDescent="0.3">
      <c r="A2787" s="7">
        <v>1209673249</v>
      </c>
      <c r="B2787" s="4" t="s">
        <v>163</v>
      </c>
      <c r="C2787" s="4" t="s">
        <v>164</v>
      </c>
      <c r="D2787" s="6">
        <v>46309.506770833301</v>
      </c>
      <c r="E2787" s="6">
        <v>46309.256747685198</v>
      </c>
      <c r="F2787" s="6">
        <v>46309</v>
      </c>
      <c r="G2787" s="5" t="s">
        <v>12</v>
      </c>
      <c r="H2787" s="5" t="s">
        <v>16</v>
      </c>
      <c r="I2787" s="5">
        <v>30</v>
      </c>
      <c r="J2787" s="9" t="s">
        <v>17</v>
      </c>
      <c r="K2787" s="1" t="s">
        <v>3079</v>
      </c>
      <c r="L2787" t="s">
        <v>3284</v>
      </c>
      <c r="M2787" t="str">
        <f>+VLOOKUP(C2787,'[1]TIENDAS 2025'!$A$1:$C$143,3,0)</f>
        <v>departamental</v>
      </c>
      <c r="O2787">
        <v>1</v>
      </c>
    </row>
    <row r="2788" spans="1:15" ht="15" customHeight="1" x14ac:dyDescent="0.3">
      <c r="A2788" s="7">
        <v>1209673266</v>
      </c>
      <c r="B2788" s="4" t="s">
        <v>172</v>
      </c>
      <c r="C2788" s="4" t="s">
        <v>173</v>
      </c>
      <c r="D2788" s="6">
        <v>46309.506782407399</v>
      </c>
      <c r="E2788" s="6">
        <v>46309.256759259297</v>
      </c>
      <c r="F2788" s="6">
        <v>46309</v>
      </c>
      <c r="G2788" s="5" t="s">
        <v>12</v>
      </c>
      <c r="H2788" s="5" t="s">
        <v>29</v>
      </c>
      <c r="I2788" s="5">
        <v>12</v>
      </c>
      <c r="J2788" s="9" t="s">
        <v>17</v>
      </c>
      <c r="K2788" s="1" t="s">
        <v>3080</v>
      </c>
      <c r="L2788" t="s">
        <v>3284</v>
      </c>
      <c r="M2788" t="str">
        <f>+VLOOKUP(C2788,'[1]TIENDAS 2025'!$A$1:$C$143,3,0)</f>
        <v>local</v>
      </c>
      <c r="O2788">
        <v>1</v>
      </c>
    </row>
    <row r="2789" spans="1:15" ht="15" customHeight="1" x14ac:dyDescent="0.3">
      <c r="A2789" s="7">
        <v>1209673293</v>
      </c>
      <c r="B2789" s="4" t="s">
        <v>469</v>
      </c>
      <c r="C2789" s="4" t="s">
        <v>470</v>
      </c>
      <c r="D2789" s="6">
        <v>46309.506805555597</v>
      </c>
      <c r="E2789" s="6">
        <v>46309.256770833301</v>
      </c>
      <c r="F2789" s="6">
        <v>46309</v>
      </c>
      <c r="G2789" s="5" t="s">
        <v>12</v>
      </c>
      <c r="H2789" s="5" t="s">
        <v>16</v>
      </c>
      <c r="I2789" s="5">
        <v>1</v>
      </c>
      <c r="J2789" s="9" t="s">
        <v>17</v>
      </c>
      <c r="K2789" s="1" t="s">
        <v>3081</v>
      </c>
      <c r="L2789" t="s">
        <v>3284</v>
      </c>
      <c r="M2789" t="str">
        <f>+VLOOKUP(C2789,'[1]TIENDAS 2025'!$A$1:$C$143,3,0)</f>
        <v>departamental</v>
      </c>
      <c r="O2789">
        <v>1</v>
      </c>
    </row>
    <row r="2790" spans="1:15" ht="15" customHeight="1" x14ac:dyDescent="0.3">
      <c r="A2790" s="7">
        <v>8209673185</v>
      </c>
      <c r="B2790" s="4" t="s">
        <v>539</v>
      </c>
      <c r="C2790" s="4" t="s">
        <v>540</v>
      </c>
      <c r="D2790" s="6">
        <v>46309.506817129601</v>
      </c>
      <c r="E2790" s="6">
        <v>46309.256793981498</v>
      </c>
      <c r="F2790" s="6">
        <v>46309</v>
      </c>
      <c r="G2790" s="5" t="s">
        <v>12</v>
      </c>
      <c r="H2790" s="5" t="s">
        <v>27</v>
      </c>
      <c r="I2790" s="5">
        <v>11</v>
      </c>
      <c r="J2790" s="10" t="s">
        <v>17</v>
      </c>
      <c r="K2790" s="1" t="s">
        <v>3082</v>
      </c>
      <c r="M2790" t="str">
        <f>+VLOOKUP(C2790,'[1]TIENDAS 2025'!$A$1:$C$143,3,0)</f>
        <v>departamental</v>
      </c>
      <c r="O2790">
        <v>1</v>
      </c>
    </row>
    <row r="2791" spans="1:15" ht="15" customHeight="1" x14ac:dyDescent="0.3">
      <c r="A2791" s="7">
        <v>1209673250</v>
      </c>
      <c r="B2791" s="4" t="s">
        <v>163</v>
      </c>
      <c r="C2791" s="4" t="s">
        <v>164</v>
      </c>
      <c r="D2791" s="6">
        <v>46309.506840277798</v>
      </c>
      <c r="E2791" s="6">
        <v>46309.256805555597</v>
      </c>
      <c r="F2791" s="6">
        <v>46309</v>
      </c>
      <c r="G2791" s="5" t="s">
        <v>12</v>
      </c>
      <c r="H2791" s="5" t="s">
        <v>16</v>
      </c>
      <c r="I2791" s="5">
        <v>20</v>
      </c>
      <c r="J2791" s="9" t="s">
        <v>17</v>
      </c>
      <c r="K2791" s="1" t="s">
        <v>3083</v>
      </c>
      <c r="L2791" t="s">
        <v>3284</v>
      </c>
      <c r="M2791" t="str">
        <f>+VLOOKUP(C2791,'[1]TIENDAS 2025'!$A$1:$C$143,3,0)</f>
        <v>departamental</v>
      </c>
      <c r="O2791">
        <v>1</v>
      </c>
    </row>
    <row r="2792" spans="1:15" ht="15" customHeight="1" x14ac:dyDescent="0.3">
      <c r="A2792" s="7">
        <v>1209673251</v>
      </c>
      <c r="B2792" s="4" t="s">
        <v>163</v>
      </c>
      <c r="C2792" s="4" t="s">
        <v>164</v>
      </c>
      <c r="D2792" s="6">
        <v>46309.506840277798</v>
      </c>
      <c r="E2792" s="6">
        <v>46309.256817129601</v>
      </c>
      <c r="F2792" s="6">
        <v>46309</v>
      </c>
      <c r="G2792" s="5" t="s">
        <v>12</v>
      </c>
      <c r="H2792" s="5" t="s">
        <v>16</v>
      </c>
      <c r="I2792" s="5">
        <v>1</v>
      </c>
      <c r="J2792" s="9" t="s">
        <v>17</v>
      </c>
      <c r="K2792" s="1" t="s">
        <v>3084</v>
      </c>
      <c r="L2792" t="s">
        <v>3284</v>
      </c>
      <c r="M2792" t="str">
        <f>+VLOOKUP(C2792,'[1]TIENDAS 2025'!$A$1:$C$143,3,0)</f>
        <v>departamental</v>
      </c>
      <c r="O2792">
        <v>1</v>
      </c>
    </row>
    <row r="2793" spans="1:15" ht="15" customHeight="1" x14ac:dyDescent="0.3">
      <c r="A2793" s="7">
        <v>1209673204</v>
      </c>
      <c r="B2793" s="4" t="s">
        <v>539</v>
      </c>
      <c r="C2793" s="4" t="s">
        <v>540</v>
      </c>
      <c r="D2793" s="6">
        <v>46309.506863425901</v>
      </c>
      <c r="E2793" s="6">
        <v>46309.256828703699</v>
      </c>
      <c r="F2793" s="6">
        <v>46309</v>
      </c>
      <c r="G2793" s="5" t="s">
        <v>12</v>
      </c>
      <c r="H2793" s="5" t="s">
        <v>29</v>
      </c>
      <c r="I2793" s="5">
        <v>22</v>
      </c>
      <c r="J2793" s="9" t="s">
        <v>17</v>
      </c>
      <c r="K2793" s="1" t="s">
        <v>3085</v>
      </c>
      <c r="L2793" t="s">
        <v>3284</v>
      </c>
      <c r="M2793" t="str">
        <f>+VLOOKUP(C2793,'[1]TIENDAS 2025'!$A$1:$C$143,3,0)</f>
        <v>departamental</v>
      </c>
      <c r="O2793">
        <v>1</v>
      </c>
    </row>
    <row r="2794" spans="1:15" ht="15" customHeight="1" x14ac:dyDescent="0.3">
      <c r="A2794" s="7">
        <v>8209673282</v>
      </c>
      <c r="B2794" s="4" t="s">
        <v>469</v>
      </c>
      <c r="C2794" s="4" t="s">
        <v>470</v>
      </c>
      <c r="D2794" s="6">
        <v>46309.506874999999</v>
      </c>
      <c r="E2794" s="6">
        <v>46309.256851851896</v>
      </c>
      <c r="F2794" s="6">
        <v>46309</v>
      </c>
      <c r="G2794" s="5" t="s">
        <v>12</v>
      </c>
      <c r="H2794" s="5" t="s">
        <v>27</v>
      </c>
      <c r="I2794" s="5">
        <v>11</v>
      </c>
      <c r="J2794" s="10" t="s">
        <v>17</v>
      </c>
      <c r="K2794" s="1" t="s">
        <v>3086</v>
      </c>
      <c r="M2794" t="str">
        <f>+VLOOKUP(C2794,'[1]TIENDAS 2025'!$A$1:$C$143,3,0)</f>
        <v>departamental</v>
      </c>
      <c r="O2794">
        <v>1</v>
      </c>
    </row>
    <row r="2795" spans="1:15" ht="15" customHeight="1" x14ac:dyDescent="0.3">
      <c r="A2795" s="7">
        <v>1209673286</v>
      </c>
      <c r="B2795" s="4" t="s">
        <v>469</v>
      </c>
      <c r="C2795" s="4" t="s">
        <v>470</v>
      </c>
      <c r="D2795" s="6">
        <v>46309.506898148102</v>
      </c>
      <c r="E2795" s="6">
        <v>46309.256863425901</v>
      </c>
      <c r="F2795" s="6">
        <v>46309</v>
      </c>
      <c r="G2795" s="5" t="s">
        <v>12</v>
      </c>
      <c r="H2795" s="5" t="s">
        <v>16</v>
      </c>
      <c r="I2795" s="5">
        <v>9</v>
      </c>
      <c r="J2795" s="9" t="s">
        <v>17</v>
      </c>
      <c r="K2795" s="1" t="s">
        <v>3087</v>
      </c>
      <c r="L2795" t="s">
        <v>3284</v>
      </c>
      <c r="M2795" t="str">
        <f>+VLOOKUP(C2795,'[1]TIENDAS 2025'!$A$1:$C$143,3,0)</f>
        <v>departamental</v>
      </c>
      <c r="O2795">
        <v>1</v>
      </c>
    </row>
    <row r="2796" spans="1:15" ht="15" customHeight="1" x14ac:dyDescent="0.3">
      <c r="A2796" s="7">
        <v>8209673209</v>
      </c>
      <c r="B2796" s="4" t="s">
        <v>463</v>
      </c>
      <c r="C2796" s="4" t="s">
        <v>464</v>
      </c>
      <c r="D2796" s="6">
        <v>46309.5069097222</v>
      </c>
      <c r="E2796" s="6">
        <v>46309.256886574098</v>
      </c>
      <c r="F2796" s="6">
        <v>46309</v>
      </c>
      <c r="G2796" s="5" t="s">
        <v>12</v>
      </c>
      <c r="H2796" s="5" t="s">
        <v>27</v>
      </c>
      <c r="I2796" s="5">
        <v>2</v>
      </c>
      <c r="J2796" s="10" t="s">
        <v>17</v>
      </c>
      <c r="K2796" s="1" t="s">
        <v>3088</v>
      </c>
      <c r="M2796" t="str">
        <f>+VLOOKUP(C2796,'[1]TIENDAS 2025'!$A$1:$C$143,3,0)</f>
        <v xml:space="preserve">departamental </v>
      </c>
      <c r="O2796">
        <v>1</v>
      </c>
    </row>
    <row r="2797" spans="1:15" ht="15" customHeight="1" x14ac:dyDescent="0.3">
      <c r="A2797" s="7">
        <v>1209673177</v>
      </c>
      <c r="B2797" s="4" t="s">
        <v>527</v>
      </c>
      <c r="C2797" s="4" t="s">
        <v>528</v>
      </c>
      <c r="D2797" s="6">
        <v>46309.5069097222</v>
      </c>
      <c r="E2797" s="6">
        <v>46309.256874999999</v>
      </c>
      <c r="F2797" s="6">
        <v>46309</v>
      </c>
      <c r="G2797" s="5" t="s">
        <v>12</v>
      </c>
      <c r="H2797" s="5" t="s">
        <v>29</v>
      </c>
      <c r="I2797" s="5">
        <v>12</v>
      </c>
      <c r="J2797" s="9" t="s">
        <v>17</v>
      </c>
      <c r="K2797" s="1" t="s">
        <v>3089</v>
      </c>
      <c r="L2797" t="s">
        <v>3284</v>
      </c>
      <c r="M2797" t="str">
        <f>+VLOOKUP(C2797,'[1]TIENDAS 2025'!$A$1:$C$143,3,0)</f>
        <v>prioridad</v>
      </c>
      <c r="O2797">
        <v>1</v>
      </c>
    </row>
    <row r="2798" spans="1:15" ht="15" customHeight="1" x14ac:dyDescent="0.3">
      <c r="A2798" s="7">
        <v>1209673212</v>
      </c>
      <c r="B2798" s="4" t="s">
        <v>463</v>
      </c>
      <c r="C2798" s="4" t="s">
        <v>464</v>
      </c>
      <c r="D2798" s="6">
        <v>46309.506932870398</v>
      </c>
      <c r="E2798" s="6">
        <v>46309.2569097222</v>
      </c>
      <c r="F2798" s="6">
        <v>46309</v>
      </c>
      <c r="G2798" s="5" t="s">
        <v>12</v>
      </c>
      <c r="H2798" s="5" t="s">
        <v>16</v>
      </c>
      <c r="I2798" s="5">
        <v>3</v>
      </c>
      <c r="J2798" s="9" t="s">
        <v>17</v>
      </c>
      <c r="K2798" s="1" t="s">
        <v>3090</v>
      </c>
      <c r="L2798" t="s">
        <v>3284</v>
      </c>
      <c r="M2798" t="str">
        <f>+VLOOKUP(C2798,'[1]TIENDAS 2025'!$A$1:$C$143,3,0)</f>
        <v xml:space="preserve">departamental </v>
      </c>
      <c r="O2798">
        <v>1</v>
      </c>
    </row>
    <row r="2799" spans="1:15" ht="15" customHeight="1" x14ac:dyDescent="0.3">
      <c r="A2799" s="7">
        <v>8209673241</v>
      </c>
      <c r="B2799" s="4" t="s">
        <v>163</v>
      </c>
      <c r="C2799" s="4" t="s">
        <v>164</v>
      </c>
      <c r="D2799" s="6">
        <v>46309.506944444402</v>
      </c>
      <c r="E2799" s="6">
        <v>46309.256921296299</v>
      </c>
      <c r="F2799" s="6">
        <v>46309</v>
      </c>
      <c r="G2799" s="5" t="s">
        <v>12</v>
      </c>
      <c r="H2799" s="5" t="s">
        <v>27</v>
      </c>
      <c r="I2799" s="5">
        <v>5</v>
      </c>
      <c r="J2799" s="10" t="s">
        <v>17</v>
      </c>
      <c r="K2799" s="1" t="s">
        <v>3091</v>
      </c>
      <c r="M2799" t="str">
        <f>+VLOOKUP(C2799,'[1]TIENDAS 2025'!$A$1:$C$143,3,0)</f>
        <v>departamental</v>
      </c>
      <c r="O2799">
        <v>1</v>
      </c>
    </row>
    <row r="2800" spans="1:15" ht="15" customHeight="1" x14ac:dyDescent="0.3">
      <c r="A2800" s="7">
        <v>1209673259</v>
      </c>
      <c r="B2800" s="4" t="s">
        <v>172</v>
      </c>
      <c r="C2800" s="4" t="s">
        <v>173</v>
      </c>
      <c r="D2800" s="6">
        <v>46309.506967592599</v>
      </c>
      <c r="E2800" s="6">
        <v>46309.256932870398</v>
      </c>
      <c r="F2800" s="6">
        <v>46309</v>
      </c>
      <c r="G2800" s="5" t="s">
        <v>12</v>
      </c>
      <c r="H2800" s="5" t="s">
        <v>16</v>
      </c>
      <c r="I2800" s="5">
        <v>1</v>
      </c>
      <c r="J2800" s="9" t="s">
        <v>17</v>
      </c>
      <c r="K2800" s="1" t="s">
        <v>3092</v>
      </c>
      <c r="L2800" t="s">
        <v>3284</v>
      </c>
      <c r="M2800" t="str">
        <f>+VLOOKUP(C2800,'[1]TIENDAS 2025'!$A$1:$C$143,3,0)</f>
        <v>local</v>
      </c>
      <c r="O2800">
        <v>1</v>
      </c>
    </row>
    <row r="2801" spans="1:15" ht="15" customHeight="1" x14ac:dyDescent="0.3">
      <c r="A2801" s="7">
        <v>1209673218</v>
      </c>
      <c r="B2801" s="4" t="s">
        <v>463</v>
      </c>
      <c r="C2801" s="4" t="s">
        <v>464</v>
      </c>
      <c r="D2801" s="6">
        <v>46309.506979166697</v>
      </c>
      <c r="E2801" s="6">
        <v>46309.256944444402</v>
      </c>
      <c r="F2801" s="6">
        <v>46309</v>
      </c>
      <c r="G2801" s="5" t="s">
        <v>12</v>
      </c>
      <c r="H2801" s="5" t="s">
        <v>29</v>
      </c>
      <c r="I2801" s="5">
        <v>15</v>
      </c>
      <c r="J2801" s="9" t="s">
        <v>17</v>
      </c>
      <c r="K2801" s="1" t="s">
        <v>3093</v>
      </c>
      <c r="L2801" t="s">
        <v>3284</v>
      </c>
      <c r="M2801" t="str">
        <f>+VLOOKUP(C2801,'[1]TIENDAS 2025'!$A$1:$C$143,3,0)</f>
        <v xml:space="preserve">departamental </v>
      </c>
      <c r="O2801">
        <v>1</v>
      </c>
    </row>
    <row r="2802" spans="1:15" ht="15" customHeight="1" x14ac:dyDescent="0.3">
      <c r="A2802" s="7">
        <v>8209673170</v>
      </c>
      <c r="B2802" s="4" t="s">
        <v>527</v>
      </c>
      <c r="C2802" s="4" t="s">
        <v>528</v>
      </c>
      <c r="D2802" s="6">
        <v>46309.506990740701</v>
      </c>
      <c r="E2802" s="6">
        <v>46309.2569560185</v>
      </c>
      <c r="F2802" s="6">
        <v>46309</v>
      </c>
      <c r="G2802" s="5" t="s">
        <v>12</v>
      </c>
      <c r="H2802" s="5" t="s">
        <v>27</v>
      </c>
      <c r="I2802" s="5">
        <v>5</v>
      </c>
      <c r="J2802" s="10" t="s">
        <v>17</v>
      </c>
      <c r="K2802" s="1" t="s">
        <v>3094</v>
      </c>
      <c r="M2802" t="str">
        <f>+VLOOKUP(C2802,'[1]TIENDAS 2025'!$A$1:$C$143,3,0)</f>
        <v>prioridad</v>
      </c>
      <c r="O2802">
        <v>1</v>
      </c>
    </row>
    <row r="2803" spans="1:15" ht="15" customHeight="1" x14ac:dyDescent="0.3">
      <c r="A2803" s="7">
        <v>1209673192</v>
      </c>
      <c r="B2803" s="4" t="s">
        <v>539</v>
      </c>
      <c r="C2803" s="4" t="s">
        <v>540</v>
      </c>
      <c r="D2803" s="6">
        <v>46309.5070023148</v>
      </c>
      <c r="E2803" s="6">
        <v>46309.256979166697</v>
      </c>
      <c r="F2803" s="6">
        <v>46309</v>
      </c>
      <c r="G2803" s="5" t="s">
        <v>12</v>
      </c>
      <c r="H2803" s="5" t="s">
        <v>16</v>
      </c>
      <c r="I2803" s="5">
        <v>14</v>
      </c>
      <c r="J2803" s="9" t="s">
        <v>17</v>
      </c>
      <c r="K2803" s="1" t="s">
        <v>3095</v>
      </c>
      <c r="L2803" t="s">
        <v>3284</v>
      </c>
      <c r="M2803" t="str">
        <f>+VLOOKUP(C2803,'[1]TIENDAS 2025'!$A$1:$C$143,3,0)</f>
        <v>departamental</v>
      </c>
      <c r="O2803">
        <v>1</v>
      </c>
    </row>
    <row r="2804" spans="1:15" ht="15" customHeight="1" x14ac:dyDescent="0.3">
      <c r="A2804" s="7">
        <v>1209673172</v>
      </c>
      <c r="B2804" s="4" t="s">
        <v>527</v>
      </c>
      <c r="C2804" s="4" t="s">
        <v>528</v>
      </c>
      <c r="D2804" s="6">
        <v>46309.507025462997</v>
      </c>
      <c r="E2804" s="6">
        <v>46309.256990740701</v>
      </c>
      <c r="F2804" s="6">
        <v>46309</v>
      </c>
      <c r="G2804" s="5" t="s">
        <v>12</v>
      </c>
      <c r="H2804" s="5" t="s">
        <v>16</v>
      </c>
      <c r="I2804" s="5">
        <v>7</v>
      </c>
      <c r="J2804" s="9" t="s">
        <v>17</v>
      </c>
      <c r="K2804" s="1" t="s">
        <v>3096</v>
      </c>
      <c r="L2804" t="s">
        <v>3284</v>
      </c>
      <c r="M2804" t="str">
        <f>+VLOOKUP(C2804,'[1]TIENDAS 2025'!$A$1:$C$143,3,0)</f>
        <v>prioridad</v>
      </c>
      <c r="O2804">
        <v>1</v>
      </c>
    </row>
    <row r="2805" spans="1:15" ht="15" customHeight="1" x14ac:dyDescent="0.3">
      <c r="A2805" s="7">
        <v>8209673283</v>
      </c>
      <c r="B2805" s="4" t="s">
        <v>469</v>
      </c>
      <c r="C2805" s="4" t="s">
        <v>470</v>
      </c>
      <c r="D2805" s="6">
        <v>46309.507037037001</v>
      </c>
      <c r="E2805" s="6">
        <v>46309.2570023148</v>
      </c>
      <c r="F2805" s="6">
        <v>46309</v>
      </c>
      <c r="G2805" s="5" t="s">
        <v>12</v>
      </c>
      <c r="H2805" s="5" t="s">
        <v>27</v>
      </c>
      <c r="I2805" s="5">
        <v>6</v>
      </c>
      <c r="J2805" s="10" t="s">
        <v>17</v>
      </c>
      <c r="K2805" s="1" t="s">
        <v>3097</v>
      </c>
      <c r="M2805" t="str">
        <f>+VLOOKUP(C2805,'[1]TIENDAS 2025'!$A$1:$C$143,3,0)</f>
        <v>departamental</v>
      </c>
      <c r="O2805">
        <v>1</v>
      </c>
    </row>
    <row r="2806" spans="1:15" ht="15" customHeight="1" x14ac:dyDescent="0.3">
      <c r="A2806" s="7">
        <v>8209673207</v>
      </c>
      <c r="B2806" s="4" t="s">
        <v>463</v>
      </c>
      <c r="C2806" s="4" t="s">
        <v>464</v>
      </c>
      <c r="D2806" s="6">
        <v>46309.5070486111</v>
      </c>
      <c r="E2806" s="6">
        <v>46309.257025462997</v>
      </c>
      <c r="F2806" s="6">
        <v>46309</v>
      </c>
      <c r="G2806" s="5" t="s">
        <v>12</v>
      </c>
      <c r="H2806" s="5" t="s">
        <v>27</v>
      </c>
      <c r="I2806" s="5">
        <v>2</v>
      </c>
      <c r="J2806" s="10" t="s">
        <v>17</v>
      </c>
      <c r="K2806" s="1" t="s">
        <v>3098</v>
      </c>
      <c r="M2806" t="str">
        <f>+VLOOKUP(C2806,'[1]TIENDAS 2025'!$A$1:$C$143,3,0)</f>
        <v xml:space="preserve">departamental </v>
      </c>
      <c r="O2806">
        <v>1</v>
      </c>
    </row>
    <row r="2807" spans="1:15" ht="15" customHeight="1" x14ac:dyDescent="0.3">
      <c r="A2807" s="7">
        <v>1209673287</v>
      </c>
      <c r="B2807" s="4" t="s">
        <v>469</v>
      </c>
      <c r="C2807" s="4" t="s">
        <v>470</v>
      </c>
      <c r="D2807" s="6">
        <v>46309.507060185198</v>
      </c>
      <c r="E2807" s="6">
        <v>46309.257037037001</v>
      </c>
      <c r="F2807" s="6">
        <v>46309</v>
      </c>
      <c r="G2807" s="5" t="s">
        <v>12</v>
      </c>
      <c r="H2807" s="5" t="s">
        <v>29</v>
      </c>
      <c r="I2807" s="5">
        <v>9</v>
      </c>
      <c r="J2807" s="9" t="s">
        <v>17</v>
      </c>
      <c r="K2807" s="1" t="s">
        <v>3099</v>
      </c>
      <c r="L2807" t="s">
        <v>3284</v>
      </c>
      <c r="M2807" t="str">
        <f>+VLOOKUP(C2807,'[1]TIENDAS 2025'!$A$1:$C$143,3,0)</f>
        <v>departamental</v>
      </c>
      <c r="O2807">
        <v>1</v>
      </c>
    </row>
    <row r="2808" spans="1:15" ht="15" customHeight="1" x14ac:dyDescent="0.3">
      <c r="A2808" s="7">
        <v>8209673238</v>
      </c>
      <c r="B2808" s="4" t="s">
        <v>163</v>
      </c>
      <c r="C2808" s="4" t="s">
        <v>164</v>
      </c>
      <c r="D2808" s="6">
        <v>46309.507083333301</v>
      </c>
      <c r="E2808" s="6">
        <v>46309.2570486111</v>
      </c>
      <c r="F2808" s="6">
        <v>46309</v>
      </c>
      <c r="G2808" s="5" t="s">
        <v>12</v>
      </c>
      <c r="H2808" s="5" t="s">
        <v>27</v>
      </c>
      <c r="I2808" s="5">
        <v>1</v>
      </c>
      <c r="J2808" s="10" t="s">
        <v>17</v>
      </c>
      <c r="K2808" s="1" t="s">
        <v>3100</v>
      </c>
      <c r="M2808" t="str">
        <f>+VLOOKUP(C2808,'[1]TIENDAS 2025'!$A$1:$C$143,3,0)</f>
        <v>departamental</v>
      </c>
      <c r="O2808">
        <v>1</v>
      </c>
    </row>
    <row r="2809" spans="1:15" ht="15" customHeight="1" x14ac:dyDescent="0.3">
      <c r="A2809" s="7">
        <v>1209673290</v>
      </c>
      <c r="B2809" s="4" t="s">
        <v>469</v>
      </c>
      <c r="C2809" s="4" t="s">
        <v>470</v>
      </c>
      <c r="D2809" s="6">
        <v>46309.507106481498</v>
      </c>
      <c r="E2809" s="6">
        <v>46309.257071759297</v>
      </c>
      <c r="F2809" s="6">
        <v>46309</v>
      </c>
      <c r="G2809" s="5" t="s">
        <v>12</v>
      </c>
      <c r="H2809" s="5" t="s">
        <v>29</v>
      </c>
      <c r="I2809" s="5">
        <v>23</v>
      </c>
      <c r="J2809" s="9" t="s">
        <v>17</v>
      </c>
      <c r="K2809" s="1" t="s">
        <v>3101</v>
      </c>
      <c r="L2809" t="s">
        <v>3284</v>
      </c>
      <c r="M2809" t="str">
        <f>+VLOOKUP(C2809,'[1]TIENDAS 2025'!$A$1:$C$143,3,0)</f>
        <v>departamental</v>
      </c>
      <c r="O2809">
        <v>1</v>
      </c>
    </row>
    <row r="2810" spans="1:15" ht="15" customHeight="1" x14ac:dyDescent="0.3">
      <c r="A2810" s="7">
        <v>1209673291</v>
      </c>
      <c r="B2810" s="4" t="s">
        <v>469</v>
      </c>
      <c r="C2810" s="4" t="s">
        <v>470</v>
      </c>
      <c r="D2810" s="6">
        <v>46309.507106481498</v>
      </c>
      <c r="E2810" s="6">
        <v>46309.257083333301</v>
      </c>
      <c r="F2810" s="6">
        <v>46309</v>
      </c>
      <c r="G2810" s="5" t="s">
        <v>12</v>
      </c>
      <c r="H2810" s="5" t="s">
        <v>16</v>
      </c>
      <c r="I2810" s="5">
        <v>14</v>
      </c>
      <c r="J2810" s="9" t="s">
        <v>17</v>
      </c>
      <c r="K2810" s="1" t="s">
        <v>3102</v>
      </c>
      <c r="L2810" t="s">
        <v>3284</v>
      </c>
      <c r="M2810" t="str">
        <f>+VLOOKUP(C2810,'[1]TIENDAS 2025'!$A$1:$C$143,3,0)</f>
        <v>departamental</v>
      </c>
      <c r="O2810">
        <v>1</v>
      </c>
    </row>
    <row r="2811" spans="1:15" ht="15" customHeight="1" x14ac:dyDescent="0.3">
      <c r="A2811" s="7">
        <v>8209673186</v>
      </c>
      <c r="B2811" s="4" t="s">
        <v>539</v>
      </c>
      <c r="C2811" s="4" t="s">
        <v>540</v>
      </c>
      <c r="D2811" s="6">
        <v>46309.507129629601</v>
      </c>
      <c r="E2811" s="6">
        <v>46309.2570949074</v>
      </c>
      <c r="F2811" s="6">
        <v>46309</v>
      </c>
      <c r="G2811" s="5" t="s">
        <v>12</v>
      </c>
      <c r="H2811" s="5" t="s">
        <v>27</v>
      </c>
      <c r="I2811" s="5">
        <v>1</v>
      </c>
      <c r="J2811" s="10" t="s">
        <v>17</v>
      </c>
      <c r="K2811" s="1" t="s">
        <v>3103</v>
      </c>
      <c r="M2811" t="str">
        <f>+VLOOKUP(C2811,'[1]TIENDAS 2025'!$A$1:$C$143,3,0)</f>
        <v>departamental</v>
      </c>
      <c r="O2811">
        <v>1</v>
      </c>
    </row>
    <row r="2812" spans="1:15" ht="15" customHeight="1" x14ac:dyDescent="0.3">
      <c r="A2812" s="7">
        <v>1209673173</v>
      </c>
      <c r="B2812" s="4" t="s">
        <v>527</v>
      </c>
      <c r="C2812" s="4" t="s">
        <v>528</v>
      </c>
      <c r="D2812" s="6">
        <v>46309.5071412037</v>
      </c>
      <c r="E2812" s="6">
        <v>46309.257106481498</v>
      </c>
      <c r="F2812" s="6">
        <v>46309</v>
      </c>
      <c r="G2812" s="5" t="s">
        <v>12</v>
      </c>
      <c r="H2812" s="5" t="s">
        <v>16</v>
      </c>
      <c r="I2812" s="5">
        <v>2</v>
      </c>
      <c r="J2812" s="9" t="s">
        <v>17</v>
      </c>
      <c r="K2812" s="1" t="s">
        <v>3104</v>
      </c>
      <c r="L2812" t="s">
        <v>3284</v>
      </c>
      <c r="M2812" t="str">
        <f>+VLOOKUP(C2812,'[1]TIENDAS 2025'!$A$1:$C$143,3,0)</f>
        <v>prioridad</v>
      </c>
      <c r="O2812">
        <v>1</v>
      </c>
    </row>
    <row r="2813" spans="1:15" ht="15" customHeight="1" x14ac:dyDescent="0.3">
      <c r="A2813" s="7">
        <v>8209673280</v>
      </c>
      <c r="B2813" s="4" t="s">
        <v>469</v>
      </c>
      <c r="C2813" s="4" t="s">
        <v>470</v>
      </c>
      <c r="D2813" s="6">
        <v>46309.507164351897</v>
      </c>
      <c r="E2813" s="6">
        <v>46309.257129629601</v>
      </c>
      <c r="F2813" s="6">
        <v>46309</v>
      </c>
      <c r="G2813" s="5" t="s">
        <v>12</v>
      </c>
      <c r="H2813" s="5" t="s">
        <v>27</v>
      </c>
      <c r="I2813" s="5">
        <v>2</v>
      </c>
      <c r="J2813" s="10" t="s">
        <v>17</v>
      </c>
      <c r="K2813" s="1" t="s">
        <v>3105</v>
      </c>
      <c r="M2813" t="str">
        <f>+VLOOKUP(C2813,'[1]TIENDAS 2025'!$A$1:$C$143,3,0)</f>
        <v>departamental</v>
      </c>
      <c r="O2813">
        <v>1</v>
      </c>
    </row>
    <row r="2814" spans="1:15" ht="15" customHeight="1" x14ac:dyDescent="0.3">
      <c r="A2814" s="7">
        <v>8209673206</v>
      </c>
      <c r="B2814" s="4" t="s">
        <v>463</v>
      </c>
      <c r="C2814" s="4" t="s">
        <v>464</v>
      </c>
      <c r="D2814" s="6">
        <v>46309.507175925901</v>
      </c>
      <c r="E2814" s="6">
        <v>46309.2571412037</v>
      </c>
      <c r="F2814" s="6">
        <v>46309</v>
      </c>
      <c r="G2814" s="5" t="s">
        <v>12</v>
      </c>
      <c r="H2814" s="5" t="s">
        <v>27</v>
      </c>
      <c r="I2814" s="5">
        <v>5</v>
      </c>
      <c r="J2814" s="10" t="s">
        <v>17</v>
      </c>
      <c r="K2814" s="1" t="s">
        <v>3106</v>
      </c>
      <c r="M2814" t="str">
        <f>+VLOOKUP(C2814,'[1]TIENDAS 2025'!$A$1:$C$143,3,0)</f>
        <v xml:space="preserve">departamental </v>
      </c>
      <c r="O2814">
        <v>1</v>
      </c>
    </row>
    <row r="2815" spans="1:15" ht="15" customHeight="1" x14ac:dyDescent="0.3">
      <c r="A2815" s="7">
        <v>1209673213</v>
      </c>
      <c r="B2815" s="4" t="s">
        <v>463</v>
      </c>
      <c r="C2815" s="4" t="s">
        <v>464</v>
      </c>
      <c r="D2815" s="6">
        <v>46309.507187499999</v>
      </c>
      <c r="E2815" s="6">
        <v>46309.257164351897</v>
      </c>
      <c r="F2815" s="6">
        <v>46309</v>
      </c>
      <c r="G2815" s="5" t="s">
        <v>12</v>
      </c>
      <c r="H2815" s="5" t="s">
        <v>16</v>
      </c>
      <c r="I2815" s="5">
        <v>4</v>
      </c>
      <c r="J2815" s="9" t="s">
        <v>17</v>
      </c>
      <c r="K2815" s="1" t="s">
        <v>3107</v>
      </c>
      <c r="L2815" t="s">
        <v>3284</v>
      </c>
      <c r="M2815" t="str">
        <f>+VLOOKUP(C2815,'[1]TIENDAS 2025'!$A$1:$C$143,3,0)</f>
        <v xml:space="preserve">departamental </v>
      </c>
      <c r="O2815">
        <v>1</v>
      </c>
    </row>
    <row r="2816" spans="1:15" ht="15" customHeight="1" x14ac:dyDescent="0.3">
      <c r="A2816" s="7">
        <v>8209673243</v>
      </c>
      <c r="B2816" s="4" t="s">
        <v>163</v>
      </c>
      <c r="C2816" s="4" t="s">
        <v>164</v>
      </c>
      <c r="D2816" s="6">
        <v>46309.507199074098</v>
      </c>
      <c r="E2816" s="6">
        <v>46309.257175925901</v>
      </c>
      <c r="F2816" s="6">
        <v>46309</v>
      </c>
      <c r="G2816" s="5" t="s">
        <v>12</v>
      </c>
      <c r="H2816" s="5" t="s">
        <v>27</v>
      </c>
      <c r="I2816" s="5">
        <v>12</v>
      </c>
      <c r="J2816" s="10" t="s">
        <v>17</v>
      </c>
      <c r="K2816" s="1" t="s">
        <v>3108</v>
      </c>
      <c r="M2816" t="str">
        <f>+VLOOKUP(C2816,'[1]TIENDAS 2025'!$A$1:$C$143,3,0)</f>
        <v>departamental</v>
      </c>
      <c r="O2816">
        <v>1</v>
      </c>
    </row>
    <row r="2817" spans="1:15" ht="15" customHeight="1" x14ac:dyDescent="0.3">
      <c r="A2817" s="7">
        <v>8209673258</v>
      </c>
      <c r="B2817" s="4" t="s">
        <v>172</v>
      </c>
      <c r="C2817" s="4" t="s">
        <v>173</v>
      </c>
      <c r="D2817" s="6">
        <v>46309.507222222201</v>
      </c>
      <c r="E2817" s="6">
        <v>46309.257187499999</v>
      </c>
      <c r="F2817" s="6">
        <v>46309</v>
      </c>
      <c r="G2817" s="5" t="s">
        <v>12</v>
      </c>
      <c r="H2817" s="5" t="s">
        <v>27</v>
      </c>
      <c r="I2817" s="5">
        <v>7</v>
      </c>
      <c r="J2817" s="10" t="s">
        <v>17</v>
      </c>
      <c r="K2817" s="1" t="s">
        <v>3109</v>
      </c>
      <c r="M2817" t="str">
        <f>+VLOOKUP(C2817,'[1]TIENDAS 2025'!$A$1:$C$143,3,0)</f>
        <v>local</v>
      </c>
      <c r="O2817">
        <v>1</v>
      </c>
    </row>
    <row r="2818" spans="1:15" ht="15" customHeight="1" x14ac:dyDescent="0.3">
      <c r="A2818" s="7">
        <v>1209673261</v>
      </c>
      <c r="B2818" s="4" t="s">
        <v>172</v>
      </c>
      <c r="C2818" s="4" t="s">
        <v>173</v>
      </c>
      <c r="D2818" s="6">
        <v>46309.507233796299</v>
      </c>
      <c r="E2818" s="6">
        <v>46309.257199074098</v>
      </c>
      <c r="F2818" s="6">
        <v>46309</v>
      </c>
      <c r="G2818" s="5" t="s">
        <v>12</v>
      </c>
      <c r="H2818" s="5" t="s">
        <v>16</v>
      </c>
      <c r="I2818" s="5">
        <v>4</v>
      </c>
      <c r="J2818" s="9" t="s">
        <v>17</v>
      </c>
      <c r="K2818" s="1" t="s">
        <v>3110</v>
      </c>
      <c r="L2818" t="s">
        <v>3284</v>
      </c>
      <c r="M2818" t="str">
        <f>+VLOOKUP(C2818,'[1]TIENDAS 2025'!$A$1:$C$143,3,0)</f>
        <v>local</v>
      </c>
      <c r="O2818">
        <v>1</v>
      </c>
    </row>
    <row r="2819" spans="1:15" ht="15" customHeight="1" x14ac:dyDescent="0.3">
      <c r="A2819" s="7">
        <v>1209673262</v>
      </c>
      <c r="B2819" s="4" t="s">
        <v>172</v>
      </c>
      <c r="C2819" s="4" t="s">
        <v>173</v>
      </c>
      <c r="D2819" s="6">
        <v>46309.507245370398</v>
      </c>
      <c r="E2819" s="6">
        <v>46309.257222222201</v>
      </c>
      <c r="F2819" s="6">
        <v>46309</v>
      </c>
      <c r="G2819" s="5" t="s">
        <v>12</v>
      </c>
      <c r="H2819" s="5" t="s">
        <v>16</v>
      </c>
      <c r="I2819" s="5">
        <v>3</v>
      </c>
      <c r="J2819" s="9" t="s">
        <v>17</v>
      </c>
      <c r="K2819" s="1" t="s">
        <v>3111</v>
      </c>
      <c r="L2819" t="s">
        <v>3284</v>
      </c>
      <c r="M2819" t="str">
        <f>+VLOOKUP(C2819,'[1]TIENDAS 2025'!$A$1:$C$143,3,0)</f>
        <v>local</v>
      </c>
      <c r="O2819">
        <v>1</v>
      </c>
    </row>
    <row r="2820" spans="1:15" ht="15" customHeight="1" x14ac:dyDescent="0.3">
      <c r="A2820" s="7">
        <v>1209673263</v>
      </c>
      <c r="B2820" s="4" t="s">
        <v>172</v>
      </c>
      <c r="C2820" s="4" t="s">
        <v>173</v>
      </c>
      <c r="D2820" s="6">
        <v>46309.507256944402</v>
      </c>
      <c r="E2820" s="6">
        <v>46309.257233796299</v>
      </c>
      <c r="F2820" s="6">
        <v>46309</v>
      </c>
      <c r="G2820" s="5" t="s">
        <v>12</v>
      </c>
      <c r="H2820" s="5" t="s">
        <v>16</v>
      </c>
      <c r="I2820" s="5">
        <v>3</v>
      </c>
      <c r="J2820" s="9" t="s">
        <v>17</v>
      </c>
      <c r="K2820" s="1" t="s">
        <v>3112</v>
      </c>
      <c r="L2820" t="s">
        <v>3284</v>
      </c>
      <c r="M2820" t="str">
        <f>+VLOOKUP(C2820,'[1]TIENDAS 2025'!$A$1:$C$143,3,0)</f>
        <v>local</v>
      </c>
      <c r="O2820">
        <v>1</v>
      </c>
    </row>
    <row r="2821" spans="1:15" ht="15" customHeight="1" x14ac:dyDescent="0.3">
      <c r="A2821" s="7">
        <v>1209673264</v>
      </c>
      <c r="B2821" s="4" t="s">
        <v>172</v>
      </c>
      <c r="C2821" s="4" t="s">
        <v>173</v>
      </c>
      <c r="D2821" s="6">
        <v>46309.507280092599</v>
      </c>
      <c r="E2821" s="6">
        <v>46309.257245370398</v>
      </c>
      <c r="F2821" s="6">
        <v>46309</v>
      </c>
      <c r="G2821" s="5" t="s">
        <v>12</v>
      </c>
      <c r="H2821" s="5" t="s">
        <v>16</v>
      </c>
      <c r="I2821" s="5">
        <v>8</v>
      </c>
      <c r="J2821" s="9" t="s">
        <v>17</v>
      </c>
      <c r="K2821" s="1" t="s">
        <v>3113</v>
      </c>
      <c r="L2821" t="s">
        <v>3284</v>
      </c>
      <c r="M2821" t="str">
        <f>+VLOOKUP(C2821,'[1]TIENDAS 2025'!$A$1:$C$143,3,0)</f>
        <v>local</v>
      </c>
      <c r="O2821">
        <v>1</v>
      </c>
    </row>
    <row r="2822" spans="1:15" ht="15" customHeight="1" x14ac:dyDescent="0.3">
      <c r="A2822" s="7">
        <v>1209673294</v>
      </c>
      <c r="B2822" s="4" t="s">
        <v>469</v>
      </c>
      <c r="C2822" s="4" t="s">
        <v>470</v>
      </c>
      <c r="D2822" s="6">
        <v>46309.507291666698</v>
      </c>
      <c r="E2822" s="6">
        <v>46309.257256944402</v>
      </c>
      <c r="F2822" s="6">
        <v>46309</v>
      </c>
      <c r="G2822" s="5" t="s">
        <v>12</v>
      </c>
      <c r="H2822" s="5" t="s">
        <v>29</v>
      </c>
      <c r="I2822" s="5">
        <v>43</v>
      </c>
      <c r="J2822" s="9" t="s">
        <v>17</v>
      </c>
      <c r="K2822" s="1" t="s">
        <v>3114</v>
      </c>
      <c r="L2822" t="s">
        <v>3284</v>
      </c>
      <c r="M2822" t="str">
        <f>+VLOOKUP(C2822,'[1]TIENDAS 2025'!$A$1:$C$143,3,0)</f>
        <v>departamental</v>
      </c>
      <c r="O2822">
        <v>1</v>
      </c>
    </row>
    <row r="2823" spans="1:15" ht="15" customHeight="1" x14ac:dyDescent="0.3">
      <c r="A2823" s="7">
        <v>1209673175</v>
      </c>
      <c r="B2823" s="4" t="s">
        <v>527</v>
      </c>
      <c r="C2823" s="4" t="s">
        <v>528</v>
      </c>
      <c r="D2823" s="6">
        <v>46309.507303240702</v>
      </c>
      <c r="E2823" s="6">
        <v>46309.257280092599</v>
      </c>
      <c r="F2823" s="6">
        <v>46309</v>
      </c>
      <c r="G2823" s="5" t="s">
        <v>12</v>
      </c>
      <c r="H2823" s="5" t="s">
        <v>16</v>
      </c>
      <c r="I2823" s="5">
        <v>10</v>
      </c>
      <c r="J2823" s="9" t="s">
        <v>17</v>
      </c>
      <c r="K2823" s="1" t="s">
        <v>3115</v>
      </c>
      <c r="L2823" t="s">
        <v>3284</v>
      </c>
      <c r="M2823" t="str">
        <f>+VLOOKUP(C2823,'[1]TIENDAS 2025'!$A$1:$C$143,3,0)</f>
        <v>prioridad</v>
      </c>
      <c r="O2823">
        <v>1</v>
      </c>
    </row>
    <row r="2824" spans="1:15" ht="15" customHeight="1" x14ac:dyDescent="0.3">
      <c r="A2824" s="7">
        <v>1209673194</v>
      </c>
      <c r="B2824" s="4" t="s">
        <v>539</v>
      </c>
      <c r="C2824" s="4" t="s">
        <v>540</v>
      </c>
      <c r="D2824" s="6">
        <v>46309.5073148148</v>
      </c>
      <c r="E2824" s="6">
        <v>46309.257291666698</v>
      </c>
      <c r="F2824" s="6">
        <v>46309</v>
      </c>
      <c r="G2824" s="5" t="s">
        <v>12</v>
      </c>
      <c r="H2824" s="5" t="s">
        <v>29</v>
      </c>
      <c r="I2824" s="5">
        <v>13</v>
      </c>
      <c r="J2824" s="9" t="s">
        <v>17</v>
      </c>
      <c r="K2824" s="1" t="s">
        <v>3116</v>
      </c>
      <c r="L2824" t="s">
        <v>3284</v>
      </c>
      <c r="M2824" t="str">
        <f>+VLOOKUP(C2824,'[1]TIENDAS 2025'!$A$1:$C$143,3,0)</f>
        <v>departamental</v>
      </c>
      <c r="O2824">
        <v>1</v>
      </c>
    </row>
    <row r="2825" spans="1:15" ht="15" customHeight="1" x14ac:dyDescent="0.3">
      <c r="A2825" s="7">
        <v>8209673281</v>
      </c>
      <c r="B2825" s="4" t="s">
        <v>469</v>
      </c>
      <c r="C2825" s="4" t="s">
        <v>470</v>
      </c>
      <c r="D2825" s="6">
        <v>46309.507326388899</v>
      </c>
      <c r="E2825" s="6">
        <v>46309.257303240702</v>
      </c>
      <c r="F2825" s="6">
        <v>46309</v>
      </c>
      <c r="G2825" s="5" t="s">
        <v>12</v>
      </c>
      <c r="H2825" s="5" t="s">
        <v>27</v>
      </c>
      <c r="I2825" s="5">
        <v>1</v>
      </c>
      <c r="J2825" s="10" t="s">
        <v>17</v>
      </c>
      <c r="K2825" s="1" t="s">
        <v>3117</v>
      </c>
      <c r="M2825" t="str">
        <f>+VLOOKUP(C2825,'[1]TIENDAS 2025'!$A$1:$C$143,3,0)</f>
        <v>departamental</v>
      </c>
      <c r="O2825">
        <v>1</v>
      </c>
    </row>
    <row r="2826" spans="1:15" ht="15" customHeight="1" x14ac:dyDescent="0.3">
      <c r="A2826" s="7">
        <v>1209673253</v>
      </c>
      <c r="B2826" s="4" t="s">
        <v>163</v>
      </c>
      <c r="C2826" s="4" t="s">
        <v>164</v>
      </c>
      <c r="D2826" s="6">
        <v>46309.507349537002</v>
      </c>
      <c r="E2826" s="6">
        <v>46309.2573148148</v>
      </c>
      <c r="F2826" s="6">
        <v>46309</v>
      </c>
      <c r="G2826" s="5" t="s">
        <v>12</v>
      </c>
      <c r="H2826" s="5" t="s">
        <v>29</v>
      </c>
      <c r="I2826" s="5">
        <v>52</v>
      </c>
      <c r="J2826" s="9" t="s">
        <v>17</v>
      </c>
      <c r="K2826" s="1" t="s">
        <v>3118</v>
      </c>
      <c r="L2826" t="s">
        <v>3284</v>
      </c>
      <c r="M2826" t="str">
        <f>+VLOOKUP(C2826,'[1]TIENDAS 2025'!$A$1:$C$143,3,0)</f>
        <v>departamental</v>
      </c>
      <c r="O2826">
        <v>1</v>
      </c>
    </row>
    <row r="2827" spans="1:15" ht="15" customHeight="1" x14ac:dyDescent="0.3">
      <c r="A2827" s="7">
        <v>1209673285</v>
      </c>
      <c r="B2827" s="4" t="s">
        <v>469</v>
      </c>
      <c r="C2827" s="4" t="s">
        <v>470</v>
      </c>
      <c r="D2827" s="6">
        <v>46309.5073611111</v>
      </c>
      <c r="E2827" s="6">
        <v>46309.257326388899</v>
      </c>
      <c r="F2827" s="6">
        <v>46309</v>
      </c>
      <c r="G2827" s="5" t="s">
        <v>12</v>
      </c>
      <c r="H2827" s="5" t="s">
        <v>29</v>
      </c>
      <c r="I2827" s="5">
        <v>2</v>
      </c>
      <c r="J2827" s="9" t="s">
        <v>17</v>
      </c>
      <c r="K2827" s="1" t="s">
        <v>3119</v>
      </c>
      <c r="L2827" t="s">
        <v>3284</v>
      </c>
      <c r="M2827" t="str">
        <f>+VLOOKUP(C2827,'[1]TIENDAS 2025'!$A$1:$C$143,3,0)</f>
        <v>departamental</v>
      </c>
      <c r="O2827">
        <v>1</v>
      </c>
    </row>
    <row r="2828" spans="1:15" ht="15" customHeight="1" x14ac:dyDescent="0.3">
      <c r="A2828" s="7">
        <v>1209673196</v>
      </c>
      <c r="B2828" s="4" t="s">
        <v>539</v>
      </c>
      <c r="C2828" s="4" t="s">
        <v>540</v>
      </c>
      <c r="D2828" s="6">
        <v>46309.507384259297</v>
      </c>
      <c r="E2828" s="6">
        <v>46309.2573611111</v>
      </c>
      <c r="F2828" s="6">
        <v>46309</v>
      </c>
      <c r="G2828" s="5" t="s">
        <v>12</v>
      </c>
      <c r="H2828" s="5" t="s">
        <v>29</v>
      </c>
      <c r="I2828" s="5">
        <v>27</v>
      </c>
      <c r="J2828" s="9" t="s">
        <v>17</v>
      </c>
      <c r="K2828" s="1" t="s">
        <v>3120</v>
      </c>
      <c r="L2828" t="s">
        <v>3284</v>
      </c>
      <c r="M2828" t="str">
        <f>+VLOOKUP(C2828,'[1]TIENDAS 2025'!$A$1:$C$143,3,0)</f>
        <v>departamental</v>
      </c>
      <c r="O2828">
        <v>1</v>
      </c>
    </row>
    <row r="2829" spans="1:15" ht="15" customHeight="1" x14ac:dyDescent="0.3">
      <c r="A2829" s="7">
        <v>1209673178</v>
      </c>
      <c r="B2829" s="4" t="s">
        <v>527</v>
      </c>
      <c r="C2829" s="4" t="s">
        <v>528</v>
      </c>
      <c r="D2829" s="6">
        <v>46309.507384259297</v>
      </c>
      <c r="E2829" s="6">
        <v>46309.257349537002</v>
      </c>
      <c r="F2829" s="6">
        <v>46309</v>
      </c>
      <c r="G2829" s="5" t="s">
        <v>12</v>
      </c>
      <c r="H2829" s="5" t="s">
        <v>16</v>
      </c>
      <c r="I2829" s="5">
        <v>1</v>
      </c>
      <c r="J2829" s="9" t="s">
        <v>17</v>
      </c>
      <c r="K2829" s="1" t="s">
        <v>3121</v>
      </c>
      <c r="L2829" t="s">
        <v>3284</v>
      </c>
      <c r="M2829" t="str">
        <f>+VLOOKUP(C2829,'[1]TIENDAS 2025'!$A$1:$C$143,3,0)</f>
        <v>prioridad</v>
      </c>
      <c r="O2829">
        <v>1</v>
      </c>
    </row>
    <row r="2830" spans="1:15" ht="15" customHeight="1" x14ac:dyDescent="0.3">
      <c r="A2830" s="7">
        <v>1209673215</v>
      </c>
      <c r="B2830" s="4" t="s">
        <v>463</v>
      </c>
      <c r="C2830" s="4" t="s">
        <v>464</v>
      </c>
      <c r="D2830" s="6">
        <v>46309.5074074074</v>
      </c>
      <c r="E2830" s="6">
        <v>46309.257372685199</v>
      </c>
      <c r="F2830" s="6">
        <v>46309</v>
      </c>
      <c r="G2830" s="5" t="s">
        <v>12</v>
      </c>
      <c r="H2830" s="5" t="s">
        <v>16</v>
      </c>
      <c r="I2830" s="5">
        <v>7</v>
      </c>
      <c r="J2830" s="9" t="s">
        <v>17</v>
      </c>
      <c r="K2830" s="1" t="s">
        <v>3122</v>
      </c>
      <c r="L2830" t="s">
        <v>3284</v>
      </c>
      <c r="M2830" t="str">
        <f>+VLOOKUP(C2830,'[1]TIENDAS 2025'!$A$1:$C$143,3,0)</f>
        <v xml:space="preserve">departamental </v>
      </c>
      <c r="O2830">
        <v>1</v>
      </c>
    </row>
    <row r="2831" spans="1:15" ht="15" customHeight="1" x14ac:dyDescent="0.3">
      <c r="A2831" s="7">
        <v>8209673256</v>
      </c>
      <c r="B2831" s="4" t="s">
        <v>172</v>
      </c>
      <c r="C2831" s="4" t="s">
        <v>173</v>
      </c>
      <c r="D2831" s="6">
        <v>46309.507418981499</v>
      </c>
      <c r="E2831" s="6">
        <v>46309.257395833301</v>
      </c>
      <c r="F2831" s="6">
        <v>46309</v>
      </c>
      <c r="G2831" s="5" t="s">
        <v>12</v>
      </c>
      <c r="H2831" s="5" t="s">
        <v>27</v>
      </c>
      <c r="I2831" s="5">
        <v>1</v>
      </c>
      <c r="J2831" s="10" t="s">
        <v>17</v>
      </c>
      <c r="K2831" s="1" t="s">
        <v>3123</v>
      </c>
      <c r="M2831" t="str">
        <f>+VLOOKUP(C2831,'[1]TIENDAS 2025'!$A$1:$C$143,3,0)</f>
        <v>local</v>
      </c>
      <c r="O2831">
        <v>1</v>
      </c>
    </row>
    <row r="2832" spans="1:15" ht="15" customHeight="1" x14ac:dyDescent="0.3">
      <c r="A2832" s="7">
        <v>8209673184</v>
      </c>
      <c r="B2832" s="4" t="s">
        <v>539</v>
      </c>
      <c r="C2832" s="4" t="s">
        <v>540</v>
      </c>
      <c r="D2832" s="6">
        <v>46309.507442129601</v>
      </c>
      <c r="E2832" s="6">
        <v>46309.2574074074</v>
      </c>
      <c r="F2832" s="6">
        <v>46309</v>
      </c>
      <c r="G2832" s="5" t="s">
        <v>12</v>
      </c>
      <c r="H2832" s="5" t="s">
        <v>27</v>
      </c>
      <c r="I2832" s="5">
        <v>1</v>
      </c>
      <c r="J2832" s="10" t="s">
        <v>17</v>
      </c>
      <c r="K2832" s="1" t="s">
        <v>3124</v>
      </c>
      <c r="M2832" t="str">
        <f>+VLOOKUP(C2832,'[1]TIENDAS 2025'!$A$1:$C$143,3,0)</f>
        <v>departamental</v>
      </c>
      <c r="O2832">
        <v>1</v>
      </c>
    </row>
    <row r="2833" spans="1:15" ht="15" customHeight="1" x14ac:dyDescent="0.3">
      <c r="A2833" s="7">
        <v>1209673267</v>
      </c>
      <c r="B2833" s="4" t="s">
        <v>172</v>
      </c>
      <c r="C2833" s="4" t="s">
        <v>173</v>
      </c>
      <c r="D2833" s="6">
        <v>46309.5074537037</v>
      </c>
      <c r="E2833" s="6">
        <v>46309.257418981499</v>
      </c>
      <c r="F2833" s="6">
        <v>46309</v>
      </c>
      <c r="G2833" s="5" t="s">
        <v>12</v>
      </c>
      <c r="H2833" s="5" t="s">
        <v>16</v>
      </c>
      <c r="I2833" s="5">
        <v>15</v>
      </c>
      <c r="J2833" s="9" t="s">
        <v>17</v>
      </c>
      <c r="K2833" s="1" t="s">
        <v>3125</v>
      </c>
      <c r="L2833" t="s">
        <v>3284</v>
      </c>
      <c r="M2833" t="str">
        <f>+VLOOKUP(C2833,'[1]TIENDAS 2025'!$A$1:$C$143,3,0)</f>
        <v>local</v>
      </c>
      <c r="O2833">
        <v>1</v>
      </c>
    </row>
    <row r="2834" spans="1:15" ht="15" customHeight="1" x14ac:dyDescent="0.3">
      <c r="A2834" s="7">
        <v>1209673191</v>
      </c>
      <c r="B2834" s="4" t="s">
        <v>539</v>
      </c>
      <c r="C2834" s="4" t="s">
        <v>540</v>
      </c>
      <c r="D2834" s="6">
        <v>46309.5074537037</v>
      </c>
      <c r="E2834" s="6">
        <v>46309.257430555597</v>
      </c>
      <c r="F2834" s="6">
        <v>46309</v>
      </c>
      <c r="G2834" s="5" t="s">
        <v>12</v>
      </c>
      <c r="H2834" s="5" t="s">
        <v>29</v>
      </c>
      <c r="I2834" s="5">
        <v>4</v>
      </c>
      <c r="J2834" s="9" t="s">
        <v>17</v>
      </c>
      <c r="K2834" s="1" t="s">
        <v>3126</v>
      </c>
      <c r="L2834" t="s">
        <v>3284</v>
      </c>
      <c r="M2834" t="str">
        <f>+VLOOKUP(C2834,'[1]TIENDAS 2025'!$A$1:$C$143,3,0)</f>
        <v>departamental</v>
      </c>
      <c r="O2834">
        <v>1</v>
      </c>
    </row>
    <row r="2835" spans="1:15" ht="15" customHeight="1" x14ac:dyDescent="0.3">
      <c r="A2835" s="7">
        <v>1209673220</v>
      </c>
      <c r="B2835" s="4" t="s">
        <v>463</v>
      </c>
      <c r="C2835" s="4" t="s">
        <v>464</v>
      </c>
      <c r="D2835" s="6">
        <v>46309.507476851897</v>
      </c>
      <c r="E2835" s="6">
        <v>46309.257442129601</v>
      </c>
      <c r="F2835" s="6">
        <v>46309</v>
      </c>
      <c r="G2835" s="5" t="s">
        <v>12</v>
      </c>
      <c r="H2835" s="5" t="s">
        <v>16</v>
      </c>
      <c r="I2835" s="5">
        <v>19</v>
      </c>
      <c r="J2835" s="9" t="s">
        <v>17</v>
      </c>
      <c r="K2835" s="1" t="s">
        <v>3127</v>
      </c>
      <c r="L2835" t="s">
        <v>3284</v>
      </c>
      <c r="M2835" t="str">
        <f>+VLOOKUP(C2835,'[1]TIENDAS 2025'!$A$1:$C$143,3,0)</f>
        <v xml:space="preserve">departamental </v>
      </c>
      <c r="O2835">
        <v>1</v>
      </c>
    </row>
    <row r="2836" spans="1:15" ht="15" customHeight="1" x14ac:dyDescent="0.3">
      <c r="A2836" s="7">
        <v>1209673252</v>
      </c>
      <c r="B2836" s="4" t="s">
        <v>163</v>
      </c>
      <c r="C2836" s="4" t="s">
        <v>164</v>
      </c>
      <c r="D2836" s="6">
        <v>46309.507488425901</v>
      </c>
      <c r="E2836" s="6">
        <v>46309.257465277798</v>
      </c>
      <c r="F2836" s="6">
        <v>46309</v>
      </c>
      <c r="G2836" s="5" t="s">
        <v>12</v>
      </c>
      <c r="H2836" s="5" t="s">
        <v>29</v>
      </c>
      <c r="I2836" s="5">
        <v>32</v>
      </c>
      <c r="J2836" s="9" t="s">
        <v>17</v>
      </c>
      <c r="K2836" s="1" t="s">
        <v>3128</v>
      </c>
      <c r="L2836" t="s">
        <v>3284</v>
      </c>
      <c r="M2836" t="str">
        <f>+VLOOKUP(C2836,'[1]TIENDAS 2025'!$A$1:$C$143,3,0)</f>
        <v>departamental</v>
      </c>
      <c r="O2836">
        <v>1</v>
      </c>
    </row>
    <row r="2837" spans="1:15" ht="15" customHeight="1" x14ac:dyDescent="0.3">
      <c r="A2837" s="7">
        <v>1209673193</v>
      </c>
      <c r="B2837" s="4" t="s">
        <v>539</v>
      </c>
      <c r="C2837" s="4" t="s">
        <v>540</v>
      </c>
      <c r="D2837" s="6">
        <v>46309.5075</v>
      </c>
      <c r="E2837" s="6">
        <v>46309.257476851897</v>
      </c>
      <c r="F2837" s="6">
        <v>46309</v>
      </c>
      <c r="G2837" s="5" t="s">
        <v>12</v>
      </c>
      <c r="H2837" s="5" t="s">
        <v>16</v>
      </c>
      <c r="I2837" s="5">
        <v>14</v>
      </c>
      <c r="J2837" s="9" t="s">
        <v>17</v>
      </c>
      <c r="K2837" s="1" t="s">
        <v>3129</v>
      </c>
      <c r="L2837" t="s">
        <v>3284</v>
      </c>
      <c r="M2837" t="str">
        <f>+VLOOKUP(C2837,'[1]TIENDAS 2025'!$A$1:$C$143,3,0)</f>
        <v>departamental</v>
      </c>
      <c r="O2837">
        <v>1</v>
      </c>
    </row>
    <row r="2838" spans="1:15" ht="15" customHeight="1" x14ac:dyDescent="0.3">
      <c r="A2838" s="7">
        <v>8209673279</v>
      </c>
      <c r="B2838" s="4" t="s">
        <v>469</v>
      </c>
      <c r="C2838" s="4" t="s">
        <v>470</v>
      </c>
      <c r="D2838" s="6">
        <v>46309.507511574098</v>
      </c>
      <c r="E2838" s="6">
        <v>46309.257488425901</v>
      </c>
      <c r="F2838" s="6">
        <v>46309</v>
      </c>
      <c r="G2838" s="5" t="s">
        <v>12</v>
      </c>
      <c r="H2838" s="5" t="s">
        <v>27</v>
      </c>
      <c r="I2838" s="5">
        <v>2</v>
      </c>
      <c r="J2838" s="10" t="s">
        <v>17</v>
      </c>
      <c r="K2838" s="1" t="s">
        <v>3130</v>
      </c>
      <c r="M2838" t="str">
        <f>+VLOOKUP(C2838,'[1]TIENDAS 2025'!$A$1:$C$143,3,0)</f>
        <v>departamental</v>
      </c>
      <c r="O2838">
        <v>1</v>
      </c>
    </row>
    <row r="2839" spans="1:15" ht="15" customHeight="1" x14ac:dyDescent="0.3">
      <c r="A2839" s="7">
        <v>1209673222</v>
      </c>
      <c r="B2839" s="4" t="s">
        <v>463</v>
      </c>
      <c r="C2839" s="4" t="s">
        <v>464</v>
      </c>
      <c r="D2839" s="6">
        <v>46309.507534722201</v>
      </c>
      <c r="E2839" s="6">
        <v>46309.2575</v>
      </c>
      <c r="F2839" s="6">
        <v>46309</v>
      </c>
      <c r="G2839" s="5" t="s">
        <v>12</v>
      </c>
      <c r="H2839" s="5" t="s">
        <v>16</v>
      </c>
      <c r="I2839" s="5">
        <v>2</v>
      </c>
      <c r="J2839" s="9" t="s">
        <v>17</v>
      </c>
      <c r="K2839" s="1" t="s">
        <v>3131</v>
      </c>
      <c r="L2839" t="s">
        <v>3284</v>
      </c>
      <c r="M2839" t="str">
        <f>+VLOOKUP(C2839,'[1]TIENDAS 2025'!$A$1:$C$143,3,0)</f>
        <v xml:space="preserve">departamental </v>
      </c>
      <c r="O2839">
        <v>1</v>
      </c>
    </row>
    <row r="2840" spans="1:15" ht="15" customHeight="1" x14ac:dyDescent="0.3">
      <c r="A2840" s="7">
        <v>8209673210</v>
      </c>
      <c r="B2840" s="4" t="s">
        <v>463</v>
      </c>
      <c r="C2840" s="4" t="s">
        <v>464</v>
      </c>
      <c r="D2840" s="6">
        <v>46309.5075462963</v>
      </c>
      <c r="E2840" s="6">
        <v>46309.257511574098</v>
      </c>
      <c r="F2840" s="6">
        <v>46309</v>
      </c>
      <c r="G2840" s="5" t="s">
        <v>12</v>
      </c>
      <c r="H2840" s="5" t="s">
        <v>27</v>
      </c>
      <c r="I2840" s="5">
        <v>6</v>
      </c>
      <c r="J2840" s="10" t="s">
        <v>17</v>
      </c>
      <c r="K2840" s="1" t="s">
        <v>3132</v>
      </c>
      <c r="M2840" t="str">
        <f>+VLOOKUP(C2840,'[1]TIENDAS 2025'!$A$1:$C$143,3,0)</f>
        <v xml:space="preserve">departamental </v>
      </c>
      <c r="O2840">
        <v>1</v>
      </c>
    </row>
    <row r="2841" spans="1:15" ht="15" customHeight="1" x14ac:dyDescent="0.3">
      <c r="A2841" s="7">
        <v>1209673181</v>
      </c>
      <c r="B2841" s="4" t="s">
        <v>527</v>
      </c>
      <c r="C2841" s="4" t="s">
        <v>528</v>
      </c>
      <c r="D2841" s="6">
        <v>46309.507569444402</v>
      </c>
      <c r="E2841" s="6">
        <v>46309.257534722201</v>
      </c>
      <c r="F2841" s="6">
        <v>46309</v>
      </c>
      <c r="G2841" s="5" t="s">
        <v>12</v>
      </c>
      <c r="H2841" s="5" t="s">
        <v>16</v>
      </c>
      <c r="I2841" s="5">
        <v>6</v>
      </c>
      <c r="J2841" s="9" t="s">
        <v>17</v>
      </c>
      <c r="K2841" s="1" t="s">
        <v>3133</v>
      </c>
      <c r="L2841" t="s">
        <v>3284</v>
      </c>
      <c r="M2841" t="str">
        <f>+VLOOKUP(C2841,'[1]TIENDAS 2025'!$A$1:$C$143,3,0)</f>
        <v>prioridad</v>
      </c>
      <c r="O2841">
        <v>1</v>
      </c>
    </row>
    <row r="2842" spans="1:15" ht="15" customHeight="1" x14ac:dyDescent="0.3">
      <c r="A2842" s="7">
        <v>8209673240</v>
      </c>
      <c r="B2842" s="4" t="s">
        <v>163</v>
      </c>
      <c r="C2842" s="4" t="s">
        <v>164</v>
      </c>
      <c r="D2842" s="6">
        <v>46309.507569444402</v>
      </c>
      <c r="E2842" s="6">
        <v>46309.2575462963</v>
      </c>
      <c r="F2842" s="6">
        <v>46309</v>
      </c>
      <c r="G2842" s="5" t="s">
        <v>12</v>
      </c>
      <c r="H2842" s="5" t="s">
        <v>27</v>
      </c>
      <c r="I2842" s="5">
        <v>3</v>
      </c>
      <c r="J2842" s="10" t="s">
        <v>17</v>
      </c>
      <c r="K2842" s="1" t="s">
        <v>3134</v>
      </c>
      <c r="M2842" t="str">
        <f>+VLOOKUP(C2842,'[1]TIENDAS 2025'!$A$1:$C$143,3,0)</f>
        <v>departamental</v>
      </c>
      <c r="O2842">
        <v>1</v>
      </c>
    </row>
    <row r="2843" spans="1:15" ht="15" customHeight="1" x14ac:dyDescent="0.3">
      <c r="A2843" s="7">
        <v>1209673197</v>
      </c>
      <c r="B2843" s="4" t="s">
        <v>539</v>
      </c>
      <c r="C2843" s="4" t="s">
        <v>540</v>
      </c>
      <c r="D2843" s="6">
        <v>46309.507592592599</v>
      </c>
      <c r="E2843" s="6">
        <v>46309.257557870398</v>
      </c>
      <c r="F2843" s="6">
        <v>46309</v>
      </c>
      <c r="G2843" s="5" t="s">
        <v>12</v>
      </c>
      <c r="H2843" s="5" t="s">
        <v>29</v>
      </c>
      <c r="I2843" s="5">
        <v>34</v>
      </c>
      <c r="J2843" s="9" t="s">
        <v>17</v>
      </c>
      <c r="K2843" s="1" t="s">
        <v>3135</v>
      </c>
      <c r="L2843" t="s">
        <v>3284</v>
      </c>
      <c r="M2843" t="str">
        <f>+VLOOKUP(C2843,'[1]TIENDAS 2025'!$A$1:$C$143,3,0)</f>
        <v>departamental</v>
      </c>
      <c r="O2843">
        <v>1</v>
      </c>
    </row>
    <row r="2844" spans="1:15" ht="15" customHeight="1" x14ac:dyDescent="0.3">
      <c r="A2844" s="7">
        <v>1209673292</v>
      </c>
      <c r="B2844" s="4" t="s">
        <v>469</v>
      </c>
      <c r="C2844" s="4" t="s">
        <v>470</v>
      </c>
      <c r="D2844" s="6">
        <v>46309.507604166698</v>
      </c>
      <c r="E2844" s="6">
        <v>46309.257569444402</v>
      </c>
      <c r="F2844" s="6">
        <v>46309</v>
      </c>
      <c r="G2844" s="5" t="s">
        <v>12</v>
      </c>
      <c r="H2844" s="5" t="s">
        <v>29</v>
      </c>
      <c r="I2844" s="5">
        <v>21</v>
      </c>
      <c r="J2844" s="9" t="s">
        <v>17</v>
      </c>
      <c r="K2844" s="1" t="s">
        <v>3136</v>
      </c>
      <c r="L2844" t="s">
        <v>3284</v>
      </c>
      <c r="M2844" t="str">
        <f>+VLOOKUP(C2844,'[1]TIENDAS 2025'!$A$1:$C$143,3,0)</f>
        <v>departamental</v>
      </c>
      <c r="O2844">
        <v>1</v>
      </c>
    </row>
    <row r="2845" spans="1:15" ht="15" customHeight="1" x14ac:dyDescent="0.3">
      <c r="A2845" s="7">
        <v>1209673198</v>
      </c>
      <c r="B2845" s="4" t="s">
        <v>539</v>
      </c>
      <c r="C2845" s="4" t="s">
        <v>540</v>
      </c>
      <c r="D2845" s="6">
        <v>46309.507615740702</v>
      </c>
      <c r="E2845" s="6">
        <v>46309.257592592599</v>
      </c>
      <c r="F2845" s="6">
        <v>46309</v>
      </c>
      <c r="G2845" s="5" t="s">
        <v>12</v>
      </c>
      <c r="H2845" s="5" t="s">
        <v>29</v>
      </c>
      <c r="I2845" s="5">
        <v>59</v>
      </c>
      <c r="J2845" s="9" t="s">
        <v>17</v>
      </c>
      <c r="K2845" s="1" t="s">
        <v>3137</v>
      </c>
      <c r="L2845" t="s">
        <v>3284</v>
      </c>
      <c r="M2845" t="str">
        <f>+VLOOKUP(C2845,'[1]TIENDAS 2025'!$A$1:$C$143,3,0)</f>
        <v>departamental</v>
      </c>
      <c r="O2845">
        <v>1</v>
      </c>
    </row>
    <row r="2846" spans="1:15" ht="15" customHeight="1" x14ac:dyDescent="0.3">
      <c r="A2846" s="7">
        <v>1209673268</v>
      </c>
      <c r="B2846" s="4" t="s">
        <v>172</v>
      </c>
      <c r="C2846" s="4" t="s">
        <v>173</v>
      </c>
      <c r="D2846" s="6">
        <v>46309.507638888899</v>
      </c>
      <c r="E2846" s="6">
        <v>46309.257615740702</v>
      </c>
      <c r="F2846" s="6">
        <v>46309</v>
      </c>
      <c r="G2846" s="5" t="s">
        <v>12</v>
      </c>
      <c r="H2846" s="5" t="s">
        <v>29</v>
      </c>
      <c r="I2846" s="5">
        <v>19</v>
      </c>
      <c r="J2846" s="9" t="s">
        <v>17</v>
      </c>
      <c r="K2846" s="1" t="s">
        <v>3138</v>
      </c>
      <c r="L2846" t="s">
        <v>3284</v>
      </c>
      <c r="M2846" t="str">
        <f>+VLOOKUP(C2846,'[1]TIENDAS 2025'!$A$1:$C$143,3,0)</f>
        <v>local</v>
      </c>
      <c r="O2846">
        <v>1</v>
      </c>
    </row>
    <row r="2847" spans="1:15" ht="15" customHeight="1" x14ac:dyDescent="0.3">
      <c r="A2847" s="7">
        <v>1209673189</v>
      </c>
      <c r="B2847" s="4" t="s">
        <v>539</v>
      </c>
      <c r="C2847" s="4" t="s">
        <v>540</v>
      </c>
      <c r="D2847" s="6">
        <v>46309.507638888899</v>
      </c>
      <c r="E2847" s="6">
        <v>46309.257604166698</v>
      </c>
      <c r="F2847" s="6">
        <v>46309</v>
      </c>
      <c r="G2847" s="5" t="s">
        <v>12</v>
      </c>
      <c r="H2847" s="5" t="s">
        <v>16</v>
      </c>
      <c r="I2847" s="5">
        <v>3</v>
      </c>
      <c r="J2847" s="9" t="s">
        <v>17</v>
      </c>
      <c r="K2847" s="1" t="s">
        <v>3139</v>
      </c>
      <c r="L2847" t="s">
        <v>3284</v>
      </c>
      <c r="M2847" t="str">
        <f>+VLOOKUP(C2847,'[1]TIENDAS 2025'!$A$1:$C$143,3,0)</f>
        <v>departamental</v>
      </c>
      <c r="O2847">
        <v>1</v>
      </c>
    </row>
    <row r="2848" spans="1:15" ht="15" customHeight="1" x14ac:dyDescent="0.3">
      <c r="A2848" s="7">
        <v>1209673221</v>
      </c>
      <c r="B2848" s="4" t="s">
        <v>463</v>
      </c>
      <c r="C2848" s="4" t="s">
        <v>464</v>
      </c>
      <c r="D2848" s="6">
        <v>46309.507662037002</v>
      </c>
      <c r="E2848" s="6">
        <v>46309.257627314801</v>
      </c>
      <c r="F2848" s="6">
        <v>46309</v>
      </c>
      <c r="G2848" s="5" t="s">
        <v>12</v>
      </c>
      <c r="H2848" s="5" t="s">
        <v>16</v>
      </c>
      <c r="I2848" s="5">
        <v>22</v>
      </c>
      <c r="J2848" s="9" t="s">
        <v>17</v>
      </c>
      <c r="K2848" s="1" t="s">
        <v>3140</v>
      </c>
      <c r="L2848" t="s">
        <v>3284</v>
      </c>
      <c r="M2848" t="str">
        <f>+VLOOKUP(C2848,'[1]TIENDAS 2025'!$A$1:$C$143,3,0)</f>
        <v xml:space="preserve">departamental </v>
      </c>
      <c r="O2848">
        <v>1</v>
      </c>
    </row>
    <row r="2849" spans="1:15" ht="15" customHeight="1" x14ac:dyDescent="0.3">
      <c r="A2849" s="7">
        <v>1209673174</v>
      </c>
      <c r="B2849" s="4" t="s">
        <v>527</v>
      </c>
      <c r="C2849" s="4" t="s">
        <v>528</v>
      </c>
      <c r="D2849" s="6">
        <v>46309.5076736111</v>
      </c>
      <c r="E2849" s="6">
        <v>46309.257650462998</v>
      </c>
      <c r="F2849" s="6">
        <v>46309</v>
      </c>
      <c r="G2849" s="5" t="s">
        <v>12</v>
      </c>
      <c r="H2849" s="5" t="s">
        <v>16</v>
      </c>
      <c r="I2849" s="5">
        <v>11</v>
      </c>
      <c r="J2849" s="9" t="s">
        <v>17</v>
      </c>
      <c r="K2849" s="1" t="s">
        <v>3141</v>
      </c>
      <c r="L2849" t="s">
        <v>3284</v>
      </c>
      <c r="M2849" t="str">
        <f>+VLOOKUP(C2849,'[1]TIENDAS 2025'!$A$1:$C$143,3,0)</f>
        <v>prioridad</v>
      </c>
      <c r="O2849">
        <v>1</v>
      </c>
    </row>
    <row r="2850" spans="1:15" ht="15" customHeight="1" x14ac:dyDescent="0.3">
      <c r="A2850" s="7">
        <v>1209673214</v>
      </c>
      <c r="B2850" s="4" t="s">
        <v>463</v>
      </c>
      <c r="C2850" s="4" t="s">
        <v>464</v>
      </c>
      <c r="D2850" s="6">
        <v>46309.507696759298</v>
      </c>
      <c r="E2850" s="6">
        <v>46309.257662037002</v>
      </c>
      <c r="F2850" s="6">
        <v>46309</v>
      </c>
      <c r="G2850" s="5" t="s">
        <v>12</v>
      </c>
      <c r="H2850" s="5" t="s">
        <v>16</v>
      </c>
      <c r="I2850" s="5">
        <v>8</v>
      </c>
      <c r="J2850" s="9" t="s">
        <v>17</v>
      </c>
      <c r="K2850" s="1" t="s">
        <v>3142</v>
      </c>
      <c r="L2850" t="s">
        <v>3284</v>
      </c>
      <c r="M2850" t="str">
        <f>+VLOOKUP(C2850,'[1]TIENDAS 2025'!$A$1:$C$143,3,0)</f>
        <v xml:space="preserve">departamental </v>
      </c>
      <c r="O2850">
        <v>1</v>
      </c>
    </row>
    <row r="2851" spans="1:15" ht="15" customHeight="1" x14ac:dyDescent="0.3">
      <c r="A2851" s="7">
        <v>1209673288</v>
      </c>
      <c r="B2851" s="4" t="s">
        <v>469</v>
      </c>
      <c r="C2851" s="4" t="s">
        <v>470</v>
      </c>
      <c r="D2851" s="6">
        <v>46309.507708333302</v>
      </c>
      <c r="E2851" s="6">
        <v>46309.2576736111</v>
      </c>
      <c r="F2851" s="6">
        <v>46309</v>
      </c>
      <c r="G2851" s="5" t="s">
        <v>12</v>
      </c>
      <c r="H2851" s="5" t="s">
        <v>27</v>
      </c>
      <c r="I2851" s="5">
        <v>19</v>
      </c>
      <c r="J2851" s="9" t="s">
        <v>17</v>
      </c>
      <c r="K2851" s="1" t="s">
        <v>3143</v>
      </c>
      <c r="L2851" t="s">
        <v>3284</v>
      </c>
      <c r="M2851" t="str">
        <f>+VLOOKUP(C2851,'[1]TIENDAS 2025'!$A$1:$C$143,3,0)</f>
        <v>departamental</v>
      </c>
      <c r="O2851">
        <v>1</v>
      </c>
    </row>
    <row r="2852" spans="1:15" ht="15" customHeight="1" x14ac:dyDescent="0.3">
      <c r="A2852" s="7">
        <v>8209673180</v>
      </c>
      <c r="B2852" s="4" t="s">
        <v>527</v>
      </c>
      <c r="C2852" s="4" t="s">
        <v>528</v>
      </c>
      <c r="D2852" s="6">
        <v>46309.5077199074</v>
      </c>
      <c r="E2852" s="6">
        <v>46309.257685185199</v>
      </c>
      <c r="F2852" s="6">
        <v>46309</v>
      </c>
      <c r="G2852" s="5" t="s">
        <v>12</v>
      </c>
      <c r="H2852" s="5" t="s">
        <v>27</v>
      </c>
      <c r="I2852" s="5">
        <v>2</v>
      </c>
      <c r="J2852" s="10" t="s">
        <v>17</v>
      </c>
      <c r="K2852" s="1" t="s">
        <v>3144</v>
      </c>
      <c r="M2852" t="str">
        <f>+VLOOKUP(C2852,'[1]TIENDAS 2025'!$A$1:$C$143,3,0)</f>
        <v>prioridad</v>
      </c>
      <c r="O2852">
        <v>1</v>
      </c>
    </row>
    <row r="2853" spans="1:15" ht="15" customHeight="1" x14ac:dyDescent="0.3">
      <c r="A2853" s="7">
        <v>1209673244</v>
      </c>
      <c r="B2853" s="4" t="s">
        <v>163</v>
      </c>
      <c r="C2853" s="4" t="s">
        <v>164</v>
      </c>
      <c r="D2853" s="6">
        <v>46309.507731481499</v>
      </c>
      <c r="E2853" s="6">
        <v>46309.257708333302</v>
      </c>
      <c r="F2853" s="6">
        <v>46309</v>
      </c>
      <c r="G2853" s="5" t="s">
        <v>12</v>
      </c>
      <c r="H2853" s="5" t="s">
        <v>16</v>
      </c>
      <c r="I2853" s="5">
        <v>3</v>
      </c>
      <c r="J2853" s="9" t="s">
        <v>17</v>
      </c>
      <c r="K2853" s="1" t="s">
        <v>3145</v>
      </c>
      <c r="L2853" t="s">
        <v>3284</v>
      </c>
      <c r="M2853" t="str">
        <f>+VLOOKUP(C2853,'[1]TIENDAS 2025'!$A$1:$C$143,3,0)</f>
        <v>departamental</v>
      </c>
      <c r="O2853">
        <v>1</v>
      </c>
    </row>
    <row r="2854" spans="1:15" ht="15" customHeight="1" x14ac:dyDescent="0.3">
      <c r="A2854" s="7">
        <v>1209673360</v>
      </c>
      <c r="B2854" s="4" t="s">
        <v>150</v>
      </c>
      <c r="C2854" s="4" t="s">
        <v>151</v>
      </c>
      <c r="D2854" s="6">
        <v>46309.509861111103</v>
      </c>
      <c r="E2854" s="6">
        <v>46309.259826388901</v>
      </c>
      <c r="F2854" s="6">
        <v>46309</v>
      </c>
      <c r="G2854" s="5" t="s">
        <v>12</v>
      </c>
      <c r="H2854" s="5" t="s">
        <v>16</v>
      </c>
      <c r="I2854" s="5">
        <v>70</v>
      </c>
      <c r="J2854" s="9" t="s">
        <v>17</v>
      </c>
      <c r="K2854" s="1" t="s">
        <v>3146</v>
      </c>
      <c r="L2854" t="s">
        <v>3284</v>
      </c>
      <c r="M2854" t="str">
        <f>+VLOOKUP(C2854,'[1]TIENDAS 2025'!$A$1:$C$143,3,0)</f>
        <v>local</v>
      </c>
      <c r="O2854">
        <v>1</v>
      </c>
    </row>
    <row r="2855" spans="1:15" ht="15" customHeight="1" x14ac:dyDescent="0.3">
      <c r="A2855" s="7">
        <v>1209673410</v>
      </c>
      <c r="B2855" s="4" t="s">
        <v>14</v>
      </c>
      <c r="C2855" s="4" t="s">
        <v>15</v>
      </c>
      <c r="D2855" s="6">
        <v>46309.509872685201</v>
      </c>
      <c r="E2855" s="6">
        <v>46309.259837963</v>
      </c>
      <c r="F2855" s="6">
        <v>46309</v>
      </c>
      <c r="G2855" s="5" t="s">
        <v>12</v>
      </c>
      <c r="H2855" s="5" t="s">
        <v>16</v>
      </c>
      <c r="I2855" s="5">
        <v>13</v>
      </c>
      <c r="J2855" s="9" t="s">
        <v>17</v>
      </c>
      <c r="K2855" s="1" t="s">
        <v>3147</v>
      </c>
      <c r="L2855" t="s">
        <v>3284</v>
      </c>
      <c r="M2855" t="str">
        <f>+VLOOKUP(C2855,'[1]TIENDAS 2025'!$A$1:$C$143,3,0)</f>
        <v>departamental</v>
      </c>
      <c r="O2855">
        <v>1</v>
      </c>
    </row>
    <row r="2856" spans="1:15" ht="15" customHeight="1" x14ac:dyDescent="0.3">
      <c r="A2856" s="7">
        <v>1209673370</v>
      </c>
      <c r="B2856" s="4" t="s">
        <v>277</v>
      </c>
      <c r="C2856" s="4" t="s">
        <v>278</v>
      </c>
      <c r="D2856" s="6">
        <v>46309.509895833296</v>
      </c>
      <c r="E2856" s="6">
        <v>46309.259872685201</v>
      </c>
      <c r="F2856" s="6">
        <v>46309</v>
      </c>
      <c r="G2856" s="5" t="s">
        <v>12</v>
      </c>
      <c r="H2856" s="5" t="s">
        <v>16</v>
      </c>
      <c r="I2856" s="5">
        <v>11</v>
      </c>
      <c r="J2856" s="9" t="s">
        <v>17</v>
      </c>
      <c r="K2856" s="1" t="s">
        <v>3148</v>
      </c>
      <c r="L2856" t="s">
        <v>3284</v>
      </c>
      <c r="M2856" t="str">
        <f>+VLOOKUP(C2856,'[1]TIENDAS 2025'!$A$1:$C$143,3,0)</f>
        <v>local</v>
      </c>
      <c r="O2856">
        <v>1</v>
      </c>
    </row>
    <row r="2857" spans="1:15" ht="15" customHeight="1" x14ac:dyDescent="0.3">
      <c r="A2857" s="7">
        <v>8209673347</v>
      </c>
      <c r="B2857" s="4" t="s">
        <v>150</v>
      </c>
      <c r="C2857" s="4" t="s">
        <v>151</v>
      </c>
      <c r="D2857" s="6">
        <v>46309.5099305556</v>
      </c>
      <c r="E2857" s="6">
        <v>46309.259907407402</v>
      </c>
      <c r="F2857" s="6">
        <v>46309</v>
      </c>
      <c r="G2857" s="5" t="s">
        <v>12</v>
      </c>
      <c r="H2857" s="5" t="s">
        <v>27</v>
      </c>
      <c r="I2857" s="5">
        <v>2</v>
      </c>
      <c r="J2857" s="10" t="s">
        <v>17</v>
      </c>
      <c r="K2857" s="1" t="s">
        <v>3149</v>
      </c>
      <c r="M2857" t="str">
        <f>+VLOOKUP(C2857,'[1]TIENDAS 2025'!$A$1:$C$143,3,0)</f>
        <v>local</v>
      </c>
      <c r="O2857">
        <v>1</v>
      </c>
    </row>
    <row r="2858" spans="1:15" ht="15" customHeight="1" x14ac:dyDescent="0.3">
      <c r="A2858" s="7">
        <v>1209673390</v>
      </c>
      <c r="B2858" s="4" t="s">
        <v>485</v>
      </c>
      <c r="C2858" s="4" t="s">
        <v>486</v>
      </c>
      <c r="D2858" s="6">
        <v>46309.509953703702</v>
      </c>
      <c r="E2858" s="6">
        <v>46309.2599305556</v>
      </c>
      <c r="F2858" s="6">
        <v>46309</v>
      </c>
      <c r="G2858" s="5" t="s">
        <v>12</v>
      </c>
      <c r="H2858" s="5" t="s">
        <v>16</v>
      </c>
      <c r="I2858" s="5">
        <v>25</v>
      </c>
      <c r="J2858" s="9" t="s">
        <v>17</v>
      </c>
      <c r="K2858" s="1" t="s">
        <v>3150</v>
      </c>
      <c r="L2858" t="s">
        <v>3284</v>
      </c>
      <c r="M2858" t="str">
        <f>+VLOOKUP(C2858,'[1]TIENDAS 2025'!$A$1:$C$143,3,0)</f>
        <v>departamental</v>
      </c>
      <c r="O2858">
        <v>1</v>
      </c>
    </row>
    <row r="2859" spans="1:15" ht="15" customHeight="1" x14ac:dyDescent="0.3">
      <c r="A2859" s="7">
        <v>8209673350</v>
      </c>
      <c r="B2859" s="4" t="s">
        <v>150</v>
      </c>
      <c r="C2859" s="4" t="s">
        <v>151</v>
      </c>
      <c r="D2859" s="6">
        <v>46309.509953703702</v>
      </c>
      <c r="E2859" s="6">
        <v>46309.259918981501</v>
      </c>
      <c r="F2859" s="6">
        <v>46309</v>
      </c>
      <c r="G2859" s="5" t="s">
        <v>12</v>
      </c>
      <c r="H2859" s="5" t="s">
        <v>27</v>
      </c>
      <c r="I2859" s="5">
        <v>30</v>
      </c>
      <c r="J2859" s="10" t="s">
        <v>17</v>
      </c>
      <c r="K2859" s="1" t="s">
        <v>3151</v>
      </c>
      <c r="M2859" t="str">
        <f>+VLOOKUP(C2859,'[1]TIENDAS 2025'!$A$1:$C$143,3,0)</f>
        <v>local</v>
      </c>
      <c r="O2859">
        <v>1</v>
      </c>
    </row>
    <row r="2860" spans="1:15" ht="15" customHeight="1" x14ac:dyDescent="0.3">
      <c r="A2860" s="7">
        <v>8209673397</v>
      </c>
      <c r="B2860" s="4" t="s">
        <v>14</v>
      </c>
      <c r="C2860" s="4" t="s">
        <v>15</v>
      </c>
      <c r="D2860" s="6">
        <v>46309.509976851798</v>
      </c>
      <c r="E2860" s="6">
        <v>46309.259942129604</v>
      </c>
      <c r="F2860" s="6">
        <v>46309</v>
      </c>
      <c r="G2860" s="5" t="s">
        <v>12</v>
      </c>
      <c r="H2860" s="5" t="s">
        <v>27</v>
      </c>
      <c r="I2860" s="5">
        <v>5</v>
      </c>
      <c r="J2860" s="10" t="s">
        <v>17</v>
      </c>
      <c r="K2860" s="1" t="s">
        <v>3152</v>
      </c>
      <c r="M2860" t="str">
        <f>+VLOOKUP(C2860,'[1]TIENDAS 2025'!$A$1:$C$143,3,0)</f>
        <v>departamental</v>
      </c>
      <c r="O2860">
        <v>1</v>
      </c>
    </row>
    <row r="2861" spans="1:15" ht="15" customHeight="1" x14ac:dyDescent="0.3">
      <c r="A2861" s="7">
        <v>8209673398</v>
      </c>
      <c r="B2861" s="4" t="s">
        <v>14</v>
      </c>
      <c r="C2861" s="4" t="s">
        <v>15</v>
      </c>
      <c r="D2861" s="6">
        <v>46309.509988425903</v>
      </c>
      <c r="E2861" s="6">
        <v>46309.259965277801</v>
      </c>
      <c r="F2861" s="6">
        <v>46309</v>
      </c>
      <c r="G2861" s="5" t="s">
        <v>12</v>
      </c>
      <c r="H2861" s="5" t="s">
        <v>27</v>
      </c>
      <c r="I2861" s="5">
        <v>3</v>
      </c>
      <c r="J2861" s="10" t="s">
        <v>17</v>
      </c>
      <c r="K2861" s="1" t="s">
        <v>3153</v>
      </c>
      <c r="M2861" t="str">
        <f>+VLOOKUP(C2861,'[1]TIENDAS 2025'!$A$1:$C$143,3,0)</f>
        <v>departamental</v>
      </c>
      <c r="O2861">
        <v>1</v>
      </c>
    </row>
    <row r="2862" spans="1:15" ht="15" customHeight="1" x14ac:dyDescent="0.3">
      <c r="A2862" s="7">
        <v>8209673399</v>
      </c>
      <c r="B2862" s="4" t="s">
        <v>14</v>
      </c>
      <c r="C2862" s="4" t="s">
        <v>15</v>
      </c>
      <c r="D2862" s="6">
        <v>46309.510011574101</v>
      </c>
      <c r="E2862" s="6">
        <v>46309.259976851798</v>
      </c>
      <c r="F2862" s="6">
        <v>46309</v>
      </c>
      <c r="G2862" s="5" t="s">
        <v>12</v>
      </c>
      <c r="H2862" s="5" t="s">
        <v>27</v>
      </c>
      <c r="I2862" s="5">
        <v>1</v>
      </c>
      <c r="J2862" s="10" t="s">
        <v>17</v>
      </c>
      <c r="K2862" s="1" t="s">
        <v>3154</v>
      </c>
      <c r="M2862" t="str">
        <f>+VLOOKUP(C2862,'[1]TIENDAS 2025'!$A$1:$C$143,3,0)</f>
        <v>departamental</v>
      </c>
      <c r="O2862">
        <v>1</v>
      </c>
    </row>
    <row r="2863" spans="1:15" ht="15" customHeight="1" x14ac:dyDescent="0.3">
      <c r="A2863" s="7">
        <v>1209673330</v>
      </c>
      <c r="B2863" s="4" t="s">
        <v>409</v>
      </c>
      <c r="C2863" s="4" t="s">
        <v>410</v>
      </c>
      <c r="D2863" s="6">
        <v>46309.510023148097</v>
      </c>
      <c r="E2863" s="6">
        <v>46309.259988425903</v>
      </c>
      <c r="F2863" s="6">
        <v>46309</v>
      </c>
      <c r="G2863" s="5" t="s">
        <v>12</v>
      </c>
      <c r="H2863" s="5" t="s">
        <v>16</v>
      </c>
      <c r="I2863" s="5">
        <v>5</v>
      </c>
      <c r="J2863" s="9" t="s">
        <v>17</v>
      </c>
      <c r="K2863" s="1" t="s">
        <v>3155</v>
      </c>
      <c r="L2863" t="s">
        <v>3284</v>
      </c>
      <c r="M2863" t="str">
        <f>+VLOOKUP(C2863,'[1]TIENDAS 2025'!$A$1:$C$143,3,0)</f>
        <v>departamental</v>
      </c>
      <c r="O2863">
        <v>1</v>
      </c>
    </row>
    <row r="2864" spans="1:15" ht="15" customHeight="1" x14ac:dyDescent="0.3">
      <c r="A2864" s="7">
        <v>1209673377</v>
      </c>
      <c r="B2864" s="4" t="s">
        <v>277</v>
      </c>
      <c r="C2864" s="4" t="s">
        <v>278</v>
      </c>
      <c r="D2864" s="6">
        <v>46309.510034722203</v>
      </c>
      <c r="E2864" s="6">
        <v>46309.260011574101</v>
      </c>
      <c r="F2864" s="6">
        <v>46309</v>
      </c>
      <c r="G2864" s="5" t="s">
        <v>12</v>
      </c>
      <c r="H2864" s="5" t="s">
        <v>16</v>
      </c>
      <c r="I2864" s="5">
        <v>35</v>
      </c>
      <c r="J2864" s="9" t="s">
        <v>17</v>
      </c>
      <c r="K2864" s="1" t="s">
        <v>3156</v>
      </c>
      <c r="L2864" t="s">
        <v>3284</v>
      </c>
      <c r="M2864" t="str">
        <f>+VLOOKUP(C2864,'[1]TIENDAS 2025'!$A$1:$C$143,3,0)</f>
        <v>local</v>
      </c>
      <c r="O2864">
        <v>1</v>
      </c>
    </row>
    <row r="2865" spans="1:15" ht="15" customHeight="1" x14ac:dyDescent="0.3">
      <c r="A2865" s="7">
        <v>1209673407</v>
      </c>
      <c r="B2865" s="4" t="s">
        <v>14</v>
      </c>
      <c r="C2865" s="4" t="s">
        <v>15</v>
      </c>
      <c r="D2865" s="6">
        <v>46309.510046296302</v>
      </c>
      <c r="E2865" s="6">
        <v>46309.260023148097</v>
      </c>
      <c r="F2865" s="6">
        <v>46309</v>
      </c>
      <c r="G2865" s="5" t="s">
        <v>12</v>
      </c>
      <c r="H2865" s="5" t="s">
        <v>27</v>
      </c>
      <c r="I2865" s="5">
        <v>16</v>
      </c>
      <c r="J2865" s="9" t="s">
        <v>17</v>
      </c>
      <c r="K2865" s="1" t="s">
        <v>3157</v>
      </c>
      <c r="L2865" t="s">
        <v>3284</v>
      </c>
      <c r="M2865" t="str">
        <f>+VLOOKUP(C2865,'[1]TIENDAS 2025'!$A$1:$C$143,3,0)</f>
        <v>departamental</v>
      </c>
      <c r="O2865">
        <v>1</v>
      </c>
    </row>
    <row r="2866" spans="1:15" ht="15" customHeight="1" x14ac:dyDescent="0.3">
      <c r="A2866" s="7">
        <v>1209673408</v>
      </c>
      <c r="B2866" s="4" t="s">
        <v>14</v>
      </c>
      <c r="C2866" s="4" t="s">
        <v>15</v>
      </c>
      <c r="D2866" s="6">
        <v>46309.510069444397</v>
      </c>
      <c r="E2866" s="6">
        <v>46309.260034722203</v>
      </c>
      <c r="F2866" s="6">
        <v>46309</v>
      </c>
      <c r="G2866" s="5" t="s">
        <v>12</v>
      </c>
      <c r="H2866" s="5" t="s">
        <v>16</v>
      </c>
      <c r="I2866" s="5">
        <v>8</v>
      </c>
      <c r="J2866" s="9" t="s">
        <v>17</v>
      </c>
      <c r="K2866" s="1" t="s">
        <v>3158</v>
      </c>
      <c r="L2866" t="s">
        <v>3284</v>
      </c>
      <c r="M2866" t="str">
        <f>+VLOOKUP(C2866,'[1]TIENDAS 2025'!$A$1:$C$143,3,0)</f>
        <v>departamental</v>
      </c>
      <c r="O2866">
        <v>1</v>
      </c>
    </row>
    <row r="2867" spans="1:15" ht="15" customHeight="1" x14ac:dyDescent="0.3">
      <c r="A2867" s="7">
        <v>1209673337</v>
      </c>
      <c r="B2867" s="4" t="s">
        <v>409</v>
      </c>
      <c r="C2867" s="4" t="s">
        <v>410</v>
      </c>
      <c r="D2867" s="6">
        <v>46309.510081018503</v>
      </c>
      <c r="E2867" s="6">
        <v>46309.260046296302</v>
      </c>
      <c r="F2867" s="6">
        <v>46309</v>
      </c>
      <c r="G2867" s="5" t="s">
        <v>12</v>
      </c>
      <c r="H2867" s="5" t="s">
        <v>29</v>
      </c>
      <c r="I2867" s="5">
        <v>15</v>
      </c>
      <c r="J2867" s="9" t="s">
        <v>17</v>
      </c>
      <c r="K2867" s="1" t="s">
        <v>3159</v>
      </c>
      <c r="L2867" t="s">
        <v>3284</v>
      </c>
      <c r="M2867" t="str">
        <f>+VLOOKUP(C2867,'[1]TIENDAS 2025'!$A$1:$C$143,3,0)</f>
        <v>departamental</v>
      </c>
      <c r="O2867">
        <v>1</v>
      </c>
    </row>
    <row r="2868" spans="1:15" ht="15" customHeight="1" x14ac:dyDescent="0.3">
      <c r="A2868" s="7">
        <v>1209673361</v>
      </c>
      <c r="B2868" s="4" t="s">
        <v>150</v>
      </c>
      <c r="C2868" s="4" t="s">
        <v>151</v>
      </c>
      <c r="D2868" s="6">
        <v>46309.5101041667</v>
      </c>
      <c r="E2868" s="6">
        <v>46309.260069444397</v>
      </c>
      <c r="F2868" s="6">
        <v>46309</v>
      </c>
      <c r="G2868" s="5" t="s">
        <v>12</v>
      </c>
      <c r="H2868" s="5" t="s">
        <v>29</v>
      </c>
      <c r="I2868" s="5">
        <v>57</v>
      </c>
      <c r="J2868" s="9" t="s">
        <v>17</v>
      </c>
      <c r="K2868" s="1" t="s">
        <v>3160</v>
      </c>
      <c r="L2868" t="s">
        <v>3284</v>
      </c>
      <c r="M2868" t="str">
        <f>+VLOOKUP(C2868,'[1]TIENDAS 2025'!$A$1:$C$143,3,0)</f>
        <v>local</v>
      </c>
      <c r="O2868">
        <v>1</v>
      </c>
    </row>
    <row r="2869" spans="1:15" ht="15" customHeight="1" x14ac:dyDescent="0.3">
      <c r="A2869" s="7">
        <v>1209673338</v>
      </c>
      <c r="B2869" s="4" t="s">
        <v>409</v>
      </c>
      <c r="C2869" s="4" t="s">
        <v>410</v>
      </c>
      <c r="D2869" s="6">
        <v>46309.510127314803</v>
      </c>
      <c r="E2869" s="6">
        <v>46309.260092592602</v>
      </c>
      <c r="F2869" s="6">
        <v>46309</v>
      </c>
      <c r="G2869" s="5" t="s">
        <v>12</v>
      </c>
      <c r="H2869" s="5" t="s">
        <v>29</v>
      </c>
      <c r="I2869" s="5">
        <v>27</v>
      </c>
      <c r="J2869" s="9" t="s">
        <v>17</v>
      </c>
      <c r="K2869" s="1" t="s">
        <v>3161</v>
      </c>
      <c r="L2869" t="s">
        <v>3284</v>
      </c>
      <c r="M2869" t="str">
        <f>+VLOOKUP(C2869,'[1]TIENDAS 2025'!$A$1:$C$143,3,0)</f>
        <v>departamental</v>
      </c>
      <c r="O2869">
        <v>1</v>
      </c>
    </row>
    <row r="2870" spans="1:15" ht="15" customHeight="1" x14ac:dyDescent="0.3">
      <c r="A2870" s="7">
        <v>1209673383</v>
      </c>
      <c r="B2870" s="4" t="s">
        <v>485</v>
      </c>
      <c r="C2870" s="4" t="s">
        <v>486</v>
      </c>
      <c r="D2870" s="6">
        <v>46309.510138888902</v>
      </c>
      <c r="E2870" s="6">
        <v>46309.260115740697</v>
      </c>
      <c r="F2870" s="6">
        <v>46309</v>
      </c>
      <c r="G2870" s="5" t="s">
        <v>12</v>
      </c>
      <c r="H2870" s="5" t="s">
        <v>16</v>
      </c>
      <c r="I2870" s="5">
        <v>9</v>
      </c>
      <c r="J2870" s="9" t="s">
        <v>17</v>
      </c>
      <c r="K2870" s="1" t="s">
        <v>3162</v>
      </c>
      <c r="L2870" t="s">
        <v>3284</v>
      </c>
      <c r="M2870" t="str">
        <f>+VLOOKUP(C2870,'[1]TIENDAS 2025'!$A$1:$C$143,3,0)</f>
        <v>departamental</v>
      </c>
      <c r="O2870">
        <v>1</v>
      </c>
    </row>
    <row r="2871" spans="1:15" ht="15" customHeight="1" x14ac:dyDescent="0.3">
      <c r="A2871" s="7">
        <v>1209673388</v>
      </c>
      <c r="B2871" s="4" t="s">
        <v>485</v>
      </c>
      <c r="C2871" s="4" t="s">
        <v>486</v>
      </c>
      <c r="D2871" s="6">
        <v>46309.510162036997</v>
      </c>
      <c r="E2871" s="6">
        <v>46309.260138888902</v>
      </c>
      <c r="F2871" s="6">
        <v>46309</v>
      </c>
      <c r="G2871" s="5" t="s">
        <v>12</v>
      </c>
      <c r="H2871" s="5" t="s">
        <v>16</v>
      </c>
      <c r="I2871" s="5">
        <v>16</v>
      </c>
      <c r="J2871" s="9" t="s">
        <v>17</v>
      </c>
      <c r="K2871" s="1" t="s">
        <v>3163</v>
      </c>
      <c r="L2871" t="s">
        <v>3284</v>
      </c>
      <c r="M2871" t="str">
        <f>+VLOOKUP(C2871,'[1]TIENDAS 2025'!$A$1:$C$143,3,0)</f>
        <v>departamental</v>
      </c>
      <c r="O2871">
        <v>1</v>
      </c>
    </row>
    <row r="2872" spans="1:15" ht="15" customHeight="1" x14ac:dyDescent="0.3">
      <c r="A2872" s="7">
        <v>8209673365</v>
      </c>
      <c r="B2872" s="4" t="s">
        <v>277</v>
      </c>
      <c r="C2872" s="4" t="s">
        <v>278</v>
      </c>
      <c r="D2872" s="6">
        <v>46309.510162036997</v>
      </c>
      <c r="E2872" s="6">
        <v>46309.260127314803</v>
      </c>
      <c r="F2872" s="6">
        <v>46309</v>
      </c>
      <c r="G2872" s="5" t="s">
        <v>12</v>
      </c>
      <c r="H2872" s="5" t="s">
        <v>27</v>
      </c>
      <c r="I2872" s="5">
        <v>3</v>
      </c>
      <c r="J2872" s="10" t="s">
        <v>17</v>
      </c>
      <c r="K2872" s="1" t="s">
        <v>3164</v>
      </c>
      <c r="M2872" t="str">
        <f>+VLOOKUP(C2872,'[1]TIENDAS 2025'!$A$1:$C$143,3,0)</f>
        <v>local</v>
      </c>
      <c r="O2872">
        <v>1</v>
      </c>
    </row>
    <row r="2873" spans="1:15" ht="15" customHeight="1" x14ac:dyDescent="0.3">
      <c r="A2873" s="7">
        <v>1209673411</v>
      </c>
      <c r="B2873" s="4" t="s">
        <v>14</v>
      </c>
      <c r="C2873" s="4" t="s">
        <v>15</v>
      </c>
      <c r="D2873" s="6">
        <v>46309.510185185201</v>
      </c>
      <c r="E2873" s="6">
        <v>46309.260150463</v>
      </c>
      <c r="F2873" s="6">
        <v>46309</v>
      </c>
      <c r="G2873" s="5" t="s">
        <v>12</v>
      </c>
      <c r="H2873" s="5" t="s">
        <v>29</v>
      </c>
      <c r="I2873" s="5">
        <v>42</v>
      </c>
      <c r="J2873" s="9" t="s">
        <v>17</v>
      </c>
      <c r="K2873" s="1" t="s">
        <v>3165</v>
      </c>
      <c r="L2873" t="s">
        <v>3284</v>
      </c>
      <c r="M2873" t="str">
        <f>+VLOOKUP(C2873,'[1]TIENDAS 2025'!$A$1:$C$143,3,0)</f>
        <v>departamental</v>
      </c>
      <c r="O2873">
        <v>1</v>
      </c>
    </row>
    <row r="2874" spans="1:15" ht="15" customHeight="1" x14ac:dyDescent="0.3">
      <c r="A2874" s="7">
        <v>1209673378</v>
      </c>
      <c r="B2874" s="4" t="s">
        <v>277</v>
      </c>
      <c r="C2874" s="4" t="s">
        <v>278</v>
      </c>
      <c r="D2874" s="6">
        <v>46309.5101967593</v>
      </c>
      <c r="E2874" s="6">
        <v>46309.260173611103</v>
      </c>
      <c r="F2874" s="6">
        <v>46309</v>
      </c>
      <c r="G2874" s="5" t="s">
        <v>12</v>
      </c>
      <c r="H2874" s="5" t="s">
        <v>29</v>
      </c>
      <c r="I2874" s="5">
        <v>66</v>
      </c>
      <c r="J2874" s="9" t="s">
        <v>17</v>
      </c>
      <c r="K2874" s="1" t="s">
        <v>3166</v>
      </c>
      <c r="L2874" t="s">
        <v>3284</v>
      </c>
      <c r="M2874" t="str">
        <f>+VLOOKUP(C2874,'[1]TIENDAS 2025'!$A$1:$C$143,3,0)</f>
        <v>local</v>
      </c>
      <c r="O2874">
        <v>1</v>
      </c>
    </row>
    <row r="2875" spans="1:15" ht="15" customHeight="1" x14ac:dyDescent="0.3">
      <c r="A2875" s="7">
        <v>8209673364</v>
      </c>
      <c r="B2875" s="4" t="s">
        <v>277</v>
      </c>
      <c r="C2875" s="4" t="s">
        <v>278</v>
      </c>
      <c r="D2875" s="6">
        <v>46309.510231481501</v>
      </c>
      <c r="E2875" s="6">
        <v>46309.2601967593</v>
      </c>
      <c r="F2875" s="6">
        <v>46309</v>
      </c>
      <c r="G2875" s="5" t="s">
        <v>12</v>
      </c>
      <c r="H2875" s="5" t="s">
        <v>27</v>
      </c>
      <c r="I2875" s="5">
        <v>5</v>
      </c>
      <c r="J2875" s="10" t="s">
        <v>17</v>
      </c>
      <c r="K2875" s="1" t="s">
        <v>3167</v>
      </c>
      <c r="M2875" t="str">
        <f>+VLOOKUP(C2875,'[1]TIENDAS 2025'!$A$1:$C$143,3,0)</f>
        <v>local</v>
      </c>
      <c r="O2875">
        <v>1</v>
      </c>
    </row>
    <row r="2876" spans="1:15" ht="15" customHeight="1" x14ac:dyDescent="0.3">
      <c r="A2876" s="7">
        <v>1209673387</v>
      </c>
      <c r="B2876" s="4" t="s">
        <v>485</v>
      </c>
      <c r="C2876" s="4" t="s">
        <v>486</v>
      </c>
      <c r="D2876" s="6">
        <v>46309.5102430556</v>
      </c>
      <c r="E2876" s="6">
        <v>46309.260219907403</v>
      </c>
      <c r="F2876" s="6">
        <v>46309</v>
      </c>
      <c r="G2876" s="5" t="s">
        <v>12</v>
      </c>
      <c r="H2876" s="5" t="s">
        <v>16</v>
      </c>
      <c r="I2876" s="5">
        <v>12</v>
      </c>
      <c r="J2876" s="9" t="s">
        <v>17</v>
      </c>
      <c r="K2876" s="1" t="s">
        <v>3168</v>
      </c>
      <c r="L2876" t="s">
        <v>3284</v>
      </c>
      <c r="M2876" t="str">
        <f>+VLOOKUP(C2876,'[1]TIENDAS 2025'!$A$1:$C$143,3,0)</f>
        <v>departamental</v>
      </c>
      <c r="O2876">
        <v>1</v>
      </c>
    </row>
    <row r="2877" spans="1:15" ht="15" customHeight="1" x14ac:dyDescent="0.3">
      <c r="A2877" s="7">
        <v>1209673340</v>
      </c>
      <c r="B2877" s="4" t="s">
        <v>409</v>
      </c>
      <c r="C2877" s="4" t="s">
        <v>410</v>
      </c>
      <c r="D2877" s="6">
        <v>46309.510266203702</v>
      </c>
      <c r="E2877" s="6">
        <v>46309.260231481501</v>
      </c>
      <c r="F2877" s="6">
        <v>46309</v>
      </c>
      <c r="G2877" s="5" t="s">
        <v>12</v>
      </c>
      <c r="H2877" s="5" t="s">
        <v>29</v>
      </c>
      <c r="I2877" s="5">
        <v>32</v>
      </c>
      <c r="J2877" s="9" t="s">
        <v>17</v>
      </c>
      <c r="K2877" s="1" t="s">
        <v>3169</v>
      </c>
      <c r="L2877" t="s">
        <v>3284</v>
      </c>
      <c r="M2877" t="str">
        <f>+VLOOKUP(C2877,'[1]TIENDAS 2025'!$A$1:$C$143,3,0)</f>
        <v>departamental</v>
      </c>
      <c r="O2877">
        <v>1</v>
      </c>
    </row>
    <row r="2878" spans="1:15" ht="15" customHeight="1" x14ac:dyDescent="0.3">
      <c r="A2878" s="7">
        <v>1209673371</v>
      </c>
      <c r="B2878" s="4" t="s">
        <v>277</v>
      </c>
      <c r="C2878" s="4" t="s">
        <v>278</v>
      </c>
      <c r="D2878" s="6">
        <v>46309.510277777801</v>
      </c>
      <c r="E2878" s="6">
        <v>46309.2602430556</v>
      </c>
      <c r="F2878" s="6">
        <v>46309</v>
      </c>
      <c r="G2878" s="5" t="s">
        <v>12</v>
      </c>
      <c r="H2878" s="5" t="s">
        <v>16</v>
      </c>
      <c r="I2878" s="5">
        <v>11</v>
      </c>
      <c r="J2878" s="9" t="s">
        <v>17</v>
      </c>
      <c r="K2878" s="1" t="s">
        <v>3170</v>
      </c>
      <c r="L2878" t="s">
        <v>3284</v>
      </c>
      <c r="M2878" t="str">
        <f>+VLOOKUP(C2878,'[1]TIENDAS 2025'!$A$1:$C$143,3,0)</f>
        <v>local</v>
      </c>
      <c r="O2878">
        <v>1</v>
      </c>
    </row>
    <row r="2879" spans="1:15" ht="15" customHeight="1" x14ac:dyDescent="0.3">
      <c r="A2879" s="7">
        <v>1209673372</v>
      </c>
      <c r="B2879" s="4" t="s">
        <v>277</v>
      </c>
      <c r="C2879" s="4" t="s">
        <v>278</v>
      </c>
      <c r="D2879" s="6">
        <v>46309.510289351798</v>
      </c>
      <c r="E2879" s="6">
        <v>46309.260254629597</v>
      </c>
      <c r="F2879" s="6">
        <v>46309</v>
      </c>
      <c r="G2879" s="5" t="s">
        <v>12</v>
      </c>
      <c r="H2879" s="5" t="s">
        <v>16</v>
      </c>
      <c r="I2879" s="5">
        <v>13</v>
      </c>
      <c r="J2879" s="9" t="s">
        <v>17</v>
      </c>
      <c r="K2879" s="1" t="s">
        <v>3171</v>
      </c>
      <c r="L2879" t="s">
        <v>3284</v>
      </c>
      <c r="M2879" t="str">
        <f>+VLOOKUP(C2879,'[1]TIENDAS 2025'!$A$1:$C$143,3,0)</f>
        <v>local</v>
      </c>
      <c r="O2879">
        <v>1</v>
      </c>
    </row>
    <row r="2880" spans="1:15" ht="15" customHeight="1" x14ac:dyDescent="0.3">
      <c r="A2880" s="7">
        <v>1209673375</v>
      </c>
      <c r="B2880" s="4" t="s">
        <v>277</v>
      </c>
      <c r="C2880" s="4" t="s">
        <v>278</v>
      </c>
      <c r="D2880" s="6">
        <v>46309.510300925896</v>
      </c>
      <c r="E2880" s="6">
        <v>46309.260277777801</v>
      </c>
      <c r="F2880" s="6">
        <v>46309</v>
      </c>
      <c r="G2880" s="5" t="s">
        <v>12</v>
      </c>
      <c r="H2880" s="5" t="s">
        <v>29</v>
      </c>
      <c r="I2880" s="5">
        <v>23</v>
      </c>
      <c r="J2880" s="9" t="s">
        <v>17</v>
      </c>
      <c r="K2880" s="1" t="s">
        <v>3172</v>
      </c>
      <c r="L2880" t="s">
        <v>3284</v>
      </c>
      <c r="M2880" t="str">
        <f>+VLOOKUP(C2880,'[1]TIENDAS 2025'!$A$1:$C$143,3,0)</f>
        <v>local</v>
      </c>
      <c r="O2880">
        <v>1</v>
      </c>
    </row>
    <row r="2881" spans="1:15" ht="15" customHeight="1" x14ac:dyDescent="0.3">
      <c r="A2881" s="7">
        <v>8209673324</v>
      </c>
      <c r="B2881" s="4" t="s">
        <v>409</v>
      </c>
      <c r="C2881" s="4" t="s">
        <v>410</v>
      </c>
      <c r="D2881" s="6">
        <v>46309.510312500002</v>
      </c>
      <c r="E2881" s="6">
        <v>46309.260289351798</v>
      </c>
      <c r="F2881" s="6">
        <v>46309</v>
      </c>
      <c r="G2881" s="5" t="s">
        <v>12</v>
      </c>
      <c r="H2881" s="5" t="s">
        <v>27</v>
      </c>
      <c r="I2881" s="5">
        <v>5</v>
      </c>
      <c r="J2881" s="10" t="s">
        <v>17</v>
      </c>
      <c r="K2881" s="1" t="s">
        <v>3173</v>
      </c>
      <c r="M2881" t="str">
        <f>+VLOOKUP(C2881,'[1]TIENDAS 2025'!$A$1:$C$143,3,0)</f>
        <v>departamental</v>
      </c>
      <c r="O2881">
        <v>1</v>
      </c>
    </row>
    <row r="2882" spans="1:15" ht="15" customHeight="1" x14ac:dyDescent="0.3">
      <c r="A2882" s="7">
        <v>8209673326</v>
      </c>
      <c r="B2882" s="4" t="s">
        <v>409</v>
      </c>
      <c r="C2882" s="4" t="s">
        <v>410</v>
      </c>
      <c r="D2882" s="6">
        <v>46309.510335648098</v>
      </c>
      <c r="E2882" s="6">
        <v>46309.260300925896</v>
      </c>
      <c r="F2882" s="6">
        <v>46309</v>
      </c>
      <c r="G2882" s="5" t="s">
        <v>12</v>
      </c>
      <c r="H2882" s="5" t="s">
        <v>27</v>
      </c>
      <c r="I2882" s="5">
        <v>23</v>
      </c>
      <c r="J2882" s="10" t="s">
        <v>17</v>
      </c>
      <c r="K2882" s="1" t="s">
        <v>3174</v>
      </c>
      <c r="M2882" t="str">
        <f>+VLOOKUP(C2882,'[1]TIENDAS 2025'!$A$1:$C$143,3,0)</f>
        <v>departamental</v>
      </c>
      <c r="O2882">
        <v>1</v>
      </c>
    </row>
    <row r="2883" spans="1:15" ht="15" customHeight="1" x14ac:dyDescent="0.3">
      <c r="A2883" s="7">
        <v>8209673328</v>
      </c>
      <c r="B2883" s="4" t="s">
        <v>409</v>
      </c>
      <c r="C2883" s="4" t="s">
        <v>410</v>
      </c>
      <c r="D2883" s="6">
        <v>46309.510347222204</v>
      </c>
      <c r="E2883" s="6">
        <v>46309.260312500002</v>
      </c>
      <c r="F2883" s="6">
        <v>46309</v>
      </c>
      <c r="G2883" s="5" t="s">
        <v>12</v>
      </c>
      <c r="H2883" s="5" t="s">
        <v>27</v>
      </c>
      <c r="I2883" s="5">
        <v>5</v>
      </c>
      <c r="J2883" s="10" t="s">
        <v>17</v>
      </c>
      <c r="K2883" s="1" t="s">
        <v>3175</v>
      </c>
      <c r="M2883" t="str">
        <f>+VLOOKUP(C2883,'[1]TIENDAS 2025'!$A$1:$C$143,3,0)</f>
        <v>departamental</v>
      </c>
      <c r="O2883">
        <v>1</v>
      </c>
    </row>
    <row r="2884" spans="1:15" ht="15" customHeight="1" x14ac:dyDescent="0.3">
      <c r="A2884" s="7">
        <v>1209673405</v>
      </c>
      <c r="B2884" s="4" t="s">
        <v>14</v>
      </c>
      <c r="C2884" s="4" t="s">
        <v>15</v>
      </c>
      <c r="D2884" s="6">
        <v>46309.510358796302</v>
      </c>
      <c r="E2884" s="6">
        <v>46309.260335648098</v>
      </c>
      <c r="F2884" s="6">
        <v>46309</v>
      </c>
      <c r="G2884" s="5" t="s">
        <v>12</v>
      </c>
      <c r="H2884" s="5" t="s">
        <v>29</v>
      </c>
      <c r="I2884" s="5">
        <v>7</v>
      </c>
      <c r="J2884" s="9" t="s">
        <v>17</v>
      </c>
      <c r="K2884" s="1" t="s">
        <v>3176</v>
      </c>
      <c r="L2884" t="s">
        <v>3284</v>
      </c>
      <c r="M2884" t="str">
        <f>+VLOOKUP(C2884,'[1]TIENDAS 2025'!$A$1:$C$143,3,0)</f>
        <v>departamental</v>
      </c>
      <c r="O2884">
        <v>1</v>
      </c>
    </row>
    <row r="2885" spans="1:15" ht="15" customHeight="1" x14ac:dyDescent="0.3">
      <c r="A2885" s="7">
        <v>1209673331</v>
      </c>
      <c r="B2885" s="4" t="s">
        <v>409</v>
      </c>
      <c r="C2885" s="4" t="s">
        <v>410</v>
      </c>
      <c r="D2885" s="6">
        <v>46309.510370370401</v>
      </c>
      <c r="E2885" s="6">
        <v>46309.260347222204</v>
      </c>
      <c r="F2885" s="6">
        <v>46309</v>
      </c>
      <c r="G2885" s="5" t="s">
        <v>12</v>
      </c>
      <c r="H2885" s="5" t="s">
        <v>16</v>
      </c>
      <c r="I2885" s="5">
        <v>18</v>
      </c>
      <c r="J2885" s="9" t="s">
        <v>17</v>
      </c>
      <c r="K2885" s="1" t="s">
        <v>3177</v>
      </c>
      <c r="L2885" t="s">
        <v>3284</v>
      </c>
      <c r="M2885" t="str">
        <f>+VLOOKUP(C2885,'[1]TIENDAS 2025'!$A$1:$C$143,3,0)</f>
        <v>departamental</v>
      </c>
      <c r="O2885">
        <v>1</v>
      </c>
    </row>
    <row r="2886" spans="1:15" ht="15" customHeight="1" x14ac:dyDescent="0.3">
      <c r="A2886" s="7">
        <v>1209673359</v>
      </c>
      <c r="B2886" s="4" t="s">
        <v>150</v>
      </c>
      <c r="C2886" s="4" t="s">
        <v>151</v>
      </c>
      <c r="D2886" s="6">
        <v>46309.510393518503</v>
      </c>
      <c r="E2886" s="6">
        <v>46309.260358796302</v>
      </c>
      <c r="F2886" s="6">
        <v>46309</v>
      </c>
      <c r="G2886" s="5" t="s">
        <v>12</v>
      </c>
      <c r="H2886" s="5" t="s">
        <v>29</v>
      </c>
      <c r="I2886" s="5">
        <v>37</v>
      </c>
      <c r="J2886" s="9" t="s">
        <v>17</v>
      </c>
      <c r="K2886" s="1" t="s">
        <v>3178</v>
      </c>
      <c r="L2886" t="s">
        <v>3284</v>
      </c>
      <c r="M2886" t="str">
        <f>+VLOOKUP(C2886,'[1]TIENDAS 2025'!$A$1:$C$143,3,0)</f>
        <v>local</v>
      </c>
      <c r="O2886">
        <v>1</v>
      </c>
    </row>
    <row r="2887" spans="1:15" ht="15" customHeight="1" x14ac:dyDescent="0.3">
      <c r="A2887" s="7">
        <v>1209673339</v>
      </c>
      <c r="B2887" s="4" t="s">
        <v>409</v>
      </c>
      <c r="C2887" s="4" t="s">
        <v>410</v>
      </c>
      <c r="D2887" s="6">
        <v>46309.510428240697</v>
      </c>
      <c r="E2887" s="6">
        <v>46309.260393518503</v>
      </c>
      <c r="F2887" s="6">
        <v>46309</v>
      </c>
      <c r="G2887" s="5" t="s">
        <v>12</v>
      </c>
      <c r="H2887" s="5" t="s">
        <v>29</v>
      </c>
      <c r="I2887" s="5">
        <v>29</v>
      </c>
      <c r="J2887" s="9" t="s">
        <v>17</v>
      </c>
      <c r="K2887" s="1" t="s">
        <v>3179</v>
      </c>
      <c r="L2887" t="s">
        <v>3284</v>
      </c>
      <c r="M2887" t="str">
        <f>+VLOOKUP(C2887,'[1]TIENDAS 2025'!$A$1:$C$143,3,0)</f>
        <v>departamental</v>
      </c>
      <c r="O2887">
        <v>1</v>
      </c>
    </row>
    <row r="2888" spans="1:15" ht="15" customHeight="1" x14ac:dyDescent="0.3">
      <c r="A2888" s="7">
        <v>8209673363</v>
      </c>
      <c r="B2888" s="4" t="s">
        <v>277</v>
      </c>
      <c r="C2888" s="4" t="s">
        <v>278</v>
      </c>
      <c r="D2888" s="6">
        <v>46309.510439814803</v>
      </c>
      <c r="E2888" s="6">
        <v>46309.260405092602</v>
      </c>
      <c r="F2888" s="6">
        <v>46309</v>
      </c>
      <c r="G2888" s="5" t="s">
        <v>12</v>
      </c>
      <c r="H2888" s="5" t="s">
        <v>27</v>
      </c>
      <c r="I2888" s="5">
        <v>6</v>
      </c>
      <c r="J2888" s="10" t="s">
        <v>17</v>
      </c>
      <c r="K2888" s="1" t="s">
        <v>3180</v>
      </c>
      <c r="M2888" t="str">
        <f>+VLOOKUP(C2888,'[1]TIENDAS 2025'!$A$1:$C$143,3,0)</f>
        <v>local</v>
      </c>
      <c r="O2888">
        <v>1</v>
      </c>
    </row>
    <row r="2889" spans="1:15" ht="15" customHeight="1" x14ac:dyDescent="0.3">
      <c r="A2889" s="7">
        <v>8209673366</v>
      </c>
      <c r="B2889" s="4" t="s">
        <v>277</v>
      </c>
      <c r="C2889" s="4" t="s">
        <v>278</v>
      </c>
      <c r="D2889" s="6">
        <v>46309.510451388902</v>
      </c>
      <c r="E2889" s="6">
        <v>46309.260416666701</v>
      </c>
      <c r="F2889" s="6">
        <v>46309</v>
      </c>
      <c r="G2889" s="5" t="s">
        <v>12</v>
      </c>
      <c r="H2889" s="5" t="s">
        <v>27</v>
      </c>
      <c r="I2889" s="5">
        <v>1</v>
      </c>
      <c r="J2889" s="10" t="s">
        <v>17</v>
      </c>
      <c r="K2889" s="1" t="s">
        <v>3181</v>
      </c>
      <c r="M2889" t="str">
        <f>+VLOOKUP(C2889,'[1]TIENDAS 2025'!$A$1:$C$143,3,0)</f>
        <v>local</v>
      </c>
      <c r="O2889">
        <v>1</v>
      </c>
    </row>
    <row r="2890" spans="1:15" ht="15" customHeight="1" x14ac:dyDescent="0.3">
      <c r="A2890" s="7">
        <v>1209673373</v>
      </c>
      <c r="B2890" s="4" t="s">
        <v>277</v>
      </c>
      <c r="C2890" s="4" t="s">
        <v>278</v>
      </c>
      <c r="D2890" s="6">
        <v>46309.510462963</v>
      </c>
      <c r="E2890" s="6">
        <v>46309.260439814803</v>
      </c>
      <c r="F2890" s="6">
        <v>46309</v>
      </c>
      <c r="G2890" s="5" t="s">
        <v>12</v>
      </c>
      <c r="H2890" s="5" t="s">
        <v>29</v>
      </c>
      <c r="I2890" s="5">
        <v>20</v>
      </c>
      <c r="J2890" s="9" t="s">
        <v>17</v>
      </c>
      <c r="K2890" s="1" t="s">
        <v>3182</v>
      </c>
      <c r="L2890" t="s">
        <v>3284</v>
      </c>
      <c r="M2890" t="str">
        <f>+VLOOKUP(C2890,'[1]TIENDAS 2025'!$A$1:$C$143,3,0)</f>
        <v>local</v>
      </c>
      <c r="O2890">
        <v>1</v>
      </c>
    </row>
    <row r="2891" spans="1:15" ht="15" customHeight="1" x14ac:dyDescent="0.3">
      <c r="A2891" s="7">
        <v>8209673323</v>
      </c>
      <c r="B2891" s="4" t="s">
        <v>409</v>
      </c>
      <c r="C2891" s="4" t="s">
        <v>410</v>
      </c>
      <c r="D2891" s="6">
        <v>46309.510486111103</v>
      </c>
      <c r="E2891" s="6">
        <v>46309.260451388902</v>
      </c>
      <c r="F2891" s="6">
        <v>46309</v>
      </c>
      <c r="G2891" s="5" t="s">
        <v>12</v>
      </c>
      <c r="H2891" s="5" t="s">
        <v>27</v>
      </c>
      <c r="I2891" s="5">
        <v>9</v>
      </c>
      <c r="J2891" s="10" t="s">
        <v>17</v>
      </c>
      <c r="K2891" s="1" t="s">
        <v>3183</v>
      </c>
      <c r="M2891" t="str">
        <f>+VLOOKUP(C2891,'[1]TIENDAS 2025'!$A$1:$C$143,3,0)</f>
        <v>departamental</v>
      </c>
      <c r="O2891">
        <v>1</v>
      </c>
    </row>
    <row r="2892" spans="1:15" ht="15" customHeight="1" x14ac:dyDescent="0.3">
      <c r="A2892" s="7">
        <v>8209673402</v>
      </c>
      <c r="B2892" s="4" t="s">
        <v>14</v>
      </c>
      <c r="C2892" s="4" t="s">
        <v>15</v>
      </c>
      <c r="D2892" s="6">
        <v>46309.510486111103</v>
      </c>
      <c r="E2892" s="6">
        <v>46309.260462963</v>
      </c>
      <c r="F2892" s="6">
        <v>46309</v>
      </c>
      <c r="G2892" s="5" t="s">
        <v>12</v>
      </c>
      <c r="H2892" s="5" t="s">
        <v>27</v>
      </c>
      <c r="I2892" s="5">
        <v>2</v>
      </c>
      <c r="J2892" s="10" t="s">
        <v>17</v>
      </c>
      <c r="K2892" s="1" t="s">
        <v>3184</v>
      </c>
      <c r="M2892" t="str">
        <f>+VLOOKUP(C2892,'[1]TIENDAS 2025'!$A$1:$C$143,3,0)</f>
        <v>departamental</v>
      </c>
      <c r="O2892">
        <v>1</v>
      </c>
    </row>
    <row r="2893" spans="1:15" ht="15" customHeight="1" x14ac:dyDescent="0.3">
      <c r="A2893" s="7">
        <v>1209673369</v>
      </c>
      <c r="B2893" s="4" t="s">
        <v>277</v>
      </c>
      <c r="C2893" s="4" t="s">
        <v>278</v>
      </c>
      <c r="D2893" s="6">
        <v>46309.5105092593</v>
      </c>
      <c r="E2893" s="6">
        <v>46309.260474536997</v>
      </c>
      <c r="F2893" s="6">
        <v>46309</v>
      </c>
      <c r="G2893" s="5" t="s">
        <v>12</v>
      </c>
      <c r="H2893" s="5" t="s">
        <v>16</v>
      </c>
      <c r="I2893" s="5">
        <v>1</v>
      </c>
      <c r="J2893" s="9" t="s">
        <v>17</v>
      </c>
      <c r="K2893" s="1" t="s">
        <v>3185</v>
      </c>
      <c r="L2893" t="s">
        <v>3284</v>
      </c>
      <c r="M2893" t="str">
        <f>+VLOOKUP(C2893,'[1]TIENDAS 2025'!$A$1:$C$143,3,0)</f>
        <v>local</v>
      </c>
      <c r="O2893">
        <v>1</v>
      </c>
    </row>
    <row r="2894" spans="1:15" ht="15" customHeight="1" x14ac:dyDescent="0.3">
      <c r="A2894" s="7">
        <v>1209673389</v>
      </c>
      <c r="B2894" s="4" t="s">
        <v>485</v>
      </c>
      <c r="C2894" s="4" t="s">
        <v>486</v>
      </c>
      <c r="D2894" s="6">
        <v>46309.510520833297</v>
      </c>
      <c r="E2894" s="6">
        <v>46309.260497685202</v>
      </c>
      <c r="F2894" s="6">
        <v>46309</v>
      </c>
      <c r="G2894" s="5" t="s">
        <v>12</v>
      </c>
      <c r="H2894" s="5" t="s">
        <v>29</v>
      </c>
      <c r="I2894" s="5">
        <v>22</v>
      </c>
      <c r="J2894" s="9" t="s">
        <v>17</v>
      </c>
      <c r="K2894" s="1" t="s">
        <v>3186</v>
      </c>
      <c r="L2894" t="s">
        <v>3284</v>
      </c>
      <c r="M2894" t="str">
        <f>+VLOOKUP(C2894,'[1]TIENDAS 2025'!$A$1:$C$143,3,0)</f>
        <v>departamental</v>
      </c>
      <c r="O2894">
        <v>1</v>
      </c>
    </row>
    <row r="2895" spans="1:15" ht="15" customHeight="1" x14ac:dyDescent="0.3">
      <c r="A2895" s="7">
        <v>1209673349</v>
      </c>
      <c r="B2895" s="4" t="s">
        <v>150</v>
      </c>
      <c r="C2895" s="4" t="s">
        <v>151</v>
      </c>
      <c r="D2895" s="6">
        <v>46309.510543981502</v>
      </c>
      <c r="E2895" s="6">
        <v>46309.2605092593</v>
      </c>
      <c r="F2895" s="6">
        <v>46309</v>
      </c>
      <c r="G2895" s="5" t="s">
        <v>12</v>
      </c>
      <c r="H2895" s="5" t="s">
        <v>16</v>
      </c>
      <c r="I2895" s="5">
        <v>3</v>
      </c>
      <c r="J2895" s="9" t="s">
        <v>17</v>
      </c>
      <c r="K2895" s="1" t="s">
        <v>3187</v>
      </c>
      <c r="L2895" t="s">
        <v>3284</v>
      </c>
      <c r="M2895" t="str">
        <f>+VLOOKUP(C2895,'[1]TIENDAS 2025'!$A$1:$C$143,3,0)</f>
        <v>local</v>
      </c>
      <c r="O2895">
        <v>1</v>
      </c>
    </row>
    <row r="2896" spans="1:15" ht="15" customHeight="1" x14ac:dyDescent="0.3">
      <c r="A2896" s="7">
        <v>1209673352</v>
      </c>
      <c r="B2896" s="4" t="s">
        <v>150</v>
      </c>
      <c r="C2896" s="4" t="s">
        <v>151</v>
      </c>
      <c r="D2896" s="6">
        <v>46309.5105555556</v>
      </c>
      <c r="E2896" s="6">
        <v>46309.260520833297</v>
      </c>
      <c r="F2896" s="6">
        <v>46309</v>
      </c>
      <c r="G2896" s="5" t="s">
        <v>12</v>
      </c>
      <c r="H2896" s="5" t="s">
        <v>16</v>
      </c>
      <c r="I2896" s="5">
        <v>43</v>
      </c>
      <c r="J2896" s="9" t="s">
        <v>17</v>
      </c>
      <c r="K2896" s="1" t="s">
        <v>3188</v>
      </c>
      <c r="L2896" t="s">
        <v>3284</v>
      </c>
      <c r="M2896" t="str">
        <f>+VLOOKUP(C2896,'[1]TIENDAS 2025'!$A$1:$C$143,3,0)</f>
        <v>local</v>
      </c>
      <c r="O2896">
        <v>1</v>
      </c>
    </row>
    <row r="2897" spans="1:15" ht="15" customHeight="1" x14ac:dyDescent="0.3">
      <c r="A2897" s="7">
        <v>8209673327</v>
      </c>
      <c r="B2897" s="4" t="s">
        <v>409</v>
      </c>
      <c r="C2897" s="4" t="s">
        <v>410</v>
      </c>
      <c r="D2897" s="6">
        <v>46309.510567129597</v>
      </c>
      <c r="E2897" s="6">
        <v>46309.260543981502</v>
      </c>
      <c r="F2897" s="6">
        <v>46309</v>
      </c>
      <c r="G2897" s="5" t="s">
        <v>12</v>
      </c>
      <c r="H2897" s="5" t="s">
        <v>27</v>
      </c>
      <c r="I2897" s="5">
        <v>5</v>
      </c>
      <c r="J2897" s="10" t="s">
        <v>17</v>
      </c>
      <c r="K2897" s="1" t="s">
        <v>3189</v>
      </c>
      <c r="M2897" t="str">
        <f>+VLOOKUP(C2897,'[1]TIENDAS 2025'!$A$1:$C$143,3,0)</f>
        <v>departamental</v>
      </c>
      <c r="O2897">
        <v>1</v>
      </c>
    </row>
    <row r="2898" spans="1:15" ht="15" customHeight="1" x14ac:dyDescent="0.3">
      <c r="A2898" s="7">
        <v>1209673353</v>
      </c>
      <c r="B2898" s="4" t="s">
        <v>150</v>
      </c>
      <c r="C2898" s="4" t="s">
        <v>151</v>
      </c>
      <c r="D2898" s="6">
        <v>46309.510578703703</v>
      </c>
      <c r="E2898" s="6">
        <v>46309.2605555556</v>
      </c>
      <c r="F2898" s="6">
        <v>46309</v>
      </c>
      <c r="G2898" s="5" t="s">
        <v>12</v>
      </c>
      <c r="H2898" s="5" t="s">
        <v>16</v>
      </c>
      <c r="I2898" s="5">
        <v>13</v>
      </c>
      <c r="J2898" s="9" t="s">
        <v>17</v>
      </c>
      <c r="K2898" s="1" t="s">
        <v>3190</v>
      </c>
      <c r="L2898" t="s">
        <v>3284</v>
      </c>
      <c r="M2898" t="str">
        <f>+VLOOKUP(C2898,'[1]TIENDAS 2025'!$A$1:$C$143,3,0)</f>
        <v>local</v>
      </c>
      <c r="O2898">
        <v>1</v>
      </c>
    </row>
    <row r="2899" spans="1:15" ht="15" customHeight="1" x14ac:dyDescent="0.3">
      <c r="A2899" s="7">
        <v>8209673401</v>
      </c>
      <c r="B2899" s="4" t="s">
        <v>14</v>
      </c>
      <c r="C2899" s="4" t="s">
        <v>15</v>
      </c>
      <c r="D2899" s="6">
        <v>46309.510601851798</v>
      </c>
      <c r="E2899" s="6">
        <v>46309.260578703703</v>
      </c>
      <c r="F2899" s="6">
        <v>46309</v>
      </c>
      <c r="G2899" s="5" t="s">
        <v>12</v>
      </c>
      <c r="H2899" s="5" t="s">
        <v>27</v>
      </c>
      <c r="I2899" s="5">
        <v>8</v>
      </c>
      <c r="J2899" s="10" t="s">
        <v>17</v>
      </c>
      <c r="K2899" s="1" t="s">
        <v>3191</v>
      </c>
      <c r="M2899" t="str">
        <f>+VLOOKUP(C2899,'[1]TIENDAS 2025'!$A$1:$C$143,3,0)</f>
        <v>departamental</v>
      </c>
      <c r="O2899">
        <v>1</v>
      </c>
    </row>
    <row r="2900" spans="1:15" ht="15" customHeight="1" x14ac:dyDescent="0.3">
      <c r="A2900" s="7">
        <v>1209673403</v>
      </c>
      <c r="B2900" s="4" t="s">
        <v>14</v>
      </c>
      <c r="C2900" s="4" t="s">
        <v>15</v>
      </c>
      <c r="D2900" s="6">
        <v>46309.510625000003</v>
      </c>
      <c r="E2900" s="6">
        <v>46309.260590277801</v>
      </c>
      <c r="F2900" s="6">
        <v>46309</v>
      </c>
      <c r="G2900" s="5" t="s">
        <v>12</v>
      </c>
      <c r="H2900" s="5" t="s">
        <v>16</v>
      </c>
      <c r="I2900" s="5">
        <v>3</v>
      </c>
      <c r="J2900" s="9" t="s">
        <v>17</v>
      </c>
      <c r="K2900" s="1" t="s">
        <v>3192</v>
      </c>
      <c r="L2900" t="s">
        <v>3284</v>
      </c>
      <c r="M2900" t="str">
        <f>+VLOOKUP(C2900,'[1]TIENDAS 2025'!$A$1:$C$143,3,0)</f>
        <v>departamental</v>
      </c>
      <c r="O2900">
        <v>1</v>
      </c>
    </row>
    <row r="2901" spans="1:15" ht="15" customHeight="1" x14ac:dyDescent="0.3">
      <c r="A2901" s="7">
        <v>1209673404</v>
      </c>
      <c r="B2901" s="4" t="s">
        <v>14</v>
      </c>
      <c r="C2901" s="4" t="s">
        <v>15</v>
      </c>
      <c r="D2901" s="6">
        <v>46309.510636574101</v>
      </c>
      <c r="E2901" s="6">
        <v>46309.260601851798</v>
      </c>
      <c r="F2901" s="6">
        <v>46309</v>
      </c>
      <c r="G2901" s="5" t="s">
        <v>12</v>
      </c>
      <c r="H2901" s="5" t="s">
        <v>29</v>
      </c>
      <c r="I2901" s="5">
        <v>3</v>
      </c>
      <c r="J2901" s="9" t="s">
        <v>17</v>
      </c>
      <c r="K2901" s="1" t="s">
        <v>3193</v>
      </c>
      <c r="L2901" t="s">
        <v>3284</v>
      </c>
      <c r="M2901" t="str">
        <f>+VLOOKUP(C2901,'[1]TIENDAS 2025'!$A$1:$C$143,3,0)</f>
        <v>departamental</v>
      </c>
      <c r="O2901">
        <v>1</v>
      </c>
    </row>
    <row r="2902" spans="1:15" ht="15" customHeight="1" x14ac:dyDescent="0.3">
      <c r="A2902" s="7">
        <v>1209673332</v>
      </c>
      <c r="B2902" s="4" t="s">
        <v>409</v>
      </c>
      <c r="C2902" s="4" t="s">
        <v>410</v>
      </c>
      <c r="D2902" s="6">
        <v>46309.510648148098</v>
      </c>
      <c r="E2902" s="6">
        <v>46309.260613425897</v>
      </c>
      <c r="F2902" s="6">
        <v>46309</v>
      </c>
      <c r="G2902" s="5" t="s">
        <v>12</v>
      </c>
      <c r="H2902" s="5" t="s">
        <v>16</v>
      </c>
      <c r="I2902" s="5">
        <v>20</v>
      </c>
      <c r="J2902" s="9" t="s">
        <v>17</v>
      </c>
      <c r="K2902" s="1" t="s">
        <v>3194</v>
      </c>
      <c r="L2902" t="s">
        <v>3284</v>
      </c>
      <c r="M2902" t="str">
        <f>+VLOOKUP(C2902,'[1]TIENDAS 2025'!$A$1:$C$143,3,0)</f>
        <v>departamental</v>
      </c>
      <c r="O2902">
        <v>1</v>
      </c>
    </row>
    <row r="2903" spans="1:15" ht="15" customHeight="1" x14ac:dyDescent="0.3">
      <c r="A2903" s="7">
        <v>1209673409</v>
      </c>
      <c r="B2903" s="4" t="s">
        <v>14</v>
      </c>
      <c r="C2903" s="4" t="s">
        <v>15</v>
      </c>
      <c r="D2903" s="6">
        <v>46309.510659722197</v>
      </c>
      <c r="E2903" s="6">
        <v>46309.260636574101</v>
      </c>
      <c r="F2903" s="6">
        <v>46309</v>
      </c>
      <c r="G2903" s="5" t="s">
        <v>12</v>
      </c>
      <c r="H2903" s="5" t="s">
        <v>16</v>
      </c>
      <c r="I2903" s="5">
        <v>15</v>
      </c>
      <c r="J2903" s="9" t="s">
        <v>17</v>
      </c>
      <c r="K2903" s="1" t="s">
        <v>3195</v>
      </c>
      <c r="L2903" t="s">
        <v>3284</v>
      </c>
      <c r="M2903" t="str">
        <f>+VLOOKUP(C2903,'[1]TIENDAS 2025'!$A$1:$C$143,3,0)</f>
        <v>departamental</v>
      </c>
      <c r="O2903">
        <v>1</v>
      </c>
    </row>
    <row r="2904" spans="1:15" ht="15" customHeight="1" x14ac:dyDescent="0.3">
      <c r="A2904" s="7">
        <v>1209673334</v>
      </c>
      <c r="B2904" s="4" t="s">
        <v>409</v>
      </c>
      <c r="C2904" s="4" t="s">
        <v>410</v>
      </c>
      <c r="D2904" s="6">
        <v>46309.510682870401</v>
      </c>
      <c r="E2904" s="6">
        <v>46309.260648148098</v>
      </c>
      <c r="F2904" s="6">
        <v>46309</v>
      </c>
      <c r="G2904" s="5" t="s">
        <v>12</v>
      </c>
      <c r="H2904" s="5" t="s">
        <v>16</v>
      </c>
      <c r="I2904" s="5">
        <v>1</v>
      </c>
      <c r="J2904" s="9" t="s">
        <v>17</v>
      </c>
      <c r="K2904" s="1" t="s">
        <v>3196</v>
      </c>
      <c r="L2904" t="s">
        <v>3284</v>
      </c>
      <c r="M2904" t="str">
        <f>+VLOOKUP(C2904,'[1]TIENDAS 2025'!$A$1:$C$143,3,0)</f>
        <v>departamental</v>
      </c>
      <c r="O2904">
        <v>1</v>
      </c>
    </row>
    <row r="2905" spans="1:15" ht="15" customHeight="1" x14ac:dyDescent="0.3">
      <c r="A2905" s="7">
        <v>1209673381</v>
      </c>
      <c r="B2905" s="4" t="s">
        <v>485</v>
      </c>
      <c r="C2905" s="4" t="s">
        <v>486</v>
      </c>
      <c r="D2905" s="6">
        <v>46309.510694444398</v>
      </c>
      <c r="E2905" s="6">
        <v>46309.260659722197</v>
      </c>
      <c r="F2905" s="6">
        <v>46309</v>
      </c>
      <c r="G2905" s="5" t="s">
        <v>12</v>
      </c>
      <c r="H2905" s="5" t="s">
        <v>16</v>
      </c>
      <c r="I2905" s="5">
        <v>1</v>
      </c>
      <c r="J2905" s="9" t="s">
        <v>17</v>
      </c>
      <c r="K2905" s="1" t="s">
        <v>3197</v>
      </c>
      <c r="L2905" t="s">
        <v>3284</v>
      </c>
      <c r="M2905" t="str">
        <f>+VLOOKUP(C2905,'[1]TIENDAS 2025'!$A$1:$C$143,3,0)</f>
        <v>departamental</v>
      </c>
      <c r="O2905">
        <v>1</v>
      </c>
    </row>
    <row r="2906" spans="1:15" ht="15" customHeight="1" x14ac:dyDescent="0.3">
      <c r="A2906" s="7">
        <v>8209673382</v>
      </c>
      <c r="B2906" s="4" t="s">
        <v>485</v>
      </c>
      <c r="C2906" s="4" t="s">
        <v>486</v>
      </c>
      <c r="D2906" s="6">
        <v>46309.510706018496</v>
      </c>
      <c r="E2906" s="6">
        <v>46309.260682870401</v>
      </c>
      <c r="F2906" s="6">
        <v>46309</v>
      </c>
      <c r="G2906" s="5" t="s">
        <v>12</v>
      </c>
      <c r="H2906" s="5" t="s">
        <v>27</v>
      </c>
      <c r="I2906" s="5">
        <v>2</v>
      </c>
      <c r="J2906" s="10" t="s">
        <v>17</v>
      </c>
      <c r="K2906" s="1" t="s">
        <v>3198</v>
      </c>
      <c r="M2906" t="str">
        <f>+VLOOKUP(C2906,'[1]TIENDAS 2025'!$A$1:$C$143,3,0)</f>
        <v>departamental</v>
      </c>
      <c r="O2906">
        <v>1</v>
      </c>
    </row>
    <row r="2907" spans="1:15" ht="15" customHeight="1" x14ac:dyDescent="0.3">
      <c r="A2907" s="7">
        <v>1209673385</v>
      </c>
      <c r="B2907" s="4" t="s">
        <v>485</v>
      </c>
      <c r="C2907" s="4" t="s">
        <v>486</v>
      </c>
      <c r="D2907" s="6">
        <v>46309.510729166701</v>
      </c>
      <c r="E2907" s="6">
        <v>46309.260694444398</v>
      </c>
      <c r="F2907" s="6">
        <v>46309</v>
      </c>
      <c r="G2907" s="5" t="s">
        <v>12</v>
      </c>
      <c r="H2907" s="5" t="s">
        <v>16</v>
      </c>
      <c r="I2907" s="5">
        <v>9</v>
      </c>
      <c r="J2907" s="9" t="s">
        <v>17</v>
      </c>
      <c r="K2907" s="1" t="s">
        <v>3199</v>
      </c>
      <c r="L2907" t="s">
        <v>3284</v>
      </c>
      <c r="M2907" t="str">
        <f>+VLOOKUP(C2907,'[1]TIENDAS 2025'!$A$1:$C$143,3,0)</f>
        <v>departamental</v>
      </c>
      <c r="O2907">
        <v>1</v>
      </c>
    </row>
    <row r="2908" spans="1:15" ht="15" customHeight="1" x14ac:dyDescent="0.3">
      <c r="A2908" s="7">
        <v>1209673351</v>
      </c>
      <c r="B2908" s="4" t="s">
        <v>150</v>
      </c>
      <c r="C2908" s="4" t="s">
        <v>151</v>
      </c>
      <c r="D2908" s="6">
        <v>46309.510740740698</v>
      </c>
      <c r="E2908" s="6">
        <v>46309.260706018496</v>
      </c>
      <c r="F2908" s="6">
        <v>46309</v>
      </c>
      <c r="G2908" s="5" t="s">
        <v>12</v>
      </c>
      <c r="H2908" s="5" t="s">
        <v>16</v>
      </c>
      <c r="I2908" s="5">
        <v>3</v>
      </c>
      <c r="J2908" s="9" t="s">
        <v>17</v>
      </c>
      <c r="K2908" s="1" t="s">
        <v>3200</v>
      </c>
      <c r="L2908" t="s">
        <v>3284</v>
      </c>
      <c r="M2908" t="str">
        <f>+VLOOKUP(C2908,'[1]TIENDAS 2025'!$A$1:$C$143,3,0)</f>
        <v>local</v>
      </c>
      <c r="O2908">
        <v>1</v>
      </c>
    </row>
    <row r="2909" spans="1:15" ht="15" customHeight="1" x14ac:dyDescent="0.3">
      <c r="A2909" s="7">
        <v>1209673329</v>
      </c>
      <c r="B2909" s="4" t="s">
        <v>409</v>
      </c>
      <c r="C2909" s="4" t="s">
        <v>410</v>
      </c>
      <c r="D2909" s="6">
        <v>46309.510752314804</v>
      </c>
      <c r="E2909" s="6">
        <v>46309.260729166701</v>
      </c>
      <c r="F2909" s="6">
        <v>46309</v>
      </c>
      <c r="G2909" s="5" t="s">
        <v>12</v>
      </c>
      <c r="H2909" s="5" t="s">
        <v>16</v>
      </c>
      <c r="I2909" s="5">
        <v>2</v>
      </c>
      <c r="J2909" s="9" t="s">
        <v>17</v>
      </c>
      <c r="K2909" s="1" t="s">
        <v>3201</v>
      </c>
      <c r="L2909" t="s">
        <v>3284</v>
      </c>
      <c r="M2909" t="str">
        <f>+VLOOKUP(C2909,'[1]TIENDAS 2025'!$A$1:$C$143,3,0)</f>
        <v>departamental</v>
      </c>
      <c r="O2909">
        <v>1</v>
      </c>
    </row>
    <row r="2910" spans="1:15" ht="15" customHeight="1" x14ac:dyDescent="0.3">
      <c r="A2910" s="7">
        <v>1209673335</v>
      </c>
      <c r="B2910" s="4" t="s">
        <v>409</v>
      </c>
      <c r="C2910" s="4" t="s">
        <v>410</v>
      </c>
      <c r="D2910" s="6">
        <v>46309.510763888902</v>
      </c>
      <c r="E2910" s="6">
        <v>46309.260740740698</v>
      </c>
      <c r="F2910" s="6">
        <v>46309</v>
      </c>
      <c r="G2910" s="5" t="s">
        <v>12</v>
      </c>
      <c r="H2910" s="5" t="s">
        <v>29</v>
      </c>
      <c r="I2910" s="5">
        <v>14</v>
      </c>
      <c r="J2910" s="9" t="s">
        <v>17</v>
      </c>
      <c r="K2910" s="1" t="s">
        <v>3202</v>
      </c>
      <c r="L2910" t="s">
        <v>3284</v>
      </c>
      <c r="M2910" t="str">
        <f>+VLOOKUP(C2910,'[1]TIENDAS 2025'!$A$1:$C$143,3,0)</f>
        <v>departamental</v>
      </c>
      <c r="O2910">
        <v>1</v>
      </c>
    </row>
    <row r="2911" spans="1:15" ht="15" customHeight="1" x14ac:dyDescent="0.3">
      <c r="A2911" s="7">
        <v>8209673380</v>
      </c>
      <c r="B2911" s="4" t="s">
        <v>485</v>
      </c>
      <c r="C2911" s="4" t="s">
        <v>486</v>
      </c>
      <c r="D2911" s="6">
        <v>46309.510787036997</v>
      </c>
      <c r="E2911" s="6">
        <v>46309.260752314804</v>
      </c>
      <c r="F2911" s="6">
        <v>46309</v>
      </c>
      <c r="G2911" s="5" t="s">
        <v>12</v>
      </c>
      <c r="H2911" s="5" t="s">
        <v>27</v>
      </c>
      <c r="I2911" s="5">
        <v>3</v>
      </c>
      <c r="J2911" s="10" t="s">
        <v>17</v>
      </c>
      <c r="K2911" s="1" t="s">
        <v>3203</v>
      </c>
      <c r="M2911" t="str">
        <f>+VLOOKUP(C2911,'[1]TIENDAS 2025'!$A$1:$C$143,3,0)</f>
        <v>departamental</v>
      </c>
      <c r="O2911">
        <v>1</v>
      </c>
    </row>
    <row r="2912" spans="1:15" ht="15" customHeight="1" x14ac:dyDescent="0.3">
      <c r="A2912" s="7">
        <v>1209673386</v>
      </c>
      <c r="B2912" s="4" t="s">
        <v>485</v>
      </c>
      <c r="C2912" s="4" t="s">
        <v>486</v>
      </c>
      <c r="D2912" s="6">
        <v>46309.510821759301</v>
      </c>
      <c r="E2912" s="6">
        <v>46309.260787036997</v>
      </c>
      <c r="F2912" s="6">
        <v>46309</v>
      </c>
      <c r="G2912" s="5" t="s">
        <v>12</v>
      </c>
      <c r="H2912" s="5" t="s">
        <v>16</v>
      </c>
      <c r="I2912" s="5">
        <v>16</v>
      </c>
      <c r="J2912" s="9" t="s">
        <v>17</v>
      </c>
      <c r="K2912" s="1" t="s">
        <v>3204</v>
      </c>
      <c r="L2912" t="s">
        <v>3284</v>
      </c>
      <c r="M2912" t="str">
        <f>+VLOOKUP(C2912,'[1]TIENDAS 2025'!$A$1:$C$143,3,0)</f>
        <v>departamental</v>
      </c>
      <c r="O2912">
        <v>1</v>
      </c>
    </row>
    <row r="2913" spans="1:15" ht="15" customHeight="1" x14ac:dyDescent="0.3">
      <c r="A2913" s="7">
        <v>8209673346</v>
      </c>
      <c r="B2913" s="4" t="s">
        <v>150</v>
      </c>
      <c r="C2913" s="4" t="s">
        <v>151</v>
      </c>
      <c r="D2913" s="6">
        <v>46309.510844907403</v>
      </c>
      <c r="E2913" s="6">
        <v>46309.260810185202</v>
      </c>
      <c r="F2913" s="6">
        <v>46309</v>
      </c>
      <c r="G2913" s="5" t="s">
        <v>12</v>
      </c>
      <c r="H2913" s="5" t="s">
        <v>27</v>
      </c>
      <c r="I2913" s="5">
        <v>6</v>
      </c>
      <c r="J2913" s="10" t="s">
        <v>17</v>
      </c>
      <c r="K2913" s="1" t="s">
        <v>3205</v>
      </c>
      <c r="M2913" t="str">
        <f>+VLOOKUP(C2913,'[1]TIENDAS 2025'!$A$1:$C$143,3,0)</f>
        <v>local</v>
      </c>
      <c r="O2913">
        <v>1</v>
      </c>
    </row>
    <row r="2914" spans="1:15" ht="15" customHeight="1" x14ac:dyDescent="0.3">
      <c r="A2914" s="7">
        <v>1209673374</v>
      </c>
      <c r="B2914" s="4" t="s">
        <v>277</v>
      </c>
      <c r="C2914" s="4" t="s">
        <v>278</v>
      </c>
      <c r="D2914" s="6">
        <v>46309.5108680556</v>
      </c>
      <c r="E2914" s="6">
        <v>46309.260833333297</v>
      </c>
      <c r="F2914" s="6">
        <v>46309</v>
      </c>
      <c r="G2914" s="5" t="s">
        <v>12</v>
      </c>
      <c r="H2914" s="5" t="s">
        <v>16</v>
      </c>
      <c r="I2914" s="5">
        <v>16</v>
      </c>
      <c r="J2914" s="9" t="s">
        <v>17</v>
      </c>
      <c r="K2914" s="1" t="s">
        <v>3206</v>
      </c>
      <c r="L2914" t="s">
        <v>3284</v>
      </c>
      <c r="M2914" t="str">
        <f>+VLOOKUP(C2914,'[1]TIENDAS 2025'!$A$1:$C$143,3,0)</f>
        <v>local</v>
      </c>
      <c r="O2914">
        <v>1</v>
      </c>
    </row>
    <row r="2915" spans="1:15" ht="15" customHeight="1" x14ac:dyDescent="0.3">
      <c r="A2915" s="7">
        <v>1209673376</v>
      </c>
      <c r="B2915" s="4" t="s">
        <v>277</v>
      </c>
      <c r="C2915" s="4" t="s">
        <v>278</v>
      </c>
      <c r="D2915" s="6">
        <v>46309.510879629597</v>
      </c>
      <c r="E2915" s="6">
        <v>46309.260844907403</v>
      </c>
      <c r="F2915" s="6">
        <v>46309</v>
      </c>
      <c r="G2915" s="5" t="s">
        <v>12</v>
      </c>
      <c r="H2915" s="5" t="s">
        <v>29</v>
      </c>
      <c r="I2915" s="5">
        <v>23</v>
      </c>
      <c r="J2915" s="9" t="s">
        <v>17</v>
      </c>
      <c r="K2915" s="1" t="s">
        <v>3207</v>
      </c>
      <c r="L2915" t="s">
        <v>3284</v>
      </c>
      <c r="M2915" t="str">
        <f>+VLOOKUP(C2915,'[1]TIENDAS 2025'!$A$1:$C$143,3,0)</f>
        <v>local</v>
      </c>
      <c r="O2915">
        <v>1</v>
      </c>
    </row>
    <row r="2916" spans="1:15" ht="15" customHeight="1" x14ac:dyDescent="0.3">
      <c r="A2916" s="7">
        <v>1209673354</v>
      </c>
      <c r="B2916" s="4" t="s">
        <v>150</v>
      </c>
      <c r="C2916" s="4" t="s">
        <v>151</v>
      </c>
      <c r="D2916" s="6">
        <v>46309.510891203703</v>
      </c>
      <c r="E2916" s="6">
        <v>46309.260856481502</v>
      </c>
      <c r="F2916" s="6">
        <v>46309</v>
      </c>
      <c r="G2916" s="5" t="s">
        <v>12</v>
      </c>
      <c r="H2916" s="5" t="s">
        <v>16</v>
      </c>
      <c r="I2916" s="5">
        <v>19</v>
      </c>
      <c r="J2916" s="9" t="s">
        <v>17</v>
      </c>
      <c r="K2916" s="1" t="s">
        <v>3208</v>
      </c>
      <c r="L2916" t="s">
        <v>3284</v>
      </c>
      <c r="M2916" t="str">
        <f>+VLOOKUP(C2916,'[1]TIENDAS 2025'!$A$1:$C$143,3,0)</f>
        <v>local</v>
      </c>
      <c r="O2916">
        <v>1</v>
      </c>
    </row>
    <row r="2917" spans="1:15" ht="15" customHeight="1" x14ac:dyDescent="0.3">
      <c r="A2917" s="7">
        <v>1209673333</v>
      </c>
      <c r="B2917" s="4" t="s">
        <v>409</v>
      </c>
      <c r="C2917" s="4" t="s">
        <v>410</v>
      </c>
      <c r="D2917" s="6">
        <v>46309.510902777802</v>
      </c>
      <c r="E2917" s="6">
        <v>46309.260879629597</v>
      </c>
      <c r="F2917" s="6">
        <v>46309</v>
      </c>
      <c r="G2917" s="5" t="s">
        <v>12</v>
      </c>
      <c r="H2917" s="5" t="s">
        <v>16</v>
      </c>
      <c r="I2917" s="5">
        <v>12</v>
      </c>
      <c r="J2917" s="9" t="s">
        <v>17</v>
      </c>
      <c r="K2917" s="1" t="s">
        <v>3209</v>
      </c>
      <c r="L2917" t="s">
        <v>3284</v>
      </c>
      <c r="M2917" t="str">
        <f>+VLOOKUP(C2917,'[1]TIENDAS 2025'!$A$1:$C$143,3,0)</f>
        <v>departamental</v>
      </c>
      <c r="O2917">
        <v>1</v>
      </c>
    </row>
    <row r="2918" spans="1:15" ht="15" customHeight="1" x14ac:dyDescent="0.3">
      <c r="A2918" s="7">
        <v>8209673379</v>
      </c>
      <c r="B2918" s="4" t="s">
        <v>485</v>
      </c>
      <c r="C2918" s="4" t="s">
        <v>486</v>
      </c>
      <c r="D2918" s="6">
        <v>46309.510925925897</v>
      </c>
      <c r="E2918" s="6">
        <v>46309.260891203703</v>
      </c>
      <c r="F2918" s="6">
        <v>46309</v>
      </c>
      <c r="G2918" s="5" t="s">
        <v>12</v>
      </c>
      <c r="H2918" s="5" t="s">
        <v>27</v>
      </c>
      <c r="I2918" s="5">
        <v>6</v>
      </c>
      <c r="J2918" s="10" t="s">
        <v>17</v>
      </c>
      <c r="K2918" s="1" t="s">
        <v>3210</v>
      </c>
      <c r="M2918" t="str">
        <f>+VLOOKUP(C2918,'[1]TIENDAS 2025'!$A$1:$C$143,3,0)</f>
        <v>departamental</v>
      </c>
      <c r="O2918">
        <v>1</v>
      </c>
    </row>
    <row r="2919" spans="1:15" ht="15" customHeight="1" x14ac:dyDescent="0.3">
      <c r="A2919" s="7">
        <v>1209673384</v>
      </c>
      <c r="B2919" s="4" t="s">
        <v>485</v>
      </c>
      <c r="C2919" s="4" t="s">
        <v>486</v>
      </c>
      <c r="D2919" s="6">
        <v>46309.510949074102</v>
      </c>
      <c r="E2919" s="6">
        <v>46309.260925925897</v>
      </c>
      <c r="F2919" s="6">
        <v>46309</v>
      </c>
      <c r="G2919" s="5" t="s">
        <v>12</v>
      </c>
      <c r="H2919" s="5" t="s">
        <v>16</v>
      </c>
      <c r="I2919" s="5">
        <v>5</v>
      </c>
      <c r="J2919" s="9" t="s">
        <v>17</v>
      </c>
      <c r="K2919" s="1" t="s">
        <v>3211</v>
      </c>
      <c r="L2919" t="s">
        <v>3284</v>
      </c>
      <c r="M2919" t="str">
        <f>+VLOOKUP(C2919,'[1]TIENDAS 2025'!$A$1:$C$143,3,0)</f>
        <v>departamental</v>
      </c>
      <c r="O2919">
        <v>1</v>
      </c>
    </row>
    <row r="2920" spans="1:15" ht="15" customHeight="1" x14ac:dyDescent="0.3">
      <c r="A2920" s="7">
        <v>8209673367</v>
      </c>
      <c r="B2920" s="4" t="s">
        <v>277</v>
      </c>
      <c r="C2920" s="4" t="s">
        <v>278</v>
      </c>
      <c r="D2920" s="6">
        <v>46309.510983796303</v>
      </c>
      <c r="E2920" s="6">
        <v>46309.260949074102</v>
      </c>
      <c r="F2920" s="6">
        <v>46309</v>
      </c>
      <c r="G2920" s="5" t="s">
        <v>12</v>
      </c>
      <c r="H2920" s="5" t="s">
        <v>27</v>
      </c>
      <c r="I2920" s="5">
        <v>3</v>
      </c>
      <c r="J2920" s="10" t="s">
        <v>17</v>
      </c>
      <c r="K2920" s="1" t="s">
        <v>3212</v>
      </c>
      <c r="M2920" t="str">
        <f>+VLOOKUP(C2920,'[1]TIENDAS 2025'!$A$1:$C$143,3,0)</f>
        <v>local</v>
      </c>
      <c r="O2920">
        <v>1</v>
      </c>
    </row>
    <row r="2921" spans="1:15" ht="15" customHeight="1" x14ac:dyDescent="0.3">
      <c r="A2921" s="7">
        <v>8209673368</v>
      </c>
      <c r="B2921" s="4" t="s">
        <v>277</v>
      </c>
      <c r="C2921" s="4" t="s">
        <v>278</v>
      </c>
      <c r="D2921" s="6">
        <v>46309.510995370401</v>
      </c>
      <c r="E2921" s="6">
        <v>46309.260972222197</v>
      </c>
      <c r="F2921" s="6">
        <v>46309</v>
      </c>
      <c r="G2921" s="5" t="s">
        <v>12</v>
      </c>
      <c r="H2921" s="5" t="s">
        <v>27</v>
      </c>
      <c r="I2921" s="5">
        <v>4</v>
      </c>
      <c r="J2921" s="10" t="s">
        <v>17</v>
      </c>
      <c r="K2921" s="1" t="s">
        <v>3213</v>
      </c>
      <c r="M2921" t="str">
        <f>+VLOOKUP(C2921,'[1]TIENDAS 2025'!$A$1:$C$143,3,0)</f>
        <v>local</v>
      </c>
      <c r="O2921">
        <v>1</v>
      </c>
    </row>
    <row r="2922" spans="1:15" ht="15" customHeight="1" x14ac:dyDescent="0.3">
      <c r="A2922" s="7">
        <v>1209673348</v>
      </c>
      <c r="B2922" s="4" t="s">
        <v>150</v>
      </c>
      <c r="C2922" s="4" t="s">
        <v>151</v>
      </c>
      <c r="D2922" s="6">
        <v>46309.511018518497</v>
      </c>
      <c r="E2922" s="6">
        <v>46309.260983796303</v>
      </c>
      <c r="F2922" s="6">
        <v>46309</v>
      </c>
      <c r="G2922" s="5" t="s">
        <v>12</v>
      </c>
      <c r="H2922" s="5" t="s">
        <v>16</v>
      </c>
      <c r="I2922" s="5">
        <v>1</v>
      </c>
      <c r="J2922" s="9" t="s">
        <v>17</v>
      </c>
      <c r="K2922" s="1" t="s">
        <v>3214</v>
      </c>
      <c r="L2922" t="s">
        <v>3284</v>
      </c>
      <c r="M2922" t="str">
        <f>+VLOOKUP(C2922,'[1]TIENDAS 2025'!$A$1:$C$143,3,0)</f>
        <v>local</v>
      </c>
      <c r="O2922">
        <v>1</v>
      </c>
    </row>
    <row r="2923" spans="1:15" ht="15" customHeight="1" x14ac:dyDescent="0.3">
      <c r="A2923" s="7">
        <v>8209673325</v>
      </c>
      <c r="B2923" s="4" t="s">
        <v>409</v>
      </c>
      <c r="C2923" s="4" t="s">
        <v>410</v>
      </c>
      <c r="D2923" s="6">
        <v>46309.511030092603</v>
      </c>
      <c r="E2923" s="6">
        <v>46309.260995370401</v>
      </c>
      <c r="F2923" s="6">
        <v>46309</v>
      </c>
      <c r="G2923" s="5" t="s">
        <v>12</v>
      </c>
      <c r="H2923" s="5" t="s">
        <v>27</v>
      </c>
      <c r="I2923" s="5">
        <v>1</v>
      </c>
      <c r="J2923" s="10" t="s">
        <v>17</v>
      </c>
      <c r="K2923" s="1" t="s">
        <v>3215</v>
      </c>
      <c r="M2923" t="str">
        <f>+VLOOKUP(C2923,'[1]TIENDAS 2025'!$A$1:$C$143,3,0)</f>
        <v>departamental</v>
      </c>
      <c r="O2923">
        <v>1</v>
      </c>
    </row>
    <row r="2924" spans="1:15" ht="15" customHeight="1" x14ac:dyDescent="0.3">
      <c r="A2924" s="7">
        <v>8209673400</v>
      </c>
      <c r="B2924" s="4" t="s">
        <v>14</v>
      </c>
      <c r="C2924" s="4" t="s">
        <v>15</v>
      </c>
      <c r="D2924" s="6">
        <v>46309.511041666701</v>
      </c>
      <c r="E2924" s="6">
        <v>46309.261018518497</v>
      </c>
      <c r="F2924" s="6">
        <v>46309</v>
      </c>
      <c r="G2924" s="5" t="s">
        <v>12</v>
      </c>
      <c r="H2924" s="5" t="s">
        <v>27</v>
      </c>
      <c r="I2924" s="5">
        <v>3</v>
      </c>
      <c r="J2924" s="10" t="s">
        <v>17</v>
      </c>
      <c r="K2924" s="1" t="s">
        <v>3216</v>
      </c>
      <c r="M2924" t="str">
        <f>+VLOOKUP(C2924,'[1]TIENDAS 2025'!$A$1:$C$143,3,0)</f>
        <v>departamental</v>
      </c>
      <c r="O2924">
        <v>1</v>
      </c>
    </row>
    <row r="2925" spans="1:15" ht="15" customHeight="1" x14ac:dyDescent="0.3">
      <c r="A2925" s="7">
        <v>1209673406</v>
      </c>
      <c r="B2925" s="4" t="s">
        <v>14</v>
      </c>
      <c r="C2925" s="4" t="s">
        <v>15</v>
      </c>
      <c r="D2925" s="6">
        <v>46309.511064814797</v>
      </c>
      <c r="E2925" s="6">
        <v>46309.261030092603</v>
      </c>
      <c r="F2925" s="6">
        <v>46309</v>
      </c>
      <c r="G2925" s="5" t="s">
        <v>12</v>
      </c>
      <c r="H2925" s="5" t="s">
        <v>16</v>
      </c>
      <c r="I2925" s="5">
        <v>15</v>
      </c>
      <c r="J2925" s="9" t="s">
        <v>17</v>
      </c>
      <c r="K2925" s="1" t="s">
        <v>3217</v>
      </c>
      <c r="L2925" t="s">
        <v>3284</v>
      </c>
      <c r="M2925" t="str">
        <f>+VLOOKUP(C2925,'[1]TIENDAS 2025'!$A$1:$C$143,3,0)</f>
        <v>departamental</v>
      </c>
      <c r="O2925">
        <v>1</v>
      </c>
    </row>
    <row r="2926" spans="1:15" ht="15" customHeight="1" x14ac:dyDescent="0.3">
      <c r="A2926" s="7">
        <v>1209673476</v>
      </c>
      <c r="B2926" s="4" t="s">
        <v>178</v>
      </c>
      <c r="C2926" s="4" t="s">
        <v>179</v>
      </c>
      <c r="D2926" s="6">
        <v>46309.5133333333</v>
      </c>
      <c r="E2926" s="6">
        <v>46309.263298611098</v>
      </c>
      <c r="F2926" s="6">
        <v>46309</v>
      </c>
      <c r="G2926" s="5" t="s">
        <v>12</v>
      </c>
      <c r="H2926" s="5" t="s">
        <v>16</v>
      </c>
      <c r="I2926" s="5">
        <v>11</v>
      </c>
      <c r="J2926" s="9" t="s">
        <v>17</v>
      </c>
      <c r="K2926" s="1" t="s">
        <v>3218</v>
      </c>
      <c r="L2926" t="s">
        <v>3284</v>
      </c>
      <c r="M2926" t="str">
        <f>+VLOOKUP(C2926,'[1]TIENDAS 2025'!$A$1:$C$143,3,0)</f>
        <v>local</v>
      </c>
      <c r="O2926">
        <v>1</v>
      </c>
    </row>
    <row r="2927" spans="1:15" ht="15" customHeight="1" x14ac:dyDescent="0.3">
      <c r="A2927" s="7">
        <v>8209673444</v>
      </c>
      <c r="B2927" s="4" t="s">
        <v>472</v>
      </c>
      <c r="C2927" s="4" t="s">
        <v>473</v>
      </c>
      <c r="D2927" s="6">
        <v>46309.513344907398</v>
      </c>
      <c r="E2927" s="6">
        <v>46309.263321759303</v>
      </c>
      <c r="F2927" s="6">
        <v>46309</v>
      </c>
      <c r="G2927" s="5" t="s">
        <v>12</v>
      </c>
      <c r="H2927" s="5" t="s">
        <v>27</v>
      </c>
      <c r="I2927" s="5">
        <v>15</v>
      </c>
      <c r="J2927" s="10" t="s">
        <v>17</v>
      </c>
      <c r="K2927" s="1" t="s">
        <v>3219</v>
      </c>
      <c r="M2927" t="str">
        <f>+VLOOKUP(C2927,'[1]TIENDAS 2025'!$A$1:$C$143,3,0)</f>
        <v>departamental</v>
      </c>
      <c r="O2927">
        <v>1</v>
      </c>
    </row>
    <row r="2928" spans="1:15" ht="15" customHeight="1" x14ac:dyDescent="0.3">
      <c r="A2928" s="7">
        <v>1209673433</v>
      </c>
      <c r="B2928" s="4" t="s">
        <v>220</v>
      </c>
      <c r="C2928" s="4" t="s">
        <v>221</v>
      </c>
      <c r="D2928" s="6">
        <v>46309.513356481497</v>
      </c>
      <c r="E2928" s="6">
        <v>46309.2633333333</v>
      </c>
      <c r="F2928" s="6">
        <v>46309</v>
      </c>
      <c r="G2928" s="5" t="s">
        <v>12</v>
      </c>
      <c r="H2928" s="5" t="s">
        <v>27</v>
      </c>
      <c r="I2928" s="5">
        <v>59</v>
      </c>
      <c r="J2928" s="9" t="s">
        <v>17</v>
      </c>
      <c r="K2928" s="1" t="s">
        <v>3220</v>
      </c>
      <c r="L2928" t="s">
        <v>3284</v>
      </c>
      <c r="M2928" t="str">
        <f>+VLOOKUP(C2928,'[1]TIENDAS 2025'!$A$1:$C$143,3,0)</f>
        <v>departamental</v>
      </c>
      <c r="O2928">
        <v>1</v>
      </c>
    </row>
    <row r="2929" spans="1:15" ht="15" customHeight="1" x14ac:dyDescent="0.3">
      <c r="A2929" s="7">
        <v>1209673434</v>
      </c>
      <c r="B2929" s="4" t="s">
        <v>220</v>
      </c>
      <c r="C2929" s="4" t="s">
        <v>221</v>
      </c>
      <c r="D2929" s="6">
        <v>46309.5133796296</v>
      </c>
      <c r="E2929" s="6">
        <v>46309.263344907398</v>
      </c>
      <c r="F2929" s="6">
        <v>46309</v>
      </c>
      <c r="G2929" s="5" t="s">
        <v>12</v>
      </c>
      <c r="H2929" s="5" t="s">
        <v>16</v>
      </c>
      <c r="I2929" s="5">
        <v>5</v>
      </c>
      <c r="J2929" s="9" t="s">
        <v>17</v>
      </c>
      <c r="K2929" s="1" t="s">
        <v>3221</v>
      </c>
      <c r="L2929" t="s">
        <v>3284</v>
      </c>
      <c r="M2929" t="str">
        <f>+VLOOKUP(C2929,'[1]TIENDAS 2025'!$A$1:$C$143,3,0)</f>
        <v>departamental</v>
      </c>
      <c r="O2929">
        <v>1</v>
      </c>
    </row>
    <row r="2930" spans="1:15" ht="15" customHeight="1" x14ac:dyDescent="0.3">
      <c r="A2930" s="7">
        <v>8209673424</v>
      </c>
      <c r="B2930" s="4" t="s">
        <v>220</v>
      </c>
      <c r="C2930" s="4" t="s">
        <v>221</v>
      </c>
      <c r="D2930" s="6">
        <v>46309.513391203698</v>
      </c>
      <c r="E2930" s="6">
        <v>46309.263356481497</v>
      </c>
      <c r="F2930" s="6">
        <v>46309</v>
      </c>
      <c r="G2930" s="5" t="s">
        <v>12</v>
      </c>
      <c r="H2930" s="5" t="s">
        <v>27</v>
      </c>
      <c r="I2930" s="5">
        <v>2</v>
      </c>
      <c r="J2930" s="10" t="s">
        <v>17</v>
      </c>
      <c r="K2930" s="1" t="s">
        <v>3222</v>
      </c>
      <c r="M2930" t="str">
        <f>+VLOOKUP(C2930,'[1]TIENDAS 2025'!$A$1:$C$143,3,0)</f>
        <v>departamental</v>
      </c>
      <c r="O2930">
        <v>1</v>
      </c>
    </row>
    <row r="2931" spans="1:15" ht="15" customHeight="1" x14ac:dyDescent="0.3">
      <c r="A2931" s="7">
        <v>1209673450</v>
      </c>
      <c r="B2931" s="4" t="s">
        <v>472</v>
      </c>
      <c r="C2931" s="4" t="s">
        <v>473</v>
      </c>
      <c r="D2931" s="6">
        <v>46309.513402777797</v>
      </c>
      <c r="E2931" s="6">
        <v>46309.2633796296</v>
      </c>
      <c r="F2931" s="6">
        <v>46309</v>
      </c>
      <c r="G2931" s="5" t="s">
        <v>12</v>
      </c>
      <c r="H2931" s="5" t="s">
        <v>16</v>
      </c>
      <c r="I2931" s="5">
        <v>5</v>
      </c>
      <c r="J2931" s="9" t="s">
        <v>17</v>
      </c>
      <c r="K2931" s="1" t="s">
        <v>3223</v>
      </c>
      <c r="L2931" t="s">
        <v>3284</v>
      </c>
      <c r="M2931" t="str">
        <f>+VLOOKUP(C2931,'[1]TIENDAS 2025'!$A$1:$C$143,3,0)</f>
        <v>departamental</v>
      </c>
      <c r="O2931">
        <v>1</v>
      </c>
    </row>
    <row r="2932" spans="1:15" ht="15" customHeight="1" x14ac:dyDescent="0.3">
      <c r="A2932" s="7">
        <v>1209673462</v>
      </c>
      <c r="B2932" s="4" t="s">
        <v>491</v>
      </c>
      <c r="C2932" s="4" t="s">
        <v>492</v>
      </c>
      <c r="D2932" s="6">
        <v>46309.513425925899</v>
      </c>
      <c r="E2932" s="6">
        <v>46309.263391203698</v>
      </c>
      <c r="F2932" s="6">
        <v>46309</v>
      </c>
      <c r="G2932" s="5" t="s">
        <v>12</v>
      </c>
      <c r="H2932" s="5" t="s">
        <v>16</v>
      </c>
      <c r="I2932" s="5">
        <v>4</v>
      </c>
      <c r="J2932" s="9" t="s">
        <v>17</v>
      </c>
      <c r="K2932" s="1" t="s">
        <v>3224</v>
      </c>
      <c r="L2932" t="s">
        <v>3284</v>
      </c>
      <c r="M2932" t="str">
        <f>+VLOOKUP(C2932,'[1]TIENDAS 2025'!$A$1:$C$143,3,0)</f>
        <v>departamental</v>
      </c>
      <c r="O2932">
        <v>1</v>
      </c>
    </row>
    <row r="2933" spans="1:15" ht="15" customHeight="1" x14ac:dyDescent="0.3">
      <c r="A2933" s="7">
        <v>1209673464</v>
      </c>
      <c r="B2933" s="4" t="s">
        <v>491</v>
      </c>
      <c r="C2933" s="4" t="s">
        <v>492</v>
      </c>
      <c r="D2933" s="6">
        <v>46309.513437499998</v>
      </c>
      <c r="E2933" s="6">
        <v>46309.263402777797</v>
      </c>
      <c r="F2933" s="6">
        <v>46309</v>
      </c>
      <c r="G2933" s="5" t="s">
        <v>12</v>
      </c>
      <c r="H2933" s="5" t="s">
        <v>16</v>
      </c>
      <c r="I2933" s="5">
        <v>2</v>
      </c>
      <c r="J2933" s="9" t="s">
        <v>17</v>
      </c>
      <c r="K2933" s="1" t="s">
        <v>3225</v>
      </c>
      <c r="L2933" t="s">
        <v>3284</v>
      </c>
      <c r="M2933" t="str">
        <f>+VLOOKUP(C2933,'[1]TIENDAS 2025'!$A$1:$C$143,3,0)</f>
        <v>departamental</v>
      </c>
      <c r="O2933">
        <v>1</v>
      </c>
    </row>
    <row r="2934" spans="1:15" ht="15" customHeight="1" x14ac:dyDescent="0.3">
      <c r="A2934" s="7">
        <v>1209673479</v>
      </c>
      <c r="B2934" s="4" t="s">
        <v>178</v>
      </c>
      <c r="C2934" s="4" t="s">
        <v>179</v>
      </c>
      <c r="D2934" s="6">
        <v>46309.513472222199</v>
      </c>
      <c r="E2934" s="6">
        <v>46309.263449074097</v>
      </c>
      <c r="F2934" s="6">
        <v>46309</v>
      </c>
      <c r="G2934" s="5" t="s">
        <v>12</v>
      </c>
      <c r="H2934" s="5" t="s">
        <v>16</v>
      </c>
      <c r="I2934" s="5">
        <v>45</v>
      </c>
      <c r="J2934" s="9" t="s">
        <v>17</v>
      </c>
      <c r="K2934" s="1" t="s">
        <v>3226</v>
      </c>
      <c r="L2934" t="s">
        <v>3284</v>
      </c>
      <c r="M2934" t="str">
        <f>+VLOOKUP(C2934,'[1]TIENDAS 2025'!$A$1:$C$143,3,0)</f>
        <v>local</v>
      </c>
      <c r="O2934">
        <v>1</v>
      </c>
    </row>
    <row r="2935" spans="1:15" ht="15" customHeight="1" x14ac:dyDescent="0.3">
      <c r="A2935" s="7">
        <v>1209673447</v>
      </c>
      <c r="B2935" s="4" t="s">
        <v>472</v>
      </c>
      <c r="C2935" s="4" t="s">
        <v>473</v>
      </c>
      <c r="D2935" s="6">
        <v>46309.513495370396</v>
      </c>
      <c r="E2935" s="6">
        <v>46309.263460648202</v>
      </c>
      <c r="F2935" s="6">
        <v>46309</v>
      </c>
      <c r="G2935" s="5" t="s">
        <v>12</v>
      </c>
      <c r="H2935" s="5" t="s">
        <v>16</v>
      </c>
      <c r="I2935" s="5">
        <v>9</v>
      </c>
      <c r="J2935" s="9" t="s">
        <v>17</v>
      </c>
      <c r="K2935" s="1" t="s">
        <v>3227</v>
      </c>
      <c r="L2935" t="s">
        <v>3284</v>
      </c>
      <c r="M2935" t="str">
        <f>+VLOOKUP(C2935,'[1]TIENDAS 2025'!$A$1:$C$143,3,0)</f>
        <v>departamental</v>
      </c>
      <c r="O2935">
        <v>1</v>
      </c>
    </row>
    <row r="2936" spans="1:15" ht="15" customHeight="1" x14ac:dyDescent="0.3">
      <c r="A2936" s="7">
        <v>1209673474</v>
      </c>
      <c r="B2936" s="4" t="s">
        <v>178</v>
      </c>
      <c r="C2936" s="4" t="s">
        <v>179</v>
      </c>
      <c r="D2936" s="6">
        <v>46309.5135069444</v>
      </c>
      <c r="E2936" s="6">
        <v>46309.263472222199</v>
      </c>
      <c r="F2936" s="6">
        <v>46309</v>
      </c>
      <c r="G2936" s="5" t="s">
        <v>12</v>
      </c>
      <c r="H2936" s="5" t="s">
        <v>16</v>
      </c>
      <c r="I2936" s="5">
        <v>5</v>
      </c>
      <c r="J2936" s="9" t="s">
        <v>17</v>
      </c>
      <c r="K2936" s="1" t="s">
        <v>3228</v>
      </c>
      <c r="L2936" t="s">
        <v>3284</v>
      </c>
      <c r="M2936" t="str">
        <f>+VLOOKUP(C2936,'[1]TIENDAS 2025'!$A$1:$C$143,3,0)</f>
        <v>local</v>
      </c>
      <c r="O2936">
        <v>1</v>
      </c>
    </row>
    <row r="2937" spans="1:15" ht="15" customHeight="1" x14ac:dyDescent="0.3">
      <c r="A2937" s="7">
        <v>1209673428</v>
      </c>
      <c r="B2937" s="4" t="s">
        <v>220</v>
      </c>
      <c r="C2937" s="4" t="s">
        <v>221</v>
      </c>
      <c r="D2937" s="6">
        <v>46309.513530092598</v>
      </c>
      <c r="E2937" s="6">
        <v>46309.263495370396</v>
      </c>
      <c r="F2937" s="6">
        <v>46309</v>
      </c>
      <c r="G2937" s="5" t="s">
        <v>12</v>
      </c>
      <c r="H2937" s="5" t="s">
        <v>16</v>
      </c>
      <c r="I2937" s="5">
        <v>4</v>
      </c>
      <c r="J2937" s="9" t="s">
        <v>17</v>
      </c>
      <c r="K2937" s="1" t="s">
        <v>3229</v>
      </c>
      <c r="L2937" t="s">
        <v>3284</v>
      </c>
      <c r="M2937" t="str">
        <f>+VLOOKUP(C2937,'[1]TIENDAS 2025'!$A$1:$C$143,3,0)</f>
        <v>departamental</v>
      </c>
      <c r="O2937">
        <v>1</v>
      </c>
    </row>
    <row r="2938" spans="1:15" ht="15" customHeight="1" x14ac:dyDescent="0.3">
      <c r="A2938" s="7">
        <v>1209673487</v>
      </c>
      <c r="B2938" s="4" t="s">
        <v>361</v>
      </c>
      <c r="C2938" s="4" t="s">
        <v>362</v>
      </c>
      <c r="D2938" s="6">
        <v>46309.513541666704</v>
      </c>
      <c r="E2938" s="6">
        <v>46309.2635069444</v>
      </c>
      <c r="F2938" s="6">
        <v>46309</v>
      </c>
      <c r="G2938" s="5" t="s">
        <v>12</v>
      </c>
      <c r="H2938" s="5" t="s">
        <v>29</v>
      </c>
      <c r="I2938" s="5">
        <v>12</v>
      </c>
      <c r="J2938" s="9" t="s">
        <v>17</v>
      </c>
      <c r="K2938" s="1" t="s">
        <v>3230</v>
      </c>
      <c r="L2938" t="s">
        <v>3284</v>
      </c>
      <c r="M2938" t="str">
        <f>+VLOOKUP(C2938,'[1]TIENDAS 2025'!$A$1:$C$143,3,0)</f>
        <v>departamental</v>
      </c>
      <c r="O2938">
        <v>1</v>
      </c>
    </row>
    <row r="2939" spans="1:15" ht="15" customHeight="1" x14ac:dyDescent="0.3">
      <c r="A2939" s="7">
        <v>1209673445</v>
      </c>
      <c r="B2939" s="4" t="s">
        <v>472</v>
      </c>
      <c r="C2939" s="4" t="s">
        <v>473</v>
      </c>
      <c r="D2939" s="6">
        <v>46309.5135532407</v>
      </c>
      <c r="E2939" s="6">
        <v>46309.263518518499</v>
      </c>
      <c r="F2939" s="6">
        <v>46309</v>
      </c>
      <c r="G2939" s="5" t="s">
        <v>12</v>
      </c>
      <c r="H2939" s="5" t="s">
        <v>16</v>
      </c>
      <c r="I2939" s="5">
        <v>1</v>
      </c>
      <c r="J2939" s="9" t="s">
        <v>17</v>
      </c>
      <c r="K2939" s="1" t="s">
        <v>3231</v>
      </c>
      <c r="L2939" t="s">
        <v>3284</v>
      </c>
      <c r="M2939" t="str">
        <f>+VLOOKUP(C2939,'[1]TIENDAS 2025'!$A$1:$C$143,3,0)</f>
        <v>departamental</v>
      </c>
      <c r="O2939">
        <v>1</v>
      </c>
    </row>
    <row r="2940" spans="1:15" ht="15" customHeight="1" x14ac:dyDescent="0.3">
      <c r="A2940" s="7">
        <v>1209673429</v>
      </c>
      <c r="B2940" s="4" t="s">
        <v>220</v>
      </c>
      <c r="C2940" s="4" t="s">
        <v>221</v>
      </c>
      <c r="D2940" s="6">
        <v>46309.513564814799</v>
      </c>
      <c r="E2940" s="6">
        <v>46309.263541666704</v>
      </c>
      <c r="F2940" s="6">
        <v>46309</v>
      </c>
      <c r="G2940" s="5" t="s">
        <v>12</v>
      </c>
      <c r="H2940" s="5" t="s">
        <v>16</v>
      </c>
      <c r="I2940" s="5">
        <v>10</v>
      </c>
      <c r="J2940" s="9" t="s">
        <v>17</v>
      </c>
      <c r="K2940" s="1" t="s">
        <v>3232</v>
      </c>
      <c r="L2940" t="s">
        <v>3284</v>
      </c>
      <c r="M2940" t="str">
        <f>+VLOOKUP(C2940,'[1]TIENDAS 2025'!$A$1:$C$143,3,0)</f>
        <v>departamental</v>
      </c>
      <c r="O2940">
        <v>1</v>
      </c>
    </row>
    <row r="2941" spans="1:15" ht="15" customHeight="1" x14ac:dyDescent="0.3">
      <c r="A2941" s="7">
        <v>1209673484</v>
      </c>
      <c r="B2941" s="4" t="s">
        <v>361</v>
      </c>
      <c r="C2941" s="4" t="s">
        <v>362</v>
      </c>
      <c r="D2941" s="6">
        <v>46309.513587963003</v>
      </c>
      <c r="E2941" s="6">
        <v>46309.2635532407</v>
      </c>
      <c r="F2941" s="6">
        <v>46309</v>
      </c>
      <c r="G2941" s="5" t="s">
        <v>12</v>
      </c>
      <c r="H2941" s="5" t="s">
        <v>16</v>
      </c>
      <c r="I2941" s="5">
        <v>5</v>
      </c>
      <c r="J2941" s="9" t="s">
        <v>17</v>
      </c>
      <c r="K2941" s="1" t="s">
        <v>3233</v>
      </c>
      <c r="L2941" t="s">
        <v>3284</v>
      </c>
      <c r="M2941" t="str">
        <f>+VLOOKUP(C2941,'[1]TIENDAS 2025'!$A$1:$C$143,3,0)</f>
        <v>departamental</v>
      </c>
      <c r="O2941">
        <v>1</v>
      </c>
    </row>
    <row r="2942" spans="1:15" ht="15" customHeight="1" x14ac:dyDescent="0.3">
      <c r="A2942" s="7">
        <v>1209673469</v>
      </c>
      <c r="B2942" s="4" t="s">
        <v>491</v>
      </c>
      <c r="C2942" s="4" t="s">
        <v>492</v>
      </c>
      <c r="D2942" s="6">
        <v>46309.513599537</v>
      </c>
      <c r="E2942" s="6">
        <v>46309.263564814799</v>
      </c>
      <c r="F2942" s="6">
        <v>46309</v>
      </c>
      <c r="G2942" s="5" t="s">
        <v>12</v>
      </c>
      <c r="H2942" s="5" t="s">
        <v>16</v>
      </c>
      <c r="I2942" s="5">
        <v>17</v>
      </c>
      <c r="J2942" s="9" t="s">
        <v>17</v>
      </c>
      <c r="K2942" s="1" t="s">
        <v>3234</v>
      </c>
      <c r="L2942" t="s">
        <v>3284</v>
      </c>
      <c r="M2942" t="str">
        <f>+VLOOKUP(C2942,'[1]TIENDAS 2025'!$A$1:$C$143,3,0)</f>
        <v>departamental</v>
      </c>
      <c r="O2942">
        <v>1</v>
      </c>
    </row>
    <row r="2943" spans="1:15" ht="15" customHeight="1" x14ac:dyDescent="0.3">
      <c r="A2943" s="7">
        <v>1209673478</v>
      </c>
      <c r="B2943" s="4" t="s">
        <v>178</v>
      </c>
      <c r="C2943" s="4" t="s">
        <v>179</v>
      </c>
      <c r="D2943" s="6">
        <v>46309.513611111099</v>
      </c>
      <c r="E2943" s="6">
        <v>46309.263587963003</v>
      </c>
      <c r="F2943" s="6">
        <v>46309</v>
      </c>
      <c r="G2943" s="5" t="s">
        <v>12</v>
      </c>
      <c r="H2943" s="5" t="s">
        <v>16</v>
      </c>
      <c r="I2943" s="5">
        <v>18</v>
      </c>
      <c r="J2943" s="9" t="s">
        <v>17</v>
      </c>
      <c r="K2943" s="1" t="s">
        <v>3235</v>
      </c>
      <c r="L2943" t="s">
        <v>3284</v>
      </c>
      <c r="M2943" t="str">
        <f>+VLOOKUP(C2943,'[1]TIENDAS 2025'!$A$1:$C$143,3,0)</f>
        <v>local</v>
      </c>
      <c r="O2943">
        <v>1</v>
      </c>
    </row>
    <row r="2944" spans="1:15" ht="15" customHeight="1" x14ac:dyDescent="0.3">
      <c r="A2944" s="7">
        <v>1209673472</v>
      </c>
      <c r="B2944" s="4" t="s">
        <v>178</v>
      </c>
      <c r="C2944" s="4" t="s">
        <v>179</v>
      </c>
      <c r="D2944" s="6">
        <v>46309.513622685197</v>
      </c>
      <c r="E2944" s="6">
        <v>46309.263599537</v>
      </c>
      <c r="F2944" s="6">
        <v>46309</v>
      </c>
      <c r="G2944" s="5" t="s">
        <v>12</v>
      </c>
      <c r="H2944" s="5" t="s">
        <v>16</v>
      </c>
      <c r="I2944" s="5">
        <v>4</v>
      </c>
      <c r="J2944" s="9" t="s">
        <v>17</v>
      </c>
      <c r="K2944" s="1" t="s">
        <v>3236</v>
      </c>
      <c r="L2944" t="s">
        <v>3284</v>
      </c>
      <c r="M2944" t="str">
        <f>+VLOOKUP(C2944,'[1]TIENDAS 2025'!$A$1:$C$143,3,0)</f>
        <v>local</v>
      </c>
      <c r="O2944">
        <v>1</v>
      </c>
    </row>
    <row r="2945" spans="1:15" ht="15" customHeight="1" x14ac:dyDescent="0.3">
      <c r="A2945" s="7">
        <v>8209673460</v>
      </c>
      <c r="B2945" s="4" t="s">
        <v>491</v>
      </c>
      <c r="C2945" s="4" t="s">
        <v>492</v>
      </c>
      <c r="D2945" s="6">
        <v>46309.5136458333</v>
      </c>
      <c r="E2945" s="6">
        <v>46309.263611111099</v>
      </c>
      <c r="F2945" s="6">
        <v>46309</v>
      </c>
      <c r="G2945" s="5" t="s">
        <v>12</v>
      </c>
      <c r="H2945" s="5" t="s">
        <v>27</v>
      </c>
      <c r="I2945" s="5">
        <v>3</v>
      </c>
      <c r="J2945" s="10" t="s">
        <v>17</v>
      </c>
      <c r="K2945" s="1" t="s">
        <v>3237</v>
      </c>
      <c r="M2945" t="str">
        <f>+VLOOKUP(C2945,'[1]TIENDAS 2025'!$A$1:$C$143,3,0)</f>
        <v>departamental</v>
      </c>
      <c r="O2945">
        <v>1</v>
      </c>
    </row>
    <row r="2946" spans="1:15" ht="15" customHeight="1" x14ac:dyDescent="0.3">
      <c r="A2946" s="7">
        <v>1209673481</v>
      </c>
      <c r="B2946" s="4" t="s">
        <v>361</v>
      </c>
      <c r="C2946" s="4" t="s">
        <v>362</v>
      </c>
      <c r="D2946" s="6">
        <v>46309.513657407399</v>
      </c>
      <c r="E2946" s="6">
        <v>46309.263622685197</v>
      </c>
      <c r="F2946" s="6">
        <v>46309</v>
      </c>
      <c r="G2946" s="5" t="s">
        <v>12</v>
      </c>
      <c r="H2946" s="5" t="s">
        <v>29</v>
      </c>
      <c r="I2946" s="5">
        <v>2</v>
      </c>
      <c r="J2946" s="9" t="s">
        <v>17</v>
      </c>
      <c r="K2946" s="1" t="s">
        <v>3238</v>
      </c>
      <c r="L2946" t="s">
        <v>3284</v>
      </c>
      <c r="M2946" t="str">
        <f>+VLOOKUP(C2946,'[1]TIENDAS 2025'!$A$1:$C$143,3,0)</f>
        <v>departamental</v>
      </c>
      <c r="O2946">
        <v>1</v>
      </c>
    </row>
    <row r="2947" spans="1:15" ht="15" customHeight="1" x14ac:dyDescent="0.3">
      <c r="A2947" s="7">
        <v>1209673437</v>
      </c>
      <c r="B2947" s="4" t="s">
        <v>220</v>
      </c>
      <c r="C2947" s="4" t="s">
        <v>221</v>
      </c>
      <c r="D2947" s="6">
        <v>46309.513680555603</v>
      </c>
      <c r="E2947" s="6">
        <v>46309.2636458333</v>
      </c>
      <c r="F2947" s="6">
        <v>46309</v>
      </c>
      <c r="G2947" s="5" t="s">
        <v>12</v>
      </c>
      <c r="H2947" s="5" t="s">
        <v>16</v>
      </c>
      <c r="I2947" s="5">
        <v>42</v>
      </c>
      <c r="J2947" s="9" t="s">
        <v>17</v>
      </c>
      <c r="K2947" s="1" t="s">
        <v>3239</v>
      </c>
      <c r="L2947" t="s">
        <v>3284</v>
      </c>
      <c r="M2947" t="str">
        <f>+VLOOKUP(C2947,'[1]TIENDAS 2025'!$A$1:$C$143,3,0)</f>
        <v>departamental</v>
      </c>
      <c r="O2947">
        <v>1</v>
      </c>
    </row>
    <row r="2948" spans="1:15" ht="15" customHeight="1" x14ac:dyDescent="0.3">
      <c r="A2948" s="7">
        <v>1209673451</v>
      </c>
      <c r="B2948" s="4" t="s">
        <v>472</v>
      </c>
      <c r="C2948" s="4" t="s">
        <v>473</v>
      </c>
      <c r="D2948" s="6">
        <v>46309.513680555603</v>
      </c>
      <c r="E2948" s="6">
        <v>46309.263657407399</v>
      </c>
      <c r="F2948" s="6">
        <v>46309</v>
      </c>
      <c r="G2948" s="5" t="s">
        <v>12</v>
      </c>
      <c r="H2948" s="5" t="s">
        <v>16</v>
      </c>
      <c r="I2948" s="5">
        <v>1</v>
      </c>
      <c r="J2948" s="9" t="s">
        <v>17</v>
      </c>
      <c r="K2948" s="1" t="s">
        <v>3240</v>
      </c>
      <c r="L2948" t="s">
        <v>3284</v>
      </c>
      <c r="M2948" t="str">
        <f>+VLOOKUP(C2948,'[1]TIENDAS 2025'!$A$1:$C$143,3,0)</f>
        <v>departamental</v>
      </c>
      <c r="O2948">
        <v>1</v>
      </c>
    </row>
    <row r="2949" spans="1:15" ht="15" customHeight="1" x14ac:dyDescent="0.3">
      <c r="A2949" s="7">
        <v>1209673461</v>
      </c>
      <c r="B2949" s="4" t="s">
        <v>491</v>
      </c>
      <c r="C2949" s="4" t="s">
        <v>492</v>
      </c>
      <c r="D2949" s="6">
        <v>46309.513703703698</v>
      </c>
      <c r="E2949" s="6">
        <v>46309.263668981497</v>
      </c>
      <c r="F2949" s="6">
        <v>46309</v>
      </c>
      <c r="G2949" s="5" t="s">
        <v>12</v>
      </c>
      <c r="H2949" s="5" t="s">
        <v>16</v>
      </c>
      <c r="I2949" s="5">
        <v>3</v>
      </c>
      <c r="J2949" s="9" t="s">
        <v>17</v>
      </c>
      <c r="K2949" s="1" t="s">
        <v>3241</v>
      </c>
      <c r="L2949" t="s">
        <v>3284</v>
      </c>
      <c r="M2949" t="str">
        <f>+VLOOKUP(C2949,'[1]TIENDAS 2025'!$A$1:$C$143,3,0)</f>
        <v>departamental</v>
      </c>
      <c r="O2949">
        <v>1</v>
      </c>
    </row>
    <row r="2950" spans="1:15" ht="15" customHeight="1" x14ac:dyDescent="0.3">
      <c r="A2950" s="7">
        <v>1209673463</v>
      </c>
      <c r="B2950" s="4" t="s">
        <v>491</v>
      </c>
      <c r="C2950" s="4" t="s">
        <v>492</v>
      </c>
      <c r="D2950" s="6">
        <v>46309.513715277797</v>
      </c>
      <c r="E2950" s="6">
        <v>46309.263680555603</v>
      </c>
      <c r="F2950" s="6">
        <v>46309</v>
      </c>
      <c r="G2950" s="5" t="s">
        <v>12</v>
      </c>
      <c r="H2950" s="5" t="s">
        <v>16</v>
      </c>
      <c r="I2950" s="5">
        <v>5</v>
      </c>
      <c r="J2950" s="9" t="s">
        <v>17</v>
      </c>
      <c r="K2950" s="1" t="s">
        <v>3242</v>
      </c>
      <c r="L2950" t="s">
        <v>3284</v>
      </c>
      <c r="M2950" t="str">
        <f>+VLOOKUP(C2950,'[1]TIENDAS 2025'!$A$1:$C$143,3,0)</f>
        <v>departamental</v>
      </c>
      <c r="O2950">
        <v>1</v>
      </c>
    </row>
    <row r="2951" spans="1:15" ht="15" customHeight="1" x14ac:dyDescent="0.3">
      <c r="A2951" s="7">
        <v>1209673475</v>
      </c>
      <c r="B2951" s="4" t="s">
        <v>178</v>
      </c>
      <c r="C2951" s="4" t="s">
        <v>179</v>
      </c>
      <c r="D2951" s="6">
        <v>46309.513726851903</v>
      </c>
      <c r="E2951" s="6">
        <v>46309.263703703698</v>
      </c>
      <c r="F2951" s="6">
        <v>46309</v>
      </c>
      <c r="G2951" s="5" t="s">
        <v>12</v>
      </c>
      <c r="H2951" s="5" t="s">
        <v>16</v>
      </c>
      <c r="I2951" s="5">
        <v>10</v>
      </c>
      <c r="J2951" s="9" t="s">
        <v>17</v>
      </c>
      <c r="K2951" s="1" t="s">
        <v>3243</v>
      </c>
      <c r="L2951" t="s">
        <v>3284</v>
      </c>
      <c r="M2951" t="str">
        <f>+VLOOKUP(C2951,'[1]TIENDAS 2025'!$A$1:$C$143,3,0)</f>
        <v>local</v>
      </c>
      <c r="O2951">
        <v>1</v>
      </c>
    </row>
    <row r="2952" spans="1:15" ht="15" customHeight="1" x14ac:dyDescent="0.3">
      <c r="A2952" s="7">
        <v>1209673477</v>
      </c>
      <c r="B2952" s="4" t="s">
        <v>178</v>
      </c>
      <c r="C2952" s="4" t="s">
        <v>179</v>
      </c>
      <c r="D2952" s="6">
        <v>46309.513749999998</v>
      </c>
      <c r="E2952" s="6">
        <v>46309.263726851903</v>
      </c>
      <c r="F2952" s="6">
        <v>46309</v>
      </c>
      <c r="G2952" s="5" t="s">
        <v>12</v>
      </c>
      <c r="H2952" s="5" t="s">
        <v>16</v>
      </c>
      <c r="I2952" s="5">
        <v>14</v>
      </c>
      <c r="J2952" s="9" t="s">
        <v>17</v>
      </c>
      <c r="K2952" s="1" t="s">
        <v>3244</v>
      </c>
      <c r="L2952" t="s">
        <v>3284</v>
      </c>
      <c r="M2952" t="str">
        <f>+VLOOKUP(C2952,'[1]TIENDAS 2025'!$A$1:$C$143,3,0)</f>
        <v>local</v>
      </c>
      <c r="O2952">
        <v>1</v>
      </c>
    </row>
    <row r="2953" spans="1:15" ht="15" customHeight="1" x14ac:dyDescent="0.3">
      <c r="A2953" s="7">
        <v>1209673489</v>
      </c>
      <c r="B2953" s="4" t="s">
        <v>361</v>
      </c>
      <c r="C2953" s="4" t="s">
        <v>362</v>
      </c>
      <c r="D2953" s="6">
        <v>46309.513749999998</v>
      </c>
      <c r="E2953" s="6">
        <v>46309.263715277797</v>
      </c>
      <c r="F2953" s="6">
        <v>46309</v>
      </c>
      <c r="G2953" s="5" t="s">
        <v>12</v>
      </c>
      <c r="H2953" s="5" t="s">
        <v>29</v>
      </c>
      <c r="I2953" s="5">
        <v>28</v>
      </c>
      <c r="J2953" s="9" t="s">
        <v>17</v>
      </c>
      <c r="K2953" s="1" t="s">
        <v>3245</v>
      </c>
      <c r="L2953" t="s">
        <v>3284</v>
      </c>
      <c r="M2953" t="str">
        <f>+VLOOKUP(C2953,'[1]TIENDAS 2025'!$A$1:$C$143,3,0)</f>
        <v>departamental</v>
      </c>
      <c r="O2953">
        <v>1</v>
      </c>
    </row>
    <row r="2954" spans="1:15" ht="15" customHeight="1" x14ac:dyDescent="0.3">
      <c r="A2954" s="7">
        <v>1209673452</v>
      </c>
      <c r="B2954" s="4" t="s">
        <v>472</v>
      </c>
      <c r="C2954" s="4" t="s">
        <v>473</v>
      </c>
      <c r="D2954" s="6">
        <v>46309.513773148101</v>
      </c>
      <c r="E2954" s="6">
        <v>46309.2637384259</v>
      </c>
      <c r="F2954" s="6">
        <v>46309</v>
      </c>
      <c r="G2954" s="5" t="s">
        <v>12</v>
      </c>
      <c r="H2954" s="5" t="s">
        <v>16</v>
      </c>
      <c r="I2954" s="5">
        <v>18</v>
      </c>
      <c r="J2954" s="9" t="s">
        <v>17</v>
      </c>
      <c r="K2954" s="1" t="s">
        <v>3246</v>
      </c>
      <c r="L2954" t="s">
        <v>3284</v>
      </c>
      <c r="M2954" t="str">
        <f>+VLOOKUP(C2954,'[1]TIENDAS 2025'!$A$1:$C$143,3,0)</f>
        <v>departamental</v>
      </c>
      <c r="O2954">
        <v>1</v>
      </c>
    </row>
    <row r="2955" spans="1:15" ht="15" customHeight="1" x14ac:dyDescent="0.3">
      <c r="A2955" s="7">
        <v>1209673438</v>
      </c>
      <c r="B2955" s="4" t="s">
        <v>220</v>
      </c>
      <c r="C2955" s="4" t="s">
        <v>221</v>
      </c>
      <c r="D2955" s="6">
        <v>46309.513796296298</v>
      </c>
      <c r="E2955" s="6">
        <v>46309.263761574097</v>
      </c>
      <c r="F2955" s="6">
        <v>46309</v>
      </c>
      <c r="G2955" s="5" t="s">
        <v>12</v>
      </c>
      <c r="H2955" s="5" t="s">
        <v>29</v>
      </c>
      <c r="I2955" s="5">
        <v>44</v>
      </c>
      <c r="J2955" s="9" t="s">
        <v>17</v>
      </c>
      <c r="K2955" s="1" t="s">
        <v>3247</v>
      </c>
      <c r="L2955" t="s">
        <v>3284</v>
      </c>
      <c r="M2955" t="str">
        <f>+VLOOKUP(C2955,'[1]TIENDAS 2025'!$A$1:$C$143,3,0)</f>
        <v>departamental</v>
      </c>
      <c r="O2955">
        <v>1</v>
      </c>
    </row>
    <row r="2956" spans="1:15" ht="15" customHeight="1" x14ac:dyDescent="0.3">
      <c r="A2956" s="7">
        <v>1209673436</v>
      </c>
      <c r="B2956" s="4" t="s">
        <v>220</v>
      </c>
      <c r="C2956" s="4" t="s">
        <v>221</v>
      </c>
      <c r="D2956" s="6">
        <v>46309.513807870397</v>
      </c>
      <c r="E2956" s="6">
        <v>46309.263773148101</v>
      </c>
      <c r="F2956" s="6">
        <v>46309</v>
      </c>
      <c r="G2956" s="5" t="s">
        <v>12</v>
      </c>
      <c r="H2956" s="5" t="s">
        <v>16</v>
      </c>
      <c r="I2956" s="5">
        <v>36</v>
      </c>
      <c r="J2956" s="9" t="s">
        <v>17</v>
      </c>
      <c r="K2956" s="1" t="s">
        <v>3248</v>
      </c>
      <c r="L2956" t="s">
        <v>3284</v>
      </c>
      <c r="M2956" t="str">
        <f>+VLOOKUP(C2956,'[1]TIENDAS 2025'!$A$1:$C$143,3,0)</f>
        <v>departamental</v>
      </c>
      <c r="O2956">
        <v>1</v>
      </c>
    </row>
    <row r="2957" spans="1:15" ht="15" customHeight="1" x14ac:dyDescent="0.3">
      <c r="A2957" s="7">
        <v>8209673439</v>
      </c>
      <c r="B2957" s="4" t="s">
        <v>472</v>
      </c>
      <c r="C2957" s="4" t="s">
        <v>473</v>
      </c>
      <c r="D2957" s="6">
        <v>46309.513819444401</v>
      </c>
      <c r="E2957" s="6">
        <v>46309.263784722199</v>
      </c>
      <c r="F2957" s="6">
        <v>46309</v>
      </c>
      <c r="G2957" s="5" t="s">
        <v>12</v>
      </c>
      <c r="H2957" s="5" t="s">
        <v>27</v>
      </c>
      <c r="I2957" s="5">
        <v>2</v>
      </c>
      <c r="J2957" s="10" t="s">
        <v>17</v>
      </c>
      <c r="K2957" s="1" t="s">
        <v>3249</v>
      </c>
      <c r="M2957" t="str">
        <f>+VLOOKUP(C2957,'[1]TIENDAS 2025'!$A$1:$C$143,3,0)</f>
        <v>departamental</v>
      </c>
      <c r="O2957">
        <v>1</v>
      </c>
    </row>
    <row r="2958" spans="1:15" ht="15" customHeight="1" x14ac:dyDescent="0.3">
      <c r="A2958" s="7">
        <v>8209673441</v>
      </c>
      <c r="B2958" s="4" t="s">
        <v>472</v>
      </c>
      <c r="C2958" s="4" t="s">
        <v>473</v>
      </c>
      <c r="D2958" s="6">
        <v>46309.513831018499</v>
      </c>
      <c r="E2958" s="6">
        <v>46309.263807870397</v>
      </c>
      <c r="F2958" s="6">
        <v>46309</v>
      </c>
      <c r="G2958" s="5" t="s">
        <v>12</v>
      </c>
      <c r="H2958" s="5" t="s">
        <v>27</v>
      </c>
      <c r="I2958" s="5">
        <v>3</v>
      </c>
      <c r="J2958" s="10" t="s">
        <v>17</v>
      </c>
      <c r="K2958" s="1" t="s">
        <v>3250</v>
      </c>
      <c r="M2958" t="str">
        <f>+VLOOKUP(C2958,'[1]TIENDAS 2025'!$A$1:$C$143,3,0)</f>
        <v>departamental</v>
      </c>
      <c r="O2958">
        <v>1</v>
      </c>
    </row>
    <row r="2959" spans="1:15" ht="15" customHeight="1" x14ac:dyDescent="0.3">
      <c r="A2959" s="7">
        <v>1209673443</v>
      </c>
      <c r="B2959" s="4" t="s">
        <v>472</v>
      </c>
      <c r="C2959" s="4" t="s">
        <v>473</v>
      </c>
      <c r="D2959" s="6">
        <v>46309.513842592598</v>
      </c>
      <c r="E2959" s="6">
        <v>46309.263819444401</v>
      </c>
      <c r="F2959" s="6">
        <v>46309</v>
      </c>
      <c r="G2959" s="5" t="s">
        <v>12</v>
      </c>
      <c r="H2959" s="5" t="s">
        <v>16</v>
      </c>
      <c r="I2959" s="5">
        <v>1</v>
      </c>
      <c r="J2959" s="9" t="s">
        <v>17</v>
      </c>
      <c r="K2959" s="1" t="s">
        <v>3251</v>
      </c>
      <c r="L2959" t="s">
        <v>3284</v>
      </c>
      <c r="M2959" t="str">
        <f>+VLOOKUP(C2959,'[1]TIENDAS 2025'!$A$1:$C$143,3,0)</f>
        <v>departamental</v>
      </c>
      <c r="O2959">
        <v>1</v>
      </c>
    </row>
    <row r="2960" spans="1:15" ht="15" customHeight="1" x14ac:dyDescent="0.3">
      <c r="A2960" s="7">
        <v>1209673488</v>
      </c>
      <c r="B2960" s="4" t="s">
        <v>361</v>
      </c>
      <c r="C2960" s="4" t="s">
        <v>362</v>
      </c>
      <c r="D2960" s="6">
        <v>46309.513865740701</v>
      </c>
      <c r="E2960" s="6">
        <v>46309.263831018499</v>
      </c>
      <c r="F2960" s="6">
        <v>46309</v>
      </c>
      <c r="G2960" s="5" t="s">
        <v>12</v>
      </c>
      <c r="H2960" s="5" t="s">
        <v>16</v>
      </c>
      <c r="I2960" s="5">
        <v>28</v>
      </c>
      <c r="J2960" s="9" t="s">
        <v>17</v>
      </c>
      <c r="K2960" s="1" t="s">
        <v>3252</v>
      </c>
      <c r="L2960" t="s">
        <v>3284</v>
      </c>
      <c r="M2960" t="str">
        <f>+VLOOKUP(C2960,'[1]TIENDAS 2025'!$A$1:$C$143,3,0)</f>
        <v>departamental</v>
      </c>
      <c r="O2960">
        <v>1</v>
      </c>
    </row>
    <row r="2961" spans="1:15" ht="15" customHeight="1" x14ac:dyDescent="0.3">
      <c r="A2961" s="7">
        <v>1209673432</v>
      </c>
      <c r="B2961" s="4" t="s">
        <v>220</v>
      </c>
      <c r="C2961" s="4" t="s">
        <v>221</v>
      </c>
      <c r="D2961" s="6">
        <v>46309.513888888898</v>
      </c>
      <c r="E2961" s="6">
        <v>46309.263865740701</v>
      </c>
      <c r="F2961" s="6">
        <v>46309</v>
      </c>
      <c r="G2961" s="5" t="s">
        <v>12</v>
      </c>
      <c r="H2961" s="5" t="s">
        <v>16</v>
      </c>
      <c r="I2961" s="5">
        <v>9</v>
      </c>
      <c r="J2961" s="9" t="s">
        <v>17</v>
      </c>
      <c r="K2961" s="1" t="s">
        <v>3253</v>
      </c>
      <c r="L2961" t="s">
        <v>3284</v>
      </c>
      <c r="M2961" t="str">
        <f>+VLOOKUP(C2961,'[1]TIENDAS 2025'!$A$1:$C$143,3,0)</f>
        <v>departamental</v>
      </c>
      <c r="O2961">
        <v>1</v>
      </c>
    </row>
    <row r="2962" spans="1:15" ht="15" customHeight="1" x14ac:dyDescent="0.3">
      <c r="A2962" s="7">
        <v>8209673425</v>
      </c>
      <c r="B2962" s="4" t="s">
        <v>220</v>
      </c>
      <c r="C2962" s="4" t="s">
        <v>221</v>
      </c>
      <c r="D2962" s="6">
        <v>46309.513912037</v>
      </c>
      <c r="E2962" s="6">
        <v>46309.263877314799</v>
      </c>
      <c r="F2962" s="6">
        <v>46309</v>
      </c>
      <c r="G2962" s="5" t="s">
        <v>12</v>
      </c>
      <c r="H2962" s="5" t="s">
        <v>27</v>
      </c>
      <c r="I2962" s="5">
        <v>11</v>
      </c>
      <c r="J2962" s="10" t="s">
        <v>17</v>
      </c>
      <c r="K2962" s="1" t="s">
        <v>3254</v>
      </c>
      <c r="M2962" t="str">
        <f>+VLOOKUP(C2962,'[1]TIENDAS 2025'!$A$1:$C$143,3,0)</f>
        <v>departamental</v>
      </c>
      <c r="O2962">
        <v>1</v>
      </c>
    </row>
    <row r="2963" spans="1:15" ht="15" customHeight="1" x14ac:dyDescent="0.3">
      <c r="A2963" s="7">
        <v>1209673430</v>
      </c>
      <c r="B2963" s="4" t="s">
        <v>220</v>
      </c>
      <c r="C2963" s="4" t="s">
        <v>221</v>
      </c>
      <c r="D2963" s="6">
        <v>46309.513923611099</v>
      </c>
      <c r="E2963" s="6">
        <v>46309.263888888898</v>
      </c>
      <c r="F2963" s="6">
        <v>46309</v>
      </c>
      <c r="G2963" s="5" t="s">
        <v>12</v>
      </c>
      <c r="H2963" s="5" t="s">
        <v>16</v>
      </c>
      <c r="I2963" s="5">
        <v>13</v>
      </c>
      <c r="J2963" s="9" t="s">
        <v>17</v>
      </c>
      <c r="K2963" s="1" t="s">
        <v>3255</v>
      </c>
      <c r="L2963" t="s">
        <v>3284</v>
      </c>
      <c r="M2963" t="str">
        <f>+VLOOKUP(C2963,'[1]TIENDAS 2025'!$A$1:$C$143,3,0)</f>
        <v>departamental</v>
      </c>
      <c r="O2963">
        <v>1</v>
      </c>
    </row>
    <row r="2964" spans="1:15" ht="15" customHeight="1" x14ac:dyDescent="0.3">
      <c r="A2964" s="7">
        <v>1209673449</v>
      </c>
      <c r="B2964" s="4" t="s">
        <v>472</v>
      </c>
      <c r="C2964" s="4" t="s">
        <v>473</v>
      </c>
      <c r="D2964" s="6">
        <v>46309.513935185198</v>
      </c>
      <c r="E2964" s="6">
        <v>46309.263900462996</v>
      </c>
      <c r="F2964" s="6">
        <v>46309</v>
      </c>
      <c r="G2964" s="5" t="s">
        <v>12</v>
      </c>
      <c r="H2964" s="5" t="s">
        <v>16</v>
      </c>
      <c r="I2964" s="5">
        <v>5</v>
      </c>
      <c r="J2964" s="9" t="s">
        <v>17</v>
      </c>
      <c r="K2964" s="1" t="s">
        <v>3256</v>
      </c>
      <c r="L2964" t="s">
        <v>3284</v>
      </c>
      <c r="M2964" t="str">
        <f>+VLOOKUP(C2964,'[1]TIENDAS 2025'!$A$1:$C$143,3,0)</f>
        <v>departamental</v>
      </c>
      <c r="O2964">
        <v>1</v>
      </c>
    </row>
    <row r="2965" spans="1:15" ht="15" customHeight="1" x14ac:dyDescent="0.3">
      <c r="A2965" s="7">
        <v>1209673482</v>
      </c>
      <c r="B2965" s="4" t="s">
        <v>361</v>
      </c>
      <c r="C2965" s="4" t="s">
        <v>362</v>
      </c>
      <c r="D2965" s="6">
        <v>46309.513946759304</v>
      </c>
      <c r="E2965" s="6">
        <v>46309.263923611099</v>
      </c>
      <c r="F2965" s="6">
        <v>46309</v>
      </c>
      <c r="G2965" s="5" t="s">
        <v>12</v>
      </c>
      <c r="H2965" s="5" t="s">
        <v>16</v>
      </c>
      <c r="I2965" s="5">
        <v>7</v>
      </c>
      <c r="J2965" s="9" t="s">
        <v>17</v>
      </c>
      <c r="K2965" s="1" t="s">
        <v>3257</v>
      </c>
      <c r="L2965" t="s">
        <v>3284</v>
      </c>
      <c r="M2965" t="str">
        <f>+VLOOKUP(C2965,'[1]TIENDAS 2025'!$A$1:$C$143,3,0)</f>
        <v>departamental</v>
      </c>
      <c r="O2965">
        <v>1</v>
      </c>
    </row>
    <row r="2966" spans="1:15" ht="15" customHeight="1" x14ac:dyDescent="0.3">
      <c r="A2966" s="7">
        <v>8209673459</v>
      </c>
      <c r="B2966" s="4" t="s">
        <v>491</v>
      </c>
      <c r="C2966" s="4" t="s">
        <v>492</v>
      </c>
      <c r="D2966" s="6">
        <v>46309.513981481497</v>
      </c>
      <c r="E2966" s="6">
        <v>46309.263946759304</v>
      </c>
      <c r="F2966" s="6">
        <v>46309</v>
      </c>
      <c r="G2966" s="5" t="s">
        <v>12</v>
      </c>
      <c r="H2966" s="5" t="s">
        <v>27</v>
      </c>
      <c r="I2966" s="5">
        <v>5</v>
      </c>
      <c r="J2966" s="10" t="s">
        <v>17</v>
      </c>
      <c r="K2966" s="1" t="s">
        <v>3258</v>
      </c>
      <c r="M2966" t="str">
        <f>+VLOOKUP(C2966,'[1]TIENDAS 2025'!$A$1:$C$143,3,0)</f>
        <v>departamental</v>
      </c>
      <c r="O2966">
        <v>1</v>
      </c>
    </row>
    <row r="2967" spans="1:15" ht="15" customHeight="1" x14ac:dyDescent="0.3">
      <c r="A2967" s="7">
        <v>8209673427</v>
      </c>
      <c r="B2967" s="4" t="s">
        <v>220</v>
      </c>
      <c r="C2967" s="4" t="s">
        <v>221</v>
      </c>
      <c r="D2967" s="6">
        <v>46309.5140046296</v>
      </c>
      <c r="E2967" s="6">
        <v>46309.263969907399</v>
      </c>
      <c r="F2967" s="6">
        <v>46309</v>
      </c>
      <c r="G2967" s="5" t="s">
        <v>12</v>
      </c>
      <c r="H2967" s="5" t="s">
        <v>27</v>
      </c>
      <c r="I2967" s="5">
        <v>88</v>
      </c>
      <c r="J2967" s="10" t="s">
        <v>17</v>
      </c>
      <c r="K2967" s="1" t="s">
        <v>3259</v>
      </c>
      <c r="M2967" t="str">
        <f>+VLOOKUP(C2967,'[1]TIENDAS 2025'!$A$1:$C$143,3,0)</f>
        <v>departamental</v>
      </c>
      <c r="O2967">
        <v>1</v>
      </c>
    </row>
    <row r="2968" spans="1:15" ht="15" customHeight="1" x14ac:dyDescent="0.3">
      <c r="A2968" s="7">
        <v>1209673431</v>
      </c>
      <c r="B2968" s="4" t="s">
        <v>220</v>
      </c>
      <c r="C2968" s="4" t="s">
        <v>221</v>
      </c>
      <c r="D2968" s="6">
        <v>46309.514016203699</v>
      </c>
      <c r="E2968" s="6">
        <v>46309.263981481497</v>
      </c>
      <c r="F2968" s="6">
        <v>46309</v>
      </c>
      <c r="G2968" s="5" t="s">
        <v>12</v>
      </c>
      <c r="H2968" s="5" t="s">
        <v>16</v>
      </c>
      <c r="I2968" s="5">
        <v>13</v>
      </c>
      <c r="J2968" s="9" t="s">
        <v>17</v>
      </c>
      <c r="K2968" s="1" t="s">
        <v>3260</v>
      </c>
      <c r="L2968" t="s">
        <v>3284</v>
      </c>
      <c r="M2968" t="str">
        <f>+VLOOKUP(C2968,'[1]TIENDAS 2025'!$A$1:$C$143,3,0)</f>
        <v>departamental</v>
      </c>
      <c r="O2968">
        <v>1</v>
      </c>
    </row>
    <row r="2969" spans="1:15" ht="15" customHeight="1" x14ac:dyDescent="0.3">
      <c r="A2969" s="7">
        <v>1209673485</v>
      </c>
      <c r="B2969" s="4" t="s">
        <v>361</v>
      </c>
      <c r="C2969" s="4" t="s">
        <v>362</v>
      </c>
      <c r="D2969" s="6">
        <v>46309.514039351903</v>
      </c>
      <c r="E2969" s="6">
        <v>46309.264016203699</v>
      </c>
      <c r="F2969" s="6">
        <v>46309</v>
      </c>
      <c r="G2969" s="5" t="s">
        <v>12</v>
      </c>
      <c r="H2969" s="5" t="s">
        <v>16</v>
      </c>
      <c r="I2969" s="5">
        <v>9</v>
      </c>
      <c r="J2969" s="9" t="s">
        <v>17</v>
      </c>
      <c r="K2969" s="1" t="s">
        <v>3261</v>
      </c>
      <c r="L2969" t="s">
        <v>3284</v>
      </c>
      <c r="M2969" t="str">
        <f>+VLOOKUP(C2969,'[1]TIENDAS 2025'!$A$1:$C$143,3,0)</f>
        <v>departamental</v>
      </c>
      <c r="O2969">
        <v>1</v>
      </c>
    </row>
    <row r="2970" spans="1:15" ht="15" customHeight="1" x14ac:dyDescent="0.3">
      <c r="A2970" s="7">
        <v>1209673486</v>
      </c>
      <c r="B2970" s="4" t="s">
        <v>361</v>
      </c>
      <c r="C2970" s="4" t="s">
        <v>362</v>
      </c>
      <c r="D2970" s="6">
        <v>46309.514062499999</v>
      </c>
      <c r="E2970" s="6">
        <v>46309.264027777797</v>
      </c>
      <c r="F2970" s="6">
        <v>46309</v>
      </c>
      <c r="G2970" s="5" t="s">
        <v>12</v>
      </c>
      <c r="H2970" s="5" t="s">
        <v>16</v>
      </c>
      <c r="I2970" s="5">
        <v>9</v>
      </c>
      <c r="J2970" s="9" t="s">
        <v>17</v>
      </c>
      <c r="K2970" s="1" t="s">
        <v>3262</v>
      </c>
      <c r="L2970" t="s">
        <v>3284</v>
      </c>
      <c r="M2970" t="str">
        <f>+VLOOKUP(C2970,'[1]TIENDAS 2025'!$A$1:$C$143,3,0)</f>
        <v>departamental</v>
      </c>
      <c r="O2970">
        <v>1</v>
      </c>
    </row>
    <row r="2971" spans="1:15" ht="15" customHeight="1" x14ac:dyDescent="0.3">
      <c r="A2971" s="7">
        <v>1209673467</v>
      </c>
      <c r="B2971" s="4" t="s">
        <v>491</v>
      </c>
      <c r="C2971" s="4" t="s">
        <v>492</v>
      </c>
      <c r="D2971" s="6">
        <v>46309.514074074097</v>
      </c>
      <c r="E2971" s="6">
        <v>46309.264039351903</v>
      </c>
      <c r="F2971" s="6">
        <v>46309</v>
      </c>
      <c r="G2971" s="5" t="s">
        <v>12</v>
      </c>
      <c r="H2971" s="5" t="s">
        <v>16</v>
      </c>
      <c r="I2971" s="5">
        <v>11</v>
      </c>
      <c r="J2971" s="9" t="s">
        <v>17</v>
      </c>
      <c r="K2971" s="1" t="s">
        <v>3263</v>
      </c>
      <c r="L2971" t="s">
        <v>3284</v>
      </c>
      <c r="M2971" t="str">
        <f>+VLOOKUP(C2971,'[1]TIENDAS 2025'!$A$1:$C$143,3,0)</f>
        <v>departamental</v>
      </c>
      <c r="O2971">
        <v>1</v>
      </c>
    </row>
    <row r="2972" spans="1:15" ht="15" customHeight="1" x14ac:dyDescent="0.3">
      <c r="A2972" s="7">
        <v>8209673442</v>
      </c>
      <c r="B2972" s="4" t="s">
        <v>472</v>
      </c>
      <c r="C2972" s="4" t="s">
        <v>473</v>
      </c>
      <c r="D2972" s="6">
        <v>46309.514085648101</v>
      </c>
      <c r="E2972" s="6">
        <v>46309.2640509259</v>
      </c>
      <c r="F2972" s="6">
        <v>46309</v>
      </c>
      <c r="G2972" s="5" t="s">
        <v>12</v>
      </c>
      <c r="H2972" s="5" t="s">
        <v>27</v>
      </c>
      <c r="I2972" s="5">
        <v>3</v>
      </c>
      <c r="J2972" s="10" t="s">
        <v>17</v>
      </c>
      <c r="K2972" s="1" t="s">
        <v>3264</v>
      </c>
      <c r="M2972" t="str">
        <f>+VLOOKUP(C2972,'[1]TIENDAS 2025'!$A$1:$C$143,3,0)</f>
        <v>departamental</v>
      </c>
      <c r="O2972">
        <v>1</v>
      </c>
    </row>
    <row r="2973" spans="1:15" ht="15" customHeight="1" x14ac:dyDescent="0.3">
      <c r="A2973" s="7">
        <v>8209673470</v>
      </c>
      <c r="B2973" s="4" t="s">
        <v>178</v>
      </c>
      <c r="C2973" s="4" t="s">
        <v>179</v>
      </c>
      <c r="D2973" s="6">
        <v>46309.5140972222</v>
      </c>
      <c r="E2973" s="6">
        <v>46309.264074074097</v>
      </c>
      <c r="F2973" s="6">
        <v>46309</v>
      </c>
      <c r="G2973" s="5" t="s">
        <v>12</v>
      </c>
      <c r="H2973" s="5" t="s">
        <v>27</v>
      </c>
      <c r="I2973" s="5">
        <v>1</v>
      </c>
      <c r="J2973" s="10" t="s">
        <v>17</v>
      </c>
      <c r="K2973" s="1" t="s">
        <v>3265</v>
      </c>
      <c r="M2973" t="str">
        <f>+VLOOKUP(C2973,'[1]TIENDAS 2025'!$A$1:$C$143,3,0)</f>
        <v>local</v>
      </c>
      <c r="O2973">
        <v>1</v>
      </c>
    </row>
    <row r="2974" spans="1:15" ht="15" customHeight="1" x14ac:dyDescent="0.3">
      <c r="A2974" s="7">
        <v>8209673471</v>
      </c>
      <c r="B2974" s="4" t="s">
        <v>178</v>
      </c>
      <c r="C2974" s="4" t="s">
        <v>179</v>
      </c>
      <c r="D2974" s="6">
        <v>46309.514120370397</v>
      </c>
      <c r="E2974" s="6">
        <v>46309.264085648101</v>
      </c>
      <c r="F2974" s="6">
        <v>46309</v>
      </c>
      <c r="G2974" s="5" t="s">
        <v>12</v>
      </c>
      <c r="H2974" s="5" t="s">
        <v>27</v>
      </c>
      <c r="I2974" s="5">
        <v>2</v>
      </c>
      <c r="J2974" s="10" t="s">
        <v>17</v>
      </c>
      <c r="K2974" s="1" t="s">
        <v>3266</v>
      </c>
      <c r="M2974" t="str">
        <f>+VLOOKUP(C2974,'[1]TIENDAS 2025'!$A$1:$C$143,3,0)</f>
        <v>local</v>
      </c>
      <c r="O2974">
        <v>1</v>
      </c>
    </row>
    <row r="2975" spans="1:15" ht="15" customHeight="1" x14ac:dyDescent="0.3">
      <c r="A2975" s="7">
        <v>8209673423</v>
      </c>
      <c r="B2975" s="4" t="s">
        <v>220</v>
      </c>
      <c r="C2975" s="4" t="s">
        <v>221</v>
      </c>
      <c r="D2975" s="6">
        <v>46309.514131944401</v>
      </c>
      <c r="E2975" s="6">
        <v>46309.2640972222</v>
      </c>
      <c r="F2975" s="6">
        <v>46309</v>
      </c>
      <c r="G2975" s="5" t="s">
        <v>12</v>
      </c>
      <c r="H2975" s="5" t="s">
        <v>27</v>
      </c>
      <c r="I2975" s="5">
        <v>1</v>
      </c>
      <c r="J2975" s="10" t="s">
        <v>17</v>
      </c>
      <c r="K2975" s="1" t="s">
        <v>3267</v>
      </c>
      <c r="M2975" t="str">
        <f>+VLOOKUP(C2975,'[1]TIENDAS 2025'!$A$1:$C$143,3,0)</f>
        <v>departamental</v>
      </c>
      <c r="O2975">
        <v>1</v>
      </c>
    </row>
    <row r="2976" spans="1:15" ht="15" customHeight="1" x14ac:dyDescent="0.3">
      <c r="A2976" s="7">
        <v>8209673426</v>
      </c>
      <c r="B2976" s="4" t="s">
        <v>220</v>
      </c>
      <c r="C2976" s="4" t="s">
        <v>221</v>
      </c>
      <c r="D2976" s="6">
        <v>46309.5141435185</v>
      </c>
      <c r="E2976" s="6">
        <v>46309.264120370397</v>
      </c>
      <c r="F2976" s="6">
        <v>46309</v>
      </c>
      <c r="G2976" s="5" t="s">
        <v>12</v>
      </c>
      <c r="H2976" s="5" t="s">
        <v>27</v>
      </c>
      <c r="I2976" s="5">
        <v>11</v>
      </c>
      <c r="J2976" s="10" t="s">
        <v>17</v>
      </c>
      <c r="K2976" s="1" t="s">
        <v>3268</v>
      </c>
      <c r="M2976" t="str">
        <f>+VLOOKUP(C2976,'[1]TIENDAS 2025'!$A$1:$C$143,3,0)</f>
        <v>departamental</v>
      </c>
      <c r="O2976">
        <v>1</v>
      </c>
    </row>
    <row r="2977" spans="1:15" ht="15" customHeight="1" x14ac:dyDescent="0.3">
      <c r="A2977" s="7">
        <v>1209673465</v>
      </c>
      <c r="B2977" s="4" t="s">
        <v>491</v>
      </c>
      <c r="C2977" s="4" t="s">
        <v>492</v>
      </c>
      <c r="D2977" s="6">
        <v>46309.514155092598</v>
      </c>
      <c r="E2977" s="6">
        <v>46309.264131944401</v>
      </c>
      <c r="F2977" s="6">
        <v>46309</v>
      </c>
      <c r="G2977" s="5" t="s">
        <v>12</v>
      </c>
      <c r="H2977" s="5" t="s">
        <v>16</v>
      </c>
      <c r="I2977" s="5">
        <v>2</v>
      </c>
      <c r="J2977" s="9" t="s">
        <v>17</v>
      </c>
      <c r="K2977" s="1" t="s">
        <v>3269</v>
      </c>
      <c r="L2977" t="s">
        <v>3284</v>
      </c>
      <c r="M2977" t="str">
        <f>+VLOOKUP(C2977,'[1]TIENDAS 2025'!$A$1:$C$143,3,0)</f>
        <v>departamental</v>
      </c>
      <c r="O2977">
        <v>1</v>
      </c>
    </row>
    <row r="2978" spans="1:15" ht="15" customHeight="1" x14ac:dyDescent="0.3">
      <c r="A2978" s="7">
        <v>1209673483</v>
      </c>
      <c r="B2978" s="4" t="s">
        <v>361</v>
      </c>
      <c r="C2978" s="4" t="s">
        <v>362</v>
      </c>
      <c r="D2978" s="6">
        <v>46309.514178240701</v>
      </c>
      <c r="E2978" s="6">
        <v>46309.2641435185</v>
      </c>
      <c r="F2978" s="6">
        <v>46309</v>
      </c>
      <c r="G2978" s="5" t="s">
        <v>12</v>
      </c>
      <c r="H2978" s="5" t="s">
        <v>16</v>
      </c>
      <c r="I2978" s="5">
        <v>7</v>
      </c>
      <c r="J2978" s="9" t="s">
        <v>17</v>
      </c>
      <c r="K2978" s="1" t="s">
        <v>3270</v>
      </c>
      <c r="L2978" t="s">
        <v>3284</v>
      </c>
      <c r="M2978" t="str">
        <f>+VLOOKUP(C2978,'[1]TIENDAS 2025'!$A$1:$C$143,3,0)</f>
        <v>departamental</v>
      </c>
      <c r="O2978">
        <v>1</v>
      </c>
    </row>
    <row r="2979" spans="1:15" ht="15" customHeight="1" x14ac:dyDescent="0.3">
      <c r="A2979" s="7">
        <v>1209673466</v>
      </c>
      <c r="B2979" s="4" t="s">
        <v>491</v>
      </c>
      <c r="C2979" s="4" t="s">
        <v>492</v>
      </c>
      <c r="D2979" s="6">
        <v>46309.514201388898</v>
      </c>
      <c r="E2979" s="6">
        <v>46309.264178240701</v>
      </c>
      <c r="F2979" s="6">
        <v>46309</v>
      </c>
      <c r="G2979" s="5" t="s">
        <v>12</v>
      </c>
      <c r="H2979" s="5" t="s">
        <v>16</v>
      </c>
      <c r="I2979" s="5">
        <v>6</v>
      </c>
      <c r="J2979" s="9" t="s">
        <v>17</v>
      </c>
      <c r="K2979" s="1" t="s">
        <v>3271</v>
      </c>
      <c r="L2979" t="s">
        <v>3284</v>
      </c>
      <c r="M2979" t="str">
        <f>+VLOOKUP(C2979,'[1]TIENDAS 2025'!$A$1:$C$143,3,0)</f>
        <v>departamental</v>
      </c>
      <c r="O2979">
        <v>1</v>
      </c>
    </row>
    <row r="2980" spans="1:15" ht="15" customHeight="1" x14ac:dyDescent="0.3">
      <c r="A2980" s="7">
        <v>1209673435</v>
      </c>
      <c r="B2980" s="4" t="s">
        <v>220</v>
      </c>
      <c r="C2980" s="4" t="s">
        <v>221</v>
      </c>
      <c r="D2980" s="6">
        <v>46309.514212962997</v>
      </c>
      <c r="E2980" s="6">
        <v>46309.264189814799</v>
      </c>
      <c r="F2980" s="6">
        <v>46309</v>
      </c>
      <c r="G2980" s="5" t="s">
        <v>12</v>
      </c>
      <c r="H2980" s="5" t="s">
        <v>29</v>
      </c>
      <c r="I2980" s="5">
        <v>40</v>
      </c>
      <c r="J2980" s="9" t="s">
        <v>17</v>
      </c>
      <c r="K2980" s="1" t="s">
        <v>3272</v>
      </c>
      <c r="L2980" t="s">
        <v>3284</v>
      </c>
      <c r="M2980" t="str">
        <f>+VLOOKUP(C2980,'[1]TIENDAS 2025'!$A$1:$C$143,3,0)</f>
        <v>departamental</v>
      </c>
      <c r="O2980">
        <v>1</v>
      </c>
    </row>
    <row r="2981" spans="1:15" ht="15" customHeight="1" x14ac:dyDescent="0.3">
      <c r="A2981" s="7">
        <v>1209673453</v>
      </c>
      <c r="B2981" s="4" t="s">
        <v>472</v>
      </c>
      <c r="C2981" s="4" t="s">
        <v>473</v>
      </c>
      <c r="D2981" s="6">
        <v>46309.514236111099</v>
      </c>
      <c r="E2981" s="6">
        <v>46309.264201388898</v>
      </c>
      <c r="F2981" s="6">
        <v>46309</v>
      </c>
      <c r="G2981" s="5" t="s">
        <v>12</v>
      </c>
      <c r="H2981" s="5" t="s">
        <v>29</v>
      </c>
      <c r="I2981" s="5">
        <v>21</v>
      </c>
      <c r="J2981" s="9" t="s">
        <v>17</v>
      </c>
      <c r="K2981" s="1" t="s">
        <v>3273</v>
      </c>
      <c r="L2981" t="s">
        <v>3284</v>
      </c>
      <c r="M2981" t="str">
        <f>+VLOOKUP(C2981,'[1]TIENDAS 2025'!$A$1:$C$143,3,0)</f>
        <v>departamental</v>
      </c>
      <c r="O2981">
        <v>1</v>
      </c>
    </row>
    <row r="2982" spans="1:15" ht="15" customHeight="1" x14ac:dyDescent="0.3">
      <c r="A2982" s="7">
        <v>1209673468</v>
      </c>
      <c r="B2982" s="4" t="s">
        <v>491</v>
      </c>
      <c r="C2982" s="4" t="s">
        <v>492</v>
      </c>
      <c r="D2982" s="6">
        <v>46309.514247685198</v>
      </c>
      <c r="E2982" s="6">
        <v>46309.264212962997</v>
      </c>
      <c r="F2982" s="6">
        <v>46309</v>
      </c>
      <c r="G2982" s="5" t="s">
        <v>12</v>
      </c>
      <c r="H2982" s="5" t="s">
        <v>16</v>
      </c>
      <c r="I2982" s="5">
        <v>1</v>
      </c>
      <c r="J2982" s="9" t="s">
        <v>17</v>
      </c>
      <c r="K2982" s="1" t="s">
        <v>3274</v>
      </c>
      <c r="L2982" t="s">
        <v>3284</v>
      </c>
      <c r="M2982" t="str">
        <f>+VLOOKUP(C2982,'[1]TIENDAS 2025'!$A$1:$C$143,3,0)</f>
        <v>departamental</v>
      </c>
      <c r="O2982">
        <v>1</v>
      </c>
    </row>
    <row r="2983" spans="1:15" ht="15" customHeight="1" x14ac:dyDescent="0.3">
      <c r="A2983" s="7">
        <v>8209673440</v>
      </c>
      <c r="B2983" s="4" t="s">
        <v>472</v>
      </c>
      <c r="C2983" s="4" t="s">
        <v>473</v>
      </c>
      <c r="D2983" s="6">
        <v>46309.514270833301</v>
      </c>
      <c r="E2983" s="6">
        <v>46309.264236111099</v>
      </c>
      <c r="F2983" s="6">
        <v>46309</v>
      </c>
      <c r="G2983" s="5" t="s">
        <v>12</v>
      </c>
      <c r="H2983" s="5" t="s">
        <v>27</v>
      </c>
      <c r="I2983" s="5">
        <v>2</v>
      </c>
      <c r="J2983" s="10" t="s">
        <v>17</v>
      </c>
      <c r="K2983" s="1" t="s">
        <v>3275</v>
      </c>
      <c r="M2983" t="str">
        <f>+VLOOKUP(C2983,'[1]TIENDAS 2025'!$A$1:$C$143,3,0)</f>
        <v>departamental</v>
      </c>
      <c r="O2983">
        <v>1</v>
      </c>
    </row>
    <row r="2984" spans="1:15" ht="15" customHeight="1" x14ac:dyDescent="0.3">
      <c r="A2984" s="7">
        <v>1209673446</v>
      </c>
      <c r="B2984" s="4" t="s">
        <v>472</v>
      </c>
      <c r="C2984" s="4" t="s">
        <v>473</v>
      </c>
      <c r="D2984" s="6">
        <v>46309.514282407399</v>
      </c>
      <c r="E2984" s="6">
        <v>46309.264247685198</v>
      </c>
      <c r="F2984" s="6">
        <v>46309</v>
      </c>
      <c r="G2984" s="5" t="s">
        <v>12</v>
      </c>
      <c r="H2984" s="5" t="s">
        <v>16</v>
      </c>
      <c r="I2984" s="5">
        <v>6</v>
      </c>
      <c r="J2984" s="9" t="s">
        <v>17</v>
      </c>
      <c r="K2984" s="1" t="s">
        <v>3276</v>
      </c>
      <c r="L2984" t="s">
        <v>3284</v>
      </c>
      <c r="M2984" t="str">
        <f>+VLOOKUP(C2984,'[1]TIENDAS 2025'!$A$1:$C$143,3,0)</f>
        <v>departamental</v>
      </c>
      <c r="O2984">
        <v>1</v>
      </c>
    </row>
    <row r="2985" spans="1:15" ht="15" customHeight="1" x14ac:dyDescent="0.3">
      <c r="A2985" s="7">
        <v>1209673454</v>
      </c>
      <c r="B2985" s="4" t="s">
        <v>472</v>
      </c>
      <c r="C2985" s="4" t="s">
        <v>473</v>
      </c>
      <c r="D2985" s="6">
        <v>46309.514282407399</v>
      </c>
      <c r="E2985" s="6">
        <v>46309.264259259297</v>
      </c>
      <c r="F2985" s="6">
        <v>46309</v>
      </c>
      <c r="G2985" s="5" t="s">
        <v>12</v>
      </c>
      <c r="H2985" s="5" t="s">
        <v>29</v>
      </c>
      <c r="I2985" s="5">
        <v>20</v>
      </c>
      <c r="J2985" s="9" t="s">
        <v>17</v>
      </c>
      <c r="K2985" s="1" t="s">
        <v>3277</v>
      </c>
      <c r="L2985" t="s">
        <v>3284</v>
      </c>
      <c r="M2985" t="str">
        <f>+VLOOKUP(C2985,'[1]TIENDAS 2025'!$A$1:$C$143,3,0)</f>
        <v>departamental</v>
      </c>
      <c r="O2985">
        <v>1</v>
      </c>
    </row>
    <row r="2986" spans="1:15" ht="15" customHeight="1" x14ac:dyDescent="0.3">
      <c r="A2986" s="7">
        <v>1209673473</v>
      </c>
      <c r="B2986" s="4" t="s">
        <v>178</v>
      </c>
      <c r="C2986" s="4" t="s">
        <v>179</v>
      </c>
      <c r="D2986" s="6">
        <v>46309.514305555596</v>
      </c>
      <c r="E2986" s="6">
        <v>46309.264270833301</v>
      </c>
      <c r="F2986" s="6">
        <v>46309</v>
      </c>
      <c r="G2986" s="5" t="s">
        <v>12</v>
      </c>
      <c r="H2986" s="5" t="s">
        <v>16</v>
      </c>
      <c r="I2986" s="5">
        <v>9</v>
      </c>
      <c r="J2986" s="9" t="s">
        <v>17</v>
      </c>
      <c r="K2986" s="1" t="s">
        <v>3278</v>
      </c>
      <c r="L2986" t="s">
        <v>3284</v>
      </c>
      <c r="M2986" t="str">
        <f>+VLOOKUP(C2986,'[1]TIENDAS 2025'!$A$1:$C$143,3,0)</f>
        <v>local</v>
      </c>
      <c r="O2986">
        <v>1</v>
      </c>
    </row>
    <row r="2987" spans="1:15" ht="15" customHeight="1" x14ac:dyDescent="0.3">
      <c r="A2987" s="7">
        <v>1209673448</v>
      </c>
      <c r="B2987" s="4" t="s">
        <v>472</v>
      </c>
      <c r="C2987" s="4" t="s">
        <v>473</v>
      </c>
      <c r="D2987" s="6">
        <v>46309.5143171296</v>
      </c>
      <c r="E2987" s="6">
        <v>46309.264293981498</v>
      </c>
      <c r="F2987" s="6">
        <v>46309</v>
      </c>
      <c r="G2987" s="5" t="s">
        <v>12</v>
      </c>
      <c r="H2987" s="5" t="s">
        <v>16</v>
      </c>
      <c r="I2987" s="5">
        <v>4</v>
      </c>
      <c r="J2987" s="9" t="s">
        <v>17</v>
      </c>
      <c r="K2987" s="1" t="s">
        <v>3279</v>
      </c>
      <c r="L2987" t="s">
        <v>3284</v>
      </c>
      <c r="M2987" t="str">
        <f>+VLOOKUP(C2987,'[1]TIENDAS 2025'!$A$1:$C$143,3,0)</f>
        <v>departamental</v>
      </c>
      <c r="O2987">
        <v>1</v>
      </c>
    </row>
    <row r="2988" spans="1:15" ht="15" customHeight="1" x14ac:dyDescent="0.3">
      <c r="A2988" s="7">
        <v>8209673458</v>
      </c>
      <c r="B2988" s="4" t="s">
        <v>491</v>
      </c>
      <c r="C2988" s="4" t="s">
        <v>492</v>
      </c>
      <c r="D2988" s="6">
        <v>46309.514328703699</v>
      </c>
      <c r="E2988" s="6">
        <v>46309.264305555596</v>
      </c>
      <c r="F2988" s="6">
        <v>46309</v>
      </c>
      <c r="G2988" s="5" t="s">
        <v>12</v>
      </c>
      <c r="H2988" s="5" t="s">
        <v>27</v>
      </c>
      <c r="I2988" s="5">
        <v>1</v>
      </c>
      <c r="J2988" s="10" t="s">
        <v>17</v>
      </c>
      <c r="K2988" s="1" t="s">
        <v>3280</v>
      </c>
      <c r="M2988" t="str">
        <f>+VLOOKUP(C2988,'[1]TIENDAS 2025'!$A$1:$C$143,3,0)</f>
        <v>departamental</v>
      </c>
      <c r="O2988">
        <v>1</v>
      </c>
    </row>
    <row r="2989" spans="1:15" ht="15" customHeight="1" x14ac:dyDescent="0.3">
      <c r="A2989" s="7">
        <v>8209673480</v>
      </c>
      <c r="B2989" s="4" t="s">
        <v>361</v>
      </c>
      <c r="C2989" s="4" t="s">
        <v>362</v>
      </c>
      <c r="D2989" s="6">
        <v>46309.514340277798</v>
      </c>
      <c r="E2989" s="6">
        <v>46309.2643171296</v>
      </c>
      <c r="F2989" s="6">
        <v>46309</v>
      </c>
      <c r="G2989" s="5" t="s">
        <v>12</v>
      </c>
      <c r="H2989" s="5" t="s">
        <v>27</v>
      </c>
      <c r="I2989" s="5">
        <v>5</v>
      </c>
      <c r="J2989" s="10" t="s">
        <v>17</v>
      </c>
      <c r="K2989" s="1" t="s">
        <v>3281</v>
      </c>
      <c r="M2989" t="str">
        <f>+VLOOKUP(C2989,'[1]TIENDAS 2025'!$A$1:$C$143,3,0)</f>
        <v>departamental</v>
      </c>
      <c r="O2989">
        <v>1</v>
      </c>
    </row>
    <row r="2990" spans="1:15" ht="15" customHeight="1" x14ac:dyDescent="0.3">
      <c r="A2990" s="7">
        <v>8209673422</v>
      </c>
      <c r="B2990" s="4" t="s">
        <v>220</v>
      </c>
      <c r="C2990" s="4" t="s">
        <v>221</v>
      </c>
      <c r="D2990" s="6">
        <v>46309.5143634259</v>
      </c>
      <c r="E2990" s="6">
        <v>46309.264340277798</v>
      </c>
      <c r="F2990" s="6">
        <v>46309</v>
      </c>
      <c r="G2990" s="5" t="s">
        <v>12</v>
      </c>
      <c r="H2990" s="5" t="s">
        <v>27</v>
      </c>
      <c r="I2990" s="5">
        <v>1</v>
      </c>
      <c r="J2990" s="10" t="s">
        <v>17</v>
      </c>
      <c r="K2990" s="1" t="s">
        <v>3282</v>
      </c>
      <c r="M2990" t="str">
        <f>+VLOOKUP(C2990,'[1]TIENDAS 2025'!$A$1:$C$143,3,0)</f>
        <v>departamental</v>
      </c>
      <c r="O2990">
        <v>1</v>
      </c>
    </row>
    <row r="2992" spans="1:15" ht="15" customHeight="1" x14ac:dyDescent="0.3">
      <c r="B2992" s="21" t="s">
        <v>10</v>
      </c>
      <c r="C2992" s="21"/>
    </row>
    <row r="2993" spans="2:6" ht="15" customHeight="1" x14ac:dyDescent="0.3">
      <c r="B2993" s="11" t="s">
        <v>3288</v>
      </c>
      <c r="C2993" s="12">
        <v>11508</v>
      </c>
      <c r="E2993" s="11" t="s">
        <v>3292</v>
      </c>
      <c r="F2993" s="12">
        <v>0</v>
      </c>
    </row>
    <row r="2994" spans="2:6" ht="15" customHeight="1" x14ac:dyDescent="0.3">
      <c r="B2994" s="11" t="s">
        <v>3289</v>
      </c>
      <c r="C2994" s="12"/>
    </row>
    <row r="2995" spans="2:6" ht="15" customHeight="1" x14ac:dyDescent="0.3">
      <c r="B2995" s="11" t="s">
        <v>3290</v>
      </c>
      <c r="C2995" s="12">
        <v>19182</v>
      </c>
    </row>
    <row r="2996" spans="2:6" ht="15" customHeight="1" x14ac:dyDescent="0.3">
      <c r="B2996" s="13" t="s">
        <v>3291</v>
      </c>
      <c r="C2996" s="14">
        <f>SUBTOTAL(9,C2993:C2995)</f>
        <v>30690</v>
      </c>
      <c r="E2996" s="11" t="s">
        <v>3289</v>
      </c>
      <c r="F2996" s="12"/>
    </row>
    <row r="2998" spans="2:6" ht="15" customHeight="1" x14ac:dyDescent="0.3">
      <c r="B2998" s="21" t="s">
        <v>11</v>
      </c>
      <c r="C2998" s="21"/>
    </row>
    <row r="2999" spans="2:6" ht="15" customHeight="1" x14ac:dyDescent="0.3">
      <c r="B2999" s="11" t="s">
        <v>3288</v>
      </c>
      <c r="C2999" s="12">
        <v>3328</v>
      </c>
    </row>
    <row r="3000" spans="2:6" ht="15" customHeight="1" x14ac:dyDescent="0.3">
      <c r="B3000" s="11" t="s">
        <v>3289</v>
      </c>
      <c r="C3000" s="12"/>
    </row>
    <row r="3001" spans="2:6" ht="15" customHeight="1" x14ac:dyDescent="0.3">
      <c r="B3001" s="11" t="s">
        <v>3290</v>
      </c>
      <c r="C3001" s="12">
        <v>4029</v>
      </c>
    </row>
    <row r="3002" spans="2:6" ht="15" customHeight="1" x14ac:dyDescent="0.3">
      <c r="B3002" s="15" t="s">
        <v>3291</v>
      </c>
      <c r="C3002" s="16">
        <f>SUBTOTAL(9,C2999:C3001)</f>
        <v>7357</v>
      </c>
    </row>
  </sheetData>
  <autoFilter ref="A1:P2990" xr:uid="{00000000-0001-0000-0000-000000000000}"/>
  <mergeCells count="2">
    <mergeCell ref="B2992:C2992"/>
    <mergeCell ref="B2998:C2998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DA4A67-0542-4927-99F5-BBE23D6167A7}">
  <ds:schemaRefs>
    <ds:schemaRef ds:uri="http://schemas.microsoft.com/office/2006/metadata/properties"/>
    <ds:schemaRef ds:uri="http://schemas.microsoft.com/office/infopath/2007/PartnerControls"/>
    <ds:schemaRef ds:uri="332e2443-d3c8-47cd-a9af-bf7e7e727c04"/>
    <ds:schemaRef ds:uri="4b4878d4-5642-434d-a81c-04ea5b72e5ae"/>
  </ds:schemaRefs>
</ds:datastoreItem>
</file>

<file path=customXml/itemProps2.xml><?xml version="1.0" encoding="utf-8"?>
<ds:datastoreItem xmlns:ds="http://schemas.openxmlformats.org/officeDocument/2006/customXml" ds:itemID="{34F81450-2EE7-439D-B8CD-865A3FB3BC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2B1F20-4C8B-4024-80D3-F31E21FA13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14-10-2026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Brandon Isaac Garcia Galvez</cp:lastModifiedBy>
  <dcterms:created xsi:type="dcterms:W3CDTF">2026-10-14T13:01:24Z</dcterms:created>
  <dcterms:modified xsi:type="dcterms:W3CDTF">2026-10-14T13:30:24Z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