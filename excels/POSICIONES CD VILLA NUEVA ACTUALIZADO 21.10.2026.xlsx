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SLOTTING/OCUPACIONES VILLA NUEVA/"/>
    </mc:Choice>
  </mc:AlternateContent>
  <xr:revisionPtr revIDLastSave="0" documentId="8_{E6DBD9AA-A718-4C2D-9410-F8AEEAF262B5}" xr6:coauthVersionLast="47" xr6:coauthVersionMax="47" xr10:uidLastSave="{00000000-0000-0000-0000-000000000000}"/>
  <bookViews>
    <workbookView xWindow="-108" yWindow="-108" windowWidth="23256" windowHeight="12576" activeTab="1" xr2:uid="{000431F9-7AD4-4BCF-8A02-CFE887087110}"/>
  </bookViews>
  <sheets>
    <sheet name="Cuadro Resumen" sheetId="17" r:id="rId1"/>
    <sheet name="Conteo" sheetId="1" r:id="rId2"/>
  </sheets>
  <definedNames>
    <definedName name="_xlnm._FilterDatabase" localSheetId="0" hidden="1">'Cuadro Resumen'!$A$1:$E$17</definedName>
    <definedName name="SegmentaciónDeDatos_CD">#N/A</definedName>
    <definedName name="SegmentaciónDeDatos_Cliente">#N/A</definedName>
    <definedName name="SegmentaciónDeDatos_TIPO">#N/A</definedName>
  </definedNames>
  <calcPr calcId="191029"/>
  <pivotCaches>
    <pivotCache cacheId="7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2" i="1" l="1"/>
  <c r="L102" i="1" l="1"/>
  <c r="L101" i="1"/>
  <c r="J102" i="1" l="1"/>
  <c r="H103" i="1"/>
  <c r="J103" i="1" s="1"/>
  <c r="L103" i="1"/>
  <c r="H219" i="1"/>
  <c r="J219" i="1" s="1"/>
  <c r="H220" i="1"/>
  <c r="J220" i="1" s="1"/>
  <c r="L218" i="1"/>
  <c r="H218" i="1"/>
  <c r="J218" i="1" s="1"/>
  <c r="L217" i="1"/>
  <c r="H217" i="1"/>
  <c r="J217" i="1" s="1"/>
  <c r="L219" i="1"/>
  <c r="L220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199" i="1"/>
  <c r="H188" i="1"/>
  <c r="H187" i="1"/>
  <c r="H179" i="1"/>
  <c r="J179" i="1" s="1"/>
  <c r="H178" i="1"/>
  <c r="L179" i="1"/>
  <c r="H176" i="1"/>
  <c r="H174" i="1"/>
  <c r="H175" i="1"/>
  <c r="J175" i="1" s="1"/>
  <c r="L175" i="1"/>
  <c r="H213" i="1"/>
  <c r="J213" i="1" s="1"/>
  <c r="H216" i="1"/>
  <c r="J216" i="1" s="1"/>
  <c r="H212" i="1"/>
  <c r="J212" i="1" s="1"/>
  <c r="H214" i="1"/>
  <c r="J214" i="1" s="1"/>
  <c r="H215" i="1"/>
  <c r="J215" i="1" s="1"/>
  <c r="L212" i="1"/>
  <c r="L213" i="1"/>
  <c r="L214" i="1"/>
  <c r="L215" i="1"/>
  <c r="L216" i="1"/>
  <c r="H13" i="1"/>
  <c r="H177" i="1"/>
  <c r="H180" i="1"/>
  <c r="H181" i="1"/>
  <c r="H182" i="1"/>
  <c r="H183" i="1"/>
  <c r="H184" i="1"/>
  <c r="H185" i="1"/>
  <c r="H186" i="1"/>
  <c r="H189" i="1"/>
  <c r="H190" i="1"/>
  <c r="H191" i="1"/>
  <c r="H192" i="1"/>
  <c r="H193" i="1"/>
  <c r="H194" i="1"/>
  <c r="H195" i="1"/>
  <c r="H196" i="1"/>
  <c r="H197" i="1"/>
  <c r="H198" i="1"/>
  <c r="H104" i="1" l="1"/>
  <c r="J104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36" i="1"/>
  <c r="J36" i="1" s="1"/>
  <c r="L211" i="1"/>
  <c r="J211" i="1"/>
  <c r="L210" i="1"/>
  <c r="J210" i="1"/>
  <c r="L209" i="1"/>
  <c r="J209" i="1"/>
  <c r="L208" i="1"/>
  <c r="J208" i="1"/>
  <c r="L207" i="1"/>
  <c r="J207" i="1"/>
  <c r="L206" i="1"/>
  <c r="J206" i="1"/>
  <c r="L205" i="1"/>
  <c r="J205" i="1"/>
  <c r="L204" i="1"/>
  <c r="J204" i="1"/>
  <c r="L203" i="1"/>
  <c r="J203" i="1"/>
  <c r="L202" i="1"/>
  <c r="J202" i="1"/>
  <c r="L201" i="1"/>
  <c r="J201" i="1"/>
  <c r="L200" i="1"/>
  <c r="J200" i="1"/>
  <c r="L199" i="1"/>
  <c r="J199" i="1"/>
  <c r="L198" i="1"/>
  <c r="J198" i="1"/>
  <c r="L197" i="1"/>
  <c r="J197" i="1"/>
  <c r="L196" i="1"/>
  <c r="J196" i="1"/>
  <c r="L195" i="1"/>
  <c r="J195" i="1"/>
  <c r="L194" i="1"/>
  <c r="J194" i="1"/>
  <c r="L193" i="1"/>
  <c r="J193" i="1"/>
  <c r="L192" i="1"/>
  <c r="J192" i="1"/>
  <c r="L191" i="1"/>
  <c r="J191" i="1"/>
  <c r="L190" i="1"/>
  <c r="J190" i="1"/>
  <c r="L189" i="1"/>
  <c r="J189" i="1"/>
  <c r="L188" i="1"/>
  <c r="J188" i="1"/>
  <c r="L187" i="1"/>
  <c r="J187" i="1"/>
  <c r="L186" i="1"/>
  <c r="J186" i="1"/>
  <c r="L185" i="1"/>
  <c r="J185" i="1"/>
  <c r="L184" i="1"/>
  <c r="J184" i="1"/>
  <c r="L183" i="1"/>
  <c r="J183" i="1"/>
  <c r="L182" i="1"/>
  <c r="J182" i="1"/>
  <c r="L181" i="1"/>
  <c r="J181" i="1"/>
  <c r="L180" i="1"/>
  <c r="J180" i="1"/>
  <c r="L178" i="1"/>
  <c r="J178" i="1"/>
  <c r="L177" i="1"/>
  <c r="J177" i="1"/>
  <c r="L176" i="1"/>
  <c r="J176" i="1"/>
  <c r="L174" i="1"/>
  <c r="J174" i="1"/>
  <c r="L173" i="1"/>
  <c r="L172" i="1"/>
  <c r="L171" i="1"/>
  <c r="L170" i="1"/>
  <c r="L169" i="1"/>
  <c r="L168" i="1"/>
  <c r="L167" i="1"/>
  <c r="L166" i="1"/>
  <c r="H166" i="1"/>
  <c r="J166" i="1" s="1"/>
  <c r="L165" i="1"/>
  <c r="H165" i="1"/>
  <c r="J165" i="1" s="1"/>
  <c r="L164" i="1"/>
  <c r="H164" i="1"/>
  <c r="J164" i="1" s="1"/>
  <c r="L163" i="1"/>
  <c r="H163" i="1"/>
  <c r="J163" i="1" s="1"/>
  <c r="L162" i="1"/>
  <c r="H162" i="1"/>
  <c r="J162" i="1" s="1"/>
  <c r="L161" i="1"/>
  <c r="H161" i="1"/>
  <c r="J161" i="1" s="1"/>
  <c r="L160" i="1"/>
  <c r="H160" i="1"/>
  <c r="J160" i="1" s="1"/>
  <c r="L159" i="1"/>
  <c r="H159" i="1"/>
  <c r="J159" i="1" s="1"/>
  <c r="L158" i="1"/>
  <c r="H158" i="1"/>
  <c r="J158" i="1" s="1"/>
  <c r="L157" i="1"/>
  <c r="H157" i="1"/>
  <c r="J157" i="1" s="1"/>
  <c r="L156" i="1"/>
  <c r="H156" i="1"/>
  <c r="J156" i="1" s="1"/>
  <c r="L155" i="1"/>
  <c r="H155" i="1"/>
  <c r="J155" i="1" s="1"/>
  <c r="L154" i="1"/>
  <c r="H154" i="1"/>
  <c r="J154" i="1" s="1"/>
  <c r="L153" i="1"/>
  <c r="H153" i="1"/>
  <c r="J153" i="1" s="1"/>
  <c r="L152" i="1"/>
  <c r="H152" i="1"/>
  <c r="J152" i="1" s="1"/>
  <c r="L151" i="1"/>
  <c r="H151" i="1"/>
  <c r="J151" i="1" s="1"/>
  <c r="L150" i="1"/>
  <c r="H150" i="1"/>
  <c r="J150" i="1" s="1"/>
  <c r="L149" i="1"/>
  <c r="H149" i="1"/>
  <c r="J149" i="1" s="1"/>
  <c r="L148" i="1"/>
  <c r="H148" i="1"/>
  <c r="J148" i="1" s="1"/>
  <c r="L147" i="1"/>
  <c r="H147" i="1"/>
  <c r="J147" i="1" s="1"/>
  <c r="L146" i="1"/>
  <c r="H146" i="1"/>
  <c r="J146" i="1" s="1"/>
  <c r="L145" i="1"/>
  <c r="H145" i="1"/>
  <c r="J145" i="1" s="1"/>
  <c r="L144" i="1"/>
  <c r="H144" i="1"/>
  <c r="J144" i="1" s="1"/>
  <c r="L143" i="1"/>
  <c r="H143" i="1"/>
  <c r="J143" i="1" s="1"/>
  <c r="L142" i="1"/>
  <c r="H142" i="1"/>
  <c r="J142" i="1" s="1"/>
  <c r="L141" i="1"/>
  <c r="H141" i="1"/>
  <c r="J141" i="1" s="1"/>
  <c r="L140" i="1"/>
  <c r="H140" i="1"/>
  <c r="J140" i="1" s="1"/>
  <c r="L139" i="1"/>
  <c r="H139" i="1"/>
  <c r="J139" i="1" s="1"/>
  <c r="L138" i="1"/>
  <c r="H138" i="1"/>
  <c r="J138" i="1" s="1"/>
  <c r="L137" i="1"/>
  <c r="H137" i="1"/>
  <c r="J137" i="1" s="1"/>
  <c r="L136" i="1"/>
  <c r="H136" i="1"/>
  <c r="J136" i="1" s="1"/>
  <c r="L135" i="1"/>
  <c r="H135" i="1"/>
  <c r="J135" i="1" s="1"/>
  <c r="L134" i="1"/>
  <c r="H134" i="1"/>
  <c r="J134" i="1" s="1"/>
  <c r="L133" i="1"/>
  <c r="H133" i="1"/>
  <c r="J133" i="1" s="1"/>
  <c r="L132" i="1"/>
  <c r="H132" i="1"/>
  <c r="J132" i="1" s="1"/>
  <c r="L131" i="1"/>
  <c r="H131" i="1"/>
  <c r="J131" i="1" s="1"/>
  <c r="L130" i="1"/>
  <c r="H130" i="1"/>
  <c r="J130" i="1" s="1"/>
  <c r="L129" i="1"/>
  <c r="H129" i="1"/>
  <c r="J129" i="1" s="1"/>
  <c r="L128" i="1"/>
  <c r="H128" i="1"/>
  <c r="J128" i="1" s="1"/>
  <c r="L127" i="1"/>
  <c r="H127" i="1"/>
  <c r="J127" i="1" s="1"/>
  <c r="L126" i="1"/>
  <c r="H126" i="1"/>
  <c r="J126" i="1" s="1"/>
  <c r="L125" i="1"/>
  <c r="H125" i="1"/>
  <c r="J125" i="1" s="1"/>
  <c r="L124" i="1"/>
  <c r="H124" i="1"/>
  <c r="J124" i="1" s="1"/>
  <c r="L123" i="1"/>
  <c r="H123" i="1"/>
  <c r="J123" i="1" s="1"/>
  <c r="L122" i="1"/>
  <c r="H122" i="1"/>
  <c r="J122" i="1" s="1"/>
  <c r="L121" i="1"/>
  <c r="H121" i="1"/>
  <c r="J121" i="1" s="1"/>
  <c r="L120" i="1"/>
  <c r="H120" i="1"/>
  <c r="J120" i="1" s="1"/>
  <c r="L119" i="1"/>
  <c r="H119" i="1"/>
  <c r="J119" i="1" s="1"/>
  <c r="L118" i="1"/>
  <c r="H118" i="1"/>
  <c r="J118" i="1" s="1"/>
  <c r="L117" i="1"/>
  <c r="H117" i="1"/>
  <c r="J117" i="1" s="1"/>
  <c r="L116" i="1"/>
  <c r="H116" i="1"/>
  <c r="J116" i="1" s="1"/>
  <c r="L115" i="1"/>
  <c r="H115" i="1"/>
  <c r="J115" i="1" s="1"/>
  <c r="L114" i="1"/>
  <c r="H114" i="1"/>
  <c r="J114" i="1" s="1"/>
  <c r="L113" i="1"/>
  <c r="H113" i="1"/>
  <c r="J113" i="1" s="1"/>
  <c r="L112" i="1"/>
  <c r="H112" i="1"/>
  <c r="J112" i="1" s="1"/>
  <c r="L111" i="1"/>
  <c r="H111" i="1"/>
  <c r="J111" i="1" s="1"/>
  <c r="L110" i="1"/>
  <c r="H110" i="1"/>
  <c r="J110" i="1" s="1"/>
  <c r="L109" i="1"/>
  <c r="H109" i="1"/>
  <c r="J109" i="1" s="1"/>
  <c r="L108" i="1"/>
  <c r="H108" i="1"/>
  <c r="J108" i="1" s="1"/>
  <c r="L107" i="1"/>
  <c r="H107" i="1"/>
  <c r="J107" i="1" s="1"/>
  <c r="L106" i="1"/>
  <c r="H106" i="1"/>
  <c r="J106" i="1" s="1"/>
  <c r="L105" i="1"/>
  <c r="H105" i="1"/>
  <c r="J105" i="1" s="1"/>
  <c r="L104" i="1"/>
  <c r="H101" i="1"/>
  <c r="J101" i="1" s="1"/>
  <c r="L100" i="1"/>
  <c r="H100" i="1"/>
  <c r="J100" i="1" s="1"/>
  <c r="L99" i="1"/>
  <c r="H99" i="1"/>
  <c r="J99" i="1" s="1"/>
  <c r="L98" i="1"/>
  <c r="H98" i="1"/>
  <c r="J98" i="1" s="1"/>
  <c r="L97" i="1"/>
  <c r="H97" i="1"/>
  <c r="J97" i="1" s="1"/>
  <c r="L96" i="1"/>
  <c r="H96" i="1"/>
  <c r="J96" i="1" s="1"/>
  <c r="L95" i="1"/>
  <c r="H95" i="1"/>
  <c r="J95" i="1" s="1"/>
  <c r="L94" i="1"/>
  <c r="H94" i="1"/>
  <c r="J94" i="1" s="1"/>
  <c r="L93" i="1"/>
  <c r="H93" i="1"/>
  <c r="J93" i="1" s="1"/>
  <c r="L92" i="1"/>
  <c r="H92" i="1"/>
  <c r="J92" i="1" s="1"/>
  <c r="L91" i="1"/>
  <c r="H91" i="1"/>
  <c r="J91" i="1" s="1"/>
  <c r="L90" i="1"/>
  <c r="H90" i="1"/>
  <c r="J90" i="1" s="1"/>
  <c r="L89" i="1"/>
  <c r="H89" i="1"/>
  <c r="J89" i="1" s="1"/>
  <c r="L88" i="1"/>
  <c r="H88" i="1"/>
  <c r="J88" i="1" s="1"/>
  <c r="L87" i="1"/>
  <c r="H87" i="1"/>
  <c r="J87" i="1" s="1"/>
  <c r="L86" i="1"/>
  <c r="H86" i="1"/>
  <c r="J86" i="1" s="1"/>
  <c r="L85" i="1"/>
  <c r="H85" i="1"/>
  <c r="J85" i="1" s="1"/>
  <c r="L84" i="1"/>
  <c r="H84" i="1"/>
  <c r="J84" i="1" s="1"/>
  <c r="L83" i="1"/>
  <c r="H83" i="1"/>
  <c r="J83" i="1" s="1"/>
  <c r="L82" i="1"/>
  <c r="H82" i="1"/>
  <c r="J82" i="1" s="1"/>
  <c r="L81" i="1"/>
  <c r="H81" i="1"/>
  <c r="J81" i="1" s="1"/>
  <c r="L80" i="1"/>
  <c r="H80" i="1"/>
  <c r="J80" i="1" s="1"/>
  <c r="L79" i="1"/>
  <c r="H79" i="1"/>
  <c r="J79" i="1" s="1"/>
  <c r="L78" i="1"/>
  <c r="H78" i="1"/>
  <c r="J78" i="1" s="1"/>
  <c r="L77" i="1"/>
  <c r="H77" i="1"/>
  <c r="J77" i="1" s="1"/>
  <c r="L76" i="1"/>
  <c r="H76" i="1"/>
  <c r="J76" i="1" s="1"/>
  <c r="L75" i="1"/>
  <c r="H75" i="1"/>
  <c r="J75" i="1" s="1"/>
  <c r="L74" i="1"/>
  <c r="H74" i="1"/>
  <c r="J74" i="1" s="1"/>
  <c r="L73" i="1"/>
  <c r="H73" i="1"/>
  <c r="J73" i="1" s="1"/>
  <c r="L72" i="1"/>
  <c r="H72" i="1"/>
  <c r="J72" i="1" s="1"/>
  <c r="L71" i="1"/>
  <c r="H71" i="1"/>
  <c r="J71" i="1" s="1"/>
  <c r="L70" i="1"/>
  <c r="H70" i="1"/>
  <c r="J70" i="1" s="1"/>
  <c r="L69" i="1"/>
  <c r="H69" i="1"/>
  <c r="J69" i="1" s="1"/>
  <c r="L68" i="1"/>
  <c r="H68" i="1"/>
  <c r="J68" i="1" s="1"/>
  <c r="L67" i="1"/>
  <c r="H67" i="1"/>
  <c r="J67" i="1" s="1"/>
  <c r="L66" i="1"/>
  <c r="H66" i="1"/>
  <c r="J66" i="1" s="1"/>
  <c r="L65" i="1"/>
  <c r="H65" i="1"/>
  <c r="J65" i="1" s="1"/>
  <c r="L64" i="1"/>
  <c r="H64" i="1"/>
  <c r="J64" i="1" s="1"/>
  <c r="L63" i="1"/>
  <c r="H63" i="1"/>
  <c r="J63" i="1" s="1"/>
  <c r="L62" i="1"/>
  <c r="H62" i="1"/>
  <c r="J62" i="1" s="1"/>
  <c r="L61" i="1"/>
  <c r="H61" i="1"/>
  <c r="J61" i="1" s="1"/>
  <c r="L60" i="1"/>
  <c r="H60" i="1"/>
  <c r="J60" i="1" s="1"/>
  <c r="L59" i="1"/>
  <c r="H59" i="1"/>
  <c r="J59" i="1" s="1"/>
  <c r="L58" i="1"/>
  <c r="H58" i="1"/>
  <c r="J58" i="1" s="1"/>
  <c r="L57" i="1"/>
  <c r="H57" i="1"/>
  <c r="J57" i="1" s="1"/>
  <c r="L56" i="1"/>
  <c r="H56" i="1"/>
  <c r="J56" i="1" s="1"/>
  <c r="L55" i="1"/>
  <c r="H55" i="1"/>
  <c r="J55" i="1" s="1"/>
  <c r="L54" i="1"/>
  <c r="H54" i="1"/>
  <c r="J54" i="1" s="1"/>
  <c r="L53" i="1"/>
  <c r="H53" i="1"/>
  <c r="J53" i="1" s="1"/>
  <c r="L52" i="1"/>
  <c r="H52" i="1"/>
  <c r="J52" i="1" s="1"/>
  <c r="L51" i="1"/>
  <c r="H51" i="1"/>
  <c r="J51" i="1" s="1"/>
  <c r="L50" i="1"/>
  <c r="H50" i="1"/>
  <c r="J50" i="1" s="1"/>
  <c r="L49" i="1"/>
  <c r="H49" i="1"/>
  <c r="J49" i="1" s="1"/>
  <c r="L48" i="1"/>
  <c r="H48" i="1"/>
  <c r="J48" i="1" s="1"/>
  <c r="L47" i="1"/>
  <c r="H47" i="1"/>
  <c r="J47" i="1" s="1"/>
  <c r="L46" i="1"/>
  <c r="H46" i="1"/>
  <c r="J46" i="1" s="1"/>
  <c r="L45" i="1"/>
  <c r="H45" i="1"/>
  <c r="J45" i="1" s="1"/>
  <c r="L44" i="1"/>
  <c r="H44" i="1"/>
  <c r="J44" i="1" s="1"/>
  <c r="L43" i="1"/>
  <c r="H43" i="1"/>
  <c r="J43" i="1" s="1"/>
  <c r="L42" i="1"/>
  <c r="H42" i="1"/>
  <c r="J42" i="1" s="1"/>
  <c r="L41" i="1"/>
  <c r="H41" i="1"/>
  <c r="J41" i="1" s="1"/>
  <c r="L40" i="1"/>
  <c r="H40" i="1"/>
  <c r="J40" i="1" s="1"/>
  <c r="L39" i="1"/>
  <c r="H39" i="1"/>
  <c r="J39" i="1" s="1"/>
  <c r="L38" i="1"/>
  <c r="H38" i="1"/>
  <c r="J38" i="1" s="1"/>
  <c r="L37" i="1"/>
  <c r="H37" i="1"/>
  <c r="J37" i="1" s="1"/>
  <c r="L36" i="1"/>
  <c r="L35" i="1"/>
  <c r="H35" i="1"/>
  <c r="J35" i="1" s="1"/>
  <c r="L34" i="1"/>
  <c r="H34" i="1"/>
  <c r="J34" i="1" s="1"/>
  <c r="L33" i="1"/>
  <c r="H33" i="1"/>
  <c r="J33" i="1" s="1"/>
  <c r="L32" i="1"/>
  <c r="H32" i="1"/>
  <c r="J32" i="1" s="1"/>
  <c r="L31" i="1"/>
  <c r="H31" i="1"/>
  <c r="J31" i="1" s="1"/>
  <c r="L30" i="1"/>
  <c r="H30" i="1"/>
  <c r="J30" i="1" s="1"/>
  <c r="L29" i="1"/>
  <c r="H29" i="1"/>
  <c r="J29" i="1" s="1"/>
  <c r="L28" i="1"/>
  <c r="H28" i="1"/>
  <c r="J28" i="1" s="1"/>
  <c r="L27" i="1"/>
  <c r="H27" i="1"/>
  <c r="J27" i="1" s="1"/>
  <c r="L26" i="1"/>
  <c r="H26" i="1"/>
  <c r="J26" i="1" s="1"/>
  <c r="L25" i="1"/>
  <c r="H25" i="1"/>
  <c r="J25" i="1" s="1"/>
  <c r="L24" i="1"/>
  <c r="H24" i="1"/>
  <c r="J24" i="1" s="1"/>
  <c r="L23" i="1"/>
  <c r="H23" i="1"/>
  <c r="J23" i="1" s="1"/>
  <c r="L22" i="1"/>
  <c r="H22" i="1"/>
  <c r="J22" i="1" s="1"/>
  <c r="L21" i="1"/>
  <c r="H21" i="1"/>
  <c r="J21" i="1" s="1"/>
  <c r="L20" i="1"/>
  <c r="H20" i="1"/>
  <c r="J20" i="1" s="1"/>
  <c r="L19" i="1"/>
  <c r="H19" i="1"/>
  <c r="J19" i="1" s="1"/>
  <c r="L18" i="1"/>
  <c r="H18" i="1"/>
  <c r="J18" i="1" s="1"/>
  <c r="L17" i="1"/>
  <c r="H17" i="1"/>
  <c r="J17" i="1" s="1"/>
  <c r="L16" i="1"/>
  <c r="H16" i="1"/>
  <c r="J16" i="1" s="1"/>
  <c r="L15" i="1"/>
  <c r="H15" i="1"/>
  <c r="J15" i="1" s="1"/>
  <c r="L14" i="1"/>
  <c r="H14" i="1"/>
  <c r="J14" i="1" s="1"/>
  <c r="L13" i="1"/>
  <c r="J13" i="1"/>
  <c r="L12" i="1"/>
  <c r="H12" i="1"/>
  <c r="J12" i="1" s="1"/>
  <c r="L11" i="1"/>
  <c r="H11" i="1"/>
  <c r="J11" i="1" s="1"/>
  <c r="L221" i="1" l="1"/>
</calcChain>
</file>

<file path=xl/sharedStrings.xml><?xml version="1.0" encoding="utf-8"?>
<sst xmlns="http://schemas.openxmlformats.org/spreadsheetml/2006/main" count="1298" uniqueCount="85">
  <si>
    <t>OCUPACION DETALLADA 
CD VILLA-NUEVA</t>
  </si>
  <si>
    <t>ESTADO</t>
  </si>
  <si>
    <t>CD</t>
  </si>
  <si>
    <t>PASILLO</t>
  </si>
  <si>
    <t>CARA</t>
  </si>
  <si>
    <t>TIPO</t>
  </si>
  <si>
    <t>VACIO</t>
  </si>
  <si>
    <t>OCUPADO</t>
  </si>
  <si>
    <t>CAPACIDAD</t>
  </si>
  <si>
    <t>%OCUPACION</t>
  </si>
  <si>
    <t>SECTOR</t>
  </si>
  <si>
    <t>PROYECCION BULTOS A RECIBIR</t>
  </si>
  <si>
    <t>CD1</t>
  </si>
  <si>
    <t>Pasillo 1</t>
  </si>
  <si>
    <t>A</t>
  </si>
  <si>
    <t>Rack 1.5</t>
  </si>
  <si>
    <t>LIMPIEZA</t>
  </si>
  <si>
    <t>Media Pallet</t>
  </si>
  <si>
    <t>B</t>
  </si>
  <si>
    <t>Pasillo 2</t>
  </si>
  <si>
    <t>Pasillo 3</t>
  </si>
  <si>
    <t>Pasillo 4</t>
  </si>
  <si>
    <t>Pasillo 5</t>
  </si>
  <si>
    <t>LIMPIEZA Y COSMETICOS</t>
  </si>
  <si>
    <t>Pasillo 6</t>
  </si>
  <si>
    <t>Pasillo 7</t>
  </si>
  <si>
    <t>Pasillo 8</t>
  </si>
  <si>
    <t>Pasillo 9</t>
  </si>
  <si>
    <t>LIMPIEZA Y UNIDADES</t>
  </si>
  <si>
    <t>Pasillo 10</t>
  </si>
  <si>
    <t>Pasillo 11</t>
  </si>
  <si>
    <t>Pasillo 12</t>
  </si>
  <si>
    <t>COMESTIBLE</t>
  </si>
  <si>
    <t>Pasillo 13</t>
  </si>
  <si>
    <t>Pasillo 14</t>
  </si>
  <si>
    <t>Pasillo 15</t>
  </si>
  <si>
    <t>Pasillo 16</t>
  </si>
  <si>
    <t>Pasillo 17</t>
  </si>
  <si>
    <t>Pasillo 18</t>
  </si>
  <si>
    <t>Pasillo 19</t>
  </si>
  <si>
    <t>BEBES</t>
  </si>
  <si>
    <t>Pasillo 20</t>
  </si>
  <si>
    <t xml:space="preserve">BEBES, PAPEL Y GRANOS </t>
  </si>
  <si>
    <t>Rack 2.5</t>
  </si>
  <si>
    <t>Pasillo 21</t>
  </si>
  <si>
    <t>Pasillo 22</t>
  </si>
  <si>
    <t>GRANOS</t>
  </si>
  <si>
    <t>Pasillo 23</t>
  </si>
  <si>
    <t>LICOR</t>
  </si>
  <si>
    <t>Pasillo 24</t>
  </si>
  <si>
    <t>GNC</t>
  </si>
  <si>
    <t>Pasillo 25</t>
  </si>
  <si>
    <t>Pasillo 26</t>
  </si>
  <si>
    <t xml:space="preserve">AZUCAR Y PAPEL </t>
  </si>
  <si>
    <t>Pasillo 27</t>
  </si>
  <si>
    <t>Pasillo 30</t>
  </si>
  <si>
    <t>AVERIAS</t>
  </si>
  <si>
    <t>CD2</t>
  </si>
  <si>
    <t>DESECHALES</t>
  </si>
  <si>
    <t>COMESTIBLE GRANDE Y DESECHABLE</t>
  </si>
  <si>
    <t>LECHES TETRA</t>
  </si>
  <si>
    <t>GALLETAS</t>
  </si>
  <si>
    <t xml:space="preserve">BEBIDAS </t>
  </si>
  <si>
    <t>BEBIDAS Y FIDELIZACION</t>
  </si>
  <si>
    <t>MASCOTAS</t>
  </si>
  <si>
    <t xml:space="preserve">NAVIDAD. JUGUETES Y FIDEIZACION </t>
  </si>
  <si>
    <t>CD3</t>
  </si>
  <si>
    <t>QUALA</t>
  </si>
  <si>
    <t>LTX</t>
  </si>
  <si>
    <t>RESERVA</t>
  </si>
  <si>
    <t>CD4</t>
  </si>
  <si>
    <t>Total general</t>
  </si>
  <si>
    <t>Total CD1</t>
  </si>
  <si>
    <t>Total CD2</t>
  </si>
  <si>
    <t>Total CD3</t>
  </si>
  <si>
    <t>Total CD4</t>
  </si>
  <si>
    <t>Pos Totales</t>
  </si>
  <si>
    <t>Pos OCUPADO</t>
  </si>
  <si>
    <t>%de Ocupación</t>
  </si>
  <si>
    <t>Pasillo 28</t>
  </si>
  <si>
    <t>Cliente</t>
  </si>
  <si>
    <t>Unisuper</t>
  </si>
  <si>
    <t>Averias</t>
  </si>
  <si>
    <t>Importados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</si>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</sst>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22"/>
      <color rgb="FF009A3F"/>
      <name val="Calibri"/>
      <family val="2"/>
    </font>
    <font>
      <b/>
      <sz val="14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39200"/>
        <bgColor indexed="64"/>
      </patternFill>
    </fill>
    <fill>
      <patternFill patternType="solid">
        <fgColor rgb="FF009A3F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double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2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Alignment="1">
      <alignment vertical="center"/>
    </xf>
    <xf numFmtId="10" fontId="0" fillId="0" borderId="0" xfId="1" applyNumberFormat="1" applyFont="1" applyFill="1" applyBorder="1"/>
    <xf numFmtId="10" fontId="0" fillId="0" borderId="0" xfId="1" applyNumberFormat="1" applyFont="1" applyFill="1"/>
    <xf numFmtId="10" fontId="0" fillId="0" borderId="0" xfId="0" applyNumberFormat="1"/>
    <xf numFmtId="0" fontId="0" fillId="0" borderId="0" xfId="0" pivotButton="1"/>
    <xf numFmtId="10" fontId="0" fillId="0" borderId="0" xfId="1" applyNumberFormat="1" applyFont="1"/>
    <xf numFmtId="0" fontId="0" fillId="4" borderId="2" xfId="0" applyFill="1" applyBorder="1"/>
    <xf numFmtId="0" fontId="0" fillId="0" borderId="2" xfId="0" applyBorder="1"/>
    <xf numFmtId="0" fontId="7" fillId="0" borderId="3" xfId="0" applyFont="1" applyBorder="1"/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8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4">
    <dxf>
      <numFmt numFmtId="14" formatCode="0.00%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9A3F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1</xdr:row>
      <xdr:rowOff>9525</xdr:rowOff>
    </xdr:from>
    <xdr:to>
      <xdr:col>6</xdr:col>
      <xdr:colOff>817245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iente">
              <a:extLst>
                <a:ext uri="{FF2B5EF4-FFF2-40B4-BE49-F238E27FC236}">
                  <a16:creationId xmlns:a16="http://schemas.microsoft.com/office/drawing/2014/main" id="{9191569D-4157-7132-0B7F-EF3FF51334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2225" y="200025"/>
              <a:ext cx="182880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466725</xdr:colOff>
      <xdr:row>10</xdr:row>
      <xdr:rowOff>85726</xdr:rowOff>
    </xdr:from>
    <xdr:to>
      <xdr:col>6</xdr:col>
      <xdr:colOff>838200</xdr:colOff>
      <xdr:row>18</xdr:row>
      <xdr:rowOff>53341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D">
              <a:extLst>
                <a:ext uri="{FF2B5EF4-FFF2-40B4-BE49-F238E27FC236}">
                  <a16:creationId xmlns:a16="http://schemas.microsoft.com/office/drawing/2014/main" id="{11CE4460-E13C-8266-324C-F6AA008250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1750" y="1990726"/>
              <a:ext cx="18288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95250</xdr:colOff>
      <xdr:row>1</xdr:row>
      <xdr:rowOff>38100</xdr:rowOff>
    </xdr:from>
    <xdr:to>
      <xdr:col>9</xdr:col>
      <xdr:colOff>0</xdr:colOff>
      <xdr:row>7</xdr:row>
      <xdr:rowOff>55245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IPO">
              <a:extLst>
                <a:ext uri="{FF2B5EF4-FFF2-40B4-BE49-F238E27FC236}">
                  <a16:creationId xmlns:a16="http://schemas.microsoft.com/office/drawing/2014/main" id="{EB371F56-12D1-27DA-B4D2-350B54CFC4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9625" y="228600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104775</xdr:rowOff>
    </xdr:from>
    <xdr:ext cx="2750820" cy="457200"/>
    <xdr:pic>
      <xdr:nvPicPr>
        <xdr:cNvPr id="2" name="Imagen 1">
          <a:extLst>
            <a:ext uri="{FF2B5EF4-FFF2-40B4-BE49-F238E27FC236}">
              <a16:creationId xmlns:a16="http://schemas.microsoft.com/office/drawing/2014/main" id="{99C148E8-FD16-4FD1-A49A-F702ACDA1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0" t="36340" b="39738"/>
        <a:stretch/>
      </xdr:blipFill>
      <xdr:spPr>
        <a:xfrm>
          <a:off x="342900" y="104775"/>
          <a:ext cx="2750820" cy="4572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dras Ademir Ramirez Herrera" refreshedDate="46314.315262847223" createdVersion="8" refreshedVersion="8" minRefreshableVersion="3" recordCount="210" xr:uid="{2DD16E3A-5061-4F4D-A6C5-DD1BC2475675}">
  <cacheSource type="worksheet">
    <worksheetSource ref="B10:L220" sheet="Conteo"/>
  </cacheSource>
  <cacheFields count="13">
    <cacheField name="Cliente" numFmtId="0">
      <sharedItems count="5">
        <s v="Unisuper"/>
        <s v="GNC"/>
        <s v="Averias"/>
        <s v="LTX"/>
        <s v="Importados"/>
      </sharedItems>
    </cacheField>
    <cacheField name="CD" numFmtId="0">
      <sharedItems count="4">
        <s v="CD1"/>
        <s v="CD2"/>
        <s v="CD3"/>
        <s v="CD4"/>
      </sharedItems>
    </cacheField>
    <cacheField name="PASILLO" numFmtId="0">
      <sharedItems/>
    </cacheField>
    <cacheField name="CARA" numFmtId="0">
      <sharedItems/>
    </cacheField>
    <cacheField name="TIPO" numFmtId="0">
      <sharedItems count="3">
        <s v="Rack 1.5"/>
        <s v="Media Pallet"/>
        <s v="Rack 2.5"/>
      </sharedItems>
    </cacheField>
    <cacheField name="VACIO" numFmtId="0">
      <sharedItems containsSemiMixedTypes="0" containsString="0" containsNumber="1" containsInteger="1" minValue="0" maxValue="168"/>
    </cacheField>
    <cacheField name="OCUPADO" numFmtId="0">
      <sharedItems containsSemiMixedTypes="0" containsString="0" containsNumber="1" containsInteger="1" minValue="-24" maxValue="205"/>
    </cacheField>
    <cacheField name="CAPACIDAD" numFmtId="0">
      <sharedItems containsSemiMixedTypes="0" containsString="0" containsNumber="1" containsInteger="1" minValue="4" maxValue="216"/>
    </cacheField>
    <cacheField name="%OCUPACION" numFmtId="10">
      <sharedItems containsSemiMixedTypes="0" containsString="0" containsNumber="1" minValue="-0.6" maxValue="1"/>
    </cacheField>
    <cacheField name="SECTOR" numFmtId="0">
      <sharedItems/>
    </cacheField>
    <cacheField name="PROYECCION BULTOS A RECIBIR" numFmtId="0">
      <sharedItems containsSemiMixedTypes="0" containsString="0" containsNumber="1" minValue="0" maxValue="4935.84"/>
    </cacheField>
    <cacheField name="% de Ocupación" numFmtId="0" formula="OCUPADO/CAPACIDAD" databaseField="0"/>
    <cacheField name="Campo1" numFmtId="0" formula="OCUPADO/CAPACIDAD" databaseField="0"/>
  </cacheFields>
  <extLst>
    <ext xmlns:x14="http://schemas.microsoft.com/office/spreadsheetml/2009/9/main" uri="{725AE2AE-9491-48be-B2B4-4EB974FC3084}">
      <x14:pivotCacheDefinition pivotCacheId="689850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s v="Pasillo 1"/>
    <s v="A"/>
    <x v="0"/>
    <n v="4"/>
    <n v="98"/>
    <n v="102"/>
    <n v="0.96078431372549022"/>
    <s v="LIMPIEZA"/>
    <n v="117.52"/>
  </r>
  <r>
    <x v="0"/>
    <x v="0"/>
    <s v="Pasillo 1"/>
    <s v="A"/>
    <x v="1"/>
    <n v="6"/>
    <n v="46"/>
    <n v="52"/>
    <n v="0.88461538461538458"/>
    <s v="LIMPIEZA"/>
    <n v="176.28"/>
  </r>
  <r>
    <x v="0"/>
    <x v="0"/>
    <s v="Pasillo 1"/>
    <s v="B"/>
    <x v="0"/>
    <n v="6"/>
    <n v="103"/>
    <n v="109"/>
    <n v="0.94495412844036697"/>
    <s v="LIMPIEZA"/>
    <n v="176.28"/>
  </r>
  <r>
    <x v="0"/>
    <x v="0"/>
    <s v="Pasillo 1"/>
    <s v="B"/>
    <x v="1"/>
    <n v="7"/>
    <n v="53"/>
    <n v="60"/>
    <n v="0.8833333333333333"/>
    <s v="LIMPIEZA"/>
    <n v="205.66"/>
  </r>
  <r>
    <x v="0"/>
    <x v="0"/>
    <s v="Pasillo 2"/>
    <s v="A"/>
    <x v="0"/>
    <n v="0"/>
    <n v="139"/>
    <n v="139"/>
    <n v="1"/>
    <s v="LIMPIEZA"/>
    <n v="0"/>
  </r>
  <r>
    <x v="0"/>
    <x v="0"/>
    <s v="Pasillo 2"/>
    <s v="B"/>
    <x v="0"/>
    <n v="0"/>
    <n v="145"/>
    <n v="145"/>
    <n v="1"/>
    <s v="LIMPIEZA"/>
    <n v="0"/>
  </r>
  <r>
    <x v="0"/>
    <x v="0"/>
    <s v="Pasillo 3"/>
    <s v="A"/>
    <x v="0"/>
    <n v="6"/>
    <n v="90"/>
    <n v="96"/>
    <n v="0.9375"/>
    <s v="LIMPIEZA"/>
    <n v="176.28"/>
  </r>
  <r>
    <x v="0"/>
    <x v="0"/>
    <s v="Pasillo 3"/>
    <s v="A"/>
    <x v="1"/>
    <n v="7"/>
    <n v="76"/>
    <n v="83"/>
    <n v="0.91566265060240959"/>
    <s v="LIMPIEZA"/>
    <n v="205.66"/>
  </r>
  <r>
    <x v="0"/>
    <x v="0"/>
    <s v="Pasillo 3"/>
    <s v="B"/>
    <x v="0"/>
    <n v="6"/>
    <n v="105"/>
    <n v="111"/>
    <n v="0.94594594594594594"/>
    <s v="LIMPIEZA"/>
    <n v="176.28"/>
  </r>
  <r>
    <x v="0"/>
    <x v="0"/>
    <s v="Pasillo 3"/>
    <s v="B"/>
    <x v="1"/>
    <n v="3"/>
    <n v="53"/>
    <n v="56"/>
    <n v="0.9464285714285714"/>
    <s v="LIMPIEZA"/>
    <n v="88.14"/>
  </r>
  <r>
    <x v="0"/>
    <x v="0"/>
    <s v="Pasillo 4"/>
    <s v="A"/>
    <x v="0"/>
    <n v="8"/>
    <n v="115"/>
    <n v="123"/>
    <n v="0.93495934959349591"/>
    <s v="LIMPIEZA"/>
    <n v="235.04"/>
  </r>
  <r>
    <x v="0"/>
    <x v="0"/>
    <s v="Pasillo 4"/>
    <s v="A"/>
    <x v="1"/>
    <n v="6"/>
    <n v="38"/>
    <n v="44"/>
    <n v="0.86363636363636365"/>
    <s v="LIMPIEZA"/>
    <n v="176.28"/>
  </r>
  <r>
    <x v="0"/>
    <x v="0"/>
    <s v="Pasillo 4"/>
    <s v="B"/>
    <x v="0"/>
    <n v="9"/>
    <n v="102"/>
    <n v="111"/>
    <n v="0.91891891891891897"/>
    <s v="LIMPIEZA"/>
    <n v="264.42"/>
  </r>
  <r>
    <x v="0"/>
    <x v="0"/>
    <s v="Pasillo 4"/>
    <s v="B"/>
    <x v="1"/>
    <n v="1"/>
    <n v="67"/>
    <n v="68"/>
    <n v="0.98529411764705888"/>
    <s v="LIMPIEZA"/>
    <n v="29.38"/>
  </r>
  <r>
    <x v="0"/>
    <x v="0"/>
    <s v="Pasillo 5"/>
    <s v="A"/>
    <x v="0"/>
    <n v="18"/>
    <n v="55"/>
    <n v="73"/>
    <n v="0.75342465753424659"/>
    <s v="LIMPIEZA Y COSMETICOS"/>
    <n v="528.84"/>
  </r>
  <r>
    <x v="0"/>
    <x v="0"/>
    <s v="Pasillo 5"/>
    <s v="A"/>
    <x v="1"/>
    <n v="11"/>
    <n v="121"/>
    <n v="132"/>
    <n v="0.91666666666666663"/>
    <s v="LIMPIEZA Y COSMETICOS"/>
    <n v="323.18"/>
  </r>
  <r>
    <x v="0"/>
    <x v="0"/>
    <s v="Pasillo 5"/>
    <s v="B"/>
    <x v="0"/>
    <n v="15"/>
    <n v="45"/>
    <n v="60"/>
    <n v="0.75"/>
    <s v="LIMPIEZA Y COSMETICOS"/>
    <n v="440.7"/>
  </r>
  <r>
    <x v="0"/>
    <x v="0"/>
    <s v="Pasillo 5"/>
    <s v="B"/>
    <x v="1"/>
    <n v="21"/>
    <n v="131"/>
    <n v="152"/>
    <n v="0.86184210526315785"/>
    <s v="LIMPIEZA Y COSMETICOS"/>
    <n v="616.98"/>
  </r>
  <r>
    <x v="0"/>
    <x v="0"/>
    <s v="Pasillo 6"/>
    <s v="A"/>
    <x v="0"/>
    <n v="4"/>
    <n v="57"/>
    <n v="61"/>
    <n v="0.93442622950819676"/>
    <s v="LIMPIEZA Y COSMETICOS"/>
    <n v="117.52"/>
  </r>
  <r>
    <x v="0"/>
    <x v="0"/>
    <s v="Pasillo 6"/>
    <s v="A"/>
    <x v="1"/>
    <n v="8"/>
    <n v="148"/>
    <n v="156"/>
    <n v="0.94871794871794868"/>
    <s v="LIMPIEZA Y COSMETICOS"/>
    <n v="235.04"/>
  </r>
  <r>
    <x v="0"/>
    <x v="0"/>
    <s v="Pasillo 6"/>
    <s v="B"/>
    <x v="0"/>
    <n v="15"/>
    <n v="46"/>
    <n v="61"/>
    <n v="0.75409836065573765"/>
    <s v="LIMPIEZA Y COSMETICOS"/>
    <n v="440.7"/>
  </r>
  <r>
    <x v="0"/>
    <x v="0"/>
    <s v="Pasillo 6"/>
    <s v="B"/>
    <x v="1"/>
    <n v="8"/>
    <n v="148"/>
    <n v="156"/>
    <n v="0.94871794871794868"/>
    <s v="LIMPIEZA Y COSMETICOS"/>
    <n v="235.04"/>
  </r>
  <r>
    <x v="0"/>
    <x v="0"/>
    <s v="Pasillo 7"/>
    <s v="A"/>
    <x v="0"/>
    <n v="6"/>
    <n v="57"/>
    <n v="63"/>
    <n v="0.90476190476190477"/>
    <s v="LIMPIEZA Y COSMETICOS"/>
    <n v="176.28"/>
  </r>
  <r>
    <x v="0"/>
    <x v="0"/>
    <s v="Pasillo 7"/>
    <s v="A"/>
    <x v="1"/>
    <n v="15"/>
    <n v="137"/>
    <n v="152"/>
    <n v="0.90131578947368418"/>
    <s v="LIMPIEZA Y COSMETICOS"/>
    <n v="440.7"/>
  </r>
  <r>
    <x v="0"/>
    <x v="0"/>
    <s v="Pasillo 7"/>
    <s v="B"/>
    <x v="0"/>
    <n v="8"/>
    <n v="131"/>
    <n v="139"/>
    <n v="0.94244604316546765"/>
    <s v="LIMPIEZA Y COSMETICOS"/>
    <n v="235.04"/>
  </r>
  <r>
    <x v="0"/>
    <x v="0"/>
    <s v="Pasillo 8"/>
    <s v="A"/>
    <x v="0"/>
    <n v="13"/>
    <n v="126"/>
    <n v="139"/>
    <n v="0.90647482014388492"/>
    <s v="LIMPIEZA Y COSMETICOS"/>
    <n v="381.94"/>
  </r>
  <r>
    <x v="0"/>
    <x v="0"/>
    <s v="Pasillo 8"/>
    <s v="B"/>
    <x v="0"/>
    <n v="44"/>
    <n v="90"/>
    <n v="134"/>
    <n v="0.67164179104477617"/>
    <s v="LIMPIEZA Y COSMETICOS"/>
    <n v="1292.72"/>
  </r>
  <r>
    <x v="0"/>
    <x v="0"/>
    <s v="Pasillo 8"/>
    <s v="B"/>
    <x v="1"/>
    <n v="0"/>
    <n v="4"/>
    <n v="4"/>
    <n v="1"/>
    <s v="LIMPIEZA Y COSMETICOS"/>
    <n v="0"/>
  </r>
  <r>
    <x v="0"/>
    <x v="0"/>
    <s v="Pasillo 9"/>
    <s v="A"/>
    <x v="0"/>
    <n v="12"/>
    <n v="79"/>
    <n v="91"/>
    <n v="0.86813186813186816"/>
    <s v="LIMPIEZA Y UNIDADES"/>
    <n v="352.56"/>
  </r>
  <r>
    <x v="0"/>
    <x v="0"/>
    <s v="Pasillo 9"/>
    <s v="A"/>
    <x v="1"/>
    <n v="7"/>
    <n v="89"/>
    <n v="96"/>
    <n v="0.92708333333333337"/>
    <s v="LIMPIEZA Y UNIDADES"/>
    <n v="205.66"/>
  </r>
  <r>
    <x v="0"/>
    <x v="0"/>
    <s v="Pasillo 9"/>
    <s v="B"/>
    <x v="0"/>
    <n v="11"/>
    <n v="73"/>
    <n v="84"/>
    <n v="0.86904761904761907"/>
    <s v="LIMPIEZA Y UNIDADES"/>
    <n v="323.18"/>
  </r>
  <r>
    <x v="0"/>
    <x v="0"/>
    <s v="Pasillo 9"/>
    <s v="B"/>
    <x v="1"/>
    <n v="7"/>
    <n v="97"/>
    <n v="104"/>
    <n v="0.93269230769230771"/>
    <s v="LIMPIEZA Y UNIDADES"/>
    <n v="205.66"/>
  </r>
  <r>
    <x v="0"/>
    <x v="0"/>
    <s v="Pasillo 10"/>
    <s v="A"/>
    <x v="0"/>
    <n v="22"/>
    <n v="117"/>
    <n v="139"/>
    <n v="0.84172661870503596"/>
    <s v="LIMPIEZA"/>
    <n v="646.36"/>
  </r>
  <r>
    <x v="0"/>
    <x v="0"/>
    <s v="Pasillo 10"/>
    <s v="B"/>
    <x v="0"/>
    <n v="28"/>
    <n v="112"/>
    <n v="140"/>
    <n v="0.8"/>
    <s v="LIMPIEZA"/>
    <n v="822.64"/>
  </r>
  <r>
    <x v="0"/>
    <x v="0"/>
    <s v="Pasillo 10"/>
    <s v="B"/>
    <x v="1"/>
    <n v="3"/>
    <n v="5"/>
    <n v="8"/>
    <n v="0.625"/>
    <s v="LIMPIEZA"/>
    <n v="88.14"/>
  </r>
  <r>
    <x v="0"/>
    <x v="0"/>
    <s v="Pasillo 11"/>
    <s v="A"/>
    <x v="0"/>
    <n v="23"/>
    <n v="113"/>
    <n v="136"/>
    <n v="0.83088235294117652"/>
    <s v="LIMPIEZA"/>
    <n v="675.74"/>
  </r>
  <r>
    <x v="0"/>
    <x v="0"/>
    <s v="Pasillo 11"/>
    <s v="B"/>
    <x v="0"/>
    <n v="26"/>
    <n v="113"/>
    <n v="139"/>
    <n v="0.81294964028776984"/>
    <s v="LIMPIEZA"/>
    <n v="763.88"/>
  </r>
  <r>
    <x v="0"/>
    <x v="0"/>
    <s v="Pasillo 12"/>
    <s v="A"/>
    <x v="0"/>
    <n v="7"/>
    <n v="135"/>
    <n v="142"/>
    <n v="0.95070422535211263"/>
    <s v="COMESTIBLE"/>
    <n v="205.66"/>
  </r>
  <r>
    <x v="0"/>
    <x v="0"/>
    <s v="Pasillo 12"/>
    <s v="B"/>
    <x v="0"/>
    <n v="11"/>
    <n v="128"/>
    <n v="139"/>
    <n v="0.92086330935251803"/>
    <s v="COMESTIBLE"/>
    <n v="323.18"/>
  </r>
  <r>
    <x v="0"/>
    <x v="0"/>
    <s v="Pasillo 13"/>
    <s v="A"/>
    <x v="0"/>
    <n v="13"/>
    <n v="126"/>
    <n v="139"/>
    <n v="0.90647482014388492"/>
    <s v="COMESTIBLE"/>
    <n v="381.94"/>
  </r>
  <r>
    <x v="0"/>
    <x v="0"/>
    <s v="Pasillo 13"/>
    <s v="B"/>
    <x v="0"/>
    <n v="14"/>
    <n v="125"/>
    <n v="139"/>
    <n v="0.89928057553956831"/>
    <s v="COMESTIBLE"/>
    <n v="411.32"/>
  </r>
  <r>
    <x v="0"/>
    <x v="0"/>
    <s v="Pasillo 14"/>
    <s v="A"/>
    <x v="0"/>
    <n v="9"/>
    <n v="78"/>
    <n v="87"/>
    <n v="0.89655172413793105"/>
    <s v="COMESTIBLE"/>
    <n v="264.42"/>
  </r>
  <r>
    <x v="0"/>
    <x v="0"/>
    <s v="Pasillo 14"/>
    <s v="A"/>
    <x v="1"/>
    <n v="10"/>
    <n v="94"/>
    <n v="104"/>
    <n v="0.90384615384615385"/>
    <s v="COMESTIBLE"/>
    <n v="293.8"/>
  </r>
  <r>
    <x v="0"/>
    <x v="0"/>
    <s v="Pasillo 14"/>
    <s v="B"/>
    <x v="0"/>
    <n v="16"/>
    <n v="77"/>
    <n v="93"/>
    <n v="0.82795698924731187"/>
    <s v="COMESTIBLE"/>
    <n v="470.08"/>
  </r>
  <r>
    <x v="0"/>
    <x v="0"/>
    <s v="Pasillo 14"/>
    <s v="B"/>
    <x v="1"/>
    <n v="9"/>
    <n v="135"/>
    <n v="144"/>
    <n v="0.9375"/>
    <s v="COMESTIBLE"/>
    <n v="264.42"/>
  </r>
  <r>
    <x v="0"/>
    <x v="0"/>
    <s v="Pasillo 15"/>
    <s v="A"/>
    <x v="0"/>
    <n v="7"/>
    <n v="132"/>
    <n v="139"/>
    <n v="0.94964028776978415"/>
    <s v="COMESTIBLE"/>
    <n v="205.66"/>
  </r>
  <r>
    <x v="0"/>
    <x v="0"/>
    <s v="Pasillo 15"/>
    <s v="B"/>
    <x v="0"/>
    <n v="11"/>
    <n v="128"/>
    <n v="139"/>
    <n v="0.92086330935251803"/>
    <s v="COMESTIBLE"/>
    <n v="323.18"/>
  </r>
  <r>
    <x v="0"/>
    <x v="0"/>
    <s v="Pasillo 16"/>
    <s v="A"/>
    <x v="0"/>
    <n v="6"/>
    <n v="130"/>
    <n v="136"/>
    <n v="0.95588235294117652"/>
    <s v="COMESTIBLE"/>
    <n v="176.28"/>
  </r>
  <r>
    <x v="0"/>
    <x v="0"/>
    <s v="Pasillo 16"/>
    <s v="B"/>
    <x v="0"/>
    <n v="11"/>
    <n v="129"/>
    <n v="140"/>
    <n v="0.92142857142857137"/>
    <s v="COMESTIBLE"/>
    <n v="323.18"/>
  </r>
  <r>
    <x v="0"/>
    <x v="0"/>
    <s v="Pasillo 16"/>
    <s v="B"/>
    <x v="1"/>
    <n v="3"/>
    <n v="1"/>
    <n v="4"/>
    <n v="0.25"/>
    <s v="COMESTIBLE"/>
    <n v="88.14"/>
  </r>
  <r>
    <x v="0"/>
    <x v="0"/>
    <s v="Pasillo 17"/>
    <s v="A"/>
    <x v="0"/>
    <n v="13"/>
    <n v="123"/>
    <n v="136"/>
    <n v="0.90441176470588236"/>
    <s v="COMESTIBLE"/>
    <n v="381.94"/>
  </r>
  <r>
    <x v="0"/>
    <x v="0"/>
    <s v="Pasillo 17"/>
    <s v="B"/>
    <x v="0"/>
    <n v="27"/>
    <n v="112"/>
    <n v="139"/>
    <n v="0.80575539568345322"/>
    <s v="COMESTIBLE"/>
    <n v="793.26"/>
  </r>
  <r>
    <x v="0"/>
    <x v="0"/>
    <s v="Pasillo 18"/>
    <s v="A"/>
    <x v="0"/>
    <n v="11"/>
    <n v="26"/>
    <n v="37"/>
    <n v="0.70270270270270274"/>
    <s v="COMESTIBLE"/>
    <n v="323.18"/>
  </r>
  <r>
    <x v="0"/>
    <x v="0"/>
    <s v="Pasillo 18"/>
    <s v="A"/>
    <x v="1"/>
    <n v="70"/>
    <n v="134"/>
    <n v="204"/>
    <n v="0.65686274509803921"/>
    <s v="COMESTIBLE"/>
    <n v="2056.6"/>
  </r>
  <r>
    <x v="0"/>
    <x v="0"/>
    <s v="Pasillo 18"/>
    <s v="B"/>
    <x v="0"/>
    <n v="22"/>
    <n v="29"/>
    <n v="51"/>
    <n v="0.56862745098039214"/>
    <s v="COMESTIBLE"/>
    <n v="646.36"/>
  </r>
  <r>
    <x v="0"/>
    <x v="0"/>
    <s v="Pasillo 18"/>
    <s v="B"/>
    <x v="1"/>
    <n v="114"/>
    <n v="86"/>
    <n v="200"/>
    <n v="0.43"/>
    <s v="COMESTIBLE"/>
    <n v="3349.3199999999997"/>
  </r>
  <r>
    <x v="0"/>
    <x v="0"/>
    <s v="Pasillo 19"/>
    <s v="A"/>
    <x v="0"/>
    <n v="8"/>
    <n v="105"/>
    <n v="113"/>
    <n v="0.92920353982300885"/>
    <s v="BEBES"/>
    <n v="235.04"/>
  </r>
  <r>
    <x v="0"/>
    <x v="0"/>
    <s v="Pasillo 19"/>
    <s v="A"/>
    <x v="1"/>
    <n v="25"/>
    <n v="39"/>
    <n v="64"/>
    <n v="0.609375"/>
    <s v="BEBES"/>
    <n v="734.5"/>
  </r>
  <r>
    <x v="0"/>
    <x v="0"/>
    <s v="Pasillo 19"/>
    <s v="B"/>
    <x v="0"/>
    <n v="7"/>
    <n v="97"/>
    <n v="104"/>
    <n v="0.93269230769230771"/>
    <s v="BEBES"/>
    <n v="205.66"/>
  </r>
  <r>
    <x v="0"/>
    <x v="0"/>
    <s v="Pasillo 19"/>
    <s v="B"/>
    <x v="1"/>
    <n v="24"/>
    <n v="40"/>
    <n v="64"/>
    <n v="0.625"/>
    <s v="BEBES"/>
    <n v="705.12"/>
  </r>
  <r>
    <x v="0"/>
    <x v="0"/>
    <s v="Pasillo 20"/>
    <s v="A"/>
    <x v="0"/>
    <n v="19"/>
    <n v="93"/>
    <n v="112"/>
    <n v="0.8303571428571429"/>
    <s v="BEBES, PAPEL Y GRANOS "/>
    <n v="558.22"/>
  </r>
  <r>
    <x v="0"/>
    <x v="0"/>
    <s v="Pasillo 20"/>
    <s v="A"/>
    <x v="1"/>
    <n v="6"/>
    <n v="34"/>
    <n v="40"/>
    <n v="0.85"/>
    <s v="BEBES, PAPEL Y GRANOS "/>
    <n v="176.28"/>
  </r>
  <r>
    <x v="0"/>
    <x v="0"/>
    <s v="Pasillo 20"/>
    <s v="B"/>
    <x v="0"/>
    <n v="6"/>
    <n v="94"/>
    <n v="100"/>
    <n v="0.94"/>
    <s v="BEBES, PAPEL Y GRANOS "/>
    <n v="176.28"/>
  </r>
  <r>
    <x v="0"/>
    <x v="0"/>
    <s v="Pasillo 20"/>
    <s v="B"/>
    <x v="1"/>
    <n v="7"/>
    <n v="37"/>
    <n v="44"/>
    <n v="0.84090909090909094"/>
    <s v="BEBES, PAPEL Y GRANOS "/>
    <n v="205.66"/>
  </r>
  <r>
    <x v="0"/>
    <x v="0"/>
    <s v="Pasillo 20"/>
    <s v="B"/>
    <x v="2"/>
    <n v="12"/>
    <n v="17"/>
    <n v="29"/>
    <n v="0.58620689655172409"/>
    <s v="BEBES, PAPEL Y GRANOS "/>
    <n v="352.56"/>
  </r>
  <r>
    <x v="0"/>
    <x v="0"/>
    <s v="Pasillo 21"/>
    <s v="A"/>
    <x v="0"/>
    <n v="14"/>
    <n v="102"/>
    <n v="116"/>
    <n v="0.87931034482758619"/>
    <s v="BEBES, PAPEL Y GRANOS "/>
    <n v="411.32"/>
  </r>
  <r>
    <x v="0"/>
    <x v="0"/>
    <s v="Pasillo 21"/>
    <s v="A"/>
    <x v="1"/>
    <n v="18"/>
    <n v="18"/>
    <n v="36"/>
    <n v="0.5"/>
    <s v="BEBES, PAPEL Y GRANOS "/>
    <n v="528.84"/>
  </r>
  <r>
    <x v="0"/>
    <x v="0"/>
    <s v="Pasillo 21"/>
    <s v="B"/>
    <x v="0"/>
    <n v="5"/>
    <n v="82"/>
    <n v="87"/>
    <n v="0.94252873563218387"/>
    <s v="BEBES, PAPEL Y GRANOS "/>
    <n v="146.9"/>
  </r>
  <r>
    <x v="0"/>
    <x v="0"/>
    <s v="Pasillo 21"/>
    <s v="B"/>
    <x v="1"/>
    <n v="27"/>
    <n v="12"/>
    <n v="39"/>
    <n v="0.30769230769230771"/>
    <s v="BEBES, PAPEL Y GRANOS "/>
    <n v="793.26"/>
  </r>
  <r>
    <x v="0"/>
    <x v="0"/>
    <s v="Pasillo 21"/>
    <s v="B"/>
    <x v="2"/>
    <n v="3"/>
    <n v="23"/>
    <n v="26"/>
    <n v="0.88461538461538458"/>
    <s v="BEBES, PAPEL Y GRANOS "/>
    <n v="88.14"/>
  </r>
  <r>
    <x v="0"/>
    <x v="0"/>
    <s v="Pasillo 22"/>
    <s v="A"/>
    <x v="0"/>
    <n v="12"/>
    <n v="139"/>
    <n v="151"/>
    <n v="0.92052980132450335"/>
    <s v="GRANOS"/>
    <n v="352.56"/>
  </r>
  <r>
    <x v="0"/>
    <x v="0"/>
    <s v="Pasillo 22"/>
    <s v="A"/>
    <x v="1"/>
    <n v="5"/>
    <n v="19"/>
    <n v="24"/>
    <n v="0.79166666666666663"/>
    <s v="GRANOS"/>
    <n v="146.9"/>
  </r>
  <r>
    <x v="0"/>
    <x v="0"/>
    <s v="Pasillo 22"/>
    <s v="B"/>
    <x v="0"/>
    <n v="23"/>
    <n v="61"/>
    <n v="84"/>
    <n v="0.72619047619047616"/>
    <s v="GRANOS"/>
    <n v="675.74"/>
  </r>
  <r>
    <x v="0"/>
    <x v="0"/>
    <s v="Pasillo 23"/>
    <s v="A"/>
    <x v="0"/>
    <n v="8"/>
    <n v="122"/>
    <n v="130"/>
    <n v="0.93846153846153846"/>
    <s v="LICOR"/>
    <n v="235.04"/>
  </r>
  <r>
    <x v="0"/>
    <x v="0"/>
    <s v="Pasillo 23"/>
    <s v="A"/>
    <x v="1"/>
    <n v="26"/>
    <n v="58"/>
    <n v="84"/>
    <n v="0.69047619047619047"/>
    <s v="LICOR"/>
    <n v="763.88"/>
  </r>
  <r>
    <x v="0"/>
    <x v="0"/>
    <s v="Pasillo 23"/>
    <s v="B"/>
    <x v="0"/>
    <n v="21"/>
    <n v="94"/>
    <n v="115"/>
    <n v="0.81739130434782614"/>
    <s v="LICOR"/>
    <n v="616.98"/>
  </r>
  <r>
    <x v="0"/>
    <x v="0"/>
    <s v="Pasillo 23"/>
    <s v="B"/>
    <x v="1"/>
    <n v="11"/>
    <n v="41"/>
    <n v="52"/>
    <n v="0.78846153846153844"/>
    <s v="LICOR"/>
    <n v="323.18"/>
  </r>
  <r>
    <x v="1"/>
    <x v="0"/>
    <s v="Pasillo 24"/>
    <s v="A"/>
    <x v="0"/>
    <n v="8"/>
    <n v="56"/>
    <n v="64"/>
    <n v="0.875"/>
    <s v="GNC"/>
    <n v="235.04"/>
  </r>
  <r>
    <x v="1"/>
    <x v="0"/>
    <s v="Pasillo 24"/>
    <s v="A"/>
    <x v="1"/>
    <n v="12"/>
    <n v="121"/>
    <n v="133"/>
    <n v="0.90977443609022557"/>
    <s v="GNC"/>
    <n v="352.56"/>
  </r>
  <r>
    <x v="1"/>
    <x v="0"/>
    <s v="Pasillo 24"/>
    <s v="B"/>
    <x v="0"/>
    <n v="7"/>
    <n v="57"/>
    <n v="64"/>
    <n v="0.890625"/>
    <s v="GNC"/>
    <n v="205.66"/>
  </r>
  <r>
    <x v="1"/>
    <x v="0"/>
    <s v="Pasillo 24"/>
    <s v="B"/>
    <x v="1"/>
    <n v="15"/>
    <n v="135"/>
    <n v="150"/>
    <n v="0.9"/>
    <s v="GNC"/>
    <n v="440.7"/>
  </r>
  <r>
    <x v="1"/>
    <x v="0"/>
    <s v="Pasillo 25"/>
    <s v="A"/>
    <x v="0"/>
    <n v="12"/>
    <n v="54"/>
    <n v="66"/>
    <n v="0.81818181818181823"/>
    <s v="GNC"/>
    <n v="352.56"/>
  </r>
  <r>
    <x v="1"/>
    <x v="0"/>
    <s v="Pasillo 25"/>
    <s v="B"/>
    <x v="0"/>
    <n v="14"/>
    <n v="46"/>
    <n v="60"/>
    <n v="0.76666666666666672"/>
    <s v="GNC"/>
    <n v="411.32"/>
  </r>
  <r>
    <x v="0"/>
    <x v="0"/>
    <s v="Pasillo 26"/>
    <s v="A"/>
    <x v="0"/>
    <n v="11"/>
    <n v="42"/>
    <n v="53"/>
    <n v="0.79245283018867929"/>
    <s v="AZUCAR Y PAPEL "/>
    <n v="323.18"/>
  </r>
  <r>
    <x v="0"/>
    <x v="0"/>
    <s v="Pasillo 26"/>
    <s v="A"/>
    <x v="2"/>
    <n v="3"/>
    <n v="12"/>
    <n v="15"/>
    <n v="0.8"/>
    <s v="AZUCAR Y PAPEL "/>
    <n v="88.14"/>
  </r>
  <r>
    <x v="0"/>
    <x v="0"/>
    <s v="Pasillo 26"/>
    <s v="B"/>
    <x v="0"/>
    <n v="10"/>
    <n v="43"/>
    <n v="53"/>
    <n v="0.81132075471698117"/>
    <s v="AZUCAR Y PAPEL "/>
    <n v="293.8"/>
  </r>
  <r>
    <x v="0"/>
    <x v="0"/>
    <s v="Pasillo 26"/>
    <s v="B"/>
    <x v="2"/>
    <n v="4"/>
    <n v="11"/>
    <n v="15"/>
    <n v="0.73333333333333328"/>
    <s v="AZUCAR Y PAPEL "/>
    <n v="117.52"/>
  </r>
  <r>
    <x v="0"/>
    <x v="0"/>
    <s v="Pasillo 27"/>
    <s v="A"/>
    <x v="0"/>
    <n v="27"/>
    <n v="22"/>
    <n v="49"/>
    <n v="0.44897959183673469"/>
    <s v="AZUCAR Y PAPEL "/>
    <n v="793.26"/>
  </r>
  <r>
    <x v="0"/>
    <x v="0"/>
    <s v="Pasillo 27"/>
    <s v="A"/>
    <x v="2"/>
    <n v="5"/>
    <n v="10"/>
    <n v="15"/>
    <n v="0.66666666666666663"/>
    <s v="AZUCAR Y PAPEL "/>
    <n v="146.9"/>
  </r>
  <r>
    <x v="0"/>
    <x v="0"/>
    <s v="Pasillo 27"/>
    <s v="B"/>
    <x v="0"/>
    <n v="24"/>
    <n v="27"/>
    <n v="51"/>
    <n v="0.52941176470588236"/>
    <s v="AZUCAR Y PAPEL "/>
    <n v="705.12"/>
  </r>
  <r>
    <x v="0"/>
    <x v="0"/>
    <s v="Pasillo 27"/>
    <s v="B"/>
    <x v="2"/>
    <n v="3"/>
    <n v="12"/>
    <n v="15"/>
    <n v="0.8"/>
    <s v="AZUCAR Y PAPEL "/>
    <n v="88.14"/>
  </r>
  <r>
    <x v="0"/>
    <x v="0"/>
    <s v="Pasillo 28"/>
    <s v="B"/>
    <x v="0"/>
    <n v="64"/>
    <n v="-24"/>
    <n v="40"/>
    <n v="-0.6"/>
    <s v="AZUCAR Y PAPEL "/>
    <n v="1880.32"/>
  </r>
  <r>
    <x v="0"/>
    <x v="0"/>
    <s v="Pasillo 28"/>
    <s v="B"/>
    <x v="2"/>
    <n v="39"/>
    <n v="4"/>
    <n v="43"/>
    <n v="9.3023255813953487E-2"/>
    <s v="AZUCAR Y PAPEL "/>
    <n v="1145.82"/>
  </r>
  <r>
    <x v="2"/>
    <x v="0"/>
    <s v="Pasillo 30"/>
    <s v="A"/>
    <x v="0"/>
    <n v="0"/>
    <n v="66"/>
    <n v="66"/>
    <n v="1"/>
    <s v="AVERIAS"/>
    <n v="0"/>
  </r>
  <r>
    <x v="2"/>
    <x v="0"/>
    <s v="Pasillo 30"/>
    <s v="B"/>
    <x v="0"/>
    <n v="0"/>
    <n v="63"/>
    <n v="63"/>
    <n v="1"/>
    <s v="AVERIAS"/>
    <n v="0"/>
  </r>
  <r>
    <x v="0"/>
    <x v="1"/>
    <s v="Pasillo 1"/>
    <s v="A"/>
    <x v="0"/>
    <n v="8"/>
    <n v="82"/>
    <n v="90"/>
    <n v="0.91111111111111109"/>
    <s v="DESECHALES"/>
    <n v="235.04"/>
  </r>
  <r>
    <x v="0"/>
    <x v="1"/>
    <s v="Pasillo 1"/>
    <s v="A"/>
    <x v="2"/>
    <n v="5"/>
    <n v="25"/>
    <n v="30"/>
    <n v="0.83333333333333337"/>
    <s v="DESECHALES"/>
    <n v="146.9"/>
  </r>
  <r>
    <x v="0"/>
    <x v="1"/>
    <s v="Pasillo 1"/>
    <s v="A"/>
    <x v="1"/>
    <n v="26"/>
    <n v="22"/>
    <n v="48"/>
    <n v="0.45833333333333331"/>
    <s v="DESECHALES"/>
    <n v="763.88"/>
  </r>
  <r>
    <x v="0"/>
    <x v="1"/>
    <s v="Pasillo 1"/>
    <s v="B"/>
    <x v="0"/>
    <n v="8"/>
    <n v="75"/>
    <n v="83"/>
    <n v="0.90361445783132532"/>
    <s v="DESECHALES"/>
    <n v="235.04"/>
  </r>
  <r>
    <x v="0"/>
    <x v="1"/>
    <s v="Pasillo 1"/>
    <s v="B"/>
    <x v="2"/>
    <n v="1"/>
    <n v="28"/>
    <n v="29"/>
    <n v="0.96551724137931039"/>
    <s v="DESECHALES"/>
    <n v="29.38"/>
  </r>
  <r>
    <x v="0"/>
    <x v="1"/>
    <s v="Pasillo 1"/>
    <s v="B"/>
    <x v="1"/>
    <n v="12"/>
    <n v="26"/>
    <n v="38"/>
    <n v="0.68421052631578949"/>
    <s v="DESECHALES"/>
    <n v="352.56"/>
  </r>
  <r>
    <x v="0"/>
    <x v="1"/>
    <s v="Pasillo 2"/>
    <s v="A"/>
    <x v="0"/>
    <n v="31"/>
    <n v="16"/>
    <n v="47"/>
    <n v="0.34042553191489361"/>
    <s v="COMESTIBLE GRANDE Y DESECHABLE"/>
    <n v="910.78"/>
  </r>
  <r>
    <x v="0"/>
    <x v="1"/>
    <s v="Pasillo 2"/>
    <s v="A"/>
    <x v="1"/>
    <n v="105"/>
    <n v="63"/>
    <n v="168"/>
    <n v="0.375"/>
    <s v="COMESTIBLE GRANDE Y DESECHABLE"/>
    <n v="3084.9"/>
  </r>
  <r>
    <x v="0"/>
    <x v="1"/>
    <s v="Pasillo 2"/>
    <s v="A"/>
    <x v="2"/>
    <n v="2"/>
    <n v="36"/>
    <n v="38"/>
    <n v="0.94736842105263153"/>
    <s v="COMESTIBLE GRANDE Y DESECHABLE"/>
    <n v="58.76"/>
  </r>
  <r>
    <x v="0"/>
    <x v="1"/>
    <s v="Pasillo 2"/>
    <s v="B"/>
    <x v="0"/>
    <n v="1"/>
    <n v="139"/>
    <n v="140"/>
    <n v="0.99285714285714288"/>
    <s v="COMESTIBLE GRANDE Y DESECHABLE"/>
    <n v="29.38"/>
  </r>
  <r>
    <x v="0"/>
    <x v="1"/>
    <s v="Pasillo 2"/>
    <s v="B"/>
    <x v="2"/>
    <n v="1"/>
    <n v="37"/>
    <n v="38"/>
    <n v="0.97368421052631582"/>
    <s v="COMESTIBLE GRANDE Y DESECHABLE"/>
    <n v="29.38"/>
  </r>
  <r>
    <x v="0"/>
    <x v="1"/>
    <s v="Pasillo 3"/>
    <s v="A"/>
    <x v="0"/>
    <n v="17"/>
    <n v="125"/>
    <n v="142"/>
    <n v="0.88028169014084512"/>
    <s v="COMESTIBLE GRANDE Y DESECHABLE"/>
    <n v="499.46"/>
  </r>
  <r>
    <x v="0"/>
    <x v="1"/>
    <s v="Pasillo 3"/>
    <s v="A"/>
    <x v="2"/>
    <n v="17"/>
    <n v="21"/>
    <n v="38"/>
    <n v="0.55263157894736847"/>
    <s v="COMESTIBLE GRANDE Y DESECHABLE"/>
    <n v="499.46"/>
  </r>
  <r>
    <x v="0"/>
    <x v="1"/>
    <s v="Pasillo 3"/>
    <s v="B"/>
    <x v="0"/>
    <n v="8"/>
    <n v="134"/>
    <n v="142"/>
    <n v="0.94366197183098588"/>
    <s v="COMESTIBLE GRANDE Y DESECHABLE"/>
    <n v="235.04"/>
  </r>
  <r>
    <x v="0"/>
    <x v="1"/>
    <s v="Pasillo 3"/>
    <s v="B"/>
    <x v="2"/>
    <n v="13"/>
    <n v="25"/>
    <n v="38"/>
    <n v="0.65789473684210531"/>
    <s v="COMESTIBLE GRANDE Y DESECHABLE"/>
    <n v="381.94"/>
  </r>
  <r>
    <x v="0"/>
    <x v="1"/>
    <s v="Pasillo 4"/>
    <s v="A"/>
    <x v="0"/>
    <n v="10"/>
    <n v="110"/>
    <n v="120"/>
    <n v="0.91666666666666663"/>
    <s v="COMESTIBLE GRANDE Y DESECHABLE"/>
    <n v="293.8"/>
  </r>
  <r>
    <x v="0"/>
    <x v="1"/>
    <s v="Pasillo 4"/>
    <s v="A"/>
    <x v="2"/>
    <n v="13"/>
    <n v="17"/>
    <n v="30"/>
    <n v="0.56666666666666665"/>
    <s v="COMESTIBLE GRANDE Y DESECHABLE"/>
    <n v="381.94"/>
  </r>
  <r>
    <x v="0"/>
    <x v="1"/>
    <s v="Pasillo 4"/>
    <s v="B"/>
    <x v="0"/>
    <n v="6"/>
    <n v="84"/>
    <n v="90"/>
    <n v="0.93333333333333335"/>
    <s v="COMESTIBLE GRANDE Y DESECHABLE"/>
    <n v="176.28"/>
  </r>
  <r>
    <x v="0"/>
    <x v="1"/>
    <s v="Pasillo 4"/>
    <s v="B"/>
    <x v="1"/>
    <n v="15"/>
    <n v="13"/>
    <n v="28"/>
    <n v="0.4642857142857143"/>
    <s v="COMESTIBLE GRANDE Y DESECHABLE"/>
    <n v="440.7"/>
  </r>
  <r>
    <x v="0"/>
    <x v="1"/>
    <s v="Pasillo 4"/>
    <s v="B"/>
    <x v="2"/>
    <n v="15"/>
    <n v="15"/>
    <n v="30"/>
    <n v="0.5"/>
    <s v="COMESTIBLE GRANDE Y DESECHABLE"/>
    <n v="440.7"/>
  </r>
  <r>
    <x v="0"/>
    <x v="1"/>
    <s v="Pasillo 5"/>
    <s v="A"/>
    <x v="0"/>
    <n v="3"/>
    <n v="89"/>
    <n v="92"/>
    <n v="0.96739130434782605"/>
    <s v="COMESTIBLE GRANDE Y DESECHABLE"/>
    <n v="88.14"/>
  </r>
  <r>
    <x v="0"/>
    <x v="1"/>
    <s v="Pasillo 5"/>
    <s v="A"/>
    <x v="1"/>
    <n v="20"/>
    <n v="8"/>
    <n v="28"/>
    <n v="0.2857142857142857"/>
    <s v="COMESTIBLE GRANDE Y DESECHABLE"/>
    <n v="587.6"/>
  </r>
  <r>
    <x v="0"/>
    <x v="1"/>
    <s v="Pasillo 5"/>
    <s v="A"/>
    <x v="2"/>
    <n v="10"/>
    <n v="20"/>
    <n v="30"/>
    <n v="0.66666666666666663"/>
    <s v="COMESTIBLE GRANDE Y DESECHABLE"/>
    <n v="293.8"/>
  </r>
  <r>
    <x v="0"/>
    <x v="1"/>
    <s v="Pasillo 5"/>
    <s v="B"/>
    <x v="0"/>
    <n v="4"/>
    <n v="88"/>
    <n v="92"/>
    <n v="0.95652173913043481"/>
    <s v="COMESTIBLE GRANDE Y DESECHABLE"/>
    <n v="117.52"/>
  </r>
  <r>
    <x v="0"/>
    <x v="1"/>
    <s v="Pasillo 5"/>
    <s v="B"/>
    <x v="1"/>
    <n v="9"/>
    <n v="19"/>
    <n v="28"/>
    <n v="0.6785714285714286"/>
    <s v="COMESTIBLE GRANDE Y DESECHABLE"/>
    <n v="264.42"/>
  </r>
  <r>
    <x v="0"/>
    <x v="1"/>
    <s v="Pasillo 5"/>
    <s v="B"/>
    <x v="2"/>
    <n v="6"/>
    <n v="24"/>
    <n v="30"/>
    <n v="0.8"/>
    <s v="COMESTIBLE GRANDE Y DESECHABLE"/>
    <n v="176.28"/>
  </r>
  <r>
    <x v="0"/>
    <x v="1"/>
    <s v="Pasillo 6"/>
    <s v="A"/>
    <x v="0"/>
    <n v="17"/>
    <n v="154"/>
    <n v="171"/>
    <n v="0.90058479532163738"/>
    <s v="LECHES TETRA"/>
    <n v="499.46"/>
  </r>
  <r>
    <x v="0"/>
    <x v="1"/>
    <s v="Pasillo 6"/>
    <s v="B"/>
    <x v="0"/>
    <n v="26"/>
    <n v="115"/>
    <n v="141"/>
    <n v="0.81560283687943258"/>
    <s v="LECHES TETRA"/>
    <n v="763.88"/>
  </r>
  <r>
    <x v="0"/>
    <x v="1"/>
    <s v="Pasillo 6"/>
    <s v="B"/>
    <x v="1"/>
    <n v="5"/>
    <n v="24"/>
    <n v="29"/>
    <n v="0.82758620689655171"/>
    <s v="LECHES TETRA"/>
    <n v="146.9"/>
  </r>
  <r>
    <x v="0"/>
    <x v="1"/>
    <s v="Pasillo 7"/>
    <s v="A"/>
    <x v="0"/>
    <n v="13"/>
    <n v="113"/>
    <n v="126"/>
    <n v="0.89682539682539686"/>
    <s v="GALLETAS"/>
    <n v="381.94"/>
  </r>
  <r>
    <x v="0"/>
    <x v="1"/>
    <s v="Pasillo 7"/>
    <s v="A"/>
    <x v="1"/>
    <n v="15"/>
    <n v="11"/>
    <n v="26"/>
    <n v="0.42307692307692307"/>
    <s v="GALLETAS"/>
    <n v="440.7"/>
  </r>
  <r>
    <x v="0"/>
    <x v="1"/>
    <s v="Pasillo 7"/>
    <s v="B"/>
    <x v="0"/>
    <n v="3"/>
    <n v="112"/>
    <n v="115"/>
    <n v="0.97391304347826091"/>
    <s v="GALLETAS"/>
    <n v="88.14"/>
  </r>
  <r>
    <x v="0"/>
    <x v="1"/>
    <s v="Pasillo 7"/>
    <s v="B"/>
    <x v="1"/>
    <n v="21"/>
    <n v="7"/>
    <n v="28"/>
    <n v="0.25"/>
    <s v="GALLETAS"/>
    <n v="616.98"/>
  </r>
  <r>
    <x v="0"/>
    <x v="1"/>
    <s v="Pasillo 8"/>
    <s v="A"/>
    <x v="0"/>
    <n v="10"/>
    <n v="102"/>
    <n v="112"/>
    <n v="0.9107142857142857"/>
    <s v="GALLETAS"/>
    <n v="293.8"/>
  </r>
  <r>
    <x v="0"/>
    <x v="1"/>
    <s v="Pasillo 8"/>
    <s v="A"/>
    <x v="1"/>
    <n v="13"/>
    <n v="15"/>
    <n v="28"/>
    <n v="0.5357142857142857"/>
    <s v="GALLETAS"/>
    <n v="381.94"/>
  </r>
  <r>
    <x v="0"/>
    <x v="1"/>
    <s v="Pasillo 8"/>
    <s v="B"/>
    <x v="0"/>
    <n v="8"/>
    <n v="183"/>
    <n v="191"/>
    <n v="0.95811518324607325"/>
    <s v="GALLETAS"/>
    <n v="235.04"/>
  </r>
  <r>
    <x v="0"/>
    <x v="1"/>
    <s v="Pasillo 8"/>
    <s v="B"/>
    <x v="1"/>
    <n v="7"/>
    <n v="25"/>
    <n v="32"/>
    <n v="0.78125"/>
    <s v="GALLETAS"/>
    <n v="205.66"/>
  </r>
  <r>
    <x v="0"/>
    <x v="1"/>
    <s v="Pasillo 9"/>
    <s v="A"/>
    <x v="0"/>
    <n v="13"/>
    <n v="104"/>
    <n v="117"/>
    <n v="0.88888888888888884"/>
    <s v="BEBIDAS "/>
    <n v="381.94"/>
  </r>
  <r>
    <x v="0"/>
    <x v="1"/>
    <s v="Pasillo 9"/>
    <s v="A"/>
    <x v="1"/>
    <n v="6"/>
    <n v="22"/>
    <n v="28"/>
    <n v="0.7857142857142857"/>
    <s v="BEBIDAS "/>
    <n v="176.28"/>
  </r>
  <r>
    <x v="0"/>
    <x v="1"/>
    <s v="Pasillo 9"/>
    <s v="B"/>
    <x v="0"/>
    <n v="15"/>
    <n v="95"/>
    <n v="110"/>
    <n v="0.86363636363636365"/>
    <s v="BEBIDAS "/>
    <n v="440.7"/>
  </r>
  <r>
    <x v="0"/>
    <x v="1"/>
    <s v="Pasillo 9"/>
    <s v="B"/>
    <x v="2"/>
    <n v="23"/>
    <n v="6"/>
    <n v="29"/>
    <n v="0.20689655172413793"/>
    <s v="BEBIDAS "/>
    <n v="675.74"/>
  </r>
  <r>
    <x v="0"/>
    <x v="1"/>
    <s v="Pasillo 10"/>
    <s v="A"/>
    <x v="0"/>
    <n v="11"/>
    <n v="96"/>
    <n v="107"/>
    <n v="0.89719626168224298"/>
    <s v="BEBIDAS Y FIDELIZACION"/>
    <n v="323.18"/>
  </r>
  <r>
    <x v="0"/>
    <x v="1"/>
    <s v="Pasillo 10"/>
    <s v="A"/>
    <x v="2"/>
    <n v="6"/>
    <n v="23"/>
    <n v="29"/>
    <n v="0.7931034482758621"/>
    <s v="BEBIDAS Y FIDELIZACION"/>
    <n v="176.28"/>
  </r>
  <r>
    <x v="0"/>
    <x v="1"/>
    <s v="Pasillo 10"/>
    <s v="B"/>
    <x v="0"/>
    <n v="6"/>
    <n v="110"/>
    <n v="116"/>
    <n v="0.94827586206896552"/>
    <s v="BEBIDAS Y FIDELIZACION"/>
    <n v="176.28"/>
  </r>
  <r>
    <x v="0"/>
    <x v="1"/>
    <s v="Pasillo 10"/>
    <s v="B"/>
    <x v="2"/>
    <n v="8"/>
    <n v="21"/>
    <n v="29"/>
    <n v="0.72413793103448276"/>
    <s v="BEBIDAS Y FIDELIZACION"/>
    <n v="235.04"/>
  </r>
  <r>
    <x v="0"/>
    <x v="1"/>
    <s v="Pasillo 11"/>
    <s v="A"/>
    <x v="0"/>
    <n v="12"/>
    <n v="95"/>
    <n v="107"/>
    <n v="0.88785046728971961"/>
    <s v="MASCOTAS"/>
    <n v="352.56"/>
  </r>
  <r>
    <x v="0"/>
    <x v="1"/>
    <s v="Pasillo 11"/>
    <s v="A"/>
    <x v="2"/>
    <n v="2"/>
    <n v="27"/>
    <n v="29"/>
    <n v="0.93103448275862066"/>
    <s v="MASCOTAS"/>
    <n v="58.76"/>
  </r>
  <r>
    <x v="0"/>
    <x v="1"/>
    <s v="Pasillo 11"/>
    <s v="B"/>
    <x v="0"/>
    <n v="20"/>
    <n v="90"/>
    <n v="110"/>
    <n v="0.81818181818181823"/>
    <s v="MASCOTAS"/>
    <n v="587.6"/>
  </r>
  <r>
    <x v="0"/>
    <x v="1"/>
    <s v="Pasillo 11"/>
    <s v="B"/>
    <x v="2"/>
    <n v="9"/>
    <n v="20"/>
    <n v="29"/>
    <n v="0.68965517241379315"/>
    <s v="MASCOTAS"/>
    <n v="264.42"/>
  </r>
  <r>
    <x v="0"/>
    <x v="1"/>
    <s v="Pasillo 12"/>
    <s v="A"/>
    <x v="0"/>
    <n v="110"/>
    <n v="0"/>
    <n v="110"/>
    <n v="0"/>
    <s v="NAVIDAD. JUGUETES Y FIDEIZACION "/>
    <n v="3231.7999999999997"/>
  </r>
  <r>
    <x v="0"/>
    <x v="1"/>
    <s v="Pasillo 12"/>
    <s v="A"/>
    <x v="2"/>
    <n v="29"/>
    <n v="1"/>
    <n v="30"/>
    <n v="3.3333333333333333E-2"/>
    <s v="NAVIDAD. JUGUETES Y FIDEIZACION "/>
    <n v="852.02"/>
  </r>
  <r>
    <x v="0"/>
    <x v="1"/>
    <s v="Pasillo 12"/>
    <s v="B"/>
    <x v="0"/>
    <n v="121"/>
    <n v="0"/>
    <n v="121"/>
    <n v="0"/>
    <s v="NAVIDAD. JUGUETES Y FIDEIZACION "/>
    <n v="3554.98"/>
  </r>
  <r>
    <x v="0"/>
    <x v="1"/>
    <s v="Pasillo 12"/>
    <s v="B"/>
    <x v="2"/>
    <n v="25"/>
    <n v="4"/>
    <n v="29"/>
    <n v="0.13793103448275862"/>
    <s v="NAVIDAD. JUGUETES Y FIDEIZACION "/>
    <n v="734.5"/>
  </r>
  <r>
    <x v="0"/>
    <x v="1"/>
    <s v="Pasillo 13"/>
    <s v="A"/>
    <x v="0"/>
    <n v="57"/>
    <n v="64"/>
    <n v="121"/>
    <n v="0.52892561983471076"/>
    <s v="NAVIDAD. JUGUETES Y FIDEIZACION "/>
    <n v="1674.6599999999999"/>
  </r>
  <r>
    <x v="0"/>
    <x v="1"/>
    <s v="Pasillo 13"/>
    <s v="A"/>
    <x v="1"/>
    <n v="63"/>
    <n v="133"/>
    <n v="196"/>
    <n v="0.6785714285714286"/>
    <s v="NAVIDAD. JUGUETES Y FIDEIZACION "/>
    <n v="1850.9399999999998"/>
  </r>
  <r>
    <x v="0"/>
    <x v="1"/>
    <s v="Pasillo 13"/>
    <s v="B"/>
    <x v="0"/>
    <n v="165"/>
    <n v="3"/>
    <n v="168"/>
    <n v="1.7857142857142856E-2"/>
    <s v="NAVIDAD. JUGUETES Y FIDEIZACION "/>
    <n v="4847.7"/>
  </r>
  <r>
    <x v="0"/>
    <x v="1"/>
    <s v="Pasillo 13"/>
    <s v="B"/>
    <x v="1"/>
    <n v="34"/>
    <n v="0"/>
    <n v="34"/>
    <n v="0"/>
    <s v="NAVIDAD. JUGUETES Y FIDEIZACION "/>
    <n v="998.92"/>
  </r>
  <r>
    <x v="0"/>
    <x v="1"/>
    <s v="Pasillo 14"/>
    <s v="A"/>
    <x v="0"/>
    <n v="136"/>
    <n v="34"/>
    <n v="170"/>
    <n v="0.2"/>
    <s v="NAVIDAD. JUGUETES Y FIDEIZACION "/>
    <n v="3995.68"/>
  </r>
  <r>
    <x v="0"/>
    <x v="1"/>
    <s v="Pasillo 14"/>
    <s v="A"/>
    <x v="2"/>
    <n v="33"/>
    <n v="11"/>
    <n v="44"/>
    <n v="0.25"/>
    <s v="NAVIDAD. JUGUETES Y FIDEIZACION "/>
    <n v="969.54"/>
  </r>
  <r>
    <x v="0"/>
    <x v="1"/>
    <s v="Pasillo 14"/>
    <s v="B"/>
    <x v="0"/>
    <n v="137"/>
    <n v="30"/>
    <n v="167"/>
    <n v="0.17964071856287425"/>
    <s v="NAVIDAD. JUGUETES Y FIDEIZACION "/>
    <n v="4025.06"/>
  </r>
  <r>
    <x v="0"/>
    <x v="1"/>
    <s v="Pasillo 14"/>
    <s v="B"/>
    <x v="2"/>
    <n v="33"/>
    <n v="11"/>
    <n v="44"/>
    <n v="0.25"/>
    <s v="NAVIDAD. JUGUETES Y FIDEIZACION "/>
    <n v="969.54"/>
  </r>
  <r>
    <x v="0"/>
    <x v="1"/>
    <s v="Pasillo 15"/>
    <s v="A"/>
    <x v="0"/>
    <n v="29"/>
    <n v="62"/>
    <n v="91"/>
    <n v="0.68131868131868134"/>
    <s v="NAVIDAD. JUGUETES Y FIDEIZACION "/>
    <n v="852.02"/>
  </r>
  <r>
    <x v="0"/>
    <x v="1"/>
    <s v="Pasillo 15"/>
    <s v="A"/>
    <x v="1"/>
    <n v="148"/>
    <n v="4"/>
    <n v="152"/>
    <n v="2.6315789473684209E-2"/>
    <s v="NAVIDAD. JUGUETES Y FIDEIZACION "/>
    <n v="4348.24"/>
  </r>
  <r>
    <x v="0"/>
    <x v="1"/>
    <s v="Pasillo 15"/>
    <s v="B"/>
    <x v="0"/>
    <n v="100"/>
    <n v="56"/>
    <n v="156"/>
    <n v="0.35897435897435898"/>
    <s v="NAVIDAD. JUGUETES Y FIDEIZACION "/>
    <n v="2938"/>
  </r>
  <r>
    <x v="0"/>
    <x v="1"/>
    <s v="Pasillo 15"/>
    <s v="B"/>
    <x v="1"/>
    <n v="38"/>
    <n v="4"/>
    <n v="42"/>
    <n v="9.5238095238095233E-2"/>
    <s v="NAVIDAD. JUGUETES Y FIDEIZACION "/>
    <n v="1116.44"/>
  </r>
  <r>
    <x v="0"/>
    <x v="1"/>
    <s v="Pasillo 16"/>
    <s v="A"/>
    <x v="0"/>
    <n v="0"/>
    <n v="176"/>
    <n v="176"/>
    <n v="1"/>
    <s v="NAVIDAD. JUGUETES Y FIDEIZACION "/>
    <n v="0"/>
  </r>
  <r>
    <x v="0"/>
    <x v="1"/>
    <s v="Pasillo 16"/>
    <s v="B"/>
    <x v="0"/>
    <n v="0"/>
    <n v="183"/>
    <n v="183"/>
    <n v="1"/>
    <s v="NAVIDAD. JUGUETES Y FIDEIZACION "/>
    <n v="0"/>
  </r>
  <r>
    <x v="0"/>
    <x v="1"/>
    <s v="Pasillo 16"/>
    <s v="B"/>
    <x v="1"/>
    <n v="0"/>
    <n v="38"/>
    <n v="38"/>
    <n v="1"/>
    <s v="NAVIDAD. JUGUETES Y FIDEIZACION "/>
    <n v="0"/>
  </r>
  <r>
    <x v="3"/>
    <x v="2"/>
    <s v="Pasillo 1"/>
    <s v="A"/>
    <x v="0"/>
    <n v="31"/>
    <n v="47"/>
    <n v="78"/>
    <n v="0.60256410256410253"/>
    <s v="QUALA"/>
    <n v="910.78"/>
  </r>
  <r>
    <x v="3"/>
    <x v="2"/>
    <s v="Pasillo 1"/>
    <s v="A"/>
    <x v="1"/>
    <n v="13"/>
    <n v="57"/>
    <n v="70"/>
    <n v="0.81428571428571428"/>
    <s v="LTX"/>
    <n v="381.94"/>
  </r>
  <r>
    <x v="3"/>
    <x v="2"/>
    <s v="Pasillo 1"/>
    <s v="B"/>
    <x v="0"/>
    <n v="35"/>
    <n v="105"/>
    <n v="140"/>
    <n v="0.75"/>
    <s v="LTX"/>
    <n v="1028.3"/>
  </r>
  <r>
    <x v="3"/>
    <x v="2"/>
    <s v="Pasillo 1"/>
    <s v="B"/>
    <x v="0"/>
    <n v="26"/>
    <n v="10"/>
    <n v="36"/>
    <n v="0.27777777777777779"/>
    <s v="QUALA"/>
    <n v="763.88"/>
  </r>
  <r>
    <x v="3"/>
    <x v="2"/>
    <s v="Pasillo 2"/>
    <s v="A"/>
    <x v="0"/>
    <n v="15"/>
    <n v="57"/>
    <n v="72"/>
    <n v="0.79166666666666663"/>
    <s v="LTX"/>
    <n v="440.7"/>
  </r>
  <r>
    <x v="3"/>
    <x v="2"/>
    <s v="Pasillo 2"/>
    <s v="A"/>
    <x v="1"/>
    <n v="40"/>
    <n v="96"/>
    <n v="136"/>
    <n v="0.70588235294117652"/>
    <s v="LTX"/>
    <n v="1175.2"/>
  </r>
  <r>
    <x v="3"/>
    <x v="2"/>
    <s v="Pasillo 2"/>
    <s v="A"/>
    <x v="0"/>
    <n v="36"/>
    <n v="0"/>
    <n v="36"/>
    <n v="0"/>
    <s v="QUALA"/>
    <n v="1057.68"/>
  </r>
  <r>
    <x v="3"/>
    <x v="2"/>
    <s v="Pasillo 2"/>
    <s v="B"/>
    <x v="0"/>
    <n v="27"/>
    <n v="45"/>
    <n v="72"/>
    <n v="0.625"/>
    <s v="LTX"/>
    <n v="793.26"/>
  </r>
  <r>
    <x v="3"/>
    <x v="2"/>
    <s v="Pasillo 2"/>
    <s v="B"/>
    <x v="1"/>
    <n v="40"/>
    <n v="96"/>
    <n v="136"/>
    <n v="0.70588235294117652"/>
    <s v="LTX"/>
    <n v="1175.2"/>
  </r>
  <r>
    <x v="3"/>
    <x v="2"/>
    <s v="Pasillo 2"/>
    <s v="B"/>
    <x v="0"/>
    <n v="35"/>
    <n v="1"/>
    <n v="36"/>
    <n v="2.7777777777777776E-2"/>
    <s v="QUALA"/>
    <n v="1028.3"/>
  </r>
  <r>
    <x v="3"/>
    <x v="2"/>
    <s v="Pasillo 3"/>
    <s v="A"/>
    <x v="0"/>
    <n v="36"/>
    <n v="36"/>
    <n v="72"/>
    <n v="0.5"/>
    <s v="LTX"/>
    <n v="1057.68"/>
  </r>
  <r>
    <x v="3"/>
    <x v="2"/>
    <s v="Pasillo 3"/>
    <s v="A"/>
    <x v="1"/>
    <n v="95"/>
    <n v="41"/>
    <n v="136"/>
    <n v="0.3014705882352941"/>
    <s v="LTX"/>
    <n v="2791.1"/>
  </r>
  <r>
    <x v="3"/>
    <x v="2"/>
    <s v="Pasillo 3"/>
    <s v="A"/>
    <x v="0"/>
    <n v="0"/>
    <n v="36"/>
    <n v="36"/>
    <n v="1"/>
    <s v="LTX"/>
    <n v="0"/>
  </r>
  <r>
    <x v="3"/>
    <x v="2"/>
    <s v="Pasillo 3"/>
    <s v="B"/>
    <x v="0"/>
    <n v="84"/>
    <n v="24"/>
    <n v="108"/>
    <n v="0.22222222222222221"/>
    <s v="LTX"/>
    <n v="2467.92"/>
  </r>
  <r>
    <x v="3"/>
    <x v="2"/>
    <s v="Pasillo 3"/>
    <s v="B"/>
    <x v="1"/>
    <n v="20"/>
    <n v="88"/>
    <n v="108"/>
    <n v="0.81481481481481477"/>
    <s v="LTX"/>
    <n v="587.6"/>
  </r>
  <r>
    <x v="3"/>
    <x v="2"/>
    <s v="Pasillo 4"/>
    <s v="A"/>
    <x v="0"/>
    <n v="85"/>
    <n v="95"/>
    <n v="180"/>
    <n v="0.52777777777777779"/>
    <s v="LTX"/>
    <n v="2497.2999999999997"/>
  </r>
  <r>
    <x v="3"/>
    <x v="2"/>
    <s v="Pasillo 4"/>
    <s v="A"/>
    <x v="1"/>
    <n v="2"/>
    <n v="54"/>
    <n v="56"/>
    <n v="0.9642857142857143"/>
    <s v="LTX"/>
    <n v="58.76"/>
  </r>
  <r>
    <x v="3"/>
    <x v="2"/>
    <s v="Pasillo 4"/>
    <s v="B"/>
    <x v="0"/>
    <n v="144"/>
    <n v="0"/>
    <n v="144"/>
    <n v="0"/>
    <s v="LTX"/>
    <n v="4230.72"/>
  </r>
  <r>
    <x v="4"/>
    <x v="2"/>
    <s v="Pasillo 5"/>
    <s v="A"/>
    <x v="0"/>
    <n v="45"/>
    <n v="135"/>
    <n v="180"/>
    <n v="0.75"/>
    <s v="QUALA"/>
    <n v="1322.1"/>
  </r>
  <r>
    <x v="4"/>
    <x v="2"/>
    <s v="Pasillo 5"/>
    <s v="A"/>
    <x v="1"/>
    <n v="29"/>
    <n v="75"/>
    <n v="104"/>
    <n v="0.72115384615384615"/>
    <s v="QUALA"/>
    <n v="852.02"/>
  </r>
  <r>
    <x v="4"/>
    <x v="2"/>
    <s v="Pasillo 5"/>
    <s v="B"/>
    <x v="0"/>
    <n v="65"/>
    <n v="113"/>
    <n v="178"/>
    <n v="0.6348314606741573"/>
    <s v="QUALA"/>
    <n v="1909.7"/>
  </r>
  <r>
    <x v="4"/>
    <x v="2"/>
    <s v="Pasillo 5"/>
    <s v="B"/>
    <x v="1"/>
    <n v="22"/>
    <n v="122"/>
    <n v="144"/>
    <n v="0.84722222222222221"/>
    <s v="QUALA"/>
    <n v="646.36"/>
  </r>
  <r>
    <x v="4"/>
    <x v="2"/>
    <s v="Pasillo 6"/>
    <s v="A"/>
    <x v="0"/>
    <n v="30"/>
    <n v="150"/>
    <n v="180"/>
    <n v="0.83333333333333337"/>
    <s v="QUALA"/>
    <n v="881.4"/>
  </r>
  <r>
    <x v="4"/>
    <x v="2"/>
    <s v="Pasillo 6"/>
    <s v="A"/>
    <x v="1"/>
    <n v="27"/>
    <n v="117"/>
    <n v="144"/>
    <n v="0.8125"/>
    <s v="QUALA"/>
    <n v="793.26"/>
  </r>
  <r>
    <x v="4"/>
    <x v="2"/>
    <s v="Pasillo 6"/>
    <s v="B"/>
    <x v="0"/>
    <n v="50"/>
    <n v="166"/>
    <n v="216"/>
    <n v="0.76851851851851849"/>
    <s v="QUALA"/>
    <n v="1469"/>
  </r>
  <r>
    <x v="4"/>
    <x v="2"/>
    <s v="Pasillo 6"/>
    <s v="B"/>
    <x v="1"/>
    <n v="27"/>
    <n v="117"/>
    <n v="144"/>
    <n v="0.8125"/>
    <s v="QUALA"/>
    <n v="793.26"/>
  </r>
  <r>
    <x v="4"/>
    <x v="2"/>
    <s v="Pasillo 7"/>
    <s v="A"/>
    <x v="0"/>
    <n v="59"/>
    <n v="157"/>
    <n v="216"/>
    <n v="0.72685185185185186"/>
    <s v="QUALA"/>
    <n v="1733.4199999999998"/>
  </r>
  <r>
    <x v="4"/>
    <x v="2"/>
    <s v="Pasillo 7"/>
    <s v="B"/>
    <x v="0"/>
    <n v="68"/>
    <n v="148"/>
    <n v="216"/>
    <n v="0.68518518518518523"/>
    <s v="QUALA"/>
    <n v="1997.84"/>
  </r>
  <r>
    <x v="4"/>
    <x v="2"/>
    <s v="Pasillo 8"/>
    <s v="A"/>
    <x v="0"/>
    <n v="40"/>
    <n v="176"/>
    <n v="216"/>
    <n v="0.81481481481481477"/>
    <s v="RESERVA"/>
    <n v="1175.2"/>
  </r>
  <r>
    <x v="4"/>
    <x v="2"/>
    <s v="Pasillo 8"/>
    <s v="B"/>
    <x v="0"/>
    <n v="51"/>
    <n v="165"/>
    <n v="216"/>
    <n v="0.76388888888888884"/>
    <s v="RESERVA"/>
    <n v="1498.3799999999999"/>
  </r>
  <r>
    <x v="4"/>
    <x v="2"/>
    <s v="Pasillo 9"/>
    <s v="A"/>
    <x v="0"/>
    <n v="11"/>
    <n v="205"/>
    <n v="216"/>
    <n v="0.94907407407407407"/>
    <s v="RESERVA"/>
    <n v="323.18"/>
  </r>
  <r>
    <x v="4"/>
    <x v="2"/>
    <s v="Pasillo 9"/>
    <s v="B"/>
    <x v="0"/>
    <n v="32"/>
    <n v="178"/>
    <n v="210"/>
    <n v="0.84761904761904761"/>
    <s v="RESERVA"/>
    <n v="940.16"/>
  </r>
  <r>
    <x v="4"/>
    <x v="2"/>
    <s v="Pasillo 10"/>
    <s v="A"/>
    <x v="0"/>
    <n v="12"/>
    <n v="198"/>
    <n v="210"/>
    <n v="0.94285714285714284"/>
    <s v="RESERVA"/>
    <n v="352.56"/>
  </r>
  <r>
    <x v="4"/>
    <x v="2"/>
    <s v="Pasillo 10"/>
    <s v="B"/>
    <x v="0"/>
    <n v="12"/>
    <n v="204"/>
    <n v="216"/>
    <n v="0.94444444444444442"/>
    <s v="RESERVA"/>
    <n v="352.56"/>
  </r>
  <r>
    <x v="4"/>
    <x v="2"/>
    <s v="Pasillo 11"/>
    <s v="A"/>
    <x v="0"/>
    <n v="41"/>
    <n v="169"/>
    <n v="210"/>
    <n v="0.80476190476190479"/>
    <s v="RESERVA"/>
    <n v="1204.58"/>
  </r>
  <r>
    <x v="4"/>
    <x v="2"/>
    <s v="Pasillo 11"/>
    <s v="B"/>
    <x v="0"/>
    <n v="77"/>
    <n v="139"/>
    <n v="216"/>
    <n v="0.64351851851851849"/>
    <s v="RESERVA"/>
    <n v="2262.2599999999998"/>
  </r>
  <r>
    <x v="4"/>
    <x v="2"/>
    <s v="Pasillo 12"/>
    <s v="A"/>
    <x v="0"/>
    <n v="91"/>
    <n v="101"/>
    <n v="192"/>
    <n v="0.52604166666666663"/>
    <s v="RESERVA"/>
    <n v="2673.58"/>
  </r>
  <r>
    <x v="4"/>
    <x v="2"/>
    <s v="Pasillo 12"/>
    <s v="B"/>
    <x v="0"/>
    <n v="66"/>
    <n v="74"/>
    <n v="140"/>
    <n v="0.52857142857142858"/>
    <s v="RESERVA"/>
    <n v="1939.08"/>
  </r>
  <r>
    <x v="4"/>
    <x v="3"/>
    <s v="Pasillo 1"/>
    <s v="B"/>
    <x v="0"/>
    <n v="110"/>
    <n v="60"/>
    <n v="170"/>
    <n v="0.35294117647058826"/>
    <s v="RESERVA"/>
    <n v="3231.7999999999997"/>
  </r>
  <r>
    <x v="4"/>
    <x v="3"/>
    <s v="Pasillo 2"/>
    <s v="A"/>
    <x v="0"/>
    <n v="168"/>
    <n v="32"/>
    <n v="200"/>
    <n v="0.16"/>
    <s v="RESERVA"/>
    <n v="4935.84"/>
  </r>
  <r>
    <x v="4"/>
    <x v="3"/>
    <s v="Pasillo 2"/>
    <s v="B"/>
    <x v="0"/>
    <n v="121"/>
    <n v="79"/>
    <n v="200"/>
    <n v="0.39500000000000002"/>
    <s v="RESERVA"/>
    <n v="3554.98"/>
  </r>
  <r>
    <x v="4"/>
    <x v="3"/>
    <s v="Pasillo 3"/>
    <s v="A"/>
    <x v="0"/>
    <n v="57"/>
    <n v="143"/>
    <n v="200"/>
    <n v="0.71499999999999997"/>
    <s v="RESERVA"/>
    <n v="1674.6599999999999"/>
  </r>
  <r>
    <x v="4"/>
    <x v="3"/>
    <s v="Pasillo 3"/>
    <s v="B"/>
    <x v="0"/>
    <n v="84"/>
    <n v="120"/>
    <n v="204"/>
    <n v="0.58823529411764708"/>
    <s v="RESERVA"/>
    <n v="2467.92"/>
  </r>
  <r>
    <x v="4"/>
    <x v="3"/>
    <s v="Pasillo 4"/>
    <s v="A"/>
    <x v="0"/>
    <n v="75"/>
    <n v="125"/>
    <n v="200"/>
    <n v="0.625"/>
    <s v="RESERVA"/>
    <n v="2203.5"/>
  </r>
  <r>
    <x v="4"/>
    <x v="3"/>
    <s v="Pasillo 4"/>
    <s v="B"/>
    <x v="0"/>
    <n v="136"/>
    <n v="64"/>
    <n v="200"/>
    <n v="0.32"/>
    <s v="RESERVA"/>
    <n v="3995.68"/>
  </r>
  <r>
    <x v="4"/>
    <x v="3"/>
    <s v="Pasillo 5"/>
    <s v="A"/>
    <x v="0"/>
    <n v="14"/>
    <n v="82"/>
    <n v="96"/>
    <n v="0.85416666666666663"/>
    <s v="RESERVA"/>
    <n v="411.32"/>
  </r>
  <r>
    <x v="4"/>
    <x v="3"/>
    <s v="Pasillo 5"/>
    <s v="B"/>
    <x v="0"/>
    <n v="24"/>
    <n v="80"/>
    <n v="104"/>
    <n v="0.76923076923076927"/>
    <s v="RESERVA"/>
    <n v="705.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64E7D-FBF1-49BA-8694-47E08C8FBA28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E17" firstHeaderRow="0" firstDataRow="1" firstDataCol="2" rowPageCount="1" colPageCount="1"/>
  <pivotFields count="13">
    <pivotField axis="axisPage" compact="0" outline="0" multipleItemSelectionAllowed="1" showAll="0">
      <items count="6">
        <item x="2"/>
        <item x="1"/>
        <item x="4"/>
        <item x="3"/>
        <item x="0"/>
        <item t="default"/>
      </items>
    </pivotField>
    <pivotField axis="axisRow" compact="0" outline="0" showAll="0" sortType="ascending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numFmtId="1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1"/>
    <field x="4"/>
  </rowFields>
  <rowItems count="14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t="default">
      <x v="2"/>
    </i>
    <i>
      <x v="3"/>
      <x v="1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Pos OCUPADO" fld="6" baseField="0" baseItem="0"/>
    <dataField name="Pos Totales" fld="7" baseField="0" baseItem="0"/>
    <dataField name="%de Ocupación" fld="11" baseField="0" baseItem="0" numFmtId="10"/>
  </dataFields>
  <formats count="1"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1500399B-1351-4BE1-B191-3A6E999510E5}" sourceName="Cliente">
  <pivotTables>
    <pivotTable tabId="17" name="TablaDinámica1"/>
  </pivotTables>
  <data>
    <tabular pivotCacheId="689850519">
      <items count="5">
        <i x="2" s="1"/>
        <i x="1" s="1"/>
        <i x="4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1D69DE7C-75CB-463E-A057-B00B65B380E2}" sourceName="TIPO">
  <pivotTables>
    <pivotTable tabId="17" name="TablaDinámica1"/>
  </pivotTables>
  <data>
    <tabular pivotCacheId="689850519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D" xr10:uid="{A5AF1B38-206E-43A6-9A45-DE2898067A43}" sourceName="CD">
  <pivotTables>
    <pivotTable tabId="17" name="TablaDinámica1"/>
  </pivotTables>
  <data>
    <tabular pivotCacheId="689850519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F0EF8CFE-08F4-4166-953E-BE58CA303A90}" cache="SegmentaciónDeDatos_Cliente" caption="Cliente" style="SlicerStyleLight6" rowHeight="241300"/>
  <slicer name="TIPO" xr10:uid="{C3DC7B95-117E-4DAF-A6E0-A6DEF074E3EA}" cache="SegmentaciónDeDatos_TIPO" caption="TIPO" style="SlicerStyleLight6" rowHeight="241300"/>
  <slicer name="CD" xr10:uid="{22295F22-621C-47B9-8C9A-69C32A5A686A}" cache="SegmentaciónDeDatos_CD" caption="CD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6332C-1AD7-4373-9118-EAEB33A276B8}" name="Tabla3" displayName="Tabla3" ref="C10:L221" totalsRowCount="1" headerRowDxfId="12" dataDxfId="11">
  <tableColumns count="10">
    <tableColumn id="1" xr3:uid="{F4935CCF-EDC0-42C8-B25A-D284FF5F0DD4}" name="CD" dataDxfId="10"/>
    <tableColumn id="2" xr3:uid="{FB89C778-7D9D-4452-8D4A-BC110B1981D1}" name="PASILLO" dataDxfId="9"/>
    <tableColumn id="3" xr3:uid="{C181A8C1-9CDD-4DCF-816C-C22007D9C34B}" name="CARA" dataDxfId="8"/>
    <tableColumn id="4" xr3:uid="{0500DC24-B6B3-46A9-B7B2-00D658115AD4}" name="TIPO" dataDxfId="7"/>
    <tableColumn id="5" xr3:uid="{D1B888E2-7CD5-4F45-BA4A-9C776346A191}" name="VACIO" dataDxfId="6"/>
    <tableColumn id="6" xr3:uid="{1852218E-A22B-4B86-AB8C-9B8315831658}" name="OCUPADO" dataDxfId="5">
      <calculatedColumnFormula>+I11-G11</calculatedColumnFormula>
    </tableColumn>
    <tableColumn id="7" xr3:uid="{4E7A47AA-5F8B-4385-B6CE-28E1A4085010}" name="CAPACIDAD" dataDxfId="4"/>
    <tableColumn id="8" xr3:uid="{71C5C2A9-7DDB-4D80-AA05-D5D116266E53}" name="%OCUPACION" dataDxfId="3" totalsRowDxfId="0" dataCellStyle="Porcentaje">
      <calculatedColumnFormula>+Tabla3[[#This Row],[OCUPADO]]/Tabla3[[#This Row],[CAPACIDAD]]</calculatedColumnFormula>
    </tableColumn>
    <tableColumn id="9" xr3:uid="{BAE67BEA-9388-4C8A-927B-1CAEB21DCA19}" name="SECTOR" dataDxfId="2"/>
    <tableColumn id="10" xr3:uid="{C427970F-35A9-4A41-B7E8-F82593C6ECAC}" name="PROYECCION BULTOS A RECIBIR" totalsRowFunction="sum" dataDxfId="1">
      <calculatedColumnFormula>+Tabla3[[#This Row],[VACIO]]*29.38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5EAC-1B44-473A-923B-3608F6FFDD4F}">
  <dimension ref="A1:G18"/>
  <sheetViews>
    <sheetView workbookViewId="0">
      <selection activeCell="A3" sqref="A3"/>
    </sheetView>
  </sheetViews>
  <sheetFormatPr baseColWidth="10" defaultColWidth="14.44140625" defaultRowHeight="14.4" x14ac:dyDescent="0.3"/>
  <cols>
    <col min="2" max="2" width="11.109375" bestFit="1" customWidth="1"/>
    <col min="3" max="5" width="20.77734375" customWidth="1"/>
    <col min="6" max="6" width="21.88671875" bestFit="1" customWidth="1"/>
  </cols>
  <sheetData>
    <row r="1" spans="1:7" x14ac:dyDescent="0.3">
      <c r="A1" s="9" t="s">
        <v>80</v>
      </c>
      <c r="B1" t="s">
        <v>84</v>
      </c>
    </row>
    <row r="3" spans="1:7" x14ac:dyDescent="0.3">
      <c r="A3" s="9" t="s">
        <v>2</v>
      </c>
      <c r="B3" s="9" t="s">
        <v>5</v>
      </c>
      <c r="C3" t="s">
        <v>77</v>
      </c>
      <c r="D3" t="s">
        <v>76</v>
      </c>
      <c r="E3" t="s">
        <v>78</v>
      </c>
    </row>
    <row r="4" spans="1:7" x14ac:dyDescent="0.3">
      <c r="A4" t="s">
        <v>12</v>
      </c>
      <c r="B4" t="s">
        <v>17</v>
      </c>
      <c r="C4">
        <v>2217</v>
      </c>
      <c r="D4">
        <v>2709</v>
      </c>
      <c r="E4" s="8">
        <v>0.81838316722037652</v>
      </c>
      <c r="G4" s="10"/>
    </row>
    <row r="5" spans="1:7" x14ac:dyDescent="0.3">
      <c r="B5" t="s">
        <v>15</v>
      </c>
      <c r="C5">
        <v>5030</v>
      </c>
      <c r="D5">
        <v>5792</v>
      </c>
      <c r="E5" s="8">
        <v>0.86843922651933703</v>
      </c>
      <c r="G5" s="10"/>
    </row>
    <row r="6" spans="1:7" x14ac:dyDescent="0.3">
      <c r="B6" t="s">
        <v>43</v>
      </c>
      <c r="C6">
        <v>89</v>
      </c>
      <c r="D6">
        <v>158</v>
      </c>
      <c r="E6" s="8">
        <v>0.56329113924050633</v>
      </c>
      <c r="G6" s="10"/>
    </row>
    <row r="7" spans="1:7" x14ac:dyDescent="0.3">
      <c r="A7" t="s">
        <v>72</v>
      </c>
      <c r="C7">
        <v>7336</v>
      </c>
      <c r="D7">
        <v>8659</v>
      </c>
      <c r="E7" s="8">
        <v>0.84721099434114799</v>
      </c>
      <c r="G7" s="10"/>
    </row>
    <row r="8" spans="1:7" x14ac:dyDescent="0.3">
      <c r="A8" t="s">
        <v>57</v>
      </c>
      <c r="B8" t="s">
        <v>17</v>
      </c>
      <c r="C8">
        <v>434</v>
      </c>
      <c r="D8">
        <v>971</v>
      </c>
      <c r="E8" s="8">
        <v>0.44696189495365601</v>
      </c>
      <c r="G8" s="10"/>
    </row>
    <row r="9" spans="1:7" x14ac:dyDescent="0.3">
      <c r="B9" t="s">
        <v>15</v>
      </c>
      <c r="C9">
        <v>2919</v>
      </c>
      <c r="D9">
        <v>4024</v>
      </c>
      <c r="E9" s="8">
        <v>0.72539761431411531</v>
      </c>
      <c r="G9" s="10"/>
    </row>
    <row r="10" spans="1:7" x14ac:dyDescent="0.3">
      <c r="B10" t="s">
        <v>43</v>
      </c>
      <c r="C10">
        <v>372</v>
      </c>
      <c r="D10">
        <v>623</v>
      </c>
      <c r="E10" s="8">
        <v>0.5971107544141252</v>
      </c>
      <c r="G10" s="10"/>
    </row>
    <row r="11" spans="1:7" x14ac:dyDescent="0.3">
      <c r="A11" t="s">
        <v>73</v>
      </c>
      <c r="C11">
        <v>3725</v>
      </c>
      <c r="D11">
        <v>5618</v>
      </c>
      <c r="E11" s="8">
        <v>0.66304734781060881</v>
      </c>
      <c r="G11" s="10"/>
    </row>
    <row r="12" spans="1:7" x14ac:dyDescent="0.3">
      <c r="A12" t="s">
        <v>66</v>
      </c>
      <c r="B12" t="s">
        <v>17</v>
      </c>
      <c r="C12">
        <v>863</v>
      </c>
      <c r="D12">
        <v>1178</v>
      </c>
      <c r="E12" s="8">
        <v>0.732597623089983</v>
      </c>
      <c r="G12" s="10"/>
    </row>
    <row r="13" spans="1:7" x14ac:dyDescent="0.3">
      <c r="B13" t="s">
        <v>15</v>
      </c>
      <c r="C13">
        <v>2934</v>
      </c>
      <c r="D13">
        <v>4238</v>
      </c>
      <c r="E13" s="8">
        <v>0.69230769230769229</v>
      </c>
      <c r="G13" s="10"/>
    </row>
    <row r="14" spans="1:7" x14ac:dyDescent="0.3">
      <c r="A14" t="s">
        <v>74</v>
      </c>
      <c r="C14">
        <v>3797</v>
      </c>
      <c r="D14">
        <v>5416</v>
      </c>
      <c r="E14" s="8">
        <v>0.7010709010339734</v>
      </c>
      <c r="G14" s="10"/>
    </row>
    <row r="15" spans="1:7" x14ac:dyDescent="0.3">
      <c r="A15" t="s">
        <v>70</v>
      </c>
      <c r="B15" t="s">
        <v>15</v>
      </c>
      <c r="C15">
        <v>785</v>
      </c>
      <c r="D15">
        <v>1574</v>
      </c>
      <c r="E15" s="8">
        <v>0.49872935196950446</v>
      </c>
      <c r="G15" s="10"/>
    </row>
    <row r="16" spans="1:7" x14ac:dyDescent="0.3">
      <c r="A16" t="s">
        <v>75</v>
      </c>
      <c r="C16">
        <v>785</v>
      </c>
      <c r="D16">
        <v>1574</v>
      </c>
      <c r="E16" s="8">
        <v>0.49872935196950446</v>
      </c>
      <c r="G16" s="10"/>
    </row>
    <row r="17" spans="1:7" x14ac:dyDescent="0.3">
      <c r="A17" t="s">
        <v>71</v>
      </c>
      <c r="C17">
        <v>15643</v>
      </c>
      <c r="D17">
        <v>21267</v>
      </c>
      <c r="E17" s="8">
        <v>0.7355527342831617</v>
      </c>
      <c r="G17" s="10"/>
    </row>
    <row r="18" spans="1:7" x14ac:dyDescent="0.3">
      <c r="G18" s="10"/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A973-E14E-4969-A94F-129EFB6FD8BE}">
  <dimension ref="B1:L221"/>
  <sheetViews>
    <sheetView tabSelected="1" topLeftCell="A195" zoomScaleNormal="100" workbookViewId="0">
      <selection activeCell="G221" sqref="G221"/>
    </sheetView>
  </sheetViews>
  <sheetFormatPr baseColWidth="10" defaultRowHeight="14.4" x14ac:dyDescent="0.3"/>
  <cols>
    <col min="2" max="2" width="11.109375" bestFit="1" customWidth="1"/>
    <col min="3" max="3" width="8" bestFit="1" customWidth="1"/>
    <col min="4" max="4" width="12.6640625" bestFit="1" customWidth="1"/>
    <col min="5" max="5" width="10.44140625" bestFit="1" customWidth="1"/>
    <col min="6" max="6" width="12.109375" bestFit="1" customWidth="1"/>
    <col min="7" max="7" width="11.33203125" bestFit="1" customWidth="1"/>
    <col min="8" max="8" width="12.44140625" bestFit="1" customWidth="1"/>
    <col min="9" max="9" width="13.6640625" bestFit="1" customWidth="1"/>
    <col min="10" max="10" width="15.88671875" bestFit="1" customWidth="1"/>
    <col min="11" max="11" width="33.109375" bestFit="1" customWidth="1"/>
    <col min="12" max="12" width="31.44140625" bestFit="1" customWidth="1"/>
  </cols>
  <sheetData>
    <row r="1" spans="2:12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15" customHeight="1" x14ac:dyDescent="0.3">
      <c r="B2" s="1"/>
      <c r="C2" s="1"/>
      <c r="D2" s="1"/>
      <c r="E2" s="1"/>
      <c r="F2" s="19" t="s">
        <v>0</v>
      </c>
      <c r="G2" s="19"/>
      <c r="H2" s="19"/>
      <c r="I2" s="19"/>
      <c r="J2" s="19"/>
      <c r="L2" s="1"/>
    </row>
    <row r="3" spans="2:12" ht="15" customHeight="1" x14ac:dyDescent="0.3">
      <c r="B3" s="1"/>
      <c r="C3" s="1"/>
      <c r="D3" s="1"/>
      <c r="E3" s="1"/>
      <c r="F3" s="19"/>
      <c r="G3" s="19"/>
      <c r="H3" s="19"/>
      <c r="I3" s="19"/>
      <c r="J3" s="19"/>
      <c r="L3" s="1"/>
    </row>
    <row r="4" spans="2:12" ht="15" customHeight="1" x14ac:dyDescent="0.3">
      <c r="B4" s="1"/>
      <c r="C4" s="1"/>
      <c r="D4" s="1"/>
      <c r="E4" s="1"/>
      <c r="F4" s="19"/>
      <c r="G4" s="19"/>
      <c r="H4" s="19"/>
      <c r="I4" s="19"/>
      <c r="J4" s="19"/>
      <c r="L4" s="1"/>
    </row>
    <row r="5" spans="2:12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9" spans="2:12" ht="18" x14ac:dyDescent="0.35">
      <c r="G9" s="18" t="s">
        <v>1</v>
      </c>
      <c r="H9" s="18"/>
      <c r="I9" s="18"/>
    </row>
    <row r="10" spans="2:12" ht="15" thickBot="1" x14ac:dyDescent="0.35">
      <c r="B10" s="14" t="s">
        <v>80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4" t="s">
        <v>11</v>
      </c>
    </row>
    <row r="11" spans="2:12" x14ac:dyDescent="0.3">
      <c r="B11" s="15" t="s">
        <v>81</v>
      </c>
      <c r="C11" s="5" t="s">
        <v>12</v>
      </c>
      <c r="D11" s="5" t="s">
        <v>13</v>
      </c>
      <c r="E11" s="5" t="s">
        <v>14</v>
      </c>
      <c r="F11" t="s">
        <v>15</v>
      </c>
      <c r="G11" s="17">
        <v>12</v>
      </c>
      <c r="H11">
        <f t="shared" ref="H11:H74" si="0">+I11-G11</f>
        <v>90</v>
      </c>
      <c r="I11">
        <v>102</v>
      </c>
      <c r="J11" s="6">
        <f>+Tabla3[[#This Row],[OCUPADO]]/Tabla3[[#This Row],[CAPACIDAD]]</f>
        <v>0.88235294117647056</v>
      </c>
      <c r="K11" t="s">
        <v>16</v>
      </c>
      <c r="L11">
        <f>+Tabla3[[#This Row],[VACIO]]*29.38</f>
        <v>352.56</v>
      </c>
    </row>
    <row r="12" spans="2:12" x14ac:dyDescent="0.3">
      <c r="B12" s="16" t="s">
        <v>81</v>
      </c>
      <c r="C12" s="5" t="s">
        <v>12</v>
      </c>
      <c r="D12" s="5" t="s">
        <v>13</v>
      </c>
      <c r="E12" s="5" t="s">
        <v>14</v>
      </c>
      <c r="F12" t="s">
        <v>17</v>
      </c>
      <c r="G12" s="17">
        <v>5</v>
      </c>
      <c r="H12">
        <f t="shared" si="0"/>
        <v>47</v>
      </c>
      <c r="I12">
        <v>52</v>
      </c>
      <c r="J12" s="6">
        <f>+Tabla3[[#This Row],[OCUPADO]]/Tabla3[[#This Row],[CAPACIDAD]]</f>
        <v>0.90384615384615385</v>
      </c>
      <c r="K12" t="s">
        <v>16</v>
      </c>
      <c r="L12">
        <f>+Tabla3[[#This Row],[VACIO]]*29.38</f>
        <v>146.9</v>
      </c>
    </row>
    <row r="13" spans="2:12" x14ac:dyDescent="0.3">
      <c r="B13" s="15" t="s">
        <v>81</v>
      </c>
      <c r="C13" s="5" t="s">
        <v>12</v>
      </c>
      <c r="D13" s="5" t="s">
        <v>13</v>
      </c>
      <c r="E13" s="5" t="s">
        <v>18</v>
      </c>
      <c r="F13" t="s">
        <v>15</v>
      </c>
      <c r="G13" s="17">
        <v>6</v>
      </c>
      <c r="H13">
        <f t="shared" si="0"/>
        <v>103</v>
      </c>
      <c r="I13">
        <v>109</v>
      </c>
      <c r="J13" s="6">
        <f>+Tabla3[[#This Row],[OCUPADO]]/Tabla3[[#This Row],[CAPACIDAD]]</f>
        <v>0.94495412844036697</v>
      </c>
      <c r="K13" t="s">
        <v>16</v>
      </c>
      <c r="L13">
        <f>+Tabla3[[#This Row],[VACIO]]*29.38</f>
        <v>176.28</v>
      </c>
    </row>
    <row r="14" spans="2:12" x14ac:dyDescent="0.3">
      <c r="B14" s="16" t="s">
        <v>81</v>
      </c>
      <c r="C14" s="5" t="s">
        <v>12</v>
      </c>
      <c r="D14" s="5" t="s">
        <v>13</v>
      </c>
      <c r="E14" s="5" t="s">
        <v>18</v>
      </c>
      <c r="F14" t="s">
        <v>17</v>
      </c>
      <c r="G14" s="17">
        <v>3</v>
      </c>
      <c r="H14">
        <f t="shared" si="0"/>
        <v>57</v>
      </c>
      <c r="I14">
        <v>60</v>
      </c>
      <c r="J14" s="6">
        <f>+Tabla3[[#This Row],[OCUPADO]]/Tabla3[[#This Row],[CAPACIDAD]]</f>
        <v>0.95</v>
      </c>
      <c r="K14" t="s">
        <v>16</v>
      </c>
      <c r="L14">
        <f>+Tabla3[[#This Row],[VACIO]]*29.38</f>
        <v>88.14</v>
      </c>
    </row>
    <row r="15" spans="2:12" x14ac:dyDescent="0.3">
      <c r="B15" s="15" t="s">
        <v>81</v>
      </c>
      <c r="C15" s="5" t="s">
        <v>12</v>
      </c>
      <c r="D15" s="5" t="s">
        <v>19</v>
      </c>
      <c r="E15" s="5" t="s">
        <v>14</v>
      </c>
      <c r="F15" t="s">
        <v>15</v>
      </c>
      <c r="G15" s="17">
        <v>6</v>
      </c>
      <c r="H15">
        <f t="shared" si="0"/>
        <v>133</v>
      </c>
      <c r="I15">
        <v>139</v>
      </c>
      <c r="J15" s="6">
        <f>+Tabla3[[#This Row],[OCUPADO]]/Tabla3[[#This Row],[CAPACIDAD]]</f>
        <v>0.95683453237410077</v>
      </c>
      <c r="K15" t="s">
        <v>16</v>
      </c>
      <c r="L15">
        <f>+Tabla3[[#This Row],[VACIO]]*29.38</f>
        <v>176.28</v>
      </c>
    </row>
    <row r="16" spans="2:12" x14ac:dyDescent="0.3">
      <c r="B16" s="16" t="s">
        <v>81</v>
      </c>
      <c r="C16" s="5" t="s">
        <v>12</v>
      </c>
      <c r="D16" s="5" t="s">
        <v>19</v>
      </c>
      <c r="E16" s="5" t="s">
        <v>18</v>
      </c>
      <c r="F16" t="s">
        <v>15</v>
      </c>
      <c r="G16" s="17">
        <v>7</v>
      </c>
      <c r="H16">
        <f t="shared" si="0"/>
        <v>138</v>
      </c>
      <c r="I16">
        <v>145</v>
      </c>
      <c r="J16" s="6">
        <f>+Tabla3[[#This Row],[OCUPADO]]/Tabla3[[#This Row],[CAPACIDAD]]</f>
        <v>0.9517241379310345</v>
      </c>
      <c r="K16" t="s">
        <v>16</v>
      </c>
      <c r="L16">
        <f>+Tabla3[[#This Row],[VACIO]]*29.38</f>
        <v>205.66</v>
      </c>
    </row>
    <row r="17" spans="2:12" x14ac:dyDescent="0.3">
      <c r="B17" s="15" t="s">
        <v>81</v>
      </c>
      <c r="C17" s="5" t="s">
        <v>12</v>
      </c>
      <c r="D17" s="5" t="s">
        <v>20</v>
      </c>
      <c r="E17" s="5" t="s">
        <v>14</v>
      </c>
      <c r="F17" t="s">
        <v>15</v>
      </c>
      <c r="G17" s="17">
        <v>7</v>
      </c>
      <c r="H17">
        <f t="shared" si="0"/>
        <v>89</v>
      </c>
      <c r="I17">
        <v>96</v>
      </c>
      <c r="J17" s="6">
        <f>+Tabla3[[#This Row],[OCUPADO]]/Tabla3[[#This Row],[CAPACIDAD]]</f>
        <v>0.92708333333333337</v>
      </c>
      <c r="K17" t="s">
        <v>16</v>
      </c>
      <c r="L17">
        <f>+Tabla3[[#This Row],[VACIO]]*29.38</f>
        <v>205.66</v>
      </c>
    </row>
    <row r="18" spans="2:12" x14ac:dyDescent="0.3">
      <c r="B18" s="16" t="s">
        <v>81</v>
      </c>
      <c r="C18" s="5" t="s">
        <v>12</v>
      </c>
      <c r="D18" s="5" t="s">
        <v>20</v>
      </c>
      <c r="E18" s="5" t="s">
        <v>14</v>
      </c>
      <c r="F18" t="s">
        <v>17</v>
      </c>
      <c r="G18" s="17">
        <v>9</v>
      </c>
      <c r="H18">
        <f t="shared" si="0"/>
        <v>74</v>
      </c>
      <c r="I18">
        <v>83</v>
      </c>
      <c r="J18" s="6">
        <f>+Tabla3[[#This Row],[OCUPADO]]/Tabla3[[#This Row],[CAPACIDAD]]</f>
        <v>0.89156626506024095</v>
      </c>
      <c r="K18" t="s">
        <v>16</v>
      </c>
      <c r="L18">
        <f>+Tabla3[[#This Row],[VACIO]]*29.38</f>
        <v>264.42</v>
      </c>
    </row>
    <row r="19" spans="2:12" x14ac:dyDescent="0.3">
      <c r="B19" s="15" t="s">
        <v>81</v>
      </c>
      <c r="C19" s="5" t="s">
        <v>12</v>
      </c>
      <c r="D19" s="5" t="s">
        <v>20</v>
      </c>
      <c r="E19" s="5" t="s">
        <v>18</v>
      </c>
      <c r="F19" t="s">
        <v>15</v>
      </c>
      <c r="G19" s="17">
        <v>9</v>
      </c>
      <c r="H19">
        <f t="shared" si="0"/>
        <v>102</v>
      </c>
      <c r="I19">
        <v>111</v>
      </c>
      <c r="J19" s="6">
        <f>+Tabla3[[#This Row],[OCUPADO]]/Tabla3[[#This Row],[CAPACIDAD]]</f>
        <v>0.91891891891891897</v>
      </c>
      <c r="K19" t="s">
        <v>16</v>
      </c>
      <c r="L19">
        <f>+Tabla3[[#This Row],[VACIO]]*29.38</f>
        <v>264.42</v>
      </c>
    </row>
    <row r="20" spans="2:12" x14ac:dyDescent="0.3">
      <c r="B20" s="16" t="s">
        <v>81</v>
      </c>
      <c r="C20" s="5" t="s">
        <v>12</v>
      </c>
      <c r="D20" s="5" t="s">
        <v>20</v>
      </c>
      <c r="E20" s="5" t="s">
        <v>18</v>
      </c>
      <c r="F20" t="s">
        <v>17</v>
      </c>
      <c r="G20" s="17">
        <v>3</v>
      </c>
      <c r="H20">
        <f t="shared" si="0"/>
        <v>53</v>
      </c>
      <c r="I20">
        <v>56</v>
      </c>
      <c r="J20" s="6">
        <f>+Tabla3[[#This Row],[OCUPADO]]/Tabla3[[#This Row],[CAPACIDAD]]</f>
        <v>0.9464285714285714</v>
      </c>
      <c r="K20" t="s">
        <v>16</v>
      </c>
      <c r="L20">
        <f>+Tabla3[[#This Row],[VACIO]]*29.38</f>
        <v>88.14</v>
      </c>
    </row>
    <row r="21" spans="2:12" x14ac:dyDescent="0.3">
      <c r="B21" s="15" t="s">
        <v>81</v>
      </c>
      <c r="C21" s="5" t="s">
        <v>12</v>
      </c>
      <c r="D21" s="5" t="s">
        <v>21</v>
      </c>
      <c r="E21" s="5" t="s">
        <v>14</v>
      </c>
      <c r="F21" t="s">
        <v>15</v>
      </c>
      <c r="G21" s="17">
        <v>10</v>
      </c>
      <c r="H21">
        <f t="shared" si="0"/>
        <v>113</v>
      </c>
      <c r="I21">
        <v>123</v>
      </c>
      <c r="J21" s="6">
        <f>+Tabla3[[#This Row],[OCUPADO]]/Tabla3[[#This Row],[CAPACIDAD]]</f>
        <v>0.91869918699186992</v>
      </c>
      <c r="K21" t="s">
        <v>16</v>
      </c>
      <c r="L21">
        <f>+Tabla3[[#This Row],[VACIO]]*29.38</f>
        <v>293.8</v>
      </c>
    </row>
    <row r="22" spans="2:12" x14ac:dyDescent="0.3">
      <c r="B22" s="16" t="s">
        <v>81</v>
      </c>
      <c r="C22" s="5" t="s">
        <v>12</v>
      </c>
      <c r="D22" s="5" t="s">
        <v>21</v>
      </c>
      <c r="E22" s="5" t="s">
        <v>14</v>
      </c>
      <c r="F22" t="s">
        <v>17</v>
      </c>
      <c r="G22" s="17">
        <v>7</v>
      </c>
      <c r="H22">
        <f t="shared" si="0"/>
        <v>37</v>
      </c>
      <c r="I22">
        <v>44</v>
      </c>
      <c r="J22" s="6">
        <f>+Tabla3[[#This Row],[OCUPADO]]/Tabla3[[#This Row],[CAPACIDAD]]</f>
        <v>0.84090909090909094</v>
      </c>
      <c r="K22" t="s">
        <v>16</v>
      </c>
      <c r="L22">
        <f>+Tabla3[[#This Row],[VACIO]]*29.38</f>
        <v>205.66</v>
      </c>
    </row>
    <row r="23" spans="2:12" x14ac:dyDescent="0.3">
      <c r="B23" s="15" t="s">
        <v>81</v>
      </c>
      <c r="C23" s="5" t="s">
        <v>12</v>
      </c>
      <c r="D23" s="5" t="s">
        <v>21</v>
      </c>
      <c r="E23" s="5" t="s">
        <v>18</v>
      </c>
      <c r="F23" t="s">
        <v>15</v>
      </c>
      <c r="G23" s="17">
        <v>11</v>
      </c>
      <c r="H23">
        <f t="shared" si="0"/>
        <v>100</v>
      </c>
      <c r="I23">
        <v>111</v>
      </c>
      <c r="J23" s="6">
        <f>+Tabla3[[#This Row],[OCUPADO]]/Tabla3[[#This Row],[CAPACIDAD]]</f>
        <v>0.90090090090090091</v>
      </c>
      <c r="K23" t="s">
        <v>16</v>
      </c>
      <c r="L23">
        <f>+Tabla3[[#This Row],[VACIO]]*29.38</f>
        <v>323.18</v>
      </c>
    </row>
    <row r="24" spans="2:12" x14ac:dyDescent="0.3">
      <c r="B24" s="16" t="s">
        <v>81</v>
      </c>
      <c r="C24" s="5" t="s">
        <v>12</v>
      </c>
      <c r="D24" s="5" t="s">
        <v>21</v>
      </c>
      <c r="E24" s="5" t="s">
        <v>18</v>
      </c>
      <c r="F24" t="s">
        <v>17</v>
      </c>
      <c r="G24" s="17">
        <v>2</v>
      </c>
      <c r="H24">
        <f t="shared" si="0"/>
        <v>66</v>
      </c>
      <c r="I24">
        <v>68</v>
      </c>
      <c r="J24" s="6">
        <f>+Tabla3[[#This Row],[OCUPADO]]/Tabla3[[#This Row],[CAPACIDAD]]</f>
        <v>0.97058823529411764</v>
      </c>
      <c r="K24" t="s">
        <v>16</v>
      </c>
      <c r="L24">
        <f>+Tabla3[[#This Row],[VACIO]]*29.38</f>
        <v>58.76</v>
      </c>
    </row>
    <row r="25" spans="2:12" x14ac:dyDescent="0.3">
      <c r="B25" s="15" t="s">
        <v>81</v>
      </c>
      <c r="C25" s="5" t="s">
        <v>12</v>
      </c>
      <c r="D25" s="5" t="s">
        <v>22</v>
      </c>
      <c r="E25" s="5" t="s">
        <v>14</v>
      </c>
      <c r="F25" t="s">
        <v>15</v>
      </c>
      <c r="G25" s="17">
        <v>21</v>
      </c>
      <c r="H25">
        <f t="shared" si="0"/>
        <v>52</v>
      </c>
      <c r="I25">
        <v>73</v>
      </c>
      <c r="J25" s="6">
        <f>+Tabla3[[#This Row],[OCUPADO]]/Tabla3[[#This Row],[CAPACIDAD]]</f>
        <v>0.71232876712328763</v>
      </c>
      <c r="K25" t="s">
        <v>23</v>
      </c>
      <c r="L25">
        <f>+Tabla3[[#This Row],[VACIO]]*29.38</f>
        <v>616.98</v>
      </c>
    </row>
    <row r="26" spans="2:12" x14ac:dyDescent="0.3">
      <c r="B26" s="16" t="s">
        <v>81</v>
      </c>
      <c r="C26" s="5" t="s">
        <v>12</v>
      </c>
      <c r="D26" s="5" t="s">
        <v>22</v>
      </c>
      <c r="E26" s="5" t="s">
        <v>14</v>
      </c>
      <c r="F26" t="s">
        <v>17</v>
      </c>
      <c r="G26" s="17">
        <v>11</v>
      </c>
      <c r="H26">
        <f t="shared" si="0"/>
        <v>121</v>
      </c>
      <c r="I26">
        <v>132</v>
      </c>
      <c r="J26" s="6">
        <f>+Tabla3[[#This Row],[OCUPADO]]/Tabla3[[#This Row],[CAPACIDAD]]</f>
        <v>0.91666666666666663</v>
      </c>
      <c r="K26" t="s">
        <v>23</v>
      </c>
      <c r="L26">
        <f>+Tabla3[[#This Row],[VACIO]]*29.38</f>
        <v>323.18</v>
      </c>
    </row>
    <row r="27" spans="2:12" x14ac:dyDescent="0.3">
      <c r="B27" s="15" t="s">
        <v>81</v>
      </c>
      <c r="C27" s="5" t="s">
        <v>12</v>
      </c>
      <c r="D27" s="5" t="s">
        <v>22</v>
      </c>
      <c r="E27" s="5" t="s">
        <v>18</v>
      </c>
      <c r="F27" t="s">
        <v>15</v>
      </c>
      <c r="G27" s="17">
        <v>14</v>
      </c>
      <c r="H27">
        <f t="shared" si="0"/>
        <v>46</v>
      </c>
      <c r="I27">
        <v>60</v>
      </c>
      <c r="J27" s="6">
        <f>+Tabla3[[#This Row],[OCUPADO]]/Tabla3[[#This Row],[CAPACIDAD]]</f>
        <v>0.76666666666666672</v>
      </c>
      <c r="K27" t="s">
        <v>23</v>
      </c>
      <c r="L27">
        <f>+Tabla3[[#This Row],[VACIO]]*29.38</f>
        <v>411.32</v>
      </c>
    </row>
    <row r="28" spans="2:12" x14ac:dyDescent="0.3">
      <c r="B28" s="16" t="s">
        <v>81</v>
      </c>
      <c r="C28" s="5" t="s">
        <v>12</v>
      </c>
      <c r="D28" s="5" t="s">
        <v>22</v>
      </c>
      <c r="E28" s="5" t="s">
        <v>18</v>
      </c>
      <c r="F28" t="s">
        <v>17</v>
      </c>
      <c r="G28" s="17">
        <v>23</v>
      </c>
      <c r="H28">
        <f t="shared" si="0"/>
        <v>129</v>
      </c>
      <c r="I28">
        <v>152</v>
      </c>
      <c r="J28" s="6">
        <f>+Tabla3[[#This Row],[OCUPADO]]/Tabla3[[#This Row],[CAPACIDAD]]</f>
        <v>0.84868421052631582</v>
      </c>
      <c r="K28" t="s">
        <v>23</v>
      </c>
      <c r="L28">
        <f>+Tabla3[[#This Row],[VACIO]]*29.38</f>
        <v>675.74</v>
      </c>
    </row>
    <row r="29" spans="2:12" x14ac:dyDescent="0.3">
      <c r="B29" s="15" t="s">
        <v>81</v>
      </c>
      <c r="C29" s="5" t="s">
        <v>12</v>
      </c>
      <c r="D29" s="5" t="s">
        <v>24</v>
      </c>
      <c r="E29" s="5" t="s">
        <v>14</v>
      </c>
      <c r="F29" t="s">
        <v>15</v>
      </c>
      <c r="G29" s="17">
        <v>5</v>
      </c>
      <c r="H29">
        <f t="shared" si="0"/>
        <v>56</v>
      </c>
      <c r="I29">
        <v>61</v>
      </c>
      <c r="J29" s="6">
        <f>+Tabla3[[#This Row],[OCUPADO]]/Tabla3[[#This Row],[CAPACIDAD]]</f>
        <v>0.91803278688524592</v>
      </c>
      <c r="K29" t="s">
        <v>23</v>
      </c>
      <c r="L29">
        <f>+Tabla3[[#This Row],[VACIO]]*29.38</f>
        <v>146.9</v>
      </c>
    </row>
    <row r="30" spans="2:12" x14ac:dyDescent="0.3">
      <c r="B30" s="16" t="s">
        <v>81</v>
      </c>
      <c r="C30" s="5" t="s">
        <v>12</v>
      </c>
      <c r="D30" s="5" t="s">
        <v>24</v>
      </c>
      <c r="E30" s="5" t="s">
        <v>14</v>
      </c>
      <c r="F30" t="s">
        <v>17</v>
      </c>
      <c r="G30" s="17">
        <v>13</v>
      </c>
      <c r="H30">
        <f t="shared" si="0"/>
        <v>143</v>
      </c>
      <c r="I30">
        <v>156</v>
      </c>
      <c r="J30" s="6">
        <f>+Tabla3[[#This Row],[OCUPADO]]/Tabla3[[#This Row],[CAPACIDAD]]</f>
        <v>0.91666666666666663</v>
      </c>
      <c r="K30" t="s">
        <v>23</v>
      </c>
      <c r="L30">
        <f>+Tabla3[[#This Row],[VACIO]]*29.38</f>
        <v>381.94</v>
      </c>
    </row>
    <row r="31" spans="2:12" x14ac:dyDescent="0.3">
      <c r="B31" s="15" t="s">
        <v>81</v>
      </c>
      <c r="C31" s="5" t="s">
        <v>12</v>
      </c>
      <c r="D31" s="5" t="s">
        <v>24</v>
      </c>
      <c r="E31" s="5" t="s">
        <v>18</v>
      </c>
      <c r="F31" t="s">
        <v>15</v>
      </c>
      <c r="G31" s="17">
        <v>12</v>
      </c>
      <c r="H31">
        <f t="shared" si="0"/>
        <v>49</v>
      </c>
      <c r="I31">
        <v>61</v>
      </c>
      <c r="J31" s="6">
        <f>+Tabla3[[#This Row],[OCUPADO]]/Tabla3[[#This Row],[CAPACIDAD]]</f>
        <v>0.80327868852459017</v>
      </c>
      <c r="K31" t="s">
        <v>23</v>
      </c>
      <c r="L31">
        <f>+Tabla3[[#This Row],[VACIO]]*29.38</f>
        <v>352.56</v>
      </c>
    </row>
    <row r="32" spans="2:12" x14ac:dyDescent="0.3">
      <c r="B32" s="16" t="s">
        <v>81</v>
      </c>
      <c r="C32" s="5" t="s">
        <v>12</v>
      </c>
      <c r="D32" s="5" t="s">
        <v>24</v>
      </c>
      <c r="E32" s="5" t="s">
        <v>18</v>
      </c>
      <c r="F32" t="s">
        <v>17</v>
      </c>
      <c r="G32" s="17">
        <v>13</v>
      </c>
      <c r="H32">
        <f t="shared" si="0"/>
        <v>143</v>
      </c>
      <c r="I32">
        <v>156</v>
      </c>
      <c r="J32" s="6">
        <f>+Tabla3[[#This Row],[OCUPADO]]/Tabla3[[#This Row],[CAPACIDAD]]</f>
        <v>0.91666666666666663</v>
      </c>
      <c r="K32" t="s">
        <v>23</v>
      </c>
      <c r="L32">
        <f>+Tabla3[[#This Row],[VACIO]]*29.38</f>
        <v>381.94</v>
      </c>
    </row>
    <row r="33" spans="2:12" x14ac:dyDescent="0.3">
      <c r="B33" s="15" t="s">
        <v>81</v>
      </c>
      <c r="C33" s="5" t="s">
        <v>12</v>
      </c>
      <c r="D33" s="5" t="s">
        <v>25</v>
      </c>
      <c r="E33" s="5" t="s">
        <v>14</v>
      </c>
      <c r="F33" t="s">
        <v>15</v>
      </c>
      <c r="G33" s="17">
        <v>6</v>
      </c>
      <c r="H33">
        <f t="shared" si="0"/>
        <v>57</v>
      </c>
      <c r="I33">
        <v>63</v>
      </c>
      <c r="J33" s="6">
        <f>+Tabla3[[#This Row],[OCUPADO]]/Tabla3[[#This Row],[CAPACIDAD]]</f>
        <v>0.90476190476190477</v>
      </c>
      <c r="K33" t="s">
        <v>23</v>
      </c>
      <c r="L33">
        <f>+Tabla3[[#This Row],[VACIO]]*29.38</f>
        <v>176.28</v>
      </c>
    </row>
    <row r="34" spans="2:12" x14ac:dyDescent="0.3">
      <c r="B34" s="16" t="s">
        <v>81</v>
      </c>
      <c r="C34" s="5" t="s">
        <v>12</v>
      </c>
      <c r="D34" s="5" t="s">
        <v>25</v>
      </c>
      <c r="E34" s="5" t="s">
        <v>14</v>
      </c>
      <c r="F34" t="s">
        <v>17</v>
      </c>
      <c r="G34" s="17">
        <v>17</v>
      </c>
      <c r="H34">
        <f t="shared" si="0"/>
        <v>135</v>
      </c>
      <c r="I34">
        <v>152</v>
      </c>
      <c r="J34" s="6">
        <f>+Tabla3[[#This Row],[OCUPADO]]/Tabla3[[#This Row],[CAPACIDAD]]</f>
        <v>0.88815789473684215</v>
      </c>
      <c r="K34" t="s">
        <v>23</v>
      </c>
      <c r="L34">
        <f>+Tabla3[[#This Row],[VACIO]]*29.38</f>
        <v>499.46</v>
      </c>
    </row>
    <row r="35" spans="2:12" x14ac:dyDescent="0.3">
      <c r="B35" s="15" t="s">
        <v>81</v>
      </c>
      <c r="C35" s="5" t="s">
        <v>12</v>
      </c>
      <c r="D35" s="5" t="s">
        <v>25</v>
      </c>
      <c r="E35" s="5" t="s">
        <v>18</v>
      </c>
      <c r="F35" t="s">
        <v>15</v>
      </c>
      <c r="G35" s="17">
        <v>11</v>
      </c>
      <c r="H35">
        <f t="shared" si="0"/>
        <v>128</v>
      </c>
      <c r="I35">
        <v>139</v>
      </c>
      <c r="J35" s="6">
        <f>+Tabla3[[#This Row],[OCUPADO]]/Tabla3[[#This Row],[CAPACIDAD]]</f>
        <v>0.92086330935251803</v>
      </c>
      <c r="K35" t="s">
        <v>23</v>
      </c>
      <c r="L35">
        <f>+Tabla3[[#This Row],[VACIO]]*29.38</f>
        <v>323.18</v>
      </c>
    </row>
    <row r="36" spans="2:12" x14ac:dyDescent="0.3">
      <c r="B36" s="16" t="s">
        <v>81</v>
      </c>
      <c r="C36" s="5" t="s">
        <v>12</v>
      </c>
      <c r="D36" s="5" t="s">
        <v>26</v>
      </c>
      <c r="E36" s="5" t="s">
        <v>14</v>
      </c>
      <c r="F36" t="s">
        <v>15</v>
      </c>
      <c r="G36" s="17">
        <v>12</v>
      </c>
      <c r="H36">
        <f t="shared" si="0"/>
        <v>127</v>
      </c>
      <c r="I36">
        <v>139</v>
      </c>
      <c r="J36" s="6">
        <f>+Tabla3[[#This Row],[OCUPADO]]/Tabla3[[#This Row],[CAPACIDAD]]</f>
        <v>0.91366906474820142</v>
      </c>
      <c r="K36" t="s">
        <v>23</v>
      </c>
      <c r="L36">
        <f>+Tabla3[[#This Row],[VACIO]]*29.38</f>
        <v>352.56</v>
      </c>
    </row>
    <row r="37" spans="2:12" x14ac:dyDescent="0.3">
      <c r="B37" s="15" t="s">
        <v>81</v>
      </c>
      <c r="C37" s="5" t="s">
        <v>12</v>
      </c>
      <c r="D37" s="5" t="s">
        <v>26</v>
      </c>
      <c r="E37" s="5" t="s">
        <v>18</v>
      </c>
      <c r="F37" t="s">
        <v>15</v>
      </c>
      <c r="G37" s="17">
        <v>41</v>
      </c>
      <c r="H37">
        <f t="shared" si="0"/>
        <v>93</v>
      </c>
      <c r="I37">
        <v>134</v>
      </c>
      <c r="J37" s="6">
        <f>+Tabla3[[#This Row],[OCUPADO]]/Tabla3[[#This Row],[CAPACIDAD]]</f>
        <v>0.69402985074626866</v>
      </c>
      <c r="K37" t="s">
        <v>23</v>
      </c>
      <c r="L37">
        <f>+Tabla3[[#This Row],[VACIO]]*29.38</f>
        <v>1204.58</v>
      </c>
    </row>
    <row r="38" spans="2:12" x14ac:dyDescent="0.3">
      <c r="B38" s="16" t="s">
        <v>81</v>
      </c>
      <c r="C38" s="5" t="s">
        <v>12</v>
      </c>
      <c r="D38" s="5" t="s">
        <v>26</v>
      </c>
      <c r="E38" s="5" t="s">
        <v>18</v>
      </c>
      <c r="F38" t="s">
        <v>17</v>
      </c>
      <c r="G38" s="17">
        <v>0</v>
      </c>
      <c r="H38">
        <f t="shared" si="0"/>
        <v>4</v>
      </c>
      <c r="I38">
        <v>4</v>
      </c>
      <c r="J38" s="6">
        <f>+Tabla3[[#This Row],[OCUPADO]]/Tabla3[[#This Row],[CAPACIDAD]]</f>
        <v>1</v>
      </c>
      <c r="K38" t="s">
        <v>23</v>
      </c>
      <c r="L38">
        <f>+Tabla3[[#This Row],[VACIO]]*29.38</f>
        <v>0</v>
      </c>
    </row>
    <row r="39" spans="2:12" x14ac:dyDescent="0.3">
      <c r="B39" s="15" t="s">
        <v>81</v>
      </c>
      <c r="C39" s="5" t="s">
        <v>12</v>
      </c>
      <c r="D39" s="5" t="s">
        <v>27</v>
      </c>
      <c r="E39" s="5" t="s">
        <v>14</v>
      </c>
      <c r="F39" t="s">
        <v>15</v>
      </c>
      <c r="G39" s="17">
        <v>18</v>
      </c>
      <c r="H39">
        <f t="shared" si="0"/>
        <v>73</v>
      </c>
      <c r="I39">
        <v>91</v>
      </c>
      <c r="J39" s="6">
        <f>+Tabla3[[#This Row],[OCUPADO]]/Tabla3[[#This Row],[CAPACIDAD]]</f>
        <v>0.80219780219780223</v>
      </c>
      <c r="K39" t="s">
        <v>28</v>
      </c>
      <c r="L39">
        <f>+Tabla3[[#This Row],[VACIO]]*29.38</f>
        <v>528.84</v>
      </c>
    </row>
    <row r="40" spans="2:12" x14ac:dyDescent="0.3">
      <c r="B40" s="16" t="s">
        <v>81</v>
      </c>
      <c r="C40" s="5" t="s">
        <v>12</v>
      </c>
      <c r="D40" s="5" t="s">
        <v>27</v>
      </c>
      <c r="E40" s="5" t="s">
        <v>14</v>
      </c>
      <c r="F40" t="s">
        <v>17</v>
      </c>
      <c r="G40" s="17">
        <v>16</v>
      </c>
      <c r="H40">
        <f t="shared" si="0"/>
        <v>80</v>
      </c>
      <c r="I40">
        <v>96</v>
      </c>
      <c r="J40" s="6">
        <f>+Tabla3[[#This Row],[OCUPADO]]/Tabla3[[#This Row],[CAPACIDAD]]</f>
        <v>0.83333333333333337</v>
      </c>
      <c r="K40" t="s">
        <v>28</v>
      </c>
      <c r="L40">
        <f>+Tabla3[[#This Row],[VACIO]]*29.38</f>
        <v>470.08</v>
      </c>
    </row>
    <row r="41" spans="2:12" x14ac:dyDescent="0.3">
      <c r="B41" s="15" t="s">
        <v>81</v>
      </c>
      <c r="C41" s="5" t="s">
        <v>12</v>
      </c>
      <c r="D41" s="5" t="s">
        <v>27</v>
      </c>
      <c r="E41" s="5" t="s">
        <v>18</v>
      </c>
      <c r="F41" t="s">
        <v>15</v>
      </c>
      <c r="G41" s="17">
        <v>12</v>
      </c>
      <c r="H41">
        <f t="shared" si="0"/>
        <v>72</v>
      </c>
      <c r="I41">
        <v>84</v>
      </c>
      <c r="J41" s="6">
        <f>+Tabla3[[#This Row],[OCUPADO]]/Tabla3[[#This Row],[CAPACIDAD]]</f>
        <v>0.8571428571428571</v>
      </c>
      <c r="K41" t="s">
        <v>28</v>
      </c>
      <c r="L41">
        <f>+Tabla3[[#This Row],[VACIO]]*29.38</f>
        <v>352.56</v>
      </c>
    </row>
    <row r="42" spans="2:12" x14ac:dyDescent="0.3">
      <c r="B42" s="16" t="s">
        <v>81</v>
      </c>
      <c r="C42" s="5" t="s">
        <v>12</v>
      </c>
      <c r="D42" s="5" t="s">
        <v>27</v>
      </c>
      <c r="E42" s="5" t="s">
        <v>18</v>
      </c>
      <c r="F42" t="s">
        <v>17</v>
      </c>
      <c r="G42" s="17">
        <v>10</v>
      </c>
      <c r="H42">
        <f t="shared" si="0"/>
        <v>94</v>
      </c>
      <c r="I42">
        <v>104</v>
      </c>
      <c r="J42" s="6">
        <f>+Tabla3[[#This Row],[OCUPADO]]/Tabla3[[#This Row],[CAPACIDAD]]</f>
        <v>0.90384615384615385</v>
      </c>
      <c r="K42" t="s">
        <v>28</v>
      </c>
      <c r="L42">
        <f>+Tabla3[[#This Row],[VACIO]]*29.38</f>
        <v>293.8</v>
      </c>
    </row>
    <row r="43" spans="2:12" x14ac:dyDescent="0.3">
      <c r="B43" s="15" t="s">
        <v>81</v>
      </c>
      <c r="C43" s="5" t="s">
        <v>12</v>
      </c>
      <c r="D43" s="5" t="s">
        <v>29</v>
      </c>
      <c r="E43" s="5" t="s">
        <v>14</v>
      </c>
      <c r="F43" t="s">
        <v>15</v>
      </c>
      <c r="G43" s="17">
        <v>33</v>
      </c>
      <c r="H43">
        <f t="shared" si="0"/>
        <v>106</v>
      </c>
      <c r="I43">
        <v>139</v>
      </c>
      <c r="J43" s="6">
        <f>+Tabla3[[#This Row],[OCUPADO]]/Tabla3[[#This Row],[CAPACIDAD]]</f>
        <v>0.76258992805755399</v>
      </c>
      <c r="K43" t="s">
        <v>16</v>
      </c>
      <c r="L43">
        <f>+Tabla3[[#This Row],[VACIO]]*29.38</f>
        <v>969.54</v>
      </c>
    </row>
    <row r="44" spans="2:12" x14ac:dyDescent="0.3">
      <c r="B44" s="16" t="s">
        <v>81</v>
      </c>
      <c r="C44" s="5" t="s">
        <v>12</v>
      </c>
      <c r="D44" s="5" t="s">
        <v>29</v>
      </c>
      <c r="E44" s="5" t="s">
        <v>18</v>
      </c>
      <c r="F44" t="s">
        <v>15</v>
      </c>
      <c r="G44" s="17">
        <v>30</v>
      </c>
      <c r="H44">
        <f t="shared" si="0"/>
        <v>110</v>
      </c>
      <c r="I44">
        <v>140</v>
      </c>
      <c r="J44" s="6">
        <f>+Tabla3[[#This Row],[OCUPADO]]/Tabla3[[#This Row],[CAPACIDAD]]</f>
        <v>0.7857142857142857</v>
      </c>
      <c r="K44" t="s">
        <v>16</v>
      </c>
      <c r="L44">
        <f>+Tabla3[[#This Row],[VACIO]]*29.38</f>
        <v>881.4</v>
      </c>
    </row>
    <row r="45" spans="2:12" x14ac:dyDescent="0.3">
      <c r="B45" s="15" t="s">
        <v>81</v>
      </c>
      <c r="C45" s="5" t="s">
        <v>12</v>
      </c>
      <c r="D45" s="5" t="s">
        <v>29</v>
      </c>
      <c r="E45" s="5" t="s">
        <v>18</v>
      </c>
      <c r="F45" t="s">
        <v>17</v>
      </c>
      <c r="G45" s="17">
        <v>3</v>
      </c>
      <c r="H45">
        <f t="shared" si="0"/>
        <v>5</v>
      </c>
      <c r="I45">
        <v>8</v>
      </c>
      <c r="J45" s="6">
        <f>+Tabla3[[#This Row],[OCUPADO]]/Tabla3[[#This Row],[CAPACIDAD]]</f>
        <v>0.625</v>
      </c>
      <c r="K45" t="s">
        <v>16</v>
      </c>
      <c r="L45">
        <f>+Tabla3[[#This Row],[VACIO]]*29.38</f>
        <v>88.14</v>
      </c>
    </row>
    <row r="46" spans="2:12" x14ac:dyDescent="0.3">
      <c r="B46" s="16" t="s">
        <v>81</v>
      </c>
      <c r="C46" s="5" t="s">
        <v>12</v>
      </c>
      <c r="D46" s="5" t="s">
        <v>30</v>
      </c>
      <c r="E46" s="5" t="s">
        <v>14</v>
      </c>
      <c r="F46" t="s">
        <v>15</v>
      </c>
      <c r="G46" s="17">
        <v>26</v>
      </c>
      <c r="H46">
        <f t="shared" si="0"/>
        <v>110</v>
      </c>
      <c r="I46">
        <v>136</v>
      </c>
      <c r="J46" s="6">
        <f>+Tabla3[[#This Row],[OCUPADO]]/Tabla3[[#This Row],[CAPACIDAD]]</f>
        <v>0.80882352941176472</v>
      </c>
      <c r="K46" t="s">
        <v>16</v>
      </c>
      <c r="L46">
        <f>+Tabla3[[#This Row],[VACIO]]*29.38</f>
        <v>763.88</v>
      </c>
    </row>
    <row r="47" spans="2:12" x14ac:dyDescent="0.3">
      <c r="B47" s="15" t="s">
        <v>81</v>
      </c>
      <c r="C47" s="5" t="s">
        <v>12</v>
      </c>
      <c r="D47" s="5" t="s">
        <v>30</v>
      </c>
      <c r="E47" s="5" t="s">
        <v>18</v>
      </c>
      <c r="F47" t="s">
        <v>15</v>
      </c>
      <c r="G47" s="17">
        <v>28</v>
      </c>
      <c r="H47">
        <f t="shared" si="0"/>
        <v>111</v>
      </c>
      <c r="I47">
        <v>139</v>
      </c>
      <c r="J47" s="6">
        <f>+Tabla3[[#This Row],[OCUPADO]]/Tabla3[[#This Row],[CAPACIDAD]]</f>
        <v>0.79856115107913672</v>
      </c>
      <c r="K47" t="s">
        <v>16</v>
      </c>
      <c r="L47">
        <f>+Tabla3[[#This Row],[VACIO]]*29.38</f>
        <v>822.64</v>
      </c>
    </row>
    <row r="48" spans="2:12" x14ac:dyDescent="0.3">
      <c r="B48" s="16" t="s">
        <v>81</v>
      </c>
      <c r="C48" s="5" t="s">
        <v>12</v>
      </c>
      <c r="D48" s="5" t="s">
        <v>31</v>
      </c>
      <c r="E48" s="5" t="s">
        <v>14</v>
      </c>
      <c r="F48" t="s">
        <v>15</v>
      </c>
      <c r="G48" s="17">
        <v>10</v>
      </c>
      <c r="H48">
        <f t="shared" si="0"/>
        <v>132</v>
      </c>
      <c r="I48">
        <v>142</v>
      </c>
      <c r="J48" s="6">
        <f>+Tabla3[[#This Row],[OCUPADO]]/Tabla3[[#This Row],[CAPACIDAD]]</f>
        <v>0.92957746478873238</v>
      </c>
      <c r="K48" t="s">
        <v>32</v>
      </c>
      <c r="L48">
        <f>+Tabla3[[#This Row],[VACIO]]*29.38</f>
        <v>293.8</v>
      </c>
    </row>
    <row r="49" spans="2:12" x14ac:dyDescent="0.3">
      <c r="B49" s="15" t="s">
        <v>81</v>
      </c>
      <c r="C49" s="5" t="s">
        <v>12</v>
      </c>
      <c r="D49" s="5" t="s">
        <v>31</v>
      </c>
      <c r="E49" s="5" t="s">
        <v>18</v>
      </c>
      <c r="F49" t="s">
        <v>15</v>
      </c>
      <c r="G49" s="17">
        <v>15</v>
      </c>
      <c r="H49">
        <f t="shared" si="0"/>
        <v>124</v>
      </c>
      <c r="I49">
        <v>139</v>
      </c>
      <c r="J49" s="6">
        <f>+Tabla3[[#This Row],[OCUPADO]]/Tabla3[[#This Row],[CAPACIDAD]]</f>
        <v>0.8920863309352518</v>
      </c>
      <c r="K49" t="s">
        <v>32</v>
      </c>
      <c r="L49">
        <f>+Tabla3[[#This Row],[VACIO]]*29.38</f>
        <v>440.7</v>
      </c>
    </row>
    <row r="50" spans="2:12" x14ac:dyDescent="0.3">
      <c r="B50" s="16" t="s">
        <v>81</v>
      </c>
      <c r="C50" s="5" t="s">
        <v>12</v>
      </c>
      <c r="D50" s="5" t="s">
        <v>33</v>
      </c>
      <c r="E50" s="5" t="s">
        <v>14</v>
      </c>
      <c r="F50" t="s">
        <v>15</v>
      </c>
      <c r="G50" s="17">
        <v>14</v>
      </c>
      <c r="H50">
        <f t="shared" si="0"/>
        <v>125</v>
      </c>
      <c r="I50">
        <v>139</v>
      </c>
      <c r="J50" s="6">
        <f>+Tabla3[[#This Row],[OCUPADO]]/Tabla3[[#This Row],[CAPACIDAD]]</f>
        <v>0.89928057553956831</v>
      </c>
      <c r="K50" t="s">
        <v>32</v>
      </c>
      <c r="L50">
        <f>+Tabla3[[#This Row],[VACIO]]*29.38</f>
        <v>411.32</v>
      </c>
    </row>
    <row r="51" spans="2:12" x14ac:dyDescent="0.3">
      <c r="B51" s="15" t="s">
        <v>81</v>
      </c>
      <c r="C51" s="5" t="s">
        <v>12</v>
      </c>
      <c r="D51" s="5" t="s">
        <v>33</v>
      </c>
      <c r="E51" s="5" t="s">
        <v>18</v>
      </c>
      <c r="F51" t="s">
        <v>15</v>
      </c>
      <c r="G51" s="17">
        <v>12</v>
      </c>
      <c r="H51">
        <f t="shared" si="0"/>
        <v>127</v>
      </c>
      <c r="I51">
        <v>139</v>
      </c>
      <c r="J51" s="6">
        <f>+Tabla3[[#This Row],[OCUPADO]]/Tabla3[[#This Row],[CAPACIDAD]]</f>
        <v>0.91366906474820142</v>
      </c>
      <c r="K51" t="s">
        <v>32</v>
      </c>
      <c r="L51">
        <f>+Tabla3[[#This Row],[VACIO]]*29.38</f>
        <v>352.56</v>
      </c>
    </row>
    <row r="52" spans="2:12" x14ac:dyDescent="0.3">
      <c r="B52" s="16" t="s">
        <v>81</v>
      </c>
      <c r="C52" s="5" t="s">
        <v>12</v>
      </c>
      <c r="D52" s="5" t="s">
        <v>34</v>
      </c>
      <c r="E52" s="5" t="s">
        <v>14</v>
      </c>
      <c r="F52" t="s">
        <v>15</v>
      </c>
      <c r="G52" s="17">
        <v>14</v>
      </c>
      <c r="H52">
        <f t="shared" si="0"/>
        <v>73</v>
      </c>
      <c r="I52">
        <v>87</v>
      </c>
      <c r="J52" s="6">
        <f>+Tabla3[[#This Row],[OCUPADO]]/Tabla3[[#This Row],[CAPACIDAD]]</f>
        <v>0.83908045977011492</v>
      </c>
      <c r="K52" t="s">
        <v>32</v>
      </c>
      <c r="L52">
        <f>+Tabla3[[#This Row],[VACIO]]*29.38</f>
        <v>411.32</v>
      </c>
    </row>
    <row r="53" spans="2:12" x14ac:dyDescent="0.3">
      <c r="B53" s="15" t="s">
        <v>81</v>
      </c>
      <c r="C53" s="5" t="s">
        <v>12</v>
      </c>
      <c r="D53" s="5" t="s">
        <v>34</v>
      </c>
      <c r="E53" s="5" t="s">
        <v>14</v>
      </c>
      <c r="F53" t="s">
        <v>17</v>
      </c>
      <c r="G53" s="17">
        <v>14</v>
      </c>
      <c r="H53">
        <f t="shared" si="0"/>
        <v>90</v>
      </c>
      <c r="I53">
        <v>104</v>
      </c>
      <c r="J53" s="6">
        <f>+Tabla3[[#This Row],[OCUPADO]]/Tabla3[[#This Row],[CAPACIDAD]]</f>
        <v>0.86538461538461542</v>
      </c>
      <c r="K53" t="s">
        <v>32</v>
      </c>
      <c r="L53">
        <f>+Tabla3[[#This Row],[VACIO]]*29.38</f>
        <v>411.32</v>
      </c>
    </row>
    <row r="54" spans="2:12" x14ac:dyDescent="0.3">
      <c r="B54" s="16" t="s">
        <v>81</v>
      </c>
      <c r="C54" s="5" t="s">
        <v>12</v>
      </c>
      <c r="D54" s="5" t="s">
        <v>34</v>
      </c>
      <c r="E54" s="5" t="s">
        <v>18</v>
      </c>
      <c r="F54" t="s">
        <v>15</v>
      </c>
      <c r="G54" s="17">
        <v>9</v>
      </c>
      <c r="H54">
        <f t="shared" si="0"/>
        <v>84</v>
      </c>
      <c r="I54">
        <v>93</v>
      </c>
      <c r="J54" s="6">
        <f>+Tabla3[[#This Row],[OCUPADO]]/Tabla3[[#This Row],[CAPACIDAD]]</f>
        <v>0.90322580645161288</v>
      </c>
      <c r="K54" t="s">
        <v>32</v>
      </c>
      <c r="L54">
        <f>+Tabla3[[#This Row],[VACIO]]*29.38</f>
        <v>264.42</v>
      </c>
    </row>
    <row r="55" spans="2:12" x14ac:dyDescent="0.3">
      <c r="B55" s="15" t="s">
        <v>81</v>
      </c>
      <c r="C55" s="5" t="s">
        <v>12</v>
      </c>
      <c r="D55" s="5" t="s">
        <v>34</v>
      </c>
      <c r="E55" s="5" t="s">
        <v>18</v>
      </c>
      <c r="F55" t="s">
        <v>17</v>
      </c>
      <c r="G55" s="17">
        <v>13</v>
      </c>
      <c r="H55">
        <f t="shared" si="0"/>
        <v>131</v>
      </c>
      <c r="I55">
        <v>144</v>
      </c>
      <c r="J55" s="6">
        <f>+Tabla3[[#This Row],[OCUPADO]]/Tabla3[[#This Row],[CAPACIDAD]]</f>
        <v>0.90972222222222221</v>
      </c>
      <c r="K55" t="s">
        <v>32</v>
      </c>
      <c r="L55">
        <f>+Tabla3[[#This Row],[VACIO]]*29.38</f>
        <v>381.94</v>
      </c>
    </row>
    <row r="56" spans="2:12" x14ac:dyDescent="0.3">
      <c r="B56" s="16" t="s">
        <v>81</v>
      </c>
      <c r="C56" s="5" t="s">
        <v>12</v>
      </c>
      <c r="D56" s="5" t="s">
        <v>35</v>
      </c>
      <c r="E56" s="5" t="s">
        <v>14</v>
      </c>
      <c r="F56" t="s">
        <v>15</v>
      </c>
      <c r="G56" s="17">
        <v>10</v>
      </c>
      <c r="H56">
        <f t="shared" si="0"/>
        <v>129</v>
      </c>
      <c r="I56">
        <v>139</v>
      </c>
      <c r="J56" s="6">
        <f>+Tabla3[[#This Row],[OCUPADO]]/Tabla3[[#This Row],[CAPACIDAD]]</f>
        <v>0.92805755395683454</v>
      </c>
      <c r="K56" t="s">
        <v>32</v>
      </c>
      <c r="L56">
        <f>+Tabla3[[#This Row],[VACIO]]*29.38</f>
        <v>293.8</v>
      </c>
    </row>
    <row r="57" spans="2:12" x14ac:dyDescent="0.3">
      <c r="B57" s="15" t="s">
        <v>81</v>
      </c>
      <c r="C57" s="5" t="s">
        <v>12</v>
      </c>
      <c r="D57" s="5" t="s">
        <v>35</v>
      </c>
      <c r="E57" s="5" t="s">
        <v>18</v>
      </c>
      <c r="F57" t="s">
        <v>15</v>
      </c>
      <c r="G57" s="17">
        <v>17</v>
      </c>
      <c r="H57">
        <f t="shared" si="0"/>
        <v>122</v>
      </c>
      <c r="I57">
        <v>139</v>
      </c>
      <c r="J57" s="6">
        <f>+Tabla3[[#This Row],[OCUPADO]]/Tabla3[[#This Row],[CAPACIDAD]]</f>
        <v>0.87769784172661869</v>
      </c>
      <c r="K57" t="s">
        <v>32</v>
      </c>
      <c r="L57">
        <f>+Tabla3[[#This Row],[VACIO]]*29.38</f>
        <v>499.46</v>
      </c>
    </row>
    <row r="58" spans="2:12" x14ac:dyDescent="0.3">
      <c r="B58" s="16" t="s">
        <v>81</v>
      </c>
      <c r="C58" s="5" t="s">
        <v>12</v>
      </c>
      <c r="D58" s="5" t="s">
        <v>36</v>
      </c>
      <c r="E58" s="5" t="s">
        <v>14</v>
      </c>
      <c r="F58" t="s">
        <v>15</v>
      </c>
      <c r="G58" s="17">
        <v>10</v>
      </c>
      <c r="H58">
        <f t="shared" si="0"/>
        <v>126</v>
      </c>
      <c r="I58">
        <v>136</v>
      </c>
      <c r="J58" s="6">
        <f>+Tabla3[[#This Row],[OCUPADO]]/Tabla3[[#This Row],[CAPACIDAD]]</f>
        <v>0.92647058823529416</v>
      </c>
      <c r="K58" t="s">
        <v>32</v>
      </c>
      <c r="L58">
        <f>+Tabla3[[#This Row],[VACIO]]*29.38</f>
        <v>293.8</v>
      </c>
    </row>
    <row r="59" spans="2:12" x14ac:dyDescent="0.3">
      <c r="B59" s="15" t="s">
        <v>81</v>
      </c>
      <c r="C59" s="5" t="s">
        <v>12</v>
      </c>
      <c r="D59" s="5" t="s">
        <v>36</v>
      </c>
      <c r="E59" s="5" t="s">
        <v>18</v>
      </c>
      <c r="F59" t="s">
        <v>15</v>
      </c>
      <c r="G59" s="17">
        <v>18</v>
      </c>
      <c r="H59">
        <f t="shared" si="0"/>
        <v>122</v>
      </c>
      <c r="I59">
        <v>140</v>
      </c>
      <c r="J59" s="6">
        <f>+Tabla3[[#This Row],[OCUPADO]]/Tabla3[[#This Row],[CAPACIDAD]]</f>
        <v>0.87142857142857144</v>
      </c>
      <c r="K59" t="s">
        <v>32</v>
      </c>
      <c r="L59">
        <f>+Tabla3[[#This Row],[VACIO]]*29.38</f>
        <v>528.84</v>
      </c>
    </row>
    <row r="60" spans="2:12" x14ac:dyDescent="0.3">
      <c r="B60" s="16" t="s">
        <v>81</v>
      </c>
      <c r="C60" s="5" t="s">
        <v>12</v>
      </c>
      <c r="D60" s="5" t="s">
        <v>36</v>
      </c>
      <c r="E60" s="5" t="s">
        <v>18</v>
      </c>
      <c r="F60" t="s">
        <v>17</v>
      </c>
      <c r="G60" s="17">
        <v>0</v>
      </c>
      <c r="H60">
        <f t="shared" si="0"/>
        <v>4</v>
      </c>
      <c r="I60">
        <v>4</v>
      </c>
      <c r="J60" s="6">
        <f>+Tabla3[[#This Row],[OCUPADO]]/Tabla3[[#This Row],[CAPACIDAD]]</f>
        <v>1</v>
      </c>
      <c r="K60" t="s">
        <v>32</v>
      </c>
      <c r="L60">
        <f>+Tabla3[[#This Row],[VACIO]]*29.38</f>
        <v>0</v>
      </c>
    </row>
    <row r="61" spans="2:12" x14ac:dyDescent="0.3">
      <c r="B61" s="15" t="s">
        <v>81</v>
      </c>
      <c r="C61" s="5" t="s">
        <v>12</v>
      </c>
      <c r="D61" s="5" t="s">
        <v>37</v>
      </c>
      <c r="E61" s="5" t="s">
        <v>14</v>
      </c>
      <c r="F61" t="s">
        <v>15</v>
      </c>
      <c r="G61" s="17">
        <v>17</v>
      </c>
      <c r="H61">
        <f t="shared" si="0"/>
        <v>119</v>
      </c>
      <c r="I61">
        <v>136</v>
      </c>
      <c r="J61" s="6">
        <f>+Tabla3[[#This Row],[OCUPADO]]/Tabla3[[#This Row],[CAPACIDAD]]</f>
        <v>0.875</v>
      </c>
      <c r="K61" t="s">
        <v>32</v>
      </c>
      <c r="L61">
        <f>+Tabla3[[#This Row],[VACIO]]*29.38</f>
        <v>499.46</v>
      </c>
    </row>
    <row r="62" spans="2:12" x14ac:dyDescent="0.3">
      <c r="B62" s="16" t="s">
        <v>81</v>
      </c>
      <c r="C62" s="5" t="s">
        <v>12</v>
      </c>
      <c r="D62" s="5" t="s">
        <v>37</v>
      </c>
      <c r="E62" s="5" t="s">
        <v>18</v>
      </c>
      <c r="F62" t="s">
        <v>15</v>
      </c>
      <c r="G62" s="17">
        <v>29</v>
      </c>
      <c r="H62">
        <f t="shared" si="0"/>
        <v>110</v>
      </c>
      <c r="I62">
        <v>139</v>
      </c>
      <c r="J62" s="6">
        <f>+Tabla3[[#This Row],[OCUPADO]]/Tabla3[[#This Row],[CAPACIDAD]]</f>
        <v>0.79136690647482011</v>
      </c>
      <c r="K62" t="s">
        <v>32</v>
      </c>
      <c r="L62">
        <f>+Tabla3[[#This Row],[VACIO]]*29.38</f>
        <v>852.02</v>
      </c>
    </row>
    <row r="63" spans="2:12" x14ac:dyDescent="0.3">
      <c r="B63" s="15" t="s">
        <v>81</v>
      </c>
      <c r="C63" s="5" t="s">
        <v>12</v>
      </c>
      <c r="D63" s="5" t="s">
        <v>38</v>
      </c>
      <c r="E63" s="5" t="s">
        <v>14</v>
      </c>
      <c r="F63" t="s">
        <v>15</v>
      </c>
      <c r="G63" s="17">
        <v>5</v>
      </c>
      <c r="H63">
        <f t="shared" si="0"/>
        <v>32</v>
      </c>
      <c r="I63">
        <v>37</v>
      </c>
      <c r="J63" s="6">
        <f>+Tabla3[[#This Row],[OCUPADO]]/Tabla3[[#This Row],[CAPACIDAD]]</f>
        <v>0.86486486486486491</v>
      </c>
      <c r="K63" t="s">
        <v>32</v>
      </c>
      <c r="L63">
        <f>+Tabla3[[#This Row],[VACIO]]*29.38</f>
        <v>146.9</v>
      </c>
    </row>
    <row r="64" spans="2:12" x14ac:dyDescent="0.3">
      <c r="B64" s="16" t="s">
        <v>81</v>
      </c>
      <c r="C64" s="5" t="s">
        <v>12</v>
      </c>
      <c r="D64" s="5" t="s">
        <v>38</v>
      </c>
      <c r="E64" s="5" t="s">
        <v>14</v>
      </c>
      <c r="F64" t="s">
        <v>17</v>
      </c>
      <c r="G64" s="17">
        <v>68</v>
      </c>
      <c r="H64">
        <f t="shared" si="0"/>
        <v>136</v>
      </c>
      <c r="I64">
        <v>204</v>
      </c>
      <c r="J64" s="6">
        <f>+Tabla3[[#This Row],[OCUPADO]]/Tabla3[[#This Row],[CAPACIDAD]]</f>
        <v>0.66666666666666663</v>
      </c>
      <c r="K64" t="s">
        <v>32</v>
      </c>
      <c r="L64">
        <f>+Tabla3[[#This Row],[VACIO]]*29.38</f>
        <v>1997.84</v>
      </c>
    </row>
    <row r="65" spans="2:12" x14ac:dyDescent="0.3">
      <c r="B65" s="15" t="s">
        <v>81</v>
      </c>
      <c r="C65" s="5" t="s">
        <v>12</v>
      </c>
      <c r="D65" s="5" t="s">
        <v>38</v>
      </c>
      <c r="E65" s="5" t="s">
        <v>18</v>
      </c>
      <c r="F65" t="s">
        <v>15</v>
      </c>
      <c r="G65" s="17">
        <v>20</v>
      </c>
      <c r="H65">
        <f t="shared" si="0"/>
        <v>31</v>
      </c>
      <c r="I65">
        <v>51</v>
      </c>
      <c r="J65" s="6">
        <f>+Tabla3[[#This Row],[OCUPADO]]/Tabla3[[#This Row],[CAPACIDAD]]</f>
        <v>0.60784313725490191</v>
      </c>
      <c r="K65" t="s">
        <v>32</v>
      </c>
      <c r="L65">
        <f>+Tabla3[[#This Row],[VACIO]]*29.38</f>
        <v>587.6</v>
      </c>
    </row>
    <row r="66" spans="2:12" x14ac:dyDescent="0.3">
      <c r="B66" s="16" t="s">
        <v>81</v>
      </c>
      <c r="C66" s="5" t="s">
        <v>12</v>
      </c>
      <c r="D66" s="5" t="s">
        <v>38</v>
      </c>
      <c r="E66" s="5" t="s">
        <v>18</v>
      </c>
      <c r="F66" t="s">
        <v>17</v>
      </c>
      <c r="G66" s="17">
        <v>92</v>
      </c>
      <c r="H66">
        <f t="shared" si="0"/>
        <v>108</v>
      </c>
      <c r="I66">
        <v>200</v>
      </c>
      <c r="J66" s="6">
        <f>+Tabla3[[#This Row],[OCUPADO]]/Tabla3[[#This Row],[CAPACIDAD]]</f>
        <v>0.54</v>
      </c>
      <c r="K66" t="s">
        <v>32</v>
      </c>
      <c r="L66">
        <f>+Tabla3[[#This Row],[VACIO]]*29.38</f>
        <v>2702.96</v>
      </c>
    </row>
    <row r="67" spans="2:12" x14ac:dyDescent="0.3">
      <c r="B67" s="15" t="s">
        <v>81</v>
      </c>
      <c r="C67" s="5" t="s">
        <v>12</v>
      </c>
      <c r="D67" s="5" t="s">
        <v>39</v>
      </c>
      <c r="E67" s="5" t="s">
        <v>14</v>
      </c>
      <c r="F67" t="s">
        <v>15</v>
      </c>
      <c r="G67" s="17">
        <v>16</v>
      </c>
      <c r="H67">
        <f t="shared" si="0"/>
        <v>97</v>
      </c>
      <c r="I67">
        <v>113</v>
      </c>
      <c r="J67" s="6">
        <f>+Tabla3[[#This Row],[OCUPADO]]/Tabla3[[#This Row],[CAPACIDAD]]</f>
        <v>0.8584070796460177</v>
      </c>
      <c r="K67" t="s">
        <v>40</v>
      </c>
      <c r="L67">
        <f>+Tabla3[[#This Row],[VACIO]]*29.38</f>
        <v>470.08</v>
      </c>
    </row>
    <row r="68" spans="2:12" x14ac:dyDescent="0.3">
      <c r="B68" s="16" t="s">
        <v>81</v>
      </c>
      <c r="C68" s="5" t="s">
        <v>12</v>
      </c>
      <c r="D68" s="5" t="s">
        <v>39</v>
      </c>
      <c r="E68" s="5" t="s">
        <v>14</v>
      </c>
      <c r="F68" t="s">
        <v>17</v>
      </c>
      <c r="G68" s="17">
        <v>19</v>
      </c>
      <c r="H68">
        <f t="shared" si="0"/>
        <v>45</v>
      </c>
      <c r="I68">
        <v>64</v>
      </c>
      <c r="J68" s="6">
        <f>+Tabla3[[#This Row],[OCUPADO]]/Tabla3[[#This Row],[CAPACIDAD]]</f>
        <v>0.703125</v>
      </c>
      <c r="K68" t="s">
        <v>40</v>
      </c>
      <c r="L68">
        <f>+Tabla3[[#This Row],[VACIO]]*29.38</f>
        <v>558.22</v>
      </c>
    </row>
    <row r="69" spans="2:12" x14ac:dyDescent="0.3">
      <c r="B69" s="15" t="s">
        <v>81</v>
      </c>
      <c r="C69" s="5" t="s">
        <v>12</v>
      </c>
      <c r="D69" s="5" t="s">
        <v>39</v>
      </c>
      <c r="E69" s="5" t="s">
        <v>18</v>
      </c>
      <c r="F69" t="s">
        <v>15</v>
      </c>
      <c r="G69" s="17">
        <v>8</v>
      </c>
      <c r="H69">
        <f t="shared" si="0"/>
        <v>96</v>
      </c>
      <c r="I69">
        <v>104</v>
      </c>
      <c r="J69" s="6">
        <f>+Tabla3[[#This Row],[OCUPADO]]/Tabla3[[#This Row],[CAPACIDAD]]</f>
        <v>0.92307692307692313</v>
      </c>
      <c r="K69" t="s">
        <v>40</v>
      </c>
      <c r="L69">
        <f>+Tabla3[[#This Row],[VACIO]]*29.38</f>
        <v>235.04</v>
      </c>
    </row>
    <row r="70" spans="2:12" x14ac:dyDescent="0.3">
      <c r="B70" s="16" t="s">
        <v>81</v>
      </c>
      <c r="C70" s="5" t="s">
        <v>12</v>
      </c>
      <c r="D70" s="5" t="s">
        <v>39</v>
      </c>
      <c r="E70" s="5" t="s">
        <v>18</v>
      </c>
      <c r="F70" t="s">
        <v>17</v>
      </c>
      <c r="G70" s="17">
        <v>22</v>
      </c>
      <c r="H70">
        <f t="shared" si="0"/>
        <v>42</v>
      </c>
      <c r="I70">
        <v>64</v>
      </c>
      <c r="J70" s="6">
        <f>+Tabla3[[#This Row],[OCUPADO]]/Tabla3[[#This Row],[CAPACIDAD]]</f>
        <v>0.65625</v>
      </c>
      <c r="K70" t="s">
        <v>40</v>
      </c>
      <c r="L70">
        <f>+Tabla3[[#This Row],[VACIO]]*29.38</f>
        <v>646.36</v>
      </c>
    </row>
    <row r="71" spans="2:12" x14ac:dyDescent="0.3">
      <c r="B71" s="15" t="s">
        <v>81</v>
      </c>
      <c r="C71" s="5" t="s">
        <v>12</v>
      </c>
      <c r="D71" s="5" t="s">
        <v>41</v>
      </c>
      <c r="E71" s="5" t="s">
        <v>14</v>
      </c>
      <c r="F71" t="s">
        <v>15</v>
      </c>
      <c r="G71" s="17">
        <v>16</v>
      </c>
      <c r="H71">
        <f t="shared" si="0"/>
        <v>96</v>
      </c>
      <c r="I71">
        <v>112</v>
      </c>
      <c r="J71" s="6">
        <f>+Tabla3[[#This Row],[OCUPADO]]/Tabla3[[#This Row],[CAPACIDAD]]</f>
        <v>0.8571428571428571</v>
      </c>
      <c r="K71" t="s">
        <v>42</v>
      </c>
      <c r="L71">
        <f>+Tabla3[[#This Row],[VACIO]]*29.38</f>
        <v>470.08</v>
      </c>
    </row>
    <row r="72" spans="2:12" x14ac:dyDescent="0.3">
      <c r="B72" s="12" t="s">
        <v>81</v>
      </c>
      <c r="C72" t="s">
        <v>12</v>
      </c>
      <c r="D72" t="s">
        <v>41</v>
      </c>
      <c r="E72" t="s">
        <v>14</v>
      </c>
      <c r="F72" t="s">
        <v>17</v>
      </c>
      <c r="G72" s="17">
        <v>11</v>
      </c>
      <c r="H72">
        <f t="shared" si="0"/>
        <v>29</v>
      </c>
      <c r="I72">
        <v>40</v>
      </c>
      <c r="J72" s="6">
        <f>+Tabla3[[#This Row],[OCUPADO]]/Tabla3[[#This Row],[CAPACIDAD]]</f>
        <v>0.72499999999999998</v>
      </c>
      <c r="K72" t="s">
        <v>42</v>
      </c>
      <c r="L72">
        <f>+Tabla3[[#This Row],[VACIO]]*29.38</f>
        <v>323.18</v>
      </c>
    </row>
    <row r="73" spans="2:12" x14ac:dyDescent="0.3">
      <c r="B73" s="11" t="s">
        <v>81</v>
      </c>
      <c r="C73" t="s">
        <v>12</v>
      </c>
      <c r="D73" t="s">
        <v>41</v>
      </c>
      <c r="E73" t="s">
        <v>18</v>
      </c>
      <c r="F73" t="s">
        <v>15</v>
      </c>
      <c r="G73" s="17">
        <v>9</v>
      </c>
      <c r="H73">
        <f t="shared" si="0"/>
        <v>91</v>
      </c>
      <c r="I73">
        <v>100</v>
      </c>
      <c r="J73" s="6">
        <f>+Tabla3[[#This Row],[OCUPADO]]/Tabla3[[#This Row],[CAPACIDAD]]</f>
        <v>0.91</v>
      </c>
      <c r="K73" t="s">
        <v>42</v>
      </c>
      <c r="L73">
        <f>+Tabla3[[#This Row],[VACIO]]*29.38</f>
        <v>264.42</v>
      </c>
    </row>
    <row r="74" spans="2:12" x14ac:dyDescent="0.3">
      <c r="B74" s="12" t="s">
        <v>81</v>
      </c>
      <c r="C74" t="s">
        <v>12</v>
      </c>
      <c r="D74" t="s">
        <v>41</v>
      </c>
      <c r="E74" t="s">
        <v>18</v>
      </c>
      <c r="F74" t="s">
        <v>17</v>
      </c>
      <c r="G74" s="17">
        <v>7</v>
      </c>
      <c r="H74">
        <f t="shared" si="0"/>
        <v>37</v>
      </c>
      <c r="I74">
        <v>44</v>
      </c>
      <c r="J74" s="6">
        <f>+Tabla3[[#This Row],[OCUPADO]]/Tabla3[[#This Row],[CAPACIDAD]]</f>
        <v>0.84090909090909094</v>
      </c>
      <c r="K74" t="s">
        <v>42</v>
      </c>
      <c r="L74">
        <f>+Tabla3[[#This Row],[VACIO]]*29.38</f>
        <v>205.66</v>
      </c>
    </row>
    <row r="75" spans="2:12" x14ac:dyDescent="0.3">
      <c r="B75" s="11" t="s">
        <v>81</v>
      </c>
      <c r="C75" t="s">
        <v>12</v>
      </c>
      <c r="D75" t="s">
        <v>41</v>
      </c>
      <c r="E75" t="s">
        <v>18</v>
      </c>
      <c r="F75" t="s">
        <v>43</v>
      </c>
      <c r="G75" s="17">
        <v>4</v>
      </c>
      <c r="H75">
        <f t="shared" ref="H75:H140" si="1">+I75-G75</f>
        <v>25</v>
      </c>
      <c r="I75">
        <v>29</v>
      </c>
      <c r="J75" s="6">
        <f>+Tabla3[[#This Row],[OCUPADO]]/Tabla3[[#This Row],[CAPACIDAD]]</f>
        <v>0.86206896551724133</v>
      </c>
      <c r="K75" t="s">
        <v>42</v>
      </c>
      <c r="L75">
        <f>+Tabla3[[#This Row],[VACIO]]*29.38</f>
        <v>117.52</v>
      </c>
    </row>
    <row r="76" spans="2:12" x14ac:dyDescent="0.3">
      <c r="B76" s="12" t="s">
        <v>81</v>
      </c>
      <c r="C76" t="s">
        <v>12</v>
      </c>
      <c r="D76" t="s">
        <v>44</v>
      </c>
      <c r="E76" t="s">
        <v>14</v>
      </c>
      <c r="F76" t="s">
        <v>15</v>
      </c>
      <c r="G76" s="17">
        <v>15</v>
      </c>
      <c r="H76">
        <f t="shared" si="1"/>
        <v>101</v>
      </c>
      <c r="I76">
        <v>116</v>
      </c>
      <c r="J76" s="6">
        <f>+Tabla3[[#This Row],[OCUPADO]]/Tabla3[[#This Row],[CAPACIDAD]]</f>
        <v>0.87068965517241381</v>
      </c>
      <c r="K76" t="s">
        <v>42</v>
      </c>
      <c r="L76">
        <f>+Tabla3[[#This Row],[VACIO]]*29.38</f>
        <v>440.7</v>
      </c>
    </row>
    <row r="77" spans="2:12" x14ac:dyDescent="0.3">
      <c r="B77" s="11" t="s">
        <v>81</v>
      </c>
      <c r="C77" t="s">
        <v>12</v>
      </c>
      <c r="D77" t="s">
        <v>44</v>
      </c>
      <c r="E77" t="s">
        <v>14</v>
      </c>
      <c r="F77" t="s">
        <v>17</v>
      </c>
      <c r="G77" s="17">
        <v>17</v>
      </c>
      <c r="H77">
        <f t="shared" si="1"/>
        <v>19</v>
      </c>
      <c r="I77">
        <v>36</v>
      </c>
      <c r="J77" s="6">
        <f>+Tabla3[[#This Row],[OCUPADO]]/Tabla3[[#This Row],[CAPACIDAD]]</f>
        <v>0.52777777777777779</v>
      </c>
      <c r="K77" t="s">
        <v>42</v>
      </c>
      <c r="L77">
        <f>+Tabla3[[#This Row],[VACIO]]*29.38</f>
        <v>499.46</v>
      </c>
    </row>
    <row r="78" spans="2:12" x14ac:dyDescent="0.3">
      <c r="B78" s="12" t="s">
        <v>81</v>
      </c>
      <c r="C78" t="s">
        <v>12</v>
      </c>
      <c r="D78" t="s">
        <v>44</v>
      </c>
      <c r="E78" t="s">
        <v>18</v>
      </c>
      <c r="F78" t="s">
        <v>15</v>
      </c>
      <c r="G78" s="17">
        <v>6</v>
      </c>
      <c r="H78">
        <f t="shared" si="1"/>
        <v>81</v>
      </c>
      <c r="I78">
        <v>87</v>
      </c>
      <c r="J78" s="6">
        <f>+Tabla3[[#This Row],[OCUPADO]]/Tabla3[[#This Row],[CAPACIDAD]]</f>
        <v>0.93103448275862066</v>
      </c>
      <c r="K78" t="s">
        <v>42</v>
      </c>
      <c r="L78">
        <f>+Tabla3[[#This Row],[VACIO]]*29.38</f>
        <v>176.28</v>
      </c>
    </row>
    <row r="79" spans="2:12" x14ac:dyDescent="0.3">
      <c r="B79" s="11" t="s">
        <v>81</v>
      </c>
      <c r="C79" t="s">
        <v>12</v>
      </c>
      <c r="D79" t="s">
        <v>44</v>
      </c>
      <c r="E79" t="s">
        <v>18</v>
      </c>
      <c r="F79" t="s">
        <v>17</v>
      </c>
      <c r="G79" s="17">
        <v>27</v>
      </c>
      <c r="H79">
        <f t="shared" si="1"/>
        <v>12</v>
      </c>
      <c r="I79">
        <v>39</v>
      </c>
      <c r="J79" s="6">
        <f>+Tabla3[[#This Row],[OCUPADO]]/Tabla3[[#This Row],[CAPACIDAD]]</f>
        <v>0.30769230769230771</v>
      </c>
      <c r="K79" t="s">
        <v>42</v>
      </c>
      <c r="L79">
        <f>+Tabla3[[#This Row],[VACIO]]*29.38</f>
        <v>793.26</v>
      </c>
    </row>
    <row r="80" spans="2:12" x14ac:dyDescent="0.3">
      <c r="B80" s="12" t="s">
        <v>81</v>
      </c>
      <c r="C80" t="s">
        <v>12</v>
      </c>
      <c r="D80" t="s">
        <v>44</v>
      </c>
      <c r="E80" t="s">
        <v>18</v>
      </c>
      <c r="F80" t="s">
        <v>43</v>
      </c>
      <c r="G80" s="17">
        <v>6</v>
      </c>
      <c r="H80">
        <f t="shared" si="1"/>
        <v>20</v>
      </c>
      <c r="I80">
        <v>26</v>
      </c>
      <c r="J80" s="6">
        <f>+Tabla3[[#This Row],[OCUPADO]]/Tabla3[[#This Row],[CAPACIDAD]]</f>
        <v>0.76923076923076927</v>
      </c>
      <c r="K80" t="s">
        <v>42</v>
      </c>
      <c r="L80">
        <f>+Tabla3[[#This Row],[VACIO]]*29.38</f>
        <v>176.28</v>
      </c>
    </row>
    <row r="81" spans="2:12" x14ac:dyDescent="0.3">
      <c r="B81" s="11" t="s">
        <v>81</v>
      </c>
      <c r="C81" t="s">
        <v>12</v>
      </c>
      <c r="D81" t="s">
        <v>45</v>
      </c>
      <c r="E81" t="s">
        <v>14</v>
      </c>
      <c r="F81" t="s">
        <v>15</v>
      </c>
      <c r="G81" s="17">
        <v>17</v>
      </c>
      <c r="H81">
        <f t="shared" si="1"/>
        <v>134</v>
      </c>
      <c r="I81">
        <v>151</v>
      </c>
      <c r="J81" s="6">
        <f>+Tabla3[[#This Row],[OCUPADO]]/Tabla3[[#This Row],[CAPACIDAD]]</f>
        <v>0.88741721854304634</v>
      </c>
      <c r="K81" t="s">
        <v>46</v>
      </c>
      <c r="L81">
        <f>+Tabla3[[#This Row],[VACIO]]*29.38</f>
        <v>499.46</v>
      </c>
    </row>
    <row r="82" spans="2:12" x14ac:dyDescent="0.3">
      <c r="B82" s="12" t="s">
        <v>81</v>
      </c>
      <c r="C82" t="s">
        <v>12</v>
      </c>
      <c r="D82" t="s">
        <v>45</v>
      </c>
      <c r="E82" t="s">
        <v>14</v>
      </c>
      <c r="F82" t="s">
        <v>17</v>
      </c>
      <c r="G82" s="17">
        <v>5</v>
      </c>
      <c r="H82">
        <f t="shared" si="1"/>
        <v>19</v>
      </c>
      <c r="I82">
        <v>24</v>
      </c>
      <c r="J82" s="6">
        <f>+Tabla3[[#This Row],[OCUPADO]]/Tabla3[[#This Row],[CAPACIDAD]]</f>
        <v>0.79166666666666663</v>
      </c>
      <c r="K82" t="s">
        <v>46</v>
      </c>
      <c r="L82">
        <f>+Tabla3[[#This Row],[VACIO]]*29.38</f>
        <v>146.9</v>
      </c>
    </row>
    <row r="83" spans="2:12" x14ac:dyDescent="0.3">
      <c r="B83" s="11" t="s">
        <v>81</v>
      </c>
      <c r="C83" t="s">
        <v>12</v>
      </c>
      <c r="D83" t="s">
        <v>45</v>
      </c>
      <c r="E83" t="s">
        <v>18</v>
      </c>
      <c r="F83" t="s">
        <v>15</v>
      </c>
      <c r="G83" s="17">
        <v>26</v>
      </c>
      <c r="H83">
        <f t="shared" si="1"/>
        <v>58</v>
      </c>
      <c r="I83">
        <v>84</v>
      </c>
      <c r="J83" s="6">
        <f>+Tabla3[[#This Row],[OCUPADO]]/Tabla3[[#This Row],[CAPACIDAD]]</f>
        <v>0.69047619047619047</v>
      </c>
      <c r="K83" t="s">
        <v>46</v>
      </c>
      <c r="L83">
        <f>+Tabla3[[#This Row],[VACIO]]*29.38</f>
        <v>763.88</v>
      </c>
    </row>
    <row r="84" spans="2:12" x14ac:dyDescent="0.3">
      <c r="B84" s="12" t="s">
        <v>81</v>
      </c>
      <c r="C84" t="s">
        <v>12</v>
      </c>
      <c r="D84" t="s">
        <v>47</v>
      </c>
      <c r="E84" t="s">
        <v>14</v>
      </c>
      <c r="F84" t="s">
        <v>15</v>
      </c>
      <c r="G84" s="17">
        <v>14</v>
      </c>
      <c r="H84">
        <f t="shared" si="1"/>
        <v>116</v>
      </c>
      <c r="I84">
        <v>130</v>
      </c>
      <c r="J84" s="6">
        <f>+Tabla3[[#This Row],[OCUPADO]]/Tabla3[[#This Row],[CAPACIDAD]]</f>
        <v>0.89230769230769236</v>
      </c>
      <c r="K84" t="s">
        <v>48</v>
      </c>
      <c r="L84">
        <f>+Tabla3[[#This Row],[VACIO]]*29.38</f>
        <v>411.32</v>
      </c>
    </row>
    <row r="85" spans="2:12" x14ac:dyDescent="0.3">
      <c r="B85" s="11" t="s">
        <v>81</v>
      </c>
      <c r="C85" t="s">
        <v>12</v>
      </c>
      <c r="D85" t="s">
        <v>47</v>
      </c>
      <c r="E85" t="s">
        <v>14</v>
      </c>
      <c r="F85" t="s">
        <v>17</v>
      </c>
      <c r="G85" s="17">
        <v>31</v>
      </c>
      <c r="H85">
        <f t="shared" si="1"/>
        <v>53</v>
      </c>
      <c r="I85">
        <v>84</v>
      </c>
      <c r="J85" s="6">
        <f>+Tabla3[[#This Row],[OCUPADO]]/Tabla3[[#This Row],[CAPACIDAD]]</f>
        <v>0.63095238095238093</v>
      </c>
      <c r="K85" t="s">
        <v>48</v>
      </c>
      <c r="L85">
        <f>+Tabla3[[#This Row],[VACIO]]*29.38</f>
        <v>910.78</v>
      </c>
    </row>
    <row r="86" spans="2:12" x14ac:dyDescent="0.3">
      <c r="B86" s="12" t="s">
        <v>81</v>
      </c>
      <c r="C86" t="s">
        <v>12</v>
      </c>
      <c r="D86" t="s">
        <v>47</v>
      </c>
      <c r="E86" t="s">
        <v>18</v>
      </c>
      <c r="F86" t="s">
        <v>15</v>
      </c>
      <c r="G86" s="17">
        <v>30</v>
      </c>
      <c r="H86">
        <f t="shared" si="1"/>
        <v>85</v>
      </c>
      <c r="I86">
        <v>115</v>
      </c>
      <c r="J86" s="6">
        <f>+Tabla3[[#This Row],[OCUPADO]]/Tabla3[[#This Row],[CAPACIDAD]]</f>
        <v>0.73913043478260865</v>
      </c>
      <c r="K86" t="s">
        <v>48</v>
      </c>
      <c r="L86">
        <f>+Tabla3[[#This Row],[VACIO]]*29.38</f>
        <v>881.4</v>
      </c>
    </row>
    <row r="87" spans="2:12" x14ac:dyDescent="0.3">
      <c r="B87" s="11" t="s">
        <v>81</v>
      </c>
      <c r="C87" t="s">
        <v>12</v>
      </c>
      <c r="D87" t="s">
        <v>47</v>
      </c>
      <c r="E87" t="s">
        <v>18</v>
      </c>
      <c r="F87" t="s">
        <v>17</v>
      </c>
      <c r="G87" s="17">
        <v>10</v>
      </c>
      <c r="H87">
        <f t="shared" si="1"/>
        <v>42</v>
      </c>
      <c r="I87">
        <v>52</v>
      </c>
      <c r="J87" s="6">
        <f>+Tabla3[[#This Row],[OCUPADO]]/Tabla3[[#This Row],[CAPACIDAD]]</f>
        <v>0.80769230769230771</v>
      </c>
      <c r="K87" t="s">
        <v>48</v>
      </c>
      <c r="L87">
        <f>+Tabla3[[#This Row],[VACIO]]*29.38</f>
        <v>293.8</v>
      </c>
    </row>
    <row r="88" spans="2:12" x14ac:dyDescent="0.3">
      <c r="B88" s="12" t="s">
        <v>50</v>
      </c>
      <c r="C88" t="s">
        <v>12</v>
      </c>
      <c r="D88" t="s">
        <v>49</v>
      </c>
      <c r="E88" t="s">
        <v>14</v>
      </c>
      <c r="F88" t="s">
        <v>15</v>
      </c>
      <c r="G88" s="17">
        <v>7</v>
      </c>
      <c r="H88">
        <f t="shared" si="1"/>
        <v>57</v>
      </c>
      <c r="I88">
        <v>64</v>
      </c>
      <c r="J88" s="6">
        <f>+Tabla3[[#This Row],[OCUPADO]]/Tabla3[[#This Row],[CAPACIDAD]]</f>
        <v>0.890625</v>
      </c>
      <c r="K88" t="s">
        <v>50</v>
      </c>
      <c r="L88">
        <f>+Tabla3[[#This Row],[VACIO]]*29.38</f>
        <v>205.66</v>
      </c>
    </row>
    <row r="89" spans="2:12" x14ac:dyDescent="0.3">
      <c r="B89" s="11" t="s">
        <v>50</v>
      </c>
      <c r="C89" t="s">
        <v>12</v>
      </c>
      <c r="D89" t="s">
        <v>49</v>
      </c>
      <c r="E89" t="s">
        <v>14</v>
      </c>
      <c r="F89" t="s">
        <v>17</v>
      </c>
      <c r="G89" s="17">
        <v>18</v>
      </c>
      <c r="H89">
        <f t="shared" si="1"/>
        <v>115</v>
      </c>
      <c r="I89">
        <v>133</v>
      </c>
      <c r="J89" s="6">
        <f>+Tabla3[[#This Row],[OCUPADO]]/Tabla3[[#This Row],[CAPACIDAD]]</f>
        <v>0.86466165413533835</v>
      </c>
      <c r="K89" t="s">
        <v>50</v>
      </c>
      <c r="L89">
        <f>+Tabla3[[#This Row],[VACIO]]*29.38</f>
        <v>528.84</v>
      </c>
    </row>
    <row r="90" spans="2:12" x14ac:dyDescent="0.3">
      <c r="B90" s="12" t="s">
        <v>50</v>
      </c>
      <c r="C90" t="s">
        <v>12</v>
      </c>
      <c r="D90" t="s">
        <v>49</v>
      </c>
      <c r="E90" t="s">
        <v>18</v>
      </c>
      <c r="F90" t="s">
        <v>15</v>
      </c>
      <c r="G90" s="17">
        <v>4</v>
      </c>
      <c r="H90">
        <f t="shared" si="1"/>
        <v>60</v>
      </c>
      <c r="I90">
        <v>64</v>
      </c>
      <c r="J90" s="6">
        <f>+Tabla3[[#This Row],[OCUPADO]]/Tabla3[[#This Row],[CAPACIDAD]]</f>
        <v>0.9375</v>
      </c>
      <c r="K90" t="s">
        <v>50</v>
      </c>
      <c r="L90">
        <f>+Tabla3[[#This Row],[VACIO]]*29.38</f>
        <v>117.52</v>
      </c>
    </row>
    <row r="91" spans="2:12" x14ac:dyDescent="0.3">
      <c r="B91" s="11" t="s">
        <v>50</v>
      </c>
      <c r="C91" t="s">
        <v>12</v>
      </c>
      <c r="D91" t="s">
        <v>49</v>
      </c>
      <c r="E91" t="s">
        <v>18</v>
      </c>
      <c r="F91" t="s">
        <v>17</v>
      </c>
      <c r="G91" s="17">
        <v>15</v>
      </c>
      <c r="H91">
        <f t="shared" si="1"/>
        <v>135</v>
      </c>
      <c r="I91">
        <v>150</v>
      </c>
      <c r="J91" s="6">
        <f>+Tabla3[[#This Row],[OCUPADO]]/Tabla3[[#This Row],[CAPACIDAD]]</f>
        <v>0.9</v>
      </c>
      <c r="K91" t="s">
        <v>50</v>
      </c>
      <c r="L91">
        <f>+Tabla3[[#This Row],[VACIO]]*29.38</f>
        <v>440.7</v>
      </c>
    </row>
    <row r="92" spans="2:12" x14ac:dyDescent="0.3">
      <c r="B92" s="12" t="s">
        <v>50</v>
      </c>
      <c r="C92" t="s">
        <v>12</v>
      </c>
      <c r="D92" t="s">
        <v>51</v>
      </c>
      <c r="E92" t="s">
        <v>14</v>
      </c>
      <c r="F92" t="s">
        <v>15</v>
      </c>
      <c r="G92" s="17">
        <v>22</v>
      </c>
      <c r="H92">
        <f t="shared" si="1"/>
        <v>44</v>
      </c>
      <c r="I92">
        <v>66</v>
      </c>
      <c r="J92" s="6">
        <f>+Tabla3[[#This Row],[OCUPADO]]/Tabla3[[#This Row],[CAPACIDAD]]</f>
        <v>0.66666666666666663</v>
      </c>
      <c r="K92" t="s">
        <v>50</v>
      </c>
      <c r="L92">
        <f>+Tabla3[[#This Row],[VACIO]]*29.38</f>
        <v>646.36</v>
      </c>
    </row>
    <row r="93" spans="2:12" x14ac:dyDescent="0.3">
      <c r="B93" s="11" t="s">
        <v>50</v>
      </c>
      <c r="C93" t="s">
        <v>12</v>
      </c>
      <c r="D93" t="s">
        <v>51</v>
      </c>
      <c r="E93" t="s">
        <v>18</v>
      </c>
      <c r="F93" t="s">
        <v>15</v>
      </c>
      <c r="G93" s="17">
        <v>8</v>
      </c>
      <c r="H93">
        <f t="shared" si="1"/>
        <v>52</v>
      </c>
      <c r="I93">
        <v>60</v>
      </c>
      <c r="J93" s="6">
        <f>+Tabla3[[#This Row],[OCUPADO]]/Tabla3[[#This Row],[CAPACIDAD]]</f>
        <v>0.8666666666666667</v>
      </c>
      <c r="K93" t="s">
        <v>50</v>
      </c>
      <c r="L93">
        <f>+Tabla3[[#This Row],[VACIO]]*29.38</f>
        <v>235.04</v>
      </c>
    </row>
    <row r="94" spans="2:12" x14ac:dyDescent="0.3">
      <c r="B94" s="12" t="s">
        <v>81</v>
      </c>
      <c r="C94" t="s">
        <v>12</v>
      </c>
      <c r="D94" t="s">
        <v>52</v>
      </c>
      <c r="E94" t="s">
        <v>14</v>
      </c>
      <c r="F94" t="s">
        <v>15</v>
      </c>
      <c r="G94" s="17">
        <v>10</v>
      </c>
      <c r="H94">
        <f t="shared" si="1"/>
        <v>43</v>
      </c>
      <c r="I94">
        <v>53</v>
      </c>
      <c r="J94" s="6">
        <f>+Tabla3[[#This Row],[OCUPADO]]/Tabla3[[#This Row],[CAPACIDAD]]</f>
        <v>0.81132075471698117</v>
      </c>
      <c r="K94" t="s">
        <v>53</v>
      </c>
      <c r="L94">
        <f>+Tabla3[[#This Row],[VACIO]]*29.38</f>
        <v>293.8</v>
      </c>
    </row>
    <row r="95" spans="2:12" x14ac:dyDescent="0.3">
      <c r="B95" s="11" t="s">
        <v>81</v>
      </c>
      <c r="C95" t="s">
        <v>12</v>
      </c>
      <c r="D95" t="s">
        <v>52</v>
      </c>
      <c r="E95" t="s">
        <v>14</v>
      </c>
      <c r="F95" t="s">
        <v>43</v>
      </c>
      <c r="G95" s="17">
        <v>5</v>
      </c>
      <c r="H95">
        <f t="shared" si="1"/>
        <v>10</v>
      </c>
      <c r="I95">
        <v>15</v>
      </c>
      <c r="J95" s="6">
        <f>+Tabla3[[#This Row],[OCUPADO]]/Tabla3[[#This Row],[CAPACIDAD]]</f>
        <v>0.66666666666666663</v>
      </c>
      <c r="K95" t="s">
        <v>53</v>
      </c>
      <c r="L95">
        <f>+Tabla3[[#This Row],[VACIO]]*29.38</f>
        <v>146.9</v>
      </c>
    </row>
    <row r="96" spans="2:12" x14ac:dyDescent="0.3">
      <c r="B96" s="12" t="s">
        <v>81</v>
      </c>
      <c r="C96" t="s">
        <v>12</v>
      </c>
      <c r="D96" t="s">
        <v>52</v>
      </c>
      <c r="E96" t="s">
        <v>18</v>
      </c>
      <c r="F96" t="s">
        <v>15</v>
      </c>
      <c r="G96" s="17">
        <v>10</v>
      </c>
      <c r="H96">
        <f t="shared" si="1"/>
        <v>43</v>
      </c>
      <c r="I96">
        <v>53</v>
      </c>
      <c r="J96" s="6">
        <f>+Tabla3[[#This Row],[OCUPADO]]/Tabla3[[#This Row],[CAPACIDAD]]</f>
        <v>0.81132075471698117</v>
      </c>
      <c r="K96" t="s">
        <v>53</v>
      </c>
      <c r="L96">
        <f>+Tabla3[[#This Row],[VACIO]]*29.38</f>
        <v>293.8</v>
      </c>
    </row>
    <row r="97" spans="2:12" x14ac:dyDescent="0.3">
      <c r="B97" s="11" t="s">
        <v>81</v>
      </c>
      <c r="C97" t="s">
        <v>12</v>
      </c>
      <c r="D97" t="s">
        <v>52</v>
      </c>
      <c r="E97" t="s">
        <v>18</v>
      </c>
      <c r="F97" t="s">
        <v>43</v>
      </c>
      <c r="G97" s="17">
        <v>4</v>
      </c>
      <c r="H97">
        <f t="shared" si="1"/>
        <v>11</v>
      </c>
      <c r="I97">
        <v>15</v>
      </c>
      <c r="J97" s="6">
        <f>+Tabla3[[#This Row],[OCUPADO]]/Tabla3[[#This Row],[CAPACIDAD]]</f>
        <v>0.73333333333333328</v>
      </c>
      <c r="K97" t="s">
        <v>53</v>
      </c>
      <c r="L97">
        <f>+Tabla3[[#This Row],[VACIO]]*29.38</f>
        <v>117.52</v>
      </c>
    </row>
    <row r="98" spans="2:12" x14ac:dyDescent="0.3">
      <c r="B98" s="12" t="s">
        <v>81</v>
      </c>
      <c r="C98" t="s">
        <v>12</v>
      </c>
      <c r="D98" t="s">
        <v>54</v>
      </c>
      <c r="E98" t="s">
        <v>14</v>
      </c>
      <c r="F98" t="s">
        <v>15</v>
      </c>
      <c r="G98" s="17">
        <v>22</v>
      </c>
      <c r="H98">
        <f t="shared" si="1"/>
        <v>27</v>
      </c>
      <c r="I98">
        <v>49</v>
      </c>
      <c r="J98" s="6">
        <f>+Tabla3[[#This Row],[OCUPADO]]/Tabla3[[#This Row],[CAPACIDAD]]</f>
        <v>0.55102040816326525</v>
      </c>
      <c r="K98" t="s">
        <v>53</v>
      </c>
      <c r="L98">
        <f>+Tabla3[[#This Row],[VACIO]]*29.38</f>
        <v>646.36</v>
      </c>
    </row>
    <row r="99" spans="2:12" x14ac:dyDescent="0.3">
      <c r="B99" s="11" t="s">
        <v>81</v>
      </c>
      <c r="C99" t="s">
        <v>12</v>
      </c>
      <c r="D99" t="s">
        <v>54</v>
      </c>
      <c r="E99" t="s">
        <v>14</v>
      </c>
      <c r="F99" t="s">
        <v>43</v>
      </c>
      <c r="G99" s="17">
        <v>5</v>
      </c>
      <c r="H99">
        <f t="shared" si="1"/>
        <v>10</v>
      </c>
      <c r="I99">
        <v>15</v>
      </c>
      <c r="J99" s="6">
        <f>+Tabla3[[#This Row],[OCUPADO]]/Tabla3[[#This Row],[CAPACIDAD]]</f>
        <v>0.66666666666666663</v>
      </c>
      <c r="K99" t="s">
        <v>53</v>
      </c>
      <c r="L99">
        <f>+Tabla3[[#This Row],[VACIO]]*29.38</f>
        <v>146.9</v>
      </c>
    </row>
    <row r="100" spans="2:12" x14ac:dyDescent="0.3">
      <c r="B100" s="12" t="s">
        <v>81</v>
      </c>
      <c r="C100" t="s">
        <v>12</v>
      </c>
      <c r="D100" t="s">
        <v>54</v>
      </c>
      <c r="E100" t="s">
        <v>18</v>
      </c>
      <c r="F100" t="s">
        <v>15</v>
      </c>
      <c r="G100" s="17">
        <v>28</v>
      </c>
      <c r="H100">
        <f t="shared" si="1"/>
        <v>23</v>
      </c>
      <c r="I100">
        <v>51</v>
      </c>
      <c r="J100" s="6">
        <f>+Tabla3[[#This Row],[OCUPADO]]/Tabla3[[#This Row],[CAPACIDAD]]</f>
        <v>0.45098039215686275</v>
      </c>
      <c r="K100" t="s">
        <v>53</v>
      </c>
      <c r="L100">
        <f>+Tabla3[[#This Row],[VACIO]]*29.38</f>
        <v>822.64</v>
      </c>
    </row>
    <row r="101" spans="2:12" x14ac:dyDescent="0.3">
      <c r="B101" s="11" t="s">
        <v>81</v>
      </c>
      <c r="C101" t="s">
        <v>12</v>
      </c>
      <c r="D101" t="s">
        <v>54</v>
      </c>
      <c r="E101" t="s">
        <v>18</v>
      </c>
      <c r="F101" t="s">
        <v>43</v>
      </c>
      <c r="G101" s="17">
        <v>3</v>
      </c>
      <c r="H101">
        <f t="shared" si="1"/>
        <v>12</v>
      </c>
      <c r="I101">
        <v>15</v>
      </c>
      <c r="J101" s="6">
        <f>+Tabla3[[#This Row],[OCUPADO]]/Tabla3[[#This Row],[CAPACIDAD]]</f>
        <v>0.8</v>
      </c>
      <c r="K101" t="s">
        <v>53</v>
      </c>
      <c r="L101">
        <f>+Tabla3[[#This Row],[VACIO]]*29.38</f>
        <v>88.14</v>
      </c>
    </row>
    <row r="102" spans="2:12" x14ac:dyDescent="0.3">
      <c r="B102" s="12" t="s">
        <v>81</v>
      </c>
      <c r="C102" t="s">
        <v>12</v>
      </c>
      <c r="D102" t="s">
        <v>79</v>
      </c>
      <c r="E102" t="s">
        <v>18</v>
      </c>
      <c r="F102" t="s">
        <v>15</v>
      </c>
      <c r="G102" s="17">
        <v>64</v>
      </c>
      <c r="H102">
        <f t="shared" ref="H102:H103" si="2">+I102-G102</f>
        <v>-24</v>
      </c>
      <c r="I102">
        <v>40</v>
      </c>
      <c r="J102" s="6">
        <f>+Tabla3[[#This Row],[OCUPADO]]/Tabla3[[#This Row],[CAPACIDAD]]</f>
        <v>-0.6</v>
      </c>
      <c r="K102" t="s">
        <v>53</v>
      </c>
      <c r="L102">
        <f>+Tabla3[[#This Row],[VACIO]]*29.38</f>
        <v>1880.32</v>
      </c>
    </row>
    <row r="103" spans="2:12" x14ac:dyDescent="0.3">
      <c r="B103" s="11" t="s">
        <v>81</v>
      </c>
      <c r="C103" t="s">
        <v>12</v>
      </c>
      <c r="D103" t="s">
        <v>79</v>
      </c>
      <c r="E103" t="s">
        <v>18</v>
      </c>
      <c r="F103" t="s">
        <v>43</v>
      </c>
      <c r="G103" s="17">
        <v>39</v>
      </c>
      <c r="H103">
        <f t="shared" si="2"/>
        <v>4</v>
      </c>
      <c r="I103">
        <v>43</v>
      </c>
      <c r="J103" s="6">
        <f>+Tabla3[[#This Row],[OCUPADO]]/Tabla3[[#This Row],[CAPACIDAD]]</f>
        <v>9.3023255813953487E-2</v>
      </c>
      <c r="K103" t="s">
        <v>53</v>
      </c>
      <c r="L103">
        <f>+Tabla3[[#This Row],[VACIO]]*29.38</f>
        <v>1145.82</v>
      </c>
    </row>
    <row r="104" spans="2:12" x14ac:dyDescent="0.3">
      <c r="B104" s="12" t="s">
        <v>82</v>
      </c>
      <c r="C104" t="s">
        <v>12</v>
      </c>
      <c r="D104" t="s">
        <v>55</v>
      </c>
      <c r="E104" t="s">
        <v>14</v>
      </c>
      <c r="F104" t="s">
        <v>15</v>
      </c>
      <c r="G104" s="17">
        <v>0</v>
      </c>
      <c r="H104">
        <f t="shared" si="1"/>
        <v>66</v>
      </c>
      <c r="I104">
        <v>66</v>
      </c>
      <c r="J104" s="6">
        <f>+Tabla3[[#This Row],[OCUPADO]]/Tabla3[[#This Row],[CAPACIDAD]]</f>
        <v>1</v>
      </c>
      <c r="K104" t="s">
        <v>56</v>
      </c>
      <c r="L104">
        <f>+Tabla3[[#This Row],[VACIO]]*29.38</f>
        <v>0</v>
      </c>
    </row>
    <row r="105" spans="2:12" x14ac:dyDescent="0.3">
      <c r="B105" s="11" t="s">
        <v>82</v>
      </c>
      <c r="C105" t="s">
        <v>12</v>
      </c>
      <c r="D105" t="s">
        <v>55</v>
      </c>
      <c r="E105" t="s">
        <v>18</v>
      </c>
      <c r="F105" t="s">
        <v>15</v>
      </c>
      <c r="G105" s="17">
        <v>0</v>
      </c>
      <c r="H105">
        <f t="shared" si="1"/>
        <v>63</v>
      </c>
      <c r="I105">
        <v>63</v>
      </c>
      <c r="J105" s="6">
        <f>+Tabla3[[#This Row],[OCUPADO]]/Tabla3[[#This Row],[CAPACIDAD]]</f>
        <v>1</v>
      </c>
      <c r="K105" t="s">
        <v>56</v>
      </c>
      <c r="L105">
        <f>+Tabla3[[#This Row],[VACIO]]*29.38</f>
        <v>0</v>
      </c>
    </row>
    <row r="106" spans="2:12" x14ac:dyDescent="0.3">
      <c r="B106" s="12" t="s">
        <v>81</v>
      </c>
      <c r="C106" t="s">
        <v>57</v>
      </c>
      <c r="D106" t="s">
        <v>13</v>
      </c>
      <c r="E106" t="s">
        <v>14</v>
      </c>
      <c r="F106" t="s">
        <v>15</v>
      </c>
      <c r="G106" s="17">
        <v>9</v>
      </c>
      <c r="H106">
        <f t="shared" si="1"/>
        <v>81</v>
      </c>
      <c r="I106">
        <v>90</v>
      </c>
      <c r="J106" s="6">
        <f>+Tabla3[[#This Row],[OCUPADO]]/Tabla3[[#This Row],[CAPACIDAD]]</f>
        <v>0.9</v>
      </c>
      <c r="K106" t="s">
        <v>58</v>
      </c>
      <c r="L106">
        <f>+Tabla3[[#This Row],[VACIO]]*29.38</f>
        <v>264.42</v>
      </c>
    </row>
    <row r="107" spans="2:12" x14ac:dyDescent="0.3">
      <c r="B107" s="11" t="s">
        <v>81</v>
      </c>
      <c r="C107" t="s">
        <v>57</v>
      </c>
      <c r="D107" t="s">
        <v>13</v>
      </c>
      <c r="E107" t="s">
        <v>14</v>
      </c>
      <c r="F107" t="s">
        <v>43</v>
      </c>
      <c r="G107" s="17">
        <v>6</v>
      </c>
      <c r="H107">
        <f t="shared" si="1"/>
        <v>24</v>
      </c>
      <c r="I107">
        <v>30</v>
      </c>
      <c r="J107" s="6">
        <f>+Tabla3[[#This Row],[OCUPADO]]/Tabla3[[#This Row],[CAPACIDAD]]</f>
        <v>0.8</v>
      </c>
      <c r="K107" t="s">
        <v>58</v>
      </c>
      <c r="L107">
        <f>+Tabla3[[#This Row],[VACIO]]*29.38</f>
        <v>176.28</v>
      </c>
    </row>
    <row r="108" spans="2:12" x14ac:dyDescent="0.3">
      <c r="B108" s="12" t="s">
        <v>81</v>
      </c>
      <c r="C108" t="s">
        <v>57</v>
      </c>
      <c r="D108" t="s">
        <v>13</v>
      </c>
      <c r="E108" t="s">
        <v>14</v>
      </c>
      <c r="F108" t="s">
        <v>17</v>
      </c>
      <c r="G108" s="17">
        <v>25</v>
      </c>
      <c r="H108">
        <f t="shared" si="1"/>
        <v>23</v>
      </c>
      <c r="I108">
        <v>48</v>
      </c>
      <c r="J108" s="6">
        <f>+Tabla3[[#This Row],[OCUPADO]]/Tabla3[[#This Row],[CAPACIDAD]]</f>
        <v>0.47916666666666669</v>
      </c>
      <c r="K108" t="s">
        <v>58</v>
      </c>
      <c r="L108">
        <f>+Tabla3[[#This Row],[VACIO]]*29.38</f>
        <v>734.5</v>
      </c>
    </row>
    <row r="109" spans="2:12" x14ac:dyDescent="0.3">
      <c r="B109" s="11" t="s">
        <v>81</v>
      </c>
      <c r="C109" t="s">
        <v>57</v>
      </c>
      <c r="D109" t="s">
        <v>13</v>
      </c>
      <c r="E109" t="s">
        <v>18</v>
      </c>
      <c r="F109" t="s">
        <v>15</v>
      </c>
      <c r="G109" s="17">
        <v>6</v>
      </c>
      <c r="H109">
        <f t="shared" si="1"/>
        <v>77</v>
      </c>
      <c r="I109">
        <v>83</v>
      </c>
      <c r="J109" s="6">
        <f>+Tabla3[[#This Row],[OCUPADO]]/Tabla3[[#This Row],[CAPACIDAD]]</f>
        <v>0.92771084337349397</v>
      </c>
      <c r="K109" t="s">
        <v>58</v>
      </c>
      <c r="L109">
        <f>+Tabla3[[#This Row],[VACIO]]*29.38</f>
        <v>176.28</v>
      </c>
    </row>
    <row r="110" spans="2:12" x14ac:dyDescent="0.3">
      <c r="B110" s="12" t="s">
        <v>81</v>
      </c>
      <c r="C110" t="s">
        <v>57</v>
      </c>
      <c r="D110" t="s">
        <v>13</v>
      </c>
      <c r="E110" t="s">
        <v>18</v>
      </c>
      <c r="F110" t="s">
        <v>43</v>
      </c>
      <c r="G110" s="17">
        <v>0</v>
      </c>
      <c r="H110">
        <f t="shared" si="1"/>
        <v>29</v>
      </c>
      <c r="I110">
        <v>29</v>
      </c>
      <c r="J110" s="6">
        <f>+Tabla3[[#This Row],[OCUPADO]]/Tabla3[[#This Row],[CAPACIDAD]]</f>
        <v>1</v>
      </c>
      <c r="K110" t="s">
        <v>58</v>
      </c>
      <c r="L110">
        <f>+Tabla3[[#This Row],[VACIO]]*29.38</f>
        <v>0</v>
      </c>
    </row>
    <row r="111" spans="2:12" x14ac:dyDescent="0.3">
      <c r="B111" s="11" t="s">
        <v>81</v>
      </c>
      <c r="C111" t="s">
        <v>57</v>
      </c>
      <c r="D111" t="s">
        <v>13</v>
      </c>
      <c r="E111" t="s">
        <v>18</v>
      </c>
      <c r="F111" t="s">
        <v>17</v>
      </c>
      <c r="G111" s="17">
        <v>13</v>
      </c>
      <c r="H111">
        <f t="shared" si="1"/>
        <v>25</v>
      </c>
      <c r="I111">
        <v>38</v>
      </c>
      <c r="J111" s="6">
        <f>+Tabla3[[#This Row],[OCUPADO]]/Tabla3[[#This Row],[CAPACIDAD]]</f>
        <v>0.65789473684210531</v>
      </c>
      <c r="K111" t="s">
        <v>58</v>
      </c>
      <c r="L111">
        <f>+Tabla3[[#This Row],[VACIO]]*29.38</f>
        <v>381.94</v>
      </c>
    </row>
    <row r="112" spans="2:12" x14ac:dyDescent="0.3">
      <c r="B112" s="12" t="s">
        <v>81</v>
      </c>
      <c r="C112" t="s">
        <v>57</v>
      </c>
      <c r="D112" t="s">
        <v>19</v>
      </c>
      <c r="E112" t="s">
        <v>14</v>
      </c>
      <c r="F112" t="s">
        <v>15</v>
      </c>
      <c r="G112" s="17">
        <v>32</v>
      </c>
      <c r="H112">
        <f t="shared" si="1"/>
        <v>15</v>
      </c>
      <c r="I112">
        <v>47</v>
      </c>
      <c r="J112" s="6">
        <f>+Tabla3[[#This Row],[OCUPADO]]/Tabla3[[#This Row],[CAPACIDAD]]</f>
        <v>0.31914893617021278</v>
      </c>
      <c r="K112" t="s">
        <v>59</v>
      </c>
      <c r="L112">
        <f>+Tabla3[[#This Row],[VACIO]]*29.38</f>
        <v>940.16</v>
      </c>
    </row>
    <row r="113" spans="2:12" x14ac:dyDescent="0.3">
      <c r="B113" s="11" t="s">
        <v>81</v>
      </c>
      <c r="C113" t="s">
        <v>57</v>
      </c>
      <c r="D113" t="s">
        <v>19</v>
      </c>
      <c r="E113" t="s">
        <v>14</v>
      </c>
      <c r="F113" t="s">
        <v>17</v>
      </c>
      <c r="G113" s="17">
        <v>100</v>
      </c>
      <c r="H113">
        <f t="shared" si="1"/>
        <v>68</v>
      </c>
      <c r="I113">
        <v>168</v>
      </c>
      <c r="J113" s="6">
        <f>+Tabla3[[#This Row],[OCUPADO]]/Tabla3[[#This Row],[CAPACIDAD]]</f>
        <v>0.40476190476190477</v>
      </c>
      <c r="K113" t="s">
        <v>59</v>
      </c>
      <c r="L113">
        <f>+Tabla3[[#This Row],[VACIO]]*29.38</f>
        <v>2938</v>
      </c>
    </row>
    <row r="114" spans="2:12" x14ac:dyDescent="0.3">
      <c r="B114" s="12" t="s">
        <v>81</v>
      </c>
      <c r="C114" t="s">
        <v>57</v>
      </c>
      <c r="D114" t="s">
        <v>19</v>
      </c>
      <c r="E114" t="s">
        <v>14</v>
      </c>
      <c r="F114" t="s">
        <v>43</v>
      </c>
      <c r="G114" s="17">
        <v>2</v>
      </c>
      <c r="H114">
        <f t="shared" si="1"/>
        <v>36</v>
      </c>
      <c r="I114">
        <v>38</v>
      </c>
      <c r="J114" s="6">
        <f>+Tabla3[[#This Row],[OCUPADO]]/Tabla3[[#This Row],[CAPACIDAD]]</f>
        <v>0.94736842105263153</v>
      </c>
      <c r="K114" t="s">
        <v>59</v>
      </c>
      <c r="L114">
        <f>+Tabla3[[#This Row],[VACIO]]*29.38</f>
        <v>58.76</v>
      </c>
    </row>
    <row r="115" spans="2:12" x14ac:dyDescent="0.3">
      <c r="B115" s="11" t="s">
        <v>81</v>
      </c>
      <c r="C115" t="s">
        <v>57</v>
      </c>
      <c r="D115" t="s">
        <v>19</v>
      </c>
      <c r="E115" t="s">
        <v>18</v>
      </c>
      <c r="F115" t="s">
        <v>15</v>
      </c>
      <c r="G115" s="17">
        <v>5</v>
      </c>
      <c r="H115">
        <f t="shared" si="1"/>
        <v>135</v>
      </c>
      <c r="I115">
        <v>140</v>
      </c>
      <c r="J115" s="6">
        <f>+Tabla3[[#This Row],[OCUPADO]]/Tabla3[[#This Row],[CAPACIDAD]]</f>
        <v>0.9642857142857143</v>
      </c>
      <c r="K115" t="s">
        <v>59</v>
      </c>
      <c r="L115">
        <f>+Tabla3[[#This Row],[VACIO]]*29.38</f>
        <v>146.9</v>
      </c>
    </row>
    <row r="116" spans="2:12" x14ac:dyDescent="0.3">
      <c r="B116" s="12" t="s">
        <v>81</v>
      </c>
      <c r="C116" t="s">
        <v>57</v>
      </c>
      <c r="D116" t="s">
        <v>19</v>
      </c>
      <c r="E116" t="s">
        <v>18</v>
      </c>
      <c r="F116" t="s">
        <v>43</v>
      </c>
      <c r="G116" s="17">
        <v>2</v>
      </c>
      <c r="H116">
        <f t="shared" si="1"/>
        <v>36</v>
      </c>
      <c r="I116">
        <v>38</v>
      </c>
      <c r="J116" s="6">
        <f>+Tabla3[[#This Row],[OCUPADO]]/Tabla3[[#This Row],[CAPACIDAD]]</f>
        <v>0.94736842105263153</v>
      </c>
      <c r="K116" t="s">
        <v>59</v>
      </c>
      <c r="L116">
        <f>+Tabla3[[#This Row],[VACIO]]*29.38</f>
        <v>58.76</v>
      </c>
    </row>
    <row r="117" spans="2:12" x14ac:dyDescent="0.3">
      <c r="B117" s="11" t="s">
        <v>81</v>
      </c>
      <c r="C117" t="s">
        <v>57</v>
      </c>
      <c r="D117" t="s">
        <v>20</v>
      </c>
      <c r="E117" t="s">
        <v>14</v>
      </c>
      <c r="F117" t="s">
        <v>15</v>
      </c>
      <c r="G117" s="17">
        <v>13</v>
      </c>
      <c r="H117">
        <f t="shared" si="1"/>
        <v>129</v>
      </c>
      <c r="I117">
        <v>142</v>
      </c>
      <c r="J117" s="6">
        <f>+Tabla3[[#This Row],[OCUPADO]]/Tabla3[[#This Row],[CAPACIDAD]]</f>
        <v>0.90845070422535212</v>
      </c>
      <c r="K117" t="s">
        <v>59</v>
      </c>
      <c r="L117">
        <f>+Tabla3[[#This Row],[VACIO]]*29.38</f>
        <v>381.94</v>
      </c>
    </row>
    <row r="118" spans="2:12" x14ac:dyDescent="0.3">
      <c r="B118" s="12" t="s">
        <v>81</v>
      </c>
      <c r="C118" t="s">
        <v>57</v>
      </c>
      <c r="D118" t="s">
        <v>20</v>
      </c>
      <c r="E118" t="s">
        <v>14</v>
      </c>
      <c r="F118" t="s">
        <v>43</v>
      </c>
      <c r="G118" s="17">
        <v>2</v>
      </c>
      <c r="H118">
        <f t="shared" si="1"/>
        <v>36</v>
      </c>
      <c r="I118">
        <v>38</v>
      </c>
      <c r="J118" s="6">
        <f>+Tabla3[[#This Row],[OCUPADO]]/Tabla3[[#This Row],[CAPACIDAD]]</f>
        <v>0.94736842105263153</v>
      </c>
      <c r="K118" t="s">
        <v>59</v>
      </c>
      <c r="L118">
        <f>+Tabla3[[#This Row],[VACIO]]*29.38</f>
        <v>58.76</v>
      </c>
    </row>
    <row r="119" spans="2:12" x14ac:dyDescent="0.3">
      <c r="B119" s="11" t="s">
        <v>81</v>
      </c>
      <c r="C119" t="s">
        <v>57</v>
      </c>
      <c r="D119" t="s">
        <v>20</v>
      </c>
      <c r="E119" t="s">
        <v>18</v>
      </c>
      <c r="F119" t="s">
        <v>15</v>
      </c>
      <c r="G119" s="17">
        <v>10</v>
      </c>
      <c r="H119">
        <f t="shared" si="1"/>
        <v>132</v>
      </c>
      <c r="I119">
        <v>142</v>
      </c>
      <c r="J119" s="6">
        <f>+Tabla3[[#This Row],[OCUPADO]]/Tabla3[[#This Row],[CAPACIDAD]]</f>
        <v>0.92957746478873238</v>
      </c>
      <c r="K119" t="s">
        <v>59</v>
      </c>
      <c r="L119">
        <f>+Tabla3[[#This Row],[VACIO]]*29.38</f>
        <v>293.8</v>
      </c>
    </row>
    <row r="120" spans="2:12" x14ac:dyDescent="0.3">
      <c r="B120" s="12" t="s">
        <v>81</v>
      </c>
      <c r="C120" t="s">
        <v>57</v>
      </c>
      <c r="D120" t="s">
        <v>20</v>
      </c>
      <c r="E120" t="s">
        <v>18</v>
      </c>
      <c r="F120" t="s">
        <v>43</v>
      </c>
      <c r="G120" s="17">
        <v>3</v>
      </c>
      <c r="H120">
        <f t="shared" si="1"/>
        <v>35</v>
      </c>
      <c r="I120">
        <v>38</v>
      </c>
      <c r="J120" s="6">
        <f>+Tabla3[[#This Row],[OCUPADO]]/Tabla3[[#This Row],[CAPACIDAD]]</f>
        <v>0.92105263157894735</v>
      </c>
      <c r="K120" t="s">
        <v>59</v>
      </c>
      <c r="L120">
        <f>+Tabla3[[#This Row],[VACIO]]*29.38</f>
        <v>88.14</v>
      </c>
    </row>
    <row r="121" spans="2:12" x14ac:dyDescent="0.3">
      <c r="B121" s="11" t="s">
        <v>81</v>
      </c>
      <c r="C121" t="s">
        <v>57</v>
      </c>
      <c r="D121" t="s">
        <v>21</v>
      </c>
      <c r="E121" t="s">
        <v>14</v>
      </c>
      <c r="F121" t="s">
        <v>15</v>
      </c>
      <c r="G121" s="17">
        <v>6</v>
      </c>
      <c r="H121">
        <f t="shared" si="1"/>
        <v>114</v>
      </c>
      <c r="I121">
        <v>120</v>
      </c>
      <c r="J121" s="6">
        <f>+Tabla3[[#This Row],[OCUPADO]]/Tabla3[[#This Row],[CAPACIDAD]]</f>
        <v>0.95</v>
      </c>
      <c r="K121" t="s">
        <v>59</v>
      </c>
      <c r="L121">
        <f>+Tabla3[[#This Row],[VACIO]]*29.38</f>
        <v>176.28</v>
      </c>
    </row>
    <row r="122" spans="2:12" x14ac:dyDescent="0.3">
      <c r="B122" s="12" t="s">
        <v>81</v>
      </c>
      <c r="C122" t="s">
        <v>57</v>
      </c>
      <c r="D122" t="s">
        <v>21</v>
      </c>
      <c r="E122" t="s">
        <v>14</v>
      </c>
      <c r="F122" t="s">
        <v>43</v>
      </c>
      <c r="G122" s="17">
        <v>6</v>
      </c>
      <c r="H122">
        <f t="shared" si="1"/>
        <v>24</v>
      </c>
      <c r="I122">
        <v>30</v>
      </c>
      <c r="J122" s="6">
        <f>+Tabla3[[#This Row],[OCUPADO]]/Tabla3[[#This Row],[CAPACIDAD]]</f>
        <v>0.8</v>
      </c>
      <c r="K122" t="s">
        <v>59</v>
      </c>
      <c r="L122">
        <f>+Tabla3[[#This Row],[VACIO]]*29.38</f>
        <v>176.28</v>
      </c>
    </row>
    <row r="123" spans="2:12" x14ac:dyDescent="0.3">
      <c r="B123" s="11" t="s">
        <v>81</v>
      </c>
      <c r="C123" t="s">
        <v>57</v>
      </c>
      <c r="D123" t="s">
        <v>21</v>
      </c>
      <c r="E123" t="s">
        <v>18</v>
      </c>
      <c r="F123" t="s">
        <v>15</v>
      </c>
      <c r="G123" s="17">
        <v>6</v>
      </c>
      <c r="H123">
        <f t="shared" si="1"/>
        <v>84</v>
      </c>
      <c r="I123">
        <v>90</v>
      </c>
      <c r="J123" s="6">
        <f>+Tabla3[[#This Row],[OCUPADO]]/Tabla3[[#This Row],[CAPACIDAD]]</f>
        <v>0.93333333333333335</v>
      </c>
      <c r="K123" t="s">
        <v>59</v>
      </c>
      <c r="L123">
        <f>+Tabla3[[#This Row],[VACIO]]*29.38</f>
        <v>176.28</v>
      </c>
    </row>
    <row r="124" spans="2:12" x14ac:dyDescent="0.3">
      <c r="B124" s="12" t="s">
        <v>81</v>
      </c>
      <c r="C124" t="s">
        <v>57</v>
      </c>
      <c r="D124" t="s">
        <v>21</v>
      </c>
      <c r="E124" t="s">
        <v>18</v>
      </c>
      <c r="F124" t="s">
        <v>17</v>
      </c>
      <c r="G124" s="17">
        <v>13</v>
      </c>
      <c r="H124">
        <f t="shared" si="1"/>
        <v>15</v>
      </c>
      <c r="I124">
        <v>28</v>
      </c>
      <c r="J124" s="6">
        <f>+Tabla3[[#This Row],[OCUPADO]]/Tabla3[[#This Row],[CAPACIDAD]]</f>
        <v>0.5357142857142857</v>
      </c>
      <c r="K124" t="s">
        <v>59</v>
      </c>
      <c r="L124">
        <f>+Tabla3[[#This Row],[VACIO]]*29.38</f>
        <v>381.94</v>
      </c>
    </row>
    <row r="125" spans="2:12" x14ac:dyDescent="0.3">
      <c r="B125" s="11" t="s">
        <v>81</v>
      </c>
      <c r="C125" t="s">
        <v>57</v>
      </c>
      <c r="D125" t="s">
        <v>21</v>
      </c>
      <c r="E125" t="s">
        <v>18</v>
      </c>
      <c r="F125" t="s">
        <v>43</v>
      </c>
      <c r="G125" s="17">
        <v>6</v>
      </c>
      <c r="H125">
        <f t="shared" si="1"/>
        <v>24</v>
      </c>
      <c r="I125">
        <v>30</v>
      </c>
      <c r="J125" s="6">
        <f>+Tabla3[[#This Row],[OCUPADO]]/Tabla3[[#This Row],[CAPACIDAD]]</f>
        <v>0.8</v>
      </c>
      <c r="K125" t="s">
        <v>59</v>
      </c>
      <c r="L125">
        <f>+Tabla3[[#This Row],[VACIO]]*29.38</f>
        <v>176.28</v>
      </c>
    </row>
    <row r="126" spans="2:12" x14ac:dyDescent="0.3">
      <c r="B126" s="12" t="s">
        <v>81</v>
      </c>
      <c r="C126" t="s">
        <v>57</v>
      </c>
      <c r="D126" t="s">
        <v>22</v>
      </c>
      <c r="E126" t="s">
        <v>14</v>
      </c>
      <c r="F126" t="s">
        <v>15</v>
      </c>
      <c r="G126" s="17">
        <v>2</v>
      </c>
      <c r="H126">
        <f t="shared" si="1"/>
        <v>90</v>
      </c>
      <c r="I126">
        <v>92</v>
      </c>
      <c r="J126" s="6">
        <f>+Tabla3[[#This Row],[OCUPADO]]/Tabla3[[#This Row],[CAPACIDAD]]</f>
        <v>0.97826086956521741</v>
      </c>
      <c r="K126" t="s">
        <v>59</v>
      </c>
      <c r="L126">
        <f>+Tabla3[[#This Row],[VACIO]]*29.38</f>
        <v>58.76</v>
      </c>
    </row>
    <row r="127" spans="2:12" x14ac:dyDescent="0.3">
      <c r="B127" s="11" t="s">
        <v>81</v>
      </c>
      <c r="C127" t="s">
        <v>57</v>
      </c>
      <c r="D127" t="s">
        <v>22</v>
      </c>
      <c r="E127" t="s">
        <v>14</v>
      </c>
      <c r="F127" t="s">
        <v>17</v>
      </c>
      <c r="G127" s="17">
        <v>20</v>
      </c>
      <c r="H127">
        <f t="shared" si="1"/>
        <v>8</v>
      </c>
      <c r="I127">
        <v>28</v>
      </c>
      <c r="J127" s="6">
        <f>+Tabla3[[#This Row],[OCUPADO]]/Tabla3[[#This Row],[CAPACIDAD]]</f>
        <v>0.2857142857142857</v>
      </c>
      <c r="K127" t="s">
        <v>59</v>
      </c>
      <c r="L127">
        <f>+Tabla3[[#This Row],[VACIO]]*29.38</f>
        <v>587.6</v>
      </c>
    </row>
    <row r="128" spans="2:12" x14ac:dyDescent="0.3">
      <c r="B128" s="12" t="s">
        <v>81</v>
      </c>
      <c r="C128" t="s">
        <v>57</v>
      </c>
      <c r="D128" t="s">
        <v>22</v>
      </c>
      <c r="E128" t="s">
        <v>14</v>
      </c>
      <c r="F128" t="s">
        <v>43</v>
      </c>
      <c r="G128" s="17">
        <v>5</v>
      </c>
      <c r="H128">
        <f t="shared" si="1"/>
        <v>25</v>
      </c>
      <c r="I128">
        <v>30</v>
      </c>
      <c r="J128" s="6">
        <f>+Tabla3[[#This Row],[OCUPADO]]/Tabla3[[#This Row],[CAPACIDAD]]</f>
        <v>0.83333333333333337</v>
      </c>
      <c r="K128" t="s">
        <v>59</v>
      </c>
      <c r="L128">
        <f>+Tabla3[[#This Row],[VACIO]]*29.38</f>
        <v>146.9</v>
      </c>
    </row>
    <row r="129" spans="2:12" x14ac:dyDescent="0.3">
      <c r="B129" s="11" t="s">
        <v>81</v>
      </c>
      <c r="C129" t="s">
        <v>57</v>
      </c>
      <c r="D129" t="s">
        <v>22</v>
      </c>
      <c r="E129" t="s">
        <v>18</v>
      </c>
      <c r="F129" t="s">
        <v>15</v>
      </c>
      <c r="G129" s="17">
        <v>3</v>
      </c>
      <c r="H129">
        <f t="shared" si="1"/>
        <v>89</v>
      </c>
      <c r="I129">
        <v>92</v>
      </c>
      <c r="J129" s="6">
        <f>+Tabla3[[#This Row],[OCUPADO]]/Tabla3[[#This Row],[CAPACIDAD]]</f>
        <v>0.96739130434782605</v>
      </c>
      <c r="K129" t="s">
        <v>59</v>
      </c>
      <c r="L129">
        <f>+Tabla3[[#This Row],[VACIO]]*29.38</f>
        <v>88.14</v>
      </c>
    </row>
    <row r="130" spans="2:12" x14ac:dyDescent="0.3">
      <c r="B130" s="12" t="s">
        <v>81</v>
      </c>
      <c r="C130" t="s">
        <v>57</v>
      </c>
      <c r="D130" t="s">
        <v>22</v>
      </c>
      <c r="E130" t="s">
        <v>18</v>
      </c>
      <c r="F130" t="s">
        <v>17</v>
      </c>
      <c r="G130" s="17">
        <v>4</v>
      </c>
      <c r="H130">
        <f t="shared" si="1"/>
        <v>24</v>
      </c>
      <c r="I130">
        <v>28</v>
      </c>
      <c r="J130" s="6">
        <f>+Tabla3[[#This Row],[OCUPADO]]/Tabla3[[#This Row],[CAPACIDAD]]</f>
        <v>0.8571428571428571</v>
      </c>
      <c r="K130" t="s">
        <v>59</v>
      </c>
      <c r="L130">
        <f>+Tabla3[[#This Row],[VACIO]]*29.38</f>
        <v>117.52</v>
      </c>
    </row>
    <row r="131" spans="2:12" x14ac:dyDescent="0.3">
      <c r="B131" s="11" t="s">
        <v>81</v>
      </c>
      <c r="C131" t="s">
        <v>57</v>
      </c>
      <c r="D131" t="s">
        <v>22</v>
      </c>
      <c r="E131" t="s">
        <v>18</v>
      </c>
      <c r="F131" t="s">
        <v>43</v>
      </c>
      <c r="G131" s="17">
        <v>4</v>
      </c>
      <c r="H131">
        <f t="shared" si="1"/>
        <v>26</v>
      </c>
      <c r="I131">
        <v>30</v>
      </c>
      <c r="J131" s="6">
        <f>+Tabla3[[#This Row],[OCUPADO]]/Tabla3[[#This Row],[CAPACIDAD]]</f>
        <v>0.8666666666666667</v>
      </c>
      <c r="K131" t="s">
        <v>59</v>
      </c>
      <c r="L131">
        <f>+Tabla3[[#This Row],[VACIO]]*29.38</f>
        <v>117.52</v>
      </c>
    </row>
    <row r="132" spans="2:12" x14ac:dyDescent="0.3">
      <c r="B132" s="12" t="s">
        <v>81</v>
      </c>
      <c r="C132" t="s">
        <v>57</v>
      </c>
      <c r="D132" t="s">
        <v>24</v>
      </c>
      <c r="E132" t="s">
        <v>14</v>
      </c>
      <c r="F132" t="s">
        <v>15</v>
      </c>
      <c r="G132" s="17">
        <v>11</v>
      </c>
      <c r="H132">
        <f t="shared" si="1"/>
        <v>160</v>
      </c>
      <c r="I132">
        <v>171</v>
      </c>
      <c r="J132" s="6">
        <f>+Tabla3[[#This Row],[OCUPADO]]/Tabla3[[#This Row],[CAPACIDAD]]</f>
        <v>0.93567251461988299</v>
      </c>
      <c r="K132" t="s">
        <v>60</v>
      </c>
      <c r="L132">
        <f>+Tabla3[[#This Row],[VACIO]]*29.38</f>
        <v>323.18</v>
      </c>
    </row>
    <row r="133" spans="2:12" x14ac:dyDescent="0.3">
      <c r="B133" s="11" t="s">
        <v>81</v>
      </c>
      <c r="C133" t="s">
        <v>57</v>
      </c>
      <c r="D133" t="s">
        <v>24</v>
      </c>
      <c r="E133" t="s">
        <v>18</v>
      </c>
      <c r="F133" t="s">
        <v>15</v>
      </c>
      <c r="G133" s="17">
        <v>13</v>
      </c>
      <c r="H133">
        <f t="shared" si="1"/>
        <v>128</v>
      </c>
      <c r="I133">
        <v>141</v>
      </c>
      <c r="J133" s="6">
        <f>+Tabla3[[#This Row],[OCUPADO]]/Tabla3[[#This Row],[CAPACIDAD]]</f>
        <v>0.90780141843971629</v>
      </c>
      <c r="K133" t="s">
        <v>60</v>
      </c>
      <c r="L133">
        <f>+Tabla3[[#This Row],[VACIO]]*29.38</f>
        <v>381.94</v>
      </c>
    </row>
    <row r="134" spans="2:12" x14ac:dyDescent="0.3">
      <c r="B134" s="12" t="s">
        <v>81</v>
      </c>
      <c r="C134" t="s">
        <v>57</v>
      </c>
      <c r="D134" t="s">
        <v>24</v>
      </c>
      <c r="E134" t="s">
        <v>18</v>
      </c>
      <c r="F134" t="s">
        <v>17</v>
      </c>
      <c r="G134" s="17">
        <v>2</v>
      </c>
      <c r="H134">
        <f t="shared" si="1"/>
        <v>27</v>
      </c>
      <c r="I134">
        <v>29</v>
      </c>
      <c r="J134" s="6">
        <f>+Tabla3[[#This Row],[OCUPADO]]/Tabla3[[#This Row],[CAPACIDAD]]</f>
        <v>0.93103448275862066</v>
      </c>
      <c r="K134" t="s">
        <v>60</v>
      </c>
      <c r="L134">
        <f>+Tabla3[[#This Row],[VACIO]]*29.38</f>
        <v>58.76</v>
      </c>
    </row>
    <row r="135" spans="2:12" x14ac:dyDescent="0.3">
      <c r="B135" s="11" t="s">
        <v>81</v>
      </c>
      <c r="C135" t="s">
        <v>57</v>
      </c>
      <c r="D135" t="s">
        <v>25</v>
      </c>
      <c r="E135" t="s">
        <v>14</v>
      </c>
      <c r="F135" t="s">
        <v>15</v>
      </c>
      <c r="G135" s="17">
        <v>8</v>
      </c>
      <c r="H135">
        <f t="shared" si="1"/>
        <v>118</v>
      </c>
      <c r="I135">
        <v>126</v>
      </c>
      <c r="J135" s="6">
        <f>+Tabla3[[#This Row],[OCUPADO]]/Tabla3[[#This Row],[CAPACIDAD]]</f>
        <v>0.93650793650793651</v>
      </c>
      <c r="K135" t="s">
        <v>61</v>
      </c>
      <c r="L135">
        <f>+Tabla3[[#This Row],[VACIO]]*29.38</f>
        <v>235.04</v>
      </c>
    </row>
    <row r="136" spans="2:12" x14ac:dyDescent="0.3">
      <c r="B136" s="12" t="s">
        <v>81</v>
      </c>
      <c r="C136" t="s">
        <v>57</v>
      </c>
      <c r="D136" t="s">
        <v>25</v>
      </c>
      <c r="E136" t="s">
        <v>14</v>
      </c>
      <c r="F136" t="s">
        <v>17</v>
      </c>
      <c r="G136" s="17">
        <v>12</v>
      </c>
      <c r="H136">
        <f t="shared" si="1"/>
        <v>14</v>
      </c>
      <c r="I136">
        <v>26</v>
      </c>
      <c r="J136" s="6">
        <f>+Tabla3[[#This Row],[OCUPADO]]/Tabla3[[#This Row],[CAPACIDAD]]</f>
        <v>0.53846153846153844</v>
      </c>
      <c r="K136" t="s">
        <v>61</v>
      </c>
      <c r="L136">
        <f>+Tabla3[[#This Row],[VACIO]]*29.38</f>
        <v>352.56</v>
      </c>
    </row>
    <row r="137" spans="2:12" x14ac:dyDescent="0.3">
      <c r="B137" s="11" t="s">
        <v>81</v>
      </c>
      <c r="C137" t="s">
        <v>57</v>
      </c>
      <c r="D137" t="s">
        <v>25</v>
      </c>
      <c r="E137" t="s">
        <v>18</v>
      </c>
      <c r="F137" t="s">
        <v>15</v>
      </c>
      <c r="G137" s="17">
        <v>3</v>
      </c>
      <c r="H137">
        <f t="shared" si="1"/>
        <v>112</v>
      </c>
      <c r="I137">
        <v>115</v>
      </c>
      <c r="J137" s="6">
        <f>+Tabla3[[#This Row],[OCUPADO]]/Tabla3[[#This Row],[CAPACIDAD]]</f>
        <v>0.97391304347826091</v>
      </c>
      <c r="K137" t="s">
        <v>61</v>
      </c>
      <c r="L137">
        <f>+Tabla3[[#This Row],[VACIO]]*29.38</f>
        <v>88.14</v>
      </c>
    </row>
    <row r="138" spans="2:12" x14ac:dyDescent="0.3">
      <c r="B138" s="12" t="s">
        <v>81</v>
      </c>
      <c r="C138" t="s">
        <v>57</v>
      </c>
      <c r="D138" t="s">
        <v>25</v>
      </c>
      <c r="E138" t="s">
        <v>18</v>
      </c>
      <c r="F138" t="s">
        <v>17</v>
      </c>
      <c r="G138" s="17">
        <v>18</v>
      </c>
      <c r="H138">
        <f t="shared" si="1"/>
        <v>10</v>
      </c>
      <c r="I138">
        <v>28</v>
      </c>
      <c r="J138" s="6">
        <f>+Tabla3[[#This Row],[OCUPADO]]/Tabla3[[#This Row],[CAPACIDAD]]</f>
        <v>0.35714285714285715</v>
      </c>
      <c r="K138" t="s">
        <v>61</v>
      </c>
      <c r="L138">
        <f>+Tabla3[[#This Row],[VACIO]]*29.38</f>
        <v>528.84</v>
      </c>
    </row>
    <row r="139" spans="2:12" x14ac:dyDescent="0.3">
      <c r="B139" s="11" t="s">
        <v>81</v>
      </c>
      <c r="C139" t="s">
        <v>57</v>
      </c>
      <c r="D139" t="s">
        <v>26</v>
      </c>
      <c r="E139" t="s">
        <v>14</v>
      </c>
      <c r="F139" t="s">
        <v>15</v>
      </c>
      <c r="G139" s="17">
        <v>5</v>
      </c>
      <c r="H139">
        <f t="shared" si="1"/>
        <v>107</v>
      </c>
      <c r="I139">
        <v>112</v>
      </c>
      <c r="J139" s="6">
        <f>+Tabla3[[#This Row],[OCUPADO]]/Tabla3[[#This Row],[CAPACIDAD]]</f>
        <v>0.9553571428571429</v>
      </c>
      <c r="K139" t="s">
        <v>61</v>
      </c>
      <c r="L139">
        <f>+Tabla3[[#This Row],[VACIO]]*29.38</f>
        <v>146.9</v>
      </c>
    </row>
    <row r="140" spans="2:12" x14ac:dyDescent="0.3">
      <c r="B140" s="12" t="s">
        <v>81</v>
      </c>
      <c r="C140" t="s">
        <v>57</v>
      </c>
      <c r="D140" t="s">
        <v>26</v>
      </c>
      <c r="E140" t="s">
        <v>14</v>
      </c>
      <c r="F140" t="s">
        <v>17</v>
      </c>
      <c r="G140" s="17">
        <v>13</v>
      </c>
      <c r="H140">
        <f t="shared" si="1"/>
        <v>15</v>
      </c>
      <c r="I140">
        <v>28</v>
      </c>
      <c r="J140" s="6">
        <f>+Tabla3[[#This Row],[OCUPADO]]/Tabla3[[#This Row],[CAPACIDAD]]</f>
        <v>0.5357142857142857</v>
      </c>
      <c r="K140" t="s">
        <v>61</v>
      </c>
      <c r="L140">
        <f>+Tabla3[[#This Row],[VACIO]]*29.38</f>
        <v>381.94</v>
      </c>
    </row>
    <row r="141" spans="2:12" x14ac:dyDescent="0.3">
      <c r="B141" s="11" t="s">
        <v>81</v>
      </c>
      <c r="C141" t="s">
        <v>57</v>
      </c>
      <c r="D141" t="s">
        <v>26</v>
      </c>
      <c r="E141" t="s">
        <v>18</v>
      </c>
      <c r="F141" t="s">
        <v>15</v>
      </c>
      <c r="G141" s="17">
        <v>6</v>
      </c>
      <c r="H141">
        <f t="shared" ref="H141:H204" si="3">+I141-G141</f>
        <v>185</v>
      </c>
      <c r="I141">
        <v>191</v>
      </c>
      <c r="J141" s="6">
        <f>+Tabla3[[#This Row],[OCUPADO]]/Tabla3[[#This Row],[CAPACIDAD]]</f>
        <v>0.96858638743455494</v>
      </c>
      <c r="K141" t="s">
        <v>61</v>
      </c>
      <c r="L141">
        <f>+Tabla3[[#This Row],[VACIO]]*29.38</f>
        <v>176.28</v>
      </c>
    </row>
    <row r="142" spans="2:12" x14ac:dyDescent="0.3">
      <c r="B142" s="12" t="s">
        <v>81</v>
      </c>
      <c r="C142" t="s">
        <v>57</v>
      </c>
      <c r="D142" t="s">
        <v>26</v>
      </c>
      <c r="E142" t="s">
        <v>18</v>
      </c>
      <c r="F142" t="s">
        <v>17</v>
      </c>
      <c r="G142" s="17">
        <v>5</v>
      </c>
      <c r="H142">
        <f t="shared" si="3"/>
        <v>27</v>
      </c>
      <c r="I142">
        <v>32</v>
      </c>
      <c r="J142" s="6">
        <f>+Tabla3[[#This Row],[OCUPADO]]/Tabla3[[#This Row],[CAPACIDAD]]</f>
        <v>0.84375</v>
      </c>
      <c r="K142" t="s">
        <v>61</v>
      </c>
      <c r="L142">
        <f>+Tabla3[[#This Row],[VACIO]]*29.38</f>
        <v>146.9</v>
      </c>
    </row>
    <row r="143" spans="2:12" x14ac:dyDescent="0.3">
      <c r="B143" s="11" t="s">
        <v>81</v>
      </c>
      <c r="C143" t="s">
        <v>57</v>
      </c>
      <c r="D143" t="s">
        <v>27</v>
      </c>
      <c r="E143" t="s">
        <v>14</v>
      </c>
      <c r="F143" t="s">
        <v>15</v>
      </c>
      <c r="G143" s="17">
        <v>19</v>
      </c>
      <c r="H143">
        <f t="shared" si="3"/>
        <v>98</v>
      </c>
      <c r="I143">
        <v>117</v>
      </c>
      <c r="J143" s="6">
        <f>+Tabla3[[#This Row],[OCUPADO]]/Tabla3[[#This Row],[CAPACIDAD]]</f>
        <v>0.83760683760683763</v>
      </c>
      <c r="K143" t="s">
        <v>62</v>
      </c>
      <c r="L143">
        <f>+Tabla3[[#This Row],[VACIO]]*29.38</f>
        <v>558.22</v>
      </c>
    </row>
    <row r="144" spans="2:12" x14ac:dyDescent="0.3">
      <c r="B144" s="12" t="s">
        <v>81</v>
      </c>
      <c r="C144" t="s">
        <v>57</v>
      </c>
      <c r="D144" t="s">
        <v>27</v>
      </c>
      <c r="E144" t="s">
        <v>14</v>
      </c>
      <c r="F144" t="s">
        <v>17</v>
      </c>
      <c r="G144" s="17">
        <v>8</v>
      </c>
      <c r="H144">
        <f t="shared" si="3"/>
        <v>20</v>
      </c>
      <c r="I144">
        <v>28</v>
      </c>
      <c r="J144" s="6">
        <f>+Tabla3[[#This Row],[OCUPADO]]/Tabla3[[#This Row],[CAPACIDAD]]</f>
        <v>0.7142857142857143</v>
      </c>
      <c r="K144" t="s">
        <v>62</v>
      </c>
      <c r="L144">
        <f>+Tabla3[[#This Row],[VACIO]]*29.38</f>
        <v>235.04</v>
      </c>
    </row>
    <row r="145" spans="2:12" x14ac:dyDescent="0.3">
      <c r="B145" s="11" t="s">
        <v>81</v>
      </c>
      <c r="C145" t="s">
        <v>57</v>
      </c>
      <c r="D145" t="s">
        <v>27</v>
      </c>
      <c r="E145" t="s">
        <v>18</v>
      </c>
      <c r="F145" t="s">
        <v>15</v>
      </c>
      <c r="G145" s="17">
        <v>22</v>
      </c>
      <c r="H145">
        <f t="shared" si="3"/>
        <v>88</v>
      </c>
      <c r="I145">
        <v>110</v>
      </c>
      <c r="J145" s="6">
        <f>+Tabla3[[#This Row],[OCUPADO]]/Tabla3[[#This Row],[CAPACIDAD]]</f>
        <v>0.8</v>
      </c>
      <c r="K145" t="s">
        <v>62</v>
      </c>
      <c r="L145">
        <f>+Tabla3[[#This Row],[VACIO]]*29.38</f>
        <v>646.36</v>
      </c>
    </row>
    <row r="146" spans="2:12" x14ac:dyDescent="0.3">
      <c r="B146" s="12" t="s">
        <v>81</v>
      </c>
      <c r="C146" t="s">
        <v>57</v>
      </c>
      <c r="D146" t="s">
        <v>27</v>
      </c>
      <c r="E146" t="s">
        <v>18</v>
      </c>
      <c r="F146" t="s">
        <v>43</v>
      </c>
      <c r="G146" s="17">
        <v>22</v>
      </c>
      <c r="H146">
        <f t="shared" si="3"/>
        <v>7</v>
      </c>
      <c r="I146">
        <v>29</v>
      </c>
      <c r="J146" s="6">
        <f>+Tabla3[[#This Row],[OCUPADO]]/Tabla3[[#This Row],[CAPACIDAD]]</f>
        <v>0.2413793103448276</v>
      </c>
      <c r="K146" t="s">
        <v>62</v>
      </c>
      <c r="L146">
        <f>+Tabla3[[#This Row],[VACIO]]*29.38</f>
        <v>646.36</v>
      </c>
    </row>
    <row r="147" spans="2:12" x14ac:dyDescent="0.3">
      <c r="B147" s="11" t="s">
        <v>81</v>
      </c>
      <c r="C147" t="s">
        <v>57</v>
      </c>
      <c r="D147" t="s">
        <v>29</v>
      </c>
      <c r="E147" t="s">
        <v>14</v>
      </c>
      <c r="F147" t="s">
        <v>15</v>
      </c>
      <c r="G147" s="17">
        <v>25</v>
      </c>
      <c r="H147">
        <f t="shared" si="3"/>
        <v>82</v>
      </c>
      <c r="I147">
        <v>107</v>
      </c>
      <c r="J147" s="6">
        <f>+Tabla3[[#This Row],[OCUPADO]]/Tabla3[[#This Row],[CAPACIDAD]]</f>
        <v>0.76635514018691586</v>
      </c>
      <c r="K147" t="s">
        <v>63</v>
      </c>
      <c r="L147">
        <f>+Tabla3[[#This Row],[VACIO]]*29.38</f>
        <v>734.5</v>
      </c>
    </row>
    <row r="148" spans="2:12" x14ac:dyDescent="0.3">
      <c r="B148" s="12" t="s">
        <v>81</v>
      </c>
      <c r="C148" t="s">
        <v>57</v>
      </c>
      <c r="D148" t="s">
        <v>29</v>
      </c>
      <c r="E148" t="s">
        <v>14</v>
      </c>
      <c r="F148" t="s">
        <v>43</v>
      </c>
      <c r="G148" s="17">
        <v>4</v>
      </c>
      <c r="H148">
        <f t="shared" si="3"/>
        <v>25</v>
      </c>
      <c r="I148">
        <v>29</v>
      </c>
      <c r="J148" s="6">
        <f>+Tabla3[[#This Row],[OCUPADO]]/Tabla3[[#This Row],[CAPACIDAD]]</f>
        <v>0.86206896551724133</v>
      </c>
      <c r="K148" t="s">
        <v>63</v>
      </c>
      <c r="L148">
        <f>+Tabla3[[#This Row],[VACIO]]*29.38</f>
        <v>117.52</v>
      </c>
    </row>
    <row r="149" spans="2:12" x14ac:dyDescent="0.3">
      <c r="B149" s="11" t="s">
        <v>81</v>
      </c>
      <c r="C149" t="s">
        <v>57</v>
      </c>
      <c r="D149" t="s">
        <v>29</v>
      </c>
      <c r="E149" t="s">
        <v>18</v>
      </c>
      <c r="F149" t="s">
        <v>15</v>
      </c>
      <c r="G149" s="17">
        <v>8</v>
      </c>
      <c r="H149">
        <f t="shared" si="3"/>
        <v>108</v>
      </c>
      <c r="I149">
        <v>116</v>
      </c>
      <c r="J149" s="6">
        <f>+Tabla3[[#This Row],[OCUPADO]]/Tabla3[[#This Row],[CAPACIDAD]]</f>
        <v>0.93103448275862066</v>
      </c>
      <c r="K149" t="s">
        <v>63</v>
      </c>
      <c r="L149">
        <f>+Tabla3[[#This Row],[VACIO]]*29.38</f>
        <v>235.04</v>
      </c>
    </row>
    <row r="150" spans="2:12" x14ac:dyDescent="0.3">
      <c r="B150" s="12" t="s">
        <v>81</v>
      </c>
      <c r="C150" t="s">
        <v>57</v>
      </c>
      <c r="D150" t="s">
        <v>29</v>
      </c>
      <c r="E150" t="s">
        <v>18</v>
      </c>
      <c r="F150" t="s">
        <v>43</v>
      </c>
      <c r="G150" s="17">
        <v>4</v>
      </c>
      <c r="H150">
        <f t="shared" si="3"/>
        <v>25</v>
      </c>
      <c r="I150">
        <v>29</v>
      </c>
      <c r="J150" s="6">
        <f>+Tabla3[[#This Row],[OCUPADO]]/Tabla3[[#This Row],[CAPACIDAD]]</f>
        <v>0.86206896551724133</v>
      </c>
      <c r="K150" t="s">
        <v>63</v>
      </c>
      <c r="L150">
        <f>+Tabla3[[#This Row],[VACIO]]*29.38</f>
        <v>117.52</v>
      </c>
    </row>
    <row r="151" spans="2:12" x14ac:dyDescent="0.3">
      <c r="B151" s="11" t="s">
        <v>81</v>
      </c>
      <c r="C151" t="s">
        <v>57</v>
      </c>
      <c r="D151" t="s">
        <v>30</v>
      </c>
      <c r="E151" t="s">
        <v>14</v>
      </c>
      <c r="F151" t="s">
        <v>15</v>
      </c>
      <c r="G151" s="17">
        <v>13</v>
      </c>
      <c r="H151">
        <f t="shared" si="3"/>
        <v>94</v>
      </c>
      <c r="I151">
        <v>107</v>
      </c>
      <c r="J151" s="6">
        <f>+Tabla3[[#This Row],[OCUPADO]]/Tabla3[[#This Row],[CAPACIDAD]]</f>
        <v>0.87850467289719625</v>
      </c>
      <c r="K151" t="s">
        <v>64</v>
      </c>
      <c r="L151">
        <f>+Tabla3[[#This Row],[VACIO]]*29.38</f>
        <v>381.94</v>
      </c>
    </row>
    <row r="152" spans="2:12" x14ac:dyDescent="0.3">
      <c r="B152" s="12" t="s">
        <v>81</v>
      </c>
      <c r="C152" t="s">
        <v>57</v>
      </c>
      <c r="D152" t="s">
        <v>30</v>
      </c>
      <c r="E152" t="s">
        <v>14</v>
      </c>
      <c r="F152" t="s">
        <v>43</v>
      </c>
      <c r="G152" s="17">
        <v>1</v>
      </c>
      <c r="H152">
        <f t="shared" si="3"/>
        <v>28</v>
      </c>
      <c r="I152">
        <v>29</v>
      </c>
      <c r="J152" s="6">
        <f>+Tabla3[[#This Row],[OCUPADO]]/Tabla3[[#This Row],[CAPACIDAD]]</f>
        <v>0.96551724137931039</v>
      </c>
      <c r="K152" t="s">
        <v>64</v>
      </c>
      <c r="L152">
        <f>+Tabla3[[#This Row],[VACIO]]*29.38</f>
        <v>29.38</v>
      </c>
    </row>
    <row r="153" spans="2:12" x14ac:dyDescent="0.3">
      <c r="B153" s="11" t="s">
        <v>81</v>
      </c>
      <c r="C153" t="s">
        <v>57</v>
      </c>
      <c r="D153" t="s">
        <v>30</v>
      </c>
      <c r="E153" t="s">
        <v>18</v>
      </c>
      <c r="F153" t="s">
        <v>15</v>
      </c>
      <c r="G153" s="17">
        <v>27</v>
      </c>
      <c r="H153">
        <f t="shared" si="3"/>
        <v>83</v>
      </c>
      <c r="I153">
        <v>110</v>
      </c>
      <c r="J153" s="6">
        <f>+Tabla3[[#This Row],[OCUPADO]]/Tabla3[[#This Row],[CAPACIDAD]]</f>
        <v>0.75454545454545452</v>
      </c>
      <c r="K153" t="s">
        <v>64</v>
      </c>
      <c r="L153">
        <f>+Tabla3[[#This Row],[VACIO]]*29.38</f>
        <v>793.26</v>
      </c>
    </row>
    <row r="154" spans="2:12" x14ac:dyDescent="0.3">
      <c r="B154" s="12" t="s">
        <v>81</v>
      </c>
      <c r="C154" t="s">
        <v>57</v>
      </c>
      <c r="D154" t="s">
        <v>30</v>
      </c>
      <c r="E154" t="s">
        <v>18</v>
      </c>
      <c r="F154" t="s">
        <v>43</v>
      </c>
      <c r="G154" s="17">
        <v>8</v>
      </c>
      <c r="H154">
        <f t="shared" si="3"/>
        <v>21</v>
      </c>
      <c r="I154">
        <v>29</v>
      </c>
      <c r="J154" s="6">
        <f>+Tabla3[[#This Row],[OCUPADO]]/Tabla3[[#This Row],[CAPACIDAD]]</f>
        <v>0.72413793103448276</v>
      </c>
      <c r="K154" t="s">
        <v>64</v>
      </c>
      <c r="L154">
        <f>+Tabla3[[#This Row],[VACIO]]*29.38</f>
        <v>235.04</v>
      </c>
    </row>
    <row r="155" spans="2:12" x14ac:dyDescent="0.3">
      <c r="B155" s="11" t="s">
        <v>81</v>
      </c>
      <c r="C155" t="s">
        <v>57</v>
      </c>
      <c r="D155" t="s">
        <v>31</v>
      </c>
      <c r="E155" t="s">
        <v>14</v>
      </c>
      <c r="F155" t="s">
        <v>15</v>
      </c>
      <c r="G155" s="17">
        <v>110</v>
      </c>
      <c r="H155">
        <f t="shared" si="3"/>
        <v>0</v>
      </c>
      <c r="I155">
        <v>110</v>
      </c>
      <c r="J155" s="6">
        <f>+Tabla3[[#This Row],[OCUPADO]]/Tabla3[[#This Row],[CAPACIDAD]]</f>
        <v>0</v>
      </c>
      <c r="K155" t="s">
        <v>65</v>
      </c>
      <c r="L155">
        <f>+Tabla3[[#This Row],[VACIO]]*29.38</f>
        <v>3231.7999999999997</v>
      </c>
    </row>
    <row r="156" spans="2:12" x14ac:dyDescent="0.3">
      <c r="B156" s="12" t="s">
        <v>81</v>
      </c>
      <c r="C156" t="s">
        <v>57</v>
      </c>
      <c r="D156" t="s">
        <v>31</v>
      </c>
      <c r="E156" t="s">
        <v>14</v>
      </c>
      <c r="F156" t="s">
        <v>43</v>
      </c>
      <c r="G156" s="17">
        <v>29</v>
      </c>
      <c r="H156">
        <f t="shared" si="3"/>
        <v>1</v>
      </c>
      <c r="I156">
        <v>30</v>
      </c>
      <c r="J156" s="6">
        <f>+Tabla3[[#This Row],[OCUPADO]]/Tabla3[[#This Row],[CAPACIDAD]]</f>
        <v>3.3333333333333333E-2</v>
      </c>
      <c r="K156" t="s">
        <v>65</v>
      </c>
      <c r="L156">
        <f>+Tabla3[[#This Row],[VACIO]]*29.38</f>
        <v>852.02</v>
      </c>
    </row>
    <row r="157" spans="2:12" x14ac:dyDescent="0.3">
      <c r="B157" s="11" t="s">
        <v>81</v>
      </c>
      <c r="C157" t="s">
        <v>57</v>
      </c>
      <c r="D157" t="s">
        <v>31</v>
      </c>
      <c r="E157" t="s">
        <v>18</v>
      </c>
      <c r="F157" t="s">
        <v>15</v>
      </c>
      <c r="G157" s="17">
        <v>121</v>
      </c>
      <c r="H157">
        <f t="shared" si="3"/>
        <v>0</v>
      </c>
      <c r="I157">
        <v>121</v>
      </c>
      <c r="J157" s="6">
        <f>+Tabla3[[#This Row],[OCUPADO]]/Tabla3[[#This Row],[CAPACIDAD]]</f>
        <v>0</v>
      </c>
      <c r="K157" t="s">
        <v>65</v>
      </c>
      <c r="L157">
        <f>+Tabla3[[#This Row],[VACIO]]*29.38</f>
        <v>3554.98</v>
      </c>
    </row>
    <row r="158" spans="2:12" x14ac:dyDescent="0.3">
      <c r="B158" s="12" t="s">
        <v>81</v>
      </c>
      <c r="C158" t="s">
        <v>57</v>
      </c>
      <c r="D158" t="s">
        <v>31</v>
      </c>
      <c r="E158" t="s">
        <v>18</v>
      </c>
      <c r="F158" t="s">
        <v>43</v>
      </c>
      <c r="G158" s="17">
        <v>25</v>
      </c>
      <c r="H158">
        <f t="shared" si="3"/>
        <v>4</v>
      </c>
      <c r="I158">
        <v>29</v>
      </c>
      <c r="J158" s="6">
        <f>+Tabla3[[#This Row],[OCUPADO]]/Tabla3[[#This Row],[CAPACIDAD]]</f>
        <v>0.13793103448275862</v>
      </c>
      <c r="K158" t="s">
        <v>65</v>
      </c>
      <c r="L158">
        <f>+Tabla3[[#This Row],[VACIO]]*29.38</f>
        <v>734.5</v>
      </c>
    </row>
    <row r="159" spans="2:12" x14ac:dyDescent="0.3">
      <c r="B159" s="11" t="s">
        <v>81</v>
      </c>
      <c r="C159" t="s">
        <v>57</v>
      </c>
      <c r="D159" t="s">
        <v>33</v>
      </c>
      <c r="E159" t="s">
        <v>14</v>
      </c>
      <c r="F159" t="s">
        <v>15</v>
      </c>
      <c r="G159" s="17">
        <v>58</v>
      </c>
      <c r="H159">
        <f t="shared" si="3"/>
        <v>63</v>
      </c>
      <c r="I159">
        <v>121</v>
      </c>
      <c r="J159" s="6">
        <f>+Tabla3[[#This Row],[OCUPADO]]/Tabla3[[#This Row],[CAPACIDAD]]</f>
        <v>0.52066115702479343</v>
      </c>
      <c r="K159" t="s">
        <v>65</v>
      </c>
      <c r="L159">
        <f>+Tabla3[[#This Row],[VACIO]]*29.38</f>
        <v>1704.04</v>
      </c>
    </row>
    <row r="160" spans="2:12" x14ac:dyDescent="0.3">
      <c r="B160" s="12" t="s">
        <v>81</v>
      </c>
      <c r="C160" t="s">
        <v>57</v>
      </c>
      <c r="D160" t="s">
        <v>33</v>
      </c>
      <c r="E160" t="s">
        <v>14</v>
      </c>
      <c r="F160" t="s">
        <v>17</v>
      </c>
      <c r="G160" s="17">
        <v>64</v>
      </c>
      <c r="H160">
        <f t="shared" si="3"/>
        <v>132</v>
      </c>
      <c r="I160">
        <v>196</v>
      </c>
      <c r="J160" s="6">
        <f>+Tabla3[[#This Row],[OCUPADO]]/Tabla3[[#This Row],[CAPACIDAD]]</f>
        <v>0.67346938775510201</v>
      </c>
      <c r="K160" t="s">
        <v>65</v>
      </c>
      <c r="L160">
        <f>+Tabla3[[#This Row],[VACIO]]*29.38</f>
        <v>1880.32</v>
      </c>
    </row>
    <row r="161" spans="2:12" x14ac:dyDescent="0.3">
      <c r="B161" s="11" t="s">
        <v>81</v>
      </c>
      <c r="C161" t="s">
        <v>57</v>
      </c>
      <c r="D161" t="s">
        <v>33</v>
      </c>
      <c r="E161" t="s">
        <v>18</v>
      </c>
      <c r="F161" t="s">
        <v>15</v>
      </c>
      <c r="G161" s="17">
        <v>165</v>
      </c>
      <c r="H161">
        <f t="shared" si="3"/>
        <v>3</v>
      </c>
      <c r="I161">
        <v>168</v>
      </c>
      <c r="J161" s="6">
        <f>+Tabla3[[#This Row],[OCUPADO]]/Tabla3[[#This Row],[CAPACIDAD]]</f>
        <v>1.7857142857142856E-2</v>
      </c>
      <c r="K161" t="s">
        <v>65</v>
      </c>
      <c r="L161">
        <f>+Tabla3[[#This Row],[VACIO]]*29.38</f>
        <v>4847.7</v>
      </c>
    </row>
    <row r="162" spans="2:12" x14ac:dyDescent="0.3">
      <c r="B162" s="12" t="s">
        <v>81</v>
      </c>
      <c r="C162" t="s">
        <v>57</v>
      </c>
      <c r="D162" t="s">
        <v>33</v>
      </c>
      <c r="E162" t="s">
        <v>18</v>
      </c>
      <c r="F162" t="s">
        <v>17</v>
      </c>
      <c r="G162" s="17">
        <v>36</v>
      </c>
      <c r="H162">
        <f t="shared" si="3"/>
        <v>-2</v>
      </c>
      <c r="I162">
        <v>34</v>
      </c>
      <c r="J162" s="6">
        <f>+Tabla3[[#This Row],[OCUPADO]]/Tabla3[[#This Row],[CAPACIDAD]]</f>
        <v>-5.8823529411764705E-2</v>
      </c>
      <c r="K162" t="s">
        <v>65</v>
      </c>
      <c r="L162">
        <f>+Tabla3[[#This Row],[VACIO]]*29.38</f>
        <v>1057.68</v>
      </c>
    </row>
    <row r="163" spans="2:12" x14ac:dyDescent="0.3">
      <c r="B163" s="11" t="s">
        <v>81</v>
      </c>
      <c r="C163" t="s">
        <v>57</v>
      </c>
      <c r="D163" t="s">
        <v>34</v>
      </c>
      <c r="E163" t="s">
        <v>14</v>
      </c>
      <c r="F163" t="s">
        <v>15</v>
      </c>
      <c r="G163" s="17">
        <v>136</v>
      </c>
      <c r="H163">
        <f t="shared" si="3"/>
        <v>34</v>
      </c>
      <c r="I163">
        <v>170</v>
      </c>
      <c r="J163" s="6">
        <f>+Tabla3[[#This Row],[OCUPADO]]/Tabla3[[#This Row],[CAPACIDAD]]</f>
        <v>0.2</v>
      </c>
      <c r="K163" t="s">
        <v>65</v>
      </c>
      <c r="L163">
        <f>+Tabla3[[#This Row],[VACIO]]*29.38</f>
        <v>3995.68</v>
      </c>
    </row>
    <row r="164" spans="2:12" x14ac:dyDescent="0.3">
      <c r="B164" s="12" t="s">
        <v>81</v>
      </c>
      <c r="C164" t="s">
        <v>57</v>
      </c>
      <c r="D164" t="s">
        <v>34</v>
      </c>
      <c r="E164" t="s">
        <v>14</v>
      </c>
      <c r="F164" t="s">
        <v>43</v>
      </c>
      <c r="G164" s="17">
        <v>34</v>
      </c>
      <c r="H164">
        <f t="shared" si="3"/>
        <v>10</v>
      </c>
      <c r="I164">
        <v>44</v>
      </c>
      <c r="J164" s="6">
        <f>+Tabla3[[#This Row],[OCUPADO]]/Tabla3[[#This Row],[CAPACIDAD]]</f>
        <v>0.22727272727272727</v>
      </c>
      <c r="K164" t="s">
        <v>65</v>
      </c>
      <c r="L164">
        <f>+Tabla3[[#This Row],[VACIO]]*29.38</f>
        <v>998.92</v>
      </c>
    </row>
    <row r="165" spans="2:12" x14ac:dyDescent="0.3">
      <c r="B165" s="11" t="s">
        <v>81</v>
      </c>
      <c r="C165" t="s">
        <v>57</v>
      </c>
      <c r="D165" t="s">
        <v>34</v>
      </c>
      <c r="E165" t="s">
        <v>18</v>
      </c>
      <c r="F165" t="s">
        <v>15</v>
      </c>
      <c r="G165" s="17">
        <v>138</v>
      </c>
      <c r="H165">
        <f t="shared" si="3"/>
        <v>29</v>
      </c>
      <c r="I165">
        <v>167</v>
      </c>
      <c r="J165" s="6">
        <f>+Tabla3[[#This Row],[OCUPADO]]/Tabla3[[#This Row],[CAPACIDAD]]</f>
        <v>0.17365269461077845</v>
      </c>
      <c r="K165" t="s">
        <v>65</v>
      </c>
      <c r="L165">
        <f>+Tabla3[[#This Row],[VACIO]]*29.38</f>
        <v>4054.44</v>
      </c>
    </row>
    <row r="166" spans="2:12" x14ac:dyDescent="0.3">
      <c r="B166" s="12" t="s">
        <v>81</v>
      </c>
      <c r="C166" t="s">
        <v>57</v>
      </c>
      <c r="D166" t="s">
        <v>34</v>
      </c>
      <c r="E166" t="s">
        <v>18</v>
      </c>
      <c r="F166" t="s">
        <v>43</v>
      </c>
      <c r="G166" s="17">
        <v>33</v>
      </c>
      <c r="H166">
        <f t="shared" si="3"/>
        <v>11</v>
      </c>
      <c r="I166">
        <v>44</v>
      </c>
      <c r="J166" s="6">
        <f>+Tabla3[[#This Row],[OCUPADO]]/Tabla3[[#This Row],[CAPACIDAD]]</f>
        <v>0.25</v>
      </c>
      <c r="K166" t="s">
        <v>65</v>
      </c>
      <c r="L166">
        <f>+Tabla3[[#This Row],[VACIO]]*29.38</f>
        <v>969.54</v>
      </c>
    </row>
    <row r="167" spans="2:12" x14ac:dyDescent="0.3">
      <c r="B167" s="11" t="s">
        <v>81</v>
      </c>
      <c r="C167" t="s">
        <v>57</v>
      </c>
      <c r="D167" t="s">
        <v>35</v>
      </c>
      <c r="E167" t="s">
        <v>14</v>
      </c>
      <c r="F167" t="s">
        <v>15</v>
      </c>
      <c r="G167" s="17">
        <v>21</v>
      </c>
      <c r="H167">
        <f t="shared" si="3"/>
        <v>70</v>
      </c>
      <c r="I167">
        <v>91</v>
      </c>
      <c r="J167" s="6">
        <f>+Tabla3[[#This Row],[OCUPADO]]/Tabla3[[#This Row],[CAPACIDAD]]</f>
        <v>0.76923076923076927</v>
      </c>
      <c r="K167" t="s">
        <v>65</v>
      </c>
      <c r="L167">
        <f>+Tabla3[[#This Row],[VACIO]]*29.38</f>
        <v>616.98</v>
      </c>
    </row>
    <row r="168" spans="2:12" x14ac:dyDescent="0.3">
      <c r="B168" s="12" t="s">
        <v>81</v>
      </c>
      <c r="C168" t="s">
        <v>57</v>
      </c>
      <c r="D168" t="s">
        <v>35</v>
      </c>
      <c r="E168" t="s">
        <v>14</v>
      </c>
      <c r="F168" t="s">
        <v>17</v>
      </c>
      <c r="G168" s="17">
        <v>148</v>
      </c>
      <c r="H168">
        <f t="shared" si="3"/>
        <v>4</v>
      </c>
      <c r="I168">
        <v>152</v>
      </c>
      <c r="J168" s="6">
        <f>+Tabla3[[#This Row],[OCUPADO]]/Tabla3[[#This Row],[CAPACIDAD]]</f>
        <v>2.6315789473684209E-2</v>
      </c>
      <c r="K168" t="s">
        <v>65</v>
      </c>
      <c r="L168">
        <f>+Tabla3[[#This Row],[VACIO]]*29.38</f>
        <v>4348.24</v>
      </c>
    </row>
    <row r="169" spans="2:12" x14ac:dyDescent="0.3">
      <c r="B169" s="11" t="s">
        <v>81</v>
      </c>
      <c r="C169" t="s">
        <v>57</v>
      </c>
      <c r="D169" t="s">
        <v>35</v>
      </c>
      <c r="E169" t="s">
        <v>18</v>
      </c>
      <c r="F169" t="s">
        <v>15</v>
      </c>
      <c r="G169" s="17">
        <v>86</v>
      </c>
      <c r="H169">
        <f t="shared" si="3"/>
        <v>70</v>
      </c>
      <c r="I169">
        <v>156</v>
      </c>
      <c r="J169" s="6">
        <f>+Tabla3[[#This Row],[OCUPADO]]/Tabla3[[#This Row],[CAPACIDAD]]</f>
        <v>0.44871794871794873</v>
      </c>
      <c r="K169" t="s">
        <v>65</v>
      </c>
      <c r="L169">
        <f>+Tabla3[[#This Row],[VACIO]]*29.38</f>
        <v>2526.6799999999998</v>
      </c>
    </row>
    <row r="170" spans="2:12" x14ac:dyDescent="0.3">
      <c r="B170" s="12" t="s">
        <v>81</v>
      </c>
      <c r="C170" t="s">
        <v>57</v>
      </c>
      <c r="D170" t="s">
        <v>35</v>
      </c>
      <c r="E170" t="s">
        <v>18</v>
      </c>
      <c r="F170" t="s">
        <v>17</v>
      </c>
      <c r="G170" s="17">
        <v>38</v>
      </c>
      <c r="H170">
        <f t="shared" si="3"/>
        <v>4</v>
      </c>
      <c r="I170">
        <v>42</v>
      </c>
      <c r="J170" s="6">
        <f>+Tabla3[[#This Row],[OCUPADO]]/Tabla3[[#This Row],[CAPACIDAD]]</f>
        <v>9.5238095238095233E-2</v>
      </c>
      <c r="K170" t="s">
        <v>65</v>
      </c>
      <c r="L170">
        <f>+Tabla3[[#This Row],[VACIO]]*29.38</f>
        <v>1116.44</v>
      </c>
    </row>
    <row r="171" spans="2:12" x14ac:dyDescent="0.3">
      <c r="B171" s="11" t="s">
        <v>81</v>
      </c>
      <c r="C171" t="s">
        <v>57</v>
      </c>
      <c r="D171" t="s">
        <v>36</v>
      </c>
      <c r="E171" t="s">
        <v>14</v>
      </c>
      <c r="F171" t="s">
        <v>15</v>
      </c>
      <c r="G171">
        <v>0</v>
      </c>
      <c r="H171">
        <f t="shared" si="3"/>
        <v>176</v>
      </c>
      <c r="I171">
        <v>176</v>
      </c>
      <c r="J171" s="6">
        <f>+Tabla3[[#This Row],[OCUPADO]]/Tabla3[[#This Row],[CAPACIDAD]]</f>
        <v>1</v>
      </c>
      <c r="K171" t="s">
        <v>65</v>
      </c>
      <c r="L171">
        <f>+Tabla3[[#This Row],[VACIO]]*29.38</f>
        <v>0</v>
      </c>
    </row>
    <row r="172" spans="2:12" x14ac:dyDescent="0.3">
      <c r="B172" s="12" t="s">
        <v>81</v>
      </c>
      <c r="C172" t="s">
        <v>57</v>
      </c>
      <c r="D172" t="s">
        <v>36</v>
      </c>
      <c r="E172" t="s">
        <v>18</v>
      </c>
      <c r="F172" t="s">
        <v>15</v>
      </c>
      <c r="G172">
        <v>0</v>
      </c>
      <c r="H172">
        <f t="shared" si="3"/>
        <v>183</v>
      </c>
      <c r="I172">
        <v>183</v>
      </c>
      <c r="J172" s="6">
        <f>+Tabla3[[#This Row],[OCUPADO]]/Tabla3[[#This Row],[CAPACIDAD]]</f>
        <v>1</v>
      </c>
      <c r="K172" t="s">
        <v>65</v>
      </c>
      <c r="L172">
        <f>+Tabla3[[#This Row],[VACIO]]*29.38</f>
        <v>0</v>
      </c>
    </row>
    <row r="173" spans="2:12" x14ac:dyDescent="0.3">
      <c r="B173" s="11" t="s">
        <v>81</v>
      </c>
      <c r="C173" t="s">
        <v>57</v>
      </c>
      <c r="D173" t="s">
        <v>36</v>
      </c>
      <c r="E173" t="s">
        <v>18</v>
      </c>
      <c r="F173" t="s">
        <v>17</v>
      </c>
      <c r="G173">
        <v>0</v>
      </c>
      <c r="H173">
        <f t="shared" si="3"/>
        <v>38</v>
      </c>
      <c r="I173">
        <v>38</v>
      </c>
      <c r="J173" s="6">
        <f>+Tabla3[[#This Row],[OCUPADO]]/Tabla3[[#This Row],[CAPACIDAD]]</f>
        <v>1</v>
      </c>
      <c r="K173" t="s">
        <v>65</v>
      </c>
      <c r="L173">
        <f>+Tabla3[[#This Row],[VACIO]]*29.38</f>
        <v>0</v>
      </c>
    </row>
    <row r="174" spans="2:12" x14ac:dyDescent="0.3">
      <c r="B174" s="12" t="s">
        <v>68</v>
      </c>
      <c r="C174" t="s">
        <v>66</v>
      </c>
      <c r="D174" t="s">
        <v>13</v>
      </c>
      <c r="E174" t="s">
        <v>14</v>
      </c>
      <c r="F174" t="s">
        <v>15</v>
      </c>
      <c r="G174">
        <v>27</v>
      </c>
      <c r="H174">
        <f t="shared" si="3"/>
        <v>51</v>
      </c>
      <c r="I174">
        <v>78</v>
      </c>
      <c r="J174" s="6">
        <f>+Tabla3[[#This Row],[OCUPADO]]/Tabla3[[#This Row],[CAPACIDAD]]</f>
        <v>0.65384615384615385</v>
      </c>
      <c r="K174" t="s">
        <v>67</v>
      </c>
      <c r="L174">
        <f>+Tabla3[[#This Row],[VACIO]]*29.38</f>
        <v>793.26</v>
      </c>
    </row>
    <row r="175" spans="2:12" x14ac:dyDescent="0.3">
      <c r="B175" s="11" t="s">
        <v>68</v>
      </c>
      <c r="C175" t="s">
        <v>66</v>
      </c>
      <c r="D175" t="s">
        <v>13</v>
      </c>
      <c r="E175" t="s">
        <v>14</v>
      </c>
      <c r="F175" t="s">
        <v>17</v>
      </c>
      <c r="G175">
        <v>13</v>
      </c>
      <c r="H175">
        <f t="shared" si="3"/>
        <v>57</v>
      </c>
      <c r="I175">
        <v>70</v>
      </c>
      <c r="J175" s="6">
        <f>+Tabla3[[#This Row],[OCUPADO]]/Tabla3[[#This Row],[CAPACIDAD]]</f>
        <v>0.81428571428571428</v>
      </c>
      <c r="K175" t="s">
        <v>68</v>
      </c>
      <c r="L175">
        <f>+Tabla3[[#This Row],[VACIO]]*29.38</f>
        <v>381.94</v>
      </c>
    </row>
    <row r="176" spans="2:12" x14ac:dyDescent="0.3">
      <c r="B176" s="12" t="s">
        <v>68</v>
      </c>
      <c r="C176" t="s">
        <v>66</v>
      </c>
      <c r="D176" t="s">
        <v>13</v>
      </c>
      <c r="E176" t="s">
        <v>18</v>
      </c>
      <c r="F176" t="s">
        <v>15</v>
      </c>
      <c r="G176">
        <v>28</v>
      </c>
      <c r="H176">
        <f t="shared" si="3"/>
        <v>112</v>
      </c>
      <c r="I176">
        <v>140</v>
      </c>
      <c r="J176" s="6">
        <f>+Tabla3[[#This Row],[OCUPADO]]/Tabla3[[#This Row],[CAPACIDAD]]</f>
        <v>0.8</v>
      </c>
      <c r="K176" t="s">
        <v>68</v>
      </c>
      <c r="L176">
        <f>+Tabla3[[#This Row],[VACIO]]*29.38</f>
        <v>822.64</v>
      </c>
    </row>
    <row r="177" spans="2:12" x14ac:dyDescent="0.3">
      <c r="B177" s="11" t="s">
        <v>68</v>
      </c>
      <c r="C177" t="s">
        <v>66</v>
      </c>
      <c r="D177" t="s">
        <v>13</v>
      </c>
      <c r="E177" t="s">
        <v>18</v>
      </c>
      <c r="F177" t="s">
        <v>15</v>
      </c>
      <c r="G177">
        <v>27</v>
      </c>
      <c r="H177">
        <f t="shared" si="3"/>
        <v>9</v>
      </c>
      <c r="I177">
        <v>36</v>
      </c>
      <c r="J177" s="6">
        <f>+Tabla3[[#This Row],[OCUPADO]]/Tabla3[[#This Row],[CAPACIDAD]]</f>
        <v>0.25</v>
      </c>
      <c r="K177" t="s">
        <v>67</v>
      </c>
      <c r="L177">
        <f>+Tabla3[[#This Row],[VACIO]]*29.38</f>
        <v>793.26</v>
      </c>
    </row>
    <row r="178" spans="2:12" x14ac:dyDescent="0.3">
      <c r="B178" s="12" t="s">
        <v>68</v>
      </c>
      <c r="C178" t="s">
        <v>66</v>
      </c>
      <c r="D178" t="s">
        <v>19</v>
      </c>
      <c r="E178" t="s">
        <v>14</v>
      </c>
      <c r="F178" t="s">
        <v>15</v>
      </c>
      <c r="G178">
        <v>7</v>
      </c>
      <c r="H178">
        <f t="shared" si="3"/>
        <v>65</v>
      </c>
      <c r="I178">
        <v>72</v>
      </c>
      <c r="J178" s="6">
        <f>+Tabla3[[#This Row],[OCUPADO]]/Tabla3[[#This Row],[CAPACIDAD]]</f>
        <v>0.90277777777777779</v>
      </c>
      <c r="K178" t="s">
        <v>68</v>
      </c>
      <c r="L178">
        <f>+Tabla3[[#This Row],[VACIO]]*29.38</f>
        <v>205.66</v>
      </c>
    </row>
    <row r="179" spans="2:12" x14ac:dyDescent="0.3">
      <c r="B179" s="11" t="s">
        <v>68</v>
      </c>
      <c r="C179" t="s">
        <v>66</v>
      </c>
      <c r="D179" t="s">
        <v>19</v>
      </c>
      <c r="E179" t="s">
        <v>14</v>
      </c>
      <c r="F179" t="s">
        <v>17</v>
      </c>
      <c r="G179">
        <v>50</v>
      </c>
      <c r="H179">
        <f t="shared" si="3"/>
        <v>86</v>
      </c>
      <c r="I179">
        <v>136</v>
      </c>
      <c r="J179" s="6">
        <f>+Tabla3[[#This Row],[OCUPADO]]/Tabla3[[#This Row],[CAPACIDAD]]</f>
        <v>0.63235294117647056</v>
      </c>
      <c r="K179" t="s">
        <v>68</v>
      </c>
      <c r="L179">
        <f>+Tabla3[[#This Row],[VACIO]]*29.38</f>
        <v>1469</v>
      </c>
    </row>
    <row r="180" spans="2:12" x14ac:dyDescent="0.3">
      <c r="B180" s="12" t="s">
        <v>68</v>
      </c>
      <c r="C180" t="s">
        <v>66</v>
      </c>
      <c r="D180" t="s">
        <v>19</v>
      </c>
      <c r="E180" t="s">
        <v>14</v>
      </c>
      <c r="F180" t="s">
        <v>15</v>
      </c>
      <c r="G180">
        <v>36</v>
      </c>
      <c r="H180">
        <f t="shared" si="3"/>
        <v>0</v>
      </c>
      <c r="I180">
        <v>36</v>
      </c>
      <c r="J180" s="6">
        <f>+Tabla3[[#This Row],[OCUPADO]]/Tabla3[[#This Row],[CAPACIDAD]]</f>
        <v>0</v>
      </c>
      <c r="K180" t="s">
        <v>67</v>
      </c>
      <c r="L180">
        <f>+Tabla3[[#This Row],[VACIO]]*29.38</f>
        <v>1057.68</v>
      </c>
    </row>
    <row r="181" spans="2:12" x14ac:dyDescent="0.3">
      <c r="B181" s="11" t="s">
        <v>68</v>
      </c>
      <c r="C181" t="s">
        <v>66</v>
      </c>
      <c r="D181" t="s">
        <v>19</v>
      </c>
      <c r="E181" t="s">
        <v>18</v>
      </c>
      <c r="F181" t="s">
        <v>15</v>
      </c>
      <c r="G181">
        <v>8</v>
      </c>
      <c r="H181">
        <f t="shared" si="3"/>
        <v>64</v>
      </c>
      <c r="I181">
        <v>72</v>
      </c>
      <c r="J181" s="6">
        <f>+Tabla3[[#This Row],[OCUPADO]]/Tabla3[[#This Row],[CAPACIDAD]]</f>
        <v>0.88888888888888884</v>
      </c>
      <c r="K181" t="s">
        <v>68</v>
      </c>
      <c r="L181">
        <f>+Tabla3[[#This Row],[VACIO]]*29.38</f>
        <v>235.04</v>
      </c>
    </row>
    <row r="182" spans="2:12" x14ac:dyDescent="0.3">
      <c r="B182" s="12" t="s">
        <v>68</v>
      </c>
      <c r="C182" t="s">
        <v>66</v>
      </c>
      <c r="D182" t="s">
        <v>19</v>
      </c>
      <c r="E182" t="s">
        <v>18</v>
      </c>
      <c r="F182" t="s">
        <v>17</v>
      </c>
      <c r="G182">
        <v>127</v>
      </c>
      <c r="H182">
        <f t="shared" si="3"/>
        <v>9</v>
      </c>
      <c r="I182">
        <v>136</v>
      </c>
      <c r="J182" s="6">
        <f>+Tabla3[[#This Row],[OCUPADO]]/Tabla3[[#This Row],[CAPACIDAD]]</f>
        <v>6.6176470588235295E-2</v>
      </c>
      <c r="K182" t="s">
        <v>68</v>
      </c>
      <c r="L182">
        <f>+Tabla3[[#This Row],[VACIO]]*29.38</f>
        <v>3731.2599999999998</v>
      </c>
    </row>
    <row r="183" spans="2:12" x14ac:dyDescent="0.3">
      <c r="B183" s="11" t="s">
        <v>68</v>
      </c>
      <c r="C183" t="s">
        <v>66</v>
      </c>
      <c r="D183" t="s">
        <v>19</v>
      </c>
      <c r="E183" t="s">
        <v>18</v>
      </c>
      <c r="F183" t="s">
        <v>15</v>
      </c>
      <c r="G183">
        <v>36</v>
      </c>
      <c r="H183">
        <f t="shared" si="3"/>
        <v>0</v>
      </c>
      <c r="I183">
        <v>36</v>
      </c>
      <c r="J183" s="6">
        <f>+Tabla3[[#This Row],[OCUPADO]]/Tabla3[[#This Row],[CAPACIDAD]]</f>
        <v>0</v>
      </c>
      <c r="K183" t="s">
        <v>67</v>
      </c>
      <c r="L183">
        <f>+Tabla3[[#This Row],[VACIO]]*29.38</f>
        <v>1057.68</v>
      </c>
    </row>
    <row r="184" spans="2:12" x14ac:dyDescent="0.3">
      <c r="B184" s="12" t="s">
        <v>68</v>
      </c>
      <c r="C184" t="s">
        <v>66</v>
      </c>
      <c r="D184" t="s">
        <v>20</v>
      </c>
      <c r="E184" t="s">
        <v>14</v>
      </c>
      <c r="F184" t="s">
        <v>15</v>
      </c>
      <c r="G184">
        <v>33</v>
      </c>
      <c r="H184">
        <f t="shared" si="3"/>
        <v>39</v>
      </c>
      <c r="I184">
        <v>72</v>
      </c>
      <c r="J184" s="6">
        <f>+Tabla3[[#This Row],[OCUPADO]]/Tabla3[[#This Row],[CAPACIDAD]]</f>
        <v>0.54166666666666663</v>
      </c>
      <c r="K184" t="s">
        <v>68</v>
      </c>
      <c r="L184">
        <f>+Tabla3[[#This Row],[VACIO]]*29.38</f>
        <v>969.54</v>
      </c>
    </row>
    <row r="185" spans="2:12" x14ac:dyDescent="0.3">
      <c r="B185" s="11" t="s">
        <v>68</v>
      </c>
      <c r="C185" t="s">
        <v>66</v>
      </c>
      <c r="D185" t="s">
        <v>20</v>
      </c>
      <c r="E185" t="s">
        <v>14</v>
      </c>
      <c r="F185" t="s">
        <v>17</v>
      </c>
      <c r="G185">
        <v>125</v>
      </c>
      <c r="H185">
        <f t="shared" si="3"/>
        <v>11</v>
      </c>
      <c r="I185">
        <v>136</v>
      </c>
      <c r="J185" s="6">
        <f>+Tabla3[[#This Row],[OCUPADO]]/Tabla3[[#This Row],[CAPACIDAD]]</f>
        <v>8.0882352941176475E-2</v>
      </c>
      <c r="K185" t="s">
        <v>68</v>
      </c>
      <c r="L185">
        <f>+Tabla3[[#This Row],[VACIO]]*29.38</f>
        <v>3672.5</v>
      </c>
    </row>
    <row r="186" spans="2:12" x14ac:dyDescent="0.3">
      <c r="B186" s="12" t="s">
        <v>68</v>
      </c>
      <c r="C186" t="s">
        <v>66</v>
      </c>
      <c r="D186" t="s">
        <v>20</v>
      </c>
      <c r="E186" t="s">
        <v>14</v>
      </c>
      <c r="F186" t="s">
        <v>15</v>
      </c>
      <c r="G186">
        <v>36</v>
      </c>
      <c r="H186">
        <f t="shared" si="3"/>
        <v>0</v>
      </c>
      <c r="I186">
        <v>36</v>
      </c>
      <c r="J186" s="6">
        <f>+Tabla3[[#This Row],[OCUPADO]]/Tabla3[[#This Row],[CAPACIDAD]]</f>
        <v>0</v>
      </c>
      <c r="K186" t="s">
        <v>68</v>
      </c>
      <c r="L186">
        <f>+Tabla3[[#This Row],[VACIO]]*29.38</f>
        <v>1057.68</v>
      </c>
    </row>
    <row r="187" spans="2:12" x14ac:dyDescent="0.3">
      <c r="B187" s="11" t="s">
        <v>68</v>
      </c>
      <c r="C187" t="s">
        <v>66</v>
      </c>
      <c r="D187" t="s">
        <v>20</v>
      </c>
      <c r="E187" t="s">
        <v>18</v>
      </c>
      <c r="F187" t="s">
        <v>15</v>
      </c>
      <c r="G187">
        <v>38</v>
      </c>
      <c r="H187">
        <f t="shared" si="3"/>
        <v>70</v>
      </c>
      <c r="I187">
        <v>108</v>
      </c>
      <c r="J187" s="6">
        <f>+Tabla3[[#This Row],[OCUPADO]]/Tabla3[[#This Row],[CAPACIDAD]]</f>
        <v>0.64814814814814814</v>
      </c>
      <c r="K187" t="s">
        <v>68</v>
      </c>
      <c r="L187">
        <f>+Tabla3[[#This Row],[VACIO]]*29.38</f>
        <v>1116.44</v>
      </c>
    </row>
    <row r="188" spans="2:12" x14ac:dyDescent="0.3">
      <c r="B188" s="12" t="s">
        <v>68</v>
      </c>
      <c r="C188" t="s">
        <v>66</v>
      </c>
      <c r="D188" t="s">
        <v>20</v>
      </c>
      <c r="E188" t="s">
        <v>18</v>
      </c>
      <c r="F188" t="s">
        <v>17</v>
      </c>
      <c r="G188">
        <v>44</v>
      </c>
      <c r="H188">
        <f t="shared" si="3"/>
        <v>64</v>
      </c>
      <c r="I188">
        <v>108</v>
      </c>
      <c r="J188" s="6">
        <f>+Tabla3[[#This Row],[OCUPADO]]/Tabla3[[#This Row],[CAPACIDAD]]</f>
        <v>0.59259259259259256</v>
      </c>
      <c r="K188" t="s">
        <v>68</v>
      </c>
      <c r="L188">
        <f>+Tabla3[[#This Row],[VACIO]]*29.38</f>
        <v>1292.72</v>
      </c>
    </row>
    <row r="189" spans="2:12" x14ac:dyDescent="0.3">
      <c r="B189" s="11" t="s">
        <v>68</v>
      </c>
      <c r="C189" t="s">
        <v>66</v>
      </c>
      <c r="D189" t="s">
        <v>21</v>
      </c>
      <c r="E189" t="s">
        <v>14</v>
      </c>
      <c r="F189" t="s">
        <v>15</v>
      </c>
      <c r="G189">
        <v>87</v>
      </c>
      <c r="H189">
        <f t="shared" si="3"/>
        <v>93</v>
      </c>
      <c r="I189">
        <v>180</v>
      </c>
      <c r="J189" s="6">
        <f>+Tabla3[[#This Row],[OCUPADO]]/Tabla3[[#This Row],[CAPACIDAD]]</f>
        <v>0.51666666666666672</v>
      </c>
      <c r="K189" t="s">
        <v>68</v>
      </c>
      <c r="L189">
        <f>+Tabla3[[#This Row],[VACIO]]*29.38</f>
        <v>2556.06</v>
      </c>
    </row>
    <row r="190" spans="2:12" x14ac:dyDescent="0.3">
      <c r="B190" s="12" t="s">
        <v>68</v>
      </c>
      <c r="C190" t="s">
        <v>66</v>
      </c>
      <c r="D190" t="s">
        <v>21</v>
      </c>
      <c r="E190" t="s">
        <v>14</v>
      </c>
      <c r="F190" t="s">
        <v>17</v>
      </c>
      <c r="G190">
        <v>19</v>
      </c>
      <c r="H190">
        <f t="shared" si="3"/>
        <v>37</v>
      </c>
      <c r="I190">
        <v>56</v>
      </c>
      <c r="J190" s="6">
        <f>+Tabla3[[#This Row],[OCUPADO]]/Tabla3[[#This Row],[CAPACIDAD]]</f>
        <v>0.6607142857142857</v>
      </c>
      <c r="K190" t="s">
        <v>68</v>
      </c>
      <c r="L190">
        <f>+Tabla3[[#This Row],[VACIO]]*29.38</f>
        <v>558.22</v>
      </c>
    </row>
    <row r="191" spans="2:12" x14ac:dyDescent="0.3">
      <c r="B191" s="11" t="s">
        <v>68</v>
      </c>
      <c r="C191" t="s">
        <v>66</v>
      </c>
      <c r="D191" t="s">
        <v>21</v>
      </c>
      <c r="E191" t="s">
        <v>18</v>
      </c>
      <c r="F191" t="s">
        <v>15</v>
      </c>
      <c r="G191">
        <v>144</v>
      </c>
      <c r="H191">
        <f t="shared" si="3"/>
        <v>0</v>
      </c>
      <c r="I191">
        <v>144</v>
      </c>
      <c r="J191" s="6">
        <f>+Tabla3[[#This Row],[OCUPADO]]/Tabla3[[#This Row],[CAPACIDAD]]</f>
        <v>0</v>
      </c>
      <c r="K191" t="s">
        <v>68</v>
      </c>
      <c r="L191">
        <f>+Tabla3[[#This Row],[VACIO]]*29.38</f>
        <v>4230.72</v>
      </c>
    </row>
    <row r="192" spans="2:12" x14ac:dyDescent="0.3">
      <c r="B192" s="12" t="s">
        <v>83</v>
      </c>
      <c r="C192" t="s">
        <v>66</v>
      </c>
      <c r="D192" t="s">
        <v>22</v>
      </c>
      <c r="E192" t="s">
        <v>14</v>
      </c>
      <c r="F192" t="s">
        <v>15</v>
      </c>
      <c r="G192">
        <v>44</v>
      </c>
      <c r="H192">
        <f t="shared" si="3"/>
        <v>136</v>
      </c>
      <c r="I192">
        <v>180</v>
      </c>
      <c r="J192" s="6">
        <f>+Tabla3[[#This Row],[OCUPADO]]/Tabla3[[#This Row],[CAPACIDAD]]</f>
        <v>0.75555555555555554</v>
      </c>
      <c r="K192" t="s">
        <v>67</v>
      </c>
      <c r="L192">
        <f>+Tabla3[[#This Row],[VACIO]]*29.38</f>
        <v>1292.72</v>
      </c>
    </row>
    <row r="193" spans="2:12" x14ac:dyDescent="0.3">
      <c r="B193" s="11" t="s">
        <v>83</v>
      </c>
      <c r="C193" t="s">
        <v>66</v>
      </c>
      <c r="D193" t="s">
        <v>22</v>
      </c>
      <c r="E193" t="s">
        <v>14</v>
      </c>
      <c r="F193" t="s">
        <v>17</v>
      </c>
      <c r="G193">
        <v>29</v>
      </c>
      <c r="H193">
        <f t="shared" si="3"/>
        <v>75</v>
      </c>
      <c r="I193">
        <v>104</v>
      </c>
      <c r="J193" s="6">
        <f>+Tabla3[[#This Row],[OCUPADO]]/Tabla3[[#This Row],[CAPACIDAD]]</f>
        <v>0.72115384615384615</v>
      </c>
      <c r="K193" t="s">
        <v>67</v>
      </c>
      <c r="L193">
        <f>+Tabla3[[#This Row],[VACIO]]*29.38</f>
        <v>852.02</v>
      </c>
    </row>
    <row r="194" spans="2:12" x14ac:dyDescent="0.3">
      <c r="B194" s="12" t="s">
        <v>83</v>
      </c>
      <c r="C194" t="s">
        <v>66</v>
      </c>
      <c r="D194" t="s">
        <v>22</v>
      </c>
      <c r="E194" t="s">
        <v>18</v>
      </c>
      <c r="F194" t="s">
        <v>15</v>
      </c>
      <c r="G194">
        <v>69</v>
      </c>
      <c r="H194">
        <f t="shared" si="3"/>
        <v>109</v>
      </c>
      <c r="I194">
        <v>178</v>
      </c>
      <c r="J194" s="6">
        <f>+Tabla3[[#This Row],[OCUPADO]]/Tabla3[[#This Row],[CAPACIDAD]]</f>
        <v>0.61235955056179781</v>
      </c>
      <c r="K194" t="s">
        <v>67</v>
      </c>
      <c r="L194">
        <f>+Tabla3[[#This Row],[VACIO]]*29.38</f>
        <v>2027.22</v>
      </c>
    </row>
    <row r="195" spans="2:12" x14ac:dyDescent="0.3">
      <c r="B195" s="11" t="s">
        <v>83</v>
      </c>
      <c r="C195" t="s">
        <v>66</v>
      </c>
      <c r="D195" t="s">
        <v>22</v>
      </c>
      <c r="E195" t="s">
        <v>18</v>
      </c>
      <c r="F195" t="s">
        <v>17</v>
      </c>
      <c r="G195">
        <v>25</v>
      </c>
      <c r="H195">
        <f t="shared" si="3"/>
        <v>119</v>
      </c>
      <c r="I195">
        <v>144</v>
      </c>
      <c r="J195" s="6">
        <f>+Tabla3[[#This Row],[OCUPADO]]/Tabla3[[#This Row],[CAPACIDAD]]</f>
        <v>0.82638888888888884</v>
      </c>
      <c r="K195" t="s">
        <v>67</v>
      </c>
      <c r="L195">
        <f>+Tabla3[[#This Row],[VACIO]]*29.38</f>
        <v>734.5</v>
      </c>
    </row>
    <row r="196" spans="2:12" x14ac:dyDescent="0.3">
      <c r="B196" s="12" t="s">
        <v>83</v>
      </c>
      <c r="C196" t="s">
        <v>66</v>
      </c>
      <c r="D196" t="s">
        <v>24</v>
      </c>
      <c r="E196" t="s">
        <v>14</v>
      </c>
      <c r="F196" t="s">
        <v>15</v>
      </c>
      <c r="G196">
        <v>28</v>
      </c>
      <c r="H196">
        <f t="shared" si="3"/>
        <v>152</v>
      </c>
      <c r="I196">
        <v>180</v>
      </c>
      <c r="J196" s="7">
        <f>+Tabla3[[#This Row],[OCUPADO]]/Tabla3[[#This Row],[CAPACIDAD]]</f>
        <v>0.84444444444444444</v>
      </c>
      <c r="K196" t="s">
        <v>67</v>
      </c>
      <c r="L196">
        <f>+Tabla3[[#This Row],[VACIO]]*29.38</f>
        <v>822.64</v>
      </c>
    </row>
    <row r="197" spans="2:12" x14ac:dyDescent="0.3">
      <c r="B197" s="11" t="s">
        <v>83</v>
      </c>
      <c r="C197" t="s">
        <v>66</v>
      </c>
      <c r="D197" t="s">
        <v>24</v>
      </c>
      <c r="E197" t="s">
        <v>14</v>
      </c>
      <c r="F197" t="s">
        <v>17</v>
      </c>
      <c r="G197">
        <v>27</v>
      </c>
      <c r="H197">
        <f t="shared" si="3"/>
        <v>117</v>
      </c>
      <c r="I197">
        <v>144</v>
      </c>
      <c r="J197" s="7">
        <f>+Tabla3[[#This Row],[OCUPADO]]/Tabla3[[#This Row],[CAPACIDAD]]</f>
        <v>0.8125</v>
      </c>
      <c r="K197" t="s">
        <v>67</v>
      </c>
      <c r="L197">
        <f>+Tabla3[[#This Row],[VACIO]]*29.38</f>
        <v>793.26</v>
      </c>
    </row>
    <row r="198" spans="2:12" x14ac:dyDescent="0.3">
      <c r="B198" s="12" t="s">
        <v>83</v>
      </c>
      <c r="C198" t="s">
        <v>66</v>
      </c>
      <c r="D198" t="s">
        <v>24</v>
      </c>
      <c r="E198" t="s">
        <v>18</v>
      </c>
      <c r="F198" t="s">
        <v>15</v>
      </c>
      <c r="G198">
        <v>47</v>
      </c>
      <c r="H198">
        <f t="shared" si="3"/>
        <v>169</v>
      </c>
      <c r="I198">
        <v>216</v>
      </c>
      <c r="J198" s="7">
        <f>+Tabla3[[#This Row],[OCUPADO]]/Tabla3[[#This Row],[CAPACIDAD]]</f>
        <v>0.78240740740740744</v>
      </c>
      <c r="K198" t="s">
        <v>67</v>
      </c>
      <c r="L198">
        <f>+Tabla3[[#This Row],[VACIO]]*29.38</f>
        <v>1380.86</v>
      </c>
    </row>
    <row r="199" spans="2:12" x14ac:dyDescent="0.3">
      <c r="B199" s="11" t="s">
        <v>83</v>
      </c>
      <c r="C199" t="s">
        <v>66</v>
      </c>
      <c r="D199" t="s">
        <v>24</v>
      </c>
      <c r="E199" t="s">
        <v>18</v>
      </c>
      <c r="F199" t="s">
        <v>17</v>
      </c>
      <c r="G199">
        <v>28</v>
      </c>
      <c r="H199">
        <f t="shared" si="3"/>
        <v>116</v>
      </c>
      <c r="I199">
        <v>144</v>
      </c>
      <c r="J199" s="7">
        <f>+Tabla3[[#This Row],[OCUPADO]]/Tabla3[[#This Row],[CAPACIDAD]]</f>
        <v>0.80555555555555558</v>
      </c>
      <c r="K199" t="s">
        <v>67</v>
      </c>
      <c r="L199">
        <f>+Tabla3[[#This Row],[VACIO]]*29.38</f>
        <v>822.64</v>
      </c>
    </row>
    <row r="200" spans="2:12" x14ac:dyDescent="0.3">
      <c r="B200" s="12" t="s">
        <v>83</v>
      </c>
      <c r="C200" t="s">
        <v>66</v>
      </c>
      <c r="D200" t="s">
        <v>25</v>
      </c>
      <c r="E200" t="s">
        <v>14</v>
      </c>
      <c r="F200" t="s">
        <v>15</v>
      </c>
      <c r="G200">
        <v>65</v>
      </c>
      <c r="H200">
        <f t="shared" si="3"/>
        <v>151</v>
      </c>
      <c r="I200">
        <v>216</v>
      </c>
      <c r="J200" s="7">
        <f>+Tabla3[[#This Row],[OCUPADO]]/Tabla3[[#This Row],[CAPACIDAD]]</f>
        <v>0.69907407407407407</v>
      </c>
      <c r="K200" t="s">
        <v>67</v>
      </c>
      <c r="L200">
        <f>+Tabla3[[#This Row],[VACIO]]*29.38</f>
        <v>1909.7</v>
      </c>
    </row>
    <row r="201" spans="2:12" x14ac:dyDescent="0.3">
      <c r="B201" s="11" t="s">
        <v>83</v>
      </c>
      <c r="C201" t="s">
        <v>66</v>
      </c>
      <c r="D201" t="s">
        <v>25</v>
      </c>
      <c r="E201" t="s">
        <v>18</v>
      </c>
      <c r="F201" t="s">
        <v>15</v>
      </c>
      <c r="G201">
        <v>86</v>
      </c>
      <c r="H201">
        <f t="shared" si="3"/>
        <v>130</v>
      </c>
      <c r="I201">
        <v>216</v>
      </c>
      <c r="J201" s="7">
        <f>+Tabla3[[#This Row],[OCUPADO]]/Tabla3[[#This Row],[CAPACIDAD]]</f>
        <v>0.60185185185185186</v>
      </c>
      <c r="K201" t="s">
        <v>67</v>
      </c>
      <c r="L201">
        <f>+Tabla3[[#This Row],[VACIO]]*29.38</f>
        <v>2526.6799999999998</v>
      </c>
    </row>
    <row r="202" spans="2:12" x14ac:dyDescent="0.3">
      <c r="B202" s="12" t="s">
        <v>83</v>
      </c>
      <c r="C202" t="s">
        <v>66</v>
      </c>
      <c r="D202" t="s">
        <v>26</v>
      </c>
      <c r="E202" t="s">
        <v>14</v>
      </c>
      <c r="F202" t="s">
        <v>15</v>
      </c>
      <c r="G202">
        <v>48</v>
      </c>
      <c r="H202">
        <f t="shared" si="3"/>
        <v>168</v>
      </c>
      <c r="I202">
        <v>216</v>
      </c>
      <c r="J202" s="7">
        <f>+Tabla3[[#This Row],[OCUPADO]]/Tabla3[[#This Row],[CAPACIDAD]]</f>
        <v>0.77777777777777779</v>
      </c>
      <c r="K202" t="s">
        <v>69</v>
      </c>
      <c r="L202">
        <f>+Tabla3[[#This Row],[VACIO]]*29.38</f>
        <v>1410.24</v>
      </c>
    </row>
    <row r="203" spans="2:12" x14ac:dyDescent="0.3">
      <c r="B203" s="11" t="s">
        <v>83</v>
      </c>
      <c r="C203" t="s">
        <v>66</v>
      </c>
      <c r="D203" t="s">
        <v>26</v>
      </c>
      <c r="E203" t="s">
        <v>18</v>
      </c>
      <c r="F203" t="s">
        <v>15</v>
      </c>
      <c r="G203">
        <v>57</v>
      </c>
      <c r="H203">
        <f t="shared" si="3"/>
        <v>159</v>
      </c>
      <c r="I203">
        <v>216</v>
      </c>
      <c r="J203" s="7">
        <f>+Tabla3[[#This Row],[OCUPADO]]/Tabla3[[#This Row],[CAPACIDAD]]</f>
        <v>0.73611111111111116</v>
      </c>
      <c r="K203" t="s">
        <v>69</v>
      </c>
      <c r="L203">
        <f>+Tabla3[[#This Row],[VACIO]]*29.38</f>
        <v>1674.6599999999999</v>
      </c>
    </row>
    <row r="204" spans="2:12" x14ac:dyDescent="0.3">
      <c r="B204" s="12" t="s">
        <v>83</v>
      </c>
      <c r="C204" t="s">
        <v>66</v>
      </c>
      <c r="D204" t="s">
        <v>27</v>
      </c>
      <c r="E204" t="s">
        <v>14</v>
      </c>
      <c r="F204" t="s">
        <v>15</v>
      </c>
      <c r="G204">
        <v>13</v>
      </c>
      <c r="H204">
        <f t="shared" si="3"/>
        <v>203</v>
      </c>
      <c r="I204">
        <v>216</v>
      </c>
      <c r="J204" s="7">
        <f>+Tabla3[[#This Row],[OCUPADO]]/Tabla3[[#This Row],[CAPACIDAD]]</f>
        <v>0.93981481481481477</v>
      </c>
      <c r="K204" t="s">
        <v>69</v>
      </c>
      <c r="L204">
        <f>+Tabla3[[#This Row],[VACIO]]*29.38</f>
        <v>381.94</v>
      </c>
    </row>
    <row r="205" spans="2:12" x14ac:dyDescent="0.3">
      <c r="B205" s="11" t="s">
        <v>83</v>
      </c>
      <c r="C205" t="s">
        <v>66</v>
      </c>
      <c r="D205" t="s">
        <v>27</v>
      </c>
      <c r="E205" t="s">
        <v>18</v>
      </c>
      <c r="F205" t="s">
        <v>15</v>
      </c>
      <c r="G205">
        <v>27</v>
      </c>
      <c r="H205">
        <f t="shared" ref="H205:H211" si="4">+I205-G205</f>
        <v>183</v>
      </c>
      <c r="I205">
        <v>210</v>
      </c>
      <c r="J205" s="7">
        <f>+Tabla3[[#This Row],[OCUPADO]]/Tabla3[[#This Row],[CAPACIDAD]]</f>
        <v>0.87142857142857144</v>
      </c>
      <c r="K205" t="s">
        <v>69</v>
      </c>
      <c r="L205">
        <f>+Tabla3[[#This Row],[VACIO]]*29.38</f>
        <v>793.26</v>
      </c>
    </row>
    <row r="206" spans="2:12" x14ac:dyDescent="0.3">
      <c r="B206" s="12" t="s">
        <v>83</v>
      </c>
      <c r="C206" t="s">
        <v>66</v>
      </c>
      <c r="D206" t="s">
        <v>29</v>
      </c>
      <c r="E206" t="s">
        <v>14</v>
      </c>
      <c r="F206" t="s">
        <v>15</v>
      </c>
      <c r="G206">
        <v>13</v>
      </c>
      <c r="H206">
        <f t="shared" si="4"/>
        <v>197</v>
      </c>
      <c r="I206">
        <v>210</v>
      </c>
      <c r="J206" s="7">
        <f>+Tabla3[[#This Row],[OCUPADO]]/Tabla3[[#This Row],[CAPACIDAD]]</f>
        <v>0.93809523809523809</v>
      </c>
      <c r="K206" t="s">
        <v>69</v>
      </c>
      <c r="L206">
        <f>+Tabla3[[#This Row],[VACIO]]*29.38</f>
        <v>381.94</v>
      </c>
    </row>
    <row r="207" spans="2:12" x14ac:dyDescent="0.3">
      <c r="B207" s="11" t="s">
        <v>83</v>
      </c>
      <c r="C207" t="s">
        <v>66</v>
      </c>
      <c r="D207" t="s">
        <v>29</v>
      </c>
      <c r="E207" t="s">
        <v>18</v>
      </c>
      <c r="F207" t="s">
        <v>15</v>
      </c>
      <c r="G207">
        <v>5</v>
      </c>
      <c r="H207">
        <f t="shared" si="4"/>
        <v>211</v>
      </c>
      <c r="I207">
        <v>216</v>
      </c>
      <c r="J207" s="7">
        <f>+Tabla3[[#This Row],[OCUPADO]]/Tabla3[[#This Row],[CAPACIDAD]]</f>
        <v>0.97685185185185186</v>
      </c>
      <c r="K207" t="s">
        <v>69</v>
      </c>
      <c r="L207">
        <f>+Tabla3[[#This Row],[VACIO]]*29.38</f>
        <v>146.9</v>
      </c>
    </row>
    <row r="208" spans="2:12" x14ac:dyDescent="0.3">
      <c r="B208" s="12" t="s">
        <v>83</v>
      </c>
      <c r="C208" t="s">
        <v>66</v>
      </c>
      <c r="D208" t="s">
        <v>30</v>
      </c>
      <c r="E208" t="s">
        <v>14</v>
      </c>
      <c r="F208" t="s">
        <v>15</v>
      </c>
      <c r="G208">
        <v>16</v>
      </c>
      <c r="H208">
        <f t="shared" si="4"/>
        <v>194</v>
      </c>
      <c r="I208">
        <v>210</v>
      </c>
      <c r="J208" s="7">
        <f>+Tabla3[[#This Row],[OCUPADO]]/Tabla3[[#This Row],[CAPACIDAD]]</f>
        <v>0.92380952380952386</v>
      </c>
      <c r="K208" t="s">
        <v>69</v>
      </c>
      <c r="L208">
        <f>+Tabla3[[#This Row],[VACIO]]*29.38</f>
        <v>470.08</v>
      </c>
    </row>
    <row r="209" spans="2:12" x14ac:dyDescent="0.3">
      <c r="B209" s="11" t="s">
        <v>83</v>
      </c>
      <c r="C209" t="s">
        <v>66</v>
      </c>
      <c r="D209" t="s">
        <v>30</v>
      </c>
      <c r="E209" t="s">
        <v>18</v>
      </c>
      <c r="F209" t="s">
        <v>15</v>
      </c>
      <c r="G209">
        <v>58</v>
      </c>
      <c r="H209">
        <f t="shared" si="4"/>
        <v>158</v>
      </c>
      <c r="I209">
        <v>216</v>
      </c>
      <c r="J209" s="7">
        <f>+Tabla3[[#This Row],[OCUPADO]]/Tabla3[[#This Row],[CAPACIDAD]]</f>
        <v>0.73148148148148151</v>
      </c>
      <c r="K209" t="s">
        <v>69</v>
      </c>
      <c r="L209">
        <f>+Tabla3[[#This Row],[VACIO]]*29.38</f>
        <v>1704.04</v>
      </c>
    </row>
    <row r="210" spans="2:12" x14ac:dyDescent="0.3">
      <c r="B210" s="12" t="s">
        <v>83</v>
      </c>
      <c r="C210" t="s">
        <v>66</v>
      </c>
      <c r="D210" t="s">
        <v>31</v>
      </c>
      <c r="E210" t="s">
        <v>14</v>
      </c>
      <c r="F210" t="s">
        <v>15</v>
      </c>
      <c r="G210">
        <v>145</v>
      </c>
      <c r="H210">
        <f t="shared" si="4"/>
        <v>47</v>
      </c>
      <c r="I210">
        <v>192</v>
      </c>
      <c r="J210" s="7">
        <f>+Tabla3[[#This Row],[OCUPADO]]/Tabla3[[#This Row],[CAPACIDAD]]</f>
        <v>0.24479166666666666</v>
      </c>
      <c r="K210" t="s">
        <v>69</v>
      </c>
      <c r="L210">
        <f>+Tabla3[[#This Row],[VACIO]]*29.38</f>
        <v>4260.0999999999995</v>
      </c>
    </row>
    <row r="211" spans="2:12" x14ac:dyDescent="0.3">
      <c r="B211" s="11" t="s">
        <v>83</v>
      </c>
      <c r="C211" t="s">
        <v>66</v>
      </c>
      <c r="D211" t="s">
        <v>31</v>
      </c>
      <c r="E211" t="s">
        <v>18</v>
      </c>
      <c r="F211" t="s">
        <v>15</v>
      </c>
      <c r="G211">
        <v>60</v>
      </c>
      <c r="H211">
        <f t="shared" si="4"/>
        <v>80</v>
      </c>
      <c r="I211">
        <v>140</v>
      </c>
      <c r="J211" s="7">
        <f>+Tabla3[[#This Row],[OCUPADO]]/Tabla3[[#This Row],[CAPACIDAD]]</f>
        <v>0.5714285714285714</v>
      </c>
      <c r="K211" t="s">
        <v>69</v>
      </c>
      <c r="L211">
        <f>+Tabla3[[#This Row],[VACIO]]*29.38</f>
        <v>1762.8</v>
      </c>
    </row>
    <row r="212" spans="2:12" x14ac:dyDescent="0.3">
      <c r="B212" s="12" t="s">
        <v>83</v>
      </c>
      <c r="C212" t="s">
        <v>70</v>
      </c>
      <c r="D212" t="s">
        <v>13</v>
      </c>
      <c r="E212" t="s">
        <v>18</v>
      </c>
      <c r="F212" t="s">
        <v>15</v>
      </c>
      <c r="G212">
        <v>56</v>
      </c>
      <c r="H212">
        <f>+I212-G212</f>
        <v>114</v>
      </c>
      <c r="I212">
        <v>170</v>
      </c>
      <c r="J212" s="7">
        <f>+Tabla3[[#This Row],[OCUPADO]]/Tabla3[[#This Row],[CAPACIDAD]]</f>
        <v>0.6705882352941176</v>
      </c>
      <c r="K212" t="s">
        <v>69</v>
      </c>
      <c r="L212">
        <f>+Tabla3[[#This Row],[VACIO]]*29.38</f>
        <v>1645.28</v>
      </c>
    </row>
    <row r="213" spans="2:12" x14ac:dyDescent="0.3">
      <c r="B213" s="11" t="s">
        <v>83</v>
      </c>
      <c r="C213" t="s">
        <v>70</v>
      </c>
      <c r="D213" t="s">
        <v>19</v>
      </c>
      <c r="E213" t="s">
        <v>14</v>
      </c>
      <c r="F213" t="s">
        <v>15</v>
      </c>
      <c r="G213">
        <v>114</v>
      </c>
      <c r="H213">
        <f>+I213-G213</f>
        <v>86</v>
      </c>
      <c r="I213">
        <v>200</v>
      </c>
      <c r="J213" s="7">
        <f>+Tabla3[[#This Row],[OCUPADO]]/Tabla3[[#This Row],[CAPACIDAD]]</f>
        <v>0.43</v>
      </c>
      <c r="K213" t="s">
        <v>69</v>
      </c>
      <c r="L213">
        <f>+Tabla3[[#This Row],[VACIO]]*29.38</f>
        <v>3349.3199999999997</v>
      </c>
    </row>
    <row r="214" spans="2:12" x14ac:dyDescent="0.3">
      <c r="B214" s="12" t="s">
        <v>83</v>
      </c>
      <c r="C214" t="s">
        <v>70</v>
      </c>
      <c r="D214" t="s">
        <v>19</v>
      </c>
      <c r="E214" t="s">
        <v>18</v>
      </c>
      <c r="F214" t="s">
        <v>15</v>
      </c>
      <c r="G214">
        <v>173</v>
      </c>
      <c r="H214">
        <f>+I214-G214</f>
        <v>27</v>
      </c>
      <c r="I214">
        <v>200</v>
      </c>
      <c r="J214" s="7">
        <f>+Tabla3[[#This Row],[OCUPADO]]/Tabla3[[#This Row],[CAPACIDAD]]</f>
        <v>0.13500000000000001</v>
      </c>
      <c r="K214" t="s">
        <v>69</v>
      </c>
      <c r="L214">
        <f>+Tabla3[[#This Row],[VACIO]]*29.38</f>
        <v>5082.74</v>
      </c>
    </row>
    <row r="215" spans="2:12" x14ac:dyDescent="0.3">
      <c r="B215" s="11" t="s">
        <v>83</v>
      </c>
      <c r="C215" t="s">
        <v>70</v>
      </c>
      <c r="D215" t="s">
        <v>20</v>
      </c>
      <c r="E215" t="s">
        <v>14</v>
      </c>
      <c r="F215" t="s">
        <v>15</v>
      </c>
      <c r="G215">
        <v>42</v>
      </c>
      <c r="H215">
        <f>+I215-G215</f>
        <v>158</v>
      </c>
      <c r="I215">
        <v>200</v>
      </c>
      <c r="J215" s="7">
        <f>+Tabla3[[#This Row],[OCUPADO]]/Tabla3[[#This Row],[CAPACIDAD]]</f>
        <v>0.79</v>
      </c>
      <c r="K215" t="s">
        <v>69</v>
      </c>
      <c r="L215">
        <f>+Tabla3[[#This Row],[VACIO]]*29.38</f>
        <v>1233.96</v>
      </c>
    </row>
    <row r="216" spans="2:12" x14ac:dyDescent="0.3">
      <c r="B216" s="12" t="s">
        <v>83</v>
      </c>
      <c r="C216" t="s">
        <v>70</v>
      </c>
      <c r="D216" t="s">
        <v>20</v>
      </c>
      <c r="E216" t="s">
        <v>18</v>
      </c>
      <c r="F216" t="s">
        <v>15</v>
      </c>
      <c r="G216">
        <v>182</v>
      </c>
      <c r="H216">
        <f>+I216-G216</f>
        <v>22</v>
      </c>
      <c r="I216">
        <v>204</v>
      </c>
      <c r="J216" s="7">
        <f>+Tabla3[[#This Row],[OCUPADO]]/Tabla3[[#This Row],[CAPACIDAD]]</f>
        <v>0.10784313725490197</v>
      </c>
      <c r="K216" t="s">
        <v>69</v>
      </c>
      <c r="L216">
        <f>+Tabla3[[#This Row],[VACIO]]*29.38</f>
        <v>5347.16</v>
      </c>
    </row>
    <row r="217" spans="2:12" x14ac:dyDescent="0.3">
      <c r="B217" s="11" t="s">
        <v>83</v>
      </c>
      <c r="C217" t="s">
        <v>70</v>
      </c>
      <c r="D217" t="s">
        <v>21</v>
      </c>
      <c r="E217" t="s">
        <v>14</v>
      </c>
      <c r="F217" t="s">
        <v>15</v>
      </c>
      <c r="G217">
        <v>150</v>
      </c>
      <c r="H217">
        <f t="shared" ref="H217:H220" si="5">+I217-G217</f>
        <v>50</v>
      </c>
      <c r="I217">
        <v>200</v>
      </c>
      <c r="J217" s="7">
        <f>+Tabla3[[#This Row],[OCUPADO]]/Tabla3[[#This Row],[CAPACIDAD]]</f>
        <v>0.25</v>
      </c>
      <c r="K217" t="s">
        <v>69</v>
      </c>
      <c r="L217">
        <f>+Tabla3[[#This Row],[VACIO]]*29.38</f>
        <v>4407</v>
      </c>
    </row>
    <row r="218" spans="2:12" x14ac:dyDescent="0.3">
      <c r="B218" s="12" t="s">
        <v>83</v>
      </c>
      <c r="C218" t="s">
        <v>70</v>
      </c>
      <c r="D218" t="s">
        <v>21</v>
      </c>
      <c r="E218" t="s">
        <v>18</v>
      </c>
      <c r="F218" t="s">
        <v>15</v>
      </c>
      <c r="G218">
        <v>193</v>
      </c>
      <c r="H218">
        <f t="shared" si="5"/>
        <v>7</v>
      </c>
      <c r="I218">
        <v>200</v>
      </c>
      <c r="J218" s="7">
        <f>+Tabla3[[#This Row],[OCUPADO]]/Tabla3[[#This Row],[CAPACIDAD]]</f>
        <v>3.5000000000000003E-2</v>
      </c>
      <c r="K218" t="s">
        <v>69</v>
      </c>
      <c r="L218">
        <f>+Tabla3[[#This Row],[VACIO]]*29.38</f>
        <v>5670.34</v>
      </c>
    </row>
    <row r="219" spans="2:12" x14ac:dyDescent="0.3">
      <c r="B219" s="11" t="s">
        <v>83</v>
      </c>
      <c r="C219" t="s">
        <v>70</v>
      </c>
      <c r="D219" t="s">
        <v>22</v>
      </c>
      <c r="E219" t="s">
        <v>14</v>
      </c>
      <c r="F219" t="s">
        <v>15</v>
      </c>
      <c r="G219">
        <v>0</v>
      </c>
      <c r="H219">
        <f t="shared" si="5"/>
        <v>96</v>
      </c>
      <c r="I219">
        <v>96</v>
      </c>
      <c r="J219" s="7">
        <f>+Tabla3[[#This Row],[OCUPADO]]/Tabla3[[#This Row],[CAPACIDAD]]</f>
        <v>1</v>
      </c>
      <c r="K219" t="s">
        <v>69</v>
      </c>
      <c r="L219">
        <f>+Tabla3[[#This Row],[VACIO]]*29.38</f>
        <v>0</v>
      </c>
    </row>
    <row r="220" spans="2:12" ht="15" thickBot="1" x14ac:dyDescent="0.35">
      <c r="B220" s="12" t="s">
        <v>83</v>
      </c>
      <c r="C220" t="s">
        <v>70</v>
      </c>
      <c r="D220" t="s">
        <v>22</v>
      </c>
      <c r="E220" t="s">
        <v>18</v>
      </c>
      <c r="F220" t="s">
        <v>15</v>
      </c>
      <c r="G220">
        <v>0</v>
      </c>
      <c r="H220">
        <f t="shared" si="5"/>
        <v>104</v>
      </c>
      <c r="I220">
        <v>104</v>
      </c>
      <c r="J220" s="7">
        <f>+Tabla3[[#This Row],[OCUPADO]]/Tabla3[[#This Row],[CAPACIDAD]]</f>
        <v>1</v>
      </c>
      <c r="K220" t="s">
        <v>69</v>
      </c>
      <c r="L220">
        <f>+Tabla3[[#This Row],[VACIO]]*29.38</f>
        <v>0</v>
      </c>
    </row>
    <row r="221" spans="2:12" ht="15" thickTop="1" x14ac:dyDescent="0.3">
      <c r="B221" s="13"/>
      <c r="J221" s="8"/>
      <c r="L221">
        <f>SUBTOTAL(109,Tabla3[PROYECCION BULTOS A RECIBIR])</f>
        <v>174105.87999999992</v>
      </c>
    </row>
  </sheetData>
  <mergeCells count="2">
    <mergeCell ref="G9:I9"/>
    <mergeCell ref="F2:J4"/>
  </mergeCells>
  <phoneticPr fontId="6" type="noConversion"/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5C664A-A274-4A62-8A4A-A3B2B7BCCA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C83349-84FE-4F64-B8FF-65579F53EBB4}">
  <ds:schemaRefs>
    <ds:schemaRef ds:uri="http://schemas.microsoft.com/office/2006/metadata/properties"/>
    <ds:schemaRef ds:uri="http://schemas.microsoft.com/office/infopath/2007/PartnerControls"/>
    <ds:schemaRef ds:uri="3d38824c-51cf-4464-bfd4-b79b9aa07da3"/>
    <ds:schemaRef ds:uri="696cb463-acdf-48d8-901e-2618dfa65337"/>
    <ds:schemaRef ds:uri="332e2443-d3c8-47cd-a9af-bf7e7e727c04"/>
    <ds:schemaRef ds:uri="4b4878d4-5642-434d-a81c-04ea5b72e5ae"/>
  </ds:schemaRefs>
</ds:datastoreItem>
</file>

<file path=customXml/itemProps3.xml><?xml version="1.0" encoding="utf-8"?>
<ds:datastoreItem xmlns:ds="http://schemas.openxmlformats.org/officeDocument/2006/customXml" ds:itemID="{09B678FA-1113-4EC0-BFAB-6FC750973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e2443-d3c8-47cd-a9af-bf7e7e727c04"/>
    <ds:schemaRef ds:uri="4b4878d4-5642-434d-a81c-04ea5b72e5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 Resumen</vt:lpstr>
      <vt:lpstr>Conteo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Alexander Gudiel Chacon</dc:creator>
  <cp:lastModifiedBy>Esdras Ademir Ramirez Herrera</cp:lastModifiedBy>
  <dcterms:created xsi:type="dcterms:W3CDTF">2024-02-08T15:12:37Z</dcterms:created>
  <dcterms:modified xsi:type="dcterms:W3CDTF">2026-10-21T13:57:07Z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